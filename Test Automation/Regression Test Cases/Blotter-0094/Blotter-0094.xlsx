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ReloadOrderFromBlotter" sheetId="7" r:id="rId9"/>
    <sheet state="visible" name="CreateDoneAwayOrder" sheetId="8" r:id="rId10"/>
    <sheet state="visible" name="TradeNewSubOrder1" sheetId="9" r:id="rId11"/>
    <sheet state="visible" name="CreateNewSubOrder1" sheetId="10" r:id="rId12"/>
    <sheet state="visible" name="ReloadOrderFromBlotter1" sheetId="11" r:id="rId13"/>
    <sheet state="visible" name="CreateDoneAwayOrder1" sheetId="12" r:id="rId14"/>
    <sheet state="visible" name="TradeNewSubOrder2" sheetId="13" r:id="rId15"/>
    <sheet state="visible" name="CreateNewSubOrder2" sheetId="14" r:id="rId16"/>
    <sheet state="visible" name="ReloadOrderFromBlotter2" sheetId="15" r:id="rId17"/>
    <sheet state="visible" name="CreateDoneAwayOrder2" sheetId="16" r:id="rId18"/>
    <sheet state="visible" name="TradeNewSubOrder3" sheetId="17" r:id="rId19"/>
    <sheet state="visible" name="CreateNewSubOrder3" sheetId="18" r:id="rId20"/>
    <sheet state="visible" name="ReloadOrderFromBlotter3" sheetId="19" r:id="rId21"/>
    <sheet state="visible" name="CreateDoneAwayOrder3" sheetId="20" r:id="rId22"/>
    <sheet state="visible" name="VerifyOrder" sheetId="21" r:id="rId23"/>
    <sheet state="visible" name="GetDataAllocation" sheetId="22" r:id="rId24"/>
    <sheet state="visible" name="CheckAllocatedGroups" sheetId="23" r:id="rId25"/>
    <sheet state="visible" name="CheckPortfolioManagement" sheetId="24" r:id="rId26"/>
  </sheets>
  <definedNames/>
  <calcPr/>
</workbook>
</file>

<file path=xl/sharedStrings.xml><?xml version="1.0" encoding="utf-8"?>
<sst xmlns="http://schemas.openxmlformats.org/spreadsheetml/2006/main" count="870" uniqueCount="68">
  <si>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</si>
  <si>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</si>
  <si>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</si>
  <si>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</si>
  <si>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</si>
  <si>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</si>
  <si>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</si>
  <si>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</si>
  <si>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</si>
  <si>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</si>
  <si>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</si>
  <si>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</si>
  <si>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</si>
  <si>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</si>
  <si>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</si>
  <si>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</si>
  <si>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</si>
  <si>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</si>
  <si>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</si>
  <si>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Limit</t>
  </si>
  <si>
    <t>Stop Limit</t>
  </si>
  <si>
    <t>Stop</t>
  </si>
  <si>
    <t>Blotter</t>
  </si>
  <si>
    <t>TradeNewSubOrder</t>
  </si>
  <si>
    <t>US</t>
  </si>
  <si>
    <t>Equity</t>
  </si>
  <si>
    <t>New</t>
  </si>
  <si>
    <t>MS</t>
  </si>
  <si>
    <t>Market</t>
  </si>
  <si>
    <t>CreateNewSubOrder</t>
  </si>
  <si>
    <t>ReloadOrderFromBlotter</t>
  </si>
  <si>
    <t>Filled</t>
  </si>
  <si>
    <t>CreateDoneAwayOrder</t>
  </si>
  <si>
    <t>VerifyOrder</t>
  </si>
  <si>
    <t>NASDAQ</t>
  </si>
  <si>
    <t>jpearce</t>
  </si>
  <si>
    <t>USD</t>
  </si>
  <si>
    <t>Allocation</t>
  </si>
  <si>
    <t>GetDataAllocation</t>
  </si>
  <si>
    <t>CURRENT</t>
  </si>
  <si>
    <t>CheckAllocatedGroups</t>
  </si>
  <si>
    <t>Open</t>
  </si>
  <si>
    <t>APPLE</t>
  </si>
  <si>
    <t>M</t>
  </si>
  <si>
    <t>Manual</t>
  </si>
  <si>
    <t>None</t>
  </si>
  <si>
    <t>InternalOrder</t>
  </si>
  <si>
    <t>GCCAP1</t>
  </si>
  <si>
    <t>NONE</t>
  </si>
  <si>
    <t>PortfolioManagement</t>
  </si>
  <si>
    <t>CheckPortfolioManagement</t>
  </si>
  <si>
    <t>Long</t>
  </si>
  <si>
    <t>Undefined</t>
  </si>
  <si>
    <t>FIMAT</t>
  </si>
  <si>
    <t>Strategy Unallocated</t>
  </si>
  <si>
    <t/>
  </si>
  <si>
    <t>DefaultNotes</t>
  </si>
  <si>
    <t>1</t>
  </si>
  <si>
    <t>New Hedge</t>
  </si>
  <si>
    <t>Small Cap</t>
  </si>
  <si>
    <t>5</t>
  </si>
  <si>
    <t>AAPL US EQUITY</t>
  </si>
  <si>
    <t>Default</t>
  </si>
  <si>
    <t>test1</t>
  </si>
  <si>
    <t>india</t>
  </si>
  <si>
    <t>test 1</t>
  </si>
  <si>
    <t>Yes</t>
  </si>
  <si>
    <t>BrokerNotes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</si>
</sst>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###,###,###,###,##0.00#############"/>
    <numFmt numFmtId="165" formatCode="#,##,###0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name val="Calibri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0" fillId="0" fontId="3" numFmtId="3" xfId="0" applyAlignment="1" applyFont="1" applyNumberFormat="1">
      <alignment vertical="bottom"/>
    </xf>
    <xf borderId="0" fillId="0" fontId="13" numFmtId="0" xfId="0" applyAlignment="1" applyFont="1">
      <alignment vertical="bottom"/>
    </xf>
    <xf borderId="0" fillId="0" fontId="13" numFmtId="164" xfId="0" applyAlignment="1" applyFont="1" applyNumberFormat="1">
      <alignment horizontal="right" vertical="bottom"/>
    </xf>
    <xf borderId="0" fillId="0" fontId="13" numFmtId="0" xfId="0" applyAlignment="1" applyFont="1">
      <alignment vertical="bottom"/>
    </xf>
    <xf borderId="0" fillId="0" fontId="3" numFmtId="164" xfId="0" applyAlignment="1" applyFont="1" applyNumberFormat="1">
      <alignment vertical="bottom"/>
    </xf>
    <xf borderId="0" fillId="0" fontId="14" numFmtId="0" xfId="0" applyAlignment="1" applyFont="1">
      <alignment vertical="bottom"/>
    </xf>
    <xf borderId="0" fillId="0" fontId="14" numFmtId="0" xfId="0" applyAlignment="1" applyFont="1">
      <alignment horizontal="right" vertical="bottom"/>
    </xf>
    <xf borderId="0" fillId="0" fontId="13" numFmtId="165" xfId="0" applyAlignment="1" applyFont="1" applyNumberFormat="1">
      <alignment horizontal="right" vertical="bottom"/>
    </xf>
    <xf borderId="0" fillId="0" fontId="13" numFmtId="165" xfId="0" applyAlignment="1" applyFont="1" applyNumberFormat="1">
      <alignment vertical="bottom"/>
    </xf>
    <xf borderId="0" fillId="0" fontId="3" numFmtId="165" xfId="0" applyAlignment="1" applyFont="1" applyNumberFormat="1">
      <alignment vertical="bottom"/>
    </xf>
    <xf borderId="0" fillId="0" fontId="13" numFmtId="0" xfId="0" applyAlignment="1" applyFont="1">
      <alignment horizontal="center" vertical="bottom"/>
    </xf>
    <xf borderId="0" fillId="0" fontId="14" numFmtId="165" xfId="0" applyAlignment="1" applyFont="1" applyNumberFormat="1">
      <alignment horizontal="right" vertical="bottom"/>
    </xf>
    <xf borderId="0" fillId="0" fontId="14" numFmtId="165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5"/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 t="s">
        <v>16</v>
      </c>
      <c r="C7" s="35" t="s">
        <v>17</v>
      </c>
      <c r="D7" s="34">
        <v>100.0</v>
      </c>
      <c r="E7" s="34">
        <v>100.0</v>
      </c>
      <c r="F7" s="35" t="s">
        <v>18</v>
      </c>
      <c r="G7" s="35"/>
      <c r="H7" s="35"/>
      <c r="I7" s="35" t="s">
        <v>19</v>
      </c>
      <c r="J7" s="35"/>
      <c r="K7" s="35"/>
      <c r="L7" s="34">
        <v>10.0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2" t="s">
        <v>16</v>
      </c>
      <c r="C8" s="32" t="s">
        <v>17</v>
      </c>
      <c r="D8" s="34">
        <v>100.0</v>
      </c>
      <c r="E8" s="34">
        <v>100.0</v>
      </c>
      <c r="F8" s="32" t="s">
        <v>18</v>
      </c>
      <c r="G8" s="35"/>
      <c r="H8" s="35"/>
      <c r="I8" s="32" t="s">
        <v>20</v>
      </c>
      <c r="J8" s="35"/>
      <c r="K8" s="34">
        <v>10.0</v>
      </c>
      <c r="L8" s="34">
        <v>10.0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 t="s">
        <v>16</v>
      </c>
      <c r="C9" s="35" t="s">
        <v>17</v>
      </c>
      <c r="D9" s="34">
        <v>100.0</v>
      </c>
      <c r="E9" s="34">
        <v>100.0</v>
      </c>
      <c r="F9" s="35" t="s">
        <v>18</v>
      </c>
      <c r="G9" s="35"/>
      <c r="H9" s="35"/>
      <c r="I9" s="35" t="s">
        <v>21</v>
      </c>
      <c r="J9" s="35"/>
      <c r="K9" s="36">
        <v>10.0</v>
      </c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0.0</v>
      </c>
      <c r="E6" s="35"/>
      <c r="F6" s="35"/>
      <c r="G6" s="35"/>
      <c r="H6" s="35"/>
      <c r="I6" s="35"/>
      <c r="J6" s="32" t="s">
        <v>16</v>
      </c>
      <c r="K6" s="32" t="s">
        <v>24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26</v>
      </c>
      <c r="AL6" s="36">
        <v>100.0</v>
      </c>
      <c r="AM6" s="35"/>
      <c r="AN6" s="35"/>
      <c r="AO6" s="35"/>
      <c r="AP6" s="36">
        <v>100.0</v>
      </c>
      <c r="AQ6" s="36">
        <v>0.0</v>
      </c>
      <c r="AR6" s="36">
        <v>0.0</v>
      </c>
      <c r="AS6" s="35" t="s">
        <v>27</v>
      </c>
      <c r="AT6" s="35" t="s">
        <v>18</v>
      </c>
      <c r="AU6" s="35" t="s">
        <v>28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27</v>
      </c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10.0</v>
      </c>
      <c r="E6" s="35"/>
      <c r="F6" s="35"/>
      <c r="G6" s="35"/>
      <c r="H6" s="35"/>
      <c r="I6" s="35"/>
      <c r="J6" s="32" t="s">
        <v>16</v>
      </c>
      <c r="K6" s="32" t="s">
        <v>24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31</v>
      </c>
      <c r="AL6" s="36">
        <v>100.0</v>
      </c>
      <c r="AM6" s="36">
        <v>100.0</v>
      </c>
      <c r="AN6" s="36">
        <v>100.0</v>
      </c>
      <c r="AO6" s="36">
        <v>100.0</v>
      </c>
      <c r="AP6" s="35"/>
      <c r="AQ6" s="36">
        <v>10.0</v>
      </c>
      <c r="AR6" s="36">
        <v>10.0</v>
      </c>
      <c r="AS6" s="35" t="s">
        <v>27</v>
      </c>
      <c r="AT6" s="35" t="s">
        <v>18</v>
      </c>
      <c r="AU6" s="35" t="s">
        <v>28</v>
      </c>
      <c r="AV6" s="37">
        <v>1000.0</v>
      </c>
      <c r="AW6" s="37">
        <v>1000.0</v>
      </c>
      <c r="AX6" s="35"/>
      <c r="AY6" s="35"/>
      <c r="AZ6" s="36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16</v>
      </c>
      <c r="C6" s="32" t="s">
        <v>17</v>
      </c>
      <c r="D6" s="33">
        <v>100.0</v>
      </c>
      <c r="E6" s="34">
        <v>100.0</v>
      </c>
      <c r="F6" s="32" t="s">
        <v>18</v>
      </c>
      <c r="G6" s="32" t="s">
        <v>27</v>
      </c>
      <c r="H6" s="35"/>
      <c r="I6" s="35"/>
      <c r="J6" s="34">
        <v>10.0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0.0</v>
      </c>
      <c r="E6" s="35"/>
      <c r="F6" s="36">
        <v>10.0</v>
      </c>
      <c r="G6" s="35"/>
      <c r="H6" s="35"/>
      <c r="I6" s="35"/>
      <c r="J6" s="35" t="s">
        <v>16</v>
      </c>
      <c r="K6" s="35" t="s">
        <v>24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26</v>
      </c>
      <c r="AL6" s="36">
        <v>100.0</v>
      </c>
      <c r="AM6" s="35"/>
      <c r="AN6" s="35"/>
      <c r="AO6" s="35"/>
      <c r="AP6" s="36">
        <v>100.0</v>
      </c>
      <c r="AQ6" s="36">
        <v>0.0</v>
      </c>
      <c r="AR6" s="36">
        <v>0.0</v>
      </c>
      <c r="AS6" s="35" t="s">
        <v>27</v>
      </c>
      <c r="AT6" s="35" t="s">
        <v>18</v>
      </c>
      <c r="AU6" s="35" t="s">
        <v>19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5" t="s">
        <v>17</v>
      </c>
      <c r="D6" s="33">
        <v>100.0</v>
      </c>
      <c r="E6" s="34">
        <v>100.0</v>
      </c>
      <c r="F6" s="35" t="s">
        <v>18</v>
      </c>
      <c r="G6" s="35" t="s">
        <v>27</v>
      </c>
      <c r="H6" s="35"/>
      <c r="I6" s="35" t="s">
        <v>19</v>
      </c>
      <c r="J6" s="35"/>
      <c r="K6" s="35"/>
      <c r="L6" s="34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6">
        <v>10.0</v>
      </c>
      <c r="G6" s="35"/>
      <c r="H6" s="35"/>
      <c r="I6" s="35"/>
      <c r="J6" s="35" t="s">
        <v>16</v>
      </c>
      <c r="K6" s="35" t="s">
        <v>24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31</v>
      </c>
      <c r="AL6" s="36">
        <v>100.0</v>
      </c>
      <c r="AM6" s="36">
        <v>100.0</v>
      </c>
      <c r="AN6" s="36">
        <v>100.0</v>
      </c>
      <c r="AO6" s="36">
        <v>100.0</v>
      </c>
      <c r="AP6" s="35"/>
      <c r="AQ6" s="36">
        <v>10.0</v>
      </c>
      <c r="AR6" s="36">
        <v>10.0</v>
      </c>
      <c r="AS6" s="35" t="s">
        <v>27</v>
      </c>
      <c r="AT6" s="35" t="s">
        <v>18</v>
      </c>
      <c r="AU6" s="35" t="s">
        <v>19</v>
      </c>
      <c r="AV6" s="37">
        <v>1000.0</v>
      </c>
      <c r="AW6" s="37">
        <v>1000.0</v>
      </c>
      <c r="AX6" s="35"/>
      <c r="AY6" s="35"/>
      <c r="AZ6" s="36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ReloadOrderFromBlotter1!$4:$4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5" t="s">
        <v>17</v>
      </c>
      <c r="D6" s="33">
        <v>100.0</v>
      </c>
      <c r="E6" s="34">
        <v>100.0</v>
      </c>
      <c r="F6" s="35" t="s">
        <v>18</v>
      </c>
      <c r="G6" s="35" t="s">
        <v>27</v>
      </c>
      <c r="H6" s="35"/>
      <c r="I6" s="35" t="s">
        <v>19</v>
      </c>
      <c r="J6" s="35"/>
      <c r="K6" s="35"/>
      <c r="L6" s="36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2" t="s">
        <v>16</v>
      </c>
      <c r="K6" s="32" t="s">
        <v>24</v>
      </c>
      <c r="L6" s="35"/>
      <c r="M6" s="35"/>
      <c r="N6" s="35"/>
      <c r="O6" s="35"/>
      <c r="P6" s="35"/>
      <c r="Q6" s="35"/>
      <c r="R6" s="35"/>
      <c r="S6" s="35"/>
      <c r="T6" s="36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26</v>
      </c>
      <c r="AL6" s="36">
        <v>100.0</v>
      </c>
      <c r="AM6" s="35"/>
      <c r="AN6" s="35"/>
      <c r="AO6" s="35"/>
      <c r="AP6" s="36">
        <v>100.0</v>
      </c>
      <c r="AQ6" s="35"/>
      <c r="AR6" s="35"/>
      <c r="AS6" s="35" t="s">
        <v>27</v>
      </c>
      <c r="AT6" s="35" t="s">
        <v>18</v>
      </c>
      <c r="AU6" s="35" t="s">
        <v>20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TradeNewSubOrder2!$4:$4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5" t="s">
        <v>17</v>
      </c>
      <c r="D6" s="33">
        <v>100.0</v>
      </c>
      <c r="E6" s="34">
        <v>100.0</v>
      </c>
      <c r="F6" s="35" t="s">
        <v>18</v>
      </c>
      <c r="G6" s="35" t="s">
        <v>27</v>
      </c>
      <c r="H6" s="35"/>
      <c r="I6" s="35" t="s">
        <v>20</v>
      </c>
      <c r="J6" s="35"/>
      <c r="K6" s="36">
        <v>10.0</v>
      </c>
      <c r="L6" s="36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CreateNewSubOrder2!$4:$4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2" t="s">
        <v>16</v>
      </c>
      <c r="K6" s="32" t="s">
        <v>24</v>
      </c>
      <c r="L6" s="35"/>
      <c r="M6" s="35"/>
      <c r="N6" s="35"/>
      <c r="O6" s="35"/>
      <c r="P6" s="35"/>
      <c r="Q6" s="35"/>
      <c r="R6" s="35"/>
      <c r="S6" s="35"/>
      <c r="T6" s="36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31</v>
      </c>
      <c r="AL6" s="36">
        <v>100.0</v>
      </c>
      <c r="AM6" s="36">
        <v>100.0</v>
      </c>
      <c r="AN6" s="36">
        <v>100.0</v>
      </c>
      <c r="AO6" s="36">
        <v>100.0</v>
      </c>
      <c r="AP6" s="35"/>
      <c r="AQ6" s="36">
        <v>10.0</v>
      </c>
      <c r="AR6" s="36">
        <v>10.0</v>
      </c>
      <c r="AS6" s="35" t="s">
        <v>27</v>
      </c>
      <c r="AT6" s="35" t="s">
        <v>18</v>
      </c>
      <c r="AU6" s="35" t="s">
        <v>20</v>
      </c>
      <c r="AV6" s="37">
        <v>1000.0</v>
      </c>
      <c r="AW6" s="37">
        <v>1000.0</v>
      </c>
      <c r="AX6" s="35"/>
      <c r="AY6" s="35"/>
      <c r="AZ6" s="36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ReloadOrderFromBlotter2!$4:$4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5" t="s">
        <v>17</v>
      </c>
      <c r="D6" s="33">
        <v>100.0</v>
      </c>
      <c r="E6" s="34">
        <v>100.0</v>
      </c>
      <c r="F6" s="35" t="s">
        <v>18</v>
      </c>
      <c r="G6" s="35" t="s">
        <v>27</v>
      </c>
      <c r="H6" s="35"/>
      <c r="I6" s="35" t="s">
        <v>20</v>
      </c>
      <c r="J6" s="35"/>
      <c r="K6" s="36">
        <v>10.0</v>
      </c>
      <c r="L6" s="36">
        <v>10.0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0.0</v>
      </c>
      <c r="E6" s="35"/>
      <c r="F6" s="35"/>
      <c r="G6" s="35"/>
      <c r="H6" s="35"/>
      <c r="I6" s="35"/>
      <c r="J6" s="35" t="s">
        <v>16</v>
      </c>
      <c r="K6" s="35" t="s">
        <v>24</v>
      </c>
      <c r="L6" s="35"/>
      <c r="M6" s="35"/>
      <c r="N6" s="35"/>
      <c r="O6" s="35"/>
      <c r="P6" s="35"/>
      <c r="Q6" s="35"/>
      <c r="R6" s="35"/>
      <c r="S6" s="35"/>
      <c r="T6" s="36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26</v>
      </c>
      <c r="AL6" s="36">
        <v>100.0</v>
      </c>
      <c r="AM6" s="35"/>
      <c r="AN6" s="35"/>
      <c r="AO6" s="35"/>
      <c r="AP6" s="36">
        <v>100.0</v>
      </c>
      <c r="AQ6" s="36">
        <v>0.0</v>
      </c>
      <c r="AR6" s="36">
        <v>0.0</v>
      </c>
      <c r="AS6" s="35" t="s">
        <v>27</v>
      </c>
      <c r="AT6" s="35" t="s">
        <v>18</v>
      </c>
      <c r="AU6" s="35" t="s">
        <v>21</v>
      </c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TradeNewSubOrder3!$4:$4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5" t="s">
        <v>17</v>
      </c>
      <c r="D6" s="33">
        <v>100.0</v>
      </c>
      <c r="E6" s="34">
        <v>100.0</v>
      </c>
      <c r="F6" s="35" t="s">
        <v>18</v>
      </c>
      <c r="G6" s="35" t="s">
        <v>27</v>
      </c>
      <c r="H6" s="35"/>
      <c r="I6" s="35" t="s">
        <v>21</v>
      </c>
      <c r="J6" s="35"/>
      <c r="K6" s="36">
        <v>10.0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CreateNewSubOrder3!$4:$4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0"/>
      <c r="E6" s="35"/>
      <c r="F6" s="35"/>
      <c r="G6" s="35"/>
      <c r="H6" s="35"/>
      <c r="I6" s="35"/>
      <c r="J6" s="35" t="s">
        <v>16</v>
      </c>
      <c r="K6" s="35" t="s">
        <v>24</v>
      </c>
      <c r="L6" s="35"/>
      <c r="M6" s="35"/>
      <c r="N6" s="35"/>
      <c r="O6" s="35"/>
      <c r="P6" s="35"/>
      <c r="Q6" s="35"/>
      <c r="R6" s="35"/>
      <c r="S6" s="35"/>
      <c r="T6" s="36">
        <v>10.0</v>
      </c>
      <c r="U6" s="35"/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5"/>
      <c r="AH6" s="35" t="s">
        <v>25</v>
      </c>
      <c r="AI6" s="35" t="s">
        <v>16</v>
      </c>
      <c r="AJ6" s="35" t="s">
        <v>17</v>
      </c>
      <c r="AK6" s="35" t="s">
        <v>31</v>
      </c>
      <c r="AL6" s="36">
        <v>100.0</v>
      </c>
      <c r="AM6" s="36">
        <v>100.0</v>
      </c>
      <c r="AN6" s="36">
        <v>100.0</v>
      </c>
      <c r="AO6" s="36">
        <v>100.0</v>
      </c>
      <c r="AP6" s="35"/>
      <c r="AQ6" s="36">
        <v>10.0</v>
      </c>
      <c r="AR6" s="36">
        <v>10.0</v>
      </c>
      <c r="AS6" s="35" t="s">
        <v>27</v>
      </c>
      <c r="AT6" s="35" t="s">
        <v>18</v>
      </c>
      <c r="AU6" s="35" t="s">
        <v>21</v>
      </c>
      <c r="AV6" s="37">
        <v>1000.0</v>
      </c>
      <c r="AW6" s="37">
        <v>1000.0</v>
      </c>
      <c r="AX6" s="35"/>
      <c r="AY6" s="35"/>
      <c r="AZ6" s="36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ReloadOrderFromBlotter3!$4:$4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5" t="s">
        <v>17</v>
      </c>
      <c r="D6" s="33">
        <v>100.0</v>
      </c>
      <c r="E6" s="34">
        <v>100.0</v>
      </c>
      <c r="F6" s="35" t="s">
        <v>18</v>
      </c>
      <c r="G6" s="35" t="s">
        <v>27</v>
      </c>
      <c r="H6" s="35"/>
      <c r="I6" s="35" t="s">
        <v>21</v>
      </c>
      <c r="J6" s="35"/>
      <c r="K6" s="36">
        <v>10.0</v>
      </c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5"/>
      <c r="D6" s="33">
        <v>10.0</v>
      </c>
      <c r="E6" s="35"/>
      <c r="F6" s="34">
        <v>0.0</v>
      </c>
      <c r="G6" s="35"/>
      <c r="H6" s="32" t="s">
        <v>34</v>
      </c>
      <c r="I6" s="32" t="s">
        <v>35</v>
      </c>
      <c r="J6" s="32" t="s">
        <v>16</v>
      </c>
      <c r="K6" s="32" t="s">
        <v>24</v>
      </c>
      <c r="L6" s="35"/>
      <c r="M6" s="35"/>
      <c r="N6" s="35"/>
      <c r="O6" s="35"/>
      <c r="P6" s="35"/>
      <c r="Q6" s="35"/>
      <c r="R6" s="35"/>
      <c r="S6" s="36">
        <v>0.0</v>
      </c>
      <c r="T6" s="36">
        <v>0.0</v>
      </c>
      <c r="U6" s="35" t="s">
        <v>36</v>
      </c>
      <c r="V6" s="35"/>
      <c r="W6" s="35"/>
      <c r="X6" s="35"/>
      <c r="Y6" s="35"/>
      <c r="Z6" s="35"/>
      <c r="AA6" s="35"/>
      <c r="AB6" s="35"/>
      <c r="AC6" s="35"/>
      <c r="AD6" s="36">
        <v>1.0</v>
      </c>
      <c r="AE6" s="35"/>
      <c r="AF6" s="35"/>
      <c r="AG6" s="36">
        <v>10.0</v>
      </c>
      <c r="AH6" s="35" t="s">
        <v>25</v>
      </c>
      <c r="AI6" s="35" t="s">
        <v>16</v>
      </c>
      <c r="AJ6" s="35" t="s">
        <v>17</v>
      </c>
      <c r="AK6" s="35" t="s">
        <v>31</v>
      </c>
      <c r="AL6" s="36">
        <v>100.0</v>
      </c>
      <c r="AM6" s="36">
        <v>100.0</v>
      </c>
      <c r="AN6" s="36">
        <v>100.0</v>
      </c>
      <c r="AO6" s="36">
        <v>100.0</v>
      </c>
      <c r="AP6" s="35"/>
      <c r="AQ6" s="36">
        <v>10.0</v>
      </c>
      <c r="AR6" s="36">
        <v>10.0</v>
      </c>
      <c r="AS6" s="35" t="s">
        <v>27</v>
      </c>
      <c r="AT6" s="35" t="s">
        <v>18</v>
      </c>
      <c r="AU6" s="35" t="s">
        <v>28</v>
      </c>
      <c r="AV6" s="37">
        <v>1000.0</v>
      </c>
      <c r="AW6" s="37">
        <v>1000.0</v>
      </c>
      <c r="AX6" s="35"/>
      <c r="AY6" s="36">
        <v>100.0</v>
      </c>
      <c r="AZ6" s="36">
        <v>0.0</v>
      </c>
      <c r="BA6" s="35" t="s">
        <v>35</v>
      </c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5"/>
      <c r="C7" s="35"/>
      <c r="D7" s="34">
        <v>10.0</v>
      </c>
      <c r="E7" s="35"/>
      <c r="F7" s="34">
        <v>0.0</v>
      </c>
      <c r="G7" s="35"/>
      <c r="H7" s="32" t="s">
        <v>34</v>
      </c>
      <c r="I7" s="32" t="s">
        <v>35</v>
      </c>
      <c r="J7" s="32" t="s">
        <v>16</v>
      </c>
      <c r="K7" s="32" t="s">
        <v>24</v>
      </c>
      <c r="L7" s="35"/>
      <c r="M7" s="35"/>
      <c r="N7" s="35"/>
      <c r="O7" s="35"/>
      <c r="P7" s="35"/>
      <c r="Q7" s="35"/>
      <c r="R7" s="35"/>
      <c r="S7" s="36">
        <v>0.0</v>
      </c>
      <c r="T7" s="36">
        <v>0.0</v>
      </c>
      <c r="U7" s="35" t="s">
        <v>36</v>
      </c>
      <c r="V7" s="35"/>
      <c r="W7" s="35"/>
      <c r="X7" s="35"/>
      <c r="Y7" s="35"/>
      <c r="Z7" s="35"/>
      <c r="AA7" s="35"/>
      <c r="AB7" s="35"/>
      <c r="AC7" s="35"/>
      <c r="AD7" s="36">
        <v>1.0</v>
      </c>
      <c r="AE7" s="35"/>
      <c r="AF7" s="35"/>
      <c r="AG7" s="36">
        <v>10.0</v>
      </c>
      <c r="AH7" s="35" t="s">
        <v>25</v>
      </c>
      <c r="AI7" s="35" t="s">
        <v>16</v>
      </c>
      <c r="AJ7" s="35" t="s">
        <v>17</v>
      </c>
      <c r="AK7" s="35" t="s">
        <v>31</v>
      </c>
      <c r="AL7" s="36">
        <v>100.0</v>
      </c>
      <c r="AM7" s="36">
        <v>100.0</v>
      </c>
      <c r="AN7" s="36">
        <v>100.0</v>
      </c>
      <c r="AO7" s="36">
        <v>100.0</v>
      </c>
      <c r="AP7" s="35"/>
      <c r="AQ7" s="36">
        <v>10.0</v>
      </c>
      <c r="AR7" s="36">
        <v>10.0</v>
      </c>
      <c r="AS7" s="35" t="s">
        <v>27</v>
      </c>
      <c r="AT7" s="35" t="s">
        <v>18</v>
      </c>
      <c r="AU7" s="35" t="s">
        <v>28</v>
      </c>
      <c r="AV7" s="37">
        <v>1000.0</v>
      </c>
      <c r="AW7" s="37">
        <v>1000.0</v>
      </c>
      <c r="AX7" s="35"/>
      <c r="AY7" s="36">
        <v>100.0</v>
      </c>
      <c r="AZ7" s="36">
        <v>0.0</v>
      </c>
      <c r="BA7" s="35" t="s">
        <v>35</v>
      </c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35"/>
      <c r="C8" s="35"/>
      <c r="D8" s="35"/>
      <c r="E8" s="35"/>
      <c r="F8" s="34">
        <v>10.0</v>
      </c>
      <c r="G8" s="35"/>
      <c r="H8" s="35" t="s">
        <v>34</v>
      </c>
      <c r="I8" s="35" t="s">
        <v>35</v>
      </c>
      <c r="J8" s="35" t="s">
        <v>16</v>
      </c>
      <c r="K8" s="35" t="s">
        <v>24</v>
      </c>
      <c r="L8" s="35"/>
      <c r="M8" s="35"/>
      <c r="N8" s="35"/>
      <c r="O8" s="35"/>
      <c r="P8" s="35"/>
      <c r="Q8" s="35"/>
      <c r="R8" s="35"/>
      <c r="S8" s="36">
        <v>0.0</v>
      </c>
      <c r="T8" s="36">
        <v>0.0</v>
      </c>
      <c r="U8" s="35" t="s">
        <v>36</v>
      </c>
      <c r="V8" s="35"/>
      <c r="W8" s="35"/>
      <c r="X8" s="35"/>
      <c r="Y8" s="35"/>
      <c r="Z8" s="35"/>
      <c r="AA8" s="35"/>
      <c r="AB8" s="35"/>
      <c r="AC8" s="35"/>
      <c r="AD8" s="36">
        <v>1.0</v>
      </c>
      <c r="AE8" s="35"/>
      <c r="AF8" s="35"/>
      <c r="AG8" s="36">
        <v>10.0</v>
      </c>
      <c r="AH8" s="35" t="s">
        <v>25</v>
      </c>
      <c r="AI8" s="35" t="s">
        <v>16</v>
      </c>
      <c r="AJ8" s="35" t="s">
        <v>17</v>
      </c>
      <c r="AK8" s="35" t="s">
        <v>31</v>
      </c>
      <c r="AL8" s="36">
        <v>100.0</v>
      </c>
      <c r="AM8" s="36">
        <v>100.0</v>
      </c>
      <c r="AN8" s="36">
        <v>100.0</v>
      </c>
      <c r="AO8" s="36">
        <v>100.0</v>
      </c>
      <c r="AP8" s="35"/>
      <c r="AQ8" s="36">
        <v>10.0</v>
      </c>
      <c r="AR8" s="36">
        <v>10.0</v>
      </c>
      <c r="AS8" s="35" t="s">
        <v>27</v>
      </c>
      <c r="AT8" s="35" t="s">
        <v>18</v>
      </c>
      <c r="AU8" s="35" t="s">
        <v>19</v>
      </c>
      <c r="AV8" s="37">
        <v>1000.0</v>
      </c>
      <c r="AW8" s="37">
        <v>1000.0</v>
      </c>
      <c r="AX8" s="35"/>
      <c r="AY8" s="36">
        <v>100.0</v>
      </c>
      <c r="AZ8" s="36">
        <v>0.0</v>
      </c>
      <c r="BA8" s="35" t="s">
        <v>35</v>
      </c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35"/>
      <c r="C9" s="35"/>
      <c r="D9" s="35"/>
      <c r="E9" s="35"/>
      <c r="F9" s="34">
        <v>10.0</v>
      </c>
      <c r="G9" s="35"/>
      <c r="H9" s="35" t="s">
        <v>34</v>
      </c>
      <c r="I9" s="35" t="s">
        <v>35</v>
      </c>
      <c r="J9" s="35" t="s">
        <v>16</v>
      </c>
      <c r="K9" s="35" t="s">
        <v>24</v>
      </c>
      <c r="L9" s="35"/>
      <c r="M9" s="35"/>
      <c r="N9" s="35"/>
      <c r="O9" s="35"/>
      <c r="P9" s="35"/>
      <c r="Q9" s="35"/>
      <c r="R9" s="35"/>
      <c r="S9" s="36">
        <v>0.0</v>
      </c>
      <c r="T9" s="36">
        <v>0.0</v>
      </c>
      <c r="U9" s="35" t="s">
        <v>36</v>
      </c>
      <c r="V9" s="35"/>
      <c r="W9" s="35"/>
      <c r="X9" s="35"/>
      <c r="Y9" s="35"/>
      <c r="Z9" s="35"/>
      <c r="AA9" s="35"/>
      <c r="AB9" s="35"/>
      <c r="AC9" s="35"/>
      <c r="AD9" s="36">
        <v>1.0</v>
      </c>
      <c r="AE9" s="35"/>
      <c r="AF9" s="35"/>
      <c r="AG9" s="36">
        <v>10.0</v>
      </c>
      <c r="AH9" s="35" t="s">
        <v>25</v>
      </c>
      <c r="AI9" s="35" t="s">
        <v>16</v>
      </c>
      <c r="AJ9" s="35" t="s">
        <v>17</v>
      </c>
      <c r="AK9" s="35" t="s">
        <v>31</v>
      </c>
      <c r="AL9" s="36">
        <v>100.0</v>
      </c>
      <c r="AM9" s="36">
        <v>100.0</v>
      </c>
      <c r="AN9" s="36">
        <v>100.0</v>
      </c>
      <c r="AO9" s="36">
        <v>100.0</v>
      </c>
      <c r="AP9" s="35"/>
      <c r="AQ9" s="36">
        <v>10.0</v>
      </c>
      <c r="AR9" s="36">
        <v>10.0</v>
      </c>
      <c r="AS9" s="35" t="s">
        <v>27</v>
      </c>
      <c r="AT9" s="35" t="s">
        <v>18</v>
      </c>
      <c r="AU9" s="35" t="s">
        <v>19</v>
      </c>
      <c r="AV9" s="37">
        <v>1000.0</v>
      </c>
      <c r="AW9" s="37">
        <v>1000.0</v>
      </c>
      <c r="AX9" s="35"/>
      <c r="AY9" s="36">
        <v>100.0</v>
      </c>
      <c r="AZ9" s="36">
        <v>0.0</v>
      </c>
      <c r="BA9" s="35" t="s">
        <v>35</v>
      </c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35"/>
      <c r="C10" s="35"/>
      <c r="D10" s="35"/>
      <c r="E10" s="35"/>
      <c r="F10" s="35"/>
      <c r="G10" s="35"/>
      <c r="H10" s="35" t="s">
        <v>34</v>
      </c>
      <c r="I10" s="35" t="s">
        <v>35</v>
      </c>
      <c r="J10" s="35" t="s">
        <v>16</v>
      </c>
      <c r="K10" s="35" t="s">
        <v>24</v>
      </c>
      <c r="L10" s="35"/>
      <c r="M10" s="35"/>
      <c r="N10" s="35"/>
      <c r="O10" s="35"/>
      <c r="P10" s="35"/>
      <c r="Q10" s="35"/>
      <c r="R10" s="35"/>
      <c r="S10" s="35"/>
      <c r="T10" s="36">
        <v>10.0</v>
      </c>
      <c r="U10" s="35" t="s">
        <v>36</v>
      </c>
      <c r="V10" s="35"/>
      <c r="W10" s="35"/>
      <c r="X10" s="35"/>
      <c r="Y10" s="35"/>
      <c r="Z10" s="35"/>
      <c r="AA10" s="35"/>
      <c r="AB10" s="35"/>
      <c r="AC10" s="35"/>
      <c r="AD10" s="36">
        <v>1.0</v>
      </c>
      <c r="AE10" s="35"/>
      <c r="AF10" s="35"/>
      <c r="AG10" s="35"/>
      <c r="AH10" s="35" t="s">
        <v>25</v>
      </c>
      <c r="AI10" s="35" t="s">
        <v>16</v>
      </c>
      <c r="AJ10" s="35" t="s">
        <v>17</v>
      </c>
      <c r="AK10" s="35" t="s">
        <v>31</v>
      </c>
      <c r="AL10" s="36">
        <v>100.0</v>
      </c>
      <c r="AM10" s="36">
        <v>100.0</v>
      </c>
      <c r="AN10" s="36">
        <v>100.0</v>
      </c>
      <c r="AO10" s="36">
        <v>100.0</v>
      </c>
      <c r="AP10" s="35"/>
      <c r="AQ10" s="35"/>
      <c r="AR10" s="35"/>
      <c r="AS10" s="35" t="s">
        <v>27</v>
      </c>
      <c r="AT10" s="35" t="s">
        <v>18</v>
      </c>
      <c r="AU10" s="35" t="s">
        <v>20</v>
      </c>
      <c r="AV10" s="38"/>
      <c r="AW10" s="38"/>
      <c r="AX10" s="35"/>
      <c r="AY10" s="35"/>
      <c r="AZ10" s="35"/>
      <c r="BA10" s="35" t="s">
        <v>35</v>
      </c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35"/>
      <c r="C11" s="35"/>
      <c r="D11" s="35"/>
      <c r="E11" s="35"/>
      <c r="F11" s="35"/>
      <c r="G11" s="35"/>
      <c r="H11" s="35" t="s">
        <v>34</v>
      </c>
      <c r="I11" s="35" t="s">
        <v>35</v>
      </c>
      <c r="J11" s="35" t="s">
        <v>16</v>
      </c>
      <c r="K11" s="35" t="s">
        <v>24</v>
      </c>
      <c r="L11" s="35"/>
      <c r="M11" s="35"/>
      <c r="N11" s="35"/>
      <c r="O11" s="35"/>
      <c r="P11" s="35"/>
      <c r="Q11" s="35"/>
      <c r="R11" s="35"/>
      <c r="S11" s="35"/>
      <c r="T11" s="36">
        <v>10.0</v>
      </c>
      <c r="U11" s="35" t="s">
        <v>36</v>
      </c>
      <c r="V11" s="35"/>
      <c r="W11" s="35"/>
      <c r="X11" s="35"/>
      <c r="Y11" s="35"/>
      <c r="Z11" s="35"/>
      <c r="AA11" s="35"/>
      <c r="AB11" s="35"/>
      <c r="AC11" s="35"/>
      <c r="AD11" s="36">
        <v>1.0</v>
      </c>
      <c r="AE11" s="35"/>
      <c r="AF11" s="35"/>
      <c r="AG11" s="35"/>
      <c r="AH11" s="35" t="s">
        <v>25</v>
      </c>
      <c r="AI11" s="35" t="s">
        <v>16</v>
      </c>
      <c r="AJ11" s="35" t="s">
        <v>17</v>
      </c>
      <c r="AK11" s="35" t="s">
        <v>31</v>
      </c>
      <c r="AL11" s="36">
        <v>100.0</v>
      </c>
      <c r="AM11" s="36">
        <v>100.0</v>
      </c>
      <c r="AN11" s="36">
        <v>100.0</v>
      </c>
      <c r="AO11" s="36">
        <v>100.0</v>
      </c>
      <c r="AP11" s="35"/>
      <c r="AQ11" s="35"/>
      <c r="AR11" s="35"/>
      <c r="AS11" s="35" t="s">
        <v>27</v>
      </c>
      <c r="AT11" s="35" t="s">
        <v>18</v>
      </c>
      <c r="AU11" s="35" t="s">
        <v>20</v>
      </c>
      <c r="AV11" s="38"/>
      <c r="AW11" s="38"/>
      <c r="AX11" s="35"/>
      <c r="AY11" s="35"/>
      <c r="AZ11" s="35"/>
      <c r="BA11" s="35" t="s">
        <v>35</v>
      </c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35"/>
      <c r="C12" s="35"/>
      <c r="D12" s="36">
        <v>0.0</v>
      </c>
      <c r="E12" s="35"/>
      <c r="F12" s="35"/>
      <c r="G12" s="35"/>
      <c r="H12" s="35" t="s">
        <v>34</v>
      </c>
      <c r="I12" s="35" t="s">
        <v>35</v>
      </c>
      <c r="J12" s="35" t="s">
        <v>16</v>
      </c>
      <c r="K12" s="35" t="s">
        <v>24</v>
      </c>
      <c r="L12" s="35"/>
      <c r="M12" s="35"/>
      <c r="N12" s="35"/>
      <c r="O12" s="35"/>
      <c r="P12" s="35"/>
      <c r="Q12" s="35"/>
      <c r="R12" s="35"/>
      <c r="S12" s="36">
        <v>0.0</v>
      </c>
      <c r="T12" s="36">
        <v>10.0</v>
      </c>
      <c r="U12" s="35" t="s">
        <v>36</v>
      </c>
      <c r="V12" s="35"/>
      <c r="W12" s="35"/>
      <c r="X12" s="35"/>
      <c r="Y12" s="35"/>
      <c r="Z12" s="35"/>
      <c r="AA12" s="35"/>
      <c r="AB12" s="35"/>
      <c r="AC12" s="35"/>
      <c r="AD12" s="36">
        <v>1.0</v>
      </c>
      <c r="AE12" s="35"/>
      <c r="AF12" s="35"/>
      <c r="AG12" s="36">
        <v>0.0</v>
      </c>
      <c r="AH12" s="35" t="s">
        <v>25</v>
      </c>
      <c r="AI12" s="35" t="s">
        <v>16</v>
      </c>
      <c r="AJ12" s="35" t="s">
        <v>17</v>
      </c>
      <c r="AK12" s="35" t="s">
        <v>31</v>
      </c>
      <c r="AL12" s="36">
        <v>100.0</v>
      </c>
      <c r="AM12" s="36">
        <v>100.0</v>
      </c>
      <c r="AN12" s="36">
        <v>100.0</v>
      </c>
      <c r="AO12" s="36">
        <v>100.0</v>
      </c>
      <c r="AP12" s="35"/>
      <c r="AQ12" s="36">
        <v>0.0</v>
      </c>
      <c r="AR12" s="36">
        <v>0.0</v>
      </c>
      <c r="AS12" s="35" t="s">
        <v>27</v>
      </c>
      <c r="AT12" s="35" t="s">
        <v>18</v>
      </c>
      <c r="AU12" s="35" t="s">
        <v>21</v>
      </c>
      <c r="AV12" s="37">
        <v>0.0</v>
      </c>
      <c r="AW12" s="37">
        <v>0.0</v>
      </c>
      <c r="AX12" s="35"/>
      <c r="AY12" s="36">
        <v>100.0</v>
      </c>
      <c r="AZ12" s="36">
        <v>0.0</v>
      </c>
      <c r="BA12" s="35" t="s">
        <v>35</v>
      </c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35"/>
      <c r="C13" s="35"/>
      <c r="D13" s="36">
        <v>0.0</v>
      </c>
      <c r="E13" s="35"/>
      <c r="F13" s="35"/>
      <c r="G13" s="35"/>
      <c r="H13" s="35" t="s">
        <v>34</v>
      </c>
      <c r="I13" s="35" t="s">
        <v>35</v>
      </c>
      <c r="J13" s="35" t="s">
        <v>16</v>
      </c>
      <c r="K13" s="35" t="s">
        <v>24</v>
      </c>
      <c r="L13" s="35"/>
      <c r="M13" s="35"/>
      <c r="N13" s="35"/>
      <c r="O13" s="35"/>
      <c r="P13" s="35"/>
      <c r="Q13" s="35"/>
      <c r="R13" s="35"/>
      <c r="S13" s="36">
        <v>0.0</v>
      </c>
      <c r="T13" s="36">
        <v>10.0</v>
      </c>
      <c r="U13" s="35" t="s">
        <v>36</v>
      </c>
      <c r="V13" s="35"/>
      <c r="W13" s="35"/>
      <c r="X13" s="35"/>
      <c r="Y13" s="35"/>
      <c r="Z13" s="35"/>
      <c r="AA13" s="35"/>
      <c r="AB13" s="35"/>
      <c r="AC13" s="35"/>
      <c r="AD13" s="36">
        <v>1.0</v>
      </c>
      <c r="AE13" s="35"/>
      <c r="AF13" s="35"/>
      <c r="AG13" s="36">
        <v>0.0</v>
      </c>
      <c r="AH13" s="35" t="s">
        <v>25</v>
      </c>
      <c r="AI13" s="35" t="s">
        <v>16</v>
      </c>
      <c r="AJ13" s="35" t="s">
        <v>17</v>
      </c>
      <c r="AK13" s="35" t="s">
        <v>31</v>
      </c>
      <c r="AL13" s="36">
        <v>100.0</v>
      </c>
      <c r="AM13" s="36">
        <v>100.0</v>
      </c>
      <c r="AN13" s="36">
        <v>100.0</v>
      </c>
      <c r="AO13" s="36">
        <v>100.0</v>
      </c>
      <c r="AP13" s="35"/>
      <c r="AQ13" s="36">
        <v>0.0</v>
      </c>
      <c r="AR13" s="36">
        <v>0.0</v>
      </c>
      <c r="AS13" s="35" t="s">
        <v>27</v>
      </c>
      <c r="AT13" s="35" t="s">
        <v>18</v>
      </c>
      <c r="AU13" s="35" t="s">
        <v>21</v>
      </c>
      <c r="AV13" s="37">
        <v>0.0</v>
      </c>
      <c r="AW13" s="37">
        <v>0.0</v>
      </c>
      <c r="AX13" s="35"/>
      <c r="AY13" s="36">
        <v>100.0</v>
      </c>
      <c r="AZ13" s="36">
        <v>0.0</v>
      </c>
      <c r="BA13" s="35" t="s">
        <v>35</v>
      </c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38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 t="s">
        <v>39</v>
      </c>
      <c r="C6" s="35"/>
      <c r="D6" s="30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37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 t="str">
        <f>IFERROR(__xludf.DUMMYFUNCTION("""COMPUTED_VALUE"""),"Borrower Id")</f>
        <v>Borrower Id</v>
      </c>
      <c r="CW5" s="29" t="str">
        <f>IFERROR(__xludf.DUMMYFUNCTION("""COMPUTED_VALUE"""),"Borrow Rate(%)")</f>
        <v>Borrow Rate(%)</v>
      </c>
      <c r="CX5" s="29" t="str">
        <f>IFERROR(__xludf.DUMMYFUNCTION("""COMPUTED_VALUE"""),"Master Fund")</f>
        <v>Master Fund</v>
      </c>
      <c r="CY5" s="29" t="str">
        <f>IFERROR(__xludf.DUMMYFUNCTION("""COMPUTED_VALUE"""),"MandatoryColumn")</f>
        <v>MandatoryColumn</v>
      </c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s">
        <v>18</v>
      </c>
      <c r="C6" s="35"/>
      <c r="D6" s="40">
        <v>0.0</v>
      </c>
      <c r="E6" s="40">
        <v>100.0</v>
      </c>
      <c r="F6" s="35"/>
      <c r="G6" s="41" t="s">
        <v>25</v>
      </c>
      <c r="H6" s="40">
        <v>4.0</v>
      </c>
      <c r="I6" s="40">
        <v>5.0</v>
      </c>
      <c r="J6" s="35"/>
      <c r="K6" s="40">
        <v>10.0</v>
      </c>
      <c r="L6" s="40">
        <v>10.0</v>
      </c>
      <c r="M6" s="35"/>
      <c r="N6" s="35"/>
      <c r="O6" s="32" t="s">
        <v>27</v>
      </c>
      <c r="P6" s="35"/>
      <c r="Q6" s="40">
        <v>3.0</v>
      </c>
      <c r="R6" s="40">
        <v>0.0</v>
      </c>
      <c r="S6" s="41" t="s">
        <v>41</v>
      </c>
      <c r="T6" s="40">
        <v>0.0</v>
      </c>
      <c r="U6" s="40">
        <v>0.0</v>
      </c>
      <c r="V6" s="41" t="s">
        <v>42</v>
      </c>
      <c r="W6" s="35"/>
      <c r="X6" s="35"/>
      <c r="Y6" s="35"/>
      <c r="Z6" s="41" t="s">
        <v>36</v>
      </c>
      <c r="AA6" s="35"/>
      <c r="AB6" s="40">
        <v>1.0</v>
      </c>
      <c r="AC6" s="35"/>
      <c r="AD6" s="41" t="s">
        <v>34</v>
      </c>
      <c r="AE6" s="40">
        <v>100.0</v>
      </c>
      <c r="AF6" s="35"/>
      <c r="AG6" s="35"/>
      <c r="AH6" s="41" t="s">
        <v>43</v>
      </c>
      <c r="AI6" s="40">
        <v>1.0</v>
      </c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40">
        <v>1014.0006</v>
      </c>
      <c r="AU6" s="40">
        <v>1014.0006</v>
      </c>
      <c r="AV6" s="35"/>
      <c r="AW6" s="40">
        <v>0.0</v>
      </c>
      <c r="AX6" s="40">
        <v>0.0</v>
      </c>
      <c r="AY6" s="35" t="s">
        <v>28</v>
      </c>
      <c r="AZ6" s="40">
        <v>0.0</v>
      </c>
      <c r="BA6" s="35"/>
      <c r="BB6" s="35"/>
      <c r="BC6" s="40">
        <v>0.0</v>
      </c>
      <c r="BD6" s="35"/>
      <c r="BE6" s="40">
        <v>1000.0</v>
      </c>
      <c r="BF6" s="40">
        <v>1000.0</v>
      </c>
      <c r="BG6" s="35"/>
      <c r="BH6" s="35"/>
      <c r="BI6" s="35"/>
      <c r="BJ6" s="40">
        <v>100.0</v>
      </c>
      <c r="BK6" s="40">
        <v>0.0</v>
      </c>
      <c r="BL6" s="35"/>
      <c r="BM6" s="41" t="s">
        <v>36</v>
      </c>
      <c r="BN6" s="35"/>
      <c r="BO6" s="41" t="s">
        <v>17</v>
      </c>
      <c r="BP6" s="40">
        <v>0.0</v>
      </c>
      <c r="BQ6" s="40">
        <v>0.0</v>
      </c>
      <c r="BR6" s="35"/>
      <c r="BS6" s="35"/>
      <c r="BT6" s="41" t="s">
        <v>16</v>
      </c>
      <c r="BU6" s="40">
        <v>3.0</v>
      </c>
      <c r="BV6" s="40">
        <v>0.0</v>
      </c>
      <c r="BW6" s="40">
        <v>14.0006</v>
      </c>
      <c r="BX6" s="40">
        <v>0.0</v>
      </c>
      <c r="BY6" s="35"/>
      <c r="BZ6" s="35"/>
      <c r="CA6" s="35"/>
      <c r="CB6" s="35"/>
      <c r="CC6" s="35"/>
      <c r="CD6" s="35"/>
      <c r="CE6" s="35"/>
      <c r="CF6" s="35"/>
      <c r="CG6" s="40">
        <v>2.0</v>
      </c>
      <c r="CH6" s="35"/>
      <c r="CI6" s="41" t="s">
        <v>17</v>
      </c>
      <c r="CJ6" s="35"/>
      <c r="CK6" s="41" t="s">
        <v>24</v>
      </c>
      <c r="CL6" s="35"/>
      <c r="CM6" s="41" t="s">
        <v>16</v>
      </c>
      <c r="CN6" s="35"/>
      <c r="CO6" s="41" t="s">
        <v>34</v>
      </c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1" t="s">
        <v>18</v>
      </c>
      <c r="C7" s="35"/>
      <c r="D7" s="40">
        <v>0.0</v>
      </c>
      <c r="E7" s="40">
        <v>100.0</v>
      </c>
      <c r="F7" s="35"/>
      <c r="G7" s="41" t="s">
        <v>25</v>
      </c>
      <c r="H7" s="40">
        <v>4.0</v>
      </c>
      <c r="I7" s="40">
        <v>5.0</v>
      </c>
      <c r="J7" s="35"/>
      <c r="K7" s="40">
        <v>10.0</v>
      </c>
      <c r="L7" s="40">
        <v>10.0</v>
      </c>
      <c r="M7" s="35"/>
      <c r="N7" s="35"/>
      <c r="O7" s="32" t="s">
        <v>27</v>
      </c>
      <c r="P7" s="35"/>
      <c r="Q7" s="40">
        <v>3.0</v>
      </c>
      <c r="R7" s="40">
        <v>0.0</v>
      </c>
      <c r="S7" s="41" t="s">
        <v>41</v>
      </c>
      <c r="T7" s="40">
        <v>0.0</v>
      </c>
      <c r="U7" s="40">
        <v>0.0</v>
      </c>
      <c r="V7" s="41" t="s">
        <v>42</v>
      </c>
      <c r="W7" s="35"/>
      <c r="X7" s="35"/>
      <c r="Y7" s="35"/>
      <c r="Z7" s="41" t="s">
        <v>36</v>
      </c>
      <c r="AA7" s="35"/>
      <c r="AB7" s="40">
        <v>1.0</v>
      </c>
      <c r="AC7" s="35"/>
      <c r="AD7" s="41" t="s">
        <v>34</v>
      </c>
      <c r="AE7" s="40">
        <v>100.0</v>
      </c>
      <c r="AF7" s="35"/>
      <c r="AG7" s="35"/>
      <c r="AH7" s="41" t="s">
        <v>43</v>
      </c>
      <c r="AI7" s="40">
        <v>1.0</v>
      </c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40">
        <v>1014.0006</v>
      </c>
      <c r="AU7" s="40">
        <v>1014.0006</v>
      </c>
      <c r="AV7" s="35"/>
      <c r="AW7" s="40">
        <v>0.0</v>
      </c>
      <c r="AX7" s="40">
        <v>0.0</v>
      </c>
      <c r="AY7" s="35" t="s">
        <v>28</v>
      </c>
      <c r="AZ7" s="40">
        <v>0.0</v>
      </c>
      <c r="BA7" s="35"/>
      <c r="BB7" s="35"/>
      <c r="BC7" s="40">
        <v>0.0</v>
      </c>
      <c r="BD7" s="35"/>
      <c r="BE7" s="40">
        <v>1000.0</v>
      </c>
      <c r="BF7" s="40">
        <v>1000.0</v>
      </c>
      <c r="BG7" s="35"/>
      <c r="BH7" s="35"/>
      <c r="BI7" s="35"/>
      <c r="BJ7" s="40">
        <v>100.0</v>
      </c>
      <c r="BK7" s="40">
        <v>0.0</v>
      </c>
      <c r="BL7" s="35"/>
      <c r="BM7" s="41" t="s">
        <v>36</v>
      </c>
      <c r="BN7" s="35"/>
      <c r="BO7" s="41" t="s">
        <v>17</v>
      </c>
      <c r="BP7" s="40">
        <v>0.0</v>
      </c>
      <c r="BQ7" s="40">
        <v>0.0</v>
      </c>
      <c r="BR7" s="35"/>
      <c r="BS7" s="35"/>
      <c r="BT7" s="41" t="s">
        <v>16</v>
      </c>
      <c r="BU7" s="40">
        <v>3.0</v>
      </c>
      <c r="BV7" s="40">
        <v>0.0</v>
      </c>
      <c r="BW7" s="40">
        <v>14.0006</v>
      </c>
      <c r="BX7" s="40">
        <v>0.0</v>
      </c>
      <c r="BY7" s="35"/>
      <c r="BZ7" s="35"/>
      <c r="CA7" s="35"/>
      <c r="CB7" s="35"/>
      <c r="CC7" s="35"/>
      <c r="CD7" s="35"/>
      <c r="CE7" s="35"/>
      <c r="CF7" s="35"/>
      <c r="CG7" s="40">
        <v>2.0</v>
      </c>
      <c r="CH7" s="35"/>
      <c r="CI7" s="41" t="s">
        <v>17</v>
      </c>
      <c r="CJ7" s="35"/>
      <c r="CK7" s="41" t="s">
        <v>24</v>
      </c>
      <c r="CL7" s="35"/>
      <c r="CM7" s="41" t="s">
        <v>16</v>
      </c>
      <c r="CN7" s="35"/>
      <c r="CO7" s="41" t="s">
        <v>34</v>
      </c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5"/>
      <c r="B8" s="41" t="s">
        <v>18</v>
      </c>
      <c r="C8" s="35"/>
      <c r="D8" s="40">
        <v>0.0</v>
      </c>
      <c r="E8" s="40">
        <v>100.0</v>
      </c>
      <c r="F8" s="35"/>
      <c r="G8" s="41" t="s">
        <v>25</v>
      </c>
      <c r="H8" s="40">
        <v>4.0</v>
      </c>
      <c r="I8" s="40">
        <v>5.0</v>
      </c>
      <c r="J8" s="35"/>
      <c r="K8" s="40">
        <v>10.0</v>
      </c>
      <c r="L8" s="40">
        <v>10.0</v>
      </c>
      <c r="M8" s="35"/>
      <c r="N8" s="35"/>
      <c r="O8" s="35" t="s">
        <v>27</v>
      </c>
      <c r="P8" s="35"/>
      <c r="Q8" s="40">
        <v>3.0</v>
      </c>
      <c r="R8" s="40">
        <v>0.0</v>
      </c>
      <c r="S8" s="41" t="s">
        <v>41</v>
      </c>
      <c r="T8" s="40">
        <v>0.0</v>
      </c>
      <c r="U8" s="40">
        <v>0.0</v>
      </c>
      <c r="V8" s="41" t="s">
        <v>42</v>
      </c>
      <c r="W8" s="35"/>
      <c r="X8" s="35"/>
      <c r="Y8" s="35"/>
      <c r="Z8" s="41" t="s">
        <v>36</v>
      </c>
      <c r="AA8" s="35"/>
      <c r="AB8" s="40">
        <v>1.0</v>
      </c>
      <c r="AC8" s="35"/>
      <c r="AD8" s="41" t="s">
        <v>34</v>
      </c>
      <c r="AE8" s="40">
        <v>100.0</v>
      </c>
      <c r="AF8" s="35"/>
      <c r="AG8" s="35"/>
      <c r="AH8" s="41" t="s">
        <v>43</v>
      </c>
      <c r="AI8" s="40">
        <v>1.0</v>
      </c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40">
        <v>1014.0006</v>
      </c>
      <c r="AU8" s="40">
        <v>1014.0006</v>
      </c>
      <c r="AV8" s="35"/>
      <c r="AW8" s="40">
        <v>0.0</v>
      </c>
      <c r="AX8" s="40">
        <v>0.0</v>
      </c>
      <c r="AY8" s="35" t="s">
        <v>19</v>
      </c>
      <c r="AZ8" s="40">
        <v>0.0</v>
      </c>
      <c r="BA8" s="35"/>
      <c r="BB8" s="35"/>
      <c r="BC8" s="40">
        <v>0.0</v>
      </c>
      <c r="BD8" s="35"/>
      <c r="BE8" s="40">
        <v>1000.0</v>
      </c>
      <c r="BF8" s="40">
        <v>1000.0</v>
      </c>
      <c r="BG8" s="35"/>
      <c r="BH8" s="35"/>
      <c r="BI8" s="35"/>
      <c r="BJ8" s="40">
        <v>100.0</v>
      </c>
      <c r="BK8" s="40">
        <v>0.0</v>
      </c>
      <c r="BL8" s="35"/>
      <c r="BM8" s="41" t="s">
        <v>36</v>
      </c>
      <c r="BN8" s="35"/>
      <c r="BO8" s="41" t="s">
        <v>17</v>
      </c>
      <c r="BP8" s="40">
        <v>0.0</v>
      </c>
      <c r="BQ8" s="40">
        <v>0.0</v>
      </c>
      <c r="BR8" s="35"/>
      <c r="BS8" s="35"/>
      <c r="BT8" s="41" t="s">
        <v>16</v>
      </c>
      <c r="BU8" s="40">
        <v>3.0</v>
      </c>
      <c r="BV8" s="40">
        <v>0.0</v>
      </c>
      <c r="BW8" s="40">
        <v>14.0006</v>
      </c>
      <c r="BX8" s="40">
        <v>0.0</v>
      </c>
      <c r="BY8" s="35"/>
      <c r="BZ8" s="35"/>
      <c r="CA8" s="35"/>
      <c r="CB8" s="35"/>
      <c r="CC8" s="35"/>
      <c r="CD8" s="35"/>
      <c r="CE8" s="35"/>
      <c r="CF8" s="35"/>
      <c r="CG8" s="40">
        <v>2.0</v>
      </c>
      <c r="CH8" s="35"/>
      <c r="CI8" s="41" t="s">
        <v>17</v>
      </c>
      <c r="CJ8" s="35"/>
      <c r="CK8" s="41" t="s">
        <v>24</v>
      </c>
      <c r="CL8" s="35"/>
      <c r="CM8" s="41" t="s">
        <v>16</v>
      </c>
      <c r="CN8" s="35"/>
      <c r="CO8" s="41" t="s">
        <v>34</v>
      </c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35"/>
      <c r="B9" s="41" t="s">
        <v>18</v>
      </c>
      <c r="C9" s="35"/>
      <c r="D9" s="40">
        <v>0.0</v>
      </c>
      <c r="E9" s="40">
        <v>100.0</v>
      </c>
      <c r="F9" s="35"/>
      <c r="G9" s="41" t="s">
        <v>25</v>
      </c>
      <c r="H9" s="40">
        <v>4.0</v>
      </c>
      <c r="I9" s="40">
        <v>5.0</v>
      </c>
      <c r="J9" s="35"/>
      <c r="K9" s="40">
        <v>10.0</v>
      </c>
      <c r="L9" s="40">
        <v>10.0</v>
      </c>
      <c r="M9" s="35"/>
      <c r="N9" s="35"/>
      <c r="O9" s="35" t="s">
        <v>27</v>
      </c>
      <c r="P9" s="35"/>
      <c r="Q9" s="40">
        <v>3.0</v>
      </c>
      <c r="R9" s="40">
        <v>0.0</v>
      </c>
      <c r="S9" s="41" t="s">
        <v>41</v>
      </c>
      <c r="T9" s="40">
        <v>0.0</v>
      </c>
      <c r="U9" s="40">
        <v>0.0</v>
      </c>
      <c r="V9" s="41" t="s">
        <v>42</v>
      </c>
      <c r="W9" s="35"/>
      <c r="X9" s="35"/>
      <c r="Y9" s="35"/>
      <c r="Z9" s="41" t="s">
        <v>36</v>
      </c>
      <c r="AA9" s="35"/>
      <c r="AB9" s="40">
        <v>1.0</v>
      </c>
      <c r="AC9" s="35"/>
      <c r="AD9" s="41" t="s">
        <v>34</v>
      </c>
      <c r="AE9" s="40">
        <v>100.0</v>
      </c>
      <c r="AF9" s="35"/>
      <c r="AG9" s="35"/>
      <c r="AH9" s="41" t="s">
        <v>43</v>
      </c>
      <c r="AI9" s="40">
        <v>1.0</v>
      </c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40">
        <v>1014.0006</v>
      </c>
      <c r="AU9" s="40">
        <v>1014.0006</v>
      </c>
      <c r="AV9" s="35"/>
      <c r="AW9" s="40">
        <v>0.0</v>
      </c>
      <c r="AX9" s="40">
        <v>0.0</v>
      </c>
      <c r="AY9" s="35" t="s">
        <v>19</v>
      </c>
      <c r="AZ9" s="40">
        <v>0.0</v>
      </c>
      <c r="BA9" s="35"/>
      <c r="BB9" s="35"/>
      <c r="BC9" s="40">
        <v>0.0</v>
      </c>
      <c r="BD9" s="35"/>
      <c r="BE9" s="40">
        <v>1000.0</v>
      </c>
      <c r="BF9" s="40">
        <v>1000.0</v>
      </c>
      <c r="BG9" s="35"/>
      <c r="BH9" s="35"/>
      <c r="BI9" s="35"/>
      <c r="BJ9" s="40">
        <v>100.0</v>
      </c>
      <c r="BK9" s="40">
        <v>0.0</v>
      </c>
      <c r="BL9" s="35"/>
      <c r="BM9" s="41" t="s">
        <v>36</v>
      </c>
      <c r="BN9" s="35"/>
      <c r="BO9" s="41" t="s">
        <v>17</v>
      </c>
      <c r="BP9" s="40">
        <v>0.0</v>
      </c>
      <c r="BQ9" s="40">
        <v>0.0</v>
      </c>
      <c r="BR9" s="35"/>
      <c r="BS9" s="35"/>
      <c r="BT9" s="41" t="s">
        <v>16</v>
      </c>
      <c r="BU9" s="40">
        <v>3.0</v>
      </c>
      <c r="BV9" s="40">
        <v>0.0</v>
      </c>
      <c r="BW9" s="40">
        <v>14.0006</v>
      </c>
      <c r="BX9" s="40">
        <v>0.0</v>
      </c>
      <c r="BY9" s="35"/>
      <c r="BZ9" s="35"/>
      <c r="CA9" s="35"/>
      <c r="CB9" s="35"/>
      <c r="CC9" s="35"/>
      <c r="CD9" s="35"/>
      <c r="CE9" s="35"/>
      <c r="CF9" s="35"/>
      <c r="CG9" s="40">
        <v>2.0</v>
      </c>
      <c r="CH9" s="35"/>
      <c r="CI9" s="41" t="s">
        <v>17</v>
      </c>
      <c r="CJ9" s="35"/>
      <c r="CK9" s="41" t="s">
        <v>24</v>
      </c>
      <c r="CL9" s="35"/>
      <c r="CM9" s="41" t="s">
        <v>16</v>
      </c>
      <c r="CN9" s="35"/>
      <c r="CO9" s="41" t="s">
        <v>34</v>
      </c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35"/>
      <c r="B10" s="41" t="s">
        <v>18</v>
      </c>
      <c r="C10" s="35"/>
      <c r="D10" s="40">
        <v>0.0</v>
      </c>
      <c r="E10" s="40">
        <v>100.0</v>
      </c>
      <c r="F10" s="35" t="s">
        <v>44</v>
      </c>
      <c r="G10" s="41" t="s">
        <v>25</v>
      </c>
      <c r="H10" s="42"/>
      <c r="I10" s="42"/>
      <c r="J10" s="35"/>
      <c r="K10" s="42"/>
      <c r="L10" s="42"/>
      <c r="M10" s="35"/>
      <c r="N10" s="35"/>
      <c r="O10" s="35" t="s">
        <v>27</v>
      </c>
      <c r="P10" s="35"/>
      <c r="Q10" s="42"/>
      <c r="R10" s="40">
        <v>0.0</v>
      </c>
      <c r="S10" s="41" t="s">
        <v>41</v>
      </c>
      <c r="T10" s="40">
        <v>0.0</v>
      </c>
      <c r="U10" s="40">
        <v>0.0</v>
      </c>
      <c r="V10" s="41" t="s">
        <v>42</v>
      </c>
      <c r="W10" s="35"/>
      <c r="X10" s="35"/>
      <c r="Y10" s="35"/>
      <c r="Z10" s="41" t="s">
        <v>36</v>
      </c>
      <c r="AA10" s="35"/>
      <c r="AB10" s="40">
        <v>1.0</v>
      </c>
      <c r="AC10" s="35"/>
      <c r="AD10" s="41" t="s">
        <v>34</v>
      </c>
      <c r="AE10" s="40">
        <v>100.0</v>
      </c>
      <c r="AF10" s="35"/>
      <c r="AG10" s="35"/>
      <c r="AH10" s="41" t="s">
        <v>43</v>
      </c>
      <c r="AI10" s="40">
        <v>1.0</v>
      </c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42"/>
      <c r="AU10" s="42"/>
      <c r="AV10" s="35"/>
      <c r="AW10" s="40">
        <v>0.0</v>
      </c>
      <c r="AX10" s="40">
        <v>0.0</v>
      </c>
      <c r="AY10" s="35" t="s">
        <v>20</v>
      </c>
      <c r="AZ10" s="40">
        <v>0.0</v>
      </c>
      <c r="BA10" s="35"/>
      <c r="BB10" s="35"/>
      <c r="BC10" s="40">
        <v>0.0</v>
      </c>
      <c r="BD10" s="35"/>
      <c r="BE10" s="42"/>
      <c r="BF10" s="42"/>
      <c r="BG10" s="35"/>
      <c r="BH10" s="35"/>
      <c r="BI10" s="35"/>
      <c r="BJ10" s="40">
        <v>100.0</v>
      </c>
      <c r="BK10" s="40">
        <v>0.0</v>
      </c>
      <c r="BL10" s="35"/>
      <c r="BM10" s="41" t="s">
        <v>36</v>
      </c>
      <c r="BN10" s="35"/>
      <c r="BO10" s="41" t="s">
        <v>17</v>
      </c>
      <c r="BP10" s="40">
        <v>0.0</v>
      </c>
      <c r="BQ10" s="40">
        <v>0.0</v>
      </c>
      <c r="BR10" s="35"/>
      <c r="BS10" s="35"/>
      <c r="BT10" s="41" t="s">
        <v>16</v>
      </c>
      <c r="BU10" s="42"/>
      <c r="BV10" s="40">
        <v>0.0</v>
      </c>
      <c r="BW10" s="42"/>
      <c r="BX10" s="40">
        <v>0.0</v>
      </c>
      <c r="BY10" s="35"/>
      <c r="BZ10" s="35"/>
      <c r="CA10" s="35"/>
      <c r="CB10" s="35"/>
      <c r="CC10" s="35"/>
      <c r="CD10" s="35"/>
      <c r="CE10" s="35"/>
      <c r="CF10" s="35"/>
      <c r="CG10" s="42"/>
      <c r="CH10" s="35"/>
      <c r="CI10" s="41" t="s">
        <v>17</v>
      </c>
      <c r="CJ10" s="35"/>
      <c r="CK10" s="41" t="s">
        <v>24</v>
      </c>
      <c r="CL10" s="35"/>
      <c r="CM10" s="41" t="s">
        <v>16</v>
      </c>
      <c r="CN10" s="35"/>
      <c r="CO10" s="41" t="s">
        <v>34</v>
      </c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</row>
    <row r="11" ht="15.75" customHeight="1">
      <c r="A11" s="35"/>
      <c r="B11" s="41" t="s">
        <v>18</v>
      </c>
      <c r="C11" s="35"/>
      <c r="D11" s="40">
        <v>0.0</v>
      </c>
      <c r="E11" s="40">
        <v>100.0</v>
      </c>
      <c r="F11" s="35" t="s">
        <v>44</v>
      </c>
      <c r="G11" s="41" t="s">
        <v>25</v>
      </c>
      <c r="H11" s="42"/>
      <c r="I11" s="42"/>
      <c r="J11" s="35"/>
      <c r="K11" s="42"/>
      <c r="L11" s="42"/>
      <c r="M11" s="35"/>
      <c r="N11" s="35"/>
      <c r="O11" s="35" t="s">
        <v>27</v>
      </c>
      <c r="P11" s="35"/>
      <c r="Q11" s="42"/>
      <c r="R11" s="40">
        <v>0.0</v>
      </c>
      <c r="S11" s="41" t="s">
        <v>41</v>
      </c>
      <c r="T11" s="40">
        <v>0.0</v>
      </c>
      <c r="U11" s="40">
        <v>0.0</v>
      </c>
      <c r="V11" s="41" t="s">
        <v>42</v>
      </c>
      <c r="W11" s="35"/>
      <c r="X11" s="35"/>
      <c r="Y11" s="35"/>
      <c r="Z11" s="41" t="s">
        <v>36</v>
      </c>
      <c r="AA11" s="35"/>
      <c r="AB11" s="40">
        <v>1.0</v>
      </c>
      <c r="AC11" s="35"/>
      <c r="AD11" s="41" t="s">
        <v>34</v>
      </c>
      <c r="AE11" s="40">
        <v>100.0</v>
      </c>
      <c r="AF11" s="35"/>
      <c r="AG11" s="35"/>
      <c r="AH11" s="41" t="s">
        <v>43</v>
      </c>
      <c r="AI11" s="40">
        <v>1.0</v>
      </c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42"/>
      <c r="AU11" s="42"/>
      <c r="AV11" s="35"/>
      <c r="AW11" s="40">
        <v>0.0</v>
      </c>
      <c r="AX11" s="40">
        <v>0.0</v>
      </c>
      <c r="AY11" s="35" t="s">
        <v>20</v>
      </c>
      <c r="AZ11" s="40">
        <v>0.0</v>
      </c>
      <c r="BA11" s="35"/>
      <c r="BB11" s="35"/>
      <c r="BC11" s="40">
        <v>0.0</v>
      </c>
      <c r="BD11" s="35"/>
      <c r="BE11" s="42"/>
      <c r="BF11" s="42"/>
      <c r="BG11" s="35"/>
      <c r="BH11" s="35"/>
      <c r="BI11" s="35"/>
      <c r="BJ11" s="40">
        <v>100.0</v>
      </c>
      <c r="BK11" s="40">
        <v>0.0</v>
      </c>
      <c r="BL11" s="35"/>
      <c r="BM11" s="41" t="s">
        <v>36</v>
      </c>
      <c r="BN11" s="35"/>
      <c r="BO11" s="41" t="s">
        <v>17</v>
      </c>
      <c r="BP11" s="40">
        <v>0.0</v>
      </c>
      <c r="BQ11" s="40">
        <v>0.0</v>
      </c>
      <c r="BR11" s="35"/>
      <c r="BS11" s="35"/>
      <c r="BT11" s="41" t="s">
        <v>16</v>
      </c>
      <c r="BU11" s="42"/>
      <c r="BV11" s="40">
        <v>0.0</v>
      </c>
      <c r="BW11" s="42"/>
      <c r="BX11" s="40">
        <v>0.0</v>
      </c>
      <c r="BY11" s="35"/>
      <c r="BZ11" s="35"/>
      <c r="CA11" s="35"/>
      <c r="CB11" s="35"/>
      <c r="CC11" s="35"/>
      <c r="CD11" s="35"/>
      <c r="CE11" s="35"/>
      <c r="CF11" s="35"/>
      <c r="CG11" s="42"/>
      <c r="CH11" s="35"/>
      <c r="CI11" s="41" t="s">
        <v>17</v>
      </c>
      <c r="CJ11" s="35"/>
      <c r="CK11" s="41" t="s">
        <v>24</v>
      </c>
      <c r="CL11" s="35"/>
      <c r="CM11" s="41" t="s">
        <v>16</v>
      </c>
      <c r="CN11" s="35"/>
      <c r="CO11" s="41" t="s">
        <v>34</v>
      </c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</row>
    <row r="12" ht="15.75" customHeight="1">
      <c r="A12" s="35"/>
      <c r="B12" s="43" t="s">
        <v>18</v>
      </c>
      <c r="C12" s="35"/>
      <c r="D12" s="42"/>
      <c r="E12" s="40">
        <v>100.0</v>
      </c>
      <c r="F12" s="43" t="s">
        <v>44</v>
      </c>
      <c r="G12" s="43" t="s">
        <v>25</v>
      </c>
      <c r="H12" s="42"/>
      <c r="I12" s="42"/>
      <c r="J12" s="35"/>
      <c r="K12" s="42"/>
      <c r="L12" s="42"/>
      <c r="M12" s="35"/>
      <c r="N12" s="35"/>
      <c r="O12" s="35" t="s">
        <v>27</v>
      </c>
      <c r="P12" s="35"/>
      <c r="Q12" s="42"/>
      <c r="R12" s="42"/>
      <c r="S12" s="43" t="s">
        <v>41</v>
      </c>
      <c r="T12" s="42"/>
      <c r="U12" s="42"/>
      <c r="V12" s="43" t="s">
        <v>42</v>
      </c>
      <c r="W12" s="35"/>
      <c r="X12" s="35"/>
      <c r="Y12" s="35"/>
      <c r="Z12" s="43" t="s">
        <v>36</v>
      </c>
      <c r="AA12" s="35"/>
      <c r="AB12" s="42"/>
      <c r="AC12" s="35"/>
      <c r="AD12" s="43" t="s">
        <v>34</v>
      </c>
      <c r="AE12" s="44">
        <v>100.0</v>
      </c>
      <c r="AF12" s="35"/>
      <c r="AG12" s="35"/>
      <c r="AH12" s="41" t="s">
        <v>43</v>
      </c>
      <c r="AI12" s="42"/>
      <c r="AJ12" s="43" t="s">
        <v>45</v>
      </c>
      <c r="AK12" s="35"/>
      <c r="AL12" s="35"/>
      <c r="AM12" s="35"/>
      <c r="AN12" s="35"/>
      <c r="AO12" s="35"/>
      <c r="AP12" s="35"/>
      <c r="AQ12" s="35"/>
      <c r="AR12" s="35"/>
      <c r="AS12" s="35"/>
      <c r="AT12" s="40">
        <v>14.0</v>
      </c>
      <c r="AU12" s="40">
        <v>14.0</v>
      </c>
      <c r="AV12" s="35"/>
      <c r="AW12" s="42"/>
      <c r="AX12" s="42"/>
      <c r="AY12" s="43" t="s">
        <v>21</v>
      </c>
      <c r="AZ12" s="42"/>
      <c r="BA12" s="35"/>
      <c r="BB12" s="35"/>
      <c r="BC12" s="42"/>
      <c r="BD12" s="43" t="s">
        <v>46</v>
      </c>
      <c r="BE12" s="40">
        <v>0.0</v>
      </c>
      <c r="BF12" s="40">
        <v>0.0</v>
      </c>
      <c r="BG12" s="35"/>
      <c r="BH12" s="35"/>
      <c r="BI12" s="35"/>
      <c r="BJ12" s="44">
        <v>100.0</v>
      </c>
      <c r="BK12" s="42"/>
      <c r="BL12" s="35"/>
      <c r="BM12" s="43" t="s">
        <v>36</v>
      </c>
      <c r="BN12" s="35"/>
      <c r="BO12" s="43" t="s">
        <v>17</v>
      </c>
      <c r="BP12" s="42"/>
      <c r="BQ12" s="42"/>
      <c r="BR12" s="35"/>
      <c r="BS12" s="35"/>
      <c r="BT12" s="43" t="s">
        <v>16</v>
      </c>
      <c r="BU12" s="42"/>
      <c r="BV12" s="42"/>
      <c r="BW12" s="40">
        <v>14.0</v>
      </c>
      <c r="BX12" s="42"/>
      <c r="BY12" s="35"/>
      <c r="BZ12" s="35"/>
      <c r="CA12" s="35"/>
      <c r="CB12" s="35"/>
      <c r="CC12" s="35"/>
      <c r="CD12" s="35"/>
      <c r="CE12" s="35"/>
      <c r="CF12" s="43" t="s">
        <v>47</v>
      </c>
      <c r="CG12" s="42"/>
      <c r="CH12" s="35"/>
      <c r="CI12" s="41" t="s">
        <v>17</v>
      </c>
      <c r="CJ12" s="36">
        <v>0.0</v>
      </c>
      <c r="CK12" s="43" t="s">
        <v>24</v>
      </c>
      <c r="CL12" s="35"/>
      <c r="CM12" s="43" t="s">
        <v>16</v>
      </c>
      <c r="CN12" s="43" t="s">
        <v>35</v>
      </c>
      <c r="CO12" s="43" t="s">
        <v>34</v>
      </c>
      <c r="CP12" s="43" t="s">
        <v>48</v>
      </c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</row>
    <row r="13" ht="15.75" customHeight="1">
      <c r="A13" s="35"/>
      <c r="B13" s="43" t="s">
        <v>18</v>
      </c>
      <c r="C13" s="35"/>
      <c r="D13" s="42"/>
      <c r="E13" s="40">
        <v>100.0</v>
      </c>
      <c r="F13" s="43" t="s">
        <v>44</v>
      </c>
      <c r="G13" s="43" t="s">
        <v>25</v>
      </c>
      <c r="H13" s="42"/>
      <c r="I13" s="42"/>
      <c r="J13" s="35"/>
      <c r="K13" s="42"/>
      <c r="L13" s="42"/>
      <c r="M13" s="35"/>
      <c r="N13" s="35"/>
      <c r="O13" s="35" t="s">
        <v>27</v>
      </c>
      <c r="P13" s="35"/>
      <c r="Q13" s="42"/>
      <c r="R13" s="42"/>
      <c r="S13" s="43" t="s">
        <v>41</v>
      </c>
      <c r="T13" s="42"/>
      <c r="U13" s="42"/>
      <c r="V13" s="43" t="s">
        <v>42</v>
      </c>
      <c r="W13" s="35"/>
      <c r="X13" s="35"/>
      <c r="Y13" s="35"/>
      <c r="Z13" s="43" t="s">
        <v>36</v>
      </c>
      <c r="AA13" s="35"/>
      <c r="AB13" s="42"/>
      <c r="AC13" s="35"/>
      <c r="AD13" s="43" t="s">
        <v>34</v>
      </c>
      <c r="AE13" s="44">
        <v>100.0</v>
      </c>
      <c r="AF13" s="35"/>
      <c r="AG13" s="35"/>
      <c r="AH13" s="41" t="s">
        <v>43</v>
      </c>
      <c r="AI13" s="42"/>
      <c r="AJ13" s="43" t="s">
        <v>45</v>
      </c>
      <c r="AK13" s="35"/>
      <c r="AL13" s="35"/>
      <c r="AM13" s="35"/>
      <c r="AN13" s="35"/>
      <c r="AO13" s="35"/>
      <c r="AP13" s="35"/>
      <c r="AQ13" s="35"/>
      <c r="AR13" s="35"/>
      <c r="AS13" s="35"/>
      <c r="AT13" s="40">
        <v>14.0</v>
      </c>
      <c r="AU13" s="40">
        <v>14.0</v>
      </c>
      <c r="AV13" s="35"/>
      <c r="AW13" s="42"/>
      <c r="AX13" s="42"/>
      <c r="AY13" s="43" t="s">
        <v>21</v>
      </c>
      <c r="AZ13" s="42"/>
      <c r="BA13" s="35"/>
      <c r="BB13" s="35"/>
      <c r="BC13" s="42"/>
      <c r="BD13" s="43" t="s">
        <v>46</v>
      </c>
      <c r="BE13" s="40">
        <v>0.0</v>
      </c>
      <c r="BF13" s="40">
        <v>0.0</v>
      </c>
      <c r="BG13" s="35"/>
      <c r="BH13" s="35"/>
      <c r="BI13" s="35"/>
      <c r="BJ13" s="44">
        <v>100.0</v>
      </c>
      <c r="BK13" s="42"/>
      <c r="BL13" s="35"/>
      <c r="BM13" s="43" t="s">
        <v>36</v>
      </c>
      <c r="BN13" s="35"/>
      <c r="BO13" s="43" t="s">
        <v>17</v>
      </c>
      <c r="BP13" s="42"/>
      <c r="BQ13" s="42"/>
      <c r="BR13" s="35"/>
      <c r="BS13" s="35"/>
      <c r="BT13" s="43" t="s">
        <v>16</v>
      </c>
      <c r="BU13" s="42"/>
      <c r="BV13" s="42"/>
      <c r="BW13" s="40">
        <v>14.0</v>
      </c>
      <c r="BX13" s="42"/>
      <c r="BY13" s="35"/>
      <c r="BZ13" s="35"/>
      <c r="CA13" s="35"/>
      <c r="CB13" s="35"/>
      <c r="CC13" s="35"/>
      <c r="CD13" s="35"/>
      <c r="CE13" s="35"/>
      <c r="CF13" s="43" t="s">
        <v>47</v>
      </c>
      <c r="CG13" s="42"/>
      <c r="CH13" s="35"/>
      <c r="CI13" s="41" t="s">
        <v>17</v>
      </c>
      <c r="CJ13" s="36">
        <v>0.0</v>
      </c>
      <c r="CK13" s="43" t="s">
        <v>24</v>
      </c>
      <c r="CL13" s="35"/>
      <c r="CM13" s="43" t="s">
        <v>16</v>
      </c>
      <c r="CN13" s="43" t="s">
        <v>35</v>
      </c>
      <c r="CO13" s="43" t="s">
        <v>34</v>
      </c>
      <c r="CP13" s="43" t="s">
        <v>48</v>
      </c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89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49</v>
      </c>
      <c r="D3" s="5" t="s">
        <v>9</v>
      </c>
      <c r="E3" s="22" t="s">
        <v>50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</row>
    <row r="4" ht="15.75" customHeight="1">
      <c r="A4" s="24"/>
      <c r="B4" s="24" t="str">
        <f>IFERROR(__xludf.DUMMYFUNCTION("IF(C3="""","""",Transpose(IMPORTRANGE('_Settings'!$B$3,C3&amp;""!A4:A1000"")))"),"CheckDashboardPM")</f>
        <v>CheckDashboardPM</v>
      </c>
      <c r="C4" s="24" t="str">
        <f>IFERROR(__xludf.DUMMYFUNCTION("""COMPUTED_VALUE"""),"CheckPortfolioManagement")</f>
        <v>CheckPortfolioManagement</v>
      </c>
      <c r="D4" s="24" t="str">
        <f>IFERROR(__xludf.DUMMYFUNCTION("""COMPUTED_VALUE"""),"CheckPMLiveFeed")</f>
        <v>CheckPMLiveFeed</v>
      </c>
      <c r="E4" s="24" t="str">
        <f>IFERROR(__xludf.DUMMYFUNCTION("""COMPUTED_VALUE"""),"OpenPSTFromPM")</f>
        <v>OpenPSTFromPM</v>
      </c>
      <c r="F4" s="24" t="str">
        <f>IFERROR(__xludf.DUMMYFUNCTION("""COMPUTED_VALUE"""),"ClosePM")</f>
        <v>ClosePM</v>
      </c>
      <c r="G4" s="24" t="str">
        <f>IFERROR(__xludf.DUMMYFUNCTION("""COMPUTED_VALUE"""),"FilterPM")</f>
        <v>FilterPM</v>
      </c>
      <c r="H4" s="24" t="str">
        <f>IFERROR(__xludf.DUMMYFUNCTION("""COMPUTED_VALUE"""),"GroupRowPM")</f>
        <v>GroupRowPM</v>
      </c>
      <c r="I4" s="24" t="str">
        <f>IFERROR(__xludf.DUMMYFUNCTION("""COMPUTED_VALUE"""),"CheckDashboardWithPM")</f>
        <v>CheckDashboardWithPM</v>
      </c>
      <c r="J4" s="24" t="str">
        <f>IFERROR(__xludf.DUMMYFUNCTION("""COMPUTED_VALUE"""),"RemoveFilterPM")</f>
        <v>RemoveFilterPM</v>
      </c>
      <c r="K4" s="24" t="str">
        <f>IFERROR(__xludf.DUMMYFUNCTION("""COMPUTED_VALUE"""),"CheckSummaryRowsPM")</f>
        <v>CheckSummaryRowsPM</v>
      </c>
      <c r="L4" s="24" t="str">
        <f>IFERROR(__xludf.DUMMYFUNCTION("""COMPUTED_VALUE"""),"OpenPTTFromPM")</f>
        <v>OpenPTTFromPM</v>
      </c>
      <c r="M4" s="24" t="str">
        <f>IFERROR(__xludf.DUMMYFUNCTION("""COMPUTED_VALUE"""),"OpenClosingFromPM")</f>
        <v>OpenClosingFromPM</v>
      </c>
      <c r="N4" s="24" t="str">
        <f>IFERROR(__xludf.DUMMYFUNCTION("""COMPUTED_VALUE"""),"OpenCorporateActionFromPM")</f>
        <v>OpenCorporateActionFromPM</v>
      </c>
      <c r="O4" s="24" t="str">
        <f>IFERROR(__xludf.DUMMYFUNCTION("""COMPUTED_VALUE"""),"OpenDailyValuationFromPM")</f>
        <v>OpenDailyValuationFromPM</v>
      </c>
      <c r="P4" s="25" t="str">
        <f>IFERROR(__xludf.DUMMYFUNCTION("""COMPUTED_VALUE"""),"ClosePositionFromPM")</f>
        <v>ClosePositionFromPM</v>
      </c>
      <c r="Q4" s="25" t="str">
        <f>IFERROR(__xludf.DUMMYFUNCTION("""COMPUTED_VALUE"""),"ShowSummaryToolFromPM")</f>
        <v>ShowSummaryToolFromPM</v>
      </c>
      <c r="R4" s="25" t="str">
        <f>IFERROR(__xludf.DUMMYFUNCTION("""COMPUTED_VALUE"""),"HideSummaryToolFromPM")</f>
        <v>HideSummaryToolFromPM</v>
      </c>
      <c r="S4" s="25" t="str">
        <f>IFERROR(__xludf.DUMMYFUNCTION("""COMPUTED_VALUE"""),"CloseAccountPositionFromPM")</f>
        <v>CloseAccountPositionFromPM</v>
      </c>
      <c r="T4" s="25" t="str">
        <f>IFERROR(__xludf.DUMMYFUNCTION("""COMPUTED_VALUE"""),"CloseSelectedTaxlotsFromPM")</f>
        <v>CloseSelectedTaxlotsFromPM</v>
      </c>
      <c r="U4" s="25" t="str">
        <f>IFERROR(__xludf.DUMMYFUNCTION("""COMPUTED_VALUE"""),"ExpandCollapsePM")</f>
        <v>ExpandCollapsePM</v>
      </c>
      <c r="V4" s="25" t="str">
        <f>IFERROR(__xludf.DUMMYFUNCTION("""COMPUTED_VALUE"""),"AddCustomViewPM")</f>
        <v>AddCustomViewPM</v>
      </c>
      <c r="W4" s="25" t="str">
        <f>IFERROR(__xludf.DUMMYFUNCTION("""COMPUTED_VALUE"""),"AddCustomViewRightClickPM")</f>
        <v>AddCustomViewRightClickPM</v>
      </c>
      <c r="X4" s="25" t="str">
        <f>IFERROR(__xludf.DUMMYFUNCTION("""COMPUTED_VALUE"""),"RenameCustomViewPM")</f>
        <v>RenameCustomViewPM</v>
      </c>
      <c r="Y4" s="25" t="str">
        <f>IFERROR(__xludf.DUMMYFUNCTION("""COMPUTED_VALUE"""),"DeleteCustomViewPM")</f>
        <v>DeleteCustomViewPM</v>
      </c>
      <c r="Z4" s="25" t="str">
        <f>IFERROR(__xludf.DUMMYFUNCTION("""COMPUTED_VALUE"""),"OpenCreateTransactionFromPM")</f>
        <v>OpenCreateTransactionFromPM</v>
      </c>
      <c r="AA4" s="25" t="str">
        <f>IFERROR(__xludf.DUMMYFUNCTION("""COMPUTED_VALUE"""),"RemoveGroupingFromPM")</f>
        <v>RemoveGroupingFromPM</v>
      </c>
      <c r="AB4" s="25" t="str">
        <f>IFERROR(__xludf.DUMMYFUNCTION("""COMPUTED_VALUE"""),"IncreasePositionFromPM")</f>
        <v>IncreasePositionFromPM</v>
      </c>
      <c r="AC4" s="25" t="str">
        <f>IFERROR(__xludf.DUMMYFUNCTION("""COMPUTED_VALUE"""),"SortAndVerifyPM")</f>
        <v>SortAndVerifyPM</v>
      </c>
      <c r="AD4" s="25" t="str">
        <f>IFERROR(__xludf.DUMMYFUNCTION("""COMPUTED_VALUE"""),"OpenPIFromPM")</f>
        <v>OpenPIFromPM</v>
      </c>
      <c r="AE4" s="25" t="str">
        <f>IFERROR(__xludf.DUMMYFUNCTION("""COMPUTED_VALUE"""),"ViewSettings")</f>
        <v>ViewSettings</v>
      </c>
      <c r="AF4" s="25" t="str">
        <f>IFERROR(__xludf.DUMMYFUNCTION("""COMPUTED_VALUE"""),"SaveLayoutPM")</f>
        <v>SaveLayoutPM</v>
      </c>
      <c r="AG4" s="25" t="str">
        <f>IFERROR(__xludf.DUMMYFUNCTION("""COMPUTED_VALUE"""),"OpenCustomView")</f>
        <v>OpenCustomView</v>
      </c>
      <c r="AH4" s="25" t="str">
        <f>IFERROR(__xludf.DUMMYFUNCTION("""COMPUTED_VALUE"""),"CheckCustomViewRowSummary")</f>
        <v>CheckCustomViewRowSummary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IFERROR(__xludf.DUMMYFUNCTION("""COMPUTED_VALUE"""),"Trade Date")</f>
        <v>Trade Date</v>
      </c>
      <c r="C5" s="27" t="str">
        <f>IFERROR(__xludf.DUMMYFUNCTION("""COMPUTED_VALUE"""),"Symbol")</f>
        <v>Symbol</v>
      </c>
      <c r="D5" s="27" t="str">
        <f>IFERROR(__xludf.DUMMYFUNCTION("""COMPUTED_VALUE"""),"Position")</f>
        <v>Position</v>
      </c>
      <c r="E5" s="27" t="str">
        <f>IFERROR(__xludf.DUMMYFUNCTION("""COMPUTED_VALUE"""),"Account")</f>
        <v>Account</v>
      </c>
      <c r="F5" s="28" t="str">
        <f>IFERROR(__xludf.DUMMYFUNCTION("""COMPUTED_VALUE"""),"MasterFund")</f>
        <v>MasterFund</v>
      </c>
      <c r="G5" s="27" t="str">
        <f>IFERROR(__xludf.DUMMYFUNCTION("""COMPUTED_VALUE"""),"Cost Basis")</f>
        <v>Cost Basis</v>
      </c>
      <c r="H5" s="27" t="str">
        <f>IFERROR(__xludf.DUMMYFUNCTION("""COMPUTED_VALUE"""),"Position Side")</f>
        <v>Position Side</v>
      </c>
      <c r="I5" s="27" t="str">
        <f>IFERROR(__xludf.DUMMYFUNCTION("""COMPUTED_VALUE"""),"Market Value (Base)")</f>
        <v>Market Value (Base)</v>
      </c>
      <c r="J5" s="27" t="str">
        <f>IFERROR(__xludf.DUMMYFUNCTION("""COMPUTED_VALUE"""),"% Day P&amp;L (Gross MV)")</f>
        <v>% Day P&amp;L (Gross MV)</v>
      </c>
      <c r="K5" s="27" t="str">
        <f>IFERROR(__xludf.DUMMYFUNCTION("""COMPUTED_VALUE"""),"Net Exposure (Base)")</f>
        <v>Net Exposure (Base)</v>
      </c>
      <c r="L5" s="27" t="str">
        <f>IFERROR(__xludf.DUMMYFUNCTION("""COMPUTED_VALUE"""),"Beta Adj. Gross Exposure (Base)")</f>
        <v>Beta Adj. Gross Exposure (Base)</v>
      </c>
      <c r="M5" s="27" t="str">
        <f>IFERROR(__xludf.DUMMYFUNCTION("""COMPUTED_VALUE"""),"Beta Adj. Gross Exposure (Underlying) (Base)")</f>
        <v>Beta Adj. Gross Exposure (Underlying) (Base)</v>
      </c>
      <c r="N5" s="27" t="str">
        <f>IFERROR(__xludf.DUMMYFUNCTION("""COMPUTED_VALUE"""),"Day P&amp;L (Base)")</f>
        <v>Day P&amp;L (Base)</v>
      </c>
      <c r="O5" s="27" t="str">
        <f>IFERROR(__xludf.DUMMYFUNCTION("""COMPUTED_VALUE"""),"Security Name")</f>
        <v>Security Name</v>
      </c>
      <c r="P5" s="27" t="str">
        <f>IFERROR(__xludf.DUMMYFUNCTION("""COMPUTED_VALUE"""),"Closing Mark")</f>
        <v>Closing Mark</v>
      </c>
      <c r="Q5" s="27" t="str">
        <f>IFERROR(__xludf.DUMMYFUNCTION("""COMPUTED_VALUE"""),"Cost Basis P&amp;L (Base)")</f>
        <v>Cost Basis P&amp;L (Base)</v>
      </c>
      <c r="R5" s="27" t="str">
        <f>IFERROR(__xludf.DUMMYFUNCTION("""COMPUTED_VALUE"""),"Prime Broker")</f>
        <v>Prime Broker</v>
      </c>
      <c r="S5" s="27" t="str">
        <f>IFERROR(__xludf.DUMMYFUNCTION("""COMPUTED_VALUE"""),"Strategy")</f>
        <v>Strategy</v>
      </c>
      <c r="T5" s="29" t="str">
        <f>IFERROR(__xludf.DUMMYFUNCTION("""COMPUTED_VALUE"""),"Asset Class")</f>
        <v>Asset Class</v>
      </c>
      <c r="U5" s="29" t="str">
        <f>IFERROR(__xludf.DUMMYFUNCTION("""COMPUTED_VALUE"""),"Underlying")</f>
        <v>Underlying</v>
      </c>
      <c r="V5" s="29" t="str">
        <f>IFERROR(__xludf.DUMMYFUNCTION("""COMPUTED_VALUE"""),"Exchange")</f>
        <v>Exchange</v>
      </c>
      <c r="W5" s="29" t="str">
        <f>IFERROR(__xludf.DUMMYFUNCTION("""COMPUTED_VALUE"""),"Trade Currency")</f>
        <v>Trade Currency</v>
      </c>
      <c r="X5" s="29" t="str">
        <f>IFERROR(__xludf.DUMMYFUNCTION("""COMPUTED_VALUE"""),"Multiplier")</f>
        <v>Multiplier</v>
      </c>
      <c r="Y5" s="29" t="str">
        <f>IFERROR(__xludf.DUMMYFUNCTION("""COMPUTED_VALUE"""),"FX Rate")</f>
        <v>FX Rate</v>
      </c>
      <c r="Z5" s="29" t="str">
        <f>IFERROR(__xludf.DUMMYFUNCTION("""COMPUTED_VALUE"""),"Vs Currency")</f>
        <v>Vs Currency</v>
      </c>
      <c r="AA5" s="29" t="str">
        <f>IFERROR(__xludf.DUMMYFUNCTION("""COMPUTED_VALUE"""),"Lead Currency")</f>
        <v>Lead Currency</v>
      </c>
      <c r="AB5" s="29" t="str">
        <f>IFERROR(__xludf.DUMMYFUNCTION("""COMPUTED_VALUE"""),"Dividend Yield (%)")</f>
        <v>Dividend Yield (%)</v>
      </c>
      <c r="AC5" s="29" t="str">
        <f>IFERROR(__xludf.DUMMYFUNCTION("""COMPUTED_VALUE"""),"% Change")</f>
        <v>% Change</v>
      </c>
      <c r="AD5" s="29" t="str">
        <f>IFERROR(__xludf.DUMMYFUNCTION("""COMPUTED_VALUE"""),"Net Exposure (Local)")</f>
        <v>Net Exposure (Local)</v>
      </c>
      <c r="AE5" s="29" t="str">
        <f>IFERROR(__xludf.DUMMYFUNCTION("""COMPUTED_VALUE"""),"Exposure (Local)")</f>
        <v>Exposure (Local)</v>
      </c>
      <c r="AF5" s="29" t="str">
        <f>IFERROR(__xludf.DUMMYFUNCTION("""COMPUTED_VALUE"""),"Delta Adj. Position")</f>
        <v>Delta Adj. Position</v>
      </c>
      <c r="AG5" s="29" t="str">
        <f>IFERROR(__xludf.DUMMYFUNCTION("""COMPUTED_VALUE"""),"Exposure (Base)")</f>
        <v>Exposure (Base)</v>
      </c>
      <c r="AH5" s="29" t="str">
        <f>IFERROR(__xludf.DUMMYFUNCTION("""COMPUTED_VALUE"""),"Beta Adj. Exposure (Local)")</f>
        <v>Beta Adj. Exposure (Local)</v>
      </c>
      <c r="AI5" s="29" t="str">
        <f>IFERROR(__xludf.DUMMYFUNCTION("""COMPUTED_VALUE"""),"Beta Adj. Exposure (Base)")</f>
        <v>Beta Adj. Exposure (Base)</v>
      </c>
      <c r="AJ5" s="29" t="str">
        <f>IFERROR(__xludf.DUMMYFUNCTION("""COMPUTED_VALUE"""),"Exposure (BP)(Base)")</f>
        <v>Exposure (BP)(Base)</v>
      </c>
      <c r="AK5" s="29" t="str">
        <f>IFERROR(__xludf.DUMMYFUNCTION("""COMPUTED_VALUE"""),"Day P&amp;L (Local)")</f>
        <v>Day P&amp;L (Local)</v>
      </c>
      <c r="AL5" s="29" t="str">
        <f>IFERROR(__xludf.DUMMYFUNCTION("""COMPUTED_VALUE"""),"Delta")</f>
        <v>Delta</v>
      </c>
      <c r="AM5" s="29" t="str">
        <f>IFERROR(__xludf.DUMMYFUNCTION("""COMPUTED_VALUE"""),"Leveraged Factor")</f>
        <v>Leveraged Factor</v>
      </c>
      <c r="AN5" s="29" t="str">
        <f>IFERROR(__xludf.DUMMYFUNCTION("""COMPUTED_VALUE"""),"Order Side")</f>
        <v>Order Side</v>
      </c>
      <c r="AO5" s="29" t="str">
        <f>IFERROR(__xludf.DUMMYFUNCTION("""COMPUTED_VALUE"""),"Master Strategy")</f>
        <v>Master Strategy</v>
      </c>
      <c r="AP5" s="29" t="str">
        <f>IFERROR(__xludf.DUMMYFUNCTION("""COMPUTED_VALUE"""),"Transaction Side")</f>
        <v>Transaction Side</v>
      </c>
      <c r="AQ5" s="29" t="str">
        <f>IFERROR(__xludf.DUMMYFUNCTION("""COMPUTED_VALUE"""),"Underlying Symbol")</f>
        <v>Underlying Symbol</v>
      </c>
      <c r="AR5" s="29" t="str">
        <f>IFERROR(__xludf.DUMMYFUNCTION("""COMPUTED_VALUE"""),"Underlying Price")</f>
        <v>Underlying Price</v>
      </c>
      <c r="AS5" s="29" t="str">
        <f>IFERROR(__xludf.DUMMYFUNCTION("""COMPUTED_VALUE"""),"Side Multiplier")</f>
        <v>Side Multiplier</v>
      </c>
      <c r="AT5" s="29" t="str">
        <f>IFERROR(__xludf.DUMMYFUNCTION("""COMPUTED_VALUE"""),"Description")</f>
        <v>Description</v>
      </c>
      <c r="AU5" s="29" t="str">
        <f>IFERROR(__xludf.DUMMYFUNCTION("""COMPUTED_VALUE"""),"Internal Comments")</f>
        <v>Internal Comments</v>
      </c>
      <c r="AV5" s="29" t="str">
        <f>IFERROR(__xludf.DUMMYFUNCTION("""COMPUTED_VALUE"""),"FX Rate On Trade Date")</f>
        <v>FX Rate On Trade Date</v>
      </c>
      <c r="AW5" s="29" t="str">
        <f>IFERROR(__xludf.DUMMYFUNCTION("""COMPUTED_VALUE"""),"Cost Basis P&amp;L (Local)")</f>
        <v>Cost Basis P&amp;L (Local)</v>
      </c>
      <c r="AX5" s="29" t="str">
        <f>IFERROR(__xludf.DUMMYFUNCTION("""COMPUTED_VALUE"""),"Day Interest")</f>
        <v>Day Interest</v>
      </c>
      <c r="AY5" s="29" t="str">
        <f>IFERROR(__xludf.DUMMYFUNCTION("""COMPUTED_VALUE"""),"Total Interest")</f>
        <v>Total Interest</v>
      </c>
      <c r="AZ5" s="29" t="str">
        <f>IFERROR(__xludf.DUMMYFUNCTION("""COMPUTED_VALUE"""),"Market Value (Local)")</f>
        <v>Market Value (Local)</v>
      </c>
      <c r="BA5" s="29" t="str">
        <f>IFERROR(__xludf.DUMMYFUNCTION("""COMPUTED_VALUE"""),"% Gain/Loss Day")</f>
        <v>% Gain/Loss Day</v>
      </c>
      <c r="BB5" s="29" t="str">
        <f>IFERROR(__xludf.DUMMYFUNCTION("""COMPUTED_VALUE"""),"Update Time (Last Price)")</f>
        <v>Update Time (Last Price)</v>
      </c>
      <c r="BC5" s="29" t="str">
        <f>IFERROR(__xludf.DUMMYFUNCTION("""COMPUTED_VALUE"""),"Beta")</f>
        <v>Beta</v>
      </c>
      <c r="BD5" s="29" t="str">
        <f>IFERROR(__xludf.DUMMYFUNCTION("""COMPUTED_VALUE"""),"Cash Impact (Local)")</f>
        <v>Cash Impact (Local)</v>
      </c>
      <c r="BE5" s="29" t="str">
        <f>IFERROR(__xludf.DUMMYFUNCTION("""COMPUTED_VALUE"""),"User Asset")</f>
        <v>User Asset</v>
      </c>
      <c r="BF5" s="29" t="str">
        <f>IFERROR(__xludf.DUMMYFUNCTION("""COMPUTED_VALUE"""),"Security Type")</f>
        <v>Security Type</v>
      </c>
      <c r="BG5" s="29" t="str">
        <f>IFERROR(__xludf.DUMMYFUNCTION("""COMPUTED_VALUE"""),"Sector")</f>
        <v>Sector</v>
      </c>
      <c r="BH5" s="29" t="str">
        <f>IFERROR(__xludf.DUMMYFUNCTION("""COMPUTED_VALUE"""),"Sub Sector")</f>
        <v>Sub Sector</v>
      </c>
      <c r="BI5" s="29" t="str">
        <f>IFERROR(__xludf.DUMMYFUNCTION("""COMPUTED_VALUE"""),"Country")</f>
        <v>Country</v>
      </c>
      <c r="BJ5" s="29" t="str">
        <f>IFERROR(__xludf.DUMMYFUNCTION("""COMPUTED_VALUE"""),"Market Cap")</f>
        <v>Market Cap</v>
      </c>
      <c r="BK5" s="29" t="str">
        <f>IFERROR(__xludf.DUMMYFUNCTION("""COMPUTED_VALUE"""),"Shares Outstanding (MM)")</f>
        <v>Shares Outstanding (MM)</v>
      </c>
      <c r="BL5" s="29" t="str">
        <f>IFERROR(__xludf.DUMMYFUNCTION("""COMPUTED_VALUE"""),"Avg Volume 20 Day")</f>
        <v>Avg Volume 20 Day</v>
      </c>
      <c r="BM5" s="29" t="str">
        <f>IFERROR(__xludf.DUMMYFUNCTION("""COMPUTED_VALUE"""),"% Avg Volume (Delta Adj.)")</f>
        <v>% Avg Volume (Delta Adj.)</v>
      </c>
      <c r="BN5" s="29" t="str">
        <f>IFERROR(__xludf.DUMMYFUNCTION("""COMPUTED_VALUE"""),"Ex Dividend Date")</f>
        <v>Ex Dividend Date</v>
      </c>
      <c r="BO5" s="29" t="str">
        <f>IFERROR(__xludf.DUMMYFUNCTION("""COMPUTED_VALUE"""),"Cash Impact (Base)")</f>
        <v>Cash Impact (Base)</v>
      </c>
      <c r="BP5" s="29" t="str">
        <f>IFERROR(__xludf.DUMMYFUNCTION("""COMPUTED_VALUE"""),"Volatility (%)")</f>
        <v>Volatility (%)</v>
      </c>
      <c r="BQ5" s="29" t="str">
        <f>IFERROR(__xludf.DUMMYFUNCTION("""COMPUTED_VALUE"""),"User")</f>
        <v>User</v>
      </c>
      <c r="BR5" s="29" t="str">
        <f>IFERROR(__xludf.DUMMYFUNCTION("""COMPUTED_VALUE"""),"Broker")</f>
        <v>Broker</v>
      </c>
      <c r="BS5" s="29" t="str">
        <f>IFERROR(__xludf.DUMMYFUNCTION("""COMPUTED_VALUE"""),"Earned Dividend (Local)")</f>
        <v>Earned Dividend (Local)</v>
      </c>
      <c r="BT5" s="29" t="str">
        <f>IFERROR(__xludf.DUMMYFUNCTION("""COMPUTED_VALUE"""),"Earned Dividend (Base)")</f>
        <v>Earned Dividend (Base)</v>
      </c>
      <c r="BU5" s="29" t="str">
        <f>IFERROR(__xludf.DUMMYFUNCTION("""COMPUTED_VALUE"""),"Put/Call")</f>
        <v>Put/Call</v>
      </c>
      <c r="BV5" s="29" t="str">
        <f>IFERROR(__xludf.DUMMYFUNCTION("""COMPUTED_VALUE"""),"Expiration Date")</f>
        <v>Expiration Date</v>
      </c>
      <c r="BW5" s="29" t="str">
        <f>IFERROR(__xludf.DUMMYFUNCTION("""COMPUTED_VALUE"""),"Strike Price")</f>
        <v>Strike Price</v>
      </c>
      <c r="BX5" s="29" t="str">
        <f>IFERROR(__xludf.DUMMYFUNCTION("""COMPUTED_VALUE"""),"Gross Exposure (Base)")</f>
        <v>Gross Exposure (Base)</v>
      </c>
      <c r="BY5" s="29" t="str">
        <f>IFERROR(__xludf.DUMMYFUNCTION("""COMPUTED_VALUE"""),"Gross Market Value (Base)")</f>
        <v>Gross Market Value (Base)</v>
      </c>
      <c r="BZ5" s="29" t="str">
        <f>IFERROR(__xludf.DUMMYFUNCTION("""COMPUTED_VALUE"""),"Px Selected Feed (Local)")</f>
        <v>Px Selected Feed (Local)</v>
      </c>
      <c r="CA5" s="29" t="str">
        <f>IFERROR(__xludf.DUMMYFUNCTION("""COMPUTED_VALUE"""),"Px Selected Feed (Base)")</f>
        <v>Px Selected Feed (Base)</v>
      </c>
      <c r="CB5" s="29" t="str">
        <f>IFERROR(__xludf.DUMMYFUNCTION("""COMPUTED_VALUE"""),"Settlement Date")</f>
        <v>Settlement Date</v>
      </c>
      <c r="CC5" s="29" t="str">
        <f>IFERROR(__xludf.DUMMYFUNCTION("""COMPUTED_VALUE"""),"% Avg Volume")</f>
        <v>% Avg Volume</v>
      </c>
      <c r="CD5" s="29" t="str">
        <f>IFERROR(__xludf.DUMMYFUNCTION("""COMPUTED_VALUE"""),"Day P&amp;L (Base)(Price Gain)")</f>
        <v>Day P&amp;L (Base)(Price Gain)</v>
      </c>
      <c r="CE5" s="29" t="str">
        <f>IFERROR(__xludf.DUMMYFUNCTION("""COMPUTED_VALUE"""),"Day P&amp;L (Base)(FX Gain)")</f>
        <v>Day P&amp;L (Base)(FX Gain)</v>
      </c>
      <c r="CF5" s="29" t="str">
        <f>IFERROR(__xludf.DUMMYFUNCTION("""COMPUTED_VALUE"""),"Cost Basis P&amp;L (Base)(FX Gain)")</f>
        <v>Cost Basis P&amp;L (Base)(FX Gain)</v>
      </c>
      <c r="CG5" s="29" t="str">
        <f>IFERROR(__xludf.DUMMYFUNCTION("""COMPUTED_VALUE"""),"Cost Basis P&amp;L (Base)(Price Gain)")</f>
        <v>Cost Basis P&amp;L (Base)(Price Gain)</v>
      </c>
      <c r="CH5" s="29" t="str">
        <f>IFERROR(__xludf.DUMMYFUNCTION("""COMPUTED_VALUE"""),"% Gain/Loss Cost")</f>
        <v>% Gain/Loss Cost</v>
      </c>
      <c r="CI5" s="29" t="str">
        <f>IFERROR(__xludf.DUMMYFUNCTION("""COMPUTED_VALUE"""),"Underlying Value (Options)")</f>
        <v>Underlying Value (Options)</v>
      </c>
      <c r="CJ5" s="29" t="str">
        <f>IFERROR(__xludf.DUMMYFUNCTION("""COMPUTED_VALUE"""),"Avg Volume 20 Day (Underlying Symbol)")</f>
        <v>Avg Volume 20 Day (Underlying Symbol)</v>
      </c>
      <c r="CK5" s="29" t="str">
        <f>IFERROR(__xludf.DUMMYFUNCTION("""COMPUTED_VALUE"""),"IsStaleData")</f>
        <v>IsStaleData</v>
      </c>
      <c r="CL5" s="29" t="str">
        <f>IFERROR(__xludf.DUMMYFUNCTION("""COMPUTED_VALUE"""),"IDCO")</f>
        <v>IDCO</v>
      </c>
      <c r="CM5" s="29" t="str">
        <f>IFERROR(__xludf.DUMMYFUNCTION("""COMPUTED_VALUE"""),"OSI")</f>
        <v>OSI</v>
      </c>
      <c r="CN5" s="29" t="str">
        <f>IFERROR(__xludf.DUMMYFUNCTION("""COMPUTED_VALUE"""),"SEDOL")</f>
        <v>SEDOL</v>
      </c>
      <c r="CO5" s="29" t="str">
        <f>IFERROR(__xludf.DUMMYFUNCTION("""COMPUTED_VALUE"""),"CUSIP")</f>
        <v>CUSIP</v>
      </c>
      <c r="CP5" s="29" t="str">
        <f>IFERROR(__xludf.DUMMYFUNCTION("""COMPUTED_VALUE"""),"Bloomberg")</f>
        <v>Bloomberg</v>
      </c>
      <c r="CQ5" s="29" t="str">
        <f>IFERROR(__xludf.DUMMYFUNCTION("""COMPUTED_VALUE"""),"ISIN")</f>
        <v>ISIN</v>
      </c>
      <c r="CR5" s="29" t="str">
        <f>IFERROR(__xludf.DUMMYFUNCTION("""COMPUTED_VALUE"""),"Start Trade Date")</f>
        <v>Start Trade Date</v>
      </c>
      <c r="CS5" s="29" t="str">
        <f>IFERROR(__xludf.DUMMYFUNCTION("""COMPUTED_VALUE"""),"Cost Basis (Break Even)")</f>
        <v>Cost Basis (Break Even)</v>
      </c>
      <c r="CT5" s="29" t="str">
        <f>IFERROR(__xludf.DUMMYFUNCTION("""COMPUTED_VALUE"""),"Trade Attribute 3")</f>
        <v>Trade Attribute 3</v>
      </c>
      <c r="CU5" s="29" t="str">
        <f>IFERROR(__xludf.DUMMYFUNCTION("""COMPUTED_VALUE"""),"Trade Attribute 4")</f>
        <v>Trade Attribute 4</v>
      </c>
      <c r="CV5" s="29" t="str">
        <f>IFERROR(__xludf.DUMMYFUNCTION("""COMPUTED_VALUE"""),"Trade Attribute 5")</f>
        <v>Trade Attribute 5</v>
      </c>
      <c r="CW5" s="29" t="str">
        <f>IFERROR(__xludf.DUMMYFUNCTION("""COMPUTED_VALUE"""),"Trade Attribute 6")</f>
        <v>Trade Attribute 6</v>
      </c>
      <c r="CX5" s="29" t="str">
        <f>IFERROR(__xludf.DUMMYFUNCTION("""COMPUTED_VALUE"""),"Proxy Symbol")</f>
        <v>Proxy Symbol</v>
      </c>
      <c r="CY5" s="29" t="str">
        <f>IFERROR(__xludf.DUMMYFUNCTION("""COMPUTED_VALUE"""),"Pricing Source")</f>
        <v>Pricing Source</v>
      </c>
      <c r="CZ5" s="29" t="str">
        <f>IFERROR(__xludf.DUMMYFUNCTION("""COMPUTED_VALUE"""),"Delta Source")</f>
        <v>Delta Source</v>
      </c>
      <c r="DA5" s="29" t="str">
        <f>IFERROR(__xludf.DUMMYFUNCTION("""COMPUTED_VALUE"""),"Gross Exposure (Local)")</f>
        <v>Gross Exposure (Local)</v>
      </c>
      <c r="DB5" s="29" t="str">
        <f>IFERROR(__xludf.DUMMYFUNCTION("""COMPUTED_VALUE"""),"% Day P&amp;L (Net MV)")</f>
        <v>% Day P&amp;L (Net MV)</v>
      </c>
      <c r="DC5" s="29" t="str">
        <f>IFERROR(__xludf.DUMMYFUNCTION("""COMPUTED_VALUE"""),"Expiration Month")</f>
        <v>Expiration Month</v>
      </c>
      <c r="DD5" s="29" t="str">
        <f>IFERROR(__xludf.DUMMYFUNCTION("""COMPUTED_VALUE"""),"Delta Adj. Position (LME)")</f>
        <v>Delta Adj. Position (LME)</v>
      </c>
      <c r="DE5" s="29" t="str">
        <f>IFERROR(__xludf.DUMMYFUNCTION("""COMPUTED_VALUE"""),"Premium")</f>
        <v>Premium</v>
      </c>
      <c r="DF5" s="29" t="str">
        <f>IFERROR(__xludf.DUMMYFUNCTION("""COMPUTED_VALUE"""),"Premium $")</f>
        <v>Premium $</v>
      </c>
      <c r="DG5" s="29" t="str">
        <f>IFERROR(__xludf.DUMMYFUNCTION("""COMPUTED_VALUE"""),"Forward Points")</f>
        <v>Forward Points</v>
      </c>
      <c r="DH5" s="29" t="str">
        <f>IFERROR(__xludf.DUMMYFUNCTION("""COMPUTED_VALUE"""),"Closing Mark (Underlying)")</f>
        <v>Closing Mark (Underlying)</v>
      </c>
      <c r="DI5" s="29" t="str">
        <f>IFERROR(__xludf.DUMMYFUNCTION("""COMPUTED_VALUE"""),"% Change (Underlying Price)")</f>
        <v>% Change (Underlying Price)</v>
      </c>
      <c r="DJ5" s="29" t="str">
        <f>IFERROR(__xludf.DUMMYFUNCTION("""COMPUTED_VALUE"""),"Transaction Type")</f>
        <v>Transaction Type</v>
      </c>
      <c r="DK5" s="29" t="str">
        <f>IFERROR(__xludf.DUMMYFUNCTION("""COMPUTED_VALUE"""),"Closing Market Value (Local)")</f>
        <v>Closing Market Value (Local)</v>
      </c>
      <c r="DL5" s="29" t="str">
        <f>IFERROR(__xludf.DUMMYFUNCTION("""COMPUTED_VALUE"""),"Closing Market Value (Base)")</f>
        <v>Closing Market Value (Base)</v>
      </c>
      <c r="DM5" s="29" t="str">
        <f>IFERROR(__xludf.DUMMYFUNCTION("""COMPUTED_VALUE"""),"Closing FX Rate")</f>
        <v>Closing FX Rate</v>
      </c>
      <c r="DN5" s="29" t="str">
        <f>IFERROR(__xludf.DUMMYFUNCTION("""COMPUTED_VALUE"""),"Change In Underlying Price")</f>
        <v>Change In Underlying Price</v>
      </c>
      <c r="DO5" s="29" t="str">
        <f>IFERROR(__xludf.DUMMYFUNCTION("""COMPUTED_VALUE"""),"RIC")</f>
        <v>RIC</v>
      </c>
      <c r="DP5" s="29" t="str">
        <f>IFERROR(__xludf.DUMMYFUNCTION("""COMPUTED_VALUE"""),"Position Side Exposure (Boxed)")</f>
        <v>Position Side Exposure (Boxed)</v>
      </c>
      <c r="DQ5" s="29" t="str">
        <f>IFERROR(__xludf.DUMMYFUNCTION("""COMPUTED_VALUE"""),"Analyst")</f>
        <v>Analyst</v>
      </c>
      <c r="DR5" s="29" t="str">
        <f>IFERROR(__xludf.DUMMYFUNCTION("""COMPUTED_VALUE"""),"Country Of Risk")</f>
        <v>Country Of Risk</v>
      </c>
      <c r="DS5" s="29" t="str">
        <f>IFERROR(__xludf.DUMMYFUNCTION("""COMPUTED_VALUE"""),"Custom UDA1")</f>
        <v>Custom UDA1</v>
      </c>
      <c r="DT5" s="29" t="str">
        <f>IFERROR(__xludf.DUMMYFUNCTION("""COMPUTED_VALUE"""),"Custom UDA2")</f>
        <v>Custom UDA2</v>
      </c>
      <c r="DU5" s="29" t="str">
        <f>IFERROR(__xludf.DUMMYFUNCTION("""COMPUTED_VALUE"""),"Custom UDA3")</f>
        <v>Custom UDA3</v>
      </c>
      <c r="DV5" s="29" t="str">
        <f>IFERROR(__xludf.DUMMYFUNCTION("""COMPUTED_VALUE"""),"Custom UDA4")</f>
        <v>Custom UDA4</v>
      </c>
      <c r="DW5" s="29" t="str">
        <f>IFERROR(__xludf.DUMMYFUNCTION("""COMPUTED_VALUE"""),"Custom UDA5")</f>
        <v>Custom UDA5</v>
      </c>
      <c r="DX5" s="29" t="str">
        <f>IFERROR(__xludf.DUMMYFUNCTION("""COMPUTED_VALUE"""),"Custom UDA6")</f>
        <v>Custom UDA6</v>
      </c>
      <c r="DY5" s="29" t="str">
        <f>IFERROR(__xludf.DUMMYFUNCTION("""COMPUTED_VALUE"""),"Custom UDA7")</f>
        <v>Custom UDA7</v>
      </c>
      <c r="DZ5" s="29" t="str">
        <f>IFERROR(__xludf.DUMMYFUNCTION("""COMPUTED_VALUE"""),"Issuer")</f>
        <v>Issuer</v>
      </c>
      <c r="EA5" s="29" t="str">
        <f>IFERROR(__xludf.DUMMYFUNCTION("""COMPUTED_VALUE"""),"Liquid Tag")</f>
        <v>Liquid Tag</v>
      </c>
      <c r="EB5" s="29" t="str">
        <f>IFERROR(__xludf.DUMMYFUNCTION("""COMPUTED_VALUE"""),"Market Cap UDA")</f>
        <v>Market Cap UDA</v>
      </c>
      <c r="EC5" s="29" t="str">
        <f>IFERROR(__xludf.DUMMYFUNCTION("""COMPUTED_VALUE"""),"Region")</f>
        <v>Region</v>
      </c>
      <c r="ED5" s="29" t="str">
        <f>IFERROR(__xludf.DUMMYFUNCTION("""COMPUTED_VALUE"""),"Risk Currency")</f>
        <v>Risk Currency</v>
      </c>
      <c r="EE5" s="29" t="str">
        <f>IFERROR(__xludf.DUMMYFUNCTION("""COMPUTED_VALUE"""),"UCITS Eligible Tag")</f>
        <v>UCITS Eligible Tag</v>
      </c>
      <c r="EF5" s="29" t="str">
        <f>IFERROR(__xludf.DUMMYFUNCTION("""COMPUTED_VALUE"""),"FX Rate (Display)")</f>
        <v>FX Rate (Display)</v>
      </c>
      <c r="EG5" s="29" t="str">
        <f>IFERROR(__xludf.DUMMYFUNCTION("""COMPUTED_VALUE"""),"% Net Exposure (Base)")</f>
        <v>% Net Exposure (Base)</v>
      </c>
      <c r="EH5" s="29" t="str">
        <f>IFERROR(__xludf.DUMMYFUNCTION("""COMPUTED_VALUE"""),"% Gross Exposure (Base)")</f>
        <v>% Gross Exposure (Base)</v>
      </c>
      <c r="EI5" s="29" t="str">
        <f>IFERROR(__xludf.DUMMYFUNCTION("""COMPUTED_VALUE"""),"% Exposure (Base)")</f>
        <v>% Exposure (Base)</v>
      </c>
      <c r="EJ5" s="29" t="str">
        <f>IFERROR(__xludf.DUMMYFUNCTION("""COMPUTED_VALUE"""),"% Gross Exposure (Underlying) (Base)")</f>
        <v>% Gross Exposure (Underlying) (Base)</v>
      </c>
      <c r="EK5" s="29" t="str">
        <f>IFERROR(__xludf.DUMMYFUNCTION("""COMPUTED_VALUE"""),"% Beta Adj. Gross Exposure (Base)")</f>
        <v>% Beta Adj. Gross Exposure (Base)</v>
      </c>
      <c r="EL5" s="29" t="str">
        <f>IFERROR(__xludf.DUMMYFUNCTION("""COMPUTED_VALUE"""),"Position Side Exposure (Underlying)")</f>
        <v>Position Side Exposure (Underlying)</v>
      </c>
      <c r="EM5" s="29" t="str">
        <f>IFERROR(__xludf.DUMMYFUNCTION("""COMPUTED_VALUE"""),"Gross Exposure (Underlying) (Base)")</f>
        <v>Gross Exposure (Underlying) (Base)</v>
      </c>
      <c r="EN5" s="29" t="str">
        <f>IFERROR(__xludf.DUMMYFUNCTION("""COMPUTED_VALUE"""),"Gross Exposure (Underlying)")</f>
        <v>Gross Exposure (Underlying)</v>
      </c>
      <c r="EO5" s="29" t="str">
        <f>IFERROR(__xludf.DUMMYFUNCTION("""COMPUTED_VALUE"""),"Day Return")</f>
        <v>Day Return</v>
      </c>
      <c r="EP5" s="29" t="str">
        <f>IFERROR(__xludf.DUMMYFUNCTION("""COMPUTED_VALUE"""),"Start of Day NAV")</f>
        <v>Start of Day NAV</v>
      </c>
      <c r="EQ5" s="29" t="str">
        <f>IFERROR(__xludf.DUMMYFUNCTION("""COMPUTED_VALUE"""),"% Gross Market Value (Base)")</f>
        <v>% Gross Market Value (Base)</v>
      </c>
      <c r="ER5" s="29" t="str">
        <f>IFERROR(__xludf.DUMMYFUNCTION("""COMPUTED_VALUE"""),"Beta Adj. Gross Exposure (Underlying) (Local)")</f>
        <v>Beta Adj. Gross Exposure (Underlying) (Local)</v>
      </c>
      <c r="ES5" s="29" t="str">
        <f>IFERROR(__xludf.DUMMYFUNCTION("""COMPUTED_VALUE"""),"NAV")</f>
        <v>NAV</v>
      </c>
      <c r="ET5" s="29" t="str">
        <f>IFERROR(__xludf.DUMMYFUNCTION("""COMPUTED_VALUE"""),"% P&amp;L Contribution")</f>
        <v>% P&amp;L Contribution</v>
      </c>
      <c r="EU5" s="29" t="str">
        <f>IFERROR(__xludf.DUMMYFUNCTION("""COMPUTED_VALUE"""),"% Net Market Value (Base)")</f>
        <v>% Net Market Value (Base)</v>
      </c>
      <c r="EV5" s="29" t="str">
        <f>IFERROR(__xludf.DUMMYFUNCTION("""COMPUTED_VALUE"""),"Position Side Exposure")</f>
        <v>Position Side Exposure</v>
      </c>
      <c r="EW5" s="29" t="str">
        <f>IFERROR(__xludf.DUMMYFUNCTION("""COMPUTED_VALUE"""),"NAV (Touch)")</f>
        <v>NAV (Touch)</v>
      </c>
      <c r="EX5" s="29" t="str">
        <f>IFERROR(__xludf.DUMMYFUNCTION("""COMPUTED_VALUE"""),"IgnorePropertyChangeEvents")</f>
        <v>IgnorePropertyChangeEvents</v>
      </c>
      <c r="EY5" s="29" t="str">
        <f>IFERROR(__xludf.DUMMYFUNCTION("""COMPUTED_VALUE"""),"Trade Attribute 1")</f>
        <v>Trade Attribute 1</v>
      </c>
      <c r="EZ5" s="29" t="str">
        <f>IFERROR(__xludf.DUMMYFUNCTION("""COMPUTED_VALUE"""),"Trade Attribute 2")</f>
        <v>Trade Attribute 2</v>
      </c>
      <c r="FA5" s="29" t="str">
        <f>IFERROR(__xludf.DUMMYFUNCTION("""COMPUTED_VALUE"""),"Client")</f>
        <v>Client</v>
      </c>
      <c r="FB5" s="29" t="str">
        <f>IFERROR(__xludf.DUMMYFUNCTION("""COMPUTED_VALUE"""),"IsCustomViewTab")</f>
        <v>IsCustomViewTab</v>
      </c>
      <c r="FC5" s="29" t="str">
        <f>IFERROR(__xludf.DUMMYFUNCTION("""COMPUTED_VALUE"""),"ITM/OTM")</f>
        <v>ITM/OTM</v>
      </c>
      <c r="FD5" s="29" t="str">
        <f>IFERROR(__xludf.DUMMYFUNCTION("""COMPUTED_VALUE"""),"Days to Expiry")</f>
        <v>Days to Expiry</v>
      </c>
      <c r="FE5" s="29" t="str">
        <f>IFERROR(__xludf.DUMMYFUNCTION("""COMPUTED_VALUE"""),"% of Underlying Price")</f>
        <v>% of Underlying Price</v>
      </c>
      <c r="FF5" s="29" t="str">
        <f>IFERROR(__xludf.DUMMYFUNCTION("""COMPUTED_VALUE"""),"Intrinsic value")</f>
        <v>Intrinsic value</v>
      </c>
      <c r="FG5" s="29" t="str">
        <f>IFERROR(__xludf.DUMMYFUNCTION("""COMPUTED_VALUE"""),"Gain/Loss if Ex./Assign")</f>
        <v>Gain/Loss if Ex./Assign</v>
      </c>
      <c r="FH5" s="29" t="str">
        <f>IFERROR(__xludf.DUMMYFUNCTION("""COMPUTED_VALUE"""),"Day Traded Position")</f>
        <v>Day Traded Position</v>
      </c>
      <c r="FI5" s="29" t="str">
        <f>IFERROR(__xludf.DUMMYFUNCTION("""COMPUTED_VALUE"""),"isRowCountCheck")</f>
        <v>isRowCountCheck</v>
      </c>
      <c r="FJ5" s="29" t="str">
        <f>IFERROR(__xludf.DUMMYFUNCTION("""COMPUTED_VALUE"""),"ACTIV Symbol")</f>
        <v>ACTIV Symbol</v>
      </c>
      <c r="FK5" s="29" t="str">
        <f>IFERROR(__xludf.DUMMYFUNCTION("""COMPUTED_VALUE"""),"IsAccountBlank")</f>
        <v>IsAccountBlank</v>
      </c>
      <c r="FL5" s="29" t="str">
        <f>IFERROR(__xludf.DUMMYFUNCTION("""COMPUTED_VALUE"""),"MandatoryColumn")</f>
        <v>MandatoryColumn</v>
      </c>
      <c r="FM5" s="29" t="str">
        <f>IFERROR(__xludf.DUMMYFUNCTION("""COMPUTED_VALUE"""),"Px Last")</f>
        <v>Px Last</v>
      </c>
      <c r="FN5" s="29" t="str">
        <f>IFERROR(__xludf.DUMMYFUNCTION("""COMPUTED_VALUE"""),"Px Ask")</f>
        <v>Px Ask</v>
      </c>
      <c r="FO5" s="29" t="str">
        <f>IFERROR(__xludf.DUMMYFUNCTION("""COMPUTED_VALUE"""),"Px Bid")</f>
        <v>Px Bid</v>
      </c>
      <c r="FP5" s="29" t="str">
        <f>IFERROR(__xludf.DUMMYFUNCTION("""COMPUTED_VALUE"""),"Px Mid")</f>
        <v>Px Mid</v>
      </c>
      <c r="FQ5" s="29" t="str">
        <f>IFERROR(__xludf.DUMMYFUNCTION("""COMPUTED_VALUE"""),"Closing Price")</f>
        <v>Closing Price</v>
      </c>
      <c r="FR5" s="29" t="str">
        <f>IFERROR(__xludf.DUMMYFUNCTION("""COMPUTED_VALUE"""),"Total Volume")</f>
        <v>Total Volume</v>
      </c>
      <c r="FS5" s="29" t="str">
        <f>IFERROR(__xludf.DUMMYFUNCTION("""COMPUTED_VALUE"""),"Custom UDA8")</f>
        <v>Custom UDA8</v>
      </c>
      <c r="FT5" s="29" t="str">
        <f>IFERROR(__xludf.DUMMYFUNCTION("""COMPUTED_VALUE"""),"Custom UDA9")</f>
        <v>Custom UDA9</v>
      </c>
      <c r="FU5" s="29" t="str">
        <f>IFERROR(__xludf.DUMMYFUNCTION("""COMPUTED_VALUE"""),"Custom UDA10")</f>
        <v>Custom UDA10</v>
      </c>
      <c r="FV5" s="29" t="str">
        <f>IFERROR(__xludf.DUMMYFUNCTION("""COMPUTED_VALUE"""),"Custom UDA11")</f>
        <v>Custom UDA11</v>
      </c>
      <c r="FW5" s="29" t="str">
        <f>IFERROR(__xludf.DUMMYFUNCTION("""COMPUTED_VALUE"""),"Custom UDA12")</f>
        <v>Custom UDA12</v>
      </c>
      <c r="FX5" s="29"/>
      <c r="FY5" s="29"/>
      <c r="FZ5" s="29"/>
      <c r="GA5" s="29"/>
      <c r="GB5" s="29"/>
      <c r="GC5" s="29"/>
      <c r="GD5" s="29"/>
      <c r="GE5" s="29"/>
      <c r="GF5" s="29"/>
      <c r="GG5" s="29"/>
    </row>
    <row r="6" ht="15.75" customHeight="1">
      <c r="A6" s="30"/>
      <c r="B6" s="30"/>
      <c r="C6" s="41" t="s">
        <v>16</v>
      </c>
      <c r="D6" s="45">
        <v>100.0</v>
      </c>
      <c r="E6" s="41" t="s">
        <v>18</v>
      </c>
      <c r="F6" s="35"/>
      <c r="G6" s="45">
        <v>10.0</v>
      </c>
      <c r="H6" s="41" t="s">
        <v>51</v>
      </c>
      <c r="I6" s="45">
        <v>0.0</v>
      </c>
      <c r="J6" s="35"/>
      <c r="K6" s="35"/>
      <c r="L6" s="35"/>
      <c r="M6" s="35"/>
      <c r="N6" s="45">
        <v>-1000.0</v>
      </c>
      <c r="O6" s="41" t="s">
        <v>42</v>
      </c>
      <c r="P6" s="45" t="s">
        <v>52</v>
      </c>
      <c r="Q6" s="45">
        <v>-1000.0</v>
      </c>
      <c r="R6" s="41" t="s">
        <v>53</v>
      </c>
      <c r="S6" s="41" t="s">
        <v>54</v>
      </c>
      <c r="T6" s="41" t="s">
        <v>25</v>
      </c>
      <c r="U6" s="41" t="s">
        <v>24</v>
      </c>
      <c r="V6" s="41" t="s">
        <v>34</v>
      </c>
      <c r="W6" s="41" t="s">
        <v>36</v>
      </c>
      <c r="X6" s="45">
        <v>1.0</v>
      </c>
      <c r="Y6" s="45">
        <v>1.0</v>
      </c>
      <c r="Z6" s="35"/>
      <c r="AA6" s="35"/>
      <c r="AB6" s="45">
        <v>0.0</v>
      </c>
      <c r="AC6" s="45">
        <v>0.0</v>
      </c>
      <c r="AD6" s="45">
        <v>0.0</v>
      </c>
      <c r="AE6" s="45">
        <v>0.0</v>
      </c>
      <c r="AF6" s="45">
        <v>100.0</v>
      </c>
      <c r="AG6" s="45">
        <v>0.0</v>
      </c>
      <c r="AH6" s="45">
        <v>0.0</v>
      </c>
      <c r="AI6" s="45">
        <v>0.0</v>
      </c>
      <c r="AJ6" s="45">
        <v>0.0</v>
      </c>
      <c r="AK6" s="45">
        <v>-1000.0</v>
      </c>
      <c r="AL6" s="45">
        <v>1.0</v>
      </c>
      <c r="AM6" s="45">
        <v>1.0</v>
      </c>
      <c r="AN6" s="41" t="s">
        <v>17</v>
      </c>
      <c r="AO6" s="35"/>
      <c r="AP6" s="41" t="s">
        <v>51</v>
      </c>
      <c r="AQ6" s="46" t="s">
        <v>16</v>
      </c>
      <c r="AR6" s="45">
        <v>0.0</v>
      </c>
      <c r="AS6" s="45">
        <v>1.0</v>
      </c>
      <c r="AT6" s="35" t="s">
        <v>55</v>
      </c>
      <c r="AU6" s="41" t="s">
        <v>56</v>
      </c>
      <c r="AV6" s="45" t="s">
        <v>57</v>
      </c>
      <c r="AW6" s="45">
        <v>-1000.0</v>
      </c>
      <c r="AX6" s="45">
        <v>0.0</v>
      </c>
      <c r="AY6" s="45">
        <v>0.0</v>
      </c>
      <c r="AZ6" s="45">
        <v>0.0</v>
      </c>
      <c r="BA6" s="45">
        <v>-100.0</v>
      </c>
      <c r="BB6" s="35"/>
      <c r="BC6" s="45">
        <v>1.0</v>
      </c>
      <c r="BD6" s="45">
        <v>-1000.0</v>
      </c>
      <c r="BE6" s="41" t="s">
        <v>25</v>
      </c>
      <c r="BF6" s="41" t="s">
        <v>58</v>
      </c>
      <c r="BG6" s="41" t="s">
        <v>59</v>
      </c>
      <c r="BH6" s="41" t="s">
        <v>52</v>
      </c>
      <c r="BI6" s="45" t="s">
        <v>60</v>
      </c>
      <c r="BJ6" s="45">
        <v>0.0</v>
      </c>
      <c r="BK6" s="47"/>
      <c r="BL6" s="45">
        <v>0.0</v>
      </c>
      <c r="BM6" s="45">
        <v>0.0</v>
      </c>
      <c r="BN6" s="35"/>
      <c r="BO6" s="45">
        <v>-1000.0</v>
      </c>
      <c r="BP6" s="45">
        <v>0.0</v>
      </c>
      <c r="BQ6" s="46" t="s">
        <v>35</v>
      </c>
      <c r="BR6" s="41" t="s">
        <v>27</v>
      </c>
      <c r="BS6" s="45">
        <v>0.0</v>
      </c>
      <c r="BT6" s="45">
        <v>0.0</v>
      </c>
      <c r="BU6" s="41" t="s">
        <v>25</v>
      </c>
      <c r="BV6" s="35"/>
      <c r="BW6" s="45">
        <v>0.0</v>
      </c>
      <c r="BX6" s="45">
        <v>0.0</v>
      </c>
      <c r="BY6" s="45">
        <v>0.0</v>
      </c>
      <c r="BZ6" s="45">
        <v>0.0</v>
      </c>
      <c r="CA6" s="45">
        <v>0.0</v>
      </c>
      <c r="CB6" s="35"/>
      <c r="CC6" s="45">
        <v>0.0</v>
      </c>
      <c r="CD6" s="45">
        <v>-1000.0</v>
      </c>
      <c r="CE6" s="45">
        <v>0.0</v>
      </c>
      <c r="CF6" s="45">
        <v>0.0</v>
      </c>
      <c r="CG6" s="45">
        <v>-1000.0</v>
      </c>
      <c r="CH6" s="45">
        <v>-100.0</v>
      </c>
      <c r="CI6" s="45">
        <v>0.0</v>
      </c>
      <c r="CJ6" s="45">
        <v>0.0</v>
      </c>
      <c r="CK6" s="48" t="b">
        <v>0</v>
      </c>
      <c r="CL6" s="35"/>
      <c r="CM6" s="35"/>
      <c r="CN6" s="41" t="s">
        <v>16</v>
      </c>
      <c r="CO6" s="41" t="s">
        <v>16</v>
      </c>
      <c r="CP6" s="41" t="s">
        <v>61</v>
      </c>
      <c r="CQ6" s="35" t="s">
        <v>55</v>
      </c>
      <c r="CR6" s="35"/>
      <c r="CS6" s="45">
        <v>10.0</v>
      </c>
      <c r="CT6" s="35"/>
      <c r="CU6" s="35"/>
      <c r="CV6" s="35"/>
      <c r="CW6" s="35"/>
      <c r="CX6" s="35"/>
      <c r="CY6" s="41" t="s">
        <v>45</v>
      </c>
      <c r="CZ6" s="41" t="s">
        <v>62</v>
      </c>
      <c r="DA6" s="45">
        <v>0.0</v>
      </c>
      <c r="DB6" s="45">
        <v>0.0</v>
      </c>
      <c r="DC6" s="35"/>
      <c r="DD6" s="45">
        <v>100.0</v>
      </c>
      <c r="DE6" s="45">
        <v>0.0</v>
      </c>
      <c r="DF6" s="45">
        <v>0.0</v>
      </c>
      <c r="DG6" s="45">
        <v>0.0</v>
      </c>
      <c r="DH6" s="45" t="s">
        <v>52</v>
      </c>
      <c r="DI6" s="45">
        <v>0.0</v>
      </c>
      <c r="DJ6" s="41" t="s">
        <v>17</v>
      </c>
      <c r="DK6" s="45">
        <v>0.0</v>
      </c>
      <c r="DL6" s="45">
        <v>0.0</v>
      </c>
      <c r="DM6" s="45">
        <v>1.0</v>
      </c>
      <c r="DN6" s="45">
        <v>0.0</v>
      </c>
      <c r="DO6" s="35" t="s">
        <v>55</v>
      </c>
      <c r="DP6" s="41" t="s">
        <v>51</v>
      </c>
      <c r="DQ6" s="41" t="s">
        <v>63</v>
      </c>
      <c r="DR6" s="41" t="s">
        <v>64</v>
      </c>
      <c r="DS6" s="41" t="s">
        <v>63</v>
      </c>
      <c r="DT6" s="41" t="s">
        <v>63</v>
      </c>
      <c r="DU6" s="41" t="s">
        <v>65</v>
      </c>
      <c r="DV6" s="41" t="s">
        <v>63</v>
      </c>
      <c r="DW6" s="41" t="s">
        <v>63</v>
      </c>
      <c r="DX6" s="41" t="s">
        <v>63</v>
      </c>
      <c r="DY6" s="41" t="s">
        <v>63</v>
      </c>
      <c r="DZ6" s="41" t="s">
        <v>42</v>
      </c>
      <c r="EA6" s="41" t="s">
        <v>65</v>
      </c>
      <c r="EB6" s="41" t="s">
        <v>63</v>
      </c>
      <c r="EC6" s="41" t="s">
        <v>63</v>
      </c>
      <c r="ED6" s="41" t="s">
        <v>36</v>
      </c>
      <c r="EE6" s="41" t="s">
        <v>66</v>
      </c>
      <c r="EF6" s="45">
        <v>0.0</v>
      </c>
      <c r="EG6" s="45">
        <v>0.0</v>
      </c>
      <c r="EH6" s="45">
        <v>0.0</v>
      </c>
      <c r="EI6" s="45">
        <v>0.0</v>
      </c>
      <c r="EJ6" s="45">
        <v>0.0</v>
      </c>
      <c r="EK6" s="45">
        <v>0.0</v>
      </c>
      <c r="EL6" s="41" t="s">
        <v>51</v>
      </c>
      <c r="EM6" s="45">
        <v>0.0</v>
      </c>
      <c r="EN6" s="45">
        <v>0.0</v>
      </c>
      <c r="EO6" s="45">
        <v>0.0</v>
      </c>
      <c r="EP6" s="35"/>
      <c r="EQ6" s="45">
        <v>0.0</v>
      </c>
      <c r="ER6" s="45">
        <v>0.0</v>
      </c>
      <c r="ES6" s="47"/>
      <c r="ET6" s="45">
        <v>0.0</v>
      </c>
      <c r="EU6" s="45">
        <v>0.0</v>
      </c>
      <c r="EV6" s="41" t="s">
        <v>51</v>
      </c>
      <c r="EW6" s="47"/>
      <c r="EX6" s="48" t="b">
        <v>0</v>
      </c>
      <c r="EY6" s="35"/>
      <c r="EZ6" s="35"/>
      <c r="FA6" s="35"/>
      <c r="FB6" s="35"/>
      <c r="FC6" s="35"/>
      <c r="FD6" s="35"/>
      <c r="FE6" s="35"/>
      <c r="FF6" s="35"/>
      <c r="FG6" s="35"/>
      <c r="FH6" s="35"/>
      <c r="FI6" s="35"/>
      <c r="FJ6" s="35"/>
      <c r="FK6" s="35"/>
      <c r="FL6" s="35"/>
    </row>
    <row r="7" ht="15.75" customHeight="1">
      <c r="A7" s="35"/>
      <c r="B7" s="35"/>
      <c r="C7" s="41" t="s">
        <v>16</v>
      </c>
      <c r="D7" s="45">
        <v>100.0</v>
      </c>
      <c r="E7" s="41" t="s">
        <v>18</v>
      </c>
      <c r="F7" s="35"/>
      <c r="G7" s="45">
        <v>10.0</v>
      </c>
      <c r="H7" s="41" t="s">
        <v>51</v>
      </c>
      <c r="I7" s="45">
        <v>0.0</v>
      </c>
      <c r="J7" s="35"/>
      <c r="K7" s="35"/>
      <c r="L7" s="35"/>
      <c r="M7" s="35"/>
      <c r="N7" s="45">
        <v>-1000.0</v>
      </c>
      <c r="O7" s="41" t="s">
        <v>42</v>
      </c>
      <c r="P7" s="45" t="s">
        <v>52</v>
      </c>
      <c r="Q7" s="45">
        <v>-1000.0</v>
      </c>
      <c r="R7" s="41" t="s">
        <v>53</v>
      </c>
      <c r="S7" s="41" t="s">
        <v>54</v>
      </c>
      <c r="T7" s="41" t="s">
        <v>25</v>
      </c>
      <c r="U7" s="41" t="s">
        <v>24</v>
      </c>
      <c r="V7" s="41" t="s">
        <v>34</v>
      </c>
      <c r="W7" s="41" t="s">
        <v>36</v>
      </c>
      <c r="X7" s="45">
        <v>1.0</v>
      </c>
      <c r="Y7" s="45">
        <v>1.0</v>
      </c>
      <c r="Z7" s="35"/>
      <c r="AA7" s="35"/>
      <c r="AB7" s="45">
        <v>0.0</v>
      </c>
      <c r="AC7" s="45">
        <v>0.0</v>
      </c>
      <c r="AD7" s="45">
        <v>0.0</v>
      </c>
      <c r="AE7" s="45">
        <v>0.0</v>
      </c>
      <c r="AF7" s="45">
        <v>100.0</v>
      </c>
      <c r="AG7" s="45">
        <v>0.0</v>
      </c>
      <c r="AH7" s="45">
        <v>0.0</v>
      </c>
      <c r="AI7" s="45">
        <v>0.0</v>
      </c>
      <c r="AJ7" s="45">
        <v>0.0</v>
      </c>
      <c r="AK7" s="45">
        <v>-1000.0</v>
      </c>
      <c r="AL7" s="45">
        <v>1.0</v>
      </c>
      <c r="AM7" s="45">
        <v>1.0</v>
      </c>
      <c r="AN7" s="41" t="s">
        <v>17</v>
      </c>
      <c r="AO7" s="35"/>
      <c r="AP7" s="41" t="s">
        <v>51</v>
      </c>
      <c r="AQ7" s="46" t="s">
        <v>16</v>
      </c>
      <c r="AR7" s="45">
        <v>0.0</v>
      </c>
      <c r="AS7" s="45">
        <v>1.0</v>
      </c>
      <c r="AT7" s="35" t="s">
        <v>55</v>
      </c>
      <c r="AU7" s="41" t="s">
        <v>56</v>
      </c>
      <c r="AV7" s="45" t="s">
        <v>57</v>
      </c>
      <c r="AW7" s="45">
        <v>-1000.0</v>
      </c>
      <c r="AX7" s="45">
        <v>0.0</v>
      </c>
      <c r="AY7" s="45">
        <v>0.0</v>
      </c>
      <c r="AZ7" s="45">
        <v>0.0</v>
      </c>
      <c r="BA7" s="45">
        <v>-100.0</v>
      </c>
      <c r="BB7" s="35"/>
      <c r="BC7" s="45">
        <v>1.0</v>
      </c>
      <c r="BD7" s="45">
        <v>-1000.0</v>
      </c>
      <c r="BE7" s="41" t="s">
        <v>25</v>
      </c>
      <c r="BF7" s="41" t="s">
        <v>58</v>
      </c>
      <c r="BG7" s="41" t="s">
        <v>59</v>
      </c>
      <c r="BH7" s="41" t="s">
        <v>52</v>
      </c>
      <c r="BI7" s="45" t="s">
        <v>60</v>
      </c>
      <c r="BJ7" s="45">
        <v>0.0</v>
      </c>
      <c r="BK7" s="47"/>
      <c r="BL7" s="45">
        <v>0.0</v>
      </c>
      <c r="BM7" s="45">
        <v>0.0</v>
      </c>
      <c r="BN7" s="35"/>
      <c r="BO7" s="45">
        <v>-1000.0</v>
      </c>
      <c r="BP7" s="45">
        <v>0.0</v>
      </c>
      <c r="BQ7" s="46" t="s">
        <v>35</v>
      </c>
      <c r="BR7" s="41" t="s">
        <v>27</v>
      </c>
      <c r="BS7" s="45">
        <v>0.0</v>
      </c>
      <c r="BT7" s="45">
        <v>0.0</v>
      </c>
      <c r="BU7" s="41" t="s">
        <v>25</v>
      </c>
      <c r="BV7" s="35"/>
      <c r="BW7" s="45">
        <v>0.0</v>
      </c>
      <c r="BX7" s="45">
        <v>0.0</v>
      </c>
      <c r="BY7" s="45">
        <v>0.0</v>
      </c>
      <c r="BZ7" s="45">
        <v>0.0</v>
      </c>
      <c r="CA7" s="45">
        <v>0.0</v>
      </c>
      <c r="CB7" s="35"/>
      <c r="CC7" s="45">
        <v>0.0</v>
      </c>
      <c r="CD7" s="45">
        <v>-1000.0</v>
      </c>
      <c r="CE7" s="45">
        <v>0.0</v>
      </c>
      <c r="CF7" s="45">
        <v>0.0</v>
      </c>
      <c r="CG7" s="45">
        <v>-1000.0</v>
      </c>
      <c r="CH7" s="45">
        <v>-100.0</v>
      </c>
      <c r="CI7" s="45">
        <v>0.0</v>
      </c>
      <c r="CJ7" s="45">
        <v>0.0</v>
      </c>
      <c r="CK7" s="48" t="b">
        <v>0</v>
      </c>
      <c r="CL7" s="35"/>
      <c r="CM7" s="35"/>
      <c r="CN7" s="41" t="s">
        <v>16</v>
      </c>
      <c r="CO7" s="41" t="s">
        <v>16</v>
      </c>
      <c r="CP7" s="41" t="s">
        <v>61</v>
      </c>
      <c r="CQ7" s="35" t="s">
        <v>55</v>
      </c>
      <c r="CR7" s="35"/>
      <c r="CS7" s="45">
        <v>10.0</v>
      </c>
      <c r="CT7" s="35"/>
      <c r="CU7" s="35"/>
      <c r="CV7" s="35"/>
      <c r="CW7" s="35"/>
      <c r="CX7" s="35"/>
      <c r="CY7" s="41" t="s">
        <v>45</v>
      </c>
      <c r="CZ7" s="41" t="s">
        <v>62</v>
      </c>
      <c r="DA7" s="45">
        <v>0.0</v>
      </c>
      <c r="DB7" s="45">
        <v>0.0</v>
      </c>
      <c r="DC7" s="35"/>
      <c r="DD7" s="45">
        <v>100.0</v>
      </c>
      <c r="DE7" s="45">
        <v>0.0</v>
      </c>
      <c r="DF7" s="45">
        <v>0.0</v>
      </c>
      <c r="DG7" s="45">
        <v>0.0</v>
      </c>
      <c r="DH7" s="45" t="s">
        <v>52</v>
      </c>
      <c r="DI7" s="45">
        <v>0.0</v>
      </c>
      <c r="DJ7" s="41" t="s">
        <v>17</v>
      </c>
      <c r="DK7" s="45">
        <v>0.0</v>
      </c>
      <c r="DL7" s="45">
        <v>0.0</v>
      </c>
      <c r="DM7" s="45">
        <v>1.0</v>
      </c>
      <c r="DN7" s="45">
        <v>0.0</v>
      </c>
      <c r="DO7" s="35" t="s">
        <v>55</v>
      </c>
      <c r="DP7" s="41" t="s">
        <v>51</v>
      </c>
      <c r="DQ7" s="41" t="s">
        <v>63</v>
      </c>
      <c r="DR7" s="41" t="s">
        <v>64</v>
      </c>
      <c r="DS7" s="41" t="s">
        <v>63</v>
      </c>
      <c r="DT7" s="41" t="s">
        <v>63</v>
      </c>
      <c r="DU7" s="41" t="s">
        <v>65</v>
      </c>
      <c r="DV7" s="41" t="s">
        <v>63</v>
      </c>
      <c r="DW7" s="41" t="s">
        <v>63</v>
      </c>
      <c r="DX7" s="41" t="s">
        <v>63</v>
      </c>
      <c r="DY7" s="41" t="s">
        <v>63</v>
      </c>
      <c r="DZ7" s="41" t="s">
        <v>42</v>
      </c>
      <c r="EA7" s="41" t="s">
        <v>65</v>
      </c>
      <c r="EB7" s="41" t="s">
        <v>63</v>
      </c>
      <c r="EC7" s="41" t="s">
        <v>63</v>
      </c>
      <c r="ED7" s="41" t="s">
        <v>36</v>
      </c>
      <c r="EE7" s="41" t="s">
        <v>66</v>
      </c>
      <c r="EF7" s="45">
        <v>0.0</v>
      </c>
      <c r="EG7" s="45">
        <v>0.0</v>
      </c>
      <c r="EH7" s="45">
        <v>0.0</v>
      </c>
      <c r="EI7" s="45">
        <v>0.0</v>
      </c>
      <c r="EJ7" s="45">
        <v>0.0</v>
      </c>
      <c r="EK7" s="45">
        <v>0.0</v>
      </c>
      <c r="EL7" s="41" t="s">
        <v>51</v>
      </c>
      <c r="EM7" s="45">
        <v>0.0</v>
      </c>
      <c r="EN7" s="45">
        <v>0.0</v>
      </c>
      <c r="EO7" s="45">
        <v>0.0</v>
      </c>
      <c r="EP7" s="35"/>
      <c r="EQ7" s="45">
        <v>0.0</v>
      </c>
      <c r="ER7" s="45">
        <v>0.0</v>
      </c>
      <c r="ES7" s="47"/>
      <c r="ET7" s="45">
        <v>0.0</v>
      </c>
      <c r="EU7" s="45">
        <v>0.0</v>
      </c>
      <c r="EV7" s="41" t="s">
        <v>51</v>
      </c>
      <c r="EW7" s="47"/>
      <c r="EX7" s="48" t="b">
        <v>0</v>
      </c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</row>
    <row r="8" ht="15.75" customHeight="1">
      <c r="A8" s="35"/>
      <c r="B8" s="35"/>
      <c r="C8" s="41" t="s">
        <v>16</v>
      </c>
      <c r="D8" s="45">
        <v>100.0</v>
      </c>
      <c r="E8" s="41" t="s">
        <v>18</v>
      </c>
      <c r="F8" s="35"/>
      <c r="G8" s="45">
        <v>0.0</v>
      </c>
      <c r="H8" s="41" t="s">
        <v>51</v>
      </c>
      <c r="I8" s="45">
        <v>0.0</v>
      </c>
      <c r="J8" s="35"/>
      <c r="K8" s="35"/>
      <c r="L8" s="35"/>
      <c r="M8" s="35"/>
      <c r="N8" s="49">
        <v>0.0</v>
      </c>
      <c r="O8" s="41" t="s">
        <v>42</v>
      </c>
      <c r="P8" s="45" t="s">
        <v>52</v>
      </c>
      <c r="Q8" s="49">
        <v>0.0</v>
      </c>
      <c r="R8" s="41" t="s">
        <v>53</v>
      </c>
      <c r="S8" s="41" t="s">
        <v>54</v>
      </c>
      <c r="T8" s="41" t="s">
        <v>25</v>
      </c>
      <c r="U8" s="41" t="s">
        <v>24</v>
      </c>
      <c r="V8" s="41" t="s">
        <v>34</v>
      </c>
      <c r="W8" s="41" t="s">
        <v>36</v>
      </c>
      <c r="X8" s="45">
        <v>1.0</v>
      </c>
      <c r="Y8" s="45">
        <v>1.0</v>
      </c>
      <c r="Z8" s="35"/>
      <c r="AA8" s="35"/>
      <c r="AB8" s="45">
        <v>0.0</v>
      </c>
      <c r="AC8" s="45">
        <v>0.0</v>
      </c>
      <c r="AD8" s="45">
        <v>0.0</v>
      </c>
      <c r="AE8" s="45">
        <v>0.0</v>
      </c>
      <c r="AF8" s="45">
        <v>100.0</v>
      </c>
      <c r="AG8" s="45">
        <v>0.0</v>
      </c>
      <c r="AH8" s="45">
        <v>0.0</v>
      </c>
      <c r="AI8" s="45">
        <v>0.0</v>
      </c>
      <c r="AJ8" s="45">
        <v>0.0</v>
      </c>
      <c r="AK8" s="49">
        <v>0.0</v>
      </c>
      <c r="AL8" s="45">
        <v>1.0</v>
      </c>
      <c r="AM8" s="45">
        <v>1.0</v>
      </c>
      <c r="AN8" s="41" t="s">
        <v>17</v>
      </c>
      <c r="AO8" s="35"/>
      <c r="AP8" s="41" t="s">
        <v>51</v>
      </c>
      <c r="AQ8" s="46" t="s">
        <v>16</v>
      </c>
      <c r="AR8" s="45">
        <v>0.0</v>
      </c>
      <c r="AS8" s="45">
        <v>1.0</v>
      </c>
      <c r="AT8" s="41" t="s">
        <v>67</v>
      </c>
      <c r="AU8" s="41" t="s">
        <v>56</v>
      </c>
      <c r="AV8" s="45" t="s">
        <v>57</v>
      </c>
      <c r="AW8" s="49">
        <v>0.0</v>
      </c>
      <c r="AX8" s="45">
        <v>0.0</v>
      </c>
      <c r="AY8" s="45">
        <v>0.0</v>
      </c>
      <c r="AZ8" s="45">
        <v>0.0</v>
      </c>
      <c r="BA8" s="49">
        <v>0.0</v>
      </c>
      <c r="BB8" s="35"/>
      <c r="BC8" s="45">
        <v>1.0</v>
      </c>
      <c r="BD8" s="49">
        <v>0.0</v>
      </c>
      <c r="BE8" s="41" t="s">
        <v>25</v>
      </c>
      <c r="BF8" s="41" t="s">
        <v>58</v>
      </c>
      <c r="BG8" s="41" t="s">
        <v>59</v>
      </c>
      <c r="BH8" s="41" t="s">
        <v>52</v>
      </c>
      <c r="BI8" s="45" t="s">
        <v>60</v>
      </c>
      <c r="BJ8" s="45">
        <v>0.0</v>
      </c>
      <c r="BK8" s="47"/>
      <c r="BL8" s="45">
        <v>0.0</v>
      </c>
      <c r="BM8" s="45">
        <v>0.0</v>
      </c>
      <c r="BN8" s="35"/>
      <c r="BO8" s="49">
        <v>0.0</v>
      </c>
      <c r="BP8" s="45">
        <v>0.0</v>
      </c>
      <c r="BQ8" s="46" t="s">
        <v>35</v>
      </c>
      <c r="BR8" s="41" t="s">
        <v>27</v>
      </c>
      <c r="BS8" s="45">
        <v>0.0</v>
      </c>
      <c r="BT8" s="45">
        <v>0.0</v>
      </c>
      <c r="BU8" s="41" t="s">
        <v>25</v>
      </c>
      <c r="BV8" s="35"/>
      <c r="BW8" s="45">
        <v>0.0</v>
      </c>
      <c r="BX8" s="45">
        <v>0.0</v>
      </c>
      <c r="BY8" s="45">
        <v>0.0</v>
      </c>
      <c r="BZ8" s="45">
        <v>0.0</v>
      </c>
      <c r="CA8" s="45">
        <v>0.0</v>
      </c>
      <c r="CB8" s="35"/>
      <c r="CC8" s="45">
        <v>0.0</v>
      </c>
      <c r="CD8" s="47"/>
      <c r="CE8" s="45">
        <v>0.0</v>
      </c>
      <c r="CF8" s="45">
        <v>0.0</v>
      </c>
      <c r="CG8" s="47"/>
      <c r="CH8" s="47"/>
      <c r="CI8" s="45">
        <v>0.0</v>
      </c>
      <c r="CJ8" s="45">
        <v>0.0</v>
      </c>
      <c r="CK8" s="48" t="b">
        <v>0</v>
      </c>
      <c r="CL8" s="35"/>
      <c r="CM8" s="35"/>
      <c r="CN8" s="41" t="s">
        <v>16</v>
      </c>
      <c r="CO8" s="41" t="s">
        <v>16</v>
      </c>
      <c r="CP8" s="41" t="s">
        <v>61</v>
      </c>
      <c r="CQ8" s="35" t="s">
        <v>55</v>
      </c>
      <c r="CR8" s="35"/>
      <c r="CS8" s="47"/>
      <c r="CT8" s="35"/>
      <c r="CU8" s="35"/>
      <c r="CV8" s="35"/>
      <c r="CW8" s="35"/>
      <c r="CX8" s="35"/>
      <c r="CY8" s="41" t="s">
        <v>45</v>
      </c>
      <c r="CZ8" s="41" t="s">
        <v>62</v>
      </c>
      <c r="DA8" s="45">
        <v>0.0</v>
      </c>
      <c r="DB8" s="45">
        <v>0.0</v>
      </c>
      <c r="DC8" s="35"/>
      <c r="DD8" s="45">
        <v>100.0</v>
      </c>
      <c r="DE8" s="45">
        <v>0.0</v>
      </c>
      <c r="DF8" s="45">
        <v>0.0</v>
      </c>
      <c r="DG8" s="45">
        <v>0.0</v>
      </c>
      <c r="DH8" s="45" t="s">
        <v>52</v>
      </c>
      <c r="DI8" s="45">
        <v>0.0</v>
      </c>
      <c r="DJ8" s="41" t="s">
        <v>17</v>
      </c>
      <c r="DK8" s="45">
        <v>0.0</v>
      </c>
      <c r="DL8" s="45">
        <v>0.0</v>
      </c>
      <c r="DM8" s="45">
        <v>1.0</v>
      </c>
      <c r="DN8" s="45">
        <v>0.0</v>
      </c>
      <c r="DO8" s="35" t="s">
        <v>55</v>
      </c>
      <c r="DP8" s="41" t="s">
        <v>51</v>
      </c>
      <c r="DQ8" s="41" t="s">
        <v>63</v>
      </c>
      <c r="DR8" s="41" t="s">
        <v>64</v>
      </c>
      <c r="DS8" s="41" t="s">
        <v>63</v>
      </c>
      <c r="DT8" s="41" t="s">
        <v>63</v>
      </c>
      <c r="DU8" s="41" t="s">
        <v>65</v>
      </c>
      <c r="DV8" s="41" t="s">
        <v>63</v>
      </c>
      <c r="DW8" s="41" t="s">
        <v>63</v>
      </c>
      <c r="DX8" s="41" t="s">
        <v>63</v>
      </c>
      <c r="DY8" s="41" t="s">
        <v>63</v>
      </c>
      <c r="DZ8" s="41" t="s">
        <v>42</v>
      </c>
      <c r="EA8" s="41" t="s">
        <v>65</v>
      </c>
      <c r="EB8" s="41" t="s">
        <v>63</v>
      </c>
      <c r="EC8" s="41" t="s">
        <v>63</v>
      </c>
      <c r="ED8" s="41" t="s">
        <v>36</v>
      </c>
      <c r="EE8" s="41" t="s">
        <v>66</v>
      </c>
      <c r="EF8" s="45">
        <v>0.0</v>
      </c>
      <c r="EG8" s="45">
        <v>0.0</v>
      </c>
      <c r="EH8" s="45">
        <v>0.0</v>
      </c>
      <c r="EI8" s="45">
        <v>0.0</v>
      </c>
      <c r="EJ8" s="45">
        <v>0.0</v>
      </c>
      <c r="EK8" s="45">
        <v>0.0</v>
      </c>
      <c r="EL8" s="41" t="s">
        <v>51</v>
      </c>
      <c r="EM8" s="45">
        <v>0.0</v>
      </c>
      <c r="EN8" s="45">
        <v>0.0</v>
      </c>
      <c r="EO8" s="45">
        <v>0.0</v>
      </c>
      <c r="EP8" s="35"/>
      <c r="EQ8" s="45">
        <v>0.0</v>
      </c>
      <c r="ER8" s="45">
        <v>0.0</v>
      </c>
      <c r="ES8" s="47"/>
      <c r="ET8" s="45">
        <v>0.0</v>
      </c>
      <c r="EU8" s="45">
        <v>0.0</v>
      </c>
      <c r="EV8" s="41" t="s">
        <v>51</v>
      </c>
      <c r="EW8" s="47"/>
      <c r="EX8" s="48" t="b">
        <v>0</v>
      </c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</row>
    <row r="9" ht="15.75" customHeight="1">
      <c r="A9" s="35"/>
      <c r="B9" s="35"/>
      <c r="C9" s="41" t="s">
        <v>16</v>
      </c>
      <c r="D9" s="45">
        <v>100.0</v>
      </c>
      <c r="E9" s="41" t="s">
        <v>18</v>
      </c>
      <c r="F9" s="35"/>
      <c r="G9" s="45">
        <v>0.0</v>
      </c>
      <c r="H9" s="41" t="s">
        <v>51</v>
      </c>
      <c r="I9" s="45">
        <v>0.0</v>
      </c>
      <c r="J9" s="35"/>
      <c r="K9" s="35"/>
      <c r="L9" s="35"/>
      <c r="M9" s="35"/>
      <c r="N9" s="49">
        <v>0.0</v>
      </c>
      <c r="O9" s="41" t="s">
        <v>42</v>
      </c>
      <c r="P9" s="45" t="s">
        <v>52</v>
      </c>
      <c r="Q9" s="49">
        <v>0.0</v>
      </c>
      <c r="R9" s="41" t="s">
        <v>53</v>
      </c>
      <c r="S9" s="41" t="s">
        <v>54</v>
      </c>
      <c r="T9" s="41" t="s">
        <v>25</v>
      </c>
      <c r="U9" s="41" t="s">
        <v>24</v>
      </c>
      <c r="V9" s="41" t="s">
        <v>34</v>
      </c>
      <c r="W9" s="41" t="s">
        <v>36</v>
      </c>
      <c r="X9" s="45">
        <v>1.0</v>
      </c>
      <c r="Y9" s="45">
        <v>1.0</v>
      </c>
      <c r="Z9" s="35"/>
      <c r="AA9" s="35"/>
      <c r="AB9" s="45">
        <v>0.0</v>
      </c>
      <c r="AC9" s="45">
        <v>0.0</v>
      </c>
      <c r="AD9" s="45">
        <v>0.0</v>
      </c>
      <c r="AE9" s="45">
        <v>0.0</v>
      </c>
      <c r="AF9" s="45">
        <v>100.0</v>
      </c>
      <c r="AG9" s="45">
        <v>0.0</v>
      </c>
      <c r="AH9" s="45">
        <v>0.0</v>
      </c>
      <c r="AI9" s="45">
        <v>0.0</v>
      </c>
      <c r="AJ9" s="45">
        <v>0.0</v>
      </c>
      <c r="AK9" s="49">
        <v>0.0</v>
      </c>
      <c r="AL9" s="45">
        <v>1.0</v>
      </c>
      <c r="AM9" s="45">
        <v>1.0</v>
      </c>
      <c r="AN9" s="41" t="s">
        <v>17</v>
      </c>
      <c r="AO9" s="35"/>
      <c r="AP9" s="41" t="s">
        <v>51</v>
      </c>
      <c r="AQ9" s="46" t="s">
        <v>16</v>
      </c>
      <c r="AR9" s="45">
        <v>0.0</v>
      </c>
      <c r="AS9" s="45">
        <v>1.0</v>
      </c>
      <c r="AT9" s="41" t="s">
        <v>67</v>
      </c>
      <c r="AU9" s="41" t="s">
        <v>56</v>
      </c>
      <c r="AV9" s="45" t="s">
        <v>57</v>
      </c>
      <c r="AW9" s="49">
        <v>0.0</v>
      </c>
      <c r="AX9" s="45">
        <v>0.0</v>
      </c>
      <c r="AY9" s="45">
        <v>0.0</v>
      </c>
      <c r="AZ9" s="45">
        <v>0.0</v>
      </c>
      <c r="BA9" s="49">
        <v>0.0</v>
      </c>
      <c r="BB9" s="35"/>
      <c r="BC9" s="45">
        <v>1.0</v>
      </c>
      <c r="BD9" s="49">
        <v>0.0</v>
      </c>
      <c r="BE9" s="41" t="s">
        <v>25</v>
      </c>
      <c r="BF9" s="41" t="s">
        <v>58</v>
      </c>
      <c r="BG9" s="41" t="s">
        <v>59</v>
      </c>
      <c r="BH9" s="41" t="s">
        <v>52</v>
      </c>
      <c r="BI9" s="45" t="s">
        <v>60</v>
      </c>
      <c r="BJ9" s="45">
        <v>0.0</v>
      </c>
      <c r="BK9" s="47"/>
      <c r="BL9" s="45">
        <v>0.0</v>
      </c>
      <c r="BM9" s="45">
        <v>0.0</v>
      </c>
      <c r="BN9" s="35"/>
      <c r="BO9" s="49">
        <v>0.0</v>
      </c>
      <c r="BP9" s="45">
        <v>0.0</v>
      </c>
      <c r="BQ9" s="46" t="s">
        <v>35</v>
      </c>
      <c r="BR9" s="41" t="s">
        <v>27</v>
      </c>
      <c r="BS9" s="45">
        <v>0.0</v>
      </c>
      <c r="BT9" s="45">
        <v>0.0</v>
      </c>
      <c r="BU9" s="41" t="s">
        <v>25</v>
      </c>
      <c r="BV9" s="35"/>
      <c r="BW9" s="45">
        <v>0.0</v>
      </c>
      <c r="BX9" s="45">
        <v>0.0</v>
      </c>
      <c r="BY9" s="45">
        <v>0.0</v>
      </c>
      <c r="BZ9" s="45">
        <v>0.0</v>
      </c>
      <c r="CA9" s="45">
        <v>0.0</v>
      </c>
      <c r="CB9" s="35"/>
      <c r="CC9" s="45">
        <v>0.0</v>
      </c>
      <c r="CD9" s="47"/>
      <c r="CE9" s="45">
        <v>0.0</v>
      </c>
      <c r="CF9" s="45">
        <v>0.0</v>
      </c>
      <c r="CG9" s="47"/>
      <c r="CH9" s="47"/>
      <c r="CI9" s="45">
        <v>0.0</v>
      </c>
      <c r="CJ9" s="45">
        <v>0.0</v>
      </c>
      <c r="CK9" s="48" t="b">
        <v>0</v>
      </c>
      <c r="CL9" s="35"/>
      <c r="CM9" s="35"/>
      <c r="CN9" s="41" t="s">
        <v>16</v>
      </c>
      <c r="CO9" s="41" t="s">
        <v>16</v>
      </c>
      <c r="CP9" s="41" t="s">
        <v>61</v>
      </c>
      <c r="CQ9" s="35" t="s">
        <v>55</v>
      </c>
      <c r="CR9" s="35"/>
      <c r="CS9" s="47"/>
      <c r="CT9" s="35"/>
      <c r="CU9" s="35"/>
      <c r="CV9" s="35"/>
      <c r="CW9" s="35"/>
      <c r="CX9" s="35"/>
      <c r="CY9" s="41" t="s">
        <v>45</v>
      </c>
      <c r="CZ9" s="41" t="s">
        <v>62</v>
      </c>
      <c r="DA9" s="45">
        <v>0.0</v>
      </c>
      <c r="DB9" s="45">
        <v>0.0</v>
      </c>
      <c r="DC9" s="35"/>
      <c r="DD9" s="45">
        <v>100.0</v>
      </c>
      <c r="DE9" s="45">
        <v>0.0</v>
      </c>
      <c r="DF9" s="45">
        <v>0.0</v>
      </c>
      <c r="DG9" s="45">
        <v>0.0</v>
      </c>
      <c r="DH9" s="45" t="s">
        <v>52</v>
      </c>
      <c r="DI9" s="45">
        <v>0.0</v>
      </c>
      <c r="DJ9" s="41" t="s">
        <v>17</v>
      </c>
      <c r="DK9" s="45">
        <v>0.0</v>
      </c>
      <c r="DL9" s="45">
        <v>0.0</v>
      </c>
      <c r="DM9" s="45">
        <v>1.0</v>
      </c>
      <c r="DN9" s="45">
        <v>0.0</v>
      </c>
      <c r="DO9" s="35" t="s">
        <v>55</v>
      </c>
      <c r="DP9" s="41" t="s">
        <v>51</v>
      </c>
      <c r="DQ9" s="41" t="s">
        <v>63</v>
      </c>
      <c r="DR9" s="41" t="s">
        <v>64</v>
      </c>
      <c r="DS9" s="41" t="s">
        <v>63</v>
      </c>
      <c r="DT9" s="41" t="s">
        <v>63</v>
      </c>
      <c r="DU9" s="41" t="s">
        <v>65</v>
      </c>
      <c r="DV9" s="41" t="s">
        <v>63</v>
      </c>
      <c r="DW9" s="41" t="s">
        <v>63</v>
      </c>
      <c r="DX9" s="41" t="s">
        <v>63</v>
      </c>
      <c r="DY9" s="41" t="s">
        <v>63</v>
      </c>
      <c r="DZ9" s="41" t="s">
        <v>42</v>
      </c>
      <c r="EA9" s="41" t="s">
        <v>65</v>
      </c>
      <c r="EB9" s="41" t="s">
        <v>63</v>
      </c>
      <c r="EC9" s="41" t="s">
        <v>63</v>
      </c>
      <c r="ED9" s="41" t="s">
        <v>36</v>
      </c>
      <c r="EE9" s="41" t="s">
        <v>66</v>
      </c>
      <c r="EF9" s="45">
        <v>0.0</v>
      </c>
      <c r="EG9" s="45">
        <v>0.0</v>
      </c>
      <c r="EH9" s="45">
        <v>0.0</v>
      </c>
      <c r="EI9" s="45">
        <v>0.0</v>
      </c>
      <c r="EJ9" s="45">
        <v>0.0</v>
      </c>
      <c r="EK9" s="45">
        <v>0.0</v>
      </c>
      <c r="EL9" s="41" t="s">
        <v>51</v>
      </c>
      <c r="EM9" s="45">
        <v>0.0</v>
      </c>
      <c r="EN9" s="45">
        <v>0.0</v>
      </c>
      <c r="EO9" s="45">
        <v>0.0</v>
      </c>
      <c r="EP9" s="35"/>
      <c r="EQ9" s="45">
        <v>0.0</v>
      </c>
      <c r="ER9" s="45">
        <v>0.0</v>
      </c>
      <c r="ES9" s="47"/>
      <c r="ET9" s="45">
        <v>0.0</v>
      </c>
      <c r="EU9" s="45">
        <v>0.0</v>
      </c>
      <c r="EV9" s="41" t="s">
        <v>51</v>
      </c>
      <c r="EW9" s="47"/>
      <c r="EX9" s="48" t="b">
        <v>0</v>
      </c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</row>
    <row r="10" ht="15.75" customHeight="1">
      <c r="A10" s="35"/>
      <c r="B10" s="35"/>
      <c r="C10" s="43" t="s">
        <v>16</v>
      </c>
      <c r="D10" s="49">
        <v>100.0</v>
      </c>
      <c r="E10" s="43" t="s">
        <v>18</v>
      </c>
      <c r="F10" s="35"/>
      <c r="G10" s="49">
        <v>0.0</v>
      </c>
      <c r="H10" s="43" t="s">
        <v>51</v>
      </c>
      <c r="I10" s="47"/>
      <c r="J10" s="35"/>
      <c r="K10" s="35"/>
      <c r="L10" s="35"/>
      <c r="M10" s="35"/>
      <c r="N10" s="47"/>
      <c r="O10" s="35"/>
      <c r="P10" s="47"/>
      <c r="Q10" s="47"/>
      <c r="R10" s="43" t="s">
        <v>53</v>
      </c>
      <c r="S10" s="43" t="s">
        <v>54</v>
      </c>
      <c r="T10" s="43" t="s">
        <v>25</v>
      </c>
      <c r="U10" s="43" t="s">
        <v>24</v>
      </c>
      <c r="V10" s="43" t="s">
        <v>34</v>
      </c>
      <c r="W10" s="43" t="s">
        <v>36</v>
      </c>
      <c r="X10" s="47"/>
      <c r="Y10" s="49">
        <v>1.0</v>
      </c>
      <c r="Z10" s="35"/>
      <c r="AA10" s="35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3" t="s">
        <v>17</v>
      </c>
      <c r="AO10" s="35"/>
      <c r="AP10" s="43" t="s">
        <v>51</v>
      </c>
      <c r="AQ10" s="50" t="s">
        <v>16</v>
      </c>
      <c r="AR10" s="47"/>
      <c r="AS10" s="47"/>
      <c r="AT10" s="35"/>
      <c r="AU10" s="35"/>
      <c r="AV10" s="47"/>
      <c r="AW10" s="47"/>
      <c r="AX10" s="47"/>
      <c r="AY10" s="47"/>
      <c r="AZ10" s="47"/>
      <c r="BA10" s="47"/>
      <c r="BB10" s="35"/>
      <c r="BC10" s="47"/>
      <c r="BD10" s="47"/>
      <c r="BE10" s="43" t="s">
        <v>25</v>
      </c>
      <c r="BF10" s="35"/>
      <c r="BG10" s="35"/>
      <c r="BH10" s="35"/>
      <c r="BI10" s="47"/>
      <c r="BJ10" s="47"/>
      <c r="BK10" s="47"/>
      <c r="BL10" s="47"/>
      <c r="BM10" s="47"/>
      <c r="BN10" s="35"/>
      <c r="BO10" s="47"/>
      <c r="BP10" s="47"/>
      <c r="BQ10" s="47"/>
      <c r="BR10" s="35"/>
      <c r="BS10" s="47"/>
      <c r="BT10" s="47"/>
      <c r="BU10" s="43" t="s">
        <v>25</v>
      </c>
      <c r="BV10" s="35"/>
      <c r="BW10" s="47"/>
      <c r="BX10" s="47"/>
      <c r="BY10" s="47"/>
      <c r="BZ10" s="47"/>
      <c r="CA10" s="47"/>
      <c r="CB10" s="35"/>
      <c r="CC10" s="47"/>
      <c r="CD10" s="47"/>
      <c r="CE10" s="47"/>
      <c r="CF10" s="47"/>
      <c r="CG10" s="47"/>
      <c r="CH10" s="47"/>
      <c r="CI10" s="47"/>
      <c r="CJ10" s="47"/>
      <c r="CK10" s="35"/>
      <c r="CL10" s="35"/>
      <c r="CM10" s="35"/>
      <c r="CN10" s="35"/>
      <c r="CO10" s="35"/>
      <c r="CP10" s="35"/>
      <c r="CQ10" s="35"/>
      <c r="CR10" s="35"/>
      <c r="CS10" s="47"/>
      <c r="CT10" s="35"/>
      <c r="CU10" s="35"/>
      <c r="CV10" s="35"/>
      <c r="CW10" s="35"/>
      <c r="CX10" s="35"/>
      <c r="CY10" s="35"/>
      <c r="CZ10" s="35"/>
      <c r="DA10" s="47"/>
      <c r="DB10" s="47"/>
      <c r="DC10" s="35"/>
      <c r="DD10" s="47"/>
      <c r="DE10" s="47"/>
      <c r="DF10" s="47"/>
      <c r="DG10" s="47"/>
      <c r="DH10" s="47"/>
      <c r="DI10" s="47"/>
      <c r="DJ10" s="35"/>
      <c r="DK10" s="47"/>
      <c r="DL10" s="47"/>
      <c r="DM10" s="47"/>
      <c r="DN10" s="47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47"/>
      <c r="EG10" s="47"/>
      <c r="EH10" s="47"/>
      <c r="EI10" s="47"/>
      <c r="EJ10" s="47"/>
      <c r="EK10" s="47"/>
      <c r="EL10" s="35"/>
      <c r="EM10" s="47"/>
      <c r="EN10" s="47"/>
      <c r="EO10" s="47"/>
      <c r="EP10" s="35"/>
      <c r="EQ10" s="47"/>
      <c r="ER10" s="47"/>
      <c r="ES10" s="47"/>
      <c r="ET10" s="47"/>
      <c r="EU10" s="47"/>
      <c r="EV10" s="35"/>
      <c r="EW10" s="47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</row>
    <row r="11" ht="15.75" customHeight="1">
      <c r="A11" s="35"/>
      <c r="B11" s="35"/>
      <c r="C11" s="43" t="s">
        <v>16</v>
      </c>
      <c r="D11" s="49">
        <v>100.0</v>
      </c>
      <c r="E11" s="43" t="s">
        <v>18</v>
      </c>
      <c r="F11" s="35"/>
      <c r="G11" s="49">
        <v>10.0</v>
      </c>
      <c r="H11" s="43" t="s">
        <v>51</v>
      </c>
      <c r="I11" s="47"/>
      <c r="J11" s="35"/>
      <c r="K11" s="35"/>
      <c r="L11" s="35"/>
      <c r="M11" s="35"/>
      <c r="N11" s="47"/>
      <c r="O11" s="35"/>
      <c r="P11" s="47"/>
      <c r="Q11" s="47"/>
      <c r="R11" s="43" t="s">
        <v>53</v>
      </c>
      <c r="S11" s="43" t="s">
        <v>54</v>
      </c>
      <c r="T11" s="43" t="s">
        <v>25</v>
      </c>
      <c r="U11" s="43" t="s">
        <v>24</v>
      </c>
      <c r="V11" s="43" t="s">
        <v>34</v>
      </c>
      <c r="W11" s="43" t="s">
        <v>36</v>
      </c>
      <c r="X11" s="47"/>
      <c r="Y11" s="49">
        <v>1.0</v>
      </c>
      <c r="Z11" s="35"/>
      <c r="AA11" s="35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3" t="s">
        <v>17</v>
      </c>
      <c r="AO11" s="35"/>
      <c r="AP11" s="43" t="s">
        <v>51</v>
      </c>
      <c r="AQ11" s="50" t="s">
        <v>16</v>
      </c>
      <c r="AR11" s="47"/>
      <c r="AS11" s="47"/>
      <c r="AT11" s="35"/>
      <c r="AU11" s="35"/>
      <c r="AV11" s="47"/>
      <c r="AW11" s="47"/>
      <c r="AX11" s="47"/>
      <c r="AY11" s="47"/>
      <c r="AZ11" s="47"/>
      <c r="BA11" s="47"/>
      <c r="BB11" s="35"/>
      <c r="BC11" s="47"/>
      <c r="BD11" s="47"/>
      <c r="BE11" s="43" t="s">
        <v>25</v>
      </c>
      <c r="BF11" s="35"/>
      <c r="BG11" s="35"/>
      <c r="BH11" s="35"/>
      <c r="BI11" s="47"/>
      <c r="BJ11" s="47"/>
      <c r="BK11" s="47"/>
      <c r="BL11" s="47"/>
      <c r="BM11" s="47"/>
      <c r="BN11" s="35"/>
      <c r="BO11" s="47"/>
      <c r="BP11" s="47"/>
      <c r="BQ11" s="47"/>
      <c r="BR11" s="35"/>
      <c r="BS11" s="47"/>
      <c r="BT11" s="47"/>
      <c r="BU11" s="43" t="s">
        <v>25</v>
      </c>
      <c r="BV11" s="35"/>
      <c r="BW11" s="47"/>
      <c r="BX11" s="47"/>
      <c r="BY11" s="47"/>
      <c r="BZ11" s="47"/>
      <c r="CA11" s="47"/>
      <c r="CB11" s="35"/>
      <c r="CC11" s="47"/>
      <c r="CD11" s="47"/>
      <c r="CE11" s="47"/>
      <c r="CF11" s="47"/>
      <c r="CG11" s="47"/>
      <c r="CH11" s="47"/>
      <c r="CI11" s="47"/>
      <c r="CJ11" s="47"/>
      <c r="CK11" s="35"/>
      <c r="CL11" s="35"/>
      <c r="CM11" s="35"/>
      <c r="CN11" s="35"/>
      <c r="CO11" s="35"/>
      <c r="CP11" s="35"/>
      <c r="CQ11" s="35"/>
      <c r="CR11" s="35"/>
      <c r="CS11" s="47"/>
      <c r="CT11" s="35"/>
      <c r="CU11" s="35"/>
      <c r="CV11" s="35"/>
      <c r="CW11" s="35"/>
      <c r="CX11" s="35"/>
      <c r="CY11" s="35"/>
      <c r="CZ11" s="35"/>
      <c r="DA11" s="47"/>
      <c r="DB11" s="47"/>
      <c r="DC11" s="35"/>
      <c r="DD11" s="47"/>
      <c r="DE11" s="47"/>
      <c r="DF11" s="47"/>
      <c r="DG11" s="47"/>
      <c r="DH11" s="47"/>
      <c r="DI11" s="47"/>
      <c r="DJ11" s="35"/>
      <c r="DK11" s="47"/>
      <c r="DL11" s="47"/>
      <c r="DM11" s="47"/>
      <c r="DN11" s="47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47"/>
      <c r="EG11" s="47"/>
      <c r="EH11" s="47"/>
      <c r="EI11" s="47"/>
      <c r="EJ11" s="47"/>
      <c r="EK11" s="47"/>
      <c r="EL11" s="35"/>
      <c r="EM11" s="47"/>
      <c r="EN11" s="47"/>
      <c r="EO11" s="47"/>
      <c r="EP11" s="35"/>
      <c r="EQ11" s="47"/>
      <c r="ER11" s="47"/>
      <c r="ES11" s="47"/>
      <c r="ET11" s="47"/>
      <c r="EU11" s="47"/>
      <c r="EV11" s="35"/>
      <c r="EW11" s="47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</row>
    <row r="12" ht="15.75" customHeight="1">
      <c r="A12" s="35"/>
      <c r="B12" s="35"/>
      <c r="C12" s="41" t="s">
        <v>16</v>
      </c>
      <c r="D12" s="45">
        <v>100.0</v>
      </c>
      <c r="E12" s="41" t="s">
        <v>18</v>
      </c>
      <c r="F12" s="35"/>
      <c r="G12" s="45">
        <v>0.0</v>
      </c>
      <c r="H12" s="41" t="s">
        <v>51</v>
      </c>
      <c r="I12" s="45">
        <v>0.0</v>
      </c>
      <c r="J12" s="35"/>
      <c r="K12" s="35"/>
      <c r="L12" s="35"/>
      <c r="M12" s="35"/>
      <c r="N12" s="49">
        <v>0.0</v>
      </c>
      <c r="O12" s="41" t="s">
        <v>42</v>
      </c>
      <c r="P12" s="45" t="s">
        <v>52</v>
      </c>
      <c r="Q12" s="49">
        <v>0.0</v>
      </c>
      <c r="R12" s="41" t="s">
        <v>53</v>
      </c>
      <c r="S12" s="41" t="s">
        <v>54</v>
      </c>
      <c r="T12" s="41" t="s">
        <v>25</v>
      </c>
      <c r="U12" s="41" t="s">
        <v>24</v>
      </c>
      <c r="V12" s="41" t="s">
        <v>34</v>
      </c>
      <c r="W12" s="41" t="s">
        <v>36</v>
      </c>
      <c r="X12" s="45">
        <v>1.0</v>
      </c>
      <c r="Y12" s="45">
        <v>1.0</v>
      </c>
      <c r="Z12" s="35"/>
      <c r="AA12" s="35"/>
      <c r="AB12" s="45">
        <v>0.0</v>
      </c>
      <c r="AC12" s="45">
        <v>0.0</v>
      </c>
      <c r="AD12" s="45">
        <v>0.0</v>
      </c>
      <c r="AE12" s="45">
        <v>0.0</v>
      </c>
      <c r="AF12" s="45">
        <v>100.0</v>
      </c>
      <c r="AG12" s="45">
        <v>0.0</v>
      </c>
      <c r="AH12" s="45">
        <v>0.0</v>
      </c>
      <c r="AI12" s="45">
        <v>0.0</v>
      </c>
      <c r="AJ12" s="45">
        <v>0.0</v>
      </c>
      <c r="AK12" s="49">
        <v>0.0</v>
      </c>
      <c r="AL12" s="45">
        <v>1.0</v>
      </c>
      <c r="AM12" s="45">
        <v>1.0</v>
      </c>
      <c r="AN12" s="41" t="s">
        <v>17</v>
      </c>
      <c r="AO12" s="35"/>
      <c r="AP12" s="41" t="s">
        <v>51</v>
      </c>
      <c r="AQ12" s="46" t="s">
        <v>16</v>
      </c>
      <c r="AR12" s="45">
        <v>0.0</v>
      </c>
      <c r="AS12" s="45">
        <v>1.0</v>
      </c>
      <c r="AT12" s="41" t="s">
        <v>67</v>
      </c>
      <c r="AU12" s="41" t="s">
        <v>56</v>
      </c>
      <c r="AV12" s="45" t="s">
        <v>57</v>
      </c>
      <c r="AW12" s="49">
        <v>0.0</v>
      </c>
      <c r="AX12" s="45">
        <v>0.0</v>
      </c>
      <c r="AY12" s="45">
        <v>0.0</v>
      </c>
      <c r="AZ12" s="45">
        <v>0.0</v>
      </c>
      <c r="BA12" s="49">
        <v>0.0</v>
      </c>
      <c r="BB12" s="35"/>
      <c r="BC12" s="45">
        <v>1.0</v>
      </c>
      <c r="BD12" s="49">
        <v>0.0</v>
      </c>
      <c r="BE12" s="41" t="s">
        <v>25</v>
      </c>
      <c r="BF12" s="41" t="s">
        <v>58</v>
      </c>
      <c r="BG12" s="41" t="s">
        <v>59</v>
      </c>
      <c r="BH12" s="41" t="s">
        <v>52</v>
      </c>
      <c r="BI12" s="45" t="s">
        <v>60</v>
      </c>
      <c r="BJ12" s="45">
        <v>0.0</v>
      </c>
      <c r="BK12" s="47"/>
      <c r="BL12" s="45">
        <v>0.0</v>
      </c>
      <c r="BM12" s="45">
        <v>0.0</v>
      </c>
      <c r="BN12" s="35"/>
      <c r="BO12" s="49">
        <v>0.0</v>
      </c>
      <c r="BP12" s="45">
        <v>0.0</v>
      </c>
      <c r="BQ12" s="46" t="s">
        <v>35</v>
      </c>
      <c r="BR12" s="41" t="s">
        <v>27</v>
      </c>
      <c r="BS12" s="45">
        <v>0.0</v>
      </c>
      <c r="BT12" s="45">
        <v>0.0</v>
      </c>
      <c r="BU12" s="41" t="s">
        <v>25</v>
      </c>
      <c r="BV12" s="35"/>
      <c r="BW12" s="45">
        <v>0.0</v>
      </c>
      <c r="BX12" s="45">
        <v>0.0</v>
      </c>
      <c r="BY12" s="45">
        <v>0.0</v>
      </c>
      <c r="BZ12" s="45">
        <v>0.0</v>
      </c>
      <c r="CA12" s="45">
        <v>0.0</v>
      </c>
      <c r="CB12" s="35"/>
      <c r="CC12" s="45">
        <v>0.0</v>
      </c>
      <c r="CD12" s="47"/>
      <c r="CE12" s="45">
        <v>0.0</v>
      </c>
      <c r="CF12" s="45">
        <v>0.0</v>
      </c>
      <c r="CG12" s="47"/>
      <c r="CH12" s="47"/>
      <c r="CI12" s="45">
        <v>0.0</v>
      </c>
      <c r="CJ12" s="45">
        <v>0.0</v>
      </c>
      <c r="CK12" s="48" t="b">
        <v>0</v>
      </c>
      <c r="CL12" s="35"/>
      <c r="CM12" s="35"/>
      <c r="CN12" s="41" t="s">
        <v>16</v>
      </c>
      <c r="CO12" s="41" t="s">
        <v>16</v>
      </c>
      <c r="CP12" s="41" t="s">
        <v>61</v>
      </c>
      <c r="CQ12" s="35" t="s">
        <v>55</v>
      </c>
      <c r="CR12" s="35"/>
      <c r="CS12" s="47"/>
      <c r="CT12" s="35"/>
      <c r="CU12" s="35"/>
      <c r="CV12" s="35"/>
      <c r="CW12" s="35"/>
      <c r="CX12" s="35"/>
      <c r="CY12" s="41" t="s">
        <v>45</v>
      </c>
      <c r="CZ12" s="41" t="s">
        <v>62</v>
      </c>
      <c r="DA12" s="45">
        <v>0.0</v>
      </c>
      <c r="DB12" s="45">
        <v>0.0</v>
      </c>
      <c r="DC12" s="35"/>
      <c r="DD12" s="45">
        <v>100.0</v>
      </c>
      <c r="DE12" s="45">
        <v>0.0</v>
      </c>
      <c r="DF12" s="45">
        <v>0.0</v>
      </c>
      <c r="DG12" s="45">
        <v>0.0</v>
      </c>
      <c r="DH12" s="45" t="s">
        <v>52</v>
      </c>
      <c r="DI12" s="45">
        <v>0.0</v>
      </c>
      <c r="DJ12" s="41" t="s">
        <v>17</v>
      </c>
      <c r="DK12" s="45">
        <v>0.0</v>
      </c>
      <c r="DL12" s="45">
        <v>0.0</v>
      </c>
      <c r="DM12" s="45">
        <v>1.0</v>
      </c>
      <c r="DN12" s="45">
        <v>0.0</v>
      </c>
      <c r="DO12" s="35" t="s">
        <v>55</v>
      </c>
      <c r="DP12" s="41" t="s">
        <v>51</v>
      </c>
      <c r="DQ12" s="41" t="s">
        <v>63</v>
      </c>
      <c r="DR12" s="41" t="s">
        <v>64</v>
      </c>
      <c r="DS12" s="41" t="s">
        <v>63</v>
      </c>
      <c r="DT12" s="41" t="s">
        <v>63</v>
      </c>
      <c r="DU12" s="41" t="s">
        <v>65</v>
      </c>
      <c r="DV12" s="41" t="s">
        <v>63</v>
      </c>
      <c r="DW12" s="41" t="s">
        <v>63</v>
      </c>
      <c r="DX12" s="41" t="s">
        <v>63</v>
      </c>
      <c r="DY12" s="41" t="s">
        <v>63</v>
      </c>
      <c r="DZ12" s="41" t="s">
        <v>42</v>
      </c>
      <c r="EA12" s="41" t="s">
        <v>65</v>
      </c>
      <c r="EB12" s="41" t="s">
        <v>63</v>
      </c>
      <c r="EC12" s="41" t="s">
        <v>63</v>
      </c>
      <c r="ED12" s="41" t="s">
        <v>36</v>
      </c>
      <c r="EE12" s="41" t="s">
        <v>66</v>
      </c>
      <c r="EF12" s="45">
        <v>0.0</v>
      </c>
      <c r="EG12" s="45">
        <v>0.0</v>
      </c>
      <c r="EH12" s="45">
        <v>0.0</v>
      </c>
      <c r="EI12" s="45">
        <v>0.0</v>
      </c>
      <c r="EJ12" s="45">
        <v>0.0</v>
      </c>
      <c r="EK12" s="45">
        <v>0.0</v>
      </c>
      <c r="EL12" s="41" t="s">
        <v>51</v>
      </c>
      <c r="EM12" s="45">
        <v>0.0</v>
      </c>
      <c r="EN12" s="45">
        <v>0.0</v>
      </c>
      <c r="EO12" s="45">
        <v>0.0</v>
      </c>
      <c r="EP12" s="35"/>
      <c r="EQ12" s="45">
        <v>0.0</v>
      </c>
      <c r="ER12" s="45">
        <v>0.0</v>
      </c>
      <c r="ES12" s="47"/>
      <c r="ET12" s="45">
        <v>0.0</v>
      </c>
      <c r="EU12" s="45">
        <v>0.0</v>
      </c>
      <c r="EV12" s="41" t="s">
        <v>51</v>
      </c>
      <c r="EW12" s="47"/>
      <c r="EX12" s="48" t="b">
        <v>0</v>
      </c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</row>
    <row r="13" ht="15.75" customHeight="1">
      <c r="A13" s="35"/>
      <c r="B13" s="35"/>
      <c r="C13" s="41" t="s">
        <v>16</v>
      </c>
      <c r="D13" s="45">
        <v>100.0</v>
      </c>
      <c r="E13" s="41" t="s">
        <v>18</v>
      </c>
      <c r="F13" s="35"/>
      <c r="G13" s="45">
        <v>0.0</v>
      </c>
      <c r="H13" s="41" t="s">
        <v>51</v>
      </c>
      <c r="I13" s="45">
        <v>0.0</v>
      </c>
      <c r="J13" s="35"/>
      <c r="K13" s="35"/>
      <c r="L13" s="35"/>
      <c r="M13" s="35"/>
      <c r="N13" s="49">
        <v>0.0</v>
      </c>
      <c r="O13" s="41" t="s">
        <v>42</v>
      </c>
      <c r="P13" s="45" t="s">
        <v>52</v>
      </c>
      <c r="Q13" s="49">
        <v>0.0</v>
      </c>
      <c r="R13" s="41" t="s">
        <v>53</v>
      </c>
      <c r="S13" s="41" t="s">
        <v>54</v>
      </c>
      <c r="T13" s="41" t="s">
        <v>25</v>
      </c>
      <c r="U13" s="41" t="s">
        <v>24</v>
      </c>
      <c r="V13" s="41" t="s">
        <v>34</v>
      </c>
      <c r="W13" s="41" t="s">
        <v>36</v>
      </c>
      <c r="X13" s="45">
        <v>1.0</v>
      </c>
      <c r="Y13" s="45">
        <v>1.0</v>
      </c>
      <c r="Z13" s="35"/>
      <c r="AA13" s="35"/>
      <c r="AB13" s="45">
        <v>0.0</v>
      </c>
      <c r="AC13" s="45">
        <v>0.0</v>
      </c>
      <c r="AD13" s="45">
        <v>0.0</v>
      </c>
      <c r="AE13" s="45">
        <v>0.0</v>
      </c>
      <c r="AF13" s="45">
        <v>100.0</v>
      </c>
      <c r="AG13" s="45">
        <v>0.0</v>
      </c>
      <c r="AH13" s="45">
        <v>0.0</v>
      </c>
      <c r="AI13" s="45">
        <v>0.0</v>
      </c>
      <c r="AJ13" s="45">
        <v>0.0</v>
      </c>
      <c r="AK13" s="49">
        <v>0.0</v>
      </c>
      <c r="AL13" s="45">
        <v>1.0</v>
      </c>
      <c r="AM13" s="45">
        <v>1.0</v>
      </c>
      <c r="AN13" s="41" t="s">
        <v>17</v>
      </c>
      <c r="AO13" s="35"/>
      <c r="AP13" s="41" t="s">
        <v>51</v>
      </c>
      <c r="AQ13" s="46" t="s">
        <v>16</v>
      </c>
      <c r="AR13" s="45">
        <v>0.0</v>
      </c>
      <c r="AS13" s="45">
        <v>1.0</v>
      </c>
      <c r="AT13" s="41" t="s">
        <v>67</v>
      </c>
      <c r="AU13" s="41" t="s">
        <v>56</v>
      </c>
      <c r="AV13" s="45" t="s">
        <v>57</v>
      </c>
      <c r="AW13" s="49">
        <v>0.0</v>
      </c>
      <c r="AX13" s="45">
        <v>0.0</v>
      </c>
      <c r="AY13" s="45">
        <v>0.0</v>
      </c>
      <c r="AZ13" s="45">
        <v>0.0</v>
      </c>
      <c r="BA13" s="49">
        <v>0.0</v>
      </c>
      <c r="BB13" s="35"/>
      <c r="BC13" s="45">
        <v>1.0</v>
      </c>
      <c r="BD13" s="49">
        <v>0.0</v>
      </c>
      <c r="BE13" s="41" t="s">
        <v>25</v>
      </c>
      <c r="BF13" s="41" t="s">
        <v>58</v>
      </c>
      <c r="BG13" s="41" t="s">
        <v>59</v>
      </c>
      <c r="BH13" s="41" t="s">
        <v>52</v>
      </c>
      <c r="BI13" s="45" t="s">
        <v>60</v>
      </c>
      <c r="BJ13" s="45">
        <v>0.0</v>
      </c>
      <c r="BK13" s="47"/>
      <c r="BL13" s="45">
        <v>0.0</v>
      </c>
      <c r="BM13" s="45">
        <v>0.0</v>
      </c>
      <c r="BN13" s="35"/>
      <c r="BO13" s="49">
        <v>0.0</v>
      </c>
      <c r="BP13" s="45">
        <v>0.0</v>
      </c>
      <c r="BQ13" s="46" t="s">
        <v>35</v>
      </c>
      <c r="BR13" s="41" t="s">
        <v>27</v>
      </c>
      <c r="BS13" s="45">
        <v>0.0</v>
      </c>
      <c r="BT13" s="45">
        <v>0.0</v>
      </c>
      <c r="BU13" s="41" t="s">
        <v>25</v>
      </c>
      <c r="BV13" s="35"/>
      <c r="BW13" s="45">
        <v>0.0</v>
      </c>
      <c r="BX13" s="45">
        <v>0.0</v>
      </c>
      <c r="BY13" s="45">
        <v>0.0</v>
      </c>
      <c r="BZ13" s="45">
        <v>0.0</v>
      </c>
      <c r="CA13" s="45">
        <v>0.0</v>
      </c>
      <c r="CB13" s="35"/>
      <c r="CC13" s="45">
        <v>0.0</v>
      </c>
      <c r="CD13" s="47"/>
      <c r="CE13" s="45">
        <v>0.0</v>
      </c>
      <c r="CF13" s="45">
        <v>0.0</v>
      </c>
      <c r="CG13" s="47"/>
      <c r="CH13" s="47"/>
      <c r="CI13" s="45">
        <v>0.0</v>
      </c>
      <c r="CJ13" s="45">
        <v>0.0</v>
      </c>
      <c r="CK13" s="48" t="b">
        <v>0</v>
      </c>
      <c r="CL13" s="35"/>
      <c r="CM13" s="35"/>
      <c r="CN13" s="41" t="s">
        <v>16</v>
      </c>
      <c r="CO13" s="41" t="s">
        <v>16</v>
      </c>
      <c r="CP13" s="41" t="s">
        <v>61</v>
      </c>
      <c r="CQ13" s="35" t="s">
        <v>55</v>
      </c>
      <c r="CR13" s="35"/>
      <c r="CS13" s="47"/>
      <c r="CT13" s="35"/>
      <c r="CU13" s="35"/>
      <c r="CV13" s="35"/>
      <c r="CW13" s="35"/>
      <c r="CX13" s="35"/>
      <c r="CY13" s="41" t="s">
        <v>45</v>
      </c>
      <c r="CZ13" s="41" t="s">
        <v>62</v>
      </c>
      <c r="DA13" s="45">
        <v>0.0</v>
      </c>
      <c r="DB13" s="45">
        <v>0.0</v>
      </c>
      <c r="DC13" s="35"/>
      <c r="DD13" s="45">
        <v>100.0</v>
      </c>
      <c r="DE13" s="45">
        <v>0.0</v>
      </c>
      <c r="DF13" s="45">
        <v>0.0</v>
      </c>
      <c r="DG13" s="45">
        <v>0.0</v>
      </c>
      <c r="DH13" s="45" t="s">
        <v>52</v>
      </c>
      <c r="DI13" s="45">
        <v>0.0</v>
      </c>
      <c r="DJ13" s="41" t="s">
        <v>17</v>
      </c>
      <c r="DK13" s="45">
        <v>0.0</v>
      </c>
      <c r="DL13" s="45">
        <v>0.0</v>
      </c>
      <c r="DM13" s="45">
        <v>1.0</v>
      </c>
      <c r="DN13" s="45">
        <v>0.0</v>
      </c>
      <c r="DO13" s="35" t="s">
        <v>55</v>
      </c>
      <c r="DP13" s="41" t="s">
        <v>51</v>
      </c>
      <c r="DQ13" s="41" t="s">
        <v>63</v>
      </c>
      <c r="DR13" s="41" t="s">
        <v>64</v>
      </c>
      <c r="DS13" s="41" t="s">
        <v>63</v>
      </c>
      <c r="DT13" s="41" t="s">
        <v>63</v>
      </c>
      <c r="DU13" s="41" t="s">
        <v>65</v>
      </c>
      <c r="DV13" s="41" t="s">
        <v>63</v>
      </c>
      <c r="DW13" s="41" t="s">
        <v>63</v>
      </c>
      <c r="DX13" s="41" t="s">
        <v>63</v>
      </c>
      <c r="DY13" s="41" t="s">
        <v>63</v>
      </c>
      <c r="DZ13" s="41" t="s">
        <v>42</v>
      </c>
      <c r="EA13" s="41" t="s">
        <v>65</v>
      </c>
      <c r="EB13" s="41" t="s">
        <v>63</v>
      </c>
      <c r="EC13" s="41" t="s">
        <v>63</v>
      </c>
      <c r="ED13" s="41" t="s">
        <v>36</v>
      </c>
      <c r="EE13" s="41" t="s">
        <v>66</v>
      </c>
      <c r="EF13" s="45">
        <v>0.0</v>
      </c>
      <c r="EG13" s="45">
        <v>0.0</v>
      </c>
      <c r="EH13" s="45">
        <v>0.0</v>
      </c>
      <c r="EI13" s="45">
        <v>0.0</v>
      </c>
      <c r="EJ13" s="45">
        <v>0.0</v>
      </c>
      <c r="EK13" s="45">
        <v>0.0</v>
      </c>
      <c r="EL13" s="41" t="s">
        <v>51</v>
      </c>
      <c r="EM13" s="45">
        <v>0.0</v>
      </c>
      <c r="EN13" s="45">
        <v>0.0</v>
      </c>
      <c r="EO13" s="45">
        <v>0.0</v>
      </c>
      <c r="EP13" s="35"/>
      <c r="EQ13" s="45">
        <v>0.0</v>
      </c>
      <c r="ER13" s="45">
        <v>0.0</v>
      </c>
      <c r="ES13" s="47"/>
      <c r="ET13" s="45">
        <v>0.0</v>
      </c>
      <c r="EU13" s="45">
        <v>0.0</v>
      </c>
      <c r="EV13" s="41" t="s">
        <v>51</v>
      </c>
      <c r="EW13" s="47"/>
      <c r="EX13" s="48" t="b">
        <v>0</v>
      </c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