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5" activeTab="7"/>
  </bookViews>
  <sheets>
    <sheet name="_Modules" sheetId="1" r:id="rId1"/>
    <sheet name="_Settings" sheetId="2" r:id="rId2"/>
    <sheet name="_MasterData" sheetId="3" r:id="rId3"/>
    <sheet name="CreateStageOrder" sheetId="4" r:id="rId4"/>
    <sheet name="MultiTradingTicketFromBlotter" sheetId="5" r:id="rId5"/>
    <sheet name="SelectTradeUsingMTT" sheetId="6" r:id="rId6"/>
    <sheet name="EditTradeUsingMTT" sheetId="7" r:id="rId7"/>
    <sheet name="DoneAwayUsingMTT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N7" i="4" l="1"/>
  <c r="N6" i="4"/>
  <c r="DY5" i="11"/>
  <c r="BM5" i="11"/>
  <c r="A5" i="11"/>
  <c r="AZ5" i="10"/>
  <c r="CY5" i="9"/>
  <c r="AM5" i="9"/>
  <c r="BE5" i="8"/>
  <c r="AO5" i="7"/>
  <c r="Y5" i="6"/>
  <c r="Z5" i="5"/>
  <c r="O5" i="4"/>
  <c r="EF5" i="11"/>
  <c r="BT5" i="11"/>
  <c r="H5" i="11"/>
  <c r="BG5" i="10"/>
  <c r="DF5" i="9"/>
  <c r="AT5" i="9"/>
  <c r="BT5" i="8"/>
  <c r="H5" i="8"/>
  <c r="AN5" i="6"/>
  <c r="AO5" i="5"/>
  <c r="AD5" i="4"/>
  <c r="D998" i="3"/>
  <c r="DW5" i="11"/>
  <c r="BC5" i="11"/>
  <c r="CT5" i="10"/>
  <c r="AH5" i="10"/>
  <c r="CG5" i="9"/>
  <c r="U5" i="9"/>
  <c r="DN5" i="11"/>
  <c r="BB5" i="11"/>
  <c r="DA5" i="10"/>
  <c r="AO5" i="10"/>
  <c r="CN5" i="9"/>
  <c r="AB5" i="9"/>
  <c r="BB5" i="8"/>
  <c r="AL5" i="7"/>
  <c r="V5" i="6"/>
  <c r="W5" i="5"/>
  <c r="D5" i="4"/>
  <c r="B996" i="3"/>
  <c r="J990" i="3"/>
  <c r="F985" i="3"/>
  <c r="B980" i="3"/>
  <c r="ES5" i="11"/>
  <c r="CG5" i="11"/>
  <c r="U5" i="11"/>
  <c r="BT5" i="10"/>
  <c r="H5" i="10"/>
  <c r="BG5" i="9"/>
  <c r="CG5" i="8"/>
  <c r="U5" i="8"/>
  <c r="E5" i="7"/>
  <c r="BB5" i="5"/>
  <c r="AI5" i="4"/>
  <c r="EZ5" i="11"/>
  <c r="CN5" i="11"/>
  <c r="AB5" i="11"/>
  <c r="CA5" i="10"/>
  <c r="O5" i="10"/>
  <c r="BF5" i="9"/>
  <c r="CF5" i="8"/>
  <c r="T5" i="8"/>
  <c r="D5" i="7"/>
  <c r="BA5" i="5"/>
  <c r="AH5" i="4"/>
  <c r="EQ5" i="11"/>
  <c r="CE5" i="11"/>
  <c r="S5" i="11"/>
  <c r="BR5" i="10"/>
  <c r="F5" i="10"/>
  <c r="BE5" i="9"/>
  <c r="CE5" i="8"/>
  <c r="S5" i="8"/>
  <c r="C5" i="7"/>
  <c r="AZ5" i="5"/>
  <c r="AO5" i="4"/>
  <c r="C999" i="3"/>
  <c r="K993" i="3"/>
  <c r="G988" i="3"/>
  <c r="C983" i="3"/>
  <c r="K977" i="3"/>
  <c r="DR5" i="11"/>
  <c r="BF5" i="11"/>
  <c r="DE5" i="10"/>
  <c r="AS5" i="10"/>
  <c r="CR5" i="9"/>
  <c r="AF5" i="9"/>
  <c r="BF5" i="8"/>
  <c r="AP5" i="7"/>
  <c r="Z5" i="6"/>
  <c r="AA5" i="5"/>
  <c r="P5" i="4"/>
  <c r="B997" i="3"/>
  <c r="J991" i="3"/>
  <c r="F986" i="3"/>
  <c r="B981" i="3"/>
  <c r="J975" i="3"/>
  <c r="G997" i="3"/>
  <c r="K988" i="3"/>
  <c r="D980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I998" i="3"/>
  <c r="I989" i="3"/>
  <c r="D981" i="3"/>
  <c r="K973" i="3"/>
  <c r="G968" i="3"/>
  <c r="C963" i="3"/>
  <c r="K957" i="3"/>
  <c r="G952" i="3"/>
  <c r="DQ5" i="11"/>
  <c r="BE5" i="11"/>
  <c r="DD5" i="10"/>
  <c r="AR5" i="10"/>
  <c r="CQ5" i="9"/>
  <c r="AE5" i="9"/>
  <c r="AW5" i="8"/>
  <c r="AG5" i="7"/>
  <c r="Q5" i="6"/>
  <c r="R5" i="5"/>
  <c r="G5" i="4"/>
  <c r="DX5" i="11"/>
  <c r="BL5" i="11"/>
  <c r="B4" i="11"/>
  <c r="AY5" i="10"/>
  <c r="CX5" i="9"/>
  <c r="AL5" i="9"/>
  <c r="BL5" i="8"/>
  <c r="B4" i="8"/>
  <c r="AF5" i="6"/>
  <c r="AG5" i="5"/>
  <c r="V5" i="4"/>
  <c r="H997" i="3"/>
  <c r="DO5" i="11"/>
  <c r="AU5" i="11"/>
  <c r="CL5" i="10"/>
  <c r="Z5" i="10"/>
  <c r="BY5" i="9"/>
  <c r="M5" i="9"/>
  <c r="DF5" i="11"/>
  <c r="AT5" i="11"/>
  <c r="CS5" i="10"/>
  <c r="AG5" i="10"/>
  <c r="CF5" i="9"/>
  <c r="T5" i="9"/>
  <c r="AT5" i="8"/>
  <c r="AD5" i="7"/>
  <c r="N5" i="6"/>
  <c r="O5" i="5"/>
  <c r="J1000" i="3"/>
  <c r="F995" i="3"/>
  <c r="B990" i="3"/>
  <c r="J984" i="3"/>
  <c r="F979" i="3"/>
  <c r="EK5" i="11"/>
  <c r="BY5" i="11"/>
  <c r="M5" i="11"/>
  <c r="BL5" i="10"/>
  <c r="B4" i="10"/>
  <c r="AY5" i="9"/>
  <c r="BY5" i="8"/>
  <c r="M5" i="8"/>
  <c r="AS5" i="6"/>
  <c r="AT5" i="5"/>
  <c r="AA5" i="4"/>
  <c r="ER5" i="11"/>
  <c r="CF5" i="11"/>
  <c r="T5" i="11"/>
  <c r="BS5" i="10"/>
  <c r="G5" i="10"/>
  <c r="AX5" i="9"/>
  <c r="BX5" i="8"/>
  <c r="L5" i="8"/>
  <c r="AR5" i="6"/>
  <c r="AS5" i="5"/>
  <c r="Z5" i="4"/>
  <c r="EI5" i="11"/>
  <c r="BW5" i="11"/>
  <c r="K5" i="11"/>
  <c r="BJ5" i="10"/>
  <c r="DI5" i="9"/>
  <c r="AW5" i="9"/>
  <c r="BW5" i="8"/>
  <c r="K5" i="8"/>
  <c r="AQ5" i="6"/>
  <c r="AR5" i="5"/>
  <c r="AG5" i="4"/>
  <c r="G998" i="3"/>
  <c r="C993" i="3"/>
  <c r="K987" i="3"/>
  <c r="G982" i="3"/>
  <c r="C977" i="3"/>
  <c r="DJ5" i="11"/>
  <c r="AX5" i="11"/>
  <c r="CW5" i="10"/>
  <c r="AK5" i="10"/>
  <c r="CJ5" i="9"/>
  <c r="X5" i="9"/>
  <c r="AX5" i="8"/>
  <c r="AH5" i="7"/>
  <c r="R5" i="6"/>
  <c r="S5" i="5"/>
  <c r="H5" i="4"/>
  <c r="F996" i="3"/>
  <c r="B991" i="3"/>
  <c r="J985" i="3"/>
  <c r="F980" i="3"/>
  <c r="B975" i="3"/>
  <c r="D996" i="3"/>
  <c r="I987" i="3"/>
  <c r="D979" i="3"/>
  <c r="H972" i="3"/>
  <c r="D967" i="3"/>
  <c r="L961" i="3"/>
  <c r="H956" i="3"/>
  <c r="D951" i="3"/>
  <c r="L945" i="3"/>
  <c r="H940" i="3"/>
  <c r="D935" i="3"/>
  <c r="L929" i="3"/>
  <c r="H924" i="3"/>
  <c r="D919" i="3"/>
  <c r="L913" i="3"/>
  <c r="E997" i="3"/>
  <c r="I988" i="3"/>
  <c r="C980" i="3"/>
  <c r="C973" i="3"/>
  <c r="K967" i="3"/>
  <c r="BK5" i="11"/>
  <c r="DI5" i="11"/>
  <c r="AW5" i="11"/>
  <c r="CV5" i="10"/>
  <c r="AJ5" i="10"/>
  <c r="CI5" i="9"/>
  <c r="W5" i="9"/>
  <c r="AO5" i="8"/>
  <c r="Y5" i="7"/>
  <c r="I5" i="6"/>
  <c r="J5" i="5"/>
  <c r="E1000" i="3"/>
  <c r="DP5" i="11"/>
  <c r="BD5" i="11"/>
  <c r="DC5" i="10"/>
  <c r="AQ5" i="10"/>
  <c r="CP5" i="9"/>
  <c r="AD5" i="9"/>
  <c r="BD5" i="8"/>
  <c r="AN5" i="7"/>
  <c r="X5" i="6"/>
  <c r="Y5" i="5"/>
  <c r="N5" i="4"/>
  <c r="L996" i="3"/>
  <c r="DG5" i="11"/>
  <c r="AM5" i="11"/>
  <c r="FM5" i="11"/>
  <c r="DA5" i="11"/>
  <c r="AO5" i="11"/>
  <c r="CN5" i="10"/>
  <c r="AB5" i="10"/>
  <c r="CA5" i="9"/>
  <c r="O5" i="9"/>
  <c r="AG5" i="8"/>
  <c r="Q5" i="7"/>
  <c r="A5" i="6"/>
  <c r="B5" i="5"/>
  <c r="I999" i="3"/>
  <c r="DH5" i="11"/>
  <c r="AV5" i="11"/>
  <c r="CU5" i="10"/>
  <c r="AI5" i="10"/>
  <c r="CH5" i="9"/>
  <c r="V5" i="9"/>
  <c r="AV5" i="8"/>
  <c r="AF5" i="7"/>
  <c r="P5" i="6"/>
  <c r="Q5" i="5"/>
  <c r="F5" i="4"/>
  <c r="FK5" i="11"/>
  <c r="CY5" i="11"/>
  <c r="AE5" i="11"/>
  <c r="BV5" i="10"/>
  <c r="J5" i="10"/>
  <c r="BI5" i="9"/>
  <c r="FB5" i="11"/>
  <c r="CP5" i="11"/>
  <c r="AD5" i="11"/>
  <c r="CC5" i="10"/>
  <c r="Q5" i="10"/>
  <c r="BP5" i="9"/>
  <c r="D5" i="9"/>
  <c r="AD5" i="8"/>
  <c r="N5" i="7"/>
  <c r="BK5" i="5"/>
  <c r="AR5" i="4"/>
  <c r="F999" i="3"/>
  <c r="B994" i="3"/>
  <c r="J988" i="3"/>
  <c r="F983" i="3"/>
  <c r="B978" i="3"/>
  <c r="DU5" i="11"/>
  <c r="BI5" i="11"/>
  <c r="DH5" i="10"/>
  <c r="AV5" i="10"/>
  <c r="CU5" i="9"/>
  <c r="AI5" i="9"/>
  <c r="BI5" i="8"/>
  <c r="AS5" i="7"/>
  <c r="AC5" i="6"/>
  <c r="AD5" i="5"/>
  <c r="K5" i="4"/>
  <c r="EB5" i="11"/>
  <c r="BP5" i="11"/>
  <c r="D5" i="11"/>
  <c r="BC5" i="10"/>
  <c r="CT5" i="9"/>
  <c r="AH5" i="9"/>
  <c r="BH5" i="8"/>
  <c r="AR5" i="7"/>
  <c r="AB5" i="6"/>
  <c r="AC5" i="5"/>
  <c r="J5" i="4"/>
  <c r="DS5" i="11"/>
  <c r="BG5" i="11"/>
  <c r="DF5" i="10"/>
  <c r="AT5" i="10"/>
  <c r="CS5" i="9"/>
  <c r="AG5" i="9"/>
  <c r="BG5" i="8"/>
  <c r="AQ5" i="7"/>
  <c r="AA5" i="6"/>
  <c r="AB5" i="5"/>
  <c r="Q5" i="4"/>
  <c r="C997" i="3"/>
  <c r="K991" i="3"/>
  <c r="G986" i="3"/>
  <c r="C981" i="3"/>
  <c r="FF5" i="11"/>
  <c r="CT5" i="11"/>
  <c r="AH5" i="11"/>
  <c r="CG5" i="10"/>
  <c r="U5" i="10"/>
  <c r="BT5" i="9"/>
  <c r="H5" i="9"/>
  <c r="AH5" i="8"/>
  <c r="R5" i="7"/>
  <c r="B5" i="6"/>
  <c r="C5" i="5"/>
  <c r="F1000" i="3"/>
  <c r="B995" i="3"/>
  <c r="J989" i="3"/>
  <c r="F984" i="3"/>
  <c r="B979" i="3"/>
  <c r="AE5" i="8"/>
  <c r="C994" i="3"/>
  <c r="H985" i="3"/>
  <c r="A977" i="3"/>
  <c r="D971" i="3"/>
  <c r="L965" i="3"/>
  <c r="H960" i="3"/>
  <c r="D955" i="3"/>
  <c r="L949" i="3"/>
  <c r="H944" i="3"/>
  <c r="D939" i="3"/>
  <c r="L933" i="3"/>
  <c r="H928" i="3"/>
  <c r="D923" i="3"/>
  <c r="L917" i="3"/>
  <c r="CI5" i="8"/>
  <c r="A995" i="3"/>
  <c r="H986" i="3"/>
  <c r="A978" i="3"/>
  <c r="K971" i="3"/>
  <c r="G966" i="3"/>
  <c r="C961" i="3"/>
  <c r="K955" i="3"/>
  <c r="G950" i="3"/>
  <c r="C945" i="3"/>
  <c r="K939" i="3"/>
  <c r="G934" i="3"/>
  <c r="C929" i="3"/>
  <c r="K923" i="3"/>
  <c r="FE5" i="11"/>
  <c r="CS5" i="11"/>
  <c r="AG5" i="11"/>
  <c r="CF5" i="10"/>
  <c r="T5" i="10"/>
  <c r="BS5" i="9"/>
  <c r="G5" i="9"/>
  <c r="Y5" i="8"/>
  <c r="I5" i="7"/>
  <c r="BF5" i="5"/>
  <c r="AU5" i="4"/>
  <c r="FL5" i="11"/>
  <c r="CZ5" i="11"/>
  <c r="AN5" i="11"/>
  <c r="CM5" i="10"/>
  <c r="AA5" i="10"/>
  <c r="BZ5" i="9"/>
  <c r="N5" i="9"/>
  <c r="AN5" i="8"/>
  <c r="X5" i="7"/>
  <c r="H5" i="6"/>
  <c r="I5" i="5"/>
  <c r="L1000" i="3"/>
  <c r="FC5" i="11"/>
  <c r="CQ5" i="11"/>
  <c r="W5" i="11"/>
  <c r="BN5" i="10"/>
  <c r="B5" i="10"/>
  <c r="BA5" i="9"/>
  <c r="ET5" i="11"/>
  <c r="CH5" i="11"/>
  <c r="V5" i="11"/>
  <c r="BU5" i="10"/>
  <c r="I5" i="10"/>
  <c r="BH5" i="9"/>
  <c r="CH5" i="8"/>
  <c r="V5" i="8"/>
  <c r="F5" i="7"/>
  <c r="BC5" i="5"/>
  <c r="AJ5" i="4"/>
  <c r="J998" i="3"/>
  <c r="F993" i="3"/>
  <c r="B988" i="3"/>
  <c r="J982" i="3"/>
  <c r="F977" i="3"/>
  <c r="DM5" i="11"/>
  <c r="BA5" i="11"/>
  <c r="CZ5" i="10"/>
  <c r="AN5" i="10"/>
  <c r="CM5" i="9"/>
  <c r="AA5" i="9"/>
  <c r="BA5" i="8"/>
  <c r="AK5" i="7"/>
  <c r="U5" i="6"/>
  <c r="V5" i="5"/>
  <c r="C5" i="4"/>
  <c r="DT5" i="11"/>
  <c r="BH5" i="11"/>
  <c r="DG5" i="10"/>
  <c r="AU5" i="10"/>
  <c r="CL5" i="9"/>
  <c r="Z5" i="9"/>
  <c r="AZ5" i="8"/>
  <c r="AJ5" i="7"/>
  <c r="T5" i="6"/>
  <c r="U5" i="5"/>
  <c r="B5" i="4"/>
  <c r="DK5" i="11"/>
  <c r="AY5" i="11"/>
  <c r="CX5" i="10"/>
  <c r="AL5" i="10"/>
  <c r="CK5" i="9"/>
  <c r="Y5" i="9"/>
  <c r="AY5" i="8"/>
  <c r="AI5" i="7"/>
  <c r="S5" i="6"/>
  <c r="T5" i="5"/>
  <c r="I5" i="4"/>
  <c r="G996" i="3"/>
  <c r="C991" i="3"/>
  <c r="K985" i="3"/>
  <c r="G980" i="3"/>
  <c r="EX5" i="11"/>
  <c r="CL5" i="11"/>
  <c r="Z5" i="11"/>
  <c r="BY5" i="10"/>
  <c r="M5" i="10"/>
  <c r="BL5" i="9"/>
  <c r="B4" i="9"/>
  <c r="Z5" i="8"/>
  <c r="J5" i="7"/>
  <c r="BG5" i="5"/>
  <c r="AV5" i="4"/>
  <c r="J999" i="3"/>
  <c r="F994" i="3"/>
  <c r="B989" i="3"/>
  <c r="J983" i="3"/>
  <c r="F978" i="3"/>
  <c r="O5" i="7"/>
  <c r="A993" i="3"/>
  <c r="H984" i="3"/>
  <c r="B976" i="3"/>
  <c r="H970" i="3"/>
  <c r="D965" i="3"/>
  <c r="L959" i="3"/>
  <c r="H954" i="3"/>
  <c r="D949" i="3"/>
  <c r="L943" i="3"/>
  <c r="H938" i="3"/>
  <c r="D933" i="3"/>
  <c r="L927" i="3"/>
  <c r="H922" i="3"/>
  <c r="D917" i="3"/>
  <c r="W5" i="8"/>
  <c r="A994" i="3"/>
  <c r="G985" i="3"/>
  <c r="L976" i="3"/>
  <c r="C971" i="3"/>
  <c r="K965" i="3"/>
  <c r="G960" i="3"/>
  <c r="C955" i="3"/>
  <c r="K949" i="3"/>
  <c r="G944" i="3"/>
  <c r="C939" i="3"/>
  <c r="K933" i="3"/>
  <c r="G928" i="3"/>
  <c r="C923" i="3"/>
  <c r="EW5" i="11"/>
  <c r="CK5" i="11"/>
  <c r="Y5" i="11"/>
  <c r="BX5" i="10"/>
  <c r="L5" i="10"/>
  <c r="BK5" i="9"/>
  <c r="CC5" i="8"/>
  <c r="Q5" i="8"/>
  <c r="A5" i="7"/>
  <c r="AX5" i="5"/>
  <c r="AM5" i="4"/>
  <c r="FD5" i="11"/>
  <c r="CR5" i="11"/>
  <c r="AF5" i="11"/>
  <c r="CE5" i="10"/>
  <c r="S5" i="10"/>
  <c r="BR5" i="9"/>
  <c r="F5" i="9"/>
  <c r="AF5" i="8"/>
  <c r="P5" i="7"/>
  <c r="B4" i="6"/>
  <c r="A5" i="5"/>
  <c r="D1000" i="3"/>
  <c r="EU5" i="11"/>
  <c r="CI5" i="11"/>
  <c r="O5" i="11"/>
  <c r="BF5" i="10"/>
  <c r="DE5" i="9"/>
  <c r="AS5" i="9"/>
  <c r="EL5" i="11"/>
  <c r="BZ5" i="11"/>
  <c r="N5" i="11"/>
  <c r="BM5" i="10"/>
  <c r="A5" i="10"/>
  <c r="AZ5" i="9"/>
  <c r="BZ5" i="8"/>
  <c r="N5" i="8"/>
  <c r="AT5" i="6"/>
  <c r="AU5" i="5"/>
  <c r="AB5" i="4"/>
  <c r="B998" i="3"/>
  <c r="J992" i="3"/>
  <c r="F987" i="3"/>
  <c r="B982" i="3"/>
  <c r="J976" i="3"/>
  <c r="DE5" i="11"/>
  <c r="AS5" i="11"/>
  <c r="CR5" i="10"/>
  <c r="AF5" i="10"/>
  <c r="CE5" i="9"/>
  <c r="S5" i="9"/>
  <c r="AS5" i="8"/>
  <c r="AC5" i="7"/>
  <c r="M5" i="6"/>
  <c r="N5" i="5"/>
  <c r="I1000" i="3"/>
  <c r="DL5" i="11"/>
  <c r="AZ5" i="11"/>
  <c r="CY5" i="10"/>
  <c r="AM5" i="10"/>
  <c r="CD5" i="9"/>
  <c r="R5" i="9"/>
  <c r="AR5" i="8"/>
  <c r="AB5" i="7"/>
  <c r="L5" i="6"/>
  <c r="M5" i="5"/>
  <c r="H1000" i="3"/>
  <c r="DC5" i="11"/>
  <c r="AQ5" i="11"/>
  <c r="CP5" i="10"/>
  <c r="AD5" i="10"/>
  <c r="CC5" i="9"/>
  <c r="Q5" i="9"/>
  <c r="AQ5" i="8"/>
  <c r="AA5" i="7"/>
  <c r="K5" i="6"/>
  <c r="L5" i="5"/>
  <c r="A5" i="4"/>
  <c r="K995" i="3"/>
  <c r="G990" i="3"/>
  <c r="C985" i="3"/>
  <c r="K979" i="3"/>
  <c r="EP5" i="11"/>
  <c r="CD5" i="11"/>
  <c r="R5" i="11"/>
  <c r="BQ5" i="10"/>
  <c r="E5" i="10"/>
  <c r="BD5" i="9"/>
  <c r="CD5" i="8"/>
  <c r="R5" i="8"/>
  <c r="B5" i="7"/>
  <c r="AY5" i="5"/>
  <c r="AN5" i="4"/>
  <c r="B999" i="3"/>
  <c r="J993" i="3"/>
  <c r="F988" i="3"/>
  <c r="B983" i="3"/>
  <c r="J977" i="3"/>
  <c r="B4" i="5"/>
  <c r="A992" i="3"/>
  <c r="G983" i="3"/>
  <c r="E975" i="3"/>
  <c r="L969" i="3"/>
  <c r="H964" i="3"/>
  <c r="D959" i="3"/>
  <c r="L953" i="3"/>
  <c r="H948" i="3"/>
  <c r="D943" i="3"/>
  <c r="L937" i="3"/>
  <c r="H932" i="3"/>
  <c r="D927" i="3"/>
  <c r="L921" i="3"/>
  <c r="H916" i="3"/>
  <c r="G5" i="7"/>
  <c r="L992" i="3"/>
  <c r="E984" i="3"/>
  <c r="A976" i="3"/>
  <c r="G970" i="3"/>
  <c r="C965" i="3"/>
  <c r="K959" i="3"/>
  <c r="G954" i="3"/>
  <c r="C949" i="3"/>
  <c r="K943" i="3"/>
  <c r="G938" i="3"/>
  <c r="C933" i="3"/>
  <c r="K927" i="3"/>
  <c r="G922" i="3"/>
  <c r="EO5" i="11"/>
  <c r="CC5" i="11"/>
  <c r="Q5" i="11"/>
  <c r="BP5" i="10"/>
  <c r="D5" i="10"/>
  <c r="BC5" i="9"/>
  <c r="BU5" i="8"/>
  <c r="I5" i="8"/>
  <c r="AO5" i="6"/>
  <c r="AP5" i="5"/>
  <c r="AE5" i="4"/>
  <c r="EV5" i="11"/>
  <c r="CJ5" i="11"/>
  <c r="X5" i="11"/>
  <c r="BW5" i="10"/>
  <c r="K5" i="10"/>
  <c r="BJ5" i="9"/>
  <c r="CJ5" i="8"/>
  <c r="X5" i="8"/>
  <c r="H5" i="7"/>
  <c r="BE5" i="5"/>
  <c r="AT5" i="4"/>
  <c r="H999" i="3"/>
  <c r="EM5" i="11"/>
  <c r="CA5" i="11"/>
  <c r="G5" i="11"/>
  <c r="AX5" i="10"/>
  <c r="CW5" i="9"/>
  <c r="AK5" i="9"/>
  <c r="ED5" i="11"/>
  <c r="BR5" i="11"/>
  <c r="F5" i="11"/>
  <c r="BE5" i="10"/>
  <c r="DD5" i="9"/>
  <c r="AR5" i="9"/>
  <c r="BR5" i="8"/>
  <c r="F5" i="8"/>
  <c r="AL5" i="6"/>
  <c r="AM5" i="5"/>
  <c r="T5" i="4"/>
  <c r="F997" i="3"/>
  <c r="B992" i="3"/>
  <c r="J986" i="3"/>
  <c r="F981" i="3"/>
  <c r="FI5" i="11"/>
  <c r="CW5" i="11"/>
  <c r="AK5" i="11"/>
  <c r="CJ5" i="10"/>
  <c r="X5" i="10"/>
  <c r="BW5" i="9"/>
  <c r="K5" i="9"/>
  <c r="U5" i="7"/>
  <c r="E5" i="6"/>
  <c r="F5" i="5"/>
  <c r="A1000" i="3"/>
  <c r="DD5" i="11"/>
  <c r="AR5" i="11"/>
  <c r="CQ5" i="10"/>
  <c r="AE5" i="10"/>
  <c r="BV5" i="9"/>
  <c r="J5" i="9"/>
  <c r="AJ5" i="8"/>
  <c r="T5" i="7"/>
  <c r="D5" i="6"/>
  <c r="E5" i="5"/>
  <c r="FG5" i="11"/>
  <c r="CU5" i="11"/>
  <c r="AI5" i="11"/>
  <c r="CH5" i="10"/>
  <c r="V5" i="10"/>
  <c r="BU5" i="9"/>
  <c r="I5" i="9"/>
  <c r="AI5" i="8"/>
  <c r="S5" i="7"/>
  <c r="C5" i="6"/>
  <c r="D5" i="5"/>
  <c r="G1000" i="3"/>
  <c r="C995" i="3"/>
  <c r="K989" i="3"/>
  <c r="G984" i="3"/>
  <c r="C979" i="3"/>
  <c r="EH5" i="11"/>
  <c r="BV5" i="11"/>
  <c r="J5" i="11"/>
  <c r="BI5" i="10"/>
  <c r="DH5" i="9"/>
  <c r="AV5" i="9"/>
  <c r="BV5" i="8"/>
  <c r="J5" i="8"/>
  <c r="AP5" i="6"/>
  <c r="AQ5" i="5"/>
  <c r="AF5" i="4"/>
  <c r="F998" i="3"/>
  <c r="B993" i="3"/>
  <c r="J987" i="3"/>
  <c r="F982" i="3"/>
  <c r="B977" i="3"/>
  <c r="E5" i="4"/>
  <c r="L990" i="3"/>
  <c r="E982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BD5" i="5"/>
  <c r="L991" i="3"/>
  <c r="E983" i="3"/>
  <c r="D975" i="3"/>
  <c r="K969" i="3"/>
  <c r="G964" i="3"/>
  <c r="C959" i="3"/>
  <c r="K953" i="3"/>
  <c r="G948" i="3"/>
  <c r="C943" i="3"/>
  <c r="K937" i="3"/>
  <c r="G932" i="3"/>
  <c r="C927" i="3"/>
  <c r="K921" i="3"/>
  <c r="EG5" i="11"/>
  <c r="BU5" i="11"/>
  <c r="I5" i="11"/>
  <c r="BH5" i="10"/>
  <c r="DG5" i="9"/>
  <c r="AU5" i="9"/>
  <c r="BM5" i="8"/>
  <c r="A5" i="8"/>
  <c r="AG5" i="6"/>
  <c r="AH5" i="5"/>
  <c r="W5" i="4"/>
  <c r="EN5" i="11"/>
  <c r="CB5" i="11"/>
  <c r="P5" i="11"/>
  <c r="BO5" i="10"/>
  <c r="C5" i="10"/>
  <c r="BB5" i="9"/>
  <c r="CB5" i="8"/>
  <c r="P5" i="8"/>
  <c r="B4" i="7"/>
  <c r="AW5" i="5"/>
  <c r="AL5" i="4"/>
  <c r="L998" i="3"/>
  <c r="EE5" i="11"/>
  <c r="BS5" i="11"/>
  <c r="DB5" i="10"/>
  <c r="AP5" i="10"/>
  <c r="CO5" i="9"/>
  <c r="AC5" i="9"/>
  <c r="DV5" i="11"/>
  <c r="BJ5" i="11"/>
  <c r="DI5" i="10"/>
  <c r="AW5" i="10"/>
  <c r="CV5" i="9"/>
  <c r="AJ5" i="9"/>
  <c r="BJ5" i="8"/>
  <c r="AT5" i="7"/>
  <c r="AD5" i="6"/>
  <c r="AE5" i="5"/>
  <c r="L5" i="4"/>
  <c r="J996" i="3"/>
  <c r="F991" i="3"/>
  <c r="B986" i="3"/>
  <c r="J980" i="3"/>
  <c r="FA5" i="11"/>
  <c r="CO5" i="11"/>
  <c r="AC5" i="11"/>
  <c r="CB5" i="10"/>
  <c r="P5" i="10"/>
  <c r="BO5" i="9"/>
  <c r="C5" i="9"/>
  <c r="AC5" i="8"/>
  <c r="M5" i="7"/>
  <c r="BJ5" i="5"/>
  <c r="AQ5" i="4"/>
  <c r="FH5" i="11"/>
  <c r="CV5" i="11"/>
  <c r="AJ5" i="11"/>
  <c r="CI5" i="10"/>
  <c r="W5" i="10"/>
  <c r="BN5" i="9"/>
  <c r="B5" i="9"/>
  <c r="AB5" i="8"/>
  <c r="L5" i="7"/>
  <c r="BI5" i="5"/>
  <c r="AP5" i="4"/>
  <c r="EY5" i="11"/>
  <c r="CM5" i="11"/>
  <c r="AA5" i="11"/>
  <c r="BZ5" i="10"/>
  <c r="N5" i="10"/>
  <c r="BM5" i="9"/>
  <c r="A5" i="9"/>
  <c r="AA5" i="8"/>
  <c r="K5" i="7"/>
  <c r="BH5" i="5"/>
  <c r="AW5" i="4"/>
  <c r="K999" i="3"/>
  <c r="G994" i="3"/>
  <c r="C989" i="3"/>
  <c r="K983" i="3"/>
  <c r="G978" i="3"/>
  <c r="DZ5" i="11"/>
  <c r="BN5" i="11"/>
  <c r="B5" i="11"/>
  <c r="BA5" i="10"/>
  <c r="CZ5" i="9"/>
  <c r="AN5" i="9"/>
  <c r="BN5" i="8"/>
  <c r="B5" i="8"/>
  <c r="AH5" i="6"/>
  <c r="AI5" i="5"/>
  <c r="X5" i="4"/>
  <c r="J997" i="3"/>
  <c r="F992" i="3"/>
  <c r="B987" i="3"/>
  <c r="J981" i="3"/>
  <c r="F976" i="3"/>
  <c r="K998" i="3"/>
  <c r="L989" i="3"/>
  <c r="E981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K1000" i="3"/>
  <c r="K990" i="3"/>
  <c r="D982" i="3"/>
  <c r="G974" i="3"/>
  <c r="C969" i="3"/>
  <c r="K963" i="3"/>
  <c r="G958" i="3"/>
  <c r="C953" i="3"/>
  <c r="K947" i="3"/>
  <c r="G942" i="3"/>
  <c r="C937" i="3"/>
  <c r="K931" i="3"/>
  <c r="G926" i="3"/>
  <c r="C921" i="3"/>
  <c r="CD5" i="10"/>
  <c r="BX5" i="9"/>
  <c r="F989" i="3"/>
  <c r="AQ5" i="9"/>
  <c r="L5" i="11"/>
  <c r="R5" i="4"/>
  <c r="C5" i="8"/>
  <c r="G976" i="3"/>
  <c r="Z5" i="7"/>
  <c r="E5" i="9"/>
  <c r="H950" i="3"/>
  <c r="C996" i="3"/>
  <c r="G956" i="3"/>
  <c r="G940" i="3"/>
  <c r="C925" i="3"/>
  <c r="G916" i="3"/>
  <c r="C911" i="3"/>
  <c r="H998" i="3"/>
  <c r="H989" i="3"/>
  <c r="A981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L999" i="3"/>
  <c r="H990" i="3"/>
  <c r="A982" i="3"/>
  <c r="E974" i="3"/>
  <c r="A969" i="3"/>
  <c r="I963" i="3"/>
  <c r="E958" i="3"/>
  <c r="A953" i="3"/>
  <c r="I947" i="3"/>
  <c r="E942" i="3"/>
  <c r="A937" i="3"/>
  <c r="I931" i="3"/>
  <c r="E926" i="3"/>
  <c r="A921" i="3"/>
  <c r="I915" i="3"/>
  <c r="AK5" i="4"/>
  <c r="G991" i="3"/>
  <c r="L982" i="3"/>
  <c r="L974" i="3"/>
  <c r="H969" i="3"/>
  <c r="D964" i="3"/>
  <c r="L958" i="3"/>
  <c r="H953" i="3"/>
  <c r="D948" i="3"/>
  <c r="L942" i="3"/>
  <c r="H937" i="3"/>
  <c r="D932" i="3"/>
  <c r="L926" i="3"/>
  <c r="AC5" i="4"/>
  <c r="E991" i="3"/>
  <c r="K982" i="3"/>
  <c r="K974" i="3"/>
  <c r="G969" i="3"/>
  <c r="C964" i="3"/>
  <c r="K958" i="3"/>
  <c r="G953" i="3"/>
  <c r="C948" i="3"/>
  <c r="K942" i="3"/>
  <c r="G937" i="3"/>
  <c r="C932" i="3"/>
  <c r="K926" i="3"/>
  <c r="G921" i="3"/>
  <c r="C916" i="3"/>
  <c r="K910" i="3"/>
  <c r="D999" i="3"/>
  <c r="C990" i="3"/>
  <c r="H981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H5" i="5"/>
  <c r="C992" i="3"/>
  <c r="H983" i="3"/>
  <c r="F975" i="3"/>
  <c r="A970" i="3"/>
  <c r="I964" i="3"/>
  <c r="E959" i="3"/>
  <c r="A954" i="3"/>
  <c r="I948" i="3"/>
  <c r="E943" i="3"/>
  <c r="A938" i="3"/>
  <c r="I932" i="3"/>
  <c r="E927" i="3"/>
  <c r="A922" i="3"/>
  <c r="I916" i="3"/>
  <c r="H911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910" i="3"/>
  <c r="K904" i="3"/>
  <c r="G899" i="3"/>
  <c r="C894" i="3"/>
  <c r="K888" i="3"/>
  <c r="R5" i="10"/>
  <c r="L5" i="9"/>
  <c r="B984" i="3"/>
  <c r="BQ5" i="8"/>
  <c r="BK5" i="10"/>
  <c r="EA5" i="11"/>
  <c r="AI5" i="6"/>
  <c r="DB5" i="11"/>
  <c r="J5" i="6"/>
  <c r="D995" i="3"/>
  <c r="D945" i="3"/>
  <c r="H987" i="3"/>
  <c r="K951" i="3"/>
  <c r="G936" i="3"/>
  <c r="G924" i="3"/>
  <c r="K915" i="3"/>
  <c r="G910" i="3"/>
  <c r="D997" i="3"/>
  <c r="H988" i="3"/>
  <c r="A980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E998" i="3"/>
  <c r="G989" i="3"/>
  <c r="L980" i="3"/>
  <c r="I973" i="3"/>
  <c r="E968" i="3"/>
  <c r="A963" i="3"/>
  <c r="I957" i="3"/>
  <c r="E952" i="3"/>
  <c r="A947" i="3"/>
  <c r="I941" i="3"/>
  <c r="E936" i="3"/>
  <c r="A931" i="3"/>
  <c r="I925" i="3"/>
  <c r="E920" i="3"/>
  <c r="A915" i="3"/>
  <c r="G999" i="3"/>
  <c r="E990" i="3"/>
  <c r="L981" i="3"/>
  <c r="D974" i="3"/>
  <c r="L968" i="3"/>
  <c r="H963" i="3"/>
  <c r="D958" i="3"/>
  <c r="L952" i="3"/>
  <c r="H947" i="3"/>
  <c r="D942" i="3"/>
  <c r="L936" i="3"/>
  <c r="H931" i="3"/>
  <c r="D926" i="3"/>
  <c r="E999" i="3"/>
  <c r="D990" i="3"/>
  <c r="I981" i="3"/>
  <c r="C974" i="3"/>
  <c r="K968" i="3"/>
  <c r="G963" i="3"/>
  <c r="C958" i="3"/>
  <c r="K952" i="3"/>
  <c r="G947" i="3"/>
  <c r="C942" i="3"/>
  <c r="K936" i="3"/>
  <c r="G931" i="3"/>
  <c r="C926" i="3"/>
  <c r="K920" i="3"/>
  <c r="G915" i="3"/>
  <c r="C910" i="3"/>
  <c r="L997" i="3"/>
  <c r="A989" i="3"/>
  <c r="H980" i="3"/>
  <c r="F973" i="3"/>
  <c r="B968" i="3"/>
  <c r="J962" i="3"/>
  <c r="F957" i="3"/>
  <c r="B952" i="3"/>
  <c r="J946" i="3"/>
  <c r="F941" i="3"/>
  <c r="B936" i="3"/>
  <c r="J930" i="3"/>
  <c r="F925" i="3"/>
  <c r="B920" i="3"/>
  <c r="J914" i="3"/>
  <c r="M5" i="4"/>
  <c r="A991" i="3"/>
  <c r="H982" i="3"/>
  <c r="I974" i="3"/>
  <c r="E969" i="3"/>
  <c r="A964" i="3"/>
  <c r="I958" i="3"/>
  <c r="E953" i="3"/>
  <c r="A948" i="3"/>
  <c r="I942" i="3"/>
  <c r="E937" i="3"/>
  <c r="A932" i="3"/>
  <c r="I926" i="3"/>
  <c r="E921" i="3"/>
  <c r="A916" i="3"/>
  <c r="I910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I909" i="3"/>
  <c r="C904" i="3"/>
  <c r="K898" i="3"/>
  <c r="G893" i="3"/>
  <c r="C888" i="3"/>
  <c r="BQ5" i="9"/>
  <c r="AL5" i="8"/>
  <c r="J978" i="3"/>
  <c r="E5" i="8"/>
  <c r="DB5" i="9"/>
  <c r="BO5" i="11"/>
  <c r="AJ5" i="5"/>
  <c r="AP5" i="11"/>
  <c r="K5" i="5"/>
  <c r="I986" i="3"/>
  <c r="L939" i="3"/>
  <c r="A979" i="3"/>
  <c r="C951" i="3"/>
  <c r="K935" i="3"/>
  <c r="G920" i="3"/>
  <c r="C915" i="3"/>
  <c r="K909" i="3"/>
  <c r="A996" i="3"/>
  <c r="G987" i="3"/>
  <c r="L978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A997" i="3"/>
  <c r="E988" i="3"/>
  <c r="L979" i="3"/>
  <c r="A973" i="3"/>
  <c r="I967" i="3"/>
  <c r="E962" i="3"/>
  <c r="A957" i="3"/>
  <c r="I951" i="3"/>
  <c r="E946" i="3"/>
  <c r="A941" i="3"/>
  <c r="I935" i="3"/>
  <c r="E930" i="3"/>
  <c r="A925" i="3"/>
  <c r="I919" i="3"/>
  <c r="E914" i="3"/>
  <c r="C998" i="3"/>
  <c r="E989" i="3"/>
  <c r="K980" i="3"/>
  <c r="H973" i="3"/>
  <c r="D968" i="3"/>
  <c r="L962" i="3"/>
  <c r="H957" i="3"/>
  <c r="D952" i="3"/>
  <c r="L946" i="3"/>
  <c r="H941" i="3"/>
  <c r="D936" i="3"/>
  <c r="L930" i="3"/>
  <c r="H925" i="3"/>
  <c r="A998" i="3"/>
  <c r="D989" i="3"/>
  <c r="I980" i="3"/>
  <c r="G973" i="3"/>
  <c r="C968" i="3"/>
  <c r="K962" i="3"/>
  <c r="G957" i="3"/>
  <c r="C952" i="3"/>
  <c r="K946" i="3"/>
  <c r="G941" i="3"/>
  <c r="C936" i="3"/>
  <c r="K930" i="3"/>
  <c r="G925" i="3"/>
  <c r="C920" i="3"/>
  <c r="K914" i="3"/>
  <c r="G909" i="3"/>
  <c r="H996" i="3"/>
  <c r="A988" i="3"/>
  <c r="G979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A999" i="3"/>
  <c r="A990" i="3"/>
  <c r="G981" i="3"/>
  <c r="A974" i="3"/>
  <c r="I968" i="3"/>
  <c r="E963" i="3"/>
  <c r="A958" i="3"/>
  <c r="I952" i="3"/>
  <c r="E947" i="3"/>
  <c r="A942" i="3"/>
  <c r="I936" i="3"/>
  <c r="E931" i="3"/>
  <c r="A926" i="3"/>
  <c r="I920" i="3"/>
  <c r="E915" i="3"/>
  <c r="J909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K908" i="3"/>
  <c r="G903" i="3"/>
  <c r="C898" i="3"/>
  <c r="K892" i="3"/>
  <c r="G887" i="3"/>
  <c r="FJ5" i="11"/>
  <c r="V5" i="7"/>
  <c r="EC5" i="11"/>
  <c r="AK5" i="6"/>
  <c r="AP5" i="9"/>
  <c r="C5" i="11"/>
  <c r="Y5" i="4"/>
  <c r="CO5" i="10"/>
  <c r="B4" i="4"/>
  <c r="C978" i="3"/>
  <c r="H934" i="3"/>
  <c r="G972" i="3"/>
  <c r="C947" i="3"/>
  <c r="C935" i="3"/>
  <c r="K919" i="3"/>
  <c r="G914" i="3"/>
  <c r="C909" i="3"/>
  <c r="L994" i="3"/>
  <c r="E986" i="3"/>
  <c r="L977" i="3"/>
  <c r="J971" i="3"/>
  <c r="F966" i="3"/>
  <c r="B961" i="3"/>
  <c r="J955" i="3"/>
  <c r="F950" i="3"/>
  <c r="B945" i="3"/>
  <c r="J939" i="3"/>
  <c r="F934" i="3"/>
  <c r="B929" i="3"/>
  <c r="J923" i="3"/>
  <c r="F918" i="3"/>
  <c r="BS5" i="8"/>
  <c r="L995" i="3"/>
  <c r="E987" i="3"/>
  <c r="K978" i="3"/>
  <c r="E972" i="3"/>
  <c r="A967" i="3"/>
  <c r="I961" i="3"/>
  <c r="E956" i="3"/>
  <c r="A951" i="3"/>
  <c r="I945" i="3"/>
  <c r="E940" i="3"/>
  <c r="A935" i="3"/>
  <c r="I929" i="3"/>
  <c r="E924" i="3"/>
  <c r="A919" i="3"/>
  <c r="I913" i="3"/>
  <c r="K996" i="3"/>
  <c r="D988" i="3"/>
  <c r="I979" i="3"/>
  <c r="L972" i="3"/>
  <c r="H967" i="3"/>
  <c r="D962" i="3"/>
  <c r="L956" i="3"/>
  <c r="H951" i="3"/>
  <c r="D946" i="3"/>
  <c r="L940" i="3"/>
  <c r="H935" i="3"/>
  <c r="D930" i="3"/>
  <c r="L924" i="3"/>
  <c r="I996" i="3"/>
  <c r="C988" i="3"/>
  <c r="H979" i="3"/>
  <c r="K972" i="3"/>
  <c r="G967" i="3"/>
  <c r="C962" i="3"/>
  <c r="K956" i="3"/>
  <c r="G951" i="3"/>
  <c r="C946" i="3"/>
  <c r="K940" i="3"/>
  <c r="G935" i="3"/>
  <c r="C930" i="3"/>
  <c r="K924" i="3"/>
  <c r="G919" i="3"/>
  <c r="C914" i="3"/>
  <c r="AU5" i="8"/>
  <c r="G995" i="3"/>
  <c r="L986" i="3"/>
  <c r="E978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I997" i="3"/>
  <c r="L988" i="3"/>
  <c r="E980" i="3"/>
  <c r="E973" i="3"/>
  <c r="A968" i="3"/>
  <c r="I962" i="3"/>
  <c r="E957" i="3"/>
  <c r="A952" i="3"/>
  <c r="I946" i="3"/>
  <c r="E941" i="3"/>
  <c r="A936" i="3"/>
  <c r="I930" i="3"/>
  <c r="E925" i="3"/>
  <c r="A920" i="3"/>
  <c r="I914" i="3"/>
  <c r="L908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C908" i="3"/>
  <c r="K902" i="3"/>
  <c r="G897" i="3"/>
  <c r="C892" i="3"/>
  <c r="K886" i="3"/>
  <c r="CX5" i="11"/>
  <c r="F5" i="6"/>
  <c r="BQ5" i="11"/>
  <c r="AL5" i="5"/>
  <c r="BP5" i="8"/>
  <c r="BB5" i="10"/>
  <c r="K997" i="3"/>
  <c r="AC5" i="10"/>
  <c r="J995" i="3"/>
  <c r="L971" i="3"/>
  <c r="D929" i="3"/>
  <c r="C967" i="3"/>
  <c r="G946" i="3"/>
  <c r="C931" i="3"/>
  <c r="C919" i="3"/>
  <c r="K913" i="3"/>
  <c r="CA5" i="8"/>
  <c r="L993" i="3"/>
  <c r="E985" i="3"/>
  <c r="K976" i="3"/>
  <c r="B971" i="3"/>
  <c r="J965" i="3"/>
  <c r="F960" i="3"/>
  <c r="B955" i="3"/>
  <c r="J949" i="3"/>
  <c r="F944" i="3"/>
  <c r="B939" i="3"/>
  <c r="J933" i="3"/>
  <c r="F928" i="3"/>
  <c r="B923" i="3"/>
  <c r="J917" i="3"/>
  <c r="G5" i="8"/>
  <c r="K994" i="3"/>
  <c r="D986" i="3"/>
  <c r="I977" i="3"/>
  <c r="I971" i="3"/>
  <c r="E966" i="3"/>
  <c r="A961" i="3"/>
  <c r="I955" i="3"/>
  <c r="E950" i="3"/>
  <c r="A945" i="3"/>
  <c r="I939" i="3"/>
  <c r="E934" i="3"/>
  <c r="A929" i="3"/>
  <c r="I923" i="3"/>
  <c r="E918" i="3"/>
  <c r="A913" i="3"/>
  <c r="I995" i="3"/>
  <c r="D987" i="3"/>
  <c r="I978" i="3"/>
  <c r="D972" i="3"/>
  <c r="L966" i="3"/>
  <c r="H961" i="3"/>
  <c r="D956" i="3"/>
  <c r="L950" i="3"/>
  <c r="H945" i="3"/>
  <c r="D940" i="3"/>
  <c r="L934" i="3"/>
  <c r="H929" i="3"/>
  <c r="BC5" i="8"/>
  <c r="H995" i="3"/>
  <c r="A987" i="3"/>
  <c r="H978" i="3"/>
  <c r="C972" i="3"/>
  <c r="K966" i="3"/>
  <c r="G961" i="3"/>
  <c r="C956" i="3"/>
  <c r="K950" i="3"/>
  <c r="G945" i="3"/>
  <c r="C940" i="3"/>
  <c r="K934" i="3"/>
  <c r="G929" i="3"/>
  <c r="C924" i="3"/>
  <c r="K918" i="3"/>
  <c r="G913" i="3"/>
  <c r="AE5" i="7"/>
  <c r="E994" i="3"/>
  <c r="L985" i="3"/>
  <c r="E977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E996" i="3"/>
  <c r="L987" i="3"/>
  <c r="E979" i="3"/>
  <c r="I972" i="3"/>
  <c r="E967" i="3"/>
  <c r="A962" i="3"/>
  <c r="I956" i="3"/>
  <c r="E951" i="3"/>
  <c r="A946" i="3"/>
  <c r="I940" i="3"/>
  <c r="E935" i="3"/>
  <c r="A930" i="3"/>
  <c r="I924" i="3"/>
  <c r="E919" i="3"/>
  <c r="A914" i="3"/>
  <c r="D908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L838" i="3"/>
  <c r="H833" i="3"/>
  <c r="H919" i="3"/>
  <c r="G907" i="3"/>
  <c r="C902" i="3"/>
  <c r="K896" i="3"/>
  <c r="G891" i="3"/>
  <c r="C886" i="3"/>
  <c r="AL5" i="11"/>
  <c r="G5" i="5"/>
  <c r="E5" i="11"/>
  <c r="S5" i="4"/>
  <c r="D5" i="8"/>
  <c r="DA5" i="9"/>
  <c r="G992" i="3"/>
  <c r="CB5" i="9"/>
  <c r="F990" i="3"/>
  <c r="H966" i="3"/>
  <c r="L923" i="3"/>
  <c r="G962" i="3"/>
  <c r="K945" i="3"/>
  <c r="G930" i="3"/>
  <c r="G918" i="3"/>
  <c r="C913" i="3"/>
  <c r="O5" i="8"/>
  <c r="K992" i="3"/>
  <c r="D984" i="3"/>
  <c r="L975" i="3"/>
  <c r="F970" i="3"/>
  <c r="B965" i="3"/>
  <c r="J959" i="3"/>
  <c r="F954" i="3"/>
  <c r="B949" i="3"/>
  <c r="J943" i="3"/>
  <c r="F938" i="3"/>
  <c r="B933" i="3"/>
  <c r="J927" i="3"/>
  <c r="F922" i="3"/>
  <c r="B917" i="3"/>
  <c r="AM5" i="6"/>
  <c r="I993" i="3"/>
  <c r="D985" i="3"/>
  <c r="I976" i="3"/>
  <c r="A971" i="3"/>
  <c r="I965" i="3"/>
  <c r="E960" i="3"/>
  <c r="A955" i="3"/>
  <c r="I949" i="3"/>
  <c r="E944" i="3"/>
  <c r="A939" i="3"/>
  <c r="I933" i="3"/>
  <c r="E928" i="3"/>
  <c r="A923" i="3"/>
  <c r="I917" i="3"/>
  <c r="BK5" i="8"/>
  <c r="I994" i="3"/>
  <c r="C986" i="3"/>
  <c r="H977" i="3"/>
  <c r="H971" i="3"/>
  <c r="D966" i="3"/>
  <c r="L960" i="3"/>
  <c r="H955" i="3"/>
  <c r="D950" i="3"/>
  <c r="L944" i="3"/>
  <c r="H939" i="3"/>
  <c r="D934" i="3"/>
  <c r="L928" i="3"/>
  <c r="AM5" i="7"/>
  <c r="H994" i="3"/>
  <c r="A986" i="3"/>
  <c r="G977" i="3"/>
  <c r="G971" i="3"/>
  <c r="C966" i="3"/>
  <c r="K960" i="3"/>
  <c r="G955" i="3"/>
  <c r="C950" i="3"/>
  <c r="K944" i="3"/>
  <c r="G939" i="3"/>
  <c r="C934" i="3"/>
  <c r="K928" i="3"/>
  <c r="G923" i="3"/>
  <c r="C918" i="3"/>
  <c r="K912" i="3"/>
  <c r="O5" i="6"/>
  <c r="E993" i="3"/>
  <c r="K984" i="3"/>
  <c r="D976" i="3"/>
  <c r="J970" i="3"/>
  <c r="F965" i="3"/>
  <c r="B960" i="3"/>
  <c r="J954" i="3"/>
  <c r="F949" i="3"/>
  <c r="B944" i="3"/>
  <c r="J938" i="3"/>
  <c r="F933" i="3"/>
  <c r="B928" i="3"/>
  <c r="J922" i="3"/>
  <c r="F917" i="3"/>
  <c r="AM5" i="8"/>
  <c r="E995" i="3"/>
  <c r="K986" i="3"/>
  <c r="D978" i="3"/>
  <c r="A972" i="3"/>
  <c r="I966" i="3"/>
  <c r="E961" i="3"/>
  <c r="A956" i="3"/>
  <c r="I950" i="3"/>
  <c r="E945" i="3"/>
  <c r="A940" i="3"/>
  <c r="I934" i="3"/>
  <c r="E929" i="3"/>
  <c r="A924" i="3"/>
  <c r="I918" i="3"/>
  <c r="D920" i="3"/>
  <c r="H907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D914" i="3"/>
  <c r="K906" i="3"/>
  <c r="G901" i="3"/>
  <c r="C896" i="3"/>
  <c r="K890" i="3"/>
  <c r="G885" i="3"/>
  <c r="Y5" i="10"/>
  <c r="J994" i="3"/>
  <c r="DC5" i="9"/>
  <c r="BX5" i="11"/>
  <c r="AK5" i="5"/>
  <c r="BO5" i="8"/>
  <c r="K981" i="3"/>
  <c r="AP5" i="8"/>
  <c r="J979" i="3"/>
  <c r="L955" i="3"/>
  <c r="D913" i="3"/>
  <c r="C957" i="3"/>
  <c r="C941" i="3"/>
  <c r="K925" i="3"/>
  <c r="C917" i="3"/>
  <c r="K911" i="3"/>
  <c r="C1000" i="3"/>
  <c r="I990" i="3"/>
  <c r="C982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AS5" i="4"/>
  <c r="H991" i="3"/>
  <c r="A983" i="3"/>
  <c r="A975" i="3"/>
  <c r="I969" i="3"/>
  <c r="E964" i="3"/>
  <c r="A959" i="3"/>
  <c r="I953" i="3"/>
  <c r="E948" i="3"/>
  <c r="A943" i="3"/>
  <c r="I937" i="3"/>
  <c r="E932" i="3"/>
  <c r="A927" i="3"/>
  <c r="I921" i="3"/>
  <c r="E916" i="3"/>
  <c r="AF5" i="5"/>
  <c r="H992" i="3"/>
  <c r="A984" i="3"/>
  <c r="I975" i="3"/>
  <c r="D970" i="3"/>
  <c r="L964" i="3"/>
  <c r="H959" i="3"/>
  <c r="D954" i="3"/>
  <c r="L948" i="3"/>
  <c r="H943" i="3"/>
  <c r="D938" i="3"/>
  <c r="L932" i="3"/>
  <c r="H927" i="3"/>
  <c r="X5" i="5"/>
  <c r="E992" i="3"/>
  <c r="L983" i="3"/>
  <c r="H975" i="3"/>
  <c r="C970" i="3"/>
  <c r="K964" i="3"/>
  <c r="G959" i="3"/>
  <c r="C954" i="3"/>
  <c r="K948" i="3"/>
  <c r="G943" i="3"/>
  <c r="C938" i="3"/>
  <c r="K932" i="3"/>
  <c r="G927" i="3"/>
  <c r="C922" i="3"/>
  <c r="K916" i="3"/>
  <c r="G911" i="3"/>
  <c r="U5" i="4"/>
  <c r="D991" i="3"/>
  <c r="I982" i="3"/>
  <c r="J974" i="3"/>
  <c r="F969" i="3"/>
  <c r="B964" i="3"/>
  <c r="J958" i="3"/>
  <c r="F953" i="3"/>
  <c r="B948" i="3"/>
  <c r="J942" i="3"/>
  <c r="F937" i="3"/>
  <c r="B932" i="3"/>
  <c r="J926" i="3"/>
  <c r="F921" i="3"/>
  <c r="B916" i="3"/>
  <c r="G5" i="6"/>
  <c r="D993" i="3"/>
  <c r="I984" i="3"/>
  <c r="C976" i="3"/>
  <c r="I970" i="3"/>
  <c r="E965" i="3"/>
  <c r="A960" i="3"/>
  <c r="I954" i="3"/>
  <c r="E949" i="3"/>
  <c r="A944" i="3"/>
  <c r="I938" i="3"/>
  <c r="E933" i="3"/>
  <c r="A928" i="3"/>
  <c r="I922" i="3"/>
  <c r="E917" i="3"/>
  <c r="F912" i="3"/>
  <c r="D906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F911" i="3"/>
  <c r="G905" i="3"/>
  <c r="C900" i="3"/>
  <c r="K894" i="3"/>
  <c r="G889" i="3"/>
  <c r="C884" i="3"/>
  <c r="CK5" i="10"/>
  <c r="B985" i="3"/>
  <c r="AV5" i="5"/>
  <c r="F948" i="3"/>
  <c r="I992" i="3"/>
  <c r="I943" i="3"/>
  <c r="A985" i="3"/>
  <c r="L938" i="3"/>
  <c r="G965" i="3"/>
  <c r="K922" i="3"/>
  <c r="J964" i="3"/>
  <c r="B922" i="3"/>
  <c r="I960" i="3"/>
  <c r="A918" i="3"/>
  <c r="L874" i="3"/>
  <c r="D832" i="3"/>
  <c r="K882" i="3"/>
  <c r="G877" i="3"/>
  <c r="C872" i="3"/>
  <c r="K866" i="3"/>
  <c r="G861" i="3"/>
  <c r="C856" i="3"/>
  <c r="K850" i="3"/>
  <c r="G845" i="3"/>
  <c r="C840" i="3"/>
  <c r="K834" i="3"/>
  <c r="G829" i="3"/>
  <c r="H909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J834" i="3"/>
  <c r="F829" i="3"/>
  <c r="I908" i="3"/>
  <c r="E903" i="3"/>
  <c r="A898" i="3"/>
  <c r="I892" i="3"/>
  <c r="E887" i="3"/>
  <c r="A882" i="3"/>
  <c r="I876" i="3"/>
  <c r="E871" i="3"/>
  <c r="A866" i="3"/>
  <c r="I860" i="3"/>
  <c r="E855" i="3"/>
  <c r="A850" i="3"/>
  <c r="I844" i="3"/>
  <c r="E839" i="3"/>
  <c r="A834" i="3"/>
  <c r="A912" i="3"/>
  <c r="L905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H836" i="3"/>
  <c r="L912" i="3"/>
  <c r="G906" i="3"/>
  <c r="C901" i="3"/>
  <c r="K895" i="3"/>
  <c r="G890" i="3"/>
  <c r="C885" i="3"/>
  <c r="K879" i="3"/>
  <c r="G874" i="3"/>
  <c r="C869" i="3"/>
  <c r="K863" i="3"/>
  <c r="G858" i="3"/>
  <c r="C853" i="3"/>
  <c r="K847" i="3"/>
  <c r="G842" i="3"/>
  <c r="C837" i="3"/>
  <c r="D916" i="3"/>
  <c r="B907" i="3"/>
  <c r="J901" i="3"/>
  <c r="F896" i="3"/>
  <c r="B891" i="3"/>
  <c r="J885" i="3"/>
  <c r="F880" i="3"/>
  <c r="B875" i="3"/>
  <c r="J869" i="3"/>
  <c r="F864" i="3"/>
  <c r="B859" i="3"/>
  <c r="J853" i="3"/>
  <c r="F848" i="3"/>
  <c r="B843" i="3"/>
  <c r="J837" i="3"/>
  <c r="L920" i="3"/>
  <c r="I907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8" i="3"/>
  <c r="E823" i="3"/>
  <c r="A818" i="3"/>
  <c r="I812" i="3"/>
  <c r="E807" i="3"/>
  <c r="A802" i="3"/>
  <c r="I796" i="3"/>
  <c r="E791" i="3"/>
  <c r="B1000" i="3"/>
  <c r="D961" i="3"/>
  <c r="I991" i="3"/>
  <c r="B943" i="3"/>
  <c r="C984" i="3"/>
  <c r="E938" i="3"/>
  <c r="H976" i="3"/>
  <c r="H933" i="3"/>
  <c r="C960" i="3"/>
  <c r="G917" i="3"/>
  <c r="F959" i="3"/>
  <c r="J916" i="3"/>
  <c r="E955" i="3"/>
  <c r="L914" i="3"/>
  <c r="H869" i="3"/>
  <c r="E912" i="3"/>
  <c r="C882" i="3"/>
  <c r="K876" i="3"/>
  <c r="G871" i="3"/>
  <c r="C866" i="3"/>
  <c r="K860" i="3"/>
  <c r="G855" i="3"/>
  <c r="C850" i="3"/>
  <c r="K844" i="3"/>
  <c r="G839" i="3"/>
  <c r="C834" i="3"/>
  <c r="K828" i="3"/>
  <c r="J908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H923" i="3"/>
  <c r="A908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B911" i="3"/>
  <c r="D905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L835" i="3"/>
  <c r="L911" i="3"/>
  <c r="K905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G836" i="3"/>
  <c r="I912" i="3"/>
  <c r="F906" i="3"/>
  <c r="B901" i="3"/>
  <c r="J895" i="3"/>
  <c r="F890" i="3"/>
  <c r="B885" i="3"/>
  <c r="J879" i="3"/>
  <c r="F874" i="3"/>
  <c r="B869" i="3"/>
  <c r="J863" i="3"/>
  <c r="F858" i="3"/>
  <c r="B853" i="3"/>
  <c r="J847" i="3"/>
  <c r="F842" i="3"/>
  <c r="B837" i="3"/>
  <c r="H915" i="3"/>
  <c r="A907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8" i="3"/>
  <c r="I822" i="3"/>
  <c r="E817" i="3"/>
  <c r="A812" i="3"/>
  <c r="I806" i="3"/>
  <c r="E801" i="3"/>
  <c r="A796" i="3"/>
  <c r="I790" i="3"/>
  <c r="BD5" i="10"/>
  <c r="H918" i="3"/>
  <c r="D983" i="3"/>
  <c r="J937" i="3"/>
  <c r="K975" i="3"/>
  <c r="A933" i="3"/>
  <c r="L970" i="3"/>
  <c r="D928" i="3"/>
  <c r="K954" i="3"/>
  <c r="C912" i="3"/>
  <c r="B954" i="3"/>
  <c r="W5" i="7"/>
  <c r="A950" i="3"/>
  <c r="L906" i="3"/>
  <c r="D864" i="3"/>
  <c r="C906" i="3"/>
  <c r="G881" i="3"/>
  <c r="C876" i="3"/>
  <c r="K870" i="3"/>
  <c r="G865" i="3"/>
  <c r="C860" i="3"/>
  <c r="K854" i="3"/>
  <c r="G849" i="3"/>
  <c r="C844" i="3"/>
  <c r="K838" i="3"/>
  <c r="G833" i="3"/>
  <c r="D924" i="3"/>
  <c r="B908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D918" i="3"/>
  <c r="E907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D910" i="3"/>
  <c r="H904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D835" i="3"/>
  <c r="A911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K835" i="3"/>
  <c r="J911" i="3"/>
  <c r="J905" i="3"/>
  <c r="F900" i="3"/>
  <c r="B895" i="3"/>
  <c r="J889" i="3"/>
  <c r="F884" i="3"/>
  <c r="B879" i="3"/>
  <c r="J873" i="3"/>
  <c r="F868" i="3"/>
  <c r="B863" i="3"/>
  <c r="J857" i="3"/>
  <c r="F852" i="3"/>
  <c r="B847" i="3"/>
  <c r="J841" i="3"/>
  <c r="F836" i="3"/>
  <c r="H912" i="3"/>
  <c r="E906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7" i="3"/>
  <c r="A822" i="3"/>
  <c r="I816" i="3"/>
  <c r="E811" i="3"/>
  <c r="A806" i="3"/>
  <c r="I800" i="3"/>
  <c r="E795" i="3"/>
  <c r="A790" i="3"/>
  <c r="EJ5" i="11"/>
  <c r="K961" i="3"/>
  <c r="C975" i="3"/>
  <c r="F932" i="3"/>
  <c r="E970" i="3"/>
  <c r="I927" i="3"/>
  <c r="H965" i="3"/>
  <c r="W5" i="6"/>
  <c r="G949" i="3"/>
  <c r="P5" i="5"/>
  <c r="J948" i="3"/>
  <c r="D994" i="3"/>
  <c r="I944" i="3"/>
  <c r="H901" i="3"/>
  <c r="L858" i="3"/>
  <c r="K900" i="3"/>
  <c r="K880" i="3"/>
  <c r="G875" i="3"/>
  <c r="C870" i="3"/>
  <c r="K864" i="3"/>
  <c r="G859" i="3"/>
  <c r="C854" i="3"/>
  <c r="K848" i="3"/>
  <c r="G843" i="3"/>
  <c r="C838" i="3"/>
  <c r="K832" i="3"/>
  <c r="L918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E913" i="3"/>
  <c r="I906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E909" i="3"/>
  <c r="L903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H834" i="3"/>
  <c r="B910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C835" i="3"/>
  <c r="L910" i="3"/>
  <c r="B905" i="3"/>
  <c r="J899" i="3"/>
  <c r="F894" i="3"/>
  <c r="B889" i="3"/>
  <c r="J883" i="3"/>
  <c r="F878" i="3"/>
  <c r="B873" i="3"/>
  <c r="J867" i="3"/>
  <c r="F862" i="3"/>
  <c r="B857" i="3"/>
  <c r="J851" i="3"/>
  <c r="F846" i="3"/>
  <c r="B841" i="3"/>
  <c r="J835" i="3"/>
  <c r="I911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6" i="3"/>
  <c r="E821" i="3"/>
  <c r="A816" i="3"/>
  <c r="I810" i="3"/>
  <c r="E805" i="3"/>
  <c r="A800" i="3"/>
  <c r="I794" i="3"/>
  <c r="E789" i="3"/>
  <c r="AJ5" i="6"/>
  <c r="K941" i="3"/>
  <c r="J969" i="3"/>
  <c r="B927" i="3"/>
  <c r="A965" i="3"/>
  <c r="E922" i="3"/>
  <c r="D960" i="3"/>
  <c r="G993" i="3"/>
  <c r="C944" i="3"/>
  <c r="D992" i="3"/>
  <c r="F943" i="3"/>
  <c r="I985" i="3"/>
  <c r="E939" i="3"/>
  <c r="D896" i="3"/>
  <c r="H853" i="3"/>
  <c r="G895" i="3"/>
  <c r="C880" i="3"/>
  <c r="K874" i="3"/>
  <c r="G869" i="3"/>
  <c r="C864" i="3"/>
  <c r="K858" i="3"/>
  <c r="G853" i="3"/>
  <c r="C848" i="3"/>
  <c r="K842" i="3"/>
  <c r="G837" i="3"/>
  <c r="C832" i="3"/>
  <c r="H913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B912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H908" i="3"/>
  <c r="D903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L833" i="3"/>
  <c r="D909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G834" i="3"/>
  <c r="A910" i="3"/>
  <c r="F904" i="3"/>
  <c r="B899" i="3"/>
  <c r="J893" i="3"/>
  <c r="F888" i="3"/>
  <c r="B883" i="3"/>
  <c r="J877" i="3"/>
  <c r="F872" i="3"/>
  <c r="B867" i="3"/>
  <c r="J861" i="3"/>
  <c r="F856" i="3"/>
  <c r="B851" i="3"/>
  <c r="J845" i="3"/>
  <c r="F840" i="3"/>
  <c r="B835" i="3"/>
  <c r="J910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6" i="3"/>
  <c r="I820" i="3"/>
  <c r="E815" i="3"/>
  <c r="A810" i="3"/>
  <c r="I804" i="3"/>
  <c r="E799" i="3"/>
  <c r="A794" i="3"/>
  <c r="I788" i="3"/>
  <c r="AO5" i="9"/>
  <c r="K929" i="3"/>
  <c r="F964" i="3"/>
  <c r="J921" i="3"/>
  <c r="I959" i="3"/>
  <c r="A917" i="3"/>
  <c r="L954" i="3"/>
  <c r="L984" i="3"/>
  <c r="K938" i="3"/>
  <c r="I983" i="3"/>
  <c r="B938" i="3"/>
  <c r="D977" i="3"/>
  <c r="A934" i="3"/>
  <c r="L890" i="3"/>
  <c r="D848" i="3"/>
  <c r="C890" i="3"/>
  <c r="G879" i="3"/>
  <c r="C874" i="3"/>
  <c r="K868" i="3"/>
  <c r="G863" i="3"/>
  <c r="C858" i="3"/>
  <c r="K852" i="3"/>
  <c r="G847" i="3"/>
  <c r="C842" i="3"/>
  <c r="K836" i="3"/>
  <c r="G831" i="3"/>
  <c r="D912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D911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A836" i="3"/>
  <c r="L922" i="3"/>
  <c r="L907" i="3"/>
  <c r="H902" i="3"/>
  <c r="D897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G908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C839" i="3"/>
  <c r="K833" i="3"/>
  <c r="B909" i="3"/>
  <c r="J903" i="3"/>
  <c r="F898" i="3"/>
  <c r="B893" i="3"/>
  <c r="J887" i="3"/>
  <c r="F882" i="3"/>
  <c r="B877" i="3"/>
  <c r="J871" i="3"/>
  <c r="F866" i="3"/>
  <c r="B861" i="3"/>
  <c r="J855" i="3"/>
  <c r="F850" i="3"/>
  <c r="B845" i="3"/>
  <c r="J839" i="3"/>
  <c r="F834" i="3"/>
  <c r="L909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A835" i="3"/>
  <c r="H832" i="3"/>
  <c r="E825" i="3"/>
  <c r="A820" i="3"/>
  <c r="I814" i="3"/>
  <c r="E809" i="3"/>
  <c r="A804" i="3"/>
  <c r="I798" i="3"/>
  <c r="E793" i="3"/>
  <c r="A788" i="3"/>
  <c r="C987" i="3"/>
  <c r="K917" i="3"/>
  <c r="B959" i="3"/>
  <c r="F916" i="3"/>
  <c r="E954" i="3"/>
  <c r="AE5" i="6"/>
  <c r="H949" i="3"/>
  <c r="E976" i="3"/>
  <c r="G933" i="3"/>
  <c r="G975" i="3"/>
  <c r="J932" i="3"/>
  <c r="E971" i="3"/>
  <c r="I928" i="3"/>
  <c r="H885" i="3"/>
  <c r="L842" i="3"/>
  <c r="K884" i="3"/>
  <c r="K878" i="3"/>
  <c r="G873" i="3"/>
  <c r="C868" i="3"/>
  <c r="K862" i="3"/>
  <c r="G857" i="3"/>
  <c r="C852" i="3"/>
  <c r="K846" i="3"/>
  <c r="G841" i="3"/>
  <c r="C836" i="3"/>
  <c r="K830" i="3"/>
  <c r="E911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E910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E835" i="3"/>
  <c r="H917" i="3"/>
  <c r="D907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L837" i="3"/>
  <c r="D922" i="3"/>
  <c r="K907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F908" i="3"/>
  <c r="B903" i="3"/>
  <c r="J897" i="3"/>
  <c r="F892" i="3"/>
  <c r="B887" i="3"/>
  <c r="J881" i="3"/>
  <c r="F876" i="3"/>
  <c r="B871" i="3"/>
  <c r="J865" i="3"/>
  <c r="F860" i="3"/>
  <c r="B855" i="3"/>
  <c r="J849" i="3"/>
  <c r="F844" i="3"/>
  <c r="B839" i="3"/>
  <c r="J833" i="3"/>
  <c r="A909" i="3"/>
  <c r="I903" i="3"/>
  <c r="E898" i="3"/>
  <c r="A893" i="3"/>
  <c r="I887" i="3"/>
  <c r="E882" i="3"/>
  <c r="A877" i="3"/>
  <c r="I871" i="3"/>
  <c r="E866" i="3"/>
  <c r="A861" i="3"/>
  <c r="I855" i="3"/>
  <c r="E850" i="3"/>
  <c r="A845" i="3"/>
  <c r="I839" i="3"/>
  <c r="E834" i="3"/>
  <c r="B831" i="3"/>
  <c r="I824" i="3"/>
  <c r="E819" i="3"/>
  <c r="A814" i="3"/>
  <c r="I808" i="3"/>
  <c r="E803" i="3"/>
  <c r="A798" i="3"/>
  <c r="I792" i="3"/>
  <c r="E787" i="3"/>
  <c r="P5" i="9"/>
  <c r="C928" i="3"/>
  <c r="C878" i="3"/>
  <c r="G835" i="3"/>
  <c r="B878" i="3"/>
  <c r="F835" i="3"/>
  <c r="E877" i="3"/>
  <c r="I834" i="3"/>
  <c r="H874" i="3"/>
  <c r="L916" i="3"/>
  <c r="K869" i="3"/>
  <c r="J907" i="3"/>
  <c r="B865" i="3"/>
  <c r="A903" i="3"/>
  <c r="E860" i="3"/>
  <c r="I818" i="3"/>
  <c r="E785" i="3"/>
  <c r="A780" i="3"/>
  <c r="I774" i="3"/>
  <c r="E769" i="3"/>
  <c r="A764" i="3"/>
  <c r="I758" i="3"/>
  <c r="E753" i="3"/>
  <c r="A748" i="3"/>
  <c r="D827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H752" i="3"/>
  <c r="D747" i="3"/>
  <c r="G826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K751" i="3"/>
  <c r="G746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J751" i="3"/>
  <c r="I827" i="3"/>
  <c r="E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A753" i="3"/>
  <c r="H827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L752" i="3"/>
  <c r="G827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G912" i="3"/>
  <c r="B970" i="3"/>
  <c r="K872" i="3"/>
  <c r="C830" i="3"/>
  <c r="J872" i="3"/>
  <c r="B830" i="3"/>
  <c r="A872" i="3"/>
  <c r="B913" i="3"/>
  <c r="D869" i="3"/>
  <c r="C907" i="3"/>
  <c r="G864" i="3"/>
  <c r="F902" i="3"/>
  <c r="J859" i="3"/>
  <c r="I897" i="3"/>
  <c r="A855" i="3"/>
  <c r="E813" i="3"/>
  <c r="I784" i="3"/>
  <c r="E779" i="3"/>
  <c r="A774" i="3"/>
  <c r="I768" i="3"/>
  <c r="E763" i="3"/>
  <c r="A758" i="3"/>
  <c r="I752" i="3"/>
  <c r="E747" i="3"/>
  <c r="H826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L751" i="3"/>
  <c r="H746" i="3"/>
  <c r="K825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C751" i="3"/>
  <c r="K745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B751" i="3"/>
  <c r="A827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E752" i="3"/>
  <c r="L826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D752" i="3"/>
  <c r="K826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C752" i="3"/>
  <c r="J826" i="3"/>
  <c r="F821" i="3"/>
  <c r="B816" i="3"/>
  <c r="J810" i="3"/>
  <c r="F805" i="3"/>
  <c r="B800" i="3"/>
  <c r="J794" i="3"/>
  <c r="F789" i="3"/>
  <c r="B784" i="3"/>
  <c r="J778" i="3"/>
  <c r="F773" i="3"/>
  <c r="J953" i="3"/>
  <c r="F927" i="3"/>
  <c r="G867" i="3"/>
  <c r="F910" i="3"/>
  <c r="F867" i="3"/>
  <c r="F909" i="3"/>
  <c r="I866" i="3"/>
  <c r="H906" i="3"/>
  <c r="L863" i="3"/>
  <c r="K901" i="3"/>
  <c r="C859" i="3"/>
  <c r="B897" i="3"/>
  <c r="F854" i="3"/>
  <c r="E892" i="3"/>
  <c r="I849" i="3"/>
  <c r="A808" i="3"/>
  <c r="A784" i="3"/>
  <c r="I778" i="3"/>
  <c r="E773" i="3"/>
  <c r="A768" i="3"/>
  <c r="I762" i="3"/>
  <c r="E757" i="3"/>
  <c r="A752" i="3"/>
  <c r="I746" i="3"/>
  <c r="L825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D751" i="3"/>
  <c r="F832" i="3"/>
  <c r="C825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G750" i="3"/>
  <c r="L831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F750" i="3"/>
  <c r="E826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I751" i="3"/>
  <c r="D826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H751" i="3"/>
  <c r="C826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G751" i="3"/>
  <c r="B826" i="3"/>
  <c r="J820" i="3"/>
  <c r="F815" i="3"/>
  <c r="B810" i="3"/>
  <c r="J804" i="3"/>
  <c r="F799" i="3"/>
  <c r="B794" i="3"/>
  <c r="J788" i="3"/>
  <c r="F783" i="3"/>
  <c r="B778" i="3"/>
  <c r="J772" i="3"/>
  <c r="F767" i="3"/>
  <c r="AN5" i="5"/>
  <c r="A966" i="3"/>
  <c r="C862" i="3"/>
  <c r="J904" i="3"/>
  <c r="B862" i="3"/>
  <c r="A904" i="3"/>
  <c r="E861" i="3"/>
  <c r="D901" i="3"/>
  <c r="H858" i="3"/>
  <c r="G896" i="3"/>
  <c r="K853" i="3"/>
  <c r="J891" i="3"/>
  <c r="B849" i="3"/>
  <c r="A887" i="3"/>
  <c r="E844" i="3"/>
  <c r="I802" i="3"/>
  <c r="E783" i="3"/>
  <c r="A778" i="3"/>
  <c r="I772" i="3"/>
  <c r="E767" i="3"/>
  <c r="A762" i="3"/>
  <c r="I756" i="3"/>
  <c r="E751" i="3"/>
  <c r="G832" i="3"/>
  <c r="D825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H750" i="3"/>
  <c r="H830" i="3"/>
  <c r="G824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K749" i="3"/>
  <c r="G830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J749" i="3"/>
  <c r="I825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A751" i="3"/>
  <c r="H825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L750" i="3"/>
  <c r="G825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K750" i="3"/>
  <c r="F825" i="3"/>
  <c r="B820" i="3"/>
  <c r="J814" i="3"/>
  <c r="F809" i="3"/>
  <c r="B804" i="3"/>
  <c r="J798" i="3"/>
  <c r="F793" i="3"/>
  <c r="B788" i="3"/>
  <c r="J782" i="3"/>
  <c r="F777" i="3"/>
  <c r="B772" i="3"/>
  <c r="A949" i="3"/>
  <c r="E923" i="3"/>
  <c r="K856" i="3"/>
  <c r="F899" i="3"/>
  <c r="J856" i="3"/>
  <c r="I898" i="3"/>
  <c r="A856" i="3"/>
  <c r="L895" i="3"/>
  <c r="D853" i="3"/>
  <c r="C891" i="3"/>
  <c r="G848" i="3"/>
  <c r="F886" i="3"/>
  <c r="J843" i="3"/>
  <c r="I881" i="3"/>
  <c r="A839" i="3"/>
  <c r="E797" i="3"/>
  <c r="I782" i="3"/>
  <c r="E777" i="3"/>
  <c r="A772" i="3"/>
  <c r="I766" i="3"/>
  <c r="E761" i="3"/>
  <c r="A756" i="3"/>
  <c r="I750" i="3"/>
  <c r="I830" i="3"/>
  <c r="H824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L749" i="3"/>
  <c r="E829" i="3"/>
  <c r="K823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C749" i="3"/>
  <c r="D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F754" i="3"/>
  <c r="K831" i="3"/>
  <c r="A825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J831" i="3"/>
  <c r="L824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D831" i="3"/>
  <c r="K824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C831" i="3"/>
  <c r="J824" i="3"/>
  <c r="F819" i="3"/>
  <c r="B814" i="3"/>
  <c r="J808" i="3"/>
  <c r="F803" i="3"/>
  <c r="B798" i="3"/>
  <c r="J792" i="3"/>
  <c r="F787" i="3"/>
  <c r="B782" i="3"/>
  <c r="J776" i="3"/>
  <c r="F771" i="3"/>
  <c r="H993" i="3"/>
  <c r="D880" i="3"/>
  <c r="G851" i="3"/>
  <c r="B894" i="3"/>
  <c r="F851" i="3"/>
  <c r="E893" i="3"/>
  <c r="I850" i="3"/>
  <c r="H890" i="3"/>
  <c r="L847" i="3"/>
  <c r="K885" i="3"/>
  <c r="C843" i="3"/>
  <c r="B881" i="3"/>
  <c r="F838" i="3"/>
  <c r="E876" i="3"/>
  <c r="I833" i="3"/>
  <c r="A792" i="3"/>
  <c r="A782" i="3"/>
  <c r="I776" i="3"/>
  <c r="E771" i="3"/>
  <c r="A766" i="3"/>
  <c r="I760" i="3"/>
  <c r="E755" i="3"/>
  <c r="A750" i="3"/>
  <c r="I829" i="3"/>
  <c r="L823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H754" i="3"/>
  <c r="D749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K753" i="3"/>
  <c r="G748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J753" i="3"/>
  <c r="F830" i="3"/>
  <c r="E824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A830" i="3"/>
  <c r="D824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L829" i="3"/>
  <c r="C824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K829" i="3"/>
  <c r="B824" i="3"/>
  <c r="J818" i="3"/>
  <c r="F813" i="3"/>
  <c r="B808" i="3"/>
  <c r="J802" i="3"/>
  <c r="F797" i="3"/>
  <c r="B792" i="3"/>
  <c r="J786" i="3"/>
  <c r="F781" i="3"/>
  <c r="B776" i="3"/>
  <c r="J770" i="3"/>
  <c r="D944" i="3"/>
  <c r="H837" i="3"/>
  <c r="C846" i="3"/>
  <c r="J888" i="3"/>
  <c r="B846" i="3"/>
  <c r="A888" i="3"/>
  <c r="E845" i="3"/>
  <c r="D885" i="3"/>
  <c r="H842" i="3"/>
  <c r="G880" i="3"/>
  <c r="K837" i="3"/>
  <c r="J875" i="3"/>
  <c r="B833" i="3"/>
  <c r="A871" i="3"/>
  <c r="J829" i="3"/>
  <c r="I786" i="3"/>
  <c r="E781" i="3"/>
  <c r="A776" i="3"/>
  <c r="I770" i="3"/>
  <c r="E765" i="3"/>
  <c r="A760" i="3"/>
  <c r="I754" i="3"/>
  <c r="E749" i="3"/>
  <c r="H828" i="3"/>
  <c r="D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L753" i="3"/>
  <c r="H748" i="3"/>
  <c r="K827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C753" i="3"/>
  <c r="K747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B753" i="3"/>
  <c r="C829" i="3"/>
  <c r="I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B829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A829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K970" i="3"/>
  <c r="D837" i="3"/>
  <c r="I780" i="3"/>
  <c r="H822" i="3"/>
  <c r="L779" i="3"/>
  <c r="K821" i="3"/>
  <c r="C779" i="3"/>
  <c r="J821" i="3"/>
  <c r="B779" i="3"/>
  <c r="I817" i="3"/>
  <c r="A775" i="3"/>
  <c r="D812" i="3"/>
  <c r="H769" i="3"/>
  <c r="K806" i="3"/>
  <c r="C764" i="3"/>
  <c r="F801" i="3"/>
  <c r="J766" i="3"/>
  <c r="F761" i="3"/>
  <c r="B756" i="3"/>
  <c r="J750" i="3"/>
  <c r="L748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J744" i="3"/>
  <c r="F739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F748" i="3"/>
  <c r="A742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E748" i="3"/>
  <c r="L741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746" i="3"/>
  <c r="C741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J745" i="3"/>
  <c r="F740" i="3"/>
  <c r="B735" i="3"/>
  <c r="J729" i="3"/>
  <c r="F724" i="3"/>
  <c r="B719" i="3"/>
  <c r="J713" i="3"/>
  <c r="F708" i="3"/>
  <c r="B703" i="3"/>
  <c r="J697" i="3"/>
  <c r="F692" i="3"/>
  <c r="B687" i="3"/>
  <c r="J681" i="3"/>
  <c r="F676" i="3"/>
  <c r="B671" i="3"/>
  <c r="B749" i="3"/>
  <c r="E742" i="3"/>
  <c r="A737" i="3"/>
  <c r="I731" i="3"/>
  <c r="E726" i="3"/>
  <c r="A721" i="3"/>
  <c r="I715" i="3"/>
  <c r="E710" i="3"/>
  <c r="A705" i="3"/>
  <c r="I699" i="3"/>
  <c r="E694" i="3"/>
  <c r="A689" i="3"/>
  <c r="I683" i="3"/>
  <c r="G883" i="3"/>
  <c r="C875" i="3"/>
  <c r="E775" i="3"/>
  <c r="D817" i="3"/>
  <c r="H774" i="3"/>
  <c r="G816" i="3"/>
  <c r="K773" i="3"/>
  <c r="F816" i="3"/>
  <c r="J773" i="3"/>
  <c r="E812" i="3"/>
  <c r="I769" i="3"/>
  <c r="L806" i="3"/>
  <c r="D764" i="3"/>
  <c r="G801" i="3"/>
  <c r="K758" i="3"/>
  <c r="B796" i="3"/>
  <c r="B766" i="3"/>
  <c r="J760" i="3"/>
  <c r="F755" i="3"/>
  <c r="B750" i="3"/>
  <c r="H747" i="3"/>
  <c r="G741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B744" i="3"/>
  <c r="J738" i="3"/>
  <c r="F733" i="3"/>
  <c r="B728" i="3"/>
  <c r="J722" i="3"/>
  <c r="F717" i="3"/>
  <c r="B712" i="3"/>
  <c r="J706" i="3"/>
  <c r="F701" i="3"/>
  <c r="B696" i="3"/>
  <c r="J690" i="3"/>
  <c r="F685" i="3"/>
  <c r="B680" i="3"/>
  <c r="J674" i="3"/>
  <c r="F669" i="3"/>
  <c r="B747" i="3"/>
  <c r="E741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A747" i="3"/>
  <c r="D741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L745" i="3"/>
  <c r="G740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B745" i="3"/>
  <c r="J739" i="3"/>
  <c r="F734" i="3"/>
  <c r="B729" i="3"/>
  <c r="J723" i="3"/>
  <c r="F718" i="3"/>
  <c r="B713" i="3"/>
  <c r="J707" i="3"/>
  <c r="F702" i="3"/>
  <c r="B697" i="3"/>
  <c r="J691" i="3"/>
  <c r="F686" i="3"/>
  <c r="B681" i="3"/>
  <c r="J675" i="3"/>
  <c r="F670" i="3"/>
  <c r="J747" i="3"/>
  <c r="I741" i="3"/>
  <c r="E736" i="3"/>
  <c r="A731" i="3"/>
  <c r="I725" i="3"/>
  <c r="E720" i="3"/>
  <c r="A715" i="3"/>
  <c r="I709" i="3"/>
  <c r="E704" i="3"/>
  <c r="A699" i="3"/>
  <c r="I693" i="3"/>
  <c r="E688" i="3"/>
  <c r="A683" i="3"/>
  <c r="K840" i="3"/>
  <c r="H921" i="3"/>
  <c r="A770" i="3"/>
  <c r="L811" i="3"/>
  <c r="D769" i="3"/>
  <c r="C811" i="3"/>
  <c r="G768" i="3"/>
  <c r="B811" i="3"/>
  <c r="F768" i="3"/>
  <c r="A807" i="3"/>
  <c r="E764" i="3"/>
  <c r="H801" i="3"/>
  <c r="L758" i="3"/>
  <c r="C796" i="3"/>
  <c r="G753" i="3"/>
  <c r="J790" i="3"/>
  <c r="F765" i="3"/>
  <c r="B760" i="3"/>
  <c r="J754" i="3"/>
  <c r="F749" i="3"/>
  <c r="D746" i="3"/>
  <c r="K740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F743" i="3"/>
  <c r="B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B746" i="3"/>
  <c r="I740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A746" i="3"/>
  <c r="H740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C745" i="3"/>
  <c r="K739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F744" i="3"/>
  <c r="B739" i="3"/>
  <c r="J733" i="3"/>
  <c r="F728" i="3"/>
  <c r="B723" i="3"/>
  <c r="J717" i="3"/>
  <c r="F712" i="3"/>
  <c r="B707" i="3"/>
  <c r="J701" i="3"/>
  <c r="F696" i="3"/>
  <c r="B691" i="3"/>
  <c r="J685" i="3"/>
  <c r="F680" i="3"/>
  <c r="B675" i="3"/>
  <c r="J669" i="3"/>
  <c r="F746" i="3"/>
  <c r="A741" i="3"/>
  <c r="I735" i="3"/>
  <c r="E730" i="3"/>
  <c r="A725" i="3"/>
  <c r="I719" i="3"/>
  <c r="E714" i="3"/>
  <c r="A709" i="3"/>
  <c r="I703" i="3"/>
  <c r="E698" i="3"/>
  <c r="A693" i="3"/>
  <c r="I687" i="3"/>
  <c r="E682" i="3"/>
  <c r="F883" i="3"/>
  <c r="F870" i="3"/>
  <c r="I764" i="3"/>
  <c r="H806" i="3"/>
  <c r="L763" i="3"/>
  <c r="K805" i="3"/>
  <c r="C763" i="3"/>
  <c r="J805" i="3"/>
  <c r="B763" i="3"/>
  <c r="I801" i="3"/>
  <c r="A759" i="3"/>
  <c r="D796" i="3"/>
  <c r="H753" i="3"/>
  <c r="K790" i="3"/>
  <c r="B828" i="3"/>
  <c r="F785" i="3"/>
  <c r="J764" i="3"/>
  <c r="F759" i="3"/>
  <c r="B754" i="3"/>
  <c r="J748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D750" i="3"/>
  <c r="J742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E745" i="3"/>
  <c r="A740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D745" i="3"/>
  <c r="L739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G744" i="3"/>
  <c r="C73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J743" i="3"/>
  <c r="F738" i="3"/>
  <c r="B733" i="3"/>
  <c r="J727" i="3"/>
  <c r="F722" i="3"/>
  <c r="B717" i="3"/>
  <c r="J711" i="3"/>
  <c r="F706" i="3"/>
  <c r="B701" i="3"/>
  <c r="J695" i="3"/>
  <c r="F690" i="3"/>
  <c r="B685" i="3"/>
  <c r="J679" i="3"/>
  <c r="F674" i="3"/>
  <c r="B669" i="3"/>
  <c r="I745" i="3"/>
  <c r="E740" i="3"/>
  <c r="A735" i="3"/>
  <c r="I729" i="3"/>
  <c r="E724" i="3"/>
  <c r="A719" i="3"/>
  <c r="I713" i="3"/>
  <c r="E708" i="3"/>
  <c r="A703" i="3"/>
  <c r="I697" i="3"/>
  <c r="E692" i="3"/>
  <c r="A687" i="3"/>
  <c r="I681" i="3"/>
  <c r="J840" i="3"/>
  <c r="E908" i="3"/>
  <c r="E759" i="3"/>
  <c r="D801" i="3"/>
  <c r="H758" i="3"/>
  <c r="G800" i="3"/>
  <c r="K757" i="3"/>
  <c r="F800" i="3"/>
  <c r="J757" i="3"/>
  <c r="E796" i="3"/>
  <c r="I753" i="3"/>
  <c r="L790" i="3"/>
  <c r="C828" i="3"/>
  <c r="G785" i="3"/>
  <c r="J822" i="3"/>
  <c r="B780" i="3"/>
  <c r="B764" i="3"/>
  <c r="J758" i="3"/>
  <c r="F753" i="3"/>
  <c r="B748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748" i="3"/>
  <c r="B742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I744" i="3"/>
  <c r="E739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H744" i="3"/>
  <c r="D739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K743" i="3"/>
  <c r="G738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B743" i="3"/>
  <c r="J737" i="3"/>
  <c r="F732" i="3"/>
  <c r="B727" i="3"/>
  <c r="J721" i="3"/>
  <c r="F716" i="3"/>
  <c r="B711" i="3"/>
  <c r="J705" i="3"/>
  <c r="F700" i="3"/>
  <c r="B695" i="3"/>
  <c r="J689" i="3"/>
  <c r="F684" i="3"/>
  <c r="B679" i="3"/>
  <c r="J673" i="3"/>
  <c r="F668" i="3"/>
  <c r="A745" i="3"/>
  <c r="I739" i="3"/>
  <c r="E734" i="3"/>
  <c r="A729" i="3"/>
  <c r="I723" i="3"/>
  <c r="E718" i="3"/>
  <c r="A713" i="3"/>
  <c r="I707" i="3"/>
  <c r="E702" i="3"/>
  <c r="A697" i="3"/>
  <c r="I691" i="3"/>
  <c r="E686" i="3"/>
  <c r="I882" i="3"/>
  <c r="I865" i="3"/>
  <c r="A754" i="3"/>
  <c r="L795" i="3"/>
  <c r="D753" i="3"/>
  <c r="C795" i="3"/>
  <c r="G752" i="3"/>
  <c r="B795" i="3"/>
  <c r="F752" i="3"/>
  <c r="A791" i="3"/>
  <c r="D828" i="3"/>
  <c r="H785" i="3"/>
  <c r="K822" i="3"/>
  <c r="C780" i="3"/>
  <c r="F817" i="3"/>
  <c r="J774" i="3"/>
  <c r="F763" i="3"/>
  <c r="B758" i="3"/>
  <c r="J752" i="3"/>
  <c r="F747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G747" i="3"/>
  <c r="F741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A744" i="3"/>
  <c r="I738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L743" i="3"/>
  <c r="H738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C743" i="3"/>
  <c r="K737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G749" i="3"/>
  <c r="F742" i="3"/>
  <c r="B737" i="3"/>
  <c r="J731" i="3"/>
  <c r="F726" i="3"/>
  <c r="B721" i="3"/>
  <c r="J715" i="3"/>
  <c r="F710" i="3"/>
  <c r="B705" i="3"/>
  <c r="J699" i="3"/>
  <c r="F694" i="3"/>
  <c r="B689" i="3"/>
  <c r="J683" i="3"/>
  <c r="F678" i="3"/>
  <c r="B673" i="3"/>
  <c r="J667" i="3"/>
  <c r="E744" i="3"/>
  <c r="A739" i="3"/>
  <c r="I733" i="3"/>
  <c r="E728" i="3"/>
  <c r="A723" i="3"/>
  <c r="I717" i="3"/>
  <c r="E712" i="3"/>
  <c r="A707" i="3"/>
  <c r="I701" i="3"/>
  <c r="E696" i="3"/>
  <c r="A691" i="3"/>
  <c r="I685" i="3"/>
  <c r="E680" i="3"/>
  <c r="A840" i="3"/>
  <c r="A824" i="3"/>
  <c r="I748" i="3"/>
  <c r="H790" i="3"/>
  <c r="L747" i="3"/>
  <c r="K789" i="3"/>
  <c r="C747" i="3"/>
  <c r="J789" i="3"/>
  <c r="E828" i="3"/>
  <c r="I785" i="3"/>
  <c r="L822" i="3"/>
  <c r="D780" i="3"/>
  <c r="G817" i="3"/>
  <c r="K774" i="3"/>
  <c r="B812" i="3"/>
  <c r="F769" i="3"/>
  <c r="J762" i="3"/>
  <c r="F757" i="3"/>
  <c r="B752" i="3"/>
  <c r="J746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G679" i="3"/>
  <c r="C674" i="3"/>
  <c r="K668" i="3"/>
  <c r="C746" i="3"/>
  <c r="J740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E743" i="3"/>
  <c r="A738" i="3"/>
  <c r="I732" i="3"/>
  <c r="E727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D743" i="3"/>
  <c r="L737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H749" i="3"/>
  <c r="G742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C748" i="3"/>
  <c r="J741" i="3"/>
  <c r="F736" i="3"/>
  <c r="B731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I743" i="3"/>
  <c r="E738" i="3"/>
  <c r="A733" i="3"/>
  <c r="I727" i="3"/>
  <c r="E722" i="3"/>
  <c r="A717" i="3"/>
  <c r="I711" i="3"/>
  <c r="E706" i="3"/>
  <c r="A701" i="3"/>
  <c r="I695" i="3"/>
  <c r="E690" i="3"/>
  <c r="A685" i="3"/>
  <c r="I679" i="3"/>
  <c r="L879" i="3"/>
  <c r="A823" i="3"/>
  <c r="B762" i="3"/>
  <c r="G721" i="3"/>
  <c r="K678" i="3"/>
  <c r="J718" i="3"/>
  <c r="B676" i="3"/>
  <c r="A716" i="3"/>
  <c r="E673" i="3"/>
  <c r="L715" i="3"/>
  <c r="D673" i="3"/>
  <c r="C715" i="3"/>
  <c r="G672" i="3"/>
  <c r="F714" i="3"/>
  <c r="J671" i="3"/>
  <c r="A711" i="3"/>
  <c r="E678" i="3"/>
  <c r="A673" i="3"/>
  <c r="I667" i="3"/>
  <c r="D744" i="3"/>
  <c r="L738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I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H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G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F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A786" i="3"/>
  <c r="E780" i="3"/>
  <c r="J756" i="3"/>
  <c r="C716" i="3"/>
  <c r="G673" i="3"/>
  <c r="F713" i="3"/>
  <c r="J670" i="3"/>
  <c r="I710" i="3"/>
  <c r="A668" i="3"/>
  <c r="H710" i="3"/>
  <c r="L667" i="3"/>
  <c r="K709" i="3"/>
  <c r="C667" i="3"/>
  <c r="B709" i="3"/>
  <c r="F666" i="3"/>
  <c r="I705" i="3"/>
  <c r="I677" i="3"/>
  <c r="E672" i="3"/>
  <c r="A667" i="3"/>
  <c r="H743" i="3"/>
  <c r="D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582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L827" i="3"/>
  <c r="H817" i="3"/>
  <c r="F751" i="3"/>
  <c r="K710" i="3"/>
  <c r="C668" i="3"/>
  <c r="B708" i="3"/>
  <c r="C750" i="3"/>
  <c r="E705" i="3"/>
  <c r="I749" i="3"/>
  <c r="D705" i="3"/>
  <c r="D748" i="3"/>
  <c r="G704" i="3"/>
  <c r="K746" i="3"/>
  <c r="J703" i="3"/>
  <c r="A743" i="3"/>
  <c r="E700" i="3"/>
  <c r="A677" i="3"/>
  <c r="I671" i="3"/>
  <c r="E666" i="3"/>
  <c r="L742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582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D785" i="3"/>
  <c r="L774" i="3"/>
  <c r="E750" i="3"/>
  <c r="G705" i="3"/>
  <c r="F745" i="3"/>
  <c r="J702" i="3"/>
  <c r="I742" i="3"/>
  <c r="A700" i="3"/>
  <c r="H742" i="3"/>
  <c r="L699" i="3"/>
  <c r="K741" i="3"/>
  <c r="C699" i="3"/>
  <c r="B741" i="3"/>
  <c r="F698" i="3"/>
  <c r="I737" i="3"/>
  <c r="A695" i="3"/>
  <c r="E676" i="3"/>
  <c r="A671" i="3"/>
  <c r="A749" i="3"/>
  <c r="D742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581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C827" i="3"/>
  <c r="C812" i="3"/>
  <c r="K742" i="3"/>
  <c r="C700" i="3"/>
  <c r="B740" i="3"/>
  <c r="F697" i="3"/>
  <c r="E737" i="3"/>
  <c r="I694" i="3"/>
  <c r="D737" i="3"/>
  <c r="H694" i="3"/>
  <c r="G736" i="3"/>
  <c r="K693" i="3"/>
  <c r="J735" i="3"/>
  <c r="B693" i="3"/>
  <c r="E732" i="3"/>
  <c r="I689" i="3"/>
  <c r="I675" i="3"/>
  <c r="E670" i="3"/>
  <c r="I747" i="3"/>
  <c r="H741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580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K659" i="3"/>
  <c r="G654" i="3"/>
  <c r="C649" i="3"/>
  <c r="K643" i="3"/>
  <c r="G638" i="3"/>
  <c r="C633" i="3"/>
  <c r="K627" i="3"/>
  <c r="G622" i="3"/>
  <c r="C617" i="3"/>
  <c r="K611" i="3"/>
  <c r="G606" i="3"/>
  <c r="G784" i="3"/>
  <c r="G769" i="3"/>
  <c r="G737" i="3"/>
  <c r="K694" i="3"/>
  <c r="J734" i="3"/>
  <c r="B692" i="3"/>
  <c r="A732" i="3"/>
  <c r="E689" i="3"/>
  <c r="L731" i="3"/>
  <c r="D689" i="3"/>
  <c r="C731" i="3"/>
  <c r="G688" i="3"/>
  <c r="F730" i="3"/>
  <c r="J687" i="3"/>
  <c r="A727" i="3"/>
  <c r="E684" i="3"/>
  <c r="A675" i="3"/>
  <c r="I669" i="3"/>
  <c r="E746" i="3"/>
  <c r="L740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580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B665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F784" i="3"/>
  <c r="B768" i="3"/>
  <c r="K726" i="3"/>
  <c r="C684" i="3"/>
  <c r="B724" i="3"/>
  <c r="F681" i="3"/>
  <c r="E721" i="3"/>
  <c r="I678" i="3"/>
  <c r="D721" i="3"/>
  <c r="H678" i="3"/>
  <c r="G720" i="3"/>
  <c r="K677" i="3"/>
  <c r="J719" i="3"/>
  <c r="B677" i="3"/>
  <c r="E716" i="3"/>
  <c r="A679" i="3"/>
  <c r="I673" i="3"/>
  <c r="E668" i="3"/>
  <c r="L744" i="3"/>
  <c r="H73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K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J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F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E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D664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B827" i="3"/>
  <c r="H726" i="3"/>
  <c r="E674" i="3"/>
  <c r="H713" i="3"/>
  <c r="L670" i="3"/>
  <c r="H627" i="3"/>
  <c r="L584" i="3"/>
  <c r="G627" i="3"/>
  <c r="K584" i="3"/>
  <c r="F627" i="3"/>
  <c r="J584" i="3"/>
  <c r="E627" i="3"/>
  <c r="I584" i="3"/>
  <c r="D627" i="3"/>
  <c r="H584" i="3"/>
  <c r="G626" i="3"/>
  <c r="G594" i="3"/>
  <c r="K585" i="3"/>
  <c r="G580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I579" i="3"/>
  <c r="B575" i="3"/>
  <c r="J569" i="3"/>
  <c r="F564" i="3"/>
  <c r="B559" i="3"/>
  <c r="J553" i="3"/>
  <c r="F548" i="3"/>
  <c r="B543" i="3"/>
  <c r="J537" i="3"/>
  <c r="F532" i="3"/>
  <c r="B527" i="3"/>
  <c r="J521" i="3"/>
  <c r="F516" i="3"/>
  <c r="B511" i="3"/>
  <c r="J505" i="3"/>
  <c r="F500" i="3"/>
  <c r="B495" i="3"/>
  <c r="A575" i="3"/>
  <c r="I569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L574" i="3"/>
  <c r="H56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K574" i="3"/>
  <c r="G569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J574" i="3"/>
  <c r="F569" i="3"/>
  <c r="B564" i="3"/>
  <c r="J558" i="3"/>
  <c r="F553" i="3"/>
  <c r="B548" i="3"/>
  <c r="J542" i="3"/>
  <c r="F537" i="3"/>
  <c r="B532" i="3"/>
  <c r="J526" i="3"/>
  <c r="F521" i="3"/>
  <c r="B516" i="3"/>
  <c r="J510" i="3"/>
  <c r="J806" i="3"/>
  <c r="L683" i="3"/>
  <c r="A669" i="3"/>
  <c r="D708" i="3"/>
  <c r="J665" i="3"/>
  <c r="D622" i="3"/>
  <c r="I665" i="3"/>
  <c r="C622" i="3"/>
  <c r="H665" i="3"/>
  <c r="B622" i="3"/>
  <c r="G665" i="3"/>
  <c r="A622" i="3"/>
  <c r="F665" i="3"/>
  <c r="L621" i="3"/>
  <c r="C664" i="3"/>
  <c r="C621" i="3"/>
  <c r="G590" i="3"/>
  <c r="C585" i="3"/>
  <c r="K579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L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L579" i="3"/>
  <c r="F574" i="3"/>
  <c r="B569" i="3"/>
  <c r="J563" i="3"/>
  <c r="F558" i="3"/>
  <c r="B553" i="3"/>
  <c r="J547" i="3"/>
  <c r="F542" i="3"/>
  <c r="B537" i="3"/>
  <c r="J531" i="3"/>
  <c r="F526" i="3"/>
  <c r="B521" i="3"/>
  <c r="J515" i="3"/>
  <c r="F510" i="3"/>
  <c r="B505" i="3"/>
  <c r="J499" i="3"/>
  <c r="J579" i="3"/>
  <c r="E574" i="3"/>
  <c r="A569" i="3"/>
  <c r="I563" i="3"/>
  <c r="E558" i="3"/>
  <c r="A553" i="3"/>
  <c r="I547" i="3"/>
  <c r="E542" i="3"/>
  <c r="A537" i="3"/>
  <c r="I531" i="3"/>
  <c r="E526" i="3"/>
  <c r="A521" i="3"/>
  <c r="I515" i="3"/>
  <c r="E510" i="3"/>
  <c r="A505" i="3"/>
  <c r="I499" i="3"/>
  <c r="H579" i="3"/>
  <c r="D57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G579" i="3"/>
  <c r="C57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F579" i="3"/>
  <c r="B57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C732" i="3"/>
  <c r="K725" i="3"/>
  <c r="H745" i="3"/>
  <c r="L702" i="3"/>
  <c r="H659" i="3"/>
  <c r="L616" i="3"/>
  <c r="G659" i="3"/>
  <c r="K616" i="3"/>
  <c r="F659" i="3"/>
  <c r="J616" i="3"/>
  <c r="E659" i="3"/>
  <c r="I616" i="3"/>
  <c r="D659" i="3"/>
  <c r="H616" i="3"/>
  <c r="G658" i="3"/>
  <c r="K615" i="3"/>
  <c r="K589" i="3"/>
  <c r="G584" i="3"/>
  <c r="A665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J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B579" i="3"/>
  <c r="J573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A579" i="3"/>
  <c r="I573" i="3"/>
  <c r="E568" i="3"/>
  <c r="A563" i="3"/>
  <c r="I557" i="3"/>
  <c r="E552" i="3"/>
  <c r="A547" i="3"/>
  <c r="I541" i="3"/>
  <c r="E536" i="3"/>
  <c r="A531" i="3"/>
  <c r="I525" i="3"/>
  <c r="E520" i="3"/>
  <c r="A515" i="3"/>
  <c r="I509" i="3"/>
  <c r="E504" i="3"/>
  <c r="A499" i="3"/>
  <c r="L578" i="3"/>
  <c r="H573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K578" i="3"/>
  <c r="G573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J578" i="3"/>
  <c r="F57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G689" i="3"/>
  <c r="C683" i="3"/>
  <c r="D740" i="3"/>
  <c r="H697" i="3"/>
  <c r="D654" i="3"/>
  <c r="H611" i="3"/>
  <c r="C654" i="3"/>
  <c r="G611" i="3"/>
  <c r="B654" i="3"/>
  <c r="F611" i="3"/>
  <c r="A654" i="3"/>
  <c r="E611" i="3"/>
  <c r="L653" i="3"/>
  <c r="D611" i="3"/>
  <c r="C653" i="3"/>
  <c r="G610" i="3"/>
  <c r="C589" i="3"/>
  <c r="K583" i="3"/>
  <c r="B664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A583" i="3"/>
  <c r="F578" i="3"/>
  <c r="B573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E578" i="3"/>
  <c r="A573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D578" i="3"/>
  <c r="L572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C578" i="3"/>
  <c r="K572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B578" i="3"/>
  <c r="J57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729" i="3"/>
  <c r="B725" i="3"/>
  <c r="L734" i="3"/>
  <c r="D692" i="3"/>
  <c r="L648" i="3"/>
  <c r="D606" i="3"/>
  <c r="K648" i="3"/>
  <c r="C606" i="3"/>
  <c r="J648" i="3"/>
  <c r="B606" i="3"/>
  <c r="I648" i="3"/>
  <c r="A606" i="3"/>
  <c r="H648" i="3"/>
  <c r="L605" i="3"/>
  <c r="K647" i="3"/>
  <c r="C605" i="3"/>
  <c r="G588" i="3"/>
  <c r="C583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E582" i="3"/>
  <c r="J577" i="3"/>
  <c r="F572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I577" i="3"/>
  <c r="E572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H577" i="3"/>
  <c r="D572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G577" i="3"/>
  <c r="C57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F577" i="3"/>
  <c r="B572" i="3"/>
  <c r="J566" i="3"/>
  <c r="F561" i="3"/>
  <c r="B556" i="3"/>
  <c r="J550" i="3"/>
  <c r="F545" i="3"/>
  <c r="B540" i="3"/>
  <c r="J534" i="3"/>
  <c r="F529" i="3"/>
  <c r="B524" i="3"/>
  <c r="J518" i="3"/>
  <c r="F513" i="3"/>
  <c r="J686" i="3"/>
  <c r="F682" i="3"/>
  <c r="H729" i="3"/>
  <c r="L686" i="3"/>
  <c r="H643" i="3"/>
  <c r="L600" i="3"/>
  <c r="G643" i="3"/>
  <c r="K600" i="3"/>
  <c r="F643" i="3"/>
  <c r="J600" i="3"/>
  <c r="E643" i="3"/>
  <c r="I600" i="3"/>
  <c r="D643" i="3"/>
  <c r="H600" i="3"/>
  <c r="G642" i="3"/>
  <c r="C601" i="3"/>
  <c r="K587" i="3"/>
  <c r="G582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I581" i="3"/>
  <c r="B577" i="3"/>
  <c r="J571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A577" i="3"/>
  <c r="I571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L576" i="3"/>
  <c r="H571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K576" i="3"/>
  <c r="G571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J576" i="3"/>
  <c r="F571" i="3"/>
  <c r="B566" i="3"/>
  <c r="J560" i="3"/>
  <c r="F555" i="3"/>
  <c r="B550" i="3"/>
  <c r="J544" i="3"/>
  <c r="F539" i="3"/>
  <c r="B534" i="3"/>
  <c r="J528" i="3"/>
  <c r="F523" i="3"/>
  <c r="B518" i="3"/>
  <c r="J512" i="3"/>
  <c r="I726" i="3"/>
  <c r="I721" i="3"/>
  <c r="D724" i="3"/>
  <c r="H681" i="3"/>
  <c r="D638" i="3"/>
  <c r="H595" i="3"/>
  <c r="C638" i="3"/>
  <c r="G595" i="3"/>
  <c r="B638" i="3"/>
  <c r="F595" i="3"/>
  <c r="A638" i="3"/>
  <c r="E595" i="3"/>
  <c r="L637" i="3"/>
  <c r="D595" i="3"/>
  <c r="C637" i="3"/>
  <c r="K599" i="3"/>
  <c r="C587" i="3"/>
  <c r="K581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A581" i="3"/>
  <c r="F576" i="3"/>
  <c r="B571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E576" i="3"/>
  <c r="A571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D576" i="3"/>
  <c r="L570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C576" i="3"/>
  <c r="K570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B576" i="3"/>
  <c r="J570" i="3"/>
  <c r="F565" i="3"/>
  <c r="B560" i="3"/>
  <c r="J554" i="3"/>
  <c r="F549" i="3"/>
  <c r="B544" i="3"/>
  <c r="J538" i="3"/>
  <c r="F533" i="3"/>
  <c r="B528" i="3"/>
  <c r="J522" i="3"/>
  <c r="F517" i="3"/>
  <c r="B512" i="3"/>
  <c r="A684" i="3"/>
  <c r="J632" i="3"/>
  <c r="G586" i="3"/>
  <c r="B629" i="3"/>
  <c r="F586" i="3"/>
  <c r="E628" i="3"/>
  <c r="I585" i="3"/>
  <c r="J543" i="3"/>
  <c r="B501" i="3"/>
  <c r="I543" i="3"/>
  <c r="A501" i="3"/>
  <c r="H543" i="3"/>
  <c r="L500" i="3"/>
  <c r="G543" i="3"/>
  <c r="K500" i="3"/>
  <c r="F543" i="3"/>
  <c r="F507" i="3"/>
  <c r="B502" i="3"/>
  <c r="J496" i="3"/>
  <c r="I576" i="3"/>
  <c r="E571" i="3"/>
  <c r="A566" i="3"/>
  <c r="I560" i="3"/>
  <c r="E555" i="3"/>
  <c r="A550" i="3"/>
  <c r="I544" i="3"/>
  <c r="E539" i="3"/>
  <c r="A534" i="3"/>
  <c r="I528" i="3"/>
  <c r="E523" i="3"/>
  <c r="A518" i="3"/>
  <c r="I512" i="3"/>
  <c r="E507" i="3"/>
  <c r="A502" i="3"/>
  <c r="I496" i="3"/>
  <c r="L575" i="3"/>
  <c r="H570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C575" i="3"/>
  <c r="K569" i="3"/>
  <c r="G564" i="3"/>
  <c r="C559" i="3"/>
  <c r="K553" i="3"/>
  <c r="G548" i="3"/>
  <c r="C543" i="3"/>
  <c r="K537" i="3"/>
  <c r="G532" i="3"/>
  <c r="C527" i="3"/>
  <c r="K521" i="3"/>
  <c r="G516" i="3"/>
  <c r="C511" i="3"/>
  <c r="K505" i="3"/>
  <c r="G500" i="3"/>
  <c r="C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A681" i="3"/>
  <c r="B590" i="3"/>
  <c r="C581" i="3"/>
  <c r="J623" i="3"/>
  <c r="B581" i="3"/>
  <c r="A623" i="3"/>
  <c r="E580" i="3"/>
  <c r="F538" i="3"/>
  <c r="J495" i="3"/>
  <c r="E538" i="3"/>
  <c r="I495" i="3"/>
  <c r="D538" i="3"/>
  <c r="H495" i="3"/>
  <c r="C538" i="3"/>
  <c r="G495" i="3"/>
  <c r="L718" i="3"/>
  <c r="I632" i="3"/>
  <c r="B661" i="3"/>
  <c r="F618" i="3"/>
  <c r="E660" i="3"/>
  <c r="I617" i="3"/>
  <c r="J575" i="3"/>
  <c r="B533" i="3"/>
  <c r="I575" i="3"/>
  <c r="A533" i="3"/>
  <c r="H575" i="3"/>
  <c r="L532" i="3"/>
  <c r="G575" i="3"/>
  <c r="K532" i="3"/>
  <c r="F575" i="3"/>
  <c r="J532" i="3"/>
  <c r="B506" i="3"/>
  <c r="J500" i="3"/>
  <c r="F495" i="3"/>
  <c r="E575" i="3"/>
  <c r="A570" i="3"/>
  <c r="I564" i="3"/>
  <c r="E559" i="3"/>
  <c r="A554" i="3"/>
  <c r="I548" i="3"/>
  <c r="E543" i="3"/>
  <c r="A538" i="3"/>
  <c r="I532" i="3"/>
  <c r="E527" i="3"/>
  <c r="A522" i="3"/>
  <c r="I516" i="3"/>
  <c r="E511" i="3"/>
  <c r="A506" i="3"/>
  <c r="I500" i="3"/>
  <c r="E495" i="3"/>
  <c r="H574" i="3"/>
  <c r="D569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D676" i="3"/>
  <c r="A590" i="3"/>
  <c r="J655" i="3"/>
  <c r="B613" i="3"/>
  <c r="A655" i="3"/>
  <c r="E612" i="3"/>
  <c r="F570" i="3"/>
  <c r="J527" i="3"/>
  <c r="E570" i="3"/>
  <c r="I527" i="3"/>
  <c r="D570" i="3"/>
  <c r="H527" i="3"/>
  <c r="C570" i="3"/>
  <c r="G527" i="3"/>
  <c r="B570" i="3"/>
  <c r="F527" i="3"/>
  <c r="F505" i="3"/>
  <c r="B500" i="3"/>
  <c r="J494" i="3"/>
  <c r="I574" i="3"/>
  <c r="E569" i="3"/>
  <c r="A564" i="3"/>
  <c r="I558" i="3"/>
  <c r="E553" i="3"/>
  <c r="A548" i="3"/>
  <c r="I542" i="3"/>
  <c r="E537" i="3"/>
  <c r="A532" i="3"/>
  <c r="I526" i="3"/>
  <c r="E521" i="3"/>
  <c r="A516" i="3"/>
  <c r="I510" i="3"/>
  <c r="E505" i="3"/>
  <c r="A500" i="3"/>
  <c r="D579" i="3"/>
  <c r="L573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L632" i="3"/>
  <c r="H632" i="3"/>
  <c r="F650" i="3"/>
  <c r="J607" i="3"/>
  <c r="I649" i="3"/>
  <c r="A607" i="3"/>
  <c r="B565" i="3"/>
  <c r="F522" i="3"/>
  <c r="A565" i="3"/>
  <c r="E522" i="3"/>
  <c r="L564" i="3"/>
  <c r="D522" i="3"/>
  <c r="K564" i="3"/>
  <c r="C522" i="3"/>
  <c r="J564" i="3"/>
  <c r="B522" i="3"/>
  <c r="J504" i="3"/>
  <c r="F499" i="3"/>
  <c r="E579" i="3"/>
  <c r="A574" i="3"/>
  <c r="I568" i="3"/>
  <c r="E563" i="3"/>
  <c r="A558" i="3"/>
  <c r="I552" i="3"/>
  <c r="E547" i="3"/>
  <c r="A542" i="3"/>
  <c r="I536" i="3"/>
  <c r="E531" i="3"/>
  <c r="A526" i="3"/>
  <c r="I520" i="3"/>
  <c r="E515" i="3"/>
  <c r="A510" i="3"/>
  <c r="I504" i="3"/>
  <c r="E499" i="3"/>
  <c r="H578" i="3"/>
  <c r="D573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H378" i="3"/>
  <c r="D373" i="3"/>
  <c r="D590" i="3"/>
  <c r="L589" i="3"/>
  <c r="B645" i="3"/>
  <c r="F602" i="3"/>
  <c r="E644" i="3"/>
  <c r="I601" i="3"/>
  <c r="J559" i="3"/>
  <c r="B517" i="3"/>
  <c r="I559" i="3"/>
  <c r="A517" i="3"/>
  <c r="H559" i="3"/>
  <c r="L516" i="3"/>
  <c r="G559" i="3"/>
  <c r="K516" i="3"/>
  <c r="F559" i="3"/>
  <c r="J516" i="3"/>
  <c r="B504" i="3"/>
  <c r="J498" i="3"/>
  <c r="I578" i="3"/>
  <c r="E573" i="3"/>
  <c r="A568" i="3"/>
  <c r="I562" i="3"/>
  <c r="E557" i="3"/>
  <c r="A552" i="3"/>
  <c r="I546" i="3"/>
  <c r="E541" i="3"/>
  <c r="A536" i="3"/>
  <c r="I530" i="3"/>
  <c r="E525" i="3"/>
  <c r="A520" i="3"/>
  <c r="I514" i="3"/>
  <c r="E509" i="3"/>
  <c r="A504" i="3"/>
  <c r="I498" i="3"/>
  <c r="L577" i="3"/>
  <c r="H572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C590" i="3"/>
  <c r="K595" i="3"/>
  <c r="F634" i="3"/>
  <c r="J591" i="3"/>
  <c r="I633" i="3"/>
  <c r="A591" i="3"/>
  <c r="B549" i="3"/>
  <c r="F506" i="3"/>
  <c r="A549" i="3"/>
  <c r="E506" i="3"/>
  <c r="L548" i="3"/>
  <c r="D506" i="3"/>
  <c r="K548" i="3"/>
  <c r="C506" i="3"/>
  <c r="J548" i="3"/>
  <c r="B508" i="3"/>
  <c r="J502" i="3"/>
  <c r="F497" i="3"/>
  <c r="E577" i="3"/>
  <c r="A572" i="3"/>
  <c r="I566" i="3"/>
  <c r="E561" i="3"/>
  <c r="A556" i="3"/>
  <c r="I550" i="3"/>
  <c r="E545" i="3"/>
  <c r="A540" i="3"/>
  <c r="I534" i="3"/>
  <c r="E529" i="3"/>
  <c r="A524" i="3"/>
  <c r="I518" i="3"/>
  <c r="E513" i="3"/>
  <c r="A508" i="3"/>
  <c r="I502" i="3"/>
  <c r="E497" i="3"/>
  <c r="H576" i="3"/>
  <c r="D571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K575" i="3"/>
  <c r="G570" i="3"/>
  <c r="C565" i="3"/>
  <c r="K559" i="3"/>
  <c r="G554" i="3"/>
  <c r="C549" i="3"/>
  <c r="K543" i="3"/>
  <c r="G538" i="3"/>
  <c r="C533" i="3"/>
  <c r="K527" i="3"/>
  <c r="G522" i="3"/>
  <c r="C517" i="3"/>
  <c r="K511" i="3"/>
  <c r="G506" i="3"/>
  <c r="C501" i="3"/>
  <c r="K495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K632" i="3"/>
  <c r="E554" i="3"/>
  <c r="F511" i="3"/>
  <c r="I572" i="3"/>
  <c r="E551" i="3"/>
  <c r="A530" i="3"/>
  <c r="I508" i="3"/>
  <c r="L571" i="3"/>
  <c r="H550" i="3"/>
  <c r="D529" i="3"/>
  <c r="L507" i="3"/>
  <c r="C571" i="3"/>
  <c r="K549" i="3"/>
  <c r="G528" i="3"/>
  <c r="C507" i="3"/>
  <c r="A486" i="3"/>
  <c r="I464" i="3"/>
  <c r="E443" i="3"/>
  <c r="A422" i="3"/>
  <c r="I400" i="3"/>
  <c r="E379" i="3"/>
  <c r="A358" i="3"/>
  <c r="I336" i="3"/>
  <c r="L483" i="3"/>
  <c r="H462" i="3"/>
  <c r="D441" i="3"/>
  <c r="L419" i="3"/>
  <c r="H398" i="3"/>
  <c r="D377" i="3"/>
  <c r="D361" i="3"/>
  <c r="H346" i="3"/>
  <c r="L333" i="3"/>
  <c r="H32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A409" i="3"/>
  <c r="I40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D396" i="3"/>
  <c r="L390" i="3"/>
  <c r="H385" i="3"/>
  <c r="D380" i="3"/>
  <c r="L374" i="3"/>
  <c r="H369" i="3"/>
  <c r="D364" i="3"/>
  <c r="L358" i="3"/>
  <c r="H353" i="3"/>
  <c r="D348" i="3"/>
  <c r="L342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F415" i="3"/>
  <c r="B410" i="3"/>
  <c r="J404" i="3"/>
  <c r="F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D328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K631" i="3"/>
  <c r="I511" i="3"/>
  <c r="J506" i="3"/>
  <c r="I570" i="3"/>
  <c r="E549" i="3"/>
  <c r="A528" i="3"/>
  <c r="I506" i="3"/>
  <c r="L569" i="3"/>
  <c r="H548" i="3"/>
  <c r="D527" i="3"/>
  <c r="L505" i="3"/>
  <c r="C569" i="3"/>
  <c r="K547" i="3"/>
  <c r="G526" i="3"/>
  <c r="C505" i="3"/>
  <c r="A484" i="3"/>
  <c r="I462" i="3"/>
  <c r="E441" i="3"/>
  <c r="A420" i="3"/>
  <c r="I398" i="3"/>
  <c r="E377" i="3"/>
  <c r="A356" i="3"/>
  <c r="I334" i="3"/>
  <c r="L481" i="3"/>
  <c r="H460" i="3"/>
  <c r="D439" i="3"/>
  <c r="L417" i="3"/>
  <c r="H396" i="3"/>
  <c r="D375" i="3"/>
  <c r="D359" i="3"/>
  <c r="D345" i="3"/>
  <c r="D333" i="3"/>
  <c r="L32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E408" i="3"/>
  <c r="A40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H395" i="3"/>
  <c r="D390" i="3"/>
  <c r="L384" i="3"/>
  <c r="H379" i="3"/>
  <c r="D374" i="3"/>
  <c r="L368" i="3"/>
  <c r="H363" i="3"/>
  <c r="D358" i="3"/>
  <c r="L352" i="3"/>
  <c r="H347" i="3"/>
  <c r="D342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J414" i="3"/>
  <c r="F409" i="3"/>
  <c r="B40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J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L324" i="3"/>
  <c r="H319" i="3"/>
  <c r="D314" i="3"/>
  <c r="J639" i="3"/>
  <c r="D554" i="3"/>
  <c r="F503" i="3"/>
  <c r="E567" i="3"/>
  <c r="A546" i="3"/>
  <c r="I524" i="3"/>
  <c r="E503" i="3"/>
  <c r="H566" i="3"/>
  <c r="D545" i="3"/>
  <c r="L523" i="3"/>
  <c r="H502" i="3"/>
  <c r="K565" i="3"/>
  <c r="G544" i="3"/>
  <c r="C523" i="3"/>
  <c r="K501" i="3"/>
  <c r="I480" i="3"/>
  <c r="E459" i="3"/>
  <c r="A438" i="3"/>
  <c r="I416" i="3"/>
  <c r="E395" i="3"/>
  <c r="A374" i="3"/>
  <c r="I352" i="3"/>
  <c r="E331" i="3"/>
  <c r="H478" i="3"/>
  <c r="D457" i="3"/>
  <c r="L435" i="3"/>
  <c r="H414" i="3"/>
  <c r="D393" i="3"/>
  <c r="L371" i="3"/>
  <c r="D357" i="3"/>
  <c r="D343" i="3"/>
  <c r="H332" i="3"/>
  <c r="D32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I407" i="3"/>
  <c r="E40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L394" i="3"/>
  <c r="H389" i="3"/>
  <c r="D384" i="3"/>
  <c r="L378" i="3"/>
  <c r="H373" i="3"/>
  <c r="D368" i="3"/>
  <c r="L362" i="3"/>
  <c r="H357" i="3"/>
  <c r="D352" i="3"/>
  <c r="L346" i="3"/>
  <c r="H341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B414" i="3"/>
  <c r="J408" i="3"/>
  <c r="F40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D324" i="3"/>
  <c r="L318" i="3"/>
  <c r="H313" i="3"/>
  <c r="B597" i="3"/>
  <c r="H511" i="3"/>
  <c r="F501" i="3"/>
  <c r="E565" i="3"/>
  <c r="A544" i="3"/>
  <c r="I522" i="3"/>
  <c r="E501" i="3"/>
  <c r="H564" i="3"/>
  <c r="D543" i="3"/>
  <c r="L521" i="3"/>
  <c r="H500" i="3"/>
  <c r="K563" i="3"/>
  <c r="G542" i="3"/>
  <c r="C521" i="3"/>
  <c r="K499" i="3"/>
  <c r="I478" i="3"/>
  <c r="E457" i="3"/>
  <c r="A436" i="3"/>
  <c r="I414" i="3"/>
  <c r="E393" i="3"/>
  <c r="A372" i="3"/>
  <c r="I350" i="3"/>
  <c r="E329" i="3"/>
  <c r="H476" i="3"/>
  <c r="D455" i="3"/>
  <c r="L433" i="3"/>
  <c r="H412" i="3"/>
  <c r="D391" i="3"/>
  <c r="L369" i="3"/>
  <c r="L355" i="3"/>
  <c r="D341" i="3"/>
  <c r="L331" i="3"/>
  <c r="H32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E412" i="3"/>
  <c r="A407" i="3"/>
  <c r="I40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H399" i="3"/>
  <c r="D394" i="3"/>
  <c r="L388" i="3"/>
  <c r="H383" i="3"/>
  <c r="D378" i="3"/>
  <c r="L372" i="3"/>
  <c r="H367" i="3"/>
  <c r="D362" i="3"/>
  <c r="L356" i="3"/>
  <c r="H351" i="3"/>
  <c r="D346" i="3"/>
  <c r="L340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F413" i="3"/>
  <c r="B408" i="3"/>
  <c r="J40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H323" i="3"/>
  <c r="D318" i="3"/>
  <c r="L312" i="3"/>
  <c r="A639" i="3"/>
  <c r="C554" i="3"/>
  <c r="B498" i="3"/>
  <c r="A562" i="3"/>
  <c r="I540" i="3"/>
  <c r="E519" i="3"/>
  <c r="A498" i="3"/>
  <c r="D561" i="3"/>
  <c r="L539" i="3"/>
  <c r="H518" i="3"/>
  <c r="D497" i="3"/>
  <c r="G560" i="3"/>
  <c r="C539" i="3"/>
  <c r="K517" i="3"/>
  <c r="G496" i="3"/>
  <c r="E475" i="3"/>
  <c r="A454" i="3"/>
  <c r="I432" i="3"/>
  <c r="E411" i="3"/>
  <c r="A390" i="3"/>
  <c r="I368" i="3"/>
  <c r="E347" i="3"/>
  <c r="H494" i="3"/>
  <c r="D473" i="3"/>
  <c r="L451" i="3"/>
  <c r="H430" i="3"/>
  <c r="D409" i="3"/>
  <c r="L387" i="3"/>
  <c r="L367" i="3"/>
  <c r="L353" i="3"/>
  <c r="L339" i="3"/>
  <c r="D331" i="3"/>
  <c r="L32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I411" i="3"/>
  <c r="E406" i="3"/>
  <c r="A40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J412" i="3"/>
  <c r="F407" i="3"/>
  <c r="B40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L322" i="3"/>
  <c r="H317" i="3"/>
  <c r="D312" i="3"/>
  <c r="E596" i="3"/>
  <c r="G511" i="3"/>
  <c r="B496" i="3"/>
  <c r="A560" i="3"/>
  <c r="I538" i="3"/>
  <c r="E517" i="3"/>
  <c r="A496" i="3"/>
  <c r="D559" i="3"/>
  <c r="L537" i="3"/>
  <c r="H516" i="3"/>
  <c r="D495" i="3"/>
  <c r="G558" i="3"/>
  <c r="C537" i="3"/>
  <c r="K515" i="3"/>
  <c r="I494" i="3"/>
  <c r="E473" i="3"/>
  <c r="A452" i="3"/>
  <c r="I430" i="3"/>
  <c r="E409" i="3"/>
  <c r="A388" i="3"/>
  <c r="I366" i="3"/>
  <c r="E345" i="3"/>
  <c r="H492" i="3"/>
  <c r="D471" i="3"/>
  <c r="L449" i="3"/>
  <c r="H428" i="3"/>
  <c r="D407" i="3"/>
  <c r="L385" i="3"/>
  <c r="H366" i="3"/>
  <c r="L351" i="3"/>
  <c r="L337" i="3"/>
  <c r="H330" i="3"/>
  <c r="D32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A411" i="3"/>
  <c r="I405" i="3"/>
  <c r="E40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417" i="3"/>
  <c r="B412" i="3"/>
  <c r="J406" i="3"/>
  <c r="F40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D338" i="3"/>
  <c r="D322" i="3"/>
  <c r="L316" i="3"/>
  <c r="H311" i="3"/>
  <c r="F554" i="3"/>
  <c r="B554" i="3"/>
  <c r="A578" i="3"/>
  <c r="I556" i="3"/>
  <c r="E535" i="3"/>
  <c r="A514" i="3"/>
  <c r="D577" i="3"/>
  <c r="L555" i="3"/>
  <c r="H534" i="3"/>
  <c r="D513" i="3"/>
  <c r="G576" i="3"/>
  <c r="C555" i="3"/>
  <c r="K533" i="3"/>
  <c r="G512" i="3"/>
  <c r="E491" i="3"/>
  <c r="A470" i="3"/>
  <c r="I448" i="3"/>
  <c r="E427" i="3"/>
  <c r="A406" i="3"/>
  <c r="I384" i="3"/>
  <c r="E363" i="3"/>
  <c r="A342" i="3"/>
  <c r="D489" i="3"/>
  <c r="L467" i="3"/>
  <c r="H446" i="3"/>
  <c r="D425" i="3"/>
  <c r="L403" i="3"/>
  <c r="H382" i="3"/>
  <c r="H364" i="3"/>
  <c r="H350" i="3"/>
  <c r="L335" i="3"/>
  <c r="L32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E410" i="3"/>
  <c r="A405" i="3"/>
  <c r="I39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H397" i="3"/>
  <c r="D392" i="3"/>
  <c r="L386" i="3"/>
  <c r="H381" i="3"/>
  <c r="D376" i="3"/>
  <c r="L370" i="3"/>
  <c r="H365" i="3"/>
  <c r="D360" i="3"/>
  <c r="L354" i="3"/>
  <c r="H349" i="3"/>
  <c r="D344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J416" i="3"/>
  <c r="F411" i="3"/>
  <c r="B406" i="3"/>
  <c r="J40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L338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L332" i="3"/>
  <c r="H321" i="3"/>
  <c r="D316" i="3"/>
  <c r="L310" i="3"/>
  <c r="J511" i="3"/>
  <c r="B538" i="3"/>
  <c r="A576" i="3"/>
  <c r="I554" i="3"/>
  <c r="E533" i="3"/>
  <c r="A512" i="3"/>
  <c r="D575" i="3"/>
  <c r="L553" i="3"/>
  <c r="H532" i="3"/>
  <c r="D511" i="3"/>
  <c r="G574" i="3"/>
  <c r="C553" i="3"/>
  <c r="K531" i="3"/>
  <c r="G510" i="3"/>
  <c r="E489" i="3"/>
  <c r="A468" i="3"/>
  <c r="I446" i="3"/>
  <c r="E425" i="3"/>
  <c r="A404" i="3"/>
  <c r="I382" i="3"/>
  <c r="E361" i="3"/>
  <c r="A340" i="3"/>
  <c r="D487" i="3"/>
  <c r="L465" i="3"/>
  <c r="H444" i="3"/>
  <c r="D423" i="3"/>
  <c r="L401" i="3"/>
  <c r="H380" i="3"/>
  <c r="H362" i="3"/>
  <c r="H348" i="3"/>
  <c r="H334" i="3"/>
  <c r="D32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I409" i="3"/>
  <c r="E40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L396" i="3"/>
  <c r="H391" i="3"/>
  <c r="D386" i="3"/>
  <c r="L380" i="3"/>
  <c r="H375" i="3"/>
  <c r="D370" i="3"/>
  <c r="L364" i="3"/>
  <c r="H359" i="3"/>
  <c r="D354" i="3"/>
  <c r="L348" i="3"/>
  <c r="H343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B416" i="3"/>
  <c r="J410" i="3"/>
  <c r="F405" i="3"/>
  <c r="B40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H333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I225" i="3"/>
  <c r="E220" i="3"/>
  <c r="A215" i="3"/>
  <c r="I235" i="3"/>
  <c r="I203" i="3"/>
  <c r="E182" i="3"/>
  <c r="A161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K244" i="3"/>
  <c r="G239" i="3"/>
  <c r="C23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B326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F226" i="3"/>
  <c r="B221" i="3"/>
  <c r="J215" i="3"/>
  <c r="F210" i="3"/>
  <c r="B205" i="3"/>
  <c r="J199" i="3"/>
  <c r="F194" i="3"/>
  <c r="B189" i="3"/>
  <c r="J183" i="3"/>
  <c r="F178" i="3"/>
  <c r="B173" i="3"/>
  <c r="J167" i="3"/>
  <c r="F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D72" i="3"/>
  <c r="L66" i="3"/>
  <c r="H61" i="3"/>
  <c r="D56" i="3"/>
  <c r="L50" i="3"/>
  <c r="H45" i="3"/>
  <c r="D40" i="3"/>
  <c r="L34" i="3"/>
  <c r="H29" i="3"/>
  <c r="D24" i="3"/>
  <c r="L18" i="3"/>
  <c r="H13" i="3"/>
  <c r="D8" i="3"/>
  <c r="L920" i="1"/>
  <c r="H915" i="1"/>
  <c r="D910" i="1"/>
  <c r="E230" i="3"/>
  <c r="A199" i="3"/>
  <c r="I177" i="3"/>
  <c r="H327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C244" i="3"/>
  <c r="K238" i="3"/>
  <c r="G23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D336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E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D334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J225" i="3"/>
  <c r="F220" i="3"/>
  <c r="B215" i="3"/>
  <c r="J209" i="3"/>
  <c r="F204" i="3"/>
  <c r="B199" i="3"/>
  <c r="J193" i="3"/>
  <c r="F188" i="3"/>
  <c r="B183" i="3"/>
  <c r="J177" i="3"/>
  <c r="F172" i="3"/>
  <c r="B167" i="3"/>
  <c r="J161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H71" i="3"/>
  <c r="D66" i="3"/>
  <c r="L60" i="3"/>
  <c r="H55" i="3"/>
  <c r="D50" i="3"/>
  <c r="L44" i="3"/>
  <c r="H39" i="3"/>
  <c r="D34" i="3"/>
  <c r="L28" i="3"/>
  <c r="H23" i="3"/>
  <c r="D18" i="3"/>
  <c r="L12" i="3"/>
  <c r="H7" i="3"/>
  <c r="D920" i="1"/>
  <c r="L914" i="1"/>
  <c r="H909" i="1"/>
  <c r="A225" i="3"/>
  <c r="E198" i="3"/>
  <c r="A177" i="3"/>
  <c r="I325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G243" i="3"/>
  <c r="C238" i="3"/>
  <c r="K23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L330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L328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B225" i="3"/>
  <c r="J219" i="3"/>
  <c r="F214" i="3"/>
  <c r="B209" i="3"/>
  <c r="J203" i="3"/>
  <c r="F198" i="3"/>
  <c r="B193" i="3"/>
  <c r="J187" i="3"/>
  <c r="F182" i="3"/>
  <c r="B177" i="3"/>
  <c r="J171" i="3"/>
  <c r="F166" i="3"/>
  <c r="B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L70" i="3"/>
  <c r="H65" i="3"/>
  <c r="D60" i="3"/>
  <c r="L54" i="3"/>
  <c r="H49" i="3"/>
  <c r="D44" i="3"/>
  <c r="L38" i="3"/>
  <c r="H33" i="3"/>
  <c r="D28" i="3"/>
  <c r="L22" i="3"/>
  <c r="H17" i="3"/>
  <c r="D12" i="3"/>
  <c r="L6" i="3"/>
  <c r="H919" i="1"/>
  <c r="D914" i="1"/>
  <c r="L908" i="1"/>
  <c r="I219" i="3"/>
  <c r="I193" i="3"/>
  <c r="E172" i="3"/>
  <c r="L320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K242" i="3"/>
  <c r="G237" i="3"/>
  <c r="C23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L336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C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A23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L227" i="3"/>
  <c r="H222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K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F224" i="3"/>
  <c r="B219" i="3"/>
  <c r="J213" i="3"/>
  <c r="F208" i="3"/>
  <c r="B203" i="3"/>
  <c r="J197" i="3"/>
  <c r="F192" i="3"/>
  <c r="B187" i="3"/>
  <c r="J181" i="3"/>
  <c r="F176" i="3"/>
  <c r="B171" i="3"/>
  <c r="J165" i="3"/>
  <c r="F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D70" i="3"/>
  <c r="L64" i="3"/>
  <c r="H59" i="3"/>
  <c r="D54" i="3"/>
  <c r="L48" i="3"/>
  <c r="H43" i="3"/>
  <c r="D38" i="3"/>
  <c r="L32" i="3"/>
  <c r="H27" i="3"/>
  <c r="D22" i="3"/>
  <c r="L16" i="3"/>
  <c r="H11" i="3"/>
  <c r="D6" i="3"/>
  <c r="L918" i="1"/>
  <c r="H913" i="1"/>
  <c r="D908" i="1"/>
  <c r="E214" i="3"/>
  <c r="A193" i="3"/>
  <c r="I171" i="3"/>
  <c r="D320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33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G247" i="3"/>
  <c r="C242" i="3"/>
  <c r="K236" i="3"/>
  <c r="G23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H331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F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334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B229" i="3"/>
  <c r="J223" i="3"/>
  <c r="F218" i="3"/>
  <c r="B213" i="3"/>
  <c r="J207" i="3"/>
  <c r="F202" i="3"/>
  <c r="B197" i="3"/>
  <c r="J191" i="3"/>
  <c r="F186" i="3"/>
  <c r="B181" i="3"/>
  <c r="J175" i="3"/>
  <c r="F170" i="3"/>
  <c r="B165" i="3"/>
  <c r="J159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H69" i="3"/>
  <c r="D64" i="3"/>
  <c r="L58" i="3"/>
  <c r="H53" i="3"/>
  <c r="D48" i="3"/>
  <c r="L42" i="3"/>
  <c r="H37" i="3"/>
  <c r="D32" i="3"/>
  <c r="L26" i="3"/>
  <c r="H21" i="3"/>
  <c r="D16" i="3"/>
  <c r="L10" i="3"/>
  <c r="H5" i="3"/>
  <c r="D918" i="1"/>
  <c r="L912" i="1"/>
  <c r="H907" i="1"/>
  <c r="I209" i="3"/>
  <c r="E188" i="3"/>
  <c r="A167" i="3"/>
  <c r="H315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D332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K246" i="3"/>
  <c r="G241" i="3"/>
  <c r="C236" i="3"/>
  <c r="K23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D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H329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F228" i="3"/>
  <c r="B223" i="3"/>
  <c r="J217" i="3"/>
  <c r="F212" i="3"/>
  <c r="B207" i="3"/>
  <c r="J201" i="3"/>
  <c r="F196" i="3"/>
  <c r="B191" i="3"/>
  <c r="J185" i="3"/>
  <c r="F180" i="3"/>
  <c r="B175" i="3"/>
  <c r="J169" i="3"/>
  <c r="F164" i="3"/>
  <c r="B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L68" i="3"/>
  <c r="H63" i="3"/>
  <c r="D58" i="3"/>
  <c r="L52" i="3"/>
  <c r="H47" i="3"/>
  <c r="D42" i="3"/>
  <c r="L36" i="3"/>
  <c r="H31" i="3"/>
  <c r="D26" i="3"/>
  <c r="L20" i="3"/>
  <c r="H15" i="3"/>
  <c r="D10" i="3"/>
  <c r="L4" i="3"/>
  <c r="H917" i="1"/>
  <c r="D912" i="1"/>
  <c r="L906" i="1"/>
  <c r="A209" i="3"/>
  <c r="I187" i="3"/>
  <c r="E166" i="3"/>
  <c r="L314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L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C246" i="3"/>
  <c r="K240" i="3"/>
  <c r="G235" i="3"/>
  <c r="C23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H335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A326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K229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J227" i="3"/>
  <c r="F222" i="3"/>
  <c r="B217" i="3"/>
  <c r="J211" i="3"/>
  <c r="F206" i="3"/>
  <c r="B201" i="3"/>
  <c r="J195" i="3"/>
  <c r="F190" i="3"/>
  <c r="B185" i="3"/>
  <c r="J179" i="3"/>
  <c r="F174" i="3"/>
  <c r="B169" i="3"/>
  <c r="J163" i="3"/>
  <c r="F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D68" i="3"/>
  <c r="L62" i="3"/>
  <c r="H57" i="3"/>
  <c r="D52" i="3"/>
  <c r="L46" i="3"/>
  <c r="H41" i="3"/>
  <c r="D36" i="3"/>
  <c r="L30" i="3"/>
  <c r="H25" i="3"/>
  <c r="D20" i="3"/>
  <c r="L14" i="3"/>
  <c r="H9" i="3"/>
  <c r="D4" i="3"/>
  <c r="L916" i="1"/>
  <c r="H911" i="1"/>
  <c r="G158" i="3"/>
  <c r="E204" i="3"/>
  <c r="A183" i="3"/>
  <c r="I161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G245" i="3"/>
  <c r="C240" i="3"/>
  <c r="K23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D330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B227" i="3"/>
  <c r="J221" i="3"/>
  <c r="F216" i="3"/>
  <c r="B211" i="3"/>
  <c r="J205" i="3"/>
  <c r="F200" i="3"/>
  <c r="B195" i="3"/>
  <c r="J189" i="3"/>
  <c r="F184" i="3"/>
  <c r="B179" i="3"/>
  <c r="J173" i="3"/>
  <c r="F168" i="3"/>
  <c r="B163" i="3"/>
  <c r="I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H67" i="3"/>
  <c r="D62" i="3"/>
  <c r="L56" i="3"/>
  <c r="H51" i="3"/>
  <c r="D46" i="3"/>
  <c r="L40" i="3"/>
  <c r="H35" i="3"/>
  <c r="D30" i="3"/>
  <c r="L24" i="3"/>
  <c r="H19" i="3"/>
  <c r="D14" i="3"/>
  <c r="L8" i="3"/>
  <c r="H921" i="1"/>
  <c r="D916" i="1"/>
  <c r="L910" i="1"/>
  <c r="G157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G71" i="3"/>
  <c r="C66" i="3"/>
  <c r="K60" i="3"/>
  <c r="G55" i="3"/>
  <c r="C50" i="3"/>
  <c r="K44" i="3"/>
  <c r="G39" i="3"/>
  <c r="C34" i="3"/>
  <c r="K28" i="3"/>
  <c r="G23" i="3"/>
  <c r="C18" i="3"/>
  <c r="K12" i="3"/>
  <c r="G7" i="3"/>
  <c r="C920" i="1"/>
  <c r="K914" i="1"/>
  <c r="G909" i="1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B60" i="3"/>
  <c r="J54" i="3"/>
  <c r="F49" i="3"/>
  <c r="B44" i="3"/>
  <c r="J38" i="3"/>
  <c r="F33" i="3"/>
  <c r="B28" i="3"/>
  <c r="J22" i="3"/>
  <c r="F17" i="3"/>
  <c r="B12" i="3"/>
  <c r="J6" i="3"/>
  <c r="F919" i="1"/>
  <c r="B914" i="1"/>
  <c r="J908" i="1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E59" i="3"/>
  <c r="A54" i="3"/>
  <c r="I48" i="3"/>
  <c r="E43" i="3"/>
  <c r="A38" i="3"/>
  <c r="I32" i="3"/>
  <c r="E27" i="3"/>
  <c r="A22" i="3"/>
  <c r="I16" i="3"/>
  <c r="E11" i="3"/>
  <c r="A6" i="3"/>
  <c r="I918" i="1"/>
  <c r="E913" i="1"/>
  <c r="A908" i="1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H58" i="3"/>
  <c r="D53" i="3"/>
  <c r="L47" i="3"/>
  <c r="H42" i="3"/>
  <c r="D37" i="3"/>
  <c r="L31" i="3"/>
  <c r="H26" i="3"/>
  <c r="D21" i="3"/>
  <c r="L15" i="3"/>
  <c r="H10" i="3"/>
  <c r="D5" i="3"/>
  <c r="L917" i="1"/>
  <c r="H912" i="1"/>
  <c r="D907" i="1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K57" i="3"/>
  <c r="G52" i="3"/>
  <c r="C47" i="3"/>
  <c r="K41" i="3"/>
  <c r="G36" i="3"/>
  <c r="C31" i="3"/>
  <c r="K25" i="3"/>
  <c r="G20" i="3"/>
  <c r="C15" i="3"/>
  <c r="K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F68" i="3"/>
  <c r="B63" i="3"/>
  <c r="J57" i="3"/>
  <c r="F52" i="3"/>
  <c r="B47" i="3"/>
  <c r="J41" i="3"/>
  <c r="F36" i="3"/>
  <c r="B31" i="3"/>
  <c r="J25" i="3"/>
  <c r="F20" i="3"/>
  <c r="B15" i="3"/>
  <c r="J9" i="3"/>
  <c r="F4" i="3"/>
  <c r="B917" i="1"/>
  <c r="J911" i="1"/>
  <c r="F906" i="1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I921" i="1"/>
  <c r="E916" i="1"/>
  <c r="A911" i="1"/>
  <c r="G8" i="3"/>
  <c r="G903" i="1"/>
  <c r="C898" i="1"/>
  <c r="K892" i="1"/>
  <c r="G887" i="1"/>
  <c r="C882" i="1"/>
  <c r="K876" i="1"/>
  <c r="G871" i="1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G920" i="1"/>
  <c r="J902" i="1"/>
  <c r="F897" i="1"/>
  <c r="B892" i="1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K70" i="3"/>
  <c r="G65" i="3"/>
  <c r="C60" i="3"/>
  <c r="K54" i="3"/>
  <c r="G49" i="3"/>
  <c r="C44" i="3"/>
  <c r="K38" i="3"/>
  <c r="G33" i="3"/>
  <c r="C28" i="3"/>
  <c r="K22" i="3"/>
  <c r="G17" i="3"/>
  <c r="C12" i="3"/>
  <c r="K6" i="3"/>
  <c r="G919" i="1"/>
  <c r="C914" i="1"/>
  <c r="K908" i="1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F59" i="3"/>
  <c r="B54" i="3"/>
  <c r="J48" i="3"/>
  <c r="F43" i="3"/>
  <c r="B38" i="3"/>
  <c r="J32" i="3"/>
  <c r="F27" i="3"/>
  <c r="B22" i="3"/>
  <c r="J16" i="3"/>
  <c r="F11" i="3"/>
  <c r="B6" i="3"/>
  <c r="J918" i="1"/>
  <c r="F913" i="1"/>
  <c r="B908" i="1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I58" i="3"/>
  <c r="E53" i="3"/>
  <c r="A48" i="3"/>
  <c r="I42" i="3"/>
  <c r="E37" i="3"/>
  <c r="A32" i="3"/>
  <c r="I26" i="3"/>
  <c r="E21" i="3"/>
  <c r="A16" i="3"/>
  <c r="I10" i="3"/>
  <c r="E5" i="3"/>
  <c r="A918" i="1"/>
  <c r="I912" i="1"/>
  <c r="E907" i="1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L57" i="3"/>
  <c r="H52" i="3"/>
  <c r="D47" i="3"/>
  <c r="L41" i="3"/>
  <c r="H36" i="3"/>
  <c r="D31" i="3"/>
  <c r="L25" i="3"/>
  <c r="H20" i="3"/>
  <c r="D15" i="3"/>
  <c r="L9" i="3"/>
  <c r="H4" i="3"/>
  <c r="D917" i="1"/>
  <c r="L911" i="1"/>
  <c r="H906" i="1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C57" i="3"/>
  <c r="K51" i="3"/>
  <c r="G46" i="3"/>
  <c r="C41" i="3"/>
  <c r="K35" i="3"/>
  <c r="G30" i="3"/>
  <c r="C25" i="3"/>
  <c r="K19" i="3"/>
  <c r="G14" i="3"/>
  <c r="C9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J67" i="3"/>
  <c r="F62" i="3"/>
  <c r="B57" i="3"/>
  <c r="J51" i="3"/>
  <c r="F46" i="3"/>
  <c r="B41" i="3"/>
  <c r="J35" i="3"/>
  <c r="F30" i="3"/>
  <c r="B25" i="3"/>
  <c r="J19" i="3"/>
  <c r="F14" i="3"/>
  <c r="B9" i="3"/>
  <c r="J921" i="1"/>
  <c r="F916" i="1"/>
  <c r="B911" i="1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A921" i="1"/>
  <c r="I915" i="1"/>
  <c r="E910" i="1"/>
  <c r="C921" i="1"/>
  <c r="K902" i="1"/>
  <c r="G897" i="1"/>
  <c r="C892" i="1"/>
  <c r="K886" i="1"/>
  <c r="G881" i="1"/>
  <c r="C876" i="1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C915" i="1"/>
  <c r="B902" i="1"/>
  <c r="J896" i="1"/>
  <c r="F891" i="1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G75" i="3"/>
  <c r="C70" i="3"/>
  <c r="K64" i="3"/>
  <c r="G59" i="3"/>
  <c r="C54" i="3"/>
  <c r="K48" i="3"/>
  <c r="G43" i="3"/>
  <c r="C38" i="3"/>
  <c r="K32" i="3"/>
  <c r="G27" i="3"/>
  <c r="C22" i="3"/>
  <c r="K16" i="3"/>
  <c r="G11" i="3"/>
  <c r="C6" i="3"/>
  <c r="K918" i="1"/>
  <c r="G913" i="1"/>
  <c r="C908" i="1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J58" i="3"/>
  <c r="F53" i="3"/>
  <c r="B48" i="3"/>
  <c r="J42" i="3"/>
  <c r="F37" i="3"/>
  <c r="B32" i="3"/>
  <c r="J26" i="3"/>
  <c r="F21" i="3"/>
  <c r="B16" i="3"/>
  <c r="J10" i="3"/>
  <c r="F5" i="3"/>
  <c r="B918" i="1"/>
  <c r="J912" i="1"/>
  <c r="F907" i="1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A58" i="3"/>
  <c r="I52" i="3"/>
  <c r="E47" i="3"/>
  <c r="A42" i="3"/>
  <c r="I36" i="3"/>
  <c r="E31" i="3"/>
  <c r="A26" i="3"/>
  <c r="I20" i="3"/>
  <c r="E15" i="3"/>
  <c r="A10" i="3"/>
  <c r="I4" i="3"/>
  <c r="E917" i="1"/>
  <c r="A912" i="1"/>
  <c r="I906" i="1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D57" i="3"/>
  <c r="L51" i="3"/>
  <c r="H46" i="3"/>
  <c r="D41" i="3"/>
  <c r="L35" i="3"/>
  <c r="H30" i="3"/>
  <c r="D25" i="3"/>
  <c r="L19" i="3"/>
  <c r="H14" i="3"/>
  <c r="D9" i="3"/>
  <c r="L921" i="1"/>
  <c r="H916" i="1"/>
  <c r="D911" i="1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G56" i="3"/>
  <c r="C51" i="3"/>
  <c r="K45" i="3"/>
  <c r="G40" i="3"/>
  <c r="C35" i="3"/>
  <c r="K29" i="3"/>
  <c r="G24" i="3"/>
  <c r="C19" i="3"/>
  <c r="K1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F72" i="3"/>
  <c r="B67" i="3"/>
  <c r="J61" i="3"/>
  <c r="F56" i="3"/>
  <c r="B51" i="3"/>
  <c r="J45" i="3"/>
  <c r="F40" i="3"/>
  <c r="B35" i="3"/>
  <c r="J29" i="3"/>
  <c r="F24" i="3"/>
  <c r="B19" i="3"/>
  <c r="J13" i="3"/>
  <c r="F8" i="3"/>
  <c r="B921" i="1"/>
  <c r="J915" i="1"/>
  <c r="F910" i="1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E920" i="1"/>
  <c r="A915" i="1"/>
  <c r="I909" i="1"/>
  <c r="K915" i="1"/>
  <c r="C902" i="1"/>
  <c r="K896" i="1"/>
  <c r="G891" i="1"/>
  <c r="C886" i="1"/>
  <c r="K880" i="1"/>
  <c r="G875" i="1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909" i="1"/>
  <c r="F901" i="1"/>
  <c r="B896" i="1"/>
  <c r="J890" i="1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G69" i="3"/>
  <c r="C64" i="3"/>
  <c r="K58" i="3"/>
  <c r="G53" i="3"/>
  <c r="C48" i="3"/>
  <c r="K42" i="3"/>
  <c r="G37" i="3"/>
  <c r="C32" i="3"/>
  <c r="K26" i="3"/>
  <c r="G21" i="3"/>
  <c r="C16" i="3"/>
  <c r="K10" i="3"/>
  <c r="G5" i="3"/>
  <c r="C918" i="1"/>
  <c r="K912" i="1"/>
  <c r="G907" i="1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B58" i="3"/>
  <c r="J52" i="3"/>
  <c r="F47" i="3"/>
  <c r="B42" i="3"/>
  <c r="J36" i="3"/>
  <c r="F31" i="3"/>
  <c r="B26" i="3"/>
  <c r="J20" i="3"/>
  <c r="F15" i="3"/>
  <c r="B10" i="3"/>
  <c r="J4" i="3"/>
  <c r="F917" i="1"/>
  <c r="B912" i="1"/>
  <c r="J906" i="1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E57" i="3"/>
  <c r="A52" i="3"/>
  <c r="I46" i="3"/>
  <c r="E41" i="3"/>
  <c r="A36" i="3"/>
  <c r="I30" i="3"/>
  <c r="E25" i="3"/>
  <c r="A20" i="3"/>
  <c r="I14" i="3"/>
  <c r="E9" i="3"/>
  <c r="A4" i="3"/>
  <c r="I916" i="1"/>
  <c r="E911" i="1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H56" i="3"/>
  <c r="D51" i="3"/>
  <c r="L45" i="3"/>
  <c r="H40" i="3"/>
  <c r="D35" i="3"/>
  <c r="L29" i="3"/>
  <c r="H24" i="3"/>
  <c r="D19" i="3"/>
  <c r="L13" i="3"/>
  <c r="H8" i="3"/>
  <c r="D921" i="1"/>
  <c r="L915" i="1"/>
  <c r="H910" i="1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K55" i="3"/>
  <c r="G50" i="3"/>
  <c r="C45" i="3"/>
  <c r="K39" i="3"/>
  <c r="G34" i="3"/>
  <c r="C29" i="3"/>
  <c r="K23" i="3"/>
  <c r="G18" i="3"/>
  <c r="C13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J71" i="3"/>
  <c r="F66" i="3"/>
  <c r="B61" i="3"/>
  <c r="J55" i="3"/>
  <c r="F50" i="3"/>
  <c r="B45" i="3"/>
  <c r="J39" i="3"/>
  <c r="F34" i="3"/>
  <c r="B29" i="3"/>
  <c r="J23" i="3"/>
  <c r="F18" i="3"/>
  <c r="B13" i="3"/>
  <c r="J7" i="3"/>
  <c r="F920" i="1"/>
  <c r="B915" i="1"/>
  <c r="J909" i="1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I919" i="1"/>
  <c r="E914" i="1"/>
  <c r="A909" i="1"/>
  <c r="G910" i="1"/>
  <c r="G901" i="1"/>
  <c r="C896" i="1"/>
  <c r="K890" i="1"/>
  <c r="G885" i="1"/>
  <c r="C880" i="1"/>
  <c r="K874" i="1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B906" i="1"/>
  <c r="J900" i="1"/>
  <c r="F895" i="1"/>
  <c r="B890" i="1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K68" i="3"/>
  <c r="G63" i="3"/>
  <c r="C58" i="3"/>
  <c r="K52" i="3"/>
  <c r="G47" i="3"/>
  <c r="C42" i="3"/>
  <c r="K36" i="3"/>
  <c r="G31" i="3"/>
  <c r="C26" i="3"/>
  <c r="K20" i="3"/>
  <c r="G15" i="3"/>
  <c r="C10" i="3"/>
  <c r="K4" i="3"/>
  <c r="G917" i="1"/>
  <c r="C912" i="1"/>
  <c r="K906" i="1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F57" i="3"/>
  <c r="B52" i="3"/>
  <c r="J46" i="3"/>
  <c r="F41" i="3"/>
  <c r="B36" i="3"/>
  <c r="J30" i="3"/>
  <c r="F25" i="3"/>
  <c r="B20" i="3"/>
  <c r="J14" i="3"/>
  <c r="F9" i="3"/>
  <c r="B4" i="3"/>
  <c r="J916" i="1"/>
  <c r="F911" i="1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I56" i="3"/>
  <c r="E51" i="3"/>
  <c r="A46" i="3"/>
  <c r="I40" i="3"/>
  <c r="E35" i="3"/>
  <c r="A30" i="3"/>
  <c r="I24" i="3"/>
  <c r="E19" i="3"/>
  <c r="A14" i="3"/>
  <c r="I8" i="3"/>
  <c r="E921" i="1"/>
  <c r="A916" i="1"/>
  <c r="I910" i="1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L55" i="3"/>
  <c r="H50" i="3"/>
  <c r="D45" i="3"/>
  <c r="L39" i="3"/>
  <c r="H34" i="3"/>
  <c r="D29" i="3"/>
  <c r="L23" i="3"/>
  <c r="H18" i="3"/>
  <c r="D13" i="3"/>
  <c r="L7" i="3"/>
  <c r="H920" i="1"/>
  <c r="D915" i="1"/>
  <c r="L909" i="1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G60" i="3"/>
  <c r="C55" i="3"/>
  <c r="K49" i="3"/>
  <c r="G44" i="3"/>
  <c r="C39" i="3"/>
  <c r="K33" i="3"/>
  <c r="G28" i="3"/>
  <c r="C23" i="3"/>
  <c r="K17" i="3"/>
  <c r="G12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B71" i="3"/>
  <c r="J65" i="3"/>
  <c r="F60" i="3"/>
  <c r="B55" i="3"/>
  <c r="J49" i="3"/>
  <c r="F44" i="3"/>
  <c r="B39" i="3"/>
  <c r="J33" i="3"/>
  <c r="F28" i="3"/>
  <c r="B23" i="3"/>
  <c r="J17" i="3"/>
  <c r="F12" i="3"/>
  <c r="B7" i="3"/>
  <c r="J919" i="1"/>
  <c r="F914" i="1"/>
  <c r="B909" i="1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A919" i="1"/>
  <c r="I913" i="1"/>
  <c r="E908" i="1"/>
  <c r="C906" i="1"/>
  <c r="K900" i="1"/>
  <c r="G895" i="1"/>
  <c r="C890" i="1"/>
  <c r="K884" i="1"/>
  <c r="G879" i="1"/>
  <c r="C874" i="1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F905" i="1"/>
  <c r="B900" i="1"/>
  <c r="J894" i="1"/>
  <c r="F889" i="1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C68" i="3"/>
  <c r="K62" i="3"/>
  <c r="G57" i="3"/>
  <c r="C52" i="3"/>
  <c r="K46" i="3"/>
  <c r="G41" i="3"/>
  <c r="C36" i="3"/>
  <c r="K30" i="3"/>
  <c r="G25" i="3"/>
  <c r="C20" i="3"/>
  <c r="K14" i="3"/>
  <c r="G9" i="3"/>
  <c r="C4" i="3"/>
  <c r="K916" i="1"/>
  <c r="G911" i="1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J56" i="3"/>
  <c r="F51" i="3"/>
  <c r="B46" i="3"/>
  <c r="J40" i="3"/>
  <c r="F35" i="3"/>
  <c r="B30" i="3"/>
  <c r="J24" i="3"/>
  <c r="F19" i="3"/>
  <c r="B14" i="3"/>
  <c r="J8" i="3"/>
  <c r="F921" i="1"/>
  <c r="B916" i="1"/>
  <c r="J910" i="1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A56" i="3"/>
  <c r="I50" i="3"/>
  <c r="E45" i="3"/>
  <c r="A40" i="3"/>
  <c r="I34" i="3"/>
  <c r="E29" i="3"/>
  <c r="A24" i="3"/>
  <c r="I18" i="3"/>
  <c r="E13" i="3"/>
  <c r="A8" i="3"/>
  <c r="I920" i="1"/>
  <c r="E915" i="1"/>
  <c r="A910" i="1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D55" i="3"/>
  <c r="L49" i="3"/>
  <c r="H44" i="3"/>
  <c r="D39" i="3"/>
  <c r="L33" i="3"/>
  <c r="H28" i="3"/>
  <c r="D23" i="3"/>
  <c r="L17" i="3"/>
  <c r="H12" i="3"/>
  <c r="D7" i="3"/>
  <c r="L919" i="1"/>
  <c r="H914" i="1"/>
  <c r="D909" i="1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K59" i="3"/>
  <c r="G54" i="3"/>
  <c r="C49" i="3"/>
  <c r="K43" i="3"/>
  <c r="G38" i="3"/>
  <c r="C33" i="3"/>
  <c r="K27" i="3"/>
  <c r="G22" i="3"/>
  <c r="C17" i="3"/>
  <c r="K1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F70" i="3"/>
  <c r="B65" i="3"/>
  <c r="J59" i="3"/>
  <c r="F54" i="3"/>
  <c r="B49" i="3"/>
  <c r="J43" i="3"/>
  <c r="F38" i="3"/>
  <c r="B33" i="3"/>
  <c r="J27" i="3"/>
  <c r="F22" i="3"/>
  <c r="B17" i="3"/>
  <c r="J11" i="3"/>
  <c r="F6" i="3"/>
  <c r="B919" i="1"/>
  <c r="J913" i="1"/>
  <c r="F908" i="1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E918" i="1"/>
  <c r="A913" i="1"/>
  <c r="I907" i="1"/>
  <c r="G905" i="1"/>
  <c r="C900" i="1"/>
  <c r="K894" i="1"/>
  <c r="G889" i="1"/>
  <c r="C884" i="1"/>
  <c r="K878" i="1"/>
  <c r="G873" i="1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J904" i="1"/>
  <c r="F899" i="1"/>
  <c r="B894" i="1"/>
  <c r="J888" i="1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K72" i="3"/>
  <c r="G67" i="3"/>
  <c r="C62" i="3"/>
  <c r="K56" i="3"/>
  <c r="G51" i="3"/>
  <c r="C46" i="3"/>
  <c r="K40" i="3"/>
  <c r="G35" i="3"/>
  <c r="C30" i="3"/>
  <c r="K24" i="3"/>
  <c r="G19" i="3"/>
  <c r="C14" i="3"/>
  <c r="K8" i="3"/>
  <c r="G921" i="1"/>
  <c r="C916" i="1"/>
  <c r="K910" i="1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B56" i="3"/>
  <c r="J50" i="3"/>
  <c r="F45" i="3"/>
  <c r="B40" i="3"/>
  <c r="J34" i="3"/>
  <c r="F29" i="3"/>
  <c r="B24" i="3"/>
  <c r="J18" i="3"/>
  <c r="F13" i="3"/>
  <c r="B8" i="3"/>
  <c r="J920" i="1"/>
  <c r="F915" i="1"/>
  <c r="B910" i="1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E55" i="3"/>
  <c r="A50" i="3"/>
  <c r="I44" i="3"/>
  <c r="E39" i="3"/>
  <c r="A34" i="3"/>
  <c r="I28" i="3"/>
  <c r="E23" i="3"/>
  <c r="A18" i="3"/>
  <c r="I12" i="3"/>
  <c r="E7" i="3"/>
  <c r="A920" i="1"/>
  <c r="I914" i="1"/>
  <c r="E909" i="1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L59" i="3"/>
  <c r="H54" i="3"/>
  <c r="D49" i="3"/>
  <c r="L43" i="3"/>
  <c r="H38" i="3"/>
  <c r="D33" i="3"/>
  <c r="L27" i="3"/>
  <c r="H22" i="3"/>
  <c r="D17" i="3"/>
  <c r="L11" i="3"/>
  <c r="H6" i="3"/>
  <c r="D919" i="1"/>
  <c r="L913" i="1"/>
  <c r="H908" i="1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C59" i="3"/>
  <c r="K53" i="3"/>
  <c r="G48" i="3"/>
  <c r="C43" i="3"/>
  <c r="K37" i="3"/>
  <c r="G32" i="3"/>
  <c r="C27" i="3"/>
  <c r="K21" i="3"/>
  <c r="G16" i="3"/>
  <c r="C11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J69" i="3"/>
  <c r="F64" i="3"/>
  <c r="B59" i="3"/>
  <c r="J53" i="3"/>
  <c r="F48" i="3"/>
  <c r="B43" i="3"/>
  <c r="J37" i="3"/>
  <c r="F32" i="3"/>
  <c r="B27" i="3"/>
  <c r="J21" i="3"/>
  <c r="F16" i="3"/>
  <c r="B11" i="3"/>
  <c r="J5" i="3"/>
  <c r="F918" i="1"/>
  <c r="B913" i="1"/>
  <c r="J907" i="1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I917" i="1"/>
  <c r="E912" i="1"/>
  <c r="A907" i="1"/>
  <c r="K904" i="1"/>
  <c r="G899" i="1"/>
  <c r="C894" i="1"/>
  <c r="K888" i="1"/>
  <c r="G883" i="1"/>
  <c r="C878" i="1"/>
  <c r="K872" i="1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B904" i="1"/>
  <c r="J898" i="1"/>
  <c r="F893" i="1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K66" i="3"/>
  <c r="G61" i="3"/>
  <c r="C56" i="3"/>
  <c r="K50" i="3"/>
  <c r="G45" i="3"/>
  <c r="C40" i="3"/>
  <c r="K34" i="3"/>
  <c r="G29" i="3"/>
  <c r="C24" i="3"/>
  <c r="K18" i="3"/>
  <c r="G13" i="3"/>
  <c r="C8" i="3"/>
  <c r="K920" i="1"/>
  <c r="G915" i="1"/>
  <c r="C910" i="1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F55" i="3"/>
  <c r="B50" i="3"/>
  <c r="J44" i="3"/>
  <c r="F39" i="3"/>
  <c r="B34" i="3"/>
  <c r="J28" i="3"/>
  <c r="F23" i="3"/>
  <c r="B18" i="3"/>
  <c r="J12" i="3"/>
  <c r="F7" i="3"/>
  <c r="B920" i="1"/>
  <c r="J914" i="1"/>
  <c r="F909" i="1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A60" i="3"/>
  <c r="I54" i="3"/>
  <c r="E49" i="3"/>
  <c r="A44" i="3"/>
  <c r="I38" i="3"/>
  <c r="E33" i="3"/>
  <c r="A28" i="3"/>
  <c r="I22" i="3"/>
  <c r="E17" i="3"/>
  <c r="A12" i="3"/>
  <c r="I6" i="3"/>
  <c r="E919" i="1"/>
  <c r="A914" i="1"/>
  <c r="I908" i="1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D59" i="3"/>
  <c r="L53" i="3"/>
  <c r="H48" i="3"/>
  <c r="D43" i="3"/>
  <c r="L37" i="3"/>
  <c r="H32" i="3"/>
  <c r="D27" i="3"/>
  <c r="L21" i="3"/>
  <c r="H16" i="3"/>
  <c r="D11" i="3"/>
  <c r="L5" i="3"/>
  <c r="H918" i="1"/>
  <c r="D913" i="1"/>
  <c r="L907" i="1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G58" i="3"/>
  <c r="C53" i="3"/>
  <c r="K47" i="3"/>
  <c r="G42" i="3"/>
  <c r="C37" i="3"/>
  <c r="K31" i="3"/>
  <c r="G26" i="3"/>
  <c r="C21" i="3"/>
  <c r="K15" i="3"/>
  <c r="G10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B69" i="3"/>
  <c r="J63" i="3"/>
  <c r="F58" i="3"/>
  <c r="B53" i="3"/>
  <c r="J47" i="3"/>
  <c r="F42" i="3"/>
  <c r="B37" i="3"/>
  <c r="J31" i="3"/>
  <c r="F26" i="3"/>
  <c r="B21" i="3"/>
  <c r="J15" i="3"/>
  <c r="F10" i="3"/>
  <c r="B5" i="3"/>
  <c r="J917" i="1"/>
  <c r="F912" i="1"/>
  <c r="B907" i="1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I57" i="3"/>
  <c r="E52" i="3"/>
  <c r="A47" i="3"/>
  <c r="I41" i="3"/>
  <c r="E36" i="3"/>
  <c r="A31" i="3"/>
  <c r="I25" i="3"/>
  <c r="E20" i="3"/>
  <c r="A15" i="3"/>
  <c r="I9" i="3"/>
  <c r="E4" i="3"/>
  <c r="A917" i="1"/>
  <c r="I911" i="1"/>
  <c r="E906" i="1"/>
  <c r="C904" i="1"/>
  <c r="K898" i="1"/>
  <c r="G893" i="1"/>
  <c r="C888" i="1"/>
  <c r="K882" i="1"/>
  <c r="G877" i="1"/>
  <c r="C872" i="1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" i="3"/>
  <c r="F903" i="1"/>
  <c r="B898" i="1"/>
  <c r="J892" i="1"/>
  <c r="F887" i="1"/>
  <c r="B888" i="1"/>
  <c r="B882" i="1"/>
  <c r="J876" i="1"/>
  <c r="F871" i="1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I904" i="1"/>
  <c r="E899" i="1"/>
  <c r="A894" i="1"/>
  <c r="I888" i="1"/>
  <c r="E883" i="1"/>
  <c r="A878" i="1"/>
  <c r="I872" i="1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L903" i="1"/>
  <c r="H898" i="1"/>
  <c r="D893" i="1"/>
  <c r="L887" i="1"/>
  <c r="H882" i="1"/>
  <c r="D877" i="1"/>
  <c r="L871" i="1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K5" i="3"/>
  <c r="C903" i="1"/>
  <c r="K897" i="1"/>
  <c r="G892" i="1"/>
  <c r="C887" i="1"/>
  <c r="K881" i="1"/>
  <c r="G876" i="1"/>
  <c r="C871" i="1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J905" i="1"/>
  <c r="F900" i="1"/>
  <c r="B895" i="1"/>
  <c r="J889" i="1"/>
  <c r="F884" i="1"/>
  <c r="B879" i="1"/>
  <c r="J873" i="1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G4" i="3"/>
  <c r="A903" i="1"/>
  <c r="I897" i="1"/>
  <c r="E892" i="1"/>
  <c r="A887" i="1"/>
  <c r="I881" i="1"/>
  <c r="E876" i="1"/>
  <c r="A871" i="1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C911" i="1"/>
  <c r="H901" i="1"/>
  <c r="D896" i="1"/>
  <c r="L890" i="1"/>
  <c r="H885" i="1"/>
  <c r="D880" i="1"/>
  <c r="L874" i="1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J743" i="1"/>
  <c r="L734" i="1"/>
  <c r="K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I743" i="1"/>
  <c r="K734" i="1"/>
  <c r="I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I741" i="1"/>
  <c r="L733" i="1"/>
  <c r="J886" i="1"/>
  <c r="F881" i="1"/>
  <c r="B876" i="1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A904" i="1"/>
  <c r="I898" i="1"/>
  <c r="E893" i="1"/>
  <c r="A888" i="1"/>
  <c r="I882" i="1"/>
  <c r="E877" i="1"/>
  <c r="A872" i="1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G6" i="3"/>
  <c r="D903" i="1"/>
  <c r="L897" i="1"/>
  <c r="H892" i="1"/>
  <c r="D887" i="1"/>
  <c r="L881" i="1"/>
  <c r="H876" i="1"/>
  <c r="D871" i="1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G918" i="1"/>
  <c r="G902" i="1"/>
  <c r="C897" i="1"/>
  <c r="K891" i="1"/>
  <c r="G886" i="1"/>
  <c r="C881" i="1"/>
  <c r="K875" i="1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B905" i="1"/>
  <c r="J899" i="1"/>
  <c r="F894" i="1"/>
  <c r="B889" i="1"/>
  <c r="J883" i="1"/>
  <c r="F878" i="1"/>
  <c r="B873" i="1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C917" i="1"/>
  <c r="E902" i="1"/>
  <c r="A897" i="1"/>
  <c r="I891" i="1"/>
  <c r="E886" i="1"/>
  <c r="A881" i="1"/>
  <c r="I875" i="1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D906" i="1"/>
  <c r="L900" i="1"/>
  <c r="H895" i="1"/>
  <c r="D890" i="1"/>
  <c r="L884" i="1"/>
  <c r="H879" i="1"/>
  <c r="D874" i="1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K741" i="1"/>
  <c r="C734" i="1"/>
  <c r="A728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J741" i="1"/>
  <c r="A734" i="1"/>
  <c r="L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J739" i="1"/>
  <c r="B886" i="1"/>
  <c r="J880" i="1"/>
  <c r="F875" i="1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C7" i="3"/>
  <c r="E903" i="1"/>
  <c r="A898" i="1"/>
  <c r="I892" i="1"/>
  <c r="E887" i="1"/>
  <c r="A882" i="1"/>
  <c r="I876" i="1"/>
  <c r="E871" i="1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C919" i="1"/>
  <c r="H902" i="1"/>
  <c r="D897" i="1"/>
  <c r="L891" i="1"/>
  <c r="H886" i="1"/>
  <c r="D881" i="1"/>
  <c r="L875" i="1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C913" i="1"/>
  <c r="K901" i="1"/>
  <c r="G896" i="1"/>
  <c r="C891" i="1"/>
  <c r="K885" i="1"/>
  <c r="G880" i="1"/>
  <c r="C875" i="1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F904" i="1"/>
  <c r="B899" i="1"/>
  <c r="J893" i="1"/>
  <c r="F888" i="1"/>
  <c r="B883" i="1"/>
  <c r="J877" i="1"/>
  <c r="F872" i="1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K911" i="1"/>
  <c r="I901" i="1"/>
  <c r="E896" i="1"/>
  <c r="A891" i="1"/>
  <c r="I885" i="1"/>
  <c r="E880" i="1"/>
  <c r="A875" i="1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H905" i="1"/>
  <c r="D900" i="1"/>
  <c r="L894" i="1"/>
  <c r="H889" i="1"/>
  <c r="D884" i="1"/>
  <c r="L878" i="1"/>
  <c r="H873" i="1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E740" i="1"/>
  <c r="E733" i="1"/>
  <c r="D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K739" i="1"/>
  <c r="D733" i="1"/>
  <c r="C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G738" i="1"/>
  <c r="F885" i="1"/>
  <c r="B880" i="1"/>
  <c r="J874" i="1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K919" i="1"/>
  <c r="I902" i="1"/>
  <c r="E897" i="1"/>
  <c r="A892" i="1"/>
  <c r="I886" i="1"/>
  <c r="E881" i="1"/>
  <c r="A876" i="1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K913" i="1"/>
  <c r="L901" i="1"/>
  <c r="H896" i="1"/>
  <c r="D891" i="1"/>
  <c r="L885" i="1"/>
  <c r="H880" i="1"/>
  <c r="D875" i="1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K907" i="1"/>
  <c r="C901" i="1"/>
  <c r="K895" i="1"/>
  <c r="G890" i="1"/>
  <c r="C885" i="1"/>
  <c r="K879" i="1"/>
  <c r="G874" i="1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J903" i="1"/>
  <c r="F898" i="1"/>
  <c r="B893" i="1"/>
  <c r="J887" i="1"/>
  <c r="F882" i="1"/>
  <c r="B877" i="1"/>
  <c r="J871" i="1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G906" i="1"/>
  <c r="A901" i="1"/>
  <c r="I895" i="1"/>
  <c r="E890" i="1"/>
  <c r="A885" i="1"/>
  <c r="I879" i="1"/>
  <c r="E874" i="1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L904" i="1"/>
  <c r="H899" i="1"/>
  <c r="D894" i="1"/>
  <c r="L888" i="1"/>
  <c r="H883" i="1"/>
  <c r="D878" i="1"/>
  <c r="L872" i="1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I738" i="1"/>
  <c r="H732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H738" i="1"/>
  <c r="G732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737" i="1"/>
  <c r="J884" i="1"/>
  <c r="F879" i="1"/>
  <c r="B874" i="1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G914" i="1"/>
  <c r="A902" i="1"/>
  <c r="I896" i="1"/>
  <c r="E891" i="1"/>
  <c r="A886" i="1"/>
  <c r="I880" i="1"/>
  <c r="E875" i="1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G908" i="1"/>
  <c r="D901" i="1"/>
  <c r="L895" i="1"/>
  <c r="H890" i="1"/>
  <c r="D885" i="1"/>
  <c r="L879" i="1"/>
  <c r="H874" i="1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K905" i="1"/>
  <c r="G900" i="1"/>
  <c r="C895" i="1"/>
  <c r="K889" i="1"/>
  <c r="G884" i="1"/>
  <c r="C879" i="1"/>
  <c r="K873" i="1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C5" i="3"/>
  <c r="B903" i="1"/>
  <c r="J897" i="1"/>
  <c r="F892" i="1"/>
  <c r="B887" i="1"/>
  <c r="J881" i="1"/>
  <c r="F876" i="1"/>
  <c r="B871" i="1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I905" i="1"/>
  <c r="E900" i="1"/>
  <c r="A895" i="1"/>
  <c r="I889" i="1"/>
  <c r="E884" i="1"/>
  <c r="A879" i="1"/>
  <c r="I873" i="1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D904" i="1"/>
  <c r="L898" i="1"/>
  <c r="H893" i="1"/>
  <c r="D888" i="1"/>
  <c r="L882" i="1"/>
  <c r="H877" i="1"/>
  <c r="D872" i="1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L737" i="1"/>
  <c r="K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K737" i="1"/>
  <c r="J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B755" i="1"/>
  <c r="A737" i="1"/>
  <c r="L730" i="1"/>
  <c r="B884" i="1"/>
  <c r="J878" i="1"/>
  <c r="F873" i="1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C909" i="1"/>
  <c r="E901" i="1"/>
  <c r="A896" i="1"/>
  <c r="I890" i="1"/>
  <c r="E885" i="1"/>
  <c r="A880" i="1"/>
  <c r="I874" i="1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L905" i="1"/>
  <c r="H900" i="1"/>
  <c r="D895" i="1"/>
  <c r="L889" i="1"/>
  <c r="H884" i="1"/>
  <c r="D879" i="1"/>
  <c r="L873" i="1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C905" i="1"/>
  <c r="K899" i="1"/>
  <c r="G894" i="1"/>
  <c r="C889" i="1"/>
  <c r="K883" i="1"/>
  <c r="G878" i="1"/>
  <c r="C873" i="1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K917" i="1"/>
  <c r="F902" i="1"/>
  <c r="B897" i="1"/>
  <c r="J891" i="1"/>
  <c r="F886" i="1"/>
  <c r="B881" i="1"/>
  <c r="J875" i="1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A905" i="1"/>
  <c r="I899" i="1"/>
  <c r="E894" i="1"/>
  <c r="A889" i="1"/>
  <c r="I883" i="1"/>
  <c r="E878" i="1"/>
  <c r="A873" i="1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H903" i="1"/>
  <c r="D898" i="1"/>
  <c r="L892" i="1"/>
  <c r="H887" i="1"/>
  <c r="D882" i="1"/>
  <c r="L876" i="1"/>
  <c r="H871" i="1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F756" i="1"/>
  <c r="C737" i="1"/>
  <c r="B731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J755" i="1"/>
  <c r="B737" i="1"/>
  <c r="A731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749" i="1"/>
  <c r="D736" i="1"/>
  <c r="F883" i="1"/>
  <c r="B878" i="1"/>
  <c r="J872" i="1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A906" i="1"/>
  <c r="I900" i="1"/>
  <c r="E895" i="1"/>
  <c r="A890" i="1"/>
  <c r="I884" i="1"/>
  <c r="E879" i="1"/>
  <c r="A874" i="1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D905" i="1"/>
  <c r="L899" i="1"/>
  <c r="H894" i="1"/>
  <c r="D889" i="1"/>
  <c r="L883" i="1"/>
  <c r="H878" i="1"/>
  <c r="D873" i="1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G904" i="1"/>
  <c r="C899" i="1"/>
  <c r="K893" i="1"/>
  <c r="G888" i="1"/>
  <c r="C883" i="1"/>
  <c r="K877" i="1"/>
  <c r="G872" i="1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912" i="1"/>
  <c r="J901" i="1"/>
  <c r="F896" i="1"/>
  <c r="B891" i="1"/>
  <c r="J885" i="1"/>
  <c r="F880" i="1"/>
  <c r="B875" i="1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E904" i="1"/>
  <c r="A899" i="1"/>
  <c r="I893" i="1"/>
  <c r="E888" i="1"/>
  <c r="A883" i="1"/>
  <c r="I877" i="1"/>
  <c r="E872" i="1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K921" i="1"/>
  <c r="L902" i="1"/>
  <c r="H897" i="1"/>
  <c r="D892" i="1"/>
  <c r="L886" i="1"/>
  <c r="H881" i="1"/>
  <c r="D876" i="1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B751" i="1"/>
  <c r="F736" i="1"/>
  <c r="E730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F750" i="1"/>
  <c r="E736" i="1"/>
  <c r="D730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C745" i="1"/>
  <c r="G735" i="1"/>
  <c r="J882" i="1"/>
  <c r="F877" i="1"/>
  <c r="B872" i="1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E905" i="1"/>
  <c r="A900" i="1"/>
  <c r="I894" i="1"/>
  <c r="E889" i="1"/>
  <c r="A884" i="1"/>
  <c r="I878" i="1"/>
  <c r="E873" i="1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H904" i="1"/>
  <c r="D899" i="1"/>
  <c r="L893" i="1"/>
  <c r="H888" i="1"/>
  <c r="D883" i="1"/>
  <c r="L877" i="1"/>
  <c r="H872" i="1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K903" i="1"/>
  <c r="G898" i="1"/>
  <c r="C893" i="1"/>
  <c r="K887" i="1"/>
  <c r="G882" i="1"/>
  <c r="C877" i="1"/>
  <c r="K871" i="1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C907" i="1"/>
  <c r="B901" i="1"/>
  <c r="J895" i="1"/>
  <c r="F890" i="1"/>
  <c r="B885" i="1"/>
  <c r="J879" i="1"/>
  <c r="F874" i="1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I903" i="1"/>
  <c r="E898" i="1"/>
  <c r="A893" i="1"/>
  <c r="I887" i="1"/>
  <c r="E882" i="1"/>
  <c r="A877" i="1"/>
  <c r="I871" i="1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G916" i="1"/>
  <c r="D902" i="1"/>
  <c r="L896" i="1"/>
  <c r="H891" i="1"/>
  <c r="D886" i="1"/>
  <c r="L880" i="1"/>
  <c r="H875" i="1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K745" i="1"/>
  <c r="I735" i="1"/>
  <c r="H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J745" i="1"/>
  <c r="H735" i="1"/>
  <c r="G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C743" i="1"/>
  <c r="I734" i="1"/>
  <c r="C733" i="1"/>
  <c r="E726" i="1"/>
  <c r="A721" i="1"/>
  <c r="I715" i="1"/>
  <c r="E710" i="1"/>
  <c r="A705" i="1"/>
  <c r="I699" i="1"/>
  <c r="E694" i="1"/>
  <c r="A689" i="1"/>
  <c r="F754" i="1"/>
  <c r="L736" i="1"/>
  <c r="K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J753" i="1"/>
  <c r="K736" i="1"/>
  <c r="I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J747" i="1"/>
  <c r="L735" i="1"/>
  <c r="K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A739" i="1"/>
  <c r="K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J751" i="1"/>
  <c r="G736" i="1"/>
  <c r="F730" i="1"/>
  <c r="H724" i="1"/>
  <c r="D719" i="1"/>
  <c r="L713" i="1"/>
  <c r="H708" i="1"/>
  <c r="D703" i="1"/>
  <c r="L697" i="1"/>
  <c r="H692" i="1"/>
  <c r="I671" i="1"/>
  <c r="F652" i="1"/>
  <c r="E638" i="1"/>
  <c r="J625" i="1"/>
  <c r="A617" i="1"/>
  <c r="F608" i="1"/>
  <c r="K599" i="1"/>
  <c r="K591" i="1"/>
  <c r="I584" i="1"/>
  <c r="I577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D679" i="1"/>
  <c r="L657" i="1"/>
  <c r="D643" i="1"/>
  <c r="I629" i="1"/>
  <c r="L619" i="1"/>
  <c r="E611" i="1"/>
  <c r="A603" i="1"/>
  <c r="F594" i="1"/>
  <c r="D587" i="1"/>
  <c r="B580" i="1"/>
  <c r="B573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L689" i="1"/>
  <c r="I665" i="1"/>
  <c r="F648" i="1"/>
  <c r="E634" i="1"/>
  <c r="B623" i="1"/>
  <c r="G614" i="1"/>
  <c r="L605" i="1"/>
  <c r="E597" i="1"/>
  <c r="K589" i="1"/>
  <c r="I582" i="1"/>
  <c r="I575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L675" i="1"/>
  <c r="D655" i="1"/>
  <c r="B641" i="1"/>
  <c r="L627" i="1"/>
  <c r="H618" i="1"/>
  <c r="A610" i="1"/>
  <c r="I601" i="1"/>
  <c r="D593" i="1"/>
  <c r="B586" i="1"/>
  <c r="B579" i="1"/>
  <c r="L571" i="1"/>
  <c r="E566" i="1"/>
  <c r="A561" i="1"/>
  <c r="I555" i="1"/>
  <c r="E550" i="1"/>
  <c r="A545" i="1"/>
  <c r="I539" i="1"/>
  <c r="E534" i="1"/>
  <c r="A529" i="1"/>
  <c r="F732" i="1"/>
  <c r="I725" i="1"/>
  <c r="E720" i="1"/>
  <c r="A715" i="1"/>
  <c r="I709" i="1"/>
  <c r="E704" i="1"/>
  <c r="A699" i="1"/>
  <c r="I693" i="1"/>
  <c r="E688" i="1"/>
  <c r="B749" i="1"/>
  <c r="C736" i="1"/>
  <c r="A730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F748" i="1"/>
  <c r="A736" i="1"/>
  <c r="L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F744" i="1"/>
  <c r="C735" i="1"/>
  <c r="B729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C738" i="1"/>
  <c r="A732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F746" i="1"/>
  <c r="J735" i="1"/>
  <c r="I729" i="1"/>
  <c r="L723" i="1"/>
  <c r="H718" i="1"/>
  <c r="D713" i="1"/>
  <c r="L707" i="1"/>
  <c r="H702" i="1"/>
  <c r="D697" i="1"/>
  <c r="L691" i="1"/>
  <c r="A669" i="1"/>
  <c r="H650" i="1"/>
  <c r="F636" i="1"/>
  <c r="F624" i="1"/>
  <c r="K615" i="1"/>
  <c r="D607" i="1"/>
  <c r="I598" i="1"/>
  <c r="A591" i="1"/>
  <c r="K583" i="1"/>
  <c r="I576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H676" i="1"/>
  <c r="J655" i="1"/>
  <c r="I641" i="1"/>
  <c r="E628" i="1"/>
  <c r="A619" i="1"/>
  <c r="F610" i="1"/>
  <c r="K601" i="1"/>
  <c r="F593" i="1"/>
  <c r="F586" i="1"/>
  <c r="D579" i="1"/>
  <c r="B572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H684" i="1"/>
  <c r="A663" i="1"/>
  <c r="H646" i="1"/>
  <c r="F632" i="1"/>
  <c r="L621" i="1"/>
  <c r="E613" i="1"/>
  <c r="A605" i="1"/>
  <c r="F596" i="1"/>
  <c r="A589" i="1"/>
  <c r="K581" i="1"/>
  <c r="I574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D673" i="1"/>
  <c r="I653" i="1"/>
  <c r="D639" i="1"/>
  <c r="H626" i="1"/>
  <c r="I617" i="1"/>
  <c r="B609" i="1"/>
  <c r="G600" i="1"/>
  <c r="F592" i="1"/>
  <c r="D585" i="1"/>
  <c r="B578" i="1"/>
  <c r="B571" i="1"/>
  <c r="I565" i="1"/>
  <c r="E560" i="1"/>
  <c r="A555" i="1"/>
  <c r="I549" i="1"/>
  <c r="E544" i="1"/>
  <c r="A539" i="1"/>
  <c r="I533" i="1"/>
  <c r="E528" i="1"/>
  <c r="I731" i="1"/>
  <c r="A725" i="1"/>
  <c r="I719" i="1"/>
  <c r="E714" i="1"/>
  <c r="A709" i="1"/>
  <c r="I703" i="1"/>
  <c r="E698" i="1"/>
  <c r="A693" i="1"/>
  <c r="I687" i="1"/>
  <c r="B745" i="1"/>
  <c r="E735" i="1"/>
  <c r="D729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G744" i="1"/>
  <c r="D735" i="1"/>
  <c r="C729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G742" i="1"/>
  <c r="F734" i="1"/>
  <c r="E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E737" i="1"/>
  <c r="D731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K743" i="1"/>
  <c r="A735" i="1"/>
  <c r="L728" i="1"/>
  <c r="D723" i="1"/>
  <c r="L717" i="1"/>
  <c r="H712" i="1"/>
  <c r="D707" i="1"/>
  <c r="L701" i="1"/>
  <c r="H696" i="1"/>
  <c r="D691" i="1"/>
  <c r="E666" i="1"/>
  <c r="A649" i="1"/>
  <c r="H634" i="1"/>
  <c r="D623" i="1"/>
  <c r="I614" i="1"/>
  <c r="E606" i="1"/>
  <c r="J597" i="1"/>
  <c r="A590" i="1"/>
  <c r="A583" i="1"/>
  <c r="K575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L673" i="1"/>
  <c r="L653" i="1"/>
  <c r="J639" i="1"/>
  <c r="A627" i="1"/>
  <c r="K617" i="1"/>
  <c r="D609" i="1"/>
  <c r="I600" i="1"/>
  <c r="H592" i="1"/>
  <c r="F585" i="1"/>
  <c r="F578" i="1"/>
  <c r="D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I681" i="1"/>
  <c r="E660" i="1"/>
  <c r="A645" i="1"/>
  <c r="I630" i="1"/>
  <c r="A621" i="1"/>
  <c r="F612" i="1"/>
  <c r="K603" i="1"/>
  <c r="D595" i="1"/>
  <c r="A588" i="1"/>
  <c r="A581" i="1"/>
  <c r="K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H670" i="1"/>
  <c r="J651" i="1"/>
  <c r="I637" i="1"/>
  <c r="D625" i="1"/>
  <c r="G616" i="1"/>
  <c r="L607" i="1"/>
  <c r="E599" i="1"/>
  <c r="F591" i="1"/>
  <c r="F584" i="1"/>
  <c r="D577" i="1"/>
  <c r="E570" i="1"/>
  <c r="A565" i="1"/>
  <c r="I559" i="1"/>
  <c r="E554" i="1"/>
  <c r="A549" i="1"/>
  <c r="I543" i="1"/>
  <c r="E538" i="1"/>
  <c r="A533" i="1"/>
  <c r="C730" i="1"/>
  <c r="E724" i="1"/>
  <c r="A719" i="1"/>
  <c r="I713" i="1"/>
  <c r="E708" i="1"/>
  <c r="A703" i="1"/>
  <c r="I697" i="1"/>
  <c r="E692" i="1"/>
  <c r="A687" i="1"/>
  <c r="B743" i="1"/>
  <c r="H734" i="1"/>
  <c r="G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A743" i="1"/>
  <c r="G734" i="1"/>
  <c r="F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A741" i="1"/>
  <c r="I733" i="1"/>
  <c r="H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F752" i="1"/>
  <c r="H736" i="1"/>
  <c r="G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E742" i="1"/>
  <c r="D734" i="1"/>
  <c r="C728" i="1"/>
  <c r="H722" i="1"/>
  <c r="D717" i="1"/>
  <c r="L711" i="1"/>
  <c r="H706" i="1"/>
  <c r="D701" i="1"/>
  <c r="L695" i="1"/>
  <c r="L685" i="1"/>
  <c r="I663" i="1"/>
  <c r="B647" i="1"/>
  <c r="A633" i="1"/>
  <c r="E622" i="1"/>
  <c r="J613" i="1"/>
  <c r="C605" i="1"/>
  <c r="H596" i="1"/>
  <c r="C589" i="1"/>
  <c r="A582" i="1"/>
  <c r="A575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D671" i="1"/>
  <c r="E652" i="1"/>
  <c r="L637" i="1"/>
  <c r="I625" i="1"/>
  <c r="I616" i="1"/>
  <c r="E608" i="1"/>
  <c r="J599" i="1"/>
  <c r="J591" i="1"/>
  <c r="H584" i="1"/>
  <c r="F577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A679" i="1"/>
  <c r="I657" i="1"/>
  <c r="B643" i="1"/>
  <c r="E629" i="1"/>
  <c r="K619" i="1"/>
  <c r="D611" i="1"/>
  <c r="I602" i="1"/>
  <c r="E594" i="1"/>
  <c r="C587" i="1"/>
  <c r="A580" i="1"/>
  <c r="A573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L667" i="1"/>
  <c r="L649" i="1"/>
  <c r="J635" i="1"/>
  <c r="L623" i="1"/>
  <c r="E615" i="1"/>
  <c r="A607" i="1"/>
  <c r="F598" i="1"/>
  <c r="H590" i="1"/>
  <c r="F583" i="1"/>
  <c r="F576" i="1"/>
  <c r="I569" i="1"/>
  <c r="E564" i="1"/>
  <c r="A559" i="1"/>
  <c r="I553" i="1"/>
  <c r="E548" i="1"/>
  <c r="A543" i="1"/>
  <c r="I537" i="1"/>
  <c r="E532" i="1"/>
  <c r="E729" i="1"/>
  <c r="I723" i="1"/>
  <c r="E718" i="1"/>
  <c r="A713" i="1"/>
  <c r="I707" i="1"/>
  <c r="E702" i="1"/>
  <c r="A697" i="1"/>
  <c r="I691" i="1"/>
  <c r="E686" i="1"/>
  <c r="C741" i="1"/>
  <c r="K733" i="1"/>
  <c r="J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B741" i="1"/>
  <c r="J733" i="1"/>
  <c r="I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B739" i="1"/>
  <c r="L732" i="1"/>
  <c r="K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B747" i="1"/>
  <c r="K735" i="1"/>
  <c r="J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F740" i="1"/>
  <c r="G733" i="1"/>
  <c r="E727" i="1"/>
  <c r="L721" i="1"/>
  <c r="H716" i="1"/>
  <c r="D711" i="1"/>
  <c r="L705" i="1"/>
  <c r="H700" i="1"/>
  <c r="D695" i="1"/>
  <c r="E682" i="1"/>
  <c r="A661" i="1"/>
  <c r="D645" i="1"/>
  <c r="B631" i="1"/>
  <c r="C621" i="1"/>
  <c r="H612" i="1"/>
  <c r="A604" i="1"/>
  <c r="I595" i="1"/>
  <c r="E588" i="1"/>
  <c r="C581" i="1"/>
  <c r="A574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H668" i="1"/>
  <c r="F650" i="1"/>
  <c r="E636" i="1"/>
  <c r="E624" i="1"/>
  <c r="J615" i="1"/>
  <c r="C607" i="1"/>
  <c r="H598" i="1"/>
  <c r="J590" i="1"/>
  <c r="J583" i="1"/>
  <c r="H576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E676" i="1"/>
  <c r="I655" i="1"/>
  <c r="D641" i="1"/>
  <c r="A628" i="1"/>
  <c r="I618" i="1"/>
  <c r="E610" i="1"/>
  <c r="J601" i="1"/>
  <c r="E593" i="1"/>
  <c r="E586" i="1"/>
  <c r="C579" i="1"/>
  <c r="A572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D689" i="1"/>
  <c r="D665" i="1"/>
  <c r="E648" i="1"/>
  <c r="L633" i="1"/>
  <c r="A623" i="1"/>
  <c r="F614" i="1"/>
  <c r="K605" i="1"/>
  <c r="D597" i="1"/>
  <c r="J589" i="1"/>
  <c r="H582" i="1"/>
  <c r="F575" i="1"/>
  <c r="A569" i="1"/>
  <c r="I563" i="1"/>
  <c r="E558" i="1"/>
  <c r="A553" i="1"/>
  <c r="I547" i="1"/>
  <c r="E542" i="1"/>
  <c r="A537" i="1"/>
  <c r="I531" i="1"/>
  <c r="E526" i="1"/>
  <c r="H728" i="1"/>
  <c r="A723" i="1"/>
  <c r="I717" i="1"/>
  <c r="E712" i="1"/>
  <c r="A707" i="1"/>
  <c r="I701" i="1"/>
  <c r="E696" i="1"/>
  <c r="A691" i="1"/>
  <c r="I685" i="1"/>
  <c r="I739" i="1"/>
  <c r="B733" i="1"/>
  <c r="A727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C739" i="1"/>
  <c r="A733" i="1"/>
  <c r="L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D738" i="1"/>
  <c r="C732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E744" i="1"/>
  <c r="B735" i="1"/>
  <c r="A729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K738" i="1"/>
  <c r="I732" i="1"/>
  <c r="H726" i="1"/>
  <c r="D721" i="1"/>
  <c r="L715" i="1"/>
  <c r="H710" i="1"/>
  <c r="D705" i="1"/>
  <c r="L699" i="1"/>
  <c r="H694" i="1"/>
  <c r="I679" i="1"/>
  <c r="E658" i="1"/>
  <c r="I643" i="1"/>
  <c r="J629" i="1"/>
  <c r="A620" i="1"/>
  <c r="I611" i="1"/>
  <c r="B603" i="1"/>
  <c r="G594" i="1"/>
  <c r="E587" i="1"/>
  <c r="E580" i="1"/>
  <c r="C573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H690" i="1"/>
  <c r="L665" i="1"/>
  <c r="H648" i="1"/>
  <c r="F634" i="1"/>
  <c r="C623" i="1"/>
  <c r="H614" i="1"/>
  <c r="A606" i="1"/>
  <c r="I597" i="1"/>
  <c r="L589" i="1"/>
  <c r="J582" i="1"/>
  <c r="J575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I673" i="1"/>
  <c r="J653" i="1"/>
  <c r="I639" i="1"/>
  <c r="I626" i="1"/>
  <c r="J617" i="1"/>
  <c r="C609" i="1"/>
  <c r="H600" i="1"/>
  <c r="G592" i="1"/>
  <c r="E585" i="1"/>
  <c r="E578" i="1"/>
  <c r="C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L683" i="1"/>
  <c r="H662" i="1"/>
  <c r="F646" i="1"/>
  <c r="E632" i="1"/>
  <c r="K621" i="1"/>
  <c r="D613" i="1"/>
  <c r="I604" i="1"/>
  <c r="E596" i="1"/>
  <c r="J588" i="1"/>
  <c r="J581" i="1"/>
  <c r="H574" i="1"/>
  <c r="E568" i="1"/>
  <c r="A563" i="1"/>
  <c r="I557" i="1"/>
  <c r="E552" i="1"/>
  <c r="A547" i="1"/>
  <c r="I541" i="1"/>
  <c r="E536" i="1"/>
  <c r="A531" i="1"/>
  <c r="K727" i="1"/>
  <c r="E722" i="1"/>
  <c r="A717" i="1"/>
  <c r="I711" i="1"/>
  <c r="E706" i="1"/>
  <c r="A701" i="1"/>
  <c r="I695" i="1"/>
  <c r="E690" i="1"/>
  <c r="A685" i="1"/>
  <c r="F738" i="1"/>
  <c r="E732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E738" i="1"/>
  <c r="D732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G737" i="1"/>
  <c r="E731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F742" i="1"/>
  <c r="E734" i="1"/>
  <c r="D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A738" i="1"/>
  <c r="L731" i="1"/>
  <c r="L725" i="1"/>
  <c r="H720" i="1"/>
  <c r="D715" i="1"/>
  <c r="L709" i="1"/>
  <c r="H704" i="1"/>
  <c r="D699" i="1"/>
  <c r="L693" i="1"/>
  <c r="A677" i="1"/>
  <c r="L655" i="1"/>
  <c r="J641" i="1"/>
  <c r="F628" i="1"/>
  <c r="B619" i="1"/>
  <c r="G610" i="1"/>
  <c r="L601" i="1"/>
  <c r="I593" i="1"/>
  <c r="G586" i="1"/>
  <c r="E579" i="1"/>
  <c r="E572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685" i="1"/>
  <c r="D663" i="1"/>
  <c r="A647" i="1"/>
  <c r="H632" i="1"/>
  <c r="A622" i="1"/>
  <c r="I613" i="1"/>
  <c r="B605" i="1"/>
  <c r="G596" i="1"/>
  <c r="B589" i="1"/>
  <c r="L581" i="1"/>
  <c r="J574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A671" i="1"/>
  <c r="L651" i="1"/>
  <c r="J637" i="1"/>
  <c r="E625" i="1"/>
  <c r="H616" i="1"/>
  <c r="A608" i="1"/>
  <c r="I599" i="1"/>
  <c r="I591" i="1"/>
  <c r="G584" i="1"/>
  <c r="E577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D681" i="1"/>
  <c r="L659" i="1"/>
  <c r="H644" i="1"/>
  <c r="H630" i="1"/>
  <c r="I620" i="1"/>
  <c r="E612" i="1"/>
  <c r="J603" i="1"/>
  <c r="C595" i="1"/>
  <c r="L587" i="1"/>
  <c r="J580" i="1"/>
  <c r="J573" i="1"/>
  <c r="I567" i="1"/>
  <c r="E562" i="1"/>
  <c r="A557" i="1"/>
  <c r="I551" i="1"/>
  <c r="E546" i="1"/>
  <c r="A541" i="1"/>
  <c r="I535" i="1"/>
  <c r="E530" i="1"/>
  <c r="B727" i="1"/>
  <c r="I721" i="1"/>
  <c r="E716" i="1"/>
  <c r="A711" i="1"/>
  <c r="I705" i="1"/>
  <c r="E700" i="1"/>
  <c r="A695" i="1"/>
  <c r="I689" i="1"/>
  <c r="E684" i="1"/>
  <c r="I737" i="1"/>
  <c r="H731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737" i="1"/>
  <c r="G731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B753" i="1"/>
  <c r="I736" i="1"/>
  <c r="H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G740" i="1"/>
  <c r="H733" i="1"/>
  <c r="G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D737" i="1"/>
  <c r="C731" i="1"/>
  <c r="D725" i="1"/>
  <c r="L719" i="1"/>
  <c r="H714" i="1"/>
  <c r="D709" i="1"/>
  <c r="L703" i="1"/>
  <c r="H698" i="1"/>
  <c r="D693" i="1"/>
  <c r="E674" i="1"/>
  <c r="E654" i="1"/>
  <c r="L639" i="1"/>
  <c r="B627" i="1"/>
  <c r="L617" i="1"/>
  <c r="E609" i="1"/>
  <c r="A601" i="1"/>
  <c r="I592" i="1"/>
  <c r="I585" i="1"/>
  <c r="G578" i="1"/>
  <c r="E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L681" i="1"/>
  <c r="H660" i="1"/>
  <c r="B645" i="1"/>
  <c r="A631" i="1"/>
  <c r="B621" i="1"/>
  <c r="G612" i="1"/>
  <c r="L603" i="1"/>
  <c r="E595" i="1"/>
  <c r="B588" i="1"/>
  <c r="B581" i="1"/>
  <c r="L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E668" i="1"/>
  <c r="E650" i="1"/>
  <c r="L635" i="1"/>
  <c r="A624" i="1"/>
  <c r="I615" i="1"/>
  <c r="B607" i="1"/>
  <c r="G598" i="1"/>
  <c r="I590" i="1"/>
  <c r="I583" i="1"/>
  <c r="G576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H678" i="1"/>
  <c r="D657" i="1"/>
  <c r="A643" i="1"/>
  <c r="D629" i="1"/>
  <c r="J619" i="1"/>
  <c r="C611" i="1"/>
  <c r="H602" i="1"/>
  <c r="B594" i="1"/>
  <c r="B587" i="1"/>
  <c r="L579" i="1"/>
  <c r="J572" i="1"/>
  <c r="A567" i="1"/>
  <c r="I561" i="1"/>
  <c r="E556" i="1"/>
  <c r="A551" i="1"/>
  <c r="I545" i="1"/>
  <c r="E540" i="1"/>
  <c r="A535" i="1"/>
  <c r="I529" i="1"/>
  <c r="I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E670" i="1"/>
  <c r="I651" i="1"/>
  <c r="D637" i="1"/>
  <c r="B625" i="1"/>
  <c r="F616" i="1"/>
  <c r="K607" i="1"/>
  <c r="D599" i="1"/>
  <c r="E591" i="1"/>
  <c r="E584" i="1"/>
  <c r="C577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H672" i="1"/>
  <c r="B653" i="1"/>
  <c r="A639" i="1"/>
  <c r="E626" i="1"/>
  <c r="D617" i="1"/>
  <c r="I608" i="1"/>
  <c r="E600" i="1"/>
  <c r="B592" i="1"/>
  <c r="B585" i="1"/>
  <c r="L577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I669" i="1"/>
  <c r="B651" i="1"/>
  <c r="A637" i="1"/>
  <c r="I624" i="1"/>
  <c r="A616" i="1"/>
  <c r="I607" i="1"/>
  <c r="B599" i="1"/>
  <c r="C591" i="1"/>
  <c r="A584" i="1"/>
  <c r="A577" i="1"/>
  <c r="B570" i="1"/>
  <c r="J564" i="1"/>
  <c r="F559" i="1"/>
  <c r="B554" i="1"/>
  <c r="J548" i="1"/>
  <c r="F543" i="1"/>
  <c r="B538" i="1"/>
  <c r="J532" i="1"/>
  <c r="F527" i="1"/>
  <c r="H686" i="1"/>
  <c r="L663" i="1"/>
  <c r="D647" i="1"/>
  <c r="B633" i="1"/>
  <c r="F622" i="1"/>
  <c r="K613" i="1"/>
  <c r="D605" i="1"/>
  <c r="I596" i="1"/>
  <c r="D589" i="1"/>
  <c r="B582" i="1"/>
  <c r="B575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B490" i="1"/>
  <c r="A458" i="1"/>
  <c r="B448" i="1"/>
  <c r="I439" i="1"/>
  <c r="K432" i="1"/>
  <c r="J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J494" i="1"/>
  <c r="F459" i="1"/>
  <c r="A449" i="1"/>
  <c r="F440" i="1"/>
  <c r="G433" i="1"/>
  <c r="F427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J504" i="1"/>
  <c r="B464" i="1"/>
  <c r="A451" i="1"/>
  <c r="F442" i="1"/>
  <c r="A435" i="1"/>
  <c r="K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F509" i="1"/>
  <c r="J466" i="1"/>
  <c r="B452" i="1"/>
  <c r="F443" i="1"/>
  <c r="J435" i="1"/>
  <c r="G429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A527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I667" i="1"/>
  <c r="J649" i="1"/>
  <c r="I635" i="1"/>
  <c r="K623" i="1"/>
  <c r="D615" i="1"/>
  <c r="I606" i="1"/>
  <c r="E598" i="1"/>
  <c r="G590" i="1"/>
  <c r="E583" i="1"/>
  <c r="E576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L669" i="1"/>
  <c r="D651" i="1"/>
  <c r="B637" i="1"/>
  <c r="A625" i="1"/>
  <c r="E616" i="1"/>
  <c r="J607" i="1"/>
  <c r="C599" i="1"/>
  <c r="D591" i="1"/>
  <c r="B584" i="1"/>
  <c r="B577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A667" i="1"/>
  <c r="D649" i="1"/>
  <c r="B635" i="1"/>
  <c r="I623" i="1"/>
  <c r="B615" i="1"/>
  <c r="G606" i="1"/>
  <c r="L597" i="1"/>
  <c r="E590" i="1"/>
  <c r="C583" i="1"/>
  <c r="A576" i="1"/>
  <c r="F569" i="1"/>
  <c r="B564" i="1"/>
  <c r="J558" i="1"/>
  <c r="F553" i="1"/>
  <c r="B548" i="1"/>
  <c r="J542" i="1"/>
  <c r="F537" i="1"/>
  <c r="B532" i="1"/>
  <c r="J526" i="1"/>
  <c r="H682" i="1"/>
  <c r="D661" i="1"/>
  <c r="I645" i="1"/>
  <c r="D631" i="1"/>
  <c r="D621" i="1"/>
  <c r="I612" i="1"/>
  <c r="E604" i="1"/>
  <c r="J595" i="1"/>
  <c r="F588" i="1"/>
  <c r="D581" i="1"/>
  <c r="B574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J484" i="1"/>
  <c r="I456" i="1"/>
  <c r="A447" i="1"/>
  <c r="K438" i="1"/>
  <c r="B432" i="1"/>
  <c r="A426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F489" i="1"/>
  <c r="J457" i="1"/>
  <c r="A448" i="1"/>
  <c r="H439" i="1"/>
  <c r="J432" i="1"/>
  <c r="I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F499" i="1"/>
  <c r="F461" i="1"/>
  <c r="A450" i="1"/>
  <c r="F441" i="1"/>
  <c r="C434" i="1"/>
  <c r="B428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B504" i="1"/>
  <c r="A464" i="1"/>
  <c r="K450" i="1"/>
  <c r="E442" i="1"/>
  <c r="L434" i="1"/>
  <c r="J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H688" i="1"/>
  <c r="A665" i="1"/>
  <c r="L647" i="1"/>
  <c r="J633" i="1"/>
  <c r="I622" i="1"/>
  <c r="E614" i="1"/>
  <c r="J605" i="1"/>
  <c r="C597" i="1"/>
  <c r="I589" i="1"/>
  <c r="G582" i="1"/>
  <c r="E575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D667" i="1"/>
  <c r="I649" i="1"/>
  <c r="D635" i="1"/>
  <c r="J623" i="1"/>
  <c r="C615" i="1"/>
  <c r="H606" i="1"/>
  <c r="A598" i="1"/>
  <c r="F590" i="1"/>
  <c r="D583" i="1"/>
  <c r="B576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D687" i="1"/>
  <c r="E664" i="1"/>
  <c r="I647" i="1"/>
  <c r="D633" i="1"/>
  <c r="G622" i="1"/>
  <c r="L613" i="1"/>
  <c r="E605" i="1"/>
  <c r="A597" i="1"/>
  <c r="E589" i="1"/>
  <c r="E582" i="1"/>
  <c r="C575" i="1"/>
  <c r="J568" i="1"/>
  <c r="F563" i="1"/>
  <c r="B558" i="1"/>
  <c r="J552" i="1"/>
  <c r="F547" i="1"/>
  <c r="B542" i="1"/>
  <c r="J536" i="1"/>
  <c r="F531" i="1"/>
  <c r="B526" i="1"/>
  <c r="L679" i="1"/>
  <c r="H658" i="1"/>
  <c r="J643" i="1"/>
  <c r="L629" i="1"/>
  <c r="E620" i="1"/>
  <c r="J611" i="1"/>
  <c r="C603" i="1"/>
  <c r="H594" i="1"/>
  <c r="F587" i="1"/>
  <c r="F580" i="1"/>
  <c r="D573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B522" i="1"/>
  <c r="F479" i="1"/>
  <c r="E455" i="1"/>
  <c r="A446" i="1"/>
  <c r="A438" i="1"/>
  <c r="E431" i="1"/>
  <c r="D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B484" i="1"/>
  <c r="F456" i="1"/>
  <c r="K446" i="1"/>
  <c r="J438" i="1"/>
  <c r="A432" i="1"/>
  <c r="L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B494" i="1"/>
  <c r="E459" i="1"/>
  <c r="K448" i="1"/>
  <c r="E440" i="1"/>
  <c r="F433" i="1"/>
  <c r="E427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J498" i="1"/>
  <c r="E461" i="1"/>
  <c r="J449" i="1"/>
  <c r="E441" i="1"/>
  <c r="B434" i="1"/>
  <c r="A428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I683" i="1"/>
  <c r="E662" i="1"/>
  <c r="E646" i="1"/>
  <c r="L631" i="1"/>
  <c r="J621" i="1"/>
  <c r="C613" i="1"/>
  <c r="H604" i="1"/>
  <c r="A596" i="1"/>
  <c r="I588" i="1"/>
  <c r="I581" i="1"/>
  <c r="G574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L687" i="1"/>
  <c r="H664" i="1"/>
  <c r="J647" i="1"/>
  <c r="I633" i="1"/>
  <c r="H622" i="1"/>
  <c r="A614" i="1"/>
  <c r="I605" i="1"/>
  <c r="B597" i="1"/>
  <c r="F589" i="1"/>
  <c r="F582" i="1"/>
  <c r="D575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A683" i="1"/>
  <c r="I661" i="1"/>
  <c r="J645" i="1"/>
  <c r="I631" i="1"/>
  <c r="E621" i="1"/>
  <c r="A613" i="1"/>
  <c r="F604" i="1"/>
  <c r="K595" i="1"/>
  <c r="G588" i="1"/>
  <c r="E581" i="1"/>
  <c r="E574" i="1"/>
  <c r="B568" i="1"/>
  <c r="J562" i="1"/>
  <c r="F557" i="1"/>
  <c r="B552" i="1"/>
  <c r="J546" i="1"/>
  <c r="F541" i="1"/>
  <c r="B536" i="1"/>
  <c r="J530" i="1"/>
  <c r="F525" i="1"/>
  <c r="D677" i="1"/>
  <c r="E656" i="1"/>
  <c r="L641" i="1"/>
  <c r="H628" i="1"/>
  <c r="C619" i="1"/>
  <c r="H610" i="1"/>
  <c r="A602" i="1"/>
  <c r="J593" i="1"/>
  <c r="H586" i="1"/>
  <c r="F579" i="1"/>
  <c r="F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J516" i="1"/>
  <c r="B474" i="1"/>
  <c r="A454" i="1"/>
  <c r="K444" i="1"/>
  <c r="A437" i="1"/>
  <c r="H430" i="1"/>
  <c r="F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F521" i="1"/>
  <c r="J478" i="1"/>
  <c r="B455" i="1"/>
  <c r="J445" i="1"/>
  <c r="J437" i="1"/>
  <c r="D431" i="1"/>
  <c r="B425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J488" i="1"/>
  <c r="G457" i="1"/>
  <c r="J447" i="1"/>
  <c r="G439" i="1"/>
  <c r="I432" i="1"/>
  <c r="H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F493" i="1"/>
  <c r="B459" i="1"/>
  <c r="J448" i="1"/>
  <c r="D440" i="1"/>
  <c r="E433" i="1"/>
  <c r="D427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A681" i="1"/>
  <c r="I659" i="1"/>
  <c r="F644" i="1"/>
  <c r="F630" i="1"/>
  <c r="H620" i="1"/>
  <c r="A612" i="1"/>
  <c r="I603" i="1"/>
  <c r="B595" i="1"/>
  <c r="K587" i="1"/>
  <c r="I580" i="1"/>
  <c r="I573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D683" i="1"/>
  <c r="L661" i="1"/>
  <c r="L645" i="1"/>
  <c r="J631" i="1"/>
  <c r="I621" i="1"/>
  <c r="B613" i="1"/>
  <c r="G604" i="1"/>
  <c r="L595" i="1"/>
  <c r="H588" i="1"/>
  <c r="F581" i="1"/>
  <c r="F574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E680" i="1"/>
  <c r="A659" i="1"/>
  <c r="L643" i="1"/>
  <c r="A630" i="1"/>
  <c r="F620" i="1"/>
  <c r="K611" i="1"/>
  <c r="D603" i="1"/>
  <c r="I594" i="1"/>
  <c r="I587" i="1"/>
  <c r="G580" i="1"/>
  <c r="E573" i="1"/>
  <c r="F567" i="1"/>
  <c r="B562" i="1"/>
  <c r="J556" i="1"/>
  <c r="F551" i="1"/>
  <c r="B546" i="1"/>
  <c r="J540" i="1"/>
  <c r="F535" i="1"/>
  <c r="B530" i="1"/>
  <c r="J524" i="1"/>
  <c r="H674" i="1"/>
  <c r="F654" i="1"/>
  <c r="E640" i="1"/>
  <c r="D627" i="1"/>
  <c r="A618" i="1"/>
  <c r="I609" i="1"/>
  <c r="B601" i="1"/>
  <c r="J592" i="1"/>
  <c r="J585" i="1"/>
  <c r="H578" i="1"/>
  <c r="F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F511" i="1"/>
  <c r="J468" i="1"/>
  <c r="I452" i="1"/>
  <c r="J443" i="1"/>
  <c r="C436" i="1"/>
  <c r="J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B516" i="1"/>
  <c r="F473" i="1"/>
  <c r="J453" i="1"/>
  <c r="J444" i="1"/>
  <c r="L436" i="1"/>
  <c r="F430" i="1"/>
  <c r="E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F483" i="1"/>
  <c r="C456" i="1"/>
  <c r="J446" i="1"/>
  <c r="I438" i="1"/>
  <c r="L431" i="1"/>
  <c r="J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B488" i="1"/>
  <c r="F457" i="1"/>
  <c r="I447" i="1"/>
  <c r="F439" i="1"/>
  <c r="H432" i="1"/>
  <c r="F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E678" i="1"/>
  <c r="A657" i="1"/>
  <c r="H642" i="1"/>
  <c r="B629" i="1"/>
  <c r="I619" i="1"/>
  <c r="B611" i="1"/>
  <c r="G602" i="1"/>
  <c r="A594" i="1"/>
  <c r="A587" i="1"/>
  <c r="K579" i="1"/>
  <c r="I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H680" i="1"/>
  <c r="D659" i="1"/>
  <c r="E644" i="1"/>
  <c r="E630" i="1"/>
  <c r="G620" i="1"/>
  <c r="L611" i="1"/>
  <c r="E603" i="1"/>
  <c r="A595" i="1"/>
  <c r="J587" i="1"/>
  <c r="H580" i="1"/>
  <c r="F573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I677" i="1"/>
  <c r="F656" i="1"/>
  <c r="E642" i="1"/>
  <c r="I628" i="1"/>
  <c r="D619" i="1"/>
  <c r="I610" i="1"/>
  <c r="E602" i="1"/>
  <c r="K593" i="1"/>
  <c r="I586" i="1"/>
  <c r="I579" i="1"/>
  <c r="G572" i="1"/>
  <c r="J566" i="1"/>
  <c r="F561" i="1"/>
  <c r="B556" i="1"/>
  <c r="J550" i="1"/>
  <c r="F545" i="1"/>
  <c r="B540" i="1"/>
  <c r="J534" i="1"/>
  <c r="F529" i="1"/>
  <c r="B524" i="1"/>
  <c r="L671" i="1"/>
  <c r="H652" i="1"/>
  <c r="F638" i="1"/>
  <c r="L625" i="1"/>
  <c r="B617" i="1"/>
  <c r="G608" i="1"/>
  <c r="L599" i="1"/>
  <c r="L591" i="1"/>
  <c r="J584" i="1"/>
  <c r="J577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B506" i="1"/>
  <c r="J464" i="1"/>
  <c r="E451" i="1"/>
  <c r="J442" i="1"/>
  <c r="E435" i="1"/>
  <c r="A429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J510" i="1"/>
  <c r="B468" i="1"/>
  <c r="F452" i="1"/>
  <c r="I443" i="1"/>
  <c r="B436" i="1"/>
  <c r="I429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J520" i="1"/>
  <c r="B478" i="1"/>
  <c r="K454" i="1"/>
  <c r="I445" i="1"/>
  <c r="I437" i="1"/>
  <c r="B431" i="1"/>
  <c r="A425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J482" i="1"/>
  <c r="B456" i="1"/>
  <c r="I446" i="1"/>
  <c r="F438" i="1"/>
  <c r="J431" i="1"/>
  <c r="I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I675" i="1"/>
  <c r="B655" i="1"/>
  <c r="A641" i="1"/>
  <c r="J627" i="1"/>
  <c r="G618" i="1"/>
  <c r="L609" i="1"/>
  <c r="E601" i="1"/>
  <c r="C593" i="1"/>
  <c r="A586" i="1"/>
  <c r="A579" i="1"/>
  <c r="K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L677" i="1"/>
  <c r="H656" i="1"/>
  <c r="F642" i="1"/>
  <c r="A629" i="1"/>
  <c r="E619" i="1"/>
  <c r="A611" i="1"/>
  <c r="F602" i="1"/>
  <c r="L593" i="1"/>
  <c r="J586" i="1"/>
  <c r="J579" i="1"/>
  <c r="H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A675" i="1"/>
  <c r="H654" i="1"/>
  <c r="F640" i="1"/>
  <c r="E627" i="1"/>
  <c r="E618" i="1"/>
  <c r="J609" i="1"/>
  <c r="C601" i="1"/>
  <c r="A593" i="1"/>
  <c r="K585" i="1"/>
  <c r="I578" i="1"/>
  <c r="I571" i="1"/>
  <c r="B566" i="1"/>
  <c r="J560" i="1"/>
  <c r="F555" i="1"/>
  <c r="B550" i="1"/>
  <c r="J544" i="1"/>
  <c r="F539" i="1"/>
  <c r="B534" i="1"/>
  <c r="J528" i="1"/>
  <c r="F523" i="1"/>
  <c r="D669" i="1"/>
  <c r="A651" i="1"/>
  <c r="H636" i="1"/>
  <c r="H624" i="1"/>
  <c r="L615" i="1"/>
  <c r="E607" i="1"/>
  <c r="A599" i="1"/>
  <c r="B591" i="1"/>
  <c r="L583" i="1"/>
  <c r="J576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J500" i="1"/>
  <c r="B462" i="1"/>
  <c r="C450" i="1"/>
  <c r="I441" i="1"/>
  <c r="E434" i="1"/>
  <c r="D428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F505" i="1"/>
  <c r="I464" i="1"/>
  <c r="B451" i="1"/>
  <c r="I442" i="1"/>
  <c r="B435" i="1"/>
  <c r="L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F515" i="1"/>
  <c r="J472" i="1"/>
  <c r="G453" i="1"/>
  <c r="I444" i="1"/>
  <c r="K436" i="1"/>
  <c r="E430" i="1"/>
  <c r="D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B520" i="1"/>
  <c r="F477" i="1"/>
  <c r="J454" i="1"/>
  <c r="G445" i="1"/>
  <c r="H437" i="1"/>
  <c r="A431" i="1"/>
  <c r="L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A673" i="1"/>
  <c r="D653" i="1"/>
  <c r="B639" i="1"/>
  <c r="F626" i="1"/>
  <c r="E617" i="1"/>
  <c r="A609" i="1"/>
  <c r="F600" i="1"/>
  <c r="E592" i="1"/>
  <c r="C585" i="1"/>
  <c r="A578" i="1"/>
  <c r="A571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D675" i="1"/>
  <c r="A655" i="1"/>
  <c r="H640" i="1"/>
  <c r="I627" i="1"/>
  <c r="F618" i="1"/>
  <c r="K609" i="1"/>
  <c r="D601" i="1"/>
  <c r="B593" i="1"/>
  <c r="L585" i="1"/>
  <c r="J578" i="1"/>
  <c r="J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E672" i="1"/>
  <c r="A653" i="1"/>
  <c r="H638" i="1"/>
  <c r="A626" i="1"/>
  <c r="C617" i="1"/>
  <c r="H608" i="1"/>
  <c r="A600" i="1"/>
  <c r="A592" i="1"/>
  <c r="A585" i="1"/>
  <c r="K577" i="1"/>
  <c r="J570" i="1"/>
  <c r="F565" i="1"/>
  <c r="B560" i="1"/>
  <c r="J554" i="1"/>
  <c r="F549" i="1"/>
  <c r="B544" i="1"/>
  <c r="J538" i="1"/>
  <c r="F533" i="1"/>
  <c r="B528" i="1"/>
  <c r="J522" i="1"/>
  <c r="H666" i="1"/>
  <c r="B649" i="1"/>
  <c r="A635" i="1"/>
  <c r="E623" i="1"/>
  <c r="A615" i="1"/>
  <c r="F606" i="1"/>
  <c r="K597" i="1"/>
  <c r="B590" i="1"/>
  <c r="B583" i="1"/>
  <c r="L575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F495" i="1"/>
  <c r="J459" i="1"/>
  <c r="B449" i="1"/>
  <c r="I440" i="1"/>
  <c r="H433" i="1"/>
  <c r="G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B500" i="1"/>
  <c r="A462" i="1"/>
  <c r="B450" i="1"/>
  <c r="G441" i="1"/>
  <c r="D434" i="1"/>
  <c r="C428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B510" i="1"/>
  <c r="F467" i="1"/>
  <c r="C452" i="1"/>
  <c r="G443" i="1"/>
  <c r="A436" i="1"/>
  <c r="H429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J514" i="1"/>
  <c r="B472" i="1"/>
  <c r="F453" i="1"/>
  <c r="F444" i="1"/>
  <c r="J436" i="1"/>
  <c r="D430" i="1"/>
  <c r="C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8" i="1"/>
  <c r="F303" i="1"/>
  <c r="B298" i="1"/>
  <c r="J292" i="1"/>
  <c r="F287" i="1"/>
  <c r="B482" i="1"/>
  <c r="A456" i="1"/>
  <c r="F446" i="1"/>
  <c r="E438" i="1"/>
  <c r="I431" i="1"/>
  <c r="H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J486" i="1"/>
  <c r="B457" i="1"/>
  <c r="F447" i="1"/>
  <c r="B439" i="1"/>
  <c r="E432" i="1"/>
  <c r="D426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F491" i="1"/>
  <c r="F458" i="1"/>
  <c r="E448" i="1"/>
  <c r="A440" i="1"/>
  <c r="A433" i="1"/>
  <c r="L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F485" i="1"/>
  <c r="J456" i="1"/>
  <c r="B447" i="1"/>
  <c r="L438" i="1"/>
  <c r="C432" i="1"/>
  <c r="B426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G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F286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B308" i="1"/>
  <c r="J302" i="1"/>
  <c r="F297" i="1"/>
  <c r="B292" i="1"/>
  <c r="F519" i="1"/>
  <c r="J476" i="1"/>
  <c r="I454" i="1"/>
  <c r="F445" i="1"/>
  <c r="G437" i="1"/>
  <c r="L430" i="1"/>
  <c r="K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F481" i="1"/>
  <c r="J455" i="1"/>
  <c r="E446" i="1"/>
  <c r="D438" i="1"/>
  <c r="H431" i="1"/>
  <c r="G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B486" i="1"/>
  <c r="K456" i="1"/>
  <c r="E447" i="1"/>
  <c r="A439" i="1"/>
  <c r="D432" i="1"/>
  <c r="C426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B480" i="1"/>
  <c r="F455" i="1"/>
  <c r="B446" i="1"/>
  <c r="B438" i="1"/>
  <c r="F431" i="1"/>
  <c r="E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J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F307" i="1"/>
  <c r="B302" i="1"/>
  <c r="J296" i="1"/>
  <c r="F291" i="1"/>
  <c r="B514" i="1"/>
  <c r="F471" i="1"/>
  <c r="E453" i="1"/>
  <c r="E444" i="1"/>
  <c r="I436" i="1"/>
  <c r="C430" i="1"/>
  <c r="B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J518" i="1"/>
  <c r="B476" i="1"/>
  <c r="F454" i="1"/>
  <c r="E445" i="1"/>
  <c r="F437" i="1"/>
  <c r="K430" i="1"/>
  <c r="J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J480" i="1"/>
  <c r="G455" i="1"/>
  <c r="C446" i="1"/>
  <c r="C438" i="1"/>
  <c r="G431" i="1"/>
  <c r="F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F517" i="1"/>
  <c r="J474" i="1"/>
  <c r="B454" i="1"/>
  <c r="A445" i="1"/>
  <c r="B437" i="1"/>
  <c r="I430" i="1"/>
  <c r="H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J306" i="1"/>
  <c r="F301" i="1"/>
  <c r="B296" i="1"/>
  <c r="J290" i="1"/>
  <c r="J508" i="1"/>
  <c r="B466" i="1"/>
  <c r="A452" i="1"/>
  <c r="E443" i="1"/>
  <c r="I435" i="1"/>
  <c r="F429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F513" i="1"/>
  <c r="J470" i="1"/>
  <c r="B453" i="1"/>
  <c r="C444" i="1"/>
  <c r="F436" i="1"/>
  <c r="B430" i="1"/>
  <c r="A424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B518" i="1"/>
  <c r="F475" i="1"/>
  <c r="C454" i="1"/>
  <c r="B445" i="1"/>
  <c r="E437" i="1"/>
  <c r="J430" i="1"/>
  <c r="I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B512" i="1"/>
  <c r="F469" i="1"/>
  <c r="J452" i="1"/>
  <c r="A444" i="1"/>
  <c r="D436" i="1"/>
  <c r="L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B306" i="1"/>
  <c r="J300" i="1"/>
  <c r="F295" i="1"/>
  <c r="B290" i="1"/>
  <c r="F503" i="1"/>
  <c r="F463" i="1"/>
  <c r="J450" i="1"/>
  <c r="C442" i="1"/>
  <c r="K434" i="1"/>
  <c r="I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B508" i="1"/>
  <c r="A466" i="1"/>
  <c r="J451" i="1"/>
  <c r="B443" i="1"/>
  <c r="H435" i="1"/>
  <c r="E429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J512" i="1"/>
  <c r="B470" i="1"/>
  <c r="K452" i="1"/>
  <c r="B444" i="1"/>
  <c r="E436" i="1"/>
  <c r="A430" i="1"/>
  <c r="L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J506" i="1"/>
  <c r="E465" i="1"/>
  <c r="F451" i="1"/>
  <c r="K442" i="1"/>
  <c r="F435" i="1"/>
  <c r="B429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F305" i="1"/>
  <c r="B300" i="1"/>
  <c r="J294" i="1"/>
  <c r="F289" i="1"/>
  <c r="B498" i="1"/>
  <c r="J460" i="1"/>
  <c r="I449" i="1"/>
  <c r="B441" i="1"/>
  <c r="A434" i="1"/>
  <c r="L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J502" i="1"/>
  <c r="E463" i="1"/>
  <c r="I450" i="1"/>
  <c r="B442" i="1"/>
  <c r="J434" i="1"/>
  <c r="H428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F507" i="1"/>
  <c r="F465" i="1"/>
  <c r="G451" i="1"/>
  <c r="A443" i="1"/>
  <c r="G435" i="1"/>
  <c r="D429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F501" i="1"/>
  <c r="I462" i="1"/>
  <c r="E450" i="1"/>
  <c r="J441" i="1"/>
  <c r="F434" i="1"/>
  <c r="E428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J304" i="1"/>
  <c r="F299" i="1"/>
  <c r="B294" i="1"/>
  <c r="J288" i="1"/>
  <c r="J492" i="1"/>
  <c r="J458" i="1"/>
  <c r="I448" i="1"/>
  <c r="C440" i="1"/>
  <c r="D433" i="1"/>
  <c r="B427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F497" i="1"/>
  <c r="I460" i="1"/>
  <c r="G449" i="1"/>
  <c r="A441" i="1"/>
  <c r="L433" i="1"/>
  <c r="J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B502" i="1"/>
  <c r="J462" i="1"/>
  <c r="F450" i="1"/>
  <c r="A442" i="1"/>
  <c r="I434" i="1"/>
  <c r="F428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B496" i="1"/>
  <c r="A460" i="1"/>
  <c r="E449" i="1"/>
  <c r="J440" i="1"/>
  <c r="I433" i="1"/>
  <c r="H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B304" i="1"/>
  <c r="J298" i="1"/>
  <c r="F293" i="1"/>
  <c r="B288" i="1"/>
  <c r="F487" i="1"/>
  <c r="E457" i="1"/>
  <c r="G447" i="1"/>
  <c r="E439" i="1"/>
  <c r="F432" i="1"/>
  <c r="E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B492" i="1"/>
  <c r="I458" i="1"/>
  <c r="F448" i="1"/>
  <c r="B440" i="1"/>
  <c r="B433" i="1"/>
  <c r="A427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J496" i="1"/>
  <c r="B460" i="1"/>
  <c r="F449" i="1"/>
  <c r="K440" i="1"/>
  <c r="J433" i="1"/>
  <c r="I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J490" i="1"/>
  <c r="B458" i="1"/>
  <c r="C448" i="1"/>
  <c r="J439" i="1"/>
  <c r="L432" i="1"/>
  <c r="K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B286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K112" i="1"/>
  <c r="G107" i="1"/>
  <c r="C102" i="1"/>
  <c r="K96" i="1"/>
  <c r="G91" i="1"/>
  <c r="K80" i="1"/>
  <c r="G75" i="1"/>
  <c r="K64" i="1"/>
  <c r="G59" i="1"/>
  <c r="K48" i="1"/>
  <c r="C38" i="1"/>
  <c r="C22" i="1"/>
  <c r="G11" i="1"/>
  <c r="D74" i="1"/>
  <c r="L52" i="1"/>
  <c r="L20" i="1"/>
  <c r="L4" i="1"/>
  <c r="C80" i="1"/>
  <c r="C48" i="1"/>
  <c r="K135" i="1"/>
  <c r="G130" i="1"/>
  <c r="C125" i="1"/>
  <c r="K11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H111" i="1"/>
  <c r="D106" i="1"/>
  <c r="L100" i="1"/>
  <c r="H95" i="1"/>
  <c r="D90" i="1"/>
  <c r="L84" i="1"/>
  <c r="L68" i="1"/>
  <c r="H63" i="1"/>
  <c r="D58" i="1"/>
  <c r="H47" i="1"/>
  <c r="D26" i="1"/>
  <c r="D10" i="1"/>
  <c r="G85" i="1"/>
  <c r="G53" i="1"/>
  <c r="K10" i="1"/>
  <c r="C135" i="1"/>
  <c r="K129" i="1"/>
  <c r="G124" i="1"/>
  <c r="C11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D24" i="1"/>
  <c r="G99" i="1"/>
  <c r="G83" i="1"/>
  <c r="C78" i="1"/>
  <c r="C62" i="1"/>
  <c r="K40" i="1"/>
  <c r="K24" i="1"/>
  <c r="K8" i="1"/>
  <c r="K106" i="1"/>
  <c r="C64" i="1"/>
  <c r="C16" i="1"/>
  <c r="G134" i="1"/>
  <c r="C129" i="1"/>
  <c r="K123" i="1"/>
  <c r="G11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B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E4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A4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H61" i="1"/>
  <c r="H29" i="1"/>
  <c r="H13" i="1"/>
  <c r="G115" i="1"/>
  <c r="C110" i="1"/>
  <c r="C94" i="1"/>
  <c r="G67" i="1"/>
  <c r="K56" i="1"/>
  <c r="C46" i="1"/>
  <c r="C30" i="1"/>
  <c r="C14" i="1"/>
  <c r="K90" i="1"/>
  <c r="K42" i="1"/>
  <c r="G5" i="1"/>
  <c r="K133" i="1"/>
  <c r="G128" i="1"/>
  <c r="C123" i="1"/>
  <c r="K11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L114" i="1"/>
  <c r="H109" i="1"/>
  <c r="D104" i="1"/>
  <c r="L98" i="1"/>
  <c r="H93" i="1"/>
  <c r="D88" i="1"/>
  <c r="L82" i="1"/>
  <c r="H77" i="1"/>
  <c r="D72" i="1"/>
  <c r="L66" i="1"/>
  <c r="D56" i="1"/>
  <c r="L50" i="1"/>
  <c r="H45" i="1"/>
  <c r="D40" i="1"/>
  <c r="L34" i="1"/>
  <c r="L18" i="1"/>
  <c r="D8" i="1"/>
  <c r="K104" i="1"/>
  <c r="K88" i="1"/>
  <c r="K72" i="1"/>
  <c r="G51" i="1"/>
  <c r="G35" i="1"/>
  <c r="G19" i="1"/>
  <c r="C112" i="1"/>
  <c r="G37" i="1"/>
  <c r="C133" i="1"/>
  <c r="K127" i="1"/>
  <c r="G122" i="1"/>
  <c r="C11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K76" i="1"/>
  <c r="K60" i="1"/>
  <c r="C50" i="1"/>
  <c r="G39" i="1"/>
  <c r="K28" i="1"/>
  <c r="C18" i="1"/>
  <c r="G7" i="1"/>
  <c r="H31" i="1"/>
  <c r="K74" i="1"/>
  <c r="C32" i="1"/>
  <c r="G132" i="1"/>
  <c r="C127" i="1"/>
  <c r="K121" i="1"/>
  <c r="G11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114" i="1"/>
  <c r="K108" i="1"/>
  <c r="G103" i="1"/>
  <c r="C98" i="1"/>
  <c r="K92" i="1"/>
  <c r="G87" i="1"/>
  <c r="C82" i="1"/>
  <c r="G71" i="1"/>
  <c r="C66" i="1"/>
  <c r="G55" i="1"/>
  <c r="K44" i="1"/>
  <c r="C34" i="1"/>
  <c r="G23" i="1"/>
  <c r="K12" i="1"/>
  <c r="L36" i="1"/>
  <c r="C96" i="1"/>
  <c r="K58" i="1"/>
  <c r="G21" i="1"/>
  <c r="K131" i="1"/>
  <c r="G126" i="1"/>
  <c r="C121" i="1"/>
  <c r="K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C86" i="1"/>
  <c r="C70" i="1"/>
  <c r="C54" i="1"/>
  <c r="G43" i="1"/>
  <c r="K32" i="1"/>
  <c r="G27" i="1"/>
  <c r="K16" i="1"/>
  <c r="C6" i="1"/>
  <c r="H79" i="1"/>
  <c r="D42" i="1"/>
  <c r="H15" i="1"/>
  <c r="G101" i="1"/>
  <c r="G69" i="1"/>
  <c r="K26" i="1"/>
  <c r="J2" i="9" l="1"/>
  <c r="J2" i="4"/>
  <c r="J2" i="11"/>
  <c r="J2" i="5"/>
  <c r="J2" i="10"/>
  <c r="J2" i="6"/>
  <c r="J2" i="7"/>
  <c r="J2" i="8"/>
</calcChain>
</file>

<file path=xl/sharedStrings.xml><?xml version="1.0" encoding="utf-8"?>
<sst xmlns="http://schemas.openxmlformats.org/spreadsheetml/2006/main" count="397" uniqueCount="196">
  <si>
    <t>Modules Info</t>
  </si>
  <si>
    <t>Master Data Info</t>
  </si>
  <si>
    <t>Settings</t>
  </si>
  <si>
    <t>Modules</t>
  </si>
  <si>
    <t>Module Step Setting File</t>
  </si>
  <si>
    <t>15TZcyNzdODZnAEMI7Zyq6CaL1BTvFkhtTgtMBwN7UQA</t>
  </si>
  <si>
    <t>Module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</si>
  <si>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</si>
  <si>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</si>
  <si>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</si>
  <si>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</si>
  <si>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</si>
  <si>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</si>
  <si>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</si>
  <si>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</si>
  <si>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</si>
  <si>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</si>
  <si>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</si>
  <si>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</si>
  <si>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</si>
  <si>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</si>
  <si>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</si>
  <si>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</si>
  <si>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</si>
  <si>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</si>
  <si>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</si>
  <si>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</si>
  <si>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</si>
  <si>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</si>
  <si>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MSFT</t>
  </si>
  <si>
    <t>Buy</t>
  </si>
  <si>
    <t>Allocation1</t>
  </si>
  <si>
    <t>MS</t>
  </si>
  <si>
    <t>Sell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</si>
  <si>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</si>
  <si>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</si>
  <si>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</si>
  <si>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</si>
  <si>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</si>
  <si>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</si>
  <si>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</si>
  <si>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</si>
  <si>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</si>
  <si>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</si>
  <si>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</si>
  <si>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</si>
  <si>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</si>
  <si>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</si>
  <si>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</si>
  <si>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</si>
  <si>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</si>
  <si>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</si>
  <si>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</si>
  <si>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</si>
  <si>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</si>
  <si>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</si>
  <si>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</si>
  <si>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</si>
  <si>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</si>
  <si>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</si>
  <si>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</si>
  <si>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</si>
  <si>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</si>
  <si>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</si>
  <si>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</si>
  <si>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</si>
  <si>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</si>
  <si>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</si>
  <si>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</si>
  <si>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</si>
  <si>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</si>
  <si>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</si>
  <si>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</si>
  <si>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</si>
  <si>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</si>
  <si>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</si>
  <si>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</si>
  <si>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New</t>
  </si>
  <si>
    <t>SelectTradeUsingMTT</t>
  </si>
  <si>
    <t>GetPriceUsingMTT</t>
  </si>
  <si>
    <t>DoneAwayUsingMTT</t>
  </si>
  <si>
    <t>SendOrderUsingMTT</t>
  </si>
  <si>
    <t>BulkChangeTradeDoneAway</t>
  </si>
  <si>
    <t xml:space="preserve">MSFT 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</si>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</sst>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3" xfId="0" applyFont="1" applyFill="1" applyBorder="1" applyAlignment="1"/>
    <xf numFmtId="0" fontId="4" fillId="3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5" fillId="3" borderId="3" xfId="0" applyFont="1" applyFill="1" applyBorder="1" applyAlignment="1"/>
    <xf numFmtId="0" fontId="7" fillId="3" borderId="5" xfId="0" applyFont="1" applyFill="1" applyBorder="1" applyAlignment="1"/>
    <xf numFmtId="0" fontId="4" fillId="3" borderId="5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3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6" fillId="6" borderId="0" xfId="0" applyFont="1" applyFill="1" applyAlignment="1"/>
    <xf numFmtId="0" fontId="6" fillId="6" borderId="3" xfId="0" applyFont="1" applyFill="1" applyBorder="1" applyAlignment="1"/>
    <xf numFmtId="0" fontId="10" fillId="6" borderId="0" xfId="0" applyFont="1" applyFill="1"/>
    <xf numFmtId="0" fontId="3" fillId="0" borderId="0" xfId="0" applyFont="1" applyAlignment="1"/>
    <xf numFmtId="14" fontId="5" fillId="0" borderId="0" xfId="0" applyNumberFormat="1" applyFont="1" applyAlignment="1"/>
    <xf numFmtId="14" fontId="3" fillId="0" borderId="0" xfId="0" applyNumberFormat="1" applyFont="1"/>
    <xf numFmtId="0" fontId="9" fillId="3" borderId="3" xfId="0" applyFont="1" applyFill="1" applyBorder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4" fontId="1" fillId="2" borderId="0" xfId="0" applyNumberFormat="1" applyFont="1" applyFill="1" applyAlignment="1">
      <alignment horizontal="center"/>
    </xf>
    <xf numFmtId="14" fontId="5" fillId="0" borderId="0" xfId="0" applyNumberFormat="1" applyFont="1" applyAlignment="1"/>
    <xf numFmtId="14" fontId="6" fillId="3" borderId="0" xfId="0" applyNumberFormat="1" applyFont="1" applyFill="1" applyAlignment="1"/>
    <xf numFmtId="14" fontId="11" fillId="5" borderId="0" xfId="0" applyNumberFormat="1" applyFont="1" applyFill="1" applyAlignment="1"/>
    <xf numFmtId="14" fontId="6" fillId="6" borderId="3" xfId="0" applyNumberFormat="1" applyFont="1" applyFill="1" applyBorder="1" applyAlignment="1"/>
    <xf numFmtId="0" fontId="14" fillId="4" borderId="0" xfId="0" applyFont="1" applyFill="1" applyAlignment="1">
      <alignment horizontal="right"/>
    </xf>
    <xf numFmtId="14" fontId="3" fillId="0" borderId="0" xfId="0" applyNumberFormat="1" applyFont="1"/>
    <xf numFmtId="0" fontId="14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4.42578125" defaultRowHeight="15" customHeight="1"/>
  <cols>
    <col min="1" max="1" width="18.7109375" customWidth="1"/>
    <col min="2" max="2" width="26.85546875" customWidth="1"/>
    <col min="3" max="3" width="50.42578125" customWidth="1"/>
    <col min="4" max="13" width="14.42578125" customWidth="1"/>
    <col min="14" max="26" width="17.28515625" customWidth="1"/>
  </cols>
  <sheetData>
    <row r="1" spans="1:12" ht="15.75" customHeight="1">
      <c r="A1" s="39" t="s">
        <v>0</v>
      </c>
      <c r="B1" s="40"/>
      <c r="C1" s="40"/>
      <c r="D1" s="40"/>
      <c r="E1" s="40"/>
      <c r="F1" s="4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3</v>
      </c>
      <c r="B3" s="4"/>
      <c r="C3" s="4"/>
      <c r="D3" s="4"/>
      <c r="E3" s="4"/>
      <c r="F3" s="4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4.42578125" defaultRowHeight="15" customHeight="1"/>
  <cols>
    <col min="1" max="1" width="24.28515625" customWidth="1"/>
    <col min="2" max="2" width="44.42578125" customWidth="1"/>
    <col min="3" max="12" width="14.42578125" customWidth="1"/>
    <col min="13" max="26" width="17.28515625" customWidth="1"/>
  </cols>
  <sheetData>
    <row r="1" spans="1:3" ht="15.75" customHeight="1">
      <c r="A1" s="41" t="s">
        <v>2</v>
      </c>
      <c r="B1" s="40"/>
      <c r="C1" s="40"/>
    </row>
    <row r="2" spans="1:3" ht="15.75" customHeight="1">
      <c r="A2" s="2"/>
      <c r="B2" s="2"/>
      <c r="C2" s="2"/>
    </row>
    <row r="3" spans="1:3" ht="15.75" customHeight="1">
      <c r="A3" s="3" t="s">
        <v>4</v>
      </c>
      <c r="B3" s="6" t="s">
        <v>5</v>
      </c>
      <c r="C3" s="2"/>
    </row>
    <row r="4" spans="1:3" ht="15.75" customHeight="1">
      <c r="A4" s="3" t="s">
        <v>7</v>
      </c>
      <c r="B4" s="6" t="s">
        <v>8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26" width="17.28515625" customWidth="1"/>
  </cols>
  <sheetData>
    <row r="1" spans="1:12" ht="18.75">
      <c r="A1" s="39" t="s">
        <v>1</v>
      </c>
      <c r="B1" s="40"/>
      <c r="C1" s="40"/>
      <c r="D1" s="40"/>
      <c r="E1" s="40"/>
      <c r="F1" s="40"/>
    </row>
    <row r="2" spans="1:12" ht="12.75">
      <c r="A2" s="5"/>
      <c r="B2" s="5"/>
      <c r="C2" s="5"/>
      <c r="D2" s="5"/>
      <c r="E2" s="5"/>
      <c r="F2" s="5"/>
    </row>
    <row r="3" spans="1:12" ht="12.75">
      <c r="A3" s="7" t="s">
        <v>6</v>
      </c>
      <c r="B3" s="9" t="s">
        <v>9</v>
      </c>
      <c r="C3" s="9" t="s">
        <v>10</v>
      </c>
      <c r="D3" s="10"/>
      <c r="E3" s="10"/>
      <c r="F3" s="10"/>
    </row>
    <row r="4" spans="1:12" ht="12.75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2.75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2.75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2.75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2.75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2.75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2.75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2.75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2.75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2.75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2.75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2.75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2.75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2.75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2.75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2.75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2.75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5.75" customHeight="1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5.75" customHeight="1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5.75" customHeight="1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5.75" customHeight="1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5.75" customHeight="1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5.75" customHeight="1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5.75" customHeight="1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5.75" customHeight="1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5.75" customHeight="1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5.75" customHeight="1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5.75" customHeight="1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5.75" customHeight="1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5.75" customHeight="1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5.75" customHeight="1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5.75" customHeight="1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5.75" customHeight="1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5.75" customHeight="1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5.75" customHeight="1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5.75" customHeight="1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5.75" customHeight="1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5.75" customHeight="1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5.75" customHeight="1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5.75" customHeight="1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5.75" customHeight="1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5.75" customHeight="1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5.75" customHeight="1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5.75" customHeight="1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5.75" customHeight="1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5.75" customHeight="1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5.75" customHeight="1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5.75" customHeight="1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5.75" customHeight="1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5.75" customHeight="1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5.75" customHeight="1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5.75" customHeight="1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5.75" customHeight="1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5.75" customHeight="1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5.75" customHeight="1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5.75" customHeight="1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5.75" customHeight="1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5.75" customHeight="1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5.75" customHeight="1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5.75" customHeight="1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5.75" customHeight="1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5.75" customHeight="1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5.75" customHeight="1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5.75" customHeight="1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5.75" customHeight="1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5.75" customHeight="1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5.75" customHeight="1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5.75" customHeight="1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5.75" customHeight="1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5.75" customHeight="1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5.75" customHeight="1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5.75" customHeight="1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5.75" customHeight="1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5.75" customHeight="1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5.75" customHeight="1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5.75" customHeight="1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5.75" customHeight="1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5.75" customHeight="1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5.75" customHeight="1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5.75" customHeight="1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5.75" customHeight="1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5.75" customHeight="1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5.75" customHeight="1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5.75" customHeight="1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5.75" customHeight="1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5.75" customHeight="1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5.75" customHeight="1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5.75" customHeight="1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5.75" customHeight="1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5.75" customHeight="1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5.75" customHeight="1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5.75" customHeight="1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5.75" customHeight="1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5.75" customHeight="1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5.75" customHeight="1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997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49" width="14.42578125" customWidth="1"/>
  </cols>
  <sheetData>
    <row r="1" spans="1:49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49" ht="15.75" customHeight="1">
      <c r="A3" s="15"/>
      <c r="B3" s="3" t="s">
        <v>6</v>
      </c>
      <c r="C3" s="16" t="s">
        <v>12</v>
      </c>
      <c r="D3" s="3" t="s">
        <v>9</v>
      </c>
      <c r="E3" s="16" t="s">
        <v>13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16</v>
      </c>
      <c r="D4" s="18" t="s">
        <v>17</v>
      </c>
      <c r="E4" s="18" t="s">
        <v>18</v>
      </c>
      <c r="F4" s="18" t="s">
        <v>19</v>
      </c>
      <c r="G4" s="18" t="s">
        <v>20</v>
      </c>
      <c r="H4" s="18" t="s">
        <v>21</v>
      </c>
      <c r="I4" s="18" t="s">
        <v>13</v>
      </c>
      <c r="J4" s="18" t="s">
        <v>22</v>
      </c>
      <c r="K4" s="18" t="s">
        <v>22</v>
      </c>
      <c r="L4" s="18" t="s">
        <v>23</v>
      </c>
      <c r="M4" s="18" t="s">
        <v>24</v>
      </c>
      <c r="N4" s="18" t="s">
        <v>25</v>
      </c>
      <c r="O4" s="18" t="s">
        <v>26</v>
      </c>
      <c r="P4" s="19" t="s">
        <v>27</v>
      </c>
      <c r="Q4" s="19" t="s">
        <v>28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spans="1:49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1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2" t="str">
        <f ca="1">IFERROR(__xludf.DUMMYFUNCTION("""COMPUTED_VALUE"""),"SoftBasis")</f>
        <v>SoftBasis</v>
      </c>
      <c r="U5" s="22" t="str">
        <f ca="1">IFERROR(__xludf.DUMMYFUNCTION("""COMPUTED_VALUE"""),"SoftRate")</f>
        <v>SoftRate</v>
      </c>
      <c r="V5" s="22" t="str">
        <f ca="1">IFERROR(__xludf.DUMMYFUNCTION("""COMPUTED_VALUE"""),"TradeAttribute1")</f>
        <v>TradeAttribute1</v>
      </c>
      <c r="W5" s="22" t="str">
        <f ca="1">IFERROR(__xludf.DUMMYFUNCTION("""COMPUTED_VALUE"""),"TradeAttribute2")</f>
        <v>TradeAttribute2</v>
      </c>
      <c r="X5" s="22" t="str">
        <f ca="1">IFERROR(__xludf.DUMMYFUNCTION("""COMPUTED_VALUE"""),"TradeAttribute3")</f>
        <v>TradeAttribute3</v>
      </c>
      <c r="Y5" s="22" t="str">
        <f ca="1">IFERROR(__xludf.DUMMYFUNCTION("""COMPUTED_VALUE"""),"TradeAttribute4")</f>
        <v>TradeAttribute4</v>
      </c>
      <c r="Z5" s="22" t="str">
        <f ca="1">IFERROR(__xludf.DUMMYFUNCTION("""COMPUTED_VALUE"""),"TradeAttribute5")</f>
        <v>TradeAttribute5</v>
      </c>
      <c r="AA5" s="22" t="str">
        <f ca="1">IFERROR(__xludf.DUMMYFUNCTION("""COMPUTED_VALUE"""),"TradeAttribute6")</f>
        <v>TradeAttribute6</v>
      </c>
      <c r="AB5" s="22" t="str">
        <f ca="1">IFERROR(__xludf.DUMMYFUNCTION("""COMPUTED_VALUE"""),"Venue")</f>
        <v>Venue</v>
      </c>
      <c r="AC5" s="22" t="str">
        <f ca="1">IFERROR(__xludf.DUMMYFUNCTION("""COMPUTED_VALUE"""),"ExecutionInstructions")</f>
        <v>ExecutionInstructions</v>
      </c>
      <c r="AD5" s="22" t="str">
        <f ca="1">IFERROR(__xludf.DUMMYFUNCTION("""COMPUTED_VALUE"""),"HandlingInstructions")</f>
        <v>HandlingInstructions</v>
      </c>
      <c r="AE5" s="22" t="str">
        <f ca="1">IFERROR(__xludf.DUMMYFUNCTION("""COMPUTED_VALUE"""),"Trader")</f>
        <v>Trader</v>
      </c>
      <c r="AF5" s="22" t="str">
        <f ca="1">IFERROR(__xludf.DUMMYFUNCTION("""COMPUTED_VALUE"""),"SettlementCurrency")</f>
        <v>SettlementCurrency</v>
      </c>
      <c r="AG5" s="22" t="str">
        <f ca="1">IFERROR(__xludf.DUMMYFUNCTION("""COMPUTED_VALUE"""),"SettlementFXRate")</f>
        <v>SettlementFXRate</v>
      </c>
      <c r="AH5" s="22" t="str">
        <f ca="1">IFERROR(__xludf.DUMMYFUNCTION("""COMPUTED_VALUE"""),"SettlementAmount")</f>
        <v>SettlementAmount</v>
      </c>
      <c r="AI5" s="22" t="str">
        <f ca="1">IFERROR(__xludf.DUMMYFUNCTION("""COMPUTED_VALUE"""),"SettlementFXOperator")</f>
        <v>SettlementFXOperator</v>
      </c>
      <c r="AJ5" s="22" t="str">
        <f ca="1">IFERROR(__xludf.DUMMYFUNCTION("""COMPUTED_VALUE"""),"SettleByBroker")</f>
        <v>SettleByBroker</v>
      </c>
      <c r="AK5" s="22" t="str">
        <f ca="1">IFERROR(__xludf.DUMMYFUNCTION("""COMPUTED_VALUE"""),"Account")</f>
        <v>Account</v>
      </c>
      <c r="AL5" s="22" t="str">
        <f ca="1">IFERROR(__xludf.DUMMYFUNCTION("""COMPUTED_VALUE"""),"Account %")</f>
        <v>Account %</v>
      </c>
      <c r="AM5" s="22" t="str">
        <f ca="1">IFERROR(__xludf.DUMMYFUNCTION("""COMPUTED_VALUE"""),"Deal In")</f>
        <v>Deal In</v>
      </c>
      <c r="AN5" s="22" t="str">
        <f ca="1">IFERROR(__xludf.DUMMYFUNCTION("""COMPUTED_VALUE"""),"")</f>
        <v/>
      </c>
      <c r="AO5" s="22" t="str">
        <f ca="1">IFERROR(__xludf.DUMMYFUNCTION("""COMPUTED_VALUE"""),"")</f>
        <v/>
      </c>
      <c r="AP5" s="22" t="str">
        <f ca="1">IFERROR(__xludf.DUMMYFUNCTION("""COMPUTED_VALUE"""),"")</f>
        <v/>
      </c>
      <c r="AQ5" s="22" t="str">
        <f ca="1">IFERROR(__xludf.DUMMYFUNCTION("""COMPUTED_VALUE"""),"")</f>
        <v/>
      </c>
      <c r="AR5" s="22" t="str">
        <f ca="1">IFERROR(__xludf.DUMMYFUNCTION("""COMPUTED_VALUE"""),"")</f>
        <v/>
      </c>
      <c r="AS5" s="22" t="str">
        <f ca="1">IFERROR(__xludf.DUMMYFUNCTION("""COMPUTED_VALUE"""),"")</f>
        <v/>
      </c>
      <c r="AT5" s="22" t="str">
        <f ca="1">IFERROR(__xludf.DUMMYFUNCTION("""COMPUTED_VALUE"""),"")</f>
        <v/>
      </c>
      <c r="AU5" s="22" t="str">
        <f ca="1">IFERROR(__xludf.DUMMYFUNCTION("""COMPUTED_VALUE"""),"")</f>
        <v/>
      </c>
      <c r="AV5" s="22" t="str">
        <f ca="1">IFERROR(__xludf.DUMMYFUNCTION("""COMPUTED_VALUE"""),"")</f>
        <v/>
      </c>
      <c r="AW5" s="22" t="str">
        <f ca="1">IFERROR(__xludf.DUMMYFUNCTION("""COMPUTED_VALUE"""),"")</f>
        <v/>
      </c>
    </row>
    <row r="6" spans="1:49" ht="15.75" customHeight="1">
      <c r="A6" s="2"/>
      <c r="B6" s="2" t="s">
        <v>29</v>
      </c>
      <c r="C6" s="6" t="s">
        <v>30</v>
      </c>
      <c r="D6" s="6">
        <v>20000</v>
      </c>
      <c r="E6" s="6">
        <v>20000</v>
      </c>
      <c r="F6" s="23" t="s">
        <v>31</v>
      </c>
      <c r="G6" s="6" t="s">
        <v>32</v>
      </c>
      <c r="H6" s="2"/>
      <c r="I6" s="2"/>
      <c r="J6" s="6"/>
      <c r="K6" s="2"/>
      <c r="L6" s="2"/>
      <c r="M6" s="2"/>
      <c r="N6" s="24">
        <f t="shared" ref="N6:N7" ca="1" si="0">TODAY()</f>
        <v>44459</v>
      </c>
      <c r="O6" s="2"/>
    </row>
    <row r="7" spans="1:49" ht="15.75" customHeight="1">
      <c r="A7" s="2"/>
      <c r="B7" t="s">
        <v>29</v>
      </c>
      <c r="C7" s="23" t="s">
        <v>33</v>
      </c>
      <c r="D7" s="23">
        <v>10000</v>
      </c>
      <c r="E7" s="23">
        <v>10000</v>
      </c>
      <c r="F7" s="23" t="s">
        <v>31</v>
      </c>
      <c r="G7" s="23" t="s">
        <v>32</v>
      </c>
      <c r="N7" s="25">
        <f t="shared" ca="1" si="0"/>
        <v>44459</v>
      </c>
    </row>
    <row r="8" spans="1:49" ht="15.75" customHeight="1">
      <c r="A8" s="2"/>
      <c r="B8" s="2"/>
      <c r="C8" s="2"/>
      <c r="D8" s="2"/>
      <c r="E8" s="2"/>
      <c r="G8" s="2"/>
      <c r="H8" s="2"/>
      <c r="I8" s="2"/>
      <c r="J8" s="6"/>
      <c r="K8" s="2"/>
      <c r="L8" s="2"/>
      <c r="M8" s="2"/>
      <c r="N8" s="2"/>
      <c r="O8" s="2"/>
    </row>
    <row r="9" spans="1:4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49" ht="15.75" customHeight="1">
      <c r="A10" s="2"/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</row>
    <row r="11" spans="1:49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49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49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49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4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4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/>
    <row r="19" spans="1:15" ht="15.75" customHeight="1"/>
    <row r="20" spans="1:15" ht="15.75" customHeight="1"/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63" width="14.42578125" customWidth="1"/>
  </cols>
  <sheetData>
    <row r="1" spans="1:63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63" ht="15.75" customHeight="1">
      <c r="A3" s="15"/>
      <c r="B3" s="3" t="s">
        <v>6</v>
      </c>
      <c r="C3" s="26" t="s">
        <v>34</v>
      </c>
      <c r="D3" s="3" t="s">
        <v>9</v>
      </c>
      <c r="E3" s="26" t="s">
        <v>35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spans="1:63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 t="s">
        <v>44</v>
      </c>
      <c r="L4" s="18" t="s">
        <v>45</v>
      </c>
      <c r="M4" s="18" t="s">
        <v>46</v>
      </c>
      <c r="N4" s="18" t="s">
        <v>47</v>
      </c>
      <c r="O4" s="18" t="s">
        <v>48</v>
      </c>
      <c r="P4" s="19" t="s">
        <v>49</v>
      </c>
      <c r="Q4" s="19" t="s">
        <v>50</v>
      </c>
      <c r="R4" s="19" t="s">
        <v>50</v>
      </c>
      <c r="S4" s="19" t="s">
        <v>50</v>
      </c>
      <c r="T4" s="19" t="s">
        <v>51</v>
      </c>
      <c r="U4" s="19" t="s">
        <v>52</v>
      </c>
      <c r="V4" s="19" t="s">
        <v>53</v>
      </c>
      <c r="W4" s="19" t="s">
        <v>54</v>
      </c>
      <c r="X4" s="19" t="s">
        <v>55</v>
      </c>
      <c r="Y4" s="19" t="s">
        <v>56</v>
      </c>
      <c r="Z4" s="19" t="s">
        <v>57</v>
      </c>
      <c r="AA4" s="19" t="s">
        <v>58</v>
      </c>
      <c r="AB4" s="19" t="s">
        <v>59</v>
      </c>
      <c r="AC4" s="19" t="s">
        <v>51</v>
      </c>
      <c r="AD4" s="19" t="s">
        <v>51</v>
      </c>
      <c r="AE4" s="19" t="s">
        <v>60</v>
      </c>
      <c r="AF4" s="19" t="s">
        <v>61</v>
      </c>
      <c r="AG4" s="19" t="s">
        <v>62</v>
      </c>
      <c r="AH4" s="19" t="s">
        <v>63</v>
      </c>
      <c r="AI4" s="19" t="s">
        <v>46</v>
      </c>
      <c r="AJ4" s="19" t="s">
        <v>63</v>
      </c>
      <c r="AK4" s="19" t="s">
        <v>61</v>
      </c>
      <c r="AL4" s="19" t="s">
        <v>64</v>
      </c>
      <c r="AM4" s="19" t="s">
        <v>65</v>
      </c>
      <c r="AN4" s="19" t="s">
        <v>66</v>
      </c>
      <c r="AO4" s="19" t="s">
        <v>67</v>
      </c>
      <c r="AP4" s="19" t="s">
        <v>68</v>
      </c>
      <c r="AQ4" s="19" t="s">
        <v>69</v>
      </c>
      <c r="AR4" s="19" t="s">
        <v>70</v>
      </c>
      <c r="AS4" s="19" t="s">
        <v>71</v>
      </c>
      <c r="AT4" s="19" t="s">
        <v>72</v>
      </c>
      <c r="AU4" s="19" t="s">
        <v>73</v>
      </c>
      <c r="AV4" s="19" t="s">
        <v>74</v>
      </c>
      <c r="AW4" s="19" t="s">
        <v>74</v>
      </c>
      <c r="AX4" s="19" t="s">
        <v>75</v>
      </c>
      <c r="AY4" s="19" t="s">
        <v>35</v>
      </c>
      <c r="AZ4" s="19" t="s">
        <v>60</v>
      </c>
      <c r="BA4" s="19" t="s">
        <v>76</v>
      </c>
      <c r="BB4" s="19"/>
      <c r="BC4" s="19"/>
      <c r="BD4" s="19"/>
      <c r="BE4" s="19"/>
      <c r="BF4" s="19"/>
      <c r="BG4" s="19"/>
      <c r="BH4" s="19"/>
      <c r="BI4" s="19"/>
      <c r="BJ4" s="19"/>
      <c r="BK4" s="19"/>
    </row>
    <row r="5" spans="1:63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1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2" t="str">
        <f ca="1">IFERROR(__xludf.DUMMYFUNCTION("""COMPUTED_VALUE"""),"Stop Price")</f>
        <v>Stop Price</v>
      </c>
      <c r="U5" s="22" t="str">
        <f ca="1">IFERROR(__xludf.DUMMYFUNCTION("""COMPUTED_VALUE"""),"Settlement Currency")</f>
        <v>Settlement Currency</v>
      </c>
      <c r="V5" s="22" t="str">
        <f ca="1">IFERROR(__xludf.DUMMYFUNCTION("""COMPUTED_VALUE"""),"Put/Call")</f>
        <v>Put/Call</v>
      </c>
      <c r="W5" s="22" t="str">
        <f ca="1">IFERROR(__xludf.DUMMYFUNCTION("""COMPUTED_VALUE"""),"Process Date")</f>
        <v>Process Date</v>
      </c>
      <c r="X5" s="22" t="str">
        <f ca="1">IFERROR(__xludf.DUMMYFUNCTION("""COMPUTED_VALUE"""),"Peg")</f>
        <v>Peg</v>
      </c>
      <c r="Y5" s="22" t="str">
        <f ca="1">IFERROR(__xludf.DUMMYFUNCTION("""COMPUTED_VALUE"""),"ParentClOrderID")</f>
        <v>ParentClOrderID</v>
      </c>
      <c r="Z5" s="22" t="str">
        <f ca="1">IFERROR(__xludf.DUMMYFUNCTION("""COMPUTED_VALUE"""),"OrderID")</f>
        <v>OrderID</v>
      </c>
      <c r="AA5" s="22" t="str">
        <f ca="1">IFERROR(__xludf.DUMMYFUNCTION("""COMPUTED_VALUE"""),"Master Fund")</f>
        <v>Master Fund</v>
      </c>
      <c r="AB5" s="22" t="str">
        <f ca="1">IFERROR(__xludf.DUMMYFUNCTION("""COMPUTED_VALUE"""),"Last Shares")</f>
        <v>Last Shares</v>
      </c>
      <c r="AC5" s="22" t="str">
        <f ca="1">IFERROR(__xludf.DUMMYFUNCTION("""COMPUTED_VALUE"""),"Internal Comments")</f>
        <v>Internal Comments</v>
      </c>
      <c r="AD5" s="22" t="str">
        <f ca="1">IFERROR(__xludf.DUMMYFUNCTION("""COMPUTED_VALUE"""),"FX Rate")</f>
        <v>FX Rate</v>
      </c>
      <c r="AE5" s="22" t="str">
        <f ca="1">IFERROR(__xludf.DUMMYFUNCTION("""COMPUTED_VALUE"""),"Imported File Name")</f>
        <v>Imported File Name</v>
      </c>
      <c r="AF5" s="22" t="str">
        <f ca="1">IFERROR(__xludf.DUMMYFUNCTION("""COMPUTED_VALUE"""),"FX Conversion Operator")</f>
        <v>FX Conversion Operator</v>
      </c>
      <c r="AG5" s="22" t="str">
        <f ca="1">IFERROR(__xludf.DUMMYFUNCTION("""COMPUTED_VALUE"""),"Day Average Price")</f>
        <v>Day Average Price</v>
      </c>
      <c r="AH5" s="22" t="str">
        <f ca="1">IFERROR(__xludf.DUMMYFUNCTION("""COMPUTED_VALUE"""),"Asset Class")</f>
        <v>Asset Class</v>
      </c>
      <c r="AI5" s="22" t="str">
        <f ca="1">IFERROR(__xludf.DUMMYFUNCTION("""COMPUTED_VALUE"""),"Symbol")</f>
        <v>Symbol</v>
      </c>
      <c r="AJ5" s="22" t="str">
        <f ca="1">IFERROR(__xludf.DUMMYFUNCTION("""COMPUTED_VALUE"""),"Side")</f>
        <v>Side</v>
      </c>
      <c r="AK5" s="22" t="str">
        <f ca="1">IFERROR(__xludf.DUMMYFUNCTION("""COMPUTED_VALUE"""),"Status")</f>
        <v>Status</v>
      </c>
      <c r="AL5" s="22" t="str">
        <f ca="1">IFERROR(__xludf.DUMMYFUNCTION("""COMPUTED_VALUE"""),"Target Qty")</f>
        <v>Target Qty</v>
      </c>
      <c r="AM5" s="22" t="str">
        <f ca="1">IFERROR(__xludf.DUMMYFUNCTION("""COMPUTED_VALUE"""),"Total Executed Qty")</f>
        <v>Total Executed Qty</v>
      </c>
      <c r="AN5" s="22" t="str">
        <f ca="1">IFERROR(__xludf.DUMMYFUNCTION("""COMPUTED_VALUE"""),"% Executed")</f>
        <v>% Executed</v>
      </c>
      <c r="AO5" s="22" t="str">
        <f ca="1">IFERROR(__xludf.DUMMYFUNCTION("""COMPUTED_VALUE"""),"Day Executed Qty")</f>
        <v>Day Executed Qty</v>
      </c>
      <c r="AP5" s="22" t="str">
        <f ca="1">IFERROR(__xludf.DUMMYFUNCTION("""COMPUTED_VALUE"""),"Uncommitted Qty")</f>
        <v>Uncommitted Qty</v>
      </c>
      <c r="AQ5" s="22" t="str">
        <f ca="1">IFERROR(__xludf.DUMMYFUNCTION("""COMPUTED_VALUE"""),"Last Fill Price (Local)")</f>
        <v>Last Fill Price (Local)</v>
      </c>
      <c r="AR5" s="22" t="str">
        <f ca="1">IFERROR(__xludf.DUMMYFUNCTION("""COMPUTED_VALUE"""),"Avg Fill Price (Local)")</f>
        <v>Avg Fill Price (Local)</v>
      </c>
      <c r="AS5" s="22" t="str">
        <f ca="1">IFERROR(__xludf.DUMMYFUNCTION("""COMPUTED_VALUE"""),"Broker")</f>
        <v>Broker</v>
      </c>
      <c r="AT5" s="22" t="str">
        <f ca="1">IFERROR(__xludf.DUMMYFUNCTION("""COMPUTED_VALUE"""),"Account")</f>
        <v>Account</v>
      </c>
      <c r="AU5" s="22" t="str">
        <f ca="1">IFERROR(__xludf.DUMMYFUNCTION("""COMPUTED_VALUE"""),"Order Type")</f>
        <v>Order Type</v>
      </c>
      <c r="AV5" s="22" t="str">
        <f ca="1">IFERROR(__xludf.DUMMYFUNCTION("""COMPUTED_VALUE"""),"Principal Amount (Local)")</f>
        <v>Principal Amount (Local)</v>
      </c>
      <c r="AW5" s="22" t="str">
        <f ca="1">IFERROR(__xludf.DUMMYFUNCTION("""COMPUTED_VALUE"""),"Principal Amount (Base)")</f>
        <v>Principal Amount (Base)</v>
      </c>
      <c r="AX5" s="22" t="str">
        <f ca="1">IFERROR(__xludf.DUMMYFUNCTION("""COMPUTED_VALUE"""),"")</f>
        <v/>
      </c>
      <c r="AY5" s="22" t="str">
        <f ca="1">IFERROR(__xludf.DUMMYFUNCTION("""COMPUTED_VALUE"""),"")</f>
        <v/>
      </c>
      <c r="AZ5" s="22" t="str">
        <f ca="1">IFERROR(__xludf.DUMMYFUNCTION("""COMPUTED_VALUE"""),"")</f>
        <v/>
      </c>
      <c r="BA5" s="22" t="str">
        <f ca="1">IFERROR(__xludf.DUMMYFUNCTION("""COMPUTED_VALUE"""),"")</f>
        <v/>
      </c>
      <c r="BB5" s="22" t="str">
        <f ca="1">IFERROR(__xludf.DUMMYFUNCTION("""COMPUTED_VALUE"""),"")</f>
        <v/>
      </c>
      <c r="BC5" s="22" t="str">
        <f ca="1">IFERROR(__xludf.DUMMYFUNCTION("""COMPUTED_VALUE"""),"")</f>
        <v/>
      </c>
      <c r="BD5" s="22" t="str">
        <f ca="1">IFERROR(__xludf.DUMMYFUNCTION("""COMPUTED_VALUE"""),"")</f>
        <v/>
      </c>
      <c r="BE5" s="22" t="str">
        <f ca="1">IFERROR(__xludf.DUMMYFUNCTION("""COMPUTED_VALUE"""),"")</f>
        <v/>
      </c>
      <c r="BF5" s="22" t="str">
        <f ca="1">IFERROR(__xludf.DUMMYFUNCTION("""COMPUTED_VALUE"""),"")</f>
        <v/>
      </c>
      <c r="BG5" s="22" t="str">
        <f ca="1">IFERROR(__xludf.DUMMYFUNCTION("""COMPUTED_VALUE"""),"")</f>
        <v/>
      </c>
      <c r="BH5" s="22" t="str">
        <f ca="1">IFERROR(__xludf.DUMMYFUNCTION("""COMPUTED_VALUE"""),"")</f>
        <v/>
      </c>
      <c r="BI5" s="22" t="str">
        <f ca="1">IFERROR(__xludf.DUMMYFUNCTION("""COMPUTED_VALUE"""),"")</f>
        <v/>
      </c>
      <c r="BJ5" s="22" t="str">
        <f ca="1">IFERROR(__xludf.DUMMYFUNCTION("""COMPUTED_VALUE"""),"")</f>
        <v/>
      </c>
      <c r="BK5" s="22" t="str">
        <f ca="1">IFERROR(__xludf.DUMMYFUNCTION("""COMPUTED_VALUE"""),"")</f>
        <v/>
      </c>
    </row>
    <row r="6" spans="1:63" ht="15.75" customHeight="1">
      <c r="A6" s="2"/>
      <c r="AI6" t="s">
        <v>29</v>
      </c>
      <c r="AJ6" t="s">
        <v>30</v>
      </c>
      <c r="AK6" s="23" t="s">
        <v>77</v>
      </c>
    </row>
    <row r="7" spans="1:6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I7" t="s">
        <v>29</v>
      </c>
      <c r="AJ7" t="s">
        <v>33</v>
      </c>
      <c r="AK7" s="23" t="s">
        <v>77</v>
      </c>
    </row>
    <row r="8" spans="1:6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6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6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6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6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6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6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6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6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999"/>
  <sheetViews>
    <sheetView workbookViewId="0"/>
  </sheetViews>
  <sheetFormatPr defaultColWidth="14.42578125" defaultRowHeight="15" customHeight="1"/>
  <cols>
    <col min="1" max="1" width="5.5703125" customWidth="1"/>
    <col min="2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46" ht="15.75" customHeight="1">
      <c r="A3" s="15"/>
      <c r="B3" s="3" t="s">
        <v>6</v>
      </c>
      <c r="C3" s="16" t="s">
        <v>56</v>
      </c>
      <c r="D3" s="3" t="s">
        <v>9</v>
      </c>
      <c r="E3" s="16" t="s">
        <v>78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78</v>
      </c>
      <c r="D4" s="18" t="s">
        <v>79</v>
      </c>
      <c r="E4" s="18" t="s">
        <v>80</v>
      </c>
      <c r="F4" s="18" t="s">
        <v>81</v>
      </c>
      <c r="G4" s="18" t="s">
        <v>82</v>
      </c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1" t="str">
        <f ca="1">IFERROR(__xludf.DUMMYFUNCTION("""COMPUTED_VALUE"""),"Account")</f>
        <v>Account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2" t="str">
        <f ca="1">IFERROR(__xludf.DUMMYFUNCTION("""COMPUTED_VALUE"""),"Soft Basis")</f>
        <v>Soft Basis</v>
      </c>
      <c r="U5" s="22" t="str">
        <f ca="1">IFERROR(__xludf.DUMMYFUNCTION("""COMPUTED_VALUE"""),"Soft Rate")</f>
        <v>Soft Rate</v>
      </c>
      <c r="V5" s="22" t="str">
        <f ca="1">IFERROR(__xludf.DUMMYFUNCTION("""COMPUTED_VALUE"""),"Trade Attribute 1")</f>
        <v>Trade Attribute 1</v>
      </c>
      <c r="W5" s="22" t="str">
        <f ca="1">IFERROR(__xludf.DUMMYFUNCTION("""COMPUTED_VALUE"""),"Trade Attribute 2")</f>
        <v>Trade Attribute 2</v>
      </c>
      <c r="X5" s="22" t="str">
        <f ca="1">IFERROR(__xludf.DUMMYFUNCTION("""COMPUTED_VALUE"""),"Trade Attribute 3")</f>
        <v>Trade Attribute 3</v>
      </c>
      <c r="Y5" s="22" t="str">
        <f ca="1">IFERROR(__xludf.DUMMYFUNCTION("""COMPUTED_VALUE"""),"Trade Attribute 4")</f>
        <v>Trade Attribute 4</v>
      </c>
      <c r="Z5" s="22" t="str">
        <f ca="1">IFERROR(__xludf.DUMMYFUNCTION("""COMPUTED_VALUE"""),"Trade Attribute 5")</f>
        <v>Trade Attribute 5</v>
      </c>
      <c r="AA5" s="22" t="str">
        <f ca="1">IFERROR(__xludf.DUMMYFUNCTION("""COMPUTED_VALUE"""),"Trade Attribute 6")</f>
        <v>Trade Attribute 6</v>
      </c>
      <c r="AB5" s="22" t="str">
        <f ca="1">IFERROR(__xludf.DUMMYFUNCTION("""COMPUTED_VALUE"""),"Venue")</f>
        <v>Venue</v>
      </c>
      <c r="AC5" s="22" t="str">
        <f ca="1">IFERROR(__xludf.DUMMYFUNCTION("""COMPUTED_VALUE"""),"Execution Instructions")</f>
        <v>Execution Instructions</v>
      </c>
      <c r="AD5" s="22" t="str">
        <f ca="1">IFERROR(__xludf.DUMMYFUNCTION("""COMPUTED_VALUE"""),"Handling Instructions")</f>
        <v>Handling Instructions</v>
      </c>
      <c r="AE5" s="22" t="str">
        <f ca="1">IFERROR(__xludf.DUMMYFUNCTION("""COMPUTED_VALUE"""),"Trader")</f>
        <v>Trader</v>
      </c>
      <c r="AF5" s="22" t="str">
        <f ca="1">IFERROR(__xludf.DUMMYFUNCTION("""COMPUTED_VALUE"""),"Settlement Currency")</f>
        <v>Settlement Currency</v>
      </c>
      <c r="AG5" s="22" t="str">
        <f ca="1">IFERROR(__xludf.DUMMYFUNCTION("""COMPUTED_VALUE"""),"Settlement Fx Rate")</f>
        <v>Settlement Fx Rate</v>
      </c>
      <c r="AH5" s="22" t="str">
        <f ca="1">IFERROR(__xludf.DUMMYFUNCTION("""COMPUTED_VALUE"""),"Settlement Amount")</f>
        <v>Settlement Amount</v>
      </c>
      <c r="AI5" s="22" t="str">
        <f ca="1">IFERROR(__xludf.DUMMYFUNCTION("""COMPUTED_VALUE"""),"Settlement Fx Operator")</f>
        <v>Settlement Fx Operator</v>
      </c>
      <c r="AJ5" s="22" t="str">
        <f ca="1">IFERROR(__xludf.DUMMYFUNCTION("""COMPUTED_VALUE"""),"ImportFileName")</f>
        <v>ImportFileName</v>
      </c>
      <c r="AK5" s="22" t="str">
        <f ca="1">IFERROR(__xludf.DUMMYFUNCTION("""COMPUTED_VALUE"""),"")</f>
        <v/>
      </c>
      <c r="AL5" s="22" t="str">
        <f ca="1">IFERROR(__xludf.DUMMYFUNCTION("""COMPUTED_VALUE"""),"")</f>
        <v/>
      </c>
      <c r="AM5" s="22" t="str">
        <f ca="1">IFERROR(__xludf.DUMMYFUNCTION("""COMPUTED_VALUE"""),"")</f>
        <v/>
      </c>
      <c r="AN5" s="22" t="str">
        <f ca="1">IFERROR(__xludf.DUMMYFUNCTION("""COMPUTED_VALUE"""),"")</f>
        <v/>
      </c>
      <c r="AO5" s="22" t="str">
        <f ca="1">IFERROR(__xludf.DUMMYFUNCTION("""COMPUTED_VALUE"""),"")</f>
        <v/>
      </c>
      <c r="AP5" s="22" t="str">
        <f ca="1">IFERROR(__xludf.DUMMYFUNCTION("""COMPUTED_VALUE"""),"")</f>
        <v/>
      </c>
      <c r="AQ5" s="22" t="str">
        <f ca="1">IFERROR(__xludf.DUMMYFUNCTION("""COMPUTED_VALUE"""),"")</f>
        <v/>
      </c>
      <c r="AR5" s="22" t="str">
        <f ca="1">IFERROR(__xludf.DUMMYFUNCTION("""COMPUTED_VALUE"""),"")</f>
        <v/>
      </c>
      <c r="AS5" s="22" t="str">
        <f ca="1">IFERROR(__xludf.DUMMYFUNCTION("""COMPUTED_VALUE"""),"")</f>
        <v/>
      </c>
      <c r="AT5" s="22" t="str">
        <f ca="1">IFERROR(__xludf.DUMMYFUNCTION("""COMPUTED_VALUE"""),"")</f>
        <v/>
      </c>
    </row>
    <row r="6" spans="1:46" ht="15.75" customHeight="1">
      <c r="A6" s="2"/>
      <c r="B6" t="s">
        <v>83</v>
      </c>
      <c r="C6" s="23" t="s">
        <v>33</v>
      </c>
    </row>
    <row r="7" spans="1:4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46" ht="15.75" customHeight="1">
      <c r="A8" s="2"/>
      <c r="B8" s="27"/>
      <c r="C8" s="27"/>
      <c r="D8" s="28"/>
      <c r="E8" s="29"/>
      <c r="F8" s="29"/>
      <c r="G8" s="27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</row>
    <row r="9" spans="1:46" ht="15.75" customHeight="1">
      <c r="A9" s="2"/>
    </row>
    <row r="10" spans="1:46" ht="15.75" customHeight="1">
      <c r="A10" s="2"/>
    </row>
    <row r="11" spans="1:4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46" ht="15.75" customHeight="1">
      <c r="A12" s="2"/>
      <c r="B12" s="27"/>
      <c r="C12" s="27"/>
      <c r="D12" s="28"/>
      <c r="E12" s="29"/>
      <c r="F12" s="29"/>
      <c r="G12" s="27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30"/>
    </row>
    <row r="13" spans="1:4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4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4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4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/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999"/>
  <sheetViews>
    <sheetView workbookViewId="0"/>
  </sheetViews>
  <sheetFormatPr defaultColWidth="14.42578125" defaultRowHeight="15" customHeight="1"/>
  <cols>
    <col min="1" max="1" width="14.140625" customWidth="1"/>
    <col min="2" max="4" width="14.42578125" customWidth="1"/>
    <col min="5" max="5" width="33.85546875" customWidth="1"/>
    <col min="6" max="8" width="14.42578125" customWidth="1"/>
    <col min="9" max="9" width="18.140625" customWidth="1"/>
    <col min="10" max="11" width="17.42578125" customWidth="1"/>
    <col min="12" max="46" width="14.42578125" customWidth="1"/>
  </cols>
  <sheetData>
    <row r="1" spans="1:46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3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32"/>
      <c r="O2" s="2"/>
    </row>
    <row r="3" spans="1:46" ht="15.75" customHeight="1">
      <c r="A3" s="15"/>
      <c r="B3" s="3" t="s">
        <v>6</v>
      </c>
      <c r="C3" s="16" t="s">
        <v>56</v>
      </c>
      <c r="D3" s="3" t="s">
        <v>9</v>
      </c>
      <c r="E3" s="16" t="s">
        <v>84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33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</row>
    <row r="4" spans="1:46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78</v>
      </c>
      <c r="D4" s="18" t="s">
        <v>79</v>
      </c>
      <c r="E4" s="18" t="s">
        <v>80</v>
      </c>
      <c r="F4" s="18" t="s">
        <v>81</v>
      </c>
      <c r="G4" s="18" t="s">
        <v>82</v>
      </c>
      <c r="H4" s="18"/>
      <c r="I4" s="18"/>
      <c r="J4" s="18"/>
      <c r="K4" s="18"/>
      <c r="L4" s="18"/>
      <c r="M4" s="18"/>
      <c r="N4" s="34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1" t="str">
        <f ca="1">IFERROR(__xludf.DUMMYFUNCTION("""COMPUTED_VALUE"""),"Account")</f>
        <v>Account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35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2" t="str">
        <f ca="1">IFERROR(__xludf.DUMMYFUNCTION("""COMPUTED_VALUE"""),"Soft Basis")</f>
        <v>Soft Basis</v>
      </c>
      <c r="U5" s="22" t="str">
        <f ca="1">IFERROR(__xludf.DUMMYFUNCTION("""COMPUTED_VALUE"""),"Soft Rate")</f>
        <v>Soft Rate</v>
      </c>
      <c r="V5" s="22" t="str">
        <f ca="1">IFERROR(__xludf.DUMMYFUNCTION("""COMPUTED_VALUE"""),"Trade Attribute 1")</f>
        <v>Trade Attribute 1</v>
      </c>
      <c r="W5" s="22" t="str">
        <f ca="1">IFERROR(__xludf.DUMMYFUNCTION("""COMPUTED_VALUE"""),"Trade Attribute 2")</f>
        <v>Trade Attribute 2</v>
      </c>
      <c r="X5" s="22" t="str">
        <f ca="1">IFERROR(__xludf.DUMMYFUNCTION("""COMPUTED_VALUE"""),"Trade Attribute 3")</f>
        <v>Trade Attribute 3</v>
      </c>
      <c r="Y5" s="22" t="str">
        <f ca="1">IFERROR(__xludf.DUMMYFUNCTION("""COMPUTED_VALUE"""),"Trade Attribute 4")</f>
        <v>Trade Attribute 4</v>
      </c>
      <c r="Z5" s="22" t="str">
        <f ca="1">IFERROR(__xludf.DUMMYFUNCTION("""COMPUTED_VALUE"""),"Trade Attribute 5")</f>
        <v>Trade Attribute 5</v>
      </c>
      <c r="AA5" s="22" t="str">
        <f ca="1">IFERROR(__xludf.DUMMYFUNCTION("""COMPUTED_VALUE"""),"Trade Attribute 6")</f>
        <v>Trade Attribute 6</v>
      </c>
      <c r="AB5" s="22" t="str">
        <f ca="1">IFERROR(__xludf.DUMMYFUNCTION("""COMPUTED_VALUE"""),"Venue")</f>
        <v>Venue</v>
      </c>
      <c r="AC5" s="22" t="str">
        <f ca="1">IFERROR(__xludf.DUMMYFUNCTION("""COMPUTED_VALUE"""),"Execution Instructions")</f>
        <v>Execution Instructions</v>
      </c>
      <c r="AD5" s="22" t="str">
        <f ca="1">IFERROR(__xludf.DUMMYFUNCTION("""COMPUTED_VALUE"""),"Handling Instructions")</f>
        <v>Handling Instructions</v>
      </c>
      <c r="AE5" s="22" t="str">
        <f ca="1">IFERROR(__xludf.DUMMYFUNCTION("""COMPUTED_VALUE"""),"Trader")</f>
        <v>Trader</v>
      </c>
      <c r="AF5" s="22" t="str">
        <f ca="1">IFERROR(__xludf.DUMMYFUNCTION("""COMPUTED_VALUE"""),"Settlement Currency")</f>
        <v>Settlement Currency</v>
      </c>
      <c r="AG5" s="22" t="str">
        <f ca="1">IFERROR(__xludf.DUMMYFUNCTION("""COMPUTED_VALUE"""),"Settlement Fx Rate")</f>
        <v>Settlement Fx Rate</v>
      </c>
      <c r="AH5" s="22" t="str">
        <f ca="1">IFERROR(__xludf.DUMMYFUNCTION("""COMPUTED_VALUE"""),"Settlement Amount")</f>
        <v>Settlement Amount</v>
      </c>
      <c r="AI5" s="22" t="str">
        <f ca="1">IFERROR(__xludf.DUMMYFUNCTION("""COMPUTED_VALUE"""),"Settlement Fx Operator")</f>
        <v>Settlement Fx Operator</v>
      </c>
      <c r="AJ5" s="22" t="str">
        <f ca="1">IFERROR(__xludf.DUMMYFUNCTION("""COMPUTED_VALUE"""),"ImportFileName")</f>
        <v>ImportFileName</v>
      </c>
      <c r="AK5" s="22" t="str">
        <f ca="1">IFERROR(__xludf.DUMMYFUNCTION("""COMPUTED_VALUE"""),"")</f>
        <v/>
      </c>
      <c r="AL5" s="22" t="str">
        <f ca="1">IFERROR(__xludf.DUMMYFUNCTION("""COMPUTED_VALUE"""),"")</f>
        <v/>
      </c>
      <c r="AM5" s="22" t="str">
        <f ca="1">IFERROR(__xludf.DUMMYFUNCTION("""COMPUTED_VALUE"""),"")</f>
        <v/>
      </c>
      <c r="AN5" s="22" t="str">
        <f ca="1">IFERROR(__xludf.DUMMYFUNCTION("""COMPUTED_VALUE"""),"")</f>
        <v/>
      </c>
      <c r="AO5" s="22" t="str">
        <f ca="1">IFERROR(__xludf.DUMMYFUNCTION("""COMPUTED_VALUE"""),"")</f>
        <v/>
      </c>
      <c r="AP5" s="22" t="str">
        <f ca="1">IFERROR(__xludf.DUMMYFUNCTION("""COMPUTED_VALUE"""),"")</f>
        <v/>
      </c>
      <c r="AQ5" s="22" t="str">
        <f ca="1">IFERROR(__xludf.DUMMYFUNCTION("""COMPUTED_VALUE"""),"")</f>
        <v/>
      </c>
      <c r="AR5" s="22" t="str">
        <f ca="1">IFERROR(__xludf.DUMMYFUNCTION("""COMPUTED_VALUE"""),"")</f>
        <v/>
      </c>
      <c r="AS5" s="22" t="str">
        <f ca="1">IFERROR(__xludf.DUMMYFUNCTION("""COMPUTED_VALUE"""),"")</f>
        <v/>
      </c>
      <c r="AT5" s="22" t="str">
        <f ca="1">IFERROR(__xludf.DUMMYFUNCTION("""COMPUTED_VALUE"""),"")</f>
        <v/>
      </c>
    </row>
    <row r="6" spans="1:46" ht="15.75" customHeight="1">
      <c r="A6" s="2"/>
      <c r="B6" t="s">
        <v>29</v>
      </c>
      <c r="C6" s="23" t="s">
        <v>33</v>
      </c>
      <c r="D6" s="36">
        <v>10000</v>
      </c>
      <c r="E6" s="36">
        <v>10000</v>
      </c>
      <c r="N6" s="37"/>
    </row>
    <row r="7" spans="1:46" ht="15.75" customHeight="1">
      <c r="A7" s="2"/>
      <c r="B7" t="s">
        <v>29</v>
      </c>
      <c r="C7" s="6" t="s">
        <v>30</v>
      </c>
      <c r="D7" s="36">
        <v>10000</v>
      </c>
      <c r="E7" s="36">
        <v>10000</v>
      </c>
      <c r="F7" s="6"/>
      <c r="G7" s="6"/>
      <c r="H7" s="2"/>
      <c r="I7" s="2"/>
      <c r="J7" s="6"/>
      <c r="K7" s="2"/>
      <c r="L7" s="2"/>
      <c r="M7" s="2"/>
      <c r="N7" s="32"/>
      <c r="O7" s="2"/>
    </row>
    <row r="8" spans="1:4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2"/>
      <c r="O8" s="2"/>
    </row>
    <row r="9" spans="1:4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2"/>
      <c r="O9" s="2"/>
    </row>
    <row r="10" spans="1:4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2"/>
      <c r="O10" s="2"/>
    </row>
    <row r="11" spans="1:4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2"/>
      <c r="O11" s="2"/>
    </row>
    <row r="12" spans="1:4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2"/>
      <c r="O12" s="2"/>
    </row>
    <row r="13" spans="1:4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2"/>
      <c r="O13" s="2"/>
    </row>
    <row r="14" spans="1:4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2"/>
      <c r="O14" s="2"/>
    </row>
    <row r="15" spans="1:4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2"/>
      <c r="O15" s="2"/>
    </row>
    <row r="16" spans="1:4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2"/>
      <c r="O19" s="2"/>
    </row>
    <row r="20" spans="1:15" ht="15.75" customHeight="1">
      <c r="N20" s="37"/>
    </row>
    <row r="21" spans="1:15" ht="15.75" customHeight="1">
      <c r="N21" s="37"/>
    </row>
    <row r="22" spans="1:15" ht="15.75" customHeight="1">
      <c r="N22" s="37"/>
    </row>
    <row r="23" spans="1:15" ht="15.75" customHeight="1">
      <c r="N23" s="37"/>
    </row>
    <row r="24" spans="1:15" ht="15.75" customHeight="1">
      <c r="N24" s="37"/>
    </row>
    <row r="25" spans="1:15" ht="15.75" customHeight="1">
      <c r="N25" s="37"/>
    </row>
    <row r="26" spans="1:15" ht="15.75" customHeight="1">
      <c r="N26" s="37"/>
    </row>
    <row r="27" spans="1:15" ht="15.75" customHeight="1">
      <c r="N27" s="37"/>
    </row>
    <row r="28" spans="1:15" ht="15.75" customHeight="1">
      <c r="N28" s="37"/>
    </row>
    <row r="29" spans="1:15" ht="15.75" customHeight="1">
      <c r="N29" s="37"/>
    </row>
    <row r="30" spans="1:15" ht="15.75" customHeight="1">
      <c r="N30" s="37"/>
    </row>
    <row r="31" spans="1:15" ht="15.75" customHeight="1">
      <c r="N31" s="37"/>
    </row>
    <row r="32" spans="1:15" ht="15.75" customHeight="1">
      <c r="N32" s="37"/>
    </row>
    <row r="33" spans="14:14" ht="15.75" customHeight="1">
      <c r="N33" s="37"/>
    </row>
    <row r="34" spans="14:14" ht="15.75" customHeight="1">
      <c r="N34" s="37"/>
    </row>
    <row r="35" spans="14:14" ht="15.75" customHeight="1">
      <c r="N35" s="37"/>
    </row>
    <row r="36" spans="14:14" ht="15.75" customHeight="1">
      <c r="N36" s="37"/>
    </row>
    <row r="37" spans="14:14" ht="15.75" customHeight="1">
      <c r="N37" s="37"/>
    </row>
    <row r="38" spans="14:14" ht="15.75" customHeight="1">
      <c r="N38" s="37"/>
    </row>
    <row r="39" spans="14:14" ht="15.75" customHeight="1">
      <c r="N39" s="37"/>
    </row>
    <row r="40" spans="14:14" ht="15.75" customHeight="1">
      <c r="N40" s="37"/>
    </row>
    <row r="41" spans="14:14" ht="15.75" customHeight="1">
      <c r="N41" s="37"/>
    </row>
    <row r="42" spans="14:14" ht="15.75" customHeight="1">
      <c r="N42" s="37"/>
    </row>
    <row r="43" spans="14:14" ht="15.75" customHeight="1">
      <c r="N43" s="37"/>
    </row>
    <row r="44" spans="14:14" ht="15.75" customHeight="1">
      <c r="N44" s="37"/>
    </row>
    <row r="45" spans="14:14" ht="15.75" customHeight="1">
      <c r="N45" s="37"/>
    </row>
    <row r="46" spans="14:14" ht="15.75" customHeight="1">
      <c r="N46" s="37"/>
    </row>
    <row r="47" spans="14:14" ht="15.75" customHeight="1">
      <c r="N47" s="37"/>
    </row>
    <row r="48" spans="14:14" ht="15.75" customHeight="1">
      <c r="N48" s="37"/>
    </row>
    <row r="49" spans="14:14" ht="15.75" customHeight="1">
      <c r="N49" s="37"/>
    </row>
    <row r="50" spans="14:14" ht="15.75" customHeight="1">
      <c r="N50" s="37"/>
    </row>
    <row r="51" spans="14:14" ht="15.75" customHeight="1">
      <c r="N51" s="37"/>
    </row>
    <row r="52" spans="14:14" ht="15.75" customHeight="1">
      <c r="N52" s="37"/>
    </row>
    <row r="53" spans="14:14" ht="15.75" customHeight="1">
      <c r="N53" s="37"/>
    </row>
    <row r="54" spans="14:14" ht="15.75" customHeight="1">
      <c r="N54" s="37"/>
    </row>
    <row r="55" spans="14:14" ht="15.75" customHeight="1">
      <c r="N55" s="37"/>
    </row>
    <row r="56" spans="14:14" ht="15.75" customHeight="1">
      <c r="N56" s="37"/>
    </row>
    <row r="57" spans="14:14" ht="15.75" customHeight="1">
      <c r="N57" s="37"/>
    </row>
    <row r="58" spans="14:14" ht="15.75" customHeight="1">
      <c r="N58" s="37"/>
    </row>
    <row r="59" spans="14:14" ht="15.75" customHeight="1">
      <c r="N59" s="37"/>
    </row>
    <row r="60" spans="14:14" ht="15.75" customHeight="1">
      <c r="N60" s="37"/>
    </row>
    <row r="61" spans="14:14" ht="15.75" customHeight="1">
      <c r="N61" s="37"/>
    </row>
    <row r="62" spans="14:14" ht="15.75" customHeight="1">
      <c r="N62" s="37"/>
    </row>
    <row r="63" spans="14:14" ht="15.75" customHeight="1">
      <c r="N63" s="37"/>
    </row>
    <row r="64" spans="14:14" ht="15.75" customHeight="1">
      <c r="N64" s="37"/>
    </row>
    <row r="65" spans="14:14" ht="15.75" customHeight="1">
      <c r="N65" s="37"/>
    </row>
    <row r="66" spans="14:14" ht="15.75" customHeight="1">
      <c r="N66" s="37"/>
    </row>
    <row r="67" spans="14:14" ht="15.75" customHeight="1">
      <c r="N67" s="37"/>
    </row>
    <row r="68" spans="14:14" ht="15.75" customHeight="1">
      <c r="N68" s="37"/>
    </row>
    <row r="69" spans="14:14" ht="15.75" customHeight="1">
      <c r="N69" s="37"/>
    </row>
    <row r="70" spans="14:14" ht="15.75" customHeight="1">
      <c r="N70" s="37"/>
    </row>
    <row r="71" spans="14:14" ht="15.75" customHeight="1">
      <c r="N71" s="37"/>
    </row>
    <row r="72" spans="14:14" ht="15.75" customHeight="1">
      <c r="N72" s="37"/>
    </row>
    <row r="73" spans="14:14" ht="15.75" customHeight="1">
      <c r="N73" s="37"/>
    </row>
    <row r="74" spans="14:14" ht="15.75" customHeight="1">
      <c r="N74" s="37"/>
    </row>
    <row r="75" spans="14:14" ht="15.75" customHeight="1">
      <c r="N75" s="37"/>
    </row>
    <row r="76" spans="14:14" ht="15.75" customHeight="1">
      <c r="N76" s="37"/>
    </row>
    <row r="77" spans="14:14" ht="15.75" customHeight="1">
      <c r="N77" s="37"/>
    </row>
    <row r="78" spans="14:14" ht="15.75" customHeight="1">
      <c r="N78" s="37"/>
    </row>
    <row r="79" spans="14:14" ht="15.75" customHeight="1">
      <c r="N79" s="37"/>
    </row>
    <row r="80" spans="14:14" ht="15.75" customHeight="1">
      <c r="N80" s="37"/>
    </row>
    <row r="81" spans="14:14" ht="15.75" customHeight="1">
      <c r="N81" s="37"/>
    </row>
    <row r="82" spans="14:14" ht="15.75" customHeight="1">
      <c r="N82" s="37"/>
    </row>
    <row r="83" spans="14:14" ht="15.75" customHeight="1">
      <c r="N83" s="37"/>
    </row>
    <row r="84" spans="14:14" ht="15.75" customHeight="1">
      <c r="N84" s="37"/>
    </row>
    <row r="85" spans="14:14" ht="15.75" customHeight="1">
      <c r="N85" s="37"/>
    </row>
    <row r="86" spans="14:14" ht="15.75" customHeight="1">
      <c r="N86" s="37"/>
    </row>
    <row r="87" spans="14:14" ht="15.75" customHeight="1">
      <c r="N87" s="37"/>
    </row>
    <row r="88" spans="14:14" ht="15.75" customHeight="1">
      <c r="N88" s="37"/>
    </row>
    <row r="89" spans="14:14" ht="15.75" customHeight="1">
      <c r="N89" s="37"/>
    </row>
    <row r="90" spans="14:14" ht="15.75" customHeight="1">
      <c r="N90" s="37"/>
    </row>
    <row r="91" spans="14:14" ht="15.75" customHeight="1">
      <c r="N91" s="37"/>
    </row>
    <row r="92" spans="14:14" ht="15.75" customHeight="1">
      <c r="N92" s="37"/>
    </row>
    <row r="93" spans="14:14" ht="15.75" customHeight="1">
      <c r="N93" s="37"/>
    </row>
    <row r="94" spans="14:14" ht="15.75" customHeight="1">
      <c r="N94" s="37"/>
    </row>
    <row r="95" spans="14:14" ht="15.75" customHeight="1">
      <c r="N95" s="37"/>
    </row>
    <row r="96" spans="14:14" ht="15.75" customHeight="1">
      <c r="N96" s="37"/>
    </row>
    <row r="97" spans="14:14" ht="15.75" customHeight="1">
      <c r="N97" s="37"/>
    </row>
    <row r="98" spans="14:14" ht="15.75" customHeight="1">
      <c r="N98" s="37"/>
    </row>
    <row r="99" spans="14:14" ht="15.75" customHeight="1">
      <c r="N99" s="37"/>
    </row>
    <row r="100" spans="14:14" ht="15.75" customHeight="1">
      <c r="N100" s="37"/>
    </row>
    <row r="101" spans="14:14" ht="15.75" customHeight="1">
      <c r="N101" s="37"/>
    </row>
    <row r="102" spans="14:14" ht="15.75" customHeight="1">
      <c r="N102" s="37"/>
    </row>
    <row r="103" spans="14:14" ht="15.75" customHeight="1">
      <c r="N103" s="37"/>
    </row>
    <row r="104" spans="14:14" ht="15.75" customHeight="1">
      <c r="N104" s="37"/>
    </row>
    <row r="105" spans="14:14" ht="15.75" customHeight="1">
      <c r="N105" s="37"/>
    </row>
    <row r="106" spans="14:14" ht="15.75" customHeight="1">
      <c r="N106" s="37"/>
    </row>
    <row r="107" spans="14:14" ht="15.75" customHeight="1">
      <c r="N107" s="37"/>
    </row>
    <row r="108" spans="14:14" ht="15.75" customHeight="1">
      <c r="N108" s="37"/>
    </row>
    <row r="109" spans="14:14" ht="15.75" customHeight="1">
      <c r="N109" s="37"/>
    </row>
    <row r="110" spans="14:14" ht="15.75" customHeight="1">
      <c r="N110" s="37"/>
    </row>
    <row r="111" spans="14:14" ht="15.75" customHeight="1">
      <c r="N111" s="37"/>
    </row>
    <row r="112" spans="14:14" ht="15.75" customHeight="1">
      <c r="N112" s="37"/>
    </row>
    <row r="113" spans="14:14" ht="15.75" customHeight="1">
      <c r="N113" s="37"/>
    </row>
    <row r="114" spans="14:14" ht="15.75" customHeight="1">
      <c r="N114" s="37"/>
    </row>
    <row r="115" spans="14:14" ht="15.75" customHeight="1">
      <c r="N115" s="37"/>
    </row>
    <row r="116" spans="14:14" ht="15.75" customHeight="1">
      <c r="N116" s="37"/>
    </row>
    <row r="117" spans="14:14" ht="15.75" customHeight="1">
      <c r="N117" s="37"/>
    </row>
    <row r="118" spans="14:14" ht="15.75" customHeight="1">
      <c r="N118" s="37"/>
    </row>
    <row r="119" spans="14:14" ht="15.75" customHeight="1">
      <c r="N119" s="37"/>
    </row>
    <row r="120" spans="14:14" ht="15.75" customHeight="1">
      <c r="N120" s="37"/>
    </row>
    <row r="121" spans="14:14" ht="15.75" customHeight="1">
      <c r="N121" s="37"/>
    </row>
    <row r="122" spans="14:14" ht="15.75" customHeight="1">
      <c r="N122" s="37"/>
    </row>
    <row r="123" spans="14:14" ht="15.75" customHeight="1">
      <c r="N123" s="37"/>
    </row>
    <row r="124" spans="14:14" ht="15.75" customHeight="1">
      <c r="N124" s="37"/>
    </row>
    <row r="125" spans="14:14" ht="15.75" customHeight="1">
      <c r="N125" s="37"/>
    </row>
    <row r="126" spans="14:14" ht="15.75" customHeight="1">
      <c r="N126" s="37"/>
    </row>
    <row r="127" spans="14:14" ht="15.75" customHeight="1">
      <c r="N127" s="37"/>
    </row>
    <row r="128" spans="14:14" ht="15.75" customHeight="1">
      <c r="N128" s="37"/>
    </row>
    <row r="129" spans="14:14" ht="15.75" customHeight="1">
      <c r="N129" s="37"/>
    </row>
    <row r="130" spans="14:14" ht="15.75" customHeight="1">
      <c r="N130" s="37"/>
    </row>
    <row r="131" spans="14:14" ht="15.75" customHeight="1">
      <c r="N131" s="37"/>
    </row>
    <row r="132" spans="14:14" ht="15.75" customHeight="1">
      <c r="N132" s="37"/>
    </row>
    <row r="133" spans="14:14" ht="15.75" customHeight="1">
      <c r="N133" s="37"/>
    </row>
    <row r="134" spans="14:14" ht="15.75" customHeight="1">
      <c r="N134" s="37"/>
    </row>
    <row r="135" spans="14:14" ht="15.75" customHeight="1">
      <c r="N135" s="37"/>
    </row>
    <row r="136" spans="14:14" ht="15.75" customHeight="1">
      <c r="N136" s="37"/>
    </row>
    <row r="137" spans="14:14" ht="15.75" customHeight="1">
      <c r="N137" s="37"/>
    </row>
    <row r="138" spans="14:14" ht="15.75" customHeight="1">
      <c r="N138" s="37"/>
    </row>
    <row r="139" spans="14:14" ht="15.75" customHeight="1">
      <c r="N139" s="37"/>
    </row>
    <row r="140" spans="14:14" ht="15.75" customHeight="1">
      <c r="N140" s="37"/>
    </row>
    <row r="141" spans="14:14" ht="15.75" customHeight="1">
      <c r="N141" s="37"/>
    </row>
    <row r="142" spans="14:14" ht="15.75" customHeight="1">
      <c r="N142" s="37"/>
    </row>
    <row r="143" spans="14:14" ht="15.75" customHeight="1">
      <c r="N143" s="37"/>
    </row>
    <row r="144" spans="14:14" ht="15.75" customHeight="1">
      <c r="N144" s="37"/>
    </row>
    <row r="145" spans="14:14" ht="15.75" customHeight="1">
      <c r="N145" s="37"/>
    </row>
    <row r="146" spans="14:14" ht="15.75" customHeight="1">
      <c r="N146" s="37"/>
    </row>
    <row r="147" spans="14:14" ht="15.75" customHeight="1">
      <c r="N147" s="37"/>
    </row>
    <row r="148" spans="14:14" ht="15.75" customHeight="1">
      <c r="N148" s="37"/>
    </row>
    <row r="149" spans="14:14" ht="15.75" customHeight="1">
      <c r="N149" s="37"/>
    </row>
    <row r="150" spans="14:14" ht="15.75" customHeight="1">
      <c r="N150" s="37"/>
    </row>
    <row r="151" spans="14:14" ht="15.75" customHeight="1">
      <c r="N151" s="37"/>
    </row>
    <row r="152" spans="14:14" ht="15.75" customHeight="1">
      <c r="N152" s="37"/>
    </row>
    <row r="153" spans="14:14" ht="15.75" customHeight="1">
      <c r="N153" s="37"/>
    </row>
    <row r="154" spans="14:14" ht="15.75" customHeight="1">
      <c r="N154" s="37"/>
    </row>
    <row r="155" spans="14:14" ht="15.75" customHeight="1">
      <c r="N155" s="37"/>
    </row>
    <row r="156" spans="14:14" ht="15.75" customHeight="1">
      <c r="N156" s="37"/>
    </row>
    <row r="157" spans="14:14" ht="15.75" customHeight="1">
      <c r="N157" s="37"/>
    </row>
    <row r="158" spans="14:14" ht="15.75" customHeight="1">
      <c r="N158" s="37"/>
    </row>
    <row r="159" spans="14:14" ht="15.75" customHeight="1">
      <c r="N159" s="37"/>
    </row>
    <row r="160" spans="14:14" ht="15.75" customHeight="1">
      <c r="N160" s="37"/>
    </row>
    <row r="161" spans="14:14" ht="15.75" customHeight="1">
      <c r="N161" s="37"/>
    </row>
    <row r="162" spans="14:14" ht="15.75" customHeight="1">
      <c r="N162" s="37"/>
    </row>
    <row r="163" spans="14:14" ht="15.75" customHeight="1">
      <c r="N163" s="37"/>
    </row>
    <row r="164" spans="14:14" ht="15.75" customHeight="1">
      <c r="N164" s="37"/>
    </row>
    <row r="165" spans="14:14" ht="15.75" customHeight="1">
      <c r="N165" s="37"/>
    </row>
    <row r="166" spans="14:14" ht="15.75" customHeight="1">
      <c r="N166" s="37"/>
    </row>
    <row r="167" spans="14:14" ht="15.75" customHeight="1">
      <c r="N167" s="37"/>
    </row>
    <row r="168" spans="14:14" ht="15.75" customHeight="1">
      <c r="N168" s="37"/>
    </row>
    <row r="169" spans="14:14" ht="15.75" customHeight="1">
      <c r="N169" s="37"/>
    </row>
    <row r="170" spans="14:14" ht="15.75" customHeight="1">
      <c r="N170" s="37"/>
    </row>
    <row r="171" spans="14:14" ht="15.75" customHeight="1">
      <c r="N171" s="37"/>
    </row>
    <row r="172" spans="14:14" ht="15.75" customHeight="1">
      <c r="N172" s="37"/>
    </row>
    <row r="173" spans="14:14" ht="15.75" customHeight="1">
      <c r="N173" s="37"/>
    </row>
    <row r="174" spans="14:14" ht="15.75" customHeight="1">
      <c r="N174" s="37"/>
    </row>
    <row r="175" spans="14:14" ht="15.75" customHeight="1">
      <c r="N175" s="37"/>
    </row>
    <row r="176" spans="14:14" ht="15.75" customHeight="1">
      <c r="N176" s="37"/>
    </row>
    <row r="177" spans="14:14" ht="15.75" customHeight="1">
      <c r="N177" s="37"/>
    </row>
    <row r="178" spans="14:14" ht="15.75" customHeight="1">
      <c r="N178" s="37"/>
    </row>
    <row r="179" spans="14:14" ht="15.75" customHeight="1">
      <c r="N179" s="37"/>
    </row>
    <row r="180" spans="14:14" ht="15.75" customHeight="1">
      <c r="N180" s="37"/>
    </row>
    <row r="181" spans="14:14" ht="15.75" customHeight="1">
      <c r="N181" s="37"/>
    </row>
    <row r="182" spans="14:14" ht="15.75" customHeight="1">
      <c r="N182" s="37"/>
    </row>
    <row r="183" spans="14:14" ht="15.75" customHeight="1">
      <c r="N183" s="37"/>
    </row>
    <row r="184" spans="14:14" ht="15.75" customHeight="1">
      <c r="N184" s="37"/>
    </row>
    <row r="185" spans="14:14" ht="15.75" customHeight="1">
      <c r="N185" s="37"/>
    </row>
    <row r="186" spans="14:14" ht="15.75" customHeight="1">
      <c r="N186" s="37"/>
    </row>
    <row r="187" spans="14:14" ht="15.75" customHeight="1">
      <c r="N187" s="37"/>
    </row>
    <row r="188" spans="14:14" ht="15.75" customHeight="1">
      <c r="N188" s="37"/>
    </row>
    <row r="189" spans="14:14" ht="15.75" customHeight="1">
      <c r="N189" s="37"/>
    </row>
    <row r="190" spans="14:14" ht="15.75" customHeight="1">
      <c r="N190" s="37"/>
    </row>
    <row r="191" spans="14:14" ht="15.75" customHeight="1">
      <c r="N191" s="37"/>
    </row>
    <row r="192" spans="14:14" ht="15.75" customHeight="1">
      <c r="N192" s="37"/>
    </row>
    <row r="193" spans="14:14" ht="15.75" customHeight="1">
      <c r="N193" s="37"/>
    </row>
    <row r="194" spans="14:14" ht="15.75" customHeight="1">
      <c r="N194" s="37"/>
    </row>
    <row r="195" spans="14:14" ht="15.75" customHeight="1">
      <c r="N195" s="37"/>
    </row>
    <row r="196" spans="14:14" ht="15.75" customHeight="1">
      <c r="N196" s="37"/>
    </row>
    <row r="197" spans="14:14" ht="15.75" customHeight="1">
      <c r="N197" s="37"/>
    </row>
    <row r="198" spans="14:14" ht="15.75" customHeight="1">
      <c r="N198" s="37"/>
    </row>
    <row r="199" spans="14:14" ht="15.75" customHeight="1">
      <c r="N199" s="37"/>
    </row>
    <row r="200" spans="14:14" ht="15.75" customHeight="1">
      <c r="N200" s="37"/>
    </row>
    <row r="201" spans="14:14" ht="15.75" customHeight="1">
      <c r="N201" s="37"/>
    </row>
    <row r="202" spans="14:14" ht="15.75" customHeight="1">
      <c r="N202" s="37"/>
    </row>
    <row r="203" spans="14:14" ht="15.75" customHeight="1">
      <c r="N203" s="37"/>
    </row>
    <row r="204" spans="14:14" ht="15.75" customHeight="1">
      <c r="N204" s="37"/>
    </row>
    <row r="205" spans="14:14" ht="15.75" customHeight="1">
      <c r="N205" s="37"/>
    </row>
    <row r="206" spans="14:14" ht="15.75" customHeight="1">
      <c r="N206" s="37"/>
    </row>
    <row r="207" spans="14:14" ht="15.75" customHeight="1">
      <c r="N207" s="37"/>
    </row>
    <row r="208" spans="14:14" ht="15.75" customHeight="1">
      <c r="N208" s="37"/>
    </row>
    <row r="209" spans="14:14" ht="15.75" customHeight="1">
      <c r="N209" s="37"/>
    </row>
    <row r="210" spans="14:14" ht="15.75" customHeight="1">
      <c r="N210" s="37"/>
    </row>
    <row r="211" spans="14:14" ht="15.75" customHeight="1">
      <c r="N211" s="37"/>
    </row>
    <row r="212" spans="14:14" ht="15.75" customHeight="1">
      <c r="N212" s="37"/>
    </row>
    <row r="213" spans="14:14" ht="15.75" customHeight="1">
      <c r="N213" s="37"/>
    </row>
    <row r="214" spans="14:14" ht="15.75" customHeight="1">
      <c r="N214" s="37"/>
    </row>
    <row r="215" spans="14:14" ht="15.75" customHeight="1">
      <c r="N215" s="37"/>
    </row>
    <row r="216" spans="14:14" ht="15.75" customHeight="1">
      <c r="N216" s="37"/>
    </row>
    <row r="217" spans="14:14" ht="15.75" customHeight="1">
      <c r="N217" s="37"/>
    </row>
    <row r="218" spans="14:14" ht="15.75" customHeight="1">
      <c r="N218" s="37"/>
    </row>
    <row r="219" spans="14:14" ht="15.75" customHeight="1">
      <c r="N219" s="37"/>
    </row>
    <row r="220" spans="14:14" ht="15.75" customHeight="1">
      <c r="N220" s="37"/>
    </row>
    <row r="221" spans="14:14" ht="15.75" customHeight="1">
      <c r="N221" s="37"/>
    </row>
    <row r="222" spans="14:14" ht="15.75" customHeight="1">
      <c r="N222" s="37"/>
    </row>
    <row r="223" spans="14:14" ht="15.75" customHeight="1">
      <c r="N223" s="37"/>
    </row>
    <row r="224" spans="14:14" ht="15.75" customHeight="1">
      <c r="N224" s="37"/>
    </row>
    <row r="225" spans="14:14" ht="15.75" customHeight="1">
      <c r="N225" s="37"/>
    </row>
    <row r="226" spans="14:14" ht="15.75" customHeight="1">
      <c r="N226" s="37"/>
    </row>
    <row r="227" spans="14:14" ht="15.75" customHeight="1">
      <c r="N227" s="37"/>
    </row>
    <row r="228" spans="14:14" ht="15.75" customHeight="1">
      <c r="N228" s="37"/>
    </row>
    <row r="229" spans="14:14" ht="15.75" customHeight="1">
      <c r="N229" s="37"/>
    </row>
    <row r="230" spans="14:14" ht="15.75" customHeight="1">
      <c r="N230" s="37"/>
    </row>
    <row r="231" spans="14:14" ht="15.75" customHeight="1">
      <c r="N231" s="37"/>
    </row>
    <row r="232" spans="14:14" ht="15.75" customHeight="1">
      <c r="N232" s="37"/>
    </row>
    <row r="233" spans="14:14" ht="15.75" customHeight="1">
      <c r="N233" s="37"/>
    </row>
    <row r="234" spans="14:14" ht="15.75" customHeight="1">
      <c r="N234" s="37"/>
    </row>
    <row r="235" spans="14:14" ht="15.75" customHeight="1">
      <c r="N235" s="37"/>
    </row>
    <row r="236" spans="14:14" ht="15.75" customHeight="1">
      <c r="N236" s="37"/>
    </row>
    <row r="237" spans="14:14" ht="15.75" customHeight="1">
      <c r="N237" s="37"/>
    </row>
    <row r="238" spans="14:14" ht="15.75" customHeight="1">
      <c r="N238" s="37"/>
    </row>
    <row r="239" spans="14:14" ht="15.75" customHeight="1">
      <c r="N239" s="37"/>
    </row>
    <row r="240" spans="14:14" ht="15.75" customHeight="1">
      <c r="N240" s="37"/>
    </row>
    <row r="241" spans="14:14" ht="15.75" customHeight="1">
      <c r="N241" s="37"/>
    </row>
    <row r="242" spans="14:14" ht="15.75" customHeight="1">
      <c r="N242" s="37"/>
    </row>
    <row r="243" spans="14:14" ht="15.75" customHeight="1">
      <c r="N243" s="37"/>
    </row>
    <row r="244" spans="14:14" ht="15.75" customHeight="1">
      <c r="N244" s="37"/>
    </row>
    <row r="245" spans="14:14" ht="15.75" customHeight="1">
      <c r="N245" s="37"/>
    </row>
    <row r="246" spans="14:14" ht="15.75" customHeight="1">
      <c r="N246" s="37"/>
    </row>
    <row r="247" spans="14:14" ht="15.75" customHeight="1">
      <c r="N247" s="37"/>
    </row>
    <row r="248" spans="14:14" ht="15.75" customHeight="1">
      <c r="N248" s="37"/>
    </row>
    <row r="249" spans="14:14" ht="15.75" customHeight="1">
      <c r="N249" s="37"/>
    </row>
    <row r="250" spans="14:14" ht="15.75" customHeight="1">
      <c r="N250" s="37"/>
    </row>
    <row r="251" spans="14:14" ht="15.75" customHeight="1">
      <c r="N251" s="37"/>
    </row>
    <row r="252" spans="14:14" ht="15.75" customHeight="1">
      <c r="N252" s="37"/>
    </row>
    <row r="253" spans="14:14" ht="15.75" customHeight="1">
      <c r="N253" s="37"/>
    </row>
    <row r="254" spans="14:14" ht="15.75" customHeight="1">
      <c r="N254" s="37"/>
    </row>
    <row r="255" spans="14:14" ht="15.75" customHeight="1">
      <c r="N255" s="37"/>
    </row>
    <row r="256" spans="14:14" ht="15.75" customHeight="1">
      <c r="N256" s="37"/>
    </row>
    <row r="257" spans="14:14" ht="15.75" customHeight="1">
      <c r="N257" s="37"/>
    </row>
    <row r="258" spans="14:14" ht="15.75" customHeight="1">
      <c r="N258" s="37"/>
    </row>
    <row r="259" spans="14:14" ht="15.75" customHeight="1">
      <c r="N259" s="37"/>
    </row>
    <row r="260" spans="14:14" ht="15.75" customHeight="1">
      <c r="N260" s="37"/>
    </row>
    <row r="261" spans="14:14" ht="15.75" customHeight="1">
      <c r="N261" s="37"/>
    </row>
    <row r="262" spans="14:14" ht="15.75" customHeight="1">
      <c r="N262" s="37"/>
    </row>
    <row r="263" spans="14:14" ht="15.75" customHeight="1">
      <c r="N263" s="37"/>
    </row>
    <row r="264" spans="14:14" ht="15.75" customHeight="1">
      <c r="N264" s="37"/>
    </row>
    <row r="265" spans="14:14" ht="15.75" customHeight="1">
      <c r="N265" s="37"/>
    </row>
    <row r="266" spans="14:14" ht="15.75" customHeight="1">
      <c r="N266" s="37"/>
    </row>
    <row r="267" spans="14:14" ht="15.75" customHeight="1">
      <c r="N267" s="37"/>
    </row>
    <row r="268" spans="14:14" ht="15.75" customHeight="1">
      <c r="N268" s="37"/>
    </row>
    <row r="269" spans="14:14" ht="15.75" customHeight="1">
      <c r="N269" s="37"/>
    </row>
    <row r="270" spans="14:14" ht="15.75" customHeight="1">
      <c r="N270" s="37"/>
    </row>
    <row r="271" spans="14:14" ht="15.75" customHeight="1">
      <c r="N271" s="37"/>
    </row>
    <row r="272" spans="14:14" ht="15.75" customHeight="1">
      <c r="N272" s="37"/>
    </row>
    <row r="273" spans="14:14" ht="15.75" customHeight="1">
      <c r="N273" s="37"/>
    </row>
    <row r="274" spans="14:14" ht="15.75" customHeight="1">
      <c r="N274" s="37"/>
    </row>
    <row r="275" spans="14:14" ht="15.75" customHeight="1">
      <c r="N275" s="37"/>
    </row>
    <row r="276" spans="14:14" ht="15.75" customHeight="1">
      <c r="N276" s="37"/>
    </row>
    <row r="277" spans="14:14" ht="15.75" customHeight="1">
      <c r="N277" s="37"/>
    </row>
    <row r="278" spans="14:14" ht="15.75" customHeight="1">
      <c r="N278" s="37"/>
    </row>
    <row r="279" spans="14:14" ht="15.75" customHeight="1">
      <c r="N279" s="37"/>
    </row>
    <row r="280" spans="14:14" ht="15.75" customHeight="1">
      <c r="N280" s="37"/>
    </row>
    <row r="281" spans="14:14" ht="15.75" customHeight="1">
      <c r="N281" s="37"/>
    </row>
    <row r="282" spans="14:14" ht="15.75" customHeight="1">
      <c r="N282" s="37"/>
    </row>
    <row r="283" spans="14:14" ht="15.75" customHeight="1">
      <c r="N283" s="37"/>
    </row>
    <row r="284" spans="14:14" ht="15.75" customHeight="1">
      <c r="N284" s="37"/>
    </row>
    <row r="285" spans="14:14" ht="15.75" customHeight="1">
      <c r="N285" s="37"/>
    </row>
    <row r="286" spans="14:14" ht="15.75" customHeight="1">
      <c r="N286" s="37"/>
    </row>
    <row r="287" spans="14:14" ht="15.75" customHeight="1">
      <c r="N287" s="37"/>
    </row>
    <row r="288" spans="14:14" ht="15.75" customHeight="1">
      <c r="N288" s="37"/>
    </row>
    <row r="289" spans="14:14" ht="15.75" customHeight="1">
      <c r="N289" s="37"/>
    </row>
    <row r="290" spans="14:14" ht="15.75" customHeight="1">
      <c r="N290" s="37"/>
    </row>
    <row r="291" spans="14:14" ht="15.75" customHeight="1">
      <c r="N291" s="37"/>
    </row>
    <row r="292" spans="14:14" ht="15.75" customHeight="1">
      <c r="N292" s="37"/>
    </row>
    <row r="293" spans="14:14" ht="15.75" customHeight="1">
      <c r="N293" s="37"/>
    </row>
    <row r="294" spans="14:14" ht="15.75" customHeight="1">
      <c r="N294" s="37"/>
    </row>
    <row r="295" spans="14:14" ht="15.75" customHeight="1">
      <c r="N295" s="37"/>
    </row>
    <row r="296" spans="14:14" ht="15.75" customHeight="1">
      <c r="N296" s="37"/>
    </row>
    <row r="297" spans="14:14" ht="15.75" customHeight="1">
      <c r="N297" s="37"/>
    </row>
    <row r="298" spans="14:14" ht="15.75" customHeight="1">
      <c r="N298" s="37"/>
    </row>
    <row r="299" spans="14:14" ht="15.75" customHeight="1">
      <c r="N299" s="37"/>
    </row>
    <row r="300" spans="14:14" ht="15.75" customHeight="1">
      <c r="N300" s="37"/>
    </row>
    <row r="301" spans="14:14" ht="15.75" customHeight="1">
      <c r="N301" s="37"/>
    </row>
    <row r="302" spans="14:14" ht="15.75" customHeight="1">
      <c r="N302" s="37"/>
    </row>
    <row r="303" spans="14:14" ht="15.75" customHeight="1">
      <c r="N303" s="37"/>
    </row>
    <row r="304" spans="14:14" ht="15.75" customHeight="1">
      <c r="N304" s="37"/>
    </row>
    <row r="305" spans="14:14" ht="15.75" customHeight="1">
      <c r="N305" s="37"/>
    </row>
    <row r="306" spans="14:14" ht="15.75" customHeight="1">
      <c r="N306" s="37"/>
    </row>
    <row r="307" spans="14:14" ht="15.75" customHeight="1">
      <c r="N307" s="37"/>
    </row>
    <row r="308" spans="14:14" ht="15.75" customHeight="1">
      <c r="N308" s="37"/>
    </row>
    <row r="309" spans="14:14" ht="15.75" customHeight="1">
      <c r="N309" s="37"/>
    </row>
    <row r="310" spans="14:14" ht="15.75" customHeight="1">
      <c r="N310" s="37"/>
    </row>
    <row r="311" spans="14:14" ht="15.75" customHeight="1">
      <c r="N311" s="37"/>
    </row>
    <row r="312" spans="14:14" ht="15.75" customHeight="1">
      <c r="N312" s="37"/>
    </row>
    <row r="313" spans="14:14" ht="15.75" customHeight="1">
      <c r="N313" s="37"/>
    </row>
    <row r="314" spans="14:14" ht="15.75" customHeight="1">
      <c r="N314" s="37"/>
    </row>
    <row r="315" spans="14:14" ht="15.75" customHeight="1">
      <c r="N315" s="37"/>
    </row>
    <row r="316" spans="14:14" ht="15.75" customHeight="1">
      <c r="N316" s="37"/>
    </row>
    <row r="317" spans="14:14" ht="15.75" customHeight="1">
      <c r="N317" s="37"/>
    </row>
    <row r="318" spans="14:14" ht="15.75" customHeight="1">
      <c r="N318" s="37"/>
    </row>
    <row r="319" spans="14:14" ht="15.75" customHeight="1">
      <c r="N319" s="37"/>
    </row>
    <row r="320" spans="14:14" ht="15.75" customHeight="1">
      <c r="N320" s="37"/>
    </row>
    <row r="321" spans="14:14" ht="15.75" customHeight="1">
      <c r="N321" s="37"/>
    </row>
    <row r="322" spans="14:14" ht="15.75" customHeight="1">
      <c r="N322" s="37"/>
    </row>
    <row r="323" spans="14:14" ht="15.75" customHeight="1">
      <c r="N323" s="37"/>
    </row>
    <row r="324" spans="14:14" ht="15.75" customHeight="1">
      <c r="N324" s="37"/>
    </row>
    <row r="325" spans="14:14" ht="15.75" customHeight="1">
      <c r="N325" s="37"/>
    </row>
    <row r="326" spans="14:14" ht="15.75" customHeight="1">
      <c r="N326" s="37"/>
    </row>
    <row r="327" spans="14:14" ht="15.75" customHeight="1">
      <c r="N327" s="37"/>
    </row>
    <row r="328" spans="14:14" ht="15.75" customHeight="1">
      <c r="N328" s="37"/>
    </row>
    <row r="329" spans="14:14" ht="15.75" customHeight="1">
      <c r="N329" s="37"/>
    </row>
    <row r="330" spans="14:14" ht="15.75" customHeight="1">
      <c r="N330" s="37"/>
    </row>
    <row r="331" spans="14:14" ht="15.75" customHeight="1">
      <c r="N331" s="37"/>
    </row>
    <row r="332" spans="14:14" ht="15.75" customHeight="1">
      <c r="N332" s="37"/>
    </row>
    <row r="333" spans="14:14" ht="15.75" customHeight="1">
      <c r="N333" s="37"/>
    </row>
    <row r="334" spans="14:14" ht="15.75" customHeight="1">
      <c r="N334" s="37"/>
    </row>
    <row r="335" spans="14:14" ht="15.75" customHeight="1">
      <c r="N335" s="37"/>
    </row>
    <row r="336" spans="14:14" ht="15.75" customHeight="1">
      <c r="N336" s="37"/>
    </row>
    <row r="337" spans="14:14" ht="15.75" customHeight="1">
      <c r="N337" s="37"/>
    </row>
    <row r="338" spans="14:14" ht="15.75" customHeight="1">
      <c r="N338" s="37"/>
    </row>
    <row r="339" spans="14:14" ht="15.75" customHeight="1">
      <c r="N339" s="37"/>
    </row>
    <row r="340" spans="14:14" ht="15.75" customHeight="1">
      <c r="N340" s="37"/>
    </row>
    <row r="341" spans="14:14" ht="15.75" customHeight="1">
      <c r="N341" s="37"/>
    </row>
    <row r="342" spans="14:14" ht="15.75" customHeight="1">
      <c r="N342" s="37"/>
    </row>
    <row r="343" spans="14:14" ht="15.75" customHeight="1">
      <c r="N343" s="37"/>
    </row>
    <row r="344" spans="14:14" ht="15.75" customHeight="1">
      <c r="N344" s="37"/>
    </row>
    <row r="345" spans="14:14" ht="15.75" customHeight="1">
      <c r="N345" s="37"/>
    </row>
    <row r="346" spans="14:14" ht="15.75" customHeight="1">
      <c r="N346" s="37"/>
    </row>
    <row r="347" spans="14:14" ht="15.75" customHeight="1">
      <c r="N347" s="37"/>
    </row>
    <row r="348" spans="14:14" ht="15.75" customHeight="1">
      <c r="N348" s="37"/>
    </row>
    <row r="349" spans="14:14" ht="15.75" customHeight="1">
      <c r="N349" s="37"/>
    </row>
    <row r="350" spans="14:14" ht="15.75" customHeight="1">
      <c r="N350" s="37"/>
    </row>
    <row r="351" spans="14:14" ht="15.75" customHeight="1">
      <c r="N351" s="37"/>
    </row>
    <row r="352" spans="14:14" ht="15.75" customHeight="1">
      <c r="N352" s="37"/>
    </row>
    <row r="353" spans="14:14" ht="15.75" customHeight="1">
      <c r="N353" s="37"/>
    </row>
    <row r="354" spans="14:14" ht="15.75" customHeight="1">
      <c r="N354" s="37"/>
    </row>
    <row r="355" spans="14:14" ht="15.75" customHeight="1">
      <c r="N355" s="37"/>
    </row>
    <row r="356" spans="14:14" ht="15.75" customHeight="1">
      <c r="N356" s="37"/>
    </row>
    <row r="357" spans="14:14" ht="15.75" customHeight="1">
      <c r="N357" s="37"/>
    </row>
    <row r="358" spans="14:14" ht="15.75" customHeight="1">
      <c r="N358" s="37"/>
    </row>
    <row r="359" spans="14:14" ht="15.75" customHeight="1">
      <c r="N359" s="37"/>
    </row>
    <row r="360" spans="14:14" ht="15.75" customHeight="1">
      <c r="N360" s="37"/>
    </row>
    <row r="361" spans="14:14" ht="15.75" customHeight="1">
      <c r="N361" s="37"/>
    </row>
    <row r="362" spans="14:14" ht="15.75" customHeight="1">
      <c r="N362" s="37"/>
    </row>
    <row r="363" spans="14:14" ht="15.75" customHeight="1">
      <c r="N363" s="37"/>
    </row>
    <row r="364" spans="14:14" ht="15.75" customHeight="1">
      <c r="N364" s="37"/>
    </row>
    <row r="365" spans="14:14" ht="15.75" customHeight="1">
      <c r="N365" s="37"/>
    </row>
    <row r="366" spans="14:14" ht="15.75" customHeight="1">
      <c r="N366" s="37"/>
    </row>
    <row r="367" spans="14:14" ht="15.75" customHeight="1">
      <c r="N367" s="37"/>
    </row>
    <row r="368" spans="14:14" ht="15.75" customHeight="1">
      <c r="N368" s="37"/>
    </row>
    <row r="369" spans="14:14" ht="15.75" customHeight="1">
      <c r="N369" s="37"/>
    </row>
    <row r="370" spans="14:14" ht="15.75" customHeight="1">
      <c r="N370" s="37"/>
    </row>
    <row r="371" spans="14:14" ht="15.75" customHeight="1">
      <c r="N371" s="37"/>
    </row>
    <row r="372" spans="14:14" ht="15.75" customHeight="1">
      <c r="N372" s="37"/>
    </row>
    <row r="373" spans="14:14" ht="15.75" customHeight="1">
      <c r="N373" s="37"/>
    </row>
    <row r="374" spans="14:14" ht="15.75" customHeight="1">
      <c r="N374" s="37"/>
    </row>
    <row r="375" spans="14:14" ht="15.75" customHeight="1">
      <c r="N375" s="37"/>
    </row>
    <row r="376" spans="14:14" ht="15.75" customHeight="1">
      <c r="N376" s="37"/>
    </row>
    <row r="377" spans="14:14" ht="15.75" customHeight="1">
      <c r="N377" s="37"/>
    </row>
    <row r="378" spans="14:14" ht="15.75" customHeight="1">
      <c r="N378" s="37"/>
    </row>
    <row r="379" spans="14:14" ht="15.75" customHeight="1">
      <c r="N379" s="37"/>
    </row>
    <row r="380" spans="14:14" ht="15.75" customHeight="1">
      <c r="N380" s="37"/>
    </row>
    <row r="381" spans="14:14" ht="15.75" customHeight="1">
      <c r="N381" s="37"/>
    </row>
    <row r="382" spans="14:14" ht="15.75" customHeight="1">
      <c r="N382" s="37"/>
    </row>
    <row r="383" spans="14:14" ht="15.75" customHeight="1">
      <c r="N383" s="37"/>
    </row>
    <row r="384" spans="14:14" ht="15.75" customHeight="1">
      <c r="N384" s="37"/>
    </row>
    <row r="385" spans="14:14" ht="15.75" customHeight="1">
      <c r="N385" s="37"/>
    </row>
    <row r="386" spans="14:14" ht="15.75" customHeight="1">
      <c r="N386" s="37"/>
    </row>
    <row r="387" spans="14:14" ht="15.75" customHeight="1">
      <c r="N387" s="37"/>
    </row>
    <row r="388" spans="14:14" ht="15.75" customHeight="1">
      <c r="N388" s="37"/>
    </row>
    <row r="389" spans="14:14" ht="15.75" customHeight="1">
      <c r="N389" s="37"/>
    </row>
    <row r="390" spans="14:14" ht="15.75" customHeight="1">
      <c r="N390" s="37"/>
    </row>
    <row r="391" spans="14:14" ht="15.75" customHeight="1">
      <c r="N391" s="37"/>
    </row>
    <row r="392" spans="14:14" ht="15.75" customHeight="1">
      <c r="N392" s="37"/>
    </row>
    <row r="393" spans="14:14" ht="15.75" customHeight="1">
      <c r="N393" s="37"/>
    </row>
    <row r="394" spans="14:14" ht="15.75" customHeight="1">
      <c r="N394" s="37"/>
    </row>
    <row r="395" spans="14:14" ht="15.75" customHeight="1">
      <c r="N395" s="37"/>
    </row>
    <row r="396" spans="14:14" ht="15.75" customHeight="1">
      <c r="N396" s="37"/>
    </row>
    <row r="397" spans="14:14" ht="15.75" customHeight="1">
      <c r="N397" s="37"/>
    </row>
    <row r="398" spans="14:14" ht="15.75" customHeight="1">
      <c r="N398" s="37"/>
    </row>
    <row r="399" spans="14:14" ht="15.75" customHeight="1">
      <c r="N399" s="37"/>
    </row>
    <row r="400" spans="14:14" ht="15.75" customHeight="1">
      <c r="N400" s="37"/>
    </row>
    <row r="401" spans="14:14" ht="15.75" customHeight="1">
      <c r="N401" s="37"/>
    </row>
    <row r="402" spans="14:14" ht="15.75" customHeight="1">
      <c r="N402" s="37"/>
    </row>
    <row r="403" spans="14:14" ht="15.75" customHeight="1">
      <c r="N403" s="37"/>
    </row>
    <row r="404" spans="14:14" ht="15.75" customHeight="1">
      <c r="N404" s="37"/>
    </row>
    <row r="405" spans="14:14" ht="15.75" customHeight="1">
      <c r="N405" s="37"/>
    </row>
    <row r="406" spans="14:14" ht="15.75" customHeight="1">
      <c r="N406" s="37"/>
    </row>
    <row r="407" spans="14:14" ht="15.75" customHeight="1">
      <c r="N407" s="37"/>
    </row>
    <row r="408" spans="14:14" ht="15.75" customHeight="1">
      <c r="N408" s="37"/>
    </row>
    <row r="409" spans="14:14" ht="15.75" customHeight="1">
      <c r="N409" s="37"/>
    </row>
    <row r="410" spans="14:14" ht="15.75" customHeight="1">
      <c r="N410" s="37"/>
    </row>
    <row r="411" spans="14:14" ht="15.75" customHeight="1">
      <c r="N411" s="37"/>
    </row>
    <row r="412" spans="14:14" ht="15.75" customHeight="1">
      <c r="N412" s="37"/>
    </row>
    <row r="413" spans="14:14" ht="15.75" customHeight="1">
      <c r="N413" s="37"/>
    </row>
    <row r="414" spans="14:14" ht="15.75" customHeight="1">
      <c r="N414" s="37"/>
    </row>
    <row r="415" spans="14:14" ht="15.75" customHeight="1">
      <c r="N415" s="37"/>
    </row>
    <row r="416" spans="14:14" ht="15.75" customHeight="1">
      <c r="N416" s="37"/>
    </row>
    <row r="417" spans="14:14" ht="15.75" customHeight="1">
      <c r="N417" s="37"/>
    </row>
    <row r="418" spans="14:14" ht="15.75" customHeight="1">
      <c r="N418" s="37"/>
    </row>
    <row r="419" spans="14:14" ht="15.75" customHeight="1">
      <c r="N419" s="37"/>
    </row>
    <row r="420" spans="14:14" ht="15.75" customHeight="1">
      <c r="N420" s="37"/>
    </row>
    <row r="421" spans="14:14" ht="15.75" customHeight="1">
      <c r="N421" s="37"/>
    </row>
    <row r="422" spans="14:14" ht="15.75" customHeight="1">
      <c r="N422" s="37"/>
    </row>
    <row r="423" spans="14:14" ht="15.75" customHeight="1">
      <c r="N423" s="37"/>
    </row>
    <row r="424" spans="14:14" ht="15.75" customHeight="1">
      <c r="N424" s="37"/>
    </row>
    <row r="425" spans="14:14" ht="15.75" customHeight="1">
      <c r="N425" s="37"/>
    </row>
    <row r="426" spans="14:14" ht="15.75" customHeight="1">
      <c r="N426" s="37"/>
    </row>
    <row r="427" spans="14:14" ht="15.75" customHeight="1">
      <c r="N427" s="37"/>
    </row>
    <row r="428" spans="14:14" ht="15.75" customHeight="1">
      <c r="N428" s="37"/>
    </row>
    <row r="429" spans="14:14" ht="15.75" customHeight="1">
      <c r="N429" s="37"/>
    </row>
    <row r="430" spans="14:14" ht="15.75" customHeight="1">
      <c r="N430" s="37"/>
    </row>
    <row r="431" spans="14:14" ht="15.75" customHeight="1">
      <c r="N431" s="37"/>
    </row>
    <row r="432" spans="14:14" ht="15.75" customHeight="1">
      <c r="N432" s="37"/>
    </row>
    <row r="433" spans="14:14" ht="15.75" customHeight="1">
      <c r="N433" s="37"/>
    </row>
    <row r="434" spans="14:14" ht="15.75" customHeight="1">
      <c r="N434" s="37"/>
    </row>
    <row r="435" spans="14:14" ht="15.75" customHeight="1">
      <c r="N435" s="37"/>
    </row>
    <row r="436" spans="14:14" ht="15.75" customHeight="1">
      <c r="N436" s="37"/>
    </row>
    <row r="437" spans="14:14" ht="15.75" customHeight="1">
      <c r="N437" s="37"/>
    </row>
    <row r="438" spans="14:14" ht="15.75" customHeight="1">
      <c r="N438" s="37"/>
    </row>
    <row r="439" spans="14:14" ht="15.75" customHeight="1">
      <c r="N439" s="37"/>
    </row>
    <row r="440" spans="14:14" ht="15.75" customHeight="1">
      <c r="N440" s="37"/>
    </row>
    <row r="441" spans="14:14" ht="15.75" customHeight="1">
      <c r="N441" s="37"/>
    </row>
    <row r="442" spans="14:14" ht="15.75" customHeight="1">
      <c r="N442" s="37"/>
    </row>
    <row r="443" spans="14:14" ht="15.75" customHeight="1">
      <c r="N443" s="37"/>
    </row>
    <row r="444" spans="14:14" ht="15.75" customHeight="1">
      <c r="N444" s="37"/>
    </row>
    <row r="445" spans="14:14" ht="15.75" customHeight="1">
      <c r="N445" s="37"/>
    </row>
    <row r="446" spans="14:14" ht="15.75" customHeight="1">
      <c r="N446" s="37"/>
    </row>
    <row r="447" spans="14:14" ht="15.75" customHeight="1">
      <c r="N447" s="37"/>
    </row>
    <row r="448" spans="14:14" ht="15.75" customHeight="1">
      <c r="N448" s="37"/>
    </row>
    <row r="449" spans="14:14" ht="15.75" customHeight="1">
      <c r="N449" s="37"/>
    </row>
    <row r="450" spans="14:14" ht="15.75" customHeight="1">
      <c r="N450" s="37"/>
    </row>
    <row r="451" spans="14:14" ht="15.75" customHeight="1">
      <c r="N451" s="37"/>
    </row>
    <row r="452" spans="14:14" ht="15.75" customHeight="1">
      <c r="N452" s="37"/>
    </row>
    <row r="453" spans="14:14" ht="15.75" customHeight="1">
      <c r="N453" s="37"/>
    </row>
    <row r="454" spans="14:14" ht="15.75" customHeight="1">
      <c r="N454" s="37"/>
    </row>
    <row r="455" spans="14:14" ht="15.75" customHeight="1">
      <c r="N455" s="37"/>
    </row>
    <row r="456" spans="14:14" ht="15.75" customHeight="1">
      <c r="N456" s="37"/>
    </row>
    <row r="457" spans="14:14" ht="15.75" customHeight="1">
      <c r="N457" s="37"/>
    </row>
    <row r="458" spans="14:14" ht="15.75" customHeight="1">
      <c r="N458" s="37"/>
    </row>
    <row r="459" spans="14:14" ht="15.75" customHeight="1">
      <c r="N459" s="37"/>
    </row>
    <row r="460" spans="14:14" ht="15.75" customHeight="1">
      <c r="N460" s="37"/>
    </row>
    <row r="461" spans="14:14" ht="15.75" customHeight="1">
      <c r="N461" s="37"/>
    </row>
    <row r="462" spans="14:14" ht="15.75" customHeight="1">
      <c r="N462" s="37"/>
    </row>
    <row r="463" spans="14:14" ht="15.75" customHeight="1">
      <c r="N463" s="37"/>
    </row>
    <row r="464" spans="14:14" ht="15.75" customHeight="1">
      <c r="N464" s="37"/>
    </row>
    <row r="465" spans="14:14" ht="15.75" customHeight="1">
      <c r="N465" s="37"/>
    </row>
    <row r="466" spans="14:14" ht="15.75" customHeight="1">
      <c r="N466" s="37"/>
    </row>
    <row r="467" spans="14:14" ht="15.75" customHeight="1">
      <c r="N467" s="37"/>
    </row>
    <row r="468" spans="14:14" ht="15.75" customHeight="1">
      <c r="N468" s="37"/>
    </row>
    <row r="469" spans="14:14" ht="15.75" customHeight="1">
      <c r="N469" s="37"/>
    </row>
    <row r="470" spans="14:14" ht="15.75" customHeight="1">
      <c r="N470" s="37"/>
    </row>
    <row r="471" spans="14:14" ht="15.75" customHeight="1">
      <c r="N471" s="37"/>
    </row>
    <row r="472" spans="14:14" ht="15.75" customHeight="1">
      <c r="N472" s="37"/>
    </row>
    <row r="473" spans="14:14" ht="15.75" customHeight="1">
      <c r="N473" s="37"/>
    </row>
    <row r="474" spans="14:14" ht="15.75" customHeight="1">
      <c r="N474" s="37"/>
    </row>
    <row r="475" spans="14:14" ht="15.75" customHeight="1">
      <c r="N475" s="37"/>
    </row>
    <row r="476" spans="14:14" ht="15.75" customHeight="1">
      <c r="N476" s="37"/>
    </row>
    <row r="477" spans="14:14" ht="15.75" customHeight="1">
      <c r="N477" s="37"/>
    </row>
    <row r="478" spans="14:14" ht="15.75" customHeight="1">
      <c r="N478" s="37"/>
    </row>
    <row r="479" spans="14:14" ht="15.75" customHeight="1">
      <c r="N479" s="37"/>
    </row>
    <row r="480" spans="14:14" ht="15.75" customHeight="1">
      <c r="N480" s="37"/>
    </row>
    <row r="481" spans="14:14" ht="15.75" customHeight="1">
      <c r="N481" s="37"/>
    </row>
    <row r="482" spans="14:14" ht="15.75" customHeight="1">
      <c r="N482" s="37"/>
    </row>
    <row r="483" spans="14:14" ht="15.75" customHeight="1">
      <c r="N483" s="37"/>
    </row>
    <row r="484" spans="14:14" ht="15.75" customHeight="1">
      <c r="N484" s="37"/>
    </row>
    <row r="485" spans="14:14" ht="15.75" customHeight="1">
      <c r="N485" s="37"/>
    </row>
    <row r="486" spans="14:14" ht="15.75" customHeight="1">
      <c r="N486" s="37"/>
    </row>
    <row r="487" spans="14:14" ht="15.75" customHeight="1">
      <c r="N487" s="37"/>
    </row>
    <row r="488" spans="14:14" ht="15.75" customHeight="1">
      <c r="N488" s="37"/>
    </row>
    <row r="489" spans="14:14" ht="15.75" customHeight="1">
      <c r="N489" s="37"/>
    </row>
    <row r="490" spans="14:14" ht="15.75" customHeight="1">
      <c r="N490" s="37"/>
    </row>
    <row r="491" spans="14:14" ht="15.75" customHeight="1">
      <c r="N491" s="37"/>
    </row>
    <row r="492" spans="14:14" ht="15.75" customHeight="1">
      <c r="N492" s="37"/>
    </row>
    <row r="493" spans="14:14" ht="15.75" customHeight="1">
      <c r="N493" s="37"/>
    </row>
    <row r="494" spans="14:14" ht="15.75" customHeight="1">
      <c r="N494" s="37"/>
    </row>
    <row r="495" spans="14:14" ht="15.75" customHeight="1">
      <c r="N495" s="37"/>
    </row>
    <row r="496" spans="14:14" ht="15.75" customHeight="1">
      <c r="N496" s="37"/>
    </row>
    <row r="497" spans="14:14" ht="15.75" customHeight="1">
      <c r="N497" s="37"/>
    </row>
    <row r="498" spans="14:14" ht="15.75" customHeight="1">
      <c r="N498" s="37"/>
    </row>
    <row r="499" spans="14:14" ht="15.75" customHeight="1">
      <c r="N499" s="37"/>
    </row>
    <row r="500" spans="14:14" ht="15.75" customHeight="1">
      <c r="N500" s="37"/>
    </row>
    <row r="501" spans="14:14" ht="15.75" customHeight="1">
      <c r="N501" s="37"/>
    </row>
    <row r="502" spans="14:14" ht="15.75" customHeight="1">
      <c r="N502" s="37"/>
    </row>
    <row r="503" spans="14:14" ht="15.75" customHeight="1">
      <c r="N503" s="37"/>
    </row>
    <row r="504" spans="14:14" ht="15.75" customHeight="1">
      <c r="N504" s="37"/>
    </row>
    <row r="505" spans="14:14" ht="15.75" customHeight="1">
      <c r="N505" s="37"/>
    </row>
    <row r="506" spans="14:14" ht="15.75" customHeight="1">
      <c r="N506" s="37"/>
    </row>
    <row r="507" spans="14:14" ht="15.75" customHeight="1">
      <c r="N507" s="37"/>
    </row>
    <row r="508" spans="14:14" ht="15.75" customHeight="1">
      <c r="N508" s="37"/>
    </row>
    <row r="509" spans="14:14" ht="15.75" customHeight="1">
      <c r="N509" s="37"/>
    </row>
    <row r="510" spans="14:14" ht="15.75" customHeight="1">
      <c r="N510" s="37"/>
    </row>
    <row r="511" spans="14:14" ht="15.75" customHeight="1">
      <c r="N511" s="37"/>
    </row>
    <row r="512" spans="14:14" ht="15.75" customHeight="1">
      <c r="N512" s="37"/>
    </row>
    <row r="513" spans="14:14" ht="15.75" customHeight="1">
      <c r="N513" s="37"/>
    </row>
    <row r="514" spans="14:14" ht="15.75" customHeight="1">
      <c r="N514" s="37"/>
    </row>
    <row r="515" spans="14:14" ht="15.75" customHeight="1">
      <c r="N515" s="37"/>
    </row>
    <row r="516" spans="14:14" ht="15.75" customHeight="1">
      <c r="N516" s="37"/>
    </row>
    <row r="517" spans="14:14" ht="15.75" customHeight="1">
      <c r="N517" s="37"/>
    </row>
    <row r="518" spans="14:14" ht="15.75" customHeight="1">
      <c r="N518" s="37"/>
    </row>
    <row r="519" spans="14:14" ht="15.75" customHeight="1">
      <c r="N519" s="37"/>
    </row>
    <row r="520" spans="14:14" ht="15.75" customHeight="1">
      <c r="N520" s="37"/>
    </row>
    <row r="521" spans="14:14" ht="15.75" customHeight="1">
      <c r="N521" s="37"/>
    </row>
    <row r="522" spans="14:14" ht="15.75" customHeight="1">
      <c r="N522" s="37"/>
    </row>
    <row r="523" spans="14:14" ht="15.75" customHeight="1">
      <c r="N523" s="37"/>
    </row>
    <row r="524" spans="14:14" ht="15.75" customHeight="1">
      <c r="N524" s="37"/>
    </row>
    <row r="525" spans="14:14" ht="15.75" customHeight="1">
      <c r="N525" s="37"/>
    </row>
    <row r="526" spans="14:14" ht="15.75" customHeight="1">
      <c r="N526" s="37"/>
    </row>
    <row r="527" spans="14:14" ht="15.75" customHeight="1">
      <c r="N527" s="37"/>
    </row>
    <row r="528" spans="14:14" ht="15.75" customHeight="1">
      <c r="N528" s="37"/>
    </row>
    <row r="529" spans="14:14" ht="15.75" customHeight="1">
      <c r="N529" s="37"/>
    </row>
    <row r="530" spans="14:14" ht="15.75" customHeight="1">
      <c r="N530" s="37"/>
    </row>
    <row r="531" spans="14:14" ht="15.75" customHeight="1">
      <c r="N531" s="37"/>
    </row>
    <row r="532" spans="14:14" ht="15.75" customHeight="1">
      <c r="N532" s="37"/>
    </row>
    <row r="533" spans="14:14" ht="15.75" customHeight="1">
      <c r="N533" s="37"/>
    </row>
    <row r="534" spans="14:14" ht="15.75" customHeight="1">
      <c r="N534" s="37"/>
    </row>
    <row r="535" spans="14:14" ht="15.75" customHeight="1">
      <c r="N535" s="37"/>
    </row>
    <row r="536" spans="14:14" ht="15.75" customHeight="1">
      <c r="N536" s="37"/>
    </row>
    <row r="537" spans="14:14" ht="15.75" customHeight="1">
      <c r="N537" s="37"/>
    </row>
    <row r="538" spans="14:14" ht="15.75" customHeight="1">
      <c r="N538" s="37"/>
    </row>
    <row r="539" spans="14:14" ht="15.75" customHeight="1">
      <c r="N539" s="37"/>
    </row>
    <row r="540" spans="14:14" ht="15.75" customHeight="1">
      <c r="N540" s="37"/>
    </row>
    <row r="541" spans="14:14" ht="15.75" customHeight="1">
      <c r="N541" s="37"/>
    </row>
    <row r="542" spans="14:14" ht="15.75" customHeight="1">
      <c r="N542" s="37"/>
    </row>
    <row r="543" spans="14:14" ht="15.75" customHeight="1">
      <c r="N543" s="37"/>
    </row>
    <row r="544" spans="14:14" ht="15.75" customHeight="1">
      <c r="N544" s="37"/>
    </row>
    <row r="545" spans="14:14" ht="15.75" customHeight="1">
      <c r="N545" s="37"/>
    </row>
    <row r="546" spans="14:14" ht="15.75" customHeight="1">
      <c r="N546" s="37"/>
    </row>
    <row r="547" spans="14:14" ht="15.75" customHeight="1">
      <c r="N547" s="37"/>
    </row>
    <row r="548" spans="14:14" ht="15.75" customHeight="1">
      <c r="N548" s="37"/>
    </row>
    <row r="549" spans="14:14" ht="15.75" customHeight="1">
      <c r="N549" s="37"/>
    </row>
    <row r="550" spans="14:14" ht="15.75" customHeight="1">
      <c r="N550" s="37"/>
    </row>
    <row r="551" spans="14:14" ht="15.75" customHeight="1">
      <c r="N551" s="37"/>
    </row>
    <row r="552" spans="14:14" ht="15.75" customHeight="1">
      <c r="N552" s="37"/>
    </row>
    <row r="553" spans="14:14" ht="15.75" customHeight="1">
      <c r="N553" s="37"/>
    </row>
    <row r="554" spans="14:14" ht="15.75" customHeight="1">
      <c r="N554" s="37"/>
    </row>
    <row r="555" spans="14:14" ht="15.75" customHeight="1">
      <c r="N555" s="37"/>
    </row>
    <row r="556" spans="14:14" ht="15.75" customHeight="1">
      <c r="N556" s="37"/>
    </row>
    <row r="557" spans="14:14" ht="15.75" customHeight="1">
      <c r="N557" s="37"/>
    </row>
    <row r="558" spans="14:14" ht="15.75" customHeight="1">
      <c r="N558" s="37"/>
    </row>
    <row r="559" spans="14:14" ht="15.75" customHeight="1">
      <c r="N559" s="37"/>
    </row>
    <row r="560" spans="14:14" ht="15.75" customHeight="1">
      <c r="N560" s="37"/>
    </row>
    <row r="561" spans="14:14" ht="15.75" customHeight="1">
      <c r="N561" s="37"/>
    </row>
    <row r="562" spans="14:14" ht="15.75" customHeight="1">
      <c r="N562" s="37"/>
    </row>
    <row r="563" spans="14:14" ht="15.75" customHeight="1">
      <c r="N563" s="37"/>
    </row>
    <row r="564" spans="14:14" ht="15.75" customHeight="1">
      <c r="N564" s="37"/>
    </row>
    <row r="565" spans="14:14" ht="15.75" customHeight="1">
      <c r="N565" s="37"/>
    </row>
    <row r="566" spans="14:14" ht="15.75" customHeight="1">
      <c r="N566" s="37"/>
    </row>
    <row r="567" spans="14:14" ht="15.75" customHeight="1">
      <c r="N567" s="37"/>
    </row>
    <row r="568" spans="14:14" ht="15.75" customHeight="1">
      <c r="N568" s="37"/>
    </row>
    <row r="569" spans="14:14" ht="15.75" customHeight="1">
      <c r="N569" s="37"/>
    </row>
    <row r="570" spans="14:14" ht="15.75" customHeight="1">
      <c r="N570" s="37"/>
    </row>
    <row r="571" spans="14:14" ht="15.75" customHeight="1">
      <c r="N571" s="37"/>
    </row>
    <row r="572" spans="14:14" ht="15.75" customHeight="1">
      <c r="N572" s="37"/>
    </row>
    <row r="573" spans="14:14" ht="15.75" customHeight="1">
      <c r="N573" s="37"/>
    </row>
    <row r="574" spans="14:14" ht="15.75" customHeight="1">
      <c r="N574" s="37"/>
    </row>
    <row r="575" spans="14:14" ht="15.75" customHeight="1">
      <c r="N575" s="37"/>
    </row>
    <row r="576" spans="14:14" ht="15.75" customHeight="1">
      <c r="N576" s="37"/>
    </row>
    <row r="577" spans="14:14" ht="15.75" customHeight="1">
      <c r="N577" s="37"/>
    </row>
    <row r="578" spans="14:14" ht="15.75" customHeight="1">
      <c r="N578" s="37"/>
    </row>
    <row r="579" spans="14:14" ht="15.75" customHeight="1">
      <c r="N579" s="37"/>
    </row>
    <row r="580" spans="14:14" ht="15.75" customHeight="1">
      <c r="N580" s="37"/>
    </row>
    <row r="581" spans="14:14" ht="15.75" customHeight="1">
      <c r="N581" s="37"/>
    </row>
    <row r="582" spans="14:14" ht="15.75" customHeight="1">
      <c r="N582" s="37"/>
    </row>
    <row r="583" spans="14:14" ht="15.75" customHeight="1">
      <c r="N583" s="37"/>
    </row>
    <row r="584" spans="14:14" ht="15.75" customHeight="1">
      <c r="N584" s="37"/>
    </row>
    <row r="585" spans="14:14" ht="15.75" customHeight="1">
      <c r="N585" s="37"/>
    </row>
    <row r="586" spans="14:14" ht="15.75" customHeight="1">
      <c r="N586" s="37"/>
    </row>
    <row r="587" spans="14:14" ht="15.75" customHeight="1">
      <c r="N587" s="37"/>
    </row>
    <row r="588" spans="14:14" ht="15.75" customHeight="1">
      <c r="N588" s="37"/>
    </row>
    <row r="589" spans="14:14" ht="15.75" customHeight="1">
      <c r="N589" s="37"/>
    </row>
    <row r="590" spans="14:14" ht="15.75" customHeight="1">
      <c r="N590" s="37"/>
    </row>
    <row r="591" spans="14:14" ht="15.75" customHeight="1">
      <c r="N591" s="37"/>
    </row>
    <row r="592" spans="14:14" ht="15.75" customHeight="1">
      <c r="N592" s="37"/>
    </row>
    <row r="593" spans="14:14" ht="15.75" customHeight="1">
      <c r="N593" s="37"/>
    </row>
    <row r="594" spans="14:14" ht="15.75" customHeight="1">
      <c r="N594" s="37"/>
    </row>
    <row r="595" spans="14:14" ht="15.75" customHeight="1">
      <c r="N595" s="37"/>
    </row>
    <row r="596" spans="14:14" ht="15.75" customHeight="1">
      <c r="N596" s="37"/>
    </row>
    <row r="597" spans="14:14" ht="15.75" customHeight="1">
      <c r="N597" s="37"/>
    </row>
    <row r="598" spans="14:14" ht="15.75" customHeight="1">
      <c r="N598" s="37"/>
    </row>
    <row r="599" spans="14:14" ht="15.75" customHeight="1">
      <c r="N599" s="37"/>
    </row>
    <row r="600" spans="14:14" ht="15.75" customHeight="1">
      <c r="N600" s="37"/>
    </row>
    <row r="601" spans="14:14" ht="15.75" customHeight="1">
      <c r="N601" s="37"/>
    </row>
    <row r="602" spans="14:14" ht="15.75" customHeight="1">
      <c r="N602" s="37"/>
    </row>
    <row r="603" spans="14:14" ht="15.75" customHeight="1">
      <c r="N603" s="37"/>
    </row>
    <row r="604" spans="14:14" ht="15.75" customHeight="1">
      <c r="N604" s="37"/>
    </row>
    <row r="605" spans="14:14" ht="15.75" customHeight="1">
      <c r="N605" s="37"/>
    </row>
    <row r="606" spans="14:14" ht="15.75" customHeight="1">
      <c r="N606" s="37"/>
    </row>
    <row r="607" spans="14:14" ht="15.75" customHeight="1">
      <c r="N607" s="37"/>
    </row>
    <row r="608" spans="14:14" ht="15.75" customHeight="1">
      <c r="N608" s="37"/>
    </row>
    <row r="609" spans="14:14" ht="15.75" customHeight="1">
      <c r="N609" s="37"/>
    </row>
    <row r="610" spans="14:14" ht="15.75" customHeight="1">
      <c r="N610" s="37"/>
    </row>
    <row r="611" spans="14:14" ht="15.75" customHeight="1">
      <c r="N611" s="37"/>
    </row>
    <row r="612" spans="14:14" ht="15.75" customHeight="1">
      <c r="N612" s="37"/>
    </row>
    <row r="613" spans="14:14" ht="15.75" customHeight="1">
      <c r="N613" s="37"/>
    </row>
    <row r="614" spans="14:14" ht="15.75" customHeight="1">
      <c r="N614" s="37"/>
    </row>
    <row r="615" spans="14:14" ht="15.75" customHeight="1">
      <c r="N615" s="37"/>
    </row>
    <row r="616" spans="14:14" ht="15.75" customHeight="1">
      <c r="N616" s="37"/>
    </row>
    <row r="617" spans="14:14" ht="15.75" customHeight="1">
      <c r="N617" s="37"/>
    </row>
    <row r="618" spans="14:14" ht="15.75" customHeight="1">
      <c r="N618" s="37"/>
    </row>
    <row r="619" spans="14:14" ht="15.75" customHeight="1">
      <c r="N619" s="37"/>
    </row>
    <row r="620" spans="14:14" ht="15.75" customHeight="1">
      <c r="N620" s="37"/>
    </row>
    <row r="621" spans="14:14" ht="15.75" customHeight="1">
      <c r="N621" s="37"/>
    </row>
    <row r="622" spans="14:14" ht="15.75" customHeight="1">
      <c r="N622" s="37"/>
    </row>
    <row r="623" spans="14:14" ht="15.75" customHeight="1">
      <c r="N623" s="37"/>
    </row>
    <row r="624" spans="14:14" ht="15.75" customHeight="1">
      <c r="N624" s="37"/>
    </row>
    <row r="625" spans="14:14" ht="15.75" customHeight="1">
      <c r="N625" s="37"/>
    </row>
    <row r="626" spans="14:14" ht="15.75" customHeight="1">
      <c r="N626" s="37"/>
    </row>
    <row r="627" spans="14:14" ht="15.75" customHeight="1">
      <c r="N627" s="37"/>
    </row>
    <row r="628" spans="14:14" ht="15.75" customHeight="1">
      <c r="N628" s="37"/>
    </row>
    <row r="629" spans="14:14" ht="15.75" customHeight="1">
      <c r="N629" s="37"/>
    </row>
    <row r="630" spans="14:14" ht="15.75" customHeight="1">
      <c r="N630" s="37"/>
    </row>
    <row r="631" spans="14:14" ht="15.75" customHeight="1">
      <c r="N631" s="37"/>
    </row>
    <row r="632" spans="14:14" ht="15.75" customHeight="1">
      <c r="N632" s="37"/>
    </row>
    <row r="633" spans="14:14" ht="15.75" customHeight="1">
      <c r="N633" s="37"/>
    </row>
    <row r="634" spans="14:14" ht="15.75" customHeight="1">
      <c r="N634" s="37"/>
    </row>
    <row r="635" spans="14:14" ht="15.75" customHeight="1">
      <c r="N635" s="37"/>
    </row>
    <row r="636" spans="14:14" ht="15.75" customHeight="1">
      <c r="N636" s="37"/>
    </row>
    <row r="637" spans="14:14" ht="15.75" customHeight="1">
      <c r="N637" s="37"/>
    </row>
    <row r="638" spans="14:14" ht="15.75" customHeight="1">
      <c r="N638" s="37"/>
    </row>
    <row r="639" spans="14:14" ht="15.75" customHeight="1">
      <c r="N639" s="37"/>
    </row>
    <row r="640" spans="14:14" ht="15.75" customHeight="1">
      <c r="N640" s="37"/>
    </row>
    <row r="641" spans="14:14" ht="15.75" customHeight="1">
      <c r="N641" s="37"/>
    </row>
    <row r="642" spans="14:14" ht="15.75" customHeight="1">
      <c r="N642" s="37"/>
    </row>
    <row r="643" spans="14:14" ht="15.75" customHeight="1">
      <c r="N643" s="37"/>
    </row>
    <row r="644" spans="14:14" ht="15.75" customHeight="1">
      <c r="N644" s="37"/>
    </row>
    <row r="645" spans="14:14" ht="15.75" customHeight="1">
      <c r="N645" s="37"/>
    </row>
    <row r="646" spans="14:14" ht="15.75" customHeight="1">
      <c r="N646" s="37"/>
    </row>
    <row r="647" spans="14:14" ht="15.75" customHeight="1">
      <c r="N647" s="37"/>
    </row>
    <row r="648" spans="14:14" ht="15.75" customHeight="1">
      <c r="N648" s="37"/>
    </row>
    <row r="649" spans="14:14" ht="15.75" customHeight="1">
      <c r="N649" s="37"/>
    </row>
    <row r="650" spans="14:14" ht="15.75" customHeight="1">
      <c r="N650" s="37"/>
    </row>
    <row r="651" spans="14:14" ht="15.75" customHeight="1">
      <c r="N651" s="37"/>
    </row>
    <row r="652" spans="14:14" ht="15.75" customHeight="1">
      <c r="N652" s="37"/>
    </row>
    <row r="653" spans="14:14" ht="15.75" customHeight="1">
      <c r="N653" s="37"/>
    </row>
    <row r="654" spans="14:14" ht="15.75" customHeight="1">
      <c r="N654" s="37"/>
    </row>
    <row r="655" spans="14:14" ht="15.75" customHeight="1">
      <c r="N655" s="37"/>
    </row>
    <row r="656" spans="14:14" ht="15.75" customHeight="1">
      <c r="N656" s="37"/>
    </row>
    <row r="657" spans="14:14" ht="15.75" customHeight="1">
      <c r="N657" s="37"/>
    </row>
    <row r="658" spans="14:14" ht="15.75" customHeight="1">
      <c r="N658" s="37"/>
    </row>
    <row r="659" spans="14:14" ht="15.75" customHeight="1">
      <c r="N659" s="37"/>
    </row>
    <row r="660" spans="14:14" ht="15.75" customHeight="1">
      <c r="N660" s="37"/>
    </row>
    <row r="661" spans="14:14" ht="15.75" customHeight="1">
      <c r="N661" s="37"/>
    </row>
    <row r="662" spans="14:14" ht="15.75" customHeight="1">
      <c r="N662" s="37"/>
    </row>
    <row r="663" spans="14:14" ht="15.75" customHeight="1">
      <c r="N663" s="37"/>
    </row>
    <row r="664" spans="14:14" ht="15.75" customHeight="1">
      <c r="N664" s="37"/>
    </row>
    <row r="665" spans="14:14" ht="15.75" customHeight="1">
      <c r="N665" s="37"/>
    </row>
    <row r="666" spans="14:14" ht="15.75" customHeight="1">
      <c r="N666" s="37"/>
    </row>
    <row r="667" spans="14:14" ht="15.75" customHeight="1">
      <c r="N667" s="37"/>
    </row>
    <row r="668" spans="14:14" ht="15.75" customHeight="1">
      <c r="N668" s="37"/>
    </row>
    <row r="669" spans="14:14" ht="15.75" customHeight="1">
      <c r="N669" s="37"/>
    </row>
    <row r="670" spans="14:14" ht="15.75" customHeight="1">
      <c r="N670" s="37"/>
    </row>
    <row r="671" spans="14:14" ht="15.75" customHeight="1">
      <c r="N671" s="37"/>
    </row>
    <row r="672" spans="14:14" ht="15.75" customHeight="1">
      <c r="N672" s="37"/>
    </row>
    <row r="673" spans="14:14" ht="15.75" customHeight="1">
      <c r="N673" s="37"/>
    </row>
    <row r="674" spans="14:14" ht="15.75" customHeight="1">
      <c r="N674" s="37"/>
    </row>
    <row r="675" spans="14:14" ht="15.75" customHeight="1">
      <c r="N675" s="37"/>
    </row>
    <row r="676" spans="14:14" ht="15.75" customHeight="1">
      <c r="N676" s="37"/>
    </row>
    <row r="677" spans="14:14" ht="15.75" customHeight="1">
      <c r="N677" s="37"/>
    </row>
    <row r="678" spans="14:14" ht="15.75" customHeight="1">
      <c r="N678" s="37"/>
    </row>
    <row r="679" spans="14:14" ht="15.75" customHeight="1">
      <c r="N679" s="37"/>
    </row>
    <row r="680" spans="14:14" ht="15.75" customHeight="1">
      <c r="N680" s="37"/>
    </row>
    <row r="681" spans="14:14" ht="15.75" customHeight="1">
      <c r="N681" s="37"/>
    </row>
    <row r="682" spans="14:14" ht="15.75" customHeight="1">
      <c r="N682" s="37"/>
    </row>
    <row r="683" spans="14:14" ht="15.75" customHeight="1">
      <c r="N683" s="37"/>
    </row>
    <row r="684" spans="14:14" ht="15.75" customHeight="1">
      <c r="N684" s="37"/>
    </row>
    <row r="685" spans="14:14" ht="15.75" customHeight="1">
      <c r="N685" s="37"/>
    </row>
    <row r="686" spans="14:14" ht="15.75" customHeight="1">
      <c r="N686" s="37"/>
    </row>
    <row r="687" spans="14:14" ht="15.75" customHeight="1">
      <c r="N687" s="37"/>
    </row>
    <row r="688" spans="14:14" ht="15.75" customHeight="1">
      <c r="N688" s="37"/>
    </row>
    <row r="689" spans="14:14" ht="15.75" customHeight="1">
      <c r="N689" s="37"/>
    </row>
    <row r="690" spans="14:14" ht="15.75" customHeight="1">
      <c r="N690" s="37"/>
    </row>
    <row r="691" spans="14:14" ht="15.75" customHeight="1">
      <c r="N691" s="37"/>
    </row>
    <row r="692" spans="14:14" ht="15.75" customHeight="1">
      <c r="N692" s="37"/>
    </row>
    <row r="693" spans="14:14" ht="15.75" customHeight="1">
      <c r="N693" s="37"/>
    </row>
    <row r="694" spans="14:14" ht="15.75" customHeight="1">
      <c r="N694" s="37"/>
    </row>
    <row r="695" spans="14:14" ht="15.75" customHeight="1">
      <c r="N695" s="37"/>
    </row>
    <row r="696" spans="14:14" ht="15.75" customHeight="1">
      <c r="N696" s="37"/>
    </row>
    <row r="697" spans="14:14" ht="15.75" customHeight="1">
      <c r="N697" s="37"/>
    </row>
    <row r="698" spans="14:14" ht="15.75" customHeight="1">
      <c r="N698" s="37"/>
    </row>
    <row r="699" spans="14:14" ht="15.75" customHeight="1">
      <c r="N699" s="37"/>
    </row>
    <row r="700" spans="14:14" ht="15.75" customHeight="1">
      <c r="N700" s="37"/>
    </row>
    <row r="701" spans="14:14" ht="15.75" customHeight="1">
      <c r="N701" s="37"/>
    </row>
    <row r="702" spans="14:14" ht="15.75" customHeight="1">
      <c r="N702" s="37"/>
    </row>
    <row r="703" spans="14:14" ht="15.75" customHeight="1">
      <c r="N703" s="37"/>
    </row>
    <row r="704" spans="14:14" ht="15.75" customHeight="1">
      <c r="N704" s="37"/>
    </row>
    <row r="705" spans="14:14" ht="15.75" customHeight="1">
      <c r="N705" s="37"/>
    </row>
    <row r="706" spans="14:14" ht="15.75" customHeight="1">
      <c r="N706" s="37"/>
    </row>
    <row r="707" spans="14:14" ht="15.75" customHeight="1">
      <c r="N707" s="37"/>
    </row>
    <row r="708" spans="14:14" ht="15.75" customHeight="1">
      <c r="N708" s="37"/>
    </row>
    <row r="709" spans="14:14" ht="15.75" customHeight="1">
      <c r="N709" s="37"/>
    </row>
    <row r="710" spans="14:14" ht="15.75" customHeight="1">
      <c r="N710" s="37"/>
    </row>
    <row r="711" spans="14:14" ht="15.75" customHeight="1">
      <c r="N711" s="37"/>
    </row>
    <row r="712" spans="14:14" ht="15.75" customHeight="1">
      <c r="N712" s="37"/>
    </row>
    <row r="713" spans="14:14" ht="15.75" customHeight="1">
      <c r="N713" s="37"/>
    </row>
    <row r="714" spans="14:14" ht="15.75" customHeight="1">
      <c r="N714" s="37"/>
    </row>
    <row r="715" spans="14:14" ht="15.75" customHeight="1">
      <c r="N715" s="37"/>
    </row>
    <row r="716" spans="14:14" ht="15.75" customHeight="1">
      <c r="N716" s="37"/>
    </row>
    <row r="717" spans="14:14" ht="15.75" customHeight="1">
      <c r="N717" s="37"/>
    </row>
    <row r="718" spans="14:14" ht="15.75" customHeight="1">
      <c r="N718" s="37"/>
    </row>
    <row r="719" spans="14:14" ht="15.75" customHeight="1">
      <c r="N719" s="37"/>
    </row>
    <row r="720" spans="14:14" ht="15.75" customHeight="1">
      <c r="N720" s="37"/>
    </row>
    <row r="721" spans="14:14" ht="15.75" customHeight="1">
      <c r="N721" s="37"/>
    </row>
    <row r="722" spans="14:14" ht="15.75" customHeight="1">
      <c r="N722" s="37"/>
    </row>
    <row r="723" spans="14:14" ht="15.75" customHeight="1">
      <c r="N723" s="37"/>
    </row>
    <row r="724" spans="14:14" ht="15.75" customHeight="1">
      <c r="N724" s="37"/>
    </row>
    <row r="725" spans="14:14" ht="15.75" customHeight="1">
      <c r="N725" s="37"/>
    </row>
    <row r="726" spans="14:14" ht="15.75" customHeight="1">
      <c r="N726" s="37"/>
    </row>
    <row r="727" spans="14:14" ht="15.75" customHeight="1">
      <c r="N727" s="37"/>
    </row>
    <row r="728" spans="14:14" ht="15.75" customHeight="1">
      <c r="N728" s="37"/>
    </row>
    <row r="729" spans="14:14" ht="15.75" customHeight="1">
      <c r="N729" s="37"/>
    </row>
    <row r="730" spans="14:14" ht="15.75" customHeight="1">
      <c r="N730" s="37"/>
    </row>
    <row r="731" spans="14:14" ht="15.75" customHeight="1">
      <c r="N731" s="37"/>
    </row>
    <row r="732" spans="14:14" ht="15.75" customHeight="1">
      <c r="N732" s="37"/>
    </row>
    <row r="733" spans="14:14" ht="15.75" customHeight="1">
      <c r="N733" s="37"/>
    </row>
    <row r="734" spans="14:14" ht="15.75" customHeight="1">
      <c r="N734" s="37"/>
    </row>
    <row r="735" spans="14:14" ht="15.75" customHeight="1">
      <c r="N735" s="37"/>
    </row>
    <row r="736" spans="14:14" ht="15.75" customHeight="1">
      <c r="N736" s="37"/>
    </row>
    <row r="737" spans="14:14" ht="15.75" customHeight="1">
      <c r="N737" s="37"/>
    </row>
    <row r="738" spans="14:14" ht="15.75" customHeight="1">
      <c r="N738" s="37"/>
    </row>
    <row r="739" spans="14:14" ht="15.75" customHeight="1">
      <c r="N739" s="37"/>
    </row>
    <row r="740" spans="14:14" ht="15.75" customHeight="1">
      <c r="N740" s="37"/>
    </row>
    <row r="741" spans="14:14" ht="15.75" customHeight="1">
      <c r="N741" s="37"/>
    </row>
    <row r="742" spans="14:14" ht="15.75" customHeight="1">
      <c r="N742" s="37"/>
    </row>
    <row r="743" spans="14:14" ht="15.75" customHeight="1">
      <c r="N743" s="37"/>
    </row>
    <row r="744" spans="14:14" ht="15.75" customHeight="1">
      <c r="N744" s="37"/>
    </row>
    <row r="745" spans="14:14" ht="15.75" customHeight="1">
      <c r="N745" s="37"/>
    </row>
    <row r="746" spans="14:14" ht="15.75" customHeight="1">
      <c r="N746" s="37"/>
    </row>
    <row r="747" spans="14:14" ht="15.75" customHeight="1">
      <c r="N747" s="37"/>
    </row>
    <row r="748" spans="14:14" ht="15.75" customHeight="1">
      <c r="N748" s="37"/>
    </row>
    <row r="749" spans="14:14" ht="15.75" customHeight="1">
      <c r="N749" s="37"/>
    </row>
    <row r="750" spans="14:14" ht="15.75" customHeight="1">
      <c r="N750" s="37"/>
    </row>
    <row r="751" spans="14:14" ht="15.75" customHeight="1">
      <c r="N751" s="37"/>
    </row>
    <row r="752" spans="14:14" ht="15.75" customHeight="1">
      <c r="N752" s="37"/>
    </row>
    <row r="753" spans="14:14" ht="15.75" customHeight="1">
      <c r="N753" s="37"/>
    </row>
    <row r="754" spans="14:14" ht="15.75" customHeight="1">
      <c r="N754" s="37"/>
    </row>
    <row r="755" spans="14:14" ht="15.75" customHeight="1">
      <c r="N755" s="37"/>
    </row>
    <row r="756" spans="14:14" ht="15.75" customHeight="1">
      <c r="N756" s="37"/>
    </row>
    <row r="757" spans="14:14" ht="15.75" customHeight="1">
      <c r="N757" s="37"/>
    </row>
    <row r="758" spans="14:14" ht="15.75" customHeight="1">
      <c r="N758" s="37"/>
    </row>
    <row r="759" spans="14:14" ht="15.75" customHeight="1">
      <c r="N759" s="37"/>
    </row>
    <row r="760" spans="14:14" ht="15.75" customHeight="1">
      <c r="N760" s="37"/>
    </row>
    <row r="761" spans="14:14" ht="15.75" customHeight="1">
      <c r="N761" s="37"/>
    </row>
    <row r="762" spans="14:14" ht="15.75" customHeight="1">
      <c r="N762" s="37"/>
    </row>
    <row r="763" spans="14:14" ht="15.75" customHeight="1">
      <c r="N763" s="37"/>
    </row>
    <row r="764" spans="14:14" ht="15.75" customHeight="1">
      <c r="N764" s="37"/>
    </row>
    <row r="765" spans="14:14" ht="15.75" customHeight="1">
      <c r="N765" s="37"/>
    </row>
    <row r="766" spans="14:14" ht="15.75" customHeight="1">
      <c r="N766" s="37"/>
    </row>
    <row r="767" spans="14:14" ht="15.75" customHeight="1">
      <c r="N767" s="37"/>
    </row>
    <row r="768" spans="14:14" ht="15.75" customHeight="1">
      <c r="N768" s="37"/>
    </row>
    <row r="769" spans="14:14" ht="15.75" customHeight="1">
      <c r="N769" s="37"/>
    </row>
    <row r="770" spans="14:14" ht="15.75" customHeight="1">
      <c r="N770" s="37"/>
    </row>
    <row r="771" spans="14:14" ht="15.75" customHeight="1">
      <c r="N771" s="37"/>
    </row>
    <row r="772" spans="14:14" ht="15.75" customHeight="1">
      <c r="N772" s="37"/>
    </row>
    <row r="773" spans="14:14" ht="15.75" customHeight="1">
      <c r="N773" s="37"/>
    </row>
    <row r="774" spans="14:14" ht="15.75" customHeight="1">
      <c r="N774" s="37"/>
    </row>
    <row r="775" spans="14:14" ht="15.75" customHeight="1">
      <c r="N775" s="37"/>
    </row>
    <row r="776" spans="14:14" ht="15.75" customHeight="1">
      <c r="N776" s="37"/>
    </row>
    <row r="777" spans="14:14" ht="15.75" customHeight="1">
      <c r="N777" s="37"/>
    </row>
    <row r="778" spans="14:14" ht="15.75" customHeight="1">
      <c r="N778" s="37"/>
    </row>
    <row r="779" spans="14:14" ht="15.75" customHeight="1">
      <c r="N779" s="37"/>
    </row>
    <row r="780" spans="14:14" ht="15.75" customHeight="1">
      <c r="N780" s="37"/>
    </row>
    <row r="781" spans="14:14" ht="15.75" customHeight="1">
      <c r="N781" s="37"/>
    </row>
    <row r="782" spans="14:14" ht="15.75" customHeight="1">
      <c r="N782" s="37"/>
    </row>
    <row r="783" spans="14:14" ht="15.75" customHeight="1">
      <c r="N783" s="37"/>
    </row>
    <row r="784" spans="14:14" ht="15.75" customHeight="1">
      <c r="N784" s="37"/>
    </row>
    <row r="785" spans="14:14" ht="15.75" customHeight="1">
      <c r="N785" s="37"/>
    </row>
    <row r="786" spans="14:14" ht="15.75" customHeight="1">
      <c r="N786" s="37"/>
    </row>
    <row r="787" spans="14:14" ht="15.75" customHeight="1">
      <c r="N787" s="37"/>
    </row>
    <row r="788" spans="14:14" ht="15.75" customHeight="1">
      <c r="N788" s="37"/>
    </row>
    <row r="789" spans="14:14" ht="15.75" customHeight="1">
      <c r="N789" s="37"/>
    </row>
    <row r="790" spans="14:14" ht="15.75" customHeight="1">
      <c r="N790" s="37"/>
    </row>
    <row r="791" spans="14:14" ht="15.75" customHeight="1">
      <c r="N791" s="37"/>
    </row>
    <row r="792" spans="14:14" ht="15.75" customHeight="1">
      <c r="N792" s="37"/>
    </row>
    <row r="793" spans="14:14" ht="15.75" customHeight="1">
      <c r="N793" s="37"/>
    </row>
    <row r="794" spans="14:14" ht="15.75" customHeight="1">
      <c r="N794" s="37"/>
    </row>
    <row r="795" spans="14:14" ht="15.75" customHeight="1">
      <c r="N795" s="37"/>
    </row>
    <row r="796" spans="14:14" ht="15.75" customHeight="1">
      <c r="N796" s="37"/>
    </row>
    <row r="797" spans="14:14" ht="15.75" customHeight="1">
      <c r="N797" s="37"/>
    </row>
    <row r="798" spans="14:14" ht="15.75" customHeight="1">
      <c r="N798" s="37"/>
    </row>
    <row r="799" spans="14:14" ht="15.75" customHeight="1">
      <c r="N799" s="37"/>
    </row>
    <row r="800" spans="14:14" ht="15.75" customHeight="1">
      <c r="N800" s="37"/>
    </row>
    <row r="801" spans="14:14" ht="15.75" customHeight="1">
      <c r="N801" s="37"/>
    </row>
    <row r="802" spans="14:14" ht="15.75" customHeight="1">
      <c r="N802" s="37"/>
    </row>
    <row r="803" spans="14:14" ht="15.75" customHeight="1">
      <c r="N803" s="37"/>
    </row>
    <row r="804" spans="14:14" ht="15.75" customHeight="1">
      <c r="N804" s="37"/>
    </row>
    <row r="805" spans="14:14" ht="15.75" customHeight="1">
      <c r="N805" s="37"/>
    </row>
    <row r="806" spans="14:14" ht="15.75" customHeight="1">
      <c r="N806" s="37"/>
    </row>
    <row r="807" spans="14:14" ht="15.75" customHeight="1">
      <c r="N807" s="37"/>
    </row>
    <row r="808" spans="14:14" ht="15.75" customHeight="1">
      <c r="N808" s="37"/>
    </row>
    <row r="809" spans="14:14" ht="15.75" customHeight="1">
      <c r="N809" s="37"/>
    </row>
    <row r="810" spans="14:14" ht="15.75" customHeight="1">
      <c r="N810" s="37"/>
    </row>
    <row r="811" spans="14:14" ht="15.75" customHeight="1">
      <c r="N811" s="37"/>
    </row>
    <row r="812" spans="14:14" ht="15.75" customHeight="1">
      <c r="N812" s="37"/>
    </row>
    <row r="813" spans="14:14" ht="15.75" customHeight="1">
      <c r="N813" s="37"/>
    </row>
    <row r="814" spans="14:14" ht="15.75" customHeight="1">
      <c r="N814" s="37"/>
    </row>
    <row r="815" spans="14:14" ht="15.75" customHeight="1">
      <c r="N815" s="37"/>
    </row>
    <row r="816" spans="14:14" ht="15.75" customHeight="1">
      <c r="N816" s="37"/>
    </row>
    <row r="817" spans="14:14" ht="15.75" customHeight="1">
      <c r="N817" s="37"/>
    </row>
    <row r="818" spans="14:14" ht="15.75" customHeight="1">
      <c r="N818" s="37"/>
    </row>
    <row r="819" spans="14:14" ht="15.75" customHeight="1">
      <c r="N819" s="37"/>
    </row>
    <row r="820" spans="14:14" ht="15.75" customHeight="1">
      <c r="N820" s="37"/>
    </row>
    <row r="821" spans="14:14" ht="15.75" customHeight="1">
      <c r="N821" s="37"/>
    </row>
    <row r="822" spans="14:14" ht="15.75" customHeight="1">
      <c r="N822" s="37"/>
    </row>
    <row r="823" spans="14:14" ht="15.75" customHeight="1">
      <c r="N823" s="37"/>
    </row>
    <row r="824" spans="14:14" ht="15.75" customHeight="1">
      <c r="N824" s="37"/>
    </row>
    <row r="825" spans="14:14" ht="15.75" customHeight="1">
      <c r="N825" s="37"/>
    </row>
    <row r="826" spans="14:14" ht="15.75" customHeight="1">
      <c r="N826" s="37"/>
    </row>
    <row r="827" spans="14:14" ht="15.75" customHeight="1">
      <c r="N827" s="37"/>
    </row>
    <row r="828" spans="14:14" ht="15.75" customHeight="1">
      <c r="N828" s="37"/>
    </row>
    <row r="829" spans="14:14" ht="15.75" customHeight="1">
      <c r="N829" s="37"/>
    </row>
    <row r="830" spans="14:14" ht="15.75" customHeight="1">
      <c r="N830" s="37"/>
    </row>
    <row r="831" spans="14:14" ht="15.75" customHeight="1">
      <c r="N831" s="37"/>
    </row>
    <row r="832" spans="14:14" ht="15.75" customHeight="1">
      <c r="N832" s="37"/>
    </row>
    <row r="833" spans="14:14" ht="15.75" customHeight="1">
      <c r="N833" s="37"/>
    </row>
    <row r="834" spans="14:14" ht="15.75" customHeight="1">
      <c r="N834" s="37"/>
    </row>
    <row r="835" spans="14:14" ht="15.75" customHeight="1">
      <c r="N835" s="37"/>
    </row>
    <row r="836" spans="14:14" ht="15.75" customHeight="1">
      <c r="N836" s="37"/>
    </row>
    <row r="837" spans="14:14" ht="15.75" customHeight="1">
      <c r="N837" s="37"/>
    </row>
    <row r="838" spans="14:14" ht="15.75" customHeight="1">
      <c r="N838" s="37"/>
    </row>
    <row r="839" spans="14:14" ht="15.75" customHeight="1">
      <c r="N839" s="37"/>
    </row>
    <row r="840" spans="14:14" ht="15.75" customHeight="1">
      <c r="N840" s="37"/>
    </row>
    <row r="841" spans="14:14" ht="15.75" customHeight="1">
      <c r="N841" s="37"/>
    </row>
    <row r="842" spans="14:14" ht="15.75" customHeight="1">
      <c r="N842" s="37"/>
    </row>
    <row r="843" spans="14:14" ht="15.75" customHeight="1">
      <c r="N843" s="37"/>
    </row>
    <row r="844" spans="14:14" ht="15.75" customHeight="1">
      <c r="N844" s="37"/>
    </row>
    <row r="845" spans="14:14" ht="15.75" customHeight="1">
      <c r="N845" s="37"/>
    </row>
    <row r="846" spans="14:14" ht="15.75" customHeight="1">
      <c r="N846" s="37"/>
    </row>
    <row r="847" spans="14:14" ht="15.75" customHeight="1">
      <c r="N847" s="37"/>
    </row>
    <row r="848" spans="14:14" ht="15.75" customHeight="1">
      <c r="N848" s="37"/>
    </row>
    <row r="849" spans="14:14" ht="15.75" customHeight="1">
      <c r="N849" s="37"/>
    </row>
    <row r="850" spans="14:14" ht="15.75" customHeight="1">
      <c r="N850" s="37"/>
    </row>
    <row r="851" spans="14:14" ht="15.75" customHeight="1">
      <c r="N851" s="37"/>
    </row>
    <row r="852" spans="14:14" ht="15.75" customHeight="1">
      <c r="N852" s="37"/>
    </row>
    <row r="853" spans="14:14" ht="15.75" customHeight="1">
      <c r="N853" s="37"/>
    </row>
    <row r="854" spans="14:14" ht="15.75" customHeight="1">
      <c r="N854" s="37"/>
    </row>
    <row r="855" spans="14:14" ht="15.75" customHeight="1">
      <c r="N855" s="37"/>
    </row>
    <row r="856" spans="14:14" ht="15.75" customHeight="1">
      <c r="N856" s="37"/>
    </row>
    <row r="857" spans="14:14" ht="15.75" customHeight="1">
      <c r="N857" s="37"/>
    </row>
    <row r="858" spans="14:14" ht="15.75" customHeight="1">
      <c r="N858" s="37"/>
    </row>
    <row r="859" spans="14:14" ht="15.75" customHeight="1">
      <c r="N859" s="37"/>
    </row>
    <row r="860" spans="14:14" ht="15.75" customHeight="1">
      <c r="N860" s="37"/>
    </row>
    <row r="861" spans="14:14" ht="15.75" customHeight="1">
      <c r="N861" s="37"/>
    </row>
    <row r="862" spans="14:14" ht="15.75" customHeight="1">
      <c r="N862" s="37"/>
    </row>
    <row r="863" spans="14:14" ht="15.75" customHeight="1">
      <c r="N863" s="37"/>
    </row>
    <row r="864" spans="14:14" ht="15.75" customHeight="1">
      <c r="N864" s="37"/>
    </row>
    <row r="865" spans="14:14" ht="15.75" customHeight="1">
      <c r="N865" s="37"/>
    </row>
    <row r="866" spans="14:14" ht="15.75" customHeight="1">
      <c r="N866" s="37"/>
    </row>
    <row r="867" spans="14:14" ht="15.75" customHeight="1">
      <c r="N867" s="37"/>
    </row>
    <row r="868" spans="14:14" ht="15.75" customHeight="1">
      <c r="N868" s="37"/>
    </row>
    <row r="869" spans="14:14" ht="15.75" customHeight="1">
      <c r="N869" s="37"/>
    </row>
    <row r="870" spans="14:14" ht="15.75" customHeight="1">
      <c r="N870" s="37"/>
    </row>
    <row r="871" spans="14:14" ht="15.75" customHeight="1">
      <c r="N871" s="37"/>
    </row>
    <row r="872" spans="14:14" ht="15.75" customHeight="1">
      <c r="N872" s="37"/>
    </row>
    <row r="873" spans="14:14" ht="15.75" customHeight="1">
      <c r="N873" s="37"/>
    </row>
    <row r="874" spans="14:14" ht="15.75" customHeight="1">
      <c r="N874" s="37"/>
    </row>
    <row r="875" spans="14:14" ht="15.75" customHeight="1">
      <c r="N875" s="37"/>
    </row>
    <row r="876" spans="14:14" ht="15.75" customHeight="1">
      <c r="N876" s="37"/>
    </row>
    <row r="877" spans="14:14" ht="15.75" customHeight="1">
      <c r="N877" s="37"/>
    </row>
    <row r="878" spans="14:14" ht="15.75" customHeight="1">
      <c r="N878" s="37"/>
    </row>
    <row r="879" spans="14:14" ht="15.75" customHeight="1">
      <c r="N879" s="37"/>
    </row>
    <row r="880" spans="14:14" ht="15.75" customHeight="1">
      <c r="N880" s="37"/>
    </row>
    <row r="881" spans="14:14" ht="15.75" customHeight="1">
      <c r="N881" s="37"/>
    </row>
    <row r="882" spans="14:14" ht="15.75" customHeight="1">
      <c r="N882" s="37"/>
    </row>
    <row r="883" spans="14:14" ht="15.75" customHeight="1">
      <c r="N883" s="37"/>
    </row>
    <row r="884" spans="14:14" ht="15.75" customHeight="1">
      <c r="N884" s="37"/>
    </row>
    <row r="885" spans="14:14" ht="15.75" customHeight="1">
      <c r="N885" s="37"/>
    </row>
    <row r="886" spans="14:14" ht="15.75" customHeight="1">
      <c r="N886" s="37"/>
    </row>
    <row r="887" spans="14:14" ht="15.75" customHeight="1">
      <c r="N887" s="37"/>
    </row>
    <row r="888" spans="14:14" ht="15.75" customHeight="1">
      <c r="N888" s="37"/>
    </row>
    <row r="889" spans="14:14" ht="15.75" customHeight="1">
      <c r="N889" s="37"/>
    </row>
    <row r="890" spans="14:14" ht="15.75" customHeight="1">
      <c r="N890" s="37"/>
    </row>
    <row r="891" spans="14:14" ht="15.75" customHeight="1">
      <c r="N891" s="37"/>
    </row>
    <row r="892" spans="14:14" ht="15.75" customHeight="1">
      <c r="N892" s="37"/>
    </row>
    <row r="893" spans="14:14" ht="15.75" customHeight="1">
      <c r="N893" s="37"/>
    </row>
    <row r="894" spans="14:14" ht="15.75" customHeight="1">
      <c r="N894" s="37"/>
    </row>
    <row r="895" spans="14:14" ht="15.75" customHeight="1">
      <c r="N895" s="37"/>
    </row>
    <row r="896" spans="14:14" ht="15.75" customHeight="1">
      <c r="N896" s="37"/>
    </row>
    <row r="897" spans="14:14" ht="15.75" customHeight="1">
      <c r="N897" s="37"/>
    </row>
    <row r="898" spans="14:14" ht="15.75" customHeight="1">
      <c r="N898" s="37"/>
    </row>
    <row r="899" spans="14:14" ht="15.75" customHeight="1">
      <c r="N899" s="37"/>
    </row>
    <row r="900" spans="14:14" ht="15.75" customHeight="1">
      <c r="N900" s="37"/>
    </row>
    <row r="901" spans="14:14" ht="15.75" customHeight="1">
      <c r="N901" s="37"/>
    </row>
    <row r="902" spans="14:14" ht="15.75" customHeight="1">
      <c r="N902" s="37"/>
    </row>
    <row r="903" spans="14:14" ht="15.75" customHeight="1">
      <c r="N903" s="37"/>
    </row>
    <row r="904" spans="14:14" ht="15.75" customHeight="1">
      <c r="N904" s="37"/>
    </row>
    <row r="905" spans="14:14" ht="15.75" customHeight="1">
      <c r="N905" s="37"/>
    </row>
    <row r="906" spans="14:14" ht="15.75" customHeight="1">
      <c r="N906" s="37"/>
    </row>
    <row r="907" spans="14:14" ht="15.75" customHeight="1">
      <c r="N907" s="37"/>
    </row>
    <row r="908" spans="14:14" ht="15.75" customHeight="1">
      <c r="N908" s="37"/>
    </row>
    <row r="909" spans="14:14" ht="15.75" customHeight="1">
      <c r="N909" s="37"/>
    </row>
    <row r="910" spans="14:14" ht="15.75" customHeight="1">
      <c r="N910" s="37"/>
    </row>
    <row r="911" spans="14:14" ht="15.75" customHeight="1">
      <c r="N911" s="37"/>
    </row>
    <row r="912" spans="14:14" ht="15.75" customHeight="1">
      <c r="N912" s="37"/>
    </row>
    <row r="913" spans="14:14" ht="15.75" customHeight="1">
      <c r="N913" s="37"/>
    </row>
    <row r="914" spans="14:14" ht="15.75" customHeight="1">
      <c r="N914" s="37"/>
    </row>
    <row r="915" spans="14:14" ht="15.75" customHeight="1">
      <c r="N915" s="37"/>
    </row>
    <row r="916" spans="14:14" ht="15.75" customHeight="1">
      <c r="N916" s="37"/>
    </row>
    <row r="917" spans="14:14" ht="15.75" customHeight="1">
      <c r="N917" s="37"/>
    </row>
    <row r="918" spans="14:14" ht="15.75" customHeight="1">
      <c r="N918" s="37"/>
    </row>
    <row r="919" spans="14:14" ht="15.75" customHeight="1">
      <c r="N919" s="37"/>
    </row>
    <row r="920" spans="14:14" ht="15.75" customHeight="1">
      <c r="N920" s="37"/>
    </row>
    <row r="921" spans="14:14" ht="15.75" customHeight="1">
      <c r="N921" s="37"/>
    </row>
    <row r="922" spans="14:14" ht="15.75" customHeight="1">
      <c r="N922" s="37"/>
    </row>
    <row r="923" spans="14:14" ht="15.75" customHeight="1">
      <c r="N923" s="37"/>
    </row>
    <row r="924" spans="14:14" ht="15.75" customHeight="1">
      <c r="N924" s="37"/>
    </row>
    <row r="925" spans="14:14" ht="15.75" customHeight="1">
      <c r="N925" s="37"/>
    </row>
    <row r="926" spans="14:14" ht="15.75" customHeight="1">
      <c r="N926" s="37"/>
    </row>
    <row r="927" spans="14:14" ht="15.75" customHeight="1">
      <c r="N927" s="37"/>
    </row>
    <row r="928" spans="14:14" ht="15.75" customHeight="1">
      <c r="N928" s="37"/>
    </row>
    <row r="929" spans="14:14" ht="15.75" customHeight="1">
      <c r="N929" s="37"/>
    </row>
    <row r="930" spans="14:14" ht="15.75" customHeight="1">
      <c r="N930" s="37"/>
    </row>
    <row r="931" spans="14:14" ht="15.75" customHeight="1">
      <c r="N931" s="37"/>
    </row>
    <row r="932" spans="14:14" ht="15.75" customHeight="1">
      <c r="N932" s="37"/>
    </row>
    <row r="933" spans="14:14" ht="15.75" customHeight="1">
      <c r="N933" s="37"/>
    </row>
    <row r="934" spans="14:14" ht="15.75" customHeight="1">
      <c r="N934" s="37"/>
    </row>
    <row r="935" spans="14:14" ht="15.75" customHeight="1">
      <c r="N935" s="37"/>
    </row>
    <row r="936" spans="14:14" ht="15.75" customHeight="1">
      <c r="N936" s="37"/>
    </row>
    <row r="937" spans="14:14" ht="15.75" customHeight="1">
      <c r="N937" s="37"/>
    </row>
    <row r="938" spans="14:14" ht="15.75" customHeight="1">
      <c r="N938" s="37"/>
    </row>
    <row r="939" spans="14:14" ht="15.75" customHeight="1">
      <c r="N939" s="37"/>
    </row>
    <row r="940" spans="14:14" ht="15.75" customHeight="1">
      <c r="N940" s="37"/>
    </row>
    <row r="941" spans="14:14" ht="15.75" customHeight="1">
      <c r="N941" s="37"/>
    </row>
    <row r="942" spans="14:14" ht="15.75" customHeight="1">
      <c r="N942" s="37"/>
    </row>
    <row r="943" spans="14:14" ht="15.75" customHeight="1">
      <c r="N943" s="37"/>
    </row>
    <row r="944" spans="14:14" ht="15.75" customHeight="1">
      <c r="N944" s="37"/>
    </row>
    <row r="945" spans="14:14" ht="15.75" customHeight="1">
      <c r="N945" s="37"/>
    </row>
    <row r="946" spans="14:14" ht="15.75" customHeight="1">
      <c r="N946" s="37"/>
    </row>
    <row r="947" spans="14:14" ht="15.75" customHeight="1">
      <c r="N947" s="37"/>
    </row>
    <row r="948" spans="14:14" ht="15.75" customHeight="1">
      <c r="N948" s="37"/>
    </row>
    <row r="949" spans="14:14" ht="15.75" customHeight="1">
      <c r="N949" s="37"/>
    </row>
    <row r="950" spans="14:14" ht="15.75" customHeight="1">
      <c r="N950" s="37"/>
    </row>
    <row r="951" spans="14:14" ht="15.75" customHeight="1">
      <c r="N951" s="37"/>
    </row>
    <row r="952" spans="14:14" ht="15.75" customHeight="1">
      <c r="N952" s="37"/>
    </row>
    <row r="953" spans="14:14" ht="15.75" customHeight="1">
      <c r="N953" s="37"/>
    </row>
    <row r="954" spans="14:14" ht="15.75" customHeight="1">
      <c r="N954" s="37"/>
    </row>
    <row r="955" spans="14:14" ht="15.75" customHeight="1">
      <c r="N955" s="37"/>
    </row>
    <row r="956" spans="14:14" ht="15.75" customHeight="1">
      <c r="N956" s="37"/>
    </row>
    <row r="957" spans="14:14" ht="15.75" customHeight="1">
      <c r="N957" s="37"/>
    </row>
    <row r="958" spans="14:14" ht="15.75" customHeight="1">
      <c r="N958" s="37"/>
    </row>
    <row r="959" spans="14:14" ht="15.75" customHeight="1">
      <c r="N959" s="37"/>
    </row>
    <row r="960" spans="14:14" ht="15.75" customHeight="1">
      <c r="N960" s="37"/>
    </row>
    <row r="961" spans="14:14" ht="15.75" customHeight="1">
      <c r="N961" s="37"/>
    </row>
    <row r="962" spans="14:14" ht="15.75" customHeight="1">
      <c r="N962" s="37"/>
    </row>
    <row r="963" spans="14:14" ht="15.75" customHeight="1">
      <c r="N963" s="37"/>
    </row>
    <row r="964" spans="14:14" ht="15.75" customHeight="1">
      <c r="N964" s="37"/>
    </row>
    <row r="965" spans="14:14" ht="15.75" customHeight="1">
      <c r="N965" s="37"/>
    </row>
    <row r="966" spans="14:14" ht="15.75" customHeight="1">
      <c r="N966" s="37"/>
    </row>
    <row r="967" spans="14:14" ht="15.75" customHeight="1">
      <c r="N967" s="37"/>
    </row>
    <row r="968" spans="14:14" ht="15.75" customHeight="1">
      <c r="N968" s="37"/>
    </row>
    <row r="969" spans="14:14" ht="15.75" customHeight="1">
      <c r="N969" s="37"/>
    </row>
    <row r="970" spans="14:14" ht="15.75" customHeight="1">
      <c r="N970" s="37"/>
    </row>
    <row r="971" spans="14:14" ht="15.75" customHeight="1">
      <c r="N971" s="37"/>
    </row>
    <row r="972" spans="14:14" ht="15.75" customHeight="1">
      <c r="N972" s="37"/>
    </row>
    <row r="973" spans="14:14" ht="15.75" customHeight="1">
      <c r="N973" s="37"/>
    </row>
    <row r="974" spans="14:14" ht="15.75" customHeight="1">
      <c r="N974" s="37"/>
    </row>
    <row r="975" spans="14:14" ht="15.75" customHeight="1">
      <c r="N975" s="37"/>
    </row>
    <row r="976" spans="14:14" ht="15.75" customHeight="1">
      <c r="N976" s="37"/>
    </row>
    <row r="977" spans="14:14" ht="15.75" customHeight="1">
      <c r="N977" s="37"/>
    </row>
    <row r="978" spans="14:14" ht="15.75" customHeight="1">
      <c r="N978" s="37"/>
    </row>
    <row r="979" spans="14:14" ht="15.75" customHeight="1">
      <c r="N979" s="37"/>
    </row>
    <row r="980" spans="14:14" ht="15.75" customHeight="1">
      <c r="N980" s="37"/>
    </row>
    <row r="981" spans="14:14" ht="15.75" customHeight="1">
      <c r="N981" s="37"/>
    </row>
    <row r="982" spans="14:14" ht="15.75" customHeight="1">
      <c r="N982" s="37"/>
    </row>
    <row r="983" spans="14:14" ht="15.75" customHeight="1">
      <c r="N983" s="37"/>
    </row>
    <row r="984" spans="14:14" ht="15.75" customHeight="1">
      <c r="N984" s="37"/>
    </row>
    <row r="985" spans="14:14" ht="15.75" customHeight="1">
      <c r="N985" s="37"/>
    </row>
    <row r="986" spans="14:14" ht="15.75" customHeight="1">
      <c r="N986" s="37"/>
    </row>
    <row r="987" spans="14:14" ht="15.75" customHeight="1">
      <c r="N987" s="37"/>
    </row>
    <row r="988" spans="14:14" ht="15.75" customHeight="1">
      <c r="N988" s="37"/>
    </row>
    <row r="989" spans="14:14" ht="15.75" customHeight="1">
      <c r="N989" s="37"/>
    </row>
    <row r="990" spans="14:14" ht="15.75" customHeight="1">
      <c r="N990" s="37"/>
    </row>
    <row r="991" spans="14:14" ht="15.75" customHeight="1">
      <c r="N991" s="37"/>
    </row>
    <row r="992" spans="14:14" ht="15.75" customHeight="1">
      <c r="N992" s="37"/>
    </row>
    <row r="993" spans="14:14" ht="15.75" customHeight="1">
      <c r="N993" s="37"/>
    </row>
    <row r="994" spans="14:14" ht="15.75" customHeight="1">
      <c r="N994" s="37"/>
    </row>
    <row r="995" spans="14:14" ht="15.75" customHeight="1">
      <c r="N995" s="37"/>
    </row>
    <row r="996" spans="14:14" ht="15.75" customHeight="1">
      <c r="N996" s="37"/>
    </row>
    <row r="997" spans="14:14" ht="15.75" customHeight="1">
      <c r="N997" s="37"/>
    </row>
    <row r="998" spans="14:14" ht="15.75" customHeight="1">
      <c r="N998" s="37"/>
    </row>
    <row r="999" spans="14:14" ht="15.75" customHeight="1">
      <c r="N999" s="3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J1000"/>
  <sheetViews>
    <sheetView tabSelected="1" topLeftCell="AD1" workbookViewId="0">
      <selection activeCell="AK5" sqref="AK5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88" width="14.42578125" customWidth="1"/>
  </cols>
  <sheetData>
    <row r="1" spans="1:88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</row>
    <row r="2" spans="1:88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88" ht="15.75" customHeight="1">
      <c r="A3" s="15"/>
      <c r="B3" s="3" t="s">
        <v>6</v>
      </c>
      <c r="C3" s="16" t="s">
        <v>56</v>
      </c>
      <c r="D3" s="3" t="s">
        <v>9</v>
      </c>
      <c r="E3" s="16" t="s">
        <v>80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</row>
    <row r="4" spans="1:88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78</v>
      </c>
      <c r="D4" s="18" t="s">
        <v>79</v>
      </c>
      <c r="E4" s="18" t="s">
        <v>80</v>
      </c>
      <c r="F4" s="18" t="s">
        <v>81</v>
      </c>
      <c r="G4" s="18" t="s">
        <v>82</v>
      </c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</row>
    <row r="5" spans="1:88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1" t="str">
        <f ca="1">IFERROR(__xludf.DUMMYFUNCTION("""COMPUTED_VALUE"""),"Allocation")</f>
        <v>Allocation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2" t="str">
        <f ca="1">IFERROR(__xludf.DUMMYFUNCTION("""COMPUTED_VALUE"""),"Soft Basis")</f>
        <v>Soft Basis</v>
      </c>
      <c r="U5" s="22" t="str">
        <f ca="1">IFERROR(__xludf.DUMMYFUNCTION("""COMPUTED_VALUE"""),"Soft Rate")</f>
        <v>Soft Rate</v>
      </c>
      <c r="V5" s="22" t="str">
        <f ca="1">IFERROR(__xludf.DUMMYFUNCTION("""COMPUTED_VALUE"""),"Trade Attribute 1")</f>
        <v>Trade Attribute 1</v>
      </c>
      <c r="W5" s="22" t="str">
        <f ca="1">IFERROR(__xludf.DUMMYFUNCTION("""COMPUTED_VALUE"""),"Trade Attribute 2")</f>
        <v>Trade Attribute 2</v>
      </c>
      <c r="X5" s="22" t="str">
        <f ca="1">IFERROR(__xludf.DUMMYFUNCTION("""COMPUTED_VALUE"""),"Trade Attribute 3")</f>
        <v>Trade Attribute 3</v>
      </c>
      <c r="Y5" s="22" t="str">
        <f ca="1">IFERROR(__xludf.DUMMYFUNCTION("""COMPUTED_VALUE"""),"Trade Attribute 4")</f>
        <v>Trade Attribute 4</v>
      </c>
      <c r="Z5" s="22" t="str">
        <f ca="1">IFERROR(__xludf.DUMMYFUNCTION("""COMPUTED_VALUE"""),"Trade Attribute 5")</f>
        <v>Trade Attribute 5</v>
      </c>
      <c r="AA5" s="22" t="str">
        <f ca="1">IFERROR(__xludf.DUMMYFUNCTION("""COMPUTED_VALUE"""),"Trade Attribute 6")</f>
        <v>Trade Attribute 6</v>
      </c>
      <c r="AB5" s="22" t="str">
        <f ca="1">IFERROR(__xludf.DUMMYFUNCTION("""COMPUTED_VALUE"""),"Venue")</f>
        <v>Venue</v>
      </c>
      <c r="AC5" s="22" t="str">
        <f ca="1">IFERROR(__xludf.DUMMYFUNCTION("""COMPUTED_VALUE"""),"Execution Instructions")</f>
        <v>Execution Instructions</v>
      </c>
      <c r="AD5" s="22" t="str">
        <f ca="1">IFERROR(__xludf.DUMMYFUNCTION("""COMPUTED_VALUE"""),"Handling Instructions")</f>
        <v>Handling Instructions</v>
      </c>
      <c r="AE5" s="22" t="str">
        <f ca="1">IFERROR(__xludf.DUMMYFUNCTION("""COMPUTED_VALUE"""),"Trader")</f>
        <v>Trader</v>
      </c>
      <c r="AF5" s="22" t="str">
        <f ca="1">IFERROR(__xludf.DUMMYFUNCTION("""COMPUTED_VALUE"""),"Settlement Currency")</f>
        <v>Settlement Currency</v>
      </c>
      <c r="AG5" s="22" t="str">
        <f ca="1">IFERROR(__xludf.DUMMYFUNCTION("""COMPUTED_VALUE"""),"Settlement Fx Rate")</f>
        <v>Settlement Fx Rate</v>
      </c>
      <c r="AH5" s="22" t="str">
        <f ca="1">IFERROR(__xludf.DUMMYFUNCTION("""COMPUTED_VALUE"""),"Settlement Amount")</f>
        <v>Settlement Amount</v>
      </c>
      <c r="AI5" s="22" t="str">
        <f ca="1">IFERROR(__xludf.DUMMYFUNCTION("""COMPUTED_VALUE"""),"Settlement Fx Operator")</f>
        <v>Settlement Fx Operator</v>
      </c>
      <c r="AJ5" s="22" t="str">
        <f ca="1">IFERROR(__xludf.DUMMYFUNCTION("""COMPUTED_VALUE"""),"ImportFileName")</f>
        <v>ImportFileName</v>
      </c>
      <c r="AK5" s="22" t="s">
        <v>195</v>
      </c>
      <c r="AL5" s="22" t="str">
        <f ca="1">IFERROR(__xludf.DUMMYFUNCTION("""COMPUTED_VALUE"""),"")</f>
        <v/>
      </c>
      <c r="AM5" s="22" t="str">
        <f ca="1">IFERROR(__xludf.DUMMYFUNCTION("""COMPUTED_VALUE"""),"")</f>
        <v/>
      </c>
      <c r="AN5" s="22" t="str">
        <f ca="1">IFERROR(__xludf.DUMMYFUNCTION("""COMPUTED_VALUE"""),"")</f>
        <v/>
      </c>
      <c r="AO5" s="22" t="str">
        <f ca="1">IFERROR(__xludf.DUMMYFUNCTION("""COMPUTED_VALUE"""),"")</f>
        <v/>
      </c>
      <c r="AP5" s="22" t="str">
        <f ca="1">IFERROR(__xludf.DUMMYFUNCTION("""COMPUTED_VALUE"""),"")</f>
        <v/>
      </c>
      <c r="AQ5" s="22" t="str">
        <f ca="1">IFERROR(__xludf.DUMMYFUNCTION("""COMPUTED_VALUE"""),"")</f>
        <v/>
      </c>
      <c r="AR5" s="22" t="str">
        <f ca="1">IFERROR(__xludf.DUMMYFUNCTION("""COMPUTED_VALUE"""),"")</f>
        <v/>
      </c>
      <c r="AS5" s="22" t="str">
        <f ca="1">IFERROR(__xludf.DUMMYFUNCTION("""COMPUTED_VALUE"""),"")</f>
        <v/>
      </c>
      <c r="AT5" s="22" t="str">
        <f ca="1">IFERROR(__xludf.DUMMYFUNCTION("""COMPUTED_VALUE"""),"")</f>
        <v/>
      </c>
      <c r="AU5" s="22" t="str">
        <f ca="1">IFERROR(__xludf.DUMMYFUNCTION("""COMPUTED_VALUE"""),"")</f>
        <v/>
      </c>
      <c r="AV5" s="22" t="str">
        <f ca="1">IFERROR(__xludf.DUMMYFUNCTION("""COMPUTED_VALUE"""),"")</f>
        <v/>
      </c>
      <c r="AW5" s="22" t="str">
        <f ca="1">IFERROR(__xludf.DUMMYFUNCTION("""COMPUTED_VALUE"""),"")</f>
        <v/>
      </c>
      <c r="AX5" s="22" t="str">
        <f ca="1">IFERROR(__xludf.DUMMYFUNCTION("""COMPUTED_VALUE"""),"")</f>
        <v/>
      </c>
      <c r="AY5" s="22" t="str">
        <f ca="1">IFERROR(__xludf.DUMMYFUNCTION("""COMPUTED_VALUE"""),"")</f>
        <v/>
      </c>
      <c r="AZ5" s="22" t="str">
        <f ca="1">IFERROR(__xludf.DUMMYFUNCTION("""COMPUTED_VALUE"""),"")</f>
        <v/>
      </c>
      <c r="BA5" s="22" t="str">
        <f ca="1">IFERROR(__xludf.DUMMYFUNCTION("""COMPUTED_VALUE"""),"")</f>
        <v/>
      </c>
      <c r="BB5" s="22" t="str">
        <f ca="1">IFERROR(__xludf.DUMMYFUNCTION("""COMPUTED_VALUE"""),"")</f>
        <v/>
      </c>
      <c r="BC5" s="22" t="str">
        <f ca="1">IFERROR(__xludf.DUMMYFUNCTION("""COMPUTED_VALUE"""),"")</f>
        <v/>
      </c>
      <c r="BD5" s="22" t="str">
        <f ca="1">IFERROR(__xludf.DUMMYFUNCTION("""COMPUTED_VALUE"""),"")</f>
        <v/>
      </c>
      <c r="BE5" s="22" t="str">
        <f ca="1">IFERROR(__xludf.DUMMYFUNCTION("""COMPUTED_VALUE"""),"")</f>
        <v/>
      </c>
      <c r="BF5" s="22" t="str">
        <f ca="1">IFERROR(__xludf.DUMMYFUNCTION("""COMPUTED_VALUE"""),"")</f>
        <v/>
      </c>
      <c r="BG5" s="22" t="str">
        <f ca="1">IFERROR(__xludf.DUMMYFUNCTION("""COMPUTED_VALUE"""),"")</f>
        <v/>
      </c>
      <c r="BH5" s="22" t="str">
        <f ca="1">IFERROR(__xludf.DUMMYFUNCTION("""COMPUTED_VALUE"""),"")</f>
        <v/>
      </c>
      <c r="BI5" s="22" t="str">
        <f ca="1">IFERROR(__xludf.DUMMYFUNCTION("""COMPUTED_VALUE"""),"")</f>
        <v/>
      </c>
      <c r="BJ5" s="22" t="str">
        <f ca="1">IFERROR(__xludf.DUMMYFUNCTION("""COMPUTED_VALUE"""),"")</f>
        <v/>
      </c>
      <c r="BK5" s="22" t="str">
        <f ca="1">IFERROR(__xludf.DUMMYFUNCTION("""COMPUTED_VALUE"""),"")</f>
        <v/>
      </c>
      <c r="BL5" s="22" t="str">
        <f ca="1">IFERROR(__xludf.DUMMYFUNCTION("""COMPUTED_VALUE"""),"")</f>
        <v/>
      </c>
      <c r="BM5" s="22" t="str">
        <f ca="1">IFERROR(__xludf.DUMMYFUNCTION("""COMPUTED_VALUE"""),"")</f>
        <v/>
      </c>
      <c r="BN5" s="22" t="str">
        <f ca="1">IFERROR(__xludf.DUMMYFUNCTION("""COMPUTED_VALUE"""),"")</f>
        <v/>
      </c>
      <c r="BO5" s="22" t="str">
        <f ca="1">IFERROR(__xludf.DUMMYFUNCTION("""COMPUTED_VALUE"""),"")</f>
        <v/>
      </c>
      <c r="BP5" s="22" t="str">
        <f ca="1">IFERROR(__xludf.DUMMYFUNCTION("""COMPUTED_VALUE"""),"")</f>
        <v/>
      </c>
      <c r="BQ5" s="22" t="str">
        <f ca="1">IFERROR(__xludf.DUMMYFUNCTION("""COMPUTED_VALUE"""),"")</f>
        <v/>
      </c>
      <c r="BR5" s="22" t="str">
        <f ca="1">IFERROR(__xludf.DUMMYFUNCTION("""COMPUTED_VALUE"""),"")</f>
        <v/>
      </c>
      <c r="BS5" s="22" t="str">
        <f ca="1">IFERROR(__xludf.DUMMYFUNCTION("""COMPUTED_VALUE"""),"")</f>
        <v/>
      </c>
      <c r="BT5" s="22" t="str">
        <f ca="1">IFERROR(__xludf.DUMMYFUNCTION("""COMPUTED_VALUE"""),"")</f>
        <v/>
      </c>
      <c r="BU5" s="22" t="str">
        <f ca="1">IFERROR(__xludf.DUMMYFUNCTION("""COMPUTED_VALUE"""),"")</f>
        <v/>
      </c>
      <c r="BV5" s="22" t="str">
        <f ca="1">IFERROR(__xludf.DUMMYFUNCTION("""COMPUTED_VALUE"""),"")</f>
        <v/>
      </c>
      <c r="BW5" s="22" t="str">
        <f ca="1">IFERROR(__xludf.DUMMYFUNCTION("""COMPUTED_VALUE"""),"")</f>
        <v/>
      </c>
      <c r="BX5" s="22" t="str">
        <f ca="1">IFERROR(__xludf.DUMMYFUNCTION("""COMPUTED_VALUE"""),"")</f>
        <v/>
      </c>
      <c r="BY5" s="22" t="str">
        <f ca="1">IFERROR(__xludf.DUMMYFUNCTION("""COMPUTED_VALUE"""),"")</f>
        <v/>
      </c>
      <c r="BZ5" s="22" t="str">
        <f ca="1">IFERROR(__xludf.DUMMYFUNCTION("""COMPUTED_VALUE"""),"")</f>
        <v/>
      </c>
      <c r="CA5" s="22" t="str">
        <f ca="1">IFERROR(__xludf.DUMMYFUNCTION("""COMPUTED_VALUE"""),"")</f>
        <v/>
      </c>
      <c r="CB5" s="22" t="str">
        <f ca="1">IFERROR(__xludf.DUMMYFUNCTION("""COMPUTED_VALUE"""),"")</f>
        <v/>
      </c>
      <c r="CC5" s="22" t="str">
        <f ca="1">IFERROR(__xludf.DUMMYFUNCTION("""COMPUTED_VALUE"""),"")</f>
        <v/>
      </c>
      <c r="CD5" s="22" t="str">
        <f ca="1">IFERROR(__xludf.DUMMYFUNCTION("""COMPUTED_VALUE"""),"")</f>
        <v/>
      </c>
      <c r="CE5" s="22" t="str">
        <f ca="1">IFERROR(__xludf.DUMMYFUNCTION("""COMPUTED_VALUE"""),"")</f>
        <v/>
      </c>
      <c r="CF5" s="22" t="str">
        <f ca="1">IFERROR(__xludf.DUMMYFUNCTION("""COMPUTED_VALUE"""),"")</f>
        <v/>
      </c>
      <c r="CG5" s="22" t="str">
        <f ca="1">IFERROR(__xludf.DUMMYFUNCTION("""COMPUTED_VALUE"""),"")</f>
        <v/>
      </c>
      <c r="CH5" s="22" t="str">
        <f ca="1">IFERROR(__xludf.DUMMYFUNCTION("""COMPUTED_VALUE"""),"")</f>
        <v/>
      </c>
      <c r="CI5" s="22" t="str">
        <f ca="1">IFERROR(__xludf.DUMMYFUNCTION("""COMPUTED_VALUE"""),"")</f>
        <v/>
      </c>
      <c r="CJ5" s="22" t="str">
        <f ca="1">IFERROR(__xludf.DUMMYFUNCTION("""COMPUTED_VALUE"""),"")</f>
        <v/>
      </c>
    </row>
    <row r="6" spans="1:88" ht="15.75" customHeight="1">
      <c r="A6" s="2"/>
      <c r="B6" t="s">
        <v>29</v>
      </c>
      <c r="C6" t="s">
        <v>30</v>
      </c>
    </row>
    <row r="7" spans="1:88" ht="15.75" customHeight="1">
      <c r="A7" s="2"/>
      <c r="B7" s="27" t="s">
        <v>29</v>
      </c>
      <c r="C7" s="27" t="s">
        <v>33</v>
      </c>
      <c r="D7" s="28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8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88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88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88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88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BZ12" s="38"/>
    </row>
    <row r="13" spans="1:88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BZ13" s="38"/>
    </row>
    <row r="14" spans="1:8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BZ14" s="38"/>
    </row>
    <row r="15" spans="1:88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BZ15" s="38"/>
    </row>
    <row r="16" spans="1:8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BZ16" s="38"/>
    </row>
    <row r="17" spans="1:7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BZ17" s="38"/>
    </row>
    <row r="18" spans="1:7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BZ18" s="38"/>
    </row>
    <row r="19" spans="1:7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BZ19" s="38"/>
    </row>
    <row r="20" spans="1:78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BZ20" s="38"/>
    </row>
    <row r="21" spans="1:78" ht="15.75" customHeight="1"/>
    <row r="22" spans="1:78" ht="15.75" customHeight="1"/>
    <row r="23" spans="1:78" ht="15.75" customHeight="1"/>
    <row r="24" spans="1:78" ht="15.75" customHeight="1"/>
    <row r="25" spans="1:78" ht="15.75" customHeight="1"/>
    <row r="26" spans="1:78" ht="15.75" customHeight="1"/>
    <row r="27" spans="1:78" ht="15.75" customHeight="1"/>
    <row r="28" spans="1:78" ht="15.75" customHeight="1"/>
    <row r="29" spans="1:78" ht="15.75" customHeight="1"/>
    <row r="30" spans="1:78" ht="15.75" customHeight="1"/>
    <row r="31" spans="1:78" ht="15.75" customHeight="1"/>
    <row r="32" spans="1:7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I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3" width="14.42578125" customWidth="1"/>
  </cols>
  <sheetData>
    <row r="1" spans="1:113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</row>
    <row r="2" spans="1:113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113" ht="15.75" customHeight="1">
      <c r="A3" s="15"/>
      <c r="B3" s="3" t="s">
        <v>6</v>
      </c>
      <c r="C3" s="16" t="s">
        <v>85</v>
      </c>
      <c r="D3" s="3" t="s">
        <v>9</v>
      </c>
      <c r="E3" s="16" t="s">
        <v>86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</row>
    <row r="4" spans="1:113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87</v>
      </c>
      <c r="D4" s="18" t="s">
        <v>86</v>
      </c>
      <c r="E4" s="18" t="s">
        <v>88</v>
      </c>
      <c r="F4" s="18" t="s">
        <v>89</v>
      </c>
      <c r="G4" s="18" t="s">
        <v>90</v>
      </c>
      <c r="H4" s="18" t="s">
        <v>91</v>
      </c>
      <c r="I4" s="18" t="s">
        <v>92</v>
      </c>
      <c r="J4" s="18" t="s">
        <v>93</v>
      </c>
      <c r="K4" s="18" t="s">
        <v>94</v>
      </c>
      <c r="L4" s="18" t="s">
        <v>95</v>
      </c>
      <c r="M4" s="18" t="s">
        <v>96</v>
      </c>
      <c r="N4" s="18" t="s">
        <v>97</v>
      </c>
      <c r="O4" s="18" t="s">
        <v>98</v>
      </c>
      <c r="P4" s="19" t="s">
        <v>99</v>
      </c>
      <c r="Q4" s="19" t="s">
        <v>100</v>
      </c>
      <c r="R4" s="19" t="s">
        <v>101</v>
      </c>
      <c r="S4" s="19" t="s">
        <v>102</v>
      </c>
      <c r="T4" s="19" t="s">
        <v>103</v>
      </c>
      <c r="U4" s="19" t="s">
        <v>104</v>
      </c>
      <c r="V4" s="19" t="s">
        <v>105</v>
      </c>
      <c r="W4" s="19" t="s">
        <v>106</v>
      </c>
      <c r="X4" s="19" t="s">
        <v>107</v>
      </c>
      <c r="Y4" s="19" t="s">
        <v>108</v>
      </c>
      <c r="Z4" s="19" t="s">
        <v>109</v>
      </c>
      <c r="AA4" s="19" t="s">
        <v>110</v>
      </c>
      <c r="AB4" s="19" t="s">
        <v>111</v>
      </c>
      <c r="AC4" s="19" t="s">
        <v>112</v>
      </c>
      <c r="AD4" s="19" t="s">
        <v>94</v>
      </c>
      <c r="AE4" s="19" t="s">
        <v>113</v>
      </c>
      <c r="AF4" s="19" t="s">
        <v>114</v>
      </c>
      <c r="AG4" s="19" t="s">
        <v>115</v>
      </c>
      <c r="AH4" s="19" t="s">
        <v>116</v>
      </c>
      <c r="AI4" s="19" t="s">
        <v>117</v>
      </c>
      <c r="AJ4" s="19" t="s">
        <v>118</v>
      </c>
      <c r="AK4" s="19" t="s">
        <v>119</v>
      </c>
      <c r="AL4" s="19" t="s">
        <v>120</v>
      </c>
      <c r="AM4" s="19" t="s">
        <v>121</v>
      </c>
      <c r="AN4" s="19" t="s">
        <v>122</v>
      </c>
      <c r="AO4" s="19" t="s">
        <v>123</v>
      </c>
      <c r="AP4" s="19" t="s">
        <v>124</v>
      </c>
      <c r="AQ4" s="19" t="s">
        <v>125</v>
      </c>
      <c r="AR4" s="19" t="s">
        <v>126</v>
      </c>
      <c r="AS4" s="19" t="s">
        <v>127</v>
      </c>
      <c r="AT4" s="19" t="s">
        <v>128</v>
      </c>
      <c r="AU4" s="19" t="s">
        <v>129</v>
      </c>
      <c r="AV4" s="19" t="s">
        <v>130</v>
      </c>
      <c r="AW4" s="19" t="s">
        <v>131</v>
      </c>
      <c r="AX4" s="19" t="s">
        <v>132</v>
      </c>
      <c r="AY4" s="19" t="s">
        <v>133</v>
      </c>
      <c r="AZ4" s="19" t="s">
        <v>134</v>
      </c>
      <c r="BA4" s="19" t="s">
        <v>135</v>
      </c>
      <c r="BB4" s="19" t="s">
        <v>136</v>
      </c>
      <c r="BC4" s="19" t="s">
        <v>137</v>
      </c>
      <c r="BD4" s="19" t="s">
        <v>138</v>
      </c>
      <c r="BE4" s="19" t="s">
        <v>139</v>
      </c>
      <c r="BF4" s="19" t="s">
        <v>140</v>
      </c>
      <c r="BG4" s="19" t="s">
        <v>141</v>
      </c>
      <c r="BH4" s="19" t="s">
        <v>142</v>
      </c>
      <c r="BI4" s="19" t="s">
        <v>143</v>
      </c>
      <c r="BJ4" s="19" t="s">
        <v>144</v>
      </c>
      <c r="BK4" s="19" t="s">
        <v>76</v>
      </c>
      <c r="BL4" s="19" t="s">
        <v>145</v>
      </c>
      <c r="BM4" s="19" t="s">
        <v>146</v>
      </c>
      <c r="BN4" s="19" t="s">
        <v>147</v>
      </c>
      <c r="BO4" s="19" t="s">
        <v>148</v>
      </c>
      <c r="BP4" s="19" t="s">
        <v>149</v>
      </c>
      <c r="BQ4" s="19" t="s">
        <v>150</v>
      </c>
      <c r="BR4" s="19" t="s">
        <v>151</v>
      </c>
      <c r="BS4" s="19" t="s">
        <v>152</v>
      </c>
      <c r="BT4" s="19" t="s">
        <v>153</v>
      </c>
      <c r="BU4" s="19" t="s">
        <v>154</v>
      </c>
      <c r="BV4" s="19" t="s">
        <v>155</v>
      </c>
      <c r="BW4" s="19" t="s">
        <v>156</v>
      </c>
      <c r="BX4" s="19" t="s">
        <v>87</v>
      </c>
      <c r="BY4" s="19" t="s">
        <v>157</v>
      </c>
      <c r="BZ4" s="19" t="s">
        <v>158</v>
      </c>
      <c r="CA4" s="19" t="s">
        <v>159</v>
      </c>
      <c r="CB4" s="19" t="s">
        <v>160</v>
      </c>
      <c r="CC4" s="19" t="s">
        <v>161</v>
      </c>
      <c r="CD4" s="19" t="s">
        <v>162</v>
      </c>
      <c r="CE4" s="19" t="s">
        <v>163</v>
      </c>
      <c r="CF4" s="19" t="s">
        <v>164</v>
      </c>
      <c r="CG4" s="19" t="s">
        <v>165</v>
      </c>
      <c r="CH4" s="19" t="s">
        <v>166</v>
      </c>
      <c r="CI4" s="19" t="s">
        <v>167</v>
      </c>
      <c r="CJ4" s="19" t="s">
        <v>168</v>
      </c>
      <c r="CK4" s="19" t="s">
        <v>169</v>
      </c>
      <c r="CL4" s="19" t="s">
        <v>170</v>
      </c>
      <c r="CM4" s="19" t="s">
        <v>171</v>
      </c>
      <c r="CN4" s="19" t="s">
        <v>172</v>
      </c>
      <c r="CO4" s="19" t="s">
        <v>173</v>
      </c>
      <c r="CP4" s="19" t="s">
        <v>174</v>
      </c>
      <c r="CQ4" s="19" t="s">
        <v>175</v>
      </c>
      <c r="CR4" s="19" t="s">
        <v>176</v>
      </c>
      <c r="CS4" s="19" t="s">
        <v>177</v>
      </c>
      <c r="CT4" s="19" t="s">
        <v>178</v>
      </c>
      <c r="CU4" s="19" t="s">
        <v>179</v>
      </c>
      <c r="CV4" s="19" t="s">
        <v>180</v>
      </c>
      <c r="CW4" s="19" t="s">
        <v>181</v>
      </c>
      <c r="CX4" s="19" t="s">
        <v>182</v>
      </c>
      <c r="CY4" s="19" t="s">
        <v>183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</row>
    <row r="5" spans="1:113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1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2" t="str">
        <f ca="1">IFERROR(__xludf.DUMMYFUNCTION("""COMPUTED_VALUE"""),"")</f>
        <v/>
      </c>
      <c r="U5" s="22" t="str">
        <f ca="1">IFERROR(__xludf.DUMMYFUNCTION("""COMPUTED_VALUE"""),"")</f>
        <v/>
      </c>
      <c r="V5" s="22" t="str">
        <f ca="1">IFERROR(__xludf.DUMMYFUNCTION("""COMPUTED_VALUE"""),"")</f>
        <v/>
      </c>
      <c r="W5" s="22" t="str">
        <f ca="1">IFERROR(__xludf.DUMMYFUNCTION("""COMPUTED_VALUE"""),"")</f>
        <v/>
      </c>
      <c r="X5" s="22" t="str">
        <f ca="1">IFERROR(__xludf.DUMMYFUNCTION("""COMPUTED_VALUE"""),"")</f>
        <v/>
      </c>
      <c r="Y5" s="22" t="str">
        <f ca="1">IFERROR(__xludf.DUMMYFUNCTION("""COMPUTED_VALUE"""),"")</f>
        <v/>
      </c>
      <c r="Z5" s="22" t="str">
        <f ca="1">IFERROR(__xludf.DUMMYFUNCTION("""COMPUTED_VALUE"""),"")</f>
        <v/>
      </c>
      <c r="AA5" s="22" t="str">
        <f ca="1">IFERROR(__xludf.DUMMYFUNCTION("""COMPUTED_VALUE"""),"")</f>
        <v/>
      </c>
      <c r="AB5" s="22" t="str">
        <f ca="1">IFERROR(__xludf.DUMMYFUNCTION("""COMPUTED_VALUE"""),"")</f>
        <v/>
      </c>
      <c r="AC5" s="22" t="str">
        <f ca="1">IFERROR(__xludf.DUMMYFUNCTION("""COMPUTED_VALUE"""),"")</f>
        <v/>
      </c>
      <c r="AD5" s="22" t="str">
        <f ca="1">IFERROR(__xludf.DUMMYFUNCTION("""COMPUTED_VALUE"""),"")</f>
        <v/>
      </c>
      <c r="AE5" s="22" t="str">
        <f ca="1">IFERROR(__xludf.DUMMYFUNCTION("""COMPUTED_VALUE"""),"")</f>
        <v/>
      </c>
      <c r="AF5" s="22" t="str">
        <f ca="1">IFERROR(__xludf.DUMMYFUNCTION("""COMPUTED_VALUE"""),"")</f>
        <v/>
      </c>
      <c r="AG5" s="22" t="str">
        <f ca="1">IFERROR(__xludf.DUMMYFUNCTION("""COMPUTED_VALUE"""),"")</f>
        <v/>
      </c>
      <c r="AH5" s="22" t="str">
        <f ca="1">IFERROR(__xludf.DUMMYFUNCTION("""COMPUTED_VALUE"""),"")</f>
        <v/>
      </c>
      <c r="AI5" s="22" t="str">
        <f ca="1">IFERROR(__xludf.DUMMYFUNCTION("""COMPUTED_VALUE"""),"")</f>
        <v/>
      </c>
      <c r="AJ5" s="22" t="str">
        <f ca="1">IFERROR(__xludf.DUMMYFUNCTION("""COMPUTED_VALUE"""),"")</f>
        <v/>
      </c>
      <c r="AK5" s="22" t="str">
        <f ca="1">IFERROR(__xludf.DUMMYFUNCTION("""COMPUTED_VALUE"""),"")</f>
        <v/>
      </c>
      <c r="AL5" s="22" t="str">
        <f ca="1">IFERROR(__xludf.DUMMYFUNCTION("""COMPUTED_VALUE"""),"")</f>
        <v/>
      </c>
      <c r="AM5" s="22" t="str">
        <f ca="1">IFERROR(__xludf.DUMMYFUNCTION("""COMPUTED_VALUE"""),"")</f>
        <v/>
      </c>
      <c r="AN5" s="22" t="str">
        <f ca="1">IFERROR(__xludf.DUMMYFUNCTION("""COMPUTED_VALUE"""),"")</f>
        <v/>
      </c>
      <c r="AO5" s="22" t="str">
        <f ca="1">IFERROR(__xludf.DUMMYFUNCTION("""COMPUTED_VALUE"""),"")</f>
        <v/>
      </c>
      <c r="AP5" s="22" t="str">
        <f ca="1">IFERROR(__xludf.DUMMYFUNCTION("""COMPUTED_VALUE"""),"")</f>
        <v/>
      </c>
      <c r="AQ5" s="22" t="str">
        <f ca="1">IFERROR(__xludf.DUMMYFUNCTION("""COMPUTED_VALUE"""),"")</f>
        <v/>
      </c>
      <c r="AR5" s="22" t="str">
        <f ca="1">IFERROR(__xludf.DUMMYFUNCTION("""COMPUTED_VALUE"""),"")</f>
        <v/>
      </c>
      <c r="AS5" s="22" t="str">
        <f ca="1">IFERROR(__xludf.DUMMYFUNCTION("""COMPUTED_VALUE"""),"")</f>
        <v/>
      </c>
      <c r="AT5" s="22" t="str">
        <f ca="1">IFERROR(__xludf.DUMMYFUNCTION("""COMPUTED_VALUE"""),"")</f>
        <v/>
      </c>
      <c r="AU5" s="22" t="str">
        <f ca="1">IFERROR(__xludf.DUMMYFUNCTION("""COMPUTED_VALUE"""),"")</f>
        <v/>
      </c>
      <c r="AV5" s="22" t="str">
        <f ca="1">IFERROR(__xludf.DUMMYFUNCTION("""COMPUTED_VALUE"""),"")</f>
        <v/>
      </c>
      <c r="AW5" s="22" t="str">
        <f ca="1">IFERROR(__xludf.DUMMYFUNCTION("""COMPUTED_VALUE"""),"")</f>
        <v/>
      </c>
      <c r="AX5" s="22" t="str">
        <f ca="1">IFERROR(__xludf.DUMMYFUNCTION("""COMPUTED_VALUE"""),"")</f>
        <v/>
      </c>
      <c r="AY5" s="22" t="str">
        <f ca="1">IFERROR(__xludf.DUMMYFUNCTION("""COMPUTED_VALUE"""),"")</f>
        <v/>
      </c>
      <c r="AZ5" s="22" t="str">
        <f ca="1">IFERROR(__xludf.DUMMYFUNCTION("""COMPUTED_VALUE"""),"")</f>
        <v/>
      </c>
      <c r="BA5" s="22" t="str">
        <f ca="1">IFERROR(__xludf.DUMMYFUNCTION("""COMPUTED_VALUE"""),"")</f>
        <v/>
      </c>
      <c r="BB5" s="22" t="str">
        <f ca="1">IFERROR(__xludf.DUMMYFUNCTION("""COMPUTED_VALUE"""),"")</f>
        <v/>
      </c>
      <c r="BC5" s="22" t="str">
        <f ca="1">IFERROR(__xludf.DUMMYFUNCTION("""COMPUTED_VALUE"""),"")</f>
        <v/>
      </c>
      <c r="BD5" s="22" t="str">
        <f ca="1">IFERROR(__xludf.DUMMYFUNCTION("""COMPUTED_VALUE"""),"")</f>
        <v/>
      </c>
      <c r="BE5" s="22" t="str">
        <f ca="1">IFERROR(__xludf.DUMMYFUNCTION("""COMPUTED_VALUE"""),"")</f>
        <v/>
      </c>
      <c r="BF5" s="22" t="str">
        <f ca="1">IFERROR(__xludf.DUMMYFUNCTION("""COMPUTED_VALUE"""),"")</f>
        <v/>
      </c>
      <c r="BG5" s="22" t="str">
        <f ca="1">IFERROR(__xludf.DUMMYFUNCTION("""COMPUTED_VALUE"""),"")</f>
        <v/>
      </c>
      <c r="BH5" s="22" t="str">
        <f ca="1">IFERROR(__xludf.DUMMYFUNCTION("""COMPUTED_VALUE"""),"")</f>
        <v/>
      </c>
      <c r="BI5" s="22" t="str">
        <f ca="1">IFERROR(__xludf.DUMMYFUNCTION("""COMPUTED_VALUE"""),"")</f>
        <v/>
      </c>
      <c r="BJ5" s="22" t="str">
        <f ca="1">IFERROR(__xludf.DUMMYFUNCTION("""COMPUTED_VALUE"""),"")</f>
        <v/>
      </c>
      <c r="BK5" s="22" t="str">
        <f ca="1">IFERROR(__xludf.DUMMYFUNCTION("""COMPUTED_VALUE"""),"")</f>
        <v/>
      </c>
      <c r="BL5" s="22" t="str">
        <f ca="1">IFERROR(__xludf.DUMMYFUNCTION("""COMPUTED_VALUE"""),"")</f>
        <v/>
      </c>
      <c r="BM5" s="22" t="str">
        <f ca="1">IFERROR(__xludf.DUMMYFUNCTION("""COMPUTED_VALUE"""),"")</f>
        <v/>
      </c>
      <c r="BN5" s="22" t="str">
        <f ca="1">IFERROR(__xludf.DUMMYFUNCTION("""COMPUTED_VALUE"""),"")</f>
        <v/>
      </c>
      <c r="BO5" s="22" t="str">
        <f ca="1">IFERROR(__xludf.DUMMYFUNCTION("""COMPUTED_VALUE"""),"")</f>
        <v/>
      </c>
      <c r="BP5" s="22" t="str">
        <f ca="1">IFERROR(__xludf.DUMMYFUNCTION("""COMPUTED_VALUE"""),"")</f>
        <v/>
      </c>
      <c r="BQ5" s="22" t="str">
        <f ca="1">IFERROR(__xludf.DUMMYFUNCTION("""COMPUTED_VALUE"""),"")</f>
        <v/>
      </c>
      <c r="BR5" s="22" t="str">
        <f ca="1">IFERROR(__xludf.DUMMYFUNCTION("""COMPUTED_VALUE"""),"")</f>
        <v/>
      </c>
      <c r="BS5" s="22" t="str">
        <f ca="1">IFERROR(__xludf.DUMMYFUNCTION("""COMPUTED_VALUE"""),"")</f>
        <v/>
      </c>
      <c r="BT5" s="22" t="str">
        <f ca="1">IFERROR(__xludf.DUMMYFUNCTION("""COMPUTED_VALUE"""),"")</f>
        <v/>
      </c>
      <c r="BU5" s="22" t="str">
        <f ca="1">IFERROR(__xludf.DUMMYFUNCTION("""COMPUTED_VALUE"""),"")</f>
        <v/>
      </c>
      <c r="BV5" s="22" t="str">
        <f ca="1">IFERROR(__xludf.DUMMYFUNCTION("""COMPUTED_VALUE"""),"")</f>
        <v/>
      </c>
      <c r="BW5" s="22" t="str">
        <f ca="1">IFERROR(__xludf.DUMMYFUNCTION("""COMPUTED_VALUE"""),"")</f>
        <v/>
      </c>
      <c r="BX5" s="22" t="str">
        <f ca="1">IFERROR(__xludf.DUMMYFUNCTION("""COMPUTED_VALUE"""),"")</f>
        <v/>
      </c>
      <c r="BY5" s="22" t="str">
        <f ca="1">IFERROR(__xludf.DUMMYFUNCTION("""COMPUTED_VALUE"""),"")</f>
        <v/>
      </c>
      <c r="BZ5" s="22" t="str">
        <f ca="1">IFERROR(__xludf.DUMMYFUNCTION("""COMPUTED_VALUE"""),"")</f>
        <v/>
      </c>
      <c r="CA5" s="22" t="str">
        <f ca="1">IFERROR(__xludf.DUMMYFUNCTION("""COMPUTED_VALUE"""),"")</f>
        <v/>
      </c>
      <c r="CB5" s="22" t="str">
        <f ca="1">IFERROR(__xludf.DUMMYFUNCTION("""COMPUTED_VALUE"""),"")</f>
        <v/>
      </c>
      <c r="CC5" s="22" t="str">
        <f ca="1">IFERROR(__xludf.DUMMYFUNCTION("""COMPUTED_VALUE"""),"")</f>
        <v/>
      </c>
      <c r="CD5" s="22" t="str">
        <f ca="1">IFERROR(__xludf.DUMMYFUNCTION("""COMPUTED_VALUE"""),"")</f>
        <v/>
      </c>
      <c r="CE5" s="22" t="str">
        <f ca="1">IFERROR(__xludf.DUMMYFUNCTION("""COMPUTED_VALUE"""),"")</f>
        <v/>
      </c>
      <c r="CF5" s="22" t="str">
        <f ca="1">IFERROR(__xludf.DUMMYFUNCTION("""COMPUTED_VALUE"""),"")</f>
        <v/>
      </c>
      <c r="CG5" s="22" t="str">
        <f ca="1">IFERROR(__xludf.DUMMYFUNCTION("""COMPUTED_VALUE"""),"")</f>
        <v/>
      </c>
      <c r="CH5" s="22" t="str">
        <f ca="1">IFERROR(__xludf.DUMMYFUNCTION("""COMPUTED_VALUE"""),"")</f>
        <v/>
      </c>
      <c r="CI5" s="22" t="str">
        <f ca="1">IFERROR(__xludf.DUMMYFUNCTION("""COMPUTED_VALUE"""),"")</f>
        <v/>
      </c>
      <c r="CJ5" s="22" t="str">
        <f ca="1">IFERROR(__xludf.DUMMYFUNCTION("""COMPUTED_VALUE"""),"")</f>
        <v/>
      </c>
      <c r="CK5" s="22" t="str">
        <f ca="1">IFERROR(__xludf.DUMMYFUNCTION("""COMPUTED_VALUE"""),"")</f>
        <v/>
      </c>
      <c r="CL5" s="22" t="str">
        <f ca="1">IFERROR(__xludf.DUMMYFUNCTION("""COMPUTED_VALUE"""),"")</f>
        <v/>
      </c>
      <c r="CM5" s="22" t="str">
        <f ca="1">IFERROR(__xludf.DUMMYFUNCTION("""COMPUTED_VALUE"""),"")</f>
        <v/>
      </c>
      <c r="CN5" s="22" t="str">
        <f ca="1">IFERROR(__xludf.DUMMYFUNCTION("""COMPUTED_VALUE"""),"")</f>
        <v/>
      </c>
      <c r="CO5" s="22" t="str">
        <f ca="1">IFERROR(__xludf.DUMMYFUNCTION("""COMPUTED_VALUE"""),"")</f>
        <v/>
      </c>
      <c r="CP5" s="22" t="str">
        <f ca="1">IFERROR(__xludf.DUMMYFUNCTION("""COMPUTED_VALUE"""),"")</f>
        <v/>
      </c>
      <c r="CQ5" s="22" t="str">
        <f ca="1">IFERROR(__xludf.DUMMYFUNCTION("""COMPUTED_VALUE"""),"")</f>
        <v/>
      </c>
      <c r="CR5" s="22" t="str">
        <f ca="1">IFERROR(__xludf.DUMMYFUNCTION("""COMPUTED_VALUE"""),"")</f>
        <v/>
      </c>
      <c r="CS5" s="22" t="str">
        <f ca="1">IFERROR(__xludf.DUMMYFUNCTION("""COMPUTED_VALUE"""),"")</f>
        <v/>
      </c>
      <c r="CT5" s="22" t="str">
        <f ca="1">IFERROR(__xludf.DUMMYFUNCTION("""COMPUTED_VALUE"""),"")</f>
        <v/>
      </c>
      <c r="CU5" s="22" t="str">
        <f ca="1">IFERROR(__xludf.DUMMYFUNCTION("""COMPUTED_VALUE"""),"")</f>
        <v/>
      </c>
      <c r="CV5" s="22" t="str">
        <f ca="1">IFERROR(__xludf.DUMMYFUNCTION("""COMPUTED_VALUE"""),"")</f>
        <v/>
      </c>
      <c r="CW5" s="22" t="str">
        <f ca="1">IFERROR(__xludf.DUMMYFUNCTION("""COMPUTED_VALUE"""),"")</f>
        <v/>
      </c>
      <c r="CX5" s="22" t="str">
        <f ca="1">IFERROR(__xludf.DUMMYFUNCTION("""COMPUTED_VALUE"""),"")</f>
        <v/>
      </c>
      <c r="CY5" s="22" t="str">
        <f ca="1">IFERROR(__xludf.DUMMYFUNCTION("""COMPUTED_VALUE"""),"")</f>
        <v/>
      </c>
      <c r="CZ5" s="22" t="str">
        <f ca="1">IFERROR(__xludf.DUMMYFUNCTION("""COMPUTED_VALUE"""),"")</f>
        <v/>
      </c>
      <c r="DA5" s="22" t="str">
        <f ca="1">IFERROR(__xludf.DUMMYFUNCTION("""COMPUTED_VALUE"""),"")</f>
        <v/>
      </c>
      <c r="DB5" s="22" t="str">
        <f ca="1">IFERROR(__xludf.DUMMYFUNCTION("""COMPUTED_VALUE"""),"")</f>
        <v/>
      </c>
      <c r="DC5" s="22" t="str">
        <f ca="1">IFERROR(__xludf.DUMMYFUNCTION("""COMPUTED_VALUE"""),"")</f>
        <v/>
      </c>
      <c r="DD5" s="22" t="str">
        <f ca="1">IFERROR(__xludf.DUMMYFUNCTION("""COMPUTED_VALUE"""),"")</f>
        <v/>
      </c>
      <c r="DE5" s="22" t="str">
        <f ca="1">IFERROR(__xludf.DUMMYFUNCTION("""COMPUTED_VALUE"""),"")</f>
        <v/>
      </c>
      <c r="DF5" s="22" t="str">
        <f ca="1">IFERROR(__xludf.DUMMYFUNCTION("""COMPUTED_VALUE"""),"")</f>
        <v/>
      </c>
      <c r="DG5" s="22" t="str">
        <f ca="1">IFERROR(__xludf.DUMMYFUNCTION("""COMPUTED_VALUE"""),"")</f>
        <v/>
      </c>
      <c r="DH5" s="22" t="str">
        <f ca="1">IFERROR(__xludf.DUMMYFUNCTION("""COMPUTED_VALUE"""),"")</f>
        <v/>
      </c>
      <c r="DI5" s="22" t="str">
        <f ca="1">IFERROR(__xludf.DUMMYFUNCTION("""COMPUTED_VALUE"""),"")</f>
        <v/>
      </c>
    </row>
    <row r="6" spans="1:113" ht="15.75" customHeight="1">
      <c r="A6" s="2"/>
      <c r="B6" t="s">
        <v>184</v>
      </c>
    </row>
    <row r="7" spans="1:11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1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1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1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1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1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1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1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1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I1000"/>
  <sheetViews>
    <sheetView workbookViewId="0"/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13" width="14.42578125" customWidth="1"/>
  </cols>
  <sheetData>
    <row r="1" spans="1:113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</row>
    <row r="2" spans="1:113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113" ht="15.75" customHeight="1">
      <c r="A3" s="15"/>
      <c r="B3" s="3" t="s">
        <v>6</v>
      </c>
      <c r="C3" s="16" t="s">
        <v>85</v>
      </c>
      <c r="D3" s="3" t="s">
        <v>9</v>
      </c>
      <c r="E3" s="16" t="s">
        <v>148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</row>
    <row r="4" spans="1:113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87</v>
      </c>
      <c r="D4" s="18" t="s">
        <v>86</v>
      </c>
      <c r="E4" s="18" t="s">
        <v>88</v>
      </c>
      <c r="F4" s="18" t="s">
        <v>89</v>
      </c>
      <c r="G4" s="18" t="s">
        <v>90</v>
      </c>
      <c r="H4" s="18" t="s">
        <v>91</v>
      </c>
      <c r="I4" s="18" t="s">
        <v>92</v>
      </c>
      <c r="J4" s="18" t="s">
        <v>93</v>
      </c>
      <c r="K4" s="18" t="s">
        <v>94</v>
      </c>
      <c r="L4" s="18" t="s">
        <v>95</v>
      </c>
      <c r="M4" s="18" t="s">
        <v>96</v>
      </c>
      <c r="N4" s="18" t="s">
        <v>97</v>
      </c>
      <c r="O4" s="18" t="s">
        <v>98</v>
      </c>
      <c r="P4" s="19" t="s">
        <v>99</v>
      </c>
      <c r="Q4" s="19" t="s">
        <v>100</v>
      </c>
      <c r="R4" s="19" t="s">
        <v>101</v>
      </c>
      <c r="S4" s="19" t="s">
        <v>102</v>
      </c>
      <c r="T4" s="19" t="s">
        <v>103</v>
      </c>
      <c r="U4" s="19" t="s">
        <v>104</v>
      </c>
      <c r="V4" s="19" t="s">
        <v>105</v>
      </c>
      <c r="W4" s="19" t="s">
        <v>106</v>
      </c>
      <c r="X4" s="19" t="s">
        <v>107</v>
      </c>
      <c r="Y4" s="19" t="s">
        <v>108</v>
      </c>
      <c r="Z4" s="19" t="s">
        <v>109</v>
      </c>
      <c r="AA4" s="19" t="s">
        <v>110</v>
      </c>
      <c r="AB4" s="19" t="s">
        <v>111</v>
      </c>
      <c r="AC4" s="19" t="s">
        <v>112</v>
      </c>
      <c r="AD4" s="19" t="s">
        <v>94</v>
      </c>
      <c r="AE4" s="19" t="s">
        <v>113</v>
      </c>
      <c r="AF4" s="19" t="s">
        <v>114</v>
      </c>
      <c r="AG4" s="19" t="s">
        <v>115</v>
      </c>
      <c r="AH4" s="19" t="s">
        <v>116</v>
      </c>
      <c r="AI4" s="19" t="s">
        <v>117</v>
      </c>
      <c r="AJ4" s="19" t="s">
        <v>118</v>
      </c>
      <c r="AK4" s="19" t="s">
        <v>119</v>
      </c>
      <c r="AL4" s="19" t="s">
        <v>120</v>
      </c>
      <c r="AM4" s="19" t="s">
        <v>121</v>
      </c>
      <c r="AN4" s="19" t="s">
        <v>122</v>
      </c>
      <c r="AO4" s="19" t="s">
        <v>123</v>
      </c>
      <c r="AP4" s="19" t="s">
        <v>124</v>
      </c>
      <c r="AQ4" s="19" t="s">
        <v>125</v>
      </c>
      <c r="AR4" s="19" t="s">
        <v>126</v>
      </c>
      <c r="AS4" s="19" t="s">
        <v>127</v>
      </c>
      <c r="AT4" s="19" t="s">
        <v>128</v>
      </c>
      <c r="AU4" s="19" t="s">
        <v>129</v>
      </c>
      <c r="AV4" s="19" t="s">
        <v>130</v>
      </c>
      <c r="AW4" s="19" t="s">
        <v>131</v>
      </c>
      <c r="AX4" s="19" t="s">
        <v>132</v>
      </c>
      <c r="AY4" s="19" t="s">
        <v>133</v>
      </c>
      <c r="AZ4" s="19" t="s">
        <v>134</v>
      </c>
      <c r="BA4" s="19" t="s">
        <v>135</v>
      </c>
      <c r="BB4" s="19" t="s">
        <v>136</v>
      </c>
      <c r="BC4" s="19" t="s">
        <v>137</v>
      </c>
      <c r="BD4" s="19" t="s">
        <v>138</v>
      </c>
      <c r="BE4" s="19" t="s">
        <v>139</v>
      </c>
      <c r="BF4" s="19" t="s">
        <v>140</v>
      </c>
      <c r="BG4" s="19" t="s">
        <v>141</v>
      </c>
      <c r="BH4" s="19" t="s">
        <v>142</v>
      </c>
      <c r="BI4" s="19" t="s">
        <v>143</v>
      </c>
      <c r="BJ4" s="19" t="s">
        <v>144</v>
      </c>
      <c r="BK4" s="19" t="s">
        <v>76</v>
      </c>
      <c r="BL4" s="19" t="s">
        <v>145</v>
      </c>
      <c r="BM4" s="19" t="s">
        <v>146</v>
      </c>
      <c r="BN4" s="19" t="s">
        <v>147</v>
      </c>
      <c r="BO4" s="19" t="s">
        <v>148</v>
      </c>
      <c r="BP4" s="19" t="s">
        <v>149</v>
      </c>
      <c r="BQ4" s="19" t="s">
        <v>150</v>
      </c>
      <c r="BR4" s="19" t="s">
        <v>151</v>
      </c>
      <c r="BS4" s="19" t="s">
        <v>152</v>
      </c>
      <c r="BT4" s="19" t="s">
        <v>153</v>
      </c>
      <c r="BU4" s="19" t="s">
        <v>154</v>
      </c>
      <c r="BV4" s="19" t="s">
        <v>155</v>
      </c>
      <c r="BW4" s="19" t="s">
        <v>156</v>
      </c>
      <c r="BX4" s="19" t="s">
        <v>87</v>
      </c>
      <c r="BY4" s="19" t="s">
        <v>157</v>
      </c>
      <c r="BZ4" s="19" t="s">
        <v>158</v>
      </c>
      <c r="CA4" s="19" t="s">
        <v>159</v>
      </c>
      <c r="CB4" s="19" t="s">
        <v>160</v>
      </c>
      <c r="CC4" s="19" t="s">
        <v>161</v>
      </c>
      <c r="CD4" s="19" t="s">
        <v>162</v>
      </c>
      <c r="CE4" s="19" t="s">
        <v>163</v>
      </c>
      <c r="CF4" s="19" t="s">
        <v>164</v>
      </c>
      <c r="CG4" s="19" t="s">
        <v>165</v>
      </c>
      <c r="CH4" s="19" t="s">
        <v>166</v>
      </c>
      <c r="CI4" s="19" t="s">
        <v>167</v>
      </c>
      <c r="CJ4" s="19" t="s">
        <v>168</v>
      </c>
      <c r="CK4" s="19" t="s">
        <v>169</v>
      </c>
      <c r="CL4" s="19" t="s">
        <v>170</v>
      </c>
      <c r="CM4" s="19" t="s">
        <v>171</v>
      </c>
      <c r="CN4" s="19" t="s">
        <v>172</v>
      </c>
      <c r="CO4" s="19" t="s">
        <v>173</v>
      </c>
      <c r="CP4" s="19" t="s">
        <v>174</v>
      </c>
      <c r="CQ4" s="19" t="s">
        <v>175</v>
      </c>
      <c r="CR4" s="19" t="s">
        <v>176</v>
      </c>
      <c r="CS4" s="19" t="s">
        <v>177</v>
      </c>
      <c r="CT4" s="19" t="s">
        <v>178</v>
      </c>
      <c r="CU4" s="19" t="s">
        <v>179</v>
      </c>
      <c r="CV4" s="19" t="s">
        <v>180</v>
      </c>
      <c r="CW4" s="19" t="s">
        <v>181</v>
      </c>
      <c r="CX4" s="19" t="s">
        <v>182</v>
      </c>
      <c r="CY4" s="19" t="s">
        <v>183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</row>
    <row r="5" spans="1:113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1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2" t="str">
        <f ca="1">IFERROR(__xludf.DUMMYFUNCTION("""COMPUTED_VALUE"""),"Commission")</f>
        <v>Commission</v>
      </c>
      <c r="U5" s="22" t="str">
        <f ca="1">IFERROR(__xludf.DUMMYFUNCTION("""COMPUTED_VALUE"""),"Commission Per Share")</f>
        <v>Commission Per Share</v>
      </c>
      <c r="V5" s="22" t="str">
        <f ca="1">IFERROR(__xludf.DUMMYFUNCTION("""COMPUTED_VALUE"""),"Company")</f>
        <v>Company</v>
      </c>
      <c r="W5" s="22" t="str">
        <f ca="1">IFERROR(__xludf.DUMMYFUNCTION("""COMPUTED_VALUE"""),"Contract Multiplier")</f>
        <v>Contract Multiplier</v>
      </c>
      <c r="X5" s="22" t="str">
        <f ca="1">IFERROR(__xludf.DUMMYFUNCTION("""COMPUTED_VALUE"""),"Coupon Rate")</f>
        <v>Coupon Rate</v>
      </c>
      <c r="Y5" s="22" t="str">
        <f ca="1">IFERROR(__xludf.DUMMYFUNCTION("""COMPUTED_VALUE"""),"Cum Qty For Sub Order")</f>
        <v>Cum Qty For Sub Order</v>
      </c>
      <c r="Z5" s="22" t="str">
        <f ca="1">IFERROR(__xludf.DUMMYFUNCTION("""COMPUTED_VALUE"""),"Currency")</f>
        <v>Currency</v>
      </c>
      <c r="AA5" s="22" t="str">
        <f ca="1">IFERROR(__xludf.DUMMYFUNCTION("""COMPUTED_VALUE"""),"Cusip Symbol")</f>
        <v>Cusip Symbol</v>
      </c>
      <c r="AB5" s="22" t="str">
        <f ca="1">IFERROR(__xludf.DUMMYFUNCTION("""COMPUTED_VALUE"""),"Delta")</f>
        <v>Delta</v>
      </c>
      <c r="AC5" s="22" t="str">
        <f ca="1">IFERROR(__xludf.DUMMYFUNCTION("""COMPUTED_VALUE"""),"Description")</f>
        <v>Description</v>
      </c>
      <c r="AD5" s="22" t="str">
        <f ca="1">IFERROR(__xludf.DUMMYFUNCTION("""COMPUTED_VALUE"""),"Exchange")</f>
        <v>Exchange</v>
      </c>
      <c r="AE5" s="22" t="str">
        <f ca="1">IFERROR(__xludf.DUMMYFUNCTION("""COMPUTED_VALUE"""),"Executed Qty")</f>
        <v>Executed Qty</v>
      </c>
      <c r="AF5" s="22" t="str">
        <f ca="1">IFERROR(__xludf.DUMMYFUNCTION("""COMPUTED_VALUE"""),"Exceution Time")</f>
        <v>Exceution Time</v>
      </c>
      <c r="AG5" s="22" t="str">
        <f ca="1">IFERROR(__xludf.DUMMYFUNCTION("""COMPUTED_VALUE"""),"Expiration Date")</f>
        <v>Expiration Date</v>
      </c>
      <c r="AH5" s="22" t="str">
        <f ca="1">IFERROR(__xludf.DUMMYFUNCTION("""COMPUTED_VALUE"""),"FX Conversion Operator")</f>
        <v>FX Conversion Operator</v>
      </c>
      <c r="AI5" s="22" t="str">
        <f ca="1">IFERROR(__xludf.DUMMYFUNCTION("""COMPUTED_VALUE"""),"FX Rate")</f>
        <v>FX Rate</v>
      </c>
      <c r="AJ5" s="22" t="str">
        <f ca="1">IFERROR(__xludf.DUMMYFUNCTION("""COMPUTED_VALUE"""),"Group Status")</f>
        <v>Group Status</v>
      </c>
      <c r="AK5" s="22" t="str">
        <f ca="1">IFERROR(__xludf.DUMMYFUNCTION("""COMPUTED_VALUE"""),"IDCOSymbol")</f>
        <v>IDCOSymbol</v>
      </c>
      <c r="AL5" s="22" t="str">
        <f ca="1">IFERROR(__xludf.DUMMYFUNCTION("""COMPUTED_VALUE"""),"Import File Name")</f>
        <v>Import File Name</v>
      </c>
      <c r="AM5" s="22" t="str">
        <f ca="1">IFERROR(__xludf.DUMMYFUNCTION("""COMPUTED_VALUE"""),"Internal Comments")</f>
        <v>Internal Comments</v>
      </c>
      <c r="AN5" s="22" t="str">
        <f ca="1">IFERROR(__xludf.DUMMYFUNCTION("""COMPUTED_VALUE"""),"IsAnotherTaxlotAttributesUpdated")</f>
        <v>IsAnotherTaxlotAttributesUpdated</v>
      </c>
      <c r="AO5" s="22" t="str">
        <f ca="1">IFERROR(__xludf.DUMMYFUNCTION("""COMPUTED_VALUE"""),"ISIN")</f>
        <v>ISIN</v>
      </c>
      <c r="AP5" s="22" t="str">
        <f ca="1">IFERROR(__xludf.DUMMYFUNCTION("""COMPUTED_VALUE"""),"IsManualGroup")</f>
        <v>IsManualGroup</v>
      </c>
      <c r="AQ5" s="22" t="str">
        <f ca="1">IFERROR(__xludf.DUMMYFUNCTION("""COMPUTED_VALUE"""),"ISNDF")</f>
        <v>ISNDF</v>
      </c>
      <c r="AR5" s="22" t="str">
        <f ca="1">IFERROR(__xludf.DUMMYFUNCTION("""COMPUTED_VALUE"""),"IsPreAllocated")</f>
        <v>IsPreAllocated</v>
      </c>
      <c r="AS5" s="22" t="str">
        <f ca="1">IFERROR(__xludf.DUMMYFUNCTION("""COMPUTED_VALUE"""),"M2MProfitLoss")</f>
        <v>M2MProfitLoss</v>
      </c>
      <c r="AT5" s="22" t="str">
        <f ca="1">IFERROR(__xludf.DUMMYFUNCTION("""COMPUTED_VALUE"""),"Net Amount( Base)")</f>
        <v>Net Amount( Base)</v>
      </c>
      <c r="AU5" s="22" t="str">
        <f ca="1">IFERROR(__xludf.DUMMYFUNCTION("""COMPUTED_VALUE"""),"Net Amount( Local)")</f>
        <v>Net Amount( Local)</v>
      </c>
      <c r="AV5" s="22" t="str">
        <f ca="1">IFERROR(__xludf.DUMMYFUNCTION("""COMPUTED_VALUE"""),"Nirvana Process Date")</f>
        <v>Nirvana Process Date</v>
      </c>
      <c r="AW5" s="22" t="str">
        <f ca="1">IFERROR(__xludf.DUMMYFUNCTION("""COMPUTED_VALUE"""),"OCC Fee")</f>
        <v>OCC Fee</v>
      </c>
      <c r="AX5" s="22" t="str">
        <f ca="1">IFERROR(__xludf.DUMMYFUNCTION("""COMPUTED_VALUE"""),"Option Premium Adjustment")</f>
        <v>Option Premium Adjustment</v>
      </c>
      <c r="AY5" s="22" t="str">
        <f ca="1">IFERROR(__xludf.DUMMYFUNCTION("""COMPUTED_VALUE"""),"Order Type")</f>
        <v>Order Type</v>
      </c>
      <c r="AZ5" s="22" t="str">
        <f ca="1">IFERROR(__xludf.DUMMYFUNCTION("""COMPUTED_VALUE"""),"ORF Fee")</f>
        <v>ORF Fee</v>
      </c>
      <c r="BA5" s="22" t="str">
        <f ca="1">IFERROR(__xludf.DUMMYFUNCTION("""COMPUTED_VALUE"""),"Original Purchase Date")</f>
        <v>Original Purchase Date</v>
      </c>
      <c r="BB5" s="22" t="str">
        <f ca="1">IFERROR(__xludf.DUMMYFUNCTION("""COMPUTED_VALUE"""),"OSISSymbol")</f>
        <v>OSISSymbol</v>
      </c>
      <c r="BC5" s="22" t="str">
        <f ca="1">IFERROR(__xludf.DUMMYFUNCTION("""COMPUTED_VALUE"""),"Other Broker Fees")</f>
        <v>Other Broker Fees</v>
      </c>
      <c r="BD5" s="22" t="str">
        <f ca="1">IFERROR(__xludf.DUMMYFUNCTION("""COMPUTED_VALUE"""),"Prana Msg Type")</f>
        <v>Prana Msg Type</v>
      </c>
      <c r="BE5" s="22" t="str">
        <f ca="1">IFERROR(__xludf.DUMMYFUNCTION("""COMPUTED_VALUE"""),"Principal Amount( Base)")</f>
        <v>Principal Amount( Base)</v>
      </c>
      <c r="BF5" s="22" t="str">
        <f ca="1">IFERROR(__xludf.DUMMYFUNCTION("""COMPUTED_VALUE"""),"Principal Amount( Local)")</f>
        <v>Principal Amount( Local)</v>
      </c>
      <c r="BG5" s="22" t="str">
        <f ca="1">IFERROR(__xludf.DUMMYFUNCTION("""COMPUTED_VALUE"""),"Process Date")</f>
        <v>Process Date</v>
      </c>
      <c r="BH5" s="22" t="str">
        <f ca="1">IFERROR(__xludf.DUMMYFUNCTION("""COMPUTED_VALUE"""),"Proxy Symbol")</f>
        <v>Proxy Symbol</v>
      </c>
      <c r="BI5" s="22" t="str">
        <f ca="1">IFERROR(__xludf.DUMMYFUNCTION("""COMPUTED_VALUE"""),"Put Or Call")</f>
        <v>Put Or Call</v>
      </c>
      <c r="BJ5" s="22" t="str">
        <f ca="1">IFERROR(__xludf.DUMMYFUNCTION("""COMPUTED_VALUE"""),"Quantity")</f>
        <v>Quantity</v>
      </c>
      <c r="BK5" s="22" t="str">
        <f ca="1">IFERROR(__xludf.DUMMYFUNCTION("""COMPUTED_VALUE"""),"SEC Fee")</f>
        <v>SEC Fee</v>
      </c>
      <c r="BL5" s="22" t="str">
        <f ca="1">IFERROR(__xludf.DUMMYFUNCTION("""COMPUTED_VALUE"""),"Sedol Symbol")</f>
        <v>Sedol Symbol</v>
      </c>
      <c r="BM5" s="22" t="str">
        <f ca="1">IFERROR(__xludf.DUMMYFUNCTION("""COMPUTED_VALUE"""),"Settlement Currency")</f>
        <v>Settlement Currency</v>
      </c>
      <c r="BN5" s="22" t="str">
        <f ca="1">IFERROR(__xludf.DUMMYFUNCTION("""COMPUTED_VALUE"""),"Settlement Date")</f>
        <v>Settlement Date</v>
      </c>
      <c r="BO5" s="22" t="str">
        <f ca="1">IFERROR(__xludf.DUMMYFUNCTION("""COMPUTED_VALUE"""),"Side")</f>
        <v>Side</v>
      </c>
      <c r="BP5" s="22" t="str">
        <f ca="1">IFERROR(__xludf.DUMMYFUNCTION("""COMPUTED_VALUE"""),"Soft Commission")</f>
        <v>Soft Commission</v>
      </c>
      <c r="BQ5" s="22" t="str">
        <f ca="1">IFERROR(__xludf.DUMMYFUNCTION("""COMPUTED_VALUE"""),"Soft Commission Per Share")</f>
        <v>Soft Commission Per Share</v>
      </c>
      <c r="BR5" s="22" t="str">
        <f ca="1">IFERROR(__xludf.DUMMYFUNCTION("""COMPUTED_VALUE"""),"Stamp Duty")</f>
        <v>Stamp Duty</v>
      </c>
      <c r="BS5" s="22" t="str">
        <f ca="1">IFERROR(__xludf.DUMMYFUNCTION("""COMPUTED_VALUE"""),"Strategy Name")</f>
        <v>Strategy Name</v>
      </c>
      <c r="BT5" s="22" t="str">
        <f ca="1">IFERROR(__xludf.DUMMYFUNCTION("""COMPUTED_VALUE"""),"Symbol")</f>
        <v>Symbol</v>
      </c>
      <c r="BU5" s="22" t="str">
        <f ca="1">IFERROR(__xludf.DUMMYFUNCTION("""COMPUTED_VALUE"""),"Tax On Commissions")</f>
        <v>Tax On Commissions</v>
      </c>
      <c r="BV5" s="22" t="str">
        <f ca="1">IFERROR(__xludf.DUMMYFUNCTION("""COMPUTED_VALUE"""),"Total Commission")</f>
        <v>Total Commission</v>
      </c>
      <c r="BW5" s="22" t="str">
        <f ca="1">IFERROR(__xludf.DUMMYFUNCTION("""COMPUTED_VALUE"""),"Total Commission And Fee")</f>
        <v>Total Commission And Fee</v>
      </c>
      <c r="BX5" s="22" t="str">
        <f ca="1">IFERROR(__xludf.DUMMYFUNCTION("""COMPUTED_VALUE"""),"Total Commission Per Share")</f>
        <v>Total Commission Per Share</v>
      </c>
      <c r="BY5" s="22" t="str">
        <f ca="1">IFERROR(__xludf.DUMMYFUNCTION("""COMPUTED_VALUE"""),"Trade Attribute 1")</f>
        <v>Trade Attribute 1</v>
      </c>
      <c r="BZ5" s="22" t="str">
        <f ca="1">IFERROR(__xludf.DUMMYFUNCTION("""COMPUTED_VALUE"""),"Trade Attribute 2")</f>
        <v>Trade Attribute 2</v>
      </c>
      <c r="CA5" s="22" t="str">
        <f ca="1">IFERROR(__xludf.DUMMYFUNCTION("""COMPUTED_VALUE"""),"Trade Attribute 3")</f>
        <v>Trade Attribute 3</v>
      </c>
      <c r="CB5" s="22" t="str">
        <f ca="1">IFERROR(__xludf.DUMMYFUNCTION("""COMPUTED_VALUE"""),"Trade Attribute 4")</f>
        <v>Trade Attribute 4</v>
      </c>
      <c r="CC5" s="22" t="str">
        <f ca="1">IFERROR(__xludf.DUMMYFUNCTION("""COMPUTED_VALUE"""),"Trade Attribute 5")</f>
        <v>Trade Attribute 5</v>
      </c>
      <c r="CD5" s="22" t="str">
        <f ca="1">IFERROR(__xludf.DUMMYFUNCTION("""COMPUTED_VALUE"""),"Trade Attribute 6")</f>
        <v>Trade Attribute 6</v>
      </c>
      <c r="CE5" s="22" t="str">
        <f ca="1">IFERROR(__xludf.DUMMYFUNCTION("""COMPUTED_VALUE"""),"Trade Date")</f>
        <v>Trade Date</v>
      </c>
      <c r="CF5" s="22" t="str">
        <f ca="1">IFERROR(__xludf.DUMMYFUNCTION("""COMPUTED_VALUE"""),"Trading Account")</f>
        <v>Trading Account</v>
      </c>
      <c r="CG5" s="22" t="str">
        <f ca="1">IFERROR(__xludf.DUMMYFUNCTION("""COMPUTED_VALUE"""),"Transaction Levy")</f>
        <v>Transaction Levy</v>
      </c>
      <c r="CH5" s="22" t="str">
        <f ca="1">IFERROR(__xludf.DUMMYFUNCTION("""COMPUTED_VALUE"""),"Transaction Source")</f>
        <v>Transaction Source</v>
      </c>
      <c r="CI5" s="22" t="str">
        <f ca="1">IFERROR(__xludf.DUMMYFUNCTION("""COMPUTED_VALUE"""),"Transaction Type")</f>
        <v>Transaction Type</v>
      </c>
      <c r="CJ5" s="22" t="str">
        <f ca="1">IFERROR(__xludf.DUMMYFUNCTION("""COMPUTED_VALUE"""),"UnAllocatedQty")</f>
        <v>UnAllocatedQty</v>
      </c>
      <c r="CK5" s="22" t="str">
        <f ca="1">IFERROR(__xludf.DUMMYFUNCTION("""COMPUTED_VALUE"""),"Underlying")</f>
        <v>Underlying</v>
      </c>
      <c r="CL5" s="22" t="str">
        <f ca="1">IFERROR(__xludf.DUMMYFUNCTION("""COMPUTED_VALUE"""),"Underlying Delta")</f>
        <v>Underlying Delta</v>
      </c>
      <c r="CM5" s="22" t="str">
        <f ca="1">IFERROR(__xludf.DUMMYFUNCTION("""COMPUTED_VALUE"""),"Underlying Symbol")</f>
        <v>Underlying Symbol</v>
      </c>
      <c r="CN5" s="22" t="str">
        <f ca="1">IFERROR(__xludf.DUMMYFUNCTION("""COMPUTED_VALUE"""),"User")</f>
        <v>User</v>
      </c>
      <c r="CO5" s="22" t="str">
        <f ca="1">IFERROR(__xludf.DUMMYFUNCTION("""COMPUTED_VALUE"""),"Venue")</f>
        <v>Venue</v>
      </c>
      <c r="CP5" s="22" t="str">
        <f ca="1">IFERROR(__xludf.DUMMYFUNCTION("""COMPUTED_VALUE"""),"Closing Method")</f>
        <v>Closing Method</v>
      </c>
      <c r="CQ5" s="22" t="str">
        <f ca="1">IFERROR(__xludf.DUMMYFUNCTION("""COMPUTED_VALUE"""),"Closing Date")</f>
        <v>Closing Date</v>
      </c>
      <c r="CR5" s="22" t="str">
        <f ca="1">IFERROR(__xludf.DUMMYFUNCTION("""COMPUTED_VALUE"""),"GroupID")</f>
        <v>GroupID</v>
      </c>
      <c r="CS5" s="22" t="str">
        <f ca="1">IFERROR(__xludf.DUMMYFUNCTION("""COMPUTED_VALUE"""),"Client")</f>
        <v>Client</v>
      </c>
      <c r="CT5" s="22" t="str">
        <f ca="1">IFERROR(__xludf.DUMMYFUNCTION("""COMPUTED_VALUE"""),"")</f>
        <v/>
      </c>
      <c r="CU5" s="22" t="str">
        <f ca="1">IFERROR(__xludf.DUMMYFUNCTION("""COMPUTED_VALUE"""),"")</f>
        <v/>
      </c>
      <c r="CV5" s="22" t="str">
        <f ca="1">IFERROR(__xludf.DUMMYFUNCTION("""COMPUTED_VALUE"""),"")</f>
        <v/>
      </c>
      <c r="CW5" s="22" t="str">
        <f ca="1">IFERROR(__xludf.DUMMYFUNCTION("""COMPUTED_VALUE"""),"")</f>
        <v/>
      </c>
      <c r="CX5" s="22" t="str">
        <f ca="1">IFERROR(__xludf.DUMMYFUNCTION("""COMPUTED_VALUE"""),"")</f>
        <v/>
      </c>
      <c r="CY5" s="22" t="str">
        <f ca="1">IFERROR(__xludf.DUMMYFUNCTION("""COMPUTED_VALUE"""),"")</f>
        <v/>
      </c>
      <c r="CZ5" s="22" t="str">
        <f ca="1">IFERROR(__xludf.DUMMYFUNCTION("""COMPUTED_VALUE"""),"")</f>
        <v/>
      </c>
      <c r="DA5" s="22" t="str">
        <f ca="1">IFERROR(__xludf.DUMMYFUNCTION("""COMPUTED_VALUE"""),"")</f>
        <v/>
      </c>
      <c r="DB5" s="22" t="str">
        <f ca="1">IFERROR(__xludf.DUMMYFUNCTION("""COMPUTED_VALUE"""),"")</f>
        <v/>
      </c>
      <c r="DC5" s="22" t="str">
        <f ca="1">IFERROR(__xludf.DUMMYFUNCTION("""COMPUTED_VALUE"""),"")</f>
        <v/>
      </c>
      <c r="DD5" s="22" t="str">
        <f ca="1">IFERROR(__xludf.DUMMYFUNCTION("""COMPUTED_VALUE"""),"")</f>
        <v/>
      </c>
      <c r="DE5" s="22" t="str">
        <f ca="1">IFERROR(__xludf.DUMMYFUNCTION("""COMPUTED_VALUE"""),"")</f>
        <v/>
      </c>
      <c r="DF5" s="22" t="str">
        <f ca="1">IFERROR(__xludf.DUMMYFUNCTION("""COMPUTED_VALUE"""),"")</f>
        <v/>
      </c>
      <c r="DG5" s="22" t="str">
        <f ca="1">IFERROR(__xludf.DUMMYFUNCTION("""COMPUTED_VALUE"""),"")</f>
        <v/>
      </c>
      <c r="DH5" s="22" t="str">
        <f ca="1">IFERROR(__xludf.DUMMYFUNCTION("""COMPUTED_VALUE"""),"")</f>
        <v/>
      </c>
      <c r="DI5" s="22" t="str">
        <f ca="1">IFERROR(__xludf.DUMMYFUNCTION("""COMPUTED_VALUE"""),"")</f>
        <v/>
      </c>
    </row>
    <row r="6" spans="1:113" ht="15.75" customHeight="1">
      <c r="A6" s="2"/>
      <c r="B6" s="23" t="s">
        <v>31</v>
      </c>
      <c r="BO6" t="s">
        <v>30</v>
      </c>
      <c r="BT6" t="s">
        <v>29</v>
      </c>
    </row>
    <row r="7" spans="1:113" ht="15.75" customHeight="1">
      <c r="A7" s="2"/>
      <c r="B7" s="23" t="s">
        <v>31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BO7" s="2" t="s">
        <v>33</v>
      </c>
      <c r="BT7" s="2" t="s">
        <v>29</v>
      </c>
    </row>
    <row r="8" spans="1:11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1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1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1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1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1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1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1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0"/>
  <sheetViews>
    <sheetView topLeftCell="BF1" workbookViewId="0">
      <selection activeCell="BK5" sqref="BK5"/>
    </sheetView>
  </sheetViews>
  <sheetFormatPr defaultColWidth="14.425781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1"/>
      <c r="B1" s="39" t="s">
        <v>11</v>
      </c>
      <c r="C1" s="40"/>
      <c r="D1" s="40"/>
      <c r="E1" s="40"/>
      <c r="F1" s="40"/>
      <c r="G1" s="40"/>
      <c r="H1" s="40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 ca="1">VLOOKUP($E$3,_MasterData!B4:D1000,3,FALSE)</f>
        <v>#N/A</v>
      </c>
      <c r="K2" s="14"/>
      <c r="L2" s="2"/>
      <c r="M2" s="2"/>
      <c r="N2" s="2"/>
      <c r="O2" s="2"/>
    </row>
    <row r="3" spans="1:169" ht="15.75" customHeight="1">
      <c r="A3" s="15"/>
      <c r="B3" s="3" t="s">
        <v>6</v>
      </c>
      <c r="C3" s="16" t="s">
        <v>185</v>
      </c>
      <c r="D3" s="3" t="s">
        <v>9</v>
      </c>
      <c r="E3" s="16" t="s">
        <v>186</v>
      </c>
      <c r="F3" s="3" t="s">
        <v>14</v>
      </c>
      <c r="G3" s="1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>
      <c r="A4" s="18"/>
      <c r="B4" s="18" t="str">
        <f ca="1">IFERROR(__xludf.DUMMYFUNCTION("IF(C3="""","""",Transpose(IMPORTRANGE('_Settings'!$B$3,C3&amp;""!A4:A1000"")))"),"#REF!")</f>
        <v>#REF!</v>
      </c>
      <c r="C4" s="18" t="s">
        <v>186</v>
      </c>
      <c r="D4" s="18" t="s">
        <v>187</v>
      </c>
      <c r="E4" s="18" t="s">
        <v>188</v>
      </c>
      <c r="F4" s="18" t="s">
        <v>189</v>
      </c>
      <c r="G4" s="18" t="s">
        <v>190</v>
      </c>
      <c r="H4" s="18" t="s">
        <v>191</v>
      </c>
      <c r="I4" s="18" t="s">
        <v>192</v>
      </c>
      <c r="J4" s="18" t="s">
        <v>193</v>
      </c>
      <c r="K4" s="18" t="s">
        <v>194</v>
      </c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</row>
    <row r="5" spans="1:169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1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2" t="str">
        <f ca="1">IFERROR(__xludf.DUMMYFUNCTION("""COMPUTED_VALUE"""),"Asset Class")</f>
        <v>Asset Class</v>
      </c>
      <c r="U5" s="22" t="str">
        <f ca="1">IFERROR(__xludf.DUMMYFUNCTION("""COMPUTED_VALUE"""),"Underlying")</f>
        <v>Underlying</v>
      </c>
      <c r="V5" s="22" t="str">
        <f ca="1">IFERROR(__xludf.DUMMYFUNCTION("""COMPUTED_VALUE"""),"Exchange")</f>
        <v>Exchange</v>
      </c>
      <c r="W5" s="22" t="str">
        <f ca="1">IFERROR(__xludf.DUMMYFUNCTION("""COMPUTED_VALUE"""),"Trade Currency")</f>
        <v>Trade Currency</v>
      </c>
      <c r="X5" s="22" t="str">
        <f ca="1">IFERROR(__xludf.DUMMYFUNCTION("""COMPUTED_VALUE"""),"Multiplier")</f>
        <v>Multiplier</v>
      </c>
      <c r="Y5" s="22" t="str">
        <f ca="1">IFERROR(__xludf.DUMMYFUNCTION("""COMPUTED_VALUE"""),"FX Rate")</f>
        <v>FX Rate</v>
      </c>
      <c r="Z5" s="22" t="str">
        <f ca="1">IFERROR(__xludf.DUMMYFUNCTION("""COMPUTED_VALUE"""),"Vs Currency")</f>
        <v>Vs Currency</v>
      </c>
      <c r="AA5" s="22" t="str">
        <f ca="1">IFERROR(__xludf.DUMMYFUNCTION("""COMPUTED_VALUE"""),"Lead Currency")</f>
        <v>Lead Currency</v>
      </c>
      <c r="AB5" s="22" t="str">
        <f ca="1">IFERROR(__xludf.DUMMYFUNCTION("""COMPUTED_VALUE"""),"Dividend Yield (%)")</f>
        <v>Dividend Yield (%)</v>
      </c>
      <c r="AC5" s="22" t="str">
        <f ca="1">IFERROR(__xludf.DUMMYFUNCTION("""COMPUTED_VALUE"""),"% Change")</f>
        <v>% Change</v>
      </c>
      <c r="AD5" s="22" t="str">
        <f ca="1">IFERROR(__xludf.DUMMYFUNCTION("""COMPUTED_VALUE"""),"Net Exposure (Local)")</f>
        <v>Net Exposure (Local)</v>
      </c>
      <c r="AE5" s="22" t="str">
        <f ca="1">IFERROR(__xludf.DUMMYFUNCTION("""COMPUTED_VALUE"""),"Exposure (Local)")</f>
        <v>Exposure (Local)</v>
      </c>
      <c r="AF5" s="22" t="str">
        <f ca="1">IFERROR(__xludf.DUMMYFUNCTION("""COMPUTED_VALUE"""),"Delta Adj. Position")</f>
        <v>Delta Adj. Position</v>
      </c>
      <c r="AG5" s="22" t="str">
        <f ca="1">IFERROR(__xludf.DUMMYFUNCTION("""COMPUTED_VALUE"""),"Exposure (Base)")</f>
        <v>Exposure (Base)</v>
      </c>
      <c r="AH5" s="22" t="str">
        <f ca="1">IFERROR(__xludf.DUMMYFUNCTION("""COMPUTED_VALUE"""),"Beta Adj. Exposure (Local)")</f>
        <v>Beta Adj. Exposure (Local)</v>
      </c>
      <c r="AI5" s="22" t="str">
        <f ca="1">IFERROR(__xludf.DUMMYFUNCTION("""COMPUTED_VALUE"""),"Beta Adj. Exposure (Base)")</f>
        <v>Beta Adj. Exposure (Base)</v>
      </c>
      <c r="AJ5" s="22" t="str">
        <f ca="1">IFERROR(__xludf.DUMMYFUNCTION("""COMPUTED_VALUE"""),"Exposure (BP)(Base)")</f>
        <v>Exposure (BP)(Base)</v>
      </c>
      <c r="AK5" s="22" t="str">
        <f ca="1">IFERROR(__xludf.DUMMYFUNCTION("""COMPUTED_VALUE"""),"Day P&amp;L (Local)")</f>
        <v>Day P&amp;L (Local)</v>
      </c>
      <c r="AL5" s="22" t="str">
        <f ca="1">IFERROR(__xludf.DUMMYFUNCTION("""COMPUTED_VALUE"""),"Delta")</f>
        <v>Delta</v>
      </c>
      <c r="AM5" s="22" t="str">
        <f ca="1">IFERROR(__xludf.DUMMYFUNCTION("""COMPUTED_VALUE"""),"Leveraged Factor")</f>
        <v>Leveraged Factor</v>
      </c>
      <c r="AN5" s="22" t="str">
        <f ca="1">IFERROR(__xludf.DUMMYFUNCTION("""COMPUTED_VALUE"""),"Order Side")</f>
        <v>Order Side</v>
      </c>
      <c r="AO5" s="22" t="str">
        <f ca="1">IFERROR(__xludf.DUMMYFUNCTION("""COMPUTED_VALUE"""),"Master Strategy")</f>
        <v>Master Strategy</v>
      </c>
      <c r="AP5" s="22" t="str">
        <f ca="1">IFERROR(__xludf.DUMMYFUNCTION("""COMPUTED_VALUE"""),"Transaction Side")</f>
        <v>Transaction Side</v>
      </c>
      <c r="AQ5" s="22" t="str">
        <f ca="1">IFERROR(__xludf.DUMMYFUNCTION("""COMPUTED_VALUE"""),"Underlying Symbol")</f>
        <v>Underlying Symbol</v>
      </c>
      <c r="AR5" s="22" t="str">
        <f ca="1">IFERROR(__xludf.DUMMYFUNCTION("""COMPUTED_VALUE"""),"Underlying Price")</f>
        <v>Underlying Price</v>
      </c>
      <c r="AS5" s="22" t="str">
        <f ca="1">IFERROR(__xludf.DUMMYFUNCTION("""COMPUTED_VALUE"""),"Side Multiplier")</f>
        <v>Side Multiplier</v>
      </c>
      <c r="AT5" s="22" t="str">
        <f ca="1">IFERROR(__xludf.DUMMYFUNCTION("""COMPUTED_VALUE"""),"Description")</f>
        <v>Description</v>
      </c>
      <c r="AU5" s="22" t="str">
        <f ca="1">IFERROR(__xludf.DUMMYFUNCTION("""COMPUTED_VALUE"""),"Internal Comments")</f>
        <v>Internal Comments</v>
      </c>
      <c r="AV5" s="22" t="str">
        <f ca="1">IFERROR(__xludf.DUMMYFUNCTION("""COMPUTED_VALUE"""),"FX Rate On Trade Date")</f>
        <v>FX Rate On Trade Date</v>
      </c>
      <c r="AW5" s="22" t="str">
        <f ca="1">IFERROR(__xludf.DUMMYFUNCTION("""COMPUTED_VALUE"""),"Cost Basis P&amp;L (Local)")</f>
        <v>Cost Basis P&amp;L (Local)</v>
      </c>
      <c r="AX5" s="22" t="str">
        <f ca="1">IFERROR(__xludf.DUMMYFUNCTION("""COMPUTED_VALUE"""),"Day Interest")</f>
        <v>Day Interest</v>
      </c>
      <c r="AY5" s="22" t="str">
        <f ca="1">IFERROR(__xludf.DUMMYFUNCTION("""COMPUTED_VALUE"""),"Total Interest")</f>
        <v>Total Interest</v>
      </c>
      <c r="AZ5" s="22" t="str">
        <f ca="1">IFERROR(__xludf.DUMMYFUNCTION("""COMPUTED_VALUE"""),"Market Value (Local)")</f>
        <v>Market Value (Local)</v>
      </c>
      <c r="BA5" s="22" t="str">
        <f ca="1">IFERROR(__xludf.DUMMYFUNCTION("""COMPUTED_VALUE"""),"% Gain/Loss Day")</f>
        <v>% Gain/Loss Day</v>
      </c>
      <c r="BB5" s="22" t="str">
        <f ca="1">IFERROR(__xludf.DUMMYFUNCTION("""COMPUTED_VALUE"""),"Update Time (Last Price)")</f>
        <v>Update Time (Last Price)</v>
      </c>
      <c r="BC5" s="22" t="str">
        <f ca="1">IFERROR(__xludf.DUMMYFUNCTION("""COMPUTED_VALUE"""),"Beta")</f>
        <v>Beta</v>
      </c>
      <c r="BD5" s="22" t="str">
        <f ca="1">IFERROR(__xludf.DUMMYFUNCTION("""COMPUTED_VALUE"""),"Cash Impact (Local)")</f>
        <v>Cash Impact (Local)</v>
      </c>
      <c r="BE5" s="22" t="str">
        <f ca="1">IFERROR(__xludf.DUMMYFUNCTION("""COMPUTED_VALUE"""),"User Asset")</f>
        <v>User Asset</v>
      </c>
      <c r="BF5" s="22" t="str">
        <f ca="1">IFERROR(__xludf.DUMMYFUNCTION("""COMPUTED_VALUE"""),"Security Type")</f>
        <v>Security Type</v>
      </c>
      <c r="BG5" s="22" t="str">
        <f ca="1">IFERROR(__xludf.DUMMYFUNCTION("""COMPUTED_VALUE"""),"Sector")</f>
        <v>Sector</v>
      </c>
      <c r="BH5" s="22" t="str">
        <f ca="1">IFERROR(__xludf.DUMMYFUNCTION("""COMPUTED_VALUE"""),"Sub Sector")</f>
        <v>Sub Sector</v>
      </c>
      <c r="BI5" s="22" t="str">
        <f ca="1">IFERROR(__xludf.DUMMYFUNCTION("""COMPUTED_VALUE"""),"Country")</f>
        <v>Country</v>
      </c>
      <c r="BJ5" s="22" t="str">
        <f ca="1">IFERROR(__xludf.DUMMYFUNCTION("""COMPUTED_VALUE"""),"Market Cap")</f>
        <v>Market Cap</v>
      </c>
      <c r="BK5" s="22" t="str">
        <f ca="1">IFERROR(__xludf.DUMMYFUNCTION("""COMPUTED_VALUE"""),"Shares Outstanding (MM)")</f>
        <v>Shares Outstanding (MM)</v>
      </c>
      <c r="BL5" s="22" t="str">
        <f ca="1">IFERROR(__xludf.DUMMYFUNCTION("""COMPUTED_VALUE"""),"Avg Volume 20 Day")</f>
        <v>Avg Volume 20 Day</v>
      </c>
      <c r="BM5" s="22" t="str">
        <f ca="1">IFERROR(__xludf.DUMMYFUNCTION("""COMPUTED_VALUE"""),"% Avg Volume (Delta Adj.)")</f>
        <v>% Avg Volume (Delta Adj.)</v>
      </c>
      <c r="BN5" s="22" t="str">
        <f ca="1">IFERROR(__xludf.DUMMYFUNCTION("""COMPUTED_VALUE"""),"Ex Dividend Date")</f>
        <v>Ex Dividend Date</v>
      </c>
      <c r="BO5" s="22" t="str">
        <f ca="1">IFERROR(__xludf.DUMMYFUNCTION("""COMPUTED_VALUE"""),"Cash Impact (Base)")</f>
        <v>Cash Impact (Base)</v>
      </c>
      <c r="BP5" s="22" t="str">
        <f ca="1">IFERROR(__xludf.DUMMYFUNCTION("""COMPUTED_VALUE"""),"Volatility (%)")</f>
        <v>Volatility (%)</v>
      </c>
      <c r="BQ5" s="22" t="str">
        <f ca="1">IFERROR(__xludf.DUMMYFUNCTION("""COMPUTED_VALUE"""),"User")</f>
        <v>User</v>
      </c>
      <c r="BR5" s="22" t="str">
        <f ca="1">IFERROR(__xludf.DUMMYFUNCTION("""COMPUTED_VALUE"""),"Broker")</f>
        <v>Broker</v>
      </c>
      <c r="BS5" s="22" t="str">
        <f ca="1">IFERROR(__xludf.DUMMYFUNCTION("""COMPUTED_VALUE"""),"Earned Dividend (Local)")</f>
        <v>Earned Dividend (Local)</v>
      </c>
      <c r="BT5" s="22" t="str">
        <f ca="1">IFERROR(__xludf.DUMMYFUNCTION("""COMPUTED_VALUE"""),"Earned Dividend (Base)")</f>
        <v>Earned Dividend (Base)</v>
      </c>
      <c r="BU5" s="22" t="str">
        <f ca="1">IFERROR(__xludf.DUMMYFUNCTION("""COMPUTED_VALUE"""),"Put/Call")</f>
        <v>Put/Call</v>
      </c>
      <c r="BV5" s="22" t="str">
        <f ca="1">IFERROR(__xludf.DUMMYFUNCTION("""COMPUTED_VALUE"""),"Expiration Date")</f>
        <v>Expiration Date</v>
      </c>
      <c r="BW5" s="22" t="str">
        <f ca="1">IFERROR(__xludf.DUMMYFUNCTION("""COMPUTED_VALUE"""),"Strike Price")</f>
        <v>Strike Price</v>
      </c>
      <c r="BX5" s="22" t="str">
        <f ca="1">IFERROR(__xludf.DUMMYFUNCTION("""COMPUTED_VALUE"""),"Gross Exposure (Base)")</f>
        <v>Gross Exposure (Base)</v>
      </c>
      <c r="BY5" s="22" t="str">
        <f ca="1">IFERROR(__xludf.DUMMYFUNCTION("""COMPUTED_VALUE"""),"Gross Market Value (Base)")</f>
        <v>Gross Market Value (Base)</v>
      </c>
      <c r="BZ5" s="22" t="str">
        <f ca="1">IFERROR(__xludf.DUMMYFUNCTION("""COMPUTED_VALUE"""),"Px Selected Feed (Local)")</f>
        <v>Px Selected Feed (Local)</v>
      </c>
      <c r="CA5" s="22" t="str">
        <f ca="1">IFERROR(__xludf.DUMMYFUNCTION("""COMPUTED_VALUE"""),"Px Selected Feed (Base)")</f>
        <v>Px Selected Feed (Base)</v>
      </c>
      <c r="CB5" s="22" t="str">
        <f ca="1">IFERROR(__xludf.DUMMYFUNCTION("""COMPUTED_VALUE"""),"Settlement Date")</f>
        <v>Settlement Date</v>
      </c>
      <c r="CC5" s="22" t="str">
        <f ca="1">IFERROR(__xludf.DUMMYFUNCTION("""COMPUTED_VALUE"""),"% Avg Volume")</f>
        <v>% Avg Volume</v>
      </c>
      <c r="CD5" s="22" t="str">
        <f ca="1">IFERROR(__xludf.DUMMYFUNCTION("""COMPUTED_VALUE"""),"Day P&amp;L (Base)(Price Gain)")</f>
        <v>Day P&amp;L (Base)(Price Gain)</v>
      </c>
      <c r="CE5" s="22" t="str">
        <f ca="1">IFERROR(__xludf.DUMMYFUNCTION("""COMPUTED_VALUE"""),"Day P&amp;L (Base)(FX Gain)")</f>
        <v>Day P&amp;L (Base)(FX Gain)</v>
      </c>
      <c r="CF5" s="22" t="str">
        <f ca="1">IFERROR(__xludf.DUMMYFUNCTION("""COMPUTED_VALUE"""),"Cost Basis P&amp;L (Base)(FX Gain)")</f>
        <v>Cost Basis P&amp;L (Base)(FX Gain)</v>
      </c>
      <c r="CG5" s="22" t="str">
        <f ca="1">IFERROR(__xludf.DUMMYFUNCTION("""COMPUTED_VALUE"""),"Cost Basis P&amp;L (Base)(Price Gain)")</f>
        <v>Cost Basis P&amp;L (Base)(Price Gain)</v>
      </c>
      <c r="CH5" s="22" t="str">
        <f ca="1">IFERROR(__xludf.DUMMYFUNCTION("""COMPUTED_VALUE"""),"% Gain/Loss Cost")</f>
        <v>% Gain/Loss Cost</v>
      </c>
      <c r="CI5" s="22" t="str">
        <f ca="1">IFERROR(__xludf.DUMMYFUNCTION("""COMPUTED_VALUE"""),"Underlying Value (Options)")</f>
        <v>Underlying Value (Options)</v>
      </c>
      <c r="CJ5" s="22" t="str">
        <f ca="1">IFERROR(__xludf.DUMMYFUNCTION("""COMPUTED_VALUE"""),"Avg Volume 20 Day (Underlying Symbol)")</f>
        <v>Avg Volume 20 Day (Underlying Symbol)</v>
      </c>
      <c r="CK5" s="22" t="str">
        <f ca="1">IFERROR(__xludf.DUMMYFUNCTION("""COMPUTED_VALUE"""),"IsStaleData")</f>
        <v>IsStaleData</v>
      </c>
      <c r="CL5" s="22" t="str">
        <f ca="1">IFERROR(__xludf.DUMMYFUNCTION("""COMPUTED_VALUE"""),"IDCO")</f>
        <v>IDCO</v>
      </c>
      <c r="CM5" s="22" t="str">
        <f ca="1">IFERROR(__xludf.DUMMYFUNCTION("""COMPUTED_VALUE"""),"OSI")</f>
        <v>OSI</v>
      </c>
      <c r="CN5" s="22" t="str">
        <f ca="1">IFERROR(__xludf.DUMMYFUNCTION("""COMPUTED_VALUE"""),"SEDOL")</f>
        <v>SEDOL</v>
      </c>
      <c r="CO5" s="22" t="str">
        <f ca="1">IFERROR(__xludf.DUMMYFUNCTION("""COMPUTED_VALUE"""),"CUSIP")</f>
        <v>CUSIP</v>
      </c>
      <c r="CP5" s="22" t="str">
        <f ca="1">IFERROR(__xludf.DUMMYFUNCTION("""COMPUTED_VALUE"""),"Bloomberg")</f>
        <v>Bloomberg</v>
      </c>
      <c r="CQ5" s="22" t="str">
        <f ca="1">IFERROR(__xludf.DUMMYFUNCTION("""COMPUTED_VALUE"""),"ISIN")</f>
        <v>ISIN</v>
      </c>
      <c r="CR5" s="22" t="str">
        <f ca="1">IFERROR(__xludf.DUMMYFUNCTION("""COMPUTED_VALUE"""),"Start Trade Date")</f>
        <v>Start Trade Date</v>
      </c>
      <c r="CS5" s="22" t="str">
        <f ca="1">IFERROR(__xludf.DUMMYFUNCTION("""COMPUTED_VALUE"""),"Cost Basis (Break Even)")</f>
        <v>Cost Basis (Break Even)</v>
      </c>
      <c r="CT5" s="22" t="str">
        <f ca="1">IFERROR(__xludf.DUMMYFUNCTION("""COMPUTED_VALUE"""),"Trade Attribute 3")</f>
        <v>Trade Attribute 3</v>
      </c>
      <c r="CU5" s="22" t="str">
        <f ca="1">IFERROR(__xludf.DUMMYFUNCTION("""COMPUTED_VALUE"""),"Trade Attribute 4")</f>
        <v>Trade Attribute 4</v>
      </c>
      <c r="CV5" s="22" t="str">
        <f ca="1">IFERROR(__xludf.DUMMYFUNCTION("""COMPUTED_VALUE"""),"Trade Attribute 5")</f>
        <v>Trade Attribute 5</v>
      </c>
      <c r="CW5" s="22" t="str">
        <f ca="1">IFERROR(__xludf.DUMMYFUNCTION("""COMPUTED_VALUE"""),"Trade Attribute 6")</f>
        <v>Trade Attribute 6</v>
      </c>
      <c r="CX5" s="22" t="str">
        <f ca="1">IFERROR(__xludf.DUMMYFUNCTION("""COMPUTED_VALUE"""),"Proxy Symbol")</f>
        <v>Proxy Symbol</v>
      </c>
      <c r="CY5" s="22" t="str">
        <f ca="1">IFERROR(__xludf.DUMMYFUNCTION("""COMPUTED_VALUE"""),"Pricing Source")</f>
        <v>Pricing Source</v>
      </c>
      <c r="CZ5" s="22" t="str">
        <f ca="1">IFERROR(__xludf.DUMMYFUNCTION("""COMPUTED_VALUE"""),"Delta Source")</f>
        <v>Delta Source</v>
      </c>
      <c r="DA5" s="22" t="str">
        <f ca="1">IFERROR(__xludf.DUMMYFUNCTION("""COMPUTED_VALUE"""),"Gross Exposure (Local)")</f>
        <v>Gross Exposure (Local)</v>
      </c>
      <c r="DB5" s="22" t="str">
        <f ca="1">IFERROR(__xludf.DUMMYFUNCTION("""COMPUTED_VALUE"""),"% Day P&amp;L (Net MV)")</f>
        <v>% Day P&amp;L (Net MV)</v>
      </c>
      <c r="DC5" s="22" t="str">
        <f ca="1">IFERROR(__xludf.DUMMYFUNCTION("""COMPUTED_VALUE"""),"Expiration Month")</f>
        <v>Expiration Month</v>
      </c>
      <c r="DD5" s="22" t="str">
        <f ca="1">IFERROR(__xludf.DUMMYFUNCTION("""COMPUTED_VALUE"""),"Delta Adj. Position (LME)")</f>
        <v>Delta Adj. Position (LME)</v>
      </c>
      <c r="DE5" s="22" t="str">
        <f ca="1">IFERROR(__xludf.DUMMYFUNCTION("""COMPUTED_VALUE"""),"Premium")</f>
        <v>Premium</v>
      </c>
      <c r="DF5" s="22" t="str">
        <f ca="1">IFERROR(__xludf.DUMMYFUNCTION("""COMPUTED_VALUE"""),"Premium $")</f>
        <v>Premium $</v>
      </c>
      <c r="DG5" s="22" t="str">
        <f ca="1">IFERROR(__xludf.DUMMYFUNCTION("""COMPUTED_VALUE"""),"Forward Points")</f>
        <v>Forward Points</v>
      </c>
      <c r="DH5" s="22" t="str">
        <f ca="1">IFERROR(__xludf.DUMMYFUNCTION("""COMPUTED_VALUE"""),"Closing Mark (Underlying)")</f>
        <v>Closing Mark (Underlying)</v>
      </c>
      <c r="DI5" s="22" t="str">
        <f ca="1">IFERROR(__xludf.DUMMYFUNCTION("""COMPUTED_VALUE"""),"% Change (Underlying Price)")</f>
        <v>% Change (Underlying Price)</v>
      </c>
      <c r="DJ5" s="22" t="str">
        <f ca="1">IFERROR(__xludf.DUMMYFUNCTION("""COMPUTED_VALUE"""),"Transaction Type")</f>
        <v>Transaction Type</v>
      </c>
      <c r="DK5" s="22" t="str">
        <f ca="1">IFERROR(__xludf.DUMMYFUNCTION("""COMPUTED_VALUE"""),"Closing Market Value (Local)")</f>
        <v>Closing Market Value (Local)</v>
      </c>
      <c r="DL5" s="22" t="str">
        <f ca="1">IFERROR(__xludf.DUMMYFUNCTION("""COMPUTED_VALUE"""),"Closing Market Value (Base)")</f>
        <v>Closing Market Value (Base)</v>
      </c>
      <c r="DM5" s="22" t="str">
        <f ca="1">IFERROR(__xludf.DUMMYFUNCTION("""COMPUTED_VALUE"""),"Closing FX Rate")</f>
        <v>Closing FX Rate</v>
      </c>
      <c r="DN5" s="22" t="str">
        <f ca="1">IFERROR(__xludf.DUMMYFUNCTION("""COMPUTED_VALUE"""),"Change In Underlying Price")</f>
        <v>Change In Underlying Price</v>
      </c>
      <c r="DO5" s="22" t="str">
        <f ca="1">IFERROR(__xludf.DUMMYFUNCTION("""COMPUTED_VALUE"""),"RIC")</f>
        <v>RIC</v>
      </c>
      <c r="DP5" s="22" t="str">
        <f ca="1">IFERROR(__xludf.DUMMYFUNCTION("""COMPUTED_VALUE"""),"Position Side Exposure (Boxed)")</f>
        <v>Position Side Exposure (Boxed)</v>
      </c>
      <c r="DQ5" s="22" t="str">
        <f ca="1">IFERROR(__xludf.DUMMYFUNCTION("""COMPUTED_VALUE"""),"Analyst")</f>
        <v>Analyst</v>
      </c>
      <c r="DR5" s="22" t="str">
        <f ca="1">IFERROR(__xludf.DUMMYFUNCTION("""COMPUTED_VALUE"""),"Country Of Risk")</f>
        <v>Country Of Risk</v>
      </c>
      <c r="DS5" s="22" t="str">
        <f ca="1">IFERROR(__xludf.DUMMYFUNCTION("""COMPUTED_VALUE"""),"Custom UDA1")</f>
        <v>Custom UDA1</v>
      </c>
      <c r="DT5" s="22" t="str">
        <f ca="1">IFERROR(__xludf.DUMMYFUNCTION("""COMPUTED_VALUE"""),"Custom UDA2")</f>
        <v>Custom UDA2</v>
      </c>
      <c r="DU5" s="22" t="str">
        <f ca="1">IFERROR(__xludf.DUMMYFUNCTION("""COMPUTED_VALUE"""),"Custom UDA3")</f>
        <v>Custom UDA3</v>
      </c>
      <c r="DV5" s="22" t="str">
        <f ca="1">IFERROR(__xludf.DUMMYFUNCTION("""COMPUTED_VALUE"""),"Custom UDA4")</f>
        <v>Custom UDA4</v>
      </c>
      <c r="DW5" s="22" t="str">
        <f ca="1">IFERROR(__xludf.DUMMYFUNCTION("""COMPUTED_VALUE"""),"Custom UDA5")</f>
        <v>Custom UDA5</v>
      </c>
      <c r="DX5" s="22" t="str">
        <f ca="1">IFERROR(__xludf.DUMMYFUNCTION("""COMPUTED_VALUE"""),"Custom UDA6")</f>
        <v>Custom UDA6</v>
      </c>
      <c r="DY5" s="22" t="str">
        <f ca="1">IFERROR(__xludf.DUMMYFUNCTION("""COMPUTED_VALUE"""),"Custom UDA7")</f>
        <v>Custom UDA7</v>
      </c>
      <c r="DZ5" s="22" t="str">
        <f ca="1">IFERROR(__xludf.DUMMYFUNCTION("""COMPUTED_VALUE"""),"Issuer")</f>
        <v>Issuer</v>
      </c>
      <c r="EA5" s="22" t="str">
        <f ca="1">IFERROR(__xludf.DUMMYFUNCTION("""COMPUTED_VALUE"""),"Liquid Tag")</f>
        <v>Liquid Tag</v>
      </c>
      <c r="EB5" s="22" t="str">
        <f ca="1">IFERROR(__xludf.DUMMYFUNCTION("""COMPUTED_VALUE"""),"Market Cap UDA")</f>
        <v>Market Cap UDA</v>
      </c>
      <c r="EC5" s="22" t="str">
        <f ca="1">IFERROR(__xludf.DUMMYFUNCTION("""COMPUTED_VALUE"""),"Region")</f>
        <v>Region</v>
      </c>
      <c r="ED5" s="22" t="str">
        <f ca="1">IFERROR(__xludf.DUMMYFUNCTION("""COMPUTED_VALUE"""),"Risk Currency")</f>
        <v>Risk Currency</v>
      </c>
      <c r="EE5" s="22" t="str">
        <f ca="1">IFERROR(__xludf.DUMMYFUNCTION("""COMPUTED_VALUE"""),"UCITS Eligible Tag")</f>
        <v>UCITS Eligible Tag</v>
      </c>
      <c r="EF5" s="22" t="str">
        <f ca="1">IFERROR(__xludf.DUMMYFUNCTION("""COMPUTED_VALUE"""),"FX Rate (Display)")</f>
        <v>FX Rate (Display)</v>
      </c>
      <c r="EG5" s="22" t="str">
        <f ca="1">IFERROR(__xludf.DUMMYFUNCTION("""COMPUTED_VALUE"""),"% Net Exposure (Base)")</f>
        <v>% Net Exposure (Base)</v>
      </c>
      <c r="EH5" s="22" t="str">
        <f ca="1">IFERROR(__xludf.DUMMYFUNCTION("""COMPUTED_VALUE"""),"% Gross Exposure (Base)")</f>
        <v>% Gross Exposure (Base)</v>
      </c>
      <c r="EI5" s="22" t="str">
        <f ca="1">IFERROR(__xludf.DUMMYFUNCTION("""COMPUTED_VALUE"""),"% Exposure (Base)")</f>
        <v>% Exposure (Base)</v>
      </c>
      <c r="EJ5" s="22" t="str">
        <f ca="1">IFERROR(__xludf.DUMMYFUNCTION("""COMPUTED_VALUE"""),"% Gross Exposure (Underlying) (Base)")</f>
        <v>% Gross Exposure (Underlying) (Base)</v>
      </c>
      <c r="EK5" s="22" t="str">
        <f ca="1">IFERROR(__xludf.DUMMYFUNCTION("""COMPUTED_VALUE"""),"% Beta Adj. Gross Exposure (Base)")</f>
        <v>% Beta Adj. Gross Exposure (Base)</v>
      </c>
      <c r="EL5" s="22" t="str">
        <f ca="1">IFERROR(__xludf.DUMMYFUNCTION("""COMPUTED_VALUE"""),"Position Side Exposure (Underlying)")</f>
        <v>Position Side Exposure (Underlying)</v>
      </c>
      <c r="EM5" s="22" t="str">
        <f ca="1">IFERROR(__xludf.DUMMYFUNCTION("""COMPUTED_VALUE"""),"Gross Exposure (Underlying) (Base)")</f>
        <v>Gross Exposure (Underlying) (Base)</v>
      </c>
      <c r="EN5" s="22" t="str">
        <f ca="1">IFERROR(__xludf.DUMMYFUNCTION("""COMPUTED_VALUE"""),"Gross Exposure (Underlying)")</f>
        <v>Gross Exposure (Underlying)</v>
      </c>
      <c r="EO5" s="22" t="str">
        <f ca="1">IFERROR(__xludf.DUMMYFUNCTION("""COMPUTED_VALUE"""),"Day Return")</f>
        <v>Day Return</v>
      </c>
      <c r="EP5" s="22" t="str">
        <f ca="1">IFERROR(__xludf.DUMMYFUNCTION("""COMPUTED_VALUE"""),"Start of Day NAV")</f>
        <v>Start of Day NAV</v>
      </c>
      <c r="EQ5" s="22" t="str">
        <f ca="1">IFERROR(__xludf.DUMMYFUNCTION("""COMPUTED_VALUE"""),"% Gross Market Value (Base)")</f>
        <v>% Gross Market Value (Base)</v>
      </c>
      <c r="ER5" s="22" t="str">
        <f ca="1">IFERROR(__xludf.DUMMYFUNCTION("""COMPUTED_VALUE"""),"Beta Adj. Gross Exposure (Underlying) (Local)")</f>
        <v>Beta Adj. Gross Exposure (Underlying) (Local)</v>
      </c>
      <c r="ES5" s="22" t="str">
        <f ca="1">IFERROR(__xludf.DUMMYFUNCTION("""COMPUTED_VALUE"""),"NAV")</f>
        <v>NAV</v>
      </c>
      <c r="ET5" s="22" t="str">
        <f ca="1">IFERROR(__xludf.DUMMYFUNCTION("""COMPUTED_VALUE"""),"% P&amp;L Contribution")</f>
        <v>% P&amp;L Contribution</v>
      </c>
      <c r="EU5" s="22" t="str">
        <f ca="1">IFERROR(__xludf.DUMMYFUNCTION("""COMPUTED_VALUE"""),"% Net Market Value (Base)")</f>
        <v>% Net Market Value (Base)</v>
      </c>
      <c r="EV5" s="22" t="str">
        <f ca="1">IFERROR(__xludf.DUMMYFUNCTION("""COMPUTED_VALUE"""),"Position Side Exposure")</f>
        <v>Position Side Exposure</v>
      </c>
      <c r="EW5" s="22" t="str">
        <f ca="1">IFERROR(__xludf.DUMMYFUNCTION("""COMPUTED_VALUE"""),"NAV (Touch)")</f>
        <v>NAV (Touch)</v>
      </c>
      <c r="EX5" s="22" t="str">
        <f ca="1">IFERROR(__xludf.DUMMYFUNCTION("""COMPUTED_VALUE"""),"IgnorePropertyChangeEvents")</f>
        <v>IgnorePropertyChangeEvents</v>
      </c>
      <c r="EY5" s="22" t="str">
        <f ca="1">IFERROR(__xludf.DUMMYFUNCTION("""COMPUTED_VALUE"""),"Trade Attribute 1")</f>
        <v>Trade Attribute 1</v>
      </c>
      <c r="EZ5" s="22" t="str">
        <f ca="1">IFERROR(__xludf.DUMMYFUNCTION("""COMPUTED_VALUE"""),"Trade Attribute 2")</f>
        <v>Trade Attribute 2</v>
      </c>
      <c r="FA5" s="22" t="str">
        <f ca="1">IFERROR(__xludf.DUMMYFUNCTION("""COMPUTED_VALUE"""),"Client")</f>
        <v>Client</v>
      </c>
      <c r="FB5" s="22" t="str">
        <f ca="1">IFERROR(__xludf.DUMMYFUNCTION("""COMPUTED_VALUE"""),"")</f>
        <v/>
      </c>
      <c r="FC5" s="22" t="str">
        <f ca="1">IFERROR(__xludf.DUMMYFUNCTION("""COMPUTED_VALUE"""),"")</f>
        <v/>
      </c>
      <c r="FD5" s="22" t="str">
        <f ca="1">IFERROR(__xludf.DUMMYFUNCTION("""COMPUTED_VALUE"""),"")</f>
        <v/>
      </c>
      <c r="FE5" s="22" t="str">
        <f ca="1">IFERROR(__xludf.DUMMYFUNCTION("""COMPUTED_VALUE"""),"")</f>
        <v/>
      </c>
      <c r="FF5" s="22" t="str">
        <f ca="1">IFERROR(__xludf.DUMMYFUNCTION("""COMPUTED_VALUE"""),"")</f>
        <v/>
      </c>
      <c r="FG5" s="22" t="str">
        <f ca="1">IFERROR(__xludf.DUMMYFUNCTION("""COMPUTED_VALUE"""),"")</f>
        <v/>
      </c>
      <c r="FH5" s="22" t="str">
        <f ca="1">IFERROR(__xludf.DUMMYFUNCTION("""COMPUTED_VALUE"""),"")</f>
        <v/>
      </c>
      <c r="FI5" s="22" t="str">
        <f ca="1">IFERROR(__xludf.DUMMYFUNCTION("""COMPUTED_VALUE"""),"")</f>
        <v/>
      </c>
      <c r="FJ5" s="22" t="str">
        <f ca="1">IFERROR(__xludf.DUMMYFUNCTION("""COMPUTED_VALUE"""),"")</f>
        <v/>
      </c>
      <c r="FK5" s="22" t="str">
        <f ca="1">IFERROR(__xludf.DUMMYFUNCTION("""COMPUTED_VALUE"""),"")</f>
        <v/>
      </c>
      <c r="FL5" s="22" t="str">
        <f ca="1">IFERROR(__xludf.DUMMYFUNCTION("""COMPUTED_VALUE"""),"")</f>
        <v/>
      </c>
      <c r="FM5" s="22" t="str">
        <f ca="1">IFERROR(__xludf.DUMMYFUNCTION("""COMPUTED_VALUE"""),"")</f>
        <v/>
      </c>
    </row>
    <row r="6" spans="1:169" ht="15.75" customHeight="1">
      <c r="A6" s="2"/>
      <c r="C6" t="s">
        <v>29</v>
      </c>
      <c r="D6" s="23">
        <v>10000</v>
      </c>
      <c r="E6" s="23" t="s">
        <v>31</v>
      </c>
      <c r="AN6" t="s">
        <v>30</v>
      </c>
    </row>
    <row r="7" spans="1:169" ht="15.75" customHeight="1">
      <c r="A7" s="2"/>
      <c r="B7" s="2"/>
      <c r="C7" s="2" t="s">
        <v>29</v>
      </c>
      <c r="D7" s="6">
        <v>-10000</v>
      </c>
      <c r="E7" s="23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AN7" s="2" t="s">
        <v>33</v>
      </c>
    </row>
    <row r="8" spans="1:169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9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9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9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9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9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CreateStageOrder</vt:lpstr>
      <vt:lpstr>MultiTradingTicketFromBlotter</vt:lpstr>
      <vt:lpstr>SelectTradeUsingMTT</vt:lpstr>
      <vt:lpstr>EditTradeUsingMTT</vt:lpstr>
      <vt:lpstr>DoneAwayUsingMTT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2021-09-20T12:58:03Z</dcterms:modified>
</cp:coreProperties>
</file>