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UpdateExpnlConfig" sheetId="5" r:id="rId7"/>
    <sheet state="visible" name="CreateLiveOrder" sheetId="6" r:id="rId8"/>
    <sheet state="visible" name="SelectTradeOnOrderGrid" sheetId="7" r:id="rId9"/>
    <sheet state="visible" name="ReplaceSubOrder" sheetId="8" r:id="rId10"/>
    <sheet state="visible" name="ApproveorRejectpendingapproval" sheetId="9" r:id="rId11"/>
    <sheet state="visible" name="CreateReplaceOrder" sheetId="10" r:id="rId12"/>
    <sheet state="visible" name="ApproveorRejectpendingapproval1" sheetId="11" r:id="rId13"/>
    <sheet state="visible" name="VerifyAlertHistory" sheetId="12" r:id="rId14"/>
    <sheet state="visible" name="GetDataFromAuditTrail" sheetId="13" r:id="rId15"/>
    <sheet state="visible" name="VerifyAuditTrail" sheetId="14" r:id="rId16"/>
    <sheet state="visible" name="GetEmail" sheetId="15" r:id="rId17"/>
    <sheet state="visible" name="AddTabBlotter" sheetId="16" r:id="rId18"/>
    <sheet state="visible" name="CustomTabActions" sheetId="17" r:id="rId19"/>
    <sheet state="visible" name="CustomTabActions1" sheetId="18" r:id="rId20"/>
    <sheet state="visible" name="ApproveorRejectpendingapproval2" sheetId="19" r:id="rId21"/>
    <sheet state="visible" name="ApproveorRejectpendingapproval3" sheetId="20" r:id="rId22"/>
    <sheet state="visible" name="VerifyAlertHistory1" sheetId="21" r:id="rId23"/>
    <sheet state="visible" name="VerifyAuditTrail1" sheetId="22" r:id="rId24"/>
    <sheet state="visible" name="GetEmail1" sheetId="23" r:id="rId25"/>
    <sheet state="visible" name="CreateStageOrder" sheetId="24" r:id="rId26"/>
    <sheet state="visible" name="SelectTradeOnOrderGrid1" sheetId="25" r:id="rId27"/>
    <sheet state="visible" name="TradeNewSubOrder" sheetId="26" r:id="rId28"/>
    <sheet state="visible" name="CreateNewSubOrder" sheetId="27" r:id="rId29"/>
    <sheet state="visible" name="ApproveorRejectpendingapproval4" sheetId="28" r:id="rId30"/>
    <sheet state="visible" name="CustomTabActions2" sheetId="29" r:id="rId31"/>
    <sheet state="visible" name="CustomTabActions3" sheetId="30" r:id="rId32"/>
    <sheet state="visible" name="ApproveorRejectpendingapproval5" sheetId="31" r:id="rId33"/>
    <sheet state="visible" name="VerifyAlertHistory2" sheetId="32" r:id="rId34"/>
    <sheet state="visible" name="VerifyAuditTrail2" sheetId="33" r:id="rId35"/>
    <sheet state="visible" name="GetEmail2" sheetId="34" r:id="rId36"/>
  </sheets>
  <definedNames/>
  <calcPr/>
</workbook>
</file>

<file path=xl/sharedStrings.xml><?xml version="1.0" encoding="utf-8"?>
<sst xmlns="http://schemas.openxmlformats.org/spreadsheetml/2006/main" count="391" uniqueCount="75">
  <si>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</si>
  <si>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</si>
  <si>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</si>
  <si>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</si>
  <si>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</si>
  <si>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</si>
  <si>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</si>
  <si>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</si>
  <si>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</si>
  <si>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</si>
  <si>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</si>
  <si>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</si>
  <si>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</si>
  <si>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</si>
  <si>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</si>
  <si>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</si>
  <si>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</si>
  <si>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</si>
  <si>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Expnl</t>
  </si>
  <si>
    <t>UpdateExpnlConfig</t>
  </si>
  <si>
    <t>EnableSSL</t>
  </si>
  <si>
    <t>MailRecieverAddress</t>
  </si>
  <si>
    <t>testautomation@nirvanasolutions.com</t>
  </si>
  <si>
    <t>TradingTicket</t>
  </si>
  <si>
    <t>CreateLiveOrder</t>
  </si>
  <si>
    <t>AAPL</t>
  </si>
  <si>
    <t>Buy</t>
  </si>
  <si>
    <t>MS</t>
  </si>
  <si>
    <t>Yes</t>
  </si>
  <si>
    <t>MSFT</t>
  </si>
  <si>
    <t>Blotter</t>
  </si>
  <si>
    <t>SelectTradeOnOrderGrid</t>
  </si>
  <si>
    <t>ReplaceSubOrder</t>
  </si>
  <si>
    <t>Compliance</t>
  </si>
  <si>
    <t>ApproveorRejectpendingapproval</t>
  </si>
  <si>
    <t>Approve</t>
  </si>
  <si>
    <t>CreateReplaceOrder</t>
  </si>
  <si>
    <t>Verify</t>
  </si>
  <si>
    <t>VerifyAlertHistory</t>
  </si>
  <si>
    <t>Samsara</t>
  </si>
  <si>
    <t>PreTrade</t>
  </si>
  <si>
    <t>Enter Summary</t>
  </si>
  <si>
    <t>Trade</t>
  </si>
  <si>
    <t>Expired because the order was replaced.</t>
  </si>
  <si>
    <t>If Quantity not equals to -123 Then block the trade.</t>
  </si>
  <si>
    <t>Compliance Officer - Please Approve</t>
  </si>
  <si>
    <t>AuditTrail</t>
  </si>
  <si>
    <t>GetDataFromAuditTrail</t>
  </si>
  <si>
    <t>VerifyAuditTrail</t>
  </si>
  <si>
    <t>Allocation1</t>
  </si>
  <si>
    <t>Sub-Order Replaced</t>
  </si>
  <si>
    <t>Order Blocked (Compliance)</t>
  </si>
  <si>
    <t>Order Pending Approval(Compliance)</t>
  </si>
  <si>
    <t>Sub-Order Cancelled</t>
  </si>
  <si>
    <t>GetEmail</t>
  </si>
  <si>
    <t>\\192.168.2.108\DistributedAutomation_Master\Email Verification Files\Compliance-0321.txt</t>
  </si>
  <si>
    <t>A previous request made by the Samsara to approve a trade has been REPLACED with a trade that would breach compliance and NEEDS APPROVAL. Please review the details in the Pending Approval module.</t>
  </si>
  <si>
    <t>Nirvana Support &lt;alerts@nirvanasolutions.com&gt;</t>
  </si>
  <si>
    <t>AddTabBlotter</t>
  </si>
  <si>
    <t>ABC</t>
  </si>
  <si>
    <t>Add Tab(Order)</t>
  </si>
  <si>
    <t>CustomTabActions</t>
  </si>
  <si>
    <t>order</t>
  </si>
  <si>
    <t>Replace Order</t>
  </si>
  <si>
    <t>suborder</t>
  </si>
  <si>
    <t>\\192.168.2.108\DistributedAutomation_Master\Email Verification Files\Compliance-0321_1.txt</t>
  </si>
  <si>
    <t>CreateStageOrder</t>
  </si>
  <si>
    <t>SAP</t>
  </si>
  <si>
    <t>TradeNewSubOrder</t>
  </si>
  <si>
    <t>CreateNewSubOrder</t>
  </si>
  <si>
    <t>Support6</t>
  </si>
  <si>
    <t>Trade passed as rule is overriden by user (jpearce</t>
  </si>
  <si>
    <t>Stage</t>
  </si>
  <si>
    <t>CreateDoneAwayOrder</t>
  </si>
  <si>
    <t>\\192.168.2.108\DistributedAutomation_Master\Email Verification Files\Compliance-0321_2.txt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</si>
</sst>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  <font>
      <sz val="9.0"/>
      <name val="&quot;Segoe UI&quot;"/>
    </font>
    <font>
      <sz val="11.0"/>
      <color rgb="FF000000"/>
      <name val="Calibri"/>
    </font>
    <font>
      <sz val="9.0"/>
      <color rgb="FF000000"/>
      <name val="Arial"/>
    </font>
    <font>
      <sz val="9.0"/>
      <color rgb="FF000000"/>
      <name val="&quot;Segoe UI&quot;"/>
    </font>
    <font>
      <sz val="9.0"/>
      <name val="Arial"/>
    </font>
    <font>
      <sz val="9.0"/>
      <color rgb="FF1F1F1F"/>
      <name val="&quot;Google Sans&quot;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6" fillId="7" fontId="14" numFmtId="0" xfId="0" applyAlignment="1" applyBorder="1" applyFill="1" applyFont="1">
      <alignment shrinkToFit="0" vertical="top" wrapText="0"/>
    </xf>
    <xf borderId="6" fillId="7" fontId="14" numFmtId="0" xfId="0" applyAlignment="1" applyBorder="1" applyFont="1">
      <alignment horizontal="right" vertical="top"/>
    </xf>
    <xf borderId="6" fillId="7" fontId="14" numFmtId="4" xfId="0" applyAlignment="1" applyBorder="1" applyFont="1" applyNumberFormat="1">
      <alignment horizontal="right" vertical="top"/>
    </xf>
    <xf borderId="6" fillId="7" fontId="3" numFmtId="0" xfId="0" applyAlignment="1" applyBorder="1" applyFont="1">
      <alignment vertical="top"/>
    </xf>
    <xf borderId="6" fillId="7" fontId="3" numFmtId="164" xfId="0" applyAlignment="1" applyBorder="1" applyFont="1" applyNumberFormat="1">
      <alignment vertical="top"/>
    </xf>
    <xf borderId="7" fillId="7" fontId="3" numFmtId="0" xfId="0" applyAlignment="1" applyBorder="1" applyFont="1">
      <alignment vertical="top"/>
    </xf>
    <xf borderId="6" fillId="7" fontId="14" numFmtId="0" xfId="0" applyAlignment="1" applyBorder="1" applyFont="1">
      <alignment shrinkToFit="0" vertical="top" wrapText="0"/>
    </xf>
    <xf borderId="0" fillId="0" fontId="15" numFmtId="0" xfId="0" applyAlignment="1" applyFont="1">
      <alignment vertical="bottom"/>
    </xf>
    <xf borderId="7" fillId="7" fontId="14" numFmtId="0" xfId="0" applyAlignment="1" applyBorder="1" applyFont="1">
      <alignment shrinkToFit="0" vertical="top" wrapText="0"/>
    </xf>
    <xf borderId="0" fillId="0" fontId="5" numFmtId="14" xfId="0" applyAlignment="1" applyFont="1" applyNumberFormat="1">
      <alignment horizontal="right" vertical="bottom"/>
    </xf>
    <xf borderId="5" fillId="8" fontId="16" numFmtId="0" xfId="0" applyAlignment="1" applyBorder="1" applyFill="1" applyFont="1">
      <alignment horizontal="right" readingOrder="0" shrinkToFit="0" vertical="top" wrapText="0"/>
    </xf>
    <xf borderId="5" fillId="8" fontId="17" numFmtId="0" xfId="0" applyAlignment="1" applyBorder="1" applyFont="1">
      <alignment horizontal="right" readingOrder="0" shrinkToFit="0" vertical="top" wrapText="0"/>
    </xf>
    <xf borderId="5" fillId="7" fontId="17" numFmtId="0" xfId="0" applyAlignment="1" applyBorder="1" applyFont="1">
      <alignment horizontal="right" readingOrder="0" shrinkToFit="0" vertical="top" wrapText="0"/>
    </xf>
    <xf borderId="6" fillId="7" fontId="18" numFmtId="0" xfId="0" applyAlignment="1" applyBorder="1" applyFont="1">
      <alignment horizontal="right" vertical="top"/>
    </xf>
    <xf borderId="5" fillId="8" fontId="16" numFmtId="0" xfId="0" applyAlignment="1" applyBorder="1" applyFont="1">
      <alignment horizontal="right" readingOrder="0" vertical="top"/>
    </xf>
    <xf borderId="6" fillId="8" fontId="17" numFmtId="0" xfId="0" applyAlignment="1" applyBorder="1" applyFont="1">
      <alignment horizontal="right" vertical="top"/>
    </xf>
    <xf borderId="6" fillId="8" fontId="17" numFmtId="0" xfId="0" applyAlignment="1" applyBorder="1" applyFont="1">
      <alignment horizontal="right" vertical="top"/>
    </xf>
    <xf borderId="8" fillId="7" fontId="17" numFmtId="0" xfId="0" applyAlignment="1" applyBorder="1" applyFont="1">
      <alignment horizontal="right" vertical="top"/>
    </xf>
    <xf borderId="8" fillId="8" fontId="17" numFmtId="0" xfId="0" applyAlignment="1" applyBorder="1" applyFont="1">
      <alignment horizontal="right" vertical="top"/>
    </xf>
    <xf borderId="0" fillId="6" fontId="19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8" fontId="17" numFmtId="4" xfId="0" applyAlignment="1" applyBorder="1" applyFont="1" applyNumberFormat="1">
      <alignment horizontal="right" readingOrder="0" shrinkToFit="0" vertical="top" wrapText="0"/>
    </xf>
    <xf borderId="5" fillId="8" fontId="17" numFmtId="164" xfId="0" applyAlignment="1" applyBorder="1" applyFont="1" applyNumberFormat="1">
      <alignment horizontal="right" readingOrder="0" shrinkToFit="0" vertical="top" wrapText="0"/>
    </xf>
    <xf borderId="5" fillId="8" fontId="17" numFmtId="0" xfId="0" applyAlignment="1" applyBorder="1" applyFont="1">
      <alignment horizontal="right" shrinkToFit="0" vertical="top" wrapText="0"/>
    </xf>
    <xf borderId="5" fillId="8" fontId="20" numFmtId="0" xfId="0" applyAlignment="1" applyBorder="1" applyFont="1">
      <alignment horizontal="right" readingOrder="0" shrinkToFit="0" vertical="top" wrapText="0"/>
    </xf>
    <xf borderId="5" fillId="7" fontId="17" numFmtId="164" xfId="0" applyAlignment="1" applyBorder="1" applyFont="1" applyNumberFormat="1">
      <alignment horizontal="right" readingOrder="0" shrinkToFit="0" vertical="top" wrapText="0"/>
    </xf>
    <xf borderId="5" fillId="7" fontId="17" numFmtId="0" xfId="0" applyAlignment="1" applyBorder="1" applyFont="1">
      <alignment horizontal="right" shrinkToFit="0" vertical="top" wrapText="0"/>
    </xf>
    <xf borderId="5" fillId="7" fontId="20" numFmtId="0" xfId="0" applyAlignment="1" applyBorder="1" applyFont="1">
      <alignment horizontal="right" readingOrder="0" shrinkToFit="0" vertical="top" wrapText="0"/>
    </xf>
    <xf borderId="5" fillId="8" fontId="16" numFmtId="0" xfId="0" applyAlignment="1" applyBorder="1" applyFont="1">
      <alignment horizontal="right" vertical="top"/>
    </xf>
    <xf borderId="9" fillId="8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35.0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20</v>
      </c>
      <c r="C6" s="35" t="b">
        <v>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21</v>
      </c>
      <c r="C7" s="37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4" t="s">
        <v>25</v>
      </c>
      <c r="C6" s="36" t="s">
        <v>26</v>
      </c>
      <c r="D6" s="39">
        <v>100.0</v>
      </c>
      <c r="E6" s="40">
        <v>100.0</v>
      </c>
      <c r="F6" s="41"/>
      <c r="G6" s="42" t="s">
        <v>27</v>
      </c>
      <c r="H6" s="41"/>
      <c r="I6" s="41"/>
      <c r="J6" s="40">
        <v>2.0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 t="s">
        <v>28</v>
      </c>
      <c r="AP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6" t="s">
        <v>29</v>
      </c>
      <c r="C7" s="36" t="s">
        <v>26</v>
      </c>
      <c r="D7" s="40">
        <v>100.0</v>
      </c>
      <c r="E7" s="40">
        <v>100.0</v>
      </c>
      <c r="F7" s="41"/>
      <c r="G7" s="42" t="s">
        <v>27</v>
      </c>
      <c r="H7" s="41"/>
      <c r="I7" s="41"/>
      <c r="J7" s="40">
        <v>2.0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 t="s">
        <v>28</v>
      </c>
      <c r="AP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41"/>
      <c r="D6" s="34" t="s">
        <v>25</v>
      </c>
      <c r="E6" s="41"/>
      <c r="F6" s="36" t="s">
        <v>26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41"/>
      <c r="D6" s="38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 t="s">
        <v>25</v>
      </c>
      <c r="AK6" s="41" t="s">
        <v>26</v>
      </c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25</v>
      </c>
      <c r="D6" s="38"/>
      <c r="E6" s="41"/>
      <c r="F6" s="41"/>
      <c r="G6" s="41"/>
      <c r="H6" s="41"/>
      <c r="I6" s="41"/>
      <c r="J6" s="41"/>
      <c r="K6" s="41"/>
      <c r="L6" s="41"/>
      <c r="M6" s="41"/>
      <c r="N6" s="41"/>
      <c r="O6" s="42" t="s">
        <v>26</v>
      </c>
      <c r="P6" s="41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41"/>
      <c r="D6" s="39">
        <v>50.0</v>
      </c>
      <c r="E6" s="41"/>
      <c r="F6" s="41"/>
      <c r="G6" s="41"/>
      <c r="H6" s="41"/>
      <c r="I6" s="41"/>
      <c r="J6" s="42">
        <v>2.0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 t="s">
        <v>28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6" t="s">
        <v>25</v>
      </c>
      <c r="D6" s="38"/>
      <c r="E6" s="41"/>
      <c r="F6" s="41"/>
      <c r="G6" s="41"/>
      <c r="H6" s="41"/>
      <c r="I6" s="41"/>
      <c r="J6" s="41"/>
      <c r="K6" s="41"/>
      <c r="L6" s="41"/>
      <c r="M6" s="41"/>
      <c r="N6" s="41"/>
      <c r="O6" s="42" t="s">
        <v>26</v>
      </c>
      <c r="P6" s="41" t="s">
        <v>37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43" t="s">
        <v>16</v>
      </c>
      <c r="C6" s="44" t="s">
        <v>39</v>
      </c>
      <c r="D6" s="45" t="s">
        <v>40</v>
      </c>
      <c r="E6" s="44" t="s">
        <v>41</v>
      </c>
      <c r="F6" s="44" t="s">
        <v>42</v>
      </c>
      <c r="G6" s="46"/>
      <c r="H6" s="47"/>
      <c r="I6" s="48"/>
      <c r="J6" s="49" t="s">
        <v>43</v>
      </c>
      <c r="K6" s="50" t="s">
        <v>44</v>
      </c>
      <c r="L6" s="44" t="s">
        <v>25</v>
      </c>
      <c r="M6" s="44" t="b">
        <v>0</v>
      </c>
      <c r="N6" s="44" t="s">
        <v>42</v>
      </c>
      <c r="O6" s="48"/>
      <c r="P6" s="51" t="s">
        <v>45</v>
      </c>
      <c r="Q6" s="46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>
        <f t="shared" ref="B6:C6" si="1">today()</f>
        <v>45489</v>
      </c>
      <c r="C6" s="52">
        <f t="shared" si="1"/>
        <v>45489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26.0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53" t="s">
        <v>25</v>
      </c>
      <c r="D6" s="54" t="s">
        <v>26</v>
      </c>
      <c r="E6" s="54" t="s">
        <v>49</v>
      </c>
      <c r="F6" s="54" t="s">
        <v>50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53" t="s">
        <v>25</v>
      </c>
      <c r="D7" s="55" t="s">
        <v>26</v>
      </c>
      <c r="E7" s="55" t="s">
        <v>49</v>
      </c>
      <c r="F7" s="55" t="s">
        <v>51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53" t="s">
        <v>25</v>
      </c>
      <c r="D8" s="54" t="s">
        <v>26</v>
      </c>
      <c r="E8" s="54" t="s">
        <v>49</v>
      </c>
      <c r="F8" s="54" t="s">
        <v>52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53" t="s">
        <v>25</v>
      </c>
      <c r="D9" s="55" t="s">
        <v>26</v>
      </c>
      <c r="E9" s="55" t="s">
        <v>49</v>
      </c>
      <c r="F9" s="55" t="s">
        <v>53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64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IFERROR(__xludf.DUMMYFUNCTION("""COMPUTED_VALUE"""),"Path")</f>
        <v>Path</v>
      </c>
      <c r="C5" s="27" t="str">
        <f>IFERROR(__xludf.DUMMYFUNCTION("""COMPUTED_VALUE"""),"Subject")</f>
        <v>Subject</v>
      </c>
      <c r="D5" s="27" t="str">
        <f>IFERROR(__xludf.DUMMYFUNCTION("""COMPUTED_VALUE"""),"From")</f>
        <v>From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55</v>
      </c>
      <c r="C6" s="36" t="s">
        <v>56</v>
      </c>
      <c r="D6" s="34" t="s">
        <v>57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GetEmail!$4:$4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59</v>
      </c>
      <c r="C6" s="36" t="s">
        <v>60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6" t="s">
        <v>62</v>
      </c>
      <c r="D6" s="34" t="s">
        <v>59</v>
      </c>
      <c r="E6" s="36" t="s">
        <v>29</v>
      </c>
      <c r="F6" s="36" t="s">
        <v>26</v>
      </c>
      <c r="G6" s="41"/>
      <c r="H6" s="40">
        <v>100.0</v>
      </c>
      <c r="I6" s="36" t="s">
        <v>27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4" t="s">
        <v>63</v>
      </c>
      <c r="C6" s="36" t="s">
        <v>64</v>
      </c>
      <c r="D6" s="34" t="s">
        <v>59</v>
      </c>
      <c r="E6" s="36" t="s">
        <v>29</v>
      </c>
      <c r="F6" s="36" t="s">
        <v>26</v>
      </c>
      <c r="G6" s="41"/>
      <c r="H6" s="40">
        <v>100.0</v>
      </c>
      <c r="I6" s="36" t="s">
        <v>27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6" t="s">
        <v>29</v>
      </c>
      <c r="D6" s="38"/>
      <c r="E6" s="41"/>
      <c r="F6" s="41"/>
      <c r="G6" s="41"/>
      <c r="H6" s="41"/>
      <c r="I6" s="41"/>
      <c r="J6" s="41"/>
      <c r="K6" s="41"/>
      <c r="L6" s="41"/>
      <c r="M6" s="41"/>
      <c r="N6" s="41"/>
      <c r="O6" s="36" t="s">
        <v>26</v>
      </c>
      <c r="P6" s="41" t="s">
        <v>35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6" t="s">
        <v>29</v>
      </c>
      <c r="D6" s="38"/>
      <c r="E6" s="41"/>
      <c r="F6" s="41"/>
      <c r="G6" s="41"/>
      <c r="H6" s="41"/>
      <c r="I6" s="41"/>
      <c r="J6" s="41"/>
      <c r="K6" s="41"/>
      <c r="L6" s="41"/>
      <c r="M6" s="41"/>
      <c r="N6" s="41"/>
      <c r="O6" s="36" t="s">
        <v>26</v>
      </c>
      <c r="P6" s="41" t="s">
        <v>37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43" t="s">
        <v>16</v>
      </c>
      <c r="C6" s="44" t="s">
        <v>39</v>
      </c>
      <c r="D6" s="45" t="s">
        <v>40</v>
      </c>
      <c r="E6" s="44" t="s">
        <v>41</v>
      </c>
      <c r="F6" s="44" t="s">
        <v>42</v>
      </c>
      <c r="G6" s="46"/>
      <c r="H6" s="47"/>
      <c r="I6" s="48"/>
      <c r="J6" s="49" t="s">
        <v>43</v>
      </c>
      <c r="K6" s="50" t="s">
        <v>44</v>
      </c>
      <c r="L6" s="56" t="s">
        <v>29</v>
      </c>
      <c r="M6" s="44" t="b">
        <v>0</v>
      </c>
      <c r="N6" s="44" t="s">
        <v>42</v>
      </c>
      <c r="O6" s="48"/>
      <c r="P6" s="51" t="s">
        <v>45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57" t="s">
        <v>29</v>
      </c>
      <c r="D6" s="58" t="s">
        <v>26</v>
      </c>
      <c r="E6" s="59" t="s">
        <v>49</v>
      </c>
      <c r="F6" s="59" t="s">
        <v>50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57" t="s">
        <v>29</v>
      </c>
      <c r="D7" s="60" t="s">
        <v>26</v>
      </c>
      <c r="E7" s="60" t="s">
        <v>49</v>
      </c>
      <c r="F7" s="60" t="s">
        <v>51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57" t="s">
        <v>29</v>
      </c>
      <c r="D8" s="61" t="s">
        <v>26</v>
      </c>
      <c r="E8" s="61" t="s">
        <v>49</v>
      </c>
      <c r="F8" s="61" t="s">
        <v>52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57" t="s">
        <v>29</v>
      </c>
      <c r="D9" s="60" t="s">
        <v>26</v>
      </c>
      <c r="E9" s="60" t="s">
        <v>49</v>
      </c>
      <c r="F9" s="60" t="s">
        <v>53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62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IFERROR(__xludf.DUMMYFUNCTION("""COMPUTED_VALUE"""),"Path")</f>
        <v>Path</v>
      </c>
      <c r="C5" s="27" t="str">
        <f>IFERROR(__xludf.DUMMYFUNCTION("""COMPUTED_VALUE"""),"Subject")</f>
        <v>Subject</v>
      </c>
      <c r="D5" s="27" t="str">
        <f>IFERROR(__xludf.DUMMYFUNCTION("""COMPUTED_VALUE"""),"From")</f>
        <v>From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62" t="s">
        <v>65</v>
      </c>
      <c r="C6" s="36" t="s">
        <v>56</v>
      </c>
      <c r="D6" s="34" t="s">
        <v>57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GetEmail1!$4:$4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6" t="s">
        <v>67</v>
      </c>
      <c r="C6" s="36" t="s">
        <v>26</v>
      </c>
      <c r="D6" s="40">
        <v>100.0</v>
      </c>
      <c r="E6" s="40">
        <v>100.0</v>
      </c>
      <c r="F6" s="41"/>
      <c r="G6" s="41"/>
      <c r="H6" s="41"/>
      <c r="I6" s="41"/>
      <c r="J6" s="40">
        <v>2.0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67</v>
      </c>
      <c r="E6" s="33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67</v>
      </c>
      <c r="AJ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3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67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6" t="s">
        <v>62</v>
      </c>
      <c r="D6" s="34" t="s">
        <v>59</v>
      </c>
      <c r="E6" s="63" t="s">
        <v>67</v>
      </c>
      <c r="F6" s="36" t="s">
        <v>26</v>
      </c>
      <c r="G6" s="41"/>
      <c r="H6" s="40"/>
      <c r="I6" s="36" t="s">
        <v>27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4" t="s">
        <v>63</v>
      </c>
      <c r="C6" s="36" t="s">
        <v>64</v>
      </c>
      <c r="D6" s="34" t="s">
        <v>59</v>
      </c>
      <c r="E6" s="63" t="s">
        <v>67</v>
      </c>
      <c r="F6" s="36" t="s">
        <v>26</v>
      </c>
      <c r="G6" s="41"/>
      <c r="H6" s="40"/>
      <c r="I6" s="36" t="s">
        <v>27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67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ApproveorRejectpendingapproval5!$4:$4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34.38"/>
    <col customWidth="1" min="11" max="11" width="35.13"/>
    <col customWidth="1" min="12" max="14" width="12.63"/>
    <col customWidth="1" min="15" max="15" width="19.25"/>
    <col customWidth="1" min="16" max="16" width="25.63"/>
    <col customWidth="1" min="17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4"/>
      <c r="B6" s="54" t="s">
        <v>16</v>
      </c>
      <c r="C6" s="54" t="s">
        <v>70</v>
      </c>
      <c r="D6" s="64" t="s">
        <v>40</v>
      </c>
      <c r="E6" s="54" t="s">
        <v>41</v>
      </c>
      <c r="F6" s="54" t="s">
        <v>42</v>
      </c>
      <c r="G6" s="54"/>
      <c r="H6" s="65"/>
      <c r="I6" s="54"/>
      <c r="J6" s="54" t="s">
        <v>71</v>
      </c>
      <c r="K6" s="53" t="s">
        <v>44</v>
      </c>
      <c r="L6" s="54" t="s">
        <v>67</v>
      </c>
      <c r="M6" s="54" t="b">
        <v>0</v>
      </c>
      <c r="N6" s="54" t="s">
        <v>72</v>
      </c>
      <c r="O6" s="66"/>
      <c r="P6" s="54" t="s">
        <v>45</v>
      </c>
      <c r="Q6" s="67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55"/>
      <c r="B7" s="55" t="s">
        <v>16</v>
      </c>
      <c r="C7" s="55" t="s">
        <v>70</v>
      </c>
      <c r="D7" s="55" t="s">
        <v>40</v>
      </c>
      <c r="E7" s="55" t="s">
        <v>41</v>
      </c>
      <c r="F7" s="55" t="s">
        <v>42</v>
      </c>
      <c r="G7" s="55"/>
      <c r="H7" s="68"/>
      <c r="I7" s="55"/>
      <c r="J7" s="55" t="s">
        <v>43</v>
      </c>
      <c r="K7" s="53" t="s">
        <v>44</v>
      </c>
      <c r="L7" s="55" t="s">
        <v>67</v>
      </c>
      <c r="M7" s="55" t="b">
        <v>0</v>
      </c>
      <c r="N7" s="55" t="s">
        <v>42</v>
      </c>
      <c r="O7" s="69"/>
      <c r="P7" s="55" t="s">
        <v>45</v>
      </c>
      <c r="Q7" s="7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26.0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71" t="s">
        <v>67</v>
      </c>
      <c r="D6" s="58" t="s">
        <v>26</v>
      </c>
      <c r="E6" s="59" t="s">
        <v>49</v>
      </c>
      <c r="F6" s="59" t="s">
        <v>50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72" t="s">
        <v>67</v>
      </c>
      <c r="D7" s="60" t="s">
        <v>26</v>
      </c>
      <c r="E7" s="60" t="s">
        <v>49</v>
      </c>
      <c r="F7" s="60" t="s">
        <v>51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72" t="s">
        <v>67</v>
      </c>
      <c r="D8" s="61" t="s">
        <v>26</v>
      </c>
      <c r="E8" s="61" t="s">
        <v>49</v>
      </c>
      <c r="F8" s="61" t="s">
        <v>52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72" t="s">
        <v>67</v>
      </c>
      <c r="D9" s="60" t="s">
        <v>26</v>
      </c>
      <c r="E9" s="60" t="s">
        <v>49</v>
      </c>
      <c r="F9" s="60" t="s">
        <v>53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62" t="s">
        <v>74</v>
      </c>
      <c r="C6" s="36" t="s">
        <v>56</v>
      </c>
      <c r="D6" s="34" t="s">
        <v>57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GetEmail2!$4:$4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