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SetMFPrefFundDefaultRule" sheetId="12" r:id="rId14"/>
    <sheet state="visible" name="SetMFPrefAccountValues1" sheetId="13" r:id="rId15"/>
    <sheet state="visible" name="SetMFPrefFundDefaultRule1" sheetId="14" r:id="rId16"/>
    <sheet state="visible" name="CreateDoneAwayOrder1" sheetId="15" r:id="rId17"/>
    <sheet state="visible" name="SelectUnallocatedGroup" sheetId="16" r:id="rId18"/>
    <sheet state="visible" name="CheckAllocatedTaxlots" sheetId="17" r:id="rId19"/>
    <sheet state="visible" name="EnterAllocatePreference" sheetId="18" r:id="rId20"/>
  </sheets>
  <definedNames/>
  <calcPr/>
</workbook>
</file>

<file path=xl/sharedStrings.xml><?xml version="1.0" encoding="utf-8"?>
<sst xmlns="http://schemas.openxmlformats.org/spreadsheetml/2006/main" count="173" uniqueCount="47">
  <si>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</si>
  <si>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</si>
  <si>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</si>
  <si>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</si>
  <si>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</si>
  <si>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</si>
  <si>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</si>
  <si>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</si>
  <si>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</si>
  <si>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</si>
  <si>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</si>
  <si>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</si>
  <si>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</si>
  <si>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</si>
  <si>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</si>
  <si>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</si>
  <si>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</si>
  <si>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</si>
  <si>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</si>
  <si>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</si>
  <si>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</si>
  <si>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</si>
  <si>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</si>
  <si>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</si>
  <si>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</si>
  <si>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UpdateDailyCash</t>
  </si>
  <si>
    <t>USD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</si>
  <si>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</si>
  <si>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</si>
  <si>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</si>
  <si>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</si>
  <si>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</si>
  <si>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</si>
  <si>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</si>
  <si>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SetMFPrefAccountValues</t>
  </si>
  <si>
    <t>NewMF</t>
  </si>
  <si>
    <t>SetMFPrefFundDefaultRule</t>
  </si>
  <si>
    <t>Trade Quantity</t>
  </si>
  <si>
    <t>Prorata</t>
  </si>
  <si>
    <t>Allocation1,Allocation3</t>
  </si>
  <si>
    <t>NewMF1</t>
  </si>
  <si>
    <t>Allocation2,Allocation4</t>
  </si>
  <si>
    <t>Unallocated</t>
  </si>
  <si>
    <t>SelectUnallocatedGroup</t>
  </si>
  <si>
    <t>CheckAllocatedTaxlots</t>
  </si>
  <si>
    <t>M</t>
  </si>
  <si>
    <t>EnterAllocatePreference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</si>
</sst>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4" fontId="1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 t="shared" ref="N6:N9" si="1">TODAY()-1</f>
        <v>45069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800.0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5">
        <f t="shared" si="1"/>
        <v>45069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600.0</v>
      </c>
      <c r="E8" s="32"/>
      <c r="F8" s="32" t="s">
        <v>20</v>
      </c>
      <c r="G8" s="32"/>
      <c r="H8" s="32"/>
      <c r="I8" s="32"/>
      <c r="J8" s="34">
        <v>1.0</v>
      </c>
      <c r="K8" s="32"/>
      <c r="L8" s="32"/>
      <c r="M8" s="32"/>
      <c r="N8" s="35">
        <f t="shared" si="1"/>
        <v>45069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4">
        <v>1400.0</v>
      </c>
      <c r="E9" s="32"/>
      <c r="F9" s="32" t="s">
        <v>21</v>
      </c>
      <c r="G9" s="32"/>
      <c r="H9" s="32"/>
      <c r="I9" s="32"/>
      <c r="J9" s="34">
        <v>1.0</v>
      </c>
      <c r="K9" s="32"/>
      <c r="L9" s="32"/>
      <c r="M9" s="32"/>
      <c r="N9" s="35">
        <f t="shared" si="1"/>
        <v>45069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45069</v>
      </c>
      <c r="C6" s="35">
        <f>TODAY()</f>
        <v>45070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26</v>
      </c>
      <c r="D6" s="33">
        <v>9600.0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26</v>
      </c>
      <c r="D7" s="34">
        <v>14200.0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26</v>
      </c>
      <c r="D8" s="34">
        <v>7400.0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26</v>
      </c>
      <c r="D9" s="36">
        <v>10600.0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8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32</v>
      </c>
      <c r="D6" s="39" t="s">
        <v>33</v>
      </c>
      <c r="E6" s="32"/>
      <c r="F6" s="32" t="s">
        <v>30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35</v>
      </c>
      <c r="D6" s="31" t="s">
        <v>18</v>
      </c>
      <c r="E6" s="34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35</v>
      </c>
      <c r="D7" s="32" t="s">
        <v>19</v>
      </c>
      <c r="E7" s="34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30</v>
      </c>
      <c r="C6" s="13" t="s">
        <v>35</v>
      </c>
      <c r="D6" s="40" t="s">
        <v>37</v>
      </c>
      <c r="E6" s="41"/>
      <c r="F6" s="40" t="s">
        <v>38</v>
      </c>
      <c r="G6" s="13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40</v>
      </c>
      <c r="D6" s="31" t="s">
        <v>20</v>
      </c>
      <c r="E6" s="34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40</v>
      </c>
      <c r="D7" s="32" t="s">
        <v>21</v>
      </c>
      <c r="E7" s="34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30</v>
      </c>
      <c r="C6" s="42" t="s">
        <v>40</v>
      </c>
      <c r="D6" s="40" t="s">
        <v>37</v>
      </c>
      <c r="E6" s="41"/>
      <c r="F6" s="40" t="s">
        <v>38</v>
      </c>
      <c r="G6" s="13" t="s">
        <v>41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125.0</v>
      </c>
      <c r="E6" s="32"/>
      <c r="F6" s="32" t="s">
        <v>42</v>
      </c>
      <c r="G6" s="32"/>
      <c r="H6" s="32"/>
      <c r="I6" s="32"/>
      <c r="J6" s="34">
        <v>11.0</v>
      </c>
      <c r="K6" s="32"/>
      <c r="L6" s="32"/>
      <c r="M6" s="32"/>
      <c r="N6" s="35">
        <f>TODAY()</f>
        <v>45070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922.2965312</v>
      </c>
      <c r="C6" s="43">
        <v>922.2965312</v>
      </c>
      <c r="D6" s="43">
        <v>913.0</v>
      </c>
      <c r="E6" s="43">
        <v>913.0</v>
      </c>
      <c r="F6" s="44" t="s">
        <v>45</v>
      </c>
      <c r="G6" s="8"/>
      <c r="H6" s="8"/>
      <c r="I6" s="8"/>
      <c r="J6" s="8"/>
      <c r="K6" s="8"/>
      <c r="L6" s="8"/>
      <c r="M6" s="8"/>
      <c r="N6" s="8"/>
      <c r="O6" s="13" t="s">
        <v>19</v>
      </c>
      <c r="R6" s="9">
        <v>83.0</v>
      </c>
    </row>
    <row r="7" ht="15.75" customHeight="1">
      <c r="A7" s="8"/>
      <c r="B7" s="43">
        <v>466.7042688</v>
      </c>
      <c r="C7" s="43">
        <v>466.7042688</v>
      </c>
      <c r="D7" s="43">
        <v>462.0</v>
      </c>
      <c r="E7" s="43">
        <v>462.0</v>
      </c>
      <c r="F7" s="44" t="s">
        <v>45</v>
      </c>
      <c r="G7" s="8"/>
      <c r="H7" s="8"/>
      <c r="I7" s="8"/>
      <c r="J7" s="8"/>
      <c r="K7" s="8"/>
      <c r="L7" s="8"/>
      <c r="M7" s="8"/>
      <c r="N7" s="8"/>
      <c r="O7" s="13" t="s">
        <v>18</v>
      </c>
      <c r="R7" s="9">
        <v>42.0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