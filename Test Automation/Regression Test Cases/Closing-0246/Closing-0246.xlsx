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<sst xmlns="http://schemas.openxmlformats.org/spreadsheetml/2006/main" count="463" uniqueCount="70">
  <si>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</si>
  <si>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</si>
  <si>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</si>
  <si>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</si>
  <si>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</si>
  <si>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</si>
  <si>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</si>
  <si>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</si>
  <si>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</si>
  <si>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</si>
  <si>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</si>
  <si>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</si>
  <si>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</si>
  <si>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</si>
  <si>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</si>
  <si>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</si>
  <si>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</si>
  <si>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</si>
  <si>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</si>
  <si>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</si>
  <si>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</si>
  <si>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</si>
  <si>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</si>
  <si>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</si>
  <si>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</si>
  <si>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</si>
  <si>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</si>
  <si>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</si>
  <si>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</si>
  <si>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</si>
  <si>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</si>
  <si>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</si>
  <si>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</si>
  <si>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</si>
  <si>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</si>
  <si>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</si>
  <si>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</si>
  <si>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</si>
  <si>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</si>
  <si>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</si>
  <si>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</si>
  <si>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</si>
  <si>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</si>
  <si>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</si>
  <si>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BrokerNotes</t>
  </si>
  <si>
    <t>OPTS</t>
  </si>
  <si>
    <t>M</t>
  </si>
  <si>
    <t>Market</t>
  </si>
  <si>
    <t>GCCAP1</t>
  </si>
  <si>
    <t>SelltoOpen</t>
  </si>
  <si>
    <t>US</t>
  </si>
  <si>
    <t>jpearce</t>
  </si>
  <si>
    <t>Equity</t>
  </si>
  <si>
    <t>NASDAQ</t>
  </si>
  <si>
    <t>D</t>
  </si>
  <si>
    <t>Assignment</t>
  </si>
  <si>
    <t>Buy to Close</t>
  </si>
  <si>
    <t>CheckAllocatedTaxlots</t>
  </si>
  <si>
    <t>PortfolioManagement</t>
  </si>
  <si>
    <t>CheckPortfolioManagement</t>
  </si>
  <si>
    <t>NewMF</t>
  </si>
  <si>
    <t>Long</t>
  </si>
  <si>
    <t>APPLE</t>
  </si>
  <si>
    <t>FIMAT</t>
  </si>
  <si>
    <t>New Hedge</t>
  </si>
  <si>
    <t>Small Cap</t>
  </si>
  <si>
    <t>AAPL US EQUITY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</si>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</sst>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TODAY()-11</f>
        <v>45031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t="shared" ref="C7:C8" si="1">TODAY()-10</f>
        <v>45032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17</v>
      </c>
      <c r="C8" s="31">
        <f t="shared" si="1"/>
        <v>45032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20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31">
        <f t="shared" ref="N6:N7" si="1">TODAY()-25</f>
        <v>45017</v>
      </c>
      <c r="O6" s="8"/>
    </row>
    <row r="7" ht="15.75" customHeight="1">
      <c r="A7" s="8"/>
      <c r="B7" s="9" t="s">
        <v>16</v>
      </c>
      <c r="C7" s="13" t="s">
        <v>25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1">
        <f t="shared" si="1"/>
        <v>45017</v>
      </c>
      <c r="O7" s="8"/>
    </row>
    <row r="8" ht="15.75" customHeight="1">
      <c r="A8" s="8"/>
      <c r="B8" s="9" t="s">
        <v>17</v>
      </c>
      <c r="C8" s="13" t="s">
        <v>25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1">
        <f>TODAY()-24</f>
        <v>45018</v>
      </c>
      <c r="O8" s="8"/>
    </row>
    <row r="9" ht="15.75" customHeight="1">
      <c r="A9" s="8"/>
      <c r="B9" s="9" t="s">
        <v>17</v>
      </c>
      <c r="C9" s="13" t="s">
        <v>25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26</v>
      </c>
      <c r="N9" s="31">
        <f>TODAY()-23</f>
        <v>45019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45041</v>
      </c>
      <c r="C6" s="37">
        <f>TODAY()</f>
        <v>45042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31</v>
      </c>
      <c r="C6" s="39" t="s">
        <v>32</v>
      </c>
      <c r="D6" s="39">
        <f>TODAY()</f>
        <v>45042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16</v>
      </c>
    </row>
    <row r="7" ht="15.75" customHeight="1">
      <c r="A7" s="8"/>
      <c r="B7" s="34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17</v>
      </c>
    </row>
    <row r="8" ht="15.75" customHeight="1">
      <c r="A8" s="8"/>
      <c r="B8" s="34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31</v>
      </c>
      <c r="C6" s="39" t="s">
        <v>32</v>
      </c>
      <c r="D6" s="39">
        <f>TODAY()</f>
        <v>45042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8" t="s">
        <v>39</v>
      </c>
      <c r="D6" s="40"/>
      <c r="E6" s="8">
        <v>10.0</v>
      </c>
      <c r="F6" s="8" t="s">
        <v>40</v>
      </c>
      <c r="G6" s="8" t="s">
        <v>41</v>
      </c>
      <c r="H6" s="8"/>
      <c r="I6" s="8"/>
      <c r="J6" s="8"/>
      <c r="K6" s="8">
        <v>10.0</v>
      </c>
      <c r="L6" s="8">
        <v>10.0</v>
      </c>
      <c r="M6" s="8"/>
      <c r="N6" s="8" t="s">
        <v>39</v>
      </c>
      <c r="O6" s="8" t="s">
        <v>42</v>
      </c>
      <c r="W6">
        <v>100.0</v>
      </c>
      <c r="X6" t="s">
        <v>39</v>
      </c>
      <c r="Y6" t="s">
        <v>39</v>
      </c>
      <c r="Z6" t="s">
        <v>43</v>
      </c>
      <c r="AB6">
        <v>1.0</v>
      </c>
      <c r="AC6" t="s">
        <v>44</v>
      </c>
      <c r="AD6" t="s">
        <v>45</v>
      </c>
      <c r="AE6">
        <v>10.0</v>
      </c>
      <c r="AF6" t="s">
        <v>39</v>
      </c>
      <c r="AH6" t="s">
        <v>46</v>
      </c>
      <c r="AI6">
        <v>1.0</v>
      </c>
      <c r="AT6">
        <v>10000.0</v>
      </c>
      <c r="AU6">
        <v>10000.0</v>
      </c>
      <c r="AY6" t="s">
        <v>47</v>
      </c>
      <c r="BE6">
        <v>10000.0</v>
      </c>
      <c r="BF6">
        <v>10000.0</v>
      </c>
      <c r="BJ6">
        <v>10.0</v>
      </c>
      <c r="BM6" t="s">
        <v>43</v>
      </c>
      <c r="BO6" t="s">
        <v>25</v>
      </c>
      <c r="BT6" t="s">
        <v>16</v>
      </c>
      <c r="CF6" t="s">
        <v>48</v>
      </c>
      <c r="CI6" t="s">
        <v>49</v>
      </c>
      <c r="CK6" t="s">
        <v>50</v>
      </c>
      <c r="CL6">
        <v>1.0</v>
      </c>
      <c r="CM6" t="s">
        <v>23</v>
      </c>
      <c r="CN6" t="s">
        <v>51</v>
      </c>
    </row>
    <row r="7" ht="15.75" customHeight="1">
      <c r="A7" s="8"/>
      <c r="B7" s="8" t="s">
        <v>34</v>
      </c>
      <c r="C7" s="8" t="s">
        <v>39</v>
      </c>
      <c r="D7" s="8"/>
      <c r="E7" s="8">
        <v>1000.0</v>
      </c>
      <c r="F7" s="8" t="s">
        <v>40</v>
      </c>
      <c r="G7" s="8" t="s">
        <v>52</v>
      </c>
      <c r="H7" s="8"/>
      <c r="I7" s="8"/>
      <c r="J7" s="8"/>
      <c r="K7" s="8">
        <v>60.0</v>
      </c>
      <c r="L7" s="8">
        <v>60.0</v>
      </c>
      <c r="M7" s="8"/>
      <c r="N7" s="8" t="s">
        <v>39</v>
      </c>
      <c r="O7" s="8" t="s">
        <v>42</v>
      </c>
      <c r="W7">
        <v>1.0</v>
      </c>
      <c r="X7" t="s">
        <v>39</v>
      </c>
      <c r="Y7" t="s">
        <v>39</v>
      </c>
      <c r="Z7" t="s">
        <v>43</v>
      </c>
      <c r="AB7">
        <v>1.0</v>
      </c>
      <c r="AD7" t="s">
        <v>53</v>
      </c>
      <c r="AE7">
        <v>1000.0</v>
      </c>
      <c r="AF7" t="s">
        <v>39</v>
      </c>
      <c r="AH7" t="s">
        <v>54</v>
      </c>
      <c r="AI7">
        <v>1.0</v>
      </c>
      <c r="AT7">
        <v>50000.0</v>
      </c>
      <c r="AU7">
        <v>50000.0</v>
      </c>
      <c r="BE7">
        <v>60000.0</v>
      </c>
      <c r="BF7">
        <v>60000.0</v>
      </c>
      <c r="BJ7">
        <v>1000.0</v>
      </c>
      <c r="BM7" t="s">
        <v>43</v>
      </c>
      <c r="BO7" t="s">
        <v>24</v>
      </c>
      <c r="BT7" t="s">
        <v>23</v>
      </c>
      <c r="CF7" t="s">
        <v>48</v>
      </c>
      <c r="CI7" t="s">
        <v>55</v>
      </c>
      <c r="CK7" t="s">
        <v>50</v>
      </c>
      <c r="CL7">
        <v>1.0</v>
      </c>
      <c r="CM7" t="s">
        <v>23</v>
      </c>
      <c r="CN7" t="s">
        <v>51</v>
      </c>
    </row>
    <row r="8" ht="15.75" customHeight="1">
      <c r="A8" s="8"/>
      <c r="B8" s="8" t="s">
        <v>34</v>
      </c>
      <c r="C8" s="8" t="s">
        <v>39</v>
      </c>
      <c r="D8" s="8"/>
      <c r="E8" s="8">
        <v>1000.0</v>
      </c>
      <c r="F8" s="8" t="s">
        <v>40</v>
      </c>
      <c r="G8" s="8" t="s">
        <v>52</v>
      </c>
      <c r="H8" s="8"/>
      <c r="I8" s="8"/>
      <c r="J8" s="8"/>
      <c r="K8" s="8">
        <v>60.0</v>
      </c>
      <c r="L8" s="8">
        <v>60.0</v>
      </c>
      <c r="M8" s="8"/>
      <c r="N8" s="8" t="s">
        <v>39</v>
      </c>
      <c r="O8" s="8" t="s">
        <v>42</v>
      </c>
      <c r="W8">
        <v>1.0</v>
      </c>
      <c r="X8" t="s">
        <v>39</v>
      </c>
      <c r="Y8" t="s">
        <v>39</v>
      </c>
      <c r="Z8" t="s">
        <v>43</v>
      </c>
      <c r="AB8">
        <v>1.0</v>
      </c>
      <c r="AD8" t="s">
        <v>53</v>
      </c>
      <c r="AE8">
        <v>1000.0</v>
      </c>
      <c r="AF8" t="s">
        <v>39</v>
      </c>
      <c r="AH8" t="s">
        <v>54</v>
      </c>
      <c r="AI8">
        <v>1.0</v>
      </c>
      <c r="AT8">
        <v>50000.0</v>
      </c>
      <c r="AU8">
        <v>50000.0</v>
      </c>
      <c r="BE8">
        <v>60000.0</v>
      </c>
      <c r="BF8">
        <v>60000.0</v>
      </c>
      <c r="BJ8">
        <v>1000.0</v>
      </c>
      <c r="BM8" t="s">
        <v>43</v>
      </c>
      <c r="BO8" t="s">
        <v>24</v>
      </c>
      <c r="BT8" t="s">
        <v>23</v>
      </c>
      <c r="CF8" t="s">
        <v>48</v>
      </c>
      <c r="CI8" t="s">
        <v>55</v>
      </c>
      <c r="CK8" t="s">
        <v>50</v>
      </c>
      <c r="CL8">
        <v>1.0</v>
      </c>
      <c r="CM8" t="s">
        <v>23</v>
      </c>
      <c r="CN8" t="s">
        <v>51</v>
      </c>
    </row>
    <row r="9" ht="15.75" customHeight="1">
      <c r="A9" s="8"/>
      <c r="B9" s="8" t="s">
        <v>34</v>
      </c>
      <c r="C9" s="8" t="s">
        <v>39</v>
      </c>
      <c r="D9" s="8"/>
      <c r="E9" s="8">
        <v>1000.0</v>
      </c>
      <c r="F9" s="8" t="s">
        <v>40</v>
      </c>
      <c r="G9" s="8" t="s">
        <v>52</v>
      </c>
      <c r="H9" s="8"/>
      <c r="I9" s="8"/>
      <c r="J9" s="8"/>
      <c r="K9" s="8">
        <v>50.0</v>
      </c>
      <c r="L9" s="8">
        <v>50.0</v>
      </c>
      <c r="M9" s="8"/>
      <c r="N9" s="8" t="s">
        <v>39</v>
      </c>
      <c r="O9" s="8" t="s">
        <v>42</v>
      </c>
      <c r="W9">
        <v>1.0</v>
      </c>
      <c r="X9" t="s">
        <v>39</v>
      </c>
      <c r="Y9" t="s">
        <v>39</v>
      </c>
      <c r="Z9" t="s">
        <v>43</v>
      </c>
      <c r="AB9">
        <v>1.0</v>
      </c>
      <c r="AD9" t="s">
        <v>53</v>
      </c>
      <c r="AE9">
        <v>1000.0</v>
      </c>
      <c r="AF9" t="s">
        <v>39</v>
      </c>
      <c r="AH9" t="s">
        <v>54</v>
      </c>
      <c r="AI9">
        <v>1.0</v>
      </c>
      <c r="AT9">
        <v>40000.0</v>
      </c>
      <c r="AU9">
        <v>40000.0</v>
      </c>
      <c r="BE9">
        <v>50000.0</v>
      </c>
      <c r="BF9">
        <v>50000.0</v>
      </c>
      <c r="BJ9">
        <v>1000.0</v>
      </c>
      <c r="BM9" t="s">
        <v>43</v>
      </c>
      <c r="BO9" t="s">
        <v>24</v>
      </c>
      <c r="BT9" t="s">
        <v>23</v>
      </c>
      <c r="CF9" t="s">
        <v>48</v>
      </c>
      <c r="CI9" t="s">
        <v>55</v>
      </c>
      <c r="CK9" t="s">
        <v>50</v>
      </c>
      <c r="CL9">
        <v>1.0</v>
      </c>
      <c r="CM9" t="s">
        <v>23</v>
      </c>
      <c r="CN9" t="s">
        <v>51</v>
      </c>
    </row>
    <row r="10" ht="15.75" customHeight="1">
      <c r="A10" s="8"/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41</v>
      </c>
      <c r="H10" s="8"/>
      <c r="I10" s="8"/>
      <c r="J10" s="8"/>
      <c r="K10" s="8">
        <v>10.0</v>
      </c>
      <c r="L10" s="8">
        <v>10.0</v>
      </c>
      <c r="M10" s="8"/>
      <c r="N10" s="8" t="s">
        <v>39</v>
      </c>
      <c r="O10" s="8" t="s">
        <v>42</v>
      </c>
      <c r="W10">
        <v>100.0</v>
      </c>
      <c r="X10" t="s">
        <v>39</v>
      </c>
      <c r="Y10" t="s">
        <v>39</v>
      </c>
      <c r="Z10" t="s">
        <v>43</v>
      </c>
      <c r="AB10">
        <v>1.0</v>
      </c>
      <c r="AC10" t="s">
        <v>44</v>
      </c>
      <c r="AD10" t="s">
        <v>45</v>
      </c>
      <c r="AE10">
        <v>10.0</v>
      </c>
      <c r="AF10" t="s">
        <v>39</v>
      </c>
      <c r="AH10" t="s">
        <v>46</v>
      </c>
      <c r="AI10">
        <v>1.0</v>
      </c>
      <c r="AT10">
        <v>10000.0</v>
      </c>
      <c r="AU10">
        <v>10000.0</v>
      </c>
      <c r="AY10" t="s">
        <v>47</v>
      </c>
      <c r="BE10">
        <v>10000.0</v>
      </c>
      <c r="BF10">
        <v>10000.0</v>
      </c>
      <c r="BJ10">
        <v>10.0</v>
      </c>
      <c r="BM10" t="s">
        <v>43</v>
      </c>
      <c r="BO10" t="s">
        <v>25</v>
      </c>
      <c r="BT10" t="s">
        <v>17</v>
      </c>
      <c r="CF10" t="s">
        <v>48</v>
      </c>
      <c r="CI10" t="s">
        <v>49</v>
      </c>
      <c r="CK10" t="s">
        <v>50</v>
      </c>
      <c r="CL10">
        <v>1.0</v>
      </c>
      <c r="CM10" t="s">
        <v>23</v>
      </c>
      <c r="CN10" t="s">
        <v>51</v>
      </c>
    </row>
    <row r="11" ht="15.75" customHeight="1">
      <c r="A11" s="8"/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41</v>
      </c>
      <c r="H11" s="8"/>
      <c r="I11" s="8"/>
      <c r="J11" s="8"/>
      <c r="K11" s="8">
        <v>0.0</v>
      </c>
      <c r="L11" s="8">
        <v>0.0</v>
      </c>
      <c r="M11" s="8"/>
      <c r="N11" s="8" t="s">
        <v>39</v>
      </c>
      <c r="O11" s="8" t="s">
        <v>42</v>
      </c>
      <c r="W11">
        <v>100.0</v>
      </c>
      <c r="X11" t="s">
        <v>39</v>
      </c>
      <c r="Y11" t="s">
        <v>39</v>
      </c>
      <c r="Z11" t="s">
        <v>43</v>
      </c>
      <c r="AB11">
        <v>1.0</v>
      </c>
      <c r="AD11" t="s">
        <v>45</v>
      </c>
      <c r="AE11">
        <v>10.0</v>
      </c>
      <c r="AF11" t="s">
        <v>39</v>
      </c>
      <c r="AH11" t="s">
        <v>46</v>
      </c>
      <c r="AI11">
        <v>1.0</v>
      </c>
      <c r="AT11">
        <v>10000.0</v>
      </c>
      <c r="AU11">
        <v>10000.0</v>
      </c>
      <c r="AY11" t="s">
        <v>47</v>
      </c>
      <c r="BE11">
        <v>0.0</v>
      </c>
      <c r="BF11">
        <v>0.0</v>
      </c>
      <c r="BJ11">
        <v>10.0</v>
      </c>
      <c r="BM11" t="s">
        <v>43</v>
      </c>
      <c r="BO11" t="s">
        <v>56</v>
      </c>
      <c r="BT11" t="s">
        <v>17</v>
      </c>
      <c r="CI11" t="s">
        <v>55</v>
      </c>
      <c r="CK11" t="s">
        <v>50</v>
      </c>
      <c r="CL11">
        <v>1.0</v>
      </c>
      <c r="CM11" t="s">
        <v>23</v>
      </c>
    </row>
    <row r="12" ht="15.75" customHeight="1">
      <c r="A12" s="8"/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41</v>
      </c>
      <c r="H12" s="8"/>
      <c r="I12" s="8"/>
      <c r="J12" s="8"/>
      <c r="K12" s="8">
        <v>10.0</v>
      </c>
      <c r="L12" s="8">
        <v>10.0</v>
      </c>
      <c r="M12" s="8"/>
      <c r="N12" s="8" t="s">
        <v>39</v>
      </c>
      <c r="O12" s="8" t="s">
        <v>42</v>
      </c>
      <c r="W12">
        <v>100.0</v>
      </c>
      <c r="X12" t="s">
        <v>39</v>
      </c>
      <c r="Y12" t="s">
        <v>39</v>
      </c>
      <c r="Z12" t="s">
        <v>43</v>
      </c>
      <c r="AB12">
        <v>1.0</v>
      </c>
      <c r="AC12" t="s">
        <v>44</v>
      </c>
      <c r="AD12" t="s">
        <v>45</v>
      </c>
      <c r="AE12">
        <v>10.0</v>
      </c>
      <c r="AF12" t="s">
        <v>39</v>
      </c>
      <c r="AH12" t="s">
        <v>46</v>
      </c>
      <c r="AI12">
        <v>1.0</v>
      </c>
      <c r="AT12">
        <v>10000.0</v>
      </c>
      <c r="AU12">
        <v>10000.0</v>
      </c>
      <c r="AY12" t="s">
        <v>47</v>
      </c>
      <c r="BE12">
        <v>10000.0</v>
      </c>
      <c r="BF12">
        <v>10000.0</v>
      </c>
      <c r="BJ12">
        <v>10.0</v>
      </c>
      <c r="BM12" t="s">
        <v>43</v>
      </c>
      <c r="BO12" t="s">
        <v>25</v>
      </c>
      <c r="BT12" t="s">
        <v>17</v>
      </c>
      <c r="CF12" t="s">
        <v>48</v>
      </c>
      <c r="CI12" t="s">
        <v>49</v>
      </c>
      <c r="CK12" t="s">
        <v>50</v>
      </c>
      <c r="CL12">
        <v>1.0</v>
      </c>
      <c r="CM12" t="s">
        <v>23</v>
      </c>
      <c r="CN12" t="s">
        <v>51</v>
      </c>
    </row>
    <row r="13" ht="15.75" customHeight="1">
      <c r="A13" s="8"/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52</v>
      </c>
      <c r="H13" s="8"/>
      <c r="I13" s="8"/>
      <c r="J13" s="8"/>
      <c r="K13" s="8">
        <v>1.0</v>
      </c>
      <c r="L13" s="8">
        <v>1.0</v>
      </c>
      <c r="M13" s="8"/>
      <c r="N13" s="8" t="s">
        <v>39</v>
      </c>
      <c r="O13" s="8" t="s">
        <v>42</v>
      </c>
      <c r="W13">
        <v>1.0</v>
      </c>
      <c r="X13" t="s">
        <v>39</v>
      </c>
      <c r="Y13" t="s">
        <v>39</v>
      </c>
      <c r="Z13" t="s">
        <v>43</v>
      </c>
      <c r="AB13">
        <v>1.0</v>
      </c>
      <c r="AC13" t="s">
        <v>44</v>
      </c>
      <c r="AD13" t="s">
        <v>53</v>
      </c>
      <c r="AE13">
        <v>1000.0</v>
      </c>
      <c r="AF13" t="s">
        <v>39</v>
      </c>
      <c r="AH13" t="s">
        <v>46</v>
      </c>
      <c r="AI13">
        <v>1.0</v>
      </c>
      <c r="AT13">
        <v>1014.0006</v>
      </c>
      <c r="AU13">
        <v>1014.0006</v>
      </c>
      <c r="AY13" t="s">
        <v>47</v>
      </c>
      <c r="BE13">
        <v>1000.0</v>
      </c>
      <c r="BF13">
        <v>1000.0</v>
      </c>
      <c r="BJ13">
        <v>1000.0</v>
      </c>
      <c r="BM13" t="s">
        <v>43</v>
      </c>
      <c r="BO13" t="s">
        <v>24</v>
      </c>
      <c r="BT13" t="s">
        <v>23</v>
      </c>
      <c r="CF13" t="s">
        <v>48</v>
      </c>
      <c r="CI13" t="s">
        <v>24</v>
      </c>
      <c r="CK13" t="s">
        <v>50</v>
      </c>
      <c r="CL13">
        <v>1.0</v>
      </c>
      <c r="CM13" t="s">
        <v>23</v>
      </c>
      <c r="CN13" t="s">
        <v>51</v>
      </c>
    </row>
    <row r="14" ht="15.75" customHeight="1">
      <c r="A14" s="8"/>
      <c r="B14" s="8" t="s">
        <v>34</v>
      </c>
      <c r="C14" s="8" t="s">
        <v>39</v>
      </c>
      <c r="D14" s="8"/>
      <c r="E14" s="8">
        <v>10.0</v>
      </c>
      <c r="F14" s="8" t="s">
        <v>40</v>
      </c>
      <c r="G14" s="8" t="s">
        <v>41</v>
      </c>
      <c r="H14" s="8"/>
      <c r="I14" s="8"/>
      <c r="J14" s="8"/>
      <c r="K14" s="8">
        <v>0.0</v>
      </c>
      <c r="L14" s="8">
        <v>0.0</v>
      </c>
      <c r="M14" s="8"/>
      <c r="N14" s="8" t="s">
        <v>39</v>
      </c>
      <c r="O14" s="8" t="s">
        <v>42</v>
      </c>
      <c r="W14">
        <v>100.0</v>
      </c>
      <c r="X14" t="s">
        <v>39</v>
      </c>
      <c r="Y14" t="s">
        <v>39</v>
      </c>
      <c r="Z14" t="s">
        <v>43</v>
      </c>
      <c r="AB14">
        <v>1.0</v>
      </c>
      <c r="AD14" t="s">
        <v>45</v>
      </c>
      <c r="AE14">
        <v>10.0</v>
      </c>
      <c r="AF14" t="s">
        <v>39</v>
      </c>
      <c r="AH14" t="s">
        <v>46</v>
      </c>
      <c r="AI14">
        <v>1.0</v>
      </c>
      <c r="AT14">
        <v>10000.0</v>
      </c>
      <c r="AU14">
        <v>10000.0</v>
      </c>
      <c r="AY14" t="s">
        <v>47</v>
      </c>
      <c r="BE14">
        <v>0.0</v>
      </c>
      <c r="BF14">
        <v>0.0</v>
      </c>
      <c r="BJ14">
        <v>10.0</v>
      </c>
      <c r="BM14" t="s">
        <v>43</v>
      </c>
      <c r="BO14" t="s">
        <v>56</v>
      </c>
      <c r="BT14" t="s">
        <v>16</v>
      </c>
      <c r="CI14" t="s">
        <v>55</v>
      </c>
      <c r="CK14" t="s">
        <v>50</v>
      </c>
      <c r="CL14">
        <v>1.0</v>
      </c>
      <c r="CM14" t="s">
        <v>23</v>
      </c>
    </row>
    <row r="15" ht="15.75" customHeight="1">
      <c r="A15" s="8"/>
      <c r="B15" s="8" t="s">
        <v>34</v>
      </c>
      <c r="C15" s="8" t="s">
        <v>39</v>
      </c>
      <c r="D15" s="8"/>
      <c r="E15" s="8">
        <v>10.0</v>
      </c>
      <c r="F15" s="8" t="s">
        <v>40</v>
      </c>
      <c r="G15" s="8" t="s">
        <v>41</v>
      </c>
      <c r="H15" s="8"/>
      <c r="I15" s="8"/>
      <c r="J15" s="8"/>
      <c r="K15" s="8">
        <v>0.0</v>
      </c>
      <c r="L15" s="8">
        <v>0.0</v>
      </c>
      <c r="M15" s="8"/>
      <c r="N15" s="8" t="s">
        <v>39</v>
      </c>
      <c r="O15" s="8" t="s">
        <v>42</v>
      </c>
      <c r="W15">
        <v>100.0</v>
      </c>
      <c r="X15" t="s">
        <v>39</v>
      </c>
      <c r="Y15" t="s">
        <v>39</v>
      </c>
      <c r="Z15" t="s">
        <v>43</v>
      </c>
      <c r="AB15">
        <v>1.0</v>
      </c>
      <c r="AD15" t="s">
        <v>45</v>
      </c>
      <c r="AE15">
        <v>10.0</v>
      </c>
      <c r="AF15" t="s">
        <v>39</v>
      </c>
      <c r="AH15" t="s">
        <v>46</v>
      </c>
      <c r="AI15">
        <v>1.0</v>
      </c>
      <c r="AT15">
        <v>10000.0</v>
      </c>
      <c r="AU15">
        <v>10000.0</v>
      </c>
      <c r="AY15" t="s">
        <v>47</v>
      </c>
      <c r="BE15">
        <v>0.0</v>
      </c>
      <c r="BF15">
        <v>0.0</v>
      </c>
      <c r="BJ15">
        <v>10.0</v>
      </c>
      <c r="BM15" t="s">
        <v>43</v>
      </c>
      <c r="BO15" t="s">
        <v>56</v>
      </c>
      <c r="BT15" t="s">
        <v>17</v>
      </c>
      <c r="CI15" t="s">
        <v>55</v>
      </c>
      <c r="CK15" t="s">
        <v>50</v>
      </c>
      <c r="CL15">
        <v>1.0</v>
      </c>
      <c r="CM15" t="s">
        <v>23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10000.0</v>
      </c>
      <c r="C6" s="41">
        <v>10000.0</v>
      </c>
      <c r="D6" s="41">
        <v>10000.0</v>
      </c>
      <c r="E6" s="41">
        <v>10000.0</v>
      </c>
      <c r="F6" s="42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>
        <v>60000.0</v>
      </c>
      <c r="C7" s="41">
        <v>60000.0</v>
      </c>
      <c r="D7" s="41">
        <v>60000.0</v>
      </c>
      <c r="E7" s="41">
        <v>60000.0</v>
      </c>
      <c r="F7" s="42" t="s">
        <v>54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>
        <v>60000.0</v>
      </c>
      <c r="C8" s="41">
        <v>60000.0</v>
      </c>
      <c r="D8" s="41">
        <v>60000.0</v>
      </c>
      <c r="E8" s="41">
        <v>60000.0</v>
      </c>
      <c r="F8" s="42" t="s">
        <v>54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>
        <v>50000.0</v>
      </c>
      <c r="C9" s="41">
        <v>50000.0</v>
      </c>
      <c r="D9" s="41">
        <v>50000.0</v>
      </c>
      <c r="E9" s="41">
        <v>50000.0</v>
      </c>
      <c r="F9" s="42" t="s">
        <v>54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>
        <v>10000.0</v>
      </c>
      <c r="C10" s="41">
        <v>10000.0</v>
      </c>
      <c r="D10" s="41">
        <v>10000.0</v>
      </c>
      <c r="E10" s="41">
        <v>10000.0</v>
      </c>
      <c r="F10" s="42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0.0</v>
      </c>
      <c r="C11" s="43">
        <v>0.0</v>
      </c>
      <c r="D11" s="43">
        <v>0.0</v>
      </c>
      <c r="E11" s="43">
        <v>0.0</v>
      </c>
      <c r="F11" s="42" t="s">
        <v>46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10000.0</v>
      </c>
      <c r="C12" s="41">
        <v>10000.0</v>
      </c>
      <c r="D12" s="41">
        <v>10000.0</v>
      </c>
      <c r="E12" s="41">
        <v>10000.0</v>
      </c>
      <c r="F12" s="42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>
        <v>1014.0006</v>
      </c>
      <c r="C13" s="41">
        <v>1014.0006</v>
      </c>
      <c r="D13" s="41">
        <v>1000.0</v>
      </c>
      <c r="E13" s="41">
        <v>1000.0</v>
      </c>
      <c r="F13" s="42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0.0</v>
      </c>
      <c r="C14" s="43">
        <v>0.0</v>
      </c>
      <c r="D14" s="43">
        <v>0.0</v>
      </c>
      <c r="E14" s="43">
        <v>0.0</v>
      </c>
      <c r="F14" s="42" t="s">
        <v>46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0.0</v>
      </c>
      <c r="C15" s="43">
        <v>0.0</v>
      </c>
      <c r="D15" s="43">
        <v>0.0</v>
      </c>
      <c r="E15" s="43">
        <v>0.0</v>
      </c>
      <c r="F15" s="42" t="s">
        <v>46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23</v>
      </c>
      <c r="D6" s="40">
        <v>1000.0</v>
      </c>
      <c r="E6" s="8" t="s">
        <v>34</v>
      </c>
      <c r="F6" s="8" t="s">
        <v>60</v>
      </c>
      <c r="G6" s="8">
        <v>1.0</v>
      </c>
      <c r="H6" s="8" t="s">
        <v>61</v>
      </c>
      <c r="I6" s="8"/>
      <c r="J6" s="8"/>
      <c r="K6" s="8"/>
      <c r="L6" s="8"/>
      <c r="M6" s="8"/>
      <c r="N6" s="8">
        <v>-120000.0</v>
      </c>
      <c r="O6" s="8" t="s">
        <v>62</v>
      </c>
      <c r="P6">
        <v>120.0</v>
      </c>
      <c r="Q6">
        <v>-1000.0</v>
      </c>
      <c r="R6" t="s">
        <v>63</v>
      </c>
      <c r="T6" t="s">
        <v>52</v>
      </c>
      <c r="U6" t="s">
        <v>50</v>
      </c>
      <c r="V6" t="s">
        <v>53</v>
      </c>
      <c r="W6" t="s">
        <v>43</v>
      </c>
      <c r="X6">
        <v>1.0</v>
      </c>
      <c r="Y6">
        <v>1.0</v>
      </c>
      <c r="AK6">
        <v>-120000.0</v>
      </c>
      <c r="AL6">
        <v>1.0</v>
      </c>
      <c r="AM6">
        <v>1.0</v>
      </c>
      <c r="AN6" t="s">
        <v>24</v>
      </c>
      <c r="AP6" t="s">
        <v>61</v>
      </c>
      <c r="AQ6" t="s">
        <v>23</v>
      </c>
      <c r="AV6">
        <v>1.0</v>
      </c>
      <c r="BC6">
        <v>1.0</v>
      </c>
      <c r="BD6">
        <v>0.0</v>
      </c>
      <c r="BE6" t="s">
        <v>52</v>
      </c>
      <c r="BF6" t="s">
        <v>64</v>
      </c>
      <c r="BG6" t="s">
        <v>65</v>
      </c>
      <c r="BQ6" t="s">
        <v>51</v>
      </c>
      <c r="BR6" t="s">
        <v>42</v>
      </c>
      <c r="BU6" t="s">
        <v>52</v>
      </c>
      <c r="CO6" t="s">
        <v>23</v>
      </c>
      <c r="CP6" t="s">
        <v>66</v>
      </c>
      <c r="CS6">
        <v>1.0</v>
      </c>
      <c r="DD6">
        <v>1000.0</v>
      </c>
      <c r="DH6">
        <v>120.0</v>
      </c>
      <c r="DJ6" t="s">
        <v>24</v>
      </c>
      <c r="DK6">
        <v>120000.0</v>
      </c>
      <c r="DL6">
        <v>120000.0</v>
      </c>
      <c r="DM6">
        <v>1.0</v>
      </c>
      <c r="DP6" t="s">
        <v>61</v>
      </c>
      <c r="DZ6" t="s">
        <v>62</v>
      </c>
      <c r="ED6" t="s">
        <v>43</v>
      </c>
      <c r="EE6" t="s">
        <v>67</v>
      </c>
      <c r="EL6" t="s">
        <v>61</v>
      </c>
      <c r="EV6" t="s">
        <v>61</v>
      </c>
      <c r="FA6" t="s">
        <v>39</v>
      </c>
      <c r="FB6" t="s">
        <v>39</v>
      </c>
      <c r="FH6">
        <v>0.0</v>
      </c>
    </row>
    <row r="7" ht="15.75" customHeight="1">
      <c r="A7" s="8"/>
      <c r="B7" s="8"/>
      <c r="C7" s="8" t="s">
        <v>23</v>
      </c>
      <c r="D7" s="8">
        <v>1000.0</v>
      </c>
      <c r="E7" s="8" t="s">
        <v>34</v>
      </c>
      <c r="F7" s="8" t="s">
        <v>60</v>
      </c>
      <c r="G7" s="8">
        <v>60.0</v>
      </c>
      <c r="H7" s="8" t="s">
        <v>61</v>
      </c>
      <c r="I7" s="8"/>
      <c r="J7" s="8"/>
      <c r="K7" s="8"/>
      <c r="L7" s="8"/>
      <c r="M7" s="8"/>
      <c r="N7" s="8">
        <v>-120000.0</v>
      </c>
      <c r="O7" s="8" t="s">
        <v>62</v>
      </c>
      <c r="P7">
        <v>120.0</v>
      </c>
      <c r="Q7">
        <v>-60000.0</v>
      </c>
      <c r="R7" t="s">
        <v>63</v>
      </c>
      <c r="T7" t="s">
        <v>52</v>
      </c>
      <c r="U7" t="s">
        <v>50</v>
      </c>
      <c r="V7" t="s">
        <v>53</v>
      </c>
      <c r="W7" t="s">
        <v>43</v>
      </c>
      <c r="X7">
        <v>1.0</v>
      </c>
      <c r="Y7">
        <v>1.0</v>
      </c>
      <c r="AK7">
        <v>-120000.0</v>
      </c>
      <c r="AL7">
        <v>1.0</v>
      </c>
      <c r="AM7">
        <v>1.0</v>
      </c>
      <c r="AN7" t="s">
        <v>24</v>
      </c>
      <c r="AP7" t="s">
        <v>61</v>
      </c>
      <c r="AQ7" t="s">
        <v>23</v>
      </c>
      <c r="AV7">
        <v>1.0</v>
      </c>
      <c r="BC7">
        <v>1.0</v>
      </c>
      <c r="BD7">
        <v>0.0</v>
      </c>
      <c r="BE7" t="s">
        <v>52</v>
      </c>
      <c r="BF7" t="s">
        <v>64</v>
      </c>
      <c r="BG7" t="s">
        <v>65</v>
      </c>
      <c r="BQ7" t="s">
        <v>51</v>
      </c>
      <c r="BR7" t="s">
        <v>42</v>
      </c>
      <c r="BU7" t="s">
        <v>52</v>
      </c>
      <c r="CO7" t="s">
        <v>23</v>
      </c>
      <c r="CP7" t="s">
        <v>66</v>
      </c>
      <c r="CS7">
        <v>60.0</v>
      </c>
      <c r="DD7">
        <v>1000.0</v>
      </c>
      <c r="DH7">
        <v>120.0</v>
      </c>
      <c r="DJ7" t="s">
        <v>55</v>
      </c>
      <c r="DK7">
        <v>120000.0</v>
      </c>
      <c r="DL7">
        <v>120000.0</v>
      </c>
      <c r="DM7">
        <v>1.0</v>
      </c>
      <c r="DP7" t="s">
        <v>61</v>
      </c>
      <c r="DZ7" t="s">
        <v>62</v>
      </c>
      <c r="ED7" t="s">
        <v>43</v>
      </c>
      <c r="EE7" t="s">
        <v>67</v>
      </c>
      <c r="EL7" t="s">
        <v>61</v>
      </c>
      <c r="EV7" t="s">
        <v>61</v>
      </c>
      <c r="FA7" t="s">
        <v>39</v>
      </c>
      <c r="FB7" t="s">
        <v>39</v>
      </c>
      <c r="FH7">
        <v>0.0</v>
      </c>
    </row>
    <row r="8" ht="15.75" customHeight="1">
      <c r="A8" s="8"/>
      <c r="B8" s="8"/>
      <c r="C8" s="8" t="s">
        <v>23</v>
      </c>
      <c r="D8" s="8">
        <v>1000.0</v>
      </c>
      <c r="E8" s="8" t="s">
        <v>34</v>
      </c>
      <c r="F8" s="8" t="s">
        <v>60</v>
      </c>
      <c r="G8" s="8">
        <v>60.0</v>
      </c>
      <c r="H8" s="8" t="s">
        <v>61</v>
      </c>
      <c r="I8" s="8"/>
      <c r="J8" s="8"/>
      <c r="K8" s="8"/>
      <c r="L8" s="8"/>
      <c r="M8" s="8"/>
      <c r="N8" s="8">
        <v>-120000.0</v>
      </c>
      <c r="O8" s="8" t="s">
        <v>62</v>
      </c>
      <c r="P8">
        <v>120.0</v>
      </c>
      <c r="Q8">
        <v>-60000.0</v>
      </c>
      <c r="R8" t="s">
        <v>63</v>
      </c>
      <c r="T8" t="s">
        <v>52</v>
      </c>
      <c r="U8" t="s">
        <v>50</v>
      </c>
      <c r="V8" t="s">
        <v>53</v>
      </c>
      <c r="W8" t="s">
        <v>43</v>
      </c>
      <c r="X8">
        <v>1.0</v>
      </c>
      <c r="Y8">
        <v>1.0</v>
      </c>
      <c r="AK8">
        <v>-120000.0</v>
      </c>
      <c r="AL8">
        <v>1.0</v>
      </c>
      <c r="AM8">
        <v>1.0</v>
      </c>
      <c r="AN8" t="s">
        <v>24</v>
      </c>
      <c r="AP8" t="s">
        <v>61</v>
      </c>
      <c r="AQ8" t="s">
        <v>23</v>
      </c>
      <c r="AV8">
        <v>1.0</v>
      </c>
      <c r="BC8">
        <v>1.0</v>
      </c>
      <c r="BD8">
        <v>0.0</v>
      </c>
      <c r="BE8" t="s">
        <v>52</v>
      </c>
      <c r="BF8" t="s">
        <v>64</v>
      </c>
      <c r="BG8" t="s">
        <v>65</v>
      </c>
      <c r="BQ8" t="s">
        <v>51</v>
      </c>
      <c r="BR8" t="s">
        <v>42</v>
      </c>
      <c r="BU8" t="s">
        <v>52</v>
      </c>
      <c r="CO8" t="s">
        <v>23</v>
      </c>
      <c r="CP8" t="s">
        <v>66</v>
      </c>
      <c r="CS8">
        <v>60.0</v>
      </c>
      <c r="DD8">
        <v>1000.0</v>
      </c>
      <c r="DH8">
        <v>120.0</v>
      </c>
      <c r="DJ8" t="s">
        <v>55</v>
      </c>
      <c r="DK8">
        <v>120000.0</v>
      </c>
      <c r="DL8">
        <v>120000.0</v>
      </c>
      <c r="DM8">
        <v>1.0</v>
      </c>
      <c r="DP8" t="s">
        <v>61</v>
      </c>
      <c r="DZ8" t="s">
        <v>62</v>
      </c>
      <c r="ED8" t="s">
        <v>43</v>
      </c>
      <c r="EE8" t="s">
        <v>67</v>
      </c>
      <c r="EL8" t="s">
        <v>61</v>
      </c>
      <c r="EV8" t="s">
        <v>61</v>
      </c>
      <c r="FA8" t="s">
        <v>39</v>
      </c>
      <c r="FB8" t="s">
        <v>39</v>
      </c>
      <c r="FH8">
        <v>0.0</v>
      </c>
    </row>
    <row r="9" ht="15.75" customHeight="1">
      <c r="A9" s="8"/>
      <c r="B9" s="8"/>
      <c r="C9" s="8" t="s">
        <v>23</v>
      </c>
      <c r="D9" s="8">
        <v>1000.0</v>
      </c>
      <c r="E9" s="8" t="s">
        <v>34</v>
      </c>
      <c r="F9" s="8" t="s">
        <v>60</v>
      </c>
      <c r="G9" s="8">
        <v>50.0</v>
      </c>
      <c r="H9" s="8" t="s">
        <v>61</v>
      </c>
      <c r="I9" s="8"/>
      <c r="J9" s="8"/>
      <c r="K9" s="8"/>
      <c r="L9" s="8"/>
      <c r="M9" s="8"/>
      <c r="N9" s="8">
        <v>-120000.0</v>
      </c>
      <c r="O9" s="8" t="s">
        <v>62</v>
      </c>
      <c r="P9">
        <v>120.0</v>
      </c>
      <c r="Q9">
        <v>-50000.0</v>
      </c>
      <c r="R9" t="s">
        <v>63</v>
      </c>
      <c r="T9" t="s">
        <v>52</v>
      </c>
      <c r="U9" t="s">
        <v>50</v>
      </c>
      <c r="V9" t="s">
        <v>53</v>
      </c>
      <c r="W9" t="s">
        <v>43</v>
      </c>
      <c r="X9">
        <v>1.0</v>
      </c>
      <c r="Y9">
        <v>1.0</v>
      </c>
      <c r="AK9">
        <v>-120000.0</v>
      </c>
      <c r="AL9">
        <v>1.0</v>
      </c>
      <c r="AM9">
        <v>1.0</v>
      </c>
      <c r="AN9" t="s">
        <v>24</v>
      </c>
      <c r="AP9" t="s">
        <v>61</v>
      </c>
      <c r="AQ9" t="s">
        <v>23</v>
      </c>
      <c r="AV9">
        <v>1.0</v>
      </c>
      <c r="BC9">
        <v>1.0</v>
      </c>
      <c r="BD9">
        <v>0.0</v>
      </c>
      <c r="BE9" t="s">
        <v>52</v>
      </c>
      <c r="BF9" t="s">
        <v>64</v>
      </c>
      <c r="BG9" t="s">
        <v>65</v>
      </c>
      <c r="BQ9" t="s">
        <v>51</v>
      </c>
      <c r="BR9" t="s">
        <v>42</v>
      </c>
      <c r="BU9" t="s">
        <v>52</v>
      </c>
      <c r="CO9" t="s">
        <v>23</v>
      </c>
      <c r="CP9" t="s">
        <v>66</v>
      </c>
      <c r="CS9">
        <v>50.0</v>
      </c>
      <c r="DD9">
        <v>1000.0</v>
      </c>
      <c r="DH9">
        <v>120.0</v>
      </c>
      <c r="DJ9" t="s">
        <v>55</v>
      </c>
      <c r="DK9">
        <v>120000.0</v>
      </c>
      <c r="DL9">
        <v>120000.0</v>
      </c>
      <c r="DM9">
        <v>1.0</v>
      </c>
      <c r="DP9" t="s">
        <v>61</v>
      </c>
      <c r="DZ9" t="s">
        <v>62</v>
      </c>
      <c r="ED9" t="s">
        <v>43</v>
      </c>
      <c r="EE9" t="s">
        <v>67</v>
      </c>
      <c r="EL9" t="s">
        <v>61</v>
      </c>
      <c r="EV9" t="s">
        <v>61</v>
      </c>
      <c r="FA9" t="s">
        <v>39</v>
      </c>
      <c r="FB9" t="s">
        <v>39</v>
      </c>
      <c r="FH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 t="s">
        <v>69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