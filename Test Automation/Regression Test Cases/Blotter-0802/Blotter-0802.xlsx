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reateStageOrder" sheetId="5" r:id="rId7"/>
    <sheet state="visible" name="CalculatePTT" sheetId="6" r:id="rId8"/>
    <sheet state="visible" name="VerifyPTT" sheetId="7" r:id="rId9"/>
    <sheet state="visible" name="VerifyPTTCompliance" sheetId="8" r:id="rId10"/>
    <sheet state="visible" name="SelectTradeOnOrderGrid" sheetId="9" r:id="rId11"/>
    <sheet state="visible" name="ActionOnFloatingWindow" sheetId="10" r:id="rId12"/>
    <sheet state="visible" name="CheckOpenFinWindowName" sheetId="11" r:id="rId13"/>
    <sheet state="visible" name="ActionOnFloatingWindow1" sheetId="12" r:id="rId14"/>
    <sheet state="visible" name="CheckOpenFinWindowName1" sheetId="13" r:id="rId15"/>
    <sheet state="visible" name="ActionOnFloatingWindow2" sheetId="14" r:id="rId16"/>
    <sheet state="visible" name="CheckOpenFinWindowName2" sheetId="15" r:id="rId17"/>
    <sheet state="visible" name="ActionOnFloatingWindow3" sheetId="16" r:id="rId18"/>
    <sheet state="visible" name="CheckOpenFinWindowName3" sheetId="17" r:id="rId19"/>
    <sheet state="visible" name="GetDailyCash" sheetId="18" r:id="rId20"/>
    <sheet state="visible" name="UpdateMultipleDailyCash" sheetId="19" r:id="rId21"/>
  </sheets>
  <definedNames/>
  <calcPr/>
</workbook>
</file>

<file path=xl/sharedStrings.xml><?xml version="1.0" encoding="utf-8"?>
<sst xmlns="http://schemas.openxmlformats.org/spreadsheetml/2006/main" count="172" uniqueCount="54">
  <si>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</si>
  <si>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</si>
  <si>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</si>
  <si>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</si>
  <si>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</si>
  <si>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</si>
  <si>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</si>
  <si>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</si>
  <si>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</si>
  <si>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</si>
  <si>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</si>
  <si>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</si>
  <si>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</si>
  <si>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</si>
  <si>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</si>
  <si>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</si>
  <si>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</si>
  <si>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</si>
  <si>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</si>
  <si>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FRU-TC</t>
  </si>
  <si>
    <t>CreateStageOrder</t>
  </si>
  <si>
    <t>MSFT</t>
  </si>
  <si>
    <t>PTT</t>
  </si>
  <si>
    <t>CalculatePTT</t>
  </si>
  <si>
    <t>IBM</t>
  </si>
  <si>
    <t>Set</t>
  </si>
  <si>
    <t>Percentage</t>
  </si>
  <si>
    <t>Yes</t>
  </si>
  <si>
    <t>Account</t>
  </si>
  <si>
    <t>Allocation1,Allocation2</t>
  </si>
  <si>
    <t>Market</t>
  </si>
  <si>
    <t>VerifyPTT</t>
  </si>
  <si>
    <t>Allocation2</t>
  </si>
  <si>
    <t>VerifyPTTCompliance</t>
  </si>
  <si>
    <t>Soft</t>
  </si>
  <si>
    <t>TradeQuantity100</t>
  </si>
  <si>
    <t>Enter Summary</t>
  </si>
  <si>
    <t>Blotter</t>
  </si>
  <si>
    <t>SelectTradeOnOrderGrid</t>
  </si>
  <si>
    <t>New</t>
  </si>
  <si>
    <t>Filled</t>
  </si>
  <si>
    <t>ActionOnFloatingWindow</t>
  </si>
  <si>
    <t>Allocate</t>
  </si>
  <si>
    <t>OpenFin</t>
  </si>
  <si>
    <t>CheckOpenFinWindowName</t>
  </si>
  <si>
    <t>Allocation</t>
  </si>
  <si>
    <t>Reload Order</t>
  </si>
  <si>
    <t>Trading Ticket</t>
  </si>
  <si>
    <t>Edit Order</t>
  </si>
  <si>
    <t>Trade (New Sub)</t>
  </si>
  <si>
    <t>DailyValuation</t>
  </si>
  <si>
    <t>GetDailyCash</t>
  </si>
  <si>
    <t>UpdateMultipleDailyCash</t>
  </si>
  <si>
    <t>USD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</si>
</sst>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FFFF"/>
      <name val="Segoe UI"/>
    </font>
    <font>
      <sz val="9.0"/>
      <color rgb="FF000000"/>
      <name val="Segoe UI"/>
    </font>
    <font>
      <sz val="9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5" fillId="6" fontId="13" numFmtId="0" xfId="0" applyAlignment="1" applyBorder="1" applyFill="1" applyFont="1">
      <alignment vertical="top"/>
    </xf>
    <xf borderId="5" fillId="7" fontId="14" numFmtId="0" xfId="0" applyAlignment="1" applyBorder="1" applyFill="1" applyFont="1">
      <alignment vertical="top"/>
    </xf>
    <xf borderId="5" fillId="7" fontId="14" numFmtId="0" xfId="0" applyAlignment="1" applyBorder="1" applyFont="1">
      <alignment vertical="top"/>
    </xf>
    <xf borderId="5" fillId="7" fontId="15" numFmtId="0" xfId="0" applyAlignment="1" applyBorder="1" applyFont="1">
      <alignment readingOrder="0" vertical="top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100.0</v>
      </c>
      <c r="E6" s="30"/>
      <c r="F6" s="12" t="s">
        <v>18</v>
      </c>
      <c r="G6" s="8"/>
      <c r="H6" s="8"/>
      <c r="I6" s="8"/>
      <c r="J6" s="12">
        <v>10.0</v>
      </c>
      <c r="K6" s="8"/>
      <c r="L6" s="8"/>
      <c r="M6" s="8"/>
      <c r="N6" s="8"/>
      <c r="O6" s="8"/>
    </row>
    <row r="7" ht="15.75" customHeight="1">
      <c r="A7" s="8"/>
      <c r="B7" s="12" t="s">
        <v>19</v>
      </c>
      <c r="C7" s="12" t="s">
        <v>17</v>
      </c>
      <c r="D7" s="12">
        <v>100.0</v>
      </c>
      <c r="E7" s="8"/>
      <c r="F7" s="12" t="s">
        <v>18</v>
      </c>
      <c r="G7" s="8"/>
      <c r="H7" s="8"/>
      <c r="I7" s="8"/>
      <c r="J7" s="12">
        <v>10.0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s">
        <v>17</v>
      </c>
      <c r="D6" s="12">
        <v>100.0</v>
      </c>
      <c r="E6" s="30"/>
      <c r="F6" s="12" t="s">
        <v>18</v>
      </c>
      <c r="G6" s="8"/>
      <c r="H6" s="8"/>
      <c r="I6" s="8"/>
      <c r="J6" s="12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24</v>
      </c>
      <c r="C6" s="33" t="s">
        <v>25</v>
      </c>
      <c r="D6" s="32" t="s">
        <v>26</v>
      </c>
      <c r="E6" s="34">
        <v>10.0</v>
      </c>
      <c r="F6" s="34">
        <v>10.0</v>
      </c>
      <c r="G6" s="33" t="s">
        <v>27</v>
      </c>
      <c r="H6" s="33" t="s">
        <v>28</v>
      </c>
      <c r="I6" s="33" t="s">
        <v>29</v>
      </c>
      <c r="J6" s="35"/>
      <c r="K6" s="33" t="s">
        <v>27</v>
      </c>
      <c r="L6" s="35"/>
      <c r="M6" s="35"/>
      <c r="N6" s="35"/>
      <c r="O6" s="35"/>
      <c r="P6" s="35" t="s">
        <v>30</v>
      </c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IFERROR(__xludf.DUMMYFUNCTION("""COMPUTED_VALUE"""),"Order Side")</f>
        <v>Order Side</v>
      </c>
      <c r="S5" s="27" t="str">
        <f>IFERROR(__xludf.DUMMYFUNCTION("""COMPUTED_VALUE"""),"Round Lots")</f>
        <v>Round Lots</v>
      </c>
      <c r="T5" s="29" t="str">
        <f>IFERROR(__xludf.DUMMYFUNCTION("""COMPUTED_VALUE"""),"Verify RoundLots In Input Parameters")</f>
        <v>Verify RoundLots In Input Parameters</v>
      </c>
      <c r="U5" s="29" t="str">
        <f>IFERROR(__xludf.DUMMYFUNCTION("""COMPUTED_VALUE"""),"Change Amt")</f>
        <v>Change Amt</v>
      </c>
      <c r="V5" s="29" t="str">
        <f>IFERROR(__xludf.DUMMYFUNCTION("""COMPUTED_VALUE"""),"Group")</f>
        <v>Group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32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6" t="s">
        <v>34</v>
      </c>
      <c r="C6" s="37" t="s">
        <v>35</v>
      </c>
      <c r="D6" s="38" t="s">
        <v>36</v>
      </c>
      <c r="E6" s="39" t="s">
        <v>24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VerifyPTTCompliance!$4:$4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0"/>
      <c r="F6" s="12" t="s">
        <v>17</v>
      </c>
      <c r="G6" s="12" t="s">
        <v>39</v>
      </c>
      <c r="H6" s="12">
        <v>100.0</v>
      </c>
      <c r="I6" s="8"/>
      <c r="J6" s="8"/>
      <c r="K6" s="8"/>
      <c r="L6" s="8"/>
      <c r="M6" s="8"/>
      <c r="N6" s="8"/>
      <c r="O6" s="8"/>
      <c r="R6" s="9" t="s">
        <v>18</v>
      </c>
    </row>
    <row r="7" ht="15.75" customHeight="1">
      <c r="A7" s="8"/>
      <c r="B7" s="8"/>
      <c r="C7" s="8"/>
      <c r="D7" s="12" t="s">
        <v>21</v>
      </c>
      <c r="E7" s="8"/>
      <c r="F7" s="12" t="s">
        <v>17</v>
      </c>
      <c r="G7" s="12" t="s">
        <v>40</v>
      </c>
      <c r="H7" s="12">
        <v>100.0</v>
      </c>
      <c r="I7" s="8"/>
      <c r="J7" s="8"/>
      <c r="K7" s="8"/>
      <c r="L7" s="8"/>
      <c r="M7" s="8"/>
      <c r="N7" s="8"/>
      <c r="O7" s="8"/>
      <c r="R7" s="9" t="s">
        <v>18</v>
      </c>
    </row>
    <row r="8" ht="15.75" customHeight="1">
      <c r="A8" s="8"/>
      <c r="B8" s="8"/>
      <c r="C8" s="8"/>
      <c r="D8" s="12" t="s">
        <v>19</v>
      </c>
      <c r="E8" s="8"/>
      <c r="F8" s="12" t="s">
        <v>17</v>
      </c>
      <c r="G8" s="12" t="s">
        <v>40</v>
      </c>
      <c r="H8" s="12">
        <v>100.0</v>
      </c>
      <c r="I8" s="8"/>
      <c r="J8" s="8"/>
      <c r="K8" s="8"/>
      <c r="L8" s="8"/>
      <c r="M8" s="8"/>
      <c r="N8" s="8"/>
      <c r="O8" s="8"/>
      <c r="R8" s="9" t="s">
        <v>18</v>
      </c>
    </row>
    <row r="9" ht="15.75" customHeight="1">
      <c r="A9" s="8"/>
      <c r="B9" s="8"/>
      <c r="C9" s="8"/>
      <c r="D9" s="12" t="s">
        <v>24</v>
      </c>
      <c r="E9" s="8"/>
      <c r="F9" s="12" t="s">
        <v>17</v>
      </c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42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ActionOnFloatingWindow!$4:$4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 t="str">
        <f>IFERROR(__xludf.DUMMYFUNCTION("""COMPUTED_VALUE"""),"ResizeEnsure")</f>
        <v>ResizeEnsure</v>
      </c>
      <c r="L4" s="24" t="str">
        <f>IFERROR(__xludf.DUMMYFUNCTION("""COMPUTED_VALUE"""),"VerifyNotification")</f>
        <v>VerifyNotification</v>
      </c>
      <c r="M4" s="24" t="str">
        <f>IFERROR(__xludf.DUMMYFUNCTION("""COMPUTED_VALUE"""),"LockUnlockModule")</f>
        <v>LockUnlockModule</v>
      </c>
      <c r="N4" s="24" t="str">
        <f>IFERROR(__xludf.DUMMYFUNCTION("""COMPUTED_VALUE"""),"OpenModuleFromDock")</f>
        <v>OpenModuleFromDock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IFERROR(__xludf.DUMMYFUNCTION("""COMPUTED_VALUE"""),"WindowName")</f>
        <v>WindowName</v>
      </c>
      <c r="C5" s="27" t="str">
        <f>IFERROR(__xludf.DUMMYFUNCTION("""COMPUTED_VALUE"""),"WindowPresentOrNot")</f>
        <v>WindowPresentOrNot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45</v>
      </c>
      <c r="C6" s="12" t="b">
        <v>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CheckOpenFinWindowName!$4:$4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ActionOnFloatingWindow1!$4:$4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 t="str">
        <f>IFERROR(__xludf.DUMMYFUNCTION("""COMPUTED_VALUE"""),"ResizeEnsure")</f>
        <v>ResizeEnsure</v>
      </c>
      <c r="L4" s="24" t="str">
        <f>IFERROR(__xludf.DUMMYFUNCTION("""COMPUTED_VALUE"""),"VerifyNotification")</f>
        <v>VerifyNotification</v>
      </c>
      <c r="M4" s="24" t="str">
        <f>IFERROR(__xludf.DUMMYFUNCTION("""COMPUTED_VALUE"""),"LockUnlockModule")</f>
        <v>LockUnlockModule</v>
      </c>
      <c r="N4" s="24" t="str">
        <f>IFERROR(__xludf.DUMMYFUNCTION("""COMPUTED_VALUE"""),"OpenModuleFromDock")</f>
        <v>OpenModuleFromDock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IFERROR(__xludf.DUMMYFUNCTION("""COMPUTED_VALUE"""),"WindowName")</f>
        <v>WindowName</v>
      </c>
      <c r="C5" s="27" t="str">
        <f>IFERROR(__xludf.DUMMYFUNCTION("""COMPUTED_VALUE"""),"WindowPresentOrNot")</f>
        <v>WindowPresentOrNot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47</v>
      </c>
      <c r="C6" s="12" t="b">
        <v>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CheckOpenFinWindowName1!$4:$4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48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ActionOnFloatingWindow2!$4:$4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 t="str">
        <f>IFERROR(__xludf.DUMMYFUNCTION("""COMPUTED_VALUE"""),"ResizeEnsure")</f>
        <v>ResizeEnsure</v>
      </c>
      <c r="L4" s="24" t="str">
        <f>IFERROR(__xludf.DUMMYFUNCTION("""COMPUTED_VALUE"""),"VerifyNotification")</f>
        <v>VerifyNotification</v>
      </c>
      <c r="M4" s="24" t="str">
        <f>IFERROR(__xludf.DUMMYFUNCTION("""COMPUTED_VALUE"""),"LockUnlockModule")</f>
        <v>LockUnlockModule</v>
      </c>
      <c r="N4" s="24" t="str">
        <f>IFERROR(__xludf.DUMMYFUNCTION("""COMPUTED_VALUE"""),"OpenModuleFromDock")</f>
        <v>OpenModuleFromDock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IFERROR(__xludf.DUMMYFUNCTION("""COMPUTED_VALUE"""),"WindowName")</f>
        <v>WindowName</v>
      </c>
      <c r="C5" s="27" t="str">
        <f>IFERROR(__xludf.DUMMYFUNCTION("""COMPUTED_VALUE"""),"WindowPresentOrNot")</f>
        <v>WindowPresentOrNot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47</v>
      </c>
      <c r="C6" s="12" t="b">
        <v>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CheckOpenFinWindowName2!$4:$4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49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ActionOnFloatingWindow3!$4:$4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 t="str">
        <f>IFERROR(__xludf.DUMMYFUNCTION("""COMPUTED_VALUE"""),"ResizeEnsure")</f>
        <v>ResizeEnsure</v>
      </c>
      <c r="L4" s="24" t="str">
        <f>IFERROR(__xludf.DUMMYFUNCTION("""COMPUTED_VALUE"""),"VerifyNotification")</f>
        <v>VerifyNotification</v>
      </c>
      <c r="M4" s="24" t="str">
        <f>IFERROR(__xludf.DUMMYFUNCTION("""COMPUTED_VALUE"""),"LockUnlockModule")</f>
        <v>LockUnlockModule</v>
      </c>
      <c r="N4" s="24" t="str">
        <f>IFERROR(__xludf.DUMMYFUNCTION("""COMPUTED_VALUE"""),"OpenModuleFromDock")</f>
        <v>OpenModuleFromDock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IFERROR(__xludf.DUMMYFUNCTION("""COMPUTED_VALUE"""),"WindowName")</f>
        <v>WindowName</v>
      </c>
      <c r="C5" s="27" t="str">
        <f>IFERROR(__xludf.DUMMYFUNCTION("""COMPUTED_VALUE"""),"WindowPresentOrNot")</f>
        <v>WindowPresentOrNot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47</v>
      </c>
      <c r="C6" s="12" t="b">
        <v>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CheckOpenFinWindowName3!$4:$4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0">
        <f>TODAY()-1</f>
        <v>45809</v>
      </c>
      <c r="C6" s="41">
        <f>TODAY()</f>
        <v>45810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53</v>
      </c>
      <c r="D6" s="12">
        <v>10000.0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32</v>
      </c>
      <c r="C7" s="12" t="s">
        <v>53</v>
      </c>
      <c r="D7" s="12">
        <v>10000.0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