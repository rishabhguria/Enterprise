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385" windowHeight="8370" activeTab="2"/>
  </bookViews>
  <sheets>
    <sheet name="CalculatePTT" sheetId="4" r:id="rId1"/>
    <sheet name="VerifyPTT" sheetId="5" r:id="rId2"/>
    <sheet name="GetDailyCash" sheetId="6" r:id="rId3"/>
    <sheet name="UpdateDailyCash" sheetId="7" r:id="rId4"/>
    <sheet name="CreateDoneAwayOrder" sheetId="8" r:id="rId5"/>
    <sheet name="PricingInput" sheetId="9" r:id="rId6"/>
  </sheets>
  <calcPr calcId="144525"/>
</workbook>
</file>

<file path=xl/sharedStrings.xml><?xml version="1.0" encoding="utf-8"?>
<sst xmlns="http://schemas.openxmlformats.org/spreadsheetml/2006/main" count="166">
  <si>
    <t>Data</t>
  </si>
  <si>
    <t>Module</t>
  </si>
  <si>
    <t>PTT</t>
  </si>
  <si>
    <t>Step</t>
  </si>
  <si>
    <t>CalculatePTT</t>
  </si>
  <si>
    <t>Data Format</t>
  </si>
  <si>
    <t>Input Format</t>
  </si>
  <si>
    <t>TradeUsingPTT</t>
  </si>
  <si>
    <t>StageOrderUsingPTT</t>
  </si>
  <si>
    <t>CreateStagePTT</t>
  </si>
  <si>
    <t>TradePTT</t>
  </si>
  <si>
    <t>CreateOrderPTT</t>
  </si>
  <si>
    <t>VerifyPTT</t>
  </si>
  <si>
    <t>OpenPTTFromPM</t>
  </si>
  <si>
    <t>MultiTTFromPTT</t>
  </si>
  <si>
    <t>SelectMultiTT</t>
  </si>
  <si>
    <t>EditMultiPTT</t>
  </si>
  <si>
    <t>SelectMultiPTT</t>
  </si>
  <si>
    <t>MultiTTFromTT</t>
  </si>
  <si>
    <t>EditMultiTT</t>
  </si>
  <si>
    <t>OpenMultiTTFromPTT</t>
  </si>
  <si>
    <t>SetAccountFactor</t>
  </si>
  <si>
    <t>1DsXZtIVe8QPH2PNtUCnKQjKSBU1s_Ayixo-1WyyUJVw</t>
  </si>
  <si>
    <t>Ticker</t>
  </si>
  <si>
    <t>Add/Set</t>
  </si>
  <si>
    <t>Type</t>
  </si>
  <si>
    <t>Target</t>
  </si>
  <si>
    <t>Price</t>
  </si>
  <si>
    <t>Combined Account Total</t>
  </si>
  <si>
    <t>MasterFund/Account</t>
  </si>
  <si>
    <t>Accounts</t>
  </si>
  <si>
    <t>AAPL</t>
  </si>
  <si>
    <t>Decrease</t>
  </si>
  <si>
    <t>Percentage</t>
  </si>
  <si>
    <t>No</t>
  </si>
  <si>
    <t>Account</t>
  </si>
  <si>
    <t>Allocation1,Allocation2</t>
  </si>
  <si>
    <t>Account Name</t>
  </si>
  <si>
    <t>Account NAV</t>
  </si>
  <si>
    <t>Starting Position</t>
  </si>
  <si>
    <t>Starting Value</t>
  </si>
  <si>
    <t>Starting %</t>
  </si>
  <si>
    <t>% Change</t>
  </si>
  <si>
    <t>Ending %</t>
  </si>
  <si>
    <t>Trade Quantity</t>
  </si>
  <si>
    <t>Ending Position</t>
  </si>
  <si>
    <t>Ending Value</t>
  </si>
  <si>
    <t>% Allocation</t>
  </si>
  <si>
    <t>Fx Rate</t>
  </si>
  <si>
    <t>Allocation2</t>
  </si>
  <si>
    <t>Allocation1</t>
  </si>
  <si>
    <t>DailyValuation</t>
  </si>
  <si>
    <t>GetDailyCash</t>
  </si>
  <si>
    <t>UpdateDailyCash</t>
  </si>
  <si>
    <t>UpdateForexConversion</t>
  </si>
  <si>
    <t>CleanUp</t>
  </si>
  <si>
    <t>GetMarkPriceData</t>
  </si>
  <si>
    <t>GetForwardPoints</t>
  </si>
  <si>
    <t>GetForexConversion</t>
  </si>
  <si>
    <t>AddForexConversion</t>
  </si>
  <si>
    <t>GetNAV</t>
  </si>
  <si>
    <t>AddNAV</t>
  </si>
  <si>
    <t>DeleteNAV</t>
  </si>
  <si>
    <t>AddDailyCash</t>
  </si>
  <si>
    <t>GetDailyBeta</t>
  </si>
  <si>
    <t>GetDailyVolatility</t>
  </si>
  <si>
    <t>GetDailyDividendYield</t>
  </si>
  <si>
    <t>GetDailyTradingVolume</t>
  </si>
  <si>
    <t>GetDailyOutstandings</t>
  </si>
  <si>
    <t>GetDailyDelta</t>
  </si>
  <si>
    <t>UpdateDailyVolatility</t>
  </si>
  <si>
    <t>UpdateDividendYield</t>
  </si>
  <si>
    <t>DataManagement.Click(MouseButtons.Left);</t>
  </si>
  <si>
    <t>UpdateTradingVolume</t>
  </si>
  <si>
    <t>UpdateDailyDelta</t>
  </si>
  <si>
    <t>UpdateDailyOutstandings</t>
  </si>
  <si>
    <t>UpdateBeta</t>
  </si>
  <si>
    <t>UpdateNAV</t>
  </si>
  <si>
    <t>UpdateCreditLimt</t>
  </si>
  <si>
    <t>UpdateDailyCreditLimt</t>
  </si>
  <si>
    <t>AddDailyCreditLimit</t>
  </si>
  <si>
    <t>RemoveDailyCreditLimt</t>
  </si>
  <si>
    <t>RemoveDailyCreditLimit</t>
  </si>
  <si>
    <t>RemoveDailyCash</t>
  </si>
  <si>
    <t>RemoveNAV</t>
  </si>
  <si>
    <t>UpdateMarkPrice</t>
  </si>
  <si>
    <t>UpdateForwardPoints</t>
  </si>
  <si>
    <t>Select Date</t>
  </si>
  <si>
    <t>Copy From</t>
  </si>
  <si>
    <t>Local Currency</t>
  </si>
  <si>
    <t>Cash Value Local</t>
  </si>
  <si>
    <t>USD</t>
  </si>
  <si>
    <t>TradingTicket</t>
  </si>
  <si>
    <t>CreateDoneAwayOrder</t>
  </si>
  <si>
    <t>EnterDetailsOnTT</t>
  </si>
  <si>
    <t>ValidateSymbolTT</t>
  </si>
  <si>
    <t>VerifyDataTT</t>
  </si>
  <si>
    <t>SetUIPreferencesTT</t>
  </si>
  <si>
    <t>SetBrokerWisePreferencesTT</t>
  </si>
  <si>
    <t>TradeNewSub</t>
  </si>
  <si>
    <t>CreateStageOrder</t>
  </si>
  <si>
    <t>CreateReplaceOrder</t>
  </si>
  <si>
    <t>SetGeneralPreference</t>
  </si>
  <si>
    <t>CreateNewSubOrder</t>
  </si>
  <si>
    <t>TradeBloomberg</t>
  </si>
  <si>
    <t>ClickSymbolLookup</t>
  </si>
  <si>
    <t>CheckedUncheckedMTT</t>
  </si>
  <si>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</si>
  <si>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</si>
  <si>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</si>
  <si>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</si>
  <si>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</si>
  <si>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</si>
  <si>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</si>
  <si>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</si>
  <si>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</si>
  <si>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</si>
  <si>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</si>
  <si>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</si>
  <si>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</si>
  <si>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</si>
  <si>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</si>
  <si>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</si>
  <si>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</si>
  <si>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</si>
  <si>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</si>
  <si>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</si>
  <si>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</si>
  <si>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</si>
  <si>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</si>
  <si>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</si>
  <si>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</si>
  <si>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</si>
  <si>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ExecutionInstructions</t>
  </si>
  <si>
    <t>HandlingInstructions</t>
  </si>
  <si>
    <t>Trader</t>
  </si>
  <si>
    <t>SettlementCurrency</t>
  </si>
  <si>
    <t>SettlementFXRate</t>
  </si>
  <si>
    <t>SettlementAmount</t>
  </si>
  <si>
    <t>SettlementFXOperator</t>
  </si>
  <si>
    <t>SettleByBroker</t>
  </si>
  <si>
    <t>Account %</t>
  </si>
  <si>
    <t>Deal In</t>
  </si>
  <si>
    <t>Buy</t>
  </si>
  <si>
    <t>PricingInput</t>
  </si>
  <si>
    <t>UpdateSharesOutstanding</t>
  </si>
  <si>
    <t>EODTPreferences</t>
  </si>
  <si>
    <t>LiveData</t>
  </si>
  <si>
    <t>User Px</t>
  </si>
  <si>
    <t>Asset Class</t>
  </si>
  <si>
    <t>Volatility(%)</t>
  </si>
  <si>
    <t>Historical Volatility</t>
  </si>
  <si>
    <t>User Volatility</t>
  </si>
  <si>
    <t>Interest Rate</t>
  </si>
  <si>
    <t>User Interest Rate</t>
  </si>
  <si>
    <t>Dividend Yield</t>
  </si>
  <si>
    <t>User Dividend Yield</t>
  </si>
  <si>
    <t>Actual Delta</t>
  </si>
  <si>
    <t>User Delta</t>
  </si>
  <si>
    <t>Selected Px</t>
  </si>
  <si>
    <t>Forward Points</t>
  </si>
  <si>
    <t>Shares Outstanding</t>
  </si>
  <si>
    <t>User Shares Outstanding</t>
  </si>
  <si>
    <t>LastPriceUsed</t>
  </si>
  <si>
    <t>VolatilityUsed</t>
  </si>
  <si>
    <t>IntRateUsed</t>
  </si>
</sst>
</file>

<file path=xl/styles.xml><?xml version="1.0" encoding="utf-8"?>
<styleSheet xmlns="http://schemas.openxmlformats.org/spreadsheetml/2006/main">
  <numFmts count="5">
    <numFmt numFmtId="176" formatCode="_ * #,##0_ ;_ * \-#,##0_ ;_ * &quot;-&quot;_ ;_ @_ "/>
    <numFmt numFmtId="177" formatCode="_ * #,##0.00_ ;_ * \-#,##0.00_ ;_ * &quot;-&quot;??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8" formatCode="m/d/yyyy;@"/>
  </numFmts>
  <fonts count="30">
    <font>
      <sz val="10"/>
      <color rgb="FF000000"/>
      <name val="Arial"/>
      <charset val="134"/>
    </font>
    <font>
      <b/>
      <sz val="14"/>
      <color rgb="FFFFFFFF"/>
      <name val="Calibri"/>
      <charset val="134"/>
    </font>
    <font>
      <sz val="10"/>
      <name val="Arial"/>
      <charset val="134"/>
    </font>
    <font>
      <sz val="10"/>
      <name val="Calibri"/>
      <charset val="134"/>
    </font>
    <font>
      <b/>
      <sz val="10"/>
      <color rgb="FFFFFFFF"/>
      <name val="Calibri"/>
      <charset val="134"/>
    </font>
    <font>
      <sz val="10"/>
      <color rgb="FFFFFFFF"/>
      <name val="Calibri"/>
      <charset val="134"/>
    </font>
    <font>
      <sz val="10"/>
      <color rgb="FFD9D9D9"/>
      <name val="Calibri"/>
      <charset val="134"/>
    </font>
    <font>
      <sz val="10"/>
      <color rgb="FFFFFFFF"/>
      <name val="Arial"/>
      <charset val="134"/>
    </font>
    <font>
      <sz val="10"/>
      <color rgb="FFD9D9D9"/>
      <name val="Arial"/>
      <charset val="134"/>
    </font>
    <font>
      <sz val="11"/>
      <color rgb="FF000000"/>
      <name val="Calibri"/>
      <charset val="134"/>
    </font>
    <font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10" fillId="9" borderId="0" applyNumberFormat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13" fillId="10" borderId="1" applyNumberFormat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2" fillId="21" borderId="6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4" fillId="0" borderId="2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6" fillId="26" borderId="7" applyNumberFormat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3" fillId="20" borderId="5" applyNumberFormat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28" fillId="20" borderId="7" applyNumberFormat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</cellStyleXfs>
  <cellXfs count="25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2" fillId="0" borderId="0" xfId="0" applyFont="1" applyBorder="1"/>
    <xf numFmtId="0" fontId="3" fillId="0" borderId="0" xfId="0" applyFont="1"/>
    <xf numFmtId="0" fontId="4" fillId="3" borderId="0" xfId="0" applyFont="1" applyFill="1"/>
    <xf numFmtId="0" fontId="4" fillId="3" borderId="0" xfId="0" applyFont="1" applyFill="1" applyBorder="1"/>
    <xf numFmtId="0" fontId="5" fillId="3" borderId="0" xfId="0" applyFont="1" applyFill="1" applyBorder="1" applyAlignment="1"/>
    <xf numFmtId="0" fontId="5" fillId="3" borderId="0" xfId="0" applyFont="1" applyFill="1" applyBorder="1"/>
    <xf numFmtId="0" fontId="6" fillId="4" borderId="0" xfId="0" applyFont="1" applyFill="1"/>
    <xf numFmtId="0" fontId="4" fillId="5" borderId="0" xfId="0" applyFont="1" applyFill="1"/>
    <xf numFmtId="0" fontId="4" fillId="5" borderId="0" xfId="0" applyFont="1" applyFill="1" applyBorder="1"/>
    <xf numFmtId="0" fontId="4" fillId="5" borderId="0" xfId="0" applyFont="1" applyFill="1" applyBorder="1" applyAlignment="1"/>
    <xf numFmtId="0" fontId="2" fillId="0" borderId="0" xfId="0" applyFont="1" applyAlignment="1"/>
    <xf numFmtId="0" fontId="3" fillId="0" borderId="0" xfId="0" applyFont="1" applyAlignment="1"/>
    <xf numFmtId="0" fontId="3" fillId="0" borderId="0" xfId="0" applyFont="1" applyAlignment="1">
      <alignment horizontal="right"/>
    </xf>
    <xf numFmtId="0" fontId="2" fillId="2" borderId="0" xfId="0" applyFont="1" applyFill="1"/>
    <xf numFmtId="0" fontId="5" fillId="0" borderId="0" xfId="0" applyFont="1"/>
    <xf numFmtId="0" fontId="7" fillId="3" borderId="0" xfId="0" applyFont="1" applyFill="1"/>
    <xf numFmtId="0" fontId="8" fillId="4" borderId="0" xfId="0" applyFont="1" applyFill="1"/>
    <xf numFmtId="0" fontId="7" fillId="5" borderId="0" xfId="0" applyFont="1" applyFill="1"/>
    <xf numFmtId="58" fontId="3" fillId="0" borderId="0" xfId="0" applyNumberFormat="1" applyFont="1" applyAlignment="1">
      <alignment horizontal="right"/>
    </xf>
    <xf numFmtId="178" fontId="3" fillId="0" borderId="0" xfId="0" applyNumberFormat="1" applyFont="1" applyAlignment="1">
      <alignment horizontal="right"/>
    </xf>
    <xf numFmtId="0" fontId="9" fillId="0" borderId="0" xfId="0" applyFont="1" applyAlignment="1"/>
    <xf numFmtId="0" fontId="0" fillId="0" borderId="0" xfId="0" applyFont="1" applyAlignment="1">
      <alignment horizontal="right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2" name="image1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10039350" y="352425"/>
          <a:ext cx="1171575" cy="266700"/>
        </a:xfrm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3" name="image4.png" title="Image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8639175" y="352425"/>
          <a:ext cx="1371600" cy="266700"/>
        </a:xfrm>
        <a:prstGeom prst="rect">
          <a:avLst/>
        </a:prstGeom>
        <a:noFill/>
      </xdr:spPr>
    </xdr:pic>
    <xdr:clientData fLocksWithSheet="0"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2" name="image2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9801225" y="352425"/>
          <a:ext cx="1171575" cy="266700"/>
        </a:xfrm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3" name="image5.png" title="Image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8639175" y="352425"/>
          <a:ext cx="1133475" cy="266700"/>
        </a:xfrm>
        <a:prstGeom prst="rect">
          <a:avLst/>
        </a:prstGeom>
        <a:noFill/>
      </xdr:spPr>
    </xdr:pic>
    <xdr:clientData fLocksWithSheet="0"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2" name="image3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9801225" y="352425"/>
          <a:ext cx="1171575" cy="266700"/>
        </a:xfrm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3" name="image6.png" title="Image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8639175" y="352425"/>
          <a:ext cx="1133475" cy="266700"/>
        </a:xfrm>
        <a:prstGeom prst="rect">
          <a:avLst/>
        </a:prstGeom>
        <a:noFill/>
      </xdr:spPr>
    </xdr:pic>
    <xdr:clientData fLocksWithSheet="0"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2" name="image8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9801225" y="352425"/>
          <a:ext cx="1171575" cy="266700"/>
        </a:xfrm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3" name="image7.png" title="Image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8639175" y="352425"/>
          <a:ext cx="1133475" cy="266700"/>
        </a:xfrm>
        <a:prstGeom prst="rect">
          <a:avLst/>
        </a:prstGeom>
        <a:noFill/>
      </xdr:spPr>
    </xdr:pic>
    <xdr:clientData fLocksWithSheet="0"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2" name="image10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9801225" y="352425"/>
          <a:ext cx="1171575" cy="266700"/>
        </a:xfrm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3" name="image11.png" title="Image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8639175" y="352425"/>
          <a:ext cx="1133475" cy="266700"/>
        </a:xfrm>
        <a:prstGeom prst="rect">
          <a:avLst/>
        </a:prstGeom>
        <a:noFill/>
      </xdr:spPr>
    </xdr:pic>
    <xdr:clientData fLocksWithSheet="0"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2" name="image9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9801225" y="352425"/>
          <a:ext cx="1171575" cy="266700"/>
        </a:xfrm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3" name="image12.png" title="Image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8639175" y="352425"/>
          <a:ext cx="1133475" cy="266700"/>
        </a:xfrm>
        <a:prstGeom prst="rect">
          <a:avLst/>
        </a:prstGeom>
        <a:noFill/>
      </xdr:spPr>
    </xdr:pic>
    <xdr:clientData fLocksWithSheet="0"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EX100"/>
  <sheetViews>
    <sheetView workbookViewId="0">
      <selection activeCell="I6" sqref="I6"/>
    </sheetView>
  </sheetViews>
  <sheetFormatPr defaultColWidth="17.2857142857143" defaultRowHeight="15" customHeight="1"/>
  <cols>
    <col min="1" max="1" width="6.71428571428571" customWidth="1"/>
    <col min="2" max="4" width="14.4285714285714" customWidth="1"/>
    <col min="5" max="5" width="18.5714285714286" customWidth="1"/>
    <col min="6" max="8" width="14.4285714285714" customWidth="1"/>
    <col min="9" max="9" width="21.7142857142857" customWidth="1"/>
    <col min="10" max="11" width="17.4285714285714" customWidth="1"/>
    <col min="12" max="154" width="14.4285714285714" customWidth="1"/>
  </cols>
  <sheetData>
    <row r="1" ht="15.75" customHeight="1" spans="1:154">
      <c r="A1" s="1"/>
      <c r="B1" s="2" t="s">
        <v>0</v>
      </c>
      <c r="C1" s="3"/>
      <c r="D1" s="3"/>
      <c r="E1" s="3"/>
      <c r="F1" s="3"/>
      <c r="G1" s="3"/>
      <c r="H1" s="3"/>
      <c r="I1" s="1"/>
      <c r="J1" s="1"/>
      <c r="K1" s="1"/>
      <c r="L1" s="1"/>
      <c r="M1" s="1"/>
      <c r="N1" s="1"/>
      <c r="O1" s="1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</row>
    <row r="2" ht="15.75" customHeight="1" spans="1:15">
      <c r="A2" s="4"/>
      <c r="B2" s="4"/>
      <c r="C2" s="4"/>
      <c r="D2" s="4"/>
      <c r="E2" s="4"/>
      <c r="F2" s="4"/>
      <c r="G2" s="4"/>
      <c r="H2" s="4"/>
      <c r="I2" s="4"/>
      <c r="J2" s="17" t="e">
        <f>VLOOKUP($E$3,#REF!,3,FALSE)</f>
        <v>#REF!</v>
      </c>
      <c r="K2" s="17"/>
      <c r="L2" s="4"/>
      <c r="M2" s="4"/>
      <c r="N2" s="4"/>
      <c r="O2" s="4"/>
    </row>
    <row r="3" ht="15.75" customHeight="1" spans="1:154">
      <c r="A3" s="5"/>
      <c r="B3" s="6" t="s">
        <v>1</v>
      </c>
      <c r="C3" s="7" t="s">
        <v>2</v>
      </c>
      <c r="D3" s="6" t="s">
        <v>3</v>
      </c>
      <c r="E3" s="7" t="s">
        <v>4</v>
      </c>
      <c r="F3" s="6" t="s">
        <v>5</v>
      </c>
      <c r="G3" s="8" t="s">
        <v>6</v>
      </c>
      <c r="H3" s="6"/>
      <c r="I3" s="5"/>
      <c r="J3" s="5"/>
      <c r="K3" s="5"/>
      <c r="L3" s="5"/>
      <c r="M3" s="5"/>
      <c r="N3" s="5"/>
      <c r="O3" s="5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ht="15.75" customHeight="1" spans="1:154">
      <c r="A4" s="9"/>
      <c r="B4" s="9" t="str">
        <f>IFERROR(__xludf.DUMMYFUNCTION("IF(C3="""","""",Transpose(IMPORTRANGE('_Settings'!$B$3,C3&amp;""!A4:A1000"")))"),"CalculatePTT")</f>
        <v>CalculatePTT</v>
      </c>
      <c r="C4" s="9" t="s">
        <v>7</v>
      </c>
      <c r="D4" s="9" t="s">
        <v>8</v>
      </c>
      <c r="E4" s="9" t="s">
        <v>9</v>
      </c>
      <c r="F4" s="9" t="s">
        <v>10</v>
      </c>
      <c r="G4" s="9" t="s">
        <v>11</v>
      </c>
      <c r="H4" s="9" t="s">
        <v>12</v>
      </c>
      <c r="I4" s="9" t="s">
        <v>13</v>
      </c>
      <c r="J4" s="9" t="s">
        <v>14</v>
      </c>
      <c r="K4" s="9" t="s">
        <v>15</v>
      </c>
      <c r="L4" s="9" t="s">
        <v>16</v>
      </c>
      <c r="M4" s="9" t="s">
        <v>17</v>
      </c>
      <c r="N4" s="9" t="s">
        <v>18</v>
      </c>
      <c r="O4" s="9" t="s">
        <v>15</v>
      </c>
      <c r="P4" s="19" t="s">
        <v>19</v>
      </c>
      <c r="Q4" s="19" t="s">
        <v>20</v>
      </c>
      <c r="R4" s="19" t="s">
        <v>21</v>
      </c>
      <c r="S4" s="19" t="s">
        <v>22</v>
      </c>
      <c r="T4" s="19" t="s">
        <v>21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19"/>
      <c r="EQ4" s="19"/>
      <c r="ER4" s="19"/>
      <c r="ES4" s="19"/>
      <c r="ET4" s="19"/>
      <c r="EU4" s="19"/>
      <c r="EV4" s="19"/>
      <c r="EW4" s="19"/>
      <c r="EX4" s="19"/>
    </row>
    <row r="5" ht="15.75" customHeight="1" spans="1:154">
      <c r="A5" s="10" t="str">
        <f>IFERROR(__xludf.DUMMYFUNCTION("TRANSPOSE(IMPORTRANGE(VLOOKUP($E$3,IMPORTRANGE('_Settings'!$B$3,$C$3&amp;""!A4:B1000""),2,FALSE),$G$3&amp;""!A4:A1000""))"),"")</f>
        <v/>
      </c>
      <c r="B5" s="11" t="s">
        <v>23</v>
      </c>
      <c r="C5" s="11" t="s">
        <v>24</v>
      </c>
      <c r="D5" s="11" t="s">
        <v>25</v>
      </c>
      <c r="E5" s="11" t="s">
        <v>26</v>
      </c>
      <c r="F5" s="12" t="s">
        <v>27</v>
      </c>
      <c r="G5" s="11" t="s">
        <v>28</v>
      </c>
      <c r="H5" s="11" t="s">
        <v>29</v>
      </c>
      <c r="I5" s="11" t="s">
        <v>30</v>
      </c>
      <c r="J5" s="11"/>
      <c r="K5" s="11"/>
      <c r="L5" s="11"/>
      <c r="M5" s="11"/>
      <c r="N5" s="11"/>
      <c r="O5" s="11"/>
      <c r="P5" s="11"/>
      <c r="Q5" s="11"/>
      <c r="R5" s="11"/>
      <c r="S5" s="11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20"/>
      <c r="EQ5" s="20"/>
      <c r="ER5" s="20"/>
      <c r="ES5" s="20"/>
      <c r="ET5" s="20"/>
      <c r="EU5" s="20"/>
      <c r="EV5" s="20"/>
      <c r="EW5" s="20"/>
      <c r="EX5" s="20"/>
    </row>
    <row r="6" ht="15.75" customHeight="1" spans="2:9">
      <c r="B6" t="s">
        <v>31</v>
      </c>
      <c r="C6" t="s">
        <v>32</v>
      </c>
      <c r="D6" t="s">
        <v>33</v>
      </c>
      <c r="E6" s="24">
        <v>30</v>
      </c>
      <c r="F6" s="24">
        <v>20</v>
      </c>
      <c r="G6" t="s">
        <v>34</v>
      </c>
      <c r="H6" t="s">
        <v>35</v>
      </c>
      <c r="I6" t="s">
        <v>36</v>
      </c>
    </row>
    <row r="7" ht="15.75" customHeight="1" spans="1:1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 spans="1:1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 spans="1:1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 spans="1:1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 spans="1:1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 spans="1:1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 spans="1:1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 spans="1:1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 spans="1: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 spans="1:1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 spans="1:1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 spans="1:1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 spans="1:1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 spans="1:1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 spans="1:1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 spans="1:1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 spans="1:1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 spans="1:1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 spans="1:1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 spans="1:1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3">
    <dataValidation type="list" allowBlank="1" showInputMessage="1" showErrorMessage="1" prompt="¿䀀Āࢭ_x0003_" sqref="C3">
      <formula1>#REF!</formula1>
    </dataValidation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sqref="G3">
      <formula1>"Input Format,Output Format"</formula1>
    </dataValidation>
  </dataValidations>
  <pageMargins left="0.75" right="0.75" top="1" bottom="1" header="0.511805555555556" footer="0.511805555555556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EX100"/>
  <sheetViews>
    <sheetView topLeftCell="H1" workbookViewId="0">
      <selection activeCell="L6" sqref="L6:L7"/>
    </sheetView>
  </sheetViews>
  <sheetFormatPr defaultColWidth="17.2857142857143" defaultRowHeight="15" customHeight="1"/>
  <cols>
    <col min="1" max="1" width="6.71428571428571" customWidth="1"/>
    <col min="2" max="4" width="14.4285714285714" customWidth="1"/>
    <col min="5" max="5" width="18.5714285714286" customWidth="1"/>
    <col min="6" max="8" width="14.4285714285714" customWidth="1"/>
    <col min="9" max="9" width="18.1428571428571" customWidth="1"/>
    <col min="10" max="11" width="17.4285714285714" customWidth="1"/>
    <col min="12" max="154" width="14.4285714285714" customWidth="1"/>
  </cols>
  <sheetData>
    <row r="1" ht="15.75" customHeight="1" spans="1:154">
      <c r="A1" s="1"/>
      <c r="B1" s="2" t="s">
        <v>0</v>
      </c>
      <c r="C1" s="3"/>
      <c r="D1" s="3"/>
      <c r="E1" s="3"/>
      <c r="F1" s="3"/>
      <c r="G1" s="3"/>
      <c r="H1" s="3"/>
      <c r="I1" s="1"/>
      <c r="J1" s="1"/>
      <c r="K1" s="1"/>
      <c r="L1" s="1"/>
      <c r="M1" s="1"/>
      <c r="N1" s="1"/>
      <c r="O1" s="1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</row>
    <row r="2" ht="15.75" customHeight="1" spans="1:15">
      <c r="A2" s="4"/>
      <c r="B2" s="4"/>
      <c r="C2" s="4"/>
      <c r="D2" s="4"/>
      <c r="E2" s="4"/>
      <c r="F2" s="4"/>
      <c r="G2" s="4"/>
      <c r="H2" s="4"/>
      <c r="I2" s="4"/>
      <c r="J2" s="17" t="e">
        <f>VLOOKUP($E$3,#REF!,3,FALSE)</f>
        <v>#REF!</v>
      </c>
      <c r="K2" s="17"/>
      <c r="L2" s="4"/>
      <c r="M2" s="4"/>
      <c r="N2" s="4"/>
      <c r="O2" s="4"/>
    </row>
    <row r="3" ht="15.75" customHeight="1" spans="1:154">
      <c r="A3" s="5"/>
      <c r="B3" s="6" t="s">
        <v>1</v>
      </c>
      <c r="C3" s="7" t="s">
        <v>2</v>
      </c>
      <c r="D3" s="6" t="s">
        <v>3</v>
      </c>
      <c r="E3" s="7" t="s">
        <v>12</v>
      </c>
      <c r="F3" s="6" t="s">
        <v>5</v>
      </c>
      <c r="G3" s="8" t="s">
        <v>6</v>
      </c>
      <c r="H3" s="6"/>
      <c r="I3" s="5"/>
      <c r="J3" s="5"/>
      <c r="K3" s="5"/>
      <c r="L3" s="5"/>
      <c r="M3" s="5"/>
      <c r="N3" s="5"/>
      <c r="O3" s="5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ht="15.75" customHeight="1" spans="1:154">
      <c r="A4" s="9"/>
      <c r="B4" s="9" t="str">
        <f>IFERROR(__xludf.DUMMYFUNCTION("IF(C3="""","""",Transpose(IMPORTRANGE('_Settings'!$B$3,C3&amp;""!A4:A1000"")))"),"CalculatePTT")</f>
        <v>CalculatePTT</v>
      </c>
      <c r="C4" s="9" t="s">
        <v>7</v>
      </c>
      <c r="D4" s="9" t="s">
        <v>8</v>
      </c>
      <c r="E4" s="9" t="s">
        <v>9</v>
      </c>
      <c r="F4" s="9" t="s">
        <v>10</v>
      </c>
      <c r="G4" s="9" t="s">
        <v>11</v>
      </c>
      <c r="H4" s="9" t="s">
        <v>12</v>
      </c>
      <c r="I4" s="9" t="s">
        <v>13</v>
      </c>
      <c r="J4" s="9" t="s">
        <v>14</v>
      </c>
      <c r="K4" s="9" t="s">
        <v>15</v>
      </c>
      <c r="L4" s="9" t="s">
        <v>16</v>
      </c>
      <c r="M4" s="9" t="s">
        <v>17</v>
      </c>
      <c r="N4" s="9" t="s">
        <v>18</v>
      </c>
      <c r="O4" s="9" t="s">
        <v>15</v>
      </c>
      <c r="P4" s="19" t="s">
        <v>19</v>
      </c>
      <c r="Q4" s="19" t="s">
        <v>20</v>
      </c>
      <c r="R4" s="19" t="s">
        <v>21</v>
      </c>
      <c r="S4" s="19" t="s">
        <v>22</v>
      </c>
      <c r="T4" s="19" t="s">
        <v>21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19"/>
      <c r="EQ4" s="19"/>
      <c r="ER4" s="19"/>
      <c r="ES4" s="19"/>
      <c r="ET4" s="19"/>
      <c r="EU4" s="19"/>
      <c r="EV4" s="19"/>
      <c r="EW4" s="19"/>
      <c r="EX4" s="19"/>
    </row>
    <row r="5" ht="15.75" customHeight="1" spans="1:154">
      <c r="A5" s="10" t="str">
        <f>IFERROR(__xludf.DUMMYFUNCTION("TRANSPOSE(IMPORTRANGE(VLOOKUP($E$3,IMPORTRANGE('_Settings'!$B$3,$C$3&amp;""!A4:B1000""),2,FALSE),$G$3&amp;""!A4:A1000""))"),"")</f>
        <v/>
      </c>
      <c r="B5" s="11" t="s">
        <v>37</v>
      </c>
      <c r="C5" s="11" t="s">
        <v>38</v>
      </c>
      <c r="D5" s="11" t="s">
        <v>39</v>
      </c>
      <c r="E5" s="11" t="s">
        <v>40</v>
      </c>
      <c r="F5" s="12" t="s">
        <v>41</v>
      </c>
      <c r="G5" s="11" t="s">
        <v>42</v>
      </c>
      <c r="H5" s="11" t="s">
        <v>43</v>
      </c>
      <c r="I5" s="11" t="s">
        <v>44</v>
      </c>
      <c r="J5" s="11" t="s">
        <v>45</v>
      </c>
      <c r="K5" s="11" t="s">
        <v>46</v>
      </c>
      <c r="L5" s="11" t="s">
        <v>47</v>
      </c>
      <c r="M5" s="11" t="s">
        <v>48</v>
      </c>
      <c r="N5" s="11"/>
      <c r="O5" s="11"/>
      <c r="P5" s="11"/>
      <c r="Q5" s="11"/>
      <c r="R5" s="11"/>
      <c r="S5" s="11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20"/>
      <c r="EQ5" s="20"/>
      <c r="ER5" s="20"/>
      <c r="ES5" s="20"/>
      <c r="ET5" s="20"/>
      <c r="EU5" s="20"/>
      <c r="EV5" s="20"/>
      <c r="EW5" s="20"/>
      <c r="EX5" s="20"/>
    </row>
    <row r="6" ht="15.75" customHeight="1" spans="2:13">
      <c r="B6" s="23" t="s">
        <v>49</v>
      </c>
      <c r="C6" s="23">
        <v>20000</v>
      </c>
      <c r="D6" s="23">
        <v>50</v>
      </c>
      <c r="E6" s="23">
        <v>1000</v>
      </c>
      <c r="F6" s="23">
        <v>5</v>
      </c>
      <c r="G6" s="23">
        <v>-5</v>
      </c>
      <c r="H6" s="23">
        <v>0</v>
      </c>
      <c r="I6" s="23">
        <v>50</v>
      </c>
      <c r="J6" s="23">
        <v>0</v>
      </c>
      <c r="K6" s="23">
        <v>0</v>
      </c>
      <c r="L6" s="23">
        <v>33.33</v>
      </c>
      <c r="M6" s="23">
        <v>1</v>
      </c>
    </row>
    <row r="7" ht="15.75" customHeight="1" spans="2:13">
      <c r="B7" s="23" t="s">
        <v>50</v>
      </c>
      <c r="C7" s="23">
        <v>10000</v>
      </c>
      <c r="D7" s="23">
        <v>100</v>
      </c>
      <c r="E7" s="23">
        <v>2000</v>
      </c>
      <c r="F7" s="23">
        <v>20</v>
      </c>
      <c r="G7" s="23">
        <v>-20</v>
      </c>
      <c r="H7" s="23">
        <v>0</v>
      </c>
      <c r="I7" s="23">
        <v>100</v>
      </c>
      <c r="J7" s="23">
        <v>0</v>
      </c>
      <c r="K7" s="23">
        <v>0</v>
      </c>
      <c r="L7" s="23">
        <v>66.67</v>
      </c>
      <c r="M7" s="23">
        <v>1</v>
      </c>
    </row>
    <row r="8" ht="15.75" customHeight="1" spans="1:1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 spans="1:1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 spans="1:1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 spans="1:1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 spans="1:1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 spans="1:1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 spans="1:1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 spans="1: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 spans="1:1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 spans="1:1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 spans="1:1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 spans="1:1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 spans="1:1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 spans="1:1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 spans="1:1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 spans="1:1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 spans="1:1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 spans="1:1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 spans="1:1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3">
    <dataValidation type="list" allowBlank="1" showInputMessage="1" showErrorMessage="1" prompt="Choose an available module" sqref="C3">
      <formula1>#REF!</formula1>
    </dataValidation>
    <dataValidation type="list" allowBlank="1" showInputMessage="1" showErrorMessage="1" sqref="E3">
      <formula1>VerifyPTT!$4:$4</formula1>
    </dataValidation>
    <dataValidation type="list" allowBlank="1" showInputMessage="1" showErrorMessage="1" sqref="G3">
      <formula1>"Input Format,Output Format"</formula1>
    </dataValidation>
  </dataValidations>
  <pageMargins left="0.75" right="0.75" top="1" bottom="1" header="0.511805555555556" footer="0.511805555555556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EX100"/>
  <sheetViews>
    <sheetView tabSelected="1" workbookViewId="0">
      <selection activeCell="C6" sqref="C6"/>
    </sheetView>
  </sheetViews>
  <sheetFormatPr defaultColWidth="17.2857142857143" defaultRowHeight="15" customHeight="1"/>
  <cols>
    <col min="1" max="1" width="6.71428571428571" customWidth="1"/>
    <col min="2" max="4" width="14.4285714285714" customWidth="1"/>
    <col min="5" max="5" width="18.5714285714286" customWidth="1"/>
    <col min="6" max="8" width="14.4285714285714" customWidth="1"/>
    <col min="9" max="9" width="18.1428571428571" customWidth="1"/>
    <col min="10" max="11" width="17.4285714285714" customWidth="1"/>
    <col min="12" max="154" width="14.4285714285714" customWidth="1"/>
  </cols>
  <sheetData>
    <row r="1" ht="15.75" customHeight="1" spans="1:154">
      <c r="A1" s="1"/>
      <c r="B1" s="2" t="s">
        <v>0</v>
      </c>
      <c r="C1" s="3"/>
      <c r="D1" s="3"/>
      <c r="E1" s="3"/>
      <c r="F1" s="3"/>
      <c r="G1" s="3"/>
      <c r="H1" s="3"/>
      <c r="I1" s="1"/>
      <c r="J1" s="1"/>
      <c r="K1" s="1"/>
      <c r="L1" s="1"/>
      <c r="M1" s="1"/>
      <c r="N1" s="1"/>
      <c r="O1" s="1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</row>
    <row r="2" ht="15.75" customHeight="1" spans="1:15">
      <c r="A2" s="4"/>
      <c r="B2" s="4"/>
      <c r="C2" s="4"/>
      <c r="D2" s="4"/>
      <c r="E2" s="4"/>
      <c r="F2" s="4"/>
      <c r="G2" s="4"/>
      <c r="H2" s="4"/>
      <c r="I2" s="4"/>
      <c r="J2" s="17" t="e">
        <f>VLOOKUP($E$3,#REF!,3,FALSE)</f>
        <v>#REF!</v>
      </c>
      <c r="K2" s="17"/>
      <c r="L2" s="4"/>
      <c r="M2" s="4"/>
      <c r="N2" s="4"/>
      <c r="O2" s="4"/>
    </row>
    <row r="3" ht="15.75" customHeight="1" spans="1:154">
      <c r="A3" s="5"/>
      <c r="B3" s="6" t="s">
        <v>1</v>
      </c>
      <c r="C3" s="7" t="s">
        <v>51</v>
      </c>
      <c r="D3" s="6" t="s">
        <v>3</v>
      </c>
      <c r="E3" s="7" t="s">
        <v>52</v>
      </c>
      <c r="F3" s="6" t="s">
        <v>5</v>
      </c>
      <c r="G3" s="8" t="s">
        <v>6</v>
      </c>
      <c r="H3" s="6"/>
      <c r="I3" s="5"/>
      <c r="J3" s="5"/>
      <c r="K3" s="5"/>
      <c r="L3" s="5"/>
      <c r="M3" s="5"/>
      <c r="N3" s="5"/>
      <c r="O3" s="5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ht="15.75" customHeight="1" spans="1:154">
      <c r="A4" s="9"/>
      <c r="B4" s="9" t="str">
        <f>IFERROR(__xludf.DUMMYFUNCTION("IF(C3="""","""",Transpose(IMPORTRANGE('_Settings'!$B$3,C3&amp;""!A4:A1000"")))"),"UpdateBeta")</f>
        <v>UpdateBeta</v>
      </c>
      <c r="C4" s="9" t="s">
        <v>53</v>
      </c>
      <c r="D4" s="9" t="s">
        <v>54</v>
      </c>
      <c r="E4" s="9" t="s">
        <v>55</v>
      </c>
      <c r="F4" s="9" t="s">
        <v>56</v>
      </c>
      <c r="G4" s="9" t="s">
        <v>57</v>
      </c>
      <c r="H4" s="9" t="s">
        <v>58</v>
      </c>
      <c r="I4" s="9" t="s">
        <v>59</v>
      </c>
      <c r="J4" s="9" t="s">
        <v>60</v>
      </c>
      <c r="K4" s="9" t="s">
        <v>61</v>
      </c>
      <c r="L4" s="9" t="s">
        <v>62</v>
      </c>
      <c r="M4" s="9" t="s">
        <v>52</v>
      </c>
      <c r="N4" s="9" t="s">
        <v>63</v>
      </c>
      <c r="O4" s="9" t="s">
        <v>64</v>
      </c>
      <c r="P4" s="19" t="s">
        <v>65</v>
      </c>
      <c r="Q4" s="19" t="s">
        <v>66</v>
      </c>
      <c r="R4" s="19" t="s">
        <v>67</v>
      </c>
      <c r="S4" s="19" t="s">
        <v>68</v>
      </c>
      <c r="T4" s="19" t="s">
        <v>69</v>
      </c>
      <c r="U4" s="19" t="s">
        <v>70</v>
      </c>
      <c r="V4" s="19" t="s">
        <v>71</v>
      </c>
      <c r="W4" s="19" t="s">
        <v>72</v>
      </c>
      <c r="X4" s="19" t="s">
        <v>73</v>
      </c>
      <c r="Y4" s="19" t="s">
        <v>74</v>
      </c>
      <c r="Z4" s="19" t="s">
        <v>75</v>
      </c>
      <c r="AA4" s="19" t="s">
        <v>59</v>
      </c>
      <c r="AB4" s="19" t="s">
        <v>76</v>
      </c>
      <c r="AC4" s="19" t="s">
        <v>77</v>
      </c>
      <c r="AD4" s="19" t="s">
        <v>53</v>
      </c>
      <c r="AE4" s="19" t="s">
        <v>78</v>
      </c>
      <c r="AF4" s="19" t="s">
        <v>79</v>
      </c>
      <c r="AG4" s="19" t="s">
        <v>80</v>
      </c>
      <c r="AH4" s="19" t="s">
        <v>81</v>
      </c>
      <c r="AI4" s="19" t="s">
        <v>82</v>
      </c>
      <c r="AJ4" s="19" t="s">
        <v>83</v>
      </c>
      <c r="AK4" s="19" t="s">
        <v>84</v>
      </c>
      <c r="AL4" s="19" t="s">
        <v>85</v>
      </c>
      <c r="AM4" s="19" t="s">
        <v>86</v>
      </c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19"/>
      <c r="EQ4" s="19"/>
      <c r="ER4" s="19"/>
      <c r="ES4" s="19"/>
      <c r="ET4" s="19"/>
      <c r="EU4" s="19"/>
      <c r="EV4" s="19"/>
      <c r="EW4" s="19"/>
      <c r="EX4" s="19"/>
    </row>
    <row r="5" ht="15.75" customHeight="1" spans="1:154">
      <c r="A5" s="10" t="str">
        <f>IFERROR(__xludf.DUMMYFUNCTION("TRANSPOSE(IMPORTRANGE(VLOOKUP($E$3,IMPORTRANGE('_Settings'!$B$3,$C$3&amp;""!A4:B1000""),2,FALSE),$G$3&amp;""!A4:A1000""))"),"")</f>
        <v/>
      </c>
      <c r="B5" s="11" t="s">
        <v>87</v>
      </c>
      <c r="C5" s="11" t="s">
        <v>88</v>
      </c>
      <c r="D5" s="11"/>
      <c r="E5" s="11"/>
      <c r="F5" s="12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20"/>
      <c r="EQ5" s="20"/>
      <c r="ER5" s="20"/>
      <c r="ES5" s="20"/>
      <c r="ET5" s="20"/>
      <c r="EU5" s="20"/>
      <c r="EV5" s="20"/>
      <c r="EW5" s="20"/>
      <c r="EX5" s="20"/>
    </row>
    <row r="6" ht="15.75" customHeight="1" spans="1:154">
      <c r="A6" s="13"/>
      <c r="B6" s="22">
        <f ca="1" t="shared" ref="B6:C6" si="0">TODAY()-1</f>
        <v>42992</v>
      </c>
      <c r="C6" s="22">
        <f ca="1" t="shared" si="0"/>
        <v>42992</v>
      </c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</row>
    <row r="7" ht="15.75" customHeight="1" spans="1:1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 spans="1:1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 spans="1:1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 spans="1:1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 spans="1:1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 spans="1:1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 spans="1:1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 spans="1:1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 spans="1: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 spans="1:1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 spans="1:1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 spans="1:1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 spans="1:1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 spans="1:1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 spans="1:1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 spans="1:1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 spans="1:1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 spans="1:1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 spans="1:1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 spans="1:1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3">
    <dataValidation type="list" allowBlank="1" showInputMessage="1" showErrorMessage="1" prompt="Ú䀀Āࣰ_x0005_" sqref="C3">
      <formula1>#REF!</formula1>
    </dataValidation>
    <dataValidation type="list" allowBlank="1" showInputMessage="1" showErrorMessage="1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5" right="0.75" top="1" bottom="1" header="0.511805555555556" footer="0.511805555555556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EX100"/>
  <sheetViews>
    <sheetView workbookViewId="0">
      <selection activeCell="A1" sqref="A1"/>
    </sheetView>
  </sheetViews>
  <sheetFormatPr defaultColWidth="17.2857142857143" defaultRowHeight="15" customHeight="1"/>
  <cols>
    <col min="1" max="1" width="6.71428571428571" customWidth="1"/>
    <col min="2" max="4" width="14.4285714285714" customWidth="1"/>
    <col min="5" max="5" width="18.5714285714286" customWidth="1"/>
    <col min="6" max="8" width="14.4285714285714" customWidth="1"/>
    <col min="9" max="9" width="18.1428571428571" customWidth="1"/>
    <col min="10" max="11" width="17.4285714285714" customWidth="1"/>
    <col min="12" max="154" width="14.4285714285714" customWidth="1"/>
  </cols>
  <sheetData>
    <row r="1" ht="15.75" customHeight="1" spans="1:154">
      <c r="A1" s="1"/>
      <c r="B1" s="2" t="s">
        <v>0</v>
      </c>
      <c r="C1" s="3"/>
      <c r="D1" s="3"/>
      <c r="E1" s="3"/>
      <c r="F1" s="3"/>
      <c r="G1" s="3"/>
      <c r="H1" s="3"/>
      <c r="I1" s="1"/>
      <c r="J1" s="1"/>
      <c r="K1" s="1"/>
      <c r="L1" s="1"/>
      <c r="M1" s="1"/>
      <c r="N1" s="1"/>
      <c r="O1" s="1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</row>
    <row r="2" ht="15.75" customHeight="1" spans="1:15">
      <c r="A2" s="4"/>
      <c r="B2" s="4"/>
      <c r="C2" s="4"/>
      <c r="D2" s="4"/>
      <c r="E2" s="4"/>
      <c r="F2" s="4"/>
      <c r="G2" s="4"/>
      <c r="H2" s="4"/>
      <c r="I2" s="4"/>
      <c r="J2" s="17" t="e">
        <f>VLOOKUP($E$3,#REF!,3,FALSE)</f>
        <v>#REF!</v>
      </c>
      <c r="K2" s="17"/>
      <c r="L2" s="4"/>
      <c r="M2" s="4"/>
      <c r="N2" s="4"/>
      <c r="O2" s="4"/>
    </row>
    <row r="3" ht="15.75" customHeight="1" spans="1:154">
      <c r="A3" s="5"/>
      <c r="B3" s="6" t="s">
        <v>1</v>
      </c>
      <c r="C3" s="7" t="s">
        <v>51</v>
      </c>
      <c r="D3" s="6" t="s">
        <v>3</v>
      </c>
      <c r="E3" s="7" t="s">
        <v>53</v>
      </c>
      <c r="F3" s="6" t="s">
        <v>5</v>
      </c>
      <c r="G3" s="8" t="s">
        <v>6</v>
      </c>
      <c r="H3" s="6"/>
      <c r="I3" s="5"/>
      <c r="J3" s="5"/>
      <c r="K3" s="5"/>
      <c r="L3" s="5"/>
      <c r="M3" s="5"/>
      <c r="N3" s="5"/>
      <c r="O3" s="5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ht="15.75" customHeight="1" spans="1:154">
      <c r="A4" s="9"/>
      <c r="B4" s="9" t="str">
        <f>IFERROR(__xludf.DUMMYFUNCTION("IF(C3="""","""",Transpose(IMPORTRANGE('_Settings'!$B$3,C3&amp;""!A4:A1000"")))"),"UpdateBeta")</f>
        <v>UpdateBeta</v>
      </c>
      <c r="C4" s="9" t="s">
        <v>53</v>
      </c>
      <c r="D4" s="9" t="s">
        <v>54</v>
      </c>
      <c r="E4" s="9" t="s">
        <v>55</v>
      </c>
      <c r="F4" s="9" t="s">
        <v>56</v>
      </c>
      <c r="G4" s="9" t="s">
        <v>57</v>
      </c>
      <c r="H4" s="9" t="s">
        <v>58</v>
      </c>
      <c r="I4" s="9" t="s">
        <v>59</v>
      </c>
      <c r="J4" s="9" t="s">
        <v>60</v>
      </c>
      <c r="K4" s="9" t="s">
        <v>61</v>
      </c>
      <c r="L4" s="9" t="s">
        <v>62</v>
      </c>
      <c r="M4" s="9" t="s">
        <v>52</v>
      </c>
      <c r="N4" s="9" t="s">
        <v>63</v>
      </c>
      <c r="O4" s="9" t="s">
        <v>64</v>
      </c>
      <c r="P4" s="19" t="s">
        <v>65</v>
      </c>
      <c r="Q4" s="19" t="s">
        <v>66</v>
      </c>
      <c r="R4" s="19" t="s">
        <v>67</v>
      </c>
      <c r="S4" s="19" t="s">
        <v>68</v>
      </c>
      <c r="T4" s="19" t="s">
        <v>69</v>
      </c>
      <c r="U4" s="19" t="s">
        <v>70</v>
      </c>
      <c r="V4" s="19" t="s">
        <v>71</v>
      </c>
      <c r="W4" s="19" t="s">
        <v>72</v>
      </c>
      <c r="X4" s="19" t="s">
        <v>73</v>
      </c>
      <c r="Y4" s="19" t="s">
        <v>74</v>
      </c>
      <c r="Z4" s="19" t="s">
        <v>75</v>
      </c>
      <c r="AA4" s="19" t="s">
        <v>59</v>
      </c>
      <c r="AB4" s="19" t="s">
        <v>76</v>
      </c>
      <c r="AC4" s="19" t="s">
        <v>77</v>
      </c>
      <c r="AD4" s="19" t="s">
        <v>53</v>
      </c>
      <c r="AE4" s="19" t="s">
        <v>78</v>
      </c>
      <c r="AF4" s="19" t="s">
        <v>79</v>
      </c>
      <c r="AG4" s="19" t="s">
        <v>80</v>
      </c>
      <c r="AH4" s="19" t="s">
        <v>81</v>
      </c>
      <c r="AI4" s="19" t="s">
        <v>82</v>
      </c>
      <c r="AJ4" s="19" t="s">
        <v>83</v>
      </c>
      <c r="AK4" s="19" t="s">
        <v>84</v>
      </c>
      <c r="AL4" s="19" t="s">
        <v>85</v>
      </c>
      <c r="AM4" s="19" t="s">
        <v>86</v>
      </c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19"/>
      <c r="EQ4" s="19"/>
      <c r="ER4" s="19"/>
      <c r="ES4" s="19"/>
      <c r="ET4" s="19"/>
      <c r="EU4" s="19"/>
      <c r="EV4" s="19"/>
      <c r="EW4" s="19"/>
      <c r="EX4" s="19"/>
    </row>
    <row r="5" ht="15.75" customHeight="1" spans="1:154">
      <c r="A5" s="10" t="str">
        <f>IFERROR(__xludf.DUMMYFUNCTION("TRANSPOSE(IMPORTRANGE(VLOOKUP($E$3,IMPORTRANGE('_Settings'!$B$3,$C$3&amp;""!A4:B1000""),2,FALSE),$G$3&amp;""!A4:A1000""))"),"")</f>
        <v/>
      </c>
      <c r="B5" s="11" t="s">
        <v>35</v>
      </c>
      <c r="C5" s="11" t="s">
        <v>89</v>
      </c>
      <c r="D5" s="11" t="s">
        <v>90</v>
      </c>
      <c r="E5" s="11"/>
      <c r="F5" s="12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20"/>
      <c r="EQ5" s="20"/>
      <c r="ER5" s="20"/>
      <c r="ES5" s="20"/>
      <c r="ET5" s="20"/>
      <c r="EU5" s="20"/>
      <c r="EV5" s="20"/>
      <c r="EW5" s="20"/>
      <c r="EX5" s="20"/>
    </row>
    <row r="6" ht="15.75" customHeight="1" spans="1:154">
      <c r="A6" s="13"/>
      <c r="B6" s="14" t="s">
        <v>50</v>
      </c>
      <c r="C6" s="14" t="s">
        <v>91</v>
      </c>
      <c r="D6" s="15">
        <v>10000</v>
      </c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</row>
    <row r="7" ht="15.75" customHeight="1" spans="1:154">
      <c r="A7" s="13"/>
      <c r="B7" s="14" t="s">
        <v>49</v>
      </c>
      <c r="C7" s="14" t="s">
        <v>91</v>
      </c>
      <c r="D7" s="15">
        <v>20000</v>
      </c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</row>
    <row r="8" ht="15.75" customHeight="1" spans="1:1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 spans="1:1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 spans="1:1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 spans="1:1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 spans="1:1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 spans="1:1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 spans="1:1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 spans="1: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 spans="1:1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 spans="1:1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 spans="1:1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 spans="1:1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 spans="1:1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 spans="1:1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 spans="1:1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 spans="1:1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 spans="1:1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 spans="1:1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 spans="1:1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3">
    <dataValidation type="list" allowBlank="1" showInputMessage="1" showErrorMessage="1" prompt="Choose an available module" sqref="C3">
      <formula1>#REF!</formula1>
    </dataValidation>
    <dataValidation type="list" allowBlank="1" showInputMessage="1" showErrorMessage="1" sqref="E3">
      <formula1>UpdateDailyCash!$4:$4</formula1>
    </dataValidation>
    <dataValidation type="list" allowBlank="1" showInputMessage="1" showErrorMessage="1" sqref="G3">
      <formula1>"Input Format,Output Format"</formula1>
    </dataValidation>
  </dataValidations>
  <pageMargins left="0.75" right="0.75" top="1" bottom="1" header="0.511805555555556" footer="0.511805555555556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EX100"/>
  <sheetViews>
    <sheetView workbookViewId="0">
      <selection activeCell="A1" sqref="A1"/>
    </sheetView>
  </sheetViews>
  <sheetFormatPr defaultColWidth="17.2857142857143" defaultRowHeight="15" customHeight="1"/>
  <cols>
    <col min="1" max="1" width="6.71428571428571" customWidth="1"/>
    <col min="2" max="4" width="14.4285714285714" customWidth="1"/>
    <col min="5" max="5" width="18.5714285714286" customWidth="1"/>
    <col min="6" max="8" width="14.4285714285714" customWidth="1"/>
    <col min="9" max="9" width="18.1428571428571" customWidth="1"/>
    <col min="10" max="11" width="17.4285714285714" customWidth="1"/>
    <col min="12" max="154" width="14.4285714285714" customWidth="1"/>
  </cols>
  <sheetData>
    <row r="1" ht="15.75" customHeight="1" spans="1:154">
      <c r="A1" s="1"/>
      <c r="B1" s="2" t="s">
        <v>0</v>
      </c>
      <c r="C1" s="3"/>
      <c r="D1" s="3"/>
      <c r="E1" s="3"/>
      <c r="F1" s="3"/>
      <c r="G1" s="3"/>
      <c r="H1" s="3"/>
      <c r="I1" s="1"/>
      <c r="J1" s="1"/>
      <c r="K1" s="1"/>
      <c r="L1" s="1"/>
      <c r="M1" s="1"/>
      <c r="N1" s="1"/>
      <c r="O1" s="1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</row>
    <row r="2" ht="15.75" customHeight="1" spans="1:15">
      <c r="A2" s="4"/>
      <c r="B2" s="4"/>
      <c r="C2" s="4"/>
      <c r="D2" s="4"/>
      <c r="E2" s="4"/>
      <c r="F2" s="4"/>
      <c r="G2" s="4"/>
      <c r="H2" s="4"/>
      <c r="I2" s="4"/>
      <c r="J2" s="17" t="e">
        <f>VLOOKUP($E$3,#REF!,3,FALSE)</f>
        <v>#REF!</v>
      </c>
      <c r="K2" s="17"/>
      <c r="L2" s="4"/>
      <c r="M2" s="4"/>
      <c r="N2" s="4"/>
      <c r="O2" s="4"/>
    </row>
    <row r="3" ht="15.75" customHeight="1" spans="1:154">
      <c r="A3" s="5"/>
      <c r="B3" s="6" t="s">
        <v>1</v>
      </c>
      <c r="C3" s="7" t="s">
        <v>92</v>
      </c>
      <c r="D3" s="6" t="s">
        <v>3</v>
      </c>
      <c r="E3" s="7" t="s">
        <v>93</v>
      </c>
      <c r="F3" s="6" t="s">
        <v>5</v>
      </c>
      <c r="G3" s="8" t="s">
        <v>6</v>
      </c>
      <c r="H3" s="6"/>
      <c r="I3" s="5"/>
      <c r="J3" s="5"/>
      <c r="K3" s="5"/>
      <c r="L3" s="5"/>
      <c r="M3" s="5"/>
      <c r="N3" s="5"/>
      <c r="O3" s="5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ht="15.75" customHeight="1" spans="1:154">
      <c r="A4" s="9"/>
      <c r="B4" s="9" t="str">
        <f>IFERROR(__xludf.DUMMYFUNCTION("IF(C3="""","""",Transpose(IMPORTRANGE('_Settings'!$B$3,C3&amp;""!A4:A1000"")))"),"OpenTTFromPST")</f>
        <v>OpenTTFromPST</v>
      </c>
      <c r="C4" s="9" t="s">
        <v>94</v>
      </c>
      <c r="D4" s="9" t="s">
        <v>95</v>
      </c>
      <c r="E4" s="9" t="s">
        <v>96</v>
      </c>
      <c r="F4" s="9" t="s">
        <v>97</v>
      </c>
      <c r="G4" s="9" t="s">
        <v>98</v>
      </c>
      <c r="H4" s="9" t="s">
        <v>99</v>
      </c>
      <c r="I4" s="9" t="s">
        <v>100</v>
      </c>
      <c r="J4" s="9" t="s">
        <v>101</v>
      </c>
      <c r="K4" s="9" t="s">
        <v>101</v>
      </c>
      <c r="L4" s="9" t="s">
        <v>102</v>
      </c>
      <c r="M4" s="9" t="s">
        <v>93</v>
      </c>
      <c r="N4" s="9" t="s">
        <v>103</v>
      </c>
      <c r="O4" s="9" t="s">
        <v>104</v>
      </c>
      <c r="P4" s="19" t="s">
        <v>105</v>
      </c>
      <c r="Q4" s="19" t="s">
        <v>106</v>
      </c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19"/>
      <c r="EQ4" s="19"/>
      <c r="ER4" s="19"/>
      <c r="ES4" s="19"/>
      <c r="ET4" s="19"/>
      <c r="EU4" s="19"/>
      <c r="EV4" s="19"/>
      <c r="EW4" s="19"/>
      <c r="EX4" s="19"/>
    </row>
    <row r="5" ht="15.75" customHeight="1" spans="1:154">
      <c r="A5" s="10" t="str">
        <f>IFERROR(__xludf.DUMMYFUNCTION("TRANSPOSE(IMPORTRANGE(VLOOKUP($E$3,IMPORTRANGE('_Settings'!$B$3,$C$3&amp;""!A4:B1000""),2,FALSE),$G$3&amp;""!A4:A1000""))"),"")</f>
        <v/>
      </c>
      <c r="B5" s="11" t="s">
        <v>107</v>
      </c>
      <c r="C5" s="11" t="s">
        <v>108</v>
      </c>
      <c r="D5" s="11" t="s">
        <v>109</v>
      </c>
      <c r="E5" s="11" t="s">
        <v>110</v>
      </c>
      <c r="F5" s="12" t="s">
        <v>111</v>
      </c>
      <c r="G5" s="11" t="s">
        <v>112</v>
      </c>
      <c r="H5" s="11" t="s">
        <v>113</v>
      </c>
      <c r="I5" s="11" t="s">
        <v>114</v>
      </c>
      <c r="J5" s="11" t="s">
        <v>27</v>
      </c>
      <c r="K5" s="11" t="s">
        <v>115</v>
      </c>
      <c r="L5" s="11" t="s">
        <v>116</v>
      </c>
      <c r="M5" s="11" t="s">
        <v>117</v>
      </c>
      <c r="N5" s="11" t="s">
        <v>118</v>
      </c>
      <c r="O5" s="11" t="s">
        <v>119</v>
      </c>
      <c r="P5" s="11" t="s">
        <v>120</v>
      </c>
      <c r="Q5" s="11" t="s">
        <v>121</v>
      </c>
      <c r="R5" s="11" t="s">
        <v>122</v>
      </c>
      <c r="S5" s="11" t="s">
        <v>123</v>
      </c>
      <c r="T5" s="20" t="s">
        <v>124</v>
      </c>
      <c r="U5" s="20" t="s">
        <v>125</v>
      </c>
      <c r="V5" s="20" t="s">
        <v>126</v>
      </c>
      <c r="W5" s="20" t="s">
        <v>127</v>
      </c>
      <c r="X5" s="20" t="s">
        <v>128</v>
      </c>
      <c r="Y5" s="20" t="s">
        <v>129</v>
      </c>
      <c r="Z5" s="20" t="s">
        <v>130</v>
      </c>
      <c r="AA5" s="20" t="s">
        <v>131</v>
      </c>
      <c r="AB5" s="20" t="s">
        <v>132</v>
      </c>
      <c r="AC5" s="20" t="s">
        <v>133</v>
      </c>
      <c r="AD5" s="20" t="s">
        <v>134</v>
      </c>
      <c r="AE5" s="20" t="s">
        <v>135</v>
      </c>
      <c r="AF5" s="20" t="s">
        <v>136</v>
      </c>
      <c r="AG5" s="20" t="s">
        <v>137</v>
      </c>
      <c r="AH5" s="20" t="s">
        <v>138</v>
      </c>
      <c r="AI5" s="20" t="s">
        <v>139</v>
      </c>
      <c r="AJ5" s="20" t="s">
        <v>140</v>
      </c>
      <c r="AK5" s="20" t="s">
        <v>35</v>
      </c>
      <c r="AL5" s="20" t="s">
        <v>141</v>
      </c>
      <c r="AM5" s="20" t="s">
        <v>142</v>
      </c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20"/>
      <c r="EQ5" s="20"/>
      <c r="ER5" s="20"/>
      <c r="ES5" s="20"/>
      <c r="ET5" s="20"/>
      <c r="EU5" s="20"/>
      <c r="EV5" s="20"/>
      <c r="EW5" s="20"/>
      <c r="EX5" s="20"/>
    </row>
    <row r="6" ht="15.75" customHeight="1" spans="1:154">
      <c r="A6" s="13"/>
      <c r="B6" s="14" t="s">
        <v>31</v>
      </c>
      <c r="C6" s="14" t="s">
        <v>143</v>
      </c>
      <c r="D6" s="15">
        <v>100</v>
      </c>
      <c r="E6" s="15">
        <v>100</v>
      </c>
      <c r="F6" s="14" t="s">
        <v>50</v>
      </c>
      <c r="G6" s="13"/>
      <c r="H6" s="13"/>
      <c r="I6" s="13"/>
      <c r="J6" s="15">
        <v>20</v>
      </c>
      <c r="K6" s="13"/>
      <c r="L6" s="13"/>
      <c r="M6" s="13"/>
      <c r="N6" s="21">
        <f ca="1" t="shared" ref="N6:N7" si="0">TODAY()</f>
        <v>42993</v>
      </c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</row>
    <row r="7" ht="15.75" customHeight="1" spans="1:154">
      <c r="A7" s="13"/>
      <c r="B7" s="14" t="s">
        <v>31</v>
      </c>
      <c r="C7" s="14" t="s">
        <v>143</v>
      </c>
      <c r="D7" s="15">
        <v>50</v>
      </c>
      <c r="E7" s="15">
        <v>50</v>
      </c>
      <c r="F7" s="14" t="s">
        <v>49</v>
      </c>
      <c r="G7" s="13"/>
      <c r="H7" s="13"/>
      <c r="I7" s="13"/>
      <c r="J7" s="15">
        <v>20</v>
      </c>
      <c r="K7" s="13"/>
      <c r="L7" s="13"/>
      <c r="M7" s="13"/>
      <c r="N7" s="21">
        <f ca="1" t="shared" si="0"/>
        <v>42993</v>
      </c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</row>
    <row r="8" ht="15.75" customHeight="1" spans="1:1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 spans="1:1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 spans="1:1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 spans="1:1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 spans="1:1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 spans="1:1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 spans="1:1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 spans="1: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 spans="1:1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 spans="1:1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 spans="1:1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 spans="1:1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 spans="1:1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 spans="1:1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 spans="1:1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 spans="1:1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 spans="1:1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 spans="1:1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 spans="1:1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3">
    <dataValidation type="list" allowBlank="1" showInputMessage="1" showErrorMessage="1" prompt="Choose an available module" sqref="C3">
      <formula1>#REF!</formula1>
    </dataValidation>
    <dataValidation type="list" allowBlank="1" showInputMessage="1" showErrorMessage="1" sqref="E3">
      <formula1>CreateDoneAwayOrder!$4:$4</formula1>
    </dataValidation>
    <dataValidation type="list" allowBlank="1" showInputMessage="1" showErrorMessage="1" sqref="G3">
      <formula1>"Input Format,Output Format"</formula1>
    </dataValidation>
  </dataValidations>
  <pageMargins left="0.75" right="0.75" top="1" bottom="1" header="0.511805555555556" footer="0.511805555555556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EX100"/>
  <sheetViews>
    <sheetView workbookViewId="0">
      <selection activeCell="F19" sqref="F19"/>
    </sheetView>
  </sheetViews>
  <sheetFormatPr defaultColWidth="17.2857142857143" defaultRowHeight="15" customHeight="1"/>
  <cols>
    <col min="1" max="1" width="6.71428571428571" customWidth="1"/>
    <col min="2" max="4" width="14.4285714285714" customWidth="1"/>
    <col min="5" max="5" width="18.5714285714286" customWidth="1"/>
    <col min="6" max="8" width="14.4285714285714" customWidth="1"/>
    <col min="9" max="9" width="18.1428571428571" customWidth="1"/>
    <col min="10" max="11" width="17.4285714285714" customWidth="1"/>
    <col min="12" max="154" width="14.4285714285714" customWidth="1"/>
  </cols>
  <sheetData>
    <row r="1" ht="15.75" customHeight="1" spans="1:154">
      <c r="A1" s="1"/>
      <c r="B1" s="2" t="s">
        <v>0</v>
      </c>
      <c r="C1" s="3"/>
      <c r="D1" s="3"/>
      <c r="E1" s="3"/>
      <c r="F1" s="3"/>
      <c r="G1" s="3"/>
      <c r="H1" s="3"/>
      <c r="I1" s="1"/>
      <c r="J1" s="1"/>
      <c r="K1" s="1"/>
      <c r="L1" s="1"/>
      <c r="M1" s="1"/>
      <c r="N1" s="1"/>
      <c r="O1" s="1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</row>
    <row r="2" ht="15.75" customHeight="1" spans="1:15">
      <c r="A2" s="4"/>
      <c r="B2" s="4"/>
      <c r="C2" s="4"/>
      <c r="D2" s="4"/>
      <c r="E2" s="4"/>
      <c r="F2" s="4"/>
      <c r="G2" s="4"/>
      <c r="H2" s="4"/>
      <c r="I2" s="4"/>
      <c r="J2" s="17" t="e">
        <f>VLOOKUP($E$3,#REF!,3,FALSE)</f>
        <v>#REF!</v>
      </c>
      <c r="K2" s="17"/>
      <c r="L2" s="4"/>
      <c r="M2" s="4"/>
      <c r="N2" s="4"/>
      <c r="O2" s="4"/>
    </row>
    <row r="3" ht="15.75" customHeight="1" spans="1:154">
      <c r="A3" s="5"/>
      <c r="B3" s="6" t="s">
        <v>1</v>
      </c>
      <c r="C3" s="7" t="s">
        <v>144</v>
      </c>
      <c r="D3" s="6" t="s">
        <v>3</v>
      </c>
      <c r="E3" s="7" t="s">
        <v>144</v>
      </c>
      <c r="F3" s="6" t="s">
        <v>5</v>
      </c>
      <c r="G3" s="8" t="s">
        <v>6</v>
      </c>
      <c r="H3" s="6"/>
      <c r="I3" s="5"/>
      <c r="J3" s="5"/>
      <c r="K3" s="5"/>
      <c r="L3" s="5"/>
      <c r="M3" s="5"/>
      <c r="N3" s="5"/>
      <c r="O3" s="5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ht="15.75" customHeight="1" spans="1:154">
      <c r="A4" s="9"/>
      <c r="B4" s="9" t="str">
        <f>IFERROR(__xludf.DUMMYFUNCTION("IF(C3="""","""",Transpose(IMPORTRANGE('_Settings'!$B$3,C3&amp;""!A4:A1000"")))"),"PricingInput")</f>
        <v>PricingInput</v>
      </c>
      <c r="C4" s="9" t="s">
        <v>145</v>
      </c>
      <c r="D4" s="9" t="s">
        <v>146</v>
      </c>
      <c r="E4" s="9" t="s">
        <v>147</v>
      </c>
      <c r="F4" s="9"/>
      <c r="G4" s="9"/>
      <c r="H4" s="9"/>
      <c r="I4" s="9"/>
      <c r="J4" s="9"/>
      <c r="K4" s="9"/>
      <c r="L4" s="9"/>
      <c r="M4" s="9"/>
      <c r="N4" s="9"/>
      <c r="O4" s="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19"/>
      <c r="EQ4" s="19"/>
      <c r="ER4" s="19"/>
      <c r="ES4" s="19"/>
      <c r="ET4" s="19"/>
      <c r="EU4" s="19"/>
      <c r="EV4" s="19"/>
      <c r="EW4" s="19"/>
      <c r="EX4" s="19"/>
    </row>
    <row r="5" ht="15.75" customHeight="1" spans="1:154">
      <c r="A5" s="10" t="str">
        <f>IFERROR(__xludf.DUMMYFUNCTION("TRANSPOSE(IMPORTRANGE(VLOOKUP($E$3,IMPORTRANGE('_Settings'!$B$3,$C$3&amp;""!A4:B1000""),2,FALSE),$G$3&amp;""!A4:A1000""))"),"")</f>
        <v/>
      </c>
      <c r="B5" s="11" t="s">
        <v>107</v>
      </c>
      <c r="C5" s="11" t="s">
        <v>148</v>
      </c>
      <c r="D5" s="11" t="s">
        <v>149</v>
      </c>
      <c r="E5" s="11" t="s">
        <v>150</v>
      </c>
      <c r="F5" s="12" t="s">
        <v>151</v>
      </c>
      <c r="G5" s="11" t="s">
        <v>152</v>
      </c>
      <c r="H5" s="11" t="s">
        <v>153</v>
      </c>
      <c r="I5" s="11" t="s">
        <v>154</v>
      </c>
      <c r="J5" s="11" t="s">
        <v>155</v>
      </c>
      <c r="K5" s="11" t="s">
        <v>156</v>
      </c>
      <c r="L5" s="11" t="s">
        <v>157</v>
      </c>
      <c r="M5" s="11" t="s">
        <v>158</v>
      </c>
      <c r="N5" s="11" t="s">
        <v>159</v>
      </c>
      <c r="O5" s="11" t="s">
        <v>160</v>
      </c>
      <c r="P5" s="11" t="s">
        <v>161</v>
      </c>
      <c r="Q5" s="11" t="s">
        <v>162</v>
      </c>
      <c r="R5" s="11" t="s">
        <v>163</v>
      </c>
      <c r="S5" s="11" t="s">
        <v>164</v>
      </c>
      <c r="T5" s="20" t="s">
        <v>165</v>
      </c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20"/>
      <c r="EQ5" s="20"/>
      <c r="ER5" s="20"/>
      <c r="ES5" s="20"/>
      <c r="ET5" s="20"/>
      <c r="EU5" s="20"/>
      <c r="EV5" s="20"/>
      <c r="EW5" s="20"/>
      <c r="EX5" s="20"/>
    </row>
    <row r="6" ht="15.75" customHeight="1" spans="1:154">
      <c r="A6" s="13"/>
      <c r="B6" s="14" t="s">
        <v>31</v>
      </c>
      <c r="C6" s="15">
        <v>20</v>
      </c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</row>
    <row r="7" ht="15.75" customHeight="1" spans="1:1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 spans="1:1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 spans="1:1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 spans="1:1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 spans="1:1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 spans="1:1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 spans="1:1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 spans="1:1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 spans="1: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 spans="1:1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 spans="1:1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 spans="1:1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 spans="1:1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 spans="1:1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 spans="1:1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 spans="1:1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 spans="1:1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 spans="1:1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 spans="1:1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 spans="1:1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3">
    <dataValidation type="list" allowBlank="1" showInputMessage="1" showErrorMessage="1" prompt="Choose an available module" sqref="C3">
      <formula1>#REF!</formula1>
    </dataValidation>
    <dataValidation type="list" allowBlank="1" showInputMessage="1" showErrorMessage="1" sqref="E3">
      <formula1>PricingInput!$4:$4</formula1>
    </dataValidation>
    <dataValidation type="list" allowBlank="1" showInputMessage="1" showErrorMessage="1" sqref="G3">
      <formula1>"Input Format,Output Format"</formula1>
    </dataValidation>
  </dataValidations>
  <pageMargins left="0.75" right="0.75" top="1" bottom="1" header="0.511805555555556" footer="0.511805555555556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CalculatePTT</vt:lpstr>
      <vt:lpstr>VerifyPTT</vt:lpstr>
      <vt:lpstr>GetDailyCash</vt:lpstr>
      <vt:lpstr>UpdateDailyCash</vt:lpstr>
      <vt:lpstr>CreateDoneAwayOrder</vt:lpstr>
      <vt:lpstr>PricingInput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2017-09-14T13:11:00Z</dcterms:created>
  <dcterms:modified xsi:type="dcterms:W3CDTF">2017-09-15T06:58:04Z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1033-10.2.0.5934</vt:lpwstr>
  </property>
</Properties>
</file>