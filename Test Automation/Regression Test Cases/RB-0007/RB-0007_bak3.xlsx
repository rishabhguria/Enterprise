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<sst xmlns="http://schemas.openxmlformats.org/spreadsheetml/2006/main" count="131" uniqueCount="48">
  <si>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</si>
  <si>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</si>
  <si>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</si>
  <si>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</si>
  <si>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</si>
  <si>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</si>
  <si>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</si>
  <si>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</si>
  <si>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</si>
  <si>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</si>
  <si>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</si>
  <si>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</si>
  <si>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</si>
  <si>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</si>
  <si>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</si>
  <si>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</si>
  <si>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</si>
  <si>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</si>
  <si>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</si>
  <si>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</si>
  <si>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</si>
  <si>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</si>
  <si>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</si>
  <si>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</si>
  <si>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</si>
  <si>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</si>
  <si>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</si>
  <si>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</si>
  <si>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</si>
  <si>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</si>
  <si>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</si>
  <si>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</si>
  <si>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</si>
  <si>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</si>
  <si>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</si>
  <si>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</si>
  <si>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</si>
  <si>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</si>
  <si>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</si>
  <si>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</si>
  <si>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 xml:space="preserve">Set </t>
  </si>
  <si>
    <t>ModifyRebalance</t>
  </si>
  <si>
    <t>Yes</t>
  </si>
  <si>
    <t>VerifyGridData</t>
  </si>
  <si>
    <t>Equity</t>
  </si>
  <si>
    <t>Long</t>
  </si>
  <si>
    <t>Short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</si>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</sst>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s="10" t="str">
        <f>IFERROR(__xludf.DUMMYFUNCTION("""COMPUTED_VALUE"""),"Compliance")</f>
        <v>Compliance</v>
      </c>
      <c r="B369" s="11" t="str">
        <f>IFERROR(__xludf.DUMMYFUNCTION("""COMPUTED_VALUE"""),"VerifySymbolDataWindow")</f>
        <v>VerifySymbolDataWindow</v>
      </c>
      <c r="C369" s="11" t="str">
        <f>IFERROR(__xludf.DUMMYFUNCTION("""COMPUTED_VALUE"""),"13iKSNjdwzv3DKe_1fcHZJ8GUk5s-HKAGG5PE6MY-smA")</f>
        <v>13iKSNjdwzv3DKe_1fcHZJ8GUk5s-HKAGG5PE6MY-smA</v>
      </c>
    </row>
    <row r="370" ht="15.75" customHeight="1">
      <c r="A370" s="11" t="str">
        <f>IFERROR(__xludf.DUMMYFUNCTION("""COMPUTED_VALUE"""),"Compliance")</f>
        <v>Compliance</v>
      </c>
      <c r="B370" s="11" t="str">
        <f>IFERROR(__xludf.DUMMYFUNCTION("""COMPUTED_VALUE"""),"VerifySymbolDivisorWindow")</f>
        <v>VerifySymbolDivisorWindow</v>
      </c>
      <c r="C370" s="11" t="str">
        <f>IFERROR(__xludf.DUMMYFUNCTION("""COMPUTED_VALUE"""),"1uyHz1cQUHCK-GcBufMehtS9i6BspKa5HVCLnf4pfGuk")</f>
        <v>1uyHz1cQUHCK-GcBufMehtS9i6BspKa5HVCLnf4pfGuk</v>
      </c>
    </row>
    <row r="371" ht="15.75" customHeight="1">
      <c r="A371" s="11" t="str">
        <f>IFERROR(__xludf.DUMMYFUNCTION("""COMPUTED_VALUE"""),"Compliance")</f>
        <v>Compliance</v>
      </c>
      <c r="B371" s="11" t="str">
        <f>IFERROR(__xludf.DUMMYFUNCTION("""COMPUTED_VALUE"""),"VerifyTaxlotWindow")</f>
        <v>VerifyTaxlotWindow</v>
      </c>
      <c r="C371" s="11" t="str">
        <f>IFERROR(__xludf.DUMMYFUNCTION("""COMPUTED_VALUE"""),"1LmfcHeXwbnPa-An0b_OD4pDLm7pUlzSX41G5QZ2Uons")</f>
        <v>1LmfcHeXwbnPa-An0b_OD4pDLm7pUlzSX41G5QZ2Uons</v>
      </c>
    </row>
    <row r="372" ht="15.75" customHeight="1">
      <c r="A372" s="11" t="str">
        <f>IFERROR(__xludf.DUMMYFUNCTION("""COMPUTED_VALUE"""),"Compliance")</f>
        <v>Compliance</v>
      </c>
      <c r="B372" s="11" t="str">
        <f>IFERROR(__xludf.DUMMYFUNCTION("""COMPUTED_VALUE"""),"RestartEsper")</f>
        <v>RestartEsper</v>
      </c>
      <c r="C372" s="11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2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3" t="s">
        <v>4</v>
      </c>
      <c r="C3" s="8"/>
    </row>
    <row r="4" ht="15.75" customHeight="1">
      <c r="A4" s="14" t="s">
        <v>5</v>
      </c>
      <c r="B4" s="13" t="s">
        <v>6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6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4" t="s">
        <v>8</v>
      </c>
      <c r="B3" s="17" t="s">
        <v>9</v>
      </c>
      <c r="C3" s="17" t="s">
        <v>10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>
        <f t="shared" ref="B6:C6" si="1">TODAY()-1</f>
        <v>44773</v>
      </c>
      <c r="C6" s="33">
        <f t="shared" si="1"/>
        <v>44773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17</v>
      </c>
      <c r="C6" s="36" t="s">
        <v>18</v>
      </c>
      <c r="D6" s="37">
        <v>1000.0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18</v>
      </c>
      <c r="D7" s="39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IFERROR(__xludf.DUMMYFUNCTION("""COMPUTED_VALUE"""),"ShowMasterFundOnTT")</f>
        <v>ShowMasterFundOnTT</v>
      </c>
      <c r="R4" s="27" t="str">
        <f>IFERROR(__xludf.DUMMYFUNCTION("""COMPUTED_VALUE"""),"UpdateMasterFundOnTT")</f>
        <v>UpdateMasterFundOnTT</v>
      </c>
      <c r="S4" s="27" t="str">
        <f>IFERROR(__xludf.DUMMYFUNCTION("""COMPUTED_VALUE"""),"SetTTCompliancePreference")</f>
        <v>SetTTCompliancePreference</v>
      </c>
      <c r="T4" s="27" t="str">
        <f>IFERROR(__xludf.DUMMYFUNCTION("""COMPUTED_VALUE"""),"ImportSymbol")</f>
        <v>ImportSymbol</v>
      </c>
      <c r="U4" s="27" t="str">
        <f>IFERROR(__xludf.DUMMYFUNCTION("""COMPUTED_VALUE"""),"ExportSymbolFromRAList")</f>
        <v>ExportSymbolFromRAList</v>
      </c>
      <c r="V4" s="27" t="str">
        <f>IFERROR(__xludf.DUMMYFUNCTION("""COMPUTED_VALUE"""),"CheckPendingNewOrderAlert")</f>
        <v>CheckPendingNewOrderAlert</v>
      </c>
      <c r="W4" s="27" t="str">
        <f>IFERROR(__xludf.DUMMYFUNCTION("""COMPUTED_VALUE"""),"AddSymbolOnRAList")</f>
        <v>AddSymbolOnRAList</v>
      </c>
      <c r="X4" s="27" t="str">
        <f>IFERROR(__xludf.DUMMYFUNCTION("""COMPUTED_VALUE"""),"DeleteSymbolListFromRA")</f>
        <v>DeleteSymbolListFromRA</v>
      </c>
      <c r="Y4" s="27" t="str">
        <f>IFERROR(__xludf.DUMMYFUNCTION("""COMPUTED_VALUE"""),"RemoveSymbolFromRAList")</f>
        <v>RemoveSymbolFromRAList</v>
      </c>
      <c r="Z4" s="27" t="str">
        <f>IFERROR(__xludf.DUMMYFUNCTION("""COMPUTED_VALUE"""),"ToggleBlombergOnRA")</f>
        <v>ToggleBlombergOnRA</v>
      </c>
      <c r="AA4" s="27" t="str">
        <f>IFERROR(__xludf.DUMMYFUNCTION("""COMPUTED_VALUE"""),"CreateDoneAway")</f>
        <v>CreateDoneAway</v>
      </c>
      <c r="AB4" s="27" t="str">
        <f>IFERROR(__xludf.DUMMYFUNCTION("""COMPUTED_VALUE"""),"CreateDoneAwayOrder")</f>
        <v>CreateDoneAwayOrder</v>
      </c>
      <c r="AC4" s="27" t="str">
        <f>IFERROR(__xludf.DUMMYFUNCTION("""COMPUTED_VALUE"""),"SendLiveBloomberg")</f>
        <v>SendLiveBloomberg</v>
      </c>
      <c r="AD4" s="27" t="str">
        <f>IFERROR(__xludf.DUMMYFUNCTION("""COMPUTED_VALUE"""),"AddOptionTrade")</f>
        <v>AddOptionTrade</v>
      </c>
      <c r="AE4" s="27" t="str">
        <f>IFERROR(__xludf.DUMMYFUNCTION("""COMPUTED_VALUE"""),"ViewAllocation")</f>
        <v>ViewAllocation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IFERROR(__xludf.DUMMYFUNCTION("TRANSPOSE(IMPORTRANGE(VLOOKUP($E$3,IMPORTRANGE('_Settings'!$B$3,$C$3&amp;""!A4:B1000""),2,FALSE),$G$3&amp;""!A4:A1000""))"),"#REF!")</f>
        <v>#REF!</v>
      </c>
      <c r="B5" s="29"/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5" t="s">
        <v>22</v>
      </c>
      <c r="C6" s="36" t="s">
        <v>23</v>
      </c>
      <c r="D6" s="41">
        <v>100.0</v>
      </c>
      <c r="E6" s="42">
        <v>100.0</v>
      </c>
      <c r="F6" s="36" t="s">
        <v>17</v>
      </c>
      <c r="G6" s="43"/>
      <c r="H6" s="43"/>
      <c r="I6" s="43"/>
      <c r="J6" s="42">
        <v>10.0</v>
      </c>
      <c r="K6" s="43"/>
      <c r="L6" s="43"/>
      <c r="M6" s="43"/>
      <c r="N6" s="44">
        <f t="shared" ref="N6:N8" si="1">TODAY()</f>
        <v>44774</v>
      </c>
      <c r="O6" s="43"/>
      <c r="P6" s="43"/>
      <c r="Q6" s="43"/>
      <c r="R6" s="43"/>
      <c r="S6" s="43"/>
      <c r="T6" s="11"/>
      <c r="U6" s="11"/>
      <c r="V6" s="11"/>
      <c r="W6" s="11"/>
      <c r="X6" s="11"/>
      <c r="Y6" s="11"/>
      <c r="Z6" s="11"/>
    </row>
    <row r="7" ht="15.75" customHeight="1">
      <c r="A7" s="11"/>
      <c r="B7" s="38" t="s">
        <v>22</v>
      </c>
      <c r="C7" s="38" t="s">
        <v>23</v>
      </c>
      <c r="D7" s="45">
        <v>100.0</v>
      </c>
      <c r="E7" s="45">
        <v>100.0</v>
      </c>
      <c r="F7" s="38" t="s">
        <v>19</v>
      </c>
      <c r="G7" s="11"/>
      <c r="H7" s="11"/>
      <c r="I7" s="11"/>
      <c r="J7" s="45">
        <v>10.0</v>
      </c>
      <c r="K7" s="11"/>
      <c r="L7" s="11"/>
      <c r="M7" s="11"/>
      <c r="N7" s="46">
        <f t="shared" si="1"/>
        <v>44774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8"/>
      <c r="B8" s="13" t="s">
        <v>24</v>
      </c>
      <c r="C8" s="13" t="s">
        <v>25</v>
      </c>
      <c r="D8" s="13">
        <v>200.0</v>
      </c>
      <c r="E8" s="13">
        <v>200.0</v>
      </c>
      <c r="F8" s="13" t="s">
        <v>17</v>
      </c>
      <c r="G8" s="8"/>
      <c r="H8" s="8"/>
      <c r="I8" s="8"/>
      <c r="J8" s="13">
        <v>10.0</v>
      </c>
      <c r="K8" s="8"/>
      <c r="L8" s="8"/>
      <c r="M8" s="8"/>
      <c r="N8" s="46">
        <f t="shared" si="1"/>
        <v>44774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26</v>
      </c>
      <c r="D3" s="5" t="s">
        <v>9</v>
      </c>
      <c r="E3" s="24" t="s">
        <v>26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22</v>
      </c>
      <c r="C6" s="42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29</v>
      </c>
      <c r="C6" s="36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7">
        <v>0.0</v>
      </c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-1000.0</v>
      </c>
      <c r="C6" s="13" t="s">
        <v>34</v>
      </c>
      <c r="D6" s="13" t="s">
        <v>35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37</v>
      </c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39</v>
      </c>
      <c r="C6" s="13" t="s">
        <v>40</v>
      </c>
      <c r="D6" s="13">
        <v>50.0</v>
      </c>
      <c r="E6" s="13" t="s">
        <v>17</v>
      </c>
      <c r="F6" s="8"/>
      <c r="G6" s="8"/>
      <c r="H6" s="8"/>
      <c r="I6" s="8"/>
      <c r="J6" s="13">
        <v>66.0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4.88"/>
    <col customWidth="1" min="18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43"/>
      <c r="C6" s="48" t="s">
        <v>17</v>
      </c>
      <c r="D6" s="48" t="s">
        <v>22</v>
      </c>
      <c r="E6" s="48" t="s">
        <v>44</v>
      </c>
      <c r="F6" s="48" t="s">
        <v>45</v>
      </c>
      <c r="G6" s="49">
        <v>10.0</v>
      </c>
      <c r="H6" s="49">
        <v>10.0</v>
      </c>
      <c r="I6" s="49">
        <v>1.0</v>
      </c>
      <c r="J6" s="49"/>
      <c r="K6" s="49">
        <v>100.0</v>
      </c>
      <c r="L6" s="49">
        <v>1000.0</v>
      </c>
      <c r="M6" s="49">
        <v>1000.0</v>
      </c>
      <c r="N6" s="48"/>
      <c r="O6" s="49">
        <v>50.0</v>
      </c>
      <c r="Q6" s="49">
        <v>500.0</v>
      </c>
      <c r="R6" s="49">
        <v>-50.0</v>
      </c>
      <c r="S6" s="49">
        <v>-500.0</v>
      </c>
      <c r="T6" s="11"/>
      <c r="U6" s="11"/>
      <c r="V6" s="11"/>
      <c r="W6" s="11"/>
    </row>
    <row r="7" ht="15.75" customHeight="1">
      <c r="A7" s="11"/>
      <c r="B7" s="11"/>
      <c r="C7" s="48" t="s">
        <v>19</v>
      </c>
      <c r="D7" s="48" t="s">
        <v>22</v>
      </c>
      <c r="E7" s="48" t="s">
        <v>44</v>
      </c>
      <c r="F7" s="48" t="s">
        <v>45</v>
      </c>
      <c r="G7" s="49">
        <v>10.0</v>
      </c>
      <c r="H7" s="49">
        <v>10.0</v>
      </c>
      <c r="I7" s="49">
        <v>1.0</v>
      </c>
      <c r="J7" s="49"/>
      <c r="K7" s="49">
        <v>100.0</v>
      </c>
      <c r="L7" s="49">
        <v>1000.0</v>
      </c>
      <c r="M7" s="49">
        <v>1000.0</v>
      </c>
      <c r="N7" s="48"/>
      <c r="O7" s="49">
        <v>50.0</v>
      </c>
      <c r="Q7" s="49">
        <v>500.0</v>
      </c>
      <c r="R7" s="49">
        <v>-50.0</v>
      </c>
      <c r="S7" s="49">
        <v>-500.0</v>
      </c>
      <c r="T7" s="11"/>
      <c r="U7" s="11"/>
      <c r="V7" s="11"/>
      <c r="W7" s="11"/>
    </row>
    <row r="8" ht="15.75" customHeight="1">
      <c r="A8" s="8"/>
      <c r="B8" s="8"/>
      <c r="C8" s="48" t="s">
        <v>17</v>
      </c>
      <c r="D8" s="48" t="s">
        <v>39</v>
      </c>
      <c r="E8" s="48" t="s">
        <v>44</v>
      </c>
      <c r="F8" s="48" t="s">
        <v>45</v>
      </c>
      <c r="G8" s="49">
        <v>66.0</v>
      </c>
      <c r="H8" s="49">
        <v>66.0</v>
      </c>
      <c r="I8" s="49">
        <v>1.0</v>
      </c>
      <c r="J8" s="49"/>
      <c r="K8" s="49">
        <v>0.0</v>
      </c>
      <c r="L8" s="49">
        <v>0.0</v>
      </c>
      <c r="M8" s="49">
        <v>0.0</v>
      </c>
      <c r="N8" s="48"/>
      <c r="O8" s="49">
        <v>4.0</v>
      </c>
      <c r="Q8" s="49">
        <v>264.0</v>
      </c>
      <c r="R8" s="49">
        <v>4.0</v>
      </c>
      <c r="S8" s="49">
        <v>264.0</v>
      </c>
    </row>
    <row r="9" ht="15.75" customHeight="1">
      <c r="A9" s="8"/>
      <c r="B9" s="8"/>
      <c r="C9" s="48" t="s">
        <v>17</v>
      </c>
      <c r="D9" s="48" t="s">
        <v>24</v>
      </c>
      <c r="E9" s="48" t="s">
        <v>44</v>
      </c>
      <c r="F9" s="48" t="s">
        <v>46</v>
      </c>
      <c r="G9" s="49">
        <v>10.0</v>
      </c>
      <c r="H9" s="49">
        <v>10.0</v>
      </c>
      <c r="I9" s="49">
        <v>1.0</v>
      </c>
      <c r="J9" s="49"/>
      <c r="K9" s="49">
        <v>200.0</v>
      </c>
      <c r="L9" s="49">
        <v>-2000.0</v>
      </c>
      <c r="M9" s="49">
        <v>-2000.0</v>
      </c>
      <c r="N9" s="48"/>
      <c r="O9" s="49">
        <v>100.0</v>
      </c>
      <c r="Q9" s="49">
        <v>-1000.0</v>
      </c>
      <c r="R9" s="49">
        <v>-100.0</v>
      </c>
      <c r="S9" s="50">
        <v>1000.0</v>
      </c>
    </row>
    <row r="10" ht="15.75" customHeight="1">
      <c r="A10" s="8"/>
      <c r="B10" s="8"/>
      <c r="C10" s="48" t="s">
        <v>17</v>
      </c>
      <c r="D10" s="48" t="s">
        <v>47</v>
      </c>
      <c r="E10" s="48" t="s">
        <v>47</v>
      </c>
      <c r="F10" s="48" t="s">
        <v>45</v>
      </c>
      <c r="G10" s="49">
        <v>1.0</v>
      </c>
      <c r="H10" s="49">
        <v>1.0</v>
      </c>
      <c r="I10" s="49">
        <v>1.0</v>
      </c>
      <c r="J10" s="49"/>
      <c r="K10" s="49">
        <v>2000.0</v>
      </c>
      <c r="L10" s="49">
        <v>2000.0</v>
      </c>
      <c r="M10" s="49">
        <v>2000.0</v>
      </c>
      <c r="N10" s="48"/>
      <c r="O10" s="49">
        <v>736.0</v>
      </c>
      <c r="Q10" s="49">
        <v>736.0</v>
      </c>
      <c r="R10" s="49">
        <v>-1264.0</v>
      </c>
      <c r="S10" s="50">
        <v>-1264.0</v>
      </c>
    </row>
    <row r="11" ht="15.75" customHeight="1">
      <c r="A11" s="8"/>
      <c r="B11" s="8"/>
      <c r="C11" s="48" t="s">
        <v>19</v>
      </c>
      <c r="D11" s="48" t="s">
        <v>47</v>
      </c>
      <c r="E11" s="48" t="s">
        <v>47</v>
      </c>
      <c r="F11" s="48" t="s">
        <v>45</v>
      </c>
      <c r="G11" s="49">
        <v>1.0</v>
      </c>
      <c r="H11" s="49">
        <v>1.0</v>
      </c>
      <c r="I11" s="49">
        <v>1.0</v>
      </c>
      <c r="J11" s="49"/>
      <c r="K11" s="49">
        <v>0.0</v>
      </c>
      <c r="L11" s="49">
        <v>0.0</v>
      </c>
      <c r="M11" s="49">
        <v>0.0</v>
      </c>
      <c r="N11" s="48"/>
      <c r="O11" s="49">
        <v>0.0</v>
      </c>
      <c r="Q11" s="49">
        <v>0.0</v>
      </c>
      <c r="R11" s="49">
        <v>0.0</v>
      </c>
      <c r="S11" s="4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