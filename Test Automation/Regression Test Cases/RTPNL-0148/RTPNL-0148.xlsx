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AddWidget2" sheetId="8" r:id="rId11"/>
    <sheet state="visible" name="VerifyToastMessage" sheetId="9" r:id="rId12"/>
    <sheet state="visible" name="CreateGroupingWidget1" sheetId="10" r:id="rId13"/>
    <sheet state="visible" name="AddWidget1" sheetId="11" r:id="rId14"/>
    <sheet state="visible" name="CreateGroupingWidget2" sheetId="12" r:id="rId15"/>
    <sheet state="visible" name="VerifyColumns" sheetId="13" r:id="rId16"/>
    <sheet state="visible" name="VerifyL1L2PanelRTPNL" sheetId="14" r:id="rId17"/>
    <sheet state="visible" name="CloseRTPNL" sheetId="15" r:id="rId18"/>
    <sheet state="visible" name="OpenRTPNL1" sheetId="16" r:id="rId19"/>
  </sheets>
  <definedNames/>
  <calcPr/>
  <extLst>
    <ext uri="GoogleSheetsCustomDataVersion2">
      <go:sheetsCustomData xmlns:go="http://customooxmlschemas.google.com/" r:id="rId20" roundtripDataChecksum="AjR5T2YhFkql8AAk1ELlKw3DFmtAAdMYFP9Iza61Utc="/>
    </ext>
  </extLst>
</workbook>
</file>

<file path=xl/sharedStrings.xml><?xml version="1.0" encoding="utf-8"?>
<sst xmlns="http://schemas.openxmlformats.org/spreadsheetml/2006/main" count="131" uniqueCount="46">
  <si>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</si>
  <si>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</si>
  <si>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</si>
  <si>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</si>
  <si>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</si>
  <si>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</si>
  <si>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</si>
  <si>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</si>
  <si>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</si>
  <si>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</si>
  <si>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</si>
  <si>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</si>
  <si>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</si>
  <si>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</si>
  <si>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</si>
  <si>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</si>
  <si>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</si>
  <si>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</si>
  <si>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</si>
  <si>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</si>
  <si>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</si>
  <si>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</si>
  <si>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</si>
  <si>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</si>
  <si>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 xml:space="preserve">    AcctSym</t>
  </si>
  <si>
    <t>Grouping</t>
  </si>
  <si>
    <t>Symbol</t>
  </si>
  <si>
    <t>CreateGroupingWidget</t>
  </si>
  <si>
    <t>Symbol Account</t>
  </si>
  <si>
    <t>Day P&amp;L (Base)</t>
  </si>
  <si>
    <t>Create</t>
  </si>
  <si>
    <t>AcctSym</t>
  </si>
  <si>
    <t>OpenFin</t>
  </si>
  <si>
    <t>VerifyToastMessage</t>
  </si>
  <si>
    <t>Title already exists. Please update with a different title.</t>
  </si>
  <si>
    <t>Back</t>
  </si>
  <si>
    <t>AcctSym1</t>
  </si>
  <si>
    <t>VerifyColumns</t>
  </si>
  <si>
    <t>VerifyL1L2PanelRTPNL</t>
  </si>
  <si>
    <t>CloseRTPNL</t>
  </si>
  <si>
    <t>Nirvana,yash</t>
  </si>
  <si>
    <t>Discard All</t>
  </si>
  <si>
    <t>OpenWindow</t>
  </si>
  <si>
    <t>TabName</t>
  </si>
  <si>
    <t>Description</t>
  </si>
  <si>
    <t>Save?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</si>
</sst>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IFERROR(__xludf.DUMMYFUNCTION("""COMPUTED_VALUE"""),"TabName")</f>
        <v>TabName</v>
      </c>
      <c r="D5" s="22" t="str">
        <f>IFERROR(__xludf.DUMMYFUNCTION("""COMPUTED_VALUE"""),"Description")</f>
        <v>Description</v>
      </c>
      <c r="E5" s="22" t="str">
        <f>IFERROR(__xludf.DUMMYFUNCTION("""COMPUTED_VALUE"""),"Save?")</f>
        <v>Save?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21</v>
      </c>
      <c r="C6" s="24" t="s">
        <v>22</v>
      </c>
      <c r="D6" s="25"/>
      <c r="E6" s="26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24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27" t="s">
        <v>28</v>
      </c>
      <c r="E6" s="6"/>
      <c r="F6" s="6"/>
      <c r="G6" s="6" t="s">
        <v>29</v>
      </c>
      <c r="H6" s="6"/>
      <c r="I6" s="24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31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32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 ht="15.75" customHeight="1">
      <c r="A4" s="19"/>
      <c r="B4" s="19" t="str">
        <f>IFERROR(__xludf.DUMMYFUNCTION("IF(C3="""","""",Transpose(IMPORTRANGE('_Settings'!$B$3,C3&amp;""!A4:A1000"")))"),"CheckOpenFinWindowName")</f>
        <v>CheckOpenFinWindowName</v>
      </c>
      <c r="C4" s="19" t="str">
        <f>IFERROR(__xludf.DUMMYFUNCTION("""COMPUTED_VALUE"""),"OpenWindowFromSearch")</f>
        <v>OpenWindowFromSearch</v>
      </c>
      <c r="D4" s="19" t="str">
        <f>IFERROR(__xludf.DUMMYFUNCTION("""COMPUTED_VALUE"""),"VerifyColour")</f>
        <v>VerifyColour</v>
      </c>
      <c r="E4" s="19" t="str">
        <f>IFERROR(__xludf.DUMMYFUNCTION("""COMPUTED_VALUE"""),"OpenReleaseClient")</f>
        <v>OpenReleaseClient</v>
      </c>
      <c r="F4" s="19" t="str">
        <f>IFERROR(__xludf.DUMMYFUNCTION("""COMPUTED_VALUE"""),"ActionOnPageFromSearch")</f>
        <v>ActionOnPageFromSearch</v>
      </c>
      <c r="G4" s="19" t="str">
        <f>IFERROR(__xludf.DUMMYFUNCTION("""COMPUTED_VALUE"""),"SavePageView")</f>
        <v>SavePageView</v>
      </c>
      <c r="H4" s="19" t="str">
        <f>IFERROR(__xludf.DUMMYFUNCTION("""COMPUTED_VALUE"""),"ChangeThemeOnModule")</f>
        <v>ChangeThemeOnModule</v>
      </c>
      <c r="I4" s="19" t="str">
        <f>IFERROR(__xludf.DUMMYFUNCTION("""COMPUTED_VALUE"""),"CloseService")</f>
        <v>CloseService</v>
      </c>
      <c r="J4" s="19" t="str">
        <f>IFERROR(__xludf.DUMMYFUNCTION("""COMPUTED_VALUE"""),"LogOutSamsara")</f>
        <v>LogOutSamsara</v>
      </c>
      <c r="K4" s="19" t="str">
        <f>IFERROR(__xludf.DUMMYFUNCTION("""COMPUTED_VALUE"""),"ResizeEnsure")</f>
        <v>ResizeEnsure</v>
      </c>
      <c r="L4" s="19" t="str">
        <f>IFERROR(__xludf.DUMMYFUNCTION("""COMPUTED_VALUE"""),"VerifyNotification")</f>
        <v>VerifyNotification</v>
      </c>
      <c r="M4" s="19" t="str">
        <f>IFERROR(__xludf.DUMMYFUNCTION("""COMPUTED_VALUE"""),"LockUnlockModule")</f>
        <v>LockUnlockModule</v>
      </c>
      <c r="N4" s="19" t="str">
        <f>IFERROR(__xludf.DUMMYFUNCTION("""COMPUTED_VALUE"""),"OpenModuleFromDock")</f>
        <v>OpenModuleFromDock</v>
      </c>
      <c r="O4" s="19" t="str">
        <f>IFERROR(__xludf.DUMMYFUNCTION("""COMPUTED_VALUE"""),"SavePageRTPNL")</f>
        <v>SavePageRTPNL</v>
      </c>
      <c r="P4" s="20" t="str">
        <f>IFERROR(__xludf.DUMMYFUNCTION("""COMPUTED_VALUE"""),"VerifyToastMessage")</f>
        <v>VerifyToastMessage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IFERROR(__xludf.DUMMYFUNCTION("""COMPUTED_VALUE"""),"Message")</f>
        <v>Message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ht="15.75" customHeight="1">
      <c r="A6" s="6"/>
      <c r="B6" s="6" t="s">
        <v>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 t="s">
        <v>35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IFERROR(__xludf.DUMMYFUNCTION("""COMPUTED_VALUE"""),"WidgetName")</f>
        <v>WidgetName</v>
      </c>
      <c r="D5" s="22" t="str">
        <f>IFERROR(__xludf.DUMMYFUNCTION("""COMPUTED_VALUE"""),"ColumnsToAdd")</f>
        <v>ColumnsToAdd</v>
      </c>
      <c r="E5" s="22" t="str">
        <f>IFERROR(__xludf.DUMMYFUNCTION("""COMPUTED_VALUE"""),"DashBoardType")</f>
        <v>DashBoardType</v>
      </c>
      <c r="F5" s="22" t="str">
        <f>IFERROR(__xludf.DUMMYFUNCTION("""COMPUTED_VALUE"""),"DashBoardLevel")</f>
        <v>DashBoardLevel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22</v>
      </c>
      <c r="C6" s="25" t="s">
        <v>36</v>
      </c>
      <c r="D6" s="25"/>
      <c r="E6" s="24" t="s">
        <v>25</v>
      </c>
      <c r="F6" s="24" t="s">
        <v>26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/>
      <c r="C6" s="6"/>
      <c r="D6" s="27" t="s">
        <v>28</v>
      </c>
      <c r="E6" s="6"/>
      <c r="F6" s="6"/>
      <c r="G6" s="6" t="s">
        <v>29</v>
      </c>
      <c r="H6" s="6"/>
      <c r="I6" s="24" t="s">
        <v>30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IFERROR(__xludf.DUMMYFUNCTION("""COMPUTED_VALUE"""),"WindowName")</f>
        <v>WindowName</v>
      </c>
      <c r="C5" s="22" t="str">
        <f>IFERROR(__xludf.DUMMYFUNCTION("""COMPUTED_VALUE"""),"ColumnToVerify")</f>
        <v>ColumnToVerify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22</v>
      </c>
      <c r="C6" s="8" t="s">
        <v>29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IFERROR(__xludf.DUMMYFUNCTION("""COMPUTED_VALUE"""),"IsL1isVisible")</f>
        <v>IsL1isVisible</v>
      </c>
      <c r="D5" s="22" t="str">
        <f>IFERROR(__xludf.DUMMYFUNCTION("""COMPUTED_VALUE"""),"IsL2isVisible")</f>
        <v>IsL2isVisible</v>
      </c>
      <c r="E5" s="22" t="str">
        <f>IFERROR(__xludf.DUMMYFUNCTION("""COMPUTED_VALUE"""),"ClickOnL1")</f>
        <v>ClickOnL1</v>
      </c>
      <c r="F5" s="22" t="str">
        <f>IFERROR(__xludf.DUMMYFUNCTION("""COMPUTED_VALUE"""),"ClickOnL2")</f>
        <v>ClickOnL2</v>
      </c>
      <c r="G5" s="22" t="str">
        <f>IFERROR(__xludf.DUMMYFUNCTION("""COMPUTED_VALUE"""),"L1State")</f>
        <v>L1State</v>
      </c>
      <c r="H5" s="22" t="str">
        <f>IFERROR(__xludf.DUMMYFUNCTION("""COMPUTED_VALUE"""),"L2State")</f>
        <v>L2State</v>
      </c>
      <c r="I5" s="22" t="str">
        <f>IFERROR(__xludf.DUMMYFUNCTION("""COMPUTED_VALUE"""),"L1Label")</f>
        <v>L1Label</v>
      </c>
      <c r="J5" s="22" t="str">
        <f>IFERROR(__xludf.DUMMYFUNCTION("""COMPUTED_VALUE"""),"L2Label")</f>
        <v>L2Label</v>
      </c>
      <c r="K5" s="22" t="str">
        <f>IFERROR(__xludf.DUMMYFUNCTION("""COMPUTED_VALUE"""),"WidgetName")</f>
        <v>WidgetName</v>
      </c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22</v>
      </c>
      <c r="C6" s="6"/>
      <c r="D6" s="6"/>
      <c r="E6" s="6"/>
      <c r="F6" s="6"/>
      <c r="G6" s="6"/>
      <c r="H6" s="6"/>
      <c r="I6" s="6"/>
      <c r="J6" s="6"/>
      <c r="K6" s="25" t="s">
        <v>36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IFERROR(__xludf.DUMMYFUNCTION("""COMPUTED_VALUE"""),"DashboardName")</f>
        <v>DashboardName</v>
      </c>
      <c r="C5" s="22" t="str">
        <f>IFERROR(__xludf.DUMMYFUNCTION("""COMPUTED_VALUE"""),"VerifyPopUpText")</f>
        <v>VerifyPopUpText</v>
      </c>
      <c r="D5" s="22" t="str">
        <f>IFERROR(__xludf.DUMMYFUNCTION("""COMPUTED_VALUE"""),"ActionOnPopUp")</f>
        <v>ActionOnPopUp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5"/>
      <c r="B6" s="24" t="s">
        <v>40</v>
      </c>
      <c r="C6" s="25"/>
      <c r="D6" s="24" t="s">
        <v>41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8"/>
      <c r="B5" s="29" t="s">
        <v>42</v>
      </c>
      <c r="C5" s="29" t="s">
        <v>43</v>
      </c>
      <c r="D5" s="29" t="s">
        <v>44</v>
      </c>
      <c r="E5" s="29" t="s">
        <v>45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>
      <c r="A6" s="30"/>
      <c r="B6" s="31" t="s">
        <v>40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</sheetData>
  <drawing r:id="rId1"/>
</worksheet>
</file>