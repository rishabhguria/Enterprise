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roupingRules" sheetId="5" r:id="rId7"/>
    <sheet state="visible" name="GetDataAllocation" sheetId="6" r:id="rId8"/>
    <sheet state="visible" name="CheckUnallocatedGroups" sheetId="7" r:id="rId9"/>
    <sheet state="visible" name="VerifyOrder" sheetId="8" r:id="rId10"/>
    <sheet state="visible" name="VerifyWorkingSubs" sheetId="9" r:id="rId11"/>
  </sheets>
  <definedNames/>
  <calcPr/>
</workbook>
</file>

<file path=xl/sharedStrings.xml><?xml version="1.0" encoding="utf-8"?>
<sst xmlns="http://schemas.openxmlformats.org/spreadsheetml/2006/main" count="111" uniqueCount="38">
  <si>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</si>
  <si>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</si>
  <si>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</si>
  <si>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</si>
  <si>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</si>
  <si>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</si>
  <si>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</si>
  <si>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</si>
  <si>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</si>
  <si>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</si>
  <si>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</si>
  <si>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</si>
  <si>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</si>
  <si>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</si>
  <si>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</si>
  <si>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</si>
  <si>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</si>
  <si>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</si>
  <si>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</si>
  <si>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MS</t>
  </si>
  <si>
    <t>Market</t>
  </si>
  <si>
    <t>Note1</t>
  </si>
  <si>
    <t>Broker1</t>
  </si>
  <si>
    <t>Note2</t>
  </si>
  <si>
    <t>Allocation</t>
  </si>
  <si>
    <t>SetGroupingRules</t>
  </si>
  <si>
    <t>GetDataAllocation</t>
  </si>
  <si>
    <t>Current</t>
  </si>
  <si>
    <t>CheckUnallocatedGroups</t>
  </si>
  <si>
    <t>Equity</t>
  </si>
  <si>
    <t>NONE</t>
  </si>
  <si>
    <t>Open</t>
  </si>
  <si>
    <t>NASDAQ</t>
  </si>
  <si>
    <t>M</t>
  </si>
  <si>
    <t>Blotter</t>
  </si>
  <si>
    <t>VerifyOrder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</si>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</sst>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8"/>
      <c r="P6" s="9" t="s">
        <v>21</v>
      </c>
      <c r="Q6" s="9" t="s">
        <v>22</v>
      </c>
    </row>
    <row r="7" ht="15.75" customHeight="1">
      <c r="A7" s="13"/>
      <c r="B7" s="13" t="s">
        <v>16</v>
      </c>
      <c r="C7" s="13" t="s">
        <v>17</v>
      </c>
      <c r="D7" s="13">
        <v>400.0</v>
      </c>
      <c r="E7" s="13">
        <v>400.0</v>
      </c>
      <c r="F7" s="13" t="s">
        <v>18</v>
      </c>
      <c r="G7" s="13" t="s">
        <v>19</v>
      </c>
      <c r="H7" s="8"/>
      <c r="I7" s="13" t="s">
        <v>20</v>
      </c>
      <c r="J7" s="13">
        <v>10.0</v>
      </c>
      <c r="K7" s="8"/>
      <c r="L7" s="8"/>
      <c r="M7" s="8"/>
      <c r="N7" s="8"/>
      <c r="O7" s="8"/>
      <c r="P7" s="9" t="s">
        <v>23</v>
      </c>
      <c r="Q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IFERROR(__xludf.DUMMYFUNCTION("""COMPUTED_VALUE"""),"AutoAllocation")</f>
        <v>AutoAllocation</v>
      </c>
      <c r="C5" s="28" t="str">
        <f>IFERROR(__xludf.DUMMYFUNCTION("""COMPUTED_VALUE"""),"Broker")</f>
        <v>Broker</v>
      </c>
      <c r="D5" s="28" t="str">
        <f>IFERROR(__xludf.DUMMYFUNCTION("""COMPUTED_VALUE"""),"Venue")</f>
        <v>Venue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IFERROR(__xludf.DUMMYFUNCTION("""COMPUTED_VALUE"""),"TradingAccount")</f>
        <v>TradingAccount</v>
      </c>
      <c r="H5" s="28" t="str">
        <f>IFERROR(__xludf.DUMMYFUNCTION("""COMPUTED_VALUE"""),"AssetClass")</f>
        <v>AssetClass</v>
      </c>
      <c r="I5" s="28" t="str">
        <f>IFERROR(__xludf.DUMMYFUNCTION("""COMPUTED_VALUE"""),"TradeAttribute1")</f>
        <v>TradeAttribute1</v>
      </c>
      <c r="J5" s="28" t="str">
        <f>IFERROR(__xludf.DUMMYFUNCTION("""COMPUTED_VALUE"""),"TradeAttribute2")</f>
        <v>TradeAttribute2</v>
      </c>
      <c r="K5" s="28" t="str">
        <f>IFERROR(__xludf.DUMMYFUNCTION("""COMPUTED_VALUE"""),"TradeAttribute3")</f>
        <v>TradeAttribute3</v>
      </c>
      <c r="L5" s="28" t="str">
        <f>IFERROR(__xludf.DUMMYFUNCTION("""COMPUTED_VALUE"""),"TradeAttribute4")</f>
        <v>TradeAttribute4</v>
      </c>
      <c r="M5" s="28" t="str">
        <f>IFERROR(__xludf.DUMMYFUNCTION("""COMPUTED_VALUE"""),"TradeAttribute5")</f>
        <v>TradeAttribute5</v>
      </c>
      <c r="N5" s="28" t="str">
        <f>IFERROR(__xludf.DUMMYFUNCTION("""COMPUTED_VALUE"""),"TradeAttribute6")</f>
        <v>TradeAttribute6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 t="b">
        <v>1</v>
      </c>
      <c r="D6" s="33" t="b">
        <v>1</v>
      </c>
      <c r="E6" s="34" t="b">
        <v>0</v>
      </c>
      <c r="F6" s="34" t="b">
        <v>1</v>
      </c>
      <c r="G6" s="34" t="b">
        <v>1</v>
      </c>
      <c r="H6" s="34" t="b">
        <v>1</v>
      </c>
      <c r="I6" s="34" t="b">
        <v>1</v>
      </c>
      <c r="J6" s="34" t="b">
        <v>0</v>
      </c>
      <c r="K6" s="34" t="b">
        <v>0</v>
      </c>
      <c r="L6" s="34" t="b">
        <v>0</v>
      </c>
      <c r="M6" s="34" t="b">
        <v>0</v>
      </c>
      <c r="N6" s="34" t="b">
        <v>0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SetGroupingRules!$4:$4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13" t="s">
        <v>29</v>
      </c>
      <c r="G6" s="8"/>
      <c r="H6" s="8"/>
      <c r="I6" s="8"/>
      <c r="J6" s="13">
        <v>10.0</v>
      </c>
      <c r="K6" s="13">
        <v>10.0</v>
      </c>
      <c r="L6" s="8"/>
      <c r="M6" s="8"/>
      <c r="N6" s="13" t="s">
        <v>19</v>
      </c>
      <c r="O6" s="8"/>
      <c r="R6" s="9" t="s">
        <v>30</v>
      </c>
      <c r="S6" s="9" t="s">
        <v>31</v>
      </c>
      <c r="AC6" s="9" t="s">
        <v>22</v>
      </c>
      <c r="AD6" s="38" t="s">
        <v>32</v>
      </c>
      <c r="AE6" s="9">
        <v>500.0</v>
      </c>
      <c r="AG6" s="9" t="s">
        <v>33</v>
      </c>
      <c r="AH6" s="9">
        <v>1.0</v>
      </c>
      <c r="AM6" s="9" t="s">
        <v>22</v>
      </c>
      <c r="AT6" s="39">
        <v>5028.0028</v>
      </c>
      <c r="AU6" s="39">
        <v>5028.0028</v>
      </c>
      <c r="AY6" s="9" t="s">
        <v>20</v>
      </c>
      <c r="BE6" s="39">
        <v>5000.0</v>
      </c>
      <c r="BF6" s="39">
        <v>5000.0</v>
      </c>
      <c r="BJ6" s="9">
        <v>500.0</v>
      </c>
      <c r="BO6" s="9" t="s">
        <v>17</v>
      </c>
      <c r="BS6" s="9" t="s">
        <v>16</v>
      </c>
      <c r="CI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C6" s="9" t="s">
        <v>21</v>
      </c>
      <c r="AD6" s="9">
        <v>1.0</v>
      </c>
      <c r="AF6" s="9" t="s">
        <v>33</v>
      </c>
      <c r="AH6" s="9" t="s">
        <v>29</v>
      </c>
      <c r="AI6" s="9" t="s">
        <v>16</v>
      </c>
      <c r="AJ6" s="9" t="s">
        <v>17</v>
      </c>
      <c r="AK6" s="9" t="s">
        <v>36</v>
      </c>
      <c r="AL6" s="9">
        <v>100.0</v>
      </c>
      <c r="AM6" s="9">
        <v>100.0</v>
      </c>
      <c r="AN6" s="9">
        <v>100.0</v>
      </c>
      <c r="AS6" s="9" t="s">
        <v>19</v>
      </c>
      <c r="AU6" s="9" t="s">
        <v>20</v>
      </c>
      <c r="AV6" s="9">
        <v>1000.0</v>
      </c>
      <c r="AW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C7" s="9" t="s">
        <v>23</v>
      </c>
      <c r="AD7" s="9">
        <v>1.0</v>
      </c>
      <c r="AF7" s="9" t="s">
        <v>33</v>
      </c>
      <c r="AH7" s="9" t="s">
        <v>29</v>
      </c>
      <c r="AI7" s="9" t="s">
        <v>16</v>
      </c>
      <c r="AJ7" s="9" t="s">
        <v>17</v>
      </c>
      <c r="AK7" s="9" t="s">
        <v>36</v>
      </c>
      <c r="AL7" s="9">
        <v>400.0</v>
      </c>
      <c r="AM7" s="9">
        <v>400.0</v>
      </c>
      <c r="AN7" s="9">
        <v>100.0</v>
      </c>
      <c r="AS7" s="9" t="s">
        <v>19</v>
      </c>
      <c r="AU7" s="9" t="s">
        <v>20</v>
      </c>
      <c r="AV7" s="9">
        <v>4000.0</v>
      </c>
      <c r="AW7" s="9">
        <v>4000.0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13" t="s">
        <v>36</v>
      </c>
      <c r="H6" s="8"/>
      <c r="I6" s="8"/>
      <c r="J6" s="13">
        <v>10.0</v>
      </c>
      <c r="K6" s="13" t="s">
        <v>19</v>
      </c>
      <c r="L6" s="8"/>
      <c r="M6" s="13" t="s">
        <v>20</v>
      </c>
      <c r="N6" s="8"/>
      <c r="O6" s="13">
        <v>10.0</v>
      </c>
      <c r="W6" s="9" t="s">
        <v>29</v>
      </c>
      <c r="X6" s="9" t="s">
        <v>33</v>
      </c>
      <c r="Y6" s="9">
        <v>1.0</v>
      </c>
      <c r="AA6" s="9" t="s">
        <v>21</v>
      </c>
      <c r="AC6" s="9">
        <v>1000.0</v>
      </c>
      <c r="AD6" s="9">
        <v>1000.0</v>
      </c>
    </row>
    <row r="7" ht="15.75" customHeight="1">
      <c r="A7" s="8"/>
      <c r="B7" s="13" t="s">
        <v>16</v>
      </c>
      <c r="C7" s="13" t="s">
        <v>17</v>
      </c>
      <c r="D7" s="13">
        <v>400.0</v>
      </c>
      <c r="E7" s="13">
        <v>400.0</v>
      </c>
      <c r="F7" s="8"/>
      <c r="G7" s="13" t="s">
        <v>36</v>
      </c>
      <c r="H7" s="8"/>
      <c r="I7" s="8"/>
      <c r="J7" s="13">
        <v>10.0</v>
      </c>
      <c r="K7" s="13" t="s">
        <v>19</v>
      </c>
      <c r="L7" s="8"/>
      <c r="M7" s="13" t="s">
        <v>20</v>
      </c>
      <c r="N7" s="8"/>
      <c r="O7" s="13">
        <v>10.0</v>
      </c>
      <c r="W7" s="9" t="s">
        <v>29</v>
      </c>
      <c r="X7" s="9" t="s">
        <v>33</v>
      </c>
      <c r="Y7" s="9">
        <v>1.0</v>
      </c>
      <c r="AA7" s="9" t="s">
        <v>23</v>
      </c>
      <c r="AC7" s="9">
        <v>4000.0</v>
      </c>
      <c r="AD7" s="9">
        <v>4000.0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