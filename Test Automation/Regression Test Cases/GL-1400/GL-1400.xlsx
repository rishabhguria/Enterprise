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ForexConversion" sheetId="7" r:id="rId9"/>
    <sheet state="visible" name="UpdateForexConversionMonthly" sheetId="8" r:id="rId10"/>
    <sheet state="visible" name="SelectAllocatedGroup" sheetId="9" r:id="rId11"/>
    <sheet state="visible" name="BookOrUpdateSwap" sheetId="10" r:id="rId12"/>
    <sheet state="visible" name="SelectAllocatedGroup1" sheetId="11" r:id="rId13"/>
    <sheet state="visible" name="BookOrUpdateSwap1" sheetId="12" r:id="rId14"/>
    <sheet state="visible" name="SelectAllocatedGroup2" sheetId="13" r:id="rId15"/>
    <sheet state="visible" name="BookOrUpdateSwap2" sheetId="14" r:id="rId16"/>
    <sheet state="visible" name="SelectAllocatedGroup3" sheetId="15" r:id="rId17"/>
    <sheet state="visible" name="BookOrUpdateSwap3" sheetId="16" r:id="rId18"/>
    <sheet state="visible" name="GetDataAllocation" sheetId="17" r:id="rId19"/>
    <sheet state="visible" name="GetActivityData" sheetId="18" r:id="rId20"/>
    <sheet state="visible" name="VerifyActivity" sheetId="19" r:id="rId21"/>
    <sheet state="visible" name="GetDataClosing" sheetId="20" r:id="rId22"/>
    <sheet state="visible" name="AutomaticClosing" sheetId="21" r:id="rId23"/>
    <sheet state="visible" name="GetDayEndCash" sheetId="22" r:id="rId24"/>
    <sheet state="visible" name="GetAccountBalance" sheetId="23" r:id="rId25"/>
    <sheet state="visible" name="GetRevaluationData" sheetId="24" r:id="rId26"/>
    <sheet state="visible" name="VerifyRevaluationData" sheetId="25" r:id="rId27"/>
  </sheets>
  <definedNames/>
  <calcPr/>
</workbook>
</file>

<file path=xl/sharedStrings.xml><?xml version="1.0" encoding="utf-8"?>
<sst xmlns="http://schemas.openxmlformats.org/spreadsheetml/2006/main" count="609" uniqueCount="74">
  <si>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</si>
  <si>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</si>
  <si>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</si>
  <si>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</si>
  <si>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</si>
  <si>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</si>
  <si>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</si>
  <si>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</si>
  <si>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</si>
  <si>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</si>
  <si>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</si>
  <si>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</si>
  <si>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</si>
  <si>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</si>
  <si>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</si>
  <si>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</si>
  <si>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ORCL</t>
  </si>
  <si>
    <t>Buy</t>
  </si>
  <si>
    <t>OFFSHORE</t>
  </si>
  <si>
    <t>NSEW</t>
  </si>
  <si>
    <t>Market</t>
  </si>
  <si>
    <t>Flat Amount</t>
  </si>
  <si>
    <t>Sell</t>
  </si>
  <si>
    <t>AAB-TC</t>
  </si>
  <si>
    <t>Sell short</t>
  </si>
  <si>
    <t>Buy to Close</t>
  </si>
  <si>
    <t>DailyValuation</t>
  </si>
  <si>
    <t>GetMarkPriceData</t>
  </si>
  <si>
    <t>UpdateMarkPriceMonthly</t>
  </si>
  <si>
    <t>GetForexConversion</t>
  </si>
  <si>
    <t>UpdateForexConversionMonthly</t>
  </si>
  <si>
    <t>USD</t>
  </si>
  <si>
    <t>CAD</t>
  </si>
  <si>
    <t>Allocation</t>
  </si>
  <si>
    <t>SelectAllocatedGroup</t>
  </si>
  <si>
    <t>BookOrUpdateSwap</t>
  </si>
  <si>
    <t>No</t>
  </si>
  <si>
    <t>GetDataAllocation</t>
  </si>
  <si>
    <t>Historical</t>
  </si>
  <si>
    <t>GeneralLedger</t>
  </si>
  <si>
    <t>GetActivityData</t>
  </si>
  <si>
    <t>NewMF1</t>
  </si>
  <si>
    <t>Yes</t>
  </si>
  <si>
    <t>VerifyActivity</t>
  </si>
  <si>
    <t>Trading</t>
  </si>
  <si>
    <t>EquitySwapL</t>
  </si>
  <si>
    <t>Cash</t>
  </si>
  <si>
    <t>M</t>
  </si>
  <si>
    <t>EquitySwapS</t>
  </si>
  <si>
    <t>D</t>
  </si>
  <si>
    <t>Closing</t>
  </si>
  <si>
    <t>GetDataClosing</t>
  </si>
  <si>
    <t>AutomaticClosing</t>
  </si>
  <si>
    <t>FIFO</t>
  </si>
  <si>
    <t>None</t>
  </si>
  <si>
    <t>Default</t>
  </si>
  <si>
    <t>GetDayEndCash</t>
  </si>
  <si>
    <t>GetAccountBalance</t>
  </si>
  <si>
    <t>GetRevaluationData</t>
  </si>
  <si>
    <t>VerifyRevaluationData</t>
  </si>
  <si>
    <t>Equity Swap Short Revaluation [Asset]</t>
  </si>
  <si>
    <t>DR</t>
  </si>
  <si>
    <t>Revaluation</t>
  </si>
  <si>
    <t>Contra UnRealized PNL Entry</t>
  </si>
  <si>
    <t>Equity Swap UnRealized Profit And Loss [Income]</t>
  </si>
  <si>
    <t>CR</t>
  </si>
  <si>
    <t>UnRealized PNL Entry</t>
  </si>
  <si>
    <t>Equity Swap Realized Profit And Loss [Income]</t>
  </si>
  <si>
    <t>Realized PNL Entry</t>
  </si>
  <si>
    <t>Cash [Cash]</t>
  </si>
  <si>
    <t>Equity Swap Long Revaluation [Asset]</t>
  </si>
  <si>
    <t>Cash UnRealized Profit And Loss [Income]</t>
  </si>
  <si>
    <t>Cash PNL Entry</t>
  </si>
  <si>
    <t>Contra Cash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</si>
</sst>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top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5" fillId="5" fontId="4" numFmtId="0" xfId="0" applyAlignment="1" applyBorder="1" applyFont="1">
      <alignment shrinkToFit="0" wrapText="0"/>
    </xf>
    <xf borderId="0" fillId="5" fontId="10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shrinkToFit="0" wrapText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5" fillId="5" fontId="4" numFmtId="0" xfId="0" applyAlignment="1" applyBorder="1" applyFont="1">
      <alignment readingOrder="0" shrinkToFit="0" wrapText="0"/>
    </xf>
    <xf borderId="0" fillId="6" fontId="3" numFmtId="0" xfId="0" applyAlignment="1" applyFill="1" applyFont="1">
      <alignment readingOrder="0" shrinkToFit="0" wrapText="0"/>
    </xf>
    <xf borderId="0" fillId="6" fontId="13" numFmtId="0" xfId="0" applyAlignment="1" applyFont="1">
      <alignment horizontal="left" readingOrder="0"/>
    </xf>
    <xf borderId="0" fillId="6" fontId="13" numFmtId="165" xfId="0" applyAlignment="1" applyFont="1" applyNumberFormat="1">
      <alignment horizontal="left" readingOrder="0"/>
    </xf>
    <xf borderId="0" fillId="6" fontId="13" numFmtId="0" xfId="0" applyAlignment="1" applyFont="1">
      <alignment horizontal="left"/>
    </xf>
    <xf borderId="0" fillId="6" fontId="3" numFmtId="164" xfId="0" applyAlignment="1" applyFont="1" applyNumberFormat="1">
      <alignment readingOrder="0" shrinkToFit="0" wrapText="0"/>
    </xf>
    <xf borderId="0" fillId="6" fontId="3" numFmtId="0" xfId="0" applyFont="1"/>
    <xf borderId="0" fillId="6" fontId="3" numFmtId="0" xfId="0" applyAlignment="1" applyFont="1">
      <alignment shrinkToFit="0" wrapText="0"/>
    </xf>
    <xf borderId="6" fillId="0" fontId="3" numFmtId="164" xfId="0" applyAlignment="1" applyBorder="1" applyFont="1" applyNumberFormat="1">
      <alignment horizontal="right"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164" xfId="0" applyAlignment="1" applyBorder="1" applyFont="1" applyNumberFormat="1">
      <alignment horizontal="right" readingOrder="0" vertical="bottom"/>
    </xf>
    <xf borderId="0" fillId="6" fontId="13" numFmtId="0" xfId="0" applyAlignment="1" applyFont="1">
      <alignment horizontal="right" readingOrder="0"/>
    </xf>
    <xf borderId="0" fillId="6" fontId="14" numFmtId="0" xfId="0" applyAlignment="1" applyFont="1">
      <alignment horizontal="right" readingOrder="0"/>
    </xf>
    <xf borderId="0" fillId="6" fontId="1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1">
        <v>100.0</v>
      </c>
      <c r="E6" s="31">
        <v>100.0</v>
      </c>
      <c r="F6" s="31" t="s">
        <v>18</v>
      </c>
      <c r="G6" s="32" t="s">
        <v>19</v>
      </c>
      <c r="H6" s="4"/>
      <c r="I6" s="31" t="s">
        <v>20</v>
      </c>
      <c r="J6" s="31">
        <v>14.0</v>
      </c>
      <c r="K6" s="4"/>
      <c r="L6" s="4"/>
      <c r="M6" s="4"/>
      <c r="N6" s="33">
        <v>43283.0</v>
      </c>
      <c r="O6" s="4"/>
      <c r="P6" s="34"/>
      <c r="Q6" s="34"/>
      <c r="R6" s="35" t="s">
        <v>21</v>
      </c>
      <c r="S6" s="36">
        <v>10.0</v>
      </c>
      <c r="T6" s="35" t="s">
        <v>21</v>
      </c>
      <c r="U6" s="36">
        <v>10.0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7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31" t="s">
        <v>16</v>
      </c>
      <c r="C7" s="31" t="s">
        <v>22</v>
      </c>
      <c r="D7" s="31">
        <v>50.0</v>
      </c>
      <c r="E7" s="31">
        <v>50.0</v>
      </c>
      <c r="F7" s="31" t="s">
        <v>18</v>
      </c>
      <c r="G7" s="32" t="s">
        <v>19</v>
      </c>
      <c r="H7" s="4"/>
      <c r="I7" s="31" t="s">
        <v>20</v>
      </c>
      <c r="J7" s="31">
        <v>14.0</v>
      </c>
      <c r="K7" s="4"/>
      <c r="L7" s="4"/>
      <c r="M7" s="4"/>
      <c r="N7" s="33">
        <v>43284.0</v>
      </c>
      <c r="O7" s="4"/>
      <c r="P7" s="34"/>
      <c r="Q7" s="34"/>
      <c r="R7" s="35" t="s">
        <v>21</v>
      </c>
      <c r="S7" s="38">
        <v>20.0</v>
      </c>
      <c r="T7" s="35" t="s">
        <v>21</v>
      </c>
      <c r="U7" s="38">
        <v>20.0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7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"/>
      <c r="B8" s="31" t="s">
        <v>23</v>
      </c>
      <c r="C8" s="39" t="s">
        <v>24</v>
      </c>
      <c r="D8" s="31">
        <v>100.0</v>
      </c>
      <c r="E8" s="31">
        <v>100.0</v>
      </c>
      <c r="F8" s="31" t="s">
        <v>18</v>
      </c>
      <c r="G8" s="32" t="s">
        <v>19</v>
      </c>
      <c r="H8" s="4"/>
      <c r="I8" s="31" t="s">
        <v>20</v>
      </c>
      <c r="J8" s="31">
        <v>16.0</v>
      </c>
      <c r="K8" s="4"/>
      <c r="L8" s="4"/>
      <c r="M8" s="4"/>
      <c r="N8" s="33">
        <v>43285.0</v>
      </c>
      <c r="O8" s="31">
        <v>1.3</v>
      </c>
      <c r="P8" s="34"/>
      <c r="Q8" s="34"/>
      <c r="R8" s="35" t="s">
        <v>21</v>
      </c>
      <c r="S8" s="38">
        <v>30.0</v>
      </c>
      <c r="T8" s="35" t="s">
        <v>21</v>
      </c>
      <c r="U8" s="38">
        <v>30.0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7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"/>
      <c r="B9" s="31" t="s">
        <v>23</v>
      </c>
      <c r="C9" s="39" t="s">
        <v>25</v>
      </c>
      <c r="D9" s="31">
        <v>100.0</v>
      </c>
      <c r="E9" s="31">
        <v>100.0</v>
      </c>
      <c r="F9" s="31" t="s">
        <v>18</v>
      </c>
      <c r="G9" s="32" t="s">
        <v>19</v>
      </c>
      <c r="H9" s="4"/>
      <c r="I9" s="31" t="s">
        <v>20</v>
      </c>
      <c r="J9" s="31">
        <v>16.0</v>
      </c>
      <c r="K9" s="4"/>
      <c r="L9" s="4"/>
      <c r="M9" s="4"/>
      <c r="N9" s="33">
        <v>43286.0</v>
      </c>
      <c r="O9" s="31">
        <v>1.8</v>
      </c>
      <c r="P9" s="34"/>
      <c r="Q9" s="34"/>
      <c r="R9" s="35" t="s">
        <v>21</v>
      </c>
      <c r="S9" s="38">
        <v>40.0</v>
      </c>
      <c r="T9" s="35" t="s">
        <v>21</v>
      </c>
      <c r="U9" s="38">
        <v>40.0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7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40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3">
        <v>43283.0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>
        <v>110.0</v>
      </c>
      <c r="D6" s="33">
        <v>43283.0</v>
      </c>
      <c r="E6" s="42"/>
      <c r="F6" s="4"/>
      <c r="G6" s="4"/>
      <c r="H6" s="4"/>
      <c r="I6" s="4"/>
      <c r="J6" s="4"/>
      <c r="K6" s="4"/>
      <c r="L6" s="4"/>
      <c r="M6" s="4"/>
      <c r="N6" s="4"/>
      <c r="O6" s="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31" t="s">
        <v>16</v>
      </c>
      <c r="C7" s="31">
        <v>120.0</v>
      </c>
      <c r="D7" s="33">
        <v>43284.0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"/>
      <c r="B8" s="31" t="s">
        <v>16</v>
      </c>
      <c r="C8" s="31">
        <v>130.0</v>
      </c>
      <c r="D8" s="33">
        <v>43285.0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"/>
      <c r="B9" s="31" t="s">
        <v>16</v>
      </c>
      <c r="C9" s="31">
        <v>140.0</v>
      </c>
      <c r="D9" s="33">
        <v>43286.0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"/>
      <c r="B10" s="31" t="s">
        <v>16</v>
      </c>
      <c r="C10" s="31">
        <v>150.0</v>
      </c>
      <c r="D10" s="33">
        <v>43287.0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"/>
      <c r="B11" s="31" t="s">
        <v>23</v>
      </c>
      <c r="C11" s="31">
        <v>10.0</v>
      </c>
      <c r="D11" s="33">
        <v>43283.0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"/>
      <c r="B12" s="31" t="s">
        <v>23</v>
      </c>
      <c r="C12" s="31">
        <v>20.0</v>
      </c>
      <c r="D12" s="33">
        <v>43284.0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4"/>
      <c r="B13" s="31" t="s">
        <v>23</v>
      </c>
      <c r="C13" s="31">
        <v>30.0</v>
      </c>
      <c r="D13" s="33">
        <v>43285.0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4"/>
      <c r="B14" s="31" t="s">
        <v>23</v>
      </c>
      <c r="C14" s="31">
        <v>40.0</v>
      </c>
      <c r="D14" s="33">
        <v>43286.0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4"/>
      <c r="B15" s="31" t="s">
        <v>23</v>
      </c>
      <c r="C15" s="31">
        <v>50.0</v>
      </c>
      <c r="D15" s="33">
        <v>43287.0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3">
        <v>43283.0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1" t="s">
        <v>32</v>
      </c>
      <c r="D6" s="31" t="s">
        <v>23</v>
      </c>
      <c r="E6" s="33">
        <v>43283.0</v>
      </c>
      <c r="F6" s="31">
        <v>1.312</v>
      </c>
      <c r="G6" s="4"/>
      <c r="H6" s="4"/>
      <c r="I6" s="4"/>
      <c r="J6" s="4"/>
      <c r="K6" s="4"/>
      <c r="L6" s="4"/>
      <c r="M6" s="4"/>
      <c r="N6" s="4"/>
      <c r="O6" s="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31" t="s">
        <v>31</v>
      </c>
      <c r="C7" s="31" t="s">
        <v>32</v>
      </c>
      <c r="D7" s="31" t="s">
        <v>23</v>
      </c>
      <c r="E7" s="33">
        <v>43284.0</v>
      </c>
      <c r="F7" s="31">
        <v>1.313</v>
      </c>
      <c r="G7" s="4"/>
      <c r="H7" s="4"/>
      <c r="I7" s="4"/>
      <c r="J7" s="4"/>
      <c r="K7" s="4"/>
      <c r="L7" s="4"/>
      <c r="M7" s="4"/>
      <c r="N7" s="4"/>
      <c r="O7" s="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"/>
      <c r="B8" s="31" t="s">
        <v>31</v>
      </c>
      <c r="C8" s="31" t="s">
        <v>32</v>
      </c>
      <c r="D8" s="31" t="s">
        <v>23</v>
      </c>
      <c r="E8" s="33">
        <v>43285.0</v>
      </c>
      <c r="F8" s="31">
        <v>1.314</v>
      </c>
      <c r="G8" s="4"/>
      <c r="H8" s="4"/>
      <c r="I8" s="4"/>
      <c r="J8" s="4"/>
      <c r="K8" s="4"/>
      <c r="L8" s="4"/>
      <c r="M8" s="4"/>
      <c r="N8" s="4"/>
      <c r="O8" s="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"/>
      <c r="B9" s="31" t="s">
        <v>31</v>
      </c>
      <c r="C9" s="31" t="s">
        <v>32</v>
      </c>
      <c r="D9" s="31" t="s">
        <v>23</v>
      </c>
      <c r="E9" s="33">
        <v>43286.0</v>
      </c>
      <c r="F9" s="31">
        <v>1.315</v>
      </c>
      <c r="G9" s="4"/>
      <c r="H9" s="4"/>
      <c r="I9" s="4"/>
      <c r="J9" s="4"/>
      <c r="K9" s="4"/>
      <c r="L9" s="4"/>
      <c r="M9" s="4"/>
      <c r="N9" s="4"/>
      <c r="O9" s="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"/>
      <c r="B10" s="31" t="s">
        <v>31</v>
      </c>
      <c r="C10" s="31" t="s">
        <v>32</v>
      </c>
      <c r="D10" s="31" t="s">
        <v>23</v>
      </c>
      <c r="E10" s="33">
        <v>43287.0</v>
      </c>
      <c r="F10" s="31">
        <v>1.316</v>
      </c>
      <c r="G10" s="4"/>
      <c r="H10" s="4"/>
      <c r="I10" s="4"/>
      <c r="J10" s="4"/>
      <c r="K10" s="4"/>
      <c r="L10" s="4"/>
      <c r="M10" s="4"/>
      <c r="N10" s="4"/>
      <c r="O10" s="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>
        <v>100.0</v>
      </c>
      <c r="D6" s="33">
        <v>43283.0</v>
      </c>
      <c r="E6" s="31" t="s">
        <v>18</v>
      </c>
      <c r="F6" s="31" t="s">
        <v>17</v>
      </c>
      <c r="G6" s="4"/>
      <c r="H6" s="4"/>
      <c r="I6" s="4"/>
      <c r="J6" s="4"/>
      <c r="K6" s="4"/>
      <c r="L6" s="4"/>
      <c r="M6" s="4"/>
      <c r="N6" s="4"/>
      <c r="O6" s="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>
        <v>1400.0</v>
      </c>
      <c r="C6" s="31">
        <v>10.0</v>
      </c>
      <c r="D6" s="31"/>
      <c r="E6" s="33">
        <v>43298.0</v>
      </c>
      <c r="F6" s="31">
        <v>365.0</v>
      </c>
      <c r="G6" s="33">
        <v>43297.0</v>
      </c>
      <c r="H6" s="31">
        <v>14.0</v>
      </c>
      <c r="I6" s="4"/>
      <c r="J6" s="4"/>
      <c r="K6" s="31" t="s">
        <v>36</v>
      </c>
      <c r="L6" s="4"/>
      <c r="M6" s="4"/>
      <c r="N6" s="4"/>
      <c r="O6" s="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1" t="s">
        <v>16</v>
      </c>
      <c r="C6" s="31">
        <v>50.0</v>
      </c>
      <c r="D6" s="33">
        <v>43284.0</v>
      </c>
      <c r="E6" s="31" t="s">
        <v>18</v>
      </c>
      <c r="F6" s="31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1">
        <v>700.0</v>
      </c>
      <c r="C6" s="31">
        <v>20.0</v>
      </c>
      <c r="D6" s="31"/>
      <c r="E6" s="33">
        <v>43298.0</v>
      </c>
      <c r="F6" s="31">
        <v>365.0</v>
      </c>
      <c r="G6" s="33">
        <v>43297.0</v>
      </c>
      <c r="H6" s="31">
        <v>16.0</v>
      </c>
      <c r="I6" s="8"/>
      <c r="J6" s="8"/>
      <c r="K6" s="12" t="s">
        <v>36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1" t="s">
        <v>23</v>
      </c>
      <c r="C6" s="31">
        <v>100.0</v>
      </c>
      <c r="D6" s="33">
        <v>43285.0</v>
      </c>
      <c r="E6" s="31" t="s">
        <v>18</v>
      </c>
      <c r="F6" s="31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1">
        <v>1600.0</v>
      </c>
      <c r="C6" s="31">
        <v>25.0</v>
      </c>
      <c r="D6" s="31"/>
      <c r="E6" s="33">
        <v>43298.0</v>
      </c>
      <c r="F6" s="31">
        <v>365.0</v>
      </c>
      <c r="G6" s="33">
        <v>43297.0</v>
      </c>
      <c r="H6" s="31">
        <v>20.0</v>
      </c>
      <c r="I6" s="8"/>
      <c r="J6" s="8"/>
      <c r="K6" s="12" t="s">
        <v>36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1" t="s">
        <v>23</v>
      </c>
      <c r="C6" s="31">
        <v>100.0</v>
      </c>
      <c r="D6" s="33">
        <v>43286.0</v>
      </c>
      <c r="E6" s="31" t="s">
        <v>18</v>
      </c>
      <c r="F6" s="31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1">
        <v>1600.0</v>
      </c>
      <c r="C6" s="31">
        <v>30.0</v>
      </c>
      <c r="D6" s="31"/>
      <c r="E6" s="33">
        <v>43298.0</v>
      </c>
      <c r="F6" s="31">
        <v>365.0</v>
      </c>
      <c r="G6" s="33">
        <v>43297.0</v>
      </c>
      <c r="H6" s="31">
        <v>25.0</v>
      </c>
      <c r="I6" s="8"/>
      <c r="J6" s="8"/>
      <c r="K6" s="12" t="s">
        <v>36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3">
        <v>43283.0</v>
      </c>
      <c r="D6" s="33">
        <v>43287.0</v>
      </c>
      <c r="E6" s="42"/>
      <c r="F6" s="4"/>
      <c r="G6" s="4"/>
      <c r="H6" s="4"/>
      <c r="I6" s="4"/>
      <c r="J6" s="4"/>
      <c r="K6" s="4"/>
      <c r="L6" s="4"/>
      <c r="M6" s="4"/>
      <c r="N6" s="4"/>
      <c r="O6" s="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43" t="s">
        <v>41</v>
      </c>
      <c r="C6" s="44" t="s">
        <v>18</v>
      </c>
      <c r="D6" s="33">
        <v>43283.0</v>
      </c>
      <c r="E6" s="33">
        <v>43287.0</v>
      </c>
      <c r="F6" s="45"/>
      <c r="G6" s="45" t="s">
        <v>42</v>
      </c>
      <c r="H6" s="45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" width="12.63"/>
    <col customWidth="1" min="19" max="19" width="22.13"/>
    <col customWidth="1" min="20" max="23" width="12.63"/>
    <col customWidth="1" min="24" max="24" width="16.5"/>
    <col customWidth="1" min="25" max="28" width="12.63"/>
    <col customWidth="1" min="29" max="29" width="19.63"/>
    <col customWidth="1" min="30" max="30" width="18.88"/>
    <col customWidth="1" min="31" max="31" width="12.63"/>
    <col customWidth="1" min="32" max="32" width="21.13"/>
    <col customWidth="1" min="33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46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8" t="s">
        <v>18</v>
      </c>
      <c r="C6" s="48" t="s">
        <v>44</v>
      </c>
      <c r="D6" s="48" t="s">
        <v>45</v>
      </c>
      <c r="E6" s="48">
        <v>-1434.0</v>
      </c>
      <c r="F6" s="48">
        <v>4.0</v>
      </c>
      <c r="G6" s="48">
        <v>5.0</v>
      </c>
      <c r="H6" s="48" t="s">
        <v>46</v>
      </c>
      <c r="I6" s="48">
        <v>0.0</v>
      </c>
      <c r="J6" s="48">
        <v>10.0</v>
      </c>
      <c r="K6" s="48" t="s">
        <v>31</v>
      </c>
      <c r="L6" s="48"/>
      <c r="M6" s="49"/>
      <c r="N6" s="48" t="s">
        <v>47</v>
      </c>
      <c r="O6" s="48">
        <v>1.0</v>
      </c>
      <c r="P6" s="50"/>
      <c r="Q6" s="49"/>
      <c r="R6" s="48">
        <v>0.0</v>
      </c>
      <c r="S6" s="48">
        <v>0.0</v>
      </c>
      <c r="T6" s="48">
        <v>0.0</v>
      </c>
      <c r="U6" s="48">
        <v>0.0</v>
      </c>
      <c r="V6" s="48">
        <v>100.0</v>
      </c>
      <c r="W6" s="48">
        <v>0.0</v>
      </c>
      <c r="X6" s="48" t="s">
        <v>31</v>
      </c>
      <c r="Y6" s="49"/>
      <c r="Z6" s="48">
        <v>10.0</v>
      </c>
      <c r="AA6" s="48"/>
      <c r="AB6" s="48" t="s">
        <v>16</v>
      </c>
      <c r="AC6" s="48">
        <v>3.0</v>
      </c>
      <c r="AD6" s="48"/>
      <c r="AE6" s="51">
        <v>43283.0</v>
      </c>
      <c r="AF6" s="48">
        <v>2.0</v>
      </c>
      <c r="AG6" s="48" t="s">
        <v>44</v>
      </c>
      <c r="AH6" s="50"/>
      <c r="AI6" s="50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</row>
    <row r="7" ht="15.75" customHeight="1">
      <c r="A7" s="53"/>
      <c r="B7" s="48" t="s">
        <v>18</v>
      </c>
      <c r="C7" s="48" t="s">
        <v>44</v>
      </c>
      <c r="D7" s="48" t="s">
        <v>45</v>
      </c>
      <c r="E7" s="48">
        <v>646.0</v>
      </c>
      <c r="F7" s="48">
        <v>4.0</v>
      </c>
      <c r="G7" s="48">
        <v>5.0</v>
      </c>
      <c r="H7" s="48" t="s">
        <v>46</v>
      </c>
      <c r="I7" s="48">
        <v>0.0</v>
      </c>
      <c r="J7" s="48">
        <v>20.0</v>
      </c>
      <c r="K7" s="48" t="s">
        <v>31</v>
      </c>
      <c r="L7" s="48"/>
      <c r="M7" s="49"/>
      <c r="N7" s="48" t="s">
        <v>47</v>
      </c>
      <c r="O7" s="48">
        <v>1.0</v>
      </c>
      <c r="P7" s="50"/>
      <c r="Q7" s="49"/>
      <c r="R7" s="48">
        <v>0.0</v>
      </c>
      <c r="S7" s="48">
        <v>0.0</v>
      </c>
      <c r="T7" s="48">
        <v>0.0</v>
      </c>
      <c r="U7" s="48">
        <v>0.0</v>
      </c>
      <c r="V7" s="48">
        <v>50.0</v>
      </c>
      <c r="W7" s="48">
        <v>0.0</v>
      </c>
      <c r="X7" s="48" t="s">
        <v>31</v>
      </c>
      <c r="Y7" s="49"/>
      <c r="Z7" s="48">
        <v>20.0</v>
      </c>
      <c r="AA7" s="48"/>
      <c r="AB7" s="48" t="s">
        <v>16</v>
      </c>
      <c r="AC7" s="48">
        <v>3.0</v>
      </c>
      <c r="AD7" s="48"/>
      <c r="AE7" s="51">
        <v>43284.0</v>
      </c>
      <c r="AF7" s="48">
        <v>2.0</v>
      </c>
      <c r="AG7" s="48" t="s">
        <v>44</v>
      </c>
      <c r="AH7" s="50"/>
      <c r="AI7" s="50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</row>
    <row r="8" ht="15.75" customHeight="1">
      <c r="A8" s="53"/>
      <c r="B8" s="48" t="s">
        <v>18</v>
      </c>
      <c r="C8" s="48" t="s">
        <v>44</v>
      </c>
      <c r="D8" s="48" t="s">
        <v>48</v>
      </c>
      <c r="E8" s="48">
        <v>1540.0</v>
      </c>
      <c r="F8" s="48">
        <v>0.0</v>
      </c>
      <c r="G8" s="48">
        <v>0.0</v>
      </c>
      <c r="H8" s="48" t="s">
        <v>46</v>
      </c>
      <c r="I8" s="48">
        <v>0.0</v>
      </c>
      <c r="J8" s="48">
        <v>30.0</v>
      </c>
      <c r="K8" s="48" t="s">
        <v>32</v>
      </c>
      <c r="L8" s="48"/>
      <c r="M8" s="49"/>
      <c r="N8" s="48" t="s">
        <v>49</v>
      </c>
      <c r="O8" s="48">
        <v>1.3</v>
      </c>
      <c r="P8" s="50"/>
      <c r="Q8" s="49"/>
      <c r="R8" s="48">
        <v>0.0</v>
      </c>
      <c r="S8" s="48">
        <v>0.0</v>
      </c>
      <c r="T8" s="48">
        <v>0.0</v>
      </c>
      <c r="U8" s="48">
        <v>0.0</v>
      </c>
      <c r="V8" s="48">
        <v>100.0</v>
      </c>
      <c r="W8" s="48">
        <v>0.0</v>
      </c>
      <c r="X8" s="48" t="s">
        <v>32</v>
      </c>
      <c r="Y8" s="49"/>
      <c r="Z8" s="48">
        <v>30.0</v>
      </c>
      <c r="AA8" s="48"/>
      <c r="AB8" s="48" t="s">
        <v>23</v>
      </c>
      <c r="AC8" s="48">
        <v>0.0</v>
      </c>
      <c r="AD8" s="48"/>
      <c r="AE8" s="51">
        <v>43285.0</v>
      </c>
      <c r="AF8" s="48">
        <v>0.0</v>
      </c>
      <c r="AG8" s="48" t="s">
        <v>44</v>
      </c>
      <c r="AH8" s="50"/>
      <c r="AI8" s="50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</row>
    <row r="9" ht="15.75" customHeight="1">
      <c r="A9" s="53"/>
      <c r="B9" s="48" t="s">
        <v>18</v>
      </c>
      <c r="C9" s="48" t="s">
        <v>44</v>
      </c>
      <c r="D9" s="48" t="s">
        <v>48</v>
      </c>
      <c r="E9" s="48">
        <v>-1680.0</v>
      </c>
      <c r="F9" s="48">
        <v>0.0</v>
      </c>
      <c r="G9" s="48">
        <v>0.0</v>
      </c>
      <c r="H9" s="48" t="s">
        <v>46</v>
      </c>
      <c r="I9" s="48">
        <v>0.0</v>
      </c>
      <c r="J9" s="48">
        <v>40.0</v>
      </c>
      <c r="K9" s="48" t="s">
        <v>32</v>
      </c>
      <c r="L9" s="48"/>
      <c r="M9" s="49"/>
      <c r="N9" s="48" t="s">
        <v>49</v>
      </c>
      <c r="O9" s="48">
        <v>1.8</v>
      </c>
      <c r="P9" s="50"/>
      <c r="Q9" s="49"/>
      <c r="R9" s="48">
        <v>0.0</v>
      </c>
      <c r="S9" s="48">
        <v>0.0</v>
      </c>
      <c r="T9" s="48">
        <v>0.0</v>
      </c>
      <c r="U9" s="48">
        <v>0.0</v>
      </c>
      <c r="V9" s="48">
        <v>100.0</v>
      </c>
      <c r="W9" s="48">
        <v>0.0</v>
      </c>
      <c r="X9" s="48" t="s">
        <v>32</v>
      </c>
      <c r="Y9" s="49"/>
      <c r="Z9" s="48">
        <v>40.0</v>
      </c>
      <c r="AA9" s="48"/>
      <c r="AB9" s="48" t="s">
        <v>23</v>
      </c>
      <c r="AC9" s="48">
        <v>0.0</v>
      </c>
      <c r="AD9" s="48"/>
      <c r="AE9" s="51">
        <v>43286.0</v>
      </c>
      <c r="AF9" s="48">
        <v>0.0</v>
      </c>
      <c r="AG9" s="48" t="s">
        <v>44</v>
      </c>
      <c r="AH9" s="50"/>
      <c r="AI9" s="50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43" t="s">
        <v>38</v>
      </c>
      <c r="C6" s="54">
        <v>43283.0</v>
      </c>
      <c r="D6" s="54">
        <v>43287.0</v>
      </c>
      <c r="E6" s="44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55" t="b">
        <v>1</v>
      </c>
      <c r="C6" s="56" t="b">
        <v>1</v>
      </c>
      <c r="D6" s="43" t="s">
        <v>53</v>
      </c>
      <c r="E6" s="45" t="s">
        <v>54</v>
      </c>
      <c r="F6" s="45" t="s">
        <v>55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43" t="s">
        <v>41</v>
      </c>
      <c r="C6" s="44" t="s">
        <v>18</v>
      </c>
      <c r="D6" s="33">
        <v>43283.0</v>
      </c>
      <c r="E6" s="33">
        <v>43287.0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43" t="s">
        <v>41</v>
      </c>
      <c r="C6" s="44" t="s">
        <v>18</v>
      </c>
      <c r="D6" s="57">
        <v>43287.0</v>
      </c>
      <c r="E6" s="5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43" t="s">
        <v>41</v>
      </c>
      <c r="C6" s="44" t="s">
        <v>18</v>
      </c>
      <c r="D6" s="33">
        <v>43283.0</v>
      </c>
      <c r="E6" s="33">
        <v>43287.0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33.38"/>
    <col customWidth="1" min="7" max="8" width="12.63"/>
    <col customWidth="1" min="9" max="9" width="15.88"/>
    <col customWidth="1" min="10" max="11" width="15.25"/>
    <col customWidth="1" min="12" max="12" width="21.5"/>
    <col customWidth="1" min="13" max="16" width="12.63"/>
    <col customWidth="1" min="17" max="17" width="26.0"/>
    <col customWidth="1" min="1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IFERROR(__xludf.DUMMYFUNCTION("""COMPUTED_VALUE"""),"Date")</f>
        <v>Date</v>
      </c>
      <c r="C5" s="29" t="str">
        <f>IFERROR(__xludf.DUMMYFUNCTION("""COMPUTED_VALUE"""),"Account")</f>
        <v>Account</v>
      </c>
      <c r="D5" s="29" t="str">
        <f>IFERROR(__xludf.DUMMYFUNCTION("""COMPUTED_VALUE"""),"Symbol")</f>
        <v>Symbol</v>
      </c>
      <c r="E5" s="29" t="str">
        <f>IFERROR(__xludf.DUMMYFUNCTION("""COMPUTED_VALUE"""),"Currency")</f>
        <v>Currency</v>
      </c>
      <c r="F5" s="46" t="str">
        <f>IFERROR(__xludf.DUMMYFUNCTION("""COMPUTED_VALUE"""),"Cash Sub-Account")</f>
        <v>Cash Sub-Account</v>
      </c>
      <c r="G5" s="29" t="str">
        <f>IFERROR(__xludf.DUMMYFUNCTION("""COMPUTED_VALUE"""),"DR")</f>
        <v>DR</v>
      </c>
      <c r="H5" s="29" t="str">
        <f>IFERROR(__xludf.DUMMYFUNCTION("""COMPUTED_VALUE"""),"CR")</f>
        <v>CR</v>
      </c>
      <c r="I5" s="29" t="str">
        <f>IFERROR(__xludf.DUMMYFUNCTION("""COMPUTED_VALUE"""),"Modify Date")</f>
        <v>Modify Date</v>
      </c>
      <c r="J5" s="29" t="str">
        <f>IFERROR(__xludf.DUMMYFUNCTION("""COMPUTED_VALUE"""),"Entry Date")</f>
        <v>Entry Date</v>
      </c>
      <c r="K5" s="29" t="str">
        <f>IFERROR(__xludf.DUMMYFUNCTION("""COMPUTED_VALUE"""),"User")</f>
        <v>User</v>
      </c>
      <c r="L5" s="29" t="str">
        <f>IFERROR(__xludf.DUMMYFUNCTION("""COMPUTED_VALUE"""),"Fx Rate")</f>
        <v>Fx Rate</v>
      </c>
      <c r="M5" s="29" t="str">
        <f>IFERROR(__xludf.DUMMYFUNCTION("""COMPUTED_VALUE"""),"FX Conversion Method Operator")</f>
        <v>FX Conversion Method Operator</v>
      </c>
      <c r="N5" s="29" t="str">
        <f>IFERROR(__xludf.DUMMYFUNCTION("""COMPUTED_VALUE"""),"Account Side")</f>
        <v>Account Side</v>
      </c>
      <c r="O5" s="29" t="str">
        <f>IFERROR(__xludf.DUMMYFUNCTION("""COMPUTED_VALUE"""),"TransactionSource")</f>
        <v>TransactionSource</v>
      </c>
      <c r="P5" s="29" t="str">
        <f>IFERROR(__xludf.DUMMYFUNCTION("""COMPUTED_VALUE"""),"Base Currency")</f>
        <v>Base Currency</v>
      </c>
      <c r="Q5" s="29" t="str">
        <f>IFERROR(__xludf.DUMMYFUNCTION("""COMPUTED_VALUE"""),"Description")</f>
        <v>Description</v>
      </c>
      <c r="R5" s="29" t="str">
        <f>IFERROR(__xludf.DUMMYFUNCTION("""COMPUTED_VALUE"""),"DR (Base)")</f>
        <v>DR (Base)</v>
      </c>
      <c r="S5" s="29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51">
        <v>43286.0</v>
      </c>
      <c r="C6" s="48" t="s">
        <v>18</v>
      </c>
      <c r="D6" s="48" t="s">
        <v>23</v>
      </c>
      <c r="E6" s="48" t="s">
        <v>32</v>
      </c>
      <c r="F6" s="48" t="s">
        <v>60</v>
      </c>
      <c r="G6" s="58">
        <v>1460.0</v>
      </c>
      <c r="H6" s="59">
        <v>0.0</v>
      </c>
      <c r="I6" s="49"/>
      <c r="J6" s="49"/>
      <c r="K6" s="48"/>
      <c r="L6" s="48">
        <v>0.7610350076104</v>
      </c>
      <c r="M6" s="48" t="s">
        <v>47</v>
      </c>
      <c r="N6" s="48" t="s">
        <v>61</v>
      </c>
      <c r="O6" s="48" t="s">
        <v>62</v>
      </c>
      <c r="P6" s="48" t="s">
        <v>31</v>
      </c>
      <c r="Q6" s="48" t="s">
        <v>63</v>
      </c>
      <c r="R6" s="58">
        <v>1111.11</v>
      </c>
      <c r="S6" s="58">
        <v>0.0</v>
      </c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</row>
    <row r="7" ht="15.75" customHeight="1">
      <c r="A7" s="53"/>
      <c r="B7" s="51">
        <v>43286.0</v>
      </c>
      <c r="C7" s="48" t="s">
        <v>18</v>
      </c>
      <c r="D7" s="48" t="s">
        <v>23</v>
      </c>
      <c r="E7" s="48" t="s">
        <v>32</v>
      </c>
      <c r="F7" s="48" t="s">
        <v>64</v>
      </c>
      <c r="G7" s="60">
        <v>0.0</v>
      </c>
      <c r="H7" s="58">
        <v>1460.0</v>
      </c>
      <c r="I7" s="49"/>
      <c r="J7" s="49"/>
      <c r="K7" s="48"/>
      <c r="L7" s="48">
        <v>0.7610350076104</v>
      </c>
      <c r="M7" s="48" t="s">
        <v>47</v>
      </c>
      <c r="N7" s="48" t="s">
        <v>65</v>
      </c>
      <c r="O7" s="48" t="s">
        <v>62</v>
      </c>
      <c r="P7" s="48" t="s">
        <v>31</v>
      </c>
      <c r="Q7" s="48" t="s">
        <v>63</v>
      </c>
      <c r="R7" s="58">
        <v>0.0</v>
      </c>
      <c r="S7" s="58">
        <v>1111.11</v>
      </c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</row>
    <row r="8" ht="15.75" customHeight="1">
      <c r="A8" s="53"/>
      <c r="B8" s="51">
        <v>43286.0</v>
      </c>
      <c r="C8" s="48" t="s">
        <v>18</v>
      </c>
      <c r="D8" s="48" t="s">
        <v>32</v>
      </c>
      <c r="E8" s="48" t="s">
        <v>31</v>
      </c>
      <c r="F8" s="48" t="s">
        <v>64</v>
      </c>
      <c r="G8" s="58">
        <v>12.63</v>
      </c>
      <c r="H8" s="59">
        <v>0.0</v>
      </c>
      <c r="I8" s="49"/>
      <c r="J8" s="49"/>
      <c r="K8" s="48"/>
      <c r="L8" s="48">
        <v>1.0</v>
      </c>
      <c r="M8" s="48" t="s">
        <v>47</v>
      </c>
      <c r="N8" s="48" t="s">
        <v>61</v>
      </c>
      <c r="O8" s="48" t="s">
        <v>62</v>
      </c>
      <c r="P8" s="48" t="s">
        <v>31</v>
      </c>
      <c r="Q8" s="48" t="s">
        <v>63</v>
      </c>
      <c r="R8" s="58">
        <v>12.63</v>
      </c>
      <c r="S8" s="58">
        <v>0.0</v>
      </c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</row>
    <row r="9" ht="15.75" customHeight="1">
      <c r="A9" s="53"/>
      <c r="B9" s="51">
        <v>43286.0</v>
      </c>
      <c r="C9" s="48" t="s">
        <v>18</v>
      </c>
      <c r="D9" s="48" t="s">
        <v>32</v>
      </c>
      <c r="E9" s="48" t="s">
        <v>31</v>
      </c>
      <c r="F9" s="48" t="s">
        <v>60</v>
      </c>
      <c r="G9" s="60">
        <v>0.0</v>
      </c>
      <c r="H9" s="58">
        <v>12.63</v>
      </c>
      <c r="I9" s="49"/>
      <c r="J9" s="49"/>
      <c r="K9" s="48"/>
      <c r="L9" s="48">
        <v>1.0</v>
      </c>
      <c r="M9" s="48" t="s">
        <v>47</v>
      </c>
      <c r="N9" s="48" t="s">
        <v>65</v>
      </c>
      <c r="O9" s="48" t="s">
        <v>62</v>
      </c>
      <c r="P9" s="48" t="s">
        <v>31</v>
      </c>
      <c r="Q9" s="48" t="s">
        <v>63</v>
      </c>
      <c r="R9" s="58">
        <v>0.0</v>
      </c>
      <c r="S9" s="58">
        <v>12.63</v>
      </c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</row>
    <row r="10" ht="15.75" customHeight="1">
      <c r="A10" s="53"/>
      <c r="B10" s="51">
        <v>43285.0</v>
      </c>
      <c r="C10" s="48" t="s">
        <v>18</v>
      </c>
      <c r="D10" s="48" t="s">
        <v>23</v>
      </c>
      <c r="E10" s="48" t="s">
        <v>32</v>
      </c>
      <c r="F10" s="48" t="s">
        <v>64</v>
      </c>
      <c r="G10" s="58">
        <v>1460.0</v>
      </c>
      <c r="H10" s="59">
        <v>0.0</v>
      </c>
      <c r="I10" s="49"/>
      <c r="J10" s="49"/>
      <c r="K10" s="48"/>
      <c r="L10" s="48">
        <v>0.7610350076104</v>
      </c>
      <c r="M10" s="48" t="s">
        <v>47</v>
      </c>
      <c r="N10" s="48" t="s">
        <v>61</v>
      </c>
      <c r="O10" s="48" t="s">
        <v>62</v>
      </c>
      <c r="P10" s="48" t="s">
        <v>31</v>
      </c>
      <c r="Q10" s="48" t="s">
        <v>66</v>
      </c>
      <c r="R10" s="58">
        <v>1111.11</v>
      </c>
      <c r="S10" s="58">
        <v>0.0</v>
      </c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</row>
    <row r="11" ht="15.75" customHeight="1">
      <c r="A11" s="53"/>
      <c r="B11" s="51">
        <v>43285.0</v>
      </c>
      <c r="C11" s="48" t="s">
        <v>18</v>
      </c>
      <c r="D11" s="48" t="s">
        <v>23</v>
      </c>
      <c r="E11" s="48" t="s">
        <v>32</v>
      </c>
      <c r="F11" s="48" t="s">
        <v>60</v>
      </c>
      <c r="G11" s="60">
        <v>0.0</v>
      </c>
      <c r="H11" s="58">
        <v>1460.0</v>
      </c>
      <c r="I11" s="49"/>
      <c r="J11" s="49"/>
      <c r="K11" s="48"/>
      <c r="L11" s="48">
        <v>0.7610350076104</v>
      </c>
      <c r="M11" s="48" t="s">
        <v>47</v>
      </c>
      <c r="N11" s="48" t="s">
        <v>65</v>
      </c>
      <c r="O11" s="48" t="s">
        <v>62</v>
      </c>
      <c r="P11" s="48" t="s">
        <v>31</v>
      </c>
      <c r="Q11" s="48" t="s">
        <v>66</v>
      </c>
      <c r="R11" s="58">
        <v>0.0</v>
      </c>
      <c r="S11" s="58">
        <v>1111.11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</row>
    <row r="12" ht="15.75" customHeight="1">
      <c r="A12" s="53"/>
      <c r="B12" s="51">
        <v>43285.0</v>
      </c>
      <c r="C12" s="48" t="s">
        <v>18</v>
      </c>
      <c r="D12" s="48" t="s">
        <v>32</v>
      </c>
      <c r="E12" s="48" t="s">
        <v>31</v>
      </c>
      <c r="F12" s="48" t="s">
        <v>60</v>
      </c>
      <c r="G12" s="58">
        <v>12.63</v>
      </c>
      <c r="H12" s="59">
        <v>0.0</v>
      </c>
      <c r="I12" s="49"/>
      <c r="J12" s="49"/>
      <c r="K12" s="48"/>
      <c r="L12" s="48">
        <v>1.0</v>
      </c>
      <c r="M12" s="48" t="s">
        <v>47</v>
      </c>
      <c r="N12" s="48" t="s">
        <v>61</v>
      </c>
      <c r="O12" s="48" t="s">
        <v>62</v>
      </c>
      <c r="P12" s="48" t="s">
        <v>31</v>
      </c>
      <c r="Q12" s="48" t="s">
        <v>66</v>
      </c>
      <c r="R12" s="58">
        <v>12.63</v>
      </c>
      <c r="S12" s="58">
        <v>0.0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</row>
    <row r="13" ht="15.75" customHeight="1">
      <c r="A13" s="53"/>
      <c r="B13" s="51">
        <v>43285.0</v>
      </c>
      <c r="C13" s="48" t="s">
        <v>18</v>
      </c>
      <c r="D13" s="48" t="s">
        <v>32</v>
      </c>
      <c r="E13" s="48" t="s">
        <v>31</v>
      </c>
      <c r="F13" s="48" t="s">
        <v>64</v>
      </c>
      <c r="G13" s="60">
        <v>0.0</v>
      </c>
      <c r="H13" s="58">
        <v>12.63</v>
      </c>
      <c r="I13" s="49"/>
      <c r="J13" s="49"/>
      <c r="K13" s="48"/>
      <c r="L13" s="48">
        <v>1.0</v>
      </c>
      <c r="M13" s="48" t="s">
        <v>47</v>
      </c>
      <c r="N13" s="48" t="s">
        <v>65</v>
      </c>
      <c r="O13" s="48" t="s">
        <v>62</v>
      </c>
      <c r="P13" s="48" t="s">
        <v>31</v>
      </c>
      <c r="Q13" s="48" t="s">
        <v>66</v>
      </c>
      <c r="R13" s="58">
        <v>0.0</v>
      </c>
      <c r="S13" s="58">
        <v>12.63</v>
      </c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</row>
    <row r="14" ht="15.75" customHeight="1">
      <c r="A14" s="53"/>
      <c r="B14" s="51">
        <v>43286.0</v>
      </c>
      <c r="C14" s="48" t="s">
        <v>18</v>
      </c>
      <c r="D14" s="48" t="s">
        <v>23</v>
      </c>
      <c r="E14" s="48" t="s">
        <v>32</v>
      </c>
      <c r="F14" s="48" t="s">
        <v>67</v>
      </c>
      <c r="G14" s="58">
        <v>140.0</v>
      </c>
      <c r="H14" s="59">
        <v>0.0</v>
      </c>
      <c r="I14" s="49"/>
      <c r="J14" s="49"/>
      <c r="K14" s="48"/>
      <c r="L14" s="48">
        <v>0.5555555555556</v>
      </c>
      <c r="M14" s="48" t="s">
        <v>47</v>
      </c>
      <c r="N14" s="48" t="s">
        <v>61</v>
      </c>
      <c r="O14" s="48" t="s">
        <v>62</v>
      </c>
      <c r="P14" s="48" t="s">
        <v>31</v>
      </c>
      <c r="Q14" s="48" t="s">
        <v>68</v>
      </c>
      <c r="R14" s="58">
        <v>77.78</v>
      </c>
      <c r="S14" s="58">
        <v>0.0</v>
      </c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</row>
    <row r="15" ht="15.75" customHeight="1">
      <c r="A15" s="53"/>
      <c r="B15" s="51">
        <v>43286.0</v>
      </c>
      <c r="C15" s="48" t="s">
        <v>18</v>
      </c>
      <c r="D15" s="48" t="s">
        <v>23</v>
      </c>
      <c r="E15" s="48" t="s">
        <v>32</v>
      </c>
      <c r="F15" s="48" t="s">
        <v>69</v>
      </c>
      <c r="G15" s="60">
        <v>0.0</v>
      </c>
      <c r="H15" s="58">
        <v>140.0</v>
      </c>
      <c r="I15" s="49"/>
      <c r="J15" s="49"/>
      <c r="K15" s="48"/>
      <c r="L15" s="48">
        <v>0.5555555555556</v>
      </c>
      <c r="M15" s="48" t="s">
        <v>47</v>
      </c>
      <c r="N15" s="48" t="s">
        <v>65</v>
      </c>
      <c r="O15" s="48" t="s">
        <v>62</v>
      </c>
      <c r="P15" s="48" t="s">
        <v>31</v>
      </c>
      <c r="Q15" s="48" t="s">
        <v>68</v>
      </c>
      <c r="R15" s="58">
        <v>0.0</v>
      </c>
      <c r="S15" s="58">
        <v>77.78</v>
      </c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</row>
    <row r="16" ht="15.75" customHeight="1">
      <c r="A16" s="53"/>
      <c r="B16" s="51">
        <v>43286.0</v>
      </c>
      <c r="C16" s="48" t="s">
        <v>18</v>
      </c>
      <c r="D16" s="48" t="s">
        <v>32</v>
      </c>
      <c r="E16" s="48" t="s">
        <v>31</v>
      </c>
      <c r="F16" s="48" t="s">
        <v>69</v>
      </c>
      <c r="G16" s="58">
        <v>329.06</v>
      </c>
      <c r="H16" s="59">
        <v>0.0</v>
      </c>
      <c r="I16" s="49"/>
      <c r="J16" s="49"/>
      <c r="K16" s="48"/>
      <c r="L16" s="48">
        <v>1.0</v>
      </c>
      <c r="M16" s="48" t="s">
        <v>47</v>
      </c>
      <c r="N16" s="48" t="s">
        <v>61</v>
      </c>
      <c r="O16" s="48" t="s">
        <v>62</v>
      </c>
      <c r="P16" s="48" t="s">
        <v>31</v>
      </c>
      <c r="Q16" s="48" t="s">
        <v>68</v>
      </c>
      <c r="R16" s="58">
        <v>329.06</v>
      </c>
      <c r="S16" s="58">
        <v>0.0</v>
      </c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</row>
    <row r="17" ht="15.75" customHeight="1">
      <c r="A17" s="53"/>
      <c r="B17" s="51">
        <v>43286.0</v>
      </c>
      <c r="C17" s="48" t="s">
        <v>18</v>
      </c>
      <c r="D17" s="48" t="s">
        <v>32</v>
      </c>
      <c r="E17" s="48" t="s">
        <v>31</v>
      </c>
      <c r="F17" s="48" t="s">
        <v>67</v>
      </c>
      <c r="G17" s="60">
        <v>0.0</v>
      </c>
      <c r="H17" s="58">
        <v>329.06</v>
      </c>
      <c r="I17" s="49"/>
      <c r="J17" s="49"/>
      <c r="K17" s="48"/>
      <c r="L17" s="48">
        <v>1.0</v>
      </c>
      <c r="M17" s="48" t="s">
        <v>47</v>
      </c>
      <c r="N17" s="48" t="s">
        <v>65</v>
      </c>
      <c r="O17" s="48" t="s">
        <v>62</v>
      </c>
      <c r="P17" s="48" t="s">
        <v>31</v>
      </c>
      <c r="Q17" s="48" t="s">
        <v>68</v>
      </c>
      <c r="R17" s="58">
        <v>0.0</v>
      </c>
      <c r="S17" s="58">
        <v>329.06</v>
      </c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</row>
    <row r="18" ht="15.75" customHeight="1">
      <c r="A18" s="53"/>
      <c r="B18" s="51">
        <v>43284.0</v>
      </c>
      <c r="C18" s="48" t="s">
        <v>18</v>
      </c>
      <c r="D18" s="48" t="s">
        <v>16</v>
      </c>
      <c r="E18" s="48" t="s">
        <v>31</v>
      </c>
      <c r="F18" s="48" t="s">
        <v>64</v>
      </c>
      <c r="G18" s="58">
        <v>9566.0</v>
      </c>
      <c r="H18" s="59">
        <v>0.0</v>
      </c>
      <c r="I18" s="49"/>
      <c r="J18" s="49"/>
      <c r="K18" s="48"/>
      <c r="L18" s="48">
        <v>1.0</v>
      </c>
      <c r="M18" s="48" t="s">
        <v>47</v>
      </c>
      <c r="N18" s="48" t="s">
        <v>61</v>
      </c>
      <c r="O18" s="48" t="s">
        <v>62</v>
      </c>
      <c r="P18" s="48" t="s">
        <v>31</v>
      </c>
      <c r="Q18" s="48" t="s">
        <v>63</v>
      </c>
      <c r="R18" s="58">
        <v>9566.0</v>
      </c>
      <c r="S18" s="58">
        <v>0.0</v>
      </c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</row>
    <row r="19" ht="15.75" customHeight="1">
      <c r="A19" s="53"/>
      <c r="B19" s="51">
        <v>43284.0</v>
      </c>
      <c r="C19" s="48" t="s">
        <v>18</v>
      </c>
      <c r="D19" s="48" t="s">
        <v>16</v>
      </c>
      <c r="E19" s="48" t="s">
        <v>31</v>
      </c>
      <c r="F19" s="48" t="s">
        <v>70</v>
      </c>
      <c r="G19" s="60">
        <v>0.0</v>
      </c>
      <c r="H19" s="58">
        <v>9566.0</v>
      </c>
      <c r="I19" s="49"/>
      <c r="J19" s="49"/>
      <c r="K19" s="48"/>
      <c r="L19" s="48">
        <v>1.0</v>
      </c>
      <c r="M19" s="48" t="s">
        <v>47</v>
      </c>
      <c r="N19" s="48" t="s">
        <v>65</v>
      </c>
      <c r="O19" s="48" t="s">
        <v>62</v>
      </c>
      <c r="P19" s="48" t="s">
        <v>31</v>
      </c>
      <c r="Q19" s="48" t="s">
        <v>63</v>
      </c>
      <c r="R19" s="58">
        <v>0.0</v>
      </c>
      <c r="S19" s="58">
        <v>9566.0</v>
      </c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</row>
    <row r="20" ht="15.75" customHeight="1">
      <c r="A20" s="53"/>
      <c r="B20" s="51">
        <v>43285.0</v>
      </c>
      <c r="C20" s="48" t="s">
        <v>18</v>
      </c>
      <c r="D20" s="48" t="s">
        <v>16</v>
      </c>
      <c r="E20" s="48" t="s">
        <v>31</v>
      </c>
      <c r="F20" s="48" t="s">
        <v>64</v>
      </c>
      <c r="G20" s="58">
        <v>5283.0</v>
      </c>
      <c r="H20" s="59">
        <v>0.0</v>
      </c>
      <c r="I20" s="49"/>
      <c r="J20" s="49"/>
      <c r="K20" s="48"/>
      <c r="L20" s="48">
        <v>1.0</v>
      </c>
      <c r="M20" s="48" t="s">
        <v>47</v>
      </c>
      <c r="N20" s="48" t="s">
        <v>61</v>
      </c>
      <c r="O20" s="48" t="s">
        <v>62</v>
      </c>
      <c r="P20" s="48" t="s">
        <v>31</v>
      </c>
      <c r="Q20" s="48" t="s">
        <v>63</v>
      </c>
      <c r="R20" s="58">
        <v>5283.0</v>
      </c>
      <c r="S20" s="58">
        <v>0.0</v>
      </c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</row>
    <row r="21" ht="15.75" customHeight="1">
      <c r="A21" s="53"/>
      <c r="B21" s="51">
        <v>43285.0</v>
      </c>
      <c r="C21" s="48" t="s">
        <v>18</v>
      </c>
      <c r="D21" s="48" t="s">
        <v>16</v>
      </c>
      <c r="E21" s="48" t="s">
        <v>31</v>
      </c>
      <c r="F21" s="48" t="s">
        <v>70</v>
      </c>
      <c r="G21" s="60">
        <v>0.0</v>
      </c>
      <c r="H21" s="58">
        <v>5283.0</v>
      </c>
      <c r="I21" s="49"/>
      <c r="J21" s="49"/>
      <c r="K21" s="48"/>
      <c r="L21" s="48">
        <v>1.0</v>
      </c>
      <c r="M21" s="48" t="s">
        <v>47</v>
      </c>
      <c r="N21" s="48" t="s">
        <v>65</v>
      </c>
      <c r="O21" s="48" t="s">
        <v>62</v>
      </c>
      <c r="P21" s="48" t="s">
        <v>31</v>
      </c>
      <c r="Q21" s="48" t="s">
        <v>63</v>
      </c>
      <c r="R21" s="58">
        <v>0.0</v>
      </c>
      <c r="S21" s="58">
        <v>5283.0</v>
      </c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</row>
    <row r="22" ht="15.75" customHeight="1">
      <c r="A22" s="53"/>
      <c r="B22" s="51">
        <v>43286.0</v>
      </c>
      <c r="C22" s="48" t="s">
        <v>18</v>
      </c>
      <c r="D22" s="48" t="s">
        <v>16</v>
      </c>
      <c r="E22" s="48" t="s">
        <v>31</v>
      </c>
      <c r="F22" s="48" t="s">
        <v>64</v>
      </c>
      <c r="G22" s="58">
        <v>5783.0</v>
      </c>
      <c r="H22" s="59">
        <v>0.0</v>
      </c>
      <c r="I22" s="49"/>
      <c r="J22" s="49"/>
      <c r="K22" s="48"/>
      <c r="L22" s="48">
        <v>1.0</v>
      </c>
      <c r="M22" s="48" t="s">
        <v>47</v>
      </c>
      <c r="N22" s="48" t="s">
        <v>61</v>
      </c>
      <c r="O22" s="48" t="s">
        <v>62</v>
      </c>
      <c r="P22" s="48" t="s">
        <v>31</v>
      </c>
      <c r="Q22" s="48" t="s">
        <v>63</v>
      </c>
      <c r="R22" s="58">
        <v>5783.0</v>
      </c>
      <c r="S22" s="58">
        <v>0.0</v>
      </c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</row>
    <row r="23" ht="15.75" customHeight="1">
      <c r="A23" s="53"/>
      <c r="B23" s="51">
        <v>43286.0</v>
      </c>
      <c r="C23" s="48" t="s">
        <v>18</v>
      </c>
      <c r="D23" s="48" t="s">
        <v>16</v>
      </c>
      <c r="E23" s="48" t="s">
        <v>31</v>
      </c>
      <c r="F23" s="48" t="s">
        <v>70</v>
      </c>
      <c r="G23" s="60">
        <v>0.0</v>
      </c>
      <c r="H23" s="58">
        <v>5783.0</v>
      </c>
      <c r="I23" s="49"/>
      <c r="J23" s="49"/>
      <c r="K23" s="48"/>
      <c r="L23" s="48">
        <v>1.0</v>
      </c>
      <c r="M23" s="48" t="s">
        <v>47</v>
      </c>
      <c r="N23" s="48" t="s">
        <v>65</v>
      </c>
      <c r="O23" s="48" t="s">
        <v>62</v>
      </c>
      <c r="P23" s="48" t="s">
        <v>31</v>
      </c>
      <c r="Q23" s="48" t="s">
        <v>63</v>
      </c>
      <c r="R23" s="58">
        <v>0.0</v>
      </c>
      <c r="S23" s="58">
        <v>5783.0</v>
      </c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</row>
    <row r="24" ht="15.75" customHeight="1">
      <c r="A24" s="53"/>
      <c r="B24" s="51">
        <v>43287.0</v>
      </c>
      <c r="C24" s="48" t="s">
        <v>18</v>
      </c>
      <c r="D24" s="48" t="s">
        <v>16</v>
      </c>
      <c r="E24" s="48" t="s">
        <v>31</v>
      </c>
      <c r="F24" s="48" t="s">
        <v>64</v>
      </c>
      <c r="G24" s="58">
        <v>6283.0</v>
      </c>
      <c r="H24" s="59">
        <v>0.0</v>
      </c>
      <c r="I24" s="49"/>
      <c r="J24" s="49"/>
      <c r="K24" s="48"/>
      <c r="L24" s="48">
        <v>1.0</v>
      </c>
      <c r="M24" s="48" t="s">
        <v>47</v>
      </c>
      <c r="N24" s="48" t="s">
        <v>61</v>
      </c>
      <c r="O24" s="48" t="s">
        <v>62</v>
      </c>
      <c r="P24" s="48" t="s">
        <v>31</v>
      </c>
      <c r="Q24" s="48" t="s">
        <v>63</v>
      </c>
      <c r="R24" s="58">
        <v>6283.0</v>
      </c>
      <c r="S24" s="58">
        <v>0.0</v>
      </c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</row>
    <row r="25" ht="15.75" customHeight="1">
      <c r="A25" s="53"/>
      <c r="B25" s="51">
        <v>43287.0</v>
      </c>
      <c r="C25" s="48" t="s">
        <v>18</v>
      </c>
      <c r="D25" s="48" t="s">
        <v>16</v>
      </c>
      <c r="E25" s="48" t="s">
        <v>31</v>
      </c>
      <c r="F25" s="48" t="s">
        <v>70</v>
      </c>
      <c r="G25" s="60">
        <v>0.0</v>
      </c>
      <c r="H25" s="58">
        <v>6283.0</v>
      </c>
      <c r="I25" s="49"/>
      <c r="J25" s="49"/>
      <c r="K25" s="48"/>
      <c r="L25" s="48">
        <v>1.0</v>
      </c>
      <c r="M25" s="48" t="s">
        <v>47</v>
      </c>
      <c r="N25" s="48" t="s">
        <v>65</v>
      </c>
      <c r="O25" s="48" t="s">
        <v>62</v>
      </c>
      <c r="P25" s="48" t="s">
        <v>31</v>
      </c>
      <c r="Q25" s="48" t="s">
        <v>63</v>
      </c>
      <c r="R25" s="58">
        <v>0.0</v>
      </c>
      <c r="S25" s="58">
        <v>6283.0</v>
      </c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</row>
    <row r="26" ht="15.75" customHeight="1">
      <c r="A26" s="53"/>
      <c r="B26" s="51">
        <v>43283.0</v>
      </c>
      <c r="C26" s="48" t="s">
        <v>18</v>
      </c>
      <c r="D26" s="48" t="s">
        <v>16</v>
      </c>
      <c r="E26" s="48" t="s">
        <v>31</v>
      </c>
      <c r="F26" s="48" t="s">
        <v>70</v>
      </c>
      <c r="G26" s="58">
        <v>9566.0</v>
      </c>
      <c r="H26" s="59">
        <v>0.0</v>
      </c>
      <c r="I26" s="49"/>
      <c r="J26" s="49"/>
      <c r="K26" s="48"/>
      <c r="L26" s="48">
        <v>1.0</v>
      </c>
      <c r="M26" s="48" t="s">
        <v>47</v>
      </c>
      <c r="N26" s="48" t="s">
        <v>61</v>
      </c>
      <c r="O26" s="48" t="s">
        <v>62</v>
      </c>
      <c r="P26" s="48" t="s">
        <v>31</v>
      </c>
      <c r="Q26" s="48" t="s">
        <v>66</v>
      </c>
      <c r="R26" s="58">
        <v>9566.0</v>
      </c>
      <c r="S26" s="58">
        <v>0.0</v>
      </c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</row>
    <row r="27" ht="15.75" customHeight="1">
      <c r="A27" s="52"/>
      <c r="B27" s="51">
        <v>43283.0</v>
      </c>
      <c r="C27" s="48" t="s">
        <v>18</v>
      </c>
      <c r="D27" s="48" t="s">
        <v>16</v>
      </c>
      <c r="E27" s="48" t="s">
        <v>31</v>
      </c>
      <c r="F27" s="48" t="s">
        <v>64</v>
      </c>
      <c r="G27" s="60">
        <v>0.0</v>
      </c>
      <c r="H27" s="58">
        <v>9566.0</v>
      </c>
      <c r="I27" s="49"/>
      <c r="J27" s="49"/>
      <c r="K27" s="48"/>
      <c r="L27" s="48">
        <v>1.0</v>
      </c>
      <c r="M27" s="48" t="s">
        <v>47</v>
      </c>
      <c r="N27" s="48" t="s">
        <v>65</v>
      </c>
      <c r="O27" s="48" t="s">
        <v>62</v>
      </c>
      <c r="P27" s="48" t="s">
        <v>31</v>
      </c>
      <c r="Q27" s="48" t="s">
        <v>66</v>
      </c>
      <c r="R27" s="58">
        <v>0.0</v>
      </c>
      <c r="S27" s="58">
        <v>9566.0</v>
      </c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</row>
    <row r="28" ht="15.75" customHeight="1">
      <c r="A28" s="52"/>
      <c r="B28" s="51">
        <v>43284.0</v>
      </c>
      <c r="C28" s="48" t="s">
        <v>18</v>
      </c>
      <c r="D28" s="48" t="s">
        <v>16</v>
      </c>
      <c r="E28" s="48" t="s">
        <v>31</v>
      </c>
      <c r="F28" s="48" t="s">
        <v>70</v>
      </c>
      <c r="G28" s="58">
        <v>5283.0</v>
      </c>
      <c r="H28" s="59">
        <v>0.0</v>
      </c>
      <c r="I28" s="49"/>
      <c r="J28" s="49"/>
      <c r="K28" s="48"/>
      <c r="L28" s="48">
        <v>1.0</v>
      </c>
      <c r="M28" s="48" t="s">
        <v>47</v>
      </c>
      <c r="N28" s="48" t="s">
        <v>61</v>
      </c>
      <c r="O28" s="48" t="s">
        <v>62</v>
      </c>
      <c r="P28" s="48" t="s">
        <v>31</v>
      </c>
      <c r="Q28" s="48" t="s">
        <v>66</v>
      </c>
      <c r="R28" s="58">
        <v>5283.0</v>
      </c>
      <c r="S28" s="58">
        <v>0.0</v>
      </c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</row>
    <row r="29" ht="15.75" customHeight="1">
      <c r="A29" s="52"/>
      <c r="B29" s="51">
        <v>43284.0</v>
      </c>
      <c r="C29" s="48" t="s">
        <v>18</v>
      </c>
      <c r="D29" s="48" t="s">
        <v>16</v>
      </c>
      <c r="E29" s="48" t="s">
        <v>31</v>
      </c>
      <c r="F29" s="48" t="s">
        <v>64</v>
      </c>
      <c r="G29" s="60">
        <v>0.0</v>
      </c>
      <c r="H29" s="58">
        <v>5283.0</v>
      </c>
      <c r="I29" s="49"/>
      <c r="J29" s="49"/>
      <c r="K29" s="48"/>
      <c r="L29" s="48">
        <v>1.0</v>
      </c>
      <c r="M29" s="48" t="s">
        <v>47</v>
      </c>
      <c r="N29" s="48" t="s">
        <v>65</v>
      </c>
      <c r="O29" s="48" t="s">
        <v>62</v>
      </c>
      <c r="P29" s="48" t="s">
        <v>31</v>
      </c>
      <c r="Q29" s="48" t="s">
        <v>66</v>
      </c>
      <c r="R29" s="58">
        <v>0.0</v>
      </c>
      <c r="S29" s="58">
        <v>5283.0</v>
      </c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</row>
    <row r="30" ht="15.75" customHeight="1">
      <c r="A30" s="52"/>
      <c r="B30" s="51">
        <v>43285.0</v>
      </c>
      <c r="C30" s="48" t="s">
        <v>18</v>
      </c>
      <c r="D30" s="48" t="s">
        <v>16</v>
      </c>
      <c r="E30" s="48" t="s">
        <v>31</v>
      </c>
      <c r="F30" s="48" t="s">
        <v>70</v>
      </c>
      <c r="G30" s="58">
        <v>5783.0</v>
      </c>
      <c r="H30" s="59">
        <v>0.0</v>
      </c>
      <c r="I30" s="49"/>
      <c r="J30" s="49"/>
      <c r="K30" s="48"/>
      <c r="L30" s="48">
        <v>1.0</v>
      </c>
      <c r="M30" s="48" t="s">
        <v>47</v>
      </c>
      <c r="N30" s="48" t="s">
        <v>61</v>
      </c>
      <c r="O30" s="48" t="s">
        <v>62</v>
      </c>
      <c r="P30" s="48" t="s">
        <v>31</v>
      </c>
      <c r="Q30" s="48" t="s">
        <v>66</v>
      </c>
      <c r="R30" s="58">
        <v>5783.0</v>
      </c>
      <c r="S30" s="58">
        <v>0.0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</row>
    <row r="31" ht="15.75" customHeight="1">
      <c r="A31" s="52"/>
      <c r="B31" s="51">
        <v>43285.0</v>
      </c>
      <c r="C31" s="48" t="s">
        <v>18</v>
      </c>
      <c r="D31" s="48" t="s">
        <v>16</v>
      </c>
      <c r="E31" s="48" t="s">
        <v>31</v>
      </c>
      <c r="F31" s="48" t="s">
        <v>64</v>
      </c>
      <c r="G31" s="60">
        <v>0.0</v>
      </c>
      <c r="H31" s="58">
        <v>5783.0</v>
      </c>
      <c r="I31" s="49"/>
      <c r="J31" s="49"/>
      <c r="K31" s="48"/>
      <c r="L31" s="48">
        <v>1.0</v>
      </c>
      <c r="M31" s="48" t="s">
        <v>47</v>
      </c>
      <c r="N31" s="48" t="s">
        <v>65</v>
      </c>
      <c r="O31" s="48" t="s">
        <v>62</v>
      </c>
      <c r="P31" s="48" t="s">
        <v>31</v>
      </c>
      <c r="Q31" s="48" t="s">
        <v>66</v>
      </c>
      <c r="R31" s="58">
        <v>0.0</v>
      </c>
      <c r="S31" s="58">
        <v>5783.0</v>
      </c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</row>
    <row r="32" ht="15.75" customHeight="1">
      <c r="A32" s="52"/>
      <c r="B32" s="51">
        <v>43286.0</v>
      </c>
      <c r="C32" s="48" t="s">
        <v>18</v>
      </c>
      <c r="D32" s="48" t="s">
        <v>16</v>
      </c>
      <c r="E32" s="48" t="s">
        <v>31</v>
      </c>
      <c r="F32" s="48" t="s">
        <v>70</v>
      </c>
      <c r="G32" s="58">
        <v>6283.0</v>
      </c>
      <c r="H32" s="59">
        <v>0.0</v>
      </c>
      <c r="I32" s="49"/>
      <c r="J32" s="49"/>
      <c r="K32" s="48"/>
      <c r="L32" s="48">
        <v>1.0</v>
      </c>
      <c r="M32" s="48" t="s">
        <v>47</v>
      </c>
      <c r="N32" s="48" t="s">
        <v>61</v>
      </c>
      <c r="O32" s="48" t="s">
        <v>62</v>
      </c>
      <c r="P32" s="48" t="s">
        <v>31</v>
      </c>
      <c r="Q32" s="48" t="s">
        <v>66</v>
      </c>
      <c r="R32" s="58">
        <v>6283.0</v>
      </c>
      <c r="S32" s="58">
        <v>0.0</v>
      </c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</row>
    <row r="33" ht="15.75" customHeight="1">
      <c r="A33" s="52"/>
      <c r="B33" s="51">
        <v>43286.0</v>
      </c>
      <c r="C33" s="48" t="s">
        <v>18</v>
      </c>
      <c r="D33" s="48" t="s">
        <v>16</v>
      </c>
      <c r="E33" s="48" t="s">
        <v>31</v>
      </c>
      <c r="F33" s="48" t="s">
        <v>64</v>
      </c>
      <c r="G33" s="60">
        <v>0.0</v>
      </c>
      <c r="H33" s="58">
        <v>6283.0</v>
      </c>
      <c r="I33" s="49"/>
      <c r="J33" s="49"/>
      <c r="K33" s="48"/>
      <c r="L33" s="48">
        <v>1.0</v>
      </c>
      <c r="M33" s="48" t="s">
        <v>47</v>
      </c>
      <c r="N33" s="48" t="s">
        <v>65</v>
      </c>
      <c r="O33" s="48" t="s">
        <v>62</v>
      </c>
      <c r="P33" s="48" t="s">
        <v>31</v>
      </c>
      <c r="Q33" s="48" t="s">
        <v>66</v>
      </c>
      <c r="R33" s="58">
        <v>0.0</v>
      </c>
      <c r="S33" s="58">
        <v>6283.0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</row>
    <row r="34" ht="15.75" customHeight="1">
      <c r="A34" s="52"/>
      <c r="B34" s="51">
        <v>43287.0</v>
      </c>
      <c r="C34" s="48" t="s">
        <v>18</v>
      </c>
      <c r="D34" s="48" t="s">
        <v>16</v>
      </c>
      <c r="E34" s="48" t="s">
        <v>31</v>
      </c>
      <c r="F34" s="48" t="s">
        <v>70</v>
      </c>
      <c r="G34" s="58">
        <v>6783.0</v>
      </c>
      <c r="H34" s="59">
        <v>0.0</v>
      </c>
      <c r="I34" s="49"/>
      <c r="J34" s="49"/>
      <c r="K34" s="48"/>
      <c r="L34" s="48">
        <v>1.0</v>
      </c>
      <c r="M34" s="48" t="s">
        <v>47</v>
      </c>
      <c r="N34" s="48" t="s">
        <v>61</v>
      </c>
      <c r="O34" s="48" t="s">
        <v>62</v>
      </c>
      <c r="P34" s="48" t="s">
        <v>31</v>
      </c>
      <c r="Q34" s="48" t="s">
        <v>66</v>
      </c>
      <c r="R34" s="58">
        <v>6783.0</v>
      </c>
      <c r="S34" s="58">
        <v>0.0</v>
      </c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</row>
    <row r="35" ht="15.75" customHeight="1">
      <c r="A35" s="52"/>
      <c r="B35" s="51">
        <v>43287.0</v>
      </c>
      <c r="C35" s="48" t="s">
        <v>18</v>
      </c>
      <c r="D35" s="48" t="s">
        <v>16</v>
      </c>
      <c r="E35" s="48" t="s">
        <v>31</v>
      </c>
      <c r="F35" s="48" t="s">
        <v>64</v>
      </c>
      <c r="G35" s="60">
        <v>0.0</v>
      </c>
      <c r="H35" s="58">
        <v>6783.0</v>
      </c>
      <c r="I35" s="49"/>
      <c r="J35" s="49"/>
      <c r="K35" s="48"/>
      <c r="L35" s="48">
        <v>1.0</v>
      </c>
      <c r="M35" s="48" t="s">
        <v>47</v>
      </c>
      <c r="N35" s="48" t="s">
        <v>65</v>
      </c>
      <c r="O35" s="48" t="s">
        <v>62</v>
      </c>
      <c r="P35" s="48" t="s">
        <v>31</v>
      </c>
      <c r="Q35" s="48" t="s">
        <v>66</v>
      </c>
      <c r="R35" s="58">
        <v>0.0</v>
      </c>
      <c r="S35" s="58">
        <v>6783.0</v>
      </c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</row>
    <row r="36" ht="15.75" customHeight="1">
      <c r="A36" s="52"/>
      <c r="B36" s="51">
        <v>43284.0</v>
      </c>
      <c r="C36" s="48" t="s">
        <v>18</v>
      </c>
      <c r="D36" s="48" t="s">
        <v>16</v>
      </c>
      <c r="E36" s="48" t="s">
        <v>31</v>
      </c>
      <c r="F36" s="48" t="s">
        <v>67</v>
      </c>
      <c r="G36" s="58">
        <v>71.0</v>
      </c>
      <c r="H36" s="59">
        <v>0.0</v>
      </c>
      <c r="I36" s="49"/>
      <c r="J36" s="49"/>
      <c r="K36" s="48"/>
      <c r="L36" s="48">
        <v>1.0</v>
      </c>
      <c r="M36" s="48" t="s">
        <v>47</v>
      </c>
      <c r="N36" s="48" t="s">
        <v>61</v>
      </c>
      <c r="O36" s="48" t="s">
        <v>62</v>
      </c>
      <c r="P36" s="48" t="s">
        <v>31</v>
      </c>
      <c r="Q36" s="48" t="s">
        <v>68</v>
      </c>
      <c r="R36" s="58">
        <v>71.0</v>
      </c>
      <c r="S36" s="58">
        <v>0.0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</row>
    <row r="37" ht="15.75" customHeight="1">
      <c r="A37" s="52"/>
      <c r="B37" s="51">
        <v>43284.0</v>
      </c>
      <c r="C37" s="48" t="s">
        <v>18</v>
      </c>
      <c r="D37" s="48" t="s">
        <v>16</v>
      </c>
      <c r="E37" s="48" t="s">
        <v>31</v>
      </c>
      <c r="F37" s="48" t="s">
        <v>69</v>
      </c>
      <c r="G37" s="60">
        <v>0.0</v>
      </c>
      <c r="H37" s="58">
        <v>71.0</v>
      </c>
      <c r="I37" s="49"/>
      <c r="J37" s="49"/>
      <c r="K37" s="48"/>
      <c r="L37" s="48">
        <v>1.0</v>
      </c>
      <c r="M37" s="48" t="s">
        <v>47</v>
      </c>
      <c r="N37" s="48" t="s">
        <v>65</v>
      </c>
      <c r="O37" s="48" t="s">
        <v>62</v>
      </c>
      <c r="P37" s="48" t="s">
        <v>31</v>
      </c>
      <c r="Q37" s="48" t="s">
        <v>68</v>
      </c>
      <c r="R37" s="58">
        <v>0.0</v>
      </c>
      <c r="S37" s="58">
        <v>71.0</v>
      </c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</row>
    <row r="38" ht="15.75" customHeight="1">
      <c r="A38" s="52"/>
      <c r="B38" s="51">
        <v>43287.0</v>
      </c>
      <c r="C38" s="48" t="s">
        <v>18</v>
      </c>
      <c r="D38" s="48" t="s">
        <v>32</v>
      </c>
      <c r="E38" s="48" t="s">
        <v>32</v>
      </c>
      <c r="F38" s="48" t="s">
        <v>71</v>
      </c>
      <c r="G38" s="58">
        <v>280.0</v>
      </c>
      <c r="H38" s="59">
        <v>0.0</v>
      </c>
      <c r="I38" s="49"/>
      <c r="J38" s="49"/>
      <c r="K38" s="48"/>
      <c r="L38" s="48">
        <v>0.7598784194529</v>
      </c>
      <c r="M38" s="48" t="s">
        <v>47</v>
      </c>
      <c r="N38" s="48" t="s">
        <v>61</v>
      </c>
      <c r="O38" s="48" t="s">
        <v>62</v>
      </c>
      <c r="P38" s="48" t="s">
        <v>31</v>
      </c>
      <c r="Q38" s="48" t="s">
        <v>72</v>
      </c>
      <c r="R38" s="58">
        <v>212.77</v>
      </c>
      <c r="S38" s="58">
        <v>0.0</v>
      </c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</row>
    <row r="39" ht="15.75" customHeight="1">
      <c r="A39" s="52"/>
      <c r="B39" s="51">
        <v>43287.0</v>
      </c>
      <c r="C39" s="48" t="s">
        <v>18</v>
      </c>
      <c r="D39" s="48" t="s">
        <v>32</v>
      </c>
      <c r="E39" s="48" t="s">
        <v>32</v>
      </c>
      <c r="F39" s="48" t="s">
        <v>69</v>
      </c>
      <c r="G39" s="60">
        <v>0.0</v>
      </c>
      <c r="H39" s="58">
        <v>280.0</v>
      </c>
      <c r="I39" s="49"/>
      <c r="J39" s="49"/>
      <c r="K39" s="48"/>
      <c r="L39" s="48">
        <v>0.7598784194529</v>
      </c>
      <c r="M39" s="48" t="s">
        <v>47</v>
      </c>
      <c r="N39" s="48" t="s">
        <v>65</v>
      </c>
      <c r="O39" s="48" t="s">
        <v>62</v>
      </c>
      <c r="P39" s="48" t="s">
        <v>31</v>
      </c>
      <c r="Q39" s="48" t="s">
        <v>72</v>
      </c>
      <c r="R39" s="58">
        <v>0.0</v>
      </c>
      <c r="S39" s="58">
        <v>212.77</v>
      </c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</row>
    <row r="40" ht="15.75" customHeight="1">
      <c r="A40" s="52"/>
      <c r="B40" s="51">
        <v>43287.0</v>
      </c>
      <c r="C40" s="48" t="s">
        <v>18</v>
      </c>
      <c r="D40" s="48" t="s">
        <v>32</v>
      </c>
      <c r="E40" s="48" t="s">
        <v>32</v>
      </c>
      <c r="F40" s="48" t="s">
        <v>69</v>
      </c>
      <c r="G40" s="58">
        <v>280.0</v>
      </c>
      <c r="H40" s="59">
        <v>0.0</v>
      </c>
      <c r="I40" s="49"/>
      <c r="J40" s="49"/>
      <c r="K40" s="48"/>
      <c r="L40" s="48">
        <v>0.7604562737643</v>
      </c>
      <c r="M40" s="48" t="s">
        <v>47</v>
      </c>
      <c r="N40" s="48" t="s">
        <v>61</v>
      </c>
      <c r="O40" s="48" t="s">
        <v>62</v>
      </c>
      <c r="P40" s="48" t="s">
        <v>31</v>
      </c>
      <c r="Q40" s="48" t="s">
        <v>73</v>
      </c>
      <c r="R40" s="58">
        <v>212.93</v>
      </c>
      <c r="S40" s="58">
        <v>0.0</v>
      </c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</row>
    <row r="41" ht="15.75" customHeight="1">
      <c r="A41" s="52"/>
      <c r="B41" s="51">
        <v>43287.0</v>
      </c>
      <c r="C41" s="48" t="s">
        <v>18</v>
      </c>
      <c r="D41" s="48" t="s">
        <v>32</v>
      </c>
      <c r="E41" s="48" t="s">
        <v>32</v>
      </c>
      <c r="F41" s="48" t="s">
        <v>71</v>
      </c>
      <c r="G41" s="60">
        <v>0.0</v>
      </c>
      <c r="H41" s="58">
        <v>280.0</v>
      </c>
      <c r="I41" s="49"/>
      <c r="J41" s="49"/>
      <c r="K41" s="48"/>
      <c r="L41" s="48">
        <v>0.7604562737643</v>
      </c>
      <c r="M41" s="48" t="s">
        <v>47</v>
      </c>
      <c r="N41" s="48" t="s">
        <v>65</v>
      </c>
      <c r="O41" s="48" t="s">
        <v>62</v>
      </c>
      <c r="P41" s="48" t="s">
        <v>31</v>
      </c>
      <c r="Q41" s="48" t="s">
        <v>73</v>
      </c>
      <c r="R41" s="58">
        <v>0.0</v>
      </c>
      <c r="S41" s="58">
        <v>212.93</v>
      </c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</row>
    <row r="42" ht="15.75" customHeight="1">
      <c r="A42" s="52"/>
      <c r="B42" s="51"/>
      <c r="C42" s="48"/>
      <c r="D42" s="48"/>
      <c r="E42" s="48"/>
      <c r="F42" s="48"/>
      <c r="G42" s="58"/>
      <c r="H42" s="59"/>
      <c r="I42" s="49"/>
      <c r="J42" s="49"/>
      <c r="K42" s="48"/>
      <c r="L42" s="48"/>
      <c r="M42" s="48"/>
      <c r="N42" s="48"/>
      <c r="O42" s="48"/>
      <c r="P42" s="48"/>
      <c r="Q42" s="48"/>
      <c r="R42" s="58"/>
      <c r="S42" s="58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</row>
    <row r="43" ht="15.75" customHeight="1">
      <c r="A43" s="52"/>
      <c r="B43" s="51"/>
      <c r="C43" s="48"/>
      <c r="D43" s="48"/>
      <c r="E43" s="48"/>
      <c r="F43" s="48"/>
      <c r="G43" s="60"/>
      <c r="H43" s="58"/>
      <c r="I43" s="49"/>
      <c r="J43" s="49"/>
      <c r="K43" s="48"/>
      <c r="L43" s="48"/>
      <c r="M43" s="48"/>
      <c r="N43" s="48"/>
      <c r="O43" s="48"/>
      <c r="P43" s="48"/>
      <c r="Q43" s="48"/>
      <c r="R43" s="58"/>
      <c r="S43" s="58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</row>
    <row r="44" ht="15.75" customHeight="1">
      <c r="A44" s="52"/>
      <c r="B44" s="51"/>
      <c r="C44" s="48"/>
      <c r="D44" s="48"/>
      <c r="E44" s="48"/>
      <c r="F44" s="48"/>
      <c r="G44" s="58"/>
      <c r="H44" s="59"/>
      <c r="I44" s="49"/>
      <c r="J44" s="49"/>
      <c r="K44" s="48"/>
      <c r="L44" s="48"/>
      <c r="M44" s="48"/>
      <c r="N44" s="48"/>
      <c r="O44" s="48"/>
      <c r="P44" s="48"/>
      <c r="Q44" s="48"/>
      <c r="R44" s="58"/>
      <c r="S44" s="58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</row>
    <row r="45" ht="15.75" customHeight="1">
      <c r="A45" s="52"/>
      <c r="B45" s="51"/>
      <c r="C45" s="48"/>
      <c r="D45" s="48"/>
      <c r="E45" s="48"/>
      <c r="F45" s="48"/>
      <c r="G45" s="60"/>
      <c r="H45" s="58"/>
      <c r="I45" s="49"/>
      <c r="J45" s="49"/>
      <c r="K45" s="48"/>
      <c r="L45" s="48"/>
      <c r="M45" s="48"/>
      <c r="N45" s="48"/>
      <c r="O45" s="48"/>
      <c r="P45" s="48"/>
      <c r="Q45" s="48"/>
      <c r="R45" s="58"/>
      <c r="S45" s="58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