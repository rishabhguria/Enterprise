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ComplianceAlert" sheetId="5" r:id="rId7"/>
    <sheet state="visible" name="RestartReleasesAndServices" sheetId="6" r:id="rId8"/>
    <sheet state="visible" name="CreateComplianceOrder" sheetId="7" r:id="rId9"/>
    <sheet state="visible" name="VerifyComplianceOrder" sheetId="8" r:id="rId10"/>
    <sheet state="visible" name="LoginClient" sheetId="9" r:id="rId11"/>
    <sheet state="visible" name="ApproveorRejectpendingapproval" sheetId="10" r:id="rId12"/>
    <sheet state="visible" name="SelectTradeOnOrderGrid" sheetId="11" r:id="rId13"/>
    <sheet state="visible" name="TradeNewSubOrder" sheetId="12" r:id="rId14"/>
    <sheet state="visible" name="CreateComplianceOrder1" sheetId="13" r:id="rId15"/>
    <sheet state="visible" name="VerifyComplianceOrder1" sheetId="14" r:id="rId16"/>
    <sheet state="visible" name="RightClickAndClickOperations" sheetId="15" r:id="rId17"/>
    <sheet state="visible" name="CreateComplianceOrder2" sheetId="16" r:id="rId18"/>
    <sheet state="visible" name="VerifyComplianceOrder2" sheetId="17" r:id="rId19"/>
    <sheet state="visible" name="ApproveorRejectpendingapproval1" sheetId="18" r:id="rId20"/>
    <sheet state="visible" name="SelectTradeOnOrderGrid1" sheetId="19" r:id="rId21"/>
    <sheet state="visible" name="TradeNewSubOrder1" sheetId="20" r:id="rId22"/>
    <sheet state="visible" name="CreateComplianceOrder3" sheetId="21" r:id="rId23"/>
    <sheet state="visible" name="VerifyComplianceOrder3" sheetId="22" r:id="rId24"/>
    <sheet state="visible" name="SelectTradeOnOrderGrid2" sheetId="23" r:id="rId25"/>
    <sheet state="visible" name="ApproveorRejectpendingapproval2" sheetId="24" r:id="rId26"/>
  </sheets>
  <definedNames/>
  <calcPr/>
</workbook>
</file>

<file path=xl/sharedStrings.xml><?xml version="1.0" encoding="utf-8"?>
<sst xmlns="http://schemas.openxmlformats.org/spreadsheetml/2006/main" count="246" uniqueCount="55">
  <si>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</si>
  <si>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</si>
  <si>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</si>
  <si>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</si>
  <si>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</si>
  <si>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</si>
  <si>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</si>
  <si>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</si>
  <si>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</si>
  <si>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</si>
  <si>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</si>
  <si>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</si>
  <si>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</si>
  <si>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</si>
  <si>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</si>
  <si>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</si>
  <si>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</si>
  <si>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</si>
  <si>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SetComplianceAlert</t>
  </si>
  <si>
    <t>Compliance</t>
  </si>
  <si>
    <t>RestartReleasesAndServices</t>
  </si>
  <si>
    <t>No</t>
  </si>
  <si>
    <t>TradingTicket</t>
  </si>
  <si>
    <t>CreateComplianceOrder</t>
  </si>
  <si>
    <t>AAPL</t>
  </si>
  <si>
    <t>Buy</t>
  </si>
  <si>
    <t>Allocation1</t>
  </si>
  <si>
    <t>CreateOrder</t>
  </si>
  <si>
    <t>VerifyComplianceOrder</t>
  </si>
  <si>
    <t>Requires Approval</t>
  </si>
  <si>
    <t>Enter Summary</t>
  </si>
  <si>
    <t>quantity: 100.00, Symbol: AAPL</t>
  </si>
  <si>
    <t>Compliance Officer - Please Approve</t>
  </si>
  <si>
    <t>Send</t>
  </si>
  <si>
    <t>PranaClient</t>
  </si>
  <si>
    <t>LoginClient</t>
  </si>
  <si>
    <t>Support2</t>
  </si>
  <si>
    <t>Nirvana@1</t>
  </si>
  <si>
    <t>ApproveorRejectpendingapproval</t>
  </si>
  <si>
    <t>Single Trade</t>
  </si>
  <si>
    <t>GCCAP1</t>
  </si>
  <si>
    <t>DefaultNotes</t>
  </si>
  <si>
    <t>jpearce</t>
  </si>
  <si>
    <t>MS</t>
  </si>
  <si>
    <t>Pending Approval</t>
  </si>
  <si>
    <t>Approve</t>
  </si>
  <si>
    <t>Blotter</t>
  </si>
  <si>
    <t>SelectTradeOnOrderGrid</t>
  </si>
  <si>
    <t>TradeNewSubOrder</t>
  </si>
  <si>
    <t>Unknown</t>
  </si>
  <si>
    <t>RightClickAndClickOperations</t>
  </si>
  <si>
    <t>Trade (New Sub)</t>
  </si>
  <si>
    <t>OrderBlotterGrid</t>
  </si>
  <si>
    <t>quantity: 101.00, Symbol: AAPL</t>
  </si>
  <si>
    <t>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</si>
</sst>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6" t="b">
        <v>1</v>
      </c>
      <c r="E6" s="37" t="b">
        <v>1</v>
      </c>
      <c r="F6" s="37" t="b">
        <v>1</v>
      </c>
      <c r="G6" s="37" t="b">
        <v>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25</v>
      </c>
      <c r="D6" s="34">
        <v>100.0</v>
      </c>
      <c r="E6" s="35"/>
      <c r="F6" s="33" t="s">
        <v>26</v>
      </c>
      <c r="G6" s="35"/>
      <c r="H6" s="35"/>
      <c r="I6" s="35"/>
      <c r="J6" s="39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40" t="s">
        <v>27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3" t="s">
        <v>16</v>
      </c>
      <c r="D6" s="32" t="s">
        <v>30</v>
      </c>
      <c r="E6" s="33" t="s">
        <v>24</v>
      </c>
      <c r="F6" s="39">
        <v>-123.0</v>
      </c>
      <c r="G6" s="39">
        <v>100.0</v>
      </c>
      <c r="H6" s="33" t="s">
        <v>31</v>
      </c>
      <c r="I6" s="33" t="s">
        <v>32</v>
      </c>
      <c r="J6" s="35"/>
      <c r="K6" s="33" t="s">
        <v>33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36</v>
      </c>
      <c r="C6" s="33" t="s">
        <v>37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 t="s">
        <v>39</v>
      </c>
      <c r="E6" s="13" t="s">
        <v>40</v>
      </c>
      <c r="F6" s="8"/>
      <c r="G6" s="13" t="s">
        <v>41</v>
      </c>
      <c r="H6" s="8"/>
      <c r="I6" s="13" t="s">
        <v>42</v>
      </c>
      <c r="J6" s="13">
        <v>12.0</v>
      </c>
      <c r="K6" s="8"/>
      <c r="L6" s="13">
        <v>100.0</v>
      </c>
      <c r="M6" s="13" t="s">
        <v>43</v>
      </c>
      <c r="N6" s="13" t="s">
        <v>44</v>
      </c>
      <c r="O6" s="13" t="s">
        <v>25</v>
      </c>
      <c r="P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24</v>
      </c>
      <c r="E6" s="35"/>
      <c r="F6" s="33" t="s">
        <v>25</v>
      </c>
      <c r="G6" s="33"/>
      <c r="H6" s="39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6.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24</v>
      </c>
      <c r="AJ6" s="33" t="s">
        <v>25</v>
      </c>
      <c r="AK6" s="33"/>
      <c r="AL6" s="3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25</v>
      </c>
      <c r="D6" s="34">
        <v>100.0</v>
      </c>
      <c r="E6" s="35"/>
      <c r="F6" s="33" t="s">
        <v>26</v>
      </c>
      <c r="G6" s="35"/>
      <c r="H6" s="35"/>
      <c r="I6" s="35"/>
      <c r="J6" s="39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33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3" t="s">
        <v>16</v>
      </c>
      <c r="D6" s="32" t="s">
        <v>30</v>
      </c>
      <c r="E6" s="33" t="s">
        <v>24</v>
      </c>
      <c r="F6" s="39">
        <v>-123.0</v>
      </c>
      <c r="G6" s="39">
        <v>100.0</v>
      </c>
      <c r="H6" s="33" t="s">
        <v>31</v>
      </c>
      <c r="I6" s="33" t="s">
        <v>32</v>
      </c>
      <c r="J6" s="35"/>
      <c r="K6" s="33" t="s">
        <v>33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IFERROR(__xludf.DUMMYFUNCTION("IF(C3="""","""",Transpose(IMPORTRANGE('_Settings'!$B$3,C3&amp;""!A4:A1000"")))"),"RightClickAndClickOperations")</f>
        <v>RightClickAndClickOperations</v>
      </c>
      <c r="C4" s="25" t="str">
        <f>IFERROR(__xludf.DUMMYFUNCTION("""COMPUTED_VALUE"""),"CheckModStatus")</f>
        <v>CheckModStatus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IFERROR(__xludf.DUMMYFUNCTION("""COMPUTED_VALUE"""),"GridName")</f>
        <v>GridName</v>
      </c>
      <c r="D5" s="28" t="str">
        <f>IFERROR(__xludf.DUMMYFUNCTION("""COMPUTED_VALUE"""),"PopUpsParentNames")</f>
        <v>PopUpsParentNames</v>
      </c>
      <c r="E5" s="28" t="str">
        <f>IFERROR(__xludf.DUMMYFUNCTION("""COMPUTED_VALUE"""),"SecondaryActions")</f>
        <v>SecondaryActions</v>
      </c>
      <c r="F5" s="29" t="str">
        <f>IFERROR(__xludf.DUMMYFUNCTION("""COMPUTED_VALUE"""),"Popups Text(empty AutomationID)")</f>
        <v>Popups Text(empty AutomationID)</v>
      </c>
      <c r="G5" s="28" t="str">
        <f>IFERROR(__xludf.DUMMYFUNCTION("""COMPUTED_VALUE"""),"Expected Popups(AutomationID)")</f>
        <v>Expected Popups(AutomationID)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51</v>
      </c>
      <c r="C6" s="33" t="s">
        <v>52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RightClickAndClickOperations!$4:$4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25</v>
      </c>
      <c r="D6" s="34">
        <v>101.0</v>
      </c>
      <c r="E6" s="35"/>
      <c r="F6" s="33" t="s">
        <v>26</v>
      </c>
      <c r="G6" s="35"/>
      <c r="H6" s="35"/>
      <c r="I6" s="35"/>
      <c r="J6" s="39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40" t="s">
        <v>27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3" t="s">
        <v>16</v>
      </c>
      <c r="D6" s="32" t="s">
        <v>30</v>
      </c>
      <c r="E6" s="33" t="s">
        <v>24</v>
      </c>
      <c r="F6" s="39">
        <v>-123.0</v>
      </c>
      <c r="G6" s="39">
        <v>101.0</v>
      </c>
      <c r="H6" s="33" t="s">
        <v>53</v>
      </c>
      <c r="I6" s="33" t="s">
        <v>32</v>
      </c>
      <c r="J6" s="35"/>
      <c r="K6" s="33" t="s">
        <v>33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 t="s">
        <v>39</v>
      </c>
      <c r="E6" s="13" t="s">
        <v>40</v>
      </c>
      <c r="F6" s="8"/>
      <c r="G6" s="13" t="s">
        <v>41</v>
      </c>
      <c r="H6" s="8"/>
      <c r="I6" s="13" t="s">
        <v>42</v>
      </c>
      <c r="J6" s="13">
        <v>12.0</v>
      </c>
      <c r="K6" s="8"/>
      <c r="L6" s="13">
        <v>101.0</v>
      </c>
      <c r="M6" s="13" t="s">
        <v>43</v>
      </c>
      <c r="N6" s="13" t="s">
        <v>44</v>
      </c>
      <c r="O6" s="13" t="s">
        <v>25</v>
      </c>
      <c r="P6" s="9" t="s">
        <v>45</v>
      </c>
    </row>
    <row r="7" ht="15.75" customHeight="1">
      <c r="A7" s="13"/>
      <c r="B7" s="13"/>
      <c r="C7" s="13"/>
      <c r="D7" s="13"/>
      <c r="E7" s="13"/>
      <c r="F7" s="8"/>
      <c r="G7" s="13"/>
      <c r="H7" s="8"/>
      <c r="I7" s="13"/>
      <c r="J7" s="13"/>
      <c r="K7" s="8"/>
      <c r="L7" s="13"/>
      <c r="M7" s="13"/>
      <c r="N7" s="13"/>
      <c r="O7" s="1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24</v>
      </c>
      <c r="E6" s="35"/>
      <c r="F6" s="33" t="s">
        <v>25</v>
      </c>
      <c r="G6" s="33"/>
      <c r="H6" s="41">
        <v>101.0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24</v>
      </c>
      <c r="AJ6" s="33" t="s">
        <v>25</v>
      </c>
      <c r="AK6" s="33"/>
      <c r="AL6" s="41">
        <v>101.0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3" t="s">
        <v>25</v>
      </c>
      <c r="D6" s="34">
        <v>101.0</v>
      </c>
      <c r="E6" s="35"/>
      <c r="F6" s="33" t="s">
        <v>26</v>
      </c>
      <c r="G6" s="35"/>
      <c r="H6" s="35"/>
      <c r="I6" s="35"/>
      <c r="J6" s="39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54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3" t="s">
        <v>16</v>
      </c>
      <c r="D6" s="32" t="s">
        <v>30</v>
      </c>
      <c r="E6" s="33" t="s">
        <v>24</v>
      </c>
      <c r="F6" s="39">
        <v>-123.0</v>
      </c>
      <c r="G6" s="39">
        <v>101.0</v>
      </c>
      <c r="H6" s="33" t="s">
        <v>53</v>
      </c>
      <c r="I6" s="33" t="s">
        <v>32</v>
      </c>
      <c r="J6" s="35"/>
      <c r="K6" s="33" t="s">
        <v>33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VerifyComplianceOrder3!$4:$4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24</v>
      </c>
      <c r="E6" s="35"/>
      <c r="F6" s="33" t="s">
        <v>25</v>
      </c>
      <c r="G6" s="42"/>
      <c r="H6" s="41">
        <v>101.0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 t="s">
        <v>39</v>
      </c>
      <c r="E6" s="13" t="s">
        <v>40</v>
      </c>
      <c r="F6" s="8"/>
      <c r="G6" s="13" t="s">
        <v>41</v>
      </c>
      <c r="H6" s="8"/>
      <c r="I6" s="13" t="s">
        <v>42</v>
      </c>
      <c r="J6" s="13">
        <v>12.0</v>
      </c>
      <c r="K6" s="8"/>
      <c r="L6" s="13">
        <v>100.0</v>
      </c>
      <c r="M6" s="13" t="s">
        <v>43</v>
      </c>
      <c r="N6" s="13" t="s">
        <v>44</v>
      </c>
      <c r="O6" s="13" t="s">
        <v>25</v>
      </c>
      <c r="P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