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<sst xmlns="http://schemas.openxmlformats.org/spreadsheetml/2006/main" count="55" uniqueCount="55">
  <si>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</si>
  <si>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</si>
  <si>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</si>
  <si>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</si>
  <si>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</si>
  <si>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</si>
  <si>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</si>
  <si>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</si>
  <si>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</si>
  <si>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</si>
  <si>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</si>
  <si>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</si>
  <si>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</si>
  <si>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</si>
  <si>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</si>
  <si>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</si>
  <si>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23E130.30D1</t>
  </si>
  <si>
    <t>O:AAPL 23E130.20D1</t>
  </si>
  <si>
    <t>O:AAPL 23E130.10D1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</si>
  <si>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</si>
  <si>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</si>
  <si>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</si>
  <si>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</si>
  <si>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</si>
  <si>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</si>
  <si>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</si>
  <si>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</si>
  <si>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</si>
  <si>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</si>
  <si>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</si>
  <si>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</si>
  <si>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</si>
  <si>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</si>
  <si>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</si>
  <si>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</si>
  <si>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</si>
  <si>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</si>
  <si>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</si>
  <si>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</si>
  <si>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</si>
  <si>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</si>
  <si>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</si>
  <si>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Open</t>
  </si>
  <si>
    <t>USD</t>
  </si>
  <si>
    <t>NASDAQ</t>
  </si>
  <si>
    <t>D</t>
  </si>
  <si>
    <t>Exercise/Assign</t>
  </si>
  <si>
    <t>Exercise</t>
  </si>
  <si>
    <t>US</t>
  </si>
  <si>
    <t>PortfolioManagement</t>
  </si>
  <si>
    <t>CheckPortfolioManagement</t>
  </si>
  <si>
    <t>Long</t>
  </si>
  <si>
    <t>APPLE</t>
  </si>
  <si>
    <t>FIMAT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</si>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</sst>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11"/>
      <name val="Calibri"/>
    </font>
    <font>
      <sz val="11"/>
      <color rgb="FF000000"/>
      <name val="Docs-Calibri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6" applyFill="1" borderId="0" applyBorder="1" xfId="0">
      <alignment horizontal="lef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5" applyFont="1" fillId="0" applyFill="1" borderId="0" applyBorder="1" xfId="0"/>
    <xf fontId="3" applyFont="1" fillId="0" applyFill="1" borderId="0" applyBorder="1" xfId="0"/>
    <xf fontId="16" applyFont="1" fillId="6" applyFill="1" borderId="0" applyBorder="1" xfId="0">
      <alignment horizontal="lef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17" applyFont="1" fillId="6" applyFill="1" borderId="0" applyBorder="1" xfId="0"/>
    <xf fontId="18" applyFont="1" fillId="6" applyFill="1" borderId="0" applyBorder="1" xfId="0">
      <alignment horizontal="left"/>
    </xf>
    <xf fontId="17" applyFont="1" fillId="6" applyFill="1" borderId="0" applyBorder="1" xfId="0"/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  <xf numFmtId="3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today()+13</f>
        <v>45069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today()+12</f>
        <v>45068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f>today()+11</f>
        <v>45067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5" t="s">
        <v>21</v>
      </c>
      <c r="D6" s="37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24</v>
      </c>
      <c r="C6" s="35" t="s">
        <v>25</v>
      </c>
      <c r="D6" s="39">
        <v>1100</v>
      </c>
      <c r="E6" s="40">
        <v>1100</v>
      </c>
      <c r="F6" s="41" t="s">
        <v>26</v>
      </c>
      <c r="G6" s="35"/>
      <c r="H6" s="35"/>
      <c r="I6" s="35"/>
      <c r="J6" s="40">
        <v>10</v>
      </c>
      <c r="K6" s="35"/>
      <c r="L6" s="35"/>
      <c r="M6" s="35"/>
      <c r="N6" s="42">
        <f ref="N6:N7" t="shared" si="1">TODAY()-9</f>
        <v>45047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43" t="s">
        <v>27</v>
      </c>
      <c r="D7" s="40">
        <v>50</v>
      </c>
      <c r="E7" s="40">
        <v>50</v>
      </c>
      <c r="F7" s="41" t="s">
        <v>26</v>
      </c>
      <c r="G7" s="35"/>
      <c r="H7" s="35"/>
      <c r="I7" s="35"/>
      <c r="J7" s="40">
        <v>10</v>
      </c>
      <c r="K7" s="35"/>
      <c r="L7" s="35"/>
      <c r="M7" s="35"/>
      <c r="N7" s="42">
        <f t="shared" si="1"/>
        <v>45047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4" t="s">
        <v>16</v>
      </c>
      <c r="C8" s="45" t="s">
        <v>28</v>
      </c>
      <c r="D8" s="40">
        <v>10</v>
      </c>
      <c r="E8" s="40">
        <v>10</v>
      </c>
      <c r="F8" s="41" t="s">
        <v>26</v>
      </c>
      <c r="G8" s="35"/>
      <c r="H8" s="35"/>
      <c r="I8" s="35"/>
      <c r="J8" s="40">
        <v>10</v>
      </c>
      <c r="K8" s="35"/>
      <c r="L8" s="35"/>
      <c r="M8" s="35"/>
      <c r="N8" s="42">
        <f>TODAY()-10</f>
        <v>45046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6" t="s">
        <v>17</v>
      </c>
      <c r="C9" s="45" t="s">
        <v>28</v>
      </c>
      <c r="D9" s="40">
        <v>10</v>
      </c>
      <c r="E9" s="40">
        <v>10</v>
      </c>
      <c r="F9" s="41" t="s">
        <v>26</v>
      </c>
      <c r="G9" s="35"/>
      <c r="H9" s="35"/>
      <c r="I9" s="35"/>
      <c r="J9" s="40">
        <v>10</v>
      </c>
      <c r="K9" s="35"/>
      <c r="L9" s="35"/>
      <c r="M9" s="35"/>
      <c r="N9" s="42">
        <f>TODAY()-11</f>
        <v>45045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4" t="s">
        <v>18</v>
      </c>
      <c r="C10" s="46" t="s">
        <v>28</v>
      </c>
      <c r="D10" s="40">
        <v>10</v>
      </c>
      <c r="E10" s="40">
        <v>10</v>
      </c>
      <c r="F10" s="41" t="s">
        <v>26</v>
      </c>
      <c r="G10" s="35"/>
      <c r="H10" s="35"/>
      <c r="I10" s="35"/>
      <c r="J10" s="40">
        <v>10</v>
      </c>
      <c r="K10" s="35"/>
      <c r="L10" s="35"/>
      <c r="M10" s="35"/>
      <c r="N10" s="42">
        <f>TODAY()-12</f>
        <v>45044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>
        <f>Today()-1</f>
        <v>45055</v>
      </c>
      <c r="C6" s="32">
        <f>Today()</f>
        <v>45056</v>
      </c>
      <c r="D6" s="3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24</v>
      </c>
      <c r="C6" s="40">
        <v>120</v>
      </c>
      <c r="D6" s="3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33</v>
      </c>
      <c r="C6" s="42" t="s">
        <v>34</v>
      </c>
      <c r="D6" s="42">
        <f>TODAY()</f>
        <v>45056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47" t="s">
        <v>26</v>
      </c>
      <c r="C6" s="35"/>
      <c r="D6" s="37"/>
      <c r="E6" s="41" t="s">
        <v>36</v>
      </c>
      <c r="F6" s="35"/>
      <c r="G6" s="35"/>
      <c r="H6" s="35"/>
      <c r="I6" s="40">
        <v>10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8">
        <v>10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 t="s">
        <v>28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8">
        <v>10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4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1" t="s">
        <v>26</v>
      </c>
      <c r="C7" s="35"/>
      <c r="D7" s="35"/>
      <c r="E7" s="41" t="s">
        <v>36</v>
      </c>
      <c r="F7" s="35"/>
      <c r="G7" s="35"/>
      <c r="H7" s="35"/>
      <c r="I7" s="40">
        <v>10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8">
        <v>10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 t="s">
        <v>28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48">
        <v>10</v>
      </c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6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1"/>
      <c r="B8" s="41" t="s">
        <v>26</v>
      </c>
      <c r="C8" s="35"/>
      <c r="D8" s="41"/>
      <c r="E8" s="41" t="s">
        <v>36</v>
      </c>
      <c r="F8" s="35"/>
      <c r="G8" s="35"/>
      <c r="H8" s="35"/>
      <c r="I8" s="40">
        <v>10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8">
        <v>10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9" t="s">
        <v>28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48">
        <v>10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44" t="s">
        <v>18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33</v>
      </c>
      <c r="C6" s="42" t="s">
        <v>34</v>
      </c>
      <c r="D6" s="42">
        <f>TODAY()</f>
        <v>45056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0">
        <v>1000</v>
      </c>
      <c r="F6" s="8"/>
      <c r="G6" s="51" t="s">
        <v>41</v>
      </c>
      <c r="H6" s="8"/>
      <c r="I6" s="8"/>
      <c r="J6" s="8"/>
      <c r="K6" s="8"/>
      <c r="L6" s="8"/>
      <c r="M6" s="8"/>
      <c r="N6" s="8"/>
      <c r="O6" s="8"/>
      <c r="S6" s="51" t="s">
        <v>42</v>
      </c>
      <c r="Z6" s="51" t="s">
        <v>43</v>
      </c>
      <c r="AD6" s="51" t="s">
        <v>44</v>
      </c>
      <c r="AE6" s="50">
        <v>1000</v>
      </c>
      <c r="AH6" s="51" t="s">
        <v>45</v>
      </c>
      <c r="AJ6" s="51" t="s">
        <v>46</v>
      </c>
      <c r="BJ6" s="50">
        <v>1000</v>
      </c>
      <c r="BM6" s="51" t="s">
        <v>43</v>
      </c>
      <c r="BO6" s="51" t="s">
        <v>25</v>
      </c>
      <c r="BT6" s="51" t="s">
        <v>24</v>
      </c>
      <c r="CI6" s="51" t="s">
        <v>47</v>
      </c>
      <c r="CK6" s="51" t="s">
        <v>48</v>
      </c>
    </row>
    <row r="7" ht="15.75" customHeight="1">
      <c r="A7" s="8"/>
      <c r="B7" s="8"/>
      <c r="C7" s="8"/>
      <c r="D7" s="8"/>
      <c r="E7" s="50">
        <v>1000</v>
      </c>
      <c r="F7" s="8"/>
      <c r="G7" s="51" t="s">
        <v>41</v>
      </c>
      <c r="H7" s="8"/>
      <c r="I7" s="8"/>
      <c r="J7" s="8"/>
      <c r="K7" s="8"/>
      <c r="L7" s="8"/>
      <c r="M7" s="8"/>
      <c r="N7" s="8"/>
      <c r="O7" s="8"/>
      <c r="S7" s="51" t="s">
        <v>42</v>
      </c>
      <c r="Z7" s="51" t="s">
        <v>43</v>
      </c>
      <c r="AD7" s="51" t="s">
        <v>44</v>
      </c>
      <c r="AE7" s="50">
        <v>1000</v>
      </c>
      <c r="AH7" s="51" t="s">
        <v>45</v>
      </c>
      <c r="AJ7" s="51" t="s">
        <v>46</v>
      </c>
      <c r="BJ7" s="50">
        <v>1000</v>
      </c>
      <c r="BM7" s="51" t="s">
        <v>43</v>
      </c>
      <c r="BO7" s="51" t="s">
        <v>25</v>
      </c>
      <c r="BT7" s="51" t="s">
        <v>24</v>
      </c>
      <c r="CI7" s="51" t="s">
        <v>47</v>
      </c>
      <c r="CK7" s="51" t="s">
        <v>48</v>
      </c>
    </row>
    <row r="8" ht="15.75" customHeight="1">
      <c r="A8" s="8"/>
      <c r="B8" s="8"/>
      <c r="C8" s="8"/>
      <c r="D8" s="8"/>
      <c r="E8" s="50">
        <v>1000</v>
      </c>
      <c r="F8" s="8"/>
      <c r="G8" s="51" t="s">
        <v>41</v>
      </c>
      <c r="H8" s="8"/>
      <c r="I8" s="8"/>
      <c r="J8" s="8"/>
      <c r="K8" s="8"/>
      <c r="L8" s="8"/>
      <c r="M8" s="8"/>
      <c r="N8" s="8"/>
      <c r="O8" s="8"/>
      <c r="S8" s="51" t="s">
        <v>42</v>
      </c>
      <c r="Z8" s="51" t="s">
        <v>43</v>
      </c>
      <c r="AD8" s="51" t="s">
        <v>44</v>
      </c>
      <c r="AE8" s="50">
        <v>1000</v>
      </c>
      <c r="AH8" s="51" t="s">
        <v>45</v>
      </c>
      <c r="AJ8" s="51" t="s">
        <v>46</v>
      </c>
      <c r="BJ8" s="50">
        <v>1000</v>
      </c>
      <c r="BM8" s="51" t="s">
        <v>43</v>
      </c>
      <c r="BO8" s="51" t="s">
        <v>25</v>
      </c>
      <c r="BT8" s="51" t="s">
        <v>24</v>
      </c>
      <c r="CI8" s="51" t="s">
        <v>47</v>
      </c>
      <c r="CK8" s="51" t="s">
        <v>48</v>
      </c>
    </row>
    <row r="9" ht="15.75" customHeight="1">
      <c r="A9" s="8"/>
      <c r="B9" s="8"/>
      <c r="C9" s="8"/>
      <c r="D9" s="8"/>
      <c r="E9" s="52"/>
      <c r="F9" s="8"/>
      <c r="G9" s="52"/>
      <c r="H9" s="8"/>
      <c r="I9" s="8"/>
      <c r="J9" s="8"/>
      <c r="K9" s="8"/>
      <c r="L9" s="8"/>
      <c r="M9" s="8"/>
      <c r="N9" s="8"/>
      <c r="O9" s="8"/>
      <c r="S9" s="52"/>
      <c r="Z9" s="52"/>
      <c r="AD9" s="52"/>
      <c r="AE9" s="52"/>
      <c r="AH9" s="52"/>
      <c r="AJ9" s="52"/>
      <c r="BJ9" s="52"/>
      <c r="BM9" s="52"/>
      <c r="BO9" s="52"/>
      <c r="BT9" s="52"/>
      <c r="CI9" s="52"/>
      <c r="CK9" s="52"/>
    </row>
    <row r="10" ht="15.75" customHeight="1">
      <c r="A10" s="8"/>
      <c r="B10" s="8"/>
      <c r="C10" s="8"/>
      <c r="D10" s="8"/>
      <c r="E10" s="52"/>
      <c r="F10" s="8"/>
      <c r="G10" s="8"/>
      <c r="H10" s="8"/>
      <c r="I10" s="8"/>
      <c r="J10" s="8"/>
      <c r="K10" s="8"/>
      <c r="L10" s="8"/>
      <c r="M10" s="8"/>
      <c r="N10" s="8"/>
      <c r="O10" s="8"/>
      <c r="AD10" s="52"/>
      <c r="AJ10" s="52"/>
      <c r="BJ10" s="52"/>
      <c r="BT10" s="52"/>
      <c r="CI10" s="52"/>
      <c r="CK10" s="5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K11" s="5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1" t="s">
        <v>24</v>
      </c>
      <c r="D6" s="53">
        <v>1000</v>
      </c>
      <c r="E6" s="51" t="s">
        <v>26</v>
      </c>
      <c r="F6" s="8"/>
      <c r="G6" s="54">
        <v>130.3</v>
      </c>
      <c r="H6" s="51" t="s">
        <v>51</v>
      </c>
      <c r="I6" s="8"/>
      <c r="J6" s="8"/>
      <c r="K6" s="8"/>
      <c r="L6" s="8"/>
      <c r="M6" s="8"/>
      <c r="N6" s="8"/>
      <c r="O6" s="51" t="s">
        <v>52</v>
      </c>
      <c r="R6" s="51" t="s">
        <v>53</v>
      </c>
      <c r="S6" s="51" t="s">
        <v>54</v>
      </c>
      <c r="T6" s="51" t="s">
        <v>41</v>
      </c>
      <c r="U6" s="51" t="s">
        <v>48</v>
      </c>
      <c r="V6" s="51" t="s">
        <v>44</v>
      </c>
      <c r="W6" s="51" t="s">
        <v>43</v>
      </c>
      <c r="AN6" s="51" t="s">
        <v>25</v>
      </c>
      <c r="BE6" s="51" t="s">
        <v>41</v>
      </c>
    </row>
    <row r="7" ht="15.75" customHeight="1">
      <c r="A7" s="8"/>
      <c r="B7" s="8"/>
      <c r="C7" s="51" t="s">
        <v>24</v>
      </c>
      <c r="D7" s="53">
        <v>1000</v>
      </c>
      <c r="E7" s="51" t="s">
        <v>26</v>
      </c>
      <c r="F7" s="8"/>
      <c r="G7" s="54">
        <v>130.2</v>
      </c>
      <c r="H7" s="51" t="s">
        <v>51</v>
      </c>
      <c r="I7" s="8"/>
      <c r="J7" s="8"/>
      <c r="K7" s="8"/>
      <c r="L7" s="8"/>
      <c r="M7" s="8"/>
      <c r="N7" s="8"/>
      <c r="O7" s="51" t="s">
        <v>52</v>
      </c>
      <c r="R7" s="51" t="s">
        <v>53</v>
      </c>
      <c r="S7" s="51" t="s">
        <v>54</v>
      </c>
      <c r="T7" s="51" t="s">
        <v>41</v>
      </c>
      <c r="U7" s="51" t="s">
        <v>48</v>
      </c>
      <c r="V7" s="51" t="s">
        <v>44</v>
      </c>
      <c r="W7" s="51" t="s">
        <v>43</v>
      </c>
      <c r="AN7" s="51" t="s">
        <v>25</v>
      </c>
      <c r="BE7" s="51" t="s">
        <v>41</v>
      </c>
    </row>
    <row r="8" ht="15.75" customHeight="1">
      <c r="A8" s="8"/>
      <c r="B8" s="8"/>
      <c r="C8" s="51" t="s">
        <v>24</v>
      </c>
      <c r="D8" s="53">
        <v>1000</v>
      </c>
      <c r="E8" s="51" t="s">
        <v>26</v>
      </c>
      <c r="F8" s="8"/>
      <c r="G8" s="54">
        <v>130.1</v>
      </c>
      <c r="H8" s="51" t="s">
        <v>51</v>
      </c>
      <c r="I8" s="8"/>
      <c r="J8" s="8"/>
      <c r="K8" s="8"/>
      <c r="L8" s="8"/>
      <c r="M8" s="8"/>
      <c r="N8" s="8"/>
      <c r="O8" s="51" t="s">
        <v>52</v>
      </c>
      <c r="R8" s="51" t="s">
        <v>53</v>
      </c>
      <c r="S8" s="51" t="s">
        <v>54</v>
      </c>
      <c r="T8" s="51" t="s">
        <v>41</v>
      </c>
      <c r="U8" s="51" t="s">
        <v>48</v>
      </c>
      <c r="V8" s="51" t="s">
        <v>44</v>
      </c>
      <c r="W8" s="51" t="s">
        <v>43</v>
      </c>
      <c r="AN8" s="51" t="s">
        <v>25</v>
      </c>
      <c r="BE8" s="51" t="s">
        <v>41</v>
      </c>
    </row>
    <row r="9" ht="15.75" customHeight="1">
      <c r="A9" s="8"/>
      <c r="B9" s="8"/>
      <c r="C9" s="52"/>
      <c r="D9" s="52"/>
      <c r="E9" s="52"/>
      <c r="F9" s="8"/>
      <c r="G9" s="52"/>
      <c r="H9" s="52"/>
      <c r="I9" s="8"/>
      <c r="J9" s="8"/>
      <c r="K9" s="8"/>
      <c r="L9" s="8"/>
      <c r="M9" s="8"/>
      <c r="N9" s="8"/>
      <c r="O9" s="52"/>
      <c r="R9" s="52"/>
      <c r="S9" s="52"/>
      <c r="T9" s="52"/>
      <c r="U9" s="52"/>
      <c r="V9" s="52"/>
      <c r="W9" s="52"/>
      <c r="AN9" s="52"/>
      <c r="BE9" s="52"/>
    </row>
    <row r="10" ht="15.75" customHeight="1">
      <c r="A10" s="8"/>
      <c r="B10" s="8"/>
      <c r="C10" s="52"/>
      <c r="D10" s="52"/>
      <c r="E10" s="52"/>
      <c r="F10" s="8"/>
      <c r="G10" s="8"/>
      <c r="H10" s="8"/>
      <c r="I10" s="8"/>
      <c r="J10" s="8"/>
      <c r="K10" s="8"/>
      <c r="L10" s="8"/>
      <c r="M10" s="8"/>
      <c r="N10" s="8"/>
      <c r="O10" s="52"/>
      <c r="AN10" s="52"/>
      <c r="BE10" s="5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