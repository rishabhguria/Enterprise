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ustomViewRightClickPM" sheetId="5" r:id="rId7"/>
    <sheet state="visible" name="GroupRowPM" sheetId="6" r:id="rId8"/>
    <sheet state="visible" name="SaveLayoutPM" sheetId="7" r:id="rId9"/>
    <sheet state="visible" name="ViewSettings" sheetId="8" r:id="rId10"/>
    <sheet state="visible" name="ViewSettings1" sheetId="9" r:id="rId11"/>
    <sheet state="visible" name="CheckSummaryRowsPM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<sst xmlns="http://schemas.openxmlformats.org/spreadsheetml/2006/main" count="233" uniqueCount="46">
  <si>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</si>
  <si>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</si>
  <si>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</si>
  <si>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</si>
  <si>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</si>
  <si>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</si>
  <si>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</si>
  <si>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</si>
  <si>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</si>
  <si>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</si>
  <si>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</si>
  <si>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</si>
  <si>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</si>
  <si>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</si>
  <si>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</si>
  <si>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</si>
  <si>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</si>
  <si>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</si>
  <si>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PortfolioManagement</t>
  </si>
  <si>
    <t>AddCustomViewRightClickPM</t>
  </si>
  <si>
    <t>test</t>
  </si>
  <si>
    <t>GroupRowPM</t>
  </si>
  <si>
    <t>Symbol</t>
  </si>
  <si>
    <t>SaveLayoutPM</t>
  </si>
  <si>
    <t>All</t>
  </si>
  <si>
    <t>ViewSettings</t>
  </si>
  <si>
    <t>Main</t>
  </si>
  <si>
    <t>CheckSummaryRowsPM</t>
  </si>
  <si>
    <t/>
  </si>
  <si>
    <t>Allocation1</t>
  </si>
  <si>
    <t>NewMF</t>
  </si>
  <si>
    <t>Long</t>
  </si>
  <si>
    <t>APPLE</t>
  </si>
  <si>
    <t>FIMAT</t>
  </si>
  <si>
    <t>Equity</t>
  </si>
  <si>
    <t>US</t>
  </si>
  <si>
    <t>NASDAQ</t>
  </si>
  <si>
    <t>USD</t>
  </si>
  <si>
    <t>New Hedge</t>
  </si>
  <si>
    <t>Small Cap</t>
  </si>
  <si>
    <t>MS</t>
  </si>
  <si>
    <t>AAPL US EQUITY</t>
  </si>
  <si>
    <t>CheckPortfolioManagement</t>
  </si>
  <si>
    <t>jpearce</t>
  </si>
  <si>
    <t>Default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</si>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</sst>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shrinkToFit="0" wrapText="0"/>
    </xf>
    <xf borderId="0" fillId="0" fontId="2" numFmtId="4" xfId="0" applyFont="1" applyNumberFormat="1"/>
    <xf borderId="0" fillId="0" fontId="2" numFmtId="3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IFERROR(__xludf.DUMMYFUNCTION("""COMPUTED_VALUE"""),"CheckCustomViewRowSummary")</f>
        <v>CheckCustomViewRowSummary</v>
      </c>
      <c r="C666" t="str">
        <f>IFERROR(__xludf.DUMMYFUNCTION("""COMPUTED_VALUE"""),"1CjkmQl63oW4X7P1uiqLyE5noU0a1IZRpdkfx87GqvKA")</f>
        <v>1CjkmQl63oW4X7P1uiqLyE5noU0a1IZRpdkfx87GqvKA</v>
      </c>
    </row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IFERROR(__xludf.DUMMYFUNCTION("""COMPUTED_VALUE"""),"CustomViewName")</f>
        <v>CustomViewName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AddCustomViewRightClickPM!$4:$4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IFERROR(__xludf.DUMMYFUNCTION("""COMPUTED_VALUE"""),"Type")</f>
        <v>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SaveLayoutPM!$4:$4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IFERROR(__xludf.DUMMYFUNCTION("""COMPUTED_VALUE"""),"Copy From")</f>
        <v>Copy From</v>
      </c>
      <c r="C5" s="28" t="str">
        <f>IFERROR(__xludf.DUMMYFUNCTION("""COMPUTED_VALUE"""),"Copy To")</f>
        <v>Copy To</v>
      </c>
      <c r="D5" s="28" t="str">
        <f>IFERROR(__xludf.DUMMYFUNCTION("""COMPUTED_VALUE"""),"Include Grouping")</f>
        <v>Include Grouping</v>
      </c>
      <c r="E5" s="28" t="str">
        <f>IFERROR(__xludf.DUMMYFUNCTION("""COMPUTED_VALUE"""),"Include Filters")</f>
        <v>Include Filters</v>
      </c>
      <c r="F5" s="29" t="str">
        <f>IFERROR(__xludf.DUMMYFUNCTION("""COMPUTED_VALUE"""),"Default View")</f>
        <v>Default View</v>
      </c>
      <c r="G5" s="28" t="str">
        <f>IFERROR(__xludf.DUMMYFUNCTION("""COMPUTED_VALUE"""),"View Successful PopUp")</f>
        <v>View Successful 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26</v>
      </c>
      <c r="D6" s="13" t="b">
        <v>1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ViewSettings!$4:$4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IFERROR(__xludf.DUMMYFUNCTION("""COMPUTED_VALUE"""),"Copy From")</f>
        <v>Copy From</v>
      </c>
      <c r="C5" s="28" t="str">
        <f>IFERROR(__xludf.DUMMYFUNCTION("""COMPUTED_VALUE"""),"Copy To")</f>
        <v>Copy To</v>
      </c>
      <c r="D5" s="28" t="str">
        <f>IFERROR(__xludf.DUMMYFUNCTION("""COMPUTED_VALUE"""),"Include Grouping")</f>
        <v>Include Grouping</v>
      </c>
      <c r="E5" s="28" t="str">
        <f>IFERROR(__xludf.DUMMYFUNCTION("""COMPUTED_VALUE"""),"Include Filters")</f>
        <v>Include Filters</v>
      </c>
      <c r="F5" s="29" t="str">
        <f>IFERROR(__xludf.DUMMYFUNCTION("""COMPUTED_VALUE"""),"Default View")</f>
        <v>Default View</v>
      </c>
      <c r="G5" s="28" t="str">
        <f>IFERROR(__xludf.DUMMYFUNCTION("""COMPUTED_VALUE"""),"View Successful PopUp")</f>
        <v>View Successful 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 t="b">
        <v>0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ViewSettings1!$4:$4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IFERROR(__xludf.DUMMYFUNCTION("""COMPUTED_VALUE"""),"Trader")</f>
        <v>Trader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IFERROR(__xludf.DUMMYFUNCTION("""COMPUTED_VALUE"""),"% Day Return (Gross MV)")</f>
        <v>% Day Return (Gross MV)</v>
      </c>
      <c r="CU5" s="30" t="str">
        <f>IFERROR(__xludf.DUMMYFUNCTION("""COMPUTED_VALUE"""),"Carry")</f>
        <v>Carry</v>
      </c>
      <c r="CV5" s="30" t="str">
        <f>IFERROR(__xludf.DUMMYFUNCTION("""COMPUTED_VALUE"""),"Trade TEST")</f>
        <v>Trade TEST</v>
      </c>
      <c r="CW5" s="30" t="str">
        <f>IFERROR(__xludf.DUMMYFUNCTION("""COMPUTED_VALUE"""),"Trade Attribute 3")</f>
        <v>Trade Attribute 3</v>
      </c>
      <c r="CX5" s="30" t="str">
        <f>IFERROR(__xludf.DUMMYFUNCTION("""COMPUTED_VALUE"""),"Trade Attribute 4")</f>
        <v>Trade Attribute 4</v>
      </c>
      <c r="CY5" s="30" t="str">
        <f>IFERROR(__xludf.DUMMYFUNCTION("""COMPUTED_VALUE"""),"Trade Attribute 5")</f>
        <v>Trade Attribute 5</v>
      </c>
      <c r="CZ5" s="30" t="str">
        <f>IFERROR(__xludf.DUMMYFUNCTION("""COMPUTED_VALUE"""),"Trade Attribute 6")</f>
        <v>Trade Attribute 6</v>
      </c>
      <c r="DA5" s="30" t="str">
        <f>IFERROR(__xludf.DUMMYFUNCTION("""COMPUTED_VALUE"""),"Proxy Symbol")</f>
        <v>Proxy Symbol</v>
      </c>
      <c r="DB5" s="30" t="str">
        <f>IFERROR(__xludf.DUMMYFUNCTION("""COMPUTED_VALUE"""),"Pricing Source")</f>
        <v>Pricing Source</v>
      </c>
      <c r="DC5" s="30" t="str">
        <f>IFERROR(__xludf.DUMMYFUNCTION("""COMPUTED_VALUE"""),"Delta Source")</f>
        <v>Delta Source</v>
      </c>
      <c r="DD5" s="30" t="str">
        <f>IFERROR(__xludf.DUMMYFUNCTION("""COMPUTED_VALUE"""),"Gross Exposure (Local)")</f>
        <v>Gross Exposure (Local)</v>
      </c>
      <c r="DE5" s="30" t="str">
        <f>IFERROR(__xludf.DUMMYFUNCTION("""COMPUTED_VALUE"""),"% Day P&amp;L (Net MV)")</f>
        <v>% Day P&amp;L (Net MV)</v>
      </c>
      <c r="DF5" s="30" t="str">
        <f>IFERROR(__xludf.DUMMYFUNCTION("""COMPUTED_VALUE"""),"Expiration Month")</f>
        <v>Expiration Month</v>
      </c>
      <c r="DG5" s="30" t="str">
        <f>IFERROR(__xludf.DUMMYFUNCTION("""COMPUTED_VALUE"""),"Delta Adj. Position (LME)")</f>
        <v>Delta Adj. Position (LME)</v>
      </c>
      <c r="DH5" s="30" t="str">
        <f>IFERROR(__xludf.DUMMYFUNCTION("""COMPUTED_VALUE"""),"Premium")</f>
        <v>Premium</v>
      </c>
      <c r="DI5" s="30" t="str">
        <f>IFERROR(__xludf.DUMMYFUNCTION("""COMPUTED_VALUE"""),"Premium $")</f>
        <v>Premium $</v>
      </c>
      <c r="DJ5" s="30" t="str">
        <f>IFERROR(__xludf.DUMMYFUNCTION("""COMPUTED_VALUE"""),"Forward Points")</f>
        <v>Forward Points</v>
      </c>
      <c r="DK5" s="30" t="str">
        <f>IFERROR(__xludf.DUMMYFUNCTION("""COMPUTED_VALUE"""),"Strike Gap Risk")</f>
        <v>Strike Gap Risk</v>
      </c>
      <c r="DL5" s="30" t="str">
        <f>IFERROR(__xludf.DUMMYFUNCTION("""COMPUTED_VALUE"""),"Strike Gap Exposure")</f>
        <v>Strike Gap Exposure</v>
      </c>
      <c r="DM5" s="30" t="str">
        <f>IFERROR(__xludf.DUMMYFUNCTION("""COMPUTED_VALUE"""),"Closing Mark (Underlying)")</f>
        <v>Closing Mark (Underlying)</v>
      </c>
      <c r="DN5" s="30" t="str">
        <f>IFERROR(__xludf.DUMMYFUNCTION("""COMPUTED_VALUE"""),"% Change (Underlying Price)")</f>
        <v>% Change (Underlying Price)</v>
      </c>
      <c r="DO5" s="30" t="str">
        <f>IFERROR(__xludf.DUMMYFUNCTION("""COMPUTED_VALUE"""),"Transaction Type")</f>
        <v>Transaction Type</v>
      </c>
      <c r="DP5" s="30" t="str">
        <f>IFERROR(__xludf.DUMMYFUNCTION("""COMPUTED_VALUE"""),"Closing Market Value (Local)")</f>
        <v>Closing Market Value (Local)</v>
      </c>
      <c r="DQ5" s="30" t="str">
        <f>IFERROR(__xludf.DUMMYFUNCTION("""COMPUTED_VALUE"""),"Closing Market Value (Base)")</f>
        <v>Closing Market Value (Base)</v>
      </c>
      <c r="DR5" s="30" t="str">
        <f>IFERROR(__xludf.DUMMYFUNCTION("""COMPUTED_VALUE"""),"Closing FX Rate")</f>
        <v>Closing FX Rate</v>
      </c>
      <c r="DS5" s="30" t="str">
        <f>IFERROR(__xludf.DUMMYFUNCTION("""COMPUTED_VALUE"""),"Change In Underlying Price")</f>
        <v>Change In Underlying Price</v>
      </c>
      <c r="DT5" s="30" t="str">
        <f>IFERROR(__xludf.DUMMYFUNCTION("""COMPUTED_VALUE"""),"RIC")</f>
        <v>RIC</v>
      </c>
      <c r="DU5" s="30" t="str">
        <f>IFERROR(__xludf.DUMMYFUNCTION("""COMPUTED_VALUE"""),"Position Side Exposure (Boxed)")</f>
        <v>Position Side Exposure (Boxed)</v>
      </c>
      <c r="DV5" s="30" t="str">
        <f>IFERROR(__xludf.DUMMYFUNCTION("""COMPUTED_VALUE"""),"Analyst")</f>
        <v>Analyst</v>
      </c>
      <c r="DW5" s="30" t="str">
        <f>IFERROR(__xludf.DUMMYFUNCTION("""COMPUTED_VALUE"""),"Country Of Risk")</f>
        <v>Country Of Risk</v>
      </c>
      <c r="DX5" s="30" t="str">
        <f>IFERROR(__xludf.DUMMYFUNCTION("""COMPUTED_VALUE"""),"Custom UDA1")</f>
        <v>Custom UDA1</v>
      </c>
      <c r="DY5" s="30" t="str">
        <f>IFERROR(__xludf.DUMMYFUNCTION("""COMPUTED_VALUE"""),"Custom UDA2")</f>
        <v>Custom UDA2</v>
      </c>
      <c r="DZ5" s="30" t="str">
        <f>IFERROR(__xludf.DUMMYFUNCTION("""COMPUTED_VALUE"""),"Custom UDA3")</f>
        <v>Custom UDA3</v>
      </c>
      <c r="EA5" s="30" t="str">
        <f>IFERROR(__xludf.DUMMYFUNCTION("""COMPUTED_VALUE"""),"Custom UDA4")</f>
        <v>Custom UDA4</v>
      </c>
      <c r="EB5" s="30" t="str">
        <f>IFERROR(__xludf.DUMMYFUNCTION("""COMPUTED_VALUE"""),"Custom UDA5")</f>
        <v>Custom UDA5</v>
      </c>
      <c r="EC5" s="30" t="str">
        <f>IFERROR(__xludf.DUMMYFUNCTION("""COMPUTED_VALUE"""),"Custom UDA6")</f>
        <v>Custom UDA6</v>
      </c>
      <c r="ED5" s="30" t="str">
        <f>IFERROR(__xludf.DUMMYFUNCTION("""COMPUTED_VALUE"""),"Custom UDA7")</f>
        <v>Custom UDA7</v>
      </c>
      <c r="EE5" s="30" t="str">
        <f>IFERROR(__xludf.DUMMYFUNCTION("""COMPUTED_VALUE"""),"Issuer")</f>
        <v>Issuer</v>
      </c>
      <c r="EF5" s="30" t="str">
        <f>IFERROR(__xludf.DUMMYFUNCTION("""COMPUTED_VALUE"""),"Liquid Tag")</f>
        <v>Liquid Tag</v>
      </c>
      <c r="EG5" s="30" t="str">
        <f>IFERROR(__xludf.DUMMYFUNCTION("""COMPUTED_VALUE"""),"Market Cap UDA")</f>
        <v>Market Cap UDA</v>
      </c>
      <c r="EH5" s="30" t="str">
        <f>IFERROR(__xludf.DUMMYFUNCTION("""COMPUTED_VALUE"""),"Region")</f>
        <v>Region</v>
      </c>
      <c r="EI5" s="30" t="str">
        <f>IFERROR(__xludf.DUMMYFUNCTION("""COMPUTED_VALUE"""),"Risk Currency")</f>
        <v>Risk Currency</v>
      </c>
      <c r="EJ5" s="30" t="str">
        <f>IFERROR(__xludf.DUMMYFUNCTION("""COMPUTED_VALUE"""),"UCITS Eligible Tag")</f>
        <v>UCITS Eligible Tag</v>
      </c>
      <c r="EK5" s="30" t="str">
        <f>IFERROR(__xludf.DUMMYFUNCTION("""COMPUTED_VALUE"""),"FX Rate (Display)")</f>
        <v>FX Rate (Display)</v>
      </c>
      <c r="EL5" s="30" t="str">
        <f>IFERROR(__xludf.DUMMYFUNCTION("""COMPUTED_VALUE"""),"% Net Exposure (Base)")</f>
        <v>% Net Exposure (Base)</v>
      </c>
      <c r="EM5" s="30" t="str">
        <f>IFERROR(__xludf.DUMMYFUNCTION("""COMPUTED_VALUE"""),"% Gross Exposure (Base)")</f>
        <v>% Gross Exposure (Base)</v>
      </c>
      <c r="EN5" s="30" t="str">
        <f>IFERROR(__xludf.DUMMYFUNCTION("""COMPUTED_VALUE"""),"% Exposure (Base)")</f>
        <v>% Exposure (Base)</v>
      </c>
      <c r="EO5" s="30" t="str">
        <f>IFERROR(__xludf.DUMMYFUNCTION("""COMPUTED_VALUE"""),"% Gross Exposure (Underlying) (Base)")</f>
        <v>% Gross Exposure (Underlying) (Base)</v>
      </c>
      <c r="EP5" s="30" t="str">
        <f>IFERROR(__xludf.DUMMYFUNCTION("""COMPUTED_VALUE"""),"% Beta Adj. Gross Exposure (Base)")</f>
        <v>% Beta Adj. Gross Exposure (Base)</v>
      </c>
      <c r="EQ5" s="30" t="str">
        <f>IFERROR(__xludf.DUMMYFUNCTION("""COMPUTED_VALUE"""),"Position Side Exposure (Underlying)")</f>
        <v>Position Side Exposure (Underlying)</v>
      </c>
      <c r="ER5" s="30" t="str">
        <f>IFERROR(__xludf.DUMMYFUNCTION("""COMPUTED_VALUE"""),"Gross Exposure (Underlying) (Base)")</f>
        <v>Gross Exposure (Underlying) (Base)</v>
      </c>
      <c r="ES5" s="30" t="str">
        <f>IFERROR(__xludf.DUMMYFUNCTION("""COMPUTED_VALUE"""),"Gross Exposure (Underlying)")</f>
        <v>Gross Exposure (Underlying)</v>
      </c>
      <c r="ET5" s="30" t="str">
        <f>IFERROR(__xludf.DUMMYFUNCTION("""COMPUTED_VALUE"""),"Day Return")</f>
        <v>Day Return</v>
      </c>
      <c r="EU5" s="30" t="str">
        <f>IFERROR(__xludf.DUMMYFUNCTION("""COMPUTED_VALUE"""),"Start of Day NAV")</f>
        <v>Start of Day NAV</v>
      </c>
      <c r="EV5" s="30" t="str">
        <f>IFERROR(__xludf.DUMMYFUNCTION("""COMPUTED_VALUE"""),"% Gross Market Value (Base)")</f>
        <v>% Gross Market Value (Base)</v>
      </c>
      <c r="EW5" s="30" t="str">
        <f>IFERROR(__xludf.DUMMYFUNCTION("""COMPUTED_VALUE"""),"Beta Adj. Gross Exposure (Underlying) (Local)")</f>
        <v>Beta Adj. Gross Exposure (Underlying) (Local)</v>
      </c>
      <c r="EX5" s="30" t="str">
        <f>IFERROR(__xludf.DUMMYFUNCTION("""COMPUTED_VALUE"""),"NAV")</f>
        <v>NAV</v>
      </c>
      <c r="EY5" s="30" t="str">
        <f>IFERROR(__xludf.DUMMYFUNCTION("""COMPUTED_VALUE"""),"% P&amp;L Contribution")</f>
        <v>% P&amp;L Contribution</v>
      </c>
      <c r="EZ5" s="30" t="str">
        <f>IFERROR(__xludf.DUMMYFUNCTION("""COMPUTED_VALUE"""),"% Net Market Value (Base)")</f>
        <v>% Net Market Value (Base)</v>
      </c>
      <c r="FA5" s="30" t="str">
        <f>IFERROR(__xludf.DUMMYFUNCTION("""COMPUTED_VALUE"""),"Position Side Exposure")</f>
        <v>Position Side Exposure</v>
      </c>
      <c r="FB5" s="30" t="str">
        <f>IFERROR(__xludf.DUMMYFUNCTION("""COMPUTED_VALUE"""),"NAV (Touch)")</f>
        <v>NAV (Touch)</v>
      </c>
      <c r="FC5" s="30" t="str">
        <f>IFERROR(__xludf.DUMMYFUNCTION("""COMPUTED_VALUE"""),"IgnorePropertyChangeEvents")</f>
        <v>IgnorePropertyChangeEvents</v>
      </c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28</v>
      </c>
      <c r="B6" s="33"/>
      <c r="C6" s="8" t="s">
        <v>16</v>
      </c>
      <c r="D6" s="33">
        <v>300.0</v>
      </c>
      <c r="E6" s="8" t="s">
        <v>29</v>
      </c>
      <c r="F6" s="33" t="s">
        <v>30</v>
      </c>
      <c r="G6" s="8">
        <v>10.0</v>
      </c>
      <c r="H6" s="8" t="s">
        <v>31</v>
      </c>
      <c r="I6" s="8"/>
      <c r="J6" s="8"/>
      <c r="K6" s="8"/>
      <c r="L6" s="8"/>
      <c r="M6" s="8"/>
      <c r="N6" s="8"/>
      <c r="O6" s="8" t="s">
        <v>32</v>
      </c>
      <c r="R6" t="s">
        <v>33</v>
      </c>
      <c r="S6" s="34"/>
      <c r="T6" t="s">
        <v>34</v>
      </c>
      <c r="U6" s="34" t="s">
        <v>35</v>
      </c>
      <c r="V6" s="35" t="s">
        <v>36</v>
      </c>
      <c r="W6" t="s">
        <v>37</v>
      </c>
      <c r="X6">
        <v>1.0</v>
      </c>
      <c r="Y6">
        <v>1.0</v>
      </c>
      <c r="AE6" s="35"/>
      <c r="AF6" s="34"/>
      <c r="AI6" s="35"/>
      <c r="AJ6" s="35"/>
      <c r="AM6" s="35"/>
      <c r="AN6" s="34" t="s">
        <v>17</v>
      </c>
      <c r="AP6" s="35" t="s">
        <v>31</v>
      </c>
      <c r="AQ6" s="34" t="s">
        <v>16</v>
      </c>
      <c r="AS6" s="34"/>
      <c r="AT6" s="34"/>
      <c r="AU6" s="34"/>
      <c r="AV6" s="34">
        <v>1.0</v>
      </c>
      <c r="AZ6" s="35"/>
      <c r="BC6" s="35"/>
      <c r="BD6" s="34"/>
      <c r="BE6" s="34" t="s">
        <v>34</v>
      </c>
      <c r="BF6" s="34" t="s">
        <v>38</v>
      </c>
      <c r="BG6" s="34" t="s">
        <v>39</v>
      </c>
      <c r="BH6" s="34"/>
      <c r="BK6" s="34"/>
      <c r="BQ6" t="s">
        <v>28</v>
      </c>
      <c r="BR6" t="s">
        <v>40</v>
      </c>
      <c r="BS6" s="35"/>
      <c r="BT6" s="34"/>
      <c r="BU6" t="s">
        <v>34</v>
      </c>
      <c r="BY6" s="36"/>
      <c r="BZ6" s="35"/>
      <c r="CA6" s="34"/>
      <c r="CG6" s="35"/>
      <c r="CK6" s="36"/>
      <c r="CL6" s="34"/>
      <c r="CN6" t="s">
        <v>16</v>
      </c>
      <c r="CO6" t="s">
        <v>16</v>
      </c>
      <c r="CP6" t="s">
        <v>41</v>
      </c>
      <c r="CS6">
        <v>10.0</v>
      </c>
      <c r="CT6" s="35" t="s">
        <v>28</v>
      </c>
      <c r="CU6" s="35" t="s">
        <v>28</v>
      </c>
      <c r="CV6" t="s">
        <v>28</v>
      </c>
      <c r="CZ6" s="35"/>
      <c r="DA6" s="34"/>
      <c r="DC6" s="35"/>
      <c r="DD6" s="34"/>
      <c r="DL6" t="s">
        <v>28</v>
      </c>
      <c r="DO6" s="37" t="s">
        <v>17</v>
      </c>
      <c r="DR6">
        <v>1.0</v>
      </c>
      <c r="DW6" s="35"/>
      <c r="DZ6" s="35"/>
      <c r="EI6" t="s">
        <v>37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s="35" t="s">
        <v>28</v>
      </c>
      <c r="FG6" s="35" t="s">
        <v>28</v>
      </c>
      <c r="FH6" t="s">
        <v>28</v>
      </c>
      <c r="FI6" s="35" t="s">
        <v>28</v>
      </c>
      <c r="FJ6" s="35" t="s">
        <v>28</v>
      </c>
      <c r="FK6" t="s">
        <v>28</v>
      </c>
      <c r="FL6" s="35" t="s">
        <v>28</v>
      </c>
      <c r="FM6" t="s">
        <v>28</v>
      </c>
      <c r="FN6" s="35" t="s">
        <v>28</v>
      </c>
      <c r="FO6" s="35" t="s">
        <v>28</v>
      </c>
      <c r="FP6" s="34" t="s">
        <v>28</v>
      </c>
      <c r="FQ6" t="s">
        <v>28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CheckSummaryRowsPM!$4:$4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28</v>
      </c>
      <c r="B6" s="32"/>
      <c r="C6" s="8" t="s">
        <v>16</v>
      </c>
      <c r="D6" s="32">
        <v>100.0</v>
      </c>
      <c r="E6" s="8" t="s">
        <v>29</v>
      </c>
      <c r="F6" s="8" t="s">
        <v>30</v>
      </c>
      <c r="G6" s="8">
        <v>10.0</v>
      </c>
      <c r="H6" s="8" t="s">
        <v>31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 t="s">
        <v>32</v>
      </c>
      <c r="Q6">
        <v>-1000.0</v>
      </c>
      <c r="R6" t="s">
        <v>33</v>
      </c>
      <c r="T6" t="s">
        <v>34</v>
      </c>
      <c r="U6" t="s">
        <v>35</v>
      </c>
      <c r="V6" t="s">
        <v>36</v>
      </c>
      <c r="W6" t="s">
        <v>37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L6">
        <v>1.0</v>
      </c>
      <c r="AM6">
        <v>1.0</v>
      </c>
      <c r="AN6" t="s">
        <v>17</v>
      </c>
      <c r="AP6" t="s">
        <v>31</v>
      </c>
      <c r="AQ6" t="s">
        <v>16</v>
      </c>
      <c r="AR6">
        <v>0.0</v>
      </c>
      <c r="AS6">
        <v>1.0</v>
      </c>
      <c r="AV6">
        <v>1.0</v>
      </c>
      <c r="BC6">
        <v>1.0</v>
      </c>
      <c r="BE6" t="s">
        <v>34</v>
      </c>
      <c r="BF6" t="s">
        <v>38</v>
      </c>
      <c r="BG6" t="s">
        <v>39</v>
      </c>
      <c r="BQ6" t="s">
        <v>43</v>
      </c>
      <c r="BR6" t="s">
        <v>40</v>
      </c>
      <c r="BU6" t="s">
        <v>34</v>
      </c>
      <c r="BZ6">
        <v>0.0</v>
      </c>
      <c r="CA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N6" t="s">
        <v>16</v>
      </c>
      <c r="CO6" t="s">
        <v>16</v>
      </c>
      <c r="CP6" t="s">
        <v>41</v>
      </c>
      <c r="CS6">
        <v>10.0</v>
      </c>
      <c r="CZ6" t="s">
        <v>44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P6" t="s">
        <v>31</v>
      </c>
      <c r="DZ6" t="s">
        <v>32</v>
      </c>
      <c r="ED6" t="s">
        <v>37</v>
      </c>
      <c r="EE6" t="s">
        <v>45</v>
      </c>
      <c r="EL6" t="s">
        <v>31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V6" t="s">
        <v>31</v>
      </c>
      <c r="EX6" t="b">
        <v>0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28</v>
      </c>
      <c r="B7" s="8"/>
      <c r="C7" s="8" t="s">
        <v>16</v>
      </c>
      <c r="D7" s="8">
        <v>200.0</v>
      </c>
      <c r="E7" s="8" t="s">
        <v>29</v>
      </c>
      <c r="F7" s="8" t="s">
        <v>30</v>
      </c>
      <c r="G7" s="8">
        <v>10.0</v>
      </c>
      <c r="H7" s="8" t="s">
        <v>31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-2000.0</v>
      </c>
      <c r="O7" s="8" t="s">
        <v>32</v>
      </c>
      <c r="Q7">
        <v>-2000.0</v>
      </c>
      <c r="R7" t="s">
        <v>33</v>
      </c>
      <c r="T7" t="s">
        <v>34</v>
      </c>
      <c r="U7" t="s">
        <v>35</v>
      </c>
      <c r="V7" t="s">
        <v>36</v>
      </c>
      <c r="W7" t="s">
        <v>37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200.0</v>
      </c>
      <c r="AG7">
        <v>0.0</v>
      </c>
      <c r="AH7">
        <v>0.0</v>
      </c>
      <c r="AI7">
        <v>0.0</v>
      </c>
      <c r="AJ7">
        <v>0.0</v>
      </c>
      <c r="AL7">
        <v>1.0</v>
      </c>
      <c r="AM7">
        <v>1.0</v>
      </c>
      <c r="AN7" t="s">
        <v>17</v>
      </c>
      <c r="AP7" t="s">
        <v>31</v>
      </c>
      <c r="AQ7" t="s">
        <v>16</v>
      </c>
      <c r="AR7">
        <v>0.0</v>
      </c>
      <c r="AS7">
        <v>1.0</v>
      </c>
      <c r="AV7">
        <v>1.0</v>
      </c>
      <c r="BC7">
        <v>1.0</v>
      </c>
      <c r="BE7" t="s">
        <v>34</v>
      </c>
      <c r="BF7" t="s">
        <v>38</v>
      </c>
      <c r="BG7" t="s">
        <v>39</v>
      </c>
      <c r="BQ7" t="s">
        <v>43</v>
      </c>
      <c r="BR7" t="s">
        <v>40</v>
      </c>
      <c r="BU7" t="s">
        <v>34</v>
      </c>
      <c r="BZ7">
        <v>0.0</v>
      </c>
      <c r="CA7">
        <v>0.0</v>
      </c>
      <c r="CD7">
        <v>-2000.0</v>
      </c>
      <c r="CE7">
        <v>0.0</v>
      </c>
      <c r="CF7">
        <v>0.0</v>
      </c>
      <c r="CG7">
        <v>-2000.0</v>
      </c>
      <c r="CH7">
        <v>-100.0</v>
      </c>
      <c r="CI7">
        <v>0.0</v>
      </c>
      <c r="CJ7">
        <v>0.0</v>
      </c>
      <c r="CK7" t="b">
        <v>0</v>
      </c>
      <c r="CN7" t="s">
        <v>16</v>
      </c>
      <c r="CO7" t="s">
        <v>16</v>
      </c>
      <c r="CP7" t="s">
        <v>41</v>
      </c>
      <c r="CS7">
        <v>10.0</v>
      </c>
      <c r="CZ7" t="s">
        <v>44</v>
      </c>
      <c r="DA7">
        <v>0.0</v>
      </c>
      <c r="DB7">
        <v>0.0</v>
      </c>
      <c r="DD7">
        <v>200.0</v>
      </c>
      <c r="DE7">
        <v>0.0</v>
      </c>
      <c r="DF7">
        <v>0.0</v>
      </c>
      <c r="DG7">
        <v>0.0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P7" t="s">
        <v>31</v>
      </c>
      <c r="DZ7" t="s">
        <v>32</v>
      </c>
      <c r="ED7" t="s">
        <v>37</v>
      </c>
      <c r="EE7" t="s">
        <v>45</v>
      </c>
      <c r="EL7" t="s">
        <v>31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V7" t="s">
        <v>31</v>
      </c>
      <c r="EX7" t="b">
        <v>0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J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