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PricingInput" sheetId="10" r:id="rId12"/>
    <sheet state="visible" name="GetMarkPriceData" sheetId="11" r:id="rId13"/>
    <sheet state="visible" name="UpdateMarkPrice" sheetId="12" r:id="rId14"/>
    <sheet state="visible" name="GetForexConversion" sheetId="13" r:id="rId15"/>
    <sheet state="visible" name="UpdateForexConversion" sheetId="14" r:id="rId16"/>
    <sheet state="visible" name="GetDailyCash" sheetId="15" r:id="rId17"/>
    <sheet state="visible" name="UpdateDailyCash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FetchAccountPositions" sheetId="20" r:id="rId22"/>
    <sheet state="visible" name="AddCash" sheetId="21" r:id="rId23"/>
    <sheet state="visible" name="RunRebalance" sheetId="22" r:id="rId24"/>
    <sheet state="visible" name="CheckBasketCompliance" sheetId="23" r:id="rId25"/>
    <sheet state="visible" name="SendToStagingExport" sheetId="24" r:id="rId26"/>
    <sheet state="visible" name="FetchAccountPositions1" sheetId="25" r:id="rId27"/>
    <sheet state="visible" name="AddCash1" sheetId="26" r:id="rId28"/>
    <sheet state="visible" name="RunRebalance1" sheetId="27" r:id="rId29"/>
    <sheet state="visible" name="CheckBasketCompliance1" sheetId="28" r:id="rId30"/>
    <sheet state="visible" name="UpdateExpnlConfig1" sheetId="29" r:id="rId31"/>
    <sheet state="visible" name="SendToStagingExport1" sheetId="30" r:id="rId32"/>
  </sheets>
  <definedNames/>
  <calcPr/>
</workbook>
</file>

<file path=xl/sharedStrings.xml><?xml version="1.0" encoding="utf-8"?>
<sst xmlns="http://schemas.openxmlformats.org/spreadsheetml/2006/main" count="656" uniqueCount="133">
  <si>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</si>
  <si>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</si>
  <si>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</si>
  <si>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</si>
  <si>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</si>
  <si>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</si>
  <si>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</si>
  <si>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</si>
  <si>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</si>
  <si>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</si>
  <si>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</si>
  <si>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</si>
  <si>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</si>
  <si>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</si>
  <si>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</si>
  <si>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</si>
  <si>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</si>
  <si>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</si>
  <si>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</si>
  <si>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</si>
  <si>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</si>
  <si>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</si>
  <si>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</si>
  <si>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</si>
  <si>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</si>
  <si>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</si>
  <si>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</si>
  <si>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</si>
  <si>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</si>
  <si>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</si>
  <si>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</si>
  <si>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</si>
  <si>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</si>
  <si>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</si>
  <si>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</si>
  <si>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</si>
  <si>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</si>
  <si>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</si>
  <si>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</si>
  <si>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</si>
  <si>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</si>
  <si>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</si>
  <si>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</si>
  <si>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</si>
  <si>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</si>
  <si>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</si>
  <si>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GetDailyCash</t>
  </si>
  <si>
    <t>UpdateDailyCash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</si>
  <si>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</si>
  <si>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</si>
  <si>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</si>
  <si>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</si>
  <si>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</si>
  <si>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</si>
  <si>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</si>
  <si>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</si>
  <si>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</si>
  <si>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</si>
  <si>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</si>
  <si>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</si>
  <si>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Impact NAV</t>
  </si>
  <si>
    <t>None</t>
  </si>
  <si>
    <t>Allocation1,Allocation3</t>
  </si>
  <si>
    <t>200000|100000</t>
  </si>
  <si>
    <t>RunRebalance</t>
  </si>
  <si>
    <t>Nearest Round Off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</si>
  <si>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</si>
  <si>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</si>
  <si>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</si>
  <si>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</si>
  <si>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</si>
  <si>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193.00, avgPrice: 10.00, selectedFeedPrice: 10.00, netMarketValueBase: 1,930.00, netExposureLocal: 1,930.00, Symbol: DBLSX</t>
  </si>
  <si>
    <t>quantity: 193.00, avgPrice: 10.00, selectedFeedPrice: 10.00, netMarketValueBase: 1,930.00, netExposureLocal: 1,930.00, Symbol: MSFT</t>
  </si>
  <si>
    <t>quantity: 193.00, avgPrice: 10.00, selectedFeedPrice: 10.00, netMarketValueBase: 1,930.00, netExposureLocal: 1,930.00, Symbol: AAPL</t>
  </si>
  <si>
    <t>quantity: 193.00, avgPrice: 10.00, selectedFeedPrice: 10.00, netMarketValueBase: 1,608.3333, netExposureLocal: 1,930.00, Symbol: FRU-TC</t>
  </si>
  <si>
    <t>quantity: 193.00, avgPrice: 10.00, selectedFeedPrice: 10.00, netMarketValueBase: 19.30, netExposureLocal: 19.30, Symbol: 123456789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</si>
  <si>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</si>
  <si>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</si>
  <si>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Allocation1-MSFT</t>
  </si>
  <si>
    <t>quantity: 393.00, dayPnLBase: -0.0274, dayPnLLocal: -0.0274, netMarketValueBase: 3,729.9452, netMarketValueLocal: 3,729.9452, selectedFeedPrice: 10.00, accountNav: 647,486.6119, AccountShortName: Allocation1, Symbol: MSFT</t>
  </si>
  <si>
    <t>Allocation1-AAPL</t>
  </si>
  <si>
    <t>quantity: 393.00, dayPnLBase: 0.00, dayPnLLocal: 0.00, netMarketValueBase: 3,930.00, netMarketValueLocal: 3,930.00, selectedFeedPrice: 10.00, accountNav: 647,486.6119, AccountShortName: Allocation1, Symbol: AAPL</t>
  </si>
  <si>
    <t>Allocation1-123456789</t>
  </si>
  <si>
    <t>quantity: 393.00, dayPnLBase: 0.00, dayPnLLocal: 0.00, netMarketValueBase: 39.30, netMarketValueLocal: 39.30, selectedFeedPrice: 10.00, accountNav: 647,486.6119, AccountShortName: Allocation1, Symbol: 123456789</t>
  </si>
  <si>
    <t>Allocation1-DBLSX</t>
  </si>
  <si>
    <t>quantity: 393.00, dayPnLBase: 0.00, dayPnLLocal: 0.00, netMarketValueBase: 3,930.00, netMarketValueLocal: 3,930.00, selectedFeedPrice: 10.00, accountNav: 647,486.6119, AccountShortName: Allocation1, Symbol: DBLSX</t>
  </si>
  <si>
    <t>Allocation1-FRU-TC</t>
  </si>
  <si>
    <t>quantity: 393.00, dayPnLBase: -0.00, dayPnLLocal: 0.00, netMarketValueBase: 3,275.00, netMarketValueLocal: 3,930.00, selectedFeedPrice: 10.00, accountNav: 647,486.6119, AccountShortName: Allocation1,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</si>
  <si>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</si>
  <si>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</si>
  <si>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NewMF-MSFT</t>
  </si>
  <si>
    <t>quantity: 393.00, dayPnLBase: -0.0274, dayPnLLocal: -0.0274, netMarketValueBase: 3,729.9452, netMarketValueLocal: 3,729.9452, selectedFeedPrice: 10.00, masterFundNav: 848,286.6119, MasterFundName: NewMF, Symbol: MSFT</t>
  </si>
  <si>
    <t>NewMF-AAPL</t>
  </si>
  <si>
    <t>quantity: 393.00, dayPnLBase: 0.00, dayPnLLocal: 0.00, netMarketValueBase: 3,930.00, netMarketValueLocal: 3,930.00, selectedFeedPrice: 10.00, masterFundNav: 848,286.6119, MasterFundName: NewMF, Symbol: AAPL</t>
  </si>
  <si>
    <t>NewMF-123456789</t>
  </si>
  <si>
    <t>quantity: 393.00, dayPnLBase: 0.00, dayPnLLocal: 0.00, netMarketValueBase: 39.30, netMarketValueLocal: 39.30, selectedFeedPrice: 10.00, masterFundNav: 848,286.6119, MasterFundName: NewMF, Symbol: 123456789</t>
  </si>
  <si>
    <t>NewMF-DBLSX</t>
  </si>
  <si>
    <t>quantity: 393.00, dayPnLBase: 0.00, dayPnLLocal: 0.00, netMarketValueBase: 3,930.00, netMarketValueLocal: 3,930.00, selectedFeedPrice: 10.00, masterFundNav: 848,286.6119, MasterFundName: NewMF, Symbol: DBLSX</t>
  </si>
  <si>
    <t>NewMF-FRU-TC</t>
  </si>
  <si>
    <t>quantity: 393.00, dayPnLBase: -0.00, dayPnLLocal: 0.00, netMarketValueBase: 3,275.00, netMarketValueLocal: 3,930.00, selectedFeedPrice: 10.00, masterFundNav: 848,286.6119, MasterFundName: NewMF, Symbol: FRU-TC</t>
  </si>
  <si>
    <t>Symbol3</t>
  </si>
  <si>
    <t>If Quantity not equals to -123, Selected Feed Price not equals to -123, Net Market Value Base not equals to -123, Net Market Value Local not equals to -123, Then block the trade.</t>
  </si>
  <si>
    <t>quantity: 393.00, selectedFeedPrice: 10.00, netMarketValueBase: 3,729.9452, netMarketValueLocal: 3,729.9452, Symbol: MSFT</t>
  </si>
  <si>
    <t>quantity: 393.00, selectedFeedPrice: 10.00, netMarketValueBase: 3,930.00, netMarketValueLocal: 3,930.00, Symbol: AAPL</t>
  </si>
  <si>
    <t>quantity: 393.00, selectedFeedPrice: 10.00, netMarketValueBase: 39.30, netMarketValueLocal: 39.30, Symbol: 123456789</t>
  </si>
  <si>
    <t>quantity: 393.00, selectedFeedPrice: 10.00, netMarketValueBase: 3,930.00, netMarketValueLocal: 3,930.00, Symbol: DBLSX</t>
  </si>
  <si>
    <t>quantity: 393.00, selectedFeedPrice: 10.00, netMarketValueBase: 3,275.00, netMarketValueLocal: 3,930.00, Symbol: FRU-TC</t>
  </si>
  <si>
    <t>SendToStagingExport</t>
  </si>
  <si>
    <t>No</t>
  </si>
  <si>
    <t>Real-Time Positions</t>
  </si>
  <si>
    <t>quantity: 186.00, avgPrice: 20.00, selectedFeedPrice: 20.00, netMarketValueBase: 3,720.00, netExposureLocal: 3,720.00, Symbol: MSFT</t>
  </si>
  <si>
    <t>quantity: 99.00, avgPrice: 20.00, selectedFeedPrice: 20.00, netMarketValueBase: 1,980.00, netExposureLocal: 1,980.00, Symbol: AAPL</t>
  </si>
  <si>
    <t>quantity: 186.00, avgPrice: 20.00, selectedFeedPrice: 20.00, netMarketValueBase: 3,720.00, netExposureLocal: 3,720.00, Symbol: AAPL</t>
  </si>
  <si>
    <t>quantity: 186.00, avgPrice: 20.00, selectedFeedPrice: 20.00, netMarketValueBase: 3,100.00, netExposureLocal: 3,720.00, Symbol: FRU-TC</t>
  </si>
  <si>
    <t>quantity: 186.00, avgPrice: 20.00, selectedFeedPrice: 20.00, netMarketValueBase: 37.20, netExposureLocal: 37.20, Symbol: 123456789</t>
  </si>
  <si>
    <t>quantity: 186.00, avgPrice: 20.00, selectedFeedPrice: 20.00, netMarketValueBase: 3,720.00, netExposureLocal: 3,720.00, Symbol: DBLSX</t>
  </si>
  <si>
    <t>quantity: 486.00, dayPnLBase: 1,000.00, dayPnLLocal: 1,000.00, netMarketValueBase: 9,720.00, netMarketValueLocal: 9,720.00, selectedFeedPrice: 20.00, accountNav: 905,173.2785, AccountShortName: Allocation1, Symbol: AAPL</t>
  </si>
  <si>
    <t>quantity: 486.00, dayPnLBase: 1,000.00, dayPnLLocal: 1,000.00, netMarketValueBase: 9,720.00, netMarketValueLocal: 9,720.00, selectedFeedPrice: 20.00, accountNav: 905,173.2785, AccountShortName: Allocation1, Symbol: DBLSX</t>
  </si>
  <si>
    <t>quantity: 486.00, dayPnLBase: 10.00, dayPnLLocal: 10.00, netMarketValueBase: 97.20, netMarketValueLocal: 97.20, selectedFeedPrice: 20.00, accountNav: 905,173.2785, AccountShortName: Allocation1, Symbol: 123456789</t>
  </si>
  <si>
    <t>quantity: 486.00, dayPnLBase: 999.9726, dayPnLLocal: 999.9726, netMarketValueBase: 9,519.9452, netMarketValueLocal: 9,519.9452, selectedFeedPrice: 20.00, accountNav: 905,173.2785, AccountShortName: Allocation1, Symbol: MSFT</t>
  </si>
  <si>
    <t>quantity: 486.00, dayPnLBase: 833.3333, dayPnLLocal: 1,000.00, netMarketValueBase: 8,100.00, netMarketValueLocal: 9,720.00, selectedFeedPrice: 20.00, accountNav: 905,173.2785, AccountShortName: Allocation1, Symbol: FRU-TC</t>
  </si>
  <si>
    <t>Allocation3-AAPL</t>
  </si>
  <si>
    <t>quantity: 199.00, dayPnLBase: 1,800.00, dayPnLLocal: 1,800.00, netMarketValueBase: 3,980.00, netMarketValueLocal: 3,980.00, selectedFeedPrice: 20.00, accountNav: 201,800.00, AccountShortName: Allocation3, Symbol: AAPL</t>
  </si>
  <si>
    <t>quantity: 486.00, dayPnLBase: 1,000.00, dayPnLLocal: 1,000.00, netMarketValueBase: 9,720.00, netMarketValueLocal: 9,720.00, selectedFeedPrice: 20.00, masterFundNav: 1,106,973.2785, MasterFundName: NewMF, Symbol: DBLSX</t>
  </si>
  <si>
    <t>quantity: 486.00, dayPnLBase: 10.00, dayPnLLocal: 10.00, netMarketValueBase: 97.20, netMarketValueLocal: 97.20, selectedFeedPrice: 20.00, masterFundNav: 1,106,973.2785, MasterFundName: NewMF, Symbol: 123456789</t>
  </si>
  <si>
    <t>quantity: 486.00, dayPnLBase: 999.9726, dayPnLLocal: 999.9726, netMarketValueBase: 9,519.9452, netMarketValueLocal: 9,519.9452, selectedFeedPrice: 20.00, masterFundNav: 1,106,973.2785, MasterFundName: NewMF, Symbol: MSFT</t>
  </si>
  <si>
    <t>quantity: 486.00, dayPnLBase: 833.3333, dayPnLLocal: 1,000.00, netMarketValueBase: 8,100.00, netMarketValueLocal: 9,720.00, selectedFeedPrice: 20.00, masterFundNav: 1,106,973.2785, MasterFundName: NewMF, Symbol: FRU-TC</t>
  </si>
  <si>
    <t>quantity: 685.00, dayPnLBase: 2,800.00, dayPnLLocal: 2,800.00, netMarketValueBase: 13,700.00, netMarketValueLocal: 13,700.00, selectedFeedPrice: 20.00, masterFundNav: 1,106,973.2785, MasterFundName: NewMF, Symbol: AAPL</t>
  </si>
  <si>
    <t>quantity: 685.00, selectedFeedPrice: 20.00, netMarketValueBase: 13,700.00, netMarketValueLocal: 13,700.00, Symbol: AAPL</t>
  </si>
  <si>
    <t>quantity: 486.00, selectedFeedPrice: 20.00, netMarketValueBase: 9,720.00, netMarketValueLocal: 9,720.00, Symbol: DBLSX</t>
  </si>
  <si>
    <t>quantity: 486.00, selectedFeedPrice: 20.00, netMarketValueBase: 97.20, netMarketValueLocal: 97.20, Symbol: 123456789</t>
  </si>
  <si>
    <t>quantity: 486.00, selectedFeedPrice: 20.00, netMarketValueBase: 9,519.9452, netMarketValueLocal: 9,519.9452, Symbol: MSFT</t>
  </si>
  <si>
    <t>quantity: 486.00, selectedFeedPrice: 20.00, netMarketValueBase: 8,100.00, netMarketValueLocal: 9,720.00,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</si>
</sst>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6" fontId="13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4" fontId="14" numFmtId="0" xfId="0" applyFont="1"/>
    <xf borderId="6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9" fillId="0" fontId="5" numFmtId="0" xfId="0" applyAlignment="1" applyBorder="1" applyFont="1">
      <alignment shrinkToFit="0" vertical="bottom" wrapText="0"/>
    </xf>
    <xf borderId="10" fillId="7" fontId="15" numFmtId="0" xfId="0" applyAlignment="1" applyBorder="1" applyFill="1" applyFont="1">
      <alignment horizontal="left" readingOrder="0" shrinkToFit="0" vertical="top" wrapText="0"/>
    </xf>
    <xf borderId="10" fillId="8" fontId="16" numFmtId="0" xfId="0" applyAlignment="1" applyBorder="1" applyFill="1" applyFont="1">
      <alignment horizontal="left" readingOrder="0" shrinkToFit="0" vertical="top" wrapText="0"/>
    </xf>
    <xf borderId="10" fillId="8" fontId="16" numFmtId="0" xfId="0" applyAlignment="1" applyBorder="1" applyFont="1">
      <alignment horizontal="left" shrinkToFit="0" vertical="top" wrapText="0"/>
    </xf>
    <xf borderId="10" fillId="9" fontId="16" numFmtId="0" xfId="0" applyAlignment="1" applyBorder="1" applyFill="1" applyFont="1">
      <alignment horizontal="left" readingOrder="0" shrinkToFit="0" vertical="top" wrapText="0"/>
    </xf>
    <xf borderId="10" fillId="9" fontId="16" numFmtId="0" xfId="0" applyAlignment="1" applyBorder="1" applyFont="1">
      <alignment horizontal="left" shrinkToFit="0" vertical="top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 t="b">
        <v>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6" t="s">
        <v>21</v>
      </c>
      <c r="D6" s="37">
        <v>100.0</v>
      </c>
      <c r="E6" s="36"/>
      <c r="F6" s="36" t="s">
        <v>22</v>
      </c>
      <c r="G6" s="36"/>
      <c r="H6" s="36"/>
      <c r="I6" s="36"/>
      <c r="J6" s="38">
        <v>2.0</v>
      </c>
      <c r="K6" s="36"/>
      <c r="L6" s="36"/>
      <c r="M6" s="36"/>
      <c r="N6" s="39">
        <f t="shared" ref="N6:N19" si="1">TODAY()-1</f>
        <v>44837</v>
      </c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23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0"/>
      <c r="B7" s="41" t="s">
        <v>24</v>
      </c>
      <c r="C7" s="41" t="s">
        <v>21</v>
      </c>
      <c r="D7" s="42">
        <v>100.0</v>
      </c>
      <c r="E7" s="41"/>
      <c r="F7" s="41" t="s">
        <v>22</v>
      </c>
      <c r="G7" s="41"/>
      <c r="H7" s="41"/>
      <c r="I7" s="41"/>
      <c r="J7" s="42">
        <v>2.0</v>
      </c>
      <c r="K7" s="41"/>
      <c r="L7" s="41"/>
      <c r="M7" s="41"/>
      <c r="N7" s="43">
        <f t="shared" si="1"/>
        <v>44837</v>
      </c>
      <c r="O7" s="41"/>
      <c r="P7" s="41"/>
      <c r="Q7" s="41"/>
      <c r="R7" s="41"/>
      <c r="S7" s="4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23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0"/>
      <c r="B8" s="41" t="s">
        <v>25</v>
      </c>
      <c r="C8" s="41" t="s">
        <v>21</v>
      </c>
      <c r="D8" s="42">
        <v>100.0</v>
      </c>
      <c r="E8" s="41"/>
      <c r="F8" s="41" t="s">
        <v>22</v>
      </c>
      <c r="G8" s="41"/>
      <c r="H8" s="41"/>
      <c r="I8" s="41"/>
      <c r="J8" s="42">
        <v>2.0</v>
      </c>
      <c r="K8" s="41"/>
      <c r="L8" s="41"/>
      <c r="M8" s="41"/>
      <c r="N8" s="43">
        <f t="shared" si="1"/>
        <v>44837</v>
      </c>
      <c r="O8" s="41"/>
      <c r="P8" s="41"/>
      <c r="Q8" s="41"/>
      <c r="R8" s="41"/>
      <c r="S8" s="41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23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0"/>
      <c r="B9" s="41" t="s">
        <v>26</v>
      </c>
      <c r="C9" s="41" t="s">
        <v>21</v>
      </c>
      <c r="D9" s="42">
        <v>100.0</v>
      </c>
      <c r="E9" s="41"/>
      <c r="F9" s="41" t="s">
        <v>22</v>
      </c>
      <c r="G9" s="41"/>
      <c r="H9" s="41"/>
      <c r="I9" s="41"/>
      <c r="J9" s="42">
        <v>2.0</v>
      </c>
      <c r="K9" s="41"/>
      <c r="L9" s="41"/>
      <c r="M9" s="41"/>
      <c r="N9" s="43">
        <f t="shared" si="1"/>
        <v>44837</v>
      </c>
      <c r="O9" s="41"/>
      <c r="P9" s="41"/>
      <c r="Q9" s="41"/>
      <c r="R9" s="41"/>
      <c r="S9" s="41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23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0"/>
      <c r="B10" s="41" t="s">
        <v>27</v>
      </c>
      <c r="C10" s="41" t="s">
        <v>21</v>
      </c>
      <c r="D10" s="42">
        <v>100.0</v>
      </c>
      <c r="E10" s="41"/>
      <c r="F10" s="41" t="s">
        <v>22</v>
      </c>
      <c r="G10" s="41"/>
      <c r="H10" s="41"/>
      <c r="I10" s="41"/>
      <c r="J10" s="42">
        <v>2.0</v>
      </c>
      <c r="K10" s="41"/>
      <c r="L10" s="41"/>
      <c r="M10" s="41"/>
      <c r="N10" s="43">
        <f t="shared" si="1"/>
        <v>44837</v>
      </c>
      <c r="O10" s="41"/>
      <c r="P10" s="41"/>
      <c r="Q10" s="41"/>
      <c r="R10" s="41"/>
      <c r="S10" s="41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 t="s">
        <v>23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0"/>
      <c r="B11" s="41" t="s">
        <v>28</v>
      </c>
      <c r="C11" s="41" t="s">
        <v>21</v>
      </c>
      <c r="D11" s="42">
        <v>100.0</v>
      </c>
      <c r="E11" s="41"/>
      <c r="F11" s="41" t="s">
        <v>22</v>
      </c>
      <c r="G11" s="41"/>
      <c r="H11" s="41"/>
      <c r="I11" s="41"/>
      <c r="J11" s="42">
        <v>2.0</v>
      </c>
      <c r="K11" s="41"/>
      <c r="L11" s="41"/>
      <c r="M11" s="41"/>
      <c r="N11" s="43">
        <f t="shared" si="1"/>
        <v>44837</v>
      </c>
      <c r="O11" s="41"/>
      <c r="P11" s="41"/>
      <c r="Q11" s="41"/>
      <c r="R11" s="41"/>
      <c r="S11" s="41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 t="s">
        <v>23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0"/>
      <c r="B12" s="44">
        <v>1.23456789E8</v>
      </c>
      <c r="C12" s="41" t="s">
        <v>21</v>
      </c>
      <c r="D12" s="42">
        <v>100.0</v>
      </c>
      <c r="E12" s="41"/>
      <c r="F12" s="41" t="s">
        <v>22</v>
      </c>
      <c r="G12" s="41"/>
      <c r="H12" s="41"/>
      <c r="I12" s="41"/>
      <c r="J12" s="42">
        <v>2.0</v>
      </c>
      <c r="K12" s="41"/>
      <c r="L12" s="41"/>
      <c r="M12" s="41"/>
      <c r="N12" s="43">
        <f t="shared" si="1"/>
        <v>44837</v>
      </c>
      <c r="O12" s="41"/>
      <c r="P12" s="41"/>
      <c r="Q12" s="41"/>
      <c r="R12" s="41"/>
      <c r="S12" s="41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 t="s">
        <v>23</v>
      </c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40"/>
      <c r="B13" s="41" t="s">
        <v>20</v>
      </c>
      <c r="C13" s="41" t="s">
        <v>21</v>
      </c>
      <c r="D13" s="42">
        <v>100.0</v>
      </c>
      <c r="E13" s="44">
        <v>0.0</v>
      </c>
      <c r="F13" s="41" t="s">
        <v>22</v>
      </c>
      <c r="G13" s="41"/>
      <c r="H13" s="41"/>
      <c r="I13" s="41"/>
      <c r="J13" s="42">
        <v>2.0</v>
      </c>
      <c r="K13" s="41"/>
      <c r="L13" s="41"/>
      <c r="M13" s="41"/>
      <c r="N13" s="43">
        <f t="shared" si="1"/>
        <v>44837</v>
      </c>
      <c r="O13" s="41"/>
      <c r="P13" s="41"/>
      <c r="Q13" s="41"/>
      <c r="R13" s="41"/>
      <c r="S13" s="41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 t="s">
        <v>23</v>
      </c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40"/>
      <c r="B14" s="41" t="s">
        <v>24</v>
      </c>
      <c r="C14" s="41" t="s">
        <v>21</v>
      </c>
      <c r="D14" s="42">
        <v>100.0</v>
      </c>
      <c r="E14" s="44">
        <v>0.0</v>
      </c>
      <c r="F14" s="41" t="s">
        <v>22</v>
      </c>
      <c r="G14" s="41"/>
      <c r="H14" s="41"/>
      <c r="I14" s="41"/>
      <c r="J14" s="42">
        <v>2.0</v>
      </c>
      <c r="K14" s="41"/>
      <c r="L14" s="41"/>
      <c r="M14" s="41"/>
      <c r="N14" s="43">
        <f t="shared" si="1"/>
        <v>44837</v>
      </c>
      <c r="O14" s="41"/>
      <c r="P14" s="41"/>
      <c r="Q14" s="41"/>
      <c r="R14" s="41"/>
      <c r="S14" s="41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 t="s">
        <v>23</v>
      </c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40"/>
      <c r="B15" s="41" t="s">
        <v>25</v>
      </c>
      <c r="C15" s="41" t="s">
        <v>21</v>
      </c>
      <c r="D15" s="42">
        <v>100.0</v>
      </c>
      <c r="E15" s="44">
        <v>0.0</v>
      </c>
      <c r="F15" s="41" t="s">
        <v>22</v>
      </c>
      <c r="G15" s="41"/>
      <c r="H15" s="41"/>
      <c r="I15" s="41"/>
      <c r="J15" s="42">
        <v>2.0</v>
      </c>
      <c r="K15" s="41"/>
      <c r="L15" s="41"/>
      <c r="M15" s="41"/>
      <c r="N15" s="43">
        <f t="shared" si="1"/>
        <v>44837</v>
      </c>
      <c r="O15" s="41"/>
      <c r="P15" s="41"/>
      <c r="Q15" s="41"/>
      <c r="R15" s="41"/>
      <c r="S15" s="41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 t="s">
        <v>23</v>
      </c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40"/>
      <c r="B16" s="41" t="s">
        <v>26</v>
      </c>
      <c r="C16" s="41" t="s">
        <v>21</v>
      </c>
      <c r="D16" s="42">
        <v>100.0</v>
      </c>
      <c r="E16" s="44">
        <v>0.0</v>
      </c>
      <c r="F16" s="41" t="s">
        <v>22</v>
      </c>
      <c r="G16" s="41"/>
      <c r="H16" s="41"/>
      <c r="I16" s="41"/>
      <c r="J16" s="42">
        <v>2.0</v>
      </c>
      <c r="K16" s="41"/>
      <c r="L16" s="41"/>
      <c r="M16" s="41"/>
      <c r="N16" s="43">
        <f t="shared" si="1"/>
        <v>44837</v>
      </c>
      <c r="O16" s="41"/>
      <c r="P16" s="41"/>
      <c r="Q16" s="41"/>
      <c r="R16" s="41"/>
      <c r="S16" s="41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 t="s">
        <v>23</v>
      </c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40"/>
      <c r="B17" s="41" t="s">
        <v>27</v>
      </c>
      <c r="C17" s="41" t="s">
        <v>21</v>
      </c>
      <c r="D17" s="42">
        <v>100.0</v>
      </c>
      <c r="E17" s="44">
        <v>0.0</v>
      </c>
      <c r="F17" s="41" t="s">
        <v>22</v>
      </c>
      <c r="G17" s="41"/>
      <c r="H17" s="41"/>
      <c r="I17" s="41"/>
      <c r="J17" s="42">
        <v>2.0</v>
      </c>
      <c r="K17" s="41"/>
      <c r="L17" s="41"/>
      <c r="M17" s="41"/>
      <c r="N17" s="43">
        <f t="shared" si="1"/>
        <v>44837</v>
      </c>
      <c r="O17" s="41"/>
      <c r="P17" s="41"/>
      <c r="Q17" s="41"/>
      <c r="R17" s="41"/>
      <c r="S17" s="41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 t="s">
        <v>23</v>
      </c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40"/>
      <c r="B18" s="41" t="s">
        <v>28</v>
      </c>
      <c r="C18" s="41" t="s">
        <v>21</v>
      </c>
      <c r="D18" s="42">
        <v>100.0</v>
      </c>
      <c r="E18" s="44">
        <v>0.0</v>
      </c>
      <c r="F18" s="41" t="s">
        <v>22</v>
      </c>
      <c r="G18" s="41"/>
      <c r="H18" s="41"/>
      <c r="I18" s="41"/>
      <c r="J18" s="42">
        <v>2.0</v>
      </c>
      <c r="K18" s="41"/>
      <c r="L18" s="41"/>
      <c r="M18" s="41"/>
      <c r="N18" s="43">
        <f t="shared" si="1"/>
        <v>44837</v>
      </c>
      <c r="O18" s="41"/>
      <c r="P18" s="41"/>
      <c r="Q18" s="41"/>
      <c r="R18" s="41"/>
      <c r="S18" s="41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 t="s">
        <v>23</v>
      </c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40"/>
      <c r="B19" s="44">
        <v>1.23456789E8</v>
      </c>
      <c r="C19" s="41" t="s">
        <v>21</v>
      </c>
      <c r="D19" s="42">
        <v>100.0</v>
      </c>
      <c r="E19" s="44">
        <v>0.0</v>
      </c>
      <c r="F19" s="41" t="s">
        <v>22</v>
      </c>
      <c r="G19" s="41"/>
      <c r="H19" s="41"/>
      <c r="I19" s="41"/>
      <c r="J19" s="42">
        <v>2.0</v>
      </c>
      <c r="K19" s="41"/>
      <c r="L19" s="41"/>
      <c r="M19" s="41"/>
      <c r="N19" s="43">
        <f t="shared" si="1"/>
        <v>44837</v>
      </c>
      <c r="O19" s="41"/>
      <c r="P19" s="41"/>
      <c r="Q19" s="41"/>
      <c r="R19" s="41"/>
      <c r="S19" s="41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 t="s">
        <v>23</v>
      </c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40"/>
      <c r="B20" s="45" t="s">
        <v>20</v>
      </c>
      <c r="C20" s="45" t="s">
        <v>21</v>
      </c>
      <c r="D20" s="42">
        <v>100.0</v>
      </c>
      <c r="E20" s="41"/>
      <c r="F20" s="45" t="s">
        <v>29</v>
      </c>
      <c r="G20" s="41"/>
      <c r="H20" s="41"/>
      <c r="I20" s="41"/>
      <c r="J20" s="42">
        <v>2.0</v>
      </c>
      <c r="K20" s="41"/>
      <c r="L20" s="41"/>
      <c r="M20" s="41"/>
      <c r="N20" s="41"/>
      <c r="O20" s="41"/>
      <c r="P20" s="41"/>
      <c r="Q20" s="41"/>
      <c r="R20" s="41"/>
      <c r="S20" s="41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 t="s">
        <v>23</v>
      </c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20</v>
      </c>
      <c r="C6" s="36" t="s">
        <v>21</v>
      </c>
      <c r="D6" s="37">
        <v>100.0</v>
      </c>
      <c r="E6" s="36"/>
      <c r="F6" s="36" t="s">
        <v>22</v>
      </c>
      <c r="G6" s="36"/>
      <c r="H6" s="36"/>
      <c r="I6" s="36"/>
      <c r="J6" s="38">
        <v>2.0</v>
      </c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7"/>
      <c r="B7" s="41" t="s">
        <v>24</v>
      </c>
      <c r="C7" s="41" t="s">
        <v>21</v>
      </c>
      <c r="D7" s="42">
        <v>100.0</v>
      </c>
      <c r="E7" s="41"/>
      <c r="F7" s="41" t="s">
        <v>22</v>
      </c>
      <c r="G7" s="41"/>
      <c r="H7" s="41"/>
      <c r="I7" s="41"/>
      <c r="J7" s="42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7"/>
      <c r="B8" s="41" t="s">
        <v>25</v>
      </c>
      <c r="C8" s="41" t="s">
        <v>21</v>
      </c>
      <c r="D8" s="42">
        <v>100.0</v>
      </c>
      <c r="E8" s="41"/>
      <c r="F8" s="41" t="s">
        <v>22</v>
      </c>
      <c r="G8" s="41"/>
      <c r="H8" s="41"/>
      <c r="I8" s="41"/>
      <c r="J8" s="42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7"/>
      <c r="B9" s="41" t="s">
        <v>26</v>
      </c>
      <c r="C9" s="41" t="s">
        <v>21</v>
      </c>
      <c r="D9" s="42">
        <v>100.0</v>
      </c>
      <c r="E9" s="41"/>
      <c r="F9" s="41" t="s">
        <v>22</v>
      </c>
      <c r="G9" s="41"/>
      <c r="H9" s="41"/>
      <c r="I9" s="41"/>
      <c r="J9" s="42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7"/>
      <c r="B10" s="41" t="s">
        <v>27</v>
      </c>
      <c r="C10" s="41" t="s">
        <v>21</v>
      </c>
      <c r="D10" s="42">
        <v>100.0</v>
      </c>
      <c r="E10" s="41"/>
      <c r="F10" s="41" t="s">
        <v>22</v>
      </c>
      <c r="G10" s="41"/>
      <c r="H10" s="41"/>
      <c r="I10" s="41"/>
      <c r="J10" s="42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7"/>
      <c r="B11" s="41" t="s">
        <v>28</v>
      </c>
      <c r="C11" s="41" t="s">
        <v>21</v>
      </c>
      <c r="D11" s="42">
        <v>100.0</v>
      </c>
      <c r="E11" s="41"/>
      <c r="F11" s="41" t="s">
        <v>22</v>
      </c>
      <c r="G11" s="41"/>
      <c r="H11" s="41"/>
      <c r="I11" s="41"/>
      <c r="J11" s="42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7"/>
      <c r="B12" s="44">
        <v>1.23456789E8</v>
      </c>
      <c r="C12" s="41" t="s">
        <v>21</v>
      </c>
      <c r="D12" s="42">
        <v>100.0</v>
      </c>
      <c r="E12" s="41"/>
      <c r="F12" s="41" t="s">
        <v>22</v>
      </c>
      <c r="G12" s="41"/>
      <c r="H12" s="41"/>
      <c r="I12" s="41"/>
      <c r="J12" s="42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46" t="s">
        <v>33</v>
      </c>
      <c r="C6" s="50">
        <f>today()-1</f>
        <v>44837</v>
      </c>
      <c r="D6" s="50">
        <f>today()</f>
        <v>44838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25</v>
      </c>
      <c r="C6" s="38">
        <v>100.0</v>
      </c>
      <c r="D6" s="46"/>
      <c r="E6" s="36" t="s">
        <v>22</v>
      </c>
      <c r="F6" s="36" t="s">
        <v>21</v>
      </c>
      <c r="G6" s="36"/>
      <c r="H6" s="38">
        <v>2.0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5.0</v>
      </c>
      <c r="D6" s="13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3" t="s">
        <v>20</v>
      </c>
      <c r="C6" s="38">
        <v>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0"/>
      <c r="B7" s="41" t="s">
        <v>24</v>
      </c>
      <c r="C7" s="54">
        <v>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0"/>
      <c r="B8" s="41" t="s">
        <v>25</v>
      </c>
      <c r="C8" s="54">
        <v>20.0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0"/>
      <c r="B9" s="41" t="s">
        <v>26</v>
      </c>
      <c r="C9" s="54">
        <v>20.0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0"/>
      <c r="B10" s="41" t="s">
        <v>27</v>
      </c>
      <c r="C10" s="54">
        <v>20.0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0"/>
      <c r="B11" s="41" t="s">
        <v>28</v>
      </c>
      <c r="C11" s="54">
        <v>20.0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0"/>
      <c r="B12" s="44">
        <v>1.23456789E8</v>
      </c>
      <c r="C12" s="54">
        <v>20.0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37</v>
      </c>
      <c r="C13" s="54">
        <v>20.0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>
        <f t="shared" ref="B6:C6" si="1">today()-1</f>
        <v>44837</v>
      </c>
      <c r="C6" s="50">
        <f t="shared" si="1"/>
        <v>44837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8">
        <v>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0"/>
      <c r="B7" s="41" t="s">
        <v>24</v>
      </c>
      <c r="C7" s="54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0"/>
      <c r="B8" s="41" t="s">
        <v>25</v>
      </c>
      <c r="C8" s="54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0"/>
      <c r="B9" s="41" t="s">
        <v>26</v>
      </c>
      <c r="C9" s="54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0"/>
      <c r="B10" s="41" t="s">
        <v>27</v>
      </c>
      <c r="C10" s="54">
        <v>10.0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0"/>
      <c r="B11" s="41" t="s">
        <v>28</v>
      </c>
      <c r="C11" s="54">
        <v>10.0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0"/>
      <c r="B12" s="44">
        <v>1.23456789E8</v>
      </c>
      <c r="C12" s="54">
        <v>10.0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37</v>
      </c>
      <c r="C13" s="54">
        <v>10.0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>
        <f t="shared" ref="B6:C6" si="1">today()-1</f>
        <v>44837</v>
      </c>
      <c r="C6" s="50">
        <f t="shared" si="1"/>
        <v>44837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1" t="s">
        <v>43</v>
      </c>
      <c r="C6" s="56" t="s">
        <v>44</v>
      </c>
      <c r="D6" s="46" t="s">
        <v>45</v>
      </c>
      <c r="E6" s="38">
        <v>1.2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>
        <f t="shared" ref="B6:C6" si="1">today()-1</f>
        <v>44837</v>
      </c>
      <c r="C6" s="50">
        <f t="shared" si="1"/>
        <v>44837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7" t="s">
        <v>22</v>
      </c>
      <c r="C6" s="56" t="s">
        <v>43</v>
      </c>
      <c r="D6" s="37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29</v>
      </c>
      <c r="C7" s="35" t="s">
        <v>43</v>
      </c>
      <c r="D7" s="54">
        <v>100000.0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46" t="s">
        <v>22</v>
      </c>
      <c r="C6" s="36"/>
      <c r="D6" s="50">
        <f>today()-3</f>
        <v>44835</v>
      </c>
      <c r="E6" s="50">
        <f>today()</f>
        <v>44838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/>
      <c r="C6" s="36" t="s">
        <v>51</v>
      </c>
      <c r="D6" s="46" t="s">
        <v>20</v>
      </c>
      <c r="E6" s="36"/>
      <c r="F6" s="36" t="s">
        <v>22</v>
      </c>
      <c r="G6" s="36" t="s">
        <v>43</v>
      </c>
      <c r="H6" s="58">
        <v>100000.0</v>
      </c>
      <c r="I6" s="59">
        <f>today()-2</f>
        <v>44836</v>
      </c>
      <c r="J6" s="59">
        <f>today()+8</f>
        <v>44846</v>
      </c>
      <c r="K6" s="59"/>
      <c r="L6" s="59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46"/>
      <c r="C6" s="36" t="s">
        <v>22</v>
      </c>
      <c r="D6" s="50">
        <f>today()</f>
        <v>44838</v>
      </c>
      <c r="E6" s="60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1" t="s">
        <v>55</v>
      </c>
      <c r="C6" s="36" t="s">
        <v>56</v>
      </c>
      <c r="D6" s="46" t="s">
        <v>57</v>
      </c>
      <c r="E6" s="36" t="s">
        <v>58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/>
      <c r="C6" s="36" t="s">
        <v>60</v>
      </c>
      <c r="D6" s="46" t="s">
        <v>61</v>
      </c>
      <c r="E6" s="33" t="b">
        <v>1</v>
      </c>
      <c r="F6" s="35" t="s">
        <v>55</v>
      </c>
      <c r="G6" s="35" t="s">
        <v>62</v>
      </c>
      <c r="H6" s="62" t="s">
        <v>63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63" t="s">
        <v>65</v>
      </c>
      <c r="C6" s="36"/>
      <c r="D6" s="4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4" t="s">
        <v>67</v>
      </c>
      <c r="C6" s="65" t="s">
        <v>68</v>
      </c>
      <c r="D6" s="65" t="s">
        <v>69</v>
      </c>
      <c r="E6" s="65" t="s">
        <v>26</v>
      </c>
      <c r="F6" s="65" t="s">
        <v>70</v>
      </c>
      <c r="G6" s="65" t="s">
        <v>70</v>
      </c>
      <c r="H6" s="65" t="s">
        <v>71</v>
      </c>
      <c r="I6" s="66"/>
      <c r="J6" s="8"/>
      <c r="K6" s="8"/>
      <c r="L6" s="8"/>
      <c r="M6" s="8"/>
      <c r="N6" s="8"/>
      <c r="O6" s="8"/>
    </row>
    <row r="7" ht="15.75" customHeight="1">
      <c r="A7" s="8"/>
      <c r="B7" s="64" t="s">
        <v>67</v>
      </c>
      <c r="C7" s="67" t="s">
        <v>68</v>
      </c>
      <c r="D7" s="67" t="s">
        <v>69</v>
      </c>
      <c r="E7" s="67" t="s">
        <v>25</v>
      </c>
      <c r="F7" s="67" t="s">
        <v>70</v>
      </c>
      <c r="G7" s="67" t="s">
        <v>70</v>
      </c>
      <c r="H7" s="67" t="s">
        <v>72</v>
      </c>
      <c r="I7" s="68"/>
      <c r="J7" s="8"/>
      <c r="K7" s="8"/>
      <c r="L7" s="8"/>
      <c r="M7" s="8"/>
      <c r="N7" s="8"/>
      <c r="O7" s="8"/>
    </row>
    <row r="8" ht="15.75" customHeight="1">
      <c r="A8" s="8"/>
      <c r="B8" s="64" t="s">
        <v>67</v>
      </c>
      <c r="C8" s="65" t="s">
        <v>68</v>
      </c>
      <c r="D8" s="65" t="s">
        <v>69</v>
      </c>
      <c r="E8" s="65" t="s">
        <v>20</v>
      </c>
      <c r="F8" s="65" t="s">
        <v>70</v>
      </c>
      <c r="G8" s="65" t="s">
        <v>70</v>
      </c>
      <c r="H8" s="65" t="s">
        <v>73</v>
      </c>
      <c r="I8" s="66"/>
      <c r="J8" s="8"/>
      <c r="K8" s="8"/>
      <c r="L8" s="8"/>
      <c r="M8" s="8"/>
      <c r="N8" s="8"/>
      <c r="O8" s="8"/>
    </row>
    <row r="9" ht="15.75" customHeight="1">
      <c r="A9" s="8"/>
      <c r="B9" s="64" t="s">
        <v>67</v>
      </c>
      <c r="C9" s="67" t="s">
        <v>68</v>
      </c>
      <c r="D9" s="67" t="s">
        <v>69</v>
      </c>
      <c r="E9" s="67" t="s">
        <v>24</v>
      </c>
      <c r="F9" s="67" t="s">
        <v>70</v>
      </c>
      <c r="G9" s="67" t="s">
        <v>70</v>
      </c>
      <c r="H9" s="67" t="s">
        <v>74</v>
      </c>
      <c r="I9" s="68"/>
      <c r="J9" s="8"/>
      <c r="K9" s="8"/>
      <c r="L9" s="8"/>
      <c r="M9" s="8"/>
      <c r="N9" s="8"/>
      <c r="O9" s="8"/>
    </row>
    <row r="10" ht="15.75" customHeight="1">
      <c r="A10" s="8"/>
      <c r="B10" s="64" t="s">
        <v>67</v>
      </c>
      <c r="C10" s="65" t="s">
        <v>68</v>
      </c>
      <c r="D10" s="65" t="s">
        <v>69</v>
      </c>
      <c r="E10" s="65">
        <v>1.23456789E8</v>
      </c>
      <c r="F10" s="65" t="s">
        <v>70</v>
      </c>
      <c r="G10" s="65" t="s">
        <v>70</v>
      </c>
      <c r="H10" s="65" t="s">
        <v>75</v>
      </c>
      <c r="I10" s="66"/>
      <c r="J10" s="8"/>
      <c r="K10" s="8"/>
      <c r="L10" s="8"/>
      <c r="M10" s="8"/>
      <c r="N10" s="8"/>
      <c r="O10" s="8"/>
    </row>
    <row r="11" ht="15.75" customHeight="1">
      <c r="A11" s="8"/>
      <c r="B11" s="64" t="s">
        <v>67</v>
      </c>
      <c r="C11" s="67" t="s">
        <v>76</v>
      </c>
      <c r="D11" s="67" t="s">
        <v>77</v>
      </c>
      <c r="E11" s="67" t="s">
        <v>78</v>
      </c>
      <c r="F11" s="67" t="s">
        <v>70</v>
      </c>
      <c r="G11" s="67" t="s">
        <v>70</v>
      </c>
      <c r="H11" s="67" t="s">
        <v>79</v>
      </c>
      <c r="I11" s="68"/>
      <c r="J11" s="8"/>
      <c r="K11" s="8"/>
      <c r="L11" s="8"/>
      <c r="M11" s="8"/>
      <c r="N11" s="8"/>
      <c r="O11" s="8"/>
    </row>
    <row r="12" ht="15.75" customHeight="1">
      <c r="A12" s="8"/>
      <c r="B12" s="64" t="s">
        <v>67</v>
      </c>
      <c r="C12" s="65" t="s">
        <v>76</v>
      </c>
      <c r="D12" s="65" t="s">
        <v>77</v>
      </c>
      <c r="E12" s="65" t="s">
        <v>80</v>
      </c>
      <c r="F12" s="65" t="s">
        <v>70</v>
      </c>
      <c r="G12" s="65" t="s">
        <v>70</v>
      </c>
      <c r="H12" s="65" t="s">
        <v>81</v>
      </c>
      <c r="I12" s="66"/>
      <c r="J12" s="8"/>
      <c r="K12" s="8"/>
      <c r="L12" s="8"/>
      <c r="M12" s="8"/>
      <c r="N12" s="8"/>
      <c r="O12" s="8"/>
    </row>
    <row r="13" ht="15.75" customHeight="1">
      <c r="A13" s="8"/>
      <c r="B13" s="64" t="s">
        <v>67</v>
      </c>
      <c r="C13" s="67" t="s">
        <v>76</v>
      </c>
      <c r="D13" s="67" t="s">
        <v>77</v>
      </c>
      <c r="E13" s="67" t="s">
        <v>82</v>
      </c>
      <c r="F13" s="67" t="s">
        <v>70</v>
      </c>
      <c r="G13" s="67" t="s">
        <v>70</v>
      </c>
      <c r="H13" s="67" t="s">
        <v>83</v>
      </c>
      <c r="I13" s="68"/>
      <c r="J13" s="8"/>
      <c r="K13" s="8"/>
      <c r="L13" s="8"/>
      <c r="M13" s="8"/>
      <c r="N13" s="8"/>
      <c r="O13" s="8"/>
    </row>
    <row r="14" ht="15.75" customHeight="1">
      <c r="A14" s="8"/>
      <c r="B14" s="64" t="s">
        <v>67</v>
      </c>
      <c r="C14" s="65" t="s">
        <v>76</v>
      </c>
      <c r="D14" s="65" t="s">
        <v>77</v>
      </c>
      <c r="E14" s="65" t="s">
        <v>84</v>
      </c>
      <c r="F14" s="65" t="s">
        <v>70</v>
      </c>
      <c r="G14" s="65" t="s">
        <v>70</v>
      </c>
      <c r="H14" s="65" t="s">
        <v>85</v>
      </c>
      <c r="I14" s="66"/>
      <c r="J14" s="8"/>
      <c r="K14" s="8"/>
      <c r="L14" s="8"/>
      <c r="M14" s="8"/>
      <c r="N14" s="8"/>
      <c r="O14" s="8"/>
    </row>
    <row r="15" ht="15.75" customHeight="1">
      <c r="A15" s="8"/>
      <c r="B15" s="64" t="s">
        <v>67</v>
      </c>
      <c r="C15" s="67" t="s">
        <v>76</v>
      </c>
      <c r="D15" s="67" t="s">
        <v>77</v>
      </c>
      <c r="E15" s="67" t="s">
        <v>86</v>
      </c>
      <c r="F15" s="67" t="s">
        <v>70</v>
      </c>
      <c r="G15" s="67" t="s">
        <v>70</v>
      </c>
      <c r="H15" s="67" t="s">
        <v>87</v>
      </c>
      <c r="I15" s="68"/>
      <c r="J15" s="8"/>
      <c r="K15" s="8"/>
      <c r="L15" s="8"/>
      <c r="M15" s="8"/>
      <c r="N15" s="8"/>
      <c r="O15" s="8"/>
    </row>
    <row r="16" ht="15.75" customHeight="1">
      <c r="A16" s="8"/>
      <c r="B16" s="64" t="s">
        <v>67</v>
      </c>
      <c r="C16" s="65" t="s">
        <v>88</v>
      </c>
      <c r="D16" s="65" t="s">
        <v>89</v>
      </c>
      <c r="E16" s="65" t="s">
        <v>90</v>
      </c>
      <c r="F16" s="65" t="s">
        <v>70</v>
      </c>
      <c r="G16" s="65" t="s">
        <v>70</v>
      </c>
      <c r="H16" s="65" t="s">
        <v>91</v>
      </c>
      <c r="I16" s="66"/>
      <c r="J16" s="8"/>
      <c r="K16" s="8"/>
      <c r="L16" s="8"/>
      <c r="M16" s="8"/>
      <c r="N16" s="8"/>
      <c r="O16" s="8"/>
    </row>
    <row r="17" ht="15.75" customHeight="1">
      <c r="A17" s="8"/>
      <c r="B17" s="64" t="s">
        <v>67</v>
      </c>
      <c r="C17" s="67" t="s">
        <v>88</v>
      </c>
      <c r="D17" s="67" t="s">
        <v>89</v>
      </c>
      <c r="E17" s="67" t="s">
        <v>92</v>
      </c>
      <c r="F17" s="67" t="s">
        <v>70</v>
      </c>
      <c r="G17" s="67" t="s">
        <v>70</v>
      </c>
      <c r="H17" s="67" t="s">
        <v>93</v>
      </c>
      <c r="I17" s="68"/>
      <c r="J17" s="8"/>
      <c r="K17" s="8"/>
      <c r="L17" s="8"/>
      <c r="M17" s="8"/>
      <c r="N17" s="8"/>
      <c r="O17" s="8"/>
    </row>
    <row r="18" ht="15.75" customHeight="1">
      <c r="A18" s="8"/>
      <c r="B18" s="64" t="s">
        <v>67</v>
      </c>
      <c r="C18" s="65" t="s">
        <v>88</v>
      </c>
      <c r="D18" s="65" t="s">
        <v>89</v>
      </c>
      <c r="E18" s="65" t="s">
        <v>94</v>
      </c>
      <c r="F18" s="65" t="s">
        <v>70</v>
      </c>
      <c r="G18" s="65" t="s">
        <v>70</v>
      </c>
      <c r="H18" s="65" t="s">
        <v>95</v>
      </c>
      <c r="I18" s="66"/>
      <c r="J18" s="8"/>
      <c r="K18" s="8"/>
      <c r="L18" s="8"/>
      <c r="M18" s="8"/>
      <c r="N18" s="8"/>
      <c r="O18" s="8"/>
    </row>
    <row r="19" ht="15.75" customHeight="1">
      <c r="A19" s="8"/>
      <c r="B19" s="64" t="s">
        <v>67</v>
      </c>
      <c r="C19" s="67" t="s">
        <v>88</v>
      </c>
      <c r="D19" s="67" t="s">
        <v>89</v>
      </c>
      <c r="E19" s="67" t="s">
        <v>96</v>
      </c>
      <c r="F19" s="67" t="s">
        <v>70</v>
      </c>
      <c r="G19" s="67" t="s">
        <v>70</v>
      </c>
      <c r="H19" s="67" t="s">
        <v>97</v>
      </c>
      <c r="I19" s="68"/>
      <c r="J19" s="8"/>
      <c r="K19" s="8"/>
      <c r="L19" s="8"/>
      <c r="M19" s="8"/>
      <c r="N19" s="8"/>
      <c r="O19" s="8"/>
    </row>
    <row r="20" ht="15.75" customHeight="1">
      <c r="A20" s="8"/>
      <c r="B20" s="64" t="s">
        <v>67</v>
      </c>
      <c r="C20" s="65" t="s">
        <v>88</v>
      </c>
      <c r="D20" s="65" t="s">
        <v>89</v>
      </c>
      <c r="E20" s="65" t="s">
        <v>98</v>
      </c>
      <c r="F20" s="65" t="s">
        <v>70</v>
      </c>
      <c r="G20" s="65" t="s">
        <v>70</v>
      </c>
      <c r="H20" s="65" t="s">
        <v>99</v>
      </c>
      <c r="I20" s="66"/>
      <c r="J20" s="8"/>
      <c r="K20" s="8"/>
      <c r="L20" s="8"/>
      <c r="M20" s="8"/>
      <c r="N20" s="8"/>
      <c r="O20" s="8"/>
    </row>
    <row r="21" ht="15.75" customHeight="1">
      <c r="A21" s="8"/>
      <c r="B21" s="64" t="s">
        <v>67</v>
      </c>
      <c r="C21" s="67" t="s">
        <v>100</v>
      </c>
      <c r="D21" s="67" t="s">
        <v>101</v>
      </c>
      <c r="E21" s="67" t="s">
        <v>25</v>
      </c>
      <c r="F21" s="67" t="s">
        <v>70</v>
      </c>
      <c r="G21" s="67" t="s">
        <v>70</v>
      </c>
      <c r="H21" s="67" t="s">
        <v>102</v>
      </c>
      <c r="I21" s="68"/>
      <c r="J21" s="8"/>
      <c r="K21" s="8"/>
      <c r="L21" s="8"/>
      <c r="M21" s="8"/>
      <c r="N21" s="8"/>
      <c r="O21" s="8"/>
    </row>
    <row r="22" ht="15.75" customHeight="1">
      <c r="A22" s="8"/>
      <c r="B22" s="64" t="s">
        <v>67</v>
      </c>
      <c r="C22" s="65" t="s">
        <v>100</v>
      </c>
      <c r="D22" s="65" t="s">
        <v>101</v>
      </c>
      <c r="E22" s="65" t="s">
        <v>20</v>
      </c>
      <c r="F22" s="65" t="s">
        <v>70</v>
      </c>
      <c r="G22" s="65" t="s">
        <v>70</v>
      </c>
      <c r="H22" s="65" t="s">
        <v>103</v>
      </c>
      <c r="I22" s="66"/>
      <c r="J22" s="8"/>
      <c r="K22" s="8"/>
      <c r="L22" s="8"/>
      <c r="M22" s="8"/>
      <c r="N22" s="8"/>
      <c r="O22" s="8"/>
    </row>
    <row r="23" ht="15.75" customHeight="1">
      <c r="A23" s="8"/>
      <c r="B23" s="64" t="s">
        <v>67</v>
      </c>
      <c r="C23" s="67" t="s">
        <v>100</v>
      </c>
      <c r="D23" s="67" t="s">
        <v>101</v>
      </c>
      <c r="E23" s="67">
        <v>1.23456789E8</v>
      </c>
      <c r="F23" s="67" t="s">
        <v>70</v>
      </c>
      <c r="G23" s="67" t="s">
        <v>70</v>
      </c>
      <c r="H23" s="67" t="s">
        <v>104</v>
      </c>
      <c r="I23" s="68"/>
      <c r="J23" s="8"/>
      <c r="K23" s="8"/>
      <c r="L23" s="8"/>
      <c r="M23" s="8"/>
      <c r="N23" s="8"/>
      <c r="O23" s="8"/>
    </row>
    <row r="24" ht="15.75" customHeight="1">
      <c r="A24" s="8"/>
      <c r="B24" s="64" t="s">
        <v>67</v>
      </c>
      <c r="C24" s="65" t="s">
        <v>100</v>
      </c>
      <c r="D24" s="65" t="s">
        <v>101</v>
      </c>
      <c r="E24" s="65" t="s">
        <v>26</v>
      </c>
      <c r="F24" s="65" t="s">
        <v>70</v>
      </c>
      <c r="G24" s="65" t="s">
        <v>70</v>
      </c>
      <c r="H24" s="65" t="s">
        <v>105</v>
      </c>
      <c r="I24" s="66"/>
      <c r="J24" s="8"/>
      <c r="K24" s="8"/>
      <c r="L24" s="8"/>
      <c r="M24" s="8"/>
      <c r="N24" s="8"/>
      <c r="O24" s="8"/>
    </row>
    <row r="25" ht="15.75" customHeight="1">
      <c r="A25" s="8"/>
      <c r="B25" s="64" t="s">
        <v>67</v>
      </c>
      <c r="C25" s="67" t="s">
        <v>100</v>
      </c>
      <c r="D25" s="67" t="s">
        <v>101</v>
      </c>
      <c r="E25" s="67" t="s">
        <v>24</v>
      </c>
      <c r="F25" s="67" t="s">
        <v>70</v>
      </c>
      <c r="G25" s="67" t="s">
        <v>70</v>
      </c>
      <c r="H25" s="67" t="s">
        <v>106</v>
      </c>
      <c r="I25" s="6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9" t="s">
        <v>22</v>
      </c>
      <c r="C6" s="69" t="s">
        <v>21</v>
      </c>
      <c r="D6" s="69" t="s">
        <v>20</v>
      </c>
      <c r="E6" s="70">
        <v>193.0</v>
      </c>
      <c r="F6" s="70">
        <v>10.0</v>
      </c>
      <c r="G6" s="71">
        <v>1930.0</v>
      </c>
      <c r="H6" s="8"/>
      <c r="I6" s="13" t="s">
        <v>108</v>
      </c>
      <c r="J6" s="8"/>
      <c r="K6" s="8"/>
      <c r="L6" s="8"/>
      <c r="M6" s="8"/>
      <c r="N6" s="8"/>
      <c r="O6" s="8"/>
    </row>
    <row r="7" ht="15.75" customHeight="1">
      <c r="A7" s="8"/>
      <c r="B7" s="69" t="s">
        <v>22</v>
      </c>
      <c r="C7" s="69" t="s">
        <v>21</v>
      </c>
      <c r="D7" s="69" t="s">
        <v>24</v>
      </c>
      <c r="E7" s="70">
        <v>193.0</v>
      </c>
      <c r="F7" s="70">
        <v>10.0</v>
      </c>
      <c r="G7" s="71">
        <v>1608.0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9" t="s">
        <v>22</v>
      </c>
      <c r="C8" s="69" t="s">
        <v>21</v>
      </c>
      <c r="D8" s="69" t="s">
        <v>25</v>
      </c>
      <c r="E8" s="70">
        <v>193.0</v>
      </c>
      <c r="F8" s="70">
        <v>10.0</v>
      </c>
      <c r="G8" s="71">
        <v>1930.0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9" t="s">
        <v>22</v>
      </c>
      <c r="C9" s="69" t="s">
        <v>21</v>
      </c>
      <c r="D9" s="69" t="s">
        <v>26</v>
      </c>
      <c r="E9" s="70">
        <v>193.0</v>
      </c>
      <c r="F9" s="70">
        <v>10.0</v>
      </c>
      <c r="G9" s="71">
        <v>1930.0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9" t="s">
        <v>22</v>
      </c>
      <c r="C10" s="69" t="s">
        <v>21</v>
      </c>
      <c r="D10" s="69">
        <v>1.23456789E8</v>
      </c>
      <c r="E10" s="70">
        <v>193.0</v>
      </c>
      <c r="F10" s="70">
        <v>10.0</v>
      </c>
      <c r="G10" s="71">
        <v>1930.0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1" t="s">
        <v>55</v>
      </c>
      <c r="C6" s="36" t="s">
        <v>109</v>
      </c>
      <c r="D6" s="46" t="s">
        <v>57</v>
      </c>
      <c r="E6" s="36" t="s">
        <v>58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/>
      <c r="C6" s="36" t="s">
        <v>60</v>
      </c>
      <c r="D6" s="46" t="s">
        <v>61</v>
      </c>
      <c r="E6" s="33" t="b">
        <v>1</v>
      </c>
      <c r="F6" s="35" t="s">
        <v>55</v>
      </c>
      <c r="G6" s="35" t="s">
        <v>62</v>
      </c>
      <c r="H6" s="62" t="s">
        <v>63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63" t="s">
        <v>65</v>
      </c>
      <c r="C6" s="36"/>
      <c r="D6" s="4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4" t="s">
        <v>67</v>
      </c>
      <c r="C6" s="65" t="s">
        <v>68</v>
      </c>
      <c r="D6" s="65" t="s">
        <v>69</v>
      </c>
      <c r="E6" s="65" t="s">
        <v>25</v>
      </c>
      <c r="F6" s="65" t="s">
        <v>70</v>
      </c>
      <c r="G6" s="65" t="s">
        <v>70</v>
      </c>
      <c r="H6" s="65" t="s">
        <v>110</v>
      </c>
      <c r="I6" s="66"/>
      <c r="J6" s="8"/>
      <c r="K6" s="8"/>
      <c r="L6" s="8"/>
      <c r="M6" s="8"/>
      <c r="N6" s="8"/>
      <c r="O6" s="8"/>
    </row>
    <row r="7" ht="15.75" customHeight="1">
      <c r="A7" s="8"/>
      <c r="B7" s="64" t="s">
        <v>67</v>
      </c>
      <c r="C7" s="67" t="s">
        <v>68</v>
      </c>
      <c r="D7" s="67" t="s">
        <v>69</v>
      </c>
      <c r="E7" s="67" t="s">
        <v>20</v>
      </c>
      <c r="F7" s="67" t="s">
        <v>70</v>
      </c>
      <c r="G7" s="67" t="s">
        <v>70</v>
      </c>
      <c r="H7" s="67" t="s">
        <v>111</v>
      </c>
      <c r="I7" s="68"/>
      <c r="J7" s="8"/>
      <c r="K7" s="8"/>
      <c r="L7" s="8"/>
      <c r="M7" s="8"/>
      <c r="N7" s="8"/>
      <c r="O7" s="8"/>
    </row>
    <row r="8" ht="15.75" customHeight="1">
      <c r="A8" s="8"/>
      <c r="B8" s="64" t="s">
        <v>67</v>
      </c>
      <c r="C8" s="65" t="s">
        <v>68</v>
      </c>
      <c r="D8" s="65" t="s">
        <v>69</v>
      </c>
      <c r="E8" s="65" t="s">
        <v>20</v>
      </c>
      <c r="F8" s="65" t="s">
        <v>70</v>
      </c>
      <c r="G8" s="65" t="s">
        <v>70</v>
      </c>
      <c r="H8" s="65" t="s">
        <v>112</v>
      </c>
      <c r="I8" s="66"/>
      <c r="J8" s="8"/>
      <c r="K8" s="8"/>
      <c r="L8" s="8"/>
      <c r="M8" s="8"/>
      <c r="N8" s="8"/>
      <c r="O8" s="8"/>
    </row>
    <row r="9" ht="15.75" customHeight="1">
      <c r="A9" s="8"/>
      <c r="B9" s="64" t="s">
        <v>67</v>
      </c>
      <c r="C9" s="67" t="s">
        <v>68</v>
      </c>
      <c r="D9" s="67" t="s">
        <v>69</v>
      </c>
      <c r="E9" s="67" t="s">
        <v>24</v>
      </c>
      <c r="F9" s="67" t="s">
        <v>70</v>
      </c>
      <c r="G9" s="67" t="s">
        <v>70</v>
      </c>
      <c r="H9" s="67" t="s">
        <v>113</v>
      </c>
      <c r="I9" s="68"/>
      <c r="J9" s="8"/>
      <c r="K9" s="8"/>
      <c r="L9" s="8"/>
      <c r="M9" s="8"/>
      <c r="N9" s="8"/>
      <c r="O9" s="8"/>
    </row>
    <row r="10" ht="15.75" customHeight="1">
      <c r="A10" s="8"/>
      <c r="B10" s="64" t="s">
        <v>67</v>
      </c>
      <c r="C10" s="65" t="s">
        <v>68</v>
      </c>
      <c r="D10" s="65" t="s">
        <v>69</v>
      </c>
      <c r="E10" s="65">
        <v>1.23456789E8</v>
      </c>
      <c r="F10" s="65" t="s">
        <v>70</v>
      </c>
      <c r="G10" s="65" t="s">
        <v>70</v>
      </c>
      <c r="H10" s="65" t="s">
        <v>114</v>
      </c>
      <c r="I10" s="66"/>
      <c r="J10" s="8"/>
      <c r="K10" s="8"/>
      <c r="L10" s="8"/>
      <c r="M10" s="8"/>
      <c r="N10" s="8"/>
      <c r="O10" s="8"/>
    </row>
    <row r="11" ht="15.75" customHeight="1">
      <c r="A11" s="8"/>
      <c r="B11" s="64" t="s">
        <v>67</v>
      </c>
      <c r="C11" s="67" t="s">
        <v>68</v>
      </c>
      <c r="D11" s="67" t="s">
        <v>69</v>
      </c>
      <c r="E11" s="67" t="s">
        <v>26</v>
      </c>
      <c r="F11" s="67" t="s">
        <v>70</v>
      </c>
      <c r="G11" s="67" t="s">
        <v>70</v>
      </c>
      <c r="H11" s="67" t="s">
        <v>115</v>
      </c>
      <c r="I11" s="68"/>
      <c r="J11" s="8"/>
      <c r="K11" s="8"/>
      <c r="L11" s="8"/>
      <c r="M11" s="8"/>
      <c r="N11" s="8"/>
      <c r="O11" s="8"/>
    </row>
    <row r="12" ht="15.75" customHeight="1">
      <c r="A12" s="8"/>
      <c r="B12" s="64" t="s">
        <v>67</v>
      </c>
      <c r="C12" s="65" t="s">
        <v>76</v>
      </c>
      <c r="D12" s="65" t="s">
        <v>77</v>
      </c>
      <c r="E12" s="65" t="s">
        <v>80</v>
      </c>
      <c r="F12" s="65" t="s">
        <v>70</v>
      </c>
      <c r="G12" s="65" t="s">
        <v>70</v>
      </c>
      <c r="H12" s="65" t="s">
        <v>116</v>
      </c>
      <c r="I12" s="66"/>
      <c r="J12" s="8"/>
      <c r="K12" s="8"/>
      <c r="L12" s="8"/>
      <c r="M12" s="8"/>
      <c r="N12" s="8"/>
      <c r="O12" s="8"/>
    </row>
    <row r="13" ht="15.75" customHeight="1">
      <c r="A13" s="8"/>
      <c r="B13" s="64" t="s">
        <v>67</v>
      </c>
      <c r="C13" s="67" t="s">
        <v>76</v>
      </c>
      <c r="D13" s="67" t="s">
        <v>77</v>
      </c>
      <c r="E13" s="67" t="s">
        <v>84</v>
      </c>
      <c r="F13" s="67" t="s">
        <v>70</v>
      </c>
      <c r="G13" s="67" t="s">
        <v>70</v>
      </c>
      <c r="H13" s="67" t="s">
        <v>117</v>
      </c>
      <c r="I13" s="68"/>
      <c r="J13" s="8"/>
      <c r="K13" s="8"/>
      <c r="L13" s="8"/>
      <c r="M13" s="8"/>
      <c r="N13" s="8"/>
      <c r="O13" s="8"/>
    </row>
    <row r="14" ht="15.75" customHeight="1">
      <c r="A14" s="8"/>
      <c r="B14" s="64" t="s">
        <v>67</v>
      </c>
      <c r="C14" s="65" t="s">
        <v>76</v>
      </c>
      <c r="D14" s="65" t="s">
        <v>77</v>
      </c>
      <c r="E14" s="65" t="s">
        <v>82</v>
      </c>
      <c r="F14" s="65" t="s">
        <v>70</v>
      </c>
      <c r="G14" s="65" t="s">
        <v>70</v>
      </c>
      <c r="H14" s="65" t="s">
        <v>118</v>
      </c>
      <c r="I14" s="66"/>
      <c r="J14" s="8"/>
      <c r="K14" s="8"/>
      <c r="L14" s="8"/>
      <c r="M14" s="8"/>
      <c r="N14" s="8"/>
      <c r="O14" s="8"/>
    </row>
    <row r="15" ht="15.75" customHeight="1">
      <c r="A15" s="8"/>
      <c r="B15" s="64" t="s">
        <v>67</v>
      </c>
      <c r="C15" s="67" t="s">
        <v>76</v>
      </c>
      <c r="D15" s="67" t="s">
        <v>77</v>
      </c>
      <c r="E15" s="67" t="s">
        <v>78</v>
      </c>
      <c r="F15" s="67" t="s">
        <v>70</v>
      </c>
      <c r="G15" s="67" t="s">
        <v>70</v>
      </c>
      <c r="H15" s="67" t="s">
        <v>119</v>
      </c>
      <c r="I15" s="68"/>
      <c r="J15" s="8"/>
      <c r="K15" s="8"/>
      <c r="L15" s="8"/>
      <c r="M15" s="8"/>
      <c r="N15" s="8"/>
      <c r="O15" s="8"/>
    </row>
    <row r="16" ht="15.75" customHeight="1">
      <c r="A16" s="8"/>
      <c r="B16" s="64" t="s">
        <v>67</v>
      </c>
      <c r="C16" s="65" t="s">
        <v>76</v>
      </c>
      <c r="D16" s="65" t="s">
        <v>77</v>
      </c>
      <c r="E16" s="65" t="s">
        <v>86</v>
      </c>
      <c r="F16" s="65" t="s">
        <v>70</v>
      </c>
      <c r="G16" s="65" t="s">
        <v>70</v>
      </c>
      <c r="H16" s="65" t="s">
        <v>120</v>
      </c>
      <c r="I16" s="66"/>
      <c r="J16" s="8"/>
      <c r="K16" s="8"/>
      <c r="L16" s="8"/>
      <c r="M16" s="8"/>
      <c r="N16" s="8"/>
      <c r="O16" s="8"/>
    </row>
    <row r="17" ht="15.75" customHeight="1">
      <c r="A17" s="8"/>
      <c r="B17" s="64" t="s">
        <v>67</v>
      </c>
      <c r="C17" s="67" t="s">
        <v>76</v>
      </c>
      <c r="D17" s="67" t="s">
        <v>77</v>
      </c>
      <c r="E17" s="67" t="s">
        <v>121</v>
      </c>
      <c r="F17" s="67" t="s">
        <v>70</v>
      </c>
      <c r="G17" s="67" t="s">
        <v>70</v>
      </c>
      <c r="H17" s="67" t="s">
        <v>122</v>
      </c>
      <c r="I17" s="68"/>
      <c r="J17" s="8"/>
      <c r="K17" s="8"/>
      <c r="L17" s="8"/>
      <c r="M17" s="8"/>
      <c r="N17" s="8"/>
      <c r="O17" s="8"/>
    </row>
    <row r="18" ht="15.75" customHeight="1">
      <c r="A18" s="8"/>
      <c r="B18" s="64" t="s">
        <v>67</v>
      </c>
      <c r="C18" s="65" t="s">
        <v>88</v>
      </c>
      <c r="D18" s="65" t="s">
        <v>89</v>
      </c>
      <c r="E18" s="65" t="s">
        <v>96</v>
      </c>
      <c r="F18" s="65" t="s">
        <v>70</v>
      </c>
      <c r="G18" s="65" t="s">
        <v>70</v>
      </c>
      <c r="H18" s="65" t="s">
        <v>123</v>
      </c>
      <c r="I18" s="66"/>
      <c r="J18" s="8"/>
      <c r="K18" s="8"/>
      <c r="L18" s="8"/>
      <c r="M18" s="8"/>
      <c r="N18" s="8"/>
      <c r="O18" s="8"/>
    </row>
    <row r="19" ht="15.75" customHeight="1">
      <c r="A19" s="8"/>
      <c r="B19" s="64" t="s">
        <v>67</v>
      </c>
      <c r="C19" s="67" t="s">
        <v>88</v>
      </c>
      <c r="D19" s="67" t="s">
        <v>89</v>
      </c>
      <c r="E19" s="67" t="s">
        <v>94</v>
      </c>
      <c r="F19" s="67" t="s">
        <v>70</v>
      </c>
      <c r="G19" s="67" t="s">
        <v>70</v>
      </c>
      <c r="H19" s="67" t="s">
        <v>124</v>
      </c>
      <c r="I19" s="68"/>
      <c r="J19" s="8"/>
      <c r="K19" s="8"/>
      <c r="L19" s="8"/>
      <c r="M19" s="8"/>
      <c r="N19" s="8"/>
      <c r="O19" s="8"/>
    </row>
    <row r="20" ht="15.75" customHeight="1">
      <c r="A20" s="8"/>
      <c r="B20" s="64" t="s">
        <v>67</v>
      </c>
      <c r="C20" s="65" t="s">
        <v>88</v>
      </c>
      <c r="D20" s="65" t="s">
        <v>89</v>
      </c>
      <c r="E20" s="65" t="s">
        <v>90</v>
      </c>
      <c r="F20" s="65" t="s">
        <v>70</v>
      </c>
      <c r="G20" s="65" t="s">
        <v>70</v>
      </c>
      <c r="H20" s="65" t="s">
        <v>125</v>
      </c>
      <c r="I20" s="66"/>
      <c r="J20" s="8"/>
      <c r="K20" s="8"/>
      <c r="L20" s="8"/>
      <c r="M20" s="8"/>
      <c r="N20" s="8"/>
      <c r="O20" s="8"/>
    </row>
    <row r="21" ht="15.75" customHeight="1">
      <c r="A21" s="8"/>
      <c r="B21" s="64" t="s">
        <v>67</v>
      </c>
      <c r="C21" s="67" t="s">
        <v>88</v>
      </c>
      <c r="D21" s="67" t="s">
        <v>89</v>
      </c>
      <c r="E21" s="67" t="s">
        <v>98</v>
      </c>
      <c r="F21" s="67" t="s">
        <v>70</v>
      </c>
      <c r="G21" s="67" t="s">
        <v>70</v>
      </c>
      <c r="H21" s="67" t="s">
        <v>126</v>
      </c>
      <c r="I21" s="68"/>
      <c r="J21" s="8"/>
      <c r="K21" s="8"/>
      <c r="L21" s="8"/>
      <c r="M21" s="8"/>
      <c r="N21" s="8"/>
      <c r="O21" s="8"/>
    </row>
    <row r="22" ht="15.75" customHeight="1">
      <c r="A22" s="8"/>
      <c r="B22" s="64" t="s">
        <v>67</v>
      </c>
      <c r="C22" s="65" t="s">
        <v>88</v>
      </c>
      <c r="D22" s="65" t="s">
        <v>89</v>
      </c>
      <c r="E22" s="65" t="s">
        <v>92</v>
      </c>
      <c r="F22" s="65" t="s">
        <v>70</v>
      </c>
      <c r="G22" s="65" t="s">
        <v>70</v>
      </c>
      <c r="H22" s="65" t="s">
        <v>127</v>
      </c>
      <c r="I22" s="66"/>
      <c r="J22" s="8"/>
      <c r="K22" s="8"/>
      <c r="L22" s="8"/>
      <c r="M22" s="8"/>
      <c r="N22" s="8"/>
      <c r="O22" s="8"/>
    </row>
    <row r="23" ht="15.75" customHeight="1">
      <c r="A23" s="8"/>
      <c r="B23" s="64" t="s">
        <v>67</v>
      </c>
      <c r="C23" s="67" t="s">
        <v>100</v>
      </c>
      <c r="D23" s="67" t="s">
        <v>101</v>
      </c>
      <c r="E23" s="67" t="s">
        <v>20</v>
      </c>
      <c r="F23" s="67" t="s">
        <v>70</v>
      </c>
      <c r="G23" s="67" t="s">
        <v>70</v>
      </c>
      <c r="H23" s="67" t="s">
        <v>128</v>
      </c>
      <c r="I23" s="68"/>
      <c r="J23" s="8"/>
      <c r="K23" s="8"/>
      <c r="L23" s="8"/>
      <c r="M23" s="8"/>
      <c r="N23" s="8"/>
      <c r="O23" s="8"/>
    </row>
    <row r="24" ht="15.75" customHeight="1">
      <c r="A24" s="8"/>
      <c r="B24" s="64" t="s">
        <v>67</v>
      </c>
      <c r="C24" s="65" t="s">
        <v>100</v>
      </c>
      <c r="D24" s="65" t="s">
        <v>101</v>
      </c>
      <c r="E24" s="65" t="s">
        <v>26</v>
      </c>
      <c r="F24" s="65" t="s">
        <v>70</v>
      </c>
      <c r="G24" s="65" t="s">
        <v>70</v>
      </c>
      <c r="H24" s="65" t="s">
        <v>129</v>
      </c>
      <c r="I24" s="66"/>
      <c r="J24" s="8"/>
      <c r="K24" s="8"/>
      <c r="L24" s="8"/>
      <c r="M24" s="8"/>
      <c r="N24" s="8"/>
      <c r="O24" s="8"/>
    </row>
    <row r="25" ht="15.75" customHeight="1">
      <c r="A25" s="8"/>
      <c r="B25" s="64" t="s">
        <v>67</v>
      </c>
      <c r="C25" s="67" t="s">
        <v>100</v>
      </c>
      <c r="D25" s="67" t="s">
        <v>101</v>
      </c>
      <c r="E25" s="67">
        <v>1.23456789E8</v>
      </c>
      <c r="F25" s="67" t="s">
        <v>70</v>
      </c>
      <c r="G25" s="67" t="s">
        <v>70</v>
      </c>
      <c r="H25" s="67" t="s">
        <v>130</v>
      </c>
      <c r="I25" s="68"/>
      <c r="J25" s="8"/>
      <c r="K25" s="8"/>
      <c r="L25" s="8"/>
      <c r="M25" s="8"/>
      <c r="N25" s="8"/>
      <c r="O25" s="8"/>
    </row>
    <row r="26" ht="15.75" customHeight="1">
      <c r="A26" s="8"/>
      <c r="B26" s="64" t="s">
        <v>67</v>
      </c>
      <c r="C26" s="65" t="s">
        <v>100</v>
      </c>
      <c r="D26" s="65" t="s">
        <v>101</v>
      </c>
      <c r="E26" s="65" t="s">
        <v>25</v>
      </c>
      <c r="F26" s="65" t="s">
        <v>70</v>
      </c>
      <c r="G26" s="65" t="s">
        <v>70</v>
      </c>
      <c r="H26" s="65" t="s">
        <v>131</v>
      </c>
      <c r="I26" s="66"/>
      <c r="J26" s="8"/>
      <c r="K26" s="8"/>
      <c r="L26" s="8"/>
      <c r="M26" s="8"/>
      <c r="N26" s="8"/>
      <c r="O26" s="8"/>
    </row>
    <row r="27" ht="15.75" customHeight="1">
      <c r="B27" s="64" t="s">
        <v>67</v>
      </c>
      <c r="C27" s="67" t="s">
        <v>100</v>
      </c>
      <c r="D27" s="67" t="s">
        <v>101</v>
      </c>
      <c r="E27" s="67" t="s">
        <v>24</v>
      </c>
      <c r="F27" s="67" t="s">
        <v>70</v>
      </c>
      <c r="G27" s="67" t="s">
        <v>70</v>
      </c>
      <c r="H27" s="67" t="s">
        <v>132</v>
      </c>
      <c r="I27" s="6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72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72" t="b">
        <v>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9" t="s">
        <v>22</v>
      </c>
      <c r="C6" s="69" t="s">
        <v>21</v>
      </c>
      <c r="D6" s="69" t="s">
        <v>20</v>
      </c>
      <c r="E6" s="70">
        <v>186.0</v>
      </c>
      <c r="F6" s="70">
        <v>20.0</v>
      </c>
      <c r="G6" s="71">
        <v>3720.0</v>
      </c>
      <c r="H6" s="8"/>
      <c r="I6" s="13" t="s">
        <v>108</v>
      </c>
      <c r="J6" s="8"/>
      <c r="K6" s="8"/>
      <c r="L6" s="8"/>
      <c r="M6" s="8"/>
      <c r="N6" s="8"/>
      <c r="O6" s="8"/>
    </row>
    <row r="7" ht="15.75" customHeight="1">
      <c r="A7" s="8"/>
      <c r="B7" s="69" t="s">
        <v>22</v>
      </c>
      <c r="C7" s="69" t="s">
        <v>21</v>
      </c>
      <c r="D7" s="69" t="s">
        <v>24</v>
      </c>
      <c r="E7" s="70">
        <v>186.0</v>
      </c>
      <c r="F7" s="70">
        <v>20.0</v>
      </c>
      <c r="G7" s="71">
        <v>3100.0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9" t="s">
        <v>22</v>
      </c>
      <c r="C8" s="69" t="s">
        <v>21</v>
      </c>
      <c r="D8" s="69" t="s">
        <v>25</v>
      </c>
      <c r="E8" s="70">
        <v>186.0</v>
      </c>
      <c r="F8" s="70">
        <v>20.0</v>
      </c>
      <c r="G8" s="71">
        <v>3720.0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9" t="s">
        <v>22</v>
      </c>
      <c r="C9" s="69" t="s">
        <v>21</v>
      </c>
      <c r="D9" s="69" t="s">
        <v>26</v>
      </c>
      <c r="E9" s="70">
        <v>186.0</v>
      </c>
      <c r="F9" s="70">
        <v>20.0</v>
      </c>
      <c r="G9" s="71">
        <v>3720.0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9" t="s">
        <v>22</v>
      </c>
      <c r="C10" s="69" t="s">
        <v>21</v>
      </c>
      <c r="D10" s="69">
        <v>1.23456789E8</v>
      </c>
      <c r="E10" s="70">
        <v>186.0</v>
      </c>
      <c r="F10" s="70">
        <v>20.0</v>
      </c>
      <c r="G10" s="71">
        <v>3720.0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69" t="s">
        <v>29</v>
      </c>
      <c r="C11" s="69" t="s">
        <v>21</v>
      </c>
      <c r="D11" s="69" t="s">
        <v>20</v>
      </c>
      <c r="E11" s="70">
        <v>98.0</v>
      </c>
      <c r="F11" s="70">
        <v>20.0</v>
      </c>
      <c r="G11" s="71">
        <v>1960.0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