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lgoBroker" sheetId="4" r:id="rId6"/>
    <sheet state="visible" name="CreateTradeWithAlgoBroker" sheetId="5" r:id="rId7"/>
    <sheet state="visible" name="SelectTradeOnOrderGrid" sheetId="6" r:id="rId8"/>
    <sheet state="visible" name="ReplaceSubOrder" sheetId="7" r:id="rId9"/>
    <sheet state="visible" name="CreateTradeWithAlgoBroker1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<sst xmlns="http://schemas.openxmlformats.org/spreadsheetml/2006/main" count="73" uniqueCount="30">
  <si>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</si>
  <si>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</si>
  <si>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</si>
  <si>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</si>
  <si>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</si>
  <si>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</si>
  <si>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</si>
  <si>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</si>
  <si>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</si>
  <si>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</si>
  <si>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</si>
  <si>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</si>
  <si>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</si>
  <si>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SetAlgoBroker</t>
  </si>
  <si>
    <t>Data Format</t>
  </si>
  <si>
    <t>Input Format</t>
  </si>
  <si>
    <t>MS</t>
  </si>
  <si>
    <t>TradingTicket</t>
  </si>
  <si>
    <t>CreateTradeWithAlgoBroker</t>
  </si>
  <si>
    <t>AAPL</t>
  </si>
  <si>
    <t>DoneAway</t>
  </si>
  <si>
    <t>Buy</t>
  </si>
  <si>
    <t>Algo</t>
  </si>
  <si>
    <t>VWAP</t>
  </si>
  <si>
    <t>Blotter</t>
  </si>
  <si>
    <t>SelectTradeOnOrderGrid</t>
  </si>
  <si>
    <t>ReplaceSubOrder</t>
  </si>
  <si>
    <t>Replace</t>
  </si>
  <si>
    <t>TAPDARK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</si>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</sst>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IFERROR(__xludf.DUMMYFUNCTION("""COMPUTED_VALUE"""),"FilterOnPMGrid")</f>
        <v>FilterOnPMGrid</v>
      </c>
      <c r="C718" t="str">
        <f>IFERROR(__xludf.DUMMYFUNCTION("""COMPUTED_VALUE"""),"1OnY_eV7vu0MtlRaBMhR1l7tKqVsiYrP5hnKFtBWEOJY")</f>
        <v>1OnY_eV7vu0MtlRaBMhR1l7tKqVsiYrP5hnKFtBWEOJY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IFERROR(__xludf.DUMMYFUNCTION("""COMPUTED_VALUE"""),"IsAlgoBroker")</f>
        <v>IsAlgoBroker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SetAlgoBroker!$4:$4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3">
        <v>100.0</v>
      </c>
      <c r="D6" s="31"/>
      <c r="E6" s="33">
        <v>5.0</v>
      </c>
      <c r="F6" s="34" t="s">
        <v>20</v>
      </c>
      <c r="G6" s="34" t="s">
        <v>21</v>
      </c>
      <c r="H6" s="35"/>
      <c r="I6" s="35"/>
      <c r="J6" s="35"/>
      <c r="K6" s="35"/>
      <c r="L6" s="34" t="s">
        <v>16</v>
      </c>
      <c r="M6" s="32" t="s">
        <v>22</v>
      </c>
      <c r="N6" s="35"/>
      <c r="O6" s="35"/>
      <c r="P6" s="35"/>
      <c r="Q6" s="36" t="s">
        <v>23</v>
      </c>
      <c r="R6" s="37">
        <v>1.0</v>
      </c>
      <c r="S6" s="37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CreateTradeWithAlgoBroker!$4:$4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19</v>
      </c>
      <c r="K6" s="8"/>
      <c r="L6" s="8"/>
      <c r="M6" s="8"/>
      <c r="N6" s="8"/>
      <c r="O6" s="8"/>
      <c r="AJ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IFERROR(__xludf.DUMMYFUNCTION("""COMPUTED_VALUE"""),"TargetQuantityIn")</f>
        <v>TargetQuantityIn</v>
      </c>
      <c r="E5" s="27" t="str">
        <f>IFERROR(__xludf.DUMMYFUNCTION("""COMPUTED_VALUE"""),"Price")</f>
        <v>Price</v>
      </c>
      <c r="F5" s="28" t="str">
        <f>IFERROR(__xludf.DUMMYFUNCTION("""COMPUTED_VALUE"""),"Order type button")</f>
        <v>Order type button</v>
      </c>
      <c r="G5" s="27" t="str">
        <f>IFERROR(__xludf.DUMMYFUNCTION("""COMPUTED_VALUE"""),"Order Side")</f>
        <v>Order Side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IFERROR(__xludf.DUMMYFUNCTION("""COMPUTED_VALUE"""),"Stop")</f>
        <v>Stop</v>
      </c>
      <c r="K5" s="27" t="str">
        <f>IFERROR(__xludf.DUMMYFUNCTION("""COMPUTED_VALUE"""),"Limit")</f>
        <v>Limit</v>
      </c>
      <c r="L5" s="27" t="str">
        <f>IFERROR(__xludf.DUMMYFUNCTION("""COMPUTED_VALUE"""),"Broker")</f>
        <v>Broker</v>
      </c>
      <c r="M5" s="27" t="str">
        <f>IFERROR(__xludf.DUMMYFUNCTION("""COMPUTED_VALUE"""),"Venue")</f>
        <v>Venue</v>
      </c>
      <c r="N5" s="27" t="str">
        <f>IFERROR(__xludf.DUMMYFUNCTION("""COMPUTED_VALUE"""),"AllocationMethod")</f>
        <v>AllocationMethod</v>
      </c>
      <c r="O5" s="27" t="str">
        <f>IFERROR(__xludf.DUMMYFUNCTION("""COMPUTED_VALUE"""),"Account")</f>
        <v>Account</v>
      </c>
      <c r="P5" s="27" t="str">
        <f>IFERROR(__xludf.DUMMYFUNCTION("""COMPUTED_VALUE"""),"Account %")</f>
        <v>Account %</v>
      </c>
      <c r="Q5" s="27" t="str">
        <f>IFERROR(__xludf.DUMMYFUNCTION("""COMPUTED_VALUE"""),"AlgoType")</f>
        <v>AlgoType</v>
      </c>
      <c r="R5" s="27" t="str">
        <f>IFERROR(__xludf.DUMMYFUNCTION("""COMPUTED_VALUE"""),"Start time")</f>
        <v>Start time</v>
      </c>
      <c r="S5" s="27" t="str">
        <f>IFERROR(__xludf.DUMMYFUNCTION("""COMPUTED_VALUE"""),"End time")</f>
        <v>End time</v>
      </c>
      <c r="T5" s="29" t="str">
        <f>IFERROR(__xludf.DUMMYFUNCTION("""COMPUTED_VALUE"""),"EndTimeCheckBox")</f>
        <v>EndTimeCheckBox</v>
      </c>
      <c r="U5" s="29" t="str">
        <f>IFERROR(__xludf.DUMMYFUNCTION("""COMPUTED_VALUE"""),"Style")</f>
        <v>Style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19</v>
      </c>
      <c r="C6" s="38">
        <v>200.0</v>
      </c>
      <c r="D6" s="31"/>
      <c r="E6" s="33"/>
      <c r="F6" s="32" t="s">
        <v>27</v>
      </c>
      <c r="G6" s="34"/>
      <c r="H6" s="35"/>
      <c r="I6" s="35"/>
      <c r="J6" s="35"/>
      <c r="K6" s="35"/>
      <c r="L6" s="34" t="s">
        <v>16</v>
      </c>
      <c r="M6" s="32"/>
      <c r="N6" s="35"/>
      <c r="O6" s="35"/>
      <c r="P6" s="35"/>
      <c r="Q6" s="36" t="s">
        <v>28</v>
      </c>
      <c r="R6" s="37">
        <v>1.0</v>
      </c>
      <c r="S6" s="37">
        <v>1.15</v>
      </c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CreateTradeWithAlgoBroker1!$4:$4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A6" s="35"/>
      <c r="B6" s="35"/>
      <c r="C6" s="35"/>
      <c r="D6" s="35"/>
      <c r="E6" s="35"/>
      <c r="F6" s="35"/>
      <c r="G6" s="35"/>
      <c r="H6" s="36" t="s">
        <v>22</v>
      </c>
      <c r="I6" s="35"/>
      <c r="J6" s="36" t="s">
        <v>19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19</v>
      </c>
      <c r="AJ6" s="35" t="s">
        <v>21</v>
      </c>
      <c r="AK6" s="35"/>
      <c r="AL6" s="38"/>
      <c r="AM6" s="38"/>
      <c r="AN6" s="37"/>
      <c r="AO6" s="35"/>
      <c r="AP6" s="35"/>
      <c r="AQ6" s="35"/>
      <c r="AR6" s="35"/>
      <c r="AS6" s="36" t="s">
        <v>16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