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DoneAwayOrder" sheetId="5" r:id="rId7"/>
    <sheet state="visible" name="PricingInput" sheetId="6" r:id="rId8"/>
    <sheet state="visible" name="CreateStageOrder" sheetId="7" r:id="rId9"/>
    <sheet state="visible" name="GetDailyCash" sheetId="8" r:id="rId10"/>
    <sheet state="visible" name="UpdateMultipleDailyCash" sheetId="9" r:id="rId11"/>
    <sheet state="visible" name="GetForexConversion" sheetId="10" r:id="rId12"/>
    <sheet state="visible" name="UpdateForexConversion" sheetId="11" r:id="rId13"/>
    <sheet state="visible" name="CreateComplianceOrder" sheetId="12" r:id="rId14"/>
    <sheet state="visible" name="VerifyComplianceOrder" sheetId="13" r:id="rId15"/>
    <sheet state="visible" name="SelectTrade" sheetId="14" r:id="rId16"/>
    <sheet state="visible" name="CreateComplianceOrder1" sheetId="15" r:id="rId17"/>
    <sheet state="visible" name="VerifyComplianceOrder1" sheetId="16" r:id="rId18"/>
    <sheet state="visible" name="AcknowledgeTrade" sheetId="17" r:id="rId19"/>
    <sheet state="visible" name="SelectTradeOnOrderGrid" sheetId="18" r:id="rId20"/>
    <sheet state="visible" name="ReplaceSubOrder" sheetId="19" r:id="rId21"/>
    <sheet state="visible" name="CreateComplianceOrder2" sheetId="20" r:id="rId22"/>
    <sheet state="visible" name="VerifyComplianceOrder2" sheetId="21" r:id="rId23"/>
    <sheet state="visible" name="RejectTrade" sheetId="22" r:id="rId24"/>
    <sheet state="visible" name="CreateComplianceOrder4" sheetId="23" r:id="rId25"/>
    <sheet state="visible" name="CreateComplianceOrder3" sheetId="24" r:id="rId26"/>
    <sheet state="visible" name="VerifyComplianceOrder3" sheetId="25" r:id="rId27"/>
    <sheet state="visible" name="VerifyComplianceOrder4" sheetId="26" r:id="rId28"/>
  </sheets>
  <definedNames/>
  <calcPr/>
</workbook>
</file>

<file path=xl/sharedStrings.xml><?xml version="1.0" encoding="utf-8"?>
<sst xmlns="http://schemas.openxmlformats.org/spreadsheetml/2006/main" count="290" uniqueCount="60">
  <si>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</si>
  <si>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</si>
  <si>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</si>
  <si>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</si>
  <si>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</si>
  <si>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</si>
  <si>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</si>
  <si>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</si>
  <si>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</si>
  <si>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</si>
  <si>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</si>
  <si>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</si>
  <si>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</si>
  <si>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</si>
  <si>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</si>
  <si>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</si>
  <si>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</si>
  <si>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CreateDoneAwayOrder</t>
  </si>
  <si>
    <t>AVO-TC</t>
  </si>
  <si>
    <t>Buy</t>
  </si>
  <si>
    <t>Allocation2</t>
  </si>
  <si>
    <t>Yes</t>
  </si>
  <si>
    <t>IBM</t>
  </si>
  <si>
    <t>Allocation1</t>
  </si>
  <si>
    <t>FRU-TC</t>
  </si>
  <si>
    <t>PricingInput</t>
  </si>
  <si>
    <t>CreateStageOrder</t>
  </si>
  <si>
    <t>DailyValuation</t>
  </si>
  <si>
    <t>GetDailyCash</t>
  </si>
  <si>
    <t>UpdateMultipleDailyCash</t>
  </si>
  <si>
    <t>USD</t>
  </si>
  <si>
    <t>Allocation3</t>
  </si>
  <si>
    <t>GetForexConversion</t>
  </si>
  <si>
    <t>UpdateForexConversion</t>
  </si>
  <si>
    <t>CAD</t>
  </si>
  <si>
    <t>CAD AO-FX</t>
  </si>
  <si>
    <t>CreateComplianceOrder</t>
  </si>
  <si>
    <t>DoneAway</t>
  </si>
  <si>
    <t>VerifyComplianceOrder</t>
  </si>
  <si>
    <t>Soft</t>
  </si>
  <si>
    <t>Rule_Set</t>
  </si>
  <si>
    <t>If Percent Net Market Value Account not equals to -10, Percent Gross Market Value Account not equals to -10, Percent Net Exposure Account not equals to -10, Percent Gross Exposure Account not equals to -10, Then block the trade.</t>
  </si>
  <si>
    <t>Allocation1-IBM</t>
  </si>
  <si>
    <t>Multiple</t>
  </si>
  <si>
    <t>percentNetMarketValueAccount: 5.8824, percentGrossMarketValueAccount: 5.8824, percentNetExposureAccount: 5.8824, percentGrossExposureAccount: 5.8824, AccountShortName: Allocation1, Symbol: IBM</t>
  </si>
  <si>
    <t>Simulator</t>
  </si>
  <si>
    <t>SelectTrade</t>
  </si>
  <si>
    <t>Send</t>
  </si>
  <si>
    <t>Allocation1-FRU-TC</t>
  </si>
  <si>
    <t>percentNetMarketValueAccount: 6.8627, percentGrossMarketValueAccount: 6.8627, percentNetExposureAccount: 6.8627, percentGrossExposureAccount: 6.8627, AccountShortName: Allocation1, Symbol: FRU-TC</t>
  </si>
  <si>
    <t>AcknowledgeTrade</t>
  </si>
  <si>
    <t>Blotter</t>
  </si>
  <si>
    <t>SelectTradeOnOrderGrid</t>
  </si>
  <si>
    <t>New</t>
  </si>
  <si>
    <t>ReplaceSubOrder</t>
  </si>
  <si>
    <t>Replace</t>
  </si>
  <si>
    <t>percentNetMarketValueAccount: 7.8431, percentGrossMarketValueAccount: 7.8431, percentNetExposureAccount: 7.8431, percentGrossExposureAccount: 7.8431, AccountShortName: Allocation1, Symbol: FRU-TC</t>
  </si>
  <si>
    <t>RejectTrade</t>
  </si>
  <si>
    <t>percentNetMarketValueAccount: 7.8431, percentGrossMarketValueAccount: 7.8431, percentNetExposureAccount: 7.8431, percentGrossExposureAccount: 7.8431, AccountShortName: Allocation1, Symbol: IBM</t>
  </si>
  <si>
    <t>percentNetMarketValueAccount: 10.7843, percentGrossMarketValueAccount: 10.7843, percentNetExposureAccount: 10.7843, percentGrossExposureAccount: 10.7843, AccountShortName: Allocation1,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</si>
</sst>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164" xfId="0" applyFill="1" applyFont="1" applyNumberFormat="1"/>
    <xf borderId="0" fillId="0" fontId="5" numFmtId="16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1" t="b">
        <v>1</v>
      </c>
      <c r="E6" s="31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3" t="s">
        <v>19</v>
      </c>
      <c r="D6" s="34">
        <v>100.0</v>
      </c>
      <c r="E6" s="32"/>
      <c r="F6" s="33" t="s">
        <v>20</v>
      </c>
      <c r="G6" s="32"/>
      <c r="H6" s="32"/>
      <c r="I6" s="32"/>
      <c r="J6" s="34">
        <v>10.0</v>
      </c>
      <c r="K6" s="32"/>
      <c r="L6" s="32"/>
      <c r="M6" s="32"/>
      <c r="N6" s="35">
        <f>TODAY()-28</f>
        <v>44904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21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22</v>
      </c>
      <c r="C7" s="33" t="s">
        <v>19</v>
      </c>
      <c r="D7" s="34">
        <v>100.0</v>
      </c>
      <c r="E7" s="34">
        <v>0.0</v>
      </c>
      <c r="F7" s="33" t="s">
        <v>23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21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3" t="s">
        <v>22</v>
      </c>
      <c r="C8" s="33" t="s">
        <v>19</v>
      </c>
      <c r="D8" s="34">
        <v>100.0</v>
      </c>
      <c r="E8" s="34">
        <v>100.0</v>
      </c>
      <c r="F8" s="33" t="s">
        <v>23</v>
      </c>
      <c r="G8" s="32"/>
      <c r="H8" s="32"/>
      <c r="I8" s="32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21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3" t="s">
        <v>24</v>
      </c>
      <c r="C9" s="33" t="s">
        <v>19</v>
      </c>
      <c r="D9" s="34">
        <v>100.0</v>
      </c>
      <c r="E9" s="34">
        <v>0.0</v>
      </c>
      <c r="F9" s="33" t="s">
        <v>23</v>
      </c>
      <c r="G9" s="32"/>
      <c r="H9" s="32"/>
      <c r="I9" s="32"/>
      <c r="J9" s="34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21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3" t="s">
        <v>24</v>
      </c>
      <c r="C10" s="33" t="s">
        <v>19</v>
      </c>
      <c r="D10" s="34">
        <v>100.0</v>
      </c>
      <c r="E10" s="34">
        <v>100.0</v>
      </c>
      <c r="F10" s="33" t="s">
        <v>23</v>
      </c>
      <c r="G10" s="32"/>
      <c r="H10" s="32"/>
      <c r="I10" s="32"/>
      <c r="J10" s="34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21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22</v>
      </c>
      <c r="C6" s="34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24</v>
      </c>
      <c r="C7" s="34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22</v>
      </c>
      <c r="C6" s="33" t="s">
        <v>19</v>
      </c>
      <c r="D6" s="34">
        <v>100.0</v>
      </c>
      <c r="E6" s="32"/>
      <c r="F6" s="33" t="s">
        <v>23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24</v>
      </c>
      <c r="C7" s="33" t="s">
        <v>19</v>
      </c>
      <c r="D7" s="34">
        <v>100.0</v>
      </c>
      <c r="E7" s="32"/>
      <c r="F7" s="33" t="s">
        <v>23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>
        <f t="shared" ref="B6:C6" si="1">today()-1</f>
        <v>44931</v>
      </c>
      <c r="C6" s="36">
        <f t="shared" si="1"/>
        <v>44931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23</v>
      </c>
      <c r="C6" s="33" t="s">
        <v>30</v>
      </c>
      <c r="D6" s="34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31</v>
      </c>
      <c r="C7" s="33" t="s">
        <v>30</v>
      </c>
      <c r="D7" s="34">
        <v>235000.0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>
        <f t="shared" ref="B6:C6" si="1">today()</f>
        <v>44932</v>
      </c>
      <c r="C6" s="37">
        <f t="shared" si="1"/>
        <v>44932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30</v>
      </c>
      <c r="C6" s="33" t="s">
        <v>34</v>
      </c>
      <c r="D6" s="33" t="s">
        <v>35</v>
      </c>
      <c r="E6" s="34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22</v>
      </c>
      <c r="C6" s="33" t="s">
        <v>19</v>
      </c>
      <c r="D6" s="34">
        <v>100.0</v>
      </c>
      <c r="E6" s="32"/>
      <c r="F6" s="33" t="s">
        <v>23</v>
      </c>
      <c r="G6" s="32"/>
      <c r="H6" s="32"/>
      <c r="I6" s="32"/>
      <c r="J6" s="34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21</v>
      </c>
      <c r="AR6" s="32"/>
      <c r="AS6" s="32"/>
      <c r="AT6" s="32"/>
      <c r="AU6" s="32"/>
      <c r="AV6" s="32"/>
      <c r="AW6" s="32"/>
      <c r="AX6" s="32" t="s">
        <v>37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39</v>
      </c>
      <c r="C6" s="38" t="s">
        <v>40</v>
      </c>
      <c r="D6" s="38" t="s">
        <v>41</v>
      </c>
      <c r="E6" s="38" t="s">
        <v>42</v>
      </c>
      <c r="F6" s="38" t="s">
        <v>43</v>
      </c>
      <c r="G6" s="38" t="s">
        <v>43</v>
      </c>
      <c r="H6" s="11" t="s">
        <v>44</v>
      </c>
      <c r="I6" s="32"/>
      <c r="J6" s="32"/>
      <c r="K6" s="33" t="s">
        <v>21</v>
      </c>
      <c r="L6" s="32"/>
      <c r="M6" s="33" t="s">
        <v>37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19</v>
      </c>
      <c r="C6" s="33" t="s">
        <v>24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24</v>
      </c>
      <c r="C6" s="33" t="s">
        <v>19</v>
      </c>
      <c r="D6" s="34">
        <v>150.0</v>
      </c>
      <c r="E6" s="32"/>
      <c r="F6" s="33" t="s">
        <v>23</v>
      </c>
      <c r="G6" s="32"/>
      <c r="H6" s="32"/>
      <c r="I6" s="32"/>
      <c r="J6" s="34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21</v>
      </c>
      <c r="AR6" s="32"/>
      <c r="AS6" s="32"/>
      <c r="AT6" s="32"/>
      <c r="AU6" s="32"/>
      <c r="AV6" s="32"/>
      <c r="AW6" s="32"/>
      <c r="AX6" s="32" t="s">
        <v>47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39</v>
      </c>
      <c r="C6" s="38" t="s">
        <v>40</v>
      </c>
      <c r="D6" s="38" t="s">
        <v>41</v>
      </c>
      <c r="E6" s="38" t="s">
        <v>48</v>
      </c>
      <c r="F6" s="38" t="s">
        <v>43</v>
      </c>
      <c r="G6" s="38" t="s">
        <v>43</v>
      </c>
      <c r="H6" s="11" t="s">
        <v>49</v>
      </c>
      <c r="I6" s="32"/>
      <c r="J6" s="32"/>
      <c r="K6" s="33" t="s">
        <v>21</v>
      </c>
      <c r="L6" s="32"/>
      <c r="M6" s="33" t="s">
        <v>47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19</v>
      </c>
      <c r="C6" s="33" t="s">
        <v>24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3" t="s">
        <v>24</v>
      </c>
      <c r="E6" s="32"/>
      <c r="F6" s="33" t="s">
        <v>19</v>
      </c>
      <c r="G6" s="33" t="s">
        <v>53</v>
      </c>
      <c r="H6" s="34">
        <v>150.0</v>
      </c>
      <c r="I6" s="32"/>
      <c r="J6" s="32"/>
      <c r="K6" s="32"/>
      <c r="L6" s="32"/>
      <c r="M6" s="32"/>
      <c r="N6" s="32"/>
      <c r="O6" s="32"/>
      <c r="P6" s="32"/>
      <c r="Q6" s="32"/>
      <c r="R6" s="32" t="s">
        <v>23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24</v>
      </c>
      <c r="AK6" s="32" t="s">
        <v>19</v>
      </c>
      <c r="AL6" s="32"/>
      <c r="AM6" s="39">
        <v>150.0</v>
      </c>
      <c r="AN6" s="32"/>
      <c r="AO6" s="32"/>
      <c r="AP6" s="32"/>
      <c r="AQ6" s="32"/>
      <c r="AR6" s="32"/>
      <c r="AS6" s="32"/>
      <c r="AT6" s="32"/>
      <c r="AU6" s="32" t="s">
        <v>23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24</v>
      </c>
      <c r="C6" s="33" t="s">
        <v>19</v>
      </c>
      <c r="D6" s="34">
        <v>200.0</v>
      </c>
      <c r="E6" s="32"/>
      <c r="F6" s="33" t="s">
        <v>23</v>
      </c>
      <c r="G6" s="32"/>
      <c r="H6" s="32"/>
      <c r="I6" s="32"/>
      <c r="J6" s="34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21</v>
      </c>
      <c r="AR6" s="32"/>
      <c r="AS6" s="32"/>
      <c r="AT6" s="32"/>
      <c r="AU6" s="32"/>
      <c r="AV6" s="32"/>
      <c r="AW6" s="32"/>
      <c r="AX6" s="32" t="s">
        <v>55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39</v>
      </c>
      <c r="C6" s="38" t="s">
        <v>40</v>
      </c>
      <c r="D6" s="38" t="s">
        <v>41</v>
      </c>
      <c r="E6" s="38" t="s">
        <v>48</v>
      </c>
      <c r="F6" s="38" t="s">
        <v>43</v>
      </c>
      <c r="G6" s="38" t="s">
        <v>43</v>
      </c>
      <c r="H6" s="11" t="s">
        <v>56</v>
      </c>
      <c r="I6" s="32"/>
      <c r="J6" s="32"/>
      <c r="K6" s="33" t="s">
        <v>21</v>
      </c>
      <c r="L6" s="32"/>
      <c r="M6" s="33" t="s">
        <v>55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19</v>
      </c>
      <c r="C6" s="33" t="s">
        <v>24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24</v>
      </c>
      <c r="C6" s="33" t="s">
        <v>19</v>
      </c>
      <c r="D6" s="34">
        <v>200.0</v>
      </c>
      <c r="E6" s="32"/>
      <c r="F6" s="33" t="s">
        <v>23</v>
      </c>
      <c r="G6" s="32"/>
      <c r="H6" s="32"/>
      <c r="I6" s="32"/>
      <c r="J6" s="34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21</v>
      </c>
      <c r="AR6" s="32"/>
      <c r="AS6" s="32"/>
      <c r="AT6" s="32"/>
      <c r="AU6" s="32"/>
      <c r="AV6" s="32"/>
      <c r="AW6" s="32"/>
      <c r="AX6" s="32" t="s">
        <v>47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CreateComplianceOrder4!$4:$4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22</v>
      </c>
      <c r="C6" s="33" t="s">
        <v>19</v>
      </c>
      <c r="D6" s="34">
        <v>100.0</v>
      </c>
      <c r="E6" s="32"/>
      <c r="F6" s="33" t="s">
        <v>23</v>
      </c>
      <c r="G6" s="32"/>
      <c r="H6" s="32"/>
      <c r="I6" s="32"/>
      <c r="J6" s="34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21</v>
      </c>
      <c r="AR6" s="32"/>
      <c r="AS6" s="32"/>
      <c r="AT6" s="32"/>
      <c r="AU6" s="32"/>
      <c r="AV6" s="32"/>
      <c r="AW6" s="32"/>
      <c r="AX6" s="32" t="s">
        <v>37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CreateComplianceOrder3!$4:$4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39</v>
      </c>
      <c r="C6" s="38" t="s">
        <v>40</v>
      </c>
      <c r="D6" s="38" t="s">
        <v>41</v>
      </c>
      <c r="E6" s="38" t="s">
        <v>42</v>
      </c>
      <c r="F6" s="38" t="s">
        <v>43</v>
      </c>
      <c r="G6" s="38" t="s">
        <v>43</v>
      </c>
      <c r="H6" s="11" t="s">
        <v>58</v>
      </c>
      <c r="I6" s="32"/>
      <c r="J6" s="32"/>
      <c r="K6" s="33" t="s">
        <v>21</v>
      </c>
      <c r="L6" s="32"/>
      <c r="M6" s="33" t="s">
        <v>37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VerifyComplianceOrder3!$4:$4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39</v>
      </c>
      <c r="C6" s="38" t="s">
        <v>40</v>
      </c>
      <c r="D6" s="38" t="s">
        <v>41</v>
      </c>
      <c r="E6" s="38" t="s">
        <v>48</v>
      </c>
      <c r="F6" s="38" t="s">
        <v>43</v>
      </c>
      <c r="G6" s="38" t="s">
        <v>43</v>
      </c>
      <c r="H6" s="11" t="s">
        <v>59</v>
      </c>
      <c r="I6" s="32"/>
      <c r="J6" s="32"/>
      <c r="K6" s="33" t="s">
        <v>21</v>
      </c>
      <c r="L6" s="32"/>
      <c r="M6" s="33" t="s">
        <v>37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VerifyComplianceOrder4!$4:$4</formula1>
    </dataValidation>
  </dataValidations>
  <drawing r:id="rId1"/>
</worksheet>
</file>