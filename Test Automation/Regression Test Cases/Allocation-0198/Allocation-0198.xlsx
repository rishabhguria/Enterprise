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7" activeTab="20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CreateLiveOrder" sheetId="6" r:id="rId6"/>
    <sheet name="AcknowledgeTrade" sheetId="7" r:id="rId7"/>
    <sheet name="SelectTrade" sheetId="8" r:id="rId8"/>
    <sheet name="ExecuteTrade" sheetId="9" r:id="rId9"/>
    <sheet name="SelectTrade1" sheetId="10" r:id="rId10"/>
    <sheet name="AcknowledgeTrade1" sheetId="11" r:id="rId11"/>
    <sheet name="ExecuteTrade1" sheetId="12" r:id="rId12"/>
    <sheet name="SelectUnallocatedGroup" sheetId="13" r:id="rId13"/>
    <sheet name="EnterAllocatePreference" sheetId="14" r:id="rId14"/>
    <sheet name="EnterAccountValuesToAllocate" sheetId="15" r:id="rId15"/>
    <sheet name="SelectUnallocatedGroup2" sheetId="16" r:id="rId16"/>
    <sheet name="EnterAccountValuesToAllocate1" sheetId="17" r:id="rId17"/>
    <sheet name="VerifyOrder" sheetId="18" r:id="rId18"/>
    <sheet name="GetDataAllocation" sheetId="19" r:id="rId19"/>
    <sheet name="CheckAllocatedGroups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FK5" i="21" l="1"/>
  <c r="FC5" i="21"/>
  <c r="EU5" i="21"/>
  <c r="EM5" i="21"/>
  <c r="EE5" i="21"/>
  <c r="DW5" i="21"/>
  <c r="DO5" i="21"/>
  <c r="DG5" i="21"/>
  <c r="CY5" i="21"/>
  <c r="CQ5" i="21"/>
  <c r="CI5" i="21"/>
  <c r="CA5" i="21"/>
  <c r="BS5" i="21"/>
  <c r="BC5" i="21"/>
  <c r="AU5" i="21"/>
  <c r="AM5" i="21"/>
  <c r="AE5" i="21"/>
  <c r="W5" i="21"/>
  <c r="O5" i="21"/>
  <c r="G5" i="21"/>
  <c r="FJ4" i="21"/>
  <c r="FB4" i="21"/>
  <c r="ET4" i="21"/>
  <c r="EL4" i="21"/>
  <c r="ED4" i="21"/>
  <c r="DV4" i="21"/>
  <c r="DN4" i="21"/>
  <c r="DF4" i="21"/>
  <c r="CX4" i="21"/>
  <c r="CP4" i="21"/>
  <c r="CH4" i="21"/>
  <c r="BZ4" i="21"/>
  <c r="BR4" i="21"/>
  <c r="BJ4" i="21"/>
  <c r="BB4" i="21"/>
  <c r="AT4" i="21"/>
  <c r="AL4" i="21"/>
  <c r="AD4" i="21"/>
  <c r="V4" i="21"/>
  <c r="N4" i="21"/>
  <c r="F4" i="21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EX4" i="20"/>
  <c r="EP4" i="20"/>
  <c r="EH4" i="20"/>
  <c r="DZ4" i="20"/>
  <c r="DR4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ET4" i="19"/>
  <c r="EL4" i="19"/>
  <c r="ED4" i="19"/>
  <c r="DV4" i="19"/>
  <c r="DN4" i="19"/>
  <c r="DF4" i="19"/>
  <c r="CX4" i="19"/>
  <c r="CP4" i="19"/>
  <c r="CH4" i="19"/>
  <c r="BZ4" i="19"/>
  <c r="BR4" i="19"/>
  <c r="BJ4" i="19"/>
  <c r="BB4" i="19"/>
  <c r="AT4" i="19"/>
  <c r="AL4" i="19"/>
  <c r="FJ5" i="21"/>
  <c r="FB5" i="21"/>
  <c r="ET5" i="21"/>
  <c r="EL5" i="21"/>
  <c r="ED5" i="21"/>
  <c r="DV5" i="21"/>
  <c r="DN5" i="21"/>
  <c r="DF5" i="21"/>
  <c r="CX5" i="21"/>
  <c r="CP5" i="21"/>
  <c r="CH5" i="21"/>
  <c r="BZ5" i="21"/>
  <c r="BR5" i="21"/>
  <c r="BJ5" i="21"/>
  <c r="BB5" i="21"/>
  <c r="AT5" i="21"/>
  <c r="AL5" i="21"/>
  <c r="AD5" i="21"/>
  <c r="V5" i="21"/>
  <c r="N5" i="21"/>
  <c r="F5" i="21"/>
  <c r="FI4" i="21"/>
  <c r="FA4" i="21"/>
  <c r="ES4" i="21"/>
  <c r="EK4" i="21"/>
  <c r="EC4" i="21"/>
  <c r="DU4" i="21"/>
  <c r="DM4" i="21"/>
  <c r="DE4" i="21"/>
  <c r="CW4" i="21"/>
  <c r="CO4" i="21"/>
  <c r="CG4" i="21"/>
  <c r="BY4" i="21"/>
  <c r="BQ4" i="21"/>
  <c r="BI4" i="21"/>
  <c r="BA4" i="21"/>
  <c r="AS4" i="21"/>
  <c r="AK4" i="21"/>
  <c r="AC4" i="21"/>
  <c r="U4" i="21"/>
  <c r="M4" i="21"/>
  <c r="E4" i="21"/>
  <c r="EU5" i="20"/>
  <c r="EM5" i="20"/>
  <c r="EE5" i="20"/>
  <c r="DW5" i="20"/>
  <c r="DO5" i="20"/>
  <c r="DG5" i="20"/>
  <c r="CY5" i="20"/>
  <c r="CQ5" i="20"/>
  <c r="CI5" i="20"/>
  <c r="CA5" i="20"/>
  <c r="BS5" i="20"/>
  <c r="BK5" i="20"/>
  <c r="BC5" i="20"/>
  <c r="AU5" i="20"/>
  <c r="AM5" i="20"/>
  <c r="AE5" i="20"/>
  <c r="W5" i="20"/>
  <c r="O5" i="20"/>
  <c r="G5" i="20"/>
  <c r="EW4" i="20"/>
  <c r="EO4" i="20"/>
  <c r="EG4" i="20"/>
  <c r="DY4" i="20"/>
  <c r="DQ4" i="20"/>
  <c r="DI4" i="20"/>
  <c r="DA4" i="20"/>
  <c r="CS4" i="20"/>
  <c r="CK4" i="20"/>
  <c r="CC4" i="20"/>
  <c r="FI5" i="21"/>
  <c r="FA5" i="21"/>
  <c r="ES5" i="21"/>
  <c r="EK5" i="21"/>
  <c r="EC5" i="21"/>
  <c r="DU5" i="21"/>
  <c r="DM5" i="21"/>
  <c r="DE5" i="21"/>
  <c r="CW5" i="21"/>
  <c r="CO5" i="21"/>
  <c r="CG5" i="21"/>
  <c r="BY5" i="21"/>
  <c r="BQ5" i="21"/>
  <c r="BI5" i="21"/>
  <c r="BA5" i="21"/>
  <c r="AS5" i="21"/>
  <c r="AK5" i="21"/>
  <c r="AC5" i="21"/>
  <c r="U5" i="21"/>
  <c r="M5" i="21"/>
  <c r="E5" i="21"/>
  <c r="FH4" i="21"/>
  <c r="EZ4" i="21"/>
  <c r="ER4" i="21"/>
  <c r="EJ4" i="21"/>
  <c r="EB4" i="21"/>
  <c r="DT4" i="21"/>
  <c r="DL4" i="21"/>
  <c r="DD4" i="21"/>
  <c r="CV4" i="21"/>
  <c r="CN4" i="21"/>
  <c r="CF4" i="21"/>
  <c r="BX4" i="21"/>
  <c r="BP4" i="21"/>
  <c r="BH4" i="21"/>
  <c r="AZ4" i="21"/>
  <c r="AR4" i="21"/>
  <c r="AJ4" i="21"/>
  <c r="AB4" i="21"/>
  <c r="T4" i="21"/>
  <c r="L4" i="21"/>
  <c r="D4" i="21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EV4" i="20"/>
  <c r="EN4" i="20"/>
  <c r="EF4" i="20"/>
  <c r="DX4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ER4" i="19"/>
  <c r="EJ4" i="19"/>
  <c r="EB4" i="19"/>
  <c r="DT4" i="19"/>
  <c r="DL4" i="19"/>
  <c r="DD4" i="19"/>
  <c r="CV4" i="19"/>
  <c r="CN4" i="19"/>
  <c r="CF4" i="19"/>
  <c r="BX4" i="19"/>
  <c r="BP4" i="19"/>
  <c r="BH4" i="19"/>
  <c r="AZ4" i="19"/>
  <c r="AR4" i="19"/>
  <c r="AJ4" i="19"/>
  <c r="FH5" i="21"/>
  <c r="EZ5" i="21"/>
  <c r="ER5" i="21"/>
  <c r="EJ5" i="21"/>
  <c r="EB5" i="21"/>
  <c r="DT5" i="21"/>
  <c r="DL5" i="21"/>
  <c r="DD5" i="21"/>
  <c r="CV5" i="21"/>
  <c r="CN5" i="21"/>
  <c r="CF5" i="21"/>
  <c r="BX5" i="21"/>
  <c r="BP5" i="21"/>
  <c r="BH5" i="21"/>
  <c r="AZ5" i="21"/>
  <c r="AR5" i="21"/>
  <c r="AJ5" i="21"/>
  <c r="AB5" i="21"/>
  <c r="T5" i="21"/>
  <c r="L5" i="21"/>
  <c r="D5" i="21"/>
  <c r="FG4" i="21"/>
  <c r="EY4" i="21"/>
  <c r="EQ4" i="21"/>
  <c r="EI4" i="21"/>
  <c r="EA4" i="21"/>
  <c r="DS4" i="21"/>
  <c r="DK4" i="21"/>
  <c r="DC4" i="21"/>
  <c r="CU4" i="21"/>
  <c r="CM4" i="21"/>
  <c r="CE4" i="21"/>
  <c r="BW4" i="21"/>
  <c r="BO4" i="21"/>
  <c r="BG4" i="21"/>
  <c r="AY4" i="21"/>
  <c r="AQ4" i="21"/>
  <c r="AI4" i="21"/>
  <c r="AA4" i="21"/>
  <c r="S4" i="21"/>
  <c r="K4" i="21"/>
  <c r="C4" i="21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EU4" i="20"/>
  <c r="EM4" i="20"/>
  <c r="EE4" i="20"/>
  <c r="DW4" i="20"/>
  <c r="DO4" i="20"/>
  <c r="DG4" i="20"/>
  <c r="CY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EQ4" i="19"/>
  <c r="EI4" i="19"/>
  <c r="EA4" i="19"/>
  <c r="DS4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FG5" i="21"/>
  <c r="EY5" i="21"/>
  <c r="EQ5" i="21"/>
  <c r="EI5" i="21"/>
  <c r="EA5" i="21"/>
  <c r="DS5" i="21"/>
  <c r="DK5" i="21"/>
  <c r="DC5" i="21"/>
  <c r="CU5" i="21"/>
  <c r="CM5" i="21"/>
  <c r="CE5" i="21"/>
  <c r="BW5" i="21"/>
  <c r="BO5" i="21"/>
  <c r="BG5" i="21"/>
  <c r="AY5" i="21"/>
  <c r="AQ5" i="21"/>
  <c r="AI5" i="21"/>
  <c r="AA5" i="21"/>
  <c r="S5" i="21"/>
  <c r="K5" i="21"/>
  <c r="C5" i="21"/>
  <c r="FF4" i="21"/>
  <c r="EX4" i="21"/>
  <c r="EP4" i="21"/>
  <c r="EH4" i="21"/>
  <c r="DZ4" i="21"/>
  <c r="DR4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ET4" i="20"/>
  <c r="EL4" i="20"/>
  <c r="ED4" i="20"/>
  <c r="DV4" i="20"/>
  <c r="DN4" i="20"/>
  <c r="DF4" i="20"/>
  <c r="CX4" i="20"/>
  <c r="CP4" i="20"/>
  <c r="CH4" i="20"/>
  <c r="BZ4" i="20"/>
  <c r="BR4" i="20"/>
  <c r="BJ4" i="20"/>
  <c r="BB4" i="20"/>
  <c r="AT4" i="20"/>
  <c r="AL4" i="20"/>
  <c r="AD4" i="20"/>
  <c r="V4" i="20"/>
  <c r="N4" i="20"/>
  <c r="F4" i="20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FF5" i="21"/>
  <c r="EX5" i="21"/>
  <c r="EP5" i="21"/>
  <c r="EH5" i="21"/>
  <c r="DZ5" i="21"/>
  <c r="DR5" i="21"/>
  <c r="DJ5" i="21"/>
  <c r="DB5" i="21"/>
  <c r="CT5" i="21"/>
  <c r="CL5" i="21"/>
  <c r="CD5" i="21"/>
  <c r="BV5" i="21"/>
  <c r="BN5" i="21"/>
  <c r="BF5" i="21"/>
  <c r="AX5" i="21"/>
  <c r="AP5" i="21"/>
  <c r="AH5" i="21"/>
  <c r="Z5" i="21"/>
  <c r="R5" i="21"/>
  <c r="J5" i="21"/>
  <c r="B5" i="21"/>
  <c r="FE4" i="21"/>
  <c r="EW4" i="21"/>
  <c r="EO4" i="21"/>
  <c r="EG4" i="21"/>
  <c r="DY4" i="21"/>
  <c r="DQ4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FE5" i="21"/>
  <c r="EW5" i="21"/>
  <c r="EO5" i="21"/>
  <c r="EG5" i="21"/>
  <c r="DY5" i="21"/>
  <c r="DQ5" i="21"/>
  <c r="DI5" i="21"/>
  <c r="DA5" i="21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FD4" i="21"/>
  <c r="EV4" i="21"/>
  <c r="EN4" i="21"/>
  <c r="EF4" i="21"/>
  <c r="DX4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ER4" i="20"/>
  <c r="EJ4" i="20"/>
  <c r="EB4" i="20"/>
  <c r="DT4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EV4" i="19"/>
  <c r="EN4" i="19"/>
  <c r="EF4" i="19"/>
  <c r="DX4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EX5" i="18"/>
  <c r="FD5" i="21"/>
  <c r="EV5" i="21"/>
  <c r="EN5" i="21"/>
  <c r="EF5" i="21"/>
  <c r="DX5" i="21"/>
  <c r="DP5" i="21"/>
  <c r="DH5" i="21"/>
  <c r="CZ5" i="21"/>
  <c r="CR5" i="21"/>
  <c r="CJ5" i="21"/>
  <c r="CB5" i="21"/>
  <c r="BT5" i="21"/>
  <c r="BL5" i="21"/>
  <c r="BD5" i="21"/>
  <c r="AV5" i="21"/>
  <c r="AN5" i="21"/>
  <c r="AF5" i="21"/>
  <c r="X5" i="21"/>
  <c r="P5" i="21"/>
  <c r="H5" i="21"/>
  <c r="FK4" i="21"/>
  <c r="FC4" i="21"/>
  <c r="EU4" i="21"/>
  <c r="EM4" i="21"/>
  <c r="EE4" i="21"/>
  <c r="DW4" i="21"/>
  <c r="DO4" i="21"/>
  <c r="DG4" i="21"/>
  <c r="CY4" i="21"/>
  <c r="CQ4" i="21"/>
  <c r="CI4" i="21"/>
  <c r="CA4" i="21"/>
  <c r="BS4" i="21"/>
  <c r="BK4" i="21"/>
  <c r="BC4" i="21"/>
  <c r="AU4" i="21"/>
  <c r="AM4" i="21"/>
  <c r="AE4" i="21"/>
  <c r="W4" i="21"/>
  <c r="O4" i="21"/>
  <c r="G4" i="21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EQ4" i="20"/>
  <c r="EI4" i="20"/>
  <c r="EA4" i="20"/>
  <c r="DS4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EU4" i="19"/>
  <c r="EM4" i="19"/>
  <c r="EE4" i="19"/>
  <c r="DW4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EW5" i="18"/>
  <c r="EO5" i="18"/>
  <c r="EG5" i="18"/>
  <c r="DY5" i="18"/>
  <c r="DQ5" i="18"/>
  <c r="DI5" i="18"/>
  <c r="DA5" i="18"/>
  <c r="CS5" i="18"/>
  <c r="CK5" i="18"/>
  <c r="AA5" i="20"/>
  <c r="DM4" i="20"/>
  <c r="BM4" i="20"/>
  <c r="AG4" i="20"/>
  <c r="DS5" i="19"/>
  <c r="CM5" i="19"/>
  <c r="BG5" i="19"/>
  <c r="AA5" i="19"/>
  <c r="G5" i="19"/>
  <c r="EH4" i="19"/>
  <c r="DM4" i="19"/>
  <c r="CS4" i="19"/>
  <c r="BV4" i="19"/>
  <c r="BA4" i="19"/>
  <c r="AG4" i="19"/>
  <c r="T4" i="19"/>
  <c r="F4" i="19"/>
  <c r="ES5" i="18"/>
  <c r="EJ5" i="18"/>
  <c r="EA5" i="18"/>
  <c r="DR5" i="18"/>
  <c r="DH5" i="18"/>
  <c r="CY5" i="18"/>
  <c r="CP5" i="18"/>
  <c r="CG5" i="18"/>
  <c r="BY5" i="18"/>
  <c r="BQ5" i="18"/>
  <c r="BI5" i="18"/>
  <c r="BA5" i="18"/>
  <c r="AS5" i="18"/>
  <c r="AK5" i="18"/>
  <c r="AC5" i="18"/>
  <c r="U5" i="18"/>
  <c r="M5" i="18"/>
  <c r="E5" i="18"/>
  <c r="EU4" i="18"/>
  <c r="EM4" i="18"/>
  <c r="EE4" i="18"/>
  <c r="DW4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S5" i="20"/>
  <c r="DE4" i="20"/>
  <c r="BI4" i="20"/>
  <c r="AC4" i="20"/>
  <c r="EU5" i="19"/>
  <c r="DO5" i="19"/>
  <c r="CI5" i="19"/>
  <c r="BC5" i="19"/>
  <c r="X5" i="19"/>
  <c r="C5" i="19"/>
  <c r="EG4" i="19"/>
  <c r="DJ4" i="19"/>
  <c r="CO4" i="19"/>
  <c r="BU4" i="19"/>
  <c r="AX4" i="19"/>
  <c r="AD4" i="19"/>
  <c r="R4" i="19"/>
  <c r="E4" i="19"/>
  <c r="ER5" i="18"/>
  <c r="EI5" i="18"/>
  <c r="DZ5" i="18"/>
  <c r="DP5" i="18"/>
  <c r="DG5" i="18"/>
  <c r="CX5" i="18"/>
  <c r="CO5" i="18"/>
  <c r="CF5" i="18"/>
  <c r="BX5" i="18"/>
  <c r="BP5" i="18"/>
  <c r="BH5" i="18"/>
  <c r="AZ5" i="18"/>
  <c r="AR5" i="18"/>
  <c r="AJ5" i="18"/>
  <c r="AB5" i="18"/>
  <c r="T5" i="18"/>
  <c r="L5" i="18"/>
  <c r="D5" i="18"/>
  <c r="ET4" i="18"/>
  <c r="EL4" i="18"/>
  <c r="ED4" i="18"/>
  <c r="DV4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K5" i="20"/>
  <c r="CW4" i="20"/>
  <c r="BE4" i="20"/>
  <c r="Y4" i="20"/>
  <c r="EQ5" i="19"/>
  <c r="DK5" i="19"/>
  <c r="CE5" i="19"/>
  <c r="AY5" i="19"/>
  <c r="W5" i="19"/>
  <c r="EX4" i="19"/>
  <c r="EC4" i="19"/>
  <c r="DI4" i="19"/>
  <c r="CL4" i="19"/>
  <c r="BQ4" i="19"/>
  <c r="AW4" i="19"/>
  <c r="AC4" i="19"/>
  <c r="Q4" i="19"/>
  <c r="D4" i="19"/>
  <c r="EQ5" i="18"/>
  <c r="EH5" i="18"/>
  <c r="DX5" i="18"/>
  <c r="DO5" i="18"/>
  <c r="DF5" i="18"/>
  <c r="CW5" i="18"/>
  <c r="CN5" i="18"/>
  <c r="CE5" i="18"/>
  <c r="BW5" i="18"/>
  <c r="BO5" i="18"/>
  <c r="BG5" i="18"/>
  <c r="AY5" i="18"/>
  <c r="AQ5" i="18"/>
  <c r="AI5" i="18"/>
  <c r="AA5" i="18"/>
  <c r="S5" i="18"/>
  <c r="K5" i="18"/>
  <c r="C5" i="18"/>
  <c r="ES4" i="18"/>
  <c r="EK4" i="18"/>
  <c r="EC4" i="18"/>
  <c r="DU4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EU5" i="17"/>
  <c r="EM5" i="17"/>
  <c r="EE5" i="17"/>
  <c r="DW5" i="17"/>
  <c r="DO5" i="17"/>
  <c r="DG5" i="17"/>
  <c r="CY5" i="17"/>
  <c r="CQ5" i="17"/>
  <c r="CI5" i="17"/>
  <c r="CA5" i="17"/>
  <c r="BS5" i="17"/>
  <c r="BK5" i="17"/>
  <c r="BC5" i="17"/>
  <c r="AU5" i="17"/>
  <c r="AM5" i="17"/>
  <c r="AE5" i="17"/>
  <c r="W5" i="17"/>
  <c r="O5" i="17"/>
  <c r="G5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ES4" i="16"/>
  <c r="EK4" i="16"/>
  <c r="EC4" i="16"/>
  <c r="DU4" i="16"/>
  <c r="DM4" i="16"/>
  <c r="DE4" i="16"/>
  <c r="CW4" i="16"/>
  <c r="C5" i="20"/>
  <c r="CO4" i="20"/>
  <c r="BA4" i="20"/>
  <c r="U4" i="20"/>
  <c r="EM5" i="19"/>
  <c r="DG5" i="19"/>
  <c r="CA5" i="19"/>
  <c r="AU5" i="19"/>
  <c r="S5" i="19"/>
  <c r="EW4" i="19"/>
  <c r="DZ4" i="19"/>
  <c r="DE4" i="19"/>
  <c r="CK4" i="19"/>
  <c r="BN4" i="19"/>
  <c r="AS4" i="19"/>
  <c r="AB4" i="19"/>
  <c r="N4" i="19"/>
  <c r="B4" i="19"/>
  <c r="EP5" i="18"/>
  <c r="EF5" i="18"/>
  <c r="DW5" i="18"/>
  <c r="DN5" i="18"/>
  <c r="DE5" i="18"/>
  <c r="CV5" i="18"/>
  <c r="CM5" i="18"/>
  <c r="CD5" i="18"/>
  <c r="BV5" i="18"/>
  <c r="BN5" i="18"/>
  <c r="BF5" i="18"/>
  <c r="AX5" i="18"/>
  <c r="AP5" i="18"/>
  <c r="AH5" i="18"/>
  <c r="Z5" i="18"/>
  <c r="R5" i="18"/>
  <c r="J5" i="18"/>
  <c r="B5" i="18"/>
  <c r="ER4" i="18"/>
  <c r="EJ4" i="18"/>
  <c r="EB4" i="18"/>
  <c r="DT4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ES4" i="20"/>
  <c r="CG4" i="20"/>
  <c r="AW4" i="20"/>
  <c r="Q4" i="20"/>
  <c r="EI5" i="19"/>
  <c r="DC5" i="19"/>
  <c r="BW5" i="19"/>
  <c r="AQ5" i="19"/>
  <c r="P5" i="19"/>
  <c r="ES4" i="19"/>
  <c r="DY4" i="19"/>
  <c r="DB4" i="19"/>
  <c r="CG4" i="19"/>
  <c r="BM4" i="19"/>
  <c r="AP4" i="19"/>
  <c r="Z4" i="19"/>
  <c r="M4" i="19"/>
  <c r="EN5" i="18"/>
  <c r="EE5" i="18"/>
  <c r="DV5" i="18"/>
  <c r="DM5" i="18"/>
  <c r="DD5" i="18"/>
  <c r="CU5" i="18"/>
  <c r="CL5" i="18"/>
  <c r="CC5" i="18"/>
  <c r="BU5" i="18"/>
  <c r="BM5" i="18"/>
  <c r="BE5" i="18"/>
  <c r="AW5" i="18"/>
  <c r="AO5" i="18"/>
  <c r="AG5" i="18"/>
  <c r="Y5" i="18"/>
  <c r="Q5" i="18"/>
  <c r="I5" i="18"/>
  <c r="A5" i="18"/>
  <c r="EQ4" i="18"/>
  <c r="EI4" i="18"/>
  <c r="EA4" i="18"/>
  <c r="DS4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EK4" i="20"/>
  <c r="BY4" i="20"/>
  <c r="AS4" i="20"/>
  <c r="M4" i="20"/>
  <c r="EE5" i="19"/>
  <c r="CY5" i="19"/>
  <c r="BS5" i="19"/>
  <c r="AM5" i="19"/>
  <c r="O5" i="19"/>
  <c r="EP4" i="19"/>
  <c r="DU4" i="19"/>
  <c r="DA4" i="19"/>
  <c r="CD4" i="19"/>
  <c r="BI4" i="19"/>
  <c r="AO4" i="19"/>
  <c r="Y4" i="19"/>
  <c r="L4" i="19"/>
  <c r="EV5" i="18"/>
  <c r="EM5" i="18"/>
  <c r="ED5" i="18"/>
  <c r="DU5" i="18"/>
  <c r="DL5" i="18"/>
  <c r="DC5" i="18"/>
  <c r="CT5" i="18"/>
  <c r="CJ5" i="18"/>
  <c r="CB5" i="18"/>
  <c r="BT5" i="18"/>
  <c r="BL5" i="18"/>
  <c r="BD5" i="18"/>
  <c r="AV5" i="18"/>
  <c r="AN5" i="18"/>
  <c r="AF5" i="18"/>
  <c r="X5" i="18"/>
  <c r="P5" i="18"/>
  <c r="H5" i="18"/>
  <c r="EX4" i="18"/>
  <c r="EP4" i="18"/>
  <c r="EH4" i="18"/>
  <c r="DZ4" i="18"/>
  <c r="DR4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ET4" i="17"/>
  <c r="EL4" i="17"/>
  <c r="ED4" i="17"/>
  <c r="DV4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EC4" i="20"/>
  <c r="BU4" i="20"/>
  <c r="AO4" i="20"/>
  <c r="I4" i="20"/>
  <c r="EA5" i="19"/>
  <c r="CU5" i="19"/>
  <c r="BO5" i="19"/>
  <c r="AI5" i="19"/>
  <c r="K5" i="19"/>
  <c r="EO4" i="19"/>
  <c r="DR4" i="19"/>
  <c r="CW4" i="19"/>
  <c r="CC4" i="19"/>
  <c r="BF4" i="19"/>
  <c r="AK4" i="19"/>
  <c r="V4" i="19"/>
  <c r="J4" i="19"/>
  <c r="EU5" i="18"/>
  <c r="EL5" i="18"/>
  <c r="EC5" i="18"/>
  <c r="DT5" i="18"/>
  <c r="DK5" i="18"/>
  <c r="DB5" i="18"/>
  <c r="CR5" i="18"/>
  <c r="CI5" i="18"/>
  <c r="CA5" i="18"/>
  <c r="BS5" i="18"/>
  <c r="BK5" i="18"/>
  <c r="BC5" i="18"/>
  <c r="AU5" i="18"/>
  <c r="AM5" i="18"/>
  <c r="AE5" i="18"/>
  <c r="W5" i="18"/>
  <c r="O5" i="18"/>
  <c r="G5" i="18"/>
  <c r="EW4" i="18"/>
  <c r="EO4" i="18"/>
  <c r="EG4" i="18"/>
  <c r="DY4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ES4" i="17"/>
  <c r="EK4" i="17"/>
  <c r="EC4" i="17"/>
  <c r="DU4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EU5" i="16"/>
  <c r="EM5" i="16"/>
  <c r="EE5" i="16"/>
  <c r="DW5" i="16"/>
  <c r="DO5" i="16"/>
  <c r="DG5" i="16"/>
  <c r="CY5" i="16"/>
  <c r="CQ5" i="16"/>
  <c r="CI5" i="16"/>
  <c r="CA5" i="16"/>
  <c r="BS5" i="16"/>
  <c r="DU4" i="20"/>
  <c r="BQ4" i="20"/>
  <c r="AK4" i="20"/>
  <c r="E4" i="20"/>
  <c r="DW5" i="19"/>
  <c r="CQ5" i="19"/>
  <c r="BK5" i="19"/>
  <c r="AE5" i="19"/>
  <c r="H5" i="19"/>
  <c r="EK4" i="19"/>
  <c r="DQ4" i="19"/>
  <c r="CT4" i="19"/>
  <c r="BY4" i="19"/>
  <c r="BE4" i="19"/>
  <c r="AH4" i="19"/>
  <c r="U4" i="19"/>
  <c r="I4" i="19"/>
  <c r="ET5" i="18"/>
  <c r="EK5" i="18"/>
  <c r="EB5" i="18"/>
  <c r="DS5" i="18"/>
  <c r="DJ5" i="18"/>
  <c r="CZ5" i="18"/>
  <c r="CQ5" i="18"/>
  <c r="CH5" i="18"/>
  <c r="BZ5" i="18"/>
  <c r="BR5" i="18"/>
  <c r="BJ5" i="18"/>
  <c r="BB5" i="18"/>
  <c r="AT5" i="18"/>
  <c r="AL5" i="18"/>
  <c r="AD5" i="18"/>
  <c r="V5" i="18"/>
  <c r="N5" i="18"/>
  <c r="F5" i="18"/>
  <c r="EV4" i="18"/>
  <c r="EN4" i="18"/>
  <c r="EF4" i="18"/>
  <c r="DX4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EV4" i="16"/>
  <c r="EN4" i="16"/>
  <c r="EF4" i="16"/>
  <c r="DX4" i="16"/>
  <c r="DP4" i="16"/>
  <c r="DH4" i="16"/>
  <c r="CZ4" i="16"/>
  <c r="CR4" i="16"/>
  <c r="CJ4" i="16"/>
  <c r="CB4" i="16"/>
  <c r="BT4" i="16"/>
  <c r="BL4" i="16"/>
  <c r="BD4" i="16"/>
  <c r="AV4" i="16"/>
  <c r="AN4" i="16"/>
  <c r="BK5" i="16"/>
  <c r="EW4" i="16"/>
  <c r="CO4" i="16"/>
  <c r="BI4" i="16"/>
  <c r="AQ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BC5" i="16"/>
  <c r="EO4" i="16"/>
  <c r="CK4" i="16"/>
  <c r="BE4" i="16"/>
  <c r="AP4" i="16"/>
  <c r="AG4" i="16"/>
  <c r="Y4" i="16"/>
  <c r="Q4" i="16"/>
  <c r="I4" i="16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EK4" i="15"/>
  <c r="EC4" i="15"/>
  <c r="DU4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AU5" i="16"/>
  <c r="EG4" i="16"/>
  <c r="CG4" i="16"/>
  <c r="BA4" i="16"/>
  <c r="AO4" i="16"/>
  <c r="AF4" i="16"/>
  <c r="X4" i="16"/>
  <c r="P4" i="16"/>
  <c r="H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AM5" i="16"/>
  <c r="DY4" i="16"/>
  <c r="CC4" i="16"/>
  <c r="AY4" i="16"/>
  <c r="AM4" i="16"/>
  <c r="AE4" i="16"/>
  <c r="W4" i="16"/>
  <c r="O4" i="16"/>
  <c r="G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AE5" i="16"/>
  <c r="DQ4" i="16"/>
  <c r="BY4" i="16"/>
  <c r="AX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W5" i="16"/>
  <c r="DI4" i="16"/>
  <c r="BU4" i="16"/>
  <c r="AW4" i="16"/>
  <c r="AK4" i="16"/>
  <c r="AC4" i="16"/>
  <c r="U4" i="16"/>
  <c r="M4" i="16"/>
  <c r="E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O5" i="16"/>
  <c r="DA4" i="16"/>
  <c r="BQ4" i="16"/>
  <c r="AS4" i="16"/>
  <c r="AJ4" i="16"/>
  <c r="AB4" i="16"/>
  <c r="T4" i="16"/>
  <c r="L4" i="16"/>
  <c r="D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G5" i="16"/>
  <c r="CS4" i="16"/>
  <c r="BM4" i="16"/>
  <c r="AR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Q5" i="12"/>
  <c r="ED5" i="12"/>
  <c r="DU5" i="12"/>
  <c r="DL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EM5" i="12"/>
  <c r="EC5" i="12"/>
  <c r="DT5" i="12"/>
  <c r="DK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EK5" i="12"/>
  <c r="EB5" i="12"/>
  <c r="DS5" i="12"/>
  <c r="DJ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EJ5" i="12"/>
  <c r="EA5" i="12"/>
  <c r="DR5" i="12"/>
  <c r="DI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EI5" i="12"/>
  <c r="DZ5" i="12"/>
  <c r="DQ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EH5" i="12"/>
  <c r="DY5" i="12"/>
  <c r="DO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EG5" i="12"/>
  <c r="DW5" i="12"/>
  <c r="DN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EE5" i="12"/>
  <c r="DV5" i="12"/>
  <c r="DM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Y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AW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M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DJ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DI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DH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DE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DD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I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H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G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F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E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J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A639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E638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D638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I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H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B497" i="3"/>
  <c r="J491" i="3"/>
  <c r="F486" i="3"/>
  <c r="B481" i="3"/>
  <c r="G478" i="3"/>
  <c r="H477" i="3"/>
  <c r="F476" i="3"/>
  <c r="E475" i="3"/>
  <c r="F474" i="3"/>
  <c r="I473" i="3"/>
  <c r="L472" i="3"/>
  <c r="C472" i="3"/>
  <c r="E471" i="3"/>
  <c r="H470" i="3"/>
  <c r="K469" i="3"/>
  <c r="B469" i="3"/>
  <c r="E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F496" i="3"/>
  <c r="B491" i="3"/>
  <c r="J485" i="3"/>
  <c r="F480" i="3"/>
  <c r="F478" i="3"/>
  <c r="E477" i="3"/>
  <c r="E476" i="3"/>
  <c r="C475" i="3"/>
  <c r="E474" i="3"/>
  <c r="H473" i="3"/>
  <c r="K472" i="3"/>
  <c r="A472" i="3"/>
  <c r="D471" i="3"/>
  <c r="G470" i="3"/>
  <c r="J469" i="3"/>
  <c r="A469" i="3"/>
  <c r="D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J495" i="3"/>
  <c r="F490" i="3"/>
  <c r="B485" i="3"/>
  <c r="J479" i="3"/>
  <c r="E478" i="3"/>
  <c r="C477" i="3"/>
  <c r="D476" i="3"/>
  <c r="B475" i="3"/>
  <c r="D474" i="3"/>
  <c r="G473" i="3"/>
  <c r="I472" i="3"/>
  <c r="L471" i="3"/>
  <c r="C471" i="3"/>
  <c r="F470" i="3"/>
  <c r="I469" i="3"/>
  <c r="L468" i="3"/>
  <c r="C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B495" i="3"/>
  <c r="J489" i="3"/>
  <c r="F484" i="3"/>
  <c r="I479" i="3"/>
  <c r="D478" i="3"/>
  <c r="B477" i="3"/>
  <c r="A476" i="3"/>
  <c r="A475" i="3"/>
  <c r="C474" i="3"/>
  <c r="E473" i="3"/>
  <c r="H472" i="3"/>
  <c r="K471" i="3"/>
  <c r="B471" i="3"/>
  <c r="E470" i="3"/>
  <c r="H469" i="3"/>
  <c r="K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F494" i="3"/>
  <c r="B489" i="3"/>
  <c r="J483" i="3"/>
  <c r="C479" i="3"/>
  <c r="A478" i="3"/>
  <c r="A477" i="3"/>
  <c r="K475" i="3"/>
  <c r="L474" i="3"/>
  <c r="A474" i="3"/>
  <c r="D473" i="3"/>
  <c r="G472" i="3"/>
  <c r="J471" i="3"/>
  <c r="A471" i="3"/>
  <c r="D470" i="3"/>
  <c r="G469" i="3"/>
  <c r="I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J493" i="3"/>
  <c r="F488" i="3"/>
  <c r="B483" i="3"/>
  <c r="B479" i="3"/>
  <c r="K477" i="3"/>
  <c r="L476" i="3"/>
  <c r="J475" i="3"/>
  <c r="I474" i="3"/>
  <c r="L473" i="3"/>
  <c r="C473" i="3"/>
  <c r="F472" i="3"/>
  <c r="I471" i="3"/>
  <c r="L470" i="3"/>
  <c r="C470" i="3"/>
  <c r="E469" i="3"/>
  <c r="H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B493" i="3"/>
  <c r="J487" i="3"/>
  <c r="F482" i="3"/>
  <c r="A479" i="3"/>
  <c r="J477" i="3"/>
  <c r="I476" i="3"/>
  <c r="I475" i="3"/>
  <c r="H474" i="3"/>
  <c r="K473" i="3"/>
  <c r="B473" i="3"/>
  <c r="E472" i="3"/>
  <c r="H471" i="3"/>
  <c r="K470" i="3"/>
  <c r="A470" i="3"/>
  <c r="D469" i="3"/>
  <c r="G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F492" i="3"/>
  <c r="B487" i="3"/>
  <c r="J481" i="3"/>
  <c r="I478" i="3"/>
  <c r="I477" i="3"/>
  <c r="G476" i="3"/>
  <c r="H475" i="3"/>
  <c r="G474" i="3"/>
  <c r="J473" i="3"/>
  <c r="A473" i="3"/>
  <c r="D472" i="3"/>
  <c r="G471" i="3"/>
  <c r="I470" i="3"/>
  <c r="L469" i="3"/>
  <c r="C469" i="3"/>
  <c r="F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H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D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C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139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L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J839" i="1"/>
  <c r="A837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B839" i="1"/>
  <c r="F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A839" i="1"/>
  <c r="E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F838" i="1"/>
  <c r="B836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E838" i="1"/>
  <c r="A836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J837" i="1"/>
  <c r="K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I837" i="1"/>
  <c r="J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B837" i="1"/>
  <c r="I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E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D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C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B666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A666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I329" i="1"/>
  <c r="B328" i="1"/>
  <c r="C327" i="1"/>
  <c r="E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E329" i="1"/>
  <c r="A328" i="1"/>
  <c r="B327" i="1"/>
  <c r="C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B329" i="1"/>
  <c r="K327" i="1"/>
  <c r="A327" i="1"/>
  <c r="B326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A4" i="1"/>
  <c r="A329" i="1"/>
  <c r="J327" i="1"/>
  <c r="K326" i="1"/>
  <c r="A326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J328" i="1"/>
  <c r="I327" i="1"/>
  <c r="J326" i="1"/>
  <c r="K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I328" i="1"/>
  <c r="G327" i="1"/>
  <c r="I326" i="1"/>
  <c r="J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F328" i="1"/>
  <c r="F327" i="1"/>
  <c r="G326" i="1"/>
  <c r="I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4" i="1"/>
  <c r="E328" i="1"/>
  <c r="E327" i="1"/>
  <c r="F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J2" i="21" l="1"/>
  <c r="J2" i="20"/>
  <c r="J2" i="17"/>
  <c r="J2" i="19"/>
  <c r="J2" i="18"/>
  <c r="J2" i="16"/>
  <c r="J2" i="14"/>
  <c r="J2" i="15"/>
  <c r="J2" i="13"/>
  <c r="J2" i="11"/>
  <c r="J2" i="12"/>
  <c r="J2" i="10"/>
  <c r="J2" i="9"/>
  <c r="J2" i="7"/>
  <c r="J2" i="8"/>
  <c r="J2" i="5"/>
  <c r="J2" i="6"/>
  <c r="J2" i="4"/>
</calcChain>
</file>

<file path=xl/sharedStrings.xml><?xml version="1.0" encoding="utf-8"?>
<sst xmlns="http://schemas.openxmlformats.org/spreadsheetml/2006/main" count="202" uniqueCount="47">
  <si>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</si>
  <si>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</si>
  <si>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</si>
  <si>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</si>
  <si>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</si>
  <si>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</si>
  <si>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</si>
  <si>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</si>
  <si>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</si>
  <si>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</si>
  <si>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</si>
  <si>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</si>
  <si>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</si>
  <si>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</si>
  <si>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</si>
  <si>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</si>
  <si>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</si>
  <si>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</si>
  <si>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Allocation3</t>
  </si>
  <si>
    <t>TradingTicket</t>
  </si>
  <si>
    <t>CreateLiveOrder</t>
  </si>
  <si>
    <t>MSFT</t>
  </si>
  <si>
    <t>Buy</t>
  </si>
  <si>
    <t>Unallocated</t>
  </si>
  <si>
    <t>Simulator</t>
  </si>
  <si>
    <t>AcknowledgeTrade</t>
  </si>
  <si>
    <t>SelectTrade</t>
  </si>
  <si>
    <t>ExecuteTrade</t>
  </si>
  <si>
    <t>SelectUnallocatedGroup</t>
  </si>
  <si>
    <t>EnterAllocatePreference</t>
  </si>
  <si>
    <t>Calculated</t>
  </si>
  <si>
    <t>EnterAccountValuesToAllocate</t>
  </si>
  <si>
    <t>Blotter</t>
  </si>
  <si>
    <t>VerifyOrder</t>
  </si>
  <si>
    <t>Equity</t>
  </si>
  <si>
    <t>Filled</t>
  </si>
  <si>
    <t>MS</t>
  </si>
  <si>
    <t>Market</t>
  </si>
  <si>
    <t>GetDataAllocation</t>
  </si>
  <si>
    <t>Current</t>
  </si>
  <si>
    <t>CheckAllocatedGroups</t>
  </si>
  <si>
    <t>Open</t>
  </si>
  <si>
    <t>US</t>
  </si>
  <si>
    <t>PortfolioManagement</t>
  </si>
  <si>
    <t>CheckPortfolioManagement</t>
  </si>
  <si>
    <t>Long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</si>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</sst>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4" fontId="1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28" t="s">
        <v>0</v>
      </c>
      <c r="B1" s="29"/>
      <c r="C1" s="29"/>
      <c r="D1" s="29"/>
      <c r="E1" s="29"/>
      <c r="F1" s="30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1" t="s">
        <v>2</v>
      </c>
      <c r="B1" s="29"/>
      <c r="C1" s="30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8" t="s">
        <v>7</v>
      </c>
      <c r="B1" s="29"/>
      <c r="C1" s="29"/>
      <c r="D1" s="29"/>
      <c r="E1" s="29"/>
      <c r="F1" s="30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2.75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2.75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2.75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2.75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2.75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2.75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2.75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7" t="s">
        <v>18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21</v>
      </c>
      <c r="C6" s="7" t="s">
        <v>22</v>
      </c>
      <c r="D6" s="7">
        <v>100</v>
      </c>
      <c r="E6" s="25"/>
      <c r="F6" s="7" t="s">
        <v>23</v>
      </c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21</v>
      </c>
      <c r="C7" s="7" t="s">
        <v>22</v>
      </c>
      <c r="D7" s="7">
        <v>150</v>
      </c>
      <c r="E7" s="25"/>
      <c r="F7" s="7" t="s">
        <v>23</v>
      </c>
      <c r="G7" s="5"/>
      <c r="H7" s="5"/>
      <c r="I7" s="5"/>
      <c r="J7" s="7">
        <v>15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22</v>
      </c>
      <c r="C6" s="7" t="s">
        <v>21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22</v>
      </c>
      <c r="C6" s="7" t="s">
        <v>21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>
        <v>10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22</v>
      </c>
      <c r="C6" s="7" t="s">
        <v>21</v>
      </c>
      <c r="D6" s="7"/>
      <c r="E6" s="25"/>
      <c r="F6" s="5"/>
      <c r="G6" s="7">
        <v>150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22</v>
      </c>
      <c r="C6" s="7" t="s">
        <v>21</v>
      </c>
      <c r="D6" s="7"/>
      <c r="E6" s="25"/>
      <c r="F6" s="5"/>
      <c r="G6" s="7">
        <v>150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>
        <v>15</v>
      </c>
      <c r="C6" s="7">
        <v>150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1-RJhOo2E5PhyqaiMEjsPi8RpfYBuiSqE9fj_-bRpkKw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21</v>
      </c>
      <c r="C6" s="7" t="s">
        <v>22</v>
      </c>
      <c r="D6" s="7">
        <v>100</v>
      </c>
      <c r="E6" s="25"/>
      <c r="F6" s="5"/>
      <c r="G6" s="5"/>
      <c r="H6" s="5"/>
      <c r="I6" s="5"/>
      <c r="J6" s="7" t="s">
        <v>22</v>
      </c>
      <c r="K6" s="5"/>
      <c r="L6" s="5"/>
      <c r="M6" s="5"/>
      <c r="N6" s="7">
        <v>10</v>
      </c>
      <c r="O6" s="7">
        <v>10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IFERROR(__xludf.DUMMYFUNCTION("""COMPUTED_VALUE"""),"PreferenceType")</f>
        <v>PreferenceType</v>
      </c>
      <c r="C5" s="22" t="str">
        <f ca="1">IFERROR(__xludf.DUMMYFUNCTION("""COMPUTED_VALUE"""),"PreferenceName")</f>
        <v>PreferenceName</v>
      </c>
      <c r="D5" s="22" t="str">
        <f ca="1">IFERROR(__xludf.DUMMYFUNCTION("""COMPUTED_VALUE"""),"PTTPrefNeeded")</f>
        <v>PTTPrefNeeded</v>
      </c>
      <c r="E5" s="22" t="str">
        <f ca="1">IFERROR(__xludf.DUMMYFUNCTION("""COMPUTED_VALUE"""),"IsForceAllocation")</f>
        <v>IsForceAllocation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IFERROR(__xludf.DUMMYFUNCTION("""COMPUTED_VALUE"""),"RemainderAllocationTo")</f>
        <v>RemainderAllocationTo</v>
      </c>
      <c r="H5" s="22" t="str">
        <f ca="1">IFERROR(__xludf.DUMMYFUNCTION("""COMPUTED_VALUE"""),"Target%AsOf")</f>
        <v>Target%AsOf</v>
      </c>
      <c r="I5" s="22" t="str">
        <f ca="1">IFERROR(__xludf.DUMMYFUNCTION("""COMPUTED_VALUE"""),"AccountsForProrata")</f>
        <v>AccountsForProrata</v>
      </c>
      <c r="J5" s="22" t="str">
        <f ca="1">IFERROR(__xludf.DUMMYFUNCTION("""COMPUTED_VALUE"""),"DateUptoDays")</f>
        <v>DateUptoDays</v>
      </c>
      <c r="K5" s="22" t="str">
        <f ca="1">IFERROR(__xludf.DUMMYFUNCTION("""COMPUTED_VALUE"""),"MatchClosingTransactions")</f>
        <v>MatchClosingTransactions</v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30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1mOtszotVOdqHquQTLi-4CBnAUrtAF2MEABuvYJh_hzw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Percentage")</f>
        <v>Account Percentage</v>
      </c>
      <c r="D5" s="22" t="str">
        <f ca="1">IFERROR(__xludf.DUMMYFUNCTION("""COMPUTED_VALUE"""),"Account Quantity")</f>
        <v>Account Quantity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18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1-RJhOo2E5PhyqaiMEjsPi8RpfYBuiSqE9fj_-bRpkKw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5"/>
      <c r="B6" s="7" t="s">
        <v>21</v>
      </c>
      <c r="C6" s="7" t="s">
        <v>22</v>
      </c>
      <c r="D6" s="7">
        <v>150</v>
      </c>
      <c r="E6" s="5"/>
      <c r="F6" s="5"/>
      <c r="G6" s="5"/>
      <c r="H6" s="5"/>
      <c r="I6" s="5"/>
      <c r="J6" s="7" t="s">
        <v>22</v>
      </c>
      <c r="K6" s="5"/>
      <c r="L6" s="5"/>
      <c r="M6" s="5"/>
      <c r="N6" s="7">
        <v>15</v>
      </c>
      <c r="O6" s="7">
        <v>15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1mOtszotVOdqHquQTLi-4CBnAUrtAF2MEABuvYJh_hzw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Percentage")</f>
        <v>Account Percentage</v>
      </c>
      <c r="D5" s="22" t="str">
        <f ca="1">IFERROR(__xludf.DUMMYFUNCTION("""COMPUTED_VALUE"""),"Account Quantity")</f>
        <v>Account Quantity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18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34</v>
      </c>
      <c r="AI6" s="6" t="s">
        <v>21</v>
      </c>
      <c r="AJ6" s="6" t="s">
        <v>22</v>
      </c>
      <c r="AK6" s="6" t="s">
        <v>35</v>
      </c>
      <c r="AL6" s="6">
        <v>100</v>
      </c>
      <c r="AM6" s="6">
        <v>100</v>
      </c>
      <c r="AN6" s="6">
        <v>100</v>
      </c>
      <c r="AO6" s="6">
        <v>100</v>
      </c>
      <c r="AQ6" s="6">
        <v>10</v>
      </c>
      <c r="AR6" s="6">
        <v>10</v>
      </c>
      <c r="AS6" s="6" t="s">
        <v>36</v>
      </c>
      <c r="AU6" s="6" t="s">
        <v>37</v>
      </c>
      <c r="AV6" s="26">
        <v>1000</v>
      </c>
      <c r="AW6" s="26">
        <v>1000</v>
      </c>
      <c r="AY6" s="6">
        <v>100</v>
      </c>
      <c r="AZ6" s="6">
        <v>0</v>
      </c>
    </row>
    <row r="7" spans="1:154" ht="15.75" customHeight="1" x14ac:dyDescent="0.2">
      <c r="A7" s="5"/>
      <c r="B7" s="5"/>
      <c r="C7" s="5"/>
      <c r="D7" s="7">
        <v>15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34</v>
      </c>
      <c r="AI7" s="6" t="s">
        <v>21</v>
      </c>
      <c r="AJ7" s="6" t="s">
        <v>22</v>
      </c>
      <c r="AK7" s="6" t="s">
        <v>35</v>
      </c>
      <c r="AL7" s="6">
        <v>150</v>
      </c>
      <c r="AM7" s="6">
        <v>150</v>
      </c>
      <c r="AN7" s="6">
        <v>100</v>
      </c>
      <c r="AO7" s="6">
        <v>150</v>
      </c>
      <c r="AQ7" s="6">
        <v>15</v>
      </c>
      <c r="AR7" s="6">
        <v>15</v>
      </c>
      <c r="AS7" s="6" t="s">
        <v>36</v>
      </c>
      <c r="AU7" s="6" t="s">
        <v>37</v>
      </c>
      <c r="AV7" s="26">
        <v>2250</v>
      </c>
      <c r="AW7" s="26">
        <v>2250</v>
      </c>
      <c r="AY7" s="6">
        <v>150</v>
      </c>
      <c r="AZ7" s="6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39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7"/>
      <c r="B6" s="7" t="s">
        <v>18</v>
      </c>
      <c r="C6" s="5"/>
      <c r="D6" s="7"/>
      <c r="E6" s="7">
        <v>100</v>
      </c>
      <c r="F6" s="5"/>
      <c r="G6" s="5"/>
      <c r="H6" s="7">
        <v>4</v>
      </c>
      <c r="I6" s="7">
        <v>5</v>
      </c>
      <c r="J6" s="7">
        <v>1</v>
      </c>
      <c r="K6" s="7">
        <v>10</v>
      </c>
      <c r="L6" s="7">
        <v>10</v>
      </c>
      <c r="M6" s="5"/>
      <c r="N6" s="5"/>
      <c r="O6" s="7" t="s">
        <v>36</v>
      </c>
      <c r="R6" s="6">
        <v>0</v>
      </c>
      <c r="S6" s="6" t="s">
        <v>41</v>
      </c>
      <c r="T6" s="6">
        <v>0</v>
      </c>
      <c r="U6" s="6">
        <v>0</v>
      </c>
      <c r="AE6" s="6">
        <v>100</v>
      </c>
      <c r="AI6" s="6">
        <v>1</v>
      </c>
      <c r="AT6" s="27">
        <v>1014.0006</v>
      </c>
      <c r="AU6" s="27">
        <v>1014.0006</v>
      </c>
      <c r="AW6" s="6">
        <v>0</v>
      </c>
      <c r="AY6" s="6" t="s">
        <v>37</v>
      </c>
      <c r="AZ6" s="6">
        <v>0</v>
      </c>
      <c r="BC6" s="6">
        <v>0</v>
      </c>
      <c r="BE6" s="27">
        <v>1000</v>
      </c>
      <c r="BF6" s="27">
        <v>1000</v>
      </c>
      <c r="BJ6" s="6">
        <v>100</v>
      </c>
      <c r="BK6" s="6">
        <v>0</v>
      </c>
      <c r="BO6" s="6" t="s">
        <v>22</v>
      </c>
      <c r="BP6" s="6">
        <v>0</v>
      </c>
      <c r="BQ6" s="6">
        <v>0</v>
      </c>
      <c r="BT6" s="6" t="s">
        <v>21</v>
      </c>
      <c r="BU6" s="6">
        <v>3</v>
      </c>
      <c r="BV6" s="6">
        <v>0</v>
      </c>
      <c r="BX6" s="6">
        <v>0</v>
      </c>
      <c r="CG6" s="6">
        <v>2</v>
      </c>
      <c r="CI6" s="6" t="s">
        <v>22</v>
      </c>
      <c r="CJ6" s="6">
        <v>0</v>
      </c>
      <c r="CK6" s="6" t="s">
        <v>42</v>
      </c>
      <c r="CM6" s="6" t="s">
        <v>21</v>
      </c>
    </row>
    <row r="7" spans="1:154" ht="15.75" customHeight="1" x14ac:dyDescent="0.25">
      <c r="A7" s="5"/>
      <c r="B7" s="7" t="s">
        <v>18</v>
      </c>
      <c r="C7" s="5"/>
      <c r="D7" s="5"/>
      <c r="E7" s="7">
        <v>150</v>
      </c>
      <c r="F7" s="5"/>
      <c r="G7" s="5"/>
      <c r="H7" s="7">
        <v>4</v>
      </c>
      <c r="I7" s="7">
        <v>5</v>
      </c>
      <c r="J7" s="7">
        <v>1</v>
      </c>
      <c r="K7" s="7">
        <v>15</v>
      </c>
      <c r="L7" s="7">
        <v>15</v>
      </c>
      <c r="M7" s="5"/>
      <c r="N7" s="5"/>
      <c r="O7" s="7" t="s">
        <v>36</v>
      </c>
      <c r="R7" s="6">
        <v>0</v>
      </c>
      <c r="S7" s="6" t="s">
        <v>41</v>
      </c>
      <c r="T7" s="6">
        <v>0</v>
      </c>
      <c r="U7" s="6">
        <v>0</v>
      </c>
      <c r="AE7" s="6">
        <v>150</v>
      </c>
      <c r="AI7" s="6">
        <v>1</v>
      </c>
      <c r="AT7" s="27">
        <v>2264.0012999999999</v>
      </c>
      <c r="AU7" s="27">
        <v>2264.0012999999999</v>
      </c>
      <c r="AW7" s="6">
        <v>0</v>
      </c>
      <c r="AY7" s="6" t="s">
        <v>37</v>
      </c>
      <c r="AZ7" s="6">
        <v>0</v>
      </c>
      <c r="BC7" s="6">
        <v>0</v>
      </c>
      <c r="BE7" s="27">
        <v>2250</v>
      </c>
      <c r="BF7" s="27">
        <v>2250</v>
      </c>
      <c r="BJ7" s="6">
        <v>150</v>
      </c>
      <c r="BK7" s="6">
        <v>0</v>
      </c>
      <c r="BO7" s="6" t="s">
        <v>22</v>
      </c>
      <c r="BP7" s="6">
        <v>0</v>
      </c>
      <c r="BQ7" s="6">
        <v>0</v>
      </c>
      <c r="BT7" s="6" t="s">
        <v>21</v>
      </c>
      <c r="BU7" s="6">
        <v>3</v>
      </c>
      <c r="BV7" s="6">
        <v>0</v>
      </c>
      <c r="BX7" s="6">
        <v>0</v>
      </c>
      <c r="CG7" s="6">
        <v>2</v>
      </c>
      <c r="CI7" s="6" t="s">
        <v>22</v>
      </c>
      <c r="CJ7" s="6">
        <v>0</v>
      </c>
      <c r="CK7" s="6" t="s">
        <v>42</v>
      </c>
      <c r="CM7" s="6" t="s">
        <v>21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28" t="s">
        <v>11</v>
      </c>
      <c r="C1" s="29"/>
      <c r="D1" s="29"/>
      <c r="E1" s="29"/>
      <c r="F1" s="29"/>
      <c r="G1" s="29"/>
      <c r="H1" s="3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46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 x14ac:dyDescent="0.2">
      <c r="A6" s="7"/>
      <c r="B6" s="7"/>
      <c r="C6" s="7" t="s">
        <v>21</v>
      </c>
      <c r="D6" s="7">
        <v>100</v>
      </c>
      <c r="E6" s="7" t="s">
        <v>18</v>
      </c>
      <c r="F6" s="5"/>
      <c r="G6" s="7">
        <v>10</v>
      </c>
      <c r="H6" s="7" t="s">
        <v>45</v>
      </c>
      <c r="I6" s="5"/>
      <c r="J6" s="5"/>
      <c r="K6" s="5"/>
      <c r="L6" s="5"/>
      <c r="M6" s="5"/>
      <c r="N6" s="5"/>
      <c r="O6" s="5"/>
      <c r="AN6" s="6" t="s">
        <v>22</v>
      </c>
    </row>
    <row r="7" spans="1:167" ht="15.75" customHeight="1" x14ac:dyDescent="0.2">
      <c r="A7" s="5"/>
      <c r="B7" s="5"/>
      <c r="C7" s="7" t="s">
        <v>21</v>
      </c>
      <c r="D7" s="7">
        <v>150</v>
      </c>
      <c r="E7" s="7" t="s">
        <v>18</v>
      </c>
      <c r="F7" s="5"/>
      <c r="G7" s="7">
        <v>15</v>
      </c>
      <c r="H7" s="7" t="s">
        <v>45</v>
      </c>
      <c r="I7" s="5"/>
      <c r="J7" s="5"/>
      <c r="K7" s="5"/>
      <c r="L7" s="5"/>
      <c r="M7" s="5"/>
      <c r="N7" s="5"/>
      <c r="O7" s="5"/>
      <c r="AN7" s="6" t="s">
        <v>22</v>
      </c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SetAutoGroupingPreferences</vt:lpstr>
      <vt:lpstr>SetAutoGroupingAccount</vt:lpstr>
      <vt:lpstr>CreateLiveOrder</vt:lpstr>
      <vt:lpstr>AcknowledgeTrade</vt:lpstr>
      <vt:lpstr>SelectTrade</vt:lpstr>
      <vt:lpstr>ExecuteTrade</vt:lpstr>
      <vt:lpstr>SelectTrade1</vt:lpstr>
      <vt:lpstr>AcknowledgeTrade1</vt:lpstr>
      <vt:lpstr>ExecuteTrade1</vt:lpstr>
      <vt:lpstr>SelectUnallocatedGroup</vt:lpstr>
      <vt:lpstr>EnterAllocatePreference</vt:lpstr>
      <vt:lpstr>EnterAccountValuesToAllocate</vt:lpstr>
      <vt:lpstr>SelectUnallocatedGroup2</vt:lpstr>
      <vt:lpstr>EnterAccountValuesToAllocate1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2021-08-04T10:14:02Z</dcterms:modified>
</cp:coreProperties>
</file>