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<sst xmlns="http://schemas.openxmlformats.org/spreadsheetml/2006/main" count="112" uniqueCount="46">
  <si>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</si>
  <si>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</si>
  <si>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</si>
  <si>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</si>
  <si>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</si>
  <si>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</si>
  <si>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</si>
  <si>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</si>
  <si>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</si>
  <si>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</si>
  <si>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</si>
  <si>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</si>
  <si>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</si>
  <si>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</si>
  <si>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</si>
  <si>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</si>
  <si>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</si>
  <si>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</si>
  <si>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 xml:space="preserve">Allocation1 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</si>
  <si>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</si>
  <si>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</si>
  <si>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</si>
  <si>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</si>
  <si>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</si>
  <si>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</si>
  <si>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</si>
  <si>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RebalancePreference</t>
  </si>
  <si>
    <t>Allocation1,Other Assets Market Value,Swap NAV Adjustments,Unrealized P&amp;L of Swaps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</si>
  <si>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</si>
  <si>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</si>
  <si>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</si>
  <si>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</si>
  <si>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</si>
  <si>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</si>
  <si>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</si>
  <si>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</si>
  <si>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</si>
  <si>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</si>
  <si>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</si>
  <si>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</si>
  <si>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</si>
  <si>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</si>
  <si>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</si>
  <si>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Other Assets Market Value</t>
  </si>
  <si>
    <t>Swap NAV adjustment</t>
  </si>
  <si>
    <t>Unrealized P&amp;L of Swaps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</si>
</sst>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1000.0</v>
      </c>
      <c r="E6" s="33">
        <v>1000.0</v>
      </c>
      <c r="F6" s="31"/>
      <c r="G6" s="31"/>
      <c r="H6" s="31"/>
      <c r="I6" s="31"/>
      <c r="J6" s="33">
        <v>10.0</v>
      </c>
      <c r="K6" s="31"/>
      <c r="L6" s="31"/>
      <c r="M6" s="31"/>
      <c r="N6" s="34">
        <f>today()</f>
        <v>44923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today()-1</f>
        <v>44922</v>
      </c>
      <c r="C6" s="34">
        <f t="shared" si="1"/>
        <v>44922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2">
        <v>10000.0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 t="str">
        <f>IFERROR(__xludf.DUMMYFUNCTION("""COMPUTED_VALUE"""),"SymbologyChangeRB")</f>
        <v>SymbologyChangeRB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IFERROR(__xludf.DUMMYFUNCTION("""COMPUTED_VALUE"""),"CheckCompliance")</f>
        <v>CheckCompliance</v>
      </c>
      <c r="S4" s="25" t="str">
        <f>IFERROR(__xludf.DUMMYFUNCTION("""COMPUTED_VALUE"""),"CheckBasketCompliance")</f>
        <v>CheckBasketCompliance</v>
      </c>
      <c r="T4" s="25" t="str">
        <f>IFERROR(__xludf.DUMMYFUNCTION("""COMPUTED_VALUE"""),"EnableComplianceTab")</f>
        <v>EnableComplianceTab</v>
      </c>
      <c r="U4" s="25" t="str">
        <f>IFERROR(__xludf.DUMMYFUNCTION("""COMPUTED_VALUE"""),"RebalancePreference")</f>
        <v>RebalancePreference</v>
      </c>
      <c r="V4" s="25" t="str">
        <f>IFERROR(__xludf.DUMMYFUNCTION("""COMPUTED_VALUE"""),"CloseRebalancer")</f>
        <v>CloseRebalancer</v>
      </c>
      <c r="W4" s="25" t="str">
        <f>IFERROR(__xludf.DUMMYFUNCTION("""COMPUTED_VALUE"""),"AddCustomCashUsingImport")</f>
        <v>AddCustomCashUsingImport</v>
      </c>
      <c r="X4" s="25" t="str">
        <f>IFERROR(__xludf.DUMMYFUNCTION("""COMPUTED_VALUE"""),"EditRebalanceGrid")</f>
        <v>EditRebalanceGrid</v>
      </c>
      <c r="Y4" s="25" t="str">
        <f>IFERROR(__xludf.DUMMYFUNCTION("""COMPUTED_VALUE"""),"ImportModelPortfolio")</f>
        <v>ImportModelPortfolio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5" t="s">
        <v>27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 t="str">
        <f>IFERROR(__xludf.DUMMYFUNCTION("""COMPUTED_VALUE"""),"SymbologyChangeRB")</f>
        <v>SymbologyChangeRB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IFERROR(__xludf.DUMMYFUNCTION("""COMPUTED_VALUE"""),"CheckCompliance")</f>
        <v>CheckCompliance</v>
      </c>
      <c r="S4" s="25" t="str">
        <f>IFERROR(__xludf.DUMMYFUNCTION("""COMPUTED_VALUE"""),"CheckBasketCompliance")</f>
        <v>CheckBasketCompliance</v>
      </c>
      <c r="T4" s="25" t="str">
        <f>IFERROR(__xludf.DUMMYFUNCTION("""COMPUTED_VALUE"""),"EnableComplianceTab")</f>
        <v>EnableComplianceTab</v>
      </c>
      <c r="U4" s="25" t="str">
        <f>IFERROR(__xludf.DUMMYFUNCTION("""COMPUTED_VALUE"""),"RebalancePreference")</f>
        <v>RebalancePreference</v>
      </c>
      <c r="V4" s="25" t="str">
        <f>IFERROR(__xludf.DUMMYFUNCTION("""COMPUTED_VALUE"""),"CloseRebalancer")</f>
        <v>CloseRebalancer</v>
      </c>
      <c r="W4" s="25" t="str">
        <f>IFERROR(__xludf.DUMMYFUNCTION("""COMPUTED_VALUE"""),"AddCustomCashUsingImport")</f>
        <v>AddCustomCashUsingImport</v>
      </c>
      <c r="X4" s="25" t="str">
        <f>IFERROR(__xludf.DUMMYFUNCTION("""COMPUTED_VALUE"""),"EditRebalanceGrid")</f>
        <v>EditRebalanceGrid</v>
      </c>
      <c r="Y4" s="25" t="str">
        <f>IFERROR(__xludf.DUMMYFUNCTION("""COMPUTED_VALUE"""),"ImportModelPortfolio")</f>
        <v>ImportModelPortfolio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1" t="s">
        <v>23</v>
      </c>
      <c r="C6" s="36" t="s">
        <v>29</v>
      </c>
      <c r="D6" s="11" t="s">
        <v>30</v>
      </c>
      <c r="E6" s="36" t="s">
        <v>31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 t="str">
        <f>IFERROR(__xludf.DUMMYFUNCTION("""COMPUTED_VALUE"""),"SymbologyChangeRB")</f>
        <v>SymbologyChangeRB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IFERROR(__xludf.DUMMYFUNCTION("""COMPUTED_VALUE"""),"CheckCompliance")</f>
        <v>CheckCompliance</v>
      </c>
      <c r="S4" s="25" t="str">
        <f>IFERROR(__xludf.DUMMYFUNCTION("""COMPUTED_VALUE"""),"CheckBasketCompliance")</f>
        <v>CheckBasketCompliance</v>
      </c>
      <c r="T4" s="25" t="str">
        <f>IFERROR(__xludf.DUMMYFUNCTION("""COMPUTED_VALUE"""),"EnableComplianceTab")</f>
        <v>EnableComplianceTab</v>
      </c>
      <c r="U4" s="25" t="str">
        <f>IFERROR(__xludf.DUMMYFUNCTION("""COMPUTED_VALUE"""),"RebalancePreference")</f>
        <v>RebalancePreference</v>
      </c>
      <c r="V4" s="25" t="str">
        <f>IFERROR(__xludf.DUMMYFUNCTION("""COMPUTED_VALUE"""),"CloseRebalancer")</f>
        <v>CloseRebalancer</v>
      </c>
      <c r="W4" s="25" t="str">
        <f>IFERROR(__xludf.DUMMYFUNCTION("""COMPUTED_VALUE"""),"AddCustomCashUsingImport")</f>
        <v>AddCustomCashUsingImport</v>
      </c>
      <c r="X4" s="25" t="str">
        <f>IFERROR(__xludf.DUMMYFUNCTION("""COMPUTED_VALUE"""),"EditRebalanceGrid")</f>
        <v>EditRebalanceGrid</v>
      </c>
      <c r="Y4" s="25" t="str">
        <f>IFERROR(__xludf.DUMMYFUNCTION("""COMPUTED_VALUE"""),"ImportModelPortfolio")</f>
        <v>ImportModelPortfolio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>
        <v>10000.0</v>
      </c>
      <c r="C6" s="39" t="s">
        <v>33</v>
      </c>
      <c r="D6" s="40" t="s">
        <v>34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 t="str">
        <f>IFERROR(__xludf.DUMMYFUNCTION("""COMPUTED_VALUE"""),"SymbologyChangeRB")</f>
        <v>SymbologyChangeRB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IFERROR(__xludf.DUMMYFUNCTION("""COMPUTED_VALUE"""),"CheckCompliance")</f>
        <v>CheckCompliance</v>
      </c>
      <c r="S4" s="25" t="str">
        <f>IFERROR(__xludf.DUMMYFUNCTION("""COMPUTED_VALUE"""),"CheckBasketCompliance")</f>
        <v>CheckBasketCompliance</v>
      </c>
      <c r="T4" s="25" t="str">
        <f>IFERROR(__xludf.DUMMYFUNCTION("""COMPUTED_VALUE"""),"EnableComplianceTab")</f>
        <v>EnableComplianceTab</v>
      </c>
      <c r="U4" s="25" t="str">
        <f>IFERROR(__xludf.DUMMYFUNCTION("""COMPUTED_VALUE"""),"RebalancePreference")</f>
        <v>RebalancePreference</v>
      </c>
      <c r="V4" s="25" t="str">
        <f>IFERROR(__xludf.DUMMYFUNCTION("""COMPUTED_VALUE"""),"CloseRebalancer")</f>
        <v>CloseRebalancer</v>
      </c>
      <c r="W4" s="25" t="str">
        <f>IFERROR(__xludf.DUMMYFUNCTION("""COMPUTED_VALUE"""),"AddCustomCashUsingImport")</f>
        <v>AddCustomCashUsingImport</v>
      </c>
      <c r="X4" s="25" t="str">
        <f>IFERROR(__xludf.DUMMYFUNCTION("""COMPUTED_VALUE"""),"EditRebalanceGrid")</f>
        <v>EditRebalanceGrid</v>
      </c>
      <c r="Y4" s="25" t="str">
        <f>IFERROR(__xludf.DUMMYFUNCTION("""COMPUTED_VALUE"""),"ImportModelPortfolio")</f>
        <v>ImportModelPortfolio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 t="str">
        <f>IFERROR(__xludf.DUMMYFUNCTION("""COMPUTED_VALUE"""),"SymbologyChangeRB")</f>
        <v>SymbologyChangeRB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IFERROR(__xludf.DUMMYFUNCTION("""COMPUTED_VALUE"""),"CheckCompliance")</f>
        <v>CheckCompliance</v>
      </c>
      <c r="S4" s="25" t="str">
        <f>IFERROR(__xludf.DUMMYFUNCTION("""COMPUTED_VALUE"""),"CheckBasketCompliance")</f>
        <v>CheckBasketCompliance</v>
      </c>
      <c r="T4" s="25" t="str">
        <f>IFERROR(__xludf.DUMMYFUNCTION("""COMPUTED_VALUE"""),"EnableComplianceTab")</f>
        <v>EnableComplianceTab</v>
      </c>
      <c r="U4" s="25" t="str">
        <f>IFERROR(__xludf.DUMMYFUNCTION("""COMPUTED_VALUE"""),"RebalancePreference")</f>
        <v>RebalancePreference</v>
      </c>
      <c r="V4" s="25" t="str">
        <f>IFERROR(__xludf.DUMMYFUNCTION("""COMPUTED_VALUE"""),"CloseRebalancer")</f>
        <v>CloseRebalancer</v>
      </c>
      <c r="W4" s="25" t="str">
        <f>IFERROR(__xludf.DUMMYFUNCTION("""COMPUTED_VALUE"""),"AddCustomCashUsingImport")</f>
        <v>AddCustomCashUsingImport</v>
      </c>
      <c r="X4" s="25" t="str">
        <f>IFERROR(__xludf.DUMMYFUNCTION("""COMPUTED_VALUE"""),"EditRebalanceGrid")</f>
        <v>EditRebalanceGrid</v>
      </c>
      <c r="Y4" s="25" t="str">
        <f>IFERROR(__xludf.DUMMYFUNCTION("""COMPUTED_VALUE"""),"ImportModelPortfolio")</f>
        <v>ImportModelPortfolio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43" t="s">
        <v>23</v>
      </c>
      <c r="D6" s="43" t="s">
        <v>16</v>
      </c>
      <c r="E6" s="43" t="s">
        <v>38</v>
      </c>
      <c r="F6" s="43" t="s">
        <v>39</v>
      </c>
      <c r="G6" s="44">
        <v>15.0</v>
      </c>
      <c r="H6" s="44">
        <v>15.0</v>
      </c>
      <c r="I6" s="44">
        <v>1.0</v>
      </c>
      <c r="J6" s="8"/>
      <c r="K6" s="44">
        <v>1000.0</v>
      </c>
      <c r="L6" s="44">
        <v>15000.0</v>
      </c>
      <c r="M6" s="44">
        <v>15000.0</v>
      </c>
      <c r="N6" s="8"/>
      <c r="O6" s="44">
        <v>1667.0</v>
      </c>
      <c r="P6" s="44">
        <v>25005.0</v>
      </c>
      <c r="Q6" s="44">
        <v>25005.0</v>
      </c>
      <c r="R6" s="44">
        <v>667.0</v>
      </c>
      <c r="S6" s="45">
        <v>10005.0</v>
      </c>
    </row>
    <row r="7" ht="15.75" customHeight="1">
      <c r="A7" s="8"/>
      <c r="B7" s="8"/>
      <c r="C7" s="43" t="s">
        <v>23</v>
      </c>
      <c r="D7" s="43" t="s">
        <v>40</v>
      </c>
      <c r="E7" s="43" t="s">
        <v>40</v>
      </c>
      <c r="F7" s="43" t="s">
        <v>39</v>
      </c>
      <c r="G7" s="44">
        <v>1.0</v>
      </c>
      <c r="H7" s="44">
        <v>1.0</v>
      </c>
      <c r="I7" s="44">
        <v>1.0</v>
      </c>
      <c r="J7" s="8"/>
      <c r="K7" s="44">
        <v>0.0</v>
      </c>
      <c r="L7" s="44">
        <v>0.0</v>
      </c>
      <c r="M7" s="44">
        <v>0.0</v>
      </c>
      <c r="N7" s="8"/>
      <c r="O7" s="44">
        <v>0.0</v>
      </c>
      <c r="P7" s="44">
        <v>0.0</v>
      </c>
      <c r="Q7" s="44">
        <v>0.0</v>
      </c>
      <c r="R7" s="44">
        <v>0.0</v>
      </c>
      <c r="S7" s="44">
        <v>0.0</v>
      </c>
    </row>
    <row r="8" ht="15.75" customHeight="1">
      <c r="A8" s="8"/>
      <c r="B8" s="8"/>
      <c r="C8" s="43" t="s">
        <v>23</v>
      </c>
      <c r="D8" s="43" t="s">
        <v>41</v>
      </c>
      <c r="E8" s="43" t="s">
        <v>41</v>
      </c>
      <c r="F8" s="43" t="s">
        <v>42</v>
      </c>
      <c r="G8" s="44">
        <v>1.0</v>
      </c>
      <c r="H8" s="44">
        <v>1.0</v>
      </c>
      <c r="I8" s="44">
        <v>1.0</v>
      </c>
      <c r="J8" s="8"/>
      <c r="K8" s="44">
        <v>0.0</v>
      </c>
      <c r="L8" s="44">
        <v>0.0</v>
      </c>
      <c r="M8" s="44">
        <v>0.0</v>
      </c>
      <c r="N8" s="8"/>
      <c r="O8" s="44">
        <v>5.0</v>
      </c>
      <c r="P8" s="44">
        <v>-5.0</v>
      </c>
      <c r="Q8" s="44">
        <v>-5.0</v>
      </c>
      <c r="R8" s="44">
        <v>5.0</v>
      </c>
      <c r="S8" s="45">
        <v>-5.0</v>
      </c>
    </row>
    <row r="9" ht="15.75" customHeight="1">
      <c r="A9" s="8"/>
      <c r="B9" s="8"/>
      <c r="C9" s="43" t="s">
        <v>23</v>
      </c>
      <c r="D9" s="43" t="s">
        <v>43</v>
      </c>
      <c r="E9" s="43" t="s">
        <v>43</v>
      </c>
      <c r="F9" s="43" t="s">
        <v>39</v>
      </c>
      <c r="G9" s="44">
        <v>1.0</v>
      </c>
      <c r="H9" s="44">
        <v>1.0</v>
      </c>
      <c r="I9" s="44">
        <v>1.0</v>
      </c>
      <c r="J9" s="8"/>
      <c r="K9" s="44">
        <v>0.0</v>
      </c>
      <c r="L9" s="44">
        <v>0.0</v>
      </c>
      <c r="M9" s="44">
        <v>0.0</v>
      </c>
      <c r="N9" s="8"/>
      <c r="O9" s="44">
        <v>0.0</v>
      </c>
      <c r="P9" s="44">
        <v>0.0</v>
      </c>
      <c r="Q9" s="44">
        <v>0.0</v>
      </c>
      <c r="R9" s="44">
        <v>0.0</v>
      </c>
      <c r="S9" s="44">
        <v>0.0</v>
      </c>
    </row>
    <row r="10" ht="15.75" customHeight="1">
      <c r="A10" s="8"/>
      <c r="B10" s="8"/>
      <c r="C10" s="43" t="s">
        <v>23</v>
      </c>
      <c r="D10" s="43" t="s">
        <v>44</v>
      </c>
      <c r="E10" s="43" t="s">
        <v>44</v>
      </c>
      <c r="F10" s="43" t="s">
        <v>39</v>
      </c>
      <c r="G10" s="44">
        <v>1.0</v>
      </c>
      <c r="H10" s="44">
        <v>1.0</v>
      </c>
      <c r="I10" s="44">
        <v>1.0</v>
      </c>
      <c r="J10" s="8"/>
      <c r="K10" s="44">
        <v>0.0</v>
      </c>
      <c r="L10" s="44">
        <v>0.0</v>
      </c>
      <c r="M10" s="44">
        <v>0.0</v>
      </c>
      <c r="N10" s="8"/>
      <c r="O10" s="44">
        <v>0.0</v>
      </c>
      <c r="P10" s="44">
        <v>0.0</v>
      </c>
      <c r="Q10" s="44">
        <v>0.0</v>
      </c>
      <c r="R10" s="44">
        <v>0.0</v>
      </c>
      <c r="S10" s="44">
        <v>0.0</v>
      </c>
    </row>
    <row r="11" ht="15.75" customHeight="1">
      <c r="A11" s="8"/>
      <c r="B11" s="8"/>
      <c r="C11" s="43" t="s">
        <v>23</v>
      </c>
      <c r="D11" s="43" t="s">
        <v>45</v>
      </c>
      <c r="E11" s="43" t="s">
        <v>45</v>
      </c>
      <c r="F11" s="43" t="s">
        <v>39</v>
      </c>
      <c r="G11" s="44">
        <v>1.0</v>
      </c>
      <c r="H11" s="44">
        <v>1.0</v>
      </c>
      <c r="I11" s="44">
        <v>1.0</v>
      </c>
      <c r="J11" s="8"/>
      <c r="K11" s="44">
        <v>0.0</v>
      </c>
      <c r="L11" s="44">
        <v>0.0</v>
      </c>
      <c r="M11" s="44">
        <v>0.0</v>
      </c>
      <c r="N11" s="8"/>
      <c r="O11" s="44">
        <v>0.0</v>
      </c>
      <c r="P11" s="44">
        <v>0.0</v>
      </c>
      <c r="Q11" s="44">
        <v>0.0</v>
      </c>
      <c r="R11" s="44">
        <v>0.0</v>
      </c>
      <c r="S11" s="44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