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NonTradingTransaction" sheetId="6" r:id="rId8"/>
    <sheet state="visible" name="AddNonTradingTransaction" sheetId="7" r:id="rId9"/>
    <sheet state="visible" name="CheckDashboardPM" sheetId="8" r:id="rId10"/>
    <sheet state="visible" name="UpdateExpnlConfig1" sheetId="9" r:id="rId11"/>
    <sheet state="visible" name="CreateDoneAwayOrder1" sheetId="10" r:id="rId12"/>
    <sheet state="visible" name="CheckDashboardPM1" sheetId="11" r:id="rId13"/>
  </sheets>
  <definedNames/>
  <calcPr/>
</workbook>
</file>

<file path=xl/sharedStrings.xml><?xml version="1.0" encoding="utf-8"?>
<sst xmlns="http://schemas.openxmlformats.org/spreadsheetml/2006/main" count="89" uniqueCount="36">
  <si>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</si>
  <si>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</si>
  <si>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</si>
  <si>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</si>
  <si>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</si>
  <si>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</si>
  <si>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</si>
  <si>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</si>
  <si>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</si>
  <si>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</si>
  <si>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</si>
  <si>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</si>
  <si>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</si>
  <si>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</si>
  <si>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</si>
  <si>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</si>
  <si>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IsIncludeTradingDayAccruals</t>
  </si>
  <si>
    <t>IsAccrualsNeededOnPM</t>
  </si>
  <si>
    <t>TradingTicket</t>
  </si>
  <si>
    <t>CreateDoneAwayOrder</t>
  </si>
  <si>
    <t>MSFT</t>
  </si>
  <si>
    <t>Buy</t>
  </si>
  <si>
    <t>Allocation2</t>
  </si>
  <si>
    <t>GeneralLedger</t>
  </si>
  <si>
    <t>GetNonTradingTransaction</t>
  </si>
  <si>
    <t>AddNonTradingTransaction</t>
  </si>
  <si>
    <t>USD</t>
  </si>
  <si>
    <t>Dividend - Expense [Expenses]</t>
  </si>
  <si>
    <t>DR</t>
  </si>
  <si>
    <t>Dividend - Payable [Liability]</t>
  </si>
  <si>
    <t>CR</t>
  </si>
  <si>
    <t>PortfolioManagement</t>
  </si>
  <si>
    <t>CheckDashboardPM</t>
  </si>
  <si>
    <t>AAPL</t>
  </si>
  <si>
    <t>Allocation1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</si>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</sst>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E7E8E9"/>
      <name val="&quot;Segoe UI&quot;"/>
    </font>
    <font>
      <sz val="9.0"/>
      <color rgb="FF868686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6" fontId="13" numFmtId="164" xfId="0" applyAlignment="1" applyBorder="1" applyFill="1" applyFont="1" applyNumberFormat="1">
      <alignment horizontal="right" readingOrder="0" shrinkToFit="0" wrapText="0"/>
    </xf>
    <xf borderId="5" fillId="6" fontId="14" numFmtId="0" xfId="0" applyAlignment="1" applyBorder="1" applyFont="1">
      <alignment horizontal="right" readingOrder="0" shrinkToFit="0" wrapText="0"/>
    </xf>
    <xf borderId="5" fillId="6" fontId="13" numFmtId="0" xfId="0" applyAlignment="1" applyBorder="1" applyFont="1">
      <alignment horizontal="right" shrinkToFit="0" wrapText="0"/>
    </xf>
    <xf borderId="5" fillId="6" fontId="13" numFmtId="0" xfId="0" applyAlignment="1" applyBorder="1" applyFont="1">
      <alignment horizontal="right" readingOrder="0" shrinkToFit="0" wrapText="0"/>
    </xf>
    <xf borderId="5" fillId="6" fontId="15" numFmtId="0" xfId="0" applyAlignment="1" applyBorder="1" applyFont="1">
      <alignment horizontal="right" readingOrder="0" shrinkToFit="0" wrapText="0"/>
    </xf>
    <xf borderId="5" fillId="6" fontId="13" numFmtId="0" xfId="0" applyAlignment="1" applyBorder="1" applyFont="1">
      <alignment horizontal="right" shrinkToFit="0" wrapText="0"/>
    </xf>
    <xf borderId="5" fillId="7" fontId="13" numFmtId="0" xfId="0" applyAlignment="1" applyBorder="1" applyFill="1" applyFont="1">
      <alignment horizontal="right" readingOrder="0" shrinkToFit="0" wrapText="0"/>
    </xf>
    <xf borderId="5" fillId="7" fontId="16" numFmtId="0" xfId="0" applyAlignment="1" applyBorder="1" applyFont="1">
      <alignment horizontal="right"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1000.0</v>
      </c>
      <c r="E6" s="30"/>
      <c r="F6" s="12" t="s">
        <v>22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31">
        <f t="shared" ref="D6:E6" si="1">TODAY()</f>
        <v>45818</v>
      </c>
      <c r="E6" s="31">
        <f t="shared" si="1"/>
        <v>45818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45813.0</v>
      </c>
      <c r="C6" s="33" t="s">
        <v>22</v>
      </c>
      <c r="D6" s="34"/>
      <c r="E6" s="35" t="s">
        <v>26</v>
      </c>
      <c r="F6" s="35" t="s">
        <v>27</v>
      </c>
      <c r="G6" s="35" t="s">
        <v>28</v>
      </c>
      <c r="H6" s="35">
        <v>10.0</v>
      </c>
      <c r="I6" s="36">
        <v>0.0</v>
      </c>
      <c r="J6" s="8"/>
      <c r="K6" s="8"/>
      <c r="L6" s="8"/>
      <c r="M6" s="8"/>
      <c r="N6" s="8"/>
      <c r="O6" s="8"/>
    </row>
    <row r="7" ht="15.75" customHeight="1">
      <c r="A7" s="8"/>
      <c r="B7" s="32">
        <v>45813.0</v>
      </c>
      <c r="C7" s="33" t="s">
        <v>22</v>
      </c>
      <c r="D7" s="37"/>
      <c r="E7" s="35" t="s">
        <v>26</v>
      </c>
      <c r="F7" s="38" t="s">
        <v>29</v>
      </c>
      <c r="G7" s="38" t="s">
        <v>30</v>
      </c>
      <c r="H7" s="39">
        <v>0.0</v>
      </c>
      <c r="I7" s="38">
        <v>10.0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21</v>
      </c>
      <c r="D6" s="12">
        <v>1000.0</v>
      </c>
      <c r="E6" s="30"/>
      <c r="F6" s="12" t="s">
        <v>34</v>
      </c>
      <c r="G6" s="8"/>
      <c r="H6" s="8"/>
      <c r="I6" s="8"/>
      <c r="J6" s="12">
        <v>10.0</v>
      </c>
      <c r="K6" s="8"/>
      <c r="L6" s="8"/>
      <c r="M6" s="8"/>
      <c r="N6" s="40">
        <f t="shared" ref="N6:N7" si="1">TODAY()-3</f>
        <v>45815</v>
      </c>
      <c r="O6" s="8"/>
    </row>
    <row r="7" ht="15.75" customHeight="1">
      <c r="A7" s="12"/>
      <c r="B7" s="12" t="s">
        <v>33</v>
      </c>
      <c r="C7" s="12" t="s">
        <v>35</v>
      </c>
      <c r="D7" s="12">
        <v>1000.0</v>
      </c>
      <c r="E7" s="30"/>
      <c r="F7" s="12" t="s">
        <v>34</v>
      </c>
      <c r="G7" s="8"/>
      <c r="H7" s="8"/>
      <c r="I7" s="8"/>
      <c r="J7" s="12">
        <v>10.0</v>
      </c>
      <c r="K7" s="8"/>
      <c r="L7" s="8"/>
      <c r="M7" s="8"/>
      <c r="N7" s="40">
        <f t="shared" si="1"/>
        <v>45815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