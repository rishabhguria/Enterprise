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StageOrder" sheetId="6" r:id="rId8"/>
    <sheet state="visible" name="PricingInput" sheetId="7" r:id="rId9"/>
    <sheet state="visible" name="CreateComplianceOrder" sheetId="8" r:id="rId10"/>
    <sheet state="visible" name="GetDailyCash" sheetId="9" r:id="rId11"/>
    <sheet state="visible" name="UpdateMultipleDailyCash" sheetId="10" r:id="rId12"/>
    <sheet state="visible" name="VerifyComplianceOrder" sheetId="11" r:id="rId13"/>
    <sheet state="visible" name="SelectTrade" sheetId="12" r:id="rId14"/>
    <sheet state="visible" name="CreateComplianceOrder1" sheetId="13" r:id="rId15"/>
    <sheet state="visible" name="VerifyComplianceOrder1" sheetId="14" r:id="rId16"/>
    <sheet state="visible" name="SelectTradeOnOrderGrid" sheetId="15" r:id="rId17"/>
    <sheet state="visible" name="ReplaceSubOrder" sheetId="16" r:id="rId18"/>
    <sheet state="visible" name="AcknowledgeTrade" sheetId="17" r:id="rId19"/>
    <sheet state="visible" name="GetForexConversion" sheetId="18" r:id="rId20"/>
    <sheet state="visible" name="UpdateForexConversion" sheetId="19" r:id="rId21"/>
    <sheet state="visible" name="VerifyComplianceOrder3" sheetId="20" r:id="rId22"/>
    <sheet state="visible" name="RejectTrade" sheetId="21" r:id="rId23"/>
    <sheet state="visible" name="CreateComplianceOrder4" sheetId="22" r:id="rId24"/>
    <sheet state="visible" name="VerifyComplianceOrder4" sheetId="23" r:id="rId25"/>
    <sheet state="visible" name="CreateComplianceOrder5" sheetId="24" r:id="rId26"/>
    <sheet state="visible" name="VerifyComplianceOrder5" sheetId="25" r:id="rId27"/>
    <sheet state="visible" name="CreateComplianceOrder3" sheetId="26" r:id="rId28"/>
  </sheets>
  <definedNames/>
  <calcPr/>
</workbook>
</file>

<file path=xl/sharedStrings.xml><?xml version="1.0" encoding="utf-8"?>
<sst xmlns="http://schemas.openxmlformats.org/spreadsheetml/2006/main" count="365" uniqueCount="81">
  <si>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</si>
  <si>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</si>
  <si>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</si>
  <si>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</si>
  <si>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</si>
  <si>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</si>
  <si>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</si>
  <si>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</si>
  <si>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</si>
  <si>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</si>
  <si>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</si>
  <si>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</si>
  <si>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</si>
  <si>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</si>
  <si>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</si>
  <si>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</si>
  <si>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</si>
  <si>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</si>
  <si>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AVO-TC</t>
  </si>
  <si>
    <t>Buy</t>
  </si>
  <si>
    <t>Allocation2</t>
  </si>
  <si>
    <t>Yes</t>
  </si>
  <si>
    <t>IBM</t>
  </si>
  <si>
    <t>Allocation1</t>
  </si>
  <si>
    <t>FRU-TC</t>
  </si>
  <si>
    <t>CreateStageOrder</t>
  </si>
  <si>
    <t>PricingInput</t>
  </si>
  <si>
    <t>CreateComplianceOrder</t>
  </si>
  <si>
    <t>DoneAway</t>
  </si>
  <si>
    <t>DailyValuation</t>
  </si>
  <si>
    <t>GetDailyCash</t>
  </si>
  <si>
    <t>UpdateMultipleDailyCash</t>
  </si>
  <si>
    <t>USD</t>
  </si>
  <si>
    <t>Allocation3</t>
  </si>
  <si>
    <t>VerifyComplianceOrder</t>
  </si>
  <si>
    <t>Soft</t>
  </si>
  <si>
    <t>Rule_GEM</t>
  </si>
  <si>
    <t>If Percent Gross Exposure Master Fund not equals to -10, Master Fund Nav not equals to -10, Then block the trade.</t>
  </si>
  <si>
    <t>NewMF-IBM</t>
  </si>
  <si>
    <t>Multiple</t>
  </si>
  <si>
    <t>percentGrossExposureMasterFund: 1.7804, masterFundNav: 337,000.00, MasterFundName: NewMF, Symbol: IBM</t>
  </si>
  <si>
    <t>Rule_NEM</t>
  </si>
  <si>
    <t>If Percent Net Exposure Master Fund not equals to -10, Then block the trade.</t>
  </si>
  <si>
    <t>percentNetExposureMasterFund: 1.7804, MasterFundName: NewMF, Symbol: IBM</t>
  </si>
  <si>
    <t>Rule_GMV</t>
  </si>
  <si>
    <t>If Percent Gross Market Value Master Fund not equals to -10, Then block the trade.</t>
  </si>
  <si>
    <t>percentGrossMarketValueMasterFund: 1.7804, MasterFundName: NewMF, Symbol: IBM</t>
  </si>
  <si>
    <t>Rule_NVM</t>
  </si>
  <si>
    <t>If Percent Net Market Value Master Fund not equals to -10, Then block the trade.</t>
  </si>
  <si>
    <t>percentNetMarketValueMasterFund: 1.7804, MasterFundName: NewMF, Symbol: IBM</t>
  </si>
  <si>
    <t>Simulator</t>
  </si>
  <si>
    <t>SelectTrade</t>
  </si>
  <si>
    <t>Send</t>
  </si>
  <si>
    <t>NewMF-FRU-TC</t>
  </si>
  <si>
    <t>percentGrossExposureMasterFund: 2.0741, masterFundNav: 337,500.00, MasterFundName: NewMF, Symbol: FRU-TC</t>
  </si>
  <si>
    <t>percentNetExposureMasterFund: 2.0741, MasterFundName: NewMF, Symbol: FRU-TC</t>
  </si>
  <si>
    <t>percentGrossMarketValueMasterFund: 2.0741, MasterFundName: NewMF, Symbol: FRU-TC</t>
  </si>
  <si>
    <t>percentNetMarketValueMasterFund: 2.0741, MasterFundName: NewMF, Symbol: FRU-TC</t>
  </si>
  <si>
    <t>Blotter</t>
  </si>
  <si>
    <t>SelectTradeOnOrderGrid</t>
  </si>
  <si>
    <t>New</t>
  </si>
  <si>
    <t>ReplaceSubOrder</t>
  </si>
  <si>
    <t>AcknowledgeTrade</t>
  </si>
  <si>
    <t>GetForexConversion</t>
  </si>
  <si>
    <t>UpdateForexConversion</t>
  </si>
  <si>
    <t>CAD</t>
  </si>
  <si>
    <t>CAD AO-FX</t>
  </si>
  <si>
    <t>percentGrossExposureMasterFund: 2.3692, masterFundNav: 337,666.6667, MasterFundName: NewMF, Symbol: FRU-TC</t>
  </si>
  <si>
    <t>Replace</t>
  </si>
  <si>
    <t>percentNetExposureMasterFund: 2.3692, MasterFundName: NewMF, Symbol: FRU-TC</t>
  </si>
  <si>
    <t>percentGrossMarketValueMasterFund: 2.3692, MasterFundName: NewMF, Symbol: FRU-TC</t>
  </si>
  <si>
    <t>percentNetMarketValueMasterFund: 2.3692, MasterFundName: NewMF, Symbol: FRU-TC</t>
  </si>
  <si>
    <t>RejectTrade</t>
  </si>
  <si>
    <t>percentGrossExposureMasterFund: 2.3739, masterFundNav: 337,000.00, MasterFundName: NewMF, Symbol: IBM</t>
  </si>
  <si>
    <t>percentNetExposureMasterFund: 2.3739, MasterFundName: NewMF, Symbol: IBM</t>
  </si>
  <si>
    <t>percentGrossMarketValueMasterFund: 2.3739, MasterFundName: NewMF, Symbol: IBM</t>
  </si>
  <si>
    <t>percentNetMarketValueMasterFund: 2.3739, MasterFundName: NewMF, Symbol: IBM</t>
  </si>
  <si>
    <t>percentGrossExposureMasterFund: 3.2577, masterFundNav: 337,666.6667, MasterFundName: NewMF, Symbol: FRU-TC</t>
  </si>
  <si>
    <t>percentNetExposureMasterFund: 3.2577, MasterFundName: NewMF, Symbol: FRU-TC</t>
  </si>
  <si>
    <t>percentGrossMarketValueMasterFund: 3.2577, MasterFundName: NewMF, Symbol: FRU-TC</t>
  </si>
  <si>
    <t>percentNetMarketValueMasterFund: 3.2577,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</si>
</sst>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3" numFmtId="16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1" t="b">
        <v>1</v>
      </c>
      <c r="E6" s="3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19</v>
      </c>
      <c r="D6" s="36">
        <v>100.0</v>
      </c>
      <c r="E6" s="37"/>
      <c r="F6" s="35" t="s">
        <v>20</v>
      </c>
      <c r="G6" s="37"/>
      <c r="H6" s="37"/>
      <c r="I6" s="37"/>
      <c r="J6" s="38">
        <v>10.0</v>
      </c>
      <c r="K6" s="37"/>
      <c r="L6" s="37"/>
      <c r="M6" s="37"/>
      <c r="N6" s="39">
        <f>TODAY()-28</f>
        <v>44901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21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5" t="s">
        <v>22</v>
      </c>
      <c r="C7" s="35" t="s">
        <v>19</v>
      </c>
      <c r="D7" s="38">
        <v>100.0</v>
      </c>
      <c r="E7" s="38">
        <v>0.0</v>
      </c>
      <c r="F7" s="35" t="s">
        <v>23</v>
      </c>
      <c r="G7" s="37"/>
      <c r="H7" s="37"/>
      <c r="I7" s="37"/>
      <c r="J7" s="38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 t="s">
        <v>21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5" t="s">
        <v>22</v>
      </c>
      <c r="C8" s="35" t="s">
        <v>19</v>
      </c>
      <c r="D8" s="38">
        <v>100.0</v>
      </c>
      <c r="E8" s="38">
        <v>100.0</v>
      </c>
      <c r="F8" s="35" t="s">
        <v>23</v>
      </c>
      <c r="G8" s="37"/>
      <c r="H8" s="37"/>
      <c r="I8" s="37"/>
      <c r="J8" s="38">
        <v>10.0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 t="s">
        <v>21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5" t="s">
        <v>24</v>
      </c>
      <c r="C9" s="35" t="s">
        <v>19</v>
      </c>
      <c r="D9" s="38">
        <v>100.0</v>
      </c>
      <c r="E9" s="38">
        <v>0.0</v>
      </c>
      <c r="F9" s="35" t="s">
        <v>23</v>
      </c>
      <c r="G9" s="37"/>
      <c r="H9" s="37"/>
      <c r="I9" s="37"/>
      <c r="J9" s="38">
        <v>10.0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 t="s">
        <v>21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5" t="s">
        <v>24</v>
      </c>
      <c r="C10" s="35" t="s">
        <v>19</v>
      </c>
      <c r="D10" s="38">
        <v>100.0</v>
      </c>
      <c r="E10" s="38">
        <v>100.0</v>
      </c>
      <c r="F10" s="35" t="s">
        <v>23</v>
      </c>
      <c r="G10" s="37"/>
      <c r="H10" s="37"/>
      <c r="I10" s="37"/>
      <c r="J10" s="38">
        <v>10.0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 t="s">
        <v>21</v>
      </c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22</v>
      </c>
      <c r="C6" s="35" t="s">
        <v>19</v>
      </c>
      <c r="D6" s="38">
        <v>100.0</v>
      </c>
      <c r="E6" s="37"/>
      <c r="F6" s="35" t="s">
        <v>23</v>
      </c>
      <c r="G6" s="37"/>
      <c r="H6" s="37"/>
      <c r="I6" s="37"/>
      <c r="J6" s="3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5" t="s">
        <v>24</v>
      </c>
      <c r="C7" s="35" t="s">
        <v>19</v>
      </c>
      <c r="D7" s="38">
        <v>100.0</v>
      </c>
      <c r="E7" s="37"/>
      <c r="F7" s="35" t="s">
        <v>23</v>
      </c>
      <c r="G7" s="37"/>
      <c r="H7" s="37"/>
      <c r="I7" s="37"/>
      <c r="J7" s="38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38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8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22</v>
      </c>
      <c r="C6" s="35" t="s">
        <v>19</v>
      </c>
      <c r="D6" s="38">
        <v>100.0</v>
      </c>
      <c r="E6" s="37"/>
      <c r="F6" s="35" t="s">
        <v>23</v>
      </c>
      <c r="G6" s="37"/>
      <c r="H6" s="37"/>
      <c r="I6" s="37"/>
      <c r="J6" s="38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21</v>
      </c>
      <c r="AR6" s="37"/>
      <c r="AS6" s="37"/>
      <c r="AT6" s="37"/>
      <c r="AU6" s="37"/>
      <c r="AV6" s="37"/>
      <c r="AW6" s="37"/>
      <c r="AX6" s="37" t="s">
        <v>28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 t="shared" ref="B6:C6" si="1">today()-1</f>
        <v>44928</v>
      </c>
      <c r="C6" s="40">
        <f t="shared" si="1"/>
        <v>44928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23</v>
      </c>
      <c r="C6" s="35" t="s">
        <v>32</v>
      </c>
      <c r="D6" s="38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33</v>
      </c>
      <c r="C7" s="35" t="s">
        <v>32</v>
      </c>
      <c r="D7" s="38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35</v>
      </c>
      <c r="C6" s="41" t="s">
        <v>36</v>
      </c>
      <c r="D6" s="41" t="s">
        <v>37</v>
      </c>
      <c r="E6" s="41" t="s">
        <v>38</v>
      </c>
      <c r="F6" s="41" t="s">
        <v>39</v>
      </c>
      <c r="G6" s="41" t="s">
        <v>39</v>
      </c>
      <c r="H6" s="11" t="s">
        <v>40</v>
      </c>
      <c r="I6" s="37"/>
      <c r="J6" s="37"/>
      <c r="K6" s="35" t="s">
        <v>21</v>
      </c>
      <c r="L6" s="37"/>
      <c r="M6" s="35" t="s">
        <v>28</v>
      </c>
      <c r="N6" s="8"/>
      <c r="O6" s="8"/>
    </row>
    <row r="7" ht="15.75" customHeight="1">
      <c r="A7" s="8"/>
      <c r="B7" s="41" t="s">
        <v>35</v>
      </c>
      <c r="C7" s="41" t="s">
        <v>41</v>
      </c>
      <c r="D7" s="41" t="s">
        <v>42</v>
      </c>
      <c r="E7" s="41" t="s">
        <v>38</v>
      </c>
      <c r="F7" s="42">
        <v>-10.0</v>
      </c>
      <c r="G7" s="42">
        <v>1.78</v>
      </c>
      <c r="H7" s="11" t="s">
        <v>43</v>
      </c>
      <c r="I7" s="37"/>
      <c r="J7" s="37"/>
      <c r="K7" s="37"/>
      <c r="L7" s="37"/>
      <c r="M7" s="37"/>
      <c r="N7" s="8"/>
      <c r="O7" s="8"/>
    </row>
    <row r="8" ht="15.75" customHeight="1">
      <c r="A8" s="8"/>
      <c r="B8" s="41" t="s">
        <v>35</v>
      </c>
      <c r="C8" s="41" t="s">
        <v>44</v>
      </c>
      <c r="D8" s="41" t="s">
        <v>45</v>
      </c>
      <c r="E8" s="41" t="s">
        <v>38</v>
      </c>
      <c r="F8" s="42">
        <v>-10.0</v>
      </c>
      <c r="G8" s="42">
        <v>1.78</v>
      </c>
      <c r="H8" s="11" t="s">
        <v>46</v>
      </c>
      <c r="I8" s="37"/>
      <c r="J8" s="37"/>
      <c r="K8" s="37"/>
      <c r="L8" s="37"/>
      <c r="M8" s="37"/>
      <c r="N8" s="8"/>
      <c r="O8" s="8"/>
    </row>
    <row r="9" ht="15.75" customHeight="1">
      <c r="A9" s="8"/>
      <c r="B9" s="41" t="s">
        <v>35</v>
      </c>
      <c r="C9" s="41" t="s">
        <v>47</v>
      </c>
      <c r="D9" s="41" t="s">
        <v>48</v>
      </c>
      <c r="E9" s="41" t="s">
        <v>38</v>
      </c>
      <c r="F9" s="42">
        <v>-10.0</v>
      </c>
      <c r="G9" s="42">
        <v>1.78</v>
      </c>
      <c r="H9" s="11" t="s">
        <v>49</v>
      </c>
      <c r="I9" s="37"/>
      <c r="J9" s="37"/>
      <c r="K9" s="37"/>
      <c r="L9" s="37"/>
      <c r="M9" s="37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19</v>
      </c>
      <c r="C6" s="35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24</v>
      </c>
      <c r="C6" s="35" t="s">
        <v>19</v>
      </c>
      <c r="D6" s="38">
        <v>150.0</v>
      </c>
      <c r="E6" s="37"/>
      <c r="F6" s="35" t="s">
        <v>23</v>
      </c>
      <c r="G6" s="37"/>
      <c r="H6" s="37"/>
      <c r="I6" s="37"/>
      <c r="J6" s="38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21</v>
      </c>
      <c r="AR6" s="37"/>
      <c r="AS6" s="37"/>
      <c r="AT6" s="37"/>
      <c r="AU6" s="37"/>
      <c r="AV6" s="37"/>
      <c r="AW6" s="37"/>
      <c r="AX6" s="37" t="s">
        <v>52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35</v>
      </c>
      <c r="C6" s="41" t="s">
        <v>36</v>
      </c>
      <c r="D6" s="41" t="s">
        <v>37</v>
      </c>
      <c r="E6" s="41" t="s">
        <v>53</v>
      </c>
      <c r="F6" s="41" t="s">
        <v>39</v>
      </c>
      <c r="G6" s="41" t="s">
        <v>39</v>
      </c>
      <c r="H6" s="11" t="s">
        <v>54</v>
      </c>
      <c r="I6" s="37"/>
      <c r="J6" s="37"/>
      <c r="K6" s="35" t="s">
        <v>21</v>
      </c>
      <c r="L6" s="37"/>
      <c r="M6" s="35" t="s">
        <v>52</v>
      </c>
      <c r="N6" s="37"/>
      <c r="O6" s="8"/>
    </row>
    <row r="7" ht="15.75" customHeight="1">
      <c r="A7" s="8"/>
      <c r="B7" s="41" t="s">
        <v>35</v>
      </c>
      <c r="C7" s="41" t="s">
        <v>41</v>
      </c>
      <c r="D7" s="41" t="s">
        <v>42</v>
      </c>
      <c r="E7" s="41" t="s">
        <v>53</v>
      </c>
      <c r="F7" s="42">
        <v>-10.0</v>
      </c>
      <c r="G7" s="42">
        <v>2.07</v>
      </c>
      <c r="H7" s="11" t="s">
        <v>55</v>
      </c>
      <c r="I7" s="37"/>
      <c r="J7" s="37"/>
      <c r="K7" s="37"/>
      <c r="L7" s="37"/>
      <c r="M7" s="37"/>
      <c r="N7" s="37"/>
      <c r="O7" s="8"/>
    </row>
    <row r="8" ht="15.75" customHeight="1">
      <c r="A8" s="8"/>
      <c r="B8" s="41" t="s">
        <v>35</v>
      </c>
      <c r="C8" s="41" t="s">
        <v>44</v>
      </c>
      <c r="D8" s="41" t="s">
        <v>45</v>
      </c>
      <c r="E8" s="41" t="s">
        <v>53</v>
      </c>
      <c r="F8" s="42">
        <v>-10.0</v>
      </c>
      <c r="G8" s="42">
        <v>2.07</v>
      </c>
      <c r="H8" s="11" t="s">
        <v>56</v>
      </c>
      <c r="I8" s="37"/>
      <c r="J8" s="37"/>
      <c r="K8" s="37"/>
      <c r="L8" s="37"/>
      <c r="M8" s="37"/>
      <c r="N8" s="37"/>
      <c r="O8" s="8"/>
    </row>
    <row r="9" ht="15.75" customHeight="1">
      <c r="A9" s="8"/>
      <c r="B9" s="41" t="s">
        <v>35</v>
      </c>
      <c r="C9" s="41" t="s">
        <v>47</v>
      </c>
      <c r="D9" s="41" t="s">
        <v>48</v>
      </c>
      <c r="E9" s="41" t="s">
        <v>53</v>
      </c>
      <c r="F9" s="42">
        <v>-10.0</v>
      </c>
      <c r="G9" s="42">
        <v>2.07</v>
      </c>
      <c r="H9" s="11" t="s">
        <v>57</v>
      </c>
      <c r="I9" s="37"/>
      <c r="J9" s="37"/>
      <c r="K9" s="37"/>
      <c r="L9" s="37"/>
      <c r="M9" s="37"/>
      <c r="N9" s="37"/>
      <c r="O9" s="8"/>
    </row>
    <row r="10" ht="15.75" customHeight="1">
      <c r="A10" s="8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8"/>
    </row>
    <row r="11" ht="15.75" customHeight="1">
      <c r="A11" s="8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5" t="s">
        <v>24</v>
      </c>
      <c r="E6" s="37"/>
      <c r="F6" s="35" t="s">
        <v>19</v>
      </c>
      <c r="G6" s="35" t="s">
        <v>60</v>
      </c>
      <c r="H6" s="38">
        <v>150.0</v>
      </c>
      <c r="I6" s="37"/>
      <c r="J6" s="37"/>
      <c r="K6" s="37"/>
      <c r="L6" s="37"/>
      <c r="M6" s="37"/>
      <c r="N6" s="37"/>
      <c r="O6" s="37"/>
      <c r="P6" s="37"/>
      <c r="Q6" s="37"/>
      <c r="R6" s="37" t="s">
        <v>23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 t="s">
        <v>24</v>
      </c>
      <c r="AK6" s="37" t="s">
        <v>19</v>
      </c>
      <c r="AL6" s="37"/>
      <c r="AM6" s="43">
        <v>150.0</v>
      </c>
      <c r="AN6" s="37"/>
      <c r="AO6" s="37"/>
      <c r="AP6" s="37"/>
      <c r="AQ6" s="37"/>
      <c r="AR6" s="37"/>
      <c r="AS6" s="37"/>
      <c r="AT6" s="37"/>
      <c r="AU6" s="37" t="s">
        <v>23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19</v>
      </c>
      <c r="C6" s="35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>
        <f t="shared" ref="B6:C6" si="1">today()</f>
        <v>44929</v>
      </c>
      <c r="C6" s="44">
        <f t="shared" si="1"/>
        <v>44929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32</v>
      </c>
      <c r="C6" s="45" t="s">
        <v>65</v>
      </c>
      <c r="D6" s="46" t="s">
        <v>66</v>
      </c>
      <c r="E6" s="38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35</v>
      </c>
      <c r="C6" s="41" t="s">
        <v>36</v>
      </c>
      <c r="D6" s="41" t="s">
        <v>37</v>
      </c>
      <c r="E6" s="41" t="s">
        <v>53</v>
      </c>
      <c r="F6" s="41" t="s">
        <v>39</v>
      </c>
      <c r="G6" s="41" t="s">
        <v>39</v>
      </c>
      <c r="H6" s="11" t="s">
        <v>67</v>
      </c>
      <c r="I6" s="37"/>
      <c r="J6" s="37"/>
      <c r="K6" s="13" t="s">
        <v>21</v>
      </c>
      <c r="L6" s="37"/>
      <c r="M6" s="35" t="s">
        <v>68</v>
      </c>
      <c r="N6" s="37"/>
      <c r="O6" s="8"/>
    </row>
    <row r="7" ht="15.75" customHeight="1">
      <c r="A7" s="8"/>
      <c r="B7" s="41" t="s">
        <v>35</v>
      </c>
      <c r="C7" s="41" t="s">
        <v>41</v>
      </c>
      <c r="D7" s="41" t="s">
        <v>42</v>
      </c>
      <c r="E7" s="41" t="s">
        <v>53</v>
      </c>
      <c r="F7" s="42">
        <v>-10.0</v>
      </c>
      <c r="G7" s="42">
        <v>2.37</v>
      </c>
      <c r="H7" s="11" t="s">
        <v>69</v>
      </c>
      <c r="I7" s="37"/>
      <c r="J7" s="37"/>
      <c r="K7" s="37"/>
      <c r="L7" s="37"/>
      <c r="M7" s="37"/>
      <c r="N7" s="37"/>
      <c r="O7" s="8"/>
    </row>
    <row r="8" ht="15.75" customHeight="1">
      <c r="A8" s="8"/>
      <c r="B8" s="41" t="s">
        <v>35</v>
      </c>
      <c r="C8" s="41" t="s">
        <v>44</v>
      </c>
      <c r="D8" s="41" t="s">
        <v>45</v>
      </c>
      <c r="E8" s="41" t="s">
        <v>53</v>
      </c>
      <c r="F8" s="42">
        <v>-10.0</v>
      </c>
      <c r="G8" s="42">
        <v>2.37</v>
      </c>
      <c r="H8" s="11" t="s">
        <v>70</v>
      </c>
      <c r="I8" s="37"/>
      <c r="J8" s="37"/>
      <c r="K8" s="37"/>
      <c r="L8" s="37"/>
      <c r="M8" s="37"/>
      <c r="N8" s="37"/>
      <c r="O8" s="8"/>
    </row>
    <row r="9" ht="15.75" customHeight="1">
      <c r="A9" s="8"/>
      <c r="B9" s="41" t="s">
        <v>35</v>
      </c>
      <c r="C9" s="41" t="s">
        <v>47</v>
      </c>
      <c r="D9" s="41" t="s">
        <v>48</v>
      </c>
      <c r="E9" s="41" t="s">
        <v>53</v>
      </c>
      <c r="F9" s="42">
        <v>-10.0</v>
      </c>
      <c r="G9" s="42">
        <v>2.37</v>
      </c>
      <c r="H9" s="11" t="s">
        <v>71</v>
      </c>
      <c r="I9" s="37"/>
      <c r="J9" s="37"/>
      <c r="K9" s="37"/>
      <c r="L9" s="37"/>
      <c r="M9" s="37"/>
      <c r="N9" s="37"/>
      <c r="O9" s="8"/>
    </row>
    <row r="10" ht="15.75" customHeight="1">
      <c r="A10" s="8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8"/>
    </row>
    <row r="11" ht="15.75" customHeight="1">
      <c r="A11" s="8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8"/>
    </row>
    <row r="12" ht="15.75" customHeight="1">
      <c r="A12" s="8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8"/>
    </row>
    <row r="13" ht="15.75" customHeight="1">
      <c r="A13" s="8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19</v>
      </c>
      <c r="C6" s="35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22</v>
      </c>
      <c r="C6" s="35" t="s">
        <v>19</v>
      </c>
      <c r="D6" s="36">
        <v>100.0</v>
      </c>
      <c r="E6" s="37"/>
      <c r="F6" s="35" t="s">
        <v>23</v>
      </c>
      <c r="G6" s="37"/>
      <c r="H6" s="37"/>
      <c r="I6" s="37"/>
      <c r="J6" s="38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21</v>
      </c>
      <c r="AR6" s="37"/>
      <c r="AS6" s="37"/>
      <c r="AT6" s="37"/>
      <c r="AU6" s="37"/>
      <c r="AV6" s="37"/>
      <c r="AW6" s="37"/>
      <c r="AX6" s="37" t="s">
        <v>28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35</v>
      </c>
      <c r="C6" s="41" t="s">
        <v>36</v>
      </c>
      <c r="D6" s="41" t="s">
        <v>37</v>
      </c>
      <c r="E6" s="41" t="s">
        <v>38</v>
      </c>
      <c r="F6" s="41" t="s">
        <v>39</v>
      </c>
      <c r="G6" s="41" t="s">
        <v>39</v>
      </c>
      <c r="H6" s="11" t="s">
        <v>73</v>
      </c>
      <c r="I6" s="37"/>
      <c r="J6" s="37"/>
      <c r="K6" s="35" t="s">
        <v>21</v>
      </c>
      <c r="L6" s="37"/>
      <c r="M6" s="35" t="s">
        <v>28</v>
      </c>
      <c r="N6" s="8"/>
      <c r="O6" s="8"/>
    </row>
    <row r="7" ht="15.75" customHeight="1">
      <c r="A7" s="8"/>
      <c r="B7" s="41" t="s">
        <v>35</v>
      </c>
      <c r="C7" s="41" t="s">
        <v>41</v>
      </c>
      <c r="D7" s="41" t="s">
        <v>42</v>
      </c>
      <c r="E7" s="41" t="s">
        <v>38</v>
      </c>
      <c r="F7" s="42">
        <v>-10.0</v>
      </c>
      <c r="G7" s="42">
        <v>2.37</v>
      </c>
      <c r="H7" s="11" t="s">
        <v>74</v>
      </c>
      <c r="I7" s="37"/>
      <c r="J7" s="37"/>
      <c r="K7" s="37"/>
      <c r="L7" s="37"/>
      <c r="M7" s="37"/>
      <c r="N7" s="8"/>
      <c r="O7" s="8"/>
    </row>
    <row r="8" ht="15.75" customHeight="1">
      <c r="A8" s="8"/>
      <c r="B8" s="41" t="s">
        <v>35</v>
      </c>
      <c r="C8" s="41" t="s">
        <v>44</v>
      </c>
      <c r="D8" s="41" t="s">
        <v>45</v>
      </c>
      <c r="E8" s="41" t="s">
        <v>38</v>
      </c>
      <c r="F8" s="42">
        <v>-10.0</v>
      </c>
      <c r="G8" s="42">
        <v>2.37</v>
      </c>
      <c r="H8" s="11" t="s">
        <v>75</v>
      </c>
      <c r="I8" s="37"/>
      <c r="J8" s="37"/>
      <c r="K8" s="37"/>
      <c r="L8" s="37"/>
      <c r="M8" s="37"/>
      <c r="N8" s="8"/>
      <c r="O8" s="8"/>
    </row>
    <row r="9" ht="15.75" customHeight="1">
      <c r="A9" s="8"/>
      <c r="B9" s="41" t="s">
        <v>35</v>
      </c>
      <c r="C9" s="41" t="s">
        <v>47</v>
      </c>
      <c r="D9" s="41" t="s">
        <v>48</v>
      </c>
      <c r="E9" s="41" t="s">
        <v>38</v>
      </c>
      <c r="F9" s="42">
        <v>-10.0</v>
      </c>
      <c r="G9" s="42">
        <v>2.37</v>
      </c>
      <c r="H9" s="11" t="s">
        <v>76</v>
      </c>
      <c r="I9" s="37"/>
      <c r="J9" s="37"/>
      <c r="K9" s="37"/>
      <c r="L9" s="37"/>
      <c r="M9" s="37"/>
      <c r="N9" s="8"/>
      <c r="O9" s="8"/>
    </row>
    <row r="10" ht="15.75" customHeight="1">
      <c r="A10" s="8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8"/>
      <c r="O10" s="8"/>
    </row>
    <row r="11" ht="15.75" customHeight="1">
      <c r="A11" s="8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8"/>
      <c r="O11" s="8"/>
    </row>
    <row r="12" ht="15.75" customHeight="1">
      <c r="A12" s="8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24</v>
      </c>
      <c r="C6" s="35" t="s">
        <v>19</v>
      </c>
      <c r="D6" s="36">
        <v>200.0</v>
      </c>
      <c r="E6" s="37"/>
      <c r="F6" s="35" t="s">
        <v>23</v>
      </c>
      <c r="G6" s="37"/>
      <c r="H6" s="37"/>
      <c r="I6" s="37"/>
      <c r="J6" s="38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21</v>
      </c>
      <c r="AR6" s="37"/>
      <c r="AS6" s="37"/>
      <c r="AT6" s="37"/>
      <c r="AU6" s="37"/>
      <c r="AV6" s="37"/>
      <c r="AW6" s="37"/>
      <c r="AX6" s="37" t="s">
        <v>52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35</v>
      </c>
      <c r="C6" s="41" t="s">
        <v>36</v>
      </c>
      <c r="D6" s="41" t="s">
        <v>37</v>
      </c>
      <c r="E6" s="41" t="s">
        <v>53</v>
      </c>
      <c r="F6" s="41" t="s">
        <v>39</v>
      </c>
      <c r="G6" s="41" t="s">
        <v>39</v>
      </c>
      <c r="H6" s="11" t="s">
        <v>77</v>
      </c>
      <c r="I6" s="37"/>
      <c r="J6" s="37"/>
      <c r="K6" s="35" t="s">
        <v>21</v>
      </c>
      <c r="L6" s="37"/>
      <c r="M6" s="35" t="s">
        <v>28</v>
      </c>
      <c r="N6" s="8"/>
      <c r="O6" s="8"/>
    </row>
    <row r="7" ht="15.75" customHeight="1">
      <c r="A7" s="8"/>
      <c r="B7" s="41" t="s">
        <v>35</v>
      </c>
      <c r="C7" s="41" t="s">
        <v>41</v>
      </c>
      <c r="D7" s="41" t="s">
        <v>42</v>
      </c>
      <c r="E7" s="41" t="s">
        <v>53</v>
      </c>
      <c r="F7" s="42">
        <v>-10.0</v>
      </c>
      <c r="G7" s="42">
        <v>3.26</v>
      </c>
      <c r="H7" s="11" t="s">
        <v>78</v>
      </c>
      <c r="I7" s="37"/>
      <c r="J7" s="37"/>
      <c r="K7" s="37"/>
      <c r="L7" s="37"/>
      <c r="M7" s="37"/>
      <c r="N7" s="8"/>
      <c r="O7" s="8"/>
    </row>
    <row r="8" ht="15.75" customHeight="1">
      <c r="A8" s="8"/>
      <c r="B8" s="41" t="s">
        <v>35</v>
      </c>
      <c r="C8" s="41" t="s">
        <v>44</v>
      </c>
      <c r="D8" s="41" t="s">
        <v>45</v>
      </c>
      <c r="E8" s="41" t="s">
        <v>53</v>
      </c>
      <c r="F8" s="42">
        <v>-10.0</v>
      </c>
      <c r="G8" s="42">
        <v>3.26</v>
      </c>
      <c r="H8" s="11" t="s">
        <v>79</v>
      </c>
      <c r="I8" s="37"/>
      <c r="J8" s="37"/>
      <c r="K8" s="37"/>
      <c r="L8" s="37"/>
      <c r="M8" s="37"/>
      <c r="N8" s="8"/>
      <c r="O8" s="8"/>
    </row>
    <row r="9" ht="15.75" customHeight="1">
      <c r="A9" s="8"/>
      <c r="B9" s="41" t="s">
        <v>35</v>
      </c>
      <c r="C9" s="41" t="s">
        <v>47</v>
      </c>
      <c r="D9" s="41" t="s">
        <v>48</v>
      </c>
      <c r="E9" s="41" t="s">
        <v>53</v>
      </c>
      <c r="F9" s="42">
        <v>-10.0</v>
      </c>
      <c r="G9" s="42">
        <v>3.26</v>
      </c>
      <c r="H9" s="11" t="s">
        <v>80</v>
      </c>
      <c r="I9" s="37"/>
      <c r="J9" s="37"/>
      <c r="K9" s="37"/>
      <c r="L9" s="37"/>
      <c r="M9" s="37"/>
      <c r="N9" s="8"/>
      <c r="O9" s="8"/>
    </row>
    <row r="10" ht="15.75" customHeight="1">
      <c r="A10" s="8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8"/>
      <c r="O10" s="8"/>
    </row>
    <row r="11" ht="15.75" customHeight="1">
      <c r="A11" s="8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 t="s">
        <v>24</v>
      </c>
      <c r="C6" s="35" t="s">
        <v>19</v>
      </c>
      <c r="D6" s="38">
        <v>200.0</v>
      </c>
      <c r="E6" s="37"/>
      <c r="F6" s="35" t="s">
        <v>23</v>
      </c>
      <c r="G6" s="37"/>
      <c r="H6" s="37"/>
      <c r="I6" s="37"/>
      <c r="J6" s="38">
        <v>20.0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21</v>
      </c>
      <c r="AR6" s="37"/>
      <c r="AS6" s="37"/>
      <c r="AT6" s="37"/>
      <c r="AU6" s="37"/>
      <c r="AV6" s="37"/>
      <c r="AW6" s="37"/>
      <c r="AX6" s="37" t="s">
        <v>68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