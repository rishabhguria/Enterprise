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EditOrder" sheetId="5" r:id="rId7"/>
    <sheet state="visible" name="SelectTradeUsingMTT" sheetId="6" r:id="rId8"/>
    <sheet state="visible" name="BulkEditUpdateFromMTT" sheetId="7" r:id="rId9"/>
    <sheet state="visible" name="VerifyOrder" sheetId="8" r:id="rId10"/>
  </sheets>
  <definedNames/>
  <calcPr/>
</workbook>
</file>

<file path=xl/sharedStrings.xml><?xml version="1.0" encoding="utf-8"?>
<sst xmlns="http://schemas.openxmlformats.org/spreadsheetml/2006/main" count="96" uniqueCount="37">
  <si>
    <t>Modules Info</t>
  </si>
  <si>
    <t>Modules</t>
  </si>
  <si>
    <t>Settings</t>
  </si>
  <si>
    <t>Module Step Setting File</t>
  </si>
  <si>
    <t>1SkpZIYbbc5zyWBgklgWu3_keUSaZdEcGCYAgFQJPYX8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</si>
  <si>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</si>
  <si>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</si>
  <si>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</si>
  <si>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</si>
  <si>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</si>
  <si>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</si>
  <si>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</si>
  <si>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</si>
  <si>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</si>
  <si>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</si>
  <si>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</si>
  <si>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SAP</t>
  </si>
  <si>
    <t>Buy</t>
  </si>
  <si>
    <t>MS</t>
  </si>
  <si>
    <t>Limit</t>
  </si>
  <si>
    <t>TSLA</t>
  </si>
  <si>
    <t>Blotter</t>
  </si>
  <si>
    <t>EditOrder</t>
  </si>
  <si>
    <t>New</t>
  </si>
  <si>
    <t>Allocation1</t>
  </si>
  <si>
    <t>MultiTradingTicket</t>
  </si>
  <si>
    <t>SelectTradeUsingMTT</t>
  </si>
  <si>
    <t>BulkEditUpdateFromMTT</t>
  </si>
  <si>
    <t>Allocation2</t>
  </si>
  <si>
    <t>GS</t>
  </si>
  <si>
    <t>BULK</t>
  </si>
  <si>
    <t>SELECTROW</t>
  </si>
  <si>
    <t>Algo</t>
  </si>
  <si>
    <t>EDITTRADE</t>
  </si>
  <si>
    <t>REPLACE</t>
  </si>
  <si>
    <t>VerifyOrder</t>
  </si>
  <si>
    <t>Replaced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</si>
</sst>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100.0</v>
      </c>
      <c r="E6" s="34"/>
      <c r="F6" s="32"/>
      <c r="G6" s="32" t="s">
        <v>18</v>
      </c>
      <c r="H6" s="32"/>
      <c r="I6" s="35" t="s">
        <v>19</v>
      </c>
      <c r="J6" s="34">
        <v>10.0</v>
      </c>
      <c r="K6" s="35"/>
      <c r="L6" s="35">
        <v>10.0</v>
      </c>
      <c r="M6" s="32"/>
      <c r="N6" s="36">
        <f t="shared" ref="N6:N7" si="1">today()</f>
        <v>44957</v>
      </c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20</v>
      </c>
      <c r="C7" s="32" t="s">
        <v>17</v>
      </c>
      <c r="D7" s="34">
        <v>100.0</v>
      </c>
      <c r="E7" s="34"/>
      <c r="F7" s="32"/>
      <c r="G7" s="32" t="s">
        <v>18</v>
      </c>
      <c r="H7" s="32"/>
      <c r="I7" s="35" t="s">
        <v>19</v>
      </c>
      <c r="J7" s="34">
        <v>10.0</v>
      </c>
      <c r="K7" s="32"/>
      <c r="L7" s="35">
        <v>10.0</v>
      </c>
      <c r="M7" s="32"/>
      <c r="N7" s="36">
        <f t="shared" si="1"/>
        <v>44957</v>
      </c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  <c r="AI6" s="32" t="s">
        <v>16</v>
      </c>
      <c r="AJ6" s="32" t="s">
        <v>17</v>
      </c>
      <c r="AK6" s="32" t="s">
        <v>23</v>
      </c>
      <c r="AL6" s="38">
        <v>100.0</v>
      </c>
      <c r="AM6" s="32"/>
      <c r="AN6" s="32"/>
      <c r="AO6" s="32"/>
      <c r="AP6" s="32"/>
      <c r="AQ6" s="32"/>
      <c r="AR6" s="32"/>
      <c r="AS6" s="32" t="s">
        <v>18</v>
      </c>
      <c r="AT6" s="32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32" t="s">
        <v>20</v>
      </c>
      <c r="AJ7" s="32" t="s">
        <v>17</v>
      </c>
      <c r="AK7" s="35" t="s">
        <v>23</v>
      </c>
      <c r="AL7" s="38">
        <v>100.0</v>
      </c>
      <c r="AM7" s="32"/>
      <c r="AN7" s="32"/>
      <c r="AO7" s="32"/>
      <c r="AP7" s="32"/>
      <c r="AQ7" s="32"/>
      <c r="AR7" s="32"/>
      <c r="AS7" s="32" t="s">
        <v>18</v>
      </c>
      <c r="AT7" s="32" t="s">
        <v>24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100.0</v>
      </c>
      <c r="E6" s="32"/>
      <c r="F6" s="32"/>
      <c r="G6" s="32" t="s">
        <v>18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1"/>
      <c r="B7" s="35" t="s">
        <v>20</v>
      </c>
      <c r="C7" s="32" t="s">
        <v>17</v>
      </c>
      <c r="D7" s="33">
        <v>100.0</v>
      </c>
      <c r="E7" s="32"/>
      <c r="F7" s="32"/>
      <c r="G7" s="32" t="s">
        <v>18</v>
      </c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IFERROR(__xludf.DUMMYFUNCTION("""COMPUTED_VALUE"""),"Button")</f>
        <v>Button</v>
      </c>
      <c r="AL5" s="30" t="str">
        <f>IFERROR(__xludf.DUMMYFUNCTION("""COMPUTED_VALUE"""),"Bulk Update Alert")</f>
        <v>Bulk Update Alert</v>
      </c>
      <c r="AM5" s="30" t="str">
        <f>IFERROR(__xludf.DUMMYFUNCTION("""COMPUTED_VALUE"""),"CancelWithoutReplace")</f>
        <v>CancelWithoutReplace</v>
      </c>
      <c r="AN5" s="30" t="str">
        <f>IFERROR(__xludf.DUMMYFUNCTION("""COMPUTED_VALUE"""),"BULK_OR_EDITTRADE")</f>
        <v>BULK_OR_EDITTRADE</v>
      </c>
      <c r="AO5" s="30" t="str">
        <f>IFERROR(__xludf.DUMMYFUNCTION("""COMPUTED_VALUE"""),"Click on Clear")</f>
        <v>Click on Clear</v>
      </c>
      <c r="AP5" s="30" t="str">
        <f>IFERROR(__xludf.DUMMYFUNCTION("""COMPUTED_VALUE"""),"Account")</f>
        <v>Account</v>
      </c>
      <c r="AQ5" s="30" t="str">
        <f>IFERROR(__xludf.DUMMYFUNCTION("""COMPUTED_VALUE"""),"Account %")</f>
        <v>Account %</v>
      </c>
      <c r="AR5" s="30" t="str">
        <f>IFERROR(__xludf.DUMMYFUNCTION("""COMPUTED_VALUE"""),"ClearOldCA")</f>
        <v>ClearOldCA</v>
      </c>
      <c r="AS5" s="30" t="str">
        <f>IFERROR(__xludf.DUMMYFUNCTION("""COMPUTED_VALUE"""),"ClickClearNotUpdate")</f>
        <v>ClickClearNotUpdate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7"/>
      <c r="F6" s="13" t="s">
        <v>28</v>
      </c>
      <c r="G6" s="13" t="s">
        <v>29</v>
      </c>
      <c r="H6" s="8"/>
      <c r="I6" s="8"/>
      <c r="J6" s="8"/>
      <c r="K6" s="8"/>
      <c r="L6" s="8"/>
      <c r="M6" s="8"/>
      <c r="N6" s="8"/>
      <c r="O6" s="8"/>
      <c r="AN6" s="9" t="s">
        <v>30</v>
      </c>
    </row>
    <row r="7" ht="15.75" customHeight="1">
      <c r="A7" s="31"/>
      <c r="B7" s="31" t="s">
        <v>16</v>
      </c>
      <c r="C7" s="32" t="s">
        <v>17</v>
      </c>
      <c r="D7" s="33">
        <v>100.0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 t="s">
        <v>31</v>
      </c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13"/>
      <c r="J8" s="8"/>
      <c r="K8" s="8"/>
      <c r="L8" s="8"/>
      <c r="M8" s="8"/>
      <c r="N8" s="8"/>
      <c r="O8" s="8"/>
      <c r="AB8" s="9" t="s">
        <v>32</v>
      </c>
      <c r="AN8" s="32" t="s">
        <v>33</v>
      </c>
    </row>
    <row r="9" ht="15.75" customHeight="1">
      <c r="A9" s="32"/>
      <c r="B9" s="32" t="s">
        <v>20</v>
      </c>
      <c r="C9" s="32" t="s">
        <v>17</v>
      </c>
      <c r="D9" s="32">
        <v>100.0</v>
      </c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 t="s">
        <v>31</v>
      </c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13"/>
      <c r="J10" s="8"/>
      <c r="K10" s="8"/>
      <c r="L10" s="8"/>
      <c r="M10" s="8"/>
      <c r="N10" s="8"/>
      <c r="O10" s="8"/>
      <c r="AB10" s="9" t="s">
        <v>32</v>
      </c>
      <c r="AK10" s="9" t="s">
        <v>34</v>
      </c>
      <c r="AN10" s="32" t="s">
        <v>33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BulkEditUpdateFromMTT!$4:$4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7"/>
      <c r="F6" s="8"/>
      <c r="G6" s="8"/>
      <c r="H6" s="13" t="s">
        <v>32</v>
      </c>
      <c r="I6" s="8"/>
      <c r="J6" s="8"/>
      <c r="K6" s="8"/>
      <c r="L6" s="8"/>
      <c r="M6" s="8"/>
      <c r="N6" s="8"/>
      <c r="O6" s="8"/>
      <c r="AI6" s="31" t="s">
        <v>16</v>
      </c>
      <c r="AJ6" s="32" t="s">
        <v>17</v>
      </c>
      <c r="AK6" s="9" t="s">
        <v>36</v>
      </c>
      <c r="AL6" s="33">
        <v>100.0</v>
      </c>
      <c r="AS6" s="9" t="s">
        <v>29</v>
      </c>
      <c r="AT6" s="9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13" t="s">
        <v>32</v>
      </c>
      <c r="I7" s="8"/>
      <c r="J7" s="8"/>
      <c r="K7" s="8"/>
      <c r="L7" s="8"/>
      <c r="M7" s="8"/>
      <c r="N7" s="8"/>
      <c r="O7" s="8"/>
      <c r="AI7" s="35" t="s">
        <v>20</v>
      </c>
      <c r="AJ7" s="32" t="s">
        <v>17</v>
      </c>
      <c r="AK7" s="9" t="s">
        <v>36</v>
      </c>
      <c r="AL7" s="33">
        <v>100.0</v>
      </c>
      <c r="AS7" s="9" t="s">
        <v>29</v>
      </c>
      <c r="AT7" s="9" t="s">
        <v>28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