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EditTradeAttributesWorkingSub" sheetId="5" r:id="rId7"/>
    <sheet state="visible" name="EditTradeAttributesWindow" sheetId="6" r:id="rId8"/>
    <sheet state="visible" name="AddTabBlotter" sheetId="7" r:id="rId9"/>
    <sheet state="visible" name="CustomTabActions" sheetId="8" r:id="rId10"/>
  </sheets>
  <definedNames/>
  <calcPr/>
</workbook>
</file>

<file path=xl/sharedStrings.xml><?xml version="1.0" encoding="utf-8"?>
<sst xmlns="http://schemas.openxmlformats.org/spreadsheetml/2006/main" count="125" uniqueCount="87">
  <si>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</si>
  <si>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</si>
  <si>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</si>
  <si>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</si>
  <si>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</si>
  <si>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</si>
  <si>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</si>
  <si>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</si>
  <si>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</si>
  <si>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</si>
  <si>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</si>
  <si>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</si>
  <si>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</si>
  <si>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</si>
  <si>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</si>
  <si>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</si>
  <si>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</si>
  <si>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</si>
  <si>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</si>
  <si>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Test1</t>
  </si>
  <si>
    <t>Test2</t>
  </si>
  <si>
    <t>Test3</t>
  </si>
  <si>
    <t>Test4</t>
  </si>
  <si>
    <t>Test5</t>
  </si>
  <si>
    <t>Test6</t>
  </si>
  <si>
    <t>Blotter</t>
  </si>
  <si>
    <t>EditTradeAttributesWorkingSub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</si>
  <si>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</si>
  <si>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</si>
  <si>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</si>
  <si>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</si>
  <si>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</si>
  <si>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</si>
  <si>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</si>
  <si>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User</t>
  </si>
  <si>
    <t>Underlying Symbol</t>
  </si>
  <si>
    <t>Underlying Country</t>
  </si>
  <si>
    <t>Trader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</si>
  <si>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</si>
  <si>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</si>
  <si>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</si>
  <si>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</si>
  <si>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</si>
  <si>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</si>
  <si>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Strike Price</t>
  </si>
  <si>
    <t>Stop Price</t>
  </si>
  <si>
    <t>Settlement FxRate Operator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</si>
  <si>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</si>
  <si>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</si>
  <si>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</si>
  <si>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</si>
  <si>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</si>
  <si>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</si>
  <si>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</si>
  <si>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</si>
  <si>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</si>
  <si>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</si>
  <si>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</si>
  <si>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</si>
  <si>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</si>
  <si>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</si>
  <si>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</si>
  <si>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</si>
  <si>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</si>
  <si>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Quantity</t>
  </si>
  <si>
    <t>Executed Qty</t>
  </si>
  <si>
    <t>% Executed</t>
  </si>
  <si>
    <t>Day Executed Qty</t>
  </si>
  <si>
    <t>Remaining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</si>
  <si>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</si>
  <si>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</si>
  <si>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</si>
  <si>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</si>
  <si>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</si>
  <si>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</si>
  <si>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</si>
  <si>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Settlement FxRate</t>
  </si>
  <si>
    <t>Settlement Price</t>
  </si>
  <si>
    <t>EditTradeAttributesWindow</t>
  </si>
  <si>
    <t>MS</t>
  </si>
  <si>
    <t>Close</t>
  </si>
  <si>
    <t>AddTabBlotter</t>
  </si>
  <si>
    <t>Rish</t>
  </si>
  <si>
    <t>Add Tab(Working)</t>
  </si>
  <si>
    <t>CustomTabActions</t>
  </si>
  <si>
    <t>Edit Trade Attributes</t>
  </si>
  <si>
    <t>Working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</si>
</sst>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5" fontId="10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100.0</v>
      </c>
      <c r="D6" s="34">
        <v>10.0</v>
      </c>
      <c r="E6" s="35" t="s">
        <v>17</v>
      </c>
      <c r="F6" s="36"/>
      <c r="G6" s="36"/>
      <c r="H6" s="36"/>
      <c r="I6" s="36"/>
      <c r="J6" s="37" t="s">
        <v>18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8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 t="s">
        <v>19</v>
      </c>
      <c r="AN6" s="36" t="s">
        <v>20</v>
      </c>
      <c r="AO6" s="36" t="s">
        <v>21</v>
      </c>
      <c r="AP6" s="36" t="s">
        <v>22</v>
      </c>
      <c r="AQ6" s="36" t="s">
        <v>23</v>
      </c>
      <c r="AR6" s="36" t="s">
        <v>24</v>
      </c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27</v>
      </c>
      <c r="C5" s="29" t="s">
        <v>28</v>
      </c>
      <c r="D5" s="29" t="s">
        <v>29</v>
      </c>
      <c r="E5" s="29" t="s">
        <v>30</v>
      </c>
      <c r="F5" s="29" t="s">
        <v>31</v>
      </c>
      <c r="G5" s="29" t="s">
        <v>32</v>
      </c>
      <c r="H5" s="29" t="s">
        <v>33</v>
      </c>
      <c r="I5" s="29" t="s">
        <v>34</v>
      </c>
      <c r="J5" s="29" t="s">
        <v>35</v>
      </c>
      <c r="K5" s="29" t="s">
        <v>36</v>
      </c>
      <c r="L5" s="29" t="s">
        <v>37</v>
      </c>
      <c r="M5" s="29" t="s">
        <v>38</v>
      </c>
      <c r="N5" s="29" t="s">
        <v>39</v>
      </c>
      <c r="O5" s="29" t="s">
        <v>40</v>
      </c>
      <c r="P5" s="29" t="s">
        <v>41</v>
      </c>
      <c r="Q5" s="29" t="s">
        <v>42</v>
      </c>
      <c r="R5" s="29" t="s">
        <v>43</v>
      </c>
      <c r="S5" s="29" t="s">
        <v>44</v>
      </c>
      <c r="T5" s="39" t="s">
        <v>45</v>
      </c>
      <c r="U5" s="39" t="s">
        <v>46</v>
      </c>
      <c r="V5" s="39" t="s">
        <v>47</v>
      </c>
      <c r="W5" s="39" t="s">
        <v>48</v>
      </c>
      <c r="X5" s="39" t="s">
        <v>49</v>
      </c>
      <c r="Y5" s="39" t="s">
        <v>50</v>
      </c>
      <c r="Z5" s="39" t="s">
        <v>51</v>
      </c>
      <c r="AA5" s="39" t="s">
        <v>52</v>
      </c>
      <c r="AB5" s="39" t="s">
        <v>53</v>
      </c>
      <c r="AC5" s="39" t="s">
        <v>54</v>
      </c>
      <c r="AD5" s="39" t="s">
        <v>55</v>
      </c>
      <c r="AE5" s="39" t="s">
        <v>56</v>
      </c>
      <c r="AF5" s="39" t="s">
        <v>57</v>
      </c>
      <c r="AG5" s="39" t="s">
        <v>58</v>
      </c>
      <c r="AH5" s="39" t="s">
        <v>59</v>
      </c>
      <c r="AI5" s="39" t="s">
        <v>60</v>
      </c>
      <c r="AJ5" s="39" t="s">
        <v>61</v>
      </c>
      <c r="AK5" s="39" t="s">
        <v>62</v>
      </c>
      <c r="AL5" s="39" t="s">
        <v>63</v>
      </c>
      <c r="AM5" s="39" t="s">
        <v>64</v>
      </c>
      <c r="AN5" s="39" t="s">
        <v>65</v>
      </c>
      <c r="AO5" s="39" t="s">
        <v>66</v>
      </c>
      <c r="AP5" s="39" t="s">
        <v>67</v>
      </c>
      <c r="AQ5" s="39" t="s">
        <v>68</v>
      </c>
      <c r="AR5" s="39" t="s">
        <v>69</v>
      </c>
      <c r="AS5" s="39" t="s">
        <v>70</v>
      </c>
      <c r="AT5" s="39" t="s">
        <v>71</v>
      </c>
      <c r="AU5" s="39" t="s">
        <v>72</v>
      </c>
      <c r="AV5" s="39" t="s">
        <v>73</v>
      </c>
      <c r="AW5" s="39" t="s">
        <v>74</v>
      </c>
      <c r="AX5" s="39" t="s">
        <v>75</v>
      </c>
      <c r="AY5" s="39" t="s">
        <v>76</v>
      </c>
      <c r="AZ5" s="39" t="s">
        <v>77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EditTradeAttributesWorkingSub!$4:$4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78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Attribute 01")</f>
        <v>Trade Attribute 01</v>
      </c>
      <c r="C5" s="28" t="str">
        <f>IFERROR(__xludf.DUMMYFUNCTION("""COMPUTED_VALUE"""),"Trade Attribute 02")</f>
        <v>Trade Attribute 02</v>
      </c>
      <c r="D5" s="28" t="str">
        <f>IFERROR(__xludf.DUMMYFUNCTION("""COMPUTED_VALUE"""),"Trade Attribute 03")</f>
        <v>Trade Attribute 03</v>
      </c>
      <c r="E5" s="28" t="str">
        <f>IFERROR(__xludf.DUMMYFUNCTION("""COMPUTED_VALUE"""),"Trade Attribute 04")</f>
        <v>Trade Attribute 04</v>
      </c>
      <c r="F5" s="29" t="str">
        <f>IFERROR(__xludf.DUMMYFUNCTION("""COMPUTED_VALUE"""),"Trade Attribute 05")</f>
        <v>Trade Attribute 05</v>
      </c>
      <c r="G5" s="28" t="str">
        <f>IFERROR(__xludf.DUMMYFUNCTION("""COMPUTED_VALUE"""),"Trade Attribute 06")</f>
        <v>Trade Attribute 06</v>
      </c>
      <c r="H5" s="28" t="str">
        <f>IFERROR(__xludf.DUMMYFUNCTION("""COMPUTED_VALUE"""),"Trade Attribute 01 suggestion")</f>
        <v>Trade Attribute 01 suggestion</v>
      </c>
      <c r="I5" s="28" t="str">
        <f>IFERROR(__xludf.DUMMYFUNCTION("""COMPUTED_VALUE"""),"Trade Attribute 02 suggestion")</f>
        <v>Trade Attribute 02 suggestion</v>
      </c>
      <c r="J5" s="28" t="str">
        <f>IFERROR(__xludf.DUMMYFUNCTION("""COMPUTED_VALUE"""),"Trade Attribute 03 suggestion")</f>
        <v>Trade Attribute 03 suggestion</v>
      </c>
      <c r="K5" s="28" t="str">
        <f>IFERROR(__xludf.DUMMYFUNCTION("""COMPUTED_VALUE"""),"Trade Attribute 04 suggestion")</f>
        <v>Trade Attribute 04 suggestion</v>
      </c>
      <c r="L5" s="28" t="str">
        <f>IFERROR(__xludf.DUMMYFUNCTION("""COMPUTED_VALUE"""),"Trade Attribute 05 suggestion")</f>
        <v>Trade Attribute 05 suggestion</v>
      </c>
      <c r="M5" s="28" t="str">
        <f>IFERROR(__xludf.DUMMYFUNCTION("""COMPUTED_VALUE"""),"Trade Attribute 06 suggestion")</f>
        <v>Trade Attribute 06 suggestion</v>
      </c>
      <c r="N5" s="28" t="str">
        <f>IFERROR(__xludf.DUMMYFUNCTION("""COMPUTED_VALUE"""),"Symbol")</f>
        <v>Symbol</v>
      </c>
      <c r="O5" s="28" t="str">
        <f>IFERROR(__xludf.DUMMYFUNCTION("""COMPUTED_VALUE"""),"Side")</f>
        <v>Side</v>
      </c>
      <c r="P5" s="28" t="str">
        <f>IFERROR(__xludf.DUMMYFUNCTION("""COMPUTED_VALUE"""),"Broker")</f>
        <v>Broker</v>
      </c>
      <c r="Q5" s="28" t="str">
        <f>IFERROR(__xludf.DUMMYFUNCTION("""COMPUTED_VALUE"""),"Quantity")</f>
        <v>Quantity</v>
      </c>
      <c r="R5" s="28" t="str">
        <f>IFERROR(__xludf.DUMMYFUNCTION("""COMPUTED_VALUE"""),"Trade Attribute 01 value")</f>
        <v>Trade Attribute 01 value</v>
      </c>
      <c r="S5" s="28" t="str">
        <f>IFERROR(__xludf.DUMMYFUNCTION("""COMPUTED_VALUE"""),"Trade Attribute 02 value")</f>
        <v>Trade Attribute 02 value</v>
      </c>
      <c r="T5" s="30" t="str">
        <f>IFERROR(__xludf.DUMMYFUNCTION("""COMPUTED_VALUE"""),"Trade Attribute 03 value")</f>
        <v>Trade Attribute 03 value</v>
      </c>
      <c r="U5" s="30" t="str">
        <f>IFERROR(__xludf.DUMMYFUNCTION("""COMPUTED_VALUE"""),"Trade Attribute 04 value")</f>
        <v>Trade Attribute 04 value</v>
      </c>
      <c r="V5" s="30" t="str">
        <f>IFERROR(__xludf.DUMMYFUNCTION("""COMPUTED_VALUE"""),"Trade Attribute 05 value")</f>
        <v>Trade Attribute 05 value</v>
      </c>
      <c r="W5" s="30" t="str">
        <f>IFERROR(__xludf.DUMMYFUNCTION("""COMPUTED_VALUE"""),"Trade Attribute 06 value")</f>
        <v>Trade Attribute 06 value</v>
      </c>
      <c r="X5" s="30" t="str">
        <f>IFERROR(__xludf.DUMMYFUNCTION("""COMPUTED_VALUE"""),"CloseOrSubmit")</f>
        <v>CloseOrSubmit</v>
      </c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 t="s">
        <v>16</v>
      </c>
      <c r="O6" s="36" t="s">
        <v>18</v>
      </c>
      <c r="P6" s="36" t="s">
        <v>79</v>
      </c>
      <c r="Q6" s="41">
        <v>100.0</v>
      </c>
      <c r="R6" s="36" t="s">
        <v>19</v>
      </c>
      <c r="S6" s="36" t="s">
        <v>20</v>
      </c>
      <c r="T6" s="36" t="s">
        <v>21</v>
      </c>
      <c r="U6" s="36" t="s">
        <v>22</v>
      </c>
      <c r="V6" s="36" t="s">
        <v>23</v>
      </c>
      <c r="W6" s="36" t="s">
        <v>24</v>
      </c>
      <c r="X6" s="36" t="s">
        <v>80</v>
      </c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EditTradeAttributesWindow!$4:$4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81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IFERROR(__xludf.DUMMYFUNCTION("""COMPUTED_VALUE"""),"Button Name")</f>
        <v>Button 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82</v>
      </c>
      <c r="C6" s="13" t="s">
        <v>83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2.7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84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 t="str">
        <f>IFERROR(__xludf.DUMMYFUNCTION("""COMPUTED_VALUE"""),"ActionOnWhichGrid")</f>
        <v>ActionOnWhichGrid</v>
      </c>
      <c r="D5" s="28" t="str">
        <f>IFERROR(__xludf.DUMMYFUNCTION("""COMPUTED_VALUE"""),"TabName")</f>
        <v>TabName</v>
      </c>
      <c r="E5" s="28" t="str">
        <f>IFERROR(__xludf.DUMMYFUNCTION("""COMPUTED_VALUE"""),"Symbol")</f>
        <v>Symbol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IFERROR(__xludf.DUMMYFUNCTION("""COMPUTED_VALUE"""),"Broker")</f>
        <v>Broker</v>
      </c>
      <c r="J5" s="28" t="str">
        <f>IFERROR(__xludf.DUMMYFUNCTION("""COMPUTED_VALUE"""),"Account")</f>
        <v>Account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85</v>
      </c>
      <c r="C6" s="13" t="s">
        <v>86</v>
      </c>
      <c r="D6" s="13" t="s">
        <v>82</v>
      </c>
      <c r="E6" s="13" t="s">
        <v>16</v>
      </c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CustomTabActions!$4:$4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