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<sst xmlns="http://schemas.openxmlformats.org/spreadsheetml/2006/main" count="69" uniqueCount="69">
  <si>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</si>
  <si>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</si>
  <si>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</si>
  <si>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</si>
  <si>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</si>
  <si>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</si>
  <si>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</si>
  <si>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</si>
  <si>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</si>
  <si>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</si>
  <si>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</si>
  <si>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</si>
  <si>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</si>
  <si>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</si>
  <si>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</si>
  <si>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</si>
  <si>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23E130.30D1</t>
  </si>
  <si>
    <t>O:AAPL 23E130.20D1</t>
  </si>
  <si>
    <t>O:AAPL 23E130.10D1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</si>
  <si>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</si>
  <si>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</si>
  <si>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</si>
  <si>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</si>
  <si>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</si>
  <si>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</si>
  <si>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</si>
  <si>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</si>
  <si>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Buy to Close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</si>
  <si>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</si>
  <si>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</si>
  <si>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</si>
  <si>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</si>
  <si>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</si>
  <si>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</si>
  <si>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</si>
  <si>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</si>
  <si>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</si>
  <si>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</si>
  <si>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</si>
  <si>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</si>
  <si>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</si>
  <si>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</si>
  <si>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</si>
  <si>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</si>
  <si>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</si>
  <si>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</si>
  <si>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Open</t>
  </si>
  <si>
    <t>APPLE</t>
  </si>
  <si>
    <t>USD</t>
  </si>
  <si>
    <t>NASDAQ</t>
  </si>
  <si>
    <t>D</t>
  </si>
  <si>
    <t>Exercise/Assign</t>
  </si>
  <si>
    <t>InternalOrder</t>
  </si>
  <si>
    <t>Sell short</t>
  </si>
  <si>
    <t>Strategy Unallocated</t>
  </si>
  <si>
    <t>GCCAP1</t>
  </si>
  <si>
    <t>Assignment</t>
  </si>
  <si>
    <t>US</t>
  </si>
  <si>
    <t>jpearce</t>
  </si>
  <si>
    <t>-Select-</t>
  </si>
  <si>
    <t>NONE</t>
  </si>
  <si>
    <t>PortfolioManagement</t>
  </si>
  <si>
    <t>CheckPortfolioManagement</t>
  </si>
  <si>
    <t>NewMF</t>
  </si>
  <si>
    <t>Short</t>
  </si>
  <si>
    <t>FIMAT</t>
  </si>
  <si>
    <t>New Hedge</t>
  </si>
  <si>
    <t>Small Cap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</si>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</sst>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14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numFmtId="14" applyNumberFormat="1"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fontId="15" applyFont="1" fillId="0" applyFill="1" borderId="0" applyBorder="1" xfId="0"/>
    <xf numFmtId="3" applyNumberFormat="1" fontId="15" applyFont="1" fillId="0" applyFill="1" borderId="0" applyBorder="1" xfId="0">
      <alignment horizontal="right"/>
    </xf>
    <xf fontId="15" applyFont="1" fillId="0" applyFill="1" borderId="0" applyBorder="1" xfId="0">
      <alignment horizontal="right"/>
    </xf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today()-1</f>
        <v>45055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</f>
        <v>45056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today()+1</f>
        <v>45057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24</v>
      </c>
      <c r="C6" s="39" t="s">
        <v>25</v>
      </c>
      <c r="D6" s="40">
        <v>100</v>
      </c>
      <c r="E6" s="41">
        <v>100</v>
      </c>
      <c r="F6" s="39" t="s">
        <v>26</v>
      </c>
      <c r="G6" s="36"/>
      <c r="H6" s="36"/>
      <c r="I6" s="36"/>
      <c r="J6" s="41">
        <v>1</v>
      </c>
      <c r="K6" s="36"/>
      <c r="L6" s="36"/>
      <c r="M6" s="36"/>
      <c r="N6" s="42">
        <f ref="N6:N7" t="shared" si="1">TODAY()-10</f>
        <v>45046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24</v>
      </c>
      <c r="C7" s="39" t="s">
        <v>27</v>
      </c>
      <c r="D7" s="41">
        <v>50</v>
      </c>
      <c r="E7" s="41">
        <v>50</v>
      </c>
      <c r="F7" s="39" t="s">
        <v>26</v>
      </c>
      <c r="G7" s="36"/>
      <c r="H7" s="36"/>
      <c r="I7" s="36"/>
      <c r="J7" s="41">
        <v>1</v>
      </c>
      <c r="K7" s="36"/>
      <c r="L7" s="36"/>
      <c r="M7" s="36"/>
      <c r="N7" s="42">
        <f t="shared" si="1"/>
        <v>45046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16</v>
      </c>
      <c r="C8" s="36" t="s">
        <v>28</v>
      </c>
      <c r="D8" s="41">
        <v>10</v>
      </c>
      <c r="E8" s="36"/>
      <c r="F8" s="36"/>
      <c r="G8" s="36"/>
      <c r="H8" s="36"/>
      <c r="I8" s="36"/>
      <c r="J8" s="41">
        <v>10</v>
      </c>
      <c r="K8" s="36"/>
      <c r="L8" s="36"/>
      <c r="M8" s="36"/>
      <c r="N8" s="42">
        <f>TODAY()-9</f>
        <v>45047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36" t="s">
        <v>28</v>
      </c>
      <c r="D9" s="41">
        <v>10</v>
      </c>
      <c r="E9" s="36"/>
      <c r="F9" s="36"/>
      <c r="G9" s="36"/>
      <c r="H9" s="36"/>
      <c r="I9" s="36"/>
      <c r="J9" s="41">
        <v>10</v>
      </c>
      <c r="K9" s="36"/>
      <c r="L9" s="36"/>
      <c r="M9" s="36"/>
      <c r="N9" s="42">
        <f>TODAY()-8</f>
        <v>45048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18</v>
      </c>
      <c r="C10" s="36" t="s">
        <v>28</v>
      </c>
      <c r="D10" s="41">
        <v>10</v>
      </c>
      <c r="E10" s="36"/>
      <c r="F10" s="36"/>
      <c r="G10" s="36"/>
      <c r="H10" s="36"/>
      <c r="I10" s="36"/>
      <c r="J10" s="41">
        <v>10</v>
      </c>
      <c r="K10" s="36"/>
      <c r="L10" s="36"/>
      <c r="M10" s="36"/>
      <c r="N10" s="42">
        <f>TODAY()-7</f>
        <v>45049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45055</v>
      </c>
      <c r="C6" s="32">
        <f>TODAY()</f>
        <v>45056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3" t="s">
        <v>24</v>
      </c>
      <c r="C6" s="44">
        <v>120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45056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/>
      <c r="D6" s="35"/>
      <c r="E6" s="36" t="s">
        <v>36</v>
      </c>
      <c r="F6" s="36"/>
      <c r="G6" s="36"/>
      <c r="H6" s="36"/>
      <c r="I6" s="41">
        <v>10</v>
      </c>
      <c r="J6" s="36"/>
      <c r="K6" s="36" t="s">
        <v>37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5">
        <v>10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9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6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/>
      <c r="D7" s="36"/>
      <c r="E7" s="36" t="s">
        <v>36</v>
      </c>
      <c r="F7" s="36"/>
      <c r="G7" s="36"/>
      <c r="H7" s="36"/>
      <c r="I7" s="41">
        <v>10</v>
      </c>
      <c r="J7" s="36"/>
      <c r="K7" s="36" t="s">
        <v>37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5">
        <v>10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9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6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/>
      <c r="D8" s="36"/>
      <c r="E8" s="36" t="s">
        <v>36</v>
      </c>
      <c r="F8" s="36"/>
      <c r="G8" s="36"/>
      <c r="H8" s="36"/>
      <c r="I8" s="41">
        <v>10</v>
      </c>
      <c r="J8" s="36"/>
      <c r="K8" s="36" t="s">
        <v>37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5">
        <v>10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9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6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2" t="s">
        <v>34</v>
      </c>
      <c r="D6" s="42">
        <f>TODAY()</f>
        <v>45056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42</v>
      </c>
      <c r="B6" s="47" t="s">
        <v>26</v>
      </c>
      <c r="C6" s="8" t="s">
        <v>42</v>
      </c>
      <c r="D6" s="47">
        <v>0</v>
      </c>
      <c r="E6" s="8">
        <v>1000</v>
      </c>
      <c r="F6" s="8" t="s">
        <v>43</v>
      </c>
      <c r="G6" s="8" t="s">
        <v>44</v>
      </c>
      <c r="H6" s="8">
        <v>0</v>
      </c>
      <c r="I6" s="8">
        <v>0</v>
      </c>
      <c r="J6" s="8">
        <v>1</v>
      </c>
      <c r="K6" s="8">
        <v>130.1</v>
      </c>
      <c r="L6" s="8">
        <v>130.1</v>
      </c>
      <c r="M6" s="8" t="s">
        <v>45</v>
      </c>
      <c r="N6" s="8" t="s">
        <v>42</v>
      </c>
      <c r="O6" s="8" t="s">
        <v>37</v>
      </c>
      <c r="Q6" s="0">
        <v>3</v>
      </c>
      <c r="R6" s="0">
        <v>0</v>
      </c>
      <c r="S6" s="0" t="s">
        <v>46</v>
      </c>
      <c r="T6" s="0">
        <v>0</v>
      </c>
      <c r="U6" s="0">
        <v>0</v>
      </c>
      <c r="V6" s="0" t="s">
        <v>47</v>
      </c>
      <c r="W6" s="0">
        <v>1</v>
      </c>
      <c r="X6" s="0" t="s">
        <v>42</v>
      </c>
      <c r="Y6" s="0" t="s">
        <v>42</v>
      </c>
      <c r="Z6" s="0" t="s">
        <v>48</v>
      </c>
      <c r="AA6" s="0" t="s">
        <v>24</v>
      </c>
      <c r="AB6" s="0">
        <v>1</v>
      </c>
      <c r="AD6" s="0" t="s">
        <v>49</v>
      </c>
      <c r="AE6" s="0">
        <v>1000</v>
      </c>
      <c r="AF6" s="0" t="s">
        <v>42</v>
      </c>
      <c r="AH6" s="0" t="s">
        <v>50</v>
      </c>
      <c r="AI6" s="0">
        <v>1</v>
      </c>
      <c r="AJ6" s="0" t="s">
        <v>51</v>
      </c>
      <c r="AN6" s="0" t="b">
        <v>0</v>
      </c>
      <c r="AP6" s="0" t="b">
        <v>1</v>
      </c>
      <c r="AQ6" s="0" t="b">
        <v>0</v>
      </c>
      <c r="AR6" s="0" t="b">
        <v>1</v>
      </c>
      <c r="AS6" s="0">
        <v>0</v>
      </c>
      <c r="AT6" s="0">
        <v>140100</v>
      </c>
      <c r="AU6" s="0">
        <v>140100</v>
      </c>
      <c r="AW6" s="0">
        <v>0</v>
      </c>
      <c r="AX6" s="0">
        <v>-10000</v>
      </c>
      <c r="AZ6" s="0">
        <v>0</v>
      </c>
      <c r="BC6" s="0">
        <v>0</v>
      </c>
      <c r="BD6" s="0" t="s">
        <v>52</v>
      </c>
      <c r="BE6" s="0">
        <v>130100</v>
      </c>
      <c r="BF6" s="0">
        <v>130100</v>
      </c>
      <c r="BJ6" s="0">
        <v>1000</v>
      </c>
      <c r="BK6" s="0">
        <v>0</v>
      </c>
      <c r="BL6" s="0" t="s">
        <v>42</v>
      </c>
      <c r="BM6" s="0" t="s">
        <v>48</v>
      </c>
      <c r="BO6" s="0" t="s">
        <v>53</v>
      </c>
      <c r="BP6" s="0">
        <v>0</v>
      </c>
      <c r="BQ6" s="0">
        <v>0</v>
      </c>
      <c r="BR6" s="0">
        <v>0</v>
      </c>
      <c r="BS6" s="0" t="s">
        <v>54</v>
      </c>
      <c r="BT6" s="0" t="s">
        <v>24</v>
      </c>
      <c r="BU6" s="0">
        <v>0</v>
      </c>
      <c r="BV6" s="0">
        <v>0</v>
      </c>
      <c r="BW6" s="0">
        <v>-10000</v>
      </c>
      <c r="BX6" s="0">
        <v>0</v>
      </c>
      <c r="CF6" s="0" t="s">
        <v>55</v>
      </c>
      <c r="CG6" s="0">
        <v>0</v>
      </c>
      <c r="CH6" s="0" t="s">
        <v>19</v>
      </c>
      <c r="CI6" s="0" t="s">
        <v>56</v>
      </c>
      <c r="CJ6" s="0">
        <v>0</v>
      </c>
      <c r="CK6" s="0" t="s">
        <v>57</v>
      </c>
      <c r="CL6" s="0">
        <v>1</v>
      </c>
      <c r="CM6" s="0" t="s">
        <v>24</v>
      </c>
      <c r="CN6" s="0" t="s">
        <v>58</v>
      </c>
      <c r="CO6" s="0" t="s">
        <v>59</v>
      </c>
      <c r="CP6" s="0" t="s">
        <v>60</v>
      </c>
      <c r="CS6" s="0" t="s">
        <v>42</v>
      </c>
      <c r="CV6" s="0" t="s">
        <v>42</v>
      </c>
      <c r="CW6" s="0" t="s">
        <v>42</v>
      </c>
      <c r="CX6" s="0" t="s">
        <v>42</v>
      </c>
      <c r="CY6" s="0" t="s">
        <v>42</v>
      </c>
      <c r="CZ6" s="0" t="s">
        <v>42</v>
      </c>
      <c r="DA6" s="0" t="s">
        <v>42</v>
      </c>
      <c r="DB6" s="0" t="s">
        <v>42</v>
      </c>
      <c r="DC6" s="0" t="s">
        <v>42</v>
      </c>
      <c r="DD6" s="0" t="s">
        <v>42</v>
      </c>
      <c r="DE6" s="0" t="s">
        <v>42</v>
      </c>
      <c r="DF6" s="0" t="s">
        <v>42</v>
      </c>
      <c r="DG6" s="0" t="s">
        <v>42</v>
      </c>
      <c r="DH6" s="0" t="s">
        <v>42</v>
      </c>
      <c r="DI6" s="0" t="s">
        <v>42</v>
      </c>
      <c r="DJ6" s="0" t="s">
        <v>42</v>
      </c>
      <c r="DK6" s="0" t="s">
        <v>42</v>
      </c>
      <c r="DL6" s="0" t="s">
        <v>42</v>
      </c>
      <c r="DM6" s="0" t="s">
        <v>42</v>
      </c>
      <c r="DN6" s="0" t="s">
        <v>42</v>
      </c>
      <c r="DO6" s="0" t="s">
        <v>42</v>
      </c>
      <c r="DP6" s="0" t="s">
        <v>42</v>
      </c>
      <c r="DQ6" s="0" t="s">
        <v>42</v>
      </c>
      <c r="DR6" s="0" t="s">
        <v>42</v>
      </c>
      <c r="DS6" s="0" t="s">
        <v>42</v>
      </c>
      <c r="DT6" s="0" t="s">
        <v>42</v>
      </c>
      <c r="DU6" s="0" t="s">
        <v>42</v>
      </c>
      <c r="DV6" s="0" t="s">
        <v>42</v>
      </c>
      <c r="DW6" s="0" t="s">
        <v>42</v>
      </c>
      <c r="DX6" s="0" t="s">
        <v>42</v>
      </c>
      <c r="DY6" s="0" t="s">
        <v>42</v>
      </c>
      <c r="DZ6" s="0" t="s">
        <v>42</v>
      </c>
      <c r="EA6" s="0" t="s">
        <v>42</v>
      </c>
      <c r="EB6" s="0" t="s">
        <v>42</v>
      </c>
      <c r="EC6" s="0" t="s">
        <v>42</v>
      </c>
      <c r="ED6" s="0" t="s">
        <v>42</v>
      </c>
      <c r="EE6" s="0" t="s">
        <v>42</v>
      </c>
      <c r="EF6" s="0" t="s">
        <v>42</v>
      </c>
      <c r="EG6" s="0" t="s">
        <v>42</v>
      </c>
      <c r="EH6" s="0" t="s">
        <v>42</v>
      </c>
      <c r="EI6" s="0" t="s">
        <v>42</v>
      </c>
      <c r="EJ6" s="0" t="s">
        <v>42</v>
      </c>
      <c r="EK6" s="0" t="s">
        <v>42</v>
      </c>
      <c r="EL6" s="0" t="s">
        <v>42</v>
      </c>
      <c r="EM6" s="0" t="s">
        <v>42</v>
      </c>
      <c r="EN6" s="0" t="s">
        <v>42</v>
      </c>
      <c r="EO6" s="0" t="s">
        <v>42</v>
      </c>
      <c r="EP6" s="0" t="s">
        <v>42</v>
      </c>
      <c r="EQ6" s="0" t="s">
        <v>42</v>
      </c>
      <c r="ER6" s="0" t="s">
        <v>42</v>
      </c>
      <c r="ES6" s="0" t="s">
        <v>42</v>
      </c>
      <c r="ET6" s="0" t="s">
        <v>42</v>
      </c>
      <c r="EU6" s="0" t="s">
        <v>42</v>
      </c>
      <c r="EV6" s="0" t="s">
        <v>42</v>
      </c>
      <c r="EW6" s="0" t="s">
        <v>42</v>
      </c>
      <c r="EX6" s="0" t="s">
        <v>42</v>
      </c>
      <c r="EY6" s="0" t="s">
        <v>42</v>
      </c>
      <c r="EZ6" s="0" t="s">
        <v>42</v>
      </c>
      <c r="FA6" s="0" t="s">
        <v>42</v>
      </c>
      <c r="FB6" s="0" t="s">
        <v>42</v>
      </c>
      <c r="FC6" s="0" t="s">
        <v>42</v>
      </c>
      <c r="FD6" s="0" t="s">
        <v>42</v>
      </c>
      <c r="FE6" s="0" t="s">
        <v>42</v>
      </c>
      <c r="FF6" s="0" t="s">
        <v>42</v>
      </c>
      <c r="FG6" s="0" t="s">
        <v>42</v>
      </c>
      <c r="FH6" s="0" t="s">
        <v>42</v>
      </c>
      <c r="FI6" s="0" t="s">
        <v>42</v>
      </c>
      <c r="FJ6" s="0" t="s">
        <v>42</v>
      </c>
      <c r="FK6" s="0" t="s">
        <v>42</v>
      </c>
      <c r="FL6" s="0" t="s">
        <v>42</v>
      </c>
      <c r="FM6" s="0" t="s">
        <v>42</v>
      </c>
      <c r="FN6" s="0" t="s">
        <v>42</v>
      </c>
      <c r="FO6" s="0" t="s">
        <v>42</v>
      </c>
      <c r="FP6" s="0" t="s">
        <v>42</v>
      </c>
      <c r="FQ6" s="0" t="s">
        <v>42</v>
      </c>
    </row>
    <row r="7" ht="15.75" customHeight="1">
      <c r="A7" s="8" t="s">
        <v>42</v>
      </c>
      <c r="B7" s="8" t="s">
        <v>26</v>
      </c>
      <c r="C7" s="8" t="s">
        <v>42</v>
      </c>
      <c r="D7" s="8">
        <v>0</v>
      </c>
      <c r="E7" s="8">
        <v>1000</v>
      </c>
      <c r="F7" s="8" t="s">
        <v>43</v>
      </c>
      <c r="G7" s="8" t="s">
        <v>44</v>
      </c>
      <c r="H7" s="8">
        <v>0</v>
      </c>
      <c r="I7" s="8">
        <v>0</v>
      </c>
      <c r="J7" s="8">
        <v>1</v>
      </c>
      <c r="K7" s="8">
        <v>130.2</v>
      </c>
      <c r="L7" s="8">
        <v>130.2</v>
      </c>
      <c r="M7" s="8" t="s">
        <v>45</v>
      </c>
      <c r="N7" s="8" t="s">
        <v>42</v>
      </c>
      <c r="O7" s="8" t="s">
        <v>37</v>
      </c>
      <c r="Q7" s="0">
        <v>3</v>
      </c>
      <c r="R7" s="0">
        <v>0</v>
      </c>
      <c r="S7" s="0" t="s">
        <v>46</v>
      </c>
      <c r="T7" s="0">
        <v>0</v>
      </c>
      <c r="U7" s="0">
        <v>0</v>
      </c>
      <c r="V7" s="0" t="s">
        <v>47</v>
      </c>
      <c r="W7" s="0">
        <v>1</v>
      </c>
      <c r="X7" s="0" t="s">
        <v>42</v>
      </c>
      <c r="Y7" s="0" t="s">
        <v>42</v>
      </c>
      <c r="Z7" s="0" t="s">
        <v>48</v>
      </c>
      <c r="AA7" s="0" t="s">
        <v>24</v>
      </c>
      <c r="AB7" s="0">
        <v>1</v>
      </c>
      <c r="AD7" s="0" t="s">
        <v>49</v>
      </c>
      <c r="AE7" s="0">
        <v>1000</v>
      </c>
      <c r="AF7" s="0" t="s">
        <v>42</v>
      </c>
      <c r="AH7" s="0" t="s">
        <v>50</v>
      </c>
      <c r="AI7" s="0">
        <v>1</v>
      </c>
      <c r="AJ7" s="0" t="s">
        <v>51</v>
      </c>
      <c r="AN7" s="0" t="b">
        <v>0</v>
      </c>
      <c r="AP7" s="0" t="b">
        <v>1</v>
      </c>
      <c r="AQ7" s="0" t="b">
        <v>0</v>
      </c>
      <c r="AR7" s="0" t="b">
        <v>1</v>
      </c>
      <c r="AS7" s="0">
        <v>0</v>
      </c>
      <c r="AT7" s="0">
        <v>140200</v>
      </c>
      <c r="AU7" s="0">
        <v>140200</v>
      </c>
      <c r="AW7" s="0">
        <v>0</v>
      </c>
      <c r="AX7" s="0">
        <v>-10000</v>
      </c>
      <c r="AZ7" s="0">
        <v>0</v>
      </c>
      <c r="BC7" s="0">
        <v>0</v>
      </c>
      <c r="BD7" s="0" t="s">
        <v>52</v>
      </c>
      <c r="BE7" s="0">
        <v>130200</v>
      </c>
      <c r="BF7" s="0">
        <v>130200</v>
      </c>
      <c r="BJ7" s="0">
        <v>1000</v>
      </c>
      <c r="BK7" s="0">
        <v>0</v>
      </c>
      <c r="BL7" s="0" t="s">
        <v>42</v>
      </c>
      <c r="BM7" s="0" t="s">
        <v>48</v>
      </c>
      <c r="BO7" s="0" t="s">
        <v>53</v>
      </c>
      <c r="BP7" s="0">
        <v>0</v>
      </c>
      <c r="BQ7" s="0">
        <v>0</v>
      </c>
      <c r="BR7" s="0">
        <v>0</v>
      </c>
      <c r="BS7" s="0" t="s">
        <v>54</v>
      </c>
      <c r="BT7" s="0" t="s">
        <v>24</v>
      </c>
      <c r="BU7" s="0">
        <v>0</v>
      </c>
      <c r="BV7" s="0">
        <v>0</v>
      </c>
      <c r="BW7" s="0">
        <v>-10000</v>
      </c>
      <c r="BX7" s="0">
        <v>0</v>
      </c>
      <c r="CF7" s="0" t="s">
        <v>55</v>
      </c>
      <c r="CG7" s="0">
        <v>0</v>
      </c>
      <c r="CH7" s="0" t="s">
        <v>19</v>
      </c>
      <c r="CI7" s="0" t="s">
        <v>56</v>
      </c>
      <c r="CJ7" s="0">
        <v>0</v>
      </c>
      <c r="CK7" s="0" t="s">
        <v>57</v>
      </c>
      <c r="CL7" s="0">
        <v>1</v>
      </c>
      <c r="CM7" s="0" t="s">
        <v>24</v>
      </c>
      <c r="CN7" s="0" t="s">
        <v>58</v>
      </c>
      <c r="CO7" s="0" t="s">
        <v>59</v>
      </c>
      <c r="CP7" s="0" t="s">
        <v>60</v>
      </c>
      <c r="CS7" s="0" t="s">
        <v>42</v>
      </c>
      <c r="CV7" s="0" t="s">
        <v>42</v>
      </c>
      <c r="CW7" s="0" t="s">
        <v>42</v>
      </c>
      <c r="CX7" s="0" t="s">
        <v>42</v>
      </c>
      <c r="CY7" s="0" t="s">
        <v>42</v>
      </c>
      <c r="CZ7" s="0" t="s">
        <v>42</v>
      </c>
      <c r="DA7" s="0" t="s">
        <v>42</v>
      </c>
      <c r="DB7" s="0" t="s">
        <v>42</v>
      </c>
      <c r="DC7" s="0" t="s">
        <v>42</v>
      </c>
      <c r="DD7" s="0" t="s">
        <v>42</v>
      </c>
      <c r="DE7" s="0" t="s">
        <v>42</v>
      </c>
      <c r="DF7" s="0" t="s">
        <v>42</v>
      </c>
      <c r="DG7" s="0" t="s">
        <v>42</v>
      </c>
      <c r="DH7" s="0" t="s">
        <v>42</v>
      </c>
      <c r="DI7" s="0" t="s">
        <v>42</v>
      </c>
      <c r="DJ7" s="0" t="s">
        <v>42</v>
      </c>
      <c r="DK7" s="0" t="s">
        <v>42</v>
      </c>
      <c r="DL7" s="0" t="s">
        <v>42</v>
      </c>
      <c r="DM7" s="0" t="s">
        <v>42</v>
      </c>
      <c r="DN7" s="0" t="s">
        <v>42</v>
      </c>
      <c r="DO7" s="0" t="s">
        <v>42</v>
      </c>
      <c r="DP7" s="0" t="s">
        <v>42</v>
      </c>
      <c r="DQ7" s="0" t="s">
        <v>42</v>
      </c>
      <c r="DR7" s="0" t="s">
        <v>42</v>
      </c>
      <c r="DS7" s="0" t="s">
        <v>42</v>
      </c>
      <c r="DT7" s="0" t="s">
        <v>42</v>
      </c>
      <c r="DU7" s="0" t="s">
        <v>42</v>
      </c>
      <c r="DV7" s="0" t="s">
        <v>42</v>
      </c>
      <c r="DW7" s="0" t="s">
        <v>42</v>
      </c>
      <c r="DX7" s="0" t="s">
        <v>42</v>
      </c>
      <c r="DY7" s="0" t="s">
        <v>42</v>
      </c>
      <c r="DZ7" s="0" t="s">
        <v>42</v>
      </c>
      <c r="EA7" s="0" t="s">
        <v>42</v>
      </c>
      <c r="EB7" s="0" t="s">
        <v>42</v>
      </c>
      <c r="EC7" s="0" t="s">
        <v>42</v>
      </c>
      <c r="ED7" s="0" t="s">
        <v>42</v>
      </c>
      <c r="EE7" s="0" t="s">
        <v>42</v>
      </c>
      <c r="EF7" s="0" t="s">
        <v>42</v>
      </c>
      <c r="EG7" s="0" t="s">
        <v>42</v>
      </c>
      <c r="EH7" s="0" t="s">
        <v>42</v>
      </c>
      <c r="EI7" s="0" t="s">
        <v>42</v>
      </c>
      <c r="EJ7" s="0" t="s">
        <v>42</v>
      </c>
      <c r="EK7" s="0" t="s">
        <v>42</v>
      </c>
      <c r="EL7" s="0" t="s">
        <v>42</v>
      </c>
      <c r="EM7" s="0" t="s">
        <v>42</v>
      </c>
      <c r="EN7" s="0" t="s">
        <v>42</v>
      </c>
      <c r="EO7" s="0" t="s">
        <v>42</v>
      </c>
      <c r="EP7" s="0" t="s">
        <v>42</v>
      </c>
      <c r="EQ7" s="0" t="s">
        <v>42</v>
      </c>
      <c r="ER7" s="0" t="s">
        <v>42</v>
      </c>
      <c r="ES7" s="0" t="s">
        <v>42</v>
      </c>
      <c r="ET7" s="0" t="s">
        <v>42</v>
      </c>
      <c r="EU7" s="0" t="s">
        <v>42</v>
      </c>
      <c r="EV7" s="0" t="s">
        <v>42</v>
      </c>
      <c r="EW7" s="0" t="s">
        <v>42</v>
      </c>
      <c r="EX7" s="0" t="s">
        <v>42</v>
      </c>
      <c r="EY7" s="0" t="s">
        <v>42</v>
      </c>
      <c r="EZ7" s="0" t="s">
        <v>42</v>
      </c>
      <c r="FA7" s="0" t="s">
        <v>42</v>
      </c>
      <c r="FB7" s="0" t="s">
        <v>42</v>
      </c>
      <c r="FC7" s="0" t="s">
        <v>42</v>
      </c>
      <c r="FD7" s="0" t="s">
        <v>42</v>
      </c>
      <c r="FE7" s="0" t="s">
        <v>42</v>
      </c>
      <c r="FF7" s="0" t="s">
        <v>42</v>
      </c>
      <c r="FG7" s="0" t="s">
        <v>42</v>
      </c>
      <c r="FH7" s="0" t="s">
        <v>42</v>
      </c>
      <c r="FI7" s="0" t="s">
        <v>42</v>
      </c>
      <c r="FJ7" s="0" t="s">
        <v>42</v>
      </c>
      <c r="FK7" s="0" t="s">
        <v>42</v>
      </c>
      <c r="FL7" s="0" t="s">
        <v>42</v>
      </c>
      <c r="FM7" s="0" t="s">
        <v>42</v>
      </c>
      <c r="FN7" s="0" t="s">
        <v>42</v>
      </c>
      <c r="FO7" s="0" t="s">
        <v>42</v>
      </c>
      <c r="FP7" s="0" t="s">
        <v>42</v>
      </c>
      <c r="FQ7" s="0" t="s">
        <v>42</v>
      </c>
    </row>
    <row r="8" ht="15.75" customHeight="1">
      <c r="A8" s="8" t="s">
        <v>42</v>
      </c>
      <c r="B8" s="8" t="s">
        <v>26</v>
      </c>
      <c r="C8" s="8" t="s">
        <v>42</v>
      </c>
      <c r="D8" s="8">
        <v>0</v>
      </c>
      <c r="E8" s="8">
        <v>1000</v>
      </c>
      <c r="F8" s="8" t="s">
        <v>43</v>
      </c>
      <c r="G8" s="8" t="s">
        <v>44</v>
      </c>
      <c r="H8" s="8">
        <v>0</v>
      </c>
      <c r="I8" s="8">
        <v>0</v>
      </c>
      <c r="J8" s="8">
        <v>1</v>
      </c>
      <c r="K8" s="8">
        <v>130.3</v>
      </c>
      <c r="L8" s="8">
        <v>130.3</v>
      </c>
      <c r="M8" s="8" t="s">
        <v>45</v>
      </c>
      <c r="N8" s="8" t="s">
        <v>42</v>
      </c>
      <c r="O8" s="8" t="s">
        <v>37</v>
      </c>
      <c r="Q8" s="0">
        <v>3</v>
      </c>
      <c r="R8" s="0">
        <v>0</v>
      </c>
      <c r="S8" s="0" t="s">
        <v>46</v>
      </c>
      <c r="T8" s="0">
        <v>0</v>
      </c>
      <c r="U8" s="0">
        <v>0</v>
      </c>
      <c r="V8" s="0" t="s">
        <v>47</v>
      </c>
      <c r="W8" s="0">
        <v>1</v>
      </c>
      <c r="X8" s="0" t="s">
        <v>42</v>
      </c>
      <c r="Y8" s="0" t="s">
        <v>42</v>
      </c>
      <c r="Z8" s="0" t="s">
        <v>48</v>
      </c>
      <c r="AA8" s="0" t="s">
        <v>24</v>
      </c>
      <c r="AB8" s="0">
        <v>1</v>
      </c>
      <c r="AD8" s="0" t="s">
        <v>49</v>
      </c>
      <c r="AE8" s="0">
        <v>1000</v>
      </c>
      <c r="AF8" s="0" t="s">
        <v>42</v>
      </c>
      <c r="AH8" s="0" t="s">
        <v>50</v>
      </c>
      <c r="AI8" s="0">
        <v>1</v>
      </c>
      <c r="AJ8" s="0" t="s">
        <v>51</v>
      </c>
      <c r="AN8" s="0" t="b">
        <v>0</v>
      </c>
      <c r="AP8" s="0" t="b">
        <v>1</v>
      </c>
      <c r="AQ8" s="0" t="b">
        <v>0</v>
      </c>
      <c r="AR8" s="0" t="b">
        <v>1</v>
      </c>
      <c r="AS8" s="0">
        <v>0</v>
      </c>
      <c r="AT8" s="0">
        <v>140300</v>
      </c>
      <c r="AU8" s="0">
        <v>140300</v>
      </c>
      <c r="AW8" s="0">
        <v>0</v>
      </c>
      <c r="AX8" s="0">
        <v>-10000</v>
      </c>
      <c r="AZ8" s="0">
        <v>0</v>
      </c>
      <c r="BC8" s="0">
        <v>0</v>
      </c>
      <c r="BD8" s="0" t="s">
        <v>52</v>
      </c>
      <c r="BE8" s="0">
        <v>130300</v>
      </c>
      <c r="BF8" s="0">
        <v>130300</v>
      </c>
      <c r="BJ8" s="0">
        <v>1000</v>
      </c>
      <c r="BK8" s="0">
        <v>0</v>
      </c>
      <c r="BL8" s="0" t="s">
        <v>42</v>
      </c>
      <c r="BM8" s="0" t="s">
        <v>48</v>
      </c>
      <c r="BO8" s="0" t="s">
        <v>53</v>
      </c>
      <c r="BP8" s="0">
        <v>0</v>
      </c>
      <c r="BQ8" s="0">
        <v>0</v>
      </c>
      <c r="BR8" s="0">
        <v>0</v>
      </c>
      <c r="BS8" s="0" t="s">
        <v>54</v>
      </c>
      <c r="BT8" s="0" t="s">
        <v>24</v>
      </c>
      <c r="BU8" s="0">
        <v>0</v>
      </c>
      <c r="BV8" s="0">
        <v>0</v>
      </c>
      <c r="BW8" s="0">
        <v>-10000</v>
      </c>
      <c r="BX8" s="0">
        <v>0</v>
      </c>
      <c r="CF8" s="0" t="s">
        <v>55</v>
      </c>
      <c r="CG8" s="0">
        <v>0</v>
      </c>
      <c r="CH8" s="0" t="s">
        <v>19</v>
      </c>
      <c r="CI8" s="0" t="s">
        <v>56</v>
      </c>
      <c r="CJ8" s="0">
        <v>0</v>
      </c>
      <c r="CK8" s="0" t="s">
        <v>57</v>
      </c>
      <c r="CL8" s="0">
        <v>1</v>
      </c>
      <c r="CM8" s="0" t="s">
        <v>24</v>
      </c>
      <c r="CN8" s="0" t="s">
        <v>58</v>
      </c>
      <c r="CO8" s="0" t="s">
        <v>59</v>
      </c>
      <c r="CP8" s="0" t="s">
        <v>60</v>
      </c>
      <c r="CS8" s="0" t="s">
        <v>42</v>
      </c>
      <c r="CV8" s="0" t="s">
        <v>42</v>
      </c>
      <c r="CW8" s="0" t="s">
        <v>42</v>
      </c>
      <c r="CX8" s="0" t="s">
        <v>42</v>
      </c>
      <c r="CY8" s="0" t="s">
        <v>42</v>
      </c>
      <c r="CZ8" s="0" t="s">
        <v>42</v>
      </c>
      <c r="DA8" s="0" t="s">
        <v>42</v>
      </c>
      <c r="DB8" s="0" t="s">
        <v>42</v>
      </c>
      <c r="DC8" s="0" t="s">
        <v>42</v>
      </c>
      <c r="DD8" s="0" t="s">
        <v>42</v>
      </c>
      <c r="DE8" s="0" t="s">
        <v>42</v>
      </c>
      <c r="DF8" s="0" t="s">
        <v>42</v>
      </c>
      <c r="DG8" s="0" t="s">
        <v>42</v>
      </c>
      <c r="DH8" s="0" t="s">
        <v>42</v>
      </c>
      <c r="DI8" s="0" t="s">
        <v>42</v>
      </c>
      <c r="DJ8" s="0" t="s">
        <v>42</v>
      </c>
      <c r="DK8" s="0" t="s">
        <v>42</v>
      </c>
      <c r="DL8" s="0" t="s">
        <v>42</v>
      </c>
      <c r="DM8" s="0" t="s">
        <v>42</v>
      </c>
      <c r="DN8" s="0" t="s">
        <v>42</v>
      </c>
      <c r="DO8" s="0" t="s">
        <v>42</v>
      </c>
      <c r="DP8" s="0" t="s">
        <v>42</v>
      </c>
      <c r="DQ8" s="0" t="s">
        <v>42</v>
      </c>
      <c r="DR8" s="0" t="s">
        <v>42</v>
      </c>
      <c r="DS8" s="0" t="s">
        <v>42</v>
      </c>
      <c r="DT8" s="0" t="s">
        <v>42</v>
      </c>
      <c r="DU8" s="0" t="s">
        <v>42</v>
      </c>
      <c r="DV8" s="0" t="s">
        <v>42</v>
      </c>
      <c r="DW8" s="0" t="s">
        <v>42</v>
      </c>
      <c r="DX8" s="0" t="s">
        <v>42</v>
      </c>
      <c r="DY8" s="0" t="s">
        <v>42</v>
      </c>
      <c r="DZ8" s="0" t="s">
        <v>42</v>
      </c>
      <c r="EA8" s="0" t="s">
        <v>42</v>
      </c>
      <c r="EB8" s="0" t="s">
        <v>42</v>
      </c>
      <c r="EC8" s="0" t="s">
        <v>42</v>
      </c>
      <c r="ED8" s="0" t="s">
        <v>42</v>
      </c>
      <c r="EE8" s="0" t="s">
        <v>42</v>
      </c>
      <c r="EF8" s="0" t="s">
        <v>42</v>
      </c>
      <c r="EG8" s="0" t="s">
        <v>42</v>
      </c>
      <c r="EH8" s="0" t="s">
        <v>42</v>
      </c>
      <c r="EI8" s="0" t="s">
        <v>42</v>
      </c>
      <c r="EJ8" s="0" t="s">
        <v>42</v>
      </c>
      <c r="EK8" s="0" t="s">
        <v>42</v>
      </c>
      <c r="EL8" s="0" t="s">
        <v>42</v>
      </c>
      <c r="EM8" s="0" t="s">
        <v>42</v>
      </c>
      <c r="EN8" s="0" t="s">
        <v>42</v>
      </c>
      <c r="EO8" s="0" t="s">
        <v>42</v>
      </c>
      <c r="EP8" s="0" t="s">
        <v>42</v>
      </c>
      <c r="EQ8" s="0" t="s">
        <v>42</v>
      </c>
      <c r="ER8" s="0" t="s">
        <v>42</v>
      </c>
      <c r="ES8" s="0" t="s">
        <v>42</v>
      </c>
      <c r="ET8" s="0" t="s">
        <v>42</v>
      </c>
      <c r="EU8" s="0" t="s">
        <v>42</v>
      </c>
      <c r="EV8" s="0" t="s">
        <v>42</v>
      </c>
      <c r="EW8" s="0" t="s">
        <v>42</v>
      </c>
      <c r="EX8" s="0" t="s">
        <v>42</v>
      </c>
      <c r="EY8" s="0" t="s">
        <v>42</v>
      </c>
      <c r="EZ8" s="0" t="s">
        <v>42</v>
      </c>
      <c r="FA8" s="0" t="s">
        <v>42</v>
      </c>
      <c r="FB8" s="0" t="s">
        <v>42</v>
      </c>
      <c r="FC8" s="0" t="s">
        <v>42</v>
      </c>
      <c r="FD8" s="0" t="s">
        <v>42</v>
      </c>
      <c r="FE8" s="0" t="s">
        <v>42</v>
      </c>
      <c r="FF8" s="0" t="s">
        <v>42</v>
      </c>
      <c r="FG8" s="0" t="s">
        <v>42</v>
      </c>
      <c r="FH8" s="0" t="s">
        <v>42</v>
      </c>
      <c r="FI8" s="0" t="s">
        <v>42</v>
      </c>
      <c r="FJ8" s="0" t="s">
        <v>42</v>
      </c>
      <c r="FK8" s="0" t="s">
        <v>42</v>
      </c>
      <c r="FL8" s="0" t="s">
        <v>42</v>
      </c>
      <c r="FM8" s="0" t="s">
        <v>42</v>
      </c>
      <c r="FN8" s="0" t="s">
        <v>42</v>
      </c>
      <c r="FO8" s="0" t="s">
        <v>42</v>
      </c>
      <c r="FP8" s="0" t="s">
        <v>42</v>
      </c>
      <c r="FQ8" s="0" t="s">
        <v>42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8" t="s">
        <v>24</v>
      </c>
      <c r="D6" s="49">
        <v>-1000</v>
      </c>
      <c r="E6" s="48" t="s">
        <v>26</v>
      </c>
      <c r="F6" s="48" t="s">
        <v>63</v>
      </c>
      <c r="G6" s="50">
        <v>130.3</v>
      </c>
      <c r="H6" s="48" t="s">
        <v>64</v>
      </c>
      <c r="I6" s="8"/>
      <c r="J6" s="8"/>
      <c r="K6" s="8"/>
      <c r="L6" s="8"/>
      <c r="M6" s="8"/>
      <c r="N6" s="8"/>
      <c r="O6" s="8"/>
      <c r="R6" s="48" t="s">
        <v>65</v>
      </c>
      <c r="S6" s="48" t="s">
        <v>54</v>
      </c>
      <c r="T6" s="48" t="s">
        <v>44</v>
      </c>
      <c r="U6" s="48" t="s">
        <v>57</v>
      </c>
      <c r="V6" s="48" t="s">
        <v>49</v>
      </c>
      <c r="W6" s="48" t="s">
        <v>48</v>
      </c>
      <c r="Y6" s="50">
        <v>1</v>
      </c>
      <c r="AN6" s="48" t="s">
        <v>53</v>
      </c>
      <c r="AQ6" s="48" t="s">
        <v>24</v>
      </c>
      <c r="BE6" s="48" t="s">
        <v>44</v>
      </c>
      <c r="BF6" s="48" t="s">
        <v>66</v>
      </c>
      <c r="BG6" s="48" t="s">
        <v>67</v>
      </c>
      <c r="BH6" s="48" t="s">
        <v>68</v>
      </c>
      <c r="BQ6" s="48" t="s">
        <v>58</v>
      </c>
      <c r="BR6" s="48" t="s">
        <v>37</v>
      </c>
    </row>
    <row r="7" ht="15.75" customHeight="1">
      <c r="A7" s="8"/>
      <c r="B7" s="8"/>
      <c r="C7" s="48" t="s">
        <v>24</v>
      </c>
      <c r="D7" s="49">
        <v>-1000</v>
      </c>
      <c r="E7" s="48" t="s">
        <v>26</v>
      </c>
      <c r="F7" s="48" t="s">
        <v>63</v>
      </c>
      <c r="G7" s="50">
        <v>130.2</v>
      </c>
      <c r="H7" s="48" t="s">
        <v>64</v>
      </c>
      <c r="I7" s="8"/>
      <c r="J7" s="8"/>
      <c r="K7" s="8"/>
      <c r="L7" s="8"/>
      <c r="M7" s="8"/>
      <c r="N7" s="8"/>
      <c r="O7" s="8"/>
      <c r="R7" s="48" t="s">
        <v>65</v>
      </c>
      <c r="S7" s="48" t="s">
        <v>54</v>
      </c>
      <c r="T7" s="48" t="s">
        <v>44</v>
      </c>
      <c r="U7" s="48" t="s">
        <v>57</v>
      </c>
      <c r="V7" s="48" t="s">
        <v>49</v>
      </c>
      <c r="W7" s="48" t="s">
        <v>48</v>
      </c>
      <c r="Y7" s="50">
        <v>1</v>
      </c>
      <c r="AN7" s="48" t="s">
        <v>53</v>
      </c>
      <c r="AQ7" s="48" t="s">
        <v>24</v>
      </c>
      <c r="BE7" s="48" t="s">
        <v>44</v>
      </c>
      <c r="BF7" s="48" t="s">
        <v>66</v>
      </c>
      <c r="BG7" s="48" t="s">
        <v>67</v>
      </c>
      <c r="BH7" s="48" t="s">
        <v>68</v>
      </c>
      <c r="BQ7" s="48" t="s">
        <v>58</v>
      </c>
      <c r="BR7" s="48" t="s">
        <v>37</v>
      </c>
    </row>
    <row r="8" ht="15.75" customHeight="1">
      <c r="A8" s="8"/>
      <c r="B8" s="8"/>
      <c r="C8" s="48" t="s">
        <v>24</v>
      </c>
      <c r="D8" s="49">
        <v>-1000</v>
      </c>
      <c r="E8" s="48" t="s">
        <v>26</v>
      </c>
      <c r="F8" s="48" t="s">
        <v>63</v>
      </c>
      <c r="G8" s="50">
        <v>130.1</v>
      </c>
      <c r="H8" s="48" t="s">
        <v>64</v>
      </c>
      <c r="I8" s="8"/>
      <c r="J8" s="8"/>
      <c r="K8" s="8"/>
      <c r="L8" s="8"/>
      <c r="M8" s="8"/>
      <c r="N8" s="8"/>
      <c r="O8" s="8"/>
      <c r="R8" s="48" t="s">
        <v>65</v>
      </c>
      <c r="S8" s="48" t="s">
        <v>54</v>
      </c>
      <c r="T8" s="48" t="s">
        <v>44</v>
      </c>
      <c r="U8" s="48" t="s">
        <v>57</v>
      </c>
      <c r="V8" s="48" t="s">
        <v>49</v>
      </c>
      <c r="W8" s="48" t="s">
        <v>48</v>
      </c>
      <c r="Y8" s="50">
        <v>1</v>
      </c>
      <c r="AN8" s="48" t="s">
        <v>53</v>
      </c>
      <c r="AQ8" s="48" t="s">
        <v>24</v>
      </c>
      <c r="BE8" s="48" t="s">
        <v>44</v>
      </c>
      <c r="BF8" s="48" t="s">
        <v>66</v>
      </c>
      <c r="BG8" s="48" t="s">
        <v>67</v>
      </c>
      <c r="BH8" s="48" t="s">
        <v>68</v>
      </c>
      <c r="BQ8" s="48" t="s">
        <v>58</v>
      </c>
      <c r="BR8" s="48" t="s">
        <v>37</v>
      </c>
    </row>
    <row r="9" ht="15.75" customHeight="1">
      <c r="A9" s="8"/>
      <c r="B9" s="8"/>
      <c r="C9" s="8"/>
      <c r="D9" s="8"/>
      <c r="E9" s="8"/>
      <c r="F9" s="51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