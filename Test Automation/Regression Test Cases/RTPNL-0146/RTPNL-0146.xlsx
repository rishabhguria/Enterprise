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AddWidget1" sheetId="6" r:id="rId8"/>
    <sheet state="visible" name="CreateGroupingWidget" sheetId="7" r:id="rId9"/>
    <sheet state="visible" name="CreateGroupingWidget1" sheetId="8" r:id="rId10"/>
    <sheet state="visible" name="VerifyColumns" sheetId="9" r:id="rId11"/>
    <sheet state="visible" name="CreateGroupingWidget2" sheetId="10" r:id="rId12"/>
    <sheet state="visible" name="CreateGroupingWidget3" sheetId="11" r:id="rId13"/>
    <sheet state="visible" name="CreateGroupingWidget4" sheetId="12" r:id="rId14"/>
    <sheet state="visible" name="CustomOrderTT" sheetId="13" r:id="rId15"/>
  </sheets>
  <definedNames/>
  <calcPr/>
</workbook>
</file>

<file path=xl/sharedStrings.xml><?xml version="1.0" encoding="utf-8"?>
<sst xmlns="http://schemas.openxmlformats.org/spreadsheetml/2006/main" count="161" uniqueCount="56">
  <si>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</si>
  <si>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</si>
  <si>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</si>
  <si>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</si>
  <si>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</si>
  <si>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</si>
  <si>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</si>
  <si>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</si>
  <si>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</si>
  <si>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</si>
  <si>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</si>
  <si>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</si>
  <si>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</si>
  <si>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</si>
  <si>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</si>
  <si>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</si>
  <si>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</si>
  <si>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A12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</si>
  <si>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</si>
  <si>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</si>
  <si>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</si>
  <si>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</si>
  <si>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</si>
  <si>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</si>
  <si>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</si>
  <si>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ABC123</t>
  </si>
  <si>
    <t>Grouping</t>
  </si>
  <si>
    <t>Account</t>
  </si>
  <si>
    <t>ABC127</t>
  </si>
  <si>
    <t>CreateGroupingWidget</t>
  </si>
  <si>
    <t>UDA Sector</t>
  </si>
  <si>
    <t>Underlying Symbol</t>
  </si>
  <si>
    <t>Symbol</t>
  </si>
  <si>
    <t>Px Selected Feed (Local),Px Selected Feed (Base),Market Value (Base),% Net Market Value (Base),Cost Basis P&amp;L (Base),% Gain/Loss Cost,Day P&amp;L (Base),% Gain/Loss Day,Exposure (Base),% Exposure (Base),Position</t>
  </si>
  <si>
    <t>Create</t>
  </si>
  <si>
    <t>Px Selected Feed (Local),Px Selected Feed (Base),Market Value,% Net Market Value,Cost Basis P&amp;L,% Gain/Loss Cost,Day P&amp;L,% Gain/Loss Day,Exposure,% Exposure,Position</t>
  </si>
  <si>
    <t>VerifyColumns</t>
  </si>
  <si>
    <t>WindowName</t>
  </si>
  <si>
    <t>ColumnToVerify</t>
  </si>
  <si>
    <t>Chip 1</t>
  </si>
  <si>
    <t>Chip 2</t>
  </si>
  <si>
    <t>Chip 3</t>
  </si>
  <si>
    <t>MakeColumFavourite</t>
  </si>
  <si>
    <t>MakeColumnUnfavourite</t>
  </si>
  <si>
    <t>Verify Chip Values</t>
  </si>
  <si>
    <t>NextAction</t>
  </si>
  <si>
    <t>VerifyActionButtonVisibility</t>
  </si>
  <si>
    <t>FlashButton</t>
  </si>
  <si>
    <t>ColumnsToCheckForFlash</t>
  </si>
  <si>
    <t>LinkWidgetColor</t>
  </si>
  <si>
    <t>SelectAll</t>
  </si>
  <si>
    <t>TradingTicket</t>
  </si>
  <si>
    <t>CustomOrderTT</t>
  </si>
  <si>
    <t>AAPL</t>
  </si>
  <si>
    <t>DoneAway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</si>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</sst>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4" fillId="5" fontId="4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19</v>
      </c>
      <c r="C5" s="28" t="s">
        <v>20</v>
      </c>
      <c r="D5" s="28" t="s">
        <v>21</v>
      </c>
      <c r="E5" s="28" t="s">
        <v>22</v>
      </c>
      <c r="F5" s="28" t="s">
        <v>23</v>
      </c>
      <c r="G5" s="28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25</v>
      </c>
      <c r="D6" s="30"/>
      <c r="E6" s="32" t="s">
        <v>26</v>
      </c>
      <c r="F6" s="32" t="s">
        <v>27</v>
      </c>
      <c r="G6" s="3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19</v>
      </c>
      <c r="C5" s="28" t="s">
        <v>20</v>
      </c>
      <c r="D5" s="28" t="s">
        <v>21</v>
      </c>
      <c r="E5" s="28" t="s">
        <v>22</v>
      </c>
      <c r="F5" s="28" t="s">
        <v>23</v>
      </c>
      <c r="G5" s="28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5" t="s">
        <v>28</v>
      </c>
      <c r="D6" s="30"/>
      <c r="E6" s="32" t="s">
        <v>26</v>
      </c>
      <c r="F6" s="32" t="s">
        <v>27</v>
      </c>
      <c r="G6" s="3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 t="str">
        <f>IFERROR(__xludf.DUMMYFUNCTION("""COMPUTED_VALUE"""),"FlashButton")</f>
        <v>FlashButton</v>
      </c>
      <c r="L5" s="27" t="str">
        <f>IFERROR(__xludf.DUMMYFUNCTION("""COMPUTED_VALUE"""),"ColumnsToCheckForFlash")</f>
        <v>ColumnsToCheckForFlash</v>
      </c>
      <c r="M5" s="27" t="str">
        <f>IFERROR(__xludf.DUMMYFUNCTION("""COMPUTED_VALUE"""),"LinkWidgetColor")</f>
        <v>LinkWidgetColor</v>
      </c>
      <c r="N5" s="27" t="str">
        <f>IFERROR(__xludf.DUMMYFUNCTION("""COMPUTED_VALUE"""),"ColumnsToAdd2")</f>
        <v>ColumnsToAdd2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30</v>
      </c>
      <c r="C6" s="12" t="s">
        <v>31</v>
      </c>
      <c r="D6" s="12" t="s">
        <v>32</v>
      </c>
      <c r="E6" s="12"/>
      <c r="F6" s="8"/>
      <c r="G6" s="12" t="s">
        <v>33</v>
      </c>
      <c r="H6" s="8"/>
      <c r="I6" s="12" t="s">
        <v>34</v>
      </c>
      <c r="J6" s="8"/>
      <c r="K6" s="12" t="b">
        <v>1</v>
      </c>
      <c r="L6" s="12" t="s">
        <v>35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 t="str">
        <f>IFERROR(__xludf.DUMMYFUNCTION("""COMPUTED_VALUE"""),"FlashButton")</f>
        <v>FlashButton</v>
      </c>
      <c r="L5" s="27" t="str">
        <f>IFERROR(__xludf.DUMMYFUNCTION("""COMPUTED_VALUE"""),"ColumnsToCheckForFlash")</f>
        <v>ColumnsToCheckForFlash</v>
      </c>
      <c r="M5" s="27" t="str">
        <f>IFERROR(__xludf.DUMMYFUNCTION("""COMPUTED_VALUE"""),"LinkWidgetColor")</f>
        <v>LinkWidgetColor</v>
      </c>
      <c r="N5" s="27" t="str">
        <f>IFERROR(__xludf.DUMMYFUNCTION("""COMPUTED_VALUE"""),"ColumnsToAdd2")</f>
        <v>ColumnsToAdd2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E6" s="12"/>
      <c r="F6" s="8"/>
      <c r="G6" s="12" t="s">
        <v>33</v>
      </c>
      <c r="H6" s="8"/>
      <c r="I6" s="12" t="s">
        <v>34</v>
      </c>
      <c r="J6" s="8"/>
      <c r="K6" s="12" t="b">
        <v>1</v>
      </c>
      <c r="L6" s="12" t="s">
        <v>35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6" t="s">
        <v>37</v>
      </c>
      <c r="C5" s="36" t="s">
        <v>38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12" t="s">
        <v>35</v>
      </c>
      <c r="D6" s="12"/>
      <c r="E6" s="37"/>
      <c r="F6" s="12"/>
      <c r="G6" s="31"/>
      <c r="H6" s="8"/>
      <c r="J6" s="8"/>
      <c r="K6" s="12"/>
      <c r="L6" s="1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39</v>
      </c>
      <c r="C5" s="28" t="s">
        <v>40</v>
      </c>
      <c r="D5" s="28" t="s">
        <v>41</v>
      </c>
      <c r="E5" s="28" t="s">
        <v>42</v>
      </c>
      <c r="F5" s="28" t="s">
        <v>43</v>
      </c>
      <c r="G5" s="28" t="s">
        <v>21</v>
      </c>
      <c r="H5" s="28" t="s">
        <v>44</v>
      </c>
      <c r="I5" s="28" t="s">
        <v>45</v>
      </c>
      <c r="J5" s="28" t="s">
        <v>46</v>
      </c>
      <c r="K5" s="28" t="s">
        <v>47</v>
      </c>
      <c r="L5" s="28" t="s">
        <v>48</v>
      </c>
      <c r="M5" s="28" t="s">
        <v>49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30</v>
      </c>
      <c r="C6" s="12"/>
      <c r="D6" s="12"/>
      <c r="E6" s="37"/>
      <c r="F6" s="12"/>
      <c r="G6" s="31" t="s">
        <v>50</v>
      </c>
      <c r="H6" s="8"/>
      <c r="I6" s="12"/>
      <c r="J6" s="8"/>
      <c r="K6" s="12"/>
      <c r="L6" s="1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39</v>
      </c>
      <c r="C5" s="28" t="s">
        <v>40</v>
      </c>
      <c r="D5" s="28" t="s">
        <v>41</v>
      </c>
      <c r="E5" s="28" t="s">
        <v>42</v>
      </c>
      <c r="F5" s="28" t="s">
        <v>43</v>
      </c>
      <c r="G5" s="28" t="s">
        <v>21</v>
      </c>
      <c r="H5" s="28" t="s">
        <v>44</v>
      </c>
      <c r="I5" s="28" t="s">
        <v>45</v>
      </c>
      <c r="J5" s="28" t="s">
        <v>46</v>
      </c>
      <c r="K5" s="28" t="s">
        <v>47</v>
      </c>
      <c r="L5" s="28" t="s">
        <v>48</v>
      </c>
      <c r="M5" s="28" t="s">
        <v>49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/>
      <c r="C6" s="12"/>
      <c r="D6" s="12"/>
      <c r="E6" s="37"/>
      <c r="F6" s="12"/>
      <c r="G6" s="31"/>
      <c r="H6" s="8"/>
      <c r="J6" s="8"/>
      <c r="K6" s="12" t="b">
        <v>1</v>
      </c>
      <c r="L6" s="12" t="s">
        <v>35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39</v>
      </c>
      <c r="C5" s="28" t="s">
        <v>40</v>
      </c>
      <c r="D5" s="28" t="s">
        <v>41</v>
      </c>
      <c r="E5" s="28" t="s">
        <v>42</v>
      </c>
      <c r="F5" s="28" t="s">
        <v>43</v>
      </c>
      <c r="G5" s="28" t="s">
        <v>21</v>
      </c>
      <c r="H5" s="28" t="s">
        <v>44</v>
      </c>
      <c r="I5" s="28" t="s">
        <v>45</v>
      </c>
      <c r="J5" s="28" t="s">
        <v>46</v>
      </c>
      <c r="K5" s="28" t="s">
        <v>47</v>
      </c>
      <c r="L5" s="28" t="s">
        <v>48</v>
      </c>
      <c r="M5" s="28" t="s">
        <v>49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7"/>
      <c r="F6" s="12"/>
      <c r="G6" s="31"/>
      <c r="H6" s="12" t="s">
        <v>34</v>
      </c>
      <c r="I6" s="12"/>
      <c r="J6" s="8"/>
      <c r="K6" s="12" t="b">
        <v>0</v>
      </c>
      <c r="L6" s="1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53</v>
      </c>
      <c r="C6" s="38">
        <v>100.0</v>
      </c>
      <c r="D6" s="39">
        <v>10.0</v>
      </c>
      <c r="E6" s="31" t="s">
        <v>54</v>
      </c>
      <c r="F6" s="34"/>
      <c r="G6" s="34"/>
      <c r="H6" s="34"/>
      <c r="I6" s="34"/>
      <c r="J6" s="32" t="s">
        <v>55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