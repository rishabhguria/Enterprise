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7" activeTab="19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FetchAccountPositions" sheetId="8" r:id="rId8"/>
    <sheet name="AddCash" sheetId="9" r:id="rId9"/>
    <sheet name="RunRebalance" sheetId="10" r:id="rId10"/>
    <sheet name="RebalanceViaBloomberg" sheetId="11" r:id="rId11"/>
    <sheet name="ModifyRebalance" sheetId="12" r:id="rId12"/>
    <sheet name="VerifyGridData" sheetId="13" r:id="rId13"/>
    <sheet name="SendtoStaging" sheetId="14" r:id="rId14"/>
    <sheet name="VerifyOrder" sheetId="15" r:id="rId15"/>
    <sheet name="TradeNewSubOrder" sheetId="16" r:id="rId16"/>
    <sheet name="CreateNewSubOrder" sheetId="17" r:id="rId17"/>
    <sheet name="GetDataAllocation" sheetId="18" r:id="rId18"/>
    <sheet name="CheckAllocatedGroups" sheetId="19" r:id="rId19"/>
    <sheet name="CheckPortfolioManagement" sheetId="20" r:id="rId20"/>
    <sheet name="SelectTradeOnOrderGrid" sheetId="21" r:id="rId21"/>
    <sheet name="VerifySubOrder" sheetId="22" r:id="rId22"/>
  </sheets>
  <calcPr calcId="145621"/>
</workbook>
</file>

<file path=xl/calcChain.xml><?xml version="1.0" encoding="utf-8"?>
<calcChain xmlns="http://schemas.openxmlformats.org/spreadsheetml/2006/main">
  <c r="C6" i="4" l="1"/>
  <c r="B6" i="4"/>
  <c r="BK5" i="20"/>
  <c r="AZ5" i="22"/>
  <c r="AR5" i="22"/>
  <c r="AJ5" i="22"/>
  <c r="AB5" i="22"/>
  <c r="T5" i="22"/>
  <c r="L5" i="22"/>
  <c r="D5" i="22"/>
  <c r="AZ4" i="22"/>
  <c r="AR4" i="22"/>
  <c r="AJ4" i="22"/>
  <c r="AB4" i="22"/>
  <c r="T4" i="22"/>
  <c r="L4" i="22"/>
  <c r="D4" i="22"/>
  <c r="AV5" i="21"/>
  <c r="AN5" i="21"/>
  <c r="AF5" i="21"/>
  <c r="X5" i="21"/>
  <c r="P5" i="21"/>
  <c r="H5" i="21"/>
  <c r="BD4" i="21"/>
  <c r="AV4" i="21"/>
  <c r="AN4" i="21"/>
  <c r="AF4" i="21"/>
  <c r="X4" i="21"/>
  <c r="P4" i="21"/>
  <c r="H4" i="21"/>
  <c r="FB5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X4" i="20"/>
  <c r="P4" i="20"/>
  <c r="H4" i="20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AL5" i="17"/>
  <c r="AD5" i="17"/>
  <c r="V5" i="17"/>
  <c r="N5" i="17"/>
  <c r="F5" i="17"/>
  <c r="Z4" i="17"/>
  <c r="R4" i="17"/>
  <c r="J4" i="17"/>
  <c r="B4" i="17"/>
  <c r="AU5" i="16"/>
  <c r="AM5" i="16"/>
  <c r="AE5" i="16"/>
  <c r="W5" i="16"/>
  <c r="O5" i="16"/>
  <c r="G5" i="16"/>
  <c r="BC4" i="16"/>
  <c r="AU4" i="16"/>
  <c r="AM4" i="16"/>
  <c r="AE4" i="16"/>
  <c r="W4" i="16"/>
  <c r="O4" i="16"/>
  <c r="G4" i="16"/>
  <c r="AZ5" i="15"/>
  <c r="AR5" i="15"/>
  <c r="AJ5" i="15"/>
  <c r="AB5" i="15"/>
  <c r="AY5" i="22"/>
  <c r="AQ5" i="22"/>
  <c r="AI5" i="22"/>
  <c r="AA5" i="22"/>
  <c r="S5" i="22"/>
  <c r="K5" i="22"/>
  <c r="C5" i="22"/>
  <c r="AY4" i="22"/>
  <c r="AQ4" i="22"/>
  <c r="AI4" i="22"/>
  <c r="AA4" i="22"/>
  <c r="S4" i="22"/>
  <c r="K4" i="22"/>
  <c r="C4" i="22"/>
  <c r="AU5" i="21"/>
  <c r="AM5" i="21"/>
  <c r="AE5" i="21"/>
  <c r="W5" i="21"/>
  <c r="O5" i="21"/>
  <c r="G5" i="21"/>
  <c r="BC4" i="21"/>
  <c r="AU4" i="21"/>
  <c r="AM4" i="21"/>
  <c r="AE4" i="21"/>
  <c r="W4" i="21"/>
  <c r="O4" i="21"/>
  <c r="G4" i="21"/>
  <c r="FA5" i="20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W4" i="20"/>
  <c r="O4" i="20"/>
  <c r="G4" i="20"/>
  <c r="CR5" i="19"/>
  <c r="CJ5" i="19"/>
  <c r="CB5" i="19"/>
  <c r="BT5" i="19"/>
  <c r="BL5" i="19"/>
  <c r="BD5" i="19"/>
  <c r="AV5" i="19"/>
  <c r="AN5" i="19"/>
  <c r="AF5" i="19"/>
  <c r="X5" i="19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AX5" i="22"/>
  <c r="AP5" i="22"/>
  <c r="AH5" i="22"/>
  <c r="Z5" i="22"/>
  <c r="R5" i="22"/>
  <c r="J5" i="22"/>
  <c r="B5" i="22"/>
  <c r="AX4" i="22"/>
  <c r="AP4" i="22"/>
  <c r="AH4" i="22"/>
  <c r="Z4" i="22"/>
  <c r="R4" i="22"/>
  <c r="J4" i="22"/>
  <c r="B4" i="22"/>
  <c r="AT5" i="21"/>
  <c r="AL5" i="21"/>
  <c r="AD5" i="21"/>
  <c r="V5" i="21"/>
  <c r="N5" i="21"/>
  <c r="F5" i="21"/>
  <c r="BB4" i="21"/>
  <c r="AT4" i="21"/>
  <c r="AL4" i="21"/>
  <c r="AD4" i="21"/>
  <c r="V4" i="21"/>
  <c r="N4" i="21"/>
  <c r="F4" i="21"/>
  <c r="EZ5" i="20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V4" i="20"/>
  <c r="N4" i="20"/>
  <c r="F4" i="20"/>
  <c r="CQ5" i="19"/>
  <c r="CI5" i="19"/>
  <c r="CA5" i="19"/>
  <c r="BS5" i="19"/>
  <c r="BK5" i="19"/>
  <c r="BC5" i="19"/>
  <c r="AU5" i="19"/>
  <c r="AM5" i="19"/>
  <c r="AE5" i="19"/>
  <c r="W5" i="19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AJ5" i="17"/>
  <c r="AB5" i="17"/>
  <c r="T5" i="17"/>
  <c r="L5" i="17"/>
  <c r="D5" i="17"/>
  <c r="X4" i="17"/>
  <c r="P4" i="17"/>
  <c r="H4" i="17"/>
  <c r="BA5" i="16"/>
  <c r="AS5" i="16"/>
  <c r="AK5" i="16"/>
  <c r="AC5" i="16"/>
  <c r="U5" i="16"/>
  <c r="M5" i="16"/>
  <c r="E5" i="16"/>
  <c r="BA4" i="16"/>
  <c r="AS4" i="16"/>
  <c r="AK4" i="16"/>
  <c r="AC4" i="16"/>
  <c r="U4" i="16"/>
  <c r="M4" i="16"/>
  <c r="E4" i="16"/>
  <c r="AX5" i="15"/>
  <c r="AP5" i="15"/>
  <c r="AH5" i="15"/>
  <c r="Z5" i="15"/>
  <c r="R5" i="15"/>
  <c r="J5" i="15"/>
  <c r="B5" i="15"/>
  <c r="AX4" i="15"/>
  <c r="AP4" i="15"/>
  <c r="AH4" i="15"/>
  <c r="AW5" i="22"/>
  <c r="AO5" i="22"/>
  <c r="AG5" i="22"/>
  <c r="Y5" i="22"/>
  <c r="Q5" i="22"/>
  <c r="I5" i="22"/>
  <c r="A5" i="22"/>
  <c r="AW4" i="22"/>
  <c r="AO4" i="22"/>
  <c r="AG4" i="22"/>
  <c r="Y4" i="22"/>
  <c r="Q4" i="22"/>
  <c r="I4" i="22"/>
  <c r="AS5" i="21"/>
  <c r="AK5" i="21"/>
  <c r="AC5" i="21"/>
  <c r="U5" i="21"/>
  <c r="M5" i="21"/>
  <c r="E5" i="21"/>
  <c r="BA4" i="21"/>
  <c r="AS4" i="21"/>
  <c r="AK4" i="21"/>
  <c r="AC4" i="21"/>
  <c r="U4" i="21"/>
  <c r="M4" i="21"/>
  <c r="E4" i="21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CP5" i="19"/>
  <c r="CH5" i="19"/>
  <c r="BZ5" i="19"/>
  <c r="BR5" i="19"/>
  <c r="BJ5" i="19"/>
  <c r="BB5" i="19"/>
  <c r="AT5" i="19"/>
  <c r="AL5" i="19"/>
  <c r="AD5" i="19"/>
  <c r="V5" i="19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Q5" i="18"/>
  <c r="I5" i="18"/>
  <c r="A5" i="18"/>
  <c r="DJ4" i="18"/>
  <c r="DB4" i="18"/>
  <c r="CT4" i="18"/>
  <c r="CL4" i="18"/>
  <c r="CD4" i="18"/>
  <c r="BV4" i="18"/>
  <c r="BN4" i="18"/>
  <c r="AV5" i="22"/>
  <c r="AN5" i="22"/>
  <c r="AF5" i="22"/>
  <c r="X5" i="22"/>
  <c r="P5" i="22"/>
  <c r="H5" i="22"/>
  <c r="BD4" i="22"/>
  <c r="AV4" i="22"/>
  <c r="AN4" i="22"/>
  <c r="AF4" i="22"/>
  <c r="X4" i="22"/>
  <c r="P4" i="22"/>
  <c r="H4" i="22"/>
  <c r="AZ5" i="21"/>
  <c r="AR5" i="21"/>
  <c r="AJ5" i="21"/>
  <c r="AB5" i="21"/>
  <c r="T5" i="21"/>
  <c r="L5" i="21"/>
  <c r="D5" i="21"/>
  <c r="AZ4" i="21"/>
  <c r="AR4" i="21"/>
  <c r="AJ4" i="21"/>
  <c r="AB4" i="21"/>
  <c r="T4" i="21"/>
  <c r="L4" i="21"/>
  <c r="D4" i="21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T4" i="20"/>
  <c r="L4" i="20"/>
  <c r="D4" i="20"/>
  <c r="CO5" i="19"/>
  <c r="CG5" i="19"/>
  <c r="BY5" i="19"/>
  <c r="BQ5" i="19"/>
  <c r="BI5" i="19"/>
  <c r="BA5" i="19"/>
  <c r="AS5" i="19"/>
  <c r="AK5" i="19"/>
  <c r="AC5" i="19"/>
  <c r="U5" i="19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AH5" i="17"/>
  <c r="Z5" i="17"/>
  <c r="R5" i="17"/>
  <c r="J5" i="17"/>
  <c r="B5" i="17"/>
  <c r="V4" i="17"/>
  <c r="N4" i="17"/>
  <c r="F4" i="17"/>
  <c r="AY5" i="16"/>
  <c r="AQ5" i="16"/>
  <c r="AI5" i="16"/>
  <c r="AA5" i="16"/>
  <c r="S5" i="16"/>
  <c r="K5" i="16"/>
  <c r="C5" i="16"/>
  <c r="AY4" i="16"/>
  <c r="AQ4" i="16"/>
  <c r="AI4" i="16"/>
  <c r="AA4" i="16"/>
  <c r="S4" i="16"/>
  <c r="K4" i="16"/>
  <c r="C4" i="16"/>
  <c r="AV5" i="15"/>
  <c r="AN5" i="15"/>
  <c r="AF5" i="15"/>
  <c r="X5" i="15"/>
  <c r="AU5" i="22"/>
  <c r="AM5" i="22"/>
  <c r="AE5" i="22"/>
  <c r="W5" i="22"/>
  <c r="O5" i="22"/>
  <c r="G5" i="22"/>
  <c r="BC4" i="22"/>
  <c r="AU4" i="22"/>
  <c r="AM4" i="22"/>
  <c r="AE4" i="22"/>
  <c r="W4" i="22"/>
  <c r="O4" i="22"/>
  <c r="G4" i="22"/>
  <c r="AY5" i="21"/>
  <c r="AQ5" i="21"/>
  <c r="AI5" i="21"/>
  <c r="AA5" i="21"/>
  <c r="S5" i="21"/>
  <c r="K5" i="21"/>
  <c r="C5" i="21"/>
  <c r="AY4" i="21"/>
  <c r="AQ4" i="21"/>
  <c r="AI4" i="21"/>
  <c r="AA4" i="21"/>
  <c r="S4" i="21"/>
  <c r="K4" i="21"/>
  <c r="C4" i="21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S4" i="20"/>
  <c r="K4" i="20"/>
  <c r="C4" i="20"/>
  <c r="CN5" i="19"/>
  <c r="CF5" i="19"/>
  <c r="BX5" i="19"/>
  <c r="BP5" i="19"/>
  <c r="BH5" i="19"/>
  <c r="AZ5" i="19"/>
  <c r="AR5" i="19"/>
  <c r="AJ5" i="19"/>
  <c r="AB5" i="19"/>
  <c r="T5" i="19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AO5" i="17"/>
  <c r="AG5" i="17"/>
  <c r="Y5" i="17"/>
  <c r="Q5" i="17"/>
  <c r="I5" i="17"/>
  <c r="A5" i="17"/>
  <c r="U4" i="17"/>
  <c r="M4" i="17"/>
  <c r="E4" i="17"/>
  <c r="AX5" i="16"/>
  <c r="AP5" i="16"/>
  <c r="AH5" i="16"/>
  <c r="Z5" i="16"/>
  <c r="R5" i="16"/>
  <c r="J5" i="16"/>
  <c r="B5" i="16"/>
  <c r="AX4" i="16"/>
  <c r="AP4" i="16"/>
  <c r="AH4" i="16"/>
  <c r="Z4" i="16"/>
  <c r="R4" i="16"/>
  <c r="J4" i="16"/>
  <c r="B4" i="16"/>
  <c r="AU5" i="15"/>
  <c r="AM5" i="15"/>
  <c r="AE5" i="15"/>
  <c r="W5" i="15"/>
  <c r="O5" i="15"/>
  <c r="G5" i="15"/>
  <c r="BC4" i="15"/>
  <c r="AU4" i="15"/>
  <c r="AM4" i="15"/>
  <c r="AT5" i="22"/>
  <c r="AL5" i="22"/>
  <c r="AD5" i="22"/>
  <c r="V5" i="22"/>
  <c r="N5" i="22"/>
  <c r="F5" i="22"/>
  <c r="BB4" i="22"/>
  <c r="AT4" i="22"/>
  <c r="AL4" i="22"/>
  <c r="AD4" i="22"/>
  <c r="V4" i="22"/>
  <c r="N4" i="22"/>
  <c r="F4" i="22"/>
  <c r="AX5" i="21"/>
  <c r="AP5" i="21"/>
  <c r="AH5" i="21"/>
  <c r="Z5" i="21"/>
  <c r="R5" i="21"/>
  <c r="J5" i="21"/>
  <c r="B5" i="21"/>
  <c r="AX4" i="21"/>
  <c r="AP4" i="21"/>
  <c r="AH4" i="21"/>
  <c r="Z4" i="21"/>
  <c r="R4" i="21"/>
  <c r="J4" i="21"/>
  <c r="B4" i="21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Z4" i="20"/>
  <c r="R4" i="20"/>
  <c r="J4" i="20"/>
  <c r="B4" i="20"/>
  <c r="CM5" i="19"/>
  <c r="CE5" i="19"/>
  <c r="BW5" i="19"/>
  <c r="BO5" i="19"/>
  <c r="BG5" i="19"/>
  <c r="AY5" i="19"/>
  <c r="AQ5" i="19"/>
  <c r="AI5" i="19"/>
  <c r="AA5" i="19"/>
  <c r="S5" i="19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AN5" i="17"/>
  <c r="AF5" i="17"/>
  <c r="X5" i="17"/>
  <c r="P5" i="17"/>
  <c r="H5" i="17"/>
  <c r="AB4" i="17"/>
  <c r="T4" i="17"/>
  <c r="L4" i="17"/>
  <c r="D4" i="17"/>
  <c r="AW5" i="16"/>
  <c r="AO5" i="16"/>
  <c r="AG5" i="16"/>
  <c r="Y5" i="16"/>
  <c r="Q5" i="16"/>
  <c r="I5" i="16"/>
  <c r="A5" i="16"/>
  <c r="AW4" i="16"/>
  <c r="AO4" i="16"/>
  <c r="AG4" i="16"/>
  <c r="Y4" i="16"/>
  <c r="Q4" i="16"/>
  <c r="I4" i="16"/>
  <c r="AT5" i="15"/>
  <c r="AL5" i="15"/>
  <c r="AD5" i="15"/>
  <c r="V5" i="15"/>
  <c r="N5" i="15"/>
  <c r="F5" i="15"/>
  <c r="BB4" i="15"/>
  <c r="AT4" i="15"/>
  <c r="AL4" i="15"/>
  <c r="AD4" i="15"/>
  <c r="AS5" i="22"/>
  <c r="AK5" i="22"/>
  <c r="AC5" i="22"/>
  <c r="U5" i="22"/>
  <c r="M5" i="22"/>
  <c r="E5" i="22"/>
  <c r="BA4" i="22"/>
  <c r="AS4" i="22"/>
  <c r="AK4" i="22"/>
  <c r="AC4" i="22"/>
  <c r="U4" i="22"/>
  <c r="M4" i="22"/>
  <c r="E4" i="22"/>
  <c r="AW5" i="21"/>
  <c r="AO5" i="21"/>
  <c r="AG5" i="21"/>
  <c r="Y5" i="21"/>
  <c r="Q5" i="21"/>
  <c r="I5" i="21"/>
  <c r="A5" i="21"/>
  <c r="AW4" i="21"/>
  <c r="AO4" i="21"/>
  <c r="AG4" i="21"/>
  <c r="Y4" i="21"/>
  <c r="Q4" i="21"/>
  <c r="I4" i="21"/>
  <c r="EU5" i="20"/>
  <c r="EM5" i="20"/>
  <c r="EE5" i="20"/>
  <c r="DW5" i="20"/>
  <c r="DO5" i="20"/>
  <c r="DG5" i="20"/>
  <c r="CY5" i="20"/>
  <c r="CQ5" i="20"/>
  <c r="CI5" i="20"/>
  <c r="CA5" i="20"/>
  <c r="BS5" i="20"/>
  <c r="BC5" i="20"/>
  <c r="AU5" i="20"/>
  <c r="AM5" i="20"/>
  <c r="AE5" i="20"/>
  <c r="W5" i="20"/>
  <c r="O5" i="20"/>
  <c r="G5" i="20"/>
  <c r="Y4" i="20"/>
  <c r="Q4" i="20"/>
  <c r="I4" i="20"/>
  <c r="CL5" i="19"/>
  <c r="CD5" i="19"/>
  <c r="BV5" i="19"/>
  <c r="BN5" i="19"/>
  <c r="BF5" i="19"/>
  <c r="AX5" i="19"/>
  <c r="AP5" i="19"/>
  <c r="AH5" i="19"/>
  <c r="Z5" i="19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AM5" i="17"/>
  <c r="AE5" i="17"/>
  <c r="W5" i="17"/>
  <c r="O5" i="17"/>
  <c r="G5" i="17"/>
  <c r="AA4" i="17"/>
  <c r="S4" i="17"/>
  <c r="K4" i="17"/>
  <c r="C4" i="17"/>
  <c r="AV5" i="16"/>
  <c r="AN5" i="16"/>
  <c r="AF5" i="16"/>
  <c r="X5" i="16"/>
  <c r="P5" i="16"/>
  <c r="H5" i="16"/>
  <c r="BD4" i="16"/>
  <c r="AV4" i="16"/>
  <c r="AN4" i="16"/>
  <c r="AF4" i="16"/>
  <c r="X4" i="16"/>
  <c r="P4" i="16"/>
  <c r="H4" i="16"/>
  <c r="BA5" i="15"/>
  <c r="AS5" i="15"/>
  <c r="AK5" i="15"/>
  <c r="AC5" i="15"/>
  <c r="K5" i="18"/>
  <c r="BP4" i="18"/>
  <c r="AH4" i="18"/>
  <c r="B4" i="18"/>
  <c r="K5" i="17"/>
  <c r="G4" i="17"/>
  <c r="AB5" i="16"/>
  <c r="AZ4" i="16"/>
  <c r="T4" i="16"/>
  <c r="AO5" i="15"/>
  <c r="Q5" i="15"/>
  <c r="D5" i="15"/>
  <c r="AV4" i="15"/>
  <c r="AI4" i="15"/>
  <c r="Y4" i="15"/>
  <c r="Q4" i="15"/>
  <c r="I4" i="15"/>
  <c r="A5" i="14"/>
  <c r="I4" i="14"/>
  <c r="M5" i="13"/>
  <c r="E5" i="13"/>
  <c r="M4" i="13"/>
  <c r="E4" i="13"/>
  <c r="A5" i="12"/>
  <c r="I4" i="12"/>
  <c r="D5" i="11"/>
  <c r="L4" i="11"/>
  <c r="D4" i="11"/>
  <c r="O4" i="10"/>
  <c r="G4" i="10"/>
  <c r="C5" i="9"/>
  <c r="K4" i="9"/>
  <c r="C4" i="9"/>
  <c r="P4" i="8"/>
  <c r="H4" i="8"/>
  <c r="T5" i="7"/>
  <c r="L5" i="7"/>
  <c r="D5" i="7"/>
  <c r="AI5" i="6"/>
  <c r="AA5" i="6"/>
  <c r="S5" i="6"/>
  <c r="K5" i="6"/>
  <c r="C5" i="6"/>
  <c r="W4" i="6"/>
  <c r="O4" i="6"/>
  <c r="G4" i="6"/>
  <c r="C5" i="5"/>
  <c r="AB4" i="5"/>
  <c r="T4" i="5"/>
  <c r="L4" i="5"/>
  <c r="D4" i="5"/>
  <c r="A5" i="4"/>
  <c r="Z4" i="4"/>
  <c r="R4" i="4"/>
  <c r="J4" i="4"/>
  <c r="B4" i="4"/>
  <c r="B19" i="3"/>
  <c r="B17" i="3"/>
  <c r="B15" i="3"/>
  <c r="B13" i="3"/>
  <c r="B11" i="3"/>
  <c r="B9" i="3"/>
  <c r="B7" i="3"/>
  <c r="B5" i="3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C5" i="18"/>
  <c r="BH4" i="18"/>
  <c r="AB4" i="18"/>
  <c r="AK5" i="17"/>
  <c r="E5" i="17"/>
  <c r="V5" i="16"/>
  <c r="AT4" i="16"/>
  <c r="N4" i="16"/>
  <c r="AI5" i="15"/>
  <c r="P5" i="15"/>
  <c r="C5" i="15"/>
  <c r="AS4" i="15"/>
  <c r="AG4" i="15"/>
  <c r="X4" i="15"/>
  <c r="P4" i="15"/>
  <c r="H4" i="15"/>
  <c r="H5" i="14"/>
  <c r="P4" i="14"/>
  <c r="H4" i="14"/>
  <c r="T5" i="13"/>
  <c r="L5" i="13"/>
  <c r="D5" i="13"/>
  <c r="L4" i="13"/>
  <c r="D4" i="13"/>
  <c r="P4" i="12"/>
  <c r="H4" i="12"/>
  <c r="K5" i="11"/>
  <c r="C5" i="11"/>
  <c r="K4" i="11"/>
  <c r="C4" i="11"/>
  <c r="N4" i="10"/>
  <c r="F4" i="10"/>
  <c r="B5" i="9"/>
  <c r="J4" i="9"/>
  <c r="B4" i="9"/>
  <c r="O4" i="8"/>
  <c r="G4" i="8"/>
  <c r="S5" i="7"/>
  <c r="K5" i="7"/>
  <c r="C5" i="7"/>
  <c r="AP5" i="6"/>
  <c r="AH5" i="6"/>
  <c r="Z5" i="6"/>
  <c r="R5" i="6"/>
  <c r="J5" i="6"/>
  <c r="B5" i="6"/>
  <c r="V4" i="6"/>
  <c r="N4" i="6"/>
  <c r="F4" i="6"/>
  <c r="B5" i="5"/>
  <c r="AA4" i="5"/>
  <c r="S4" i="5"/>
  <c r="K4" i="5"/>
  <c r="C4" i="5"/>
  <c r="AG4" i="4"/>
  <c r="Y4" i="4"/>
  <c r="Q4" i="4"/>
  <c r="I4" i="4"/>
  <c r="A19" i="3"/>
  <c r="A17" i="3"/>
  <c r="A15" i="3"/>
  <c r="A13" i="3"/>
  <c r="A11" i="3"/>
  <c r="A9" i="3"/>
  <c r="A7" i="3"/>
  <c r="A5" i="3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DL4" i="18"/>
  <c r="BF4" i="18"/>
  <c r="Z4" i="18"/>
  <c r="AI5" i="17"/>
  <c r="C5" i="17"/>
  <c r="AZ5" i="16"/>
  <c r="T5" i="16"/>
  <c r="AR4" i="16"/>
  <c r="L4" i="16"/>
  <c r="AG5" i="15"/>
  <c r="M5" i="15"/>
  <c r="A5" i="15"/>
  <c r="AR4" i="15"/>
  <c r="AF4" i="15"/>
  <c r="W4" i="15"/>
  <c r="O4" i="15"/>
  <c r="G4" i="15"/>
  <c r="G5" i="14"/>
  <c r="O4" i="14"/>
  <c r="G4" i="14"/>
  <c r="S5" i="13"/>
  <c r="K5" i="13"/>
  <c r="C5" i="13"/>
  <c r="K4" i="13"/>
  <c r="C4" i="13"/>
  <c r="O4" i="12"/>
  <c r="G4" i="12"/>
  <c r="J5" i="11"/>
  <c r="B5" i="11"/>
  <c r="J4" i="11"/>
  <c r="B4" i="11"/>
  <c r="M4" i="10"/>
  <c r="E4" i="10"/>
  <c r="A5" i="9"/>
  <c r="I4" i="9"/>
  <c r="N4" i="8"/>
  <c r="F4" i="8"/>
  <c r="R5" i="7"/>
  <c r="J5" i="7"/>
  <c r="B5" i="7"/>
  <c r="AO5" i="6"/>
  <c r="AG5" i="6"/>
  <c r="Y5" i="6"/>
  <c r="Q5" i="6"/>
  <c r="I5" i="6"/>
  <c r="A5" i="6"/>
  <c r="U4" i="6"/>
  <c r="M4" i="6"/>
  <c r="E4" i="6"/>
  <c r="A5" i="5"/>
  <c r="Z4" i="5"/>
  <c r="R4" i="5"/>
  <c r="J4" i="5"/>
  <c r="B4" i="5"/>
  <c r="AF4" i="4"/>
  <c r="X4" i="4"/>
  <c r="P4" i="4"/>
  <c r="H4" i="4"/>
  <c r="D20" i="3"/>
  <c r="D18" i="3"/>
  <c r="D16" i="3"/>
  <c r="D14" i="3"/>
  <c r="D12" i="3"/>
  <c r="D10" i="3"/>
  <c r="D8" i="3"/>
  <c r="D6" i="3"/>
  <c r="D4" i="3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DD4" i="18"/>
  <c r="AZ4" i="18"/>
  <c r="T4" i="18"/>
  <c r="AC5" i="17"/>
  <c r="Y4" i="17"/>
  <c r="AT5" i="16"/>
  <c r="N5" i="16"/>
  <c r="AL4" i="16"/>
  <c r="F4" i="16"/>
  <c r="AA5" i="15"/>
  <c r="L5" i="15"/>
  <c r="BD4" i="15"/>
  <c r="AQ4" i="15"/>
  <c r="AE4" i="15"/>
  <c r="V4" i="15"/>
  <c r="N4" i="15"/>
  <c r="F4" i="15"/>
  <c r="F5" i="14"/>
  <c r="N4" i="14"/>
  <c r="F4" i="14"/>
  <c r="R5" i="13"/>
  <c r="J5" i="13"/>
  <c r="B5" i="13"/>
  <c r="J4" i="13"/>
  <c r="B4" i="13"/>
  <c r="N4" i="12"/>
  <c r="F4" i="12"/>
  <c r="I5" i="11"/>
  <c r="A5" i="11"/>
  <c r="I4" i="11"/>
  <c r="L4" i="10"/>
  <c r="D4" i="10"/>
  <c r="P4" i="9"/>
  <c r="H4" i="9"/>
  <c r="E5" i="8"/>
  <c r="M4" i="8"/>
  <c r="E4" i="8"/>
  <c r="Q5" i="7"/>
  <c r="I5" i="7"/>
  <c r="A5" i="7"/>
  <c r="AN5" i="6"/>
  <c r="AF5" i="6"/>
  <c r="X5" i="6"/>
  <c r="P5" i="6"/>
  <c r="H5" i="6"/>
  <c r="AB4" i="6"/>
  <c r="T4" i="6"/>
  <c r="L4" i="6"/>
  <c r="D4" i="6"/>
  <c r="AG4" i="5"/>
  <c r="Y4" i="5"/>
  <c r="Q4" i="5"/>
  <c r="I4" i="5"/>
  <c r="AE4" i="4"/>
  <c r="W4" i="4"/>
  <c r="O4" i="4"/>
  <c r="G4" i="4"/>
  <c r="C20" i="3"/>
  <c r="C18" i="3"/>
  <c r="C16" i="3"/>
  <c r="C14" i="3"/>
  <c r="C12" i="3"/>
  <c r="C10" i="3"/>
  <c r="C8" i="3"/>
  <c r="C6" i="3"/>
  <c r="C4" i="3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CV4" i="18"/>
  <c r="AX4" i="18"/>
  <c r="R4" i="18"/>
  <c r="AA5" i="17"/>
  <c r="W4" i="17"/>
  <c r="AR5" i="16"/>
  <c r="L5" i="16"/>
  <c r="AJ4" i="16"/>
  <c r="D4" i="16"/>
  <c r="Y5" i="15"/>
  <c r="K5" i="15"/>
  <c r="BA4" i="15"/>
  <c r="AO4" i="15"/>
  <c r="AC4" i="15"/>
  <c r="U4" i="15"/>
  <c r="M4" i="15"/>
  <c r="E4" i="15"/>
  <c r="E5" i="14"/>
  <c r="M4" i="14"/>
  <c r="E4" i="14"/>
  <c r="Q5" i="13"/>
  <c r="I5" i="13"/>
  <c r="A5" i="13"/>
  <c r="I4" i="13"/>
  <c r="M4" i="12"/>
  <c r="E4" i="12"/>
  <c r="H5" i="11"/>
  <c r="P4" i="11"/>
  <c r="H4" i="11"/>
  <c r="C5" i="10"/>
  <c r="K4" i="10"/>
  <c r="C4" i="10"/>
  <c r="O4" i="9"/>
  <c r="G4" i="9"/>
  <c r="D5" i="8"/>
  <c r="L4" i="8"/>
  <c r="D4" i="8"/>
  <c r="P5" i="7"/>
  <c r="H5" i="7"/>
  <c r="E4" i="7"/>
  <c r="AM5" i="6"/>
  <c r="AE5" i="6"/>
  <c r="W5" i="6"/>
  <c r="O5" i="6"/>
  <c r="G5" i="6"/>
  <c r="AA4" i="6"/>
  <c r="S4" i="6"/>
  <c r="K4" i="6"/>
  <c r="C4" i="6"/>
  <c r="AF4" i="5"/>
  <c r="X4" i="5"/>
  <c r="P4" i="5"/>
  <c r="H4" i="5"/>
  <c r="AD4" i="4"/>
  <c r="V4" i="4"/>
  <c r="N4" i="4"/>
  <c r="F4" i="4"/>
  <c r="B20" i="3"/>
  <c r="B18" i="3"/>
  <c r="B16" i="3"/>
  <c r="B14" i="3"/>
  <c r="B12" i="3"/>
  <c r="B10" i="3"/>
  <c r="B8" i="3"/>
  <c r="B6" i="3"/>
  <c r="B4" i="3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CN4" i="18"/>
  <c r="AR4" i="18"/>
  <c r="L4" i="18"/>
  <c r="U5" i="17"/>
  <c r="Q4" i="17"/>
  <c r="AL5" i="16"/>
  <c r="F5" i="16"/>
  <c r="AD4" i="16"/>
  <c r="AY5" i="15"/>
  <c r="U5" i="15"/>
  <c r="I5" i="15"/>
  <c r="AZ4" i="15"/>
  <c r="AN4" i="15"/>
  <c r="AB4" i="15"/>
  <c r="T4" i="15"/>
  <c r="L4" i="15"/>
  <c r="D4" i="15"/>
  <c r="D5" i="14"/>
  <c r="L4" i="14"/>
  <c r="D4" i="14"/>
  <c r="P5" i="13"/>
  <c r="H5" i="13"/>
  <c r="P4" i="13"/>
  <c r="H4" i="13"/>
  <c r="D5" i="12"/>
  <c r="L4" i="12"/>
  <c r="D4" i="12"/>
  <c r="G5" i="11"/>
  <c r="O4" i="11"/>
  <c r="G4" i="11"/>
  <c r="B5" i="10"/>
  <c r="J4" i="10"/>
  <c r="B4" i="10"/>
  <c r="N4" i="9"/>
  <c r="F4" i="9"/>
  <c r="C5" i="8"/>
  <c r="K4" i="8"/>
  <c r="C4" i="8"/>
  <c r="O5" i="7"/>
  <c r="G5" i="7"/>
  <c r="D4" i="7"/>
  <c r="AL5" i="6"/>
  <c r="AD5" i="6"/>
  <c r="V5" i="6"/>
  <c r="N5" i="6"/>
  <c r="F5" i="6"/>
  <c r="Z4" i="6"/>
  <c r="R4" i="6"/>
  <c r="J4" i="6"/>
  <c r="B4" i="6"/>
  <c r="AE4" i="5"/>
  <c r="W4" i="5"/>
  <c r="O4" i="5"/>
  <c r="G4" i="5"/>
  <c r="AC4" i="4"/>
  <c r="U4" i="4"/>
  <c r="M4" i="4"/>
  <c r="E4" i="4"/>
  <c r="A20" i="3"/>
  <c r="A18" i="3"/>
  <c r="A16" i="3"/>
  <c r="A14" i="3"/>
  <c r="A12" i="3"/>
  <c r="A10" i="3"/>
  <c r="A8" i="3"/>
  <c r="A6" i="3"/>
  <c r="A4" i="3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CF4" i="18"/>
  <c r="AP4" i="18"/>
  <c r="J4" i="18"/>
  <c r="S5" i="17"/>
  <c r="O4" i="17"/>
  <c r="AJ5" i="16"/>
  <c r="D5" i="16"/>
  <c r="AB4" i="16"/>
  <c r="AW5" i="15"/>
  <c r="T5" i="15"/>
  <c r="H5" i="15"/>
  <c r="AY4" i="15"/>
  <c r="AK4" i="15"/>
  <c r="AA4" i="15"/>
  <c r="S4" i="15"/>
  <c r="K4" i="15"/>
  <c r="C4" i="15"/>
  <c r="C5" i="14"/>
  <c r="K4" i="14"/>
  <c r="C4" i="14"/>
  <c r="O5" i="13"/>
  <c r="G5" i="13"/>
  <c r="O4" i="13"/>
  <c r="G4" i="13"/>
  <c r="C5" i="12"/>
  <c r="K4" i="12"/>
  <c r="C4" i="12"/>
  <c r="F5" i="11"/>
  <c r="N4" i="11"/>
  <c r="F4" i="11"/>
  <c r="A5" i="10"/>
  <c r="I4" i="10"/>
  <c r="M4" i="9"/>
  <c r="E4" i="9"/>
  <c r="B5" i="8"/>
  <c r="J4" i="8"/>
  <c r="B4" i="8"/>
  <c r="N5" i="7"/>
  <c r="F5" i="7"/>
  <c r="C4" i="7"/>
  <c r="AK5" i="6"/>
  <c r="AC5" i="6"/>
  <c r="U5" i="6"/>
  <c r="M5" i="6"/>
  <c r="E5" i="6"/>
  <c r="Y4" i="6"/>
  <c r="Q4" i="6"/>
  <c r="I4" i="6"/>
  <c r="AD4" i="5"/>
  <c r="V4" i="5"/>
  <c r="N4" i="5"/>
  <c r="F4" i="5"/>
  <c r="C5" i="4"/>
  <c r="AB4" i="4"/>
  <c r="T4" i="4"/>
  <c r="L4" i="4"/>
  <c r="D4" i="4"/>
  <c r="D19" i="3"/>
  <c r="D17" i="3"/>
  <c r="D15" i="3"/>
  <c r="D13" i="3"/>
  <c r="D11" i="3"/>
  <c r="D9" i="3"/>
  <c r="D7" i="3"/>
  <c r="D5" i="3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X4" i="18"/>
  <c r="AJ4" i="18"/>
  <c r="D4" i="18"/>
  <c r="M5" i="17"/>
  <c r="I4" i="17"/>
  <c r="AD5" i="16"/>
  <c r="BB4" i="16"/>
  <c r="V4" i="16"/>
  <c r="AQ5" i="15"/>
  <c r="S5" i="15"/>
  <c r="E5" i="15"/>
  <c r="AW4" i="15"/>
  <c r="AJ4" i="15"/>
  <c r="Z4" i="15"/>
  <c r="R4" i="15"/>
  <c r="J4" i="15"/>
  <c r="B4" i="15"/>
  <c r="B5" i="14"/>
  <c r="J4" i="14"/>
  <c r="B4" i="14"/>
  <c r="N5" i="13"/>
  <c r="F5" i="13"/>
  <c r="N4" i="13"/>
  <c r="F4" i="13"/>
  <c r="B5" i="12"/>
  <c r="J4" i="12"/>
  <c r="B4" i="12"/>
  <c r="E5" i="11"/>
  <c r="M4" i="11"/>
  <c r="E4" i="11"/>
  <c r="P4" i="10"/>
  <c r="H4" i="10"/>
  <c r="D5" i="9"/>
  <c r="L4" i="9"/>
  <c r="D4" i="9"/>
  <c r="A5" i="8"/>
  <c r="I4" i="8"/>
  <c r="M5" i="7"/>
  <c r="E5" i="7"/>
  <c r="B4" i="7"/>
  <c r="AJ5" i="6"/>
  <c r="AB5" i="6"/>
  <c r="T5" i="6"/>
  <c r="L5" i="6"/>
  <c r="D5" i="6"/>
  <c r="X4" i="6"/>
  <c r="P4" i="6"/>
  <c r="H4" i="6"/>
  <c r="D5" i="5"/>
  <c r="AC4" i="5"/>
  <c r="U4" i="5"/>
  <c r="M4" i="5"/>
  <c r="E4" i="5"/>
  <c r="B5" i="4"/>
  <c r="AA4" i="4"/>
  <c r="S4" i="4"/>
  <c r="K4" i="4"/>
  <c r="C4" i="4"/>
  <c r="C19" i="3"/>
  <c r="C17" i="3"/>
  <c r="C15" i="3"/>
  <c r="C13" i="3"/>
  <c r="C11" i="3"/>
  <c r="C9" i="3"/>
  <c r="C7" i="3"/>
  <c r="C5" i="3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C435" i="1"/>
  <c r="A425" i="1"/>
  <c r="B414" i="1"/>
  <c r="C403" i="1"/>
  <c r="A393" i="1"/>
  <c r="B382" i="1"/>
  <c r="C371" i="1"/>
  <c r="A361" i="1"/>
  <c r="A354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B435" i="1"/>
  <c r="C424" i="1"/>
  <c r="A414" i="1"/>
  <c r="B403" i="1"/>
  <c r="C392" i="1"/>
  <c r="A382" i="1"/>
  <c r="B371" i="1"/>
  <c r="C360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A446" i="1"/>
  <c r="A433" i="1"/>
  <c r="B422" i="1"/>
  <c r="C411" i="1"/>
  <c r="A401" i="1"/>
  <c r="B390" i="1"/>
  <c r="C379" i="1"/>
  <c r="A369" i="1"/>
  <c r="B358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443" i="1"/>
  <c r="C432" i="1"/>
  <c r="A422" i="1"/>
  <c r="B411" i="1"/>
  <c r="C400" i="1"/>
  <c r="A390" i="1"/>
  <c r="B379" i="1"/>
  <c r="C368" i="1"/>
  <c r="A358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441" i="1"/>
  <c r="B430" i="1"/>
  <c r="C419" i="1"/>
  <c r="A409" i="1"/>
  <c r="B398" i="1"/>
  <c r="C387" i="1"/>
  <c r="A377" i="1"/>
  <c r="B366" i="1"/>
  <c r="A357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440" i="1"/>
  <c r="A430" i="1"/>
  <c r="B419" i="1"/>
  <c r="C408" i="1"/>
  <c r="A398" i="1"/>
  <c r="B387" i="1"/>
  <c r="C376" i="1"/>
  <c r="A366" i="1"/>
  <c r="C355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B438" i="1"/>
  <c r="C427" i="1"/>
  <c r="A417" i="1"/>
  <c r="B406" i="1"/>
  <c r="C395" i="1"/>
  <c r="A385" i="1"/>
  <c r="B374" i="1"/>
  <c r="C363" i="1"/>
  <c r="B355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A438" i="1"/>
  <c r="B427" i="1"/>
  <c r="C416" i="1"/>
  <c r="A406" i="1"/>
  <c r="B395" i="1"/>
  <c r="C384" i="1"/>
  <c r="A374" i="1"/>
  <c r="B363" i="1"/>
  <c r="B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5" i="1"/>
  <c r="A10" i="1"/>
  <c r="B4" i="1"/>
  <c r="A9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C4" i="1"/>
  <c r="C6" i="1"/>
  <c r="B11" i="1"/>
  <c r="B39" i="1"/>
  <c r="C36" i="1"/>
  <c r="A34" i="1"/>
  <c r="B31" i="1"/>
  <c r="C28" i="1"/>
  <c r="A26" i="1"/>
  <c r="B23" i="1"/>
  <c r="C20" i="1"/>
  <c r="A18" i="1"/>
  <c r="B15" i="1"/>
  <c r="C12" i="1"/>
  <c r="B7" i="1"/>
  <c r="A7" i="1"/>
  <c r="B6" i="1"/>
  <c r="A39" i="1"/>
  <c r="B36" i="1"/>
  <c r="C33" i="1"/>
  <c r="A31" i="1"/>
  <c r="B28" i="1"/>
  <c r="C25" i="1"/>
  <c r="A23" i="1"/>
  <c r="B20" i="1"/>
  <c r="C17" i="1"/>
  <c r="A15" i="1"/>
  <c r="B12" i="1"/>
  <c r="C9" i="1"/>
  <c r="A4" i="1"/>
  <c r="C5" i="1"/>
  <c r="C38" i="1"/>
  <c r="A36" i="1"/>
  <c r="B33" i="1"/>
  <c r="C30" i="1"/>
  <c r="A28" i="1"/>
  <c r="B25" i="1"/>
  <c r="C22" i="1"/>
  <c r="A20" i="1"/>
  <c r="B17" i="1"/>
  <c r="C14" i="1"/>
  <c r="A12" i="1"/>
  <c r="B9" i="1"/>
  <c r="C8" i="1"/>
  <c r="B38" i="1"/>
  <c r="C35" i="1"/>
  <c r="A33" i="1"/>
  <c r="B30" i="1"/>
  <c r="C27" i="1"/>
  <c r="A25" i="1"/>
  <c r="B22" i="1"/>
  <c r="C19" i="1"/>
  <c r="A17" i="1"/>
  <c r="B14" i="1"/>
  <c r="C11" i="1"/>
  <c r="A6" i="1"/>
  <c r="A38" i="1"/>
  <c r="B35" i="1"/>
  <c r="C32" i="1"/>
  <c r="A30" i="1"/>
  <c r="B27" i="1"/>
  <c r="C24" i="1"/>
  <c r="A22" i="1"/>
  <c r="B19" i="1"/>
  <c r="C16" i="1"/>
  <c r="A14" i="1"/>
  <c r="C37" i="1"/>
  <c r="A35" i="1"/>
  <c r="B32" i="1"/>
  <c r="C29" i="1"/>
  <c r="A27" i="1"/>
  <c r="B24" i="1"/>
  <c r="C21" i="1"/>
  <c r="A19" i="1"/>
  <c r="B16" i="1"/>
  <c r="C13" i="1"/>
  <c r="A11" i="1"/>
  <c r="B8" i="1"/>
  <c r="J2" i="19" l="1"/>
  <c r="J2" i="22"/>
  <c r="J2" i="18"/>
  <c r="J2" i="16"/>
  <c r="J2" i="21"/>
  <c r="J2" i="20"/>
  <c r="J2" i="15"/>
  <c r="J2" i="14"/>
  <c r="J2" i="12"/>
  <c r="J2" i="7"/>
  <c r="J2" i="17"/>
  <c r="J2" i="4"/>
  <c r="J2" i="9"/>
  <c r="J2" i="11"/>
  <c r="J2" i="5"/>
  <c r="J2" i="13"/>
  <c r="J2" i="10"/>
  <c r="J2" i="6"/>
  <c r="J2" i="8"/>
</calcChain>
</file>

<file path=xl/sharedStrings.xml><?xml version="1.0" encoding="utf-8"?>
<sst xmlns="http://schemas.openxmlformats.org/spreadsheetml/2006/main" count="338" uniqueCount="75">
  <si>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</si>
  <si>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</si>
  <si>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</si>
  <si>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</si>
  <si>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</si>
  <si>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</si>
  <si>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</si>
  <si>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</si>
  <si>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</si>
  <si>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</si>
  <si>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</si>
  <si>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</si>
  <si>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</si>
  <si>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</si>
  <si>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</si>
  <si>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</si>
  <si>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</si>
  <si>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</si>
  <si>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</si>
  <si>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</si>
  <si>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</si>
  <si>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</si>
  <si>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</si>
  <si>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MS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</si>
  <si>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</si>
  <si>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</si>
  <si>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</si>
  <si>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</si>
  <si>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</si>
  <si>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</si>
  <si>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</si>
  <si>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</si>
  <si>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</si>
  <si>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</si>
  <si>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</si>
  <si>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</si>
  <si>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RebalanceViaBloomberg</t>
  </si>
  <si>
    <t>MSFT US EQUITY</t>
  </si>
  <si>
    <t>Decrease</t>
  </si>
  <si>
    <t>ModifyRebalance</t>
  </si>
  <si>
    <t>Yes</t>
  </si>
  <si>
    <t>VerifyGridData</t>
  </si>
  <si>
    <t>Equity</t>
  </si>
  <si>
    <t>Long</t>
  </si>
  <si>
    <t>Information Technology</t>
  </si>
  <si>
    <t>Accruals</t>
  </si>
  <si>
    <t>Allocation3</t>
  </si>
  <si>
    <t>Cash</t>
  </si>
  <si>
    <t>SendtoStaging</t>
  </si>
  <si>
    <t>Blotter</t>
  </si>
  <si>
    <t>VerifyOrder</t>
  </si>
  <si>
    <t>NASDAQ</t>
  </si>
  <si>
    <t>jpearce</t>
  </si>
  <si>
    <t>US</t>
  </si>
  <si>
    <t>GCCAP1</t>
  </si>
  <si>
    <t>M</t>
  </si>
  <si>
    <t>New</t>
  </si>
  <si>
    <t>Market</t>
  </si>
  <si>
    <t>Filled</t>
  </si>
  <si>
    <t>TradeNewSubOrder</t>
  </si>
  <si>
    <t>CreateNewSubOrder</t>
  </si>
  <si>
    <t>Allocation</t>
  </si>
  <si>
    <t>GetDataAllocation</t>
  </si>
  <si>
    <t>Current</t>
  </si>
  <si>
    <t>CheckAllocatedGroups</t>
  </si>
  <si>
    <t>Open</t>
  </si>
  <si>
    <t>MICROSOFT INC</t>
  </si>
  <si>
    <t>PortfolioManagement</t>
  </si>
  <si>
    <t>CheckPortfolioManagement</t>
  </si>
  <si>
    <t>Undefined</t>
  </si>
  <si>
    <t>FIMAT</t>
  </si>
  <si>
    <t>Strategy Unallocated</t>
  </si>
  <si>
    <t>Equity General</t>
  </si>
  <si>
    <t>SelectTradeOnOrderGrid</t>
  </si>
  <si>
    <t>VerifySubOrder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</si>
</sst>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,###,###,###,##0.00#############"/>
    <numFmt numFmtId="165" formatCode="#,##0.0000"/>
    <numFmt numFmtId="166" formatCode="#,##0.000"/>
  </numFmts>
  <fonts count="17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11"/>
      <name val="Calibri"/>
    </font>
    <font>
      <sz val="11"/>
      <color rgb="FF000000"/>
      <name val="Arial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3" fontId="2" fillId="0" borderId="0" xfId="0" applyNumberFormat="1" applyFont="1" applyAlignment="1"/>
    <xf numFmtId="0" fontId="3" fillId="0" borderId="0" xfId="0" applyFont="1" applyAlignment="1">
      <alignment horizontal="right"/>
    </xf>
    <xf numFmtId="4" fontId="5" fillId="0" borderId="0" xfId="0" applyNumberFormat="1" applyFont="1" applyAlignment="1"/>
    <xf numFmtId="4" fontId="5" fillId="0" borderId="0" xfId="0" applyNumberFormat="1" applyFont="1" applyAlignment="1"/>
    <xf numFmtId="4" fontId="14" fillId="0" borderId="5" xfId="0" applyNumberFormat="1" applyFont="1" applyBorder="1" applyAlignment="1">
      <alignment horizontal="right"/>
    </xf>
    <xf numFmtId="4" fontId="14" fillId="0" borderId="5" xfId="0" applyNumberFormat="1" applyFont="1" applyBorder="1" applyAlignment="1"/>
    <xf numFmtId="4" fontId="15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/>
    <xf numFmtId="4" fontId="2" fillId="0" borderId="0" xfId="0" applyNumberFormat="1" applyFont="1"/>
    <xf numFmtId="4" fontId="13" fillId="0" borderId="5" xfId="0" applyNumberFormat="1" applyFont="1" applyBorder="1" applyAlignment="1">
      <alignment horizontal="right"/>
    </xf>
    <xf numFmtId="164" fontId="14" fillId="0" borderId="5" xfId="0" applyNumberFormat="1" applyFont="1" applyBorder="1" applyAlignment="1">
      <alignment horizontal="right"/>
    </xf>
    <xf numFmtId="4" fontId="15" fillId="0" borderId="0" xfId="0" applyNumberFormat="1" applyFont="1" applyAlignment="1">
      <alignment horizontal="right"/>
    </xf>
    <xf numFmtId="4" fontId="13" fillId="0" borderId="0" xfId="0" applyNumberFormat="1" applyFont="1" applyAlignment="1"/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/>
    <xf numFmtId="4" fontId="2" fillId="0" borderId="0" xfId="0" applyNumberFormat="1" applyFont="1" applyAlignment="1"/>
    <xf numFmtId="165" fontId="2" fillId="0" borderId="0" xfId="0" applyNumberFormat="1" applyFont="1" applyAlignment="1"/>
    <xf numFmtId="164" fontId="14" fillId="0" borderId="0" xfId="0" applyNumberFormat="1" applyFont="1" applyAlignment="1">
      <alignment horizontal="right"/>
    </xf>
    <xf numFmtId="4" fontId="15" fillId="0" borderId="0" xfId="0" applyNumberFormat="1" applyFont="1" applyAlignment="1"/>
    <xf numFmtId="4" fontId="13" fillId="0" borderId="5" xfId="0" applyNumberFormat="1" applyFont="1" applyBorder="1" applyAlignment="1">
      <alignment horizontal="right"/>
    </xf>
    <xf numFmtId="166" fontId="2" fillId="0" borderId="0" xfId="0" applyNumberFormat="1" applyFont="1" applyAlignment="1"/>
    <xf numFmtId="0" fontId="16" fillId="0" borderId="0" xfId="0" applyFont="1" applyAlignment="1">
      <alignment horizontal="left"/>
    </xf>
    <xf numFmtId="0" fontId="16" fillId="0" borderId="5" xfId="0" applyFont="1" applyBorder="1" applyAlignment="1"/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0" fontId="16" fillId="0" borderId="0" xfId="0" applyFont="1" applyAlignment="1"/>
    <xf numFmtId="0" fontId="16" fillId="0" borderId="0" xfId="0" applyFont="1" applyAlignment="1"/>
    <xf numFmtId="0" fontId="16" fillId="0" borderId="5" xfId="0" applyFont="1" applyBorder="1" applyAlignme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68" t="s">
        <v>0</v>
      </c>
      <c r="B1" s="69"/>
      <c r="C1" s="69"/>
      <c r="D1" s="69"/>
      <c r="E1" s="69"/>
      <c r="F1" s="7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1" t="s">
        <v>2</v>
      </c>
      <c r="B1" s="69"/>
      <c r="C1" s="7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8" t="s">
        <v>7</v>
      </c>
      <c r="B1" s="69"/>
      <c r="C1" s="69"/>
      <c r="D1" s="69"/>
      <c r="E1" s="69"/>
      <c r="F1" s="7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5">
        <f t="shared" ca="1" si="0"/>
        <v>44411</v>
      </c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7" t="s">
        <v>18</v>
      </c>
      <c r="D6" s="7">
        <v>10000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21</v>
      </c>
      <c r="C6" s="7" t="s">
        <v>22</v>
      </c>
      <c r="D6" s="7">
        <v>1000</v>
      </c>
      <c r="E6" s="7">
        <v>1000</v>
      </c>
      <c r="F6" s="7" t="s">
        <v>17</v>
      </c>
      <c r="G6" s="7" t="s">
        <v>23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21</v>
      </c>
      <c r="C6" s="7">
        <v>10</v>
      </c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IFERROR(__xludf.DUMMYFUNCTION("""COMPUTED_VALUE"""),"Account/Groups")</f>
        <v>Account/Groups</v>
      </c>
      <c r="C5" s="22" t="str">
        <f ca="1">IFERROR(__xludf.DUMMYFUNCTION("""COMPUTED_VALUE"""),"Account Positions")</f>
        <v>Account Positions</v>
      </c>
      <c r="D5" s="22" t="str">
        <f ca="1">IFERROR(__xludf.DUMMYFUNCTION("""COMPUTED_VALUE"""),"Calculation Level")</f>
        <v>Calculation Level</v>
      </c>
      <c r="E5" s="22" t="str">
        <f ca="1">IFERROR(__xludf.DUMMYFUNCTION("""COMPUTED_VALUE"""),"Refresh")</f>
        <v>Refresh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7" t="s">
        <v>27</v>
      </c>
      <c r="C6" s="28" t="s">
        <v>28</v>
      </c>
      <c r="D6" s="29" t="s">
        <v>29</v>
      </c>
      <c r="E6" s="28" t="s">
        <v>30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IFERROR(__xludf.DUMMYFUNCTION("""COMPUTED_VALUE"""),"Cash Flow(USD)")</f>
        <v>Cash Flow(USD)</v>
      </c>
      <c r="C5" s="22" t="str">
        <f ca="1">IFERROR(__xludf.DUMMYFUNCTION("""COMPUTED_VALUE"""),"Cash Flow Impact on NAV")</f>
        <v>Cash Flow Impact on NAV</v>
      </c>
      <c r="D5" s="22" t="str">
        <f ca="1">IFERROR(__xludf.DUMMYFUNCTION("""COMPUTED_VALUE"""),"Select Model")</f>
        <v>Select Model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0">
        <v>10000</v>
      </c>
      <c r="C6" s="28" t="s">
        <v>32</v>
      </c>
      <c r="D6" s="29" t="s">
        <v>33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IFERROR(__xludf.DUMMYFUNCTION("""COMPUTED_VALUE"""),"Rounding Type")</f>
        <v>Rounding Type</v>
      </c>
      <c r="C5" s="22" t="str">
        <f ca="1">IFERROR(__xludf.DUMMYFUNCTION("""COMPUTED_VALUE"""),"Rebalance")</f>
        <v>Rebalance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35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IFERROR(__xludf.DUMMYFUNCTION("""COMPUTED_VALUE"""),"Bloomberg")</f>
        <v>Bloomberg</v>
      </c>
      <c r="C5" s="22" t="str">
        <f ca="1">IFERROR(__xludf.DUMMYFUNCTION("""COMPUTED_VALUE"""),"Set/Inc/Dec")</f>
        <v>Set/Inc/Dec</v>
      </c>
      <c r="D5" s="22" t="str">
        <f ca="1">IFERROR(__xludf.DUMMYFUNCTION("""COMPUTED_VALUE"""),"Target%")</f>
        <v>Target%</v>
      </c>
      <c r="E5" s="22" t="str">
        <f ca="1">IFERROR(__xludf.DUMMYFUNCTION("""COMPUTED_VALUE"""),"Account/Group")</f>
        <v>Account/Group</v>
      </c>
      <c r="F5" s="23" t="str">
        <f ca="1">IFERROR(__xludf.DUMMYFUNCTION("""COMPUTED_VALUE"""),"ReinvestCash")</f>
        <v>ReinvestCash</v>
      </c>
      <c r="G5" s="22" t="str">
        <f ca="1">IFERROR(__xludf.DUMMYFUNCTION("""COMPUTED_VALUE"""),"SellToRaiseCash")</f>
        <v>SellToRaiseCash</v>
      </c>
      <c r="H5" s="22" t="str">
        <f ca="1">IFERROR(__xludf.DUMMYFUNCTION("""COMPUTED_VALUE"""),"AllowNegCash")</f>
        <v>AllowNegCash</v>
      </c>
      <c r="I5" s="22" t="str">
        <f ca="1">IFERROR(__xludf.DUMMYFUNCTION("""COMPUTED_VALUE"""),"NoShortning")</f>
        <v>NoShortning</v>
      </c>
      <c r="J5" s="22" t="str">
        <f ca="1">IFERROR(__xludf.DUMMYFUNCTION("""COMPUTED_VALUE"""),"Price")</f>
        <v>Price</v>
      </c>
      <c r="K5" s="22" t="str">
        <f ca="1">IFERROR(__xludf.DUMMYFUNCTION("""COMPUTED_VALUE"""),"Fx")</f>
        <v>Fx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37</v>
      </c>
      <c r="C6" s="7" t="s">
        <v>38</v>
      </c>
      <c r="D6" s="7">
        <v>5</v>
      </c>
      <c r="E6" s="26"/>
      <c r="F6" s="5"/>
      <c r="G6" s="5"/>
      <c r="H6" s="5"/>
      <c r="I6" s="5"/>
      <c r="J6" s="7">
        <v>12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IFERROR(__xludf.DUMMYFUNCTION("""COMPUTED_VALUE"""),"Modify Rebalance")</f>
        <v>Modify Rebalance</v>
      </c>
      <c r="C5" s="22" t="str">
        <f ca="1">IFERROR(__xludf.DUMMYFUNCTION("""COMPUTED_VALUE"""),"AllowNegCash")</f>
        <v>AllowNegCash</v>
      </c>
      <c r="D5" s="22" t="str">
        <f ca="1">IFERROR(__xludf.DUMMYFUNCTION("""COMPUTED_VALUE"""),"SellToRaiseCash")</f>
        <v>SellToRaiseCash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40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IFERROR(__xludf.DUMMYFUNCTION("""COMPUTED_VALUE"""),"Lock/Unlock")</f>
        <v>Lock/Unlock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IFERROR(__xludf.DUMMYFUNCTION("""COMPUTED_VALUE"""),"Asset")</f>
        <v>Asset</v>
      </c>
      <c r="F5" s="23" t="str">
        <f ca="1">IFERROR(__xludf.DUMMYFUNCTION("""COMPUTED_VALUE"""),"Side")</f>
        <v>Side</v>
      </c>
      <c r="G5" s="22" t="str">
        <f ca="1">IFERROR(__xludf.DUMMYFUNCTION("""COMPUTED_VALUE"""),"Price (Local)")</f>
        <v>Price (Local)</v>
      </c>
      <c r="H5" s="22" t="str">
        <f ca="1">IFERROR(__xludf.DUMMYFUNCTION("""COMPUTED_VALUE"""),"Price")</f>
        <v>Price</v>
      </c>
      <c r="I5" s="22" t="str">
        <f ca="1">IFERROR(__xludf.DUMMYFUNCTION("""COMPUTED_VALUE"""),"FX Rate")</f>
        <v>FX Rate</v>
      </c>
      <c r="J5" s="22" t="str">
        <f ca="1">IFERROR(__xludf.DUMMYFUNCTION("""COMPUTED_VALUE"""),"Current %")</f>
        <v>Current %</v>
      </c>
      <c r="K5" s="22" t="str">
        <f ca="1">IFERROR(__xludf.DUMMYFUNCTION("""COMPUTED_VALUE"""),"Current Position")</f>
        <v>Current Position</v>
      </c>
      <c r="L5" s="22" t="str">
        <f ca="1">IFERROR(__xludf.DUMMYFUNCTION("""COMPUTED_VALUE"""),"Current Market Value (Local)")</f>
        <v>Current Market Value (Local)</v>
      </c>
      <c r="M5" s="22" t="str">
        <f ca="1">IFERROR(__xludf.DUMMYFUNCTION("""COMPUTED_VALUE"""),"Current Market Value")</f>
        <v>Current Market Value</v>
      </c>
      <c r="N5" s="22" t="str">
        <f ca="1">IFERROR(__xludf.DUMMYFUNCTION("""COMPUTED_VALUE"""),"Target %")</f>
        <v>Target %</v>
      </c>
      <c r="O5" s="22" t="str">
        <f ca="1">IFERROR(__xludf.DUMMYFUNCTION("""COMPUTED_VALUE"""),"Target Position")</f>
        <v>Target Position</v>
      </c>
      <c r="P5" s="22" t="str">
        <f ca="1">IFERROR(__xludf.DUMMYFUNCTION("""COMPUTED_VALUE"""),"Target Market Value (Local)")</f>
        <v>Target Market Value (Local)</v>
      </c>
      <c r="Q5" s="22" t="str">
        <f ca="1">IFERROR(__xludf.DUMMYFUNCTION("""COMPUTED_VALUE"""),"Target Market Value")</f>
        <v>Target Market Value</v>
      </c>
      <c r="R5" s="22" t="str">
        <f ca="1">IFERROR(__xludf.DUMMYFUNCTION("""COMPUTED_VALUE"""),"Buy/Sell Qty")</f>
        <v>Buy/Sell Qty</v>
      </c>
      <c r="S5" s="22" t="str">
        <f ca="1">IFERROR(__xludf.DUMMYFUNCTION("""COMPUTED_VALUE"""),"Buy/Sell Value")</f>
        <v>Buy/Sell Value</v>
      </c>
      <c r="T5" s="24" t="str">
        <f ca="1">IFERROR(__xludf.DUMMYFUNCTION("""COMPUTED_VALUE"""),"Sector")</f>
        <v>Sector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31" t="s">
        <v>17</v>
      </c>
      <c r="D6" s="31" t="s">
        <v>21</v>
      </c>
      <c r="E6" s="31" t="s">
        <v>42</v>
      </c>
      <c r="F6" s="31" t="s">
        <v>43</v>
      </c>
      <c r="G6" s="32">
        <v>12</v>
      </c>
      <c r="H6" s="32">
        <v>12</v>
      </c>
      <c r="I6" s="32">
        <v>1</v>
      </c>
      <c r="J6" s="5"/>
      <c r="K6" s="32">
        <v>1000</v>
      </c>
      <c r="L6" s="32">
        <v>12000</v>
      </c>
      <c r="M6" s="32">
        <v>12000</v>
      </c>
      <c r="N6" s="5"/>
      <c r="O6" s="32">
        <v>1900</v>
      </c>
      <c r="P6" s="32">
        <v>22800</v>
      </c>
      <c r="Q6" s="32">
        <v>22800</v>
      </c>
      <c r="R6" s="32">
        <v>900</v>
      </c>
      <c r="S6" s="33">
        <v>10800</v>
      </c>
      <c r="T6" s="31" t="s">
        <v>44</v>
      </c>
    </row>
    <row r="7" spans="1:154" ht="15.75" customHeight="1">
      <c r="A7" s="5"/>
      <c r="B7" s="5"/>
      <c r="C7" s="31" t="s">
        <v>17</v>
      </c>
      <c r="D7" s="31" t="s">
        <v>45</v>
      </c>
      <c r="E7" s="31" t="s">
        <v>45</v>
      </c>
      <c r="F7" s="31" t="s">
        <v>43</v>
      </c>
      <c r="G7" s="32">
        <v>1</v>
      </c>
      <c r="H7" s="32">
        <v>1</v>
      </c>
      <c r="I7" s="32">
        <v>1</v>
      </c>
      <c r="J7" s="5"/>
      <c r="K7" s="32">
        <v>0</v>
      </c>
      <c r="L7" s="32">
        <v>0</v>
      </c>
      <c r="M7" s="32">
        <v>0</v>
      </c>
      <c r="N7" s="5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1" t="s">
        <v>45</v>
      </c>
    </row>
    <row r="8" spans="1:154" ht="15.75" customHeight="1">
      <c r="A8" s="5"/>
      <c r="B8" s="5"/>
      <c r="C8" s="31" t="s">
        <v>46</v>
      </c>
      <c r="D8" s="31" t="s">
        <v>45</v>
      </c>
      <c r="E8" s="31" t="s">
        <v>45</v>
      </c>
      <c r="F8" s="31" t="s">
        <v>43</v>
      </c>
      <c r="G8" s="32">
        <v>1</v>
      </c>
      <c r="H8" s="32">
        <v>1</v>
      </c>
      <c r="I8" s="32">
        <v>1</v>
      </c>
      <c r="J8" s="5"/>
      <c r="K8" s="32">
        <v>0</v>
      </c>
      <c r="L8" s="32">
        <v>0</v>
      </c>
      <c r="M8" s="32">
        <v>0</v>
      </c>
      <c r="N8" s="5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1" t="s">
        <v>45</v>
      </c>
    </row>
    <row r="9" spans="1:154" ht="15.75" customHeight="1">
      <c r="A9" s="5"/>
      <c r="B9" s="5"/>
      <c r="C9" s="31" t="s">
        <v>17</v>
      </c>
      <c r="D9" s="31" t="s">
        <v>47</v>
      </c>
      <c r="E9" s="31" t="s">
        <v>47</v>
      </c>
      <c r="F9" s="31" t="s">
        <v>43</v>
      </c>
      <c r="G9" s="32">
        <v>1</v>
      </c>
      <c r="H9" s="32">
        <v>1</v>
      </c>
      <c r="I9" s="32">
        <v>1</v>
      </c>
      <c r="J9" s="5"/>
      <c r="K9" s="32">
        <v>0</v>
      </c>
      <c r="L9" s="32">
        <v>0</v>
      </c>
      <c r="M9" s="32">
        <v>0</v>
      </c>
      <c r="N9" s="5"/>
      <c r="O9" s="32">
        <v>1200</v>
      </c>
      <c r="P9" s="32">
        <v>1200</v>
      </c>
      <c r="Q9" s="32">
        <v>1200</v>
      </c>
      <c r="R9" s="32">
        <v>1200</v>
      </c>
      <c r="S9" s="33">
        <v>1200</v>
      </c>
      <c r="T9" s="31" t="s">
        <v>47</v>
      </c>
    </row>
    <row r="10" spans="1:154" ht="15.75" customHeight="1">
      <c r="A10" s="5"/>
      <c r="B10" s="5"/>
      <c r="C10" s="31" t="s">
        <v>46</v>
      </c>
      <c r="D10" s="31" t="s">
        <v>47</v>
      </c>
      <c r="E10" s="31" t="s">
        <v>47</v>
      </c>
      <c r="F10" s="31" t="s">
        <v>43</v>
      </c>
      <c r="G10" s="32">
        <v>1</v>
      </c>
      <c r="H10" s="32">
        <v>1</v>
      </c>
      <c r="I10" s="32">
        <v>1</v>
      </c>
      <c r="J10" s="5"/>
      <c r="K10" s="32">
        <v>0</v>
      </c>
      <c r="L10" s="32">
        <v>0</v>
      </c>
      <c r="M10" s="32">
        <v>0</v>
      </c>
      <c r="N10" s="5"/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1" t="s">
        <v>47</v>
      </c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IFERROR(__xludf.DUMMYFUNCTION("""COMPUTED_VALUE"""),"Side")</f>
        <v>Side</v>
      </c>
      <c r="D5" s="22" t="str">
        <f ca="1">IFERROR(__xludf.DUMMYFUNCTION("""COMPUTED_VALUE"""),"Symbol")</f>
        <v>Symbol</v>
      </c>
      <c r="E5" s="22" t="str">
        <f ca="1">IFERROR(__xludf.DUMMYFUNCTION("""COMPUTED_VALUE"""),"Quantity")</f>
        <v>Quantity</v>
      </c>
      <c r="F5" s="23" t="str">
        <f ca="1">IFERROR(__xludf.DUMMYFUNCTION("""COMPUTED_VALUE"""),"Price")</f>
        <v>Price</v>
      </c>
      <c r="G5" s="22" t="str">
        <f ca="1">IFERROR(__xludf.DUMMYFUNCTION("""COMPUTED_VALUE"""),"Buy/Sell Value")</f>
        <v>Buy/Sell Value</v>
      </c>
      <c r="H5" s="22" t="str">
        <f ca="1">IFERROR(__xludf.DUMMYFUNCTION("""COMPUTED_VALUE"""),"Comments")</f>
        <v>Comments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7" t="s">
        <v>22</v>
      </c>
      <c r="D6" s="7" t="s">
        <v>21</v>
      </c>
      <c r="E6" s="7">
        <v>900</v>
      </c>
      <c r="F6" s="7">
        <v>12</v>
      </c>
      <c r="G6" s="7">
        <v>10800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49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12</v>
      </c>
      <c r="E6" s="34" t="s">
        <v>37</v>
      </c>
      <c r="F6" s="5"/>
      <c r="G6" s="5"/>
      <c r="H6" s="34" t="s">
        <v>51</v>
      </c>
      <c r="I6" s="7" t="s">
        <v>52</v>
      </c>
      <c r="J6" s="34" t="s">
        <v>21</v>
      </c>
      <c r="K6" s="34" t="s">
        <v>53</v>
      </c>
      <c r="L6" s="34" t="s">
        <v>54</v>
      </c>
      <c r="M6" s="5"/>
      <c r="N6" s="5"/>
      <c r="O6" s="5"/>
      <c r="U6" s="35" t="s">
        <v>18</v>
      </c>
      <c r="AA6" s="35" t="s">
        <v>27</v>
      </c>
      <c r="AB6" s="36"/>
      <c r="AD6" s="37">
        <v>1</v>
      </c>
      <c r="AE6" s="35"/>
      <c r="AF6" s="35" t="s">
        <v>55</v>
      </c>
      <c r="AH6" s="35" t="s">
        <v>42</v>
      </c>
      <c r="AI6" s="6" t="s">
        <v>21</v>
      </c>
      <c r="AJ6" s="6" t="s">
        <v>22</v>
      </c>
      <c r="AK6" s="6" t="s">
        <v>56</v>
      </c>
      <c r="AL6" s="6">
        <v>900</v>
      </c>
      <c r="AM6" s="36"/>
      <c r="AN6" s="37"/>
      <c r="AO6" s="36"/>
      <c r="AP6" s="6">
        <v>900</v>
      </c>
      <c r="AQ6" s="6">
        <v>12</v>
      </c>
      <c r="AR6" s="6">
        <v>12</v>
      </c>
      <c r="AS6" s="6" t="s">
        <v>23</v>
      </c>
      <c r="AT6" s="6" t="s">
        <v>17</v>
      </c>
      <c r="AU6" s="6" t="s">
        <v>57</v>
      </c>
      <c r="AV6" s="6">
        <v>0</v>
      </c>
      <c r="AW6" s="6">
        <v>0</v>
      </c>
      <c r="AY6" s="6">
        <v>900</v>
      </c>
      <c r="BA6" s="35"/>
    </row>
    <row r="7" spans="1:154" ht="15.75" customHeight="1">
      <c r="A7" s="5"/>
      <c r="B7" s="5"/>
      <c r="C7" s="5"/>
      <c r="D7" s="7">
        <v>10</v>
      </c>
      <c r="E7" s="34" t="s">
        <v>37</v>
      </c>
      <c r="F7" s="5"/>
      <c r="G7" s="5"/>
      <c r="H7" s="34" t="s">
        <v>51</v>
      </c>
      <c r="I7" s="7" t="s">
        <v>52</v>
      </c>
      <c r="J7" s="34" t="s">
        <v>21</v>
      </c>
      <c r="K7" s="34" t="s">
        <v>53</v>
      </c>
      <c r="L7" s="34" t="s">
        <v>54</v>
      </c>
      <c r="M7" s="5"/>
      <c r="N7" s="5"/>
      <c r="O7" s="5"/>
      <c r="U7" s="35" t="s">
        <v>18</v>
      </c>
      <c r="AA7" s="35" t="s">
        <v>27</v>
      </c>
      <c r="AB7" s="6">
        <v>1000</v>
      </c>
      <c r="AD7" s="37">
        <v>1</v>
      </c>
      <c r="AE7" s="35"/>
      <c r="AF7" s="35" t="s">
        <v>55</v>
      </c>
      <c r="AH7" s="35" t="s">
        <v>42</v>
      </c>
      <c r="AI7" s="6" t="s">
        <v>21</v>
      </c>
      <c r="AJ7" s="6" t="s">
        <v>22</v>
      </c>
      <c r="AK7" s="6" t="s">
        <v>58</v>
      </c>
      <c r="AL7" s="6">
        <v>1000</v>
      </c>
      <c r="AM7" s="6">
        <v>1000</v>
      </c>
      <c r="AN7" s="6">
        <v>100</v>
      </c>
      <c r="AO7" s="6">
        <v>1000</v>
      </c>
      <c r="AQ7" s="6">
        <v>10</v>
      </c>
      <c r="AR7" s="6">
        <v>10</v>
      </c>
      <c r="AS7" s="6" t="s">
        <v>23</v>
      </c>
      <c r="AT7" s="6" t="s">
        <v>17</v>
      </c>
      <c r="AU7" s="6" t="s">
        <v>57</v>
      </c>
      <c r="AV7" s="6">
        <v>10000</v>
      </c>
      <c r="AW7" s="6">
        <v>10000</v>
      </c>
      <c r="AY7" s="6">
        <v>1000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49</v>
      </c>
      <c r="D3" s="2" t="s">
        <v>9</v>
      </c>
      <c r="E3" s="17" t="s">
        <v>59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12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21</v>
      </c>
      <c r="AJ6" s="6" t="s">
        <v>22</v>
      </c>
      <c r="AK6" s="6" t="s">
        <v>56</v>
      </c>
      <c r="AL6" s="6">
        <v>900</v>
      </c>
      <c r="AQ6" s="6">
        <v>12</v>
      </c>
      <c r="AR6" s="6">
        <v>12</v>
      </c>
      <c r="AT6" s="6" t="s">
        <v>17</v>
      </c>
      <c r="AU6" s="6" t="s">
        <v>57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60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 t="str">
        <f ca="1">IFERROR(__xludf.DUMMYFUNCTION("""COMPUTED_VALUE"""),"ShortLocate")</f>
        <v>ShortLocate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21</v>
      </c>
      <c r="C6" s="7" t="s">
        <v>22</v>
      </c>
      <c r="D6" s="7">
        <v>900</v>
      </c>
      <c r="E6" s="7">
        <v>900</v>
      </c>
      <c r="F6" s="7" t="s">
        <v>17</v>
      </c>
      <c r="G6" s="5"/>
      <c r="H6" s="5"/>
      <c r="I6" s="5"/>
      <c r="J6" s="7">
        <v>12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61</v>
      </c>
      <c r="D3" s="2" t="s">
        <v>9</v>
      </c>
      <c r="E3" s="17" t="s">
        <v>62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63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61</v>
      </c>
      <c r="D3" s="2" t="s">
        <v>9</v>
      </c>
      <c r="E3" s="17" t="s">
        <v>64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38" t="s">
        <v>17</v>
      </c>
      <c r="C6" s="39"/>
      <c r="D6" s="40">
        <v>0</v>
      </c>
      <c r="E6" s="38">
        <v>1000</v>
      </c>
      <c r="F6" s="39"/>
      <c r="G6" s="41" t="s">
        <v>42</v>
      </c>
      <c r="H6" s="42">
        <v>4</v>
      </c>
      <c r="I6" s="43">
        <v>5</v>
      </c>
      <c r="J6" s="39"/>
      <c r="K6" s="38">
        <v>10</v>
      </c>
      <c r="L6" s="38">
        <v>10</v>
      </c>
      <c r="M6" s="39"/>
      <c r="N6" s="39"/>
      <c r="O6" s="44" t="s">
        <v>23</v>
      </c>
      <c r="P6" s="45"/>
      <c r="Q6" s="46">
        <v>3</v>
      </c>
      <c r="R6" s="47">
        <v>0</v>
      </c>
      <c r="S6" s="44" t="s">
        <v>65</v>
      </c>
      <c r="T6" s="48">
        <v>0</v>
      </c>
      <c r="U6" s="48">
        <v>0</v>
      </c>
      <c r="V6" s="49" t="s">
        <v>66</v>
      </c>
      <c r="W6" s="50">
        <v>1</v>
      </c>
      <c r="X6" s="45"/>
      <c r="Y6" s="45"/>
      <c r="Z6" s="51" t="s">
        <v>18</v>
      </c>
      <c r="AA6" s="45"/>
      <c r="AB6" s="50">
        <v>1</v>
      </c>
      <c r="AC6" s="45"/>
      <c r="AD6" s="49" t="s">
        <v>51</v>
      </c>
      <c r="AE6" s="52">
        <v>1000</v>
      </c>
      <c r="AF6" s="45"/>
      <c r="AG6" s="45"/>
      <c r="AH6" s="51" t="s">
        <v>55</v>
      </c>
      <c r="AI6" s="50">
        <v>1</v>
      </c>
      <c r="AJ6" s="45"/>
      <c r="AK6" s="45"/>
      <c r="AL6" s="45"/>
      <c r="AM6" s="45"/>
      <c r="AN6" s="49" t="b">
        <v>0</v>
      </c>
      <c r="AO6" s="51"/>
      <c r="AP6" s="49"/>
      <c r="AQ6" s="49" t="b">
        <v>0</v>
      </c>
      <c r="AR6" s="49" t="b">
        <v>1</v>
      </c>
      <c r="AS6" s="50">
        <v>0</v>
      </c>
      <c r="AT6" s="52">
        <v>10014.005999999999</v>
      </c>
      <c r="AU6" s="52">
        <v>10014.005999999999</v>
      </c>
      <c r="AV6" s="45"/>
      <c r="AW6" s="48">
        <v>0</v>
      </c>
      <c r="AX6" s="50">
        <v>0</v>
      </c>
      <c r="AY6" s="51" t="s">
        <v>57</v>
      </c>
      <c r="AZ6" s="48">
        <v>0</v>
      </c>
      <c r="BA6" s="45"/>
      <c r="BB6" s="45"/>
      <c r="BC6" s="50">
        <v>0</v>
      </c>
      <c r="BD6" s="45"/>
      <c r="BE6" s="52">
        <v>10000</v>
      </c>
      <c r="BF6" s="52">
        <v>10000</v>
      </c>
      <c r="BG6" s="45"/>
      <c r="BH6" s="45"/>
      <c r="BI6" s="45"/>
      <c r="BJ6" s="52">
        <v>1000</v>
      </c>
      <c r="BK6" s="48">
        <v>0</v>
      </c>
      <c r="BL6" s="45"/>
      <c r="BM6" s="51" t="s">
        <v>18</v>
      </c>
      <c r="BN6" s="45"/>
      <c r="BO6" s="52" t="s">
        <v>22</v>
      </c>
      <c r="BP6" s="48">
        <v>0</v>
      </c>
      <c r="BQ6" s="45"/>
      <c r="BR6" s="53">
        <v>5.5999999999999999E-3</v>
      </c>
      <c r="BS6" s="45"/>
      <c r="BT6" s="52" t="s">
        <v>21</v>
      </c>
      <c r="BU6" s="54">
        <v>3</v>
      </c>
      <c r="BV6" s="54">
        <v>0</v>
      </c>
      <c r="BW6" s="53">
        <v>14.005599999999999</v>
      </c>
      <c r="BX6" s="54">
        <v>0</v>
      </c>
      <c r="BY6" s="45"/>
      <c r="BZ6" s="45"/>
      <c r="CA6" s="45"/>
      <c r="CB6" s="45"/>
      <c r="CC6" s="45"/>
      <c r="CD6" s="45"/>
      <c r="CE6" s="45"/>
      <c r="CF6" s="49" t="s">
        <v>54</v>
      </c>
      <c r="CG6" s="50">
        <v>2</v>
      </c>
      <c r="CH6" s="52" t="s">
        <v>19</v>
      </c>
      <c r="CI6" s="55" t="s">
        <v>22</v>
      </c>
      <c r="CJ6" s="50">
        <v>0</v>
      </c>
      <c r="CK6" s="51" t="s">
        <v>53</v>
      </c>
      <c r="CL6" s="50">
        <v>1</v>
      </c>
      <c r="CM6" s="51" t="s">
        <v>21</v>
      </c>
      <c r="CN6" s="51" t="s">
        <v>52</v>
      </c>
      <c r="CO6" s="51" t="s">
        <v>51</v>
      </c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spans="1:154" ht="15.75" customHeight="1">
      <c r="A7" s="39"/>
      <c r="B7" s="38" t="s">
        <v>17</v>
      </c>
      <c r="C7" s="39"/>
      <c r="D7" s="40">
        <v>0</v>
      </c>
      <c r="E7" s="38">
        <v>900</v>
      </c>
      <c r="F7" s="39"/>
      <c r="G7" s="41" t="s">
        <v>42</v>
      </c>
      <c r="H7" s="42">
        <v>4</v>
      </c>
      <c r="I7" s="43">
        <v>5</v>
      </c>
      <c r="J7" s="39"/>
      <c r="K7" s="38">
        <v>12</v>
      </c>
      <c r="L7" s="38">
        <v>12</v>
      </c>
      <c r="M7" s="39"/>
      <c r="N7" s="39"/>
      <c r="O7" s="44" t="s">
        <v>23</v>
      </c>
      <c r="P7" s="45"/>
      <c r="Q7" s="56">
        <v>2</v>
      </c>
      <c r="R7" s="47">
        <v>0</v>
      </c>
      <c r="S7" s="44" t="s">
        <v>65</v>
      </c>
      <c r="T7" s="48">
        <v>0</v>
      </c>
      <c r="U7" s="48">
        <v>0</v>
      </c>
      <c r="V7" s="49" t="s">
        <v>66</v>
      </c>
      <c r="W7" s="50">
        <v>1</v>
      </c>
      <c r="X7" s="45"/>
      <c r="Y7" s="45"/>
      <c r="Z7" s="51" t="s">
        <v>18</v>
      </c>
      <c r="AA7" s="45"/>
      <c r="AB7" s="50">
        <v>1</v>
      </c>
      <c r="AC7" s="45"/>
      <c r="AD7" s="49" t="s">
        <v>51</v>
      </c>
      <c r="AE7" s="52">
        <v>900</v>
      </c>
      <c r="AF7" s="45"/>
      <c r="AG7" s="45"/>
      <c r="AH7" s="51" t="s">
        <v>55</v>
      </c>
      <c r="AI7" s="50">
        <v>1</v>
      </c>
      <c r="AJ7" s="45"/>
      <c r="AK7" s="45"/>
      <c r="AL7" s="45"/>
      <c r="AM7" s="45"/>
      <c r="AN7" s="49" t="b">
        <v>0</v>
      </c>
      <c r="AO7" s="51"/>
      <c r="AP7" s="49"/>
      <c r="AQ7" s="49" t="b">
        <v>0</v>
      </c>
      <c r="AR7" s="49" t="b">
        <v>1</v>
      </c>
      <c r="AS7" s="50">
        <v>0</v>
      </c>
      <c r="AT7" s="52">
        <v>10814.005999999999</v>
      </c>
      <c r="AU7" s="52">
        <v>10814.005999999999</v>
      </c>
      <c r="AV7" s="45"/>
      <c r="AW7" s="48">
        <v>0</v>
      </c>
      <c r="AX7" s="50">
        <v>0</v>
      </c>
      <c r="AY7" s="51" t="s">
        <v>57</v>
      </c>
      <c r="AZ7" s="48">
        <v>0</v>
      </c>
      <c r="BA7" s="45"/>
      <c r="BB7" s="45"/>
      <c r="BC7" s="50">
        <v>0</v>
      </c>
      <c r="BD7" s="45"/>
      <c r="BE7" s="52">
        <v>10800</v>
      </c>
      <c r="BF7" s="52">
        <v>10800</v>
      </c>
      <c r="BG7" s="45"/>
      <c r="BH7" s="45"/>
      <c r="BI7" s="45"/>
      <c r="BJ7" s="52">
        <v>900</v>
      </c>
      <c r="BK7" s="48">
        <v>0</v>
      </c>
      <c r="BL7" s="45"/>
      <c r="BM7" s="51" t="s">
        <v>18</v>
      </c>
      <c r="BN7" s="45"/>
      <c r="BO7" s="52" t="s">
        <v>22</v>
      </c>
      <c r="BP7" s="48">
        <v>0</v>
      </c>
      <c r="BQ7" s="45"/>
      <c r="BR7" s="57">
        <v>6.0000000000000001E-3</v>
      </c>
      <c r="BS7" s="45"/>
      <c r="BT7" s="52" t="s">
        <v>21</v>
      </c>
      <c r="BU7" s="54">
        <v>3</v>
      </c>
      <c r="BV7" s="54">
        <v>0</v>
      </c>
      <c r="BW7" s="57">
        <v>14.006</v>
      </c>
      <c r="BX7" s="54">
        <v>0</v>
      </c>
      <c r="BY7" s="45"/>
      <c r="BZ7" s="45"/>
      <c r="CA7" s="45"/>
      <c r="CB7" s="45"/>
      <c r="CC7" s="45"/>
      <c r="CD7" s="45"/>
      <c r="CE7" s="45"/>
      <c r="CF7" s="49" t="s">
        <v>54</v>
      </c>
      <c r="CG7" s="50">
        <v>2</v>
      </c>
      <c r="CH7" s="52" t="s">
        <v>25</v>
      </c>
      <c r="CI7" s="55" t="s">
        <v>22</v>
      </c>
      <c r="CJ7" s="50">
        <v>0</v>
      </c>
      <c r="CK7" s="51" t="s">
        <v>53</v>
      </c>
      <c r="CL7" s="50">
        <v>1</v>
      </c>
      <c r="CM7" s="51" t="s">
        <v>21</v>
      </c>
      <c r="CN7" s="51" t="s">
        <v>52</v>
      </c>
      <c r="CO7" s="51" t="s">
        <v>51</v>
      </c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67</v>
      </c>
      <c r="D3" s="2" t="s">
        <v>9</v>
      </c>
      <c r="E3" s="17" t="s">
        <v>68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21</v>
      </c>
      <c r="D6" s="7">
        <v>1000</v>
      </c>
      <c r="E6" s="7" t="s">
        <v>17</v>
      </c>
      <c r="F6" s="7" t="s">
        <v>27</v>
      </c>
      <c r="G6" s="7">
        <v>10</v>
      </c>
      <c r="H6" s="7" t="s">
        <v>43</v>
      </c>
      <c r="I6" s="7">
        <v>10000</v>
      </c>
      <c r="J6" s="5"/>
      <c r="K6" s="7">
        <v>10000</v>
      </c>
      <c r="L6" s="7"/>
      <c r="M6" s="7"/>
      <c r="N6" s="7">
        <v>0</v>
      </c>
      <c r="O6" s="58" t="s">
        <v>66</v>
      </c>
      <c r="P6" s="59" t="s">
        <v>69</v>
      </c>
      <c r="Q6" s="60">
        <v>0</v>
      </c>
      <c r="R6" s="58" t="s">
        <v>70</v>
      </c>
      <c r="S6" s="58" t="s">
        <v>71</v>
      </c>
      <c r="T6" s="58" t="s">
        <v>42</v>
      </c>
      <c r="U6" s="58" t="s">
        <v>53</v>
      </c>
      <c r="V6" s="58" t="s">
        <v>51</v>
      </c>
      <c r="W6" s="58" t="s">
        <v>18</v>
      </c>
      <c r="X6" s="6">
        <v>1</v>
      </c>
      <c r="Y6" s="6">
        <v>1</v>
      </c>
      <c r="AB6" s="6">
        <v>0</v>
      </c>
      <c r="AC6" s="60">
        <v>0</v>
      </c>
      <c r="AD6" s="6">
        <v>10000</v>
      </c>
      <c r="AE6" s="6">
        <v>10000</v>
      </c>
      <c r="AF6" s="61">
        <v>1000</v>
      </c>
      <c r="AG6" s="61">
        <v>10000</v>
      </c>
      <c r="AH6" s="61">
        <v>10000</v>
      </c>
      <c r="AI6" s="61">
        <v>10000</v>
      </c>
      <c r="AJ6" s="62">
        <v>12195.12</v>
      </c>
      <c r="AK6" s="60">
        <v>0</v>
      </c>
      <c r="AL6" s="60">
        <v>1</v>
      </c>
      <c r="AM6" s="60">
        <v>1</v>
      </c>
      <c r="AN6" s="6" t="s">
        <v>22</v>
      </c>
      <c r="AP6" s="58" t="s">
        <v>43</v>
      </c>
      <c r="AQ6" s="58" t="s">
        <v>21</v>
      </c>
      <c r="AR6" s="60">
        <v>10</v>
      </c>
      <c r="AS6" s="60">
        <v>1</v>
      </c>
      <c r="AW6" s="60">
        <v>0</v>
      </c>
      <c r="AX6" s="60">
        <v>0</v>
      </c>
      <c r="AY6" s="60">
        <v>0</v>
      </c>
      <c r="AZ6" s="61">
        <v>10000</v>
      </c>
      <c r="BA6" s="60">
        <v>0</v>
      </c>
      <c r="BC6" s="60">
        <v>1</v>
      </c>
      <c r="BD6" s="61">
        <v>-10000</v>
      </c>
      <c r="BE6" s="63" t="s">
        <v>42</v>
      </c>
      <c r="BF6" s="64" t="s">
        <v>72</v>
      </c>
      <c r="BG6" s="65" t="s">
        <v>44</v>
      </c>
      <c r="BJ6" s="60">
        <v>0</v>
      </c>
      <c r="BK6" s="60">
        <v>0</v>
      </c>
      <c r="BL6" s="60">
        <v>0</v>
      </c>
      <c r="BM6" s="60">
        <v>0</v>
      </c>
      <c r="BN6" s="60"/>
      <c r="BO6" s="61">
        <v>-10000</v>
      </c>
      <c r="BP6" s="60">
        <v>0</v>
      </c>
      <c r="BQ6" s="66"/>
      <c r="BR6" s="58" t="s">
        <v>23</v>
      </c>
      <c r="BS6" s="60">
        <v>0</v>
      </c>
      <c r="BT6" s="60">
        <v>0</v>
      </c>
      <c r="BU6" s="58" t="s">
        <v>42</v>
      </c>
      <c r="BX6" s="61">
        <v>10000</v>
      </c>
      <c r="BY6" s="61">
        <v>10000</v>
      </c>
      <c r="BZ6" s="61">
        <v>10</v>
      </c>
      <c r="CA6" s="60">
        <v>10</v>
      </c>
      <c r="CB6" s="60"/>
      <c r="CC6" s="60">
        <v>0</v>
      </c>
      <c r="CD6" s="60">
        <v>0</v>
      </c>
      <c r="CE6" s="60">
        <v>0</v>
      </c>
      <c r="CF6" s="60">
        <v>0</v>
      </c>
      <c r="CG6" s="60">
        <v>0</v>
      </c>
      <c r="CH6" s="60">
        <v>0</v>
      </c>
      <c r="CI6" s="67">
        <v>0</v>
      </c>
      <c r="CJ6" s="67">
        <v>0</v>
      </c>
      <c r="CK6" s="67" t="b">
        <v>0</v>
      </c>
      <c r="CP6" s="58" t="s">
        <v>37</v>
      </c>
    </row>
    <row r="7" spans="1:168" ht="15.75" customHeight="1">
      <c r="A7" s="5"/>
      <c r="B7" s="5"/>
      <c r="C7" s="7" t="s">
        <v>21</v>
      </c>
      <c r="D7" s="7">
        <v>900</v>
      </c>
      <c r="E7" s="7" t="s">
        <v>17</v>
      </c>
      <c r="F7" s="7" t="s">
        <v>27</v>
      </c>
      <c r="G7" s="7">
        <v>12</v>
      </c>
      <c r="H7" s="7" t="s">
        <v>43</v>
      </c>
      <c r="I7" s="7">
        <v>9000</v>
      </c>
      <c r="J7" s="5"/>
      <c r="K7" s="7">
        <v>9000</v>
      </c>
      <c r="L7" s="7"/>
      <c r="M7" s="7"/>
      <c r="N7" s="7">
        <v>-1800</v>
      </c>
      <c r="O7" s="58" t="s">
        <v>66</v>
      </c>
      <c r="P7" s="64" t="s">
        <v>69</v>
      </c>
      <c r="Q7" s="61">
        <v>-1800</v>
      </c>
      <c r="R7" s="58" t="s">
        <v>70</v>
      </c>
      <c r="S7" s="58" t="s">
        <v>71</v>
      </c>
      <c r="T7" s="58" t="s">
        <v>42</v>
      </c>
      <c r="U7" s="58" t="s">
        <v>53</v>
      </c>
      <c r="V7" s="58" t="s">
        <v>51</v>
      </c>
      <c r="W7" s="58" t="s">
        <v>18</v>
      </c>
      <c r="X7" s="6">
        <v>1</v>
      </c>
      <c r="Y7" s="6">
        <v>1</v>
      </c>
      <c r="AB7" s="6">
        <v>0</v>
      </c>
      <c r="AC7" s="60">
        <v>0</v>
      </c>
      <c r="AD7" s="6">
        <v>9000</v>
      </c>
      <c r="AE7" s="6">
        <v>9000</v>
      </c>
      <c r="AF7" s="60">
        <v>900</v>
      </c>
      <c r="AG7" s="61">
        <v>9000</v>
      </c>
      <c r="AH7" s="61">
        <v>9000</v>
      </c>
      <c r="AI7" s="61">
        <v>9000</v>
      </c>
      <c r="AJ7" s="62">
        <v>10975.61</v>
      </c>
      <c r="AK7" s="61">
        <v>-1800</v>
      </c>
      <c r="AL7" s="60">
        <v>1</v>
      </c>
      <c r="AM7" s="60">
        <v>1</v>
      </c>
      <c r="AN7" s="6" t="s">
        <v>22</v>
      </c>
      <c r="AP7" s="58" t="s">
        <v>43</v>
      </c>
      <c r="AQ7" s="58" t="s">
        <v>21</v>
      </c>
      <c r="AR7" s="60">
        <v>10</v>
      </c>
      <c r="AS7" s="60">
        <v>1</v>
      </c>
      <c r="AW7" s="61">
        <v>-1800</v>
      </c>
      <c r="AX7" s="60">
        <v>0</v>
      </c>
      <c r="AY7" s="60">
        <v>0</v>
      </c>
      <c r="AZ7" s="61">
        <v>9000</v>
      </c>
      <c r="BA7" s="60">
        <v>-16.670000000000002</v>
      </c>
      <c r="BC7" s="60">
        <v>1</v>
      </c>
      <c r="BD7" s="61">
        <v>-10800</v>
      </c>
      <c r="BE7" s="63" t="s">
        <v>42</v>
      </c>
      <c r="BF7" s="64" t="s">
        <v>72</v>
      </c>
      <c r="BG7" s="65" t="s">
        <v>44</v>
      </c>
      <c r="BJ7" s="60">
        <v>0</v>
      </c>
      <c r="BK7" s="60">
        <v>0</v>
      </c>
      <c r="BL7" s="60">
        <v>0</v>
      </c>
      <c r="BM7" s="60">
        <v>0</v>
      </c>
      <c r="BN7" s="60"/>
      <c r="BO7" s="61">
        <v>-10800</v>
      </c>
      <c r="BP7" s="60">
        <v>0</v>
      </c>
      <c r="BQ7" s="58"/>
      <c r="BR7" s="58" t="s">
        <v>23</v>
      </c>
      <c r="BS7" s="60">
        <v>0</v>
      </c>
      <c r="BT7" s="60">
        <v>0</v>
      </c>
      <c r="BU7" s="58" t="s">
        <v>42</v>
      </c>
      <c r="BX7" s="61">
        <v>9000</v>
      </c>
      <c r="BY7" s="61">
        <v>9000</v>
      </c>
      <c r="BZ7" s="61">
        <v>10</v>
      </c>
      <c r="CA7" s="60">
        <v>10</v>
      </c>
      <c r="CB7" s="60"/>
      <c r="CC7" s="60">
        <v>0</v>
      </c>
      <c r="CD7" s="61">
        <v>-1800</v>
      </c>
      <c r="CE7" s="60">
        <v>0</v>
      </c>
      <c r="CF7" s="60">
        <v>0</v>
      </c>
      <c r="CG7" s="61">
        <v>-1800</v>
      </c>
      <c r="CH7" s="60">
        <v>-16.670000000000002</v>
      </c>
      <c r="CI7" s="67">
        <v>0</v>
      </c>
      <c r="CJ7" s="67">
        <v>0</v>
      </c>
      <c r="CK7" s="67" t="b">
        <v>0</v>
      </c>
      <c r="CP7" s="58" t="s">
        <v>37</v>
      </c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49</v>
      </c>
      <c r="D3" s="2" t="s">
        <v>9</v>
      </c>
      <c r="E3" s="17" t="s">
        <v>73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12</v>
      </c>
      <c r="C6" s="5"/>
      <c r="D6" s="7" t="s">
        <v>21</v>
      </c>
      <c r="E6" s="26"/>
      <c r="F6" s="7" t="s">
        <v>22</v>
      </c>
      <c r="G6" s="7" t="s">
        <v>58</v>
      </c>
      <c r="H6" s="7">
        <v>900</v>
      </c>
      <c r="I6" s="7">
        <v>900</v>
      </c>
      <c r="J6" s="7">
        <v>100</v>
      </c>
      <c r="K6" s="7">
        <v>900</v>
      </c>
      <c r="L6" s="5"/>
      <c r="M6" s="5"/>
      <c r="N6" s="7">
        <v>12</v>
      </c>
      <c r="O6" s="5"/>
      <c r="P6" s="6">
        <v>12</v>
      </c>
      <c r="Q6" s="6" t="s">
        <v>23</v>
      </c>
      <c r="R6" s="6" t="s">
        <v>17</v>
      </c>
      <c r="T6" s="6" t="s">
        <v>57</v>
      </c>
      <c r="U6" s="6">
        <v>10800</v>
      </c>
      <c r="V6" s="6">
        <v>10800</v>
      </c>
      <c r="Z6" s="6">
        <v>900</v>
      </c>
      <c r="AB6" s="6" t="s">
        <v>37</v>
      </c>
      <c r="AD6" s="6" t="s">
        <v>27</v>
      </c>
      <c r="AF6" s="6" t="s">
        <v>42</v>
      </c>
      <c r="AH6" s="6" t="s">
        <v>54</v>
      </c>
      <c r="AJ6" s="6" t="s">
        <v>51</v>
      </c>
      <c r="AK6" s="6" t="s">
        <v>18</v>
      </c>
      <c r="AL6" s="6" t="s">
        <v>55</v>
      </c>
      <c r="AN6" s="6" t="s">
        <v>21</v>
      </c>
      <c r="AP6" s="6">
        <v>1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8" t="s">
        <v>11</v>
      </c>
      <c r="C1" s="69"/>
      <c r="D1" s="69"/>
      <c r="E1" s="69"/>
      <c r="F1" s="69"/>
      <c r="G1" s="69"/>
      <c r="H1" s="7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49</v>
      </c>
      <c r="D3" s="2" t="s">
        <v>9</v>
      </c>
      <c r="E3" s="17" t="s">
        <v>74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12</v>
      </c>
      <c r="E6" s="7" t="s">
        <v>37</v>
      </c>
      <c r="F6" s="5"/>
      <c r="G6" s="5"/>
      <c r="H6" s="7" t="s">
        <v>51</v>
      </c>
      <c r="I6" s="5"/>
      <c r="J6" s="7" t="s">
        <v>21</v>
      </c>
      <c r="K6" s="7" t="s">
        <v>53</v>
      </c>
      <c r="L6" s="7" t="s">
        <v>54</v>
      </c>
      <c r="M6" s="5"/>
      <c r="N6" s="5"/>
      <c r="O6" s="5"/>
      <c r="U6" s="6" t="s">
        <v>18</v>
      </c>
      <c r="AB6" s="6">
        <v>900</v>
      </c>
      <c r="AD6" s="6">
        <v>1</v>
      </c>
      <c r="AF6" s="6" t="s">
        <v>55</v>
      </c>
      <c r="AH6" s="6" t="s">
        <v>42</v>
      </c>
      <c r="AI6" s="6" t="s">
        <v>21</v>
      </c>
      <c r="AJ6" s="6" t="s">
        <v>22</v>
      </c>
      <c r="AK6" s="6" t="s">
        <v>58</v>
      </c>
      <c r="AL6" s="6">
        <v>900</v>
      </c>
      <c r="AM6" s="6">
        <v>900</v>
      </c>
      <c r="AO6" s="6">
        <v>12</v>
      </c>
      <c r="AP6" s="6">
        <v>12</v>
      </c>
      <c r="AQ6" s="6" t="s">
        <v>23</v>
      </c>
      <c r="AR6" s="6" t="s">
        <v>17</v>
      </c>
      <c r="AS6" s="6" t="s">
        <v>57</v>
      </c>
      <c r="AT6" s="6">
        <v>10800</v>
      </c>
      <c r="AU6" s="6">
        <v>10800</v>
      </c>
      <c r="AX6" s="6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FetchAccountPositions</vt:lpstr>
      <vt:lpstr>AddCash</vt:lpstr>
      <vt:lpstr>RunRebalance</vt:lpstr>
      <vt:lpstr>RebalanceViaBloomberg</vt:lpstr>
      <vt:lpstr>ModifyRebalance</vt:lpstr>
      <vt:lpstr>VerifyGridData</vt:lpstr>
      <vt:lpstr>SendtoStaging</vt:lpstr>
      <vt:lpstr>VerifyOrder</vt:lpstr>
      <vt:lpstr>TradeNewSubOrder</vt:lpstr>
      <vt:lpstr>CreateNewSubOrder</vt:lpstr>
      <vt:lpstr>GetDataAllocation</vt:lpstr>
      <vt:lpstr>CheckAllocatedGroups</vt:lpstr>
      <vt:lpstr>CheckPortfolioManagement</vt:lpstr>
      <vt:lpstr>SelectTradeOnOrderGrid</vt:lpstr>
      <vt:lpstr>VerifySubOrder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2021-08-04T14:02:02Z</dcterms:modified>
</cp:coreProperties>
</file>