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ExerciseAssignment" sheetId="7" r:id="rId9"/>
    <sheet state="visible" name="VerifyExpiredSettledGrid" sheetId="8" r:id="rId10"/>
  </sheets>
  <definedNames/>
  <calcPr/>
</workbook>
</file>

<file path=xl/sharedStrings.xml><?xml version="1.0" encoding="utf-8"?>
<sst xmlns="http://schemas.openxmlformats.org/spreadsheetml/2006/main" count="81" uniqueCount="35">
  <si>
    <t>Settings</t>
  </si>
  <si>
    <t>Modules Info</t>
  </si>
  <si>
    <t>Master Data Info</t>
  </si>
  <si>
    <t>Modules</t>
  </si>
  <si>
    <t>Module</t>
  </si>
  <si>
    <t>Module Step Setting File</t>
  </si>
  <si>
    <t>Step</t>
  </si>
  <si>
    <t>Master Data Sheet</t>
  </si>
  <si>
    <t>1sG6uB28jAaiyaldDeMtbboQN41jJ2tAmE2rg6U9qH5o</t>
  </si>
  <si>
    <t>Master Data Settings File</t>
  </si>
  <si>
    <t>1hEhI9rg16D4Xvfk19pDaFUFF78jjfIG29BBaNg8kT0A</t>
  </si>
  <si>
    <t>Data</t>
  </si>
  <si>
    <t>TradingTicket</t>
  </si>
  <si>
    <t>CreateDoneAwayOrder</t>
  </si>
  <si>
    <t>Data Format</t>
  </si>
  <si>
    <t>Input Format</t>
  </si>
  <si>
    <t>O:ABM 10D20.00</t>
  </si>
  <si>
    <t>Buy to Open</t>
  </si>
  <si>
    <t>Allocation1</t>
  </si>
  <si>
    <t>O:ATPG 10R21.00</t>
  </si>
  <si>
    <t>Closing</t>
  </si>
  <si>
    <t>GetDataClosing</t>
  </si>
  <si>
    <t>Current</t>
  </si>
  <si>
    <t>SelectTradeUnexpiredUnsettled</t>
  </si>
  <si>
    <t>EquityOption</t>
  </si>
  <si>
    <t>ExerciseAssignment</t>
  </si>
  <si>
    <t>VerifyExpiredSettledGrid</t>
  </si>
  <si>
    <t>NONE</t>
  </si>
  <si>
    <t>Exercise</t>
  </si>
  <si>
    <t>Short</t>
  </si>
  <si>
    <t>USD</t>
  </si>
  <si>
    <t>OPTS</t>
  </si>
  <si>
    <t>Long</t>
  </si>
  <si>
    <t xml:space="preserve"> O:ABM 10D20.00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</si>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</sst>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sz val="14.0"/>
      <color rgb="FFFFFFFF"/>
      <name val="Calibri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1" fillId="2" fontId="4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0" fillId="0" fontId="8" numFmtId="0" xfId="0" applyFont="1"/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1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9" t="s">
        <v>3</v>
      </c>
      <c r="B3" s="12"/>
      <c r="C3" s="14"/>
      <c r="D3" s="14"/>
      <c r="E3" s="14"/>
      <c r="F3" s="14"/>
    </row>
    <row r="4" ht="15.75" customHeight="1">
      <c r="A4" s="7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IFERROR(__xludf.DUMMYFUNCTION("""COMPUTED_VALUE"""),"1ASulLlGAl--JRs7NVIiQ-6Q2Y2P3o7Y40cokKmMg-UA")</f>
        <v>1ASulLlGAl--JRs7NVIiQ-6Q2Y2P3o7Y40cokKmMg-UA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IFERROR(__xludf.DUMMYFUNCTION("""COMPUTED_VALUE"""),"153rAtnJuNh4UK26GjSOxUSjAHcOxzWv7CRGvmhrIJRs")</f>
        <v>153rAtnJuNh4UK26GjSOxUSjAHcOxzWv7CRGvmhrIJRs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IFERROR(__xludf.DUMMYFUNCTION("""COMPUTED_VALUE"""),"14c4GsPTH5D3eyeeKaMiqJQXOT6OiyIKnC2Ey2f-mzXU")</f>
        <v>14c4GsPTH5D3eyeeKaMiqJQXOT6OiyIKnC2Ey2f-mzXU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IFERROR(__xludf.DUMMYFUNCTION("""COMPUTED_VALUE"""),"1FoqTScZHaIaLmwoImnVY7WWuCKEwJNYw8_jsXiT_wz4")</f>
        <v>1FoqTScZHaIaLmwoImnVY7WWuCKEwJNYw8_jsXiT_wz4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IFERROR(__xludf.DUMMYFUNCTION("""COMPUTED_VALUE"""),"1nx-Ntcckcf-w1Yr5yyOw4Vmcr4UsalakHe-CHaRihg0")</f>
        <v>1nx-Ntcckcf-w1Yr5yyOw4Vmcr4UsalakHe-CHaRihg0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IFERROR(__xludf.DUMMYFUNCTION("""COMPUTED_VALUE"""),"1aOr-_cYT21IfJctqcBB50iQOXfB0qUo9bBesL3tt_2o")</f>
        <v>1aOr-_cYT21IfJctqcBB50iQOXfB0qUo9bBesL3tt_2o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IFERROR(__xludf.DUMMYFUNCTION("""COMPUTED_VALUE"""),"1NSNUZ7aVjKq-fJWvjMKU9f1Hhbf0UmIY3RQLFu0_U94")</f>
        <v>1NSNUZ7aVjKq-fJWvjMKU9f1Hhbf0UmIY3RQLFu0_U94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IFERROR(__xludf.DUMMYFUNCTION("""COMPUTED_VALUE"""),"1qcpgHRQFZbpv-NnW8K-CvX_auKXD5UD0KzrBvuBL6yQ")</f>
        <v>1qcpgHRQFZbpv-NnW8K-CvX_auKXD5UD0KzrBvuBL6yQ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IFERROR(__xludf.DUMMYFUNCTION("""COMPUTED_VALUE"""),"1AcxAZQwu6HAEJMCMK3bk08quIeXstZWKnCNeDGuqkgc")</f>
        <v>1AcxAZQwu6HAEJMCMK3bk08quIeXstZWKnCNeDGuqkgc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IFERROR(__xludf.DUMMYFUNCTION("""COMPUTED_VALUE"""),"1VLF0uNJJlumCyBscfuDhTN1tOv-0IRCkYlwfDU8GczQ")</f>
        <v>1VLF0uNJJlumCyBscfuDhTN1tOv-0IRCkYlwfDU8GczQ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IFERROR(__xludf.DUMMYFUNCTION("""COMPUTED_VALUE"""),"1_8MIcc2OK_ojl_V4NIwMLs9H7qkQkwyq9sDf1PpIqc8")</f>
        <v>1_8MIcc2OK_ojl_V4NIwMLs9H7qkQkwyq9sDf1PpIqc8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IFERROR(__xludf.DUMMYFUNCTION("""COMPUTED_VALUE"""),"1tN1tbsnXiVRytGN-WCzTnGTmfRxY2nBklQk3AQSJo2c")</f>
        <v>1tN1tbsnXiVRytGN-WCzTnGTmfRxY2nBklQk3AQSJo2c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IFERROR(__xludf.DUMMYFUNCTION("""COMPUTED_VALUE"""),"1VRRuQCPazoSKAv27NBzQzv_Yw_Kgakw-yyKn6w1zhKU")</f>
        <v>1VRRuQCPazoSKAv27NBzQzv_Yw_Kgakw-yyKn6w1zhKU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IFERROR(__xludf.DUMMYFUNCTION("""COMPUTED_VALUE"""),"1fGo94nf55bWXddEMlTwX902cb1V6cWr9GHWYy_sZ8IU")</f>
        <v>1fGo94nf55bWXddEMlTwX902cb1V6cWr9GHWYy_sZ8IU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IFERROR(__xludf.DUMMYFUNCTION("""COMPUTED_VALUE"""),"1rOMKu0Ez7NdxjtZC05lRrPUSa0tkOQSvbOhxjuijMsU")</f>
        <v>1rOMKu0Ez7NdxjtZC05lRrPUSa0tkOQSvbOhxjuijMsU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IFERROR(__xludf.DUMMYFUNCTION("""COMPUTED_VALUE"""),"1yBi-hp0jcYIFB6ymnlQIlx-pUUkfcjJU7Ap0azBbNcE")</f>
        <v>1yBi-hp0jcYIFB6ymnlQIlx-pUUkfcjJU7Ap0azBbNcE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IFERROR(__xludf.DUMMYFUNCTION("""COMPUTED_VALUE"""),"1x5iUjYB72ZJ35IOvQ_JQkWHV-d1FlgKY3bIxxTpk-f0")</f>
        <v>1x5iUjYB72ZJ35IOvQ_JQkWHV-d1FlgKY3bIxxTpk-f0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IFERROR(__xludf.DUMMYFUNCTION("""COMPUTED_VALUE"""),"1Li5RKULV7Lc2MLczTkVbzq0oDYcFGfTlBUO9__NoODc")</f>
        <v>1Li5RKULV7Lc2MLczTkVbzq0oDYcFGfTlBUO9__NoODc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IFERROR(__xludf.DUMMYFUNCTION("""COMPUTED_VALUE"""),"1vnIE6mL0eHSchRF1qTlJ2JL_Ylu6hiC6uOXpzq7M0BQ")</f>
        <v>1vnIE6mL0eHSchRF1qTlJ2JL_Ylu6hiC6uOXpzq7M0BQ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IFERROR(__xludf.DUMMYFUNCTION("""COMPUTED_VALUE"""),"1KCMHfIqMprTfc21JY7-_BuJZCbNmjdI-pAMs1UtHRgM")</f>
        <v>1KCMHfIqMprTfc21JY7-_BuJZCbNmjdI-pAMs1UtHRgM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IFERROR(__xludf.DUMMYFUNCTION("""COMPUTED_VALUE"""),"1tRgcAtzRVDm6tX53uSpBOxZNBYm4sTcJiDaR4fxdfwY")</f>
        <v>1tRgcAtzRVDm6tX53uSpBOxZNBYm4sTcJiDaR4fxdfwY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IFERROR(__xludf.DUMMYFUNCTION("""COMPUTED_VALUE"""),"12DQ8VFmnoIi6USj-pAupggGf1Uakm-iIEO9IboOJPds")</f>
        <v>12DQ8VFmnoIi6USj-pAupggGf1Uakm-iIEO9IboOJPds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IFERROR(__xludf.DUMMYFUNCTION("""COMPUTED_VALUE"""),"1EinrxkfbLK2Tdj1nGXu4y1H2zmS6g6G85Hm0vYSOHlA")</f>
        <v>1EinrxkfbLK2Tdj1nGXu4y1H2zmS6g6G85Hm0vYSOHlA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IFERROR(__xludf.DUMMYFUNCTION("""COMPUTED_VALUE"""),"1qeUVChEAj0eKA7tNZsUWM4FcqW347Jcsk_tvw1-FP3s")</f>
        <v>1qeUVChEAj0eKA7tNZsUWM4FcqW347Jcsk_tvw1-FP3s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IFERROR(__xludf.DUMMYFUNCTION("""COMPUTED_VALUE"""),"1aVxYFzFjJM4FVvXjfioQc67hI5XgzzCTHLg8f7lbJhU")</f>
        <v>1aVxYFzFjJM4FVvXjfioQc67hI5XgzzCTHLg8f7lbJhU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IFERROR(__xludf.DUMMYFUNCTION("""COMPUTED_VALUE"""),"1Fe8M8KnrsIcnAobjXa43I9IzXKCnB39xCSYterKkeEc")</f>
        <v>1Fe8M8KnrsIcnAobjXa43I9IzXKCnB39xCSYterKkeEc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IFERROR(__xludf.DUMMYFUNCTION("""COMPUTED_VALUE"""),"1qJHd_QH5ht3ZzeFZbKiVeEOBmlpAshwV72N701B28uk")</f>
        <v>1qJHd_QH5ht3ZzeFZbKiVeEOBmlpAshwV72N701B28uk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IFERROR(__xludf.DUMMYFUNCTION("""COMPUTED_VALUE"""),"Blotter")</f>
        <v>Blotter</v>
      </c>
      <c r="B369" t="str">
        <f>IFERROR(__xludf.DUMMYFUNCTION("""COMPUTED_VALUE"""),"VerifyViewAllocationDetails")</f>
        <v>VerifyViewAllocationDetails</v>
      </c>
      <c r="C369" t="str">
        <f>IFERROR(__xludf.DUMMYFUNCTION("""COMPUTED_VALUE"""),"1reP0LPUrGMeoA9ELrOqgVjEvRIhJcAliyLaecGmIRSw")</f>
        <v>1reP0LPUrGMeoA9ELrOqgVjEvRIhJcAliyLaecGmIRSw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5" t="s">
        <v>0</v>
      </c>
      <c r="B1" s="2"/>
      <c r="C1" s="3"/>
    </row>
    <row r="2" ht="15.75" customHeight="1">
      <c r="A2" s="7"/>
      <c r="B2" s="7"/>
      <c r="C2" s="7"/>
    </row>
    <row r="3" ht="15.75" customHeight="1">
      <c r="A3" s="9" t="s">
        <v>5</v>
      </c>
      <c r="B3" s="15" t="s">
        <v>8</v>
      </c>
      <c r="C3" s="7"/>
    </row>
    <row r="4" ht="15.75" customHeight="1">
      <c r="A4" s="8" t="s">
        <v>9</v>
      </c>
      <c r="B4" s="15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6" t="s">
        <v>2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8" t="s">
        <v>4</v>
      </c>
      <c r="B3" s="10" t="s">
        <v>6</v>
      </c>
      <c r="C3" s="10" t="s">
        <v>7</v>
      </c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13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16</v>
      </c>
      <c r="C6" s="15" t="s">
        <v>17</v>
      </c>
      <c r="D6" s="15">
        <v>1000.0</v>
      </c>
      <c r="E6" s="29"/>
      <c r="F6" s="15" t="s">
        <v>18</v>
      </c>
      <c r="G6" s="7"/>
      <c r="H6" s="7"/>
      <c r="I6" s="7"/>
      <c r="J6" s="15">
        <v>22.0</v>
      </c>
      <c r="K6" s="7"/>
      <c r="L6" s="7"/>
      <c r="M6" s="7"/>
      <c r="N6" s="30">
        <f t="shared" ref="N6:N7" si="1">Today()</f>
        <v>43797</v>
      </c>
      <c r="O6" s="7"/>
    </row>
    <row r="7" ht="15.75" customHeight="1">
      <c r="A7" s="7"/>
      <c r="B7" s="15" t="s">
        <v>19</v>
      </c>
      <c r="C7" s="15" t="s">
        <v>17</v>
      </c>
      <c r="D7" s="15">
        <v>2000.0</v>
      </c>
      <c r="E7" s="7"/>
      <c r="F7" s="15" t="s">
        <v>18</v>
      </c>
      <c r="G7" s="7"/>
      <c r="H7" s="7"/>
      <c r="I7" s="7"/>
      <c r="J7" s="15">
        <v>45.0</v>
      </c>
      <c r="K7" s="7"/>
      <c r="L7" s="7"/>
      <c r="M7" s="7"/>
      <c r="N7" s="30">
        <f t="shared" si="1"/>
        <v>43797</v>
      </c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20</v>
      </c>
      <c r="D3" s="9" t="s">
        <v>6</v>
      </c>
      <c r="E3" s="21" t="s">
        <v>21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5" t="s">
        <v>22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1" width="14.43"/>
    <col customWidth="1" min="112" max="112" width="18.29"/>
    <col customWidth="1" min="113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20</v>
      </c>
      <c r="D3" s="9" t="s">
        <v>6</v>
      </c>
      <c r="E3" s="21" t="s">
        <v>23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IFERROR(__xludf.DUMMYFUNCTION("""COMPUTED_VALUE"""),"AUCID")</f>
        <v>AUCID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5" t="s">
        <v>18</v>
      </c>
      <c r="C6" s="7"/>
      <c r="D6" s="7"/>
      <c r="E6" s="15" t="s">
        <v>24</v>
      </c>
      <c r="F6" s="7"/>
      <c r="G6" s="7"/>
      <c r="H6" s="7"/>
      <c r="I6" s="15">
        <v>22.0</v>
      </c>
      <c r="J6" s="7"/>
      <c r="K6" s="7"/>
      <c r="L6" s="7"/>
      <c r="M6" s="7"/>
      <c r="N6" s="7"/>
      <c r="O6" s="7"/>
      <c r="DH6" s="31" t="s">
        <v>16</v>
      </c>
    </row>
    <row r="7" ht="15.75" customHeight="1">
      <c r="A7" s="7"/>
      <c r="B7" s="15" t="s">
        <v>18</v>
      </c>
      <c r="C7" s="7"/>
      <c r="D7" s="7"/>
      <c r="E7" s="15" t="s">
        <v>24</v>
      </c>
      <c r="F7" s="7"/>
      <c r="G7" s="7"/>
      <c r="H7" s="7"/>
      <c r="I7" s="15">
        <v>45.0</v>
      </c>
      <c r="J7" s="7"/>
      <c r="K7" s="7"/>
      <c r="L7" s="7"/>
      <c r="M7" s="7"/>
      <c r="N7" s="7"/>
      <c r="O7" s="7"/>
      <c r="DH7" s="31" t="s">
        <v>19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20</v>
      </c>
      <c r="D3" s="9" t="s">
        <v>6</v>
      </c>
      <c r="E3" s="21" t="s">
        <v>25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IFERROR(__xludf.DUMMYFUNCTION("""COMPUTED_VALUE"""),"AccountValue")</f>
        <v>AccountValue</v>
      </c>
      <c r="D5" s="26" t="str">
        <f>IFERROR(__xludf.DUMMYFUNCTION("""COMPUTED_VALUE"""),"AccruedInterest")</f>
        <v>AccruedInterest</v>
      </c>
      <c r="E5" s="26" t="str">
        <f>IFERROR(__xludf.DUMMYFUNCTION("""COMPUTED_VALUE"""),"Asset")</f>
        <v>Asset</v>
      </c>
      <c r="F5" s="27" t="str">
        <f>IFERROR(__xludf.DUMMYFUNCTION("""COMPUTED_VALUE"""),"AUEC Fee1")</f>
        <v>AUEC Fee1</v>
      </c>
      <c r="G5" s="26" t="str">
        <f>IFERROR(__xludf.DUMMYFUNCTION("""COMPUTED_VALUE"""),"AUCE Fee2")</f>
        <v>AUCE Fee2</v>
      </c>
      <c r="H5" s="26" t="str">
        <f>IFERROR(__xludf.DUMMYFUNCTION("""COMPUTED_VALUE"""),"AUECID")</f>
        <v>AUECID</v>
      </c>
      <c r="I5" s="26" t="str">
        <f>IFERROR(__xludf.DUMMYFUNCTION("""COMPUTED_VALUE"""),"AUECLocalDateToday")</f>
        <v>AUECLocalDateToday</v>
      </c>
      <c r="J5" s="26" t="str">
        <f>IFERROR(__xludf.DUMMYFUNCTION("""COMPUTED_VALUE"""),"Average Price")</f>
        <v>Average Price</v>
      </c>
      <c r="K5" s="26" t="str">
        <f>IFERROR(__xludf.DUMMYFUNCTION("""COMPUTED_VALUE"""),"AvgPriceRealizedPL")</f>
        <v>AvgPriceRealizedPL</v>
      </c>
      <c r="L5" s="26" t="str">
        <f>IFERROR(__xludf.DUMMYFUNCTION("""COMPUTED_VALUE"""),"Broker")</f>
        <v>Broker</v>
      </c>
      <c r="M5" s="26" t="str">
        <f>IFERROR(__xludf.DUMMYFUNCTION("""COMPUTED_VALUE"""),"Clearing Broker Fee")</f>
        <v>Clearing Broker Fee</v>
      </c>
      <c r="N5" s="26" t="str">
        <f>IFERROR(__xludf.DUMMYFUNCTION("""COMPUTED_VALUE"""),"ClosedQty")</f>
        <v>ClosedQty</v>
      </c>
      <c r="O5" s="26" t="str">
        <f>IFERROR(__xludf.DUMMYFUNCTION("""COMPUTED_VALUE"""),"Commission")</f>
        <v>Commission</v>
      </c>
      <c r="P5" s="26" t="str">
        <f>IFERROR(__xludf.DUMMYFUNCTION("""COMPUTED_VALUE"""),"CostBasisRealizePNL")</f>
        <v>CostBasisRealizePNL</v>
      </c>
      <c r="Q5" s="26" t="str">
        <f>IFERROR(__xludf.DUMMYFUNCTION("""COMPUTED_VALUE"""),"Currency")</f>
        <v>Currency</v>
      </c>
      <c r="R5" s="26" t="str">
        <f>IFERROR(__xludf.DUMMYFUNCTION("""COMPUTED_VALUE"""),"Description")</f>
        <v>Description</v>
      </c>
      <c r="S5" s="26" t="str">
        <f>IFERROR(__xludf.DUMMYFUNCTION("""COMPUTED_VALUE"""),"EndDate")</f>
        <v>EndDate</v>
      </c>
      <c r="T5" s="28" t="str">
        <f>IFERROR(__xludf.DUMMYFUNCTION("""COMPUTED_VALUE"""),"ExchangeID")</f>
        <v>ExchangeID</v>
      </c>
      <c r="U5" s="28" t="str">
        <f>IFERROR(__xludf.DUMMYFUNCTION("""COMPUTED_VALUE"""),"Expiration Date")</f>
        <v>Expiration Date</v>
      </c>
      <c r="V5" s="28" t="str">
        <f>IFERROR(__xludf.DUMMYFUNCTION("""COMPUTED_VALUE"""),"ExpiredQty")</f>
        <v>ExpiredQty</v>
      </c>
      <c r="W5" s="28" t="str">
        <f>IFERROR(__xludf.DUMMYFUNCTION("""COMPUTED_VALUE"""),"ExpiredTaxlotID")</f>
        <v>ExpiredTaxlotID</v>
      </c>
      <c r="X5" s="28" t="str">
        <f>IFERROR(__xludf.DUMMYFUNCTION("""COMPUTED_VALUE"""),"FXRate")</f>
        <v>FXRate</v>
      </c>
      <c r="Y5" s="28" t="str">
        <f>IFERROR(__xludf.DUMMYFUNCTION("""COMPUTED_VALUE"""),"FXRateoperator")</f>
        <v>FXRateoperator</v>
      </c>
      <c r="Z5" s="28" t="str">
        <f>IFERROR(__xludf.DUMMYFUNCTION("""COMPUTED_VALUE"""),"ID")</f>
        <v>ID</v>
      </c>
      <c r="AA5" s="28" t="str">
        <f>IFERROR(__xludf.DUMMYFUNCTION("""COMPUTED_VALUE"""),"If Pay/Recevie Changes")</f>
        <v>If Pay/Recevie Changes</v>
      </c>
      <c r="AB5" s="28" t="str">
        <f>IFERROR(__xludf.DUMMYFUNCTION("""COMPUTED_VALUE"""),"IntPositionType")</f>
        <v>IntPositionType</v>
      </c>
      <c r="AC5" s="28" t="str">
        <f>IFERROR(__xludf.DUMMYFUNCTION("""COMPUTED_VALUE"""),"LeadCurrencyID")</f>
        <v>LeadCurrencyID</v>
      </c>
      <c r="AD5" s="28" t="str">
        <f>IFERROR(__xludf.DUMMYFUNCTION("""COMPUTED_VALUE"""),"Leveraged Factor")</f>
        <v>Leveraged Factor</v>
      </c>
      <c r="AE5" s="28" t="str">
        <f>IFERROR(__xludf.DUMMYFUNCTION("""COMPUTED_VALUE"""),"MarkPriceForMonth")</f>
        <v>MarkPriceForMonth</v>
      </c>
      <c r="AF5" s="28" t="str">
        <f>IFERROR(__xludf.DUMMYFUNCTION("""COMPUTED_VALUE"""),"MonthToDateRealizedProfit")</f>
        <v>MonthToDateRealizedProfit</v>
      </c>
      <c r="AG5" s="28" t="str">
        <f>IFERROR(__xludf.DUMMYFUNCTION("""COMPUTED_VALUE"""),"Multiplier")</f>
        <v>Multiplier</v>
      </c>
      <c r="AH5" s="28" t="str">
        <f>IFERROR(__xludf.DUMMYFUNCTION("""COMPUTED_VALUE"""),"NotionalValue")</f>
        <v>NotionalValue</v>
      </c>
      <c r="AI5" s="28" t="str">
        <f>IFERROR(__xludf.DUMMYFUNCTION("""COMPUTED_VALUE"""),"OCC Fee")</f>
        <v>OCC Fee</v>
      </c>
      <c r="AJ5" s="28" t="str">
        <f>IFERROR(__xludf.DUMMYFUNCTION("""COMPUTED_VALUE"""),"OpenQty")</f>
        <v>OpenQty</v>
      </c>
      <c r="AK5" s="28" t="str">
        <f>IFERROR(__xludf.DUMMYFUNCTION("""COMPUTED_VALUE"""),"Option Activated")</f>
        <v>Option Activated</v>
      </c>
      <c r="AL5" s="28" t="str">
        <f>IFERROR(__xludf.DUMMYFUNCTION("""COMPUTED_VALUE"""),"Option Type")</f>
        <v>Option Type</v>
      </c>
      <c r="AM5" s="28" t="str">
        <f>IFERROR(__xludf.DUMMYFUNCTION("""COMPUTED_VALUE"""),"OptionPremiumAdjustment")</f>
        <v>OptionPremiumAdjustment</v>
      </c>
      <c r="AN5" s="28" t="str">
        <f>IFERROR(__xludf.DUMMYFUNCTION("""COMPUTED_VALUE"""),"ORF Fee")</f>
        <v>ORF Fee</v>
      </c>
      <c r="AO5" s="28" t="str">
        <f>IFERROR(__xludf.DUMMYFUNCTION("""COMPUTED_VALUE"""),"Original Side")</f>
        <v>Original Side</v>
      </c>
      <c r="AP5" s="28" t="str">
        <f>IFERROR(__xludf.DUMMYFUNCTION("""COMPUTED_VALUE"""),"OriginalPurchaseDate")</f>
        <v>OriginalPurchaseDate</v>
      </c>
      <c r="AQ5" s="28" t="str">
        <f>IFERROR(__xludf.DUMMYFUNCTION("""COMPUTED_VALUE"""),"Other Broker Fees")</f>
        <v>Other Broker Fees</v>
      </c>
      <c r="AR5" s="28" t="str">
        <f>IFERROR(__xludf.DUMMYFUNCTION("""COMPUTED_VALUE"""),"ParentTradeDate")</f>
        <v>ParentTradeDate</v>
      </c>
      <c r="AS5" s="28" t="str">
        <f>IFERROR(__xludf.DUMMYFUNCTION("""COMPUTED_VALUE"""),"Pay/Recive")</f>
        <v>Pay/Recive</v>
      </c>
      <c r="AT5" s="28" t="str">
        <f>IFERROR(__xludf.DUMMYFUNCTION("""COMPUTED_VALUE"""),"PositionType")</f>
        <v>PositionType</v>
      </c>
      <c r="AU5" s="28" t="str">
        <f>IFERROR(__xludf.DUMMYFUNCTION("""COMPUTED_VALUE"""),"ProcessDate")</f>
        <v>ProcessDate</v>
      </c>
      <c r="AV5" s="28" t="str">
        <f>IFERROR(__xludf.DUMMYFUNCTION("""COMPUTED_VALUE"""),"QtyCurrency")</f>
        <v>QtyCurrency</v>
      </c>
      <c r="AW5" s="28" t="str">
        <f>IFERROR(__xludf.DUMMYFUNCTION("""COMPUTED_VALUE"""),"Quantity")</f>
        <v>Quantity</v>
      </c>
      <c r="AX5" s="28" t="str">
        <f>IFERROR(__xludf.DUMMYFUNCTION("""COMPUTED_VALUE"""),"RecordType")</f>
        <v>RecordType</v>
      </c>
      <c r="AY5" s="28" t="str">
        <f>IFERROR(__xludf.DUMMYFUNCTION("""COMPUTED_VALUE"""),"SEC Fee")</f>
        <v>SEC Fee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IFERROR(__xludf.DUMMYFUNCTION("""COMPUTED_VALUE"""),"Settlement Date")</f>
        <v>Settlement Date</v>
      </c>
      <c r="BB5" s="28" t="str">
        <f>IFERROR(__xludf.DUMMYFUNCTION("""COMPUTED_VALUE"""),"Settlement FxRate")</f>
        <v>Settlement FxRate</v>
      </c>
      <c r="BC5" s="28" t="str">
        <f>IFERROR(__xludf.DUMMYFUNCTION("""COMPUTED_VALUE"""),"Settlement FxRate Operator")</f>
        <v>Settlement FxRate Operator</v>
      </c>
      <c r="BD5" s="28" t="str">
        <f>IFERROR(__xludf.DUMMYFUNCTION("""COMPUTED_VALUE"""),"Settlement Price")</f>
        <v>Settlement Price</v>
      </c>
      <c r="BE5" s="28" t="str">
        <f>IFERROR(__xludf.DUMMYFUNCTION("""COMPUTED_VALUE"""),"Side")</f>
        <v>Side</v>
      </c>
      <c r="BF5" s="28" t="str">
        <f>IFERROR(__xludf.DUMMYFUNCTION("""COMPUTED_VALUE"""),"Soft Commission")</f>
        <v>Soft Commission</v>
      </c>
      <c r="BG5" s="28" t="str">
        <f>IFERROR(__xludf.DUMMYFUNCTION("""COMPUTED_VALUE"""),"Stamp Duty")</f>
        <v>Stamp Duty</v>
      </c>
      <c r="BH5" s="28" t="str">
        <f>IFERROR(__xludf.DUMMYFUNCTION("""COMPUTED_VALUE"""),"StartTaxlotID")</f>
        <v>StartTaxlotID</v>
      </c>
      <c r="BI5" s="28" t="str">
        <f>IFERROR(__xludf.DUMMYFUNCTION("""COMPUTED_VALUE"""),"Status")</f>
        <v>Status</v>
      </c>
      <c r="BJ5" s="28" t="str">
        <f>IFERROR(__xludf.DUMMYFUNCTION("""COMPUTED_VALUE"""),"Strategy")</f>
        <v>Strategy</v>
      </c>
      <c r="BK5" s="28" t="str">
        <f>IFERROR(__xludf.DUMMYFUNCTION("""COMPUTED_VALUE"""),"Strike Price")</f>
        <v>Strike Price</v>
      </c>
      <c r="BL5" s="28" t="str">
        <f>IFERROR(__xludf.DUMMYFUNCTION("""COMPUTED_VALUE"""),"Symbol")</f>
        <v>Symbol</v>
      </c>
      <c r="BM5" s="28" t="str">
        <f>IFERROR(__xludf.DUMMYFUNCTION("""COMPUTED_VALUE"""),"SymbolAveragePrice")</f>
        <v>SymbolAveragePrice</v>
      </c>
      <c r="BN5" s="28" t="str">
        <f>IFERROR(__xludf.DUMMYFUNCTION("""COMPUTED_VALUE"""),"Tax On Commissions")</f>
        <v>Tax On Commissions</v>
      </c>
      <c r="BO5" s="28" t="str">
        <f>IFERROR(__xludf.DUMMYFUNCTION("""COMPUTED_VALUE"""),"TaxLotClosingId")</f>
        <v>TaxLotClosingId</v>
      </c>
      <c r="BP5" s="28" t="str">
        <f>IFERROR(__xludf.DUMMYFUNCTION("""COMPUTED_VALUE"""),"Trade Date")</f>
        <v>Trade Date</v>
      </c>
      <c r="BQ5" s="28" t="str">
        <f>IFERROR(__xludf.DUMMYFUNCTION("""COMPUTED_VALUE"""),"Transaction Levy")</f>
        <v>Transaction Levy</v>
      </c>
      <c r="BR5" s="28" t="str">
        <f>IFERROR(__xludf.DUMMYFUNCTION("""COMPUTED_VALUE"""),"Transaction Type")</f>
        <v>Transaction Type</v>
      </c>
      <c r="BS5" s="28" t="str">
        <f>IFERROR(__xludf.DUMMYFUNCTION("""COMPUTED_VALUE"""),"TransactionSource")</f>
        <v>TransactionSource</v>
      </c>
      <c r="BT5" s="28" t="str">
        <f>IFERROR(__xludf.DUMMYFUNCTION("""COMPUTED_VALUE"""),"Underlying Symbol")</f>
        <v>Underlying Symbol</v>
      </c>
      <c r="BU5" s="28" t="str">
        <f>IFERROR(__xludf.DUMMYFUNCTION("""COMPUTED_VALUE"""),"UnderlyingID")</f>
        <v>UnderlyingID</v>
      </c>
      <c r="BV5" s="28" t="str">
        <f>IFERROR(__xludf.DUMMYFUNCTION("""COMPUTED_VALUE"""),"Venue")</f>
        <v>Venue</v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5"/>
      <c r="C6" s="7"/>
      <c r="D6" s="7"/>
      <c r="E6" s="15"/>
      <c r="F6" s="7"/>
      <c r="G6" s="7"/>
      <c r="H6" s="7"/>
      <c r="I6" s="7"/>
      <c r="J6" s="7"/>
      <c r="K6" s="7"/>
      <c r="L6" s="7"/>
      <c r="M6" s="7"/>
      <c r="N6" s="7"/>
      <c r="O6" s="7"/>
      <c r="BL6" s="31"/>
    </row>
    <row r="7" ht="15.75" customHeight="1">
      <c r="A7" s="7"/>
      <c r="B7" s="15"/>
      <c r="C7" s="7"/>
      <c r="D7" s="7"/>
      <c r="E7" s="15"/>
      <c r="F7" s="7"/>
      <c r="G7" s="7"/>
      <c r="H7" s="7"/>
      <c r="I7" s="7"/>
      <c r="J7" s="7"/>
      <c r="K7" s="7"/>
      <c r="L7" s="7"/>
      <c r="M7" s="7"/>
      <c r="N7" s="7"/>
      <c r="O7" s="7"/>
      <c r="BL7" s="31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14.43"/>
    <col customWidth="1" min="13" max="13" width="27.0"/>
    <col customWidth="1" min="14" max="23" width="14.43"/>
    <col customWidth="1" min="24" max="24" width="29.14"/>
    <col customWidth="1" min="25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20</v>
      </c>
      <c r="D3" s="9" t="s">
        <v>6</v>
      </c>
      <c r="E3" s="21" t="s">
        <v>26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5" t="s">
        <v>18</v>
      </c>
      <c r="C6" s="7"/>
      <c r="D6" s="7"/>
      <c r="E6" s="7"/>
      <c r="F6" s="7"/>
      <c r="G6" s="15">
        <v>1000.0</v>
      </c>
      <c r="H6" s="15" t="s">
        <v>27</v>
      </c>
      <c r="I6" s="7"/>
      <c r="J6" s="15" t="s">
        <v>28</v>
      </c>
      <c r="K6" s="15" t="s">
        <v>29</v>
      </c>
      <c r="L6" s="7"/>
      <c r="M6" s="15">
        <v>-2200000.0</v>
      </c>
      <c r="N6" s="7"/>
      <c r="O6" s="15">
        <v>-2200000.0</v>
      </c>
      <c r="P6" s="31" t="s">
        <v>30</v>
      </c>
      <c r="R6" s="31" t="s">
        <v>31</v>
      </c>
      <c r="S6" s="31">
        <v>0.0</v>
      </c>
      <c r="T6" s="31">
        <v>22.0</v>
      </c>
      <c r="V6" s="31" t="s">
        <v>32</v>
      </c>
      <c r="W6" s="31" t="s">
        <v>32</v>
      </c>
      <c r="X6" s="31">
        <v>0.0</v>
      </c>
      <c r="Z6" s="31" t="s">
        <v>17</v>
      </c>
      <c r="AB6" s="31" t="s">
        <v>33</v>
      </c>
      <c r="AD6" s="31" t="s">
        <v>34</v>
      </c>
    </row>
    <row r="7" ht="15.75" customHeight="1">
      <c r="A7" s="7"/>
      <c r="B7" s="15" t="s">
        <v>18</v>
      </c>
      <c r="C7" s="7"/>
      <c r="D7" s="7"/>
      <c r="E7" s="7"/>
      <c r="F7" s="7"/>
      <c r="G7" s="15">
        <v>2000.0</v>
      </c>
      <c r="H7" s="15" t="s">
        <v>27</v>
      </c>
      <c r="I7" s="7"/>
      <c r="J7" s="15" t="s">
        <v>28</v>
      </c>
      <c r="K7" s="15" t="s">
        <v>29</v>
      </c>
      <c r="L7" s="7"/>
      <c r="M7" s="15">
        <v>-9000000.0</v>
      </c>
      <c r="N7" s="7"/>
      <c r="O7" s="15">
        <v>-9000000.0</v>
      </c>
      <c r="P7" s="31" t="s">
        <v>30</v>
      </c>
      <c r="R7" s="31" t="s">
        <v>31</v>
      </c>
      <c r="S7" s="31">
        <v>0.0</v>
      </c>
      <c r="T7" s="31">
        <v>45.0</v>
      </c>
      <c r="V7" s="31" t="s">
        <v>32</v>
      </c>
      <c r="W7" s="31" t="s">
        <v>32</v>
      </c>
      <c r="X7" s="31">
        <v>0.0</v>
      </c>
      <c r="Z7" s="31" t="s">
        <v>17</v>
      </c>
      <c r="AB7" s="31" t="s">
        <v>19</v>
      </c>
      <c r="AD7" s="31" t="s">
        <v>34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