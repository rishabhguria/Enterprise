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9" activeTab="9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CreateDoneAwayOrder" sheetId="5" r:id="rId5"/>
    <sheet name="PricingInput" sheetId="6" r:id="rId6"/>
    <sheet name="CalculatePTT" sheetId="7" r:id="rId7"/>
    <sheet name="VerifyPTT" sheetId="8" r:id="rId8"/>
    <sheet name="TradePTT" sheetId="9" r:id="rId9"/>
    <sheet name="DoneAwayUsingMTT" sheetId="10" r:id="rId10"/>
    <sheet name="VerifyOrder" sheetId="11" r:id="rId11"/>
    <sheet name="GetDataAllocation" sheetId="12" r:id="rId12"/>
    <sheet name="CheckAllocatedGroups" sheetId="13" r:id="rId13"/>
    <sheet name="CheckPortfolioManagement" sheetId="14" r:id="rId14"/>
  </sheets>
  <calcPr calcId="145621"/>
</workbook>
</file>

<file path=xl/calcChain.xml><?xml version="1.0" encoding="utf-8"?>
<calcChain xmlns="http://schemas.openxmlformats.org/spreadsheetml/2006/main">
  <c r="J2" i="14" l="1"/>
  <c r="J2" i="13"/>
  <c r="J2" i="12"/>
  <c r="J2" i="11"/>
  <c r="J2" i="10"/>
  <c r="J2" i="9"/>
  <c r="J2" i="8"/>
  <c r="J2" i="7"/>
  <c r="J2" i="6"/>
  <c r="J2" i="5"/>
  <c r="J2" i="4"/>
  <c r="FG5" i="14"/>
  <c r="EY5" i="14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V4" i="14"/>
  <c r="N4" i="14"/>
  <c r="F4" i="14"/>
  <c r="CQ5" i="13"/>
  <c r="CI5" i="13"/>
  <c r="CA5" i="13"/>
  <c r="BS5" i="13"/>
  <c r="BK5" i="13"/>
  <c r="BC5" i="13"/>
  <c r="AU5" i="13"/>
  <c r="AM5" i="13"/>
  <c r="AE5" i="13"/>
  <c r="W5" i="13"/>
  <c r="O5" i="13"/>
  <c r="G5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R5" i="12"/>
  <c r="J5" i="12"/>
  <c r="B5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AV5" i="11"/>
  <c r="AN5" i="11"/>
  <c r="AF5" i="11"/>
  <c r="X5" i="11"/>
  <c r="P5" i="11"/>
  <c r="H5" i="11"/>
  <c r="BH4" i="11"/>
  <c r="AZ4" i="11"/>
  <c r="AR4" i="11"/>
  <c r="AJ4" i="11"/>
  <c r="AB4" i="11"/>
  <c r="T4" i="11"/>
  <c r="L4" i="11"/>
  <c r="D4" i="11"/>
  <c r="AF5" i="10"/>
  <c r="X5" i="10"/>
  <c r="P5" i="10"/>
  <c r="H5" i="10"/>
  <c r="G4" i="10"/>
  <c r="H5" i="9"/>
  <c r="Q4" i="9"/>
  <c r="I4" i="9"/>
  <c r="K5" i="8"/>
  <c r="C5" i="8"/>
  <c r="L4" i="8"/>
  <c r="D4" i="8"/>
  <c r="F5" i="7"/>
  <c r="O4" i="7"/>
  <c r="G4" i="7"/>
  <c r="S5" i="6"/>
  <c r="K5" i="6"/>
  <c r="C5" i="6"/>
  <c r="AQ5" i="5"/>
  <c r="AI5" i="5"/>
  <c r="AA5" i="5"/>
  <c r="S5" i="5"/>
  <c r="K5" i="5"/>
  <c r="C5" i="5"/>
  <c r="Y4" i="5"/>
  <c r="Q4" i="5"/>
  <c r="I4" i="5"/>
  <c r="E5" i="4"/>
  <c r="N4" i="4"/>
  <c r="F4" i="4"/>
  <c r="B525" i="1"/>
  <c r="FF5" i="14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U4" i="14"/>
  <c r="M4" i="14"/>
  <c r="E4" i="14"/>
  <c r="CP5" i="13"/>
  <c r="CH5" i="13"/>
  <c r="BZ5" i="13"/>
  <c r="BR5" i="13"/>
  <c r="BJ5" i="13"/>
  <c r="BB5" i="13"/>
  <c r="AT5" i="13"/>
  <c r="AL5" i="13"/>
  <c r="AD5" i="13"/>
  <c r="V5" i="13"/>
  <c r="N5" i="13"/>
  <c r="F5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Q5" i="12"/>
  <c r="I5" i="12"/>
  <c r="A5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AU5" i="11"/>
  <c r="AM5" i="11"/>
  <c r="AE5" i="11"/>
  <c r="W5" i="11"/>
  <c r="O5" i="11"/>
  <c r="G5" i="11"/>
  <c r="BG4" i="11"/>
  <c r="AY4" i="11"/>
  <c r="AQ4" i="11"/>
  <c r="AI4" i="11"/>
  <c r="AA4" i="11"/>
  <c r="S4" i="11"/>
  <c r="K4" i="11"/>
  <c r="C4" i="11"/>
  <c r="AE5" i="10"/>
  <c r="W5" i="10"/>
  <c r="O5" i="10"/>
  <c r="G5" i="10"/>
  <c r="F4" i="10"/>
  <c r="G5" i="9"/>
  <c r="P4" i="9"/>
  <c r="H4" i="9"/>
  <c r="R5" i="8"/>
  <c r="J5" i="8"/>
  <c r="B5" i="8"/>
  <c r="K4" i="8"/>
  <c r="C4" i="8"/>
  <c r="E5" i="7"/>
  <c r="N4" i="7"/>
  <c r="F4" i="7"/>
  <c r="R5" i="6"/>
  <c r="J5" i="6"/>
  <c r="B5" i="6"/>
  <c r="AP5" i="5"/>
  <c r="AH5" i="5"/>
  <c r="Z5" i="5"/>
  <c r="R5" i="5"/>
  <c r="J5" i="5"/>
  <c r="B5" i="5"/>
  <c r="X4" i="5"/>
  <c r="P4" i="5"/>
  <c r="H4" i="5"/>
  <c r="L5" i="4"/>
  <c r="D5" i="4"/>
  <c r="M4" i="4"/>
  <c r="E4" i="4"/>
  <c r="A525" i="1"/>
  <c r="B522" i="1"/>
  <c r="C519" i="1"/>
  <c r="A517" i="1"/>
  <c r="B514" i="1"/>
  <c r="C511" i="1"/>
  <c r="A509" i="1"/>
  <c r="B506" i="1"/>
  <c r="C503" i="1"/>
  <c r="A501" i="1"/>
  <c r="B498" i="1"/>
  <c r="C495" i="1"/>
  <c r="FE5" i="14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T4" i="14"/>
  <c r="L4" i="14"/>
  <c r="D4" i="14"/>
  <c r="CO5" i="13"/>
  <c r="CG5" i="13"/>
  <c r="BY5" i="13"/>
  <c r="BQ5" i="13"/>
  <c r="BI5" i="13"/>
  <c r="BA5" i="13"/>
  <c r="AS5" i="13"/>
  <c r="AK5" i="13"/>
  <c r="AC5" i="13"/>
  <c r="U5" i="13"/>
  <c r="M5" i="13"/>
  <c r="E5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P5" i="12"/>
  <c r="H5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AT5" i="11"/>
  <c r="AL5" i="11"/>
  <c r="AD5" i="11"/>
  <c r="V5" i="11"/>
  <c r="N5" i="11"/>
  <c r="F5" i="11"/>
  <c r="BF4" i="11"/>
  <c r="AX4" i="11"/>
  <c r="AP4" i="11"/>
  <c r="AH4" i="11"/>
  <c r="Z4" i="11"/>
  <c r="R4" i="11"/>
  <c r="J4" i="11"/>
  <c r="B4" i="11"/>
  <c r="AD5" i="10"/>
  <c r="V5" i="10"/>
  <c r="N5" i="10"/>
  <c r="F5" i="10"/>
  <c r="E4" i="10"/>
  <c r="F5" i="9"/>
  <c r="O4" i="9"/>
  <c r="G4" i="9"/>
  <c r="Q5" i="8"/>
  <c r="I5" i="8"/>
  <c r="A5" i="8"/>
  <c r="J4" i="8"/>
  <c r="B4" i="8"/>
  <c r="D5" i="7"/>
  <c r="M4" i="7"/>
  <c r="FD5" i="14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AA4" i="14"/>
  <c r="S4" i="14"/>
  <c r="K4" i="14"/>
  <c r="C4" i="14"/>
  <c r="CN5" i="13"/>
  <c r="CF5" i="13"/>
  <c r="BX5" i="13"/>
  <c r="BP5" i="13"/>
  <c r="BH5" i="13"/>
  <c r="AZ5" i="13"/>
  <c r="AR5" i="13"/>
  <c r="AJ5" i="13"/>
  <c r="AB5" i="13"/>
  <c r="T5" i="13"/>
  <c r="L5" i="13"/>
  <c r="D5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O5" i="12"/>
  <c r="G5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BA5" i="11"/>
  <c r="AS5" i="11"/>
  <c r="AK5" i="11"/>
  <c r="AC5" i="11"/>
  <c r="U5" i="11"/>
  <c r="M5" i="11"/>
  <c r="E5" i="11"/>
  <c r="BE4" i="11"/>
  <c r="AW4" i="11"/>
  <c r="AO4" i="11"/>
  <c r="AG4" i="11"/>
  <c r="Y4" i="11"/>
  <c r="Q4" i="11"/>
  <c r="I4" i="11"/>
  <c r="FC5" i="14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Z4" i="14"/>
  <c r="R4" i="14"/>
  <c r="J4" i="14"/>
  <c r="B4" i="14"/>
  <c r="CM5" i="13"/>
  <c r="CE5" i="13"/>
  <c r="BW5" i="13"/>
  <c r="BO5" i="13"/>
  <c r="BG5" i="13"/>
  <c r="AY5" i="13"/>
  <c r="AQ5" i="13"/>
  <c r="AI5" i="13"/>
  <c r="AA5" i="13"/>
  <c r="S5" i="13"/>
  <c r="K5" i="13"/>
  <c r="C5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N5" i="12"/>
  <c r="F5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AZ5" i="11"/>
  <c r="AR5" i="11"/>
  <c r="AJ5" i="11"/>
  <c r="AB5" i="11"/>
  <c r="T5" i="11"/>
  <c r="L5" i="11"/>
  <c r="D5" i="11"/>
  <c r="BD4" i="11"/>
  <c r="AV4" i="11"/>
  <c r="AN4" i="11"/>
  <c r="AF4" i="11"/>
  <c r="X4" i="11"/>
  <c r="P4" i="11"/>
  <c r="H4" i="11"/>
  <c r="AJ5" i="10"/>
  <c r="AB5" i="10"/>
  <c r="T5" i="10"/>
  <c r="L5" i="10"/>
  <c r="D5" i="10"/>
  <c r="C4" i="10"/>
  <c r="D5" i="9"/>
  <c r="M4" i="9"/>
  <c r="E4" i="9"/>
  <c r="O5" i="8"/>
  <c r="G5" i="8"/>
  <c r="P4" i="8"/>
  <c r="H4" i="8"/>
  <c r="J5" i="7"/>
  <c r="B5" i="7"/>
  <c r="FB5" i="14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Y4" i="14"/>
  <c r="Q4" i="14"/>
  <c r="I4" i="14"/>
  <c r="FA5" i="14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X4" i="14"/>
  <c r="P4" i="14"/>
  <c r="H4" i="14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L5" i="12"/>
  <c r="D5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AX5" i="11"/>
  <c r="AP5" i="11"/>
  <c r="AH5" i="11"/>
  <c r="Z5" i="11"/>
  <c r="EZ5" i="14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W4" i="14"/>
  <c r="O4" i="14"/>
  <c r="G4" i="14"/>
  <c r="CR5" i="13"/>
  <c r="CJ5" i="13"/>
  <c r="CB5" i="13"/>
  <c r="BT5" i="13"/>
  <c r="BL5" i="13"/>
  <c r="BD5" i="13"/>
  <c r="AV5" i="13"/>
  <c r="AN5" i="13"/>
  <c r="AF5" i="13"/>
  <c r="X5" i="13"/>
  <c r="P5" i="13"/>
  <c r="H5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CL5" i="13"/>
  <c r="Z5" i="13"/>
  <c r="CE4" i="13"/>
  <c r="S4" i="13"/>
  <c r="DN4" i="12"/>
  <c r="CH4" i="12"/>
  <c r="BB4" i="12"/>
  <c r="V4" i="12"/>
  <c r="AW5" i="11"/>
  <c r="R5" i="11"/>
  <c r="BC4" i="11"/>
  <c r="AK4" i="11"/>
  <c r="N4" i="11"/>
  <c r="AG5" i="10"/>
  <c r="Q5" i="10"/>
  <c r="A5" i="10"/>
  <c r="A5" i="9"/>
  <c r="B4" i="9"/>
  <c r="E5" i="8"/>
  <c r="F4" i="8"/>
  <c r="Q4" i="7"/>
  <c r="D4" i="7"/>
  <c r="N5" i="6"/>
  <c r="D5" i="6"/>
  <c r="AN5" i="5"/>
  <c r="AD5" i="5"/>
  <c r="T5" i="5"/>
  <c r="H5" i="5"/>
  <c r="AB4" i="5"/>
  <c r="R4" i="5"/>
  <c r="F4" i="5"/>
  <c r="I5" i="4"/>
  <c r="P4" i="4"/>
  <c r="D4" i="4"/>
  <c r="A524" i="1"/>
  <c r="A521" i="1"/>
  <c r="A518" i="1"/>
  <c r="A515" i="1"/>
  <c r="A512" i="1"/>
  <c r="C508" i="1"/>
  <c r="C505" i="1"/>
  <c r="C502" i="1"/>
  <c r="C499" i="1"/>
  <c r="C496" i="1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CD5" i="13"/>
  <c r="R5" i="13"/>
  <c r="BW4" i="13"/>
  <c r="K4" i="13"/>
  <c r="DL4" i="12"/>
  <c r="CF4" i="12"/>
  <c r="AZ4" i="12"/>
  <c r="T4" i="12"/>
  <c r="AQ5" i="11"/>
  <c r="Q5" i="11"/>
  <c r="BB4" i="11"/>
  <c r="AE4" i="11"/>
  <c r="M4" i="11"/>
  <c r="AC5" i="10"/>
  <c r="M5" i="10"/>
  <c r="D4" i="10"/>
  <c r="N4" i="9"/>
  <c r="D5" i="8"/>
  <c r="E4" i="8"/>
  <c r="P4" i="7"/>
  <c r="C4" i="7"/>
  <c r="M5" i="6"/>
  <c r="A5" i="6"/>
  <c r="AM5" i="5"/>
  <c r="AC5" i="5"/>
  <c r="Q5" i="5"/>
  <c r="G5" i="5"/>
  <c r="AA4" i="5"/>
  <c r="O4" i="5"/>
  <c r="E4" i="5"/>
  <c r="H5" i="4"/>
  <c r="O4" i="4"/>
  <c r="C4" i="4"/>
  <c r="C523" i="1"/>
  <c r="C520" i="1"/>
  <c r="C517" i="1"/>
  <c r="C514" i="1"/>
  <c r="B511" i="1"/>
  <c r="B508" i="1"/>
  <c r="B505" i="1"/>
  <c r="B502" i="1"/>
  <c r="B499" i="1"/>
  <c r="B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BV5" i="13"/>
  <c r="J5" i="13"/>
  <c r="BO4" i="13"/>
  <c r="C4" i="13"/>
  <c r="DF4" i="12"/>
  <c r="BZ4" i="12"/>
  <c r="AT4" i="12"/>
  <c r="N4" i="12"/>
  <c r="AO5" i="11"/>
  <c r="K5" i="11"/>
  <c r="BA4" i="11"/>
  <c r="AD4" i="11"/>
  <c r="G4" i="11"/>
  <c r="AA5" i="10"/>
  <c r="K5" i="10"/>
  <c r="B4" i="10"/>
  <c r="L4" i="9"/>
  <c r="P5" i="8"/>
  <c r="Q4" i="8"/>
  <c r="L4" i="7"/>
  <c r="B4" i="7"/>
  <c r="L5" i="6"/>
  <c r="E4" i="6"/>
  <c r="AL5" i="5"/>
  <c r="AB5" i="5"/>
  <c r="P5" i="5"/>
  <c r="F5" i="5"/>
  <c r="Z4" i="5"/>
  <c r="N4" i="5"/>
  <c r="D4" i="5"/>
  <c r="G5" i="4"/>
  <c r="L4" i="4"/>
  <c r="B4" i="4"/>
  <c r="B523" i="1"/>
  <c r="B520" i="1"/>
  <c r="B517" i="1"/>
  <c r="A514" i="1"/>
  <c r="A511" i="1"/>
  <c r="A508" i="1"/>
  <c r="A505" i="1"/>
  <c r="A502" i="1"/>
  <c r="A499" i="1"/>
  <c r="A496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BN5" i="13"/>
  <c r="B5" i="13"/>
  <c r="BG4" i="13"/>
  <c r="DD4" i="12"/>
  <c r="BX4" i="12"/>
  <c r="AR4" i="12"/>
  <c r="L4" i="12"/>
  <c r="AI5" i="11"/>
  <c r="J5" i="11"/>
  <c r="AU4" i="11"/>
  <c r="AC4" i="11"/>
  <c r="F4" i="11"/>
  <c r="Z5" i="10"/>
  <c r="J5" i="10"/>
  <c r="K4" i="9"/>
  <c r="N5" i="8"/>
  <c r="O4" i="8"/>
  <c r="I5" i="7"/>
  <c r="K4" i="7"/>
  <c r="I5" i="6"/>
  <c r="D4" i="6"/>
  <c r="AK5" i="5"/>
  <c r="Y5" i="5"/>
  <c r="O5" i="5"/>
  <c r="E5" i="5"/>
  <c r="W4" i="5"/>
  <c r="M4" i="5"/>
  <c r="C4" i="5"/>
  <c r="F5" i="4"/>
  <c r="K4" i="4"/>
  <c r="A523" i="1"/>
  <c r="A520" i="1"/>
  <c r="C516" i="1"/>
  <c r="C513" i="1"/>
  <c r="C510" i="1"/>
  <c r="C507" i="1"/>
  <c r="C504" i="1"/>
  <c r="C501" i="1"/>
  <c r="C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BF5" i="13"/>
  <c r="DK4" i="13"/>
  <c r="AY4" i="13"/>
  <c r="M5" i="12"/>
  <c r="CX4" i="12"/>
  <c r="BR4" i="12"/>
  <c r="AL4" i="12"/>
  <c r="F4" i="12"/>
  <c r="AG5" i="11"/>
  <c r="I5" i="11"/>
  <c r="AT4" i="11"/>
  <c r="W4" i="11"/>
  <c r="E4" i="11"/>
  <c r="Y5" i="10"/>
  <c r="I5" i="10"/>
  <c r="I5" i="9"/>
  <c r="J4" i="9"/>
  <c r="M5" i="8"/>
  <c r="N4" i="8"/>
  <c r="H5" i="7"/>
  <c r="J4" i="7"/>
  <c r="T5" i="6"/>
  <c r="H5" i="6"/>
  <c r="C4" i="6"/>
  <c r="AJ5" i="5"/>
  <c r="X5" i="5"/>
  <c r="N5" i="5"/>
  <c r="D5" i="5"/>
  <c r="V4" i="5"/>
  <c r="L4" i="5"/>
  <c r="B4" i="5"/>
  <c r="C5" i="4"/>
  <c r="J4" i="4"/>
  <c r="A4" i="3"/>
  <c r="C522" i="1"/>
  <c r="B519" i="1"/>
  <c r="B516" i="1"/>
  <c r="B513" i="1"/>
  <c r="B510" i="1"/>
  <c r="B507" i="1"/>
  <c r="B504" i="1"/>
  <c r="B501" i="1"/>
  <c r="A498" i="1"/>
  <c r="A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X5" i="13"/>
  <c r="DC4" i="13"/>
  <c r="AQ4" i="13"/>
  <c r="K5" i="12"/>
  <c r="CV4" i="12"/>
  <c r="BP4" i="12"/>
  <c r="AJ4" i="12"/>
  <c r="D4" i="12"/>
  <c r="AA5" i="11"/>
  <c r="C5" i="11"/>
  <c r="AS4" i="11"/>
  <c r="V4" i="11"/>
  <c r="U5" i="10"/>
  <c r="E5" i="10"/>
  <c r="E5" i="9"/>
  <c r="F4" i="9"/>
  <c r="L5" i="8"/>
  <c r="M4" i="8"/>
  <c r="G5" i="7"/>
  <c r="I4" i="7"/>
  <c r="Q5" i="6"/>
  <c r="G5" i="6"/>
  <c r="B4" i="6"/>
  <c r="AG5" i="5"/>
  <c r="W5" i="5"/>
  <c r="M5" i="5"/>
  <c r="A5" i="5"/>
  <c r="U4" i="5"/>
  <c r="K4" i="5"/>
  <c r="B5" i="4"/>
  <c r="I4" i="4"/>
  <c r="C525" i="1"/>
  <c r="A522" i="1"/>
  <c r="A519" i="1"/>
  <c r="A516" i="1"/>
  <c r="A513" i="1"/>
  <c r="A510" i="1"/>
  <c r="A507" i="1"/>
  <c r="A504" i="1"/>
  <c r="C500" i="1"/>
  <c r="C497" i="1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AP5" i="13"/>
  <c r="CU4" i="13"/>
  <c r="AI4" i="13"/>
  <c r="E5" i="12"/>
  <c r="CP4" i="12"/>
  <c r="BJ4" i="12"/>
  <c r="AD4" i="12"/>
  <c r="Y5" i="11"/>
  <c r="B5" i="11"/>
  <c r="AM4" i="11"/>
  <c r="U4" i="11"/>
  <c r="AI5" i="10"/>
  <c r="S5" i="10"/>
  <c r="C5" i="10"/>
  <c r="C5" i="9"/>
  <c r="D4" i="9"/>
  <c r="H5" i="8"/>
  <c r="I4" i="8"/>
  <c r="C5" i="7"/>
  <c r="H4" i="7"/>
  <c r="P5" i="6"/>
  <c r="F5" i="6"/>
  <c r="AF5" i="5"/>
  <c r="V5" i="5"/>
  <c r="L5" i="5"/>
  <c r="AD4" i="5"/>
  <c r="T4" i="5"/>
  <c r="J4" i="5"/>
  <c r="K5" i="4"/>
  <c r="A5" i="4"/>
  <c r="H4" i="4"/>
  <c r="C524" i="1"/>
  <c r="C521" i="1"/>
  <c r="C518" i="1"/>
  <c r="C515" i="1"/>
  <c r="C512" i="1"/>
  <c r="C509" i="1"/>
  <c r="C506" i="1"/>
  <c r="B503" i="1"/>
  <c r="B500" i="1"/>
  <c r="B497" i="1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AH5" i="13"/>
  <c r="CM4" i="13"/>
  <c r="AA4" i="13"/>
  <c r="C5" i="12"/>
  <c r="CN4" i="12"/>
  <c r="BH4" i="12"/>
  <c r="AB4" i="12"/>
  <c r="AY5" i="11"/>
  <c r="S5" i="11"/>
  <c r="A5" i="11"/>
  <c r="AL4" i="11"/>
  <c r="O4" i="11"/>
  <c r="AH5" i="10"/>
  <c r="R5" i="10"/>
  <c r="B5" i="10"/>
  <c r="B5" i="9"/>
  <c r="C4" i="9"/>
  <c r="F5" i="8"/>
  <c r="G4" i="8"/>
  <c r="A5" i="7"/>
  <c r="E4" i="7"/>
  <c r="O5" i="6"/>
  <c r="E5" i="6"/>
  <c r="AO5" i="5"/>
  <c r="AE5" i="5"/>
  <c r="U5" i="5"/>
  <c r="I5" i="5"/>
  <c r="AC4" i="5"/>
  <c r="S4" i="5"/>
  <c r="G4" i="5"/>
  <c r="J5" i="4"/>
  <c r="Q4" i="4"/>
  <c r="G4" i="4"/>
  <c r="B524" i="1"/>
  <c r="B521" i="1"/>
  <c r="B518" i="1"/>
  <c r="B515" i="1"/>
  <c r="B512" i="1"/>
  <c r="B509" i="1"/>
  <c r="A506" i="1"/>
  <c r="A503" i="1"/>
  <c r="A500" i="1"/>
  <c r="A497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8" i="1"/>
  <c r="C291" i="1"/>
  <c r="A288" i="1"/>
  <c r="A285" i="1"/>
  <c r="A282" i="1"/>
  <c r="A279" i="1"/>
  <c r="A276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295" i="1"/>
  <c r="B291" i="1"/>
  <c r="C287" i="1"/>
  <c r="C284" i="1"/>
  <c r="C281" i="1"/>
  <c r="C278" i="1"/>
  <c r="C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16" i="1"/>
  <c r="A11" i="1"/>
  <c r="C5" i="1"/>
  <c r="B5" i="1"/>
  <c r="C4" i="1"/>
  <c r="A295" i="1"/>
  <c r="C290" i="1"/>
  <c r="B287" i="1"/>
  <c r="B284" i="1"/>
  <c r="B281" i="1"/>
  <c r="B278" i="1"/>
  <c r="B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C13" i="1"/>
  <c r="B8" i="1"/>
  <c r="C7" i="1"/>
  <c r="B294" i="1"/>
  <c r="B290" i="1"/>
  <c r="A287" i="1"/>
  <c r="A284" i="1"/>
  <c r="A281" i="1"/>
  <c r="A278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A294" i="1"/>
  <c r="A290" i="1"/>
  <c r="C286" i="1"/>
  <c r="C283" i="1"/>
  <c r="C280" i="1"/>
  <c r="B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A5" i="1"/>
  <c r="A293" i="1"/>
  <c r="C289" i="1"/>
  <c r="B286" i="1"/>
  <c r="B283" i="1"/>
  <c r="A280" i="1"/>
  <c r="A277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292" i="1"/>
  <c r="A289" i="1"/>
  <c r="A286" i="1"/>
  <c r="C282" i="1"/>
  <c r="C279" i="1"/>
  <c r="C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292" i="1"/>
  <c r="C288" i="1"/>
  <c r="B285" i="1"/>
  <c r="B282" i="1"/>
  <c r="B279" i="1"/>
  <c r="B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</calcChain>
</file>

<file path=xl/sharedStrings.xml><?xml version="1.0" encoding="utf-8"?>
<sst xmlns="http://schemas.openxmlformats.org/spreadsheetml/2006/main" count="446" uniqueCount="82">
  <si>
    <t>Modules Info</t>
  </si>
  <si>
    <t>Modules</t>
  </si>
  <si>
    <t>Settings</t>
  </si>
  <si>
    <t>Module Step Setting File</t>
  </si>
  <si>
    <t>15BmYPuIUK8bJJWolrCWS4E1ha5TWcUhcu_ws2uLpBf8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</si>
  <si>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</si>
  <si>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</si>
  <si>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</si>
  <si>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</si>
  <si>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</si>
  <si>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</si>
  <si>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</si>
  <si>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</si>
  <si>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</si>
  <si>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</si>
  <si>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</si>
  <si>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</si>
  <si>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</si>
  <si>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TSLA</t>
  </si>
  <si>
    <t>Sell short</t>
  </si>
  <si>
    <t>Allocation1</t>
  </si>
  <si>
    <t>AAPL</t>
  </si>
  <si>
    <t>Buy</t>
  </si>
  <si>
    <t>Allocation2</t>
  </si>
  <si>
    <t>PricingInput</t>
  </si>
  <si>
    <t>PTT</t>
  </si>
  <si>
    <t>CalculatePTT</t>
  </si>
  <si>
    <t>Set</t>
  </si>
  <si>
    <t>Percentage</t>
  </si>
  <si>
    <t>No</t>
  </si>
  <si>
    <t>Account</t>
  </si>
  <si>
    <t>Allocation1,Allocation2</t>
  </si>
  <si>
    <t>VerifyPTT</t>
  </si>
  <si>
    <t>TradePTT</t>
  </si>
  <si>
    <t>MultiTradingTicket</t>
  </si>
  <si>
    <t>DoneAwayUsingMTT</t>
  </si>
  <si>
    <t>MS</t>
  </si>
  <si>
    <t>Market</t>
  </si>
  <si>
    <t>Buy to Close</t>
  </si>
  <si>
    <t>Blotter</t>
  </si>
  <si>
    <t>VerifyOrder</t>
  </si>
  <si>
    <t>NASDAQ</t>
  </si>
  <si>
    <t>jpearce</t>
  </si>
  <si>
    <t>US</t>
  </si>
  <si>
    <t>USD</t>
  </si>
  <si>
    <t>M</t>
  </si>
  <si>
    <t>Equity</t>
  </si>
  <si>
    <t>Filled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</si>
  <si>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</si>
  <si>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</si>
  <si>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</si>
  <si>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</si>
  <si>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</si>
  <si>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</si>
  <si>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</si>
  <si>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SellShort</t>
  </si>
  <si>
    <t>BuytoClose</t>
  </si>
  <si>
    <t>PortfolioManagement</t>
  </si>
  <si>
    <t>CheckPortfolioManagement</t>
  </si>
  <si>
    <t>Short</t>
  </si>
  <si>
    <t>TESLA MTRS INC</t>
  </si>
  <si>
    <t>0</t>
  </si>
  <si>
    <t>FIMAT</t>
  </si>
  <si>
    <t>Strategy Unallocated</t>
  </si>
  <si>
    <t>BrokerNotes</t>
  </si>
  <si>
    <t>DefaultNotes</t>
  </si>
  <si>
    <t>1</t>
  </si>
  <si>
    <t>Undefined</t>
  </si>
  <si>
    <t>User Defined</t>
  </si>
  <si>
    <t>Default</t>
  </si>
  <si>
    <t>UK</t>
  </si>
  <si>
    <t>Yes</t>
  </si>
  <si>
    <t/>
  </si>
  <si>
    <t>Long</t>
  </si>
  <si>
    <t>APPLE</t>
  </si>
  <si>
    <t>New Hedge</t>
  </si>
  <si>
    <t>Small Cap</t>
  </si>
  <si>
    <t>5</t>
  </si>
  <si>
    <t>test1</t>
  </si>
  <si>
    <t>india</t>
  </si>
  <si>
    <t>test 1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</si>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</sst>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,###,###,##0.00#############"/>
    <numFmt numFmtId="165" formatCode="#,###,##0"/>
  </numFmts>
  <fonts count="16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Calibri"/>
    </font>
    <font>
      <sz val="11"/>
      <name val="Calibri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3" fillId="0" borderId="0" xfId="0" applyFont="1" applyAlignment="1"/>
    <xf numFmtId="3" fontId="13" fillId="0" borderId="0" xfId="0" applyNumberFormat="1" applyFont="1" applyAlignment="1"/>
    <xf numFmtId="3" fontId="2" fillId="0" borderId="0" xfId="0" applyNumberFormat="1" applyFont="1" applyAlignment="1"/>
    <xf numFmtId="0" fontId="14" fillId="0" borderId="0" xfId="0" applyFont="1" applyAlignment="1"/>
    <xf numFmtId="164" fontId="14" fillId="0" borderId="0" xfId="0" applyNumberFormat="1" applyFont="1" applyAlignment="1">
      <alignment horizontal="right"/>
    </xf>
    <xf numFmtId="0" fontId="14" fillId="0" borderId="0" xfId="0" applyFont="1" applyAlignment="1"/>
    <xf numFmtId="165" fontId="14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15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8" t="s">
        <v>0</v>
      </c>
      <c r="B1" s="39"/>
      <c r="C1" s="39"/>
      <c r="D1" s="39"/>
      <c r="E1" s="39"/>
      <c r="F1" s="40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>
      <c r="A510" t="str">
        <f ca="1">IFERROR(__xludf.DUMMYFUNCTION("""COMPUTED_VALUE"""),"Simulator")</f>
        <v>Simulator</v>
      </c>
      <c r="B510" t="str">
        <f ca="1">IFERROR(__xludf.DUMMYFUNCTION("""COMPUTED_VALUE"""),"VerifyTrades")</f>
        <v>VerifyTrades</v>
      </c>
      <c r="C510" t="str">
        <f ca="1">IFERROR(__xludf.DUMMYFUNCTION("""COMPUTED_VALUE"""),"1N71Jy4eKF73ZDNHWL_TjWsGmm0qTTD4814dhMRMMVb8")</f>
        <v>1N71Jy4eKF73ZDNHWL_TjWsGmm0qTTD4814dhMRMMVb8</v>
      </c>
    </row>
    <row r="511" spans="1:3" ht="15.75" customHeight="1">
      <c r="A511" t="str">
        <f ca="1">IFERROR(__xludf.DUMMYFUNCTION("""COMPUTED_VALUE"""),"ShortLocate")</f>
        <v>ShortLocate</v>
      </c>
      <c r="B511" t="str">
        <f ca="1">IFERROR(__xludf.DUMMYFUNCTION("""COMPUTED_VALUE"""),"SetShortLocatePreferences")</f>
        <v>SetShortLocatePreferences</v>
      </c>
      <c r="C511" t="str">
        <f ca="1">IFERROR(__xludf.DUMMYFUNCTION("""COMPUTED_VALUE"""),"1Bb8XumY_W8vYN4wPCQjnCEQbJs1H7qhZYGScbFljlsE")</f>
        <v>1Bb8XumY_W8vYN4wPCQjnCEQbJs1H7qhZYGScbFljlsE</v>
      </c>
    </row>
    <row r="512" spans="1:3" ht="15.75" customHeight="1">
      <c r="A512" t="str">
        <f ca="1">IFERROR(__xludf.DUMMYFUNCTION("""COMPUTED_VALUE"""),"SecurityMaster")</f>
        <v>SecurityMaster</v>
      </c>
      <c r="B512" t="str">
        <f ca="1">IFERROR(__xludf.DUMMYFUNCTION("""COMPUTED_VALUE"""),"GetSymbolData")</f>
        <v>GetSymbolData</v>
      </c>
      <c r="C512" t="str">
        <f ca="1">IFERROR(__xludf.DUMMYFUNCTION("""COMPUTED_VALUE"""),"1jtd0OYtnm21_vMCd-CSKixcC_TN7ginWcJ7PR714zDw")</f>
        <v>1jtd0OYtnm21_vMCd-CSKixcC_TN7ginWcJ7PR714zDw</v>
      </c>
    </row>
    <row r="513" spans="1:3" ht="15.75" customHeight="1">
      <c r="A513" t="str">
        <f ca="1">IFERROR(__xludf.DUMMYFUNCTION("""COMPUTED_VALUE"""),"SecurityMaster")</f>
        <v>SecurityMaster</v>
      </c>
      <c r="B513" t="str">
        <f ca="1">IFERROR(__xludf.DUMMYFUNCTION("""COMPUTED_VALUE"""),"EditSMData")</f>
        <v>EditSMData</v>
      </c>
      <c r="C513" t="str">
        <f ca="1">IFERROR(__xludf.DUMMYFUNCTION("""COMPUTED_VALUE"""),"1l9IRaSGDow3z943y-v24KT4bLSa2nLFzzrJx6XQozpY")</f>
        <v>1l9IRaSGDow3z943y-v24KT4bLSa2nLFzzrJx6XQozpY</v>
      </c>
    </row>
    <row r="514" spans="1:3" ht="15.75" customHeight="1">
      <c r="A514" t="str">
        <f ca="1">IFERROR(__xludf.DUMMYFUNCTION("""COMPUTED_VALUE"""),"Compliance")</f>
        <v>Compliance</v>
      </c>
      <c r="B514" t="str">
        <f ca="1">IFERROR(__xludf.DUMMYFUNCTION("""COMPUTED_VALUE"""),"RestartRuleMediator")</f>
        <v>RestartRuleMediator</v>
      </c>
      <c r="C514" t="str">
        <f ca="1">IFERROR(__xludf.DUMMYFUNCTION("""COMPUTED_VALUE"""),"18SVZSt8o151Ibqp7S3Ge-27pHb5fW7wNT71WgA_kP_8")</f>
        <v>18SVZSt8o151Ibqp7S3Ge-27pHb5fW7wNT71WgA_kP_8</v>
      </c>
    </row>
    <row r="515" spans="1:3" ht="15.75" customHeight="1">
      <c r="A515" t="str">
        <f ca="1">IFERROR(__xludf.DUMMYFUNCTION("""COMPUTED_VALUE"""),"Compliance")</f>
        <v>Compliance</v>
      </c>
      <c r="B515" t="str">
        <f ca="1">IFERROR(__xludf.DUMMYFUNCTION("""COMPUTED_VALUE"""),"VerifyAggAccountSymbolWithNav")</f>
        <v>VerifyAggAccountSymbolWithNav</v>
      </c>
      <c r="C515" t="str">
        <f ca="1">IFERROR(__xludf.DUMMYFUNCTION("""COMPUTED_VALUE"""),"1yORtQDYWOiS9sGzwmSy3jeH1KeWbwIscJSVtvVljcqk")</f>
        <v>1yORtQDYWOiS9sGzwmSy3jeH1KeWbwIscJSVtvVljcqk</v>
      </c>
    </row>
    <row r="516" spans="1:3" ht="15.75" customHeight="1">
      <c r="A516" t="str">
        <f ca="1">IFERROR(__xludf.DUMMYFUNCTION("""COMPUTED_VALUE"""),"Admin")</f>
        <v>Admin</v>
      </c>
      <c r="B516" t="str">
        <f ca="1">IFERROR(__xludf.DUMMYFUNCTION("""COMPUTED_VALUE"""),"SetComplianceAlert")</f>
        <v>SetComplianceAlert</v>
      </c>
      <c r="C516" t="str">
        <f ca="1">IFERROR(__xludf.DUMMYFUNCTION("""COMPUTED_VALUE"""),"1tHcWqzzT9x7_tjIYlb_jsMu7VunfhVIyqGIWGIXOrQE")</f>
        <v>1tHcWqzzT9x7_tjIYlb_jsMu7VunfhVIyqGIWGIXOrQE</v>
      </c>
    </row>
    <row r="517" spans="1:3" ht="15.75" customHeight="1">
      <c r="A517" t="str">
        <f ca="1">IFERROR(__xludf.DUMMYFUNCTION("""COMPUTED_VALUE"""),"PortfolioManagement")</f>
        <v>PortfolioManagement</v>
      </c>
      <c r="B517" t="str">
        <f ca="1">IFERROR(__xludf.DUMMYFUNCTION("""COMPUTED_VALUE"""),"IncreasePositionFromPM")</f>
        <v>IncreasePositionFromPM</v>
      </c>
      <c r="C517" t="str">
        <f ca="1">IFERROR(__xludf.DUMMYFUNCTION("""COMPUTED_VALUE"""),"1eE569Brgsjqyathy0MKO50Wmj5QCDLuax0S-29Hix4A")</f>
        <v>1eE569Brgsjqyathy0MKO50Wmj5QCDLuax0S-29Hix4A</v>
      </c>
    </row>
    <row r="518" spans="1:3" ht="15.75" customHeight="1">
      <c r="A518" t="str">
        <f ca="1">IFERROR(__xludf.DUMMYFUNCTION("""COMPUTED_VALUE"""),"TradingTicket")</f>
        <v>TradingTicket</v>
      </c>
      <c r="B518" t="str">
        <f ca="1">IFERROR(__xludf.DUMMYFUNCTION("""COMPUTED_VALUE"""),"SendLiveBloomberg")</f>
        <v>SendLiveBloomberg</v>
      </c>
      <c r="C518" t="str">
        <f ca="1">IFERROR(__xludf.DUMMYFUNCTION("""COMPUTED_VALUE"""),"1jm-Rrun0S1nkf5N9L0XR0cK07laQ4i2IyhTZ_88GUUQ")</f>
        <v>1jm-Rrun0S1nkf5N9L0XR0cK07laQ4i2IyhTZ_88GUUQ</v>
      </c>
    </row>
    <row r="519" spans="1:3" ht="15.75" customHeight="1">
      <c r="A519" t="str">
        <f ca="1">IFERROR(__xludf.DUMMYFUNCTION("""COMPUTED_VALUE"""),"Blotter")</f>
        <v>Blotter</v>
      </c>
      <c r="B519" t="str">
        <f ca="1">IFERROR(__xludf.DUMMYFUNCTION("""COMPUTED_VALUE"""),"ReloadOrderFromBlotter")</f>
        <v>ReloadOrderFromBlotter</v>
      </c>
      <c r="C519" t="str">
        <f ca="1">IFERROR(__xludf.DUMMYFUNCTION("""COMPUTED_VALUE"""),"1GnRgq3n2FmksmM-vQvyFRWFLBbtVf3YzhzcYjkk8r48")</f>
        <v>1GnRgq3n2FmksmM-vQvyFRWFLBbtVf3YzhzcYjkk8r48</v>
      </c>
    </row>
    <row r="520" spans="1:3" ht="15.75" customHeight="1">
      <c r="A520" t="str">
        <f ca="1">IFERROR(__xludf.DUMMYFUNCTION("""COMPUTED_VALUE"""),"TradingTicket")</f>
        <v>TradingTicket</v>
      </c>
      <c r="B520" t="str">
        <f ca="1">IFERROR(__xludf.DUMMYFUNCTION("""COMPUTED_VALUE"""),"AddOptionTrade")</f>
        <v>AddOptionTrade</v>
      </c>
      <c r="C520" t="str">
        <f ca="1">IFERROR(__xludf.DUMMYFUNCTION("""COMPUTED_VALUE"""),"1S77RUpuNPEdRdFAsltgJ4BQ2n1UATWQLWerXZ4PXTkk")</f>
        <v>1S77RUpuNPEdRdFAsltgJ4BQ2n1UATWQLWerXZ4PXTkk</v>
      </c>
    </row>
    <row r="521" spans="1:3" ht="15.75" customHeight="1">
      <c r="A521" t="str">
        <f ca="1">IFERROR(__xludf.DUMMYFUNCTION("""COMPUTED_VALUE"""),"Closing")</f>
        <v>Closing</v>
      </c>
      <c r="B521" t="str">
        <f ca="1">IFERROR(__xludf.DUMMYFUNCTION("""COMPUTED_VALUE"""),"AutoExercise")</f>
        <v>AutoExercise</v>
      </c>
      <c r="C521" t="str">
        <f ca="1">IFERROR(__xludf.DUMMYFUNCTION("""COMPUTED_VALUE"""),"1hfy0JEIqBV_drZcgmDPPTyHwSQxbE1sD97UL33FyUKI")</f>
        <v>1hfy0JEIqBV_drZcgmDPPTyHwSQxbE1sD97UL33FyUKI</v>
      </c>
    </row>
    <row r="522" spans="1:3" ht="15.75" customHeight="1">
      <c r="A522" t="str">
        <f ca="1">IFERROR(__xludf.DUMMYFUNCTION("""COMPUTED_VALUE"""),"Admin")</f>
        <v>Admin</v>
      </c>
      <c r="B522" t="str">
        <f ca="1">IFERROR(__xludf.DUMMYFUNCTION("""COMPUTED_VALUE"""),"UpdateExpirationDate")</f>
        <v>UpdateExpirationDate</v>
      </c>
      <c r="C522" t="str">
        <f ca="1">IFERROR(__xludf.DUMMYFUNCTION("""COMPUTED_VALUE"""),"1dylWul81BFmbZVj_Z-Xiz11zLj_QrhKk5QXK_mf_uUE")</f>
        <v>1dylWul81BFmbZVj_Z-Xiz11zLj_QrhKk5QXK_mf_uUE</v>
      </c>
    </row>
    <row r="523" spans="1:3" ht="15.75" customHeight="1">
      <c r="A523" t="str">
        <f ca="1">IFERROR(__xludf.DUMMYFUNCTION("""COMPUTED_VALUE"""),"Blotter")</f>
        <v>Blotter</v>
      </c>
      <c r="B523" t="str">
        <f ca="1">IFERROR(__xludf.DUMMYFUNCTION("""COMPUTED_VALUE"""),"ReloadOrderFromSubOrder")</f>
        <v>ReloadOrderFromSubOrder</v>
      </c>
      <c r="C523" t="str">
        <f ca="1">IFERROR(__xludf.DUMMYFUNCTION("""COMPUTED_VALUE"""),"1HCRddvgPCwJLqnfI7ts10VrFX5EFtgDXaYOCFKQa5Hw")</f>
        <v>1HCRddvgPCwJLqnfI7ts10VrFX5EFtgDXaYOCFKQa5Hw</v>
      </c>
    </row>
    <row r="524" spans="1:3" ht="15.75" customHeight="1">
      <c r="A524" t="str">
        <f ca="1">IFERROR(__xludf.DUMMYFUNCTION("""COMPUTED_VALUE"""),"Blotter")</f>
        <v>Blotter</v>
      </c>
      <c r="B524" t="str">
        <f ca="1">IFERROR(__xludf.DUMMYFUNCTION("""COMPUTED_VALUE"""),"ReloadOrderFromWorkingSubs")</f>
        <v>ReloadOrderFromWorkingSubs</v>
      </c>
      <c r="C524" t="str">
        <f ca="1">IFERROR(__xludf.DUMMYFUNCTION("""COMPUTED_VALUE"""),"1-0deCunA0B5gH5_QgjFRQJkWoWhaKLyiNrCl5nK7g5k")</f>
        <v>1-0deCunA0B5gH5_QgjFRQJkWoWhaKLyiNrCl5nK7g5k</v>
      </c>
    </row>
    <row r="525" spans="1:3" ht="15.75" customHeight="1">
      <c r="A525" t="str">
        <f ca="1">IFERROR(__xludf.DUMMYFUNCTION("""COMPUTED_VALUE"""),"Blotter")</f>
        <v>Blotter</v>
      </c>
      <c r="B525" t="str">
        <f ca="1">IFERROR(__xludf.DUMMYFUNCTION("""COMPUTED_VALUE"""),"SelectFills")</f>
        <v>SelectFills</v>
      </c>
      <c r="C525" t="str">
        <f ca="1">IFERROR(__xludf.DUMMYFUNCTION("""COMPUTED_VALUE"""),"1Z7QxmNsys5SzZV3G-2XqSn0OdEXfUG5t0ZPmwtyFCL8")</f>
        <v>1Z7QxmNsys5SzZV3G-2XqSn0OdEXfUG5t0ZPmwtyFCL8</v>
      </c>
    </row>
    <row r="526" spans="1:3" ht="15.75" customHeight="1"/>
    <row r="527" spans="1:3" ht="15.75" customHeight="1"/>
    <row r="528" spans="1:3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1" t="s">
        <v>2</v>
      </c>
      <c r="B1" s="39"/>
      <c r="C1" s="4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8" t="s">
        <v>7</v>
      </c>
      <c r="B1" s="39"/>
      <c r="C1" s="39"/>
      <c r="D1" s="39"/>
      <c r="E1" s="39"/>
      <c r="F1" s="4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11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 t="str">
        <f ca="1">IFERROR(__xludf.DUMMYFUNCTION("""COMPUTED_VALUE"""),"UpdateExpirationDate")</f>
        <v>UpdateExpirationDate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 t="str">
        <f ca="1">IFERROR(__xludf.DUMMYFUNCTION("""COMPUTED_VALUE"""),"IsAbsoluteAmountOrDefinePercent")</f>
        <v>IsAbsoluteAmountOrDefinePercent</v>
      </c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b">
        <v>1</v>
      </c>
      <c r="C6" s="7" t="b">
        <v>1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11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 t="str">
        <f ca="1">IFERROR(__xludf.DUMMYFUNCTION("""COMPUTED_VALUE"""),"AddOptionTrade")</f>
        <v>AddOptionTrade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18</v>
      </c>
      <c r="C6" s="7" t="s">
        <v>19</v>
      </c>
      <c r="D6" s="7">
        <v>8913</v>
      </c>
      <c r="E6" s="7">
        <v>8913</v>
      </c>
      <c r="F6" s="7" t="s">
        <v>20</v>
      </c>
      <c r="G6" s="5"/>
      <c r="H6" s="5"/>
      <c r="I6" s="5"/>
      <c r="J6" s="7">
        <v>570</v>
      </c>
      <c r="K6" s="5"/>
      <c r="L6" s="5"/>
      <c r="M6" s="5"/>
      <c r="N6" s="5"/>
      <c r="O6" s="5"/>
    </row>
    <row r="7" spans="1:154" ht="15.75" customHeight="1">
      <c r="A7" s="5"/>
      <c r="B7" s="7" t="s">
        <v>21</v>
      </c>
      <c r="C7" s="7" t="s">
        <v>22</v>
      </c>
      <c r="D7" s="7">
        <v>1000</v>
      </c>
      <c r="E7" s="7">
        <v>1000</v>
      </c>
      <c r="F7" s="7" t="s">
        <v>23</v>
      </c>
      <c r="G7" s="5"/>
      <c r="H7" s="5"/>
      <c r="I7" s="5"/>
      <c r="J7" s="7">
        <v>20</v>
      </c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11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IFERROR(__xludf.DUMMYFUNCTION("IF(C3="""","""",Transpose(IMPORTRANGE('_Settings'!$B$3,C3&amp;""!A4:A1000"")))"),"PricingInput")</f>
        <v>PricingInput</v>
      </c>
      <c r="C4" s="19" t="str">
        <f ca="1">IFERROR(__xludf.DUMMYFUNCTION("""COMPUTED_VALUE"""),"UpdateSharesOutstanding")</f>
        <v>UpdateSharesOutstanding</v>
      </c>
      <c r="D4" s="19" t="str">
        <f ca="1">IFERROR(__xludf.DUMMYFUNCTION("""COMPUTED_VALUE"""),"EODTPreferences")</f>
        <v>EODTPreferences</v>
      </c>
      <c r="E4" s="19" t="str">
        <f ca="1">IFERROR(__xludf.DUMMYFUNCTION("""COMPUTED_VALUE"""),"LiveData")</f>
        <v>LiveData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18</v>
      </c>
      <c r="C6" s="7">
        <v>500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7" t="s">
        <v>21</v>
      </c>
      <c r="C7" s="7">
        <v>100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11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18</v>
      </c>
      <c r="C6" s="7" t="s">
        <v>27</v>
      </c>
      <c r="D6" s="7" t="s">
        <v>28</v>
      </c>
      <c r="E6" s="7">
        <v>7</v>
      </c>
      <c r="F6" s="7">
        <v>576</v>
      </c>
      <c r="G6" s="7" t="s">
        <v>29</v>
      </c>
      <c r="H6" s="7" t="s">
        <v>30</v>
      </c>
      <c r="I6" s="7" t="s">
        <v>31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11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NAV")</f>
        <v>Account NAV</v>
      </c>
      <c r="D5" s="22" t="str">
        <f ca="1">IFERROR(__xludf.DUMMYFUNCTION("""COMPUTED_VALUE"""),"Starting Position")</f>
        <v>Starting Position</v>
      </c>
      <c r="E5" s="22" t="str">
        <f ca="1">IFERROR(__xludf.DUMMYFUNCTION("""COMPUTED_VALUE"""),"Starting Value")</f>
        <v>Starting Value</v>
      </c>
      <c r="F5" s="23" t="str">
        <f ca="1">IFERROR(__xludf.DUMMYFUNCTION("""COMPUTED_VALUE"""),"Starting %")</f>
        <v>Starting %</v>
      </c>
      <c r="G5" s="22" t="str">
        <f ca="1">IFERROR(__xludf.DUMMYFUNCTION("""COMPUTED_VALUE"""),"% Change")</f>
        <v>% Change</v>
      </c>
      <c r="H5" s="22" t="str">
        <f ca="1">IFERROR(__xludf.DUMMYFUNCTION("""COMPUTED_VALUE"""),"Ending %")</f>
        <v>Ending %</v>
      </c>
      <c r="I5" s="22" t="str">
        <f ca="1">IFERROR(__xludf.DUMMYFUNCTION("""COMPUTED_VALUE"""),"Trade Quantity")</f>
        <v>Trade Quantity</v>
      </c>
      <c r="J5" s="22" t="str">
        <f ca="1">IFERROR(__xludf.DUMMYFUNCTION("""COMPUTED_VALUE"""),"Ending Position")</f>
        <v>Ending Position</v>
      </c>
      <c r="K5" s="22" t="str">
        <f ca="1">IFERROR(__xludf.DUMMYFUNCTION("""COMPUTED_VALUE"""),"Ending Value")</f>
        <v>Ending Value</v>
      </c>
      <c r="L5" s="22" t="str">
        <f ca="1">IFERROR(__xludf.DUMMYFUNCTION("""COMPUTED_VALUE"""),"% Allocation")</f>
        <v>% Allocation</v>
      </c>
      <c r="M5" s="22" t="str">
        <f ca="1">IFERROR(__xludf.DUMMYFUNCTION("""COMPUTED_VALUE"""),"Fx Rate")</f>
        <v>Fx Rate</v>
      </c>
      <c r="N5" s="22" t="str">
        <f ca="1">IFERROR(__xludf.DUMMYFUNCTION("""COMPUTED_VALUE"""),"Starting BP")</f>
        <v>Starting BP</v>
      </c>
      <c r="O5" s="22" t="str">
        <f ca="1">IFERROR(__xludf.DUMMYFUNCTION("""COMPUTED_VALUE"""),"BP Change")</f>
        <v>BP Change</v>
      </c>
      <c r="P5" s="22" t="str">
        <f ca="1">IFERROR(__xludf.DUMMYFUNCTION("""COMPUTED_VALUE"""),"Ending BP")</f>
        <v>Ending BP</v>
      </c>
      <c r="Q5" s="22" t="str">
        <f ca="1">IFERROR(__xludf.DUMMYFUNCTION("""COMPUTED_VALUE"""),"MasterFund Name")</f>
        <v>MasterFund Name</v>
      </c>
      <c r="R5" s="22" t="str">
        <f ca="1">IFERROR(__xludf.DUMMYFUNCTION("""COMPUTED_VALUE"""),"MasterFund NAV")</f>
        <v>MasterFund NAV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6" t="s">
        <v>20</v>
      </c>
      <c r="C6" s="6">
        <v>623910</v>
      </c>
      <c r="D6" s="6">
        <v>-8913</v>
      </c>
      <c r="E6" s="6">
        <v>4456500</v>
      </c>
      <c r="F6" s="6">
        <v>714.29</v>
      </c>
      <c r="G6" s="6">
        <v>-598.79</v>
      </c>
      <c r="H6" s="6">
        <v>115.49</v>
      </c>
      <c r="I6" s="6">
        <v>7662</v>
      </c>
      <c r="J6" s="6">
        <v>-1251</v>
      </c>
      <c r="K6" s="6">
        <v>720576</v>
      </c>
      <c r="L6" s="6">
        <v>100</v>
      </c>
      <c r="M6" s="6">
        <v>1</v>
      </c>
      <c r="N6" s="5"/>
    </row>
    <row r="7" spans="1:154" ht="15.75" customHeight="1">
      <c r="A7" s="27"/>
      <c r="B7" s="6" t="s">
        <v>23</v>
      </c>
      <c r="C7" s="6">
        <v>80000</v>
      </c>
      <c r="D7" s="6">
        <v>0</v>
      </c>
      <c r="E7" s="6">
        <v>0</v>
      </c>
      <c r="F7" s="6">
        <v>0</v>
      </c>
      <c r="G7" s="6">
        <v>6.48</v>
      </c>
      <c r="H7" s="6">
        <v>6.48</v>
      </c>
      <c r="I7" s="6">
        <v>9</v>
      </c>
      <c r="J7" s="6">
        <v>-9</v>
      </c>
      <c r="K7" s="6">
        <v>5184</v>
      </c>
      <c r="L7" s="6">
        <v>100</v>
      </c>
      <c r="M7" s="6">
        <v>1</v>
      </c>
      <c r="N7" s="5"/>
    </row>
    <row r="8" spans="1:154" ht="15.75" customHeight="1">
      <c r="A8" s="5"/>
      <c r="B8" s="28"/>
      <c r="C8" s="29"/>
      <c r="D8" s="29"/>
      <c r="E8" s="29"/>
      <c r="F8" s="28"/>
      <c r="G8" s="28"/>
      <c r="H8" s="28"/>
      <c r="I8" s="29"/>
      <c r="J8" s="29"/>
      <c r="K8" s="29"/>
      <c r="L8" s="5"/>
      <c r="M8" s="5"/>
      <c r="N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11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18</v>
      </c>
      <c r="C6" s="7" t="s">
        <v>27</v>
      </c>
      <c r="D6" s="7" t="s">
        <v>28</v>
      </c>
      <c r="E6" s="7">
        <v>7</v>
      </c>
      <c r="F6" s="7">
        <v>576</v>
      </c>
      <c r="G6" s="7" t="s">
        <v>29</v>
      </c>
      <c r="H6" s="7" t="s">
        <v>30</v>
      </c>
      <c r="I6" s="7" t="s">
        <v>31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AJ1" workbookViewId="0">
      <selection activeCell="AK5" sqref="A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11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">
        <v>81</v>
      </c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18</v>
      </c>
      <c r="C6" s="7" t="s">
        <v>19</v>
      </c>
      <c r="D6" s="7">
        <v>9</v>
      </c>
      <c r="E6" s="7">
        <v>9</v>
      </c>
      <c r="F6" s="7" t="s">
        <v>23</v>
      </c>
      <c r="G6" s="7" t="s">
        <v>36</v>
      </c>
      <c r="H6" s="5"/>
      <c r="I6" s="7" t="s">
        <v>37</v>
      </c>
      <c r="J6" s="7">
        <v>576</v>
      </c>
      <c r="K6" s="5"/>
      <c r="L6" s="5"/>
      <c r="M6" s="5"/>
      <c r="N6" s="5"/>
      <c r="O6" s="5"/>
    </row>
    <row r="7" spans="1:154" ht="15.75" customHeight="1">
      <c r="A7" s="5"/>
      <c r="B7" s="7" t="s">
        <v>18</v>
      </c>
      <c r="C7" s="7" t="s">
        <v>38</v>
      </c>
      <c r="D7" s="7">
        <v>7662</v>
      </c>
      <c r="E7" s="7">
        <v>7662</v>
      </c>
      <c r="F7" s="7" t="s">
        <v>20</v>
      </c>
      <c r="G7" s="7" t="s">
        <v>36</v>
      </c>
      <c r="H7" s="5"/>
      <c r="I7" s="7" t="s">
        <v>37</v>
      </c>
      <c r="J7" s="7">
        <v>576</v>
      </c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11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 t="str">
        <f ca="1">IFERROR(__xludf.DUMMYFUNCTION("""COMPUTED_VALUE"""),"ReloadOrderFromBlotter")</f>
        <v>ReloadOrderFromBlotter</v>
      </c>
      <c r="BF4" s="20" t="str">
        <f ca="1">IFERROR(__xludf.DUMMYFUNCTION("""COMPUTED_VALUE"""),"ReloadOrderFromSubOrder")</f>
        <v>ReloadOrderFromSubOrder</v>
      </c>
      <c r="BG4" s="20" t="str">
        <f ca="1">IFERROR(__xludf.DUMMYFUNCTION("""COMPUTED_VALUE"""),"ReloadOrderFromWorkingSubs")</f>
        <v>ReloadOrderFromWorkingSubs</v>
      </c>
      <c r="BH4" s="20" t="str">
        <f ca="1">IFERROR(__xludf.DUMMYFUNCTION("""COMPUTED_VALUE"""),"SelectFills")</f>
        <v>SelectFills</v>
      </c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576</v>
      </c>
      <c r="E6" s="25"/>
      <c r="F6" s="7">
        <v>0</v>
      </c>
      <c r="G6" s="5"/>
      <c r="H6" s="7" t="s">
        <v>41</v>
      </c>
      <c r="I6" s="7" t="s">
        <v>42</v>
      </c>
      <c r="J6" s="7" t="s">
        <v>18</v>
      </c>
      <c r="K6" s="7" t="s">
        <v>43</v>
      </c>
      <c r="L6" s="5"/>
      <c r="M6" s="5"/>
      <c r="N6" s="5"/>
      <c r="O6" s="5"/>
      <c r="S6" s="6">
        <v>0</v>
      </c>
      <c r="T6" s="6">
        <v>0</v>
      </c>
      <c r="U6" s="6" t="s">
        <v>44</v>
      </c>
      <c r="AD6" s="6">
        <v>1</v>
      </c>
      <c r="AF6" s="6" t="s">
        <v>45</v>
      </c>
      <c r="AH6" s="6" t="s">
        <v>46</v>
      </c>
      <c r="AI6" s="6" t="s">
        <v>18</v>
      </c>
      <c r="AJ6" s="6" t="s">
        <v>19</v>
      </c>
      <c r="AK6" s="6" t="s">
        <v>47</v>
      </c>
      <c r="AL6" s="6">
        <v>9</v>
      </c>
      <c r="AM6" s="6">
        <v>9</v>
      </c>
      <c r="AN6" s="6">
        <v>100</v>
      </c>
      <c r="AO6" s="6">
        <v>9</v>
      </c>
      <c r="AQ6" s="6">
        <v>576</v>
      </c>
      <c r="AR6" s="6">
        <v>576</v>
      </c>
      <c r="AS6" s="6" t="s">
        <v>36</v>
      </c>
      <c r="AT6" s="6" t="s">
        <v>23</v>
      </c>
      <c r="AU6" s="6" t="s">
        <v>37</v>
      </c>
      <c r="AV6" s="30">
        <v>-5184</v>
      </c>
      <c r="AW6" s="30">
        <v>-5184</v>
      </c>
      <c r="AY6" s="6">
        <v>9</v>
      </c>
      <c r="AZ6" s="6">
        <v>0</v>
      </c>
      <c r="BA6" s="6" t="s">
        <v>42</v>
      </c>
    </row>
    <row r="7" spans="1:154" ht="15.75" customHeight="1">
      <c r="A7" s="5"/>
      <c r="B7" s="5"/>
      <c r="C7" s="5"/>
      <c r="D7" s="7">
        <v>20</v>
      </c>
      <c r="E7" s="5"/>
      <c r="F7" s="7">
        <v>0</v>
      </c>
      <c r="G7" s="5"/>
      <c r="H7" s="7" t="s">
        <v>41</v>
      </c>
      <c r="I7" s="7" t="s">
        <v>42</v>
      </c>
      <c r="J7" s="7" t="s">
        <v>21</v>
      </c>
      <c r="K7" s="7" t="s">
        <v>43</v>
      </c>
      <c r="L7" s="5"/>
      <c r="M7" s="5"/>
      <c r="N7" s="5"/>
      <c r="O7" s="5"/>
      <c r="S7" s="6">
        <v>0</v>
      </c>
      <c r="T7" s="6">
        <v>0</v>
      </c>
      <c r="U7" s="6" t="s">
        <v>44</v>
      </c>
      <c r="AD7" s="6">
        <v>1</v>
      </c>
      <c r="AF7" s="6" t="s">
        <v>45</v>
      </c>
      <c r="AH7" s="6" t="s">
        <v>46</v>
      </c>
      <c r="AI7" s="6" t="s">
        <v>21</v>
      </c>
      <c r="AJ7" s="6" t="s">
        <v>22</v>
      </c>
      <c r="AK7" s="6" t="s">
        <v>47</v>
      </c>
      <c r="AL7" s="6">
        <v>1000</v>
      </c>
      <c r="AM7" s="6">
        <v>1000</v>
      </c>
      <c r="AN7" s="6">
        <v>100</v>
      </c>
      <c r="AO7" s="6">
        <v>1000</v>
      </c>
      <c r="AQ7" s="6">
        <v>20</v>
      </c>
      <c r="AR7" s="6">
        <v>20</v>
      </c>
      <c r="AS7" s="6" t="s">
        <v>36</v>
      </c>
      <c r="AT7" s="6" t="s">
        <v>23</v>
      </c>
      <c r="AU7" s="6" t="s">
        <v>37</v>
      </c>
      <c r="AV7" s="30">
        <v>20000</v>
      </c>
      <c r="AW7" s="30">
        <v>20000</v>
      </c>
      <c r="AY7" s="30">
        <v>1000</v>
      </c>
      <c r="AZ7" s="6">
        <v>0</v>
      </c>
      <c r="BA7" s="6" t="s">
        <v>42</v>
      </c>
    </row>
    <row r="8" spans="1:154" ht="15.75" customHeight="1">
      <c r="A8" s="5"/>
      <c r="B8" s="5"/>
      <c r="C8" s="5"/>
      <c r="D8" s="7">
        <v>576</v>
      </c>
      <c r="E8" s="5"/>
      <c r="F8" s="7">
        <v>0</v>
      </c>
      <c r="G8" s="5"/>
      <c r="H8" s="7" t="s">
        <v>41</v>
      </c>
      <c r="I8" s="7" t="s">
        <v>42</v>
      </c>
      <c r="J8" s="7" t="s">
        <v>18</v>
      </c>
      <c r="K8" s="7" t="s">
        <v>43</v>
      </c>
      <c r="L8" s="5"/>
      <c r="M8" s="5"/>
      <c r="N8" s="5"/>
      <c r="O8" s="5"/>
      <c r="S8" s="6">
        <v>0</v>
      </c>
      <c r="T8" s="6">
        <v>0</v>
      </c>
      <c r="U8" s="6" t="s">
        <v>44</v>
      </c>
      <c r="AD8" s="6">
        <v>1</v>
      </c>
      <c r="AF8" s="6" t="s">
        <v>45</v>
      </c>
      <c r="AH8" s="6" t="s">
        <v>46</v>
      </c>
      <c r="AI8" s="6" t="s">
        <v>18</v>
      </c>
      <c r="AJ8" s="6" t="s">
        <v>38</v>
      </c>
      <c r="AK8" s="6" t="s">
        <v>47</v>
      </c>
      <c r="AL8" s="6">
        <v>7662</v>
      </c>
      <c r="AM8" s="6">
        <v>7662</v>
      </c>
      <c r="AN8" s="6">
        <v>100</v>
      </c>
      <c r="AO8" s="6">
        <v>7662</v>
      </c>
      <c r="AQ8" s="6">
        <v>576</v>
      </c>
      <c r="AR8" s="6">
        <v>576</v>
      </c>
      <c r="AS8" s="6" t="s">
        <v>36</v>
      </c>
      <c r="AT8" s="6" t="s">
        <v>20</v>
      </c>
      <c r="AU8" s="6" t="s">
        <v>37</v>
      </c>
      <c r="AV8" s="30">
        <v>4413312</v>
      </c>
      <c r="AW8" s="30">
        <v>4413312</v>
      </c>
      <c r="AY8" s="30">
        <v>7662</v>
      </c>
      <c r="AZ8" s="6">
        <v>0</v>
      </c>
      <c r="BA8" s="6" t="s">
        <v>42</v>
      </c>
    </row>
    <row r="9" spans="1:154" ht="15.75" customHeight="1">
      <c r="A9" s="5"/>
      <c r="B9" s="5"/>
      <c r="C9" s="5"/>
      <c r="D9" s="7">
        <v>570</v>
      </c>
      <c r="E9" s="5"/>
      <c r="F9" s="7">
        <v>0</v>
      </c>
      <c r="G9" s="5"/>
      <c r="H9" s="7" t="s">
        <v>41</v>
      </c>
      <c r="I9" s="7" t="s">
        <v>42</v>
      </c>
      <c r="J9" s="7" t="s">
        <v>18</v>
      </c>
      <c r="K9" s="7" t="s">
        <v>43</v>
      </c>
      <c r="L9" s="5"/>
      <c r="M9" s="5"/>
      <c r="N9" s="5"/>
      <c r="O9" s="5"/>
      <c r="S9" s="6">
        <v>0</v>
      </c>
      <c r="T9" s="6">
        <v>0</v>
      </c>
      <c r="U9" s="6" t="s">
        <v>44</v>
      </c>
      <c r="AD9" s="6">
        <v>1</v>
      </c>
      <c r="AF9" s="6" t="s">
        <v>45</v>
      </c>
      <c r="AH9" s="6" t="s">
        <v>46</v>
      </c>
      <c r="AI9" s="6" t="s">
        <v>18</v>
      </c>
      <c r="AJ9" s="6" t="s">
        <v>19</v>
      </c>
      <c r="AK9" s="6" t="s">
        <v>47</v>
      </c>
      <c r="AL9" s="6">
        <v>8913</v>
      </c>
      <c r="AM9" s="6">
        <v>8913</v>
      </c>
      <c r="AN9" s="6">
        <v>100</v>
      </c>
      <c r="AO9" s="6">
        <v>8913</v>
      </c>
      <c r="AQ9" s="6">
        <v>570</v>
      </c>
      <c r="AR9" s="6">
        <v>570</v>
      </c>
      <c r="AS9" s="6" t="s">
        <v>36</v>
      </c>
      <c r="AT9" s="6" t="s">
        <v>20</v>
      </c>
      <c r="AU9" s="6" t="s">
        <v>37</v>
      </c>
      <c r="AV9" s="30">
        <v>-5080410</v>
      </c>
      <c r="AW9" s="30">
        <v>-5080410</v>
      </c>
      <c r="AY9" s="30">
        <v>8913</v>
      </c>
      <c r="AZ9" s="6">
        <v>0</v>
      </c>
      <c r="BA9" s="6" t="s">
        <v>42</v>
      </c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11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48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50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11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48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1" t="s">
        <v>20</v>
      </c>
      <c r="C6" s="5"/>
      <c r="D6" s="32">
        <v>0</v>
      </c>
      <c r="E6" s="32">
        <v>8913</v>
      </c>
      <c r="F6" s="5"/>
      <c r="G6" s="33" t="s">
        <v>46</v>
      </c>
      <c r="H6" s="32">
        <v>4</v>
      </c>
      <c r="I6" s="32">
        <v>5</v>
      </c>
      <c r="J6" s="5"/>
      <c r="K6" s="32">
        <v>570</v>
      </c>
      <c r="L6" s="32">
        <v>570</v>
      </c>
      <c r="M6" s="5"/>
      <c r="N6" s="5"/>
      <c r="O6" s="7" t="s">
        <v>36</v>
      </c>
      <c r="Q6" s="32">
        <v>3</v>
      </c>
      <c r="R6" s="32">
        <v>0</v>
      </c>
      <c r="S6" s="33" t="s">
        <v>52</v>
      </c>
      <c r="T6" s="32">
        <v>0</v>
      </c>
      <c r="U6" s="32">
        <v>0</v>
      </c>
      <c r="Z6" s="33" t="s">
        <v>44</v>
      </c>
      <c r="AB6" s="32">
        <v>1</v>
      </c>
      <c r="AD6" s="33" t="s">
        <v>41</v>
      </c>
      <c r="AE6" s="32">
        <v>8913</v>
      </c>
      <c r="AH6" s="33" t="s">
        <v>45</v>
      </c>
      <c r="AI6" s="32">
        <v>1</v>
      </c>
      <c r="AN6" s="33" t="s">
        <v>53</v>
      </c>
      <c r="AP6" s="33" t="s">
        <v>54</v>
      </c>
      <c r="AQ6" s="33" t="s">
        <v>53</v>
      </c>
      <c r="AR6" s="33" t="s">
        <v>54</v>
      </c>
      <c r="AT6" s="32">
        <v>5080393.1550000003</v>
      </c>
      <c r="AU6" s="32">
        <v>5080393.1550000003</v>
      </c>
      <c r="AW6" s="32">
        <v>0</v>
      </c>
      <c r="AX6" s="32">
        <v>0</v>
      </c>
      <c r="AY6" s="33" t="s">
        <v>37</v>
      </c>
      <c r="AZ6" s="32">
        <v>0</v>
      </c>
      <c r="BC6" s="32">
        <v>0</v>
      </c>
      <c r="BE6" s="32">
        <v>5080410</v>
      </c>
      <c r="BF6" s="32">
        <v>5080410</v>
      </c>
      <c r="BJ6" s="32">
        <v>8913</v>
      </c>
      <c r="BK6" s="32">
        <v>0</v>
      </c>
      <c r="BM6" s="33" t="s">
        <v>44</v>
      </c>
      <c r="BO6" s="33" t="s">
        <v>19</v>
      </c>
      <c r="BP6" s="32">
        <v>0</v>
      </c>
      <c r="BQ6" s="32">
        <v>0</v>
      </c>
      <c r="BT6" s="33" t="s">
        <v>18</v>
      </c>
      <c r="BU6" s="32">
        <v>3</v>
      </c>
      <c r="BV6" s="32">
        <v>0</v>
      </c>
      <c r="BW6" s="32">
        <v>16.844999999999999</v>
      </c>
      <c r="BX6" s="32">
        <v>0</v>
      </c>
      <c r="CG6" s="32">
        <v>2</v>
      </c>
      <c r="CH6" s="33" t="s">
        <v>16</v>
      </c>
      <c r="CI6" s="33" t="s">
        <v>55</v>
      </c>
      <c r="CJ6" s="32">
        <v>0</v>
      </c>
      <c r="CK6" s="33" t="s">
        <v>43</v>
      </c>
      <c r="CN6" s="33" t="s">
        <v>42</v>
      </c>
      <c r="CO6" s="33" t="s">
        <v>41</v>
      </c>
    </row>
    <row r="7" spans="1:154" ht="15.75" customHeight="1">
      <c r="A7" s="5"/>
      <c r="B7" s="33" t="s">
        <v>20</v>
      </c>
      <c r="C7" s="5"/>
      <c r="D7" s="32">
        <v>0</v>
      </c>
      <c r="E7" s="32">
        <v>7662</v>
      </c>
      <c r="F7" s="5"/>
      <c r="G7" s="33" t="s">
        <v>46</v>
      </c>
      <c r="H7" s="32">
        <v>4</v>
      </c>
      <c r="I7" s="32">
        <v>5</v>
      </c>
      <c r="J7" s="5"/>
      <c r="K7" s="32">
        <v>576</v>
      </c>
      <c r="L7" s="32">
        <v>576</v>
      </c>
      <c r="M7" s="5"/>
      <c r="N7" s="5"/>
      <c r="O7" s="7" t="s">
        <v>36</v>
      </c>
      <c r="Q7" s="32">
        <v>3</v>
      </c>
      <c r="R7" s="32">
        <v>0</v>
      </c>
      <c r="S7" s="33" t="s">
        <v>52</v>
      </c>
      <c r="T7" s="32">
        <v>0</v>
      </c>
      <c r="U7" s="32">
        <v>0</v>
      </c>
      <c r="Z7" s="33" t="s">
        <v>44</v>
      </c>
      <c r="AB7" s="32">
        <v>1</v>
      </c>
      <c r="AD7" s="33" t="s">
        <v>41</v>
      </c>
      <c r="AE7" s="32">
        <v>7662</v>
      </c>
      <c r="AH7" s="33" t="s">
        <v>45</v>
      </c>
      <c r="AI7" s="32">
        <v>1</v>
      </c>
      <c r="AN7" s="33" t="s">
        <v>53</v>
      </c>
      <c r="AP7" s="33" t="s">
        <v>54</v>
      </c>
      <c r="AQ7" s="33" t="s">
        <v>53</v>
      </c>
      <c r="AR7" s="33" t="s">
        <v>54</v>
      </c>
      <c r="AT7" s="32">
        <v>4413328.4715</v>
      </c>
      <c r="AU7" s="32">
        <v>4413328.4715</v>
      </c>
      <c r="AW7" s="32">
        <v>0</v>
      </c>
      <c r="AX7" s="32">
        <v>0</v>
      </c>
      <c r="AY7" s="33" t="s">
        <v>37</v>
      </c>
      <c r="AZ7" s="32">
        <v>0</v>
      </c>
      <c r="BC7" s="32">
        <v>0</v>
      </c>
      <c r="BE7" s="32">
        <v>4413312</v>
      </c>
      <c r="BF7" s="32">
        <v>4413312</v>
      </c>
      <c r="BJ7" s="32">
        <v>7662</v>
      </c>
      <c r="BK7" s="32">
        <v>0</v>
      </c>
      <c r="BM7" s="33" t="s">
        <v>44</v>
      </c>
      <c r="BO7" s="33" t="s">
        <v>38</v>
      </c>
      <c r="BP7" s="32">
        <v>0</v>
      </c>
      <c r="BQ7" s="32">
        <v>0</v>
      </c>
      <c r="BT7" s="33" t="s">
        <v>18</v>
      </c>
      <c r="BU7" s="32">
        <v>3</v>
      </c>
      <c r="BV7" s="32">
        <v>0</v>
      </c>
      <c r="BW7" s="32">
        <v>16.471499999999999</v>
      </c>
      <c r="BX7" s="32">
        <v>0</v>
      </c>
      <c r="CG7" s="32">
        <v>2</v>
      </c>
      <c r="CH7" s="33" t="s">
        <v>25</v>
      </c>
      <c r="CI7" s="33" t="s">
        <v>56</v>
      </c>
      <c r="CJ7" s="32">
        <v>0</v>
      </c>
      <c r="CK7" s="33" t="s">
        <v>43</v>
      </c>
      <c r="CN7" s="33" t="s">
        <v>42</v>
      </c>
      <c r="CO7" s="33" t="s">
        <v>41</v>
      </c>
    </row>
    <row r="8" spans="1:154" ht="15.75" customHeight="1">
      <c r="A8" s="5"/>
      <c r="B8" s="33" t="s">
        <v>23</v>
      </c>
      <c r="C8" s="5"/>
      <c r="D8" s="32">
        <v>0</v>
      </c>
      <c r="E8" s="32">
        <v>1000</v>
      </c>
      <c r="F8" s="5"/>
      <c r="G8" s="33" t="s">
        <v>46</v>
      </c>
      <c r="H8" s="32">
        <v>4</v>
      </c>
      <c r="I8" s="32">
        <v>5</v>
      </c>
      <c r="J8" s="5"/>
      <c r="K8" s="32">
        <v>20</v>
      </c>
      <c r="L8" s="32">
        <v>20</v>
      </c>
      <c r="M8" s="5"/>
      <c r="N8" s="5"/>
      <c r="O8" s="7" t="s">
        <v>36</v>
      </c>
      <c r="Q8" s="32">
        <v>3</v>
      </c>
      <c r="R8" s="32">
        <v>0</v>
      </c>
      <c r="S8" s="33" t="s">
        <v>52</v>
      </c>
      <c r="T8" s="32">
        <v>0</v>
      </c>
      <c r="U8" s="32">
        <v>0</v>
      </c>
      <c r="Z8" s="33" t="s">
        <v>44</v>
      </c>
      <c r="AB8" s="32">
        <v>1</v>
      </c>
      <c r="AD8" s="33" t="s">
        <v>41</v>
      </c>
      <c r="AE8" s="32">
        <v>1000</v>
      </c>
      <c r="AH8" s="33" t="s">
        <v>45</v>
      </c>
      <c r="AI8" s="32">
        <v>1</v>
      </c>
      <c r="AN8" s="33" t="s">
        <v>53</v>
      </c>
      <c r="AP8" s="33" t="s">
        <v>54</v>
      </c>
      <c r="AQ8" s="33" t="s">
        <v>53</v>
      </c>
      <c r="AR8" s="33" t="s">
        <v>54</v>
      </c>
      <c r="AT8" s="32">
        <v>20014.011200000001</v>
      </c>
      <c r="AU8" s="32">
        <v>20014.011200000001</v>
      </c>
      <c r="AW8" s="32">
        <v>0</v>
      </c>
      <c r="AX8" s="32">
        <v>0</v>
      </c>
      <c r="AY8" s="33" t="s">
        <v>37</v>
      </c>
      <c r="AZ8" s="32">
        <v>0</v>
      </c>
      <c r="BC8" s="32">
        <v>0</v>
      </c>
      <c r="BE8" s="32">
        <v>20000</v>
      </c>
      <c r="BF8" s="32">
        <v>20000</v>
      </c>
      <c r="BJ8" s="32">
        <v>1000</v>
      </c>
      <c r="BK8" s="32">
        <v>0</v>
      </c>
      <c r="BM8" s="33" t="s">
        <v>44</v>
      </c>
      <c r="BO8" s="33" t="s">
        <v>22</v>
      </c>
      <c r="BP8" s="32">
        <v>0</v>
      </c>
      <c r="BQ8" s="32">
        <v>0</v>
      </c>
      <c r="BT8" s="33" t="s">
        <v>21</v>
      </c>
      <c r="BU8" s="32">
        <v>3</v>
      </c>
      <c r="BV8" s="32">
        <v>0</v>
      </c>
      <c r="BW8" s="32">
        <v>14.011200000000001</v>
      </c>
      <c r="BX8" s="32">
        <v>0</v>
      </c>
      <c r="CG8" s="32">
        <v>2</v>
      </c>
      <c r="CH8" s="33" t="s">
        <v>16</v>
      </c>
      <c r="CI8" s="33" t="s">
        <v>22</v>
      </c>
      <c r="CJ8" s="32">
        <v>0</v>
      </c>
      <c r="CK8" s="33" t="s">
        <v>43</v>
      </c>
      <c r="CN8" s="33" t="s">
        <v>42</v>
      </c>
      <c r="CO8" s="33" t="s">
        <v>41</v>
      </c>
    </row>
    <row r="9" spans="1:154" ht="15.75" customHeight="1">
      <c r="A9" s="5"/>
      <c r="B9" s="33" t="s">
        <v>23</v>
      </c>
      <c r="C9" s="5"/>
      <c r="D9" s="32">
        <v>0</v>
      </c>
      <c r="E9" s="32">
        <v>9</v>
      </c>
      <c r="F9" s="5"/>
      <c r="G9" s="33" t="s">
        <v>46</v>
      </c>
      <c r="H9" s="32">
        <v>4</v>
      </c>
      <c r="I9" s="32">
        <v>5</v>
      </c>
      <c r="J9" s="5"/>
      <c r="K9" s="32">
        <v>576</v>
      </c>
      <c r="L9" s="32">
        <v>576</v>
      </c>
      <c r="M9" s="5"/>
      <c r="N9" s="5"/>
      <c r="O9" s="7" t="s">
        <v>36</v>
      </c>
      <c r="Q9" s="32">
        <v>3</v>
      </c>
      <c r="R9" s="32">
        <v>0</v>
      </c>
      <c r="S9" s="33" t="s">
        <v>52</v>
      </c>
      <c r="T9" s="32">
        <v>0</v>
      </c>
      <c r="U9" s="32">
        <v>0</v>
      </c>
      <c r="Z9" s="33" t="s">
        <v>44</v>
      </c>
      <c r="AB9" s="32">
        <v>1</v>
      </c>
      <c r="AD9" s="33" t="s">
        <v>41</v>
      </c>
      <c r="AE9" s="32">
        <v>9</v>
      </c>
      <c r="AH9" s="33" t="s">
        <v>45</v>
      </c>
      <c r="AI9" s="32">
        <v>1</v>
      </c>
      <c r="AN9" s="33" t="s">
        <v>53</v>
      </c>
      <c r="AP9" s="33" t="s">
        <v>54</v>
      </c>
      <c r="AQ9" s="33" t="s">
        <v>53</v>
      </c>
      <c r="AR9" s="33" t="s">
        <v>54</v>
      </c>
      <c r="AT9" s="32">
        <v>5169.9970999999996</v>
      </c>
      <c r="AU9" s="32">
        <v>5169.9970999999996</v>
      </c>
      <c r="AW9" s="32">
        <v>0</v>
      </c>
      <c r="AX9" s="32">
        <v>0</v>
      </c>
      <c r="AY9" s="33" t="s">
        <v>37</v>
      </c>
      <c r="AZ9" s="32">
        <v>0</v>
      </c>
      <c r="BC9" s="32">
        <v>0</v>
      </c>
      <c r="BE9" s="32">
        <v>5184</v>
      </c>
      <c r="BF9" s="32">
        <v>5184</v>
      </c>
      <c r="BJ9" s="32">
        <v>9</v>
      </c>
      <c r="BK9" s="32">
        <v>0</v>
      </c>
      <c r="BM9" s="33" t="s">
        <v>44</v>
      </c>
      <c r="BO9" s="33" t="s">
        <v>19</v>
      </c>
      <c r="BP9" s="32">
        <v>0</v>
      </c>
      <c r="BQ9" s="32">
        <v>0</v>
      </c>
      <c r="BT9" s="33" t="s">
        <v>18</v>
      </c>
      <c r="BU9" s="32">
        <v>3</v>
      </c>
      <c r="BV9" s="32">
        <v>0</v>
      </c>
      <c r="BW9" s="32">
        <v>14.0029</v>
      </c>
      <c r="BX9" s="32">
        <v>0</v>
      </c>
      <c r="CG9" s="32">
        <v>2</v>
      </c>
      <c r="CH9" s="33" t="s">
        <v>25</v>
      </c>
      <c r="CI9" s="33" t="s">
        <v>55</v>
      </c>
      <c r="CJ9" s="32">
        <v>0</v>
      </c>
      <c r="CK9" s="33" t="s">
        <v>43</v>
      </c>
      <c r="CN9" s="33" t="s">
        <v>42</v>
      </c>
      <c r="CO9" s="33" t="s">
        <v>41</v>
      </c>
    </row>
    <row r="10" spans="1:154" ht="15.75" customHeight="1">
      <c r="A10" s="5"/>
      <c r="B10" s="33"/>
      <c r="C10" s="5"/>
      <c r="D10" s="33"/>
      <c r="E10" s="5"/>
      <c r="F10" s="5"/>
      <c r="G10" s="33"/>
      <c r="H10" s="33"/>
      <c r="I10" s="5"/>
      <c r="J10" s="5"/>
      <c r="K10" s="33"/>
      <c r="L10" s="33"/>
      <c r="M10" s="5"/>
      <c r="N10" s="5"/>
      <c r="O10" s="5"/>
      <c r="R10" s="33"/>
      <c r="S10" s="33"/>
      <c r="T10" s="33"/>
      <c r="U10" s="33"/>
      <c r="Z10" s="33"/>
      <c r="AD10" s="33"/>
      <c r="AE10" s="33"/>
      <c r="AH10" s="33"/>
      <c r="AI10" s="33"/>
      <c r="AN10" s="33"/>
      <c r="AW10" s="33"/>
      <c r="AX10" s="33"/>
      <c r="AY10" s="33"/>
      <c r="BC10" s="33"/>
      <c r="BO10" s="33"/>
      <c r="BP10" s="33"/>
      <c r="BQ10" s="33"/>
      <c r="BU10" s="33"/>
      <c r="BW10" s="33"/>
      <c r="BX10" s="33"/>
      <c r="CI10" s="33"/>
      <c r="CN10" s="33"/>
      <c r="CO10" s="33"/>
    </row>
    <row r="11" spans="1:154" ht="15.75" customHeight="1">
      <c r="A11" s="5"/>
      <c r="B11" s="33"/>
      <c r="C11" s="5"/>
      <c r="D11" s="33"/>
      <c r="E11" s="5"/>
      <c r="F11" s="5"/>
      <c r="G11" s="33"/>
      <c r="H11" s="5"/>
      <c r="I11" s="5"/>
      <c r="J11" s="5"/>
      <c r="K11" s="5"/>
      <c r="L11" s="5"/>
      <c r="M11" s="5"/>
      <c r="N11" s="5"/>
      <c r="O11" s="5"/>
      <c r="T11" s="33"/>
      <c r="U11" s="33"/>
      <c r="AI11" s="33"/>
      <c r="BC11" s="33"/>
      <c r="BP11" s="33"/>
      <c r="BU11" s="33"/>
      <c r="BW11" s="33"/>
    </row>
    <row r="12" spans="1:154" ht="15.75" customHeight="1">
      <c r="A12" s="5"/>
      <c r="B12" s="5"/>
      <c r="C12" s="5"/>
      <c r="D12" s="5"/>
      <c r="E12" s="5"/>
      <c r="F12" s="5"/>
      <c r="G12" s="33"/>
      <c r="H12" s="5"/>
      <c r="I12" s="5"/>
      <c r="J12" s="5"/>
      <c r="K12" s="5"/>
      <c r="L12" s="5"/>
      <c r="M12" s="5"/>
      <c r="N12" s="5"/>
      <c r="O12" s="5"/>
      <c r="AI12" s="33"/>
      <c r="BC12" s="33"/>
      <c r="BP12" s="33"/>
    </row>
    <row r="13" spans="1:154" ht="15.75" customHeight="1">
      <c r="A13" s="5"/>
      <c r="B13" s="5"/>
      <c r="C13" s="5"/>
      <c r="D13" s="5"/>
      <c r="E13" s="5"/>
      <c r="F13" s="5"/>
      <c r="G13" s="33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Q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4" width="14.42578125" customWidth="1"/>
    <col min="15" max="15" width="22.85546875" customWidth="1"/>
    <col min="16" max="35" width="14.42578125" customWidth="1"/>
    <col min="36" max="36" width="25.28515625" customWidth="1"/>
    <col min="37" max="129" width="14.42578125" customWidth="1"/>
    <col min="130" max="130" width="24.28515625" customWidth="1"/>
    <col min="131" max="173" width="14.42578125" customWidth="1"/>
  </cols>
  <sheetData>
    <row r="1" spans="1:173" ht="15.75" customHeight="1">
      <c r="A1" s="13"/>
      <c r="B1" s="38" t="s">
        <v>11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</row>
    <row r="2" spans="1:173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73" ht="15.75" customHeight="1">
      <c r="A3" s="16"/>
      <c r="B3" s="2" t="s">
        <v>8</v>
      </c>
      <c r="C3" s="17" t="s">
        <v>57</v>
      </c>
      <c r="D3" s="2" t="s">
        <v>9</v>
      </c>
      <c r="E3" s="17" t="s">
        <v>58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</row>
    <row r="4" spans="1:173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 t="str">
        <f ca="1">IFERROR(__xludf.DUMMYFUNCTION("""COMPUTED_VALUE"""),"IncreasePositionFromPM")</f>
        <v>IncreasePositionFromPM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</row>
    <row r="5" spans="1:173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 t="str">
        <f ca="1">IFERROR(__xludf.DUMMYFUNCTION("""COMPUTED_VALUE"""),"ITM/OTM")</f>
        <v>ITM/OTM</v>
      </c>
      <c r="FD5" s="24" t="str">
        <f ca="1">IFERROR(__xludf.DUMMYFUNCTION("""COMPUTED_VALUE"""),"Days to Expiry")</f>
        <v>Days to Expiry</v>
      </c>
      <c r="FE5" s="24" t="str">
        <f ca="1">IFERROR(__xludf.DUMMYFUNCTION("""COMPUTED_VALUE"""),"% of Underlying Price")</f>
        <v>% of Underlying Price</v>
      </c>
      <c r="FF5" s="24" t="str">
        <f ca="1">IFERROR(__xludf.DUMMYFUNCTION("""COMPUTED_VALUE"""),"Intrinsic value")</f>
        <v>Intrinsic value</v>
      </c>
      <c r="FG5" s="24" t="str">
        <f ca="1">IFERROR(__xludf.DUMMYFUNCTION("""COMPUTED_VALUE"""),"Gain/Loss if Ex./Assign")</f>
        <v>Gain/Loss if Ex./Assign</v>
      </c>
      <c r="FH5" s="24"/>
      <c r="FI5" s="24"/>
      <c r="FJ5" s="24"/>
      <c r="FK5" s="24"/>
      <c r="FL5" s="24"/>
      <c r="FM5" s="24"/>
      <c r="FN5" s="24"/>
      <c r="FO5" s="24"/>
      <c r="FP5" s="24"/>
      <c r="FQ5" s="24"/>
    </row>
    <row r="6" spans="1:173" ht="15.75" customHeight="1">
      <c r="A6" s="7"/>
      <c r="B6" s="7"/>
      <c r="C6" s="33" t="s">
        <v>18</v>
      </c>
      <c r="D6" s="34">
        <v>-8913</v>
      </c>
      <c r="E6" s="33" t="s">
        <v>20</v>
      </c>
      <c r="F6" s="5"/>
      <c r="G6" s="34">
        <v>570</v>
      </c>
      <c r="H6" s="33" t="s">
        <v>59</v>
      </c>
      <c r="I6" s="34">
        <v>-4456500</v>
      </c>
      <c r="J6" s="5"/>
      <c r="K6" s="34">
        <v>-4456500</v>
      </c>
      <c r="L6" s="5"/>
      <c r="M6" s="5"/>
      <c r="N6" s="34">
        <v>623910</v>
      </c>
      <c r="O6" s="33" t="s">
        <v>60</v>
      </c>
      <c r="P6" s="34" t="s">
        <v>61</v>
      </c>
      <c r="Q6" s="34">
        <v>623910</v>
      </c>
      <c r="R6" s="33" t="s">
        <v>62</v>
      </c>
      <c r="S6" s="33" t="s">
        <v>63</v>
      </c>
      <c r="T6" s="33" t="s">
        <v>46</v>
      </c>
      <c r="U6" s="33" t="s">
        <v>43</v>
      </c>
      <c r="V6" s="33" t="s">
        <v>41</v>
      </c>
      <c r="W6" s="33" t="s">
        <v>44</v>
      </c>
      <c r="Y6" s="34">
        <v>1</v>
      </c>
      <c r="AB6" s="34">
        <v>0</v>
      </c>
      <c r="AC6" s="34">
        <v>0</v>
      </c>
      <c r="AD6" s="34">
        <v>-4456500</v>
      </c>
      <c r="AE6" s="34">
        <v>-4456500</v>
      </c>
      <c r="AF6" s="34">
        <v>-8913</v>
      </c>
      <c r="AG6" s="34">
        <v>-4456500</v>
      </c>
      <c r="AH6" s="34">
        <v>-4456500</v>
      </c>
      <c r="AI6" s="35">
        <v>-4456500</v>
      </c>
      <c r="AJ6" s="35">
        <v>-364444.48</v>
      </c>
      <c r="AK6" s="34">
        <v>623910</v>
      </c>
      <c r="AL6" s="34">
        <v>1</v>
      </c>
      <c r="AM6" s="34">
        <v>1</v>
      </c>
      <c r="AN6" s="33" t="s">
        <v>19</v>
      </c>
      <c r="AP6" s="33" t="s">
        <v>59</v>
      </c>
      <c r="AQ6" s="33" t="s">
        <v>18</v>
      </c>
      <c r="AR6" s="34">
        <v>500</v>
      </c>
      <c r="AS6" s="34">
        <v>-1</v>
      </c>
      <c r="AT6" s="33" t="s">
        <v>64</v>
      </c>
      <c r="AU6" s="33" t="s">
        <v>65</v>
      </c>
      <c r="AV6" s="34" t="s">
        <v>66</v>
      </c>
      <c r="AW6" s="34">
        <v>623910</v>
      </c>
      <c r="AX6" s="34">
        <v>0</v>
      </c>
      <c r="AY6" s="34">
        <v>0</v>
      </c>
      <c r="AZ6" s="34">
        <v>-4456500</v>
      </c>
      <c r="BA6" s="35">
        <v>12.28</v>
      </c>
      <c r="BC6" s="34">
        <v>1</v>
      </c>
      <c r="BD6" s="34">
        <v>5080410</v>
      </c>
      <c r="BE6" s="33" t="s">
        <v>46</v>
      </c>
      <c r="BF6" s="33" t="s">
        <v>67</v>
      </c>
      <c r="BG6" s="33" t="s">
        <v>67</v>
      </c>
      <c r="BH6" s="33" t="s">
        <v>67</v>
      </c>
      <c r="BI6" s="33" t="s">
        <v>67</v>
      </c>
      <c r="BJ6" s="34">
        <v>0</v>
      </c>
      <c r="BK6" s="34">
        <v>0</v>
      </c>
      <c r="BL6" s="34">
        <v>0</v>
      </c>
      <c r="BM6" s="34">
        <v>0</v>
      </c>
      <c r="BO6" s="34">
        <v>5080410</v>
      </c>
      <c r="BP6" s="34">
        <v>0</v>
      </c>
      <c r="BQ6" s="33" t="s">
        <v>42</v>
      </c>
      <c r="BR6" s="33" t="s">
        <v>36</v>
      </c>
      <c r="BS6" s="34">
        <v>0</v>
      </c>
      <c r="BT6" s="34">
        <v>0</v>
      </c>
      <c r="BU6" s="33" t="s">
        <v>46</v>
      </c>
      <c r="BW6" s="34">
        <v>0</v>
      </c>
      <c r="BX6" s="34">
        <v>4456500</v>
      </c>
      <c r="BY6" s="34">
        <v>4456500</v>
      </c>
      <c r="BZ6" s="34">
        <v>500</v>
      </c>
      <c r="CA6" s="34">
        <v>500</v>
      </c>
      <c r="CC6" s="34">
        <v>0</v>
      </c>
      <c r="CD6" s="34">
        <v>623910</v>
      </c>
      <c r="CE6" s="34">
        <v>0</v>
      </c>
      <c r="CF6" s="34">
        <v>0</v>
      </c>
      <c r="CG6" s="34">
        <v>623910</v>
      </c>
      <c r="CH6" s="35">
        <v>12.28</v>
      </c>
      <c r="CI6" s="34">
        <v>0</v>
      </c>
      <c r="CJ6" s="34">
        <v>0</v>
      </c>
      <c r="CK6" s="36" t="b">
        <v>0</v>
      </c>
      <c r="CS6" s="34">
        <v>570</v>
      </c>
      <c r="CY6" s="33" t="s">
        <v>68</v>
      </c>
      <c r="CZ6" s="33" t="s">
        <v>69</v>
      </c>
      <c r="DA6" s="34">
        <v>4456500</v>
      </c>
      <c r="DB6" s="35">
        <v>-14</v>
      </c>
      <c r="DC6" s="34"/>
      <c r="DD6" s="34">
        <v>-8913</v>
      </c>
      <c r="DE6" s="34">
        <v>0</v>
      </c>
      <c r="DF6" s="34">
        <v>0</v>
      </c>
      <c r="DG6" s="34">
        <v>0</v>
      </c>
      <c r="DH6" s="34" t="s">
        <v>61</v>
      </c>
      <c r="DI6" s="34">
        <v>0</v>
      </c>
      <c r="DJ6" s="33" t="s">
        <v>19</v>
      </c>
      <c r="DK6" s="34">
        <v>0</v>
      </c>
      <c r="DL6" s="34">
        <v>0</v>
      </c>
      <c r="DM6" s="34">
        <v>1</v>
      </c>
      <c r="DN6" s="34">
        <v>500</v>
      </c>
      <c r="DP6" s="33" t="s">
        <v>59</v>
      </c>
      <c r="DQ6" s="33" t="s">
        <v>67</v>
      </c>
      <c r="DR6" s="33" t="s">
        <v>70</v>
      </c>
      <c r="DS6" s="33" t="s">
        <v>67</v>
      </c>
      <c r="DT6" s="33" t="s">
        <v>67</v>
      </c>
      <c r="DU6" s="33" t="s">
        <v>67</v>
      </c>
      <c r="DV6" s="33" t="s">
        <v>67</v>
      </c>
      <c r="DW6" s="33" t="s">
        <v>67</v>
      </c>
      <c r="DX6" s="33" t="s">
        <v>67</v>
      </c>
      <c r="DY6" s="33" t="s">
        <v>67</v>
      </c>
      <c r="DZ6" s="33" t="s">
        <v>60</v>
      </c>
      <c r="EA6" s="33" t="s">
        <v>71</v>
      </c>
      <c r="EB6" s="33" t="s">
        <v>67</v>
      </c>
      <c r="EC6" s="33" t="s">
        <v>67</v>
      </c>
      <c r="ED6" s="33" t="s">
        <v>44</v>
      </c>
      <c r="EE6" s="33" t="s">
        <v>71</v>
      </c>
      <c r="EF6" s="34">
        <v>0</v>
      </c>
      <c r="EG6" s="35">
        <v>-3644.44</v>
      </c>
      <c r="EH6" s="35">
        <v>3644.44</v>
      </c>
      <c r="EI6" s="35">
        <v>-3644.44</v>
      </c>
      <c r="EJ6" s="35">
        <v>515.20000000000005</v>
      </c>
      <c r="EK6" s="35">
        <v>515.20000000000005</v>
      </c>
      <c r="EL6" s="33" t="s">
        <v>59</v>
      </c>
      <c r="EM6" s="34">
        <v>630000</v>
      </c>
      <c r="EN6" s="34">
        <v>630000</v>
      </c>
      <c r="EO6" s="34">
        <v>0</v>
      </c>
      <c r="EQ6" s="35">
        <v>3644.44</v>
      </c>
      <c r="ER6" s="34">
        <v>630000</v>
      </c>
      <c r="ES6" s="34"/>
      <c r="ET6" s="35">
        <v>510.22</v>
      </c>
      <c r="EU6" s="35">
        <v>-3644.44</v>
      </c>
      <c r="EV6" s="33" t="s">
        <v>59</v>
      </c>
    </row>
    <row r="7" spans="1:173" ht="15.75" customHeight="1">
      <c r="A7" s="5"/>
      <c r="B7" s="5"/>
      <c r="C7" s="33" t="s">
        <v>18</v>
      </c>
      <c r="D7" s="34">
        <v>7662</v>
      </c>
      <c r="E7" s="33" t="s">
        <v>20</v>
      </c>
      <c r="F7" s="5"/>
      <c r="G7" s="34">
        <v>576</v>
      </c>
      <c r="H7" s="33" t="s">
        <v>59</v>
      </c>
      <c r="I7" s="34">
        <v>3831000</v>
      </c>
      <c r="J7" s="5"/>
      <c r="K7" s="34">
        <v>3831000</v>
      </c>
      <c r="L7" s="5"/>
      <c r="M7" s="5"/>
      <c r="N7" s="34">
        <v>-582312</v>
      </c>
      <c r="O7" s="33" t="s">
        <v>60</v>
      </c>
      <c r="P7" s="34" t="s">
        <v>61</v>
      </c>
      <c r="Q7" s="34">
        <v>-582312</v>
      </c>
      <c r="R7" s="33" t="s">
        <v>62</v>
      </c>
      <c r="S7" s="33" t="s">
        <v>63</v>
      </c>
      <c r="T7" s="33" t="s">
        <v>46</v>
      </c>
      <c r="U7" s="33" t="s">
        <v>43</v>
      </c>
      <c r="V7" s="33" t="s">
        <v>41</v>
      </c>
      <c r="W7" s="33" t="s">
        <v>44</v>
      </c>
      <c r="Y7" s="34">
        <v>1</v>
      </c>
      <c r="AB7" s="34">
        <v>0</v>
      </c>
      <c r="AC7" s="34">
        <v>0</v>
      </c>
      <c r="AD7" s="34">
        <v>3831000</v>
      </c>
      <c r="AE7" s="34">
        <v>3831000</v>
      </c>
      <c r="AF7" s="34">
        <v>7662</v>
      </c>
      <c r="AG7" s="34">
        <v>3831000</v>
      </c>
      <c r="AH7" s="34">
        <v>3831000</v>
      </c>
      <c r="AI7" s="34">
        <v>3831000</v>
      </c>
      <c r="AJ7" s="35">
        <v>313292.23</v>
      </c>
      <c r="AK7" s="34">
        <v>-582312</v>
      </c>
      <c r="AL7" s="34">
        <v>1</v>
      </c>
      <c r="AM7" s="34">
        <v>1</v>
      </c>
      <c r="AN7" s="33" t="s">
        <v>38</v>
      </c>
      <c r="AP7" s="33" t="s">
        <v>59</v>
      </c>
      <c r="AQ7" s="33" t="s">
        <v>18</v>
      </c>
      <c r="AR7" s="34">
        <v>500</v>
      </c>
      <c r="AS7" s="34">
        <v>1</v>
      </c>
      <c r="AT7" s="33" t="s">
        <v>72</v>
      </c>
      <c r="AU7" s="33" t="s">
        <v>72</v>
      </c>
      <c r="AV7" s="34" t="s">
        <v>66</v>
      </c>
      <c r="AW7" s="34">
        <v>-582312</v>
      </c>
      <c r="AX7" s="34">
        <v>0</v>
      </c>
      <c r="AY7" s="34">
        <v>0</v>
      </c>
      <c r="AZ7" s="34">
        <v>3831000</v>
      </c>
      <c r="BA7" s="35">
        <v>-13.19</v>
      </c>
      <c r="BC7" s="34">
        <v>1</v>
      </c>
      <c r="BD7" s="34">
        <v>-4413312</v>
      </c>
      <c r="BE7" s="33" t="s">
        <v>46</v>
      </c>
      <c r="BF7" s="33" t="s">
        <v>67</v>
      </c>
      <c r="BG7" s="33" t="s">
        <v>67</v>
      </c>
      <c r="BH7" s="33" t="s">
        <v>67</v>
      </c>
      <c r="BI7" s="33" t="s">
        <v>67</v>
      </c>
      <c r="BJ7" s="34">
        <v>0</v>
      </c>
      <c r="BK7" s="34">
        <v>0</v>
      </c>
      <c r="BL7" s="34">
        <v>0</v>
      </c>
      <c r="BM7" s="34">
        <v>0</v>
      </c>
      <c r="BO7" s="34">
        <v>-4413312</v>
      </c>
      <c r="BP7" s="34">
        <v>0</v>
      </c>
      <c r="BQ7" s="33" t="s">
        <v>42</v>
      </c>
      <c r="BR7" s="33" t="s">
        <v>36</v>
      </c>
      <c r="BS7" s="34">
        <v>0</v>
      </c>
      <c r="BT7" s="34">
        <v>0</v>
      </c>
      <c r="BU7" s="33" t="s">
        <v>46</v>
      </c>
      <c r="BW7" s="34">
        <v>0</v>
      </c>
      <c r="BX7" s="34">
        <v>3831000</v>
      </c>
      <c r="BY7" s="34">
        <v>3831000</v>
      </c>
      <c r="BZ7" s="34">
        <v>500</v>
      </c>
      <c r="CA7" s="34">
        <v>500</v>
      </c>
      <c r="CC7" s="34">
        <v>0</v>
      </c>
      <c r="CD7" s="34">
        <v>-582312</v>
      </c>
      <c r="CE7" s="34">
        <v>0</v>
      </c>
      <c r="CF7" s="34">
        <v>0</v>
      </c>
      <c r="CG7" s="34">
        <v>-582312</v>
      </c>
      <c r="CH7" s="35">
        <v>-13.19</v>
      </c>
      <c r="CI7" s="34">
        <v>0</v>
      </c>
      <c r="CJ7" s="34">
        <v>0</v>
      </c>
      <c r="CK7" s="36" t="b">
        <v>0</v>
      </c>
      <c r="CS7" s="34">
        <v>576</v>
      </c>
      <c r="CY7" s="33" t="s">
        <v>68</v>
      </c>
      <c r="CZ7" s="33" t="s">
        <v>69</v>
      </c>
      <c r="DA7" s="34">
        <v>3831000</v>
      </c>
      <c r="DB7" s="35">
        <v>-15.2</v>
      </c>
      <c r="DC7" s="34"/>
      <c r="DD7" s="34">
        <v>7662</v>
      </c>
      <c r="DE7" s="34">
        <v>0</v>
      </c>
      <c r="DF7" s="34">
        <v>0</v>
      </c>
      <c r="DG7" s="34">
        <v>0</v>
      </c>
      <c r="DH7" s="34" t="s">
        <v>61</v>
      </c>
      <c r="DI7" s="34">
        <v>0</v>
      </c>
      <c r="DJ7" s="33" t="s">
        <v>38</v>
      </c>
      <c r="DK7" s="34">
        <v>0</v>
      </c>
      <c r="DL7" s="34">
        <v>0</v>
      </c>
      <c r="DM7" s="34">
        <v>1</v>
      </c>
      <c r="DN7" s="34">
        <v>500</v>
      </c>
      <c r="DP7" s="33" t="s">
        <v>59</v>
      </c>
      <c r="DQ7" s="33" t="s">
        <v>67</v>
      </c>
      <c r="DR7" s="33" t="s">
        <v>70</v>
      </c>
      <c r="DS7" s="33" t="s">
        <v>67</v>
      </c>
      <c r="DT7" s="33" t="s">
        <v>67</v>
      </c>
      <c r="DU7" s="33" t="s">
        <v>67</v>
      </c>
      <c r="DV7" s="33" t="s">
        <v>67</v>
      </c>
      <c r="DW7" s="33" t="s">
        <v>67</v>
      </c>
      <c r="DX7" s="33" t="s">
        <v>67</v>
      </c>
      <c r="DY7" s="33" t="s">
        <v>67</v>
      </c>
      <c r="DZ7" s="33" t="s">
        <v>60</v>
      </c>
      <c r="EA7" s="33" t="s">
        <v>71</v>
      </c>
      <c r="EB7" s="33" t="s">
        <v>67</v>
      </c>
      <c r="EC7" s="33" t="s">
        <v>67</v>
      </c>
      <c r="ED7" s="33" t="s">
        <v>44</v>
      </c>
      <c r="EE7" s="33" t="s">
        <v>71</v>
      </c>
      <c r="EF7" s="34">
        <v>0</v>
      </c>
      <c r="EG7" s="35">
        <v>3132.92</v>
      </c>
      <c r="EH7" s="35">
        <v>3132.92</v>
      </c>
      <c r="EI7" s="35">
        <v>3132.92</v>
      </c>
      <c r="EJ7" s="35">
        <v>515.20000000000005</v>
      </c>
      <c r="EK7" s="35">
        <v>515.20000000000005</v>
      </c>
      <c r="EL7" s="33" t="s">
        <v>59</v>
      </c>
      <c r="EM7" s="34">
        <v>630000</v>
      </c>
      <c r="EN7" s="34">
        <v>630000</v>
      </c>
      <c r="EO7" s="34">
        <v>0</v>
      </c>
      <c r="EQ7" s="35">
        <v>3132.92</v>
      </c>
      <c r="ER7" s="34">
        <v>630000</v>
      </c>
      <c r="ES7" s="34"/>
      <c r="ET7" s="35">
        <v>-476.2</v>
      </c>
      <c r="EU7" s="35">
        <v>3132.92</v>
      </c>
      <c r="EV7" s="33" t="s">
        <v>59</v>
      </c>
    </row>
    <row r="8" spans="1:173" ht="15.75" customHeight="1">
      <c r="A8" s="5"/>
      <c r="B8" s="5"/>
      <c r="C8" s="33" t="s">
        <v>21</v>
      </c>
      <c r="D8" s="34">
        <v>1000</v>
      </c>
      <c r="E8" s="33" t="s">
        <v>23</v>
      </c>
      <c r="F8" s="5"/>
      <c r="G8" s="34">
        <v>20</v>
      </c>
      <c r="H8" s="33" t="s">
        <v>73</v>
      </c>
      <c r="I8" s="34">
        <v>100000</v>
      </c>
      <c r="J8" s="5"/>
      <c r="K8" s="34">
        <v>100000</v>
      </c>
      <c r="L8" s="5"/>
      <c r="M8" s="5"/>
      <c r="N8" s="34">
        <v>80000</v>
      </c>
      <c r="O8" s="33" t="s">
        <v>74</v>
      </c>
      <c r="P8" s="34" t="s">
        <v>61</v>
      </c>
      <c r="Q8" s="34">
        <v>80000</v>
      </c>
      <c r="R8" s="33" t="s">
        <v>36</v>
      </c>
      <c r="S8" s="33" t="s">
        <v>63</v>
      </c>
      <c r="T8" s="33" t="s">
        <v>46</v>
      </c>
      <c r="U8" s="33" t="s">
        <v>43</v>
      </c>
      <c r="V8" s="33" t="s">
        <v>41</v>
      </c>
      <c r="W8" s="33" t="s">
        <v>44</v>
      </c>
      <c r="Y8" s="34">
        <v>1</v>
      </c>
      <c r="AB8" s="34">
        <v>0</v>
      </c>
      <c r="AC8" s="34">
        <v>0</v>
      </c>
      <c r="AD8" s="34">
        <v>100000</v>
      </c>
      <c r="AE8" s="34">
        <v>100000</v>
      </c>
      <c r="AF8" s="34">
        <v>1000</v>
      </c>
      <c r="AG8" s="34">
        <v>100000</v>
      </c>
      <c r="AH8" s="34">
        <v>100000</v>
      </c>
      <c r="AI8" s="34">
        <v>100000</v>
      </c>
      <c r="AJ8" s="35">
        <v>8177.82</v>
      </c>
      <c r="AK8" s="34">
        <v>80000</v>
      </c>
      <c r="AL8" s="34">
        <v>1</v>
      </c>
      <c r="AM8" s="34">
        <v>1</v>
      </c>
      <c r="AN8" s="33" t="s">
        <v>22</v>
      </c>
      <c r="AP8" s="33" t="s">
        <v>73</v>
      </c>
      <c r="AQ8" s="33" t="s">
        <v>21</v>
      </c>
      <c r="AR8" s="34">
        <v>100</v>
      </c>
      <c r="AS8" s="34">
        <v>1</v>
      </c>
      <c r="AT8" s="33" t="s">
        <v>64</v>
      </c>
      <c r="AU8" s="33" t="s">
        <v>65</v>
      </c>
      <c r="AV8" s="34" t="s">
        <v>66</v>
      </c>
      <c r="AW8" s="34">
        <v>80000</v>
      </c>
      <c r="AX8" s="34">
        <v>0</v>
      </c>
      <c r="AY8" s="34">
        <v>0</v>
      </c>
      <c r="AZ8" s="34">
        <v>100000</v>
      </c>
      <c r="BA8" s="34">
        <v>400</v>
      </c>
      <c r="BC8" s="34">
        <v>1</v>
      </c>
      <c r="BD8" s="34">
        <v>-20000</v>
      </c>
      <c r="BE8" s="33" t="s">
        <v>46</v>
      </c>
      <c r="BF8" s="33" t="s">
        <v>75</v>
      </c>
      <c r="BG8" s="33" t="s">
        <v>76</v>
      </c>
      <c r="BH8" s="33" t="s">
        <v>67</v>
      </c>
      <c r="BI8" s="34" t="s">
        <v>77</v>
      </c>
      <c r="BJ8" s="34">
        <v>0</v>
      </c>
      <c r="BK8" s="34">
        <v>0</v>
      </c>
      <c r="BL8" s="34">
        <v>0</v>
      </c>
      <c r="BM8" s="34">
        <v>0</v>
      </c>
      <c r="BO8" s="34">
        <v>-20000</v>
      </c>
      <c r="BP8" s="34">
        <v>0</v>
      </c>
      <c r="BQ8" s="33" t="s">
        <v>42</v>
      </c>
      <c r="BR8" s="37" t="s">
        <v>36</v>
      </c>
      <c r="BS8" s="34">
        <v>0</v>
      </c>
      <c r="BT8" s="34">
        <v>0</v>
      </c>
      <c r="BU8" s="33" t="s">
        <v>46</v>
      </c>
      <c r="BW8" s="34">
        <v>0</v>
      </c>
      <c r="BX8" s="34">
        <v>100000</v>
      </c>
      <c r="BY8" s="34">
        <v>100000</v>
      </c>
      <c r="BZ8" s="34">
        <v>100</v>
      </c>
      <c r="CA8" s="34">
        <v>100</v>
      </c>
      <c r="CC8" s="34">
        <v>0</v>
      </c>
      <c r="CD8" s="34">
        <v>80000</v>
      </c>
      <c r="CE8" s="34">
        <v>0</v>
      </c>
      <c r="CF8" s="34">
        <v>0</v>
      </c>
      <c r="CG8" s="34">
        <v>80000</v>
      </c>
      <c r="CH8" s="34">
        <v>400</v>
      </c>
      <c r="CI8" s="34">
        <v>0</v>
      </c>
      <c r="CJ8" s="34">
        <v>0</v>
      </c>
      <c r="CK8" s="36" t="b">
        <v>0</v>
      </c>
      <c r="CS8" s="34">
        <v>20</v>
      </c>
      <c r="CY8" s="33" t="s">
        <v>68</v>
      </c>
      <c r="CZ8" s="33" t="s">
        <v>69</v>
      </c>
      <c r="DA8" s="34">
        <v>100000</v>
      </c>
      <c r="DB8" s="34">
        <v>80</v>
      </c>
      <c r="DC8" s="34"/>
      <c r="DD8" s="34">
        <v>1000</v>
      </c>
      <c r="DE8" s="34">
        <v>0</v>
      </c>
      <c r="DF8" s="34">
        <v>0</v>
      </c>
      <c r="DG8" s="34">
        <v>0</v>
      </c>
      <c r="DH8" s="34" t="s">
        <v>61</v>
      </c>
      <c r="DI8" s="34">
        <v>0</v>
      </c>
      <c r="DJ8" s="33" t="s">
        <v>22</v>
      </c>
      <c r="DK8" s="34">
        <v>0</v>
      </c>
      <c r="DL8" s="34">
        <v>0</v>
      </c>
      <c r="DM8" s="34">
        <v>1</v>
      </c>
      <c r="DN8" s="34">
        <v>100</v>
      </c>
      <c r="DP8" s="33" t="s">
        <v>73</v>
      </c>
      <c r="DQ8" s="33" t="s">
        <v>78</v>
      </c>
      <c r="DR8" s="33" t="s">
        <v>79</v>
      </c>
      <c r="DS8" s="33" t="s">
        <v>78</v>
      </c>
      <c r="DT8" s="33" t="s">
        <v>78</v>
      </c>
      <c r="DU8" s="33" t="s">
        <v>80</v>
      </c>
      <c r="DV8" s="33" t="s">
        <v>78</v>
      </c>
      <c r="DW8" s="33" t="s">
        <v>78</v>
      </c>
      <c r="DX8" s="33" t="s">
        <v>78</v>
      </c>
      <c r="DY8" s="33" t="s">
        <v>78</v>
      </c>
      <c r="DZ8" s="33" t="s">
        <v>74</v>
      </c>
      <c r="EA8" s="33" t="s">
        <v>80</v>
      </c>
      <c r="EB8" s="33" t="s">
        <v>78</v>
      </c>
      <c r="EC8" s="33" t="s">
        <v>78</v>
      </c>
      <c r="ED8" s="33" t="s">
        <v>44</v>
      </c>
      <c r="EE8" s="33" t="s">
        <v>71</v>
      </c>
      <c r="EF8" s="34">
        <v>0</v>
      </c>
      <c r="EG8" s="35">
        <v>81.78</v>
      </c>
      <c r="EH8" s="35">
        <v>81.78</v>
      </c>
      <c r="EI8" s="35">
        <v>81.78</v>
      </c>
      <c r="EJ8" s="35">
        <v>81.78</v>
      </c>
      <c r="EK8" s="35">
        <v>81.78</v>
      </c>
      <c r="EL8" s="33" t="s">
        <v>73</v>
      </c>
      <c r="EM8" s="34">
        <v>100000</v>
      </c>
      <c r="EN8" s="34">
        <v>100000</v>
      </c>
      <c r="EO8" s="34">
        <v>0</v>
      </c>
      <c r="EQ8" s="35">
        <v>81.78</v>
      </c>
      <c r="ER8" s="34">
        <v>100000</v>
      </c>
      <c r="ES8" s="34"/>
      <c r="ET8" s="35">
        <v>65.42</v>
      </c>
      <c r="EU8" s="35">
        <v>81.78</v>
      </c>
      <c r="EV8" s="33" t="s">
        <v>73</v>
      </c>
    </row>
    <row r="9" spans="1:173" ht="15.75" customHeight="1">
      <c r="A9" s="5"/>
      <c r="B9" s="5"/>
      <c r="C9" s="33" t="s">
        <v>18</v>
      </c>
      <c r="D9" s="34">
        <v>-9</v>
      </c>
      <c r="E9" s="33" t="s">
        <v>23</v>
      </c>
      <c r="F9" s="5"/>
      <c r="G9" s="34">
        <v>576</v>
      </c>
      <c r="H9" s="33" t="s">
        <v>59</v>
      </c>
      <c r="I9" s="34">
        <v>-4500</v>
      </c>
      <c r="J9" s="5"/>
      <c r="K9" s="34">
        <v>-4500</v>
      </c>
      <c r="L9" s="5"/>
      <c r="M9" s="5"/>
      <c r="N9" s="34">
        <v>684</v>
      </c>
      <c r="O9" s="33" t="s">
        <v>60</v>
      </c>
      <c r="P9" s="34" t="s">
        <v>61</v>
      </c>
      <c r="Q9" s="34">
        <v>684</v>
      </c>
      <c r="R9" s="33" t="s">
        <v>36</v>
      </c>
      <c r="S9" s="33" t="s">
        <v>63</v>
      </c>
      <c r="T9" s="33" t="s">
        <v>46</v>
      </c>
      <c r="U9" s="33" t="s">
        <v>43</v>
      </c>
      <c r="V9" s="33" t="s">
        <v>41</v>
      </c>
      <c r="W9" s="33" t="s">
        <v>44</v>
      </c>
      <c r="Y9" s="34">
        <v>1</v>
      </c>
      <c r="AB9" s="34">
        <v>0</v>
      </c>
      <c r="AC9" s="34">
        <v>0</v>
      </c>
      <c r="AD9" s="34">
        <v>-4500</v>
      </c>
      <c r="AE9" s="34">
        <v>-4500</v>
      </c>
      <c r="AF9" s="34">
        <v>-9</v>
      </c>
      <c r="AG9" s="34">
        <v>-4500</v>
      </c>
      <c r="AH9" s="34">
        <v>-4500</v>
      </c>
      <c r="AI9" s="34">
        <v>-4500</v>
      </c>
      <c r="AJ9" s="35">
        <v>-368</v>
      </c>
      <c r="AK9" s="34">
        <v>684</v>
      </c>
      <c r="AL9" s="34">
        <v>1</v>
      </c>
      <c r="AM9" s="34">
        <v>1</v>
      </c>
      <c r="AN9" s="33" t="s">
        <v>19</v>
      </c>
      <c r="AP9" s="33" t="s">
        <v>59</v>
      </c>
      <c r="AQ9" s="33" t="s">
        <v>18</v>
      </c>
      <c r="AR9" s="34">
        <v>500</v>
      </c>
      <c r="AS9" s="34">
        <v>-1</v>
      </c>
      <c r="AT9" s="33" t="s">
        <v>72</v>
      </c>
      <c r="AU9" s="33" t="s">
        <v>72</v>
      </c>
      <c r="AV9" s="34" t="s">
        <v>66</v>
      </c>
      <c r="AW9" s="34">
        <v>684</v>
      </c>
      <c r="AX9" s="34">
        <v>0</v>
      </c>
      <c r="AY9" s="34">
        <v>0</v>
      </c>
      <c r="AZ9" s="34">
        <v>-4500</v>
      </c>
      <c r="BA9" s="35">
        <v>13.19</v>
      </c>
      <c r="BC9" s="34">
        <v>1</v>
      </c>
      <c r="BD9" s="34">
        <v>5184</v>
      </c>
      <c r="BE9" s="33" t="s">
        <v>46</v>
      </c>
      <c r="BF9" s="33" t="s">
        <v>67</v>
      </c>
      <c r="BG9" s="33" t="s">
        <v>67</v>
      </c>
      <c r="BH9" s="33" t="s">
        <v>67</v>
      </c>
      <c r="BI9" s="33" t="s">
        <v>67</v>
      </c>
      <c r="BJ9" s="34">
        <v>0</v>
      </c>
      <c r="BK9" s="34">
        <v>0</v>
      </c>
      <c r="BL9" s="34">
        <v>0</v>
      </c>
      <c r="BM9" s="34">
        <v>0</v>
      </c>
      <c r="BO9" s="34">
        <v>5184</v>
      </c>
      <c r="BP9" s="34">
        <v>0</v>
      </c>
      <c r="BQ9" s="33" t="s">
        <v>42</v>
      </c>
      <c r="BR9" s="33" t="s">
        <v>36</v>
      </c>
      <c r="BS9" s="34">
        <v>0</v>
      </c>
      <c r="BT9" s="34">
        <v>0</v>
      </c>
      <c r="BU9" s="33" t="s">
        <v>46</v>
      </c>
      <c r="BW9" s="34">
        <v>0</v>
      </c>
      <c r="BX9" s="34">
        <v>4500</v>
      </c>
      <c r="BY9" s="34">
        <v>4500</v>
      </c>
      <c r="BZ9" s="34">
        <v>500</v>
      </c>
      <c r="CA9" s="34">
        <v>500</v>
      </c>
      <c r="CC9" s="34">
        <v>0</v>
      </c>
      <c r="CD9" s="34">
        <v>684</v>
      </c>
      <c r="CE9" s="34">
        <v>0</v>
      </c>
      <c r="CF9" s="34">
        <v>0</v>
      </c>
      <c r="CG9" s="34">
        <v>684</v>
      </c>
      <c r="CH9" s="35">
        <v>13.19</v>
      </c>
      <c r="CI9" s="34">
        <v>0</v>
      </c>
      <c r="CJ9" s="34">
        <v>0</v>
      </c>
      <c r="CK9" s="36" t="b">
        <v>0</v>
      </c>
      <c r="CS9" s="34">
        <v>576</v>
      </c>
      <c r="CY9" s="33" t="s">
        <v>68</v>
      </c>
      <c r="CZ9" s="33" t="s">
        <v>69</v>
      </c>
      <c r="DA9" s="34">
        <v>4500</v>
      </c>
      <c r="DB9" s="35">
        <v>-15.2</v>
      </c>
      <c r="DC9" s="34"/>
      <c r="DD9" s="34">
        <v>-9</v>
      </c>
      <c r="DE9" s="34">
        <v>0</v>
      </c>
      <c r="DF9" s="34">
        <v>0</v>
      </c>
      <c r="DG9" s="34">
        <v>0</v>
      </c>
      <c r="DH9" s="34" t="s">
        <v>61</v>
      </c>
      <c r="DI9" s="34">
        <v>0</v>
      </c>
      <c r="DJ9" s="33" t="s">
        <v>19</v>
      </c>
      <c r="DK9" s="34">
        <v>0</v>
      </c>
      <c r="DL9" s="34">
        <v>0</v>
      </c>
      <c r="DM9" s="34">
        <v>1</v>
      </c>
      <c r="DN9" s="34">
        <v>500</v>
      </c>
      <c r="DP9" s="33" t="s">
        <v>59</v>
      </c>
      <c r="DQ9" s="33" t="s">
        <v>67</v>
      </c>
      <c r="DR9" s="33" t="s">
        <v>70</v>
      </c>
      <c r="DS9" s="33" t="s">
        <v>67</v>
      </c>
      <c r="DT9" s="33" t="s">
        <v>67</v>
      </c>
      <c r="DU9" s="33" t="s">
        <v>67</v>
      </c>
      <c r="DV9" s="33" t="s">
        <v>67</v>
      </c>
      <c r="DW9" s="33" t="s">
        <v>67</v>
      </c>
      <c r="DX9" s="33" t="s">
        <v>67</v>
      </c>
      <c r="DY9" s="33" t="s">
        <v>67</v>
      </c>
      <c r="DZ9" s="33" t="s">
        <v>60</v>
      </c>
      <c r="EA9" s="33" t="s">
        <v>71</v>
      </c>
      <c r="EB9" s="33" t="s">
        <v>67</v>
      </c>
      <c r="EC9" s="33" t="s">
        <v>67</v>
      </c>
      <c r="ED9" s="33" t="s">
        <v>44</v>
      </c>
      <c r="EE9" s="33" t="s">
        <v>71</v>
      </c>
      <c r="EF9" s="34">
        <v>0</v>
      </c>
      <c r="EG9" s="35">
        <v>-3.68</v>
      </c>
      <c r="EH9" s="35">
        <v>3.68</v>
      </c>
      <c r="EI9" s="35">
        <v>-3.68</v>
      </c>
      <c r="EJ9" s="35">
        <v>515.20000000000005</v>
      </c>
      <c r="EK9" s="35">
        <v>515.20000000000005</v>
      </c>
      <c r="EL9" s="33" t="s">
        <v>59</v>
      </c>
      <c r="EM9" s="34">
        <v>630000</v>
      </c>
      <c r="EN9" s="34">
        <v>630000</v>
      </c>
      <c r="EO9" s="34">
        <v>0</v>
      </c>
      <c r="EQ9" s="35">
        <v>3.68</v>
      </c>
      <c r="ER9" s="34">
        <v>630000</v>
      </c>
      <c r="ES9" s="34"/>
      <c r="ET9" s="35">
        <v>0.56000000000000005</v>
      </c>
      <c r="EU9" s="35">
        <v>-3.68</v>
      </c>
      <c r="EV9" s="33" t="s">
        <v>59</v>
      </c>
    </row>
    <row r="10" spans="1:173" ht="15.75" customHeight="1">
      <c r="A10" s="5"/>
      <c r="B10" s="5"/>
      <c r="C10" s="33"/>
      <c r="D10" s="33"/>
      <c r="E10" s="33"/>
      <c r="F10" s="5"/>
      <c r="G10" s="33"/>
      <c r="H10" s="33"/>
      <c r="I10" s="5"/>
      <c r="J10" s="5"/>
      <c r="K10" s="33"/>
      <c r="L10" s="5"/>
      <c r="M10" s="5"/>
      <c r="N10" s="5"/>
      <c r="O10" s="5"/>
      <c r="R10" s="33"/>
      <c r="S10" s="33"/>
      <c r="T10" s="33"/>
      <c r="U10" s="33"/>
      <c r="V10" s="33"/>
      <c r="W10" s="33"/>
      <c r="Y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O10" s="33"/>
      <c r="BP10" s="33"/>
      <c r="BQ10" s="33"/>
      <c r="BR10" s="33"/>
      <c r="BS10" s="33"/>
      <c r="BT10" s="33"/>
      <c r="BU10" s="33"/>
      <c r="BW10" s="33"/>
      <c r="BX10" s="33"/>
      <c r="BY10" s="33"/>
      <c r="BZ10" s="33"/>
      <c r="CA10" s="33"/>
      <c r="CC10" s="33"/>
      <c r="CD10" s="33"/>
      <c r="CE10" s="33"/>
      <c r="CF10" s="33"/>
      <c r="CG10" s="33"/>
      <c r="CH10" s="33"/>
      <c r="CI10" s="33"/>
      <c r="CJ10" s="33"/>
      <c r="CK10" s="33"/>
      <c r="CS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G10" s="33"/>
      <c r="EH10" s="33"/>
      <c r="EI10" s="33"/>
      <c r="EJ10" s="33"/>
      <c r="EK10" s="33"/>
      <c r="EL10" s="33"/>
      <c r="EM10" s="33"/>
      <c r="EN10" s="33"/>
      <c r="EO10" s="33"/>
      <c r="EQ10" s="33"/>
      <c r="ER10" s="33"/>
      <c r="ES10" s="33"/>
    </row>
    <row r="11" spans="1:173" ht="15.75" customHeight="1">
      <c r="A11" s="5"/>
      <c r="B11" s="5"/>
      <c r="C11" s="5"/>
      <c r="D11" s="5"/>
      <c r="E11" s="5"/>
      <c r="F11" s="5"/>
      <c r="G11" s="5"/>
      <c r="H11" s="33"/>
      <c r="I11" s="5"/>
      <c r="J11" s="5"/>
      <c r="K11" s="5"/>
      <c r="L11" s="5"/>
      <c r="M11" s="5"/>
      <c r="N11" s="5"/>
      <c r="O11" s="5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V11" s="33"/>
      <c r="AW11" s="33"/>
      <c r="AX11" s="33"/>
      <c r="AY11" s="33"/>
      <c r="AZ11" s="33"/>
      <c r="BA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X11" s="33"/>
      <c r="BY11" s="33"/>
      <c r="BZ11" s="33"/>
      <c r="CA11" s="33"/>
      <c r="CC11" s="33"/>
      <c r="CD11" s="33"/>
      <c r="CE11" s="33"/>
      <c r="CF11" s="33"/>
      <c r="CG11" s="33"/>
      <c r="CH11" s="33"/>
      <c r="CI11" s="33"/>
      <c r="CJ11" s="33"/>
      <c r="CK11" s="33"/>
      <c r="CS11" s="33"/>
      <c r="DD11" s="33"/>
      <c r="DE11" s="33"/>
      <c r="DF11" s="33"/>
      <c r="DG11" s="33"/>
      <c r="DH11" s="33"/>
      <c r="DI11" s="33"/>
      <c r="DJ11" s="33"/>
      <c r="DK11" s="33"/>
      <c r="DW11" s="33"/>
      <c r="DX11" s="33"/>
      <c r="DY11" s="33"/>
      <c r="DZ11" s="33"/>
      <c r="EA11" s="33"/>
      <c r="EB11" s="33"/>
      <c r="EG11" s="33"/>
      <c r="EH11" s="33"/>
      <c r="EI11" s="33"/>
      <c r="EL11" s="33"/>
      <c r="EM11" s="33"/>
      <c r="EN11" s="33"/>
      <c r="EO11" s="33"/>
    </row>
    <row r="12" spans="1:17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AI12" s="33"/>
      <c r="AJ12" s="33"/>
      <c r="AK12" s="33"/>
      <c r="AV12" s="33"/>
      <c r="AW12" s="33"/>
      <c r="AX12" s="33"/>
      <c r="AY12" s="33"/>
      <c r="AZ12" s="33"/>
      <c r="BA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Y12" s="33"/>
      <c r="BZ12" s="33"/>
      <c r="CA12" s="33"/>
      <c r="CH12" s="33"/>
      <c r="CI12" s="33"/>
      <c r="CJ12" s="33"/>
      <c r="CK12" s="33"/>
      <c r="CS12" s="33"/>
      <c r="DD12" s="33"/>
      <c r="DE12" s="33"/>
      <c r="DF12" s="33"/>
      <c r="DG12" s="33"/>
      <c r="EL12" s="33"/>
      <c r="EM12" s="33"/>
      <c r="EN12" s="33"/>
      <c r="EO12" s="33"/>
    </row>
    <row r="13" spans="1:17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BY13" s="33"/>
      <c r="BZ13" s="33"/>
      <c r="CA13" s="33"/>
      <c r="CH13" s="33"/>
      <c r="CI13" s="33"/>
      <c r="CJ13" s="33"/>
      <c r="CK13" s="33"/>
    </row>
    <row r="14" spans="1:17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BY14" s="33"/>
      <c r="BZ14" s="33"/>
      <c r="CA14" s="33"/>
    </row>
    <row r="15" spans="1:17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7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_Modules</vt:lpstr>
      <vt:lpstr>_Settings</vt:lpstr>
      <vt:lpstr>_MasterData</vt:lpstr>
      <vt:lpstr>SetTradingComplianceRules</vt:lpstr>
      <vt:lpstr>CreateDoneAwayOrder</vt:lpstr>
      <vt:lpstr>PricingInput</vt:lpstr>
      <vt:lpstr>CalculatePTT</vt:lpstr>
      <vt:lpstr>VerifyPTT</vt:lpstr>
      <vt:lpstr>TradePTT</vt:lpstr>
      <vt:lpstr>DoneAwayUsingMTT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2021-09-20T12:51:47Z</dcterms:modified>
</cp:coreProperties>
</file>