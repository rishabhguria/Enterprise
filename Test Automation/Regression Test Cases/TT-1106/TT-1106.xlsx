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CustomOrderTT" sheetId="7" r:id="rId9"/>
    <sheet state="visible" name="EditAuecWindow" sheetId="8" r:id="rId10"/>
    <sheet state="visible" name="VerifyBrokerSummary" sheetId="9" r:id="rId11"/>
    <sheet state="visible" name="CustomOrderTT1" sheetId="10" r:id="rId12"/>
    <sheet state="visible" name="SelectTradeOnOrderGrid" sheetId="11" r:id="rId13"/>
    <sheet state="visible" name="VerifySubOrder" sheetId="12" r:id="rId14"/>
    <sheet state="visible" name="EditAuecWindow1" sheetId="13" r:id="rId15"/>
    <sheet state="visible" name="EditAuecWindow2" sheetId="14" r:id="rId16"/>
    <sheet state="visible" name="EditAuecWindow3" sheetId="15" r:id="rId17"/>
    <sheet state="visible" name="CustomOrderTT2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<sst xmlns="http://schemas.openxmlformats.org/spreadsheetml/2006/main" count="182" uniqueCount="46">
  <si>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</si>
  <si>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</si>
  <si>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</si>
  <si>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</si>
  <si>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</si>
  <si>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</si>
  <si>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</si>
  <si>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</si>
  <si>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</si>
  <si>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</si>
  <si>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</si>
  <si>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</si>
  <si>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</si>
  <si>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</si>
  <si>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</si>
  <si>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</si>
  <si>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</si>
  <si>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</si>
  <si>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</si>
  <si>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Allocation3</t>
  </si>
  <si>
    <t>GS</t>
  </si>
  <si>
    <t>TradingTicket</t>
  </si>
  <si>
    <t>SetGeneralPreference</t>
  </si>
  <si>
    <t>CustomOrderTT</t>
  </si>
  <si>
    <t>AAPL</t>
  </si>
  <si>
    <t>Allocation1,Allocation2,Allocation3,Allocation4</t>
  </si>
  <si>
    <t>25,25,25,25</t>
  </si>
  <si>
    <t>EditAuecWindow</t>
  </si>
  <si>
    <t>VerifyBrokerSummary</t>
  </si>
  <si>
    <t>Allocation2</t>
  </si>
  <si>
    <t>Allocation4</t>
  </si>
  <si>
    <t>DoneAway</t>
  </si>
  <si>
    <t>Buy</t>
  </si>
  <si>
    <t>Blotter</t>
  </si>
  <si>
    <t>SelectTradeOnOrderGrid</t>
  </si>
  <si>
    <t>IBM</t>
  </si>
  <si>
    <t>VerifySubOrder</t>
  </si>
  <si>
    <t>Ok</t>
  </si>
  <si>
    <t>VerifyOrder</t>
  </si>
  <si>
    <t>AAPL US EQUITY</t>
  </si>
  <si>
    <t>Drops</t>
  </si>
  <si>
    <t>Equity</t>
  </si>
  <si>
    <t>Filled</t>
  </si>
  <si>
    <t>Multiple</t>
  </si>
  <si>
    <t>IBM US EQUITY</t>
  </si>
  <si>
    <t>CSFB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</si>
</sst>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  <xf borderId="5" fillId="7" fontId="13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IFERROR(__xludf.DUMMYFUNCTION("""COMPUTED_VALUE"""),"FromTableVenueID")</f>
        <v>FromTableVenueID</v>
      </c>
      <c r="C5" s="27" t="str">
        <f>IFERROR(__xludf.DUMMYFUNCTION("""COMPUTED_VALUE"""),"ToTableVenueID")</f>
        <v>ToTableVenueID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103.0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100.0</v>
      </c>
      <c r="D6" s="12"/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  <c r="P6" s="9" t="s">
        <v>25</v>
      </c>
      <c r="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 Padlock")</f>
        <v>Lock/Unlock Padlock</v>
      </c>
      <c r="C5" s="27" t="str">
        <f>IFERROR(__xludf.DUMMYFUNCTION("""COMPUTED_VALUE"""),"Account")</f>
        <v>Account</v>
      </c>
      <c r="D5" s="27" t="str">
        <f>IFERROR(__xludf.DUMMYFUNCTION("""COMPUTED_VALUE"""),"Broker")</f>
        <v>Broker</v>
      </c>
      <c r="E5" s="27" t="str">
        <f>IFERROR(__xludf.DUMMYFUNCTION("""COMPUTED_VALUE"""),"Connection Status")</f>
        <v>Connection Status</v>
      </c>
      <c r="F5" s="28" t="str">
        <f>IFERROR(__xludf.DUMMYFUNCTION("""COMPUTED_VALUE"""),"NextAction")</f>
        <v>NextAction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 t="s">
        <v>20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IFERROR(__xludf.DUMMYFUNCTION("""COMPUTED_VALUE"""),"Broker")</f>
        <v>Broker</v>
      </c>
      <c r="E5" s="27" t="str">
        <f>IFERROR(__xludf.DUMMYFUNCTION("""COMPUTED_VALUE"""),"Total Quantity")</f>
        <v>Total Quantity</v>
      </c>
      <c r="F5" s="28" t="str">
        <f>IFERROR(__xludf.DUMMYFUNCTION("""COMPUTED_VALUE"""),"Connection Status")</f>
        <v>Connection Status</v>
      </c>
      <c r="G5" s="27" t="str">
        <f>IFERROR(__xludf.DUMMYFUNCTION("""COMPUTED_VALUE"""),"Next Action")</f>
        <v>Next 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25.0</v>
      </c>
      <c r="D6" s="12" t="s">
        <v>18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>
        <v>25.0</v>
      </c>
      <c r="D7" s="12" t="s">
        <v>20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>
        <v>25.0</v>
      </c>
      <c r="D8" s="12" t="s">
        <v>20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30</v>
      </c>
      <c r="C9" s="12">
        <v>25.0</v>
      </c>
      <c r="D9" s="12" t="s">
        <v>18</v>
      </c>
      <c r="E9" s="8"/>
      <c r="F9" s="8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2.0</v>
      </c>
      <c r="E6" s="12" t="s">
        <v>31</v>
      </c>
      <c r="F6" s="8"/>
      <c r="G6" s="12"/>
      <c r="H6" s="8"/>
      <c r="I6" s="8"/>
      <c r="J6" s="12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35</v>
      </c>
      <c r="E6" s="30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 Padlock")</f>
        <v>Lock/Unlock Padlock</v>
      </c>
      <c r="C5" s="27" t="str">
        <f>IFERROR(__xludf.DUMMYFUNCTION("""COMPUTED_VALUE"""),"Account")</f>
        <v>Account</v>
      </c>
      <c r="D5" s="27" t="str">
        <f>IFERROR(__xludf.DUMMYFUNCTION("""COMPUTED_VALUE"""),"Broker")</f>
        <v>Broker</v>
      </c>
      <c r="E5" s="27" t="str">
        <f>IFERROR(__xludf.DUMMYFUNCTION("""COMPUTED_VALUE"""),"Connection Status")</f>
        <v>Connection Status</v>
      </c>
      <c r="F5" s="28" t="str">
        <f>IFERROR(__xludf.DUMMYFUNCTION("""COMPUTED_VALUE"""),"NextAction")</f>
        <v>NextAction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 t="s">
        <v>20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 Padlock")</f>
        <v>Lock/Unlock Padlock</v>
      </c>
      <c r="C5" s="27" t="str">
        <f>IFERROR(__xludf.DUMMYFUNCTION("""COMPUTED_VALUE"""),"Account")</f>
        <v>Account</v>
      </c>
      <c r="D5" s="27" t="str">
        <f>IFERROR(__xludf.DUMMYFUNCTION("""COMPUTED_VALUE"""),"Broker")</f>
        <v>Broker</v>
      </c>
      <c r="E5" s="27" t="str">
        <f>IFERROR(__xludf.DUMMYFUNCTION("""COMPUTED_VALUE"""),"Connection Status")</f>
        <v>Connection Status</v>
      </c>
      <c r="F5" s="28" t="str">
        <f>IFERROR(__xludf.DUMMYFUNCTION("""COMPUTED_VALUE"""),"NextAction")</f>
        <v>NextAction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 t="s">
        <v>18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 Padlock")</f>
        <v>Lock/Unlock Padlock</v>
      </c>
      <c r="C5" s="27" t="str">
        <f>IFERROR(__xludf.DUMMYFUNCTION("""COMPUTED_VALUE"""),"Account")</f>
        <v>Account</v>
      </c>
      <c r="D5" s="27" t="str">
        <f>IFERROR(__xludf.DUMMYFUNCTION("""COMPUTED_VALUE"""),"Broker")</f>
        <v>Broker</v>
      </c>
      <c r="E5" s="27" t="str">
        <f>IFERROR(__xludf.DUMMYFUNCTION("""COMPUTED_VALUE"""),"Connection Status")</f>
        <v>Connection Status</v>
      </c>
      <c r="F5" s="28" t="str">
        <f>IFERROR(__xludf.DUMMYFUNCTION("""COMPUTED_VALUE"""),"NextAction")</f>
        <v>NextAction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 t="s">
        <v>18</v>
      </c>
      <c r="E6" s="30"/>
      <c r="F6" s="12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>
        <v>100.0</v>
      </c>
      <c r="D6" s="12">
        <v>2.0</v>
      </c>
      <c r="E6" s="12" t="s">
        <v>31</v>
      </c>
      <c r="F6" s="8"/>
      <c r="G6" s="12"/>
      <c r="H6" s="8"/>
      <c r="I6" s="8"/>
      <c r="J6" s="12" t="s">
        <v>32</v>
      </c>
      <c r="K6" s="8"/>
      <c r="L6" s="8"/>
      <c r="M6" s="8"/>
      <c r="N6" s="8"/>
      <c r="O6" s="8"/>
      <c r="P6" s="9" t="s">
        <v>25</v>
      </c>
      <c r="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 t="s">
        <v>39</v>
      </c>
      <c r="F6" s="8"/>
      <c r="G6" s="8"/>
      <c r="H6" s="31" t="s">
        <v>40</v>
      </c>
      <c r="I6" s="8"/>
      <c r="J6" s="8"/>
      <c r="K6" s="8"/>
      <c r="L6" s="8"/>
      <c r="M6" s="8"/>
      <c r="N6" s="8"/>
      <c r="O6" s="8"/>
      <c r="AH6" s="9" t="s">
        <v>41</v>
      </c>
      <c r="AI6" s="31" t="s">
        <v>24</v>
      </c>
      <c r="AJ6" s="32" t="s">
        <v>32</v>
      </c>
      <c r="AK6" s="33" t="s">
        <v>42</v>
      </c>
      <c r="AL6" s="34">
        <v>50.0</v>
      </c>
      <c r="AM6" s="34">
        <v>50.0</v>
      </c>
      <c r="AS6" s="31" t="s">
        <v>43</v>
      </c>
      <c r="AT6" s="31" t="s">
        <v>43</v>
      </c>
    </row>
    <row r="7" ht="15.75" customHeight="1">
      <c r="A7" s="8"/>
      <c r="B7" s="8"/>
      <c r="C7" s="8"/>
      <c r="D7" s="8"/>
      <c r="E7" s="31" t="s">
        <v>39</v>
      </c>
      <c r="F7" s="8"/>
      <c r="G7" s="8"/>
      <c r="H7" s="31" t="s">
        <v>40</v>
      </c>
      <c r="I7" s="8"/>
      <c r="J7" s="8"/>
      <c r="K7" s="8"/>
      <c r="L7" s="8"/>
      <c r="M7" s="8"/>
      <c r="N7" s="8"/>
      <c r="O7" s="8"/>
      <c r="AH7" s="9" t="s">
        <v>41</v>
      </c>
      <c r="AI7" s="31" t="s">
        <v>24</v>
      </c>
      <c r="AJ7" s="32" t="s">
        <v>32</v>
      </c>
      <c r="AK7" s="33" t="s">
        <v>42</v>
      </c>
      <c r="AL7" s="34">
        <v>25.0</v>
      </c>
      <c r="AM7" s="34">
        <v>25.0</v>
      </c>
      <c r="AS7" s="31" t="s">
        <v>20</v>
      </c>
      <c r="AT7" s="31" t="s">
        <v>29</v>
      </c>
    </row>
    <row r="8" ht="15.75" customHeight="1">
      <c r="A8" s="8"/>
      <c r="B8" s="8"/>
      <c r="C8" s="8"/>
      <c r="D8" s="8"/>
      <c r="E8" s="35" t="s">
        <v>39</v>
      </c>
      <c r="F8" s="8"/>
      <c r="G8" s="8"/>
      <c r="H8" s="35" t="s">
        <v>40</v>
      </c>
      <c r="I8" s="8"/>
      <c r="J8" s="8"/>
      <c r="K8" s="8"/>
      <c r="L8" s="8"/>
      <c r="M8" s="8"/>
      <c r="N8" s="8"/>
      <c r="O8" s="8"/>
      <c r="AH8" s="9" t="s">
        <v>41</v>
      </c>
      <c r="AI8" s="35" t="s">
        <v>24</v>
      </c>
      <c r="AJ8" s="36" t="s">
        <v>32</v>
      </c>
      <c r="AK8" s="37" t="s">
        <v>42</v>
      </c>
      <c r="AL8" s="38">
        <v>25.0</v>
      </c>
      <c r="AM8" s="38">
        <v>25.0</v>
      </c>
      <c r="AS8" s="35" t="s">
        <v>18</v>
      </c>
      <c r="AT8" s="35" t="s">
        <v>30</v>
      </c>
    </row>
    <row r="9" ht="15.75" customHeight="1">
      <c r="A9" s="8"/>
      <c r="B9" s="8"/>
      <c r="C9" s="8"/>
      <c r="D9" s="8"/>
      <c r="E9" s="31" t="s">
        <v>44</v>
      </c>
      <c r="F9" s="8"/>
      <c r="G9" s="8"/>
      <c r="H9" s="31" t="s">
        <v>40</v>
      </c>
      <c r="I9" s="8"/>
      <c r="J9" s="8"/>
      <c r="K9" s="8"/>
      <c r="L9" s="8"/>
      <c r="M9" s="8"/>
      <c r="N9" s="8"/>
      <c r="O9" s="8"/>
      <c r="AH9" s="9" t="s">
        <v>41</v>
      </c>
      <c r="AI9" s="31" t="s">
        <v>35</v>
      </c>
      <c r="AJ9" s="32" t="s">
        <v>32</v>
      </c>
      <c r="AK9" s="33" t="s">
        <v>42</v>
      </c>
      <c r="AL9" s="34">
        <v>50.0</v>
      </c>
      <c r="AM9" s="34">
        <v>50.0</v>
      </c>
      <c r="AS9" s="31" t="s">
        <v>43</v>
      </c>
      <c r="AT9" s="31" t="s">
        <v>43</v>
      </c>
    </row>
    <row r="10" ht="15.75" customHeight="1">
      <c r="A10" s="8"/>
      <c r="B10" s="8"/>
      <c r="C10" s="8"/>
      <c r="D10" s="8"/>
      <c r="E10" s="31" t="s">
        <v>44</v>
      </c>
      <c r="F10" s="8"/>
      <c r="G10" s="8"/>
      <c r="H10" s="31" t="s">
        <v>40</v>
      </c>
      <c r="I10" s="8"/>
      <c r="J10" s="8"/>
      <c r="K10" s="8"/>
      <c r="L10" s="8"/>
      <c r="M10" s="8"/>
      <c r="N10" s="8"/>
      <c r="O10" s="8"/>
      <c r="AH10" s="9" t="s">
        <v>41</v>
      </c>
      <c r="AI10" s="31" t="s">
        <v>35</v>
      </c>
      <c r="AJ10" s="32" t="s">
        <v>32</v>
      </c>
      <c r="AK10" s="33" t="s">
        <v>42</v>
      </c>
      <c r="AL10" s="34">
        <v>50.0</v>
      </c>
      <c r="AM10" s="34">
        <v>50.0</v>
      </c>
      <c r="AS10" s="31" t="s">
        <v>45</v>
      </c>
      <c r="AT10" s="31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