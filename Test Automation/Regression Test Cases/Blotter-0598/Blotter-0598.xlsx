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StageOrder" sheetId="4" r:id="rId6"/>
    <sheet state="visible" name="CreateDoneAwayOrder" sheetId="5" r:id="rId7"/>
    <sheet state="visible" name="SelectTradeOnOrderGrid" sheetId="6" r:id="rId8"/>
    <sheet state="visible" name="ReloadOrderFromBlotter" sheetId="7" r:id="rId9"/>
    <sheet state="visible" name="VerifyOrder" sheetId="8" r:id="rId10"/>
    <sheet state="visible" name="CustomOrderTT" sheetId="9" r:id="rId11"/>
  </sheets>
  <definedNames/>
  <calcPr/>
</workbook>
</file>

<file path=xl/sharedStrings.xml><?xml version="1.0" encoding="utf-8"?>
<sst xmlns="http://schemas.openxmlformats.org/spreadsheetml/2006/main" count="81" uniqueCount="34">
  <si>
    <t>Modules Info</t>
  </si>
  <si>
    <t>Modules</t>
  </si>
  <si>
    <t>Settings</t>
  </si>
  <si>
    <t>Module Step Setting File</t>
  </si>
  <si>
    <t>1yGm40BZEuLT7piFH0ACImm-2dtuq50uI8YtJDSRAViU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</si>
  <si>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</si>
  <si>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</si>
  <si>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</si>
  <si>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</si>
  <si>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</si>
  <si>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</si>
  <si>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</si>
  <si>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</si>
  <si>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CreateStageOrder</t>
  </si>
  <si>
    <t>Data Format</t>
  </si>
  <si>
    <t>Input Format</t>
  </si>
  <si>
    <t>AAPL</t>
  </si>
  <si>
    <t>CreateDoneAwayOrder</t>
  </si>
  <si>
    <t>IBM</t>
  </si>
  <si>
    <t>Blotter</t>
  </si>
  <si>
    <t>SelectTradeOnOrderGrid</t>
  </si>
  <si>
    <t>Buy</t>
  </si>
  <si>
    <t>Filled</t>
  </si>
  <si>
    <t>ReloadOrderFromBlotter</t>
  </si>
  <si>
    <t>VerifyOrder</t>
  </si>
  <si>
    <t>Equity</t>
  </si>
  <si>
    <t>MS</t>
  </si>
  <si>
    <t>Allocation1</t>
  </si>
  <si>
    <t>NEGATIVE</t>
  </si>
  <si>
    <t>Target Qty</t>
  </si>
  <si>
    <t>New</t>
  </si>
  <si>
    <t>Symbol</t>
  </si>
  <si>
    <t>CustomOrderTT</t>
  </si>
  <si>
    <t>CreateOrder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</si>
</sst>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FFFFFF"/>
      <name val="Arial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5" fontId="13" numFmtId="0" xfId="0" applyAlignment="1" applyFont="1">
      <alignment vertical="bottom"/>
    </xf>
    <xf borderId="0" fillId="0" fontId="3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IFERROR(__xludf.DUMMYFUNCTION("""COMPUTED_VALUE"""),"ShortLocate")</f>
        <v>ShortLocate</v>
      </c>
      <c r="AP5" s="29" t="str">
        <f>IFERROR(__xludf.DUMMYFUNCTION("""COMPUTED_VALUE"""),"ChkBoxBookAsSwap")</f>
        <v>ChkBoxBookAsSwap</v>
      </c>
      <c r="AQ5" s="29" t="str">
        <f>IFERROR(__xludf.DUMMYFUNCTION("""COMPUTED_VALUE"""),"Interest Rate")</f>
        <v>Interest Rate</v>
      </c>
      <c r="AR5" s="29" t="str">
        <f>IFERROR(__xludf.DUMMYFUNCTION("""COMPUTED_VALUE"""),"Master Funds")</f>
        <v>Master Funds</v>
      </c>
      <c r="AS5" s="29" t="str">
        <f>IFERROR(__xludf.DUMMYFUNCTION("""COMPUTED_VALUE"""),"Rate(%)")</f>
        <v>Rate(%)</v>
      </c>
      <c r="AT5" s="29" t="str">
        <f>IFERROR(__xludf.DUMMYFUNCTION("""COMPUTED_VALUE"""),"BorrowerID")</f>
        <v>BorrowerID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/>
      <c r="D6" s="12">
        <v>100.0</v>
      </c>
      <c r="E6" s="30"/>
      <c r="F6" s="8"/>
      <c r="G6" s="8"/>
      <c r="H6" s="8"/>
      <c r="I6" s="8"/>
      <c r="J6" s="12">
        <v>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18</v>
      </c>
      <c r="C6" s="8"/>
      <c r="D6" s="12">
        <v>100.0</v>
      </c>
      <c r="E6" s="30"/>
      <c r="F6" s="8"/>
      <c r="G6" s="8"/>
      <c r="H6" s="8"/>
      <c r="I6" s="8"/>
      <c r="J6" s="12">
        <v>2.0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18</v>
      </c>
      <c r="E6" s="30"/>
      <c r="F6" s="9" t="s">
        <v>21</v>
      </c>
      <c r="G6" s="12" t="s">
        <v>22</v>
      </c>
      <c r="H6" s="12">
        <v>100.0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18</v>
      </c>
      <c r="AJ6" s="9" t="s">
        <v>21</v>
      </c>
      <c r="AK6" s="9" t="s">
        <v>22</v>
      </c>
      <c r="AL6" s="9">
        <v>100.0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ReloadOrderFromBlotter!$4:$4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 t="str">
        <f>IFERROR(__xludf.DUMMYFUNCTION("""COMPUTED_VALUE"""),"TIF")</f>
        <v>TIF</v>
      </c>
      <c r="BI5" s="29" t="str">
        <f>IFERROR(__xludf.DUMMYFUNCTION("""COMPUTED_VALUE"""),"ACTIV Symbol")</f>
        <v>ACTIV Symbol</v>
      </c>
      <c r="BJ5" s="29" t="str">
        <f>IFERROR(__xludf.DUMMYFUNCTION("""COMPUTED_VALUE"""),"FactSet Symbol")</f>
        <v>FactSet Symbol</v>
      </c>
      <c r="BK5" s="29" t="str">
        <f>IFERROR(__xludf.DUMMYFUNCTION("""COMPUTED_VALUE"""),"MandatoryColumn")</f>
        <v>MandatoryColumn</v>
      </c>
      <c r="BL5" s="29" t="str">
        <f>IFERROR(__xludf.DUMMYFUNCTION("""COMPUTED_VALUE"""),"Rebalancer File Name")</f>
        <v>Rebalancer File Name</v>
      </c>
      <c r="BM5" s="29" t="str">
        <f>IFERROR(__xludf.DUMMYFUNCTION("""COMPUTED_VALUE"""),"Borrower ID")</f>
        <v>Borrower ID</v>
      </c>
      <c r="BN5" s="29" t="str">
        <f>IFERROR(__xludf.DUMMYFUNCTION("""COMPUTED_VALUE"""),"Borrow Rate(%)")</f>
        <v>Borrow Rate(%)</v>
      </c>
      <c r="BO5" s="29" t="str">
        <f>IFERROR(__xludf.DUMMYFUNCTION("""COMPUTED_VALUE"""),"Borrow Broker")</f>
        <v>Borrow Broker</v>
      </c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H6" s="9" t="s">
        <v>25</v>
      </c>
      <c r="AI6" s="9" t="s">
        <v>18</v>
      </c>
      <c r="AJ6" s="9" t="s">
        <v>21</v>
      </c>
      <c r="AK6" s="9" t="s">
        <v>22</v>
      </c>
      <c r="AL6" s="9">
        <v>100.0</v>
      </c>
      <c r="AQ6" s="9">
        <v>2.0</v>
      </c>
      <c r="AR6" s="9">
        <v>2.0</v>
      </c>
      <c r="AS6" s="9" t="s">
        <v>26</v>
      </c>
      <c r="AT6" s="9" t="s">
        <v>27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AH7" s="9" t="s">
        <v>25</v>
      </c>
      <c r="AI7" s="9" t="s">
        <v>18</v>
      </c>
      <c r="AJ7" s="9" t="s">
        <v>21</v>
      </c>
      <c r="AK7" s="9" t="s">
        <v>22</v>
      </c>
      <c r="AL7" s="9">
        <v>200.0</v>
      </c>
      <c r="BB7" s="31" t="s">
        <v>28</v>
      </c>
      <c r="BC7" s="32" t="s">
        <v>29</v>
      </c>
      <c r="BD7" s="33">
        <v>200.0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AH8" s="9" t="s">
        <v>25</v>
      </c>
      <c r="AI8" s="9" t="s">
        <v>16</v>
      </c>
      <c r="AJ8" s="9" t="s">
        <v>21</v>
      </c>
      <c r="AK8" s="9" t="s">
        <v>30</v>
      </c>
      <c r="AL8" s="9">
        <v>100.0</v>
      </c>
      <c r="BB8" s="31" t="s">
        <v>28</v>
      </c>
      <c r="BC8" s="29" t="s">
        <v>31</v>
      </c>
      <c r="BD8" s="33" t="s">
        <v>16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9">
        <v>200.0</v>
      </c>
      <c r="D6" s="12">
        <v>0.0</v>
      </c>
      <c r="E6" s="12" t="s">
        <v>33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