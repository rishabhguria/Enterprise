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<sst xmlns="http://schemas.openxmlformats.org/spreadsheetml/2006/main" count="773" uniqueCount="81">
  <si>
    <t>Settings</t>
  </si>
  <si>
    <t>Modules Info</t>
  </si>
  <si>
    <t>Master Data Info</t>
  </si>
  <si>
    <t>Module Step Setting File</t>
  </si>
  <si>
    <t>1BICZ_GcMhh_S937ZinFvSYqvvKYtOYB2Bc4woEPpgPg</t>
  </si>
  <si>
    <t>Master Data Settings File</t>
  </si>
  <si>
    <t>Modules</t>
  </si>
  <si>
    <t>Module</t>
  </si>
  <si>
    <t>Step</t>
  </si>
  <si>
    <t>Master Data Sheet</t>
  </si>
  <si>
    <t>1Nt_rf5DtgjbN9Ag4AMMlUkZYROxKZLH5m54YOl7tRT0</t>
  </si>
  <si>
    <t>Data</t>
  </si>
  <si>
    <t>GeneralLedger</t>
  </si>
  <si>
    <t>GetNonTradingTransaction</t>
  </si>
  <si>
    <t>AddNonTradingTransaction</t>
  </si>
  <si>
    <t>Data Format</t>
  </si>
  <si>
    <t>Input Format</t>
  </si>
  <si>
    <t>Allocation1</t>
  </si>
  <si>
    <t>USD</t>
  </si>
  <si>
    <t>Cash [Cash]</t>
  </si>
  <si>
    <t>M</t>
  </si>
  <si>
    <t>Cash Deposit [Equity]</t>
  </si>
  <si>
    <t>DailyValuation</t>
  </si>
  <si>
    <t>TradingTicket</t>
  </si>
  <si>
    <t>GetMarkPriceData</t>
  </si>
  <si>
    <t>CreateDoneAwayOrder</t>
  </si>
  <si>
    <t>AAPL</t>
  </si>
  <si>
    <t>Sell short</t>
  </si>
  <si>
    <t>MS</t>
  </si>
  <si>
    <t>Flat Amount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</si>
  <si>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</si>
  <si>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</si>
  <si>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</si>
  <si>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</si>
  <si>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</si>
  <si>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</si>
  <si>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UnRealized PNL Entry</t>
  </si>
  <si>
    <t>Equity Short Revaluation [Asset]</t>
  </si>
  <si>
    <t>Contra UnRealized PNL Entry</t>
  </si>
  <si>
    <t>VerifyTradingTransaction</t>
  </si>
  <si>
    <t>DR</t>
  </si>
  <si>
    <t>Trading</t>
  </si>
  <si>
    <t>Investment - Short Equity [Liability]</t>
  </si>
  <si>
    <t>GetActivityData</t>
  </si>
  <si>
    <t>CR</t>
  </si>
  <si>
    <t>CorporateAction</t>
  </si>
  <si>
    <t>OpenSpinOff</t>
  </si>
  <si>
    <t>SpinOff</t>
  </si>
  <si>
    <t>VerifyActivity</t>
  </si>
  <si>
    <t>Revaluation</t>
  </si>
  <si>
    <t>EquityShortUnRealizedPNL</t>
  </si>
  <si>
    <t>Cash</t>
  </si>
  <si>
    <t>VerifyAndApplyCorpAction</t>
  </si>
  <si>
    <t>NonTrading</t>
  </si>
  <si>
    <t>unknown5</t>
  </si>
  <si>
    <t>Manual Journal Entry</t>
  </si>
  <si>
    <t>EquityS</t>
  </si>
  <si>
    <t>SellShort</t>
  </si>
  <si>
    <t>Buy to Close</t>
  </si>
  <si>
    <t>BuytoClose</t>
  </si>
  <si>
    <t>MSFT</t>
  </si>
  <si>
    <t>CloseAtGivenPrice</t>
  </si>
  <si>
    <t>Closing</t>
  </si>
  <si>
    <t>GetDataClosing</t>
  </si>
  <si>
    <t>Historical</t>
  </si>
  <si>
    <t>FX_Settled</t>
  </si>
  <si>
    <t>Cash In Lieu</t>
  </si>
  <si>
    <t>VerifyShortPositionsGrid</t>
  </si>
  <si>
    <t>Allocation</t>
  </si>
  <si>
    <t>GetDataAllocation</t>
  </si>
  <si>
    <t>CheckAllocatedGroups</t>
  </si>
  <si>
    <t>Equity</t>
  </si>
  <si>
    <t>ShortAddition</t>
  </si>
  <si>
    <t>APPLE</t>
  </si>
  <si>
    <t>Strategy Unallocated</t>
  </si>
  <si>
    <t>US</t>
  </si>
  <si>
    <t>MICROSOFT INC</t>
  </si>
  <si>
    <t>Manual</t>
  </si>
  <si>
    <t>Open</t>
  </si>
  <si>
    <t>NASDAQ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</si>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</sst>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5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2" fillId="0" fontId="6" numFmtId="0" xfId="0" applyAlignment="1" applyBorder="1" applyFont="1">
      <alignment vertical="bottom"/>
    </xf>
    <xf borderId="0" fillId="0" fontId="3" numFmtId="164" xfId="0" applyAlignment="1" applyFont="1" applyNumberFormat="1">
      <alignment horizontal="right" vertical="bottom"/>
    </xf>
    <xf borderId="6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7" fillId="6" fontId="13" numFmtId="165" xfId="0" applyAlignment="1" applyBorder="1" applyFill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6" fontId="13" numFmtId="166" xfId="0" applyAlignment="1" applyBorder="1" applyFont="1" applyNumberFormat="1">
      <alignment horizontal="left" readingOrder="0" shrinkToFit="0" wrapText="0"/>
    </xf>
    <xf borderId="7" fillId="7" fontId="13" numFmtId="0" xfId="0" applyAlignment="1" applyBorder="1" applyFill="1" applyFont="1">
      <alignment horizontal="left" readingOrder="0" shrinkToFit="0" wrapText="0"/>
    </xf>
    <xf borderId="7" fillId="7" fontId="15" numFmtId="0" xfId="0" applyAlignment="1" applyBorder="1" applyFont="1">
      <alignment horizontal="right" readingOrder="0" shrinkToFit="0" wrapText="0"/>
    </xf>
    <xf borderId="7" fillId="7" fontId="13" numFmtId="0" xfId="0" applyAlignment="1" applyBorder="1" applyFont="1">
      <alignment horizontal="right" readingOrder="0" shrinkToFit="0" wrapText="0"/>
    </xf>
    <xf borderId="7" fillId="7" fontId="13" numFmtId="166" xfId="0" applyAlignment="1" applyBorder="1" applyFont="1" applyNumberFormat="1">
      <alignment horizontal="left" readingOrder="0" shrinkToFit="0" wrapText="0"/>
    </xf>
    <xf borderId="7" fillId="6" fontId="16" numFmtId="165" xfId="0" applyAlignment="1" applyBorder="1" applyFont="1" applyNumberFormat="1">
      <alignment horizontal="left" readingOrder="0" shrinkToFit="0" wrapText="0"/>
    </xf>
    <xf borderId="7" fillId="6" fontId="16" numFmtId="0" xfId="0" applyAlignment="1" applyBorder="1" applyFont="1">
      <alignment horizontal="right" readingOrder="0" shrinkToFit="0" wrapText="0"/>
    </xf>
    <xf borderId="7" fillId="6" fontId="13" numFmtId="0" xfId="0" applyAlignment="1" applyBorder="1" applyFont="1">
      <alignment horizontal="left" shrinkToFit="0" wrapText="0"/>
    </xf>
    <xf borderId="7" fillId="7" fontId="17" numFmtId="0" xfId="0" applyAlignment="1" applyBorder="1" applyFont="1">
      <alignment horizontal="righ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8" fillId="6" fontId="13" numFmtId="0" xfId="0" applyAlignment="1" applyBorder="1" applyFont="1">
      <alignment horizontal="left" readingOrder="0" shrinkToFit="0" wrapText="0"/>
    </xf>
    <xf borderId="8" fillId="6" fontId="13" numFmtId="0" xfId="0" applyAlignment="1" applyBorder="1" applyFont="1">
      <alignment horizontal="right" readingOrder="0" shrinkToFit="0" wrapText="0"/>
    </xf>
    <xf borderId="8" fillId="6" fontId="13" numFmtId="166" xfId="0" applyAlignment="1" applyBorder="1" applyFont="1" applyNumberFormat="1">
      <alignment horizontal="left" readingOrder="0" shrinkToFit="0" wrapText="0"/>
    </xf>
    <xf borderId="8" fillId="6" fontId="13" numFmtId="0" xfId="0" applyAlignment="1" applyBorder="1" applyFont="1">
      <alignment horizontal="left" shrinkToFit="0" wrapText="0"/>
    </xf>
    <xf borderId="8" fillId="6" fontId="13" numFmtId="167" xfId="0" applyAlignment="1" applyBorder="1" applyFont="1" applyNumberFormat="1">
      <alignment horizontal="left" readingOrder="0" shrinkToFit="0" wrapText="0"/>
    </xf>
    <xf borderId="8" fillId="6" fontId="13" numFmtId="165" xfId="0" applyAlignment="1" applyBorder="1" applyFont="1" applyNumberFormat="1">
      <alignment horizontal="left" readingOrder="0" shrinkToFit="0" wrapText="0"/>
    </xf>
    <xf borderId="8" fillId="6" fontId="18" numFmtId="0" xfId="0" applyAlignment="1" applyBorder="1" applyFont="1">
      <alignment horizontal="left" readingOrder="0" shrinkToFit="0" wrapText="0"/>
    </xf>
    <xf borderId="8" fillId="8" fontId="13" numFmtId="0" xfId="0" applyAlignment="1" applyBorder="1" applyFill="1" applyFont="1">
      <alignment horizontal="left" readingOrder="0" shrinkToFit="0" wrapText="0"/>
    </xf>
    <xf borderId="8" fillId="8" fontId="13" numFmtId="0" xfId="0" applyAlignment="1" applyBorder="1" applyFont="1">
      <alignment horizontal="right" readingOrder="0" shrinkToFit="0" wrapText="0"/>
    </xf>
    <xf borderId="8" fillId="8" fontId="13" numFmtId="0" xfId="0" applyAlignment="1" applyBorder="1" applyFont="1">
      <alignment horizontal="left" shrinkToFit="0" wrapText="0"/>
    </xf>
    <xf borderId="8" fillId="8" fontId="13" numFmtId="166" xfId="0" applyAlignment="1" applyBorder="1" applyFont="1" applyNumberFormat="1">
      <alignment horizontal="left" readingOrder="0" shrinkToFit="0" wrapText="0"/>
    </xf>
    <xf borderId="8" fillId="8" fontId="13" numFmtId="165" xfId="0" applyAlignment="1" applyBorder="1" applyFont="1" applyNumberFormat="1">
      <alignment horizontal="left" readingOrder="0" shrinkToFit="0" wrapText="0"/>
    </xf>
    <xf borderId="8" fillId="8" fontId="18" numFmtId="0" xfId="0" applyAlignment="1" applyBorder="1" applyFont="1">
      <alignment horizontal="left" readingOrder="0" shrinkToFit="0" wrapText="0"/>
    </xf>
    <xf borderId="8" fillId="6" fontId="16" numFmtId="0" xfId="0" applyAlignment="1" applyBorder="1" applyFont="1">
      <alignment horizontal="right" readingOrder="0" shrinkToFit="0" wrapText="0"/>
    </xf>
    <xf borderId="0" fillId="0" fontId="19" numFmtId="0" xfId="0" applyAlignment="1" applyFont="1">
      <alignment readingOrder="0" shrinkToFit="0" wrapText="0"/>
    </xf>
    <xf borderId="8" fillId="6" fontId="16" numFmtId="165" xfId="0" applyAlignment="1" applyBorder="1" applyFont="1" applyNumberFormat="1">
      <alignment horizontal="left" readingOrder="0" shrinkToFit="0" wrapText="0"/>
    </xf>
    <xf borderId="0" fillId="0" fontId="19" numFmtId="0" xfId="0" applyAlignment="1" applyFont="1">
      <alignment horizontal="right" readingOrder="0" shrinkToFit="0" wrapText="0"/>
    </xf>
    <xf borderId="0" fillId="0" fontId="19" numFmtId="165" xfId="0" applyAlignment="1" applyFont="1" applyNumberFormat="1">
      <alignment horizontal="right" readingOrder="0" shrinkToFit="0" wrapText="0"/>
    </xf>
    <xf borderId="8" fillId="8" fontId="13" numFmtId="167" xfId="0" applyAlignment="1" applyBorder="1" applyFont="1" applyNumberFormat="1">
      <alignment horizontal="left" readingOrder="0" shrinkToFit="0" wrapText="0"/>
    </xf>
    <xf borderId="0" fillId="0" fontId="19" numFmtId="166" xfId="0" applyAlignment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5" fillId="0" fontId="6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7" fillId="7" fontId="13" numFmtId="165" xfId="0" applyAlignment="1" applyBorder="1" applyFont="1" applyNumberFormat="1">
      <alignment horizontal="left" readingOrder="0" shrinkToFit="0" wrapText="0"/>
    </xf>
    <xf borderId="8" fillId="8" fontId="16" numFmtId="0" xfId="0" applyAlignment="1" applyBorder="1" applyFont="1">
      <alignment horizontal="right" readingOrder="0" shrinkToFit="0" wrapText="0"/>
    </xf>
    <xf borderId="0" fillId="0" fontId="19" numFmtId="11" xfId="0" applyAlignment="1" applyFont="1" applyNumberFormat="1">
      <alignment horizontal="righ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1</v>
      </c>
      <c r="B1" s="2"/>
      <c r="C1" s="2"/>
      <c r="D1" s="2"/>
      <c r="E1" s="2"/>
      <c r="F1" s="3"/>
    </row>
    <row r="2" ht="15.75" customHeight="1">
      <c r="A2" s="9"/>
      <c r="B2" s="9"/>
      <c r="C2" s="9"/>
      <c r="D2" s="9"/>
      <c r="E2" s="9"/>
      <c r="F2" s="9"/>
    </row>
    <row r="3" ht="15.75" customHeight="1">
      <c r="A3" s="5" t="s">
        <v>6</v>
      </c>
      <c r="B3" s="11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9" t="str">
        <f>IFERROR(__xludf.DUMMYFUNCTION("""COMPUTED_VALUE"""),"Allocate")</f>
        <v>Allocate</v>
      </c>
      <c r="C4" s="9" t="str">
        <f>IFERROR(__xludf.DUMMYFUNCTION("""COMPUTED_VALUE"""),"1g8wLprruaWRC_5pQcovqkv8ZCiMt5fspCOACibdkz7g")</f>
        <v>1g8wLprruaWRC_5pQcovqkv8ZCiMt5fspCOACibdkz7g</v>
      </c>
      <c r="D4" s="9" t="str">
        <f>IFERROR(__xludf.DUMMYFUNCTION("""COMPUTED_VALUE"""),"")</f>
        <v/>
      </c>
      <c r="E4" s="9" t="str">
        <f>IFERROR(__xludf.DUMMYFUNCTION("""COMPUTED_VALUE"""),"")</f>
        <v/>
      </c>
      <c r="F4" s="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9" t="str">
        <f>IFERROR(__xludf.DUMMYFUNCTION("""COMPUTED_VALUE"""),"CheckAllocatedGroups")</f>
        <v>CheckAllocatedGroups</v>
      </c>
      <c r="C5" s="9" t="str">
        <f>IFERROR(__xludf.DUMMYFUNCTION("""COMPUTED_VALUE"""),"1aecq-HMDoDkIInONjPC11z5TBFHyJhv4ro66e2ZOphg")</f>
        <v>1aecq-HMDoDkIInONjPC11z5TBFHyJhv4ro66e2ZOphg</v>
      </c>
      <c r="D5" s="9" t="str">
        <f>IFERROR(__xludf.DUMMYFUNCTION("""COMPUTED_VALUE"""),"")</f>
        <v/>
      </c>
      <c r="E5" s="9" t="str">
        <f>IFERROR(__xludf.DUMMYFUNCTION("""COMPUTED_VALUE"""),"")</f>
        <v/>
      </c>
      <c r="F5" s="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9" t="str">
        <f>IFERROR(__xludf.DUMMYFUNCTION("""COMPUTED_VALUE"""),"Allocation")</f>
        <v>Allocation</v>
      </c>
      <c r="B6" s="9" t="str">
        <f>IFERROR(__xludf.DUMMYFUNCTION("""COMPUTED_VALUE"""),"Unallocate")</f>
        <v>Unallocate</v>
      </c>
      <c r="C6" s="9" t="str">
        <f>IFERROR(__xludf.DUMMYFUNCTION("""COMPUTED_VALUE"""),"1eDZq-_vllq4jwvwpk9qGnwQUhlb-sFvyFKPBriT2dA0")</f>
        <v>1eDZq-_vllq4jwvwpk9qGnwQUhlb-sFvyFKPBriT2dA0</v>
      </c>
      <c r="D6" s="9" t="str">
        <f>IFERROR(__xludf.DUMMYFUNCTION("""COMPUTED_VALUE"""),"")</f>
        <v/>
      </c>
      <c r="E6" s="9" t="str">
        <f>IFERROR(__xludf.DUMMYFUNCTION("""COMPUTED_VALUE"""),"")</f>
        <v/>
      </c>
      <c r="F6" s="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9" t="str">
        <f>IFERROR(__xludf.DUMMYFUNCTION("""COMPUTED_VALUE"""),"Allocation")</f>
        <v>Allocation</v>
      </c>
      <c r="B7" s="9" t="str">
        <f>IFERROR(__xludf.DUMMYFUNCTION("""COMPUTED_VALUE"""),"GetDataAllocation")</f>
        <v>GetDataAllocation</v>
      </c>
      <c r="C7" s="9" t="str">
        <f>IFERROR(__xludf.DUMMYFUNCTION("""COMPUTED_VALUE"""),"1FBTO3wCB7odq-jpQMbYHgSrAL5-rFO2_kp9Kr2iXqXE")</f>
        <v>1FBTO3wCB7odq-jpQMbYHgSrAL5-rFO2_kp9Kr2iXqXE</v>
      </c>
      <c r="D7" s="9" t="str">
        <f>IFERROR(__xludf.DUMMYFUNCTION("""COMPUTED_VALUE"""),"")</f>
        <v/>
      </c>
      <c r="E7" s="9" t="str">
        <f>IFERROR(__xludf.DUMMYFUNCTION("""COMPUTED_VALUE"""),"")</f>
        <v/>
      </c>
      <c r="F7" s="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9" t="str">
        <f>IFERROR(__xludf.DUMMYFUNCTION("""COMPUTED_VALUE"""),"Allocation")</f>
        <v>Allocation</v>
      </c>
      <c r="B8" s="9" t="str">
        <f>IFERROR(__xludf.DUMMYFUNCTION("""COMPUTED_VALUE"""),"SelectAllocatedGroup")</f>
        <v>SelectAllocatedGroup</v>
      </c>
      <c r="C8" s="9" t="str">
        <f>IFERROR(__xludf.DUMMYFUNCTION("""COMPUTED_VALUE"""),"1G0ZkXDrIDX_loGmAyLs_Shy8hExtTELtFXERbX-HdPo")</f>
        <v>1G0ZkXDrIDX_loGmAyLs_Shy8hExtTELtFXERbX-HdPo</v>
      </c>
      <c r="D8" s="9" t="str">
        <f>IFERROR(__xludf.DUMMYFUNCTION("""COMPUTED_VALUE"""),"")</f>
        <v/>
      </c>
      <c r="E8" s="9" t="str">
        <f>IFERROR(__xludf.DUMMYFUNCTION("""COMPUTED_VALUE"""),"")</f>
        <v/>
      </c>
      <c r="F8" s="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9" t="str">
        <f>IFERROR(__xludf.DUMMYFUNCTION("""COMPUTED_VALUE"""),"Allocation")</f>
        <v>Allocation</v>
      </c>
      <c r="B9" s="9" t="str">
        <f>IFERROR(__xludf.DUMMYFUNCTION("""COMPUTED_VALUE"""),"EditTradesAllocated")</f>
        <v>EditTradesAllocated</v>
      </c>
      <c r="C9" s="9" t="str">
        <f>IFERROR(__xludf.DUMMYFUNCTION("""COMPUTED_VALUE"""),"1YgVZ1jEVgjUF1Dp8FAj_W_zLEZCyqvNMlWJIg0Tmkq4")</f>
        <v>1YgVZ1jEVgjUF1Dp8FAj_W_zLEZCyqvNMlWJIg0Tmkq4</v>
      </c>
      <c r="D9" s="9" t="str">
        <f>IFERROR(__xludf.DUMMYFUNCTION("""COMPUTED_VALUE"""),"")</f>
        <v/>
      </c>
      <c r="E9" s="9" t="str">
        <f>IFERROR(__xludf.DUMMYFUNCTION("""COMPUTED_VALUE"""),"")</f>
        <v/>
      </c>
      <c r="F9" s="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9" t="str">
        <f>IFERROR(__xludf.DUMMYFUNCTION("""COMPUTED_VALUE"""),"Allocation")</f>
        <v>Allocation</v>
      </c>
      <c r="B10" s="9" t="str">
        <f>IFERROR(__xludf.DUMMYFUNCTION("""COMPUTED_VALUE"""),"EditTradesUnallocated")</f>
        <v>EditTradesUnallocated</v>
      </c>
      <c r="C10" s="9" t="str">
        <f>IFERROR(__xludf.DUMMYFUNCTION("""COMPUTED_VALUE"""),"1MyB61T39MDAUyQqCUJLATzUT2f5UlE8nFq4ltWy_DJ4")</f>
        <v>1MyB61T39MDAUyQqCUJLATzUT2f5UlE8nFq4ltWy_DJ4</v>
      </c>
      <c r="D10" s="9" t="str">
        <f>IFERROR(__xludf.DUMMYFUNCTION("""COMPUTED_VALUE"""),"")</f>
        <v/>
      </c>
      <c r="E10" s="9" t="str">
        <f>IFERROR(__xludf.DUMMYFUNCTION("""COMPUTED_VALUE"""),"")</f>
        <v/>
      </c>
      <c r="F10" s="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9" t="str">
        <f>IFERROR(__xludf.DUMMYFUNCTION("""COMPUTED_VALUE"""),"Allocation")</f>
        <v>Allocation</v>
      </c>
      <c r="B11" s="9" t="str">
        <f>IFERROR(__xludf.DUMMYFUNCTION("""COMPUTED_VALUE"""),"Reallocate")</f>
        <v>Reallocate</v>
      </c>
      <c r="C11" s="9" t="str">
        <f>IFERROR(__xludf.DUMMYFUNCTION("""COMPUTED_VALUE"""),"undefined")</f>
        <v>undefined</v>
      </c>
      <c r="D11" s="9" t="str">
        <f>IFERROR(__xludf.DUMMYFUNCTION("""COMPUTED_VALUE"""),"")</f>
        <v/>
      </c>
      <c r="E11" s="9" t="str">
        <f>IFERROR(__xludf.DUMMYFUNCTION("""COMPUTED_VALUE"""),"")</f>
        <v/>
      </c>
      <c r="F11" s="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9" t="str">
        <f>IFERROR(__xludf.DUMMYFUNCTION("""COMPUTED_VALUE"""),"Blotter")</f>
        <v>Blotter</v>
      </c>
      <c r="B12" s="9" t="str">
        <f>IFERROR(__xludf.DUMMYFUNCTION("""COMPUTED_VALUE"""),"ReplaceFillsOnBlotter")</f>
        <v>ReplaceFillsOnBlotter</v>
      </c>
      <c r="C12" s="9" t="str">
        <f>IFERROR(__xludf.DUMMYFUNCTION("""COMPUTED_VALUE"""),"undefined")</f>
        <v>undefined</v>
      </c>
      <c r="D12" s="9" t="str">
        <f>IFERROR(__xludf.DUMMYFUNCTION("""COMPUTED_VALUE"""),"")</f>
        <v/>
      </c>
      <c r="E12" s="9" t="str">
        <f>IFERROR(__xludf.DUMMYFUNCTION("""COMPUTED_VALUE"""),"")</f>
        <v/>
      </c>
      <c r="F12" s="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9" t="str">
        <f>IFERROR(__xludf.DUMMYFUNCTION("""COMPUTED_VALUE"""),"Blotter")</f>
        <v>Blotter</v>
      </c>
      <c r="B13" s="9" t="str">
        <f>IFERROR(__xludf.DUMMYFUNCTION("""COMPUTED_VALUE"""),"CheckBlotter")</f>
        <v>CheckBlotter</v>
      </c>
      <c r="C13" s="9" t="str">
        <f>IFERROR(__xludf.DUMMYFUNCTION("""COMPUTED_VALUE"""),"16qheLbvgC92hKxalWDlpWfHBMyDDVqHERUCc7bQiO2A")</f>
        <v>16qheLbvgC92hKxalWDlpWfHBMyDDVqHERUCc7bQiO2A</v>
      </c>
      <c r="D13" s="9" t="str">
        <f>IFERROR(__xludf.DUMMYFUNCTION("""COMPUTED_VALUE"""),"")</f>
        <v/>
      </c>
      <c r="E13" s="9" t="str">
        <f>IFERROR(__xludf.DUMMYFUNCTION("""COMPUTED_VALUE"""),"")</f>
        <v/>
      </c>
      <c r="F13" s="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9" t="str">
        <f>IFERROR(__xludf.DUMMYFUNCTION("""COMPUTED_VALUE"""),"GeneralLedger")</f>
        <v>GeneralLedger</v>
      </c>
      <c r="B14" s="9" t="str">
        <f>IFERROR(__xludf.DUMMYFUNCTION("""COMPUTED_VALUE"""),"GetDataCash")</f>
        <v>GetDataCash</v>
      </c>
      <c r="C14" s="9" t="str">
        <f>IFERROR(__xludf.DUMMYFUNCTION("""COMPUTED_VALUE"""),"1zLd3ju-mV8f6PZiQUYLU-cAgAUwLwyoIAKuu0WgG2zI")</f>
        <v>1zLd3ju-mV8f6PZiQUYLU-cAgAUwLwyoIAKuu0WgG2zI</v>
      </c>
      <c r="D14" s="9" t="str">
        <f>IFERROR(__xludf.DUMMYFUNCTION("""COMPUTED_VALUE"""),"")</f>
        <v/>
      </c>
      <c r="E14" s="9" t="str">
        <f>IFERROR(__xludf.DUMMYFUNCTION("""COMPUTED_VALUE"""),"")</f>
        <v/>
      </c>
      <c r="F14" s="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9" t="str">
        <f>IFERROR(__xludf.DUMMYFUNCTION("""COMPUTED_VALUE"""),"GeneralLedger")</f>
        <v>GeneralLedger</v>
      </c>
      <c r="B15" s="9" t="str">
        <f>IFERROR(__xludf.DUMMYFUNCTION("""COMPUTED_VALUE"""),"EnterCashDividends")</f>
        <v>EnterCashDividends</v>
      </c>
      <c r="C15" s="9" t="str">
        <f>IFERROR(__xludf.DUMMYFUNCTION("""COMPUTED_VALUE"""),"1sjDsI5FIL_l_G6osMJQ7e8auBgYd3R3JDaKWKV_8Og0")</f>
        <v>1sjDsI5FIL_l_G6osMJQ7e8auBgYd3R3JDaKWKV_8Og0</v>
      </c>
      <c r="D15" s="9" t="str">
        <f>IFERROR(__xludf.DUMMYFUNCTION("""COMPUTED_VALUE"""),"")</f>
        <v/>
      </c>
      <c r="E15" s="9" t="str">
        <f>IFERROR(__xludf.DUMMYFUNCTION("""COMPUTED_VALUE"""),"")</f>
        <v/>
      </c>
      <c r="F15" s="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9" t="str">
        <f>IFERROR(__xludf.DUMMYFUNCTION("""COMPUTED_VALUE"""),"GeneralLedger")</f>
        <v>GeneralLedger</v>
      </c>
      <c r="B16" s="9" t="str">
        <f>IFERROR(__xludf.DUMMYFUNCTION("""COMPUTED_VALUE"""),"EnterNonTradingTransaction")</f>
        <v>EnterNonTradingTransaction</v>
      </c>
      <c r="C16" s="9" t="str">
        <f>IFERROR(__xludf.DUMMYFUNCTION("""COMPUTED_VALUE"""),"1xn1P_Z-3N4d2BC1SUPly2HiVZazly5ZQcS18BfaTyho")</f>
        <v>1xn1P_Z-3N4d2BC1SUPly2HiVZazly5ZQcS18BfaTyho</v>
      </c>
      <c r="D16" s="9" t="str">
        <f>IFERROR(__xludf.DUMMYFUNCTION("""COMPUTED_VALUE"""),"")</f>
        <v/>
      </c>
      <c r="E16" s="9" t="str">
        <f>IFERROR(__xludf.DUMMYFUNCTION("""COMPUTED_VALUE"""),"")</f>
        <v/>
      </c>
      <c r="F16" s="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9" t="str">
        <f>IFERROR(__xludf.DUMMYFUNCTION("""COMPUTED_VALUE"""),"GeneralLedger")</f>
        <v>GeneralLedger</v>
      </c>
      <c r="B17" s="9" t="str">
        <f>IFERROR(__xludf.DUMMYFUNCTION("""COMPUTED_VALUE"""),"VerifyCash")</f>
        <v>VerifyCash</v>
      </c>
      <c r="C17" s="9" t="str">
        <f>IFERROR(__xludf.DUMMYFUNCTION("""COMPUTED_VALUE"""),"1vlvYPsiFAWjsnFrbkGn_fAvkwF00V3e7htalalU6QN4")</f>
        <v>1vlvYPsiFAWjsnFrbkGn_fAvkwF00V3e7htalalU6QN4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9" t="str">
        <f>IFERROR(__xludf.DUMMYFUNCTION("""COMPUTED_VALUE"""),"GeneralLedger")</f>
        <v>GeneralLedger</v>
      </c>
      <c r="B18" s="9" t="str">
        <f>IFERROR(__xludf.DUMMYFUNCTION("""COMPUTED_VALUE"""),"VerifyActivity")</f>
        <v>VerifyActivity</v>
      </c>
      <c r="C18" s="9" t="str">
        <f>IFERROR(__xludf.DUMMYFUNCTION("""COMPUTED_VALUE"""),"1o2rCg2FuoAOT5Pl8i4iFP_TwpPm0UB1dd49GbpkytfM")</f>
        <v>1o2rCg2FuoAOT5Pl8i4iFP_TwpPm0UB1dd49GbpkytfM</v>
      </c>
      <c r="D18" s="9" t="str">
        <f>IFERROR(__xludf.DUMMYFUNCTION("""COMPUTED_VALUE"""),"")</f>
        <v/>
      </c>
      <c r="E18" s="9" t="str">
        <f>IFERROR(__xludf.DUMMYFUNCTION("""COMPUTED_VALUE"""),"")</f>
        <v/>
      </c>
      <c r="F18" s="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9" t="str">
        <f>IFERROR(__xludf.DUMMYFUNCTION("""COMPUTED_VALUE"""),"GeneralLedger")</f>
        <v>GeneralLedger</v>
      </c>
      <c r="B19" s="9" t="str">
        <f>IFERROR(__xludf.DUMMYFUNCTION("""COMPUTED_VALUE"""),"VerifyTradingTransaction")</f>
        <v>VerifyTradingTransaction</v>
      </c>
      <c r="C19" s="9" t="str">
        <f>IFERROR(__xludf.DUMMYFUNCTION("""COMPUTED_VALUE"""),"1_v2niCJ9VGNvgEBpvz030BFqEISSUhYRHyWcAJAn_Eg")</f>
        <v>1_v2niCJ9VGNvgEBpvz030BFqEISSUhYRHyWcAJAn_Eg</v>
      </c>
      <c r="D19" s="9" t="str">
        <f>IFERROR(__xludf.DUMMYFUNCTION("""COMPUTED_VALUE"""),"")</f>
        <v/>
      </c>
      <c r="E19" s="9" t="str">
        <f>IFERROR(__xludf.DUMMYFUNCTION("""COMPUTED_VALUE"""),"")</f>
        <v/>
      </c>
      <c r="F19" s="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9" t="str">
        <f>IFERROR(__xludf.DUMMYFUNCTION("""COMPUTED_VALUE"""),"GeneralLedger")</f>
        <v>GeneralLedger</v>
      </c>
      <c r="B20" s="9" t="str">
        <f>IFERROR(__xludf.DUMMYFUNCTION("""COMPUTED_VALUE"""),"VerifyRevaluationData")</f>
        <v>VerifyRevaluationData</v>
      </c>
      <c r="C20" s="9" t="str">
        <f>IFERROR(__xludf.DUMMYFUNCTION("""COMPUTED_VALUE"""),"1hsRs1-LY0akTrMe91ArnbLtk6GUy_bKxVwMYCaiMs-8")</f>
        <v>1hsRs1-LY0akTrMe91ArnbLtk6GUy_bKxVwMYCaiMs-8</v>
      </c>
      <c r="D20" s="9" t="str">
        <f>IFERROR(__xludf.DUMMYFUNCTION("""COMPUTED_VALUE"""),"")</f>
        <v/>
      </c>
      <c r="E20" s="9" t="str">
        <f>IFERROR(__xludf.DUMMYFUNCTION("""COMPUTED_VALUE"""),"")</f>
        <v/>
      </c>
      <c r="F20" s="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9" t="str">
        <f>IFERROR(__xludf.DUMMYFUNCTION("""COMPUTED_VALUE"""),"CorporateAction")</f>
        <v>CorporateAction</v>
      </c>
      <c r="B21" s="9" t="str">
        <f>IFERROR(__xludf.DUMMYFUNCTION("""COMPUTED_VALUE"""),"CorporateAction")</f>
        <v>CorporateAction</v>
      </c>
      <c r="C21" s="9" t="str">
        <f>IFERROR(__xludf.DUMMYFUNCTION("""COMPUTED_VALUE"""),"14rwUHTx4auE_hf60WN-tNOx3atNg7QGvErWNwVQIRqE")</f>
        <v>14rwUHTx4auE_hf60WN-tNOx3atNg7QGvErWNwVQIRqE</v>
      </c>
      <c r="D21" s="9" t="str">
        <f>IFERROR(__xludf.DUMMYFUNCTION("""COMPUTED_VALUE"""),"")</f>
        <v/>
      </c>
      <c r="E21" s="9" t="str">
        <f>IFERROR(__xludf.DUMMYFUNCTION("""COMPUTED_VALUE"""),"")</f>
        <v/>
      </c>
      <c r="F21" s="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9" t="str">
        <f>IFERROR(__xludf.DUMMYFUNCTION("""COMPUTED_VALUE"""),"CreateTransaction")</f>
        <v>CreateTransaction</v>
      </c>
      <c r="B22" s="9" t="str">
        <f>IFERROR(__xludf.DUMMYFUNCTION("""COMPUTED_VALUE"""),"CreateTransaction")</f>
        <v>CreateTransaction</v>
      </c>
      <c r="C22" s="9" t="str">
        <f>IFERROR(__xludf.DUMMYFUNCTION("""COMPUTED_VALUE"""),"1amshi8Ns36lsDpccBK0y_9bL_pQ2rHdGNYypcgzceUg")</f>
        <v>1amshi8Ns36lsDpccBK0y_9bL_pQ2rHdGNYypcgzceUg</v>
      </c>
      <c r="D22" s="9" t="str">
        <f>IFERROR(__xludf.DUMMYFUNCTION("""COMPUTED_VALUE"""),"")</f>
        <v/>
      </c>
      <c r="E22" s="9" t="str">
        <f>IFERROR(__xludf.DUMMYFUNCTION("""COMPUTED_VALUE"""),"")</f>
        <v/>
      </c>
      <c r="F22" s="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9" t="str">
        <f>IFERROR(__xludf.DUMMYFUNCTION("""COMPUTED_VALUE"""),"DailyValuation")</f>
        <v>DailyValuation</v>
      </c>
      <c r="B23" s="9" t="str">
        <f>IFERROR(__xludf.DUMMYFUNCTION("""COMPUTED_VALUE"""),"UpdateBeta")</f>
        <v>UpdateBeta</v>
      </c>
      <c r="C23" s="9" t="str">
        <f>IFERROR(__xludf.DUMMYFUNCTION("""COMPUTED_VALUE"""),"1YKttwHsdIskNDoo0Sl7HF2DWikROW-KA05qfT3GLIyI")</f>
        <v>1YKttwHsdIskNDoo0Sl7HF2DWikROW-KA05qfT3GLIyI</v>
      </c>
      <c r="D23" s="9" t="str">
        <f>IFERROR(__xludf.DUMMYFUNCTION("""COMPUTED_VALUE"""),"")</f>
        <v/>
      </c>
      <c r="E23" s="9" t="str">
        <f>IFERROR(__xludf.DUMMYFUNCTION("""COMPUTED_VALUE"""),"")</f>
        <v/>
      </c>
      <c r="F23" s="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9" t="str">
        <f>IFERROR(__xludf.DUMMYFUNCTION("""COMPUTED_VALUE"""),"DailyValuation")</f>
        <v>DailyValuation</v>
      </c>
      <c r="B24" s="9" t="str">
        <f>IFERROR(__xludf.DUMMYFUNCTION("""COMPUTED_VALUE"""),"UpdateDailyCash")</f>
        <v>UpdateDailyCash</v>
      </c>
      <c r="C24" s="9" t="str">
        <f>IFERROR(__xludf.DUMMYFUNCTION("""COMPUTED_VALUE"""),"1YJ2rTp-OqQTGjubvs_cBC6fl0l94pyHI2eaLJzbddS4")</f>
        <v>1YJ2rTp-OqQTGjubvs_cBC6fl0l94pyHI2eaLJzbddS4</v>
      </c>
      <c r="D24" s="9" t="str">
        <f>IFERROR(__xludf.DUMMYFUNCTION("""COMPUTED_VALUE"""),"")</f>
        <v/>
      </c>
      <c r="E24" s="9" t="str">
        <f>IFERROR(__xludf.DUMMYFUNCTION("""COMPUTED_VALUE"""),"")</f>
        <v/>
      </c>
      <c r="F24" s="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9" t="str">
        <f>IFERROR(__xludf.DUMMYFUNCTION("""COMPUTED_VALUE"""),"DailyValuation")</f>
        <v>DailyValuation</v>
      </c>
      <c r="B25" s="9" t="str">
        <f>IFERROR(__xludf.DUMMYFUNCTION("""COMPUTED_VALUE"""),"UpdateForexConversion")</f>
        <v>UpdateForexConversion</v>
      </c>
      <c r="C25" s="9" t="str">
        <f>IFERROR(__xludf.DUMMYFUNCTION("""COMPUTED_VALUE"""),"1mLyEfNTVFd65cnE6GfgCRD6TdpKg1BgqNIDjHCFzyO4")</f>
        <v>1mLyEfNTVFd65cnE6GfgCRD6TdpKg1BgqNIDjHCFzyO4</v>
      </c>
      <c r="D25" s="9" t="str">
        <f>IFERROR(__xludf.DUMMYFUNCTION("""COMPUTED_VALUE"""),"")</f>
        <v/>
      </c>
      <c r="E25" s="9" t="str">
        <f>IFERROR(__xludf.DUMMYFUNCTION("""COMPUTED_VALUE"""),"")</f>
        <v/>
      </c>
      <c r="F25" s="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9" t="str">
        <f>IFERROR(__xludf.DUMMYFUNCTION("""COMPUTED_VALUE"""),"DailyValuation")</f>
        <v>DailyValuation</v>
      </c>
      <c r="B26" s="9" t="str">
        <f>IFERROR(__xludf.DUMMYFUNCTION("""COMPUTED_VALUE"""),"UpdateMarkPrice")</f>
        <v>UpdateMarkPrice</v>
      </c>
      <c r="C26" s="9" t="str">
        <f>IFERROR(__xludf.DUMMYFUNCTION("""COMPUTED_VALUE"""),"1M8d9TyOhMnA65NSIYvS6dR68SH5RL6oKahd6uz7yp6c")</f>
        <v>1M8d9TyOhMnA65NSIYvS6dR68SH5RL6oKahd6uz7yp6c</v>
      </c>
      <c r="D26" s="9" t="str">
        <f>IFERROR(__xludf.DUMMYFUNCTION("""COMPUTED_VALUE"""),"")</f>
        <v/>
      </c>
      <c r="E26" s="9" t="str">
        <f>IFERROR(__xludf.DUMMYFUNCTION("""COMPUTED_VALUE"""),"")</f>
        <v/>
      </c>
      <c r="F26" s="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9" t="str">
        <f>IFERROR(__xludf.DUMMYFUNCTION("""COMPUTED_VALUE"""),"Import")</f>
        <v>Import</v>
      </c>
      <c r="B27" s="9" t="str">
        <f>IFERROR(__xludf.DUMMYFUNCTION("""COMPUTED_VALUE"""),"Import")</f>
        <v>Import</v>
      </c>
      <c r="C27" s="9" t="str">
        <f>IFERROR(__xludf.DUMMYFUNCTION("""COMPUTED_VALUE"""),"1Q5uOVYo1NMRks6hQRJuV8XWMPb6VFEAbSzpgP1dot1I")</f>
        <v>1Q5uOVYo1NMRks6hQRJuV8XWMPb6VFEAbSzpgP1dot1I</v>
      </c>
      <c r="D27" s="9" t="str">
        <f>IFERROR(__xludf.DUMMYFUNCTION("""COMPUTED_VALUE"""),"")</f>
        <v/>
      </c>
      <c r="E27" s="9" t="str">
        <f>IFERROR(__xludf.DUMMYFUNCTION("""COMPUTED_VALUE"""),"")</f>
        <v/>
      </c>
      <c r="F27" s="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9" t="str">
        <f>IFERROR(__xludf.DUMMYFUNCTION("""COMPUTED_VALUE"""),"PortfolioManagement")</f>
        <v>PortfolioManagement</v>
      </c>
      <c r="B28" s="9" t="str">
        <f>IFERROR(__xludf.DUMMYFUNCTION("""COMPUTED_VALUE"""),"CheckDashboardPM")</f>
        <v>CheckDashboardPM</v>
      </c>
      <c r="C28" s="9" t="str">
        <f>IFERROR(__xludf.DUMMYFUNCTION("""COMPUTED_VALUE"""),"1iqfUyYqyebXIeNBGljH7-T8whBcywTlkBBU3dBZV06s")</f>
        <v>1iqfUyYqyebXIeNBGljH7-T8whBcywTlkBBU3dBZV06s</v>
      </c>
      <c r="D28" s="9" t="str">
        <f>IFERROR(__xludf.DUMMYFUNCTION("""COMPUTED_VALUE"""),"")</f>
        <v/>
      </c>
      <c r="E28" s="9" t="str">
        <f>IFERROR(__xludf.DUMMYFUNCTION("""COMPUTED_VALUE"""),"")</f>
        <v/>
      </c>
      <c r="F28" s="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9" t="str">
        <f>IFERROR(__xludf.DUMMYFUNCTION("""COMPUTED_VALUE"""),"PortfolioManagement")</f>
        <v>PortfolioManagement</v>
      </c>
      <c r="B29" s="9" t="str">
        <f>IFERROR(__xludf.DUMMYFUNCTION("""COMPUTED_VALUE"""),"CheckPortfolioManagement")</f>
        <v>CheckPortfolioManagement</v>
      </c>
      <c r="C29" s="9" t="str">
        <f>IFERROR(__xludf.DUMMYFUNCTION("""COMPUTED_VALUE"""),"1u0XMlZJy_Slp7uXMwirinW7StOOdTcWD-D8V07sO0VA")</f>
        <v>1u0XMlZJy_Slp7uXMwirinW7StOOdTcWD-D8V07sO0VA</v>
      </c>
      <c r="D29" s="9" t="str">
        <f>IFERROR(__xludf.DUMMYFUNCTION("""COMPUTED_VALUE"""),"")</f>
        <v/>
      </c>
      <c r="E29" s="9" t="str">
        <f>IFERROR(__xludf.DUMMYFUNCTION("""COMPUTED_VALUE"""),"")</f>
        <v/>
      </c>
      <c r="F29" s="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9" t="str">
        <f>IFERROR(__xludf.DUMMYFUNCTION("""COMPUTED_VALUE"""),"PricingInput")</f>
        <v>PricingInput</v>
      </c>
      <c r="B30" s="9" t="str">
        <f>IFERROR(__xludf.DUMMYFUNCTION("""COMPUTED_VALUE"""),"PricingInput")</f>
        <v>PricingInput</v>
      </c>
      <c r="C30" s="9" t="str">
        <f>IFERROR(__xludf.DUMMYFUNCTION("""COMPUTED_VALUE"""),"1mh3Z5PifhJ3yzX8TPeoc3H3nteNiA0V2tWFse0rVChE")</f>
        <v>1mh3Z5PifhJ3yzX8TPeoc3H3nteNiA0V2tWFse0rVChE</v>
      </c>
      <c r="D30" s="9" t="str">
        <f>IFERROR(__xludf.DUMMYFUNCTION("""COMPUTED_VALUE"""),"")</f>
        <v/>
      </c>
      <c r="E30" s="9" t="str">
        <f>IFERROR(__xludf.DUMMYFUNCTION("""COMPUTED_VALUE"""),"")</f>
        <v/>
      </c>
      <c r="F30" s="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9" t="str">
        <f>IFERROR(__xludf.DUMMYFUNCTION("""COMPUTED_VALUE"""),"PricingInput")</f>
        <v>PricingInput</v>
      </c>
      <c r="B31" s="9" t="str">
        <f>IFERROR(__xludf.DUMMYFUNCTION("""COMPUTED_VALUE"""),"UpdateSharesOutstanding")</f>
        <v>UpdateSharesOutstanding</v>
      </c>
      <c r="C31" s="9" t="str">
        <f>IFERROR(__xludf.DUMMYFUNCTION("""COMPUTED_VALUE"""),"1vmZ6v1OyZ8SSi8bqqjK3ap3KtM_yPA_SEcIQgYiRInY")</f>
        <v>1vmZ6v1OyZ8SSi8bqqjK3ap3KtM_yPA_SEcIQgYiRInY</v>
      </c>
      <c r="D31" s="9" t="str">
        <f>IFERROR(__xludf.DUMMYFUNCTION("""COMPUTED_VALUE"""),"")</f>
        <v/>
      </c>
      <c r="E31" s="9" t="str">
        <f>IFERROR(__xludf.DUMMYFUNCTION("""COMPUTED_VALUE"""),"")</f>
        <v/>
      </c>
      <c r="F31" s="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9" t="str">
        <f>IFERROR(__xludf.DUMMYFUNCTION("""COMPUTED_VALUE"""),"SymbolLookup")</f>
        <v>SymbolLookup</v>
      </c>
      <c r="B32" s="9" t="str">
        <f>IFERROR(__xludf.DUMMYFUNCTION("""COMPUTED_VALUE"""),"VerifySymbolLookUp")</f>
        <v>VerifySymbolLookUp</v>
      </c>
      <c r="C32" s="9" t="str">
        <f>IFERROR(__xludf.DUMMYFUNCTION("""COMPUTED_VALUE"""),"1OiI1Pi_JAFOFi8ByMaD3_qqEXSv6yQMo_u6aGTozbl8")</f>
        <v>1OiI1Pi_JAFOFi8ByMaD3_qqEXSv6yQMo_u6aGTozbl8</v>
      </c>
      <c r="D32" s="9" t="str">
        <f>IFERROR(__xludf.DUMMYFUNCTION("""COMPUTED_VALUE"""),"")</f>
        <v/>
      </c>
      <c r="E32" s="9" t="str">
        <f>IFERROR(__xludf.DUMMYFUNCTION("""COMPUTED_VALUE"""),"")</f>
        <v/>
      </c>
      <c r="F32" s="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9" t="str">
        <f>IFERROR(__xludf.DUMMYFUNCTION("""COMPUTED_VALUE"""),"SymbolLookup")</f>
        <v>SymbolLookup</v>
      </c>
      <c r="B33" s="9" t="str">
        <f>IFERROR(__xludf.DUMMYFUNCTION("""COMPUTED_VALUE"""),"SymbolLookupFromTT")</f>
        <v>SymbolLookupFromTT</v>
      </c>
      <c r="C33" s="9" t="str">
        <f>IFERROR(__xludf.DUMMYFUNCTION("""COMPUTED_VALUE"""),"1ubfvE9sHq5KpJ9NazeH96CrVMJqAuol5Ya9GPjxWrgI")</f>
        <v>1ubfvE9sHq5KpJ9NazeH96CrVMJqAuol5Ya9GPjxWrgI</v>
      </c>
      <c r="D33" s="9" t="str">
        <f>IFERROR(__xludf.DUMMYFUNCTION("""COMPUTED_VALUE"""),"")</f>
        <v/>
      </c>
      <c r="E33" s="9" t="str">
        <f>IFERROR(__xludf.DUMMYFUNCTION("""COMPUTED_VALUE"""),"")</f>
        <v/>
      </c>
      <c r="F33" s="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10" t="s">
        <v>5</v>
      </c>
      <c r="B4" s="6" t="s">
        <v>10</v>
      </c>
      <c r="C4" s="4"/>
    </row>
    <row r="5" ht="15.75" customHeight="1">
      <c r="A5" s="16"/>
      <c r="B5" s="4"/>
      <c r="C5" s="4"/>
    </row>
    <row r="6" ht="15.75" customHeight="1">
      <c r="A6" s="16"/>
      <c r="B6" s="4"/>
      <c r="C6" s="4"/>
    </row>
    <row r="7" ht="15.75" customHeight="1">
      <c r="A7" s="16"/>
      <c r="B7" s="4"/>
      <c r="C7" s="4"/>
    </row>
    <row r="8" ht="15.75" customHeight="1">
      <c r="A8" s="16"/>
      <c r="B8" s="4"/>
      <c r="C8" s="4"/>
    </row>
    <row r="9" ht="15.75" customHeight="1">
      <c r="A9" s="16"/>
      <c r="B9" s="4"/>
      <c r="C9" s="4"/>
    </row>
    <row r="10" ht="15.75" customHeight="1">
      <c r="A10" s="16"/>
      <c r="B10" s="4"/>
      <c r="C10" s="4"/>
    </row>
    <row r="11" ht="15.75" customHeight="1">
      <c r="A11" s="16"/>
      <c r="B11" s="4"/>
      <c r="C11" s="4"/>
    </row>
    <row r="12" ht="15.75" customHeight="1">
      <c r="A12" s="16"/>
      <c r="B12" s="4"/>
      <c r="C12" s="4"/>
    </row>
    <row r="13" ht="15.75" customHeight="1">
      <c r="A13" s="16"/>
      <c r="B13" s="4"/>
      <c r="C13" s="4"/>
    </row>
    <row r="14" ht="15.75" customHeight="1">
      <c r="A14" s="16"/>
      <c r="B14" s="4"/>
      <c r="C14" s="4"/>
    </row>
    <row r="15" ht="15.75" customHeight="1">
      <c r="A15" s="16"/>
      <c r="B15" s="4"/>
      <c r="C15" s="4"/>
    </row>
    <row r="16" ht="15.75" customHeight="1">
      <c r="A16" s="16"/>
      <c r="B16" s="4"/>
      <c r="C16" s="4"/>
    </row>
    <row r="17" ht="15.75" customHeight="1">
      <c r="A17" s="16"/>
      <c r="B17" s="4"/>
      <c r="C17" s="4"/>
    </row>
    <row r="18" ht="15.75" customHeight="1">
      <c r="A18" s="16"/>
      <c r="B18" s="4"/>
      <c r="C18" s="4"/>
    </row>
    <row r="19" ht="15.75" customHeight="1">
      <c r="A19" s="16"/>
      <c r="B19" s="4"/>
      <c r="C19" s="4"/>
    </row>
    <row r="20" ht="15.75" customHeight="1">
      <c r="A20" s="16"/>
      <c r="B20" s="4"/>
      <c r="C20" s="4"/>
    </row>
    <row r="21" ht="15.75" customHeight="1">
      <c r="A21" s="16"/>
      <c r="B21" s="4"/>
      <c r="C21" s="4"/>
    </row>
    <row r="22" ht="15.75" customHeight="1">
      <c r="A22" s="16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9"/>
      <c r="B2" s="9"/>
      <c r="C2" s="9"/>
      <c r="D2" s="9"/>
      <c r="E2" s="9"/>
      <c r="F2" s="9"/>
    </row>
    <row r="3">
      <c r="A3" s="10" t="s">
        <v>7</v>
      </c>
      <c r="B3" s="12" t="s">
        <v>8</v>
      </c>
      <c r="C3" s="12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43871.0</v>
      </c>
      <c r="E6" s="31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>
        <v>43871.0</v>
      </c>
      <c r="C6" s="32" t="s">
        <v>17</v>
      </c>
      <c r="D6" s="30"/>
      <c r="E6" s="32" t="s">
        <v>18</v>
      </c>
      <c r="F6" s="32" t="s">
        <v>19</v>
      </c>
      <c r="G6" s="32"/>
      <c r="H6" s="34">
        <v>500000.0</v>
      </c>
      <c r="I6" s="32"/>
      <c r="J6" s="34">
        <v>1.0</v>
      </c>
      <c r="K6" s="32" t="s">
        <v>20</v>
      </c>
      <c r="L6" s="32"/>
      <c r="M6" s="32"/>
      <c r="N6" s="32"/>
      <c r="O6" s="32"/>
      <c r="P6" s="32"/>
      <c r="Q6" s="32"/>
      <c r="R6" s="34">
        <v>500000.0</v>
      </c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>
        <v>43871.0</v>
      </c>
      <c r="C7" s="33" t="s">
        <v>17</v>
      </c>
      <c r="D7" s="33"/>
      <c r="E7" s="33" t="s">
        <v>18</v>
      </c>
      <c r="F7" s="37" t="s">
        <v>21</v>
      </c>
      <c r="G7" s="33"/>
      <c r="H7" s="33"/>
      <c r="I7" s="38">
        <v>500000.0</v>
      </c>
      <c r="J7" s="38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8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23</v>
      </c>
      <c r="D3" s="5" t="s">
        <v>8</v>
      </c>
      <c r="E3" s="21" t="s">
        <v>25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6" t="s">
        <v>27</v>
      </c>
      <c r="D6" s="40">
        <v>105.0</v>
      </c>
      <c r="E6" s="34">
        <v>105.0</v>
      </c>
      <c r="F6" s="32"/>
      <c r="G6" s="32" t="s">
        <v>28</v>
      </c>
      <c r="H6" s="32"/>
      <c r="I6" s="32"/>
      <c r="J6" s="34">
        <v>300.0</v>
      </c>
      <c r="K6" s="32"/>
      <c r="L6" s="32"/>
      <c r="M6" s="32"/>
      <c r="N6" s="31">
        <v>43871.0</v>
      </c>
      <c r="O6" s="32"/>
      <c r="P6" s="32"/>
      <c r="Q6" s="32"/>
      <c r="R6" s="32" t="s">
        <v>29</v>
      </c>
      <c r="S6" s="41">
        <v>2.5</v>
      </c>
      <c r="T6" s="33" t="s">
        <v>29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17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>
        <v>43871.0</v>
      </c>
      <c r="C6" s="31">
        <v>43871.0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30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300.0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43871.0</v>
      </c>
      <c r="E6" s="31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43871.0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>
        <v>43872.0</v>
      </c>
      <c r="C6" s="31">
        <v>43872.0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30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305.0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31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43872.0</v>
      </c>
      <c r="E6" s="3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43871.0</v>
      </c>
      <c r="E6" s="3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4">
        <v>43871.0</v>
      </c>
      <c r="C6" s="45" t="s">
        <v>17</v>
      </c>
      <c r="D6" s="45" t="s">
        <v>26</v>
      </c>
      <c r="E6" s="45" t="s">
        <v>18</v>
      </c>
      <c r="F6" s="45" t="s">
        <v>35</v>
      </c>
      <c r="G6" s="46">
        <v>24.02</v>
      </c>
      <c r="H6" s="47">
        <v>0.0</v>
      </c>
      <c r="I6" s="48"/>
      <c r="J6" s="48"/>
      <c r="K6" s="45"/>
      <c r="L6" s="46"/>
      <c r="M6" s="45"/>
      <c r="N6" s="45"/>
      <c r="O6" s="45"/>
      <c r="P6" s="45"/>
      <c r="Q6" s="45" t="s">
        <v>36</v>
      </c>
      <c r="R6" s="46">
        <v>24.02</v>
      </c>
      <c r="S6" s="46">
        <v>0.0</v>
      </c>
    </row>
    <row r="7" ht="15.75" customHeight="1">
      <c r="A7" s="4"/>
      <c r="B7" s="44">
        <v>43871.0</v>
      </c>
      <c r="C7" s="45" t="s">
        <v>17</v>
      </c>
      <c r="D7" s="45" t="s">
        <v>26</v>
      </c>
      <c r="E7" s="45" t="s">
        <v>18</v>
      </c>
      <c r="F7" s="49" t="s">
        <v>37</v>
      </c>
      <c r="G7" s="50">
        <v>0.0</v>
      </c>
      <c r="H7" s="51">
        <v>24.02</v>
      </c>
      <c r="I7" s="52"/>
      <c r="J7" s="52"/>
      <c r="K7" s="49"/>
      <c r="L7" s="51"/>
      <c r="M7" s="49"/>
      <c r="N7" s="49"/>
      <c r="O7" s="49"/>
      <c r="P7" s="49"/>
      <c r="Q7" s="45" t="s">
        <v>36</v>
      </c>
      <c r="R7" s="51">
        <v>0.0</v>
      </c>
      <c r="S7" s="51">
        <v>24.02</v>
      </c>
    </row>
    <row r="8" ht="15.75" customHeight="1">
      <c r="A8" s="4"/>
      <c r="B8" s="44">
        <v>43872.0</v>
      </c>
      <c r="C8" s="45" t="s">
        <v>17</v>
      </c>
      <c r="D8" s="45" t="s">
        <v>26</v>
      </c>
      <c r="E8" s="45" t="s">
        <v>18</v>
      </c>
      <c r="F8" s="45" t="s">
        <v>35</v>
      </c>
      <c r="G8" s="46">
        <v>549.02</v>
      </c>
      <c r="H8" s="47">
        <v>0.0</v>
      </c>
      <c r="I8" s="48"/>
      <c r="J8" s="48"/>
      <c r="K8" s="45"/>
      <c r="L8" s="46"/>
      <c r="M8" s="45"/>
      <c r="N8" s="45"/>
      <c r="O8" s="45"/>
      <c r="P8" s="45"/>
      <c r="Q8" s="45" t="s">
        <v>36</v>
      </c>
      <c r="R8" s="46">
        <v>549.02</v>
      </c>
      <c r="S8" s="46">
        <v>0.0</v>
      </c>
    </row>
    <row r="9" ht="15.75" customHeight="1">
      <c r="A9" s="4"/>
      <c r="B9" s="44">
        <v>43872.0</v>
      </c>
      <c r="C9" s="45" t="s">
        <v>17</v>
      </c>
      <c r="D9" s="45" t="s">
        <v>26</v>
      </c>
      <c r="E9" s="45" t="s">
        <v>18</v>
      </c>
      <c r="F9" s="49" t="s">
        <v>37</v>
      </c>
      <c r="G9" s="50">
        <v>0.0</v>
      </c>
      <c r="H9" s="51">
        <v>549.02</v>
      </c>
      <c r="I9" s="52"/>
      <c r="J9" s="52"/>
      <c r="K9" s="49"/>
      <c r="L9" s="51"/>
      <c r="M9" s="49"/>
      <c r="N9" s="49"/>
      <c r="O9" s="49"/>
      <c r="P9" s="49"/>
      <c r="Q9" s="45" t="s">
        <v>36</v>
      </c>
      <c r="R9" s="51">
        <v>0.0</v>
      </c>
      <c r="S9" s="51">
        <v>549.02</v>
      </c>
    </row>
    <row r="10" ht="15.75" customHeight="1">
      <c r="A10" s="4"/>
      <c r="B10" s="44">
        <v>43872.0</v>
      </c>
      <c r="C10" s="45" t="s">
        <v>17</v>
      </c>
      <c r="D10" s="45" t="s">
        <v>26</v>
      </c>
      <c r="E10" s="45" t="s">
        <v>18</v>
      </c>
      <c r="F10" s="45" t="s">
        <v>37</v>
      </c>
      <c r="G10" s="46">
        <v>24.02</v>
      </c>
      <c r="H10" s="47">
        <v>0.0</v>
      </c>
      <c r="I10" s="48"/>
      <c r="J10" s="48"/>
      <c r="K10" s="45"/>
      <c r="L10" s="46"/>
      <c r="M10" s="45"/>
      <c r="N10" s="45"/>
      <c r="O10" s="45"/>
      <c r="P10" s="45"/>
      <c r="Q10" s="45" t="s">
        <v>38</v>
      </c>
      <c r="R10" s="46">
        <v>24.02</v>
      </c>
      <c r="S10" s="46">
        <v>0.0</v>
      </c>
    </row>
    <row r="11" ht="15.75" customHeight="1">
      <c r="A11" s="4"/>
      <c r="B11" s="44">
        <v>43872.0</v>
      </c>
      <c r="C11" s="45" t="s">
        <v>17</v>
      </c>
      <c r="D11" s="45" t="s">
        <v>26</v>
      </c>
      <c r="E11" s="45" t="s">
        <v>18</v>
      </c>
      <c r="F11" s="49" t="s">
        <v>35</v>
      </c>
      <c r="G11" s="50">
        <v>0.0</v>
      </c>
      <c r="H11" s="51">
        <v>24.02</v>
      </c>
      <c r="I11" s="52"/>
      <c r="J11" s="52"/>
      <c r="K11" s="49"/>
      <c r="L11" s="51"/>
      <c r="M11" s="49"/>
      <c r="N11" s="49"/>
      <c r="O11" s="49"/>
      <c r="P11" s="49"/>
      <c r="Q11" s="45" t="s">
        <v>38</v>
      </c>
      <c r="R11" s="51">
        <v>0.0</v>
      </c>
      <c r="S11" s="51">
        <v>24.02</v>
      </c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39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3">
        <v>43871.0</v>
      </c>
      <c r="C6" s="48"/>
      <c r="D6" s="48"/>
      <c r="E6" s="54">
        <v>24.02</v>
      </c>
      <c r="F6" s="47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26</v>
      </c>
      <c r="N6" s="55"/>
      <c r="O6" s="54">
        <v>24.02</v>
      </c>
      <c r="P6" s="46">
        <v>0.0</v>
      </c>
      <c r="Q6" s="45" t="s">
        <v>42</v>
      </c>
      <c r="R6" s="45" t="s">
        <v>17</v>
      </c>
      <c r="S6" s="45"/>
    </row>
    <row r="7" ht="15.75" customHeight="1">
      <c r="A7" s="4"/>
      <c r="B7" s="53">
        <v>43871.0</v>
      </c>
      <c r="C7" s="52"/>
      <c r="D7" s="52"/>
      <c r="E7" s="56">
        <v>0.0</v>
      </c>
      <c r="F7" s="57">
        <v>24.02</v>
      </c>
      <c r="G7" s="51">
        <v>1.0</v>
      </c>
      <c r="H7" s="49" t="s">
        <v>20</v>
      </c>
      <c r="I7" s="49" t="s">
        <v>44</v>
      </c>
      <c r="J7" s="49" t="s">
        <v>41</v>
      </c>
      <c r="K7" s="45" t="s">
        <v>18</v>
      </c>
      <c r="L7" s="49" t="s">
        <v>18</v>
      </c>
      <c r="M7" s="45" t="s">
        <v>26</v>
      </c>
      <c r="N7" s="55"/>
      <c r="O7" s="51">
        <v>0.0</v>
      </c>
      <c r="P7" s="57">
        <v>24.02</v>
      </c>
      <c r="Q7" s="49" t="s">
        <v>19</v>
      </c>
      <c r="R7" s="45" t="s">
        <v>17</v>
      </c>
      <c r="S7" s="49"/>
    </row>
    <row r="8" ht="15.75" customHeight="1">
      <c r="A8" s="4"/>
      <c r="B8" s="53">
        <v>43871.0</v>
      </c>
      <c r="C8" s="48"/>
      <c r="D8" s="48"/>
      <c r="E8" s="46">
        <v>31500.0</v>
      </c>
      <c r="F8" s="47">
        <v>0.0</v>
      </c>
      <c r="G8" s="46">
        <v>1.0</v>
      </c>
      <c r="H8" s="45" t="s">
        <v>20</v>
      </c>
      <c r="I8" s="45" t="s">
        <v>40</v>
      </c>
      <c r="J8" s="45" t="s">
        <v>41</v>
      </c>
      <c r="K8" s="45" t="s">
        <v>18</v>
      </c>
      <c r="L8" s="45" t="s">
        <v>18</v>
      </c>
      <c r="M8" s="45" t="s">
        <v>26</v>
      </c>
      <c r="N8" s="55"/>
      <c r="O8" s="46">
        <v>31500.0</v>
      </c>
      <c r="P8" s="46">
        <v>0.0</v>
      </c>
      <c r="Q8" s="45" t="s">
        <v>19</v>
      </c>
      <c r="R8" s="45" t="s">
        <v>17</v>
      </c>
      <c r="S8" s="45"/>
    </row>
    <row r="9" ht="15.75" customHeight="1">
      <c r="A9" s="4"/>
      <c r="B9" s="53">
        <v>43871.0</v>
      </c>
      <c r="C9" s="52"/>
      <c r="D9" s="52"/>
      <c r="E9" s="50">
        <v>0.0</v>
      </c>
      <c r="F9" s="51">
        <v>31500.0</v>
      </c>
      <c r="G9" s="51">
        <v>1.0</v>
      </c>
      <c r="H9" s="49" t="s">
        <v>20</v>
      </c>
      <c r="I9" s="49" t="s">
        <v>44</v>
      </c>
      <c r="J9" s="49" t="s">
        <v>41</v>
      </c>
      <c r="K9" s="45" t="s">
        <v>18</v>
      </c>
      <c r="L9" s="49" t="s">
        <v>18</v>
      </c>
      <c r="M9" s="45" t="s">
        <v>26</v>
      </c>
      <c r="N9" s="55"/>
      <c r="O9" s="51">
        <v>0.0</v>
      </c>
      <c r="P9" s="51">
        <v>31500.0</v>
      </c>
      <c r="Q9" s="49" t="s">
        <v>42</v>
      </c>
      <c r="R9" s="45" t="s">
        <v>17</v>
      </c>
      <c r="S9" s="49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43871.0</v>
      </c>
      <c r="E6" s="3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4.86"/>
    <col customWidth="1" min="13" max="32" width="14.43"/>
    <col customWidth="1" min="33" max="33" width="26.14"/>
    <col customWidth="1" min="34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48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8" t="s">
        <v>17</v>
      </c>
      <c r="C6" s="58" t="s">
        <v>49</v>
      </c>
      <c r="D6" s="58" t="s">
        <v>50</v>
      </c>
      <c r="E6" s="59">
        <v>-24.02</v>
      </c>
      <c r="F6" s="59">
        <v>0.0</v>
      </c>
      <c r="G6" s="59">
        <v>0.0</v>
      </c>
      <c r="H6" s="58" t="s">
        <v>51</v>
      </c>
      <c r="I6" s="59"/>
      <c r="J6" s="59">
        <v>0.0</v>
      </c>
      <c r="K6" s="58" t="s">
        <v>18</v>
      </c>
      <c r="L6" s="58" t="s">
        <v>36</v>
      </c>
      <c r="M6" s="60"/>
      <c r="N6" s="58" t="s">
        <v>20</v>
      </c>
      <c r="O6" s="59">
        <v>1.0</v>
      </c>
      <c r="P6" s="61"/>
      <c r="Q6" s="60"/>
      <c r="R6" s="59"/>
      <c r="S6" s="59"/>
      <c r="T6" s="59"/>
      <c r="U6" s="59"/>
      <c r="V6" s="59">
        <v>0.0</v>
      </c>
      <c r="W6" s="59"/>
      <c r="X6" s="61"/>
      <c r="Y6" s="62"/>
      <c r="Z6" s="59">
        <v>0.0</v>
      </c>
      <c r="AA6" s="59">
        <v>0.0</v>
      </c>
      <c r="AB6" s="58" t="s">
        <v>26</v>
      </c>
      <c r="AC6" s="59">
        <v>0.0</v>
      </c>
      <c r="AD6" s="59">
        <v>0.0</v>
      </c>
      <c r="AE6" s="63">
        <v>43871.0</v>
      </c>
      <c r="AF6" s="59">
        <v>0.0</v>
      </c>
      <c r="AG6" s="64" t="s">
        <v>49</v>
      </c>
      <c r="AH6" s="58"/>
      <c r="AI6" s="61"/>
    </row>
    <row r="7" ht="15.75" customHeight="1">
      <c r="A7" s="4"/>
      <c r="B7" s="65" t="s">
        <v>17</v>
      </c>
      <c r="C7" s="65" t="s">
        <v>53</v>
      </c>
      <c r="D7" s="65" t="s">
        <v>54</v>
      </c>
      <c r="E7" s="66">
        <v>500000.0</v>
      </c>
      <c r="F7" s="66">
        <v>0.0</v>
      </c>
      <c r="G7" s="66">
        <v>0.0</v>
      </c>
      <c r="H7" s="65" t="s">
        <v>51</v>
      </c>
      <c r="I7" s="66"/>
      <c r="J7" s="66">
        <v>0.0</v>
      </c>
      <c r="K7" s="65" t="s">
        <v>18</v>
      </c>
      <c r="L7" s="67"/>
      <c r="M7" s="68"/>
      <c r="N7" s="65" t="s">
        <v>20</v>
      </c>
      <c r="O7" s="66">
        <v>1.0</v>
      </c>
      <c r="P7" s="67"/>
      <c r="Q7" s="68"/>
      <c r="R7" s="66"/>
      <c r="S7" s="66"/>
      <c r="T7" s="66"/>
      <c r="U7" s="66"/>
      <c r="V7" s="66">
        <v>0.0</v>
      </c>
      <c r="W7" s="66"/>
      <c r="X7" s="67"/>
      <c r="Y7" s="69"/>
      <c r="Z7" s="66">
        <v>0.0</v>
      </c>
      <c r="AA7" s="66">
        <v>0.0</v>
      </c>
      <c r="AB7" s="67"/>
      <c r="AC7" s="66">
        <v>0.0</v>
      </c>
      <c r="AD7" s="66">
        <v>0.0</v>
      </c>
      <c r="AE7" s="69">
        <v>43871.0</v>
      </c>
      <c r="AF7" s="66">
        <v>0.0</v>
      </c>
      <c r="AG7" s="70" t="s">
        <v>55</v>
      </c>
      <c r="AH7" s="65"/>
      <c r="AI7" s="67"/>
    </row>
    <row r="8" ht="15.75" customHeight="1">
      <c r="A8" s="4"/>
      <c r="B8" s="58" t="s">
        <v>17</v>
      </c>
      <c r="C8" s="58" t="s">
        <v>41</v>
      </c>
      <c r="D8" s="58" t="s">
        <v>56</v>
      </c>
      <c r="E8" s="71">
        <v>31475.98</v>
      </c>
      <c r="F8" s="59">
        <v>4.0</v>
      </c>
      <c r="G8" s="59">
        <v>5.0</v>
      </c>
      <c r="H8" s="58" t="s">
        <v>51</v>
      </c>
      <c r="I8" s="59"/>
      <c r="J8" s="59">
        <v>2.5</v>
      </c>
      <c r="K8" s="58" t="s">
        <v>18</v>
      </c>
      <c r="L8" s="61"/>
      <c r="M8" s="60"/>
      <c r="N8" s="58" t="s">
        <v>20</v>
      </c>
      <c r="O8" s="59">
        <v>1.0</v>
      </c>
      <c r="P8" s="61"/>
      <c r="Q8" s="60"/>
      <c r="R8" s="59"/>
      <c r="S8" s="59"/>
      <c r="T8" s="59"/>
      <c r="U8" s="59"/>
      <c r="V8" s="59">
        <v>105.0</v>
      </c>
      <c r="W8" s="59"/>
      <c r="X8" s="64" t="s">
        <v>18</v>
      </c>
      <c r="Y8" s="60"/>
      <c r="Z8" s="59">
        <v>7.5</v>
      </c>
      <c r="AA8" s="59">
        <v>0.0176</v>
      </c>
      <c r="AB8" s="58" t="s">
        <v>26</v>
      </c>
      <c r="AC8" s="59">
        <v>3.0</v>
      </c>
      <c r="AD8" s="59">
        <v>24.0176</v>
      </c>
      <c r="AE8" s="73">
        <v>43871.0</v>
      </c>
      <c r="AF8" s="59">
        <v>2.0</v>
      </c>
      <c r="AG8" s="64" t="s">
        <v>41</v>
      </c>
      <c r="AH8" s="61"/>
      <c r="AI8" s="61"/>
    </row>
    <row r="9" ht="15.75" customHeight="1">
      <c r="A9" s="4"/>
      <c r="B9" s="65" t="s">
        <v>17</v>
      </c>
      <c r="C9" s="65" t="s">
        <v>49</v>
      </c>
      <c r="D9" s="65" t="s">
        <v>50</v>
      </c>
      <c r="E9" s="66">
        <v>-549.02</v>
      </c>
      <c r="F9" s="66">
        <v>0.0</v>
      </c>
      <c r="G9" s="66">
        <v>0.0</v>
      </c>
      <c r="H9" s="65" t="s">
        <v>51</v>
      </c>
      <c r="I9" s="66"/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7"/>
      <c r="Q9" s="68"/>
      <c r="R9" s="66"/>
      <c r="S9" s="66"/>
      <c r="T9" s="66"/>
      <c r="U9" s="66"/>
      <c r="V9" s="66">
        <v>0.0</v>
      </c>
      <c r="W9" s="66"/>
      <c r="X9" s="67"/>
      <c r="Y9" s="76"/>
      <c r="Z9" s="66">
        <v>0.0</v>
      </c>
      <c r="AA9" s="66">
        <v>0.0</v>
      </c>
      <c r="AB9" s="65" t="s">
        <v>26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49</v>
      </c>
      <c r="AH9" s="65"/>
      <c r="AI9" s="67"/>
    </row>
    <row r="10" ht="15.75" customHeight="1">
      <c r="A10" s="4"/>
      <c r="B10" s="58" t="s">
        <v>17</v>
      </c>
      <c r="C10" s="58" t="s">
        <v>49</v>
      </c>
      <c r="D10" s="58" t="s">
        <v>50</v>
      </c>
      <c r="E10" s="59">
        <v>24.02</v>
      </c>
      <c r="F10" s="59">
        <v>0.0</v>
      </c>
      <c r="G10" s="59">
        <v>0.0</v>
      </c>
      <c r="H10" s="58" t="s">
        <v>51</v>
      </c>
      <c r="I10" s="59"/>
      <c r="J10" s="59">
        <v>0.0</v>
      </c>
      <c r="K10" s="58" t="s">
        <v>18</v>
      </c>
      <c r="L10" s="58" t="s">
        <v>38</v>
      </c>
      <c r="M10" s="60"/>
      <c r="N10" s="58" t="s">
        <v>20</v>
      </c>
      <c r="O10" s="59">
        <v>1.0</v>
      </c>
      <c r="P10" s="61"/>
      <c r="Q10" s="60"/>
      <c r="R10" s="59"/>
      <c r="S10" s="59"/>
      <c r="T10" s="59"/>
      <c r="U10" s="59"/>
      <c r="V10" s="59">
        <v>0.0</v>
      </c>
      <c r="W10" s="59"/>
      <c r="X10" s="61"/>
      <c r="Y10" s="62"/>
      <c r="Z10" s="59">
        <v>0.0</v>
      </c>
      <c r="AA10" s="59">
        <v>0.0</v>
      </c>
      <c r="AB10" s="58" t="s">
        <v>26</v>
      </c>
      <c r="AC10" s="59">
        <v>0.0</v>
      </c>
      <c r="AD10" s="59">
        <v>0.0</v>
      </c>
      <c r="AE10" s="63">
        <v>43872.0</v>
      </c>
      <c r="AF10" s="59">
        <v>0.0</v>
      </c>
      <c r="AG10" s="64" t="s">
        <v>49</v>
      </c>
      <c r="AH10" s="58"/>
      <c r="AI10" s="61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45</v>
      </c>
      <c r="D3" s="5" t="s">
        <v>8</v>
      </c>
      <c r="E3" s="21" t="s">
        <v>46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47</v>
      </c>
      <c r="C6" s="32" t="s">
        <v>17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45</v>
      </c>
      <c r="D3" s="5" t="s">
        <v>8</v>
      </c>
      <c r="E3" s="21" t="s">
        <v>47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>
        <v>43873.0</v>
      </c>
      <c r="C6" s="32"/>
      <c r="D6" s="30"/>
      <c r="E6" s="32" t="s">
        <v>26</v>
      </c>
      <c r="F6" s="32"/>
      <c r="G6" s="32" t="s">
        <v>60</v>
      </c>
      <c r="H6" s="34">
        <v>1.0</v>
      </c>
      <c r="I6" s="34">
        <v>0.33</v>
      </c>
      <c r="J6" s="34">
        <v>0.625</v>
      </c>
      <c r="K6" s="32"/>
      <c r="L6" s="32"/>
      <c r="M6" s="79" t="s">
        <v>61</v>
      </c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1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45</v>
      </c>
      <c r="D3" s="5" t="s">
        <v>8</v>
      </c>
      <c r="E3" s="21" t="s">
        <v>52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72" t="s">
        <v>26</v>
      </c>
      <c r="C6" s="72" t="s">
        <v>18</v>
      </c>
      <c r="D6" s="72" t="s">
        <v>27</v>
      </c>
      <c r="E6" s="72" t="s">
        <v>17</v>
      </c>
      <c r="F6" s="74">
        <v>300.0</v>
      </c>
      <c r="G6" s="74">
        <v>105.0</v>
      </c>
      <c r="H6" s="74">
        <v>24.0176</v>
      </c>
      <c r="I6" s="75">
        <v>43871.0</v>
      </c>
      <c r="J6" s="75">
        <v>43871.0</v>
      </c>
      <c r="K6" s="75">
        <v>43871.0</v>
      </c>
      <c r="L6" s="75"/>
      <c r="M6" s="72"/>
      <c r="N6" s="74">
        <v>1.0</v>
      </c>
      <c r="O6" s="72" t="s">
        <v>20</v>
      </c>
      <c r="P6" s="74">
        <v>0.0</v>
      </c>
      <c r="Q6" s="74">
        <v>31475.98</v>
      </c>
      <c r="R6" s="74">
        <v>31475.98</v>
      </c>
      <c r="S6" s="72" t="s">
        <v>57</v>
      </c>
    </row>
    <row r="7" ht="15.75" customHeight="1">
      <c r="A7" s="4"/>
      <c r="B7" s="72" t="s">
        <v>26</v>
      </c>
      <c r="C7" s="72" t="s">
        <v>18</v>
      </c>
      <c r="D7" s="72" t="s">
        <v>58</v>
      </c>
      <c r="E7" s="72" t="s">
        <v>17</v>
      </c>
      <c r="F7" s="74">
        <v>299.771260952381</v>
      </c>
      <c r="G7" s="74">
        <v>105.0</v>
      </c>
      <c r="H7" s="74">
        <v>0.0</v>
      </c>
      <c r="I7" s="75">
        <v>43873.0</v>
      </c>
      <c r="J7" s="75">
        <v>43873.0</v>
      </c>
      <c r="K7" s="75">
        <v>43873.0</v>
      </c>
      <c r="L7" s="77"/>
      <c r="M7" s="78"/>
      <c r="N7" s="74">
        <v>1.0</v>
      </c>
      <c r="O7" s="72" t="s">
        <v>20</v>
      </c>
      <c r="P7" s="74">
        <v>0.0</v>
      </c>
      <c r="Q7" s="74">
        <v>31475.98</v>
      </c>
      <c r="R7" s="74">
        <v>31475.98</v>
      </c>
      <c r="S7" s="72" t="s">
        <v>59</v>
      </c>
    </row>
    <row r="8" ht="15.75" customHeight="1">
      <c r="A8" s="4"/>
      <c r="B8" s="72" t="s">
        <v>26</v>
      </c>
      <c r="C8" s="72" t="s">
        <v>18</v>
      </c>
      <c r="D8" s="72" t="s">
        <v>27</v>
      </c>
      <c r="E8" s="72" t="s">
        <v>17</v>
      </c>
      <c r="F8" s="74">
        <v>187.357038095238</v>
      </c>
      <c r="G8" s="74">
        <v>105.0</v>
      </c>
      <c r="H8" s="74">
        <v>0.0</v>
      </c>
      <c r="I8" s="75">
        <v>43873.0</v>
      </c>
      <c r="J8" s="75">
        <v>43873.0</v>
      </c>
      <c r="K8" s="75">
        <v>43871.0</v>
      </c>
      <c r="L8" s="77"/>
      <c r="M8" s="78"/>
      <c r="N8" s="74">
        <v>1.0</v>
      </c>
      <c r="O8" s="72" t="s">
        <v>20</v>
      </c>
      <c r="P8" s="74">
        <v>300.0</v>
      </c>
      <c r="Q8" s="74">
        <v>19672.49</v>
      </c>
      <c r="R8" s="74">
        <v>19672.49</v>
      </c>
      <c r="S8" s="72" t="s">
        <v>57</v>
      </c>
    </row>
    <row r="9" ht="15.75" customHeight="1">
      <c r="A9" s="4"/>
      <c r="B9" s="72" t="s">
        <v>60</v>
      </c>
      <c r="C9" s="72" t="s">
        <v>18</v>
      </c>
      <c r="D9" s="72" t="s">
        <v>27</v>
      </c>
      <c r="E9" s="72" t="s">
        <v>17</v>
      </c>
      <c r="F9" s="74">
        <v>347.161570588235</v>
      </c>
      <c r="G9" s="74">
        <v>34.0</v>
      </c>
      <c r="H9" s="74">
        <v>0.0</v>
      </c>
      <c r="I9" s="75">
        <v>43873.0</v>
      </c>
      <c r="J9" s="75">
        <v>43873.0</v>
      </c>
      <c r="K9" s="75">
        <v>43871.0</v>
      </c>
      <c r="L9" s="77"/>
      <c r="M9" s="78"/>
      <c r="N9" s="74">
        <v>1.0</v>
      </c>
      <c r="O9" s="72" t="s">
        <v>20</v>
      </c>
      <c r="P9" s="74">
        <v>340.649</v>
      </c>
      <c r="Q9" s="74">
        <v>11803.49</v>
      </c>
      <c r="R9" s="74">
        <v>11803.49</v>
      </c>
      <c r="S9" s="72" t="s">
        <v>57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>
        <v>43873.0</v>
      </c>
      <c r="C6" s="31">
        <v>43873.0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30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60</v>
      </c>
      <c r="C7" s="38">
        <v>170.0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32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31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80">
        <v>43871.0</v>
      </c>
      <c r="E6" s="3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34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4">
        <v>43872.0</v>
      </c>
      <c r="C6" s="45" t="s">
        <v>17</v>
      </c>
      <c r="D6" s="45" t="s">
        <v>26</v>
      </c>
      <c r="E6" s="45" t="s">
        <v>18</v>
      </c>
      <c r="F6" s="45" t="s">
        <v>35</v>
      </c>
      <c r="G6" s="46">
        <v>549.02</v>
      </c>
      <c r="H6" s="47">
        <v>0.0</v>
      </c>
      <c r="I6" s="48"/>
      <c r="J6" s="48"/>
      <c r="K6" s="45"/>
      <c r="L6" s="46">
        <v>1.0</v>
      </c>
      <c r="M6" s="45" t="s">
        <v>20</v>
      </c>
      <c r="N6" s="45" t="s">
        <v>40</v>
      </c>
      <c r="O6" s="45" t="s">
        <v>49</v>
      </c>
      <c r="P6" s="45" t="s">
        <v>18</v>
      </c>
      <c r="Q6" s="45" t="s">
        <v>36</v>
      </c>
      <c r="R6" s="46">
        <v>549.02</v>
      </c>
      <c r="S6" s="46">
        <v>0.0</v>
      </c>
    </row>
    <row r="7" ht="15.75" customHeight="1">
      <c r="A7" s="4"/>
      <c r="B7" s="44">
        <v>43872.0</v>
      </c>
      <c r="C7" s="45" t="s">
        <v>17</v>
      </c>
      <c r="D7" s="45" t="s">
        <v>26</v>
      </c>
      <c r="E7" s="45" t="s">
        <v>18</v>
      </c>
      <c r="F7" s="49" t="s">
        <v>37</v>
      </c>
      <c r="G7" s="50">
        <v>0.0</v>
      </c>
      <c r="H7" s="51">
        <v>549.02</v>
      </c>
      <c r="I7" s="52"/>
      <c r="J7" s="52"/>
      <c r="K7" s="49"/>
      <c r="L7" s="51">
        <v>1.0</v>
      </c>
      <c r="M7" s="49" t="s">
        <v>20</v>
      </c>
      <c r="N7" s="49" t="s">
        <v>44</v>
      </c>
      <c r="O7" s="49" t="s">
        <v>49</v>
      </c>
      <c r="P7" s="49" t="s">
        <v>18</v>
      </c>
      <c r="Q7" s="45" t="s">
        <v>36</v>
      </c>
      <c r="R7" s="51">
        <v>0.0</v>
      </c>
      <c r="S7" s="51">
        <v>549.02</v>
      </c>
    </row>
    <row r="8" ht="15.75" customHeight="1">
      <c r="A8" s="4"/>
      <c r="B8" s="44">
        <v>43872.0</v>
      </c>
      <c r="C8" s="45" t="s">
        <v>17</v>
      </c>
      <c r="D8" s="45" t="s">
        <v>26</v>
      </c>
      <c r="E8" s="45" t="s">
        <v>18</v>
      </c>
      <c r="F8" s="45" t="s">
        <v>37</v>
      </c>
      <c r="G8" s="46">
        <v>24.02</v>
      </c>
      <c r="H8" s="47">
        <v>0.0</v>
      </c>
      <c r="I8" s="48"/>
      <c r="J8" s="48"/>
      <c r="K8" s="45"/>
      <c r="L8" s="46">
        <v>1.0</v>
      </c>
      <c r="M8" s="45" t="s">
        <v>20</v>
      </c>
      <c r="N8" s="45" t="s">
        <v>40</v>
      </c>
      <c r="O8" s="45" t="s">
        <v>49</v>
      </c>
      <c r="P8" s="45" t="s">
        <v>18</v>
      </c>
      <c r="Q8" s="45" t="s">
        <v>38</v>
      </c>
      <c r="R8" s="46">
        <v>24.02</v>
      </c>
      <c r="S8" s="46">
        <v>0.0</v>
      </c>
    </row>
    <row r="9" ht="15.75" customHeight="1">
      <c r="A9" s="4"/>
      <c r="B9" s="44">
        <v>43872.0</v>
      </c>
      <c r="C9" s="45" t="s">
        <v>17</v>
      </c>
      <c r="D9" s="45" t="s">
        <v>26</v>
      </c>
      <c r="E9" s="45" t="s">
        <v>18</v>
      </c>
      <c r="F9" s="49" t="s">
        <v>35</v>
      </c>
      <c r="G9" s="50">
        <v>0.0</v>
      </c>
      <c r="H9" s="51">
        <v>24.02</v>
      </c>
      <c r="I9" s="52"/>
      <c r="J9" s="52"/>
      <c r="K9" s="49"/>
      <c r="L9" s="51">
        <v>1.0</v>
      </c>
      <c r="M9" s="49" t="s">
        <v>20</v>
      </c>
      <c r="N9" s="49" t="s">
        <v>44</v>
      </c>
      <c r="O9" s="49" t="s">
        <v>49</v>
      </c>
      <c r="P9" s="49" t="s">
        <v>18</v>
      </c>
      <c r="Q9" s="45" t="s">
        <v>38</v>
      </c>
      <c r="R9" s="51">
        <v>0.0</v>
      </c>
      <c r="S9" s="51">
        <v>24.02</v>
      </c>
    </row>
    <row r="10" ht="15.75" customHeight="1">
      <c r="A10" s="4"/>
      <c r="B10" s="44">
        <v>43873.0</v>
      </c>
      <c r="C10" s="45" t="s">
        <v>17</v>
      </c>
      <c r="D10" s="45" t="s">
        <v>26</v>
      </c>
      <c r="E10" s="45" t="s">
        <v>18</v>
      </c>
      <c r="F10" s="45" t="s">
        <v>35</v>
      </c>
      <c r="G10" s="46">
        <v>12877.51</v>
      </c>
      <c r="H10" s="47">
        <v>0.0</v>
      </c>
      <c r="I10" s="48"/>
      <c r="J10" s="48"/>
      <c r="K10" s="45"/>
      <c r="L10" s="46">
        <v>1.0</v>
      </c>
      <c r="M10" s="45" t="s">
        <v>20</v>
      </c>
      <c r="N10" s="45" t="s">
        <v>40</v>
      </c>
      <c r="O10" s="45" t="s">
        <v>49</v>
      </c>
      <c r="P10" s="45" t="s">
        <v>18</v>
      </c>
      <c r="Q10" s="45" t="s">
        <v>36</v>
      </c>
      <c r="R10" s="46">
        <v>12877.51</v>
      </c>
      <c r="S10" s="46">
        <v>0.0</v>
      </c>
    </row>
    <row r="11" ht="15.75" customHeight="1">
      <c r="A11" s="4"/>
      <c r="B11" s="44">
        <v>43873.0</v>
      </c>
      <c r="C11" s="45" t="s">
        <v>17</v>
      </c>
      <c r="D11" s="45" t="s">
        <v>26</v>
      </c>
      <c r="E11" s="45" t="s">
        <v>18</v>
      </c>
      <c r="F11" s="49" t="s">
        <v>37</v>
      </c>
      <c r="G11" s="50">
        <v>0.0</v>
      </c>
      <c r="H11" s="51">
        <v>12877.51</v>
      </c>
      <c r="I11" s="52"/>
      <c r="J11" s="52"/>
      <c r="K11" s="49"/>
      <c r="L11" s="51">
        <v>1.0</v>
      </c>
      <c r="M11" s="49" t="s">
        <v>20</v>
      </c>
      <c r="N11" s="49" t="s">
        <v>44</v>
      </c>
      <c r="O11" s="49" t="s">
        <v>49</v>
      </c>
      <c r="P11" s="49" t="s">
        <v>18</v>
      </c>
      <c r="Q11" s="45" t="s">
        <v>36</v>
      </c>
      <c r="R11" s="51">
        <v>0.0</v>
      </c>
      <c r="S11" s="51">
        <v>12877.51</v>
      </c>
    </row>
    <row r="12" ht="15.75" customHeight="1">
      <c r="A12" s="4"/>
      <c r="B12" s="44">
        <v>43873.0</v>
      </c>
      <c r="C12" s="45" t="s">
        <v>17</v>
      </c>
      <c r="D12" s="45" t="s">
        <v>60</v>
      </c>
      <c r="E12" s="45" t="s">
        <v>18</v>
      </c>
      <c r="F12" s="45" t="s">
        <v>37</v>
      </c>
      <c r="G12" s="46">
        <v>6023.49</v>
      </c>
      <c r="H12" s="47">
        <v>0.0</v>
      </c>
      <c r="I12" s="48"/>
      <c r="J12" s="48"/>
      <c r="K12" s="45"/>
      <c r="L12" s="46">
        <v>1.0</v>
      </c>
      <c r="M12" s="45" t="s">
        <v>20</v>
      </c>
      <c r="N12" s="45" t="s">
        <v>40</v>
      </c>
      <c r="O12" s="45" t="s">
        <v>49</v>
      </c>
      <c r="P12" s="45" t="s">
        <v>18</v>
      </c>
      <c r="Q12" s="45" t="s">
        <v>36</v>
      </c>
      <c r="R12" s="46">
        <v>6023.49</v>
      </c>
      <c r="S12" s="46">
        <v>0.0</v>
      </c>
    </row>
    <row r="13" ht="15.75" customHeight="1">
      <c r="A13" s="4"/>
      <c r="B13" s="44">
        <v>43873.0</v>
      </c>
      <c r="C13" s="45" t="s">
        <v>17</v>
      </c>
      <c r="D13" s="45" t="s">
        <v>60</v>
      </c>
      <c r="E13" s="45" t="s">
        <v>18</v>
      </c>
      <c r="F13" s="49" t="s">
        <v>35</v>
      </c>
      <c r="G13" s="50">
        <v>0.0</v>
      </c>
      <c r="H13" s="51">
        <v>6023.49</v>
      </c>
      <c r="I13" s="52"/>
      <c r="J13" s="52"/>
      <c r="K13" s="49"/>
      <c r="L13" s="51">
        <v>1.0</v>
      </c>
      <c r="M13" s="49" t="s">
        <v>20</v>
      </c>
      <c r="N13" s="49" t="s">
        <v>44</v>
      </c>
      <c r="O13" s="49" t="s">
        <v>49</v>
      </c>
      <c r="P13" s="49" t="s">
        <v>18</v>
      </c>
      <c r="Q13" s="45" t="s">
        <v>36</v>
      </c>
      <c r="R13" s="51">
        <v>0.0</v>
      </c>
      <c r="S13" s="51">
        <v>6023.49</v>
      </c>
    </row>
    <row r="14" ht="15.75" customHeight="1">
      <c r="A14" s="4"/>
      <c r="B14" s="44">
        <v>43873.0</v>
      </c>
      <c r="C14" s="45" t="s">
        <v>17</v>
      </c>
      <c r="D14" s="45" t="s">
        <v>26</v>
      </c>
      <c r="E14" s="45" t="s">
        <v>18</v>
      </c>
      <c r="F14" s="45" t="s">
        <v>37</v>
      </c>
      <c r="G14" s="46">
        <v>549.02</v>
      </c>
      <c r="H14" s="47">
        <v>0.0</v>
      </c>
      <c r="I14" s="48"/>
      <c r="J14" s="48"/>
      <c r="K14" s="45"/>
      <c r="L14" s="46">
        <v>1.0</v>
      </c>
      <c r="M14" s="45" t="s">
        <v>20</v>
      </c>
      <c r="N14" s="45" t="s">
        <v>40</v>
      </c>
      <c r="O14" s="45" t="s">
        <v>49</v>
      </c>
      <c r="P14" s="45" t="s">
        <v>18</v>
      </c>
      <c r="Q14" s="45" t="s">
        <v>38</v>
      </c>
      <c r="R14" s="46">
        <v>549.02</v>
      </c>
      <c r="S14" s="46">
        <v>0.0</v>
      </c>
    </row>
    <row r="15" ht="15.75" customHeight="1">
      <c r="A15" s="4"/>
      <c r="B15" s="44">
        <v>43873.0</v>
      </c>
      <c r="C15" s="45" t="s">
        <v>17</v>
      </c>
      <c r="D15" s="45" t="s">
        <v>26</v>
      </c>
      <c r="E15" s="45" t="s">
        <v>18</v>
      </c>
      <c r="F15" s="49" t="s">
        <v>35</v>
      </c>
      <c r="G15" s="50">
        <v>0.0</v>
      </c>
      <c r="H15" s="51">
        <v>549.02</v>
      </c>
      <c r="I15" s="52"/>
      <c r="J15" s="52"/>
      <c r="K15" s="49"/>
      <c r="L15" s="51">
        <v>1.0</v>
      </c>
      <c r="M15" s="49" t="s">
        <v>20</v>
      </c>
      <c r="N15" s="49" t="s">
        <v>44</v>
      </c>
      <c r="O15" s="49" t="s">
        <v>49</v>
      </c>
      <c r="P15" s="49" t="s">
        <v>18</v>
      </c>
      <c r="Q15" s="45" t="s">
        <v>38</v>
      </c>
      <c r="R15" s="51">
        <v>0.0</v>
      </c>
      <c r="S15" s="51">
        <v>549.02</v>
      </c>
    </row>
    <row r="16" ht="15.75" customHeight="1">
      <c r="A16" s="4"/>
      <c r="B16" s="44">
        <v>43871.0</v>
      </c>
      <c r="C16" s="45" t="s">
        <v>17</v>
      </c>
      <c r="D16" s="45" t="s">
        <v>26</v>
      </c>
      <c r="E16" s="45" t="s">
        <v>18</v>
      </c>
      <c r="F16" s="45" t="s">
        <v>35</v>
      </c>
      <c r="G16" s="46">
        <v>24.02</v>
      </c>
      <c r="H16" s="47">
        <v>0.0</v>
      </c>
      <c r="I16" s="48"/>
      <c r="J16" s="48"/>
      <c r="K16" s="45"/>
      <c r="L16" s="46">
        <v>1.0</v>
      </c>
      <c r="M16" s="45" t="s">
        <v>20</v>
      </c>
      <c r="N16" s="45" t="s">
        <v>40</v>
      </c>
      <c r="O16" s="45" t="s">
        <v>49</v>
      </c>
      <c r="P16" s="45" t="s">
        <v>18</v>
      </c>
      <c r="Q16" s="45" t="s">
        <v>36</v>
      </c>
      <c r="R16" s="46">
        <v>24.02</v>
      </c>
      <c r="S16" s="46">
        <v>0.0</v>
      </c>
    </row>
    <row r="17" ht="15.75" customHeight="1">
      <c r="A17" s="4"/>
      <c r="B17" s="44">
        <v>43871.0</v>
      </c>
      <c r="C17" s="45" t="s">
        <v>17</v>
      </c>
      <c r="D17" s="45" t="s">
        <v>26</v>
      </c>
      <c r="E17" s="45" t="s">
        <v>18</v>
      </c>
      <c r="F17" s="49" t="s">
        <v>37</v>
      </c>
      <c r="G17" s="50">
        <v>0.0</v>
      </c>
      <c r="H17" s="51">
        <v>24.02</v>
      </c>
      <c r="I17" s="52"/>
      <c r="J17" s="52"/>
      <c r="K17" s="49"/>
      <c r="L17" s="51">
        <v>1.0</v>
      </c>
      <c r="M17" s="49" t="s">
        <v>20</v>
      </c>
      <c r="N17" s="49" t="s">
        <v>44</v>
      </c>
      <c r="O17" s="49" t="s">
        <v>49</v>
      </c>
      <c r="P17" s="49" t="s">
        <v>18</v>
      </c>
      <c r="Q17" s="45" t="s">
        <v>36</v>
      </c>
      <c r="R17" s="51">
        <v>0.0</v>
      </c>
      <c r="S17" s="51">
        <v>24.02</v>
      </c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4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39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3">
        <v>43871.0</v>
      </c>
      <c r="C6" s="48"/>
      <c r="D6" s="48"/>
      <c r="E6" s="54">
        <v>24.02</v>
      </c>
      <c r="F6" s="47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26</v>
      </c>
      <c r="N6" s="55"/>
      <c r="O6" s="54">
        <v>24.02</v>
      </c>
      <c r="P6" s="46">
        <v>0.0</v>
      </c>
      <c r="Q6" s="45" t="s">
        <v>42</v>
      </c>
      <c r="R6" s="45" t="s">
        <v>17</v>
      </c>
      <c r="S6" s="45"/>
    </row>
    <row r="7" ht="15.75" customHeight="1">
      <c r="A7" s="4"/>
      <c r="B7" s="53">
        <v>43871.0</v>
      </c>
      <c r="C7" s="52"/>
      <c r="D7" s="52"/>
      <c r="E7" s="50">
        <v>0.0</v>
      </c>
      <c r="F7" s="57">
        <v>24.02</v>
      </c>
      <c r="G7" s="51">
        <v>1.0</v>
      </c>
      <c r="H7" s="49" t="s">
        <v>20</v>
      </c>
      <c r="I7" s="49" t="s">
        <v>44</v>
      </c>
      <c r="J7" s="49" t="s">
        <v>41</v>
      </c>
      <c r="K7" s="45" t="s">
        <v>18</v>
      </c>
      <c r="L7" s="49" t="s">
        <v>18</v>
      </c>
      <c r="M7" s="45" t="s">
        <v>26</v>
      </c>
      <c r="N7" s="55"/>
      <c r="O7" s="51">
        <v>0.0</v>
      </c>
      <c r="P7" s="57">
        <v>24.02</v>
      </c>
      <c r="Q7" s="49" t="s">
        <v>19</v>
      </c>
      <c r="R7" s="45" t="s">
        <v>17</v>
      </c>
      <c r="S7" s="49"/>
    </row>
    <row r="8" ht="15.75" customHeight="1">
      <c r="A8" s="4"/>
      <c r="B8" s="53">
        <v>43871.0</v>
      </c>
      <c r="C8" s="48"/>
      <c r="D8" s="48"/>
      <c r="E8" s="46">
        <v>31500.0</v>
      </c>
      <c r="F8" s="47">
        <v>0.0</v>
      </c>
      <c r="G8" s="46">
        <v>1.0</v>
      </c>
      <c r="H8" s="45" t="s">
        <v>20</v>
      </c>
      <c r="I8" s="45" t="s">
        <v>40</v>
      </c>
      <c r="J8" s="45" t="s">
        <v>41</v>
      </c>
      <c r="K8" s="45" t="s">
        <v>18</v>
      </c>
      <c r="L8" s="45" t="s">
        <v>18</v>
      </c>
      <c r="M8" s="45" t="s">
        <v>26</v>
      </c>
      <c r="N8" s="55"/>
      <c r="O8" s="46">
        <v>31500.0</v>
      </c>
      <c r="P8" s="46">
        <v>0.0</v>
      </c>
      <c r="Q8" s="45" t="s">
        <v>19</v>
      </c>
      <c r="R8" s="45" t="s">
        <v>17</v>
      </c>
      <c r="S8" s="45"/>
    </row>
    <row r="9" ht="15.75" customHeight="1">
      <c r="A9" s="4"/>
      <c r="B9" s="53">
        <v>43871.0</v>
      </c>
      <c r="C9" s="52"/>
      <c r="D9" s="52"/>
      <c r="E9" s="50">
        <v>0.0</v>
      </c>
      <c r="F9" s="51">
        <v>31500.0</v>
      </c>
      <c r="G9" s="51">
        <v>1.0</v>
      </c>
      <c r="H9" s="49" t="s">
        <v>20</v>
      </c>
      <c r="I9" s="49" t="s">
        <v>44</v>
      </c>
      <c r="J9" s="49" t="s">
        <v>41</v>
      </c>
      <c r="K9" s="45" t="s">
        <v>18</v>
      </c>
      <c r="L9" s="49" t="s">
        <v>18</v>
      </c>
      <c r="M9" s="45" t="s">
        <v>26</v>
      </c>
      <c r="N9" s="55"/>
      <c r="O9" s="51">
        <v>0.0</v>
      </c>
      <c r="P9" s="51">
        <v>31500.0</v>
      </c>
      <c r="Q9" s="49" t="s">
        <v>42</v>
      </c>
      <c r="R9" s="45" t="s">
        <v>17</v>
      </c>
      <c r="S9" s="49"/>
    </row>
    <row r="10" ht="15.75" customHeight="1">
      <c r="A10" s="4"/>
      <c r="B10" s="44">
        <v>43873.0</v>
      </c>
      <c r="C10" s="48"/>
      <c r="D10" s="44"/>
      <c r="E10" s="54">
        <v>31475.98</v>
      </c>
      <c r="F10" s="47">
        <v>0.0</v>
      </c>
      <c r="G10" s="46">
        <v>1.0</v>
      </c>
      <c r="H10" s="45" t="s">
        <v>20</v>
      </c>
      <c r="I10" s="45" t="s">
        <v>40</v>
      </c>
      <c r="J10" s="45" t="s">
        <v>41</v>
      </c>
      <c r="K10" s="45" t="s">
        <v>18</v>
      </c>
      <c r="L10" s="45" t="s">
        <v>18</v>
      </c>
      <c r="M10" s="45" t="s">
        <v>26</v>
      </c>
      <c r="N10" s="55"/>
      <c r="O10" s="54">
        <v>31475.98</v>
      </c>
      <c r="P10" s="46">
        <v>0.0</v>
      </c>
      <c r="Q10" s="45" t="s">
        <v>42</v>
      </c>
      <c r="R10" s="45" t="s">
        <v>17</v>
      </c>
      <c r="S10" s="45"/>
    </row>
    <row r="11" ht="15.75" customHeight="1">
      <c r="A11" s="4"/>
      <c r="B11" s="44">
        <v>43873.0</v>
      </c>
      <c r="C11" s="52"/>
      <c r="D11" s="81"/>
      <c r="E11" s="50">
        <v>0.0</v>
      </c>
      <c r="F11" s="57">
        <v>31475.98</v>
      </c>
      <c r="G11" s="51">
        <v>1.0</v>
      </c>
      <c r="H11" s="49" t="s">
        <v>20</v>
      </c>
      <c r="I11" s="49" t="s">
        <v>44</v>
      </c>
      <c r="J11" s="49" t="s">
        <v>41</v>
      </c>
      <c r="K11" s="45" t="s">
        <v>18</v>
      </c>
      <c r="L11" s="49" t="s">
        <v>18</v>
      </c>
      <c r="M11" s="45" t="s">
        <v>26</v>
      </c>
      <c r="N11" s="55"/>
      <c r="O11" s="51">
        <v>0.0</v>
      </c>
      <c r="P11" s="57">
        <v>31475.98</v>
      </c>
      <c r="Q11" s="49" t="s">
        <v>19</v>
      </c>
      <c r="R11" s="45" t="s">
        <v>17</v>
      </c>
      <c r="S11" s="49"/>
    </row>
    <row r="12" ht="15.75" customHeight="1">
      <c r="A12" s="4"/>
      <c r="B12" s="44">
        <v>43873.0</v>
      </c>
      <c r="C12" s="48"/>
      <c r="D12" s="44"/>
      <c r="E12" s="54">
        <v>19672.49</v>
      </c>
      <c r="F12" s="47">
        <v>0.0</v>
      </c>
      <c r="G12" s="46">
        <v>1.0</v>
      </c>
      <c r="H12" s="45" t="s">
        <v>20</v>
      </c>
      <c r="I12" s="45" t="s">
        <v>40</v>
      </c>
      <c r="J12" s="45" t="s">
        <v>41</v>
      </c>
      <c r="K12" s="45" t="s">
        <v>18</v>
      </c>
      <c r="L12" s="45" t="s">
        <v>18</v>
      </c>
      <c r="M12" s="45" t="s">
        <v>26</v>
      </c>
      <c r="N12" s="55"/>
      <c r="O12" s="54">
        <v>19672.49</v>
      </c>
      <c r="P12" s="46">
        <v>0.0</v>
      </c>
      <c r="Q12" s="45" t="s">
        <v>19</v>
      </c>
      <c r="R12" s="45" t="s">
        <v>17</v>
      </c>
      <c r="S12" s="45"/>
    </row>
    <row r="13" ht="15.75" customHeight="1">
      <c r="A13" s="4"/>
      <c r="B13" s="44">
        <v>43873.0</v>
      </c>
      <c r="C13" s="52"/>
      <c r="D13" s="81"/>
      <c r="E13" s="50">
        <v>0.0</v>
      </c>
      <c r="F13" s="57">
        <v>19672.49</v>
      </c>
      <c r="G13" s="51">
        <v>1.0</v>
      </c>
      <c r="H13" s="49" t="s">
        <v>20</v>
      </c>
      <c r="I13" s="49" t="s">
        <v>44</v>
      </c>
      <c r="J13" s="49" t="s">
        <v>41</v>
      </c>
      <c r="K13" s="45" t="s">
        <v>18</v>
      </c>
      <c r="L13" s="49" t="s">
        <v>18</v>
      </c>
      <c r="M13" s="45" t="s">
        <v>26</v>
      </c>
      <c r="N13" s="55"/>
      <c r="O13" s="51">
        <v>0.0</v>
      </c>
      <c r="P13" s="57">
        <v>19672.49</v>
      </c>
      <c r="Q13" s="49" t="s">
        <v>42</v>
      </c>
      <c r="R13" s="45" t="s">
        <v>17</v>
      </c>
      <c r="S13" s="49"/>
    </row>
    <row r="14" ht="15.75" customHeight="1">
      <c r="A14" s="4"/>
      <c r="B14" s="44">
        <v>43873.0</v>
      </c>
      <c r="C14" s="48"/>
      <c r="D14" s="44"/>
      <c r="E14" s="54">
        <v>11803.49</v>
      </c>
      <c r="F14" s="47">
        <v>0.0</v>
      </c>
      <c r="G14" s="46">
        <v>1.0</v>
      </c>
      <c r="H14" s="45" t="s">
        <v>20</v>
      </c>
      <c r="I14" s="45" t="s">
        <v>40</v>
      </c>
      <c r="J14" s="45" t="s">
        <v>41</v>
      </c>
      <c r="K14" s="45" t="s">
        <v>18</v>
      </c>
      <c r="L14" s="45" t="s">
        <v>18</v>
      </c>
      <c r="M14" s="45" t="s">
        <v>60</v>
      </c>
      <c r="N14" s="55"/>
      <c r="O14" s="54">
        <v>11803.49</v>
      </c>
      <c r="P14" s="46">
        <v>0.0</v>
      </c>
      <c r="Q14" s="45" t="s">
        <v>19</v>
      </c>
      <c r="R14" s="45" t="s">
        <v>17</v>
      </c>
      <c r="S14" s="45"/>
    </row>
    <row r="15" ht="15.75" customHeight="1">
      <c r="A15" s="4"/>
      <c r="B15" s="44">
        <v>43873.0</v>
      </c>
      <c r="C15" s="52"/>
      <c r="D15" s="81"/>
      <c r="E15" s="50">
        <v>0.0</v>
      </c>
      <c r="F15" s="57">
        <v>11803.49</v>
      </c>
      <c r="G15" s="51">
        <v>1.0</v>
      </c>
      <c r="H15" s="49" t="s">
        <v>20</v>
      </c>
      <c r="I15" s="49" t="s">
        <v>44</v>
      </c>
      <c r="J15" s="49" t="s">
        <v>41</v>
      </c>
      <c r="K15" s="45" t="s">
        <v>18</v>
      </c>
      <c r="L15" s="49" t="s">
        <v>18</v>
      </c>
      <c r="M15" s="45" t="s">
        <v>60</v>
      </c>
      <c r="N15" s="55"/>
      <c r="O15" s="51">
        <v>0.0</v>
      </c>
      <c r="P15" s="57">
        <v>11803.49</v>
      </c>
      <c r="Q15" s="49" t="s">
        <v>42</v>
      </c>
      <c r="R15" s="45" t="s">
        <v>17</v>
      </c>
      <c r="S15" s="49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2" t="s">
        <v>17</v>
      </c>
      <c r="D6" s="80">
        <v>43871.0</v>
      </c>
      <c r="E6" s="3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86"/>
    <col customWidth="1" min="13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48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8" t="s">
        <v>17</v>
      </c>
      <c r="C6" s="58" t="s">
        <v>49</v>
      </c>
      <c r="D6" s="58" t="s">
        <v>50</v>
      </c>
      <c r="E6" s="59">
        <v>-24.02</v>
      </c>
      <c r="F6" s="59">
        <v>0.0</v>
      </c>
      <c r="G6" s="59">
        <v>0.0</v>
      </c>
      <c r="H6" s="58" t="s">
        <v>51</v>
      </c>
      <c r="I6" s="59">
        <v>0.0</v>
      </c>
      <c r="J6" s="59">
        <v>0.0</v>
      </c>
      <c r="K6" s="58" t="s">
        <v>18</v>
      </c>
      <c r="L6" s="58" t="s">
        <v>36</v>
      </c>
      <c r="M6" s="60"/>
      <c r="N6" s="58" t="s">
        <v>20</v>
      </c>
      <c r="O6" s="59">
        <v>1.0</v>
      </c>
      <c r="P6" s="61"/>
      <c r="Q6" s="60"/>
      <c r="R6" s="59"/>
      <c r="S6" s="59"/>
      <c r="T6" s="59"/>
      <c r="U6" s="59"/>
      <c r="V6" s="59">
        <v>0.0</v>
      </c>
      <c r="W6" s="59"/>
      <c r="X6" s="61"/>
      <c r="Y6" s="62"/>
      <c r="Z6" s="59">
        <v>0.0</v>
      </c>
      <c r="AA6" s="59">
        <v>0.0</v>
      </c>
      <c r="AB6" s="58" t="s">
        <v>26</v>
      </c>
      <c r="AC6" s="59">
        <v>0.0</v>
      </c>
      <c r="AD6" s="59">
        <v>0.0</v>
      </c>
      <c r="AE6" s="63">
        <v>43871.0</v>
      </c>
      <c r="AF6" s="59">
        <v>0.0</v>
      </c>
      <c r="AG6" s="64" t="s">
        <v>49</v>
      </c>
      <c r="AH6" s="58"/>
      <c r="AI6" s="61"/>
    </row>
    <row r="7" ht="15.75" customHeight="1">
      <c r="A7" s="4"/>
      <c r="B7" s="65" t="s">
        <v>17</v>
      </c>
      <c r="C7" s="65" t="s">
        <v>53</v>
      </c>
      <c r="D7" s="65" t="s">
        <v>54</v>
      </c>
      <c r="E7" s="66">
        <v>500000.0</v>
      </c>
      <c r="F7" s="66">
        <v>0.0</v>
      </c>
      <c r="G7" s="66">
        <v>0.0</v>
      </c>
      <c r="H7" s="65" t="s">
        <v>51</v>
      </c>
      <c r="I7" s="66">
        <v>0.0</v>
      </c>
      <c r="J7" s="66">
        <v>0.0</v>
      </c>
      <c r="K7" s="65" t="s">
        <v>18</v>
      </c>
      <c r="L7" s="67"/>
      <c r="M7" s="68"/>
      <c r="N7" s="65" t="s">
        <v>20</v>
      </c>
      <c r="O7" s="66">
        <v>1.0</v>
      </c>
      <c r="P7" s="67"/>
      <c r="Q7" s="68"/>
      <c r="R7" s="66"/>
      <c r="S7" s="66"/>
      <c r="T7" s="66"/>
      <c r="U7" s="66"/>
      <c r="V7" s="66">
        <v>0.0</v>
      </c>
      <c r="W7" s="66"/>
      <c r="X7" s="67"/>
      <c r="Y7" s="69"/>
      <c r="Z7" s="66">
        <v>0.0</v>
      </c>
      <c r="AA7" s="66">
        <v>0.0</v>
      </c>
      <c r="AB7" s="67"/>
      <c r="AC7" s="66">
        <v>0.0</v>
      </c>
      <c r="AD7" s="66">
        <v>0.0</v>
      </c>
      <c r="AE7" s="69">
        <v>43871.0</v>
      </c>
      <c r="AF7" s="66">
        <v>0.0</v>
      </c>
      <c r="AG7" s="70" t="s">
        <v>55</v>
      </c>
      <c r="AH7" s="65"/>
      <c r="AI7" s="67"/>
    </row>
    <row r="8" ht="15.75" customHeight="1">
      <c r="A8" s="4"/>
      <c r="B8" s="58" t="s">
        <v>17</v>
      </c>
      <c r="C8" s="58" t="s">
        <v>41</v>
      </c>
      <c r="D8" s="58" t="s">
        <v>56</v>
      </c>
      <c r="E8" s="71">
        <v>31475.98</v>
      </c>
      <c r="F8" s="59">
        <v>4.0</v>
      </c>
      <c r="G8" s="59">
        <v>5.0</v>
      </c>
      <c r="H8" s="58" t="s">
        <v>51</v>
      </c>
      <c r="I8" s="59">
        <v>0.0</v>
      </c>
      <c r="J8" s="59">
        <v>2.5</v>
      </c>
      <c r="K8" s="58" t="s">
        <v>18</v>
      </c>
      <c r="L8" s="61"/>
      <c r="M8" s="60"/>
      <c r="N8" s="58" t="s">
        <v>20</v>
      </c>
      <c r="O8" s="59">
        <v>1.0</v>
      </c>
      <c r="P8" s="61"/>
      <c r="Q8" s="60"/>
      <c r="R8" s="59"/>
      <c r="S8" s="59"/>
      <c r="T8" s="59"/>
      <c r="U8" s="59"/>
      <c r="V8" s="59">
        <v>105.0</v>
      </c>
      <c r="W8" s="59"/>
      <c r="X8" s="64" t="s">
        <v>18</v>
      </c>
      <c r="Y8" s="60"/>
      <c r="Z8" s="59">
        <v>7.5</v>
      </c>
      <c r="AA8" s="59">
        <v>0.0176</v>
      </c>
      <c r="AB8" s="58" t="s">
        <v>26</v>
      </c>
      <c r="AC8" s="59">
        <v>3.0</v>
      </c>
      <c r="AD8" s="59">
        <v>24.0176</v>
      </c>
      <c r="AE8" s="73">
        <v>43871.0</v>
      </c>
      <c r="AF8" s="59">
        <v>2.0</v>
      </c>
      <c r="AG8" s="64" t="s">
        <v>41</v>
      </c>
      <c r="AH8" s="61"/>
      <c r="AI8" s="61"/>
    </row>
    <row r="9" ht="15.75" customHeight="1">
      <c r="A9" s="4"/>
      <c r="B9" s="65" t="s">
        <v>17</v>
      </c>
      <c r="C9" s="65" t="s">
        <v>49</v>
      </c>
      <c r="D9" s="65" t="s">
        <v>50</v>
      </c>
      <c r="E9" s="66">
        <v>-549.02</v>
      </c>
      <c r="F9" s="66">
        <v>0.0</v>
      </c>
      <c r="G9" s="66">
        <v>0.0</v>
      </c>
      <c r="H9" s="65" t="s">
        <v>51</v>
      </c>
      <c r="I9" s="66">
        <v>0.0</v>
      </c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7"/>
      <c r="Q9" s="68"/>
      <c r="R9" s="66"/>
      <c r="S9" s="66"/>
      <c r="T9" s="66"/>
      <c r="U9" s="66"/>
      <c r="V9" s="66">
        <v>0.0</v>
      </c>
      <c r="W9" s="66"/>
      <c r="X9" s="67"/>
      <c r="Y9" s="76"/>
      <c r="Z9" s="66">
        <v>0.0</v>
      </c>
      <c r="AA9" s="66">
        <v>0.0</v>
      </c>
      <c r="AB9" s="65" t="s">
        <v>26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49</v>
      </c>
      <c r="AH9" s="65"/>
      <c r="AI9" s="67"/>
    </row>
    <row r="10" ht="15.75" customHeight="1">
      <c r="A10" s="4"/>
      <c r="B10" s="58" t="s">
        <v>17</v>
      </c>
      <c r="C10" s="58" t="s">
        <v>49</v>
      </c>
      <c r="D10" s="58" t="s">
        <v>50</v>
      </c>
      <c r="E10" s="59">
        <v>24.02</v>
      </c>
      <c r="F10" s="59">
        <v>0.0</v>
      </c>
      <c r="G10" s="59">
        <v>0.0</v>
      </c>
      <c r="H10" s="58" t="s">
        <v>51</v>
      </c>
      <c r="I10" s="59">
        <v>0.0</v>
      </c>
      <c r="J10" s="59">
        <v>0.0</v>
      </c>
      <c r="K10" s="58" t="s">
        <v>18</v>
      </c>
      <c r="L10" s="58" t="s">
        <v>38</v>
      </c>
      <c r="M10" s="60"/>
      <c r="N10" s="58" t="s">
        <v>20</v>
      </c>
      <c r="O10" s="59">
        <v>1.0</v>
      </c>
      <c r="P10" s="61"/>
      <c r="Q10" s="60"/>
      <c r="R10" s="59"/>
      <c r="S10" s="59"/>
      <c r="T10" s="59"/>
      <c r="U10" s="59"/>
      <c r="V10" s="59">
        <v>0.0</v>
      </c>
      <c r="W10" s="59"/>
      <c r="X10" s="61"/>
      <c r="Y10" s="62"/>
      <c r="Z10" s="59">
        <v>0.0</v>
      </c>
      <c r="AA10" s="59">
        <v>0.0</v>
      </c>
      <c r="AB10" s="58" t="s">
        <v>26</v>
      </c>
      <c r="AC10" s="59">
        <v>0.0</v>
      </c>
      <c r="AD10" s="59">
        <v>0.0</v>
      </c>
      <c r="AE10" s="63">
        <v>43872.0</v>
      </c>
      <c r="AF10" s="59">
        <v>0.0</v>
      </c>
      <c r="AG10" s="64" t="s">
        <v>49</v>
      </c>
      <c r="AH10" s="58"/>
      <c r="AI10" s="61"/>
    </row>
    <row r="11" ht="15.75" customHeight="1">
      <c r="A11" s="4"/>
      <c r="B11" s="65" t="s">
        <v>17</v>
      </c>
      <c r="C11" s="65" t="s">
        <v>49</v>
      </c>
      <c r="D11" s="65" t="s">
        <v>50</v>
      </c>
      <c r="E11" s="66">
        <v>-12877.51</v>
      </c>
      <c r="F11" s="66">
        <v>0.0</v>
      </c>
      <c r="G11" s="66">
        <v>0.0</v>
      </c>
      <c r="H11" s="65" t="s">
        <v>51</v>
      </c>
      <c r="I11" s="66">
        <v>0.0</v>
      </c>
      <c r="J11" s="66">
        <v>0.0</v>
      </c>
      <c r="K11" s="65" t="s">
        <v>18</v>
      </c>
      <c r="L11" s="65" t="s">
        <v>36</v>
      </c>
      <c r="M11" s="68"/>
      <c r="N11" s="65" t="s">
        <v>20</v>
      </c>
      <c r="O11" s="66">
        <v>1.0</v>
      </c>
      <c r="P11" s="67"/>
      <c r="Q11" s="68"/>
      <c r="R11" s="66"/>
      <c r="S11" s="66"/>
      <c r="T11" s="66"/>
      <c r="U11" s="66"/>
      <c r="V11" s="66">
        <v>0.0</v>
      </c>
      <c r="W11" s="66"/>
      <c r="X11" s="67"/>
      <c r="Y11" s="76"/>
      <c r="Z11" s="66">
        <v>0.0</v>
      </c>
      <c r="AA11" s="66">
        <v>0.0</v>
      </c>
      <c r="AB11" s="65" t="s">
        <v>26</v>
      </c>
      <c r="AC11" s="66">
        <v>0.0</v>
      </c>
      <c r="AD11" s="66">
        <v>0.0</v>
      </c>
      <c r="AE11" s="69">
        <v>43873.0</v>
      </c>
      <c r="AF11" s="66">
        <v>0.0</v>
      </c>
      <c r="AG11" s="70" t="s">
        <v>49</v>
      </c>
      <c r="AH11" s="65"/>
      <c r="AI11" s="67"/>
    </row>
    <row r="12" ht="15.75" customHeight="1">
      <c r="A12" s="4"/>
      <c r="B12" s="58" t="s">
        <v>17</v>
      </c>
      <c r="C12" s="58" t="s">
        <v>49</v>
      </c>
      <c r="D12" s="58" t="s">
        <v>50</v>
      </c>
      <c r="E12" s="59">
        <v>6023.49</v>
      </c>
      <c r="F12" s="59">
        <v>0.0</v>
      </c>
      <c r="G12" s="59">
        <v>0.0</v>
      </c>
      <c r="H12" s="58" t="s">
        <v>51</v>
      </c>
      <c r="I12" s="59">
        <v>0.0</v>
      </c>
      <c r="J12" s="59">
        <v>0.0</v>
      </c>
      <c r="K12" s="58" t="s">
        <v>18</v>
      </c>
      <c r="L12" s="58" t="s">
        <v>36</v>
      </c>
      <c r="M12" s="60"/>
      <c r="N12" s="58" t="s">
        <v>20</v>
      </c>
      <c r="O12" s="59">
        <v>1.0</v>
      </c>
      <c r="P12" s="61"/>
      <c r="Q12" s="60"/>
      <c r="R12" s="59"/>
      <c r="S12" s="59"/>
      <c r="T12" s="59"/>
      <c r="U12" s="59"/>
      <c r="V12" s="59">
        <v>0.0</v>
      </c>
      <c r="W12" s="59"/>
      <c r="X12" s="61"/>
      <c r="Y12" s="62"/>
      <c r="Z12" s="59">
        <v>0.0</v>
      </c>
      <c r="AA12" s="59">
        <v>0.0</v>
      </c>
      <c r="AB12" s="58" t="s">
        <v>60</v>
      </c>
      <c r="AC12" s="59">
        <v>0.0</v>
      </c>
      <c r="AD12" s="59">
        <v>0.0</v>
      </c>
      <c r="AE12" s="63">
        <v>43873.0</v>
      </c>
      <c r="AF12" s="59">
        <v>0.0</v>
      </c>
      <c r="AG12" s="64" t="s">
        <v>49</v>
      </c>
      <c r="AH12" s="58"/>
      <c r="AI12" s="61"/>
    </row>
    <row r="13" ht="15.75" customHeight="1">
      <c r="A13" s="4"/>
      <c r="B13" s="65" t="s">
        <v>17</v>
      </c>
      <c r="C13" s="65" t="s">
        <v>49</v>
      </c>
      <c r="D13" s="65" t="s">
        <v>50</v>
      </c>
      <c r="E13" s="66">
        <v>549.02</v>
      </c>
      <c r="F13" s="66">
        <v>0.0</v>
      </c>
      <c r="G13" s="66">
        <v>0.0</v>
      </c>
      <c r="H13" s="65" t="s">
        <v>51</v>
      </c>
      <c r="I13" s="66">
        <v>0.0</v>
      </c>
      <c r="J13" s="66">
        <v>0.0</v>
      </c>
      <c r="K13" s="65" t="s">
        <v>18</v>
      </c>
      <c r="L13" s="65" t="s">
        <v>38</v>
      </c>
      <c r="M13" s="68"/>
      <c r="N13" s="65" t="s">
        <v>20</v>
      </c>
      <c r="O13" s="66">
        <v>1.0</v>
      </c>
      <c r="P13" s="67"/>
      <c r="Q13" s="68"/>
      <c r="R13" s="66"/>
      <c r="S13" s="66"/>
      <c r="T13" s="66"/>
      <c r="U13" s="66"/>
      <c r="V13" s="66">
        <v>0.0</v>
      </c>
      <c r="W13" s="66"/>
      <c r="X13" s="67"/>
      <c r="Y13" s="76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9">
        <v>43873.0</v>
      </c>
      <c r="AF13" s="66">
        <v>0.0</v>
      </c>
      <c r="AG13" s="70" t="s">
        <v>49</v>
      </c>
      <c r="AH13" s="65"/>
      <c r="AI13" s="67"/>
    </row>
    <row r="14" ht="15.75" customHeight="1">
      <c r="A14" s="4"/>
      <c r="B14" s="58" t="s">
        <v>17</v>
      </c>
      <c r="C14" s="58" t="s">
        <v>41</v>
      </c>
      <c r="D14" s="58" t="s">
        <v>56</v>
      </c>
      <c r="E14" s="71">
        <v>-31475.98</v>
      </c>
      <c r="F14" s="59">
        <v>0.0</v>
      </c>
      <c r="G14" s="59">
        <v>0.0</v>
      </c>
      <c r="H14" s="58" t="s">
        <v>51</v>
      </c>
      <c r="I14" s="59">
        <v>0.0</v>
      </c>
      <c r="J14" s="59">
        <v>0.0</v>
      </c>
      <c r="K14" s="58" t="s">
        <v>18</v>
      </c>
      <c r="L14" s="61"/>
      <c r="M14" s="63"/>
      <c r="N14" s="58" t="s">
        <v>20</v>
      </c>
      <c r="O14" s="59">
        <v>1.0</v>
      </c>
      <c r="P14" s="61"/>
      <c r="Q14" s="60"/>
      <c r="R14" s="59"/>
      <c r="S14" s="59"/>
      <c r="T14" s="59"/>
      <c r="U14" s="59"/>
      <c r="V14" s="59">
        <v>105.0</v>
      </c>
      <c r="W14" s="59"/>
      <c r="X14" s="64" t="s">
        <v>18</v>
      </c>
      <c r="Y14" s="63"/>
      <c r="Z14" s="59">
        <v>0.0</v>
      </c>
      <c r="AA14" s="59">
        <v>0.0</v>
      </c>
      <c r="AB14" s="58" t="s">
        <v>26</v>
      </c>
      <c r="AC14" s="59">
        <v>0.0</v>
      </c>
      <c r="AD14" s="59">
        <v>0.0</v>
      </c>
      <c r="AE14" s="63">
        <v>43873.0</v>
      </c>
      <c r="AF14" s="59">
        <v>0.0</v>
      </c>
      <c r="AG14" s="64" t="s">
        <v>41</v>
      </c>
      <c r="AH14" s="61"/>
      <c r="AI14" s="61"/>
    </row>
    <row r="15" ht="15.75" customHeight="1">
      <c r="A15" s="4"/>
      <c r="B15" s="65" t="s">
        <v>17</v>
      </c>
      <c r="C15" s="65" t="s">
        <v>41</v>
      </c>
      <c r="D15" s="65" t="s">
        <v>56</v>
      </c>
      <c r="E15" s="82">
        <v>19672.49</v>
      </c>
      <c r="F15" s="66">
        <v>0.0</v>
      </c>
      <c r="G15" s="66">
        <v>0.0</v>
      </c>
      <c r="H15" s="65" t="s">
        <v>51</v>
      </c>
      <c r="I15" s="66">
        <v>0.0</v>
      </c>
      <c r="J15" s="66">
        <v>0.0</v>
      </c>
      <c r="K15" s="65" t="s">
        <v>18</v>
      </c>
      <c r="L15" s="67"/>
      <c r="M15" s="69"/>
      <c r="N15" s="65" t="s">
        <v>20</v>
      </c>
      <c r="O15" s="66">
        <v>1.0</v>
      </c>
      <c r="P15" s="67"/>
      <c r="Q15" s="68"/>
      <c r="R15" s="66"/>
      <c r="S15" s="66"/>
      <c r="T15" s="66"/>
      <c r="U15" s="66"/>
      <c r="V15" s="66">
        <v>105.0</v>
      </c>
      <c r="W15" s="66"/>
      <c r="X15" s="70" t="s">
        <v>18</v>
      </c>
      <c r="Y15" s="69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9">
        <v>43873.0</v>
      </c>
      <c r="AF15" s="66">
        <v>0.0</v>
      </c>
      <c r="AG15" s="70" t="s">
        <v>41</v>
      </c>
      <c r="AH15" s="67"/>
      <c r="AI15" s="67"/>
    </row>
    <row r="16" ht="15.75" customHeight="1">
      <c r="A16" s="4"/>
      <c r="B16" s="58" t="s">
        <v>17</v>
      </c>
      <c r="C16" s="58" t="s">
        <v>41</v>
      </c>
      <c r="D16" s="58" t="s">
        <v>56</v>
      </c>
      <c r="E16" s="71">
        <v>11803.49</v>
      </c>
      <c r="F16" s="59">
        <v>0.0</v>
      </c>
      <c r="G16" s="59">
        <v>0.0</v>
      </c>
      <c r="H16" s="58" t="s">
        <v>51</v>
      </c>
      <c r="I16" s="59">
        <v>0.0</v>
      </c>
      <c r="J16" s="59">
        <v>0.0</v>
      </c>
      <c r="K16" s="58" t="s">
        <v>18</v>
      </c>
      <c r="L16" s="61"/>
      <c r="M16" s="63"/>
      <c r="N16" s="58" t="s">
        <v>20</v>
      </c>
      <c r="O16" s="59">
        <v>1.0</v>
      </c>
      <c r="P16" s="61"/>
      <c r="Q16" s="60"/>
      <c r="R16" s="59"/>
      <c r="S16" s="59"/>
      <c r="T16" s="59"/>
      <c r="U16" s="59"/>
      <c r="V16" s="59">
        <v>34.0</v>
      </c>
      <c r="W16" s="59"/>
      <c r="X16" s="64" t="s">
        <v>18</v>
      </c>
      <c r="Y16" s="63"/>
      <c r="Z16" s="59">
        <v>0.0</v>
      </c>
      <c r="AA16" s="59">
        <v>0.0</v>
      </c>
      <c r="AB16" s="58" t="s">
        <v>60</v>
      </c>
      <c r="AC16" s="59">
        <v>0.0</v>
      </c>
      <c r="AD16" s="59">
        <v>0.0</v>
      </c>
      <c r="AE16" s="63">
        <v>43873.0</v>
      </c>
      <c r="AF16" s="59">
        <v>0.0</v>
      </c>
      <c r="AG16" s="64" t="s">
        <v>41</v>
      </c>
      <c r="AH16" s="61"/>
      <c r="AI16" s="61"/>
    </row>
    <row r="17" ht="15.75" customHeight="1">
      <c r="A17" s="4"/>
      <c r="B17" s="65" t="s">
        <v>17</v>
      </c>
      <c r="C17" s="65" t="s">
        <v>53</v>
      </c>
      <c r="D17" s="65" t="s">
        <v>65</v>
      </c>
      <c r="E17" s="66">
        <v>0.0</v>
      </c>
      <c r="F17" s="66">
        <v>0.0</v>
      </c>
      <c r="G17" s="66">
        <v>0.0</v>
      </c>
      <c r="H17" s="65" t="s">
        <v>51</v>
      </c>
      <c r="I17" s="66">
        <v>0.0</v>
      </c>
      <c r="J17" s="66">
        <v>0.0</v>
      </c>
      <c r="K17" s="65" t="s">
        <v>18</v>
      </c>
      <c r="L17" s="65" t="s">
        <v>66</v>
      </c>
      <c r="M17" s="68"/>
      <c r="N17" s="65" t="s">
        <v>20</v>
      </c>
      <c r="O17" s="66">
        <v>1.0</v>
      </c>
      <c r="P17" s="67"/>
      <c r="Q17" s="68"/>
      <c r="R17" s="66"/>
      <c r="S17" s="66"/>
      <c r="T17" s="66"/>
      <c r="U17" s="66"/>
      <c r="V17" s="66">
        <v>0.0</v>
      </c>
      <c r="W17" s="66"/>
      <c r="X17" s="67"/>
      <c r="Y17" s="69"/>
      <c r="Z17" s="66">
        <v>0.0</v>
      </c>
      <c r="AA17" s="66">
        <v>0.0</v>
      </c>
      <c r="AB17" s="65" t="s">
        <v>60</v>
      </c>
      <c r="AC17" s="66">
        <v>0.0</v>
      </c>
      <c r="AD17" s="66">
        <v>0.0</v>
      </c>
      <c r="AE17" s="69">
        <v>43873.0</v>
      </c>
      <c r="AF17" s="66">
        <v>0.0</v>
      </c>
      <c r="AG17" s="70" t="s">
        <v>55</v>
      </c>
      <c r="AH17" s="65"/>
      <c r="AI17" s="67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62</v>
      </c>
      <c r="D3" s="5" t="s">
        <v>8</v>
      </c>
      <c r="E3" s="21" t="s">
        <v>63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64</v>
      </c>
      <c r="C6" s="31">
        <v>43871.0</v>
      </c>
      <c r="D6" s="31">
        <v>43873.0</v>
      </c>
      <c r="E6" s="32" t="s">
        <v>17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18.29"/>
    <col customWidth="1" min="9" max="9" width="18.14"/>
    <col customWidth="1" min="10" max="11" width="17.43"/>
    <col customWidth="1" min="12" max="23" width="14.43"/>
    <col customWidth="1" min="24" max="24" width="19.0"/>
    <col customWidth="1" min="25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62</v>
      </c>
      <c r="D3" s="5" t="s">
        <v>8</v>
      </c>
      <c r="E3" s="21" t="s">
        <v>67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72" t="s">
        <v>17</v>
      </c>
      <c r="C6" s="72" t="s">
        <v>71</v>
      </c>
      <c r="D6" s="74"/>
      <c r="E6" s="78"/>
      <c r="F6" s="72"/>
      <c r="G6" s="78"/>
      <c r="H6" s="74">
        <v>19672.489</v>
      </c>
      <c r="I6" s="74">
        <v>187.357</v>
      </c>
      <c r="J6" s="75">
        <v>43871.0</v>
      </c>
      <c r="K6" s="72" t="s">
        <v>72</v>
      </c>
      <c r="L6" s="75">
        <v>43873.0</v>
      </c>
      <c r="M6" s="74">
        <v>105.0</v>
      </c>
      <c r="N6" s="72" t="s">
        <v>73</v>
      </c>
      <c r="O6" s="74"/>
      <c r="P6" s="72" t="s">
        <v>27</v>
      </c>
      <c r="Q6" s="72" t="s">
        <v>74</v>
      </c>
      <c r="R6" s="72" t="s">
        <v>26</v>
      </c>
      <c r="S6" s="83"/>
      <c r="T6" s="74">
        <v>0.0</v>
      </c>
      <c r="U6" s="75">
        <v>43873.0</v>
      </c>
      <c r="V6" s="72" t="s">
        <v>27</v>
      </c>
      <c r="W6" s="72" t="s">
        <v>75</v>
      </c>
      <c r="X6" s="74">
        <v>187.357038095238</v>
      </c>
      <c r="Y6" s="74">
        <v>187.357</v>
      </c>
    </row>
    <row r="7" ht="15.75" customHeight="1">
      <c r="A7" s="4"/>
      <c r="B7" s="72" t="s">
        <v>17</v>
      </c>
      <c r="C7" s="72" t="s">
        <v>71</v>
      </c>
      <c r="D7" s="74"/>
      <c r="E7" s="78"/>
      <c r="F7" s="72"/>
      <c r="G7" s="78"/>
      <c r="H7" s="74">
        <v>11803.4934</v>
      </c>
      <c r="I7" s="74">
        <v>347.1616</v>
      </c>
      <c r="J7" s="75">
        <v>43871.0</v>
      </c>
      <c r="K7" s="72" t="s">
        <v>72</v>
      </c>
      <c r="L7" s="75">
        <v>43873.0</v>
      </c>
      <c r="M7" s="74">
        <v>34.0</v>
      </c>
      <c r="N7" s="72" t="s">
        <v>76</v>
      </c>
      <c r="O7" s="74"/>
      <c r="P7" s="72" t="s">
        <v>27</v>
      </c>
      <c r="Q7" s="72" t="s">
        <v>74</v>
      </c>
      <c r="R7" s="72" t="s">
        <v>60</v>
      </c>
      <c r="S7" s="83"/>
      <c r="T7" s="74">
        <v>0.0</v>
      </c>
      <c r="U7" s="75">
        <v>43873.0</v>
      </c>
      <c r="V7" s="72" t="s">
        <v>27</v>
      </c>
      <c r="W7" s="72" t="s">
        <v>75</v>
      </c>
      <c r="X7" s="74">
        <v>347.161570588235</v>
      </c>
      <c r="Y7" s="74">
        <v>347.1616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68</v>
      </c>
      <c r="D3" s="5" t="s">
        <v>8</v>
      </c>
      <c r="E3" s="21" t="s">
        <v>69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64</v>
      </c>
      <c r="C6" s="31">
        <v>43871.0</v>
      </c>
      <c r="D6" s="31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7.43"/>
    <col customWidth="1" min="11" max="11" width="39.57"/>
    <col customWidth="1" min="12" max="20" width="14.43"/>
    <col customWidth="1" min="21" max="21" width="24.71"/>
    <col customWidth="1" min="22" max="35" width="14.43"/>
    <col customWidth="1" min="36" max="36" width="24.43"/>
    <col customWidth="1" min="37" max="45" width="14.43"/>
    <col customWidth="1" min="46" max="46" width="23.29"/>
    <col customWidth="1" min="47" max="68" width="14.43"/>
    <col customWidth="1" min="69" max="69" width="39.14"/>
    <col customWidth="1" min="70" max="73" width="14.43"/>
    <col customWidth="1" min="74" max="74" width="22.57"/>
    <col customWidth="1" min="75" max="75" width="23.29"/>
    <col customWidth="1" min="76" max="76" width="30.86"/>
    <col customWidth="1" min="77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68</v>
      </c>
      <c r="D3" s="5" t="s">
        <v>8</v>
      </c>
      <c r="E3" s="21" t="s">
        <v>70</v>
      </c>
      <c r="F3" s="5" t="s">
        <v>15</v>
      </c>
      <c r="G3" s="16" t="s">
        <v>16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84" t="s">
        <v>17</v>
      </c>
      <c r="C6" s="84"/>
      <c r="D6" s="85"/>
      <c r="E6" s="85">
        <v>105.0</v>
      </c>
      <c r="F6" s="84" t="s">
        <v>77</v>
      </c>
      <c r="G6" s="84" t="s">
        <v>71</v>
      </c>
      <c r="H6" s="85">
        <v>4.0</v>
      </c>
      <c r="I6" s="85">
        <v>5.0</v>
      </c>
      <c r="J6" s="85"/>
      <c r="K6" s="85">
        <v>300.0</v>
      </c>
      <c r="L6" s="85">
        <v>300.0</v>
      </c>
      <c r="M6" s="84"/>
      <c r="N6" s="84"/>
      <c r="O6" s="84"/>
      <c r="P6" s="86"/>
      <c r="Q6" s="85"/>
      <c r="R6" s="85">
        <v>0.0</v>
      </c>
      <c r="S6" s="84" t="s">
        <v>78</v>
      </c>
      <c r="T6" s="85">
        <v>2.5</v>
      </c>
      <c r="U6" s="85">
        <v>0.0238095238095238</v>
      </c>
      <c r="V6" s="84" t="s">
        <v>73</v>
      </c>
      <c r="W6" s="85"/>
      <c r="X6" s="85"/>
      <c r="Y6" s="84"/>
      <c r="Z6" s="84" t="s">
        <v>18</v>
      </c>
      <c r="AA6" s="84"/>
      <c r="AB6" s="85"/>
      <c r="AC6" s="86"/>
      <c r="AD6" s="84" t="s">
        <v>79</v>
      </c>
      <c r="AE6" s="85">
        <v>105.0</v>
      </c>
      <c r="AF6" s="87"/>
      <c r="AG6" s="87"/>
      <c r="AH6" s="84" t="s">
        <v>20</v>
      </c>
      <c r="AI6" s="85">
        <v>1.0</v>
      </c>
      <c r="AJ6" s="84" t="s">
        <v>45</v>
      </c>
      <c r="AK6" s="86"/>
      <c r="AL6" s="86"/>
      <c r="AM6" s="86"/>
      <c r="AN6" s="84"/>
      <c r="AO6" s="86"/>
      <c r="AP6" s="84"/>
      <c r="AQ6" s="84"/>
      <c r="AR6" s="84"/>
      <c r="AS6" s="85"/>
      <c r="AT6" s="85">
        <v>31475.9824</v>
      </c>
      <c r="AU6" s="85">
        <v>31475.9824</v>
      </c>
      <c r="AV6" s="88"/>
      <c r="AW6" s="85"/>
      <c r="AX6" s="85"/>
      <c r="AY6" s="84"/>
      <c r="AZ6" s="85"/>
      <c r="BA6" s="89"/>
      <c r="BB6" s="86"/>
      <c r="BC6" s="85"/>
      <c r="BD6" s="84"/>
      <c r="BE6" s="85">
        <v>31500.0</v>
      </c>
      <c r="BF6" s="85">
        <v>31500.0</v>
      </c>
      <c r="BG6" s="88"/>
      <c r="BH6" s="86"/>
      <c r="BI6" s="86"/>
      <c r="BJ6" s="85">
        <v>105.0</v>
      </c>
      <c r="BK6" s="85"/>
      <c r="BL6" s="84"/>
      <c r="BM6" s="84" t="s">
        <v>18</v>
      </c>
      <c r="BN6" s="88"/>
      <c r="BO6" s="84" t="s">
        <v>27</v>
      </c>
      <c r="BP6" s="85">
        <v>7.5</v>
      </c>
      <c r="BQ6" s="85">
        <v>0.0714285714285714</v>
      </c>
      <c r="BR6" s="85">
        <v>0.0176</v>
      </c>
      <c r="BS6" s="84" t="s">
        <v>74</v>
      </c>
      <c r="BT6" s="84" t="s">
        <v>26</v>
      </c>
      <c r="BU6" s="85">
        <v>3.0</v>
      </c>
      <c r="BV6" s="85">
        <v>10.0</v>
      </c>
      <c r="BW6" s="85">
        <v>24.0176</v>
      </c>
      <c r="BX6" s="85">
        <v>0.0952380952380952</v>
      </c>
      <c r="BY6" s="86"/>
      <c r="BZ6" s="86"/>
      <c r="CA6" s="86"/>
      <c r="CB6" s="86"/>
      <c r="CC6" s="86"/>
      <c r="CD6" s="86"/>
      <c r="CE6" s="89"/>
      <c r="CF6" s="84"/>
      <c r="CG6" s="85">
        <v>2.0</v>
      </c>
      <c r="CH6" s="84" t="s">
        <v>23</v>
      </c>
      <c r="CI6" s="84" t="s">
        <v>57</v>
      </c>
      <c r="CJ6" s="85">
        <v>0.0</v>
      </c>
      <c r="CK6" s="84" t="s">
        <v>75</v>
      </c>
      <c r="CL6" s="85">
        <v>1.0</v>
      </c>
      <c r="CM6" s="84" t="s">
        <v>26</v>
      </c>
      <c r="CN6" s="84"/>
    </row>
    <row r="7" ht="15.75" customHeight="1">
      <c r="A7" s="4"/>
      <c r="B7" s="84" t="s">
        <v>17</v>
      </c>
      <c r="C7" s="84"/>
      <c r="D7" s="85"/>
      <c r="E7" s="85">
        <v>105.0</v>
      </c>
      <c r="F7" s="84" t="s">
        <v>77</v>
      </c>
      <c r="G7" s="84" t="s">
        <v>71</v>
      </c>
      <c r="H7" s="85">
        <v>0.0</v>
      </c>
      <c r="I7" s="85">
        <v>0.0</v>
      </c>
      <c r="J7" s="85"/>
      <c r="K7" s="85">
        <v>299.771260952381</v>
      </c>
      <c r="L7" s="85">
        <v>299.771260952381</v>
      </c>
      <c r="M7" s="84"/>
      <c r="N7" s="84"/>
      <c r="O7" s="86"/>
      <c r="P7" s="86"/>
      <c r="Q7" s="85"/>
      <c r="R7" s="85">
        <v>0.0</v>
      </c>
      <c r="S7" s="84" t="s">
        <v>78</v>
      </c>
      <c r="T7" s="85">
        <v>0.0</v>
      </c>
      <c r="U7" s="85">
        <v>0.0</v>
      </c>
      <c r="V7" s="84" t="s">
        <v>73</v>
      </c>
      <c r="W7" s="85"/>
      <c r="X7" s="85"/>
      <c r="Y7" s="84"/>
      <c r="Z7" s="84" t="s">
        <v>18</v>
      </c>
      <c r="AA7" s="84"/>
      <c r="AB7" s="85"/>
      <c r="AC7" s="86"/>
      <c r="AD7" s="84" t="s">
        <v>79</v>
      </c>
      <c r="AE7" s="85">
        <v>105.0</v>
      </c>
      <c r="AF7" s="87"/>
      <c r="AG7" s="87"/>
      <c r="AH7" s="84" t="s">
        <v>20</v>
      </c>
      <c r="AI7" s="85">
        <v>1.0</v>
      </c>
      <c r="AJ7" s="84" t="s">
        <v>45</v>
      </c>
      <c r="AK7" s="86"/>
      <c r="AL7" s="86"/>
      <c r="AM7" s="86"/>
      <c r="AN7" s="84"/>
      <c r="AO7" s="86"/>
      <c r="AP7" s="84"/>
      <c r="AQ7" s="84"/>
      <c r="AR7" s="84"/>
      <c r="AS7" s="85"/>
      <c r="AT7" s="85">
        <v>31475.9824</v>
      </c>
      <c r="AU7" s="85">
        <v>31475.9824</v>
      </c>
      <c r="AV7" s="89"/>
      <c r="AW7" s="85"/>
      <c r="AX7" s="85"/>
      <c r="AY7" s="84"/>
      <c r="AZ7" s="85"/>
      <c r="BA7" s="89"/>
      <c r="BB7" s="86"/>
      <c r="BC7" s="85"/>
      <c r="BD7" s="84"/>
      <c r="BE7" s="85">
        <v>31475.9824</v>
      </c>
      <c r="BF7" s="85">
        <v>31475.9824</v>
      </c>
      <c r="BG7" s="89"/>
      <c r="BH7" s="86"/>
      <c r="BI7" s="86"/>
      <c r="BJ7" s="85">
        <v>105.0</v>
      </c>
      <c r="BK7" s="85"/>
      <c r="BL7" s="84"/>
      <c r="BM7" s="84" t="s">
        <v>18</v>
      </c>
      <c r="BN7" s="89"/>
      <c r="BO7" s="84" t="s">
        <v>58</v>
      </c>
      <c r="BP7" s="85">
        <v>0.0</v>
      </c>
      <c r="BQ7" s="85">
        <v>0.0</v>
      </c>
      <c r="BR7" s="85">
        <v>0.0</v>
      </c>
      <c r="BS7" s="84" t="s">
        <v>74</v>
      </c>
      <c r="BT7" s="84" t="s">
        <v>26</v>
      </c>
      <c r="BU7" s="85">
        <v>0.0</v>
      </c>
      <c r="BV7" s="85">
        <v>0.0</v>
      </c>
      <c r="BW7" s="85">
        <v>0.0</v>
      </c>
      <c r="BX7" s="85">
        <v>0.0</v>
      </c>
      <c r="BY7" s="86"/>
      <c r="BZ7" s="86"/>
      <c r="CA7" s="86"/>
      <c r="CB7" s="86"/>
      <c r="CC7" s="86"/>
      <c r="CD7" s="86"/>
      <c r="CE7" s="89"/>
      <c r="CF7" s="84"/>
      <c r="CG7" s="85">
        <v>0.0</v>
      </c>
      <c r="CH7" s="84" t="s">
        <v>80</v>
      </c>
      <c r="CI7" s="84" t="s">
        <v>59</v>
      </c>
      <c r="CJ7" s="85">
        <v>0.0</v>
      </c>
      <c r="CK7" s="84" t="s">
        <v>75</v>
      </c>
      <c r="CL7" s="85">
        <v>1.0</v>
      </c>
      <c r="CM7" s="84" t="s">
        <v>26</v>
      </c>
      <c r="CN7" s="84"/>
    </row>
    <row r="8" ht="15.75" customHeight="1">
      <c r="A8" s="4"/>
      <c r="B8" s="84" t="s">
        <v>17</v>
      </c>
      <c r="C8" s="84"/>
      <c r="D8" s="85"/>
      <c r="E8" s="85">
        <v>105.0</v>
      </c>
      <c r="F8" s="84" t="s">
        <v>77</v>
      </c>
      <c r="G8" s="84" t="s">
        <v>71</v>
      </c>
      <c r="H8" s="85">
        <v>0.0</v>
      </c>
      <c r="I8" s="85">
        <v>0.0</v>
      </c>
      <c r="J8" s="85"/>
      <c r="K8" s="85">
        <v>187.357038095238</v>
      </c>
      <c r="L8" s="85">
        <v>187.357038095238</v>
      </c>
      <c r="M8" s="84"/>
      <c r="N8" s="84"/>
      <c r="O8" s="86"/>
      <c r="P8" s="86"/>
      <c r="Q8" s="85"/>
      <c r="R8" s="85">
        <v>0.0</v>
      </c>
      <c r="S8" s="84" t="s">
        <v>78</v>
      </c>
      <c r="T8" s="85">
        <v>0.0</v>
      </c>
      <c r="U8" s="85">
        <v>0.0</v>
      </c>
      <c r="V8" s="84" t="s">
        <v>73</v>
      </c>
      <c r="W8" s="85"/>
      <c r="X8" s="85"/>
      <c r="Y8" s="84"/>
      <c r="Z8" s="84" t="s">
        <v>18</v>
      </c>
      <c r="AA8" s="84"/>
      <c r="AB8" s="85"/>
      <c r="AC8" s="86"/>
      <c r="AD8" s="84" t="s">
        <v>79</v>
      </c>
      <c r="AE8" s="85">
        <v>105.0</v>
      </c>
      <c r="AF8" s="87"/>
      <c r="AG8" s="87"/>
      <c r="AH8" s="84" t="s">
        <v>20</v>
      </c>
      <c r="AI8" s="85">
        <v>1.0</v>
      </c>
      <c r="AJ8" s="84" t="s">
        <v>45</v>
      </c>
      <c r="AK8" s="86"/>
      <c r="AL8" s="86"/>
      <c r="AM8" s="86"/>
      <c r="AN8" s="84"/>
      <c r="AO8" s="86"/>
      <c r="AP8" s="84"/>
      <c r="AQ8" s="84"/>
      <c r="AR8" s="84"/>
      <c r="AS8" s="85"/>
      <c r="AT8" s="85">
        <v>19672.489</v>
      </c>
      <c r="AU8" s="85">
        <v>19672.489</v>
      </c>
      <c r="AV8" s="89"/>
      <c r="AW8" s="85"/>
      <c r="AX8" s="85"/>
      <c r="AY8" s="84"/>
      <c r="AZ8" s="85"/>
      <c r="BA8" s="89"/>
      <c r="BB8" s="86"/>
      <c r="BC8" s="85"/>
      <c r="BD8" s="84"/>
      <c r="BE8" s="85">
        <v>19672.489</v>
      </c>
      <c r="BF8" s="85">
        <v>19672.489</v>
      </c>
      <c r="BG8" s="89"/>
      <c r="BH8" s="86"/>
      <c r="BI8" s="86"/>
      <c r="BJ8" s="85">
        <v>105.0</v>
      </c>
      <c r="BK8" s="85"/>
      <c r="BL8" s="84"/>
      <c r="BM8" s="84" t="s">
        <v>18</v>
      </c>
      <c r="BN8" s="89"/>
      <c r="BO8" s="84" t="s">
        <v>27</v>
      </c>
      <c r="BP8" s="85">
        <v>0.0</v>
      </c>
      <c r="BQ8" s="85">
        <v>0.0</v>
      </c>
      <c r="BR8" s="85">
        <v>0.0</v>
      </c>
      <c r="BS8" s="84" t="s">
        <v>74</v>
      </c>
      <c r="BT8" s="84" t="s">
        <v>26</v>
      </c>
      <c r="BU8" s="85">
        <v>0.0</v>
      </c>
      <c r="BV8" s="85">
        <v>0.0</v>
      </c>
      <c r="BW8" s="85">
        <v>0.0</v>
      </c>
      <c r="BX8" s="85">
        <v>0.0</v>
      </c>
      <c r="BY8" s="86"/>
      <c r="BZ8" s="86"/>
      <c r="CA8" s="86"/>
      <c r="CB8" s="86"/>
      <c r="CC8" s="86"/>
      <c r="CD8" s="86"/>
      <c r="CE8" s="89"/>
      <c r="CF8" s="84"/>
      <c r="CG8" s="85">
        <v>0.0</v>
      </c>
      <c r="CH8" s="84" t="s">
        <v>80</v>
      </c>
      <c r="CI8" s="84" t="s">
        <v>57</v>
      </c>
      <c r="CJ8" s="85">
        <v>0.0</v>
      </c>
      <c r="CK8" s="84" t="s">
        <v>75</v>
      </c>
      <c r="CL8" s="85">
        <v>1.0</v>
      </c>
      <c r="CM8" s="84" t="s">
        <v>26</v>
      </c>
      <c r="CN8" s="84"/>
    </row>
    <row r="9" ht="15.75" customHeight="1">
      <c r="A9" s="4"/>
      <c r="B9" s="84" t="s">
        <v>17</v>
      </c>
      <c r="C9" s="84"/>
      <c r="D9" s="85"/>
      <c r="E9" s="85">
        <v>34.0</v>
      </c>
      <c r="F9" s="84" t="s">
        <v>77</v>
      </c>
      <c r="G9" s="84" t="s">
        <v>71</v>
      </c>
      <c r="H9" s="85">
        <v>0.0</v>
      </c>
      <c r="I9" s="85">
        <v>0.0</v>
      </c>
      <c r="J9" s="85"/>
      <c r="K9" s="85">
        <v>347.161570588235</v>
      </c>
      <c r="L9" s="85">
        <v>347.161570588235</v>
      </c>
      <c r="M9" s="84"/>
      <c r="N9" s="84"/>
      <c r="O9" s="86"/>
      <c r="P9" s="86"/>
      <c r="Q9" s="85"/>
      <c r="R9" s="85">
        <v>0.0</v>
      </c>
      <c r="S9" s="84" t="s">
        <v>78</v>
      </c>
      <c r="T9" s="85">
        <v>0.0</v>
      </c>
      <c r="U9" s="85">
        <v>0.0</v>
      </c>
      <c r="V9" s="84" t="s">
        <v>76</v>
      </c>
      <c r="W9" s="85"/>
      <c r="X9" s="85"/>
      <c r="Y9" s="84"/>
      <c r="Z9" s="84" t="s">
        <v>18</v>
      </c>
      <c r="AA9" s="84"/>
      <c r="AB9" s="85"/>
      <c r="AC9" s="86"/>
      <c r="AD9" s="84" t="s">
        <v>79</v>
      </c>
      <c r="AE9" s="85">
        <v>34.0</v>
      </c>
      <c r="AF9" s="87"/>
      <c r="AG9" s="87"/>
      <c r="AH9" s="84" t="s">
        <v>20</v>
      </c>
      <c r="AI9" s="85">
        <v>1.0</v>
      </c>
      <c r="AJ9" s="84" t="s">
        <v>45</v>
      </c>
      <c r="AK9" s="86"/>
      <c r="AL9" s="86"/>
      <c r="AM9" s="86"/>
      <c r="AN9" s="84"/>
      <c r="AO9" s="84"/>
      <c r="AP9" s="84"/>
      <c r="AQ9" s="84"/>
      <c r="AR9" s="84"/>
      <c r="AS9" s="85"/>
      <c r="AT9" s="85">
        <v>11803.4934</v>
      </c>
      <c r="AU9" s="85">
        <v>11803.4934</v>
      </c>
      <c r="AV9" s="89"/>
      <c r="AW9" s="85"/>
      <c r="AX9" s="85"/>
      <c r="AY9" s="84"/>
      <c r="AZ9" s="85"/>
      <c r="BA9" s="89"/>
      <c r="BB9" s="86"/>
      <c r="BC9" s="85"/>
      <c r="BD9" s="84"/>
      <c r="BE9" s="85">
        <v>11803.4934</v>
      </c>
      <c r="BF9" s="85">
        <v>11803.4934</v>
      </c>
      <c r="BG9" s="89"/>
      <c r="BH9" s="86"/>
      <c r="BI9" s="86"/>
      <c r="BJ9" s="85">
        <v>34.0</v>
      </c>
      <c r="BK9" s="85"/>
      <c r="BL9" s="84"/>
      <c r="BM9" s="84" t="s">
        <v>18</v>
      </c>
      <c r="BN9" s="89"/>
      <c r="BO9" s="84" t="s">
        <v>27</v>
      </c>
      <c r="BP9" s="85">
        <v>0.0</v>
      </c>
      <c r="BQ9" s="85">
        <v>0.0</v>
      </c>
      <c r="BR9" s="85">
        <v>0.0</v>
      </c>
      <c r="BS9" s="84" t="s">
        <v>74</v>
      </c>
      <c r="BT9" s="84" t="s">
        <v>60</v>
      </c>
      <c r="BU9" s="85">
        <v>0.0</v>
      </c>
      <c r="BV9" s="85">
        <v>0.0</v>
      </c>
      <c r="BW9" s="85">
        <v>0.0</v>
      </c>
      <c r="BX9" s="85">
        <v>0.0</v>
      </c>
      <c r="BY9" s="86"/>
      <c r="BZ9" s="86"/>
      <c r="CA9" s="86"/>
      <c r="CB9" s="86"/>
      <c r="CC9" s="86"/>
      <c r="CD9" s="86"/>
      <c r="CE9" s="89"/>
      <c r="CF9" s="84"/>
      <c r="CG9" s="85">
        <v>0.0</v>
      </c>
      <c r="CH9" s="84" t="s">
        <v>80</v>
      </c>
      <c r="CI9" s="84" t="s">
        <v>57</v>
      </c>
      <c r="CJ9" s="85">
        <v>0.0</v>
      </c>
      <c r="CK9" s="84" t="s">
        <v>75</v>
      </c>
      <c r="CL9" s="85">
        <v>1.0</v>
      </c>
      <c r="CM9" s="84" t="s">
        <v>60</v>
      </c>
      <c r="CN9" s="8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