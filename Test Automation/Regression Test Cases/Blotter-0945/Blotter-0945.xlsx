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VerifyRowAllFixLogs3" sheetId="5" r:id="rId7"/>
    <sheet state="visible" name="SelectTradeOnOrderGrid" sheetId="6" r:id="rId8"/>
    <sheet state="visible" name="ReloadOrderFromSubOrder" sheetId="7" r:id="rId9"/>
    <sheet state="visible" name="CustomOrderTT1" sheetId="8" r:id="rId10"/>
    <sheet state="visible" name="VerifyRowAllFixLogs" sheetId="9" r:id="rId11"/>
    <sheet state="visible" name="SelectTrade" sheetId="10" r:id="rId12"/>
    <sheet state="visible" name="AcknowledgeTrade" sheetId="11" r:id="rId13"/>
    <sheet state="visible" name="VerifyRowAllFixLogs1" sheetId="12" r:id="rId14"/>
    <sheet state="visible" name="ExecuteTrade" sheetId="13" r:id="rId15"/>
    <sheet state="visible" name="VerifyRowAllFixLogs2" sheetId="14" r:id="rId16"/>
  </sheets>
  <definedNames/>
  <calcPr/>
</workbook>
</file>

<file path=xl/sharedStrings.xml><?xml version="1.0" encoding="utf-8"?>
<sst xmlns="http://schemas.openxmlformats.org/spreadsheetml/2006/main" count="106" uniqueCount="34">
  <si>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</si>
  <si>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</si>
  <si>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</si>
  <si>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</si>
  <si>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</si>
  <si>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</si>
  <si>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</si>
  <si>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</si>
  <si>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</si>
  <si>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</si>
  <si>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</si>
  <si>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</si>
  <si>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</si>
  <si>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</si>
  <si>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</si>
  <si>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</si>
  <si>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</si>
  <si>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</si>
  <si>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Buy</t>
  </si>
  <si>
    <t>Good Till Date</t>
  </si>
  <si>
    <t>Simulator</t>
  </si>
  <si>
    <t>VerifyRowAllFixLogs</t>
  </si>
  <si>
    <t>(8=FIX.4.2_x0001_9=250_x0001_35=D_x0001_49=SendToMS_x0001_56=MS_x0001_34=19_x0001_52=20250701-10:33:58_x0001_115=TITNTRFXSTNE_x0001_128=SNEX_x0001_116=Support_TEST_x0001_11=2025070115475722_x0001_18=1_x0001_55=AAPL_x0001_54=1_x0001_60=20250701-10:33:58_x0001_40=1_x0001_59=6_x0001_21=3_x0001_167=CS_x0001_38=100_x0001_126=20250702-21:00:00_x0001_58=BrokerNotes_x0001_48=AAPL_x0001_47=A_x0001_22=2_x0001_15=USD_x0001_100=US_x0001_10=135_x0001_)</t>
  </si>
  <si>
    <t>Blotter</t>
  </si>
  <si>
    <t>SelectTradeOnOrderGrid</t>
  </si>
  <si>
    <t>New</t>
  </si>
  <si>
    <t>ReloadOrderFromSubOrder</t>
  </si>
  <si>
    <t>PendingNew</t>
  </si>
  <si>
    <t>(8=FIX.4.2_x0001_9=235_x0001_35=D_x0001_49=SendToMS_x0001_56=MS_x0001_34=20_x0001_52=20250701-10:34:58_x0001_115=TITNTRFXSTNE_x0001_128=SNEX_x0001_116=Support_TEST_x0001_11=2025070115475724_x0001_18=1_x0001_55=AAPL_x0001_54=1_x0001_60=20250701-10:34:58_x0001_40=1_x0001_59=6_x0001_21=3_x0001_167=CS_x0001_38=200_x0001_126=20250702-21:00:00_x0001_48=AAPL_x0001_47=A_x0001_22=2_x0001_15=USD_x0001_100=US_x0001_10=110_x0001_)</t>
  </si>
  <si>
    <t>SelectTrade</t>
  </si>
  <si>
    <t>AcknowledgeTrade</t>
  </si>
  <si>
    <t>(8=FIX.4.2_x0001_9=190_x0001_35=8_x0001_49=MS_x0001_56=SendToMS_x0001_34=22_x0001_52=20250701-10:35:19_x0001_54=1_x0001_11=2025070115475724_x0001_40=1_x0001_38=200_x0001_39=0_x0001_55=AAPL_x0001_17=2025070115475724:0:Ack_x0001_20=0_x0001_37=2025070115475724_x0001_150=0_x0001_6=0_x0001_151=200_x0001_14=0_x0001_32=0_x0001_31=0_x0001_555=0_x0001_10=041_x0001_)</t>
  </si>
  <si>
    <t>ExecuteTrade</t>
  </si>
  <si>
    <t>(8=FIX.4.2_x0001_9=195_x0001_35=8_x0001_49=MS_x0001_56=SendToMS_x0001_34=23_x0001_52=20250701-10:35:23_x0001_54=1_x0001_11=2025070115475724_x0001_40=1_x0001_38=200_x0001_39=2_x0001_55=AAPL_x0001_17=2025070115475724:1:Fill_x0001_20=0_x0001_37=2025070115475724_x0001_150=2_x0001_6=10_x0001_151=0_x0001_14=200_x0001_32=200_x0001_31=10_x0001_555=0_x0001_10=107_x0001_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</si>
</sst>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2" numFmtId="14" xfId="0" applyFont="1" applyNumberForma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100.0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  <c r="U6" s="9" t="s">
        <v>19</v>
      </c>
      <c r="Y6" s="30">
        <f>today()+1</f>
        <v>45923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VerifyRowAllFixLogs3!$4:$4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18</v>
      </c>
      <c r="G6" s="12" t="s">
        <v>25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IFERROR(__xludf.DUMMYFUNCTION("""COMPUTED_VALUE"""),"Quantity")</f>
        <v>Quantity</v>
      </c>
      <c r="I5" s="27" t="str">
        <f>IFERROR(__xludf.DUMMYFUNCTION("""COMPUTED_VALUE"""),"Executed Qty")</f>
        <v>Executed Qty</v>
      </c>
      <c r="J5" s="27" t="str">
        <f>IFERROR(__xludf.DUMMYFUNCTION("""COMPUTED_VALUE"""),"Limit Price")</f>
        <v>Limit Price</v>
      </c>
      <c r="K5" s="27" t="str">
        <f>IFERROR(__xludf.DUMMYFUNCTION("""COMPUTED_VALUE"""),"Last Fill Price (Local)")</f>
        <v>Last Fill Price (Local)</v>
      </c>
      <c r="L5" s="27" t="str">
        <f>IFERROR(__xludf.DUMMYFUNCTION("""COMPUTED_VALUE"""),"Stop Price")</f>
        <v>Stop Price</v>
      </c>
      <c r="M5" s="27" t="str">
        <f>IFERROR(__xludf.DUMMYFUNCTION("""COMPUTED_VALUE"""),"Avg Fill Price (Local)")</f>
        <v>Avg Fill Price (Local)</v>
      </c>
      <c r="N5" s="27" t="str">
        <f>IFERROR(__xludf.DUMMYFUNCTION("""COMPUTED_VALUE"""),"Broker")</f>
        <v>Broker</v>
      </c>
      <c r="O5" s="27" t="str">
        <f>IFERROR(__xludf.DUMMYFUNCTION("""COMPUTED_VALUE"""),"Account")</f>
        <v>Account</v>
      </c>
      <c r="P5" s="27" t="str">
        <f>IFERROR(__xludf.DUMMYFUNCTION("""COMPUTED_VALUE"""),"OrderID")</f>
        <v>OrderID</v>
      </c>
      <c r="Q5" s="27" t="str">
        <f>IFERROR(__xludf.DUMMYFUNCTION("""COMPUTED_VALUE"""),"Order Type")</f>
        <v>Order Type</v>
      </c>
      <c r="R5" s="27" t="str">
        <f>IFERROR(__xludf.DUMMYFUNCTION("""COMPUTED_VALUE"""),"Principal Amount (Local)")</f>
        <v>Principal Amount (Local)</v>
      </c>
      <c r="S5" s="27" t="str">
        <f>IFERROR(__xludf.DUMMYFUNCTION("""COMPUTED_VALUE"""),"Principal Amount (Base)")</f>
        <v>Principal Amount (Base)</v>
      </c>
      <c r="T5" s="29" t="str">
        <f>IFERROR(__xludf.DUMMYFUNCTION("""COMPUTED_VALUE"""),"Peg")</f>
        <v>Peg</v>
      </c>
      <c r="U5" s="29" t="str">
        <f>IFERROR(__xludf.DUMMYFUNCTION("""COMPUTED_VALUE"""),"ParentClOrderID")</f>
        <v>ParentClOrderID</v>
      </c>
      <c r="V5" s="29" t="str">
        <f>IFERROR(__xludf.DUMMYFUNCTION("""COMPUTED_VALUE"""),"Strike Price")</f>
        <v>Strike Price</v>
      </c>
      <c r="W5" s="29" t="str">
        <f>IFERROR(__xludf.DUMMYFUNCTION("""COMPUTED_VALUE"""),"Last Shares")</f>
        <v>Last Shares</v>
      </c>
      <c r="X5" s="29" t="str">
        <f>IFERROR(__xludf.DUMMYFUNCTION("""COMPUTED_VALUE"""),"Working Qty")</f>
        <v>Working Qty</v>
      </c>
      <c r="Y5" s="29" t="str">
        <f>IFERROR(__xludf.DUMMYFUNCTION("""COMPUTED_VALUE"""),"Bloomberg Symbol")</f>
        <v>Bloomberg Symbol</v>
      </c>
      <c r="Z5" s="29" t="str">
        <f>IFERROR(__xludf.DUMMYFUNCTION("""COMPUTED_VALUE"""),"Imported File Name")</f>
        <v>Imported File Name</v>
      </c>
      <c r="AA5" s="29" t="str">
        <f>IFERROR(__xludf.DUMMYFUNCTION("""COMPUTED_VALUE"""),"Master Fund")</f>
        <v>Master Fund</v>
      </c>
      <c r="AB5" s="29" t="str">
        <f>IFERROR(__xludf.DUMMYFUNCTION("""COMPUTED_VALUE"""),"Asset Class")</f>
        <v>Asset Class</v>
      </c>
      <c r="AC5" s="29" t="str">
        <f>IFERROR(__xludf.DUMMYFUNCTION("""COMPUTED_VALUE"""),"Underlying Country")</f>
        <v>Underlying Country</v>
      </c>
      <c r="AD5" s="29" t="str">
        <f>IFERROR(__xludf.DUMMYFUNCTION("""COMPUTED_VALUE"""),"Trader")</f>
        <v>Trader</v>
      </c>
      <c r="AE5" s="29" t="str">
        <f>IFERROR(__xludf.DUMMYFUNCTION("""COMPUTED_VALUE"""),"User")</f>
        <v>User</v>
      </c>
      <c r="AF5" s="29" t="str">
        <f>IFERROR(__xludf.DUMMYFUNCTION("""COMPUTED_VALUE"""),"Venue")</f>
        <v>Venue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IFERROR(__xludf.DUMMYFUNCTION("""COMPUTED_VALUE"""),"Process Date")</f>
        <v>Process Date</v>
      </c>
      <c r="AJ5" s="29" t="str">
        <f>IFERROR(__xludf.DUMMYFUNCTION("""COMPUTED_VALUE"""),"Underlying Symbol")</f>
        <v>Underlying Symbol</v>
      </c>
      <c r="AK5" s="29" t="str">
        <f>IFERROR(__xludf.DUMMYFUNCTION("""COMPUTED_VALUE"""),"Put/Call")</f>
        <v>Put/Call</v>
      </c>
      <c r="AL5" s="29" t="str">
        <f>IFERROR(__xludf.DUMMYFUNCTION("""COMPUTED_VALUE"""),"FX Rate")</f>
        <v>FX Rate</v>
      </c>
      <c r="AM5" s="29" t="str">
        <f>IFERROR(__xludf.DUMMYFUNCTION("""COMPUTED_VALUE"""),"Trade Attribute 1")</f>
        <v>Trade Attribute 1</v>
      </c>
      <c r="AN5" s="29" t="str">
        <f>IFERROR(__xludf.DUMMYFUNCTION("""COMPUTED_VALUE"""),"Trade Attribute 2")</f>
        <v>Trade Attribute 2</v>
      </c>
      <c r="AO5" s="29" t="str">
        <f>IFERROR(__xludf.DUMMYFUNCTION("""COMPUTED_VALUE"""),"Trade Attribute 3")</f>
        <v>Trade Attribute 3</v>
      </c>
      <c r="AP5" s="29" t="str">
        <f>IFERROR(__xludf.DUMMYFUNCTION("""COMPUTED_VALUE"""),"Trade Attribute 4")</f>
        <v>Trade Attribute 4</v>
      </c>
      <c r="AQ5" s="29" t="str">
        <f>IFERROR(__xludf.DUMMYFUNCTION("""COMPUTED_VALUE"""),"Trade Attribute 5")</f>
        <v>Trade Attribute 5</v>
      </c>
      <c r="AR5" s="29" t="str">
        <f>IFERROR(__xludf.DUMMYFUNCTION("""COMPUTED_VALUE"""),"Trade Attribute 6")</f>
        <v>Trade Attribute 6</v>
      </c>
      <c r="AS5" s="29" t="str">
        <f>IFERROR(__xludf.DUMMYFUNCTION("""COMPUTED_VALUE"""),"Internal Comments")</f>
        <v>Internal Comments</v>
      </c>
      <c r="AT5" s="29" t="str">
        <f>IFERROR(__xludf.DUMMYFUNCTION("""COMPUTED_VALUE"""),"Allocation Scheme Name")</f>
        <v>Allocation Scheme Name</v>
      </c>
      <c r="AU5" s="29" t="str">
        <f>IFERROR(__xludf.DUMMYFUNCTION("""COMPUTED_VALUE"""),"Status (With Rollover)")</f>
        <v>Status (With Rollover)</v>
      </c>
      <c r="AV5" s="29" t="str">
        <f>IFERROR(__xludf.DUMMYFUNCTION("""COMPUTED_VALUE"""),"Source")</f>
        <v>Source</v>
      </c>
      <c r="AW5" s="29" t="str">
        <f>IFERROR(__xludf.DUMMYFUNCTION("""COMPUTED_VALUE"""),"Strategy")</f>
        <v>Strategy</v>
      </c>
      <c r="AX5" s="29" t="str">
        <f>IFERROR(__xludf.DUMMYFUNCTION("""COMPUTED_VALUE"""),"Unexecuted Qty")</f>
        <v>Unexecuted Qty</v>
      </c>
      <c r="AY5" s="29" t="str">
        <f>IFERROR(__xludf.DUMMYFUNCTION("""COMPUTED_VALUE"""),"Allocation Status")</f>
        <v>Allocation Status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1"/>
      <c r="F6" s="12" t="s">
        <v>18</v>
      </c>
      <c r="G6" s="12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 t="str">
        <f>IFERROR(__xludf.DUMMYFUNCTION("""COMPUTED_VALUE"""),"TradeBy")</f>
        <v>TradeBy</v>
      </c>
      <c r="AI5" s="29" t="str">
        <f>IFERROR(__xludf.DUMMYFUNCTION("""COMPUTED_VALUE"""),"BookAsSwap")</f>
        <v>BookAsSwap</v>
      </c>
      <c r="AJ5" s="29" t="str">
        <f>IFERROR(__xludf.DUMMYFUNCTION("""COMPUTED_VALUE"""),"RoundLot")</f>
        <v>RoundLot</v>
      </c>
      <c r="AK5" s="29" t="str">
        <f>IFERROR(__xludf.DUMMYFUNCTION("""COMPUTED_VALUE"""),"Increment")</f>
        <v>Increment</v>
      </c>
      <c r="AL5" s="29" t="str">
        <f>IFERROR(__xludf.DUMMYFUNCTION("""COMPUTED_VALUE"""),"Decrement")</f>
        <v>Decrement</v>
      </c>
      <c r="AM5" s="29" t="str">
        <f>IFERROR(__xludf.DUMMYFUNCTION("""COMPUTED_VALUE"""),"Trade Attribute 01")</f>
        <v>Trade Attribute 01</v>
      </c>
      <c r="AN5" s="29" t="str">
        <f>IFERROR(__xludf.DUMMYFUNCTION("""COMPUTED_VALUE"""),"Trade Attribute 02")</f>
        <v>Trade Attribute 02</v>
      </c>
      <c r="AO5" s="29" t="str">
        <f>IFERROR(__xludf.DUMMYFUNCTION("""COMPUTED_VALUE"""),"Trade Attribute 03")</f>
        <v>Trade Attribute 03</v>
      </c>
      <c r="AP5" s="29" t="str">
        <f>IFERROR(__xludf.DUMMYFUNCTION("""COMPUTED_VALUE"""),"Trade Attribute 04")</f>
        <v>Trade Attribute 04</v>
      </c>
      <c r="AQ5" s="29" t="str">
        <f>IFERROR(__xludf.DUMMYFUNCTION("""COMPUTED_VALUE"""),"Trade Attribute 05")</f>
        <v>Trade Attribute 05</v>
      </c>
      <c r="AR5" s="29" t="str">
        <f>IFERROR(__xludf.DUMMYFUNCTION("""COMPUTED_VALUE"""),"Trade Attribute 06")</f>
        <v>Trade Attribute 06</v>
      </c>
      <c r="AS5" s="29" t="str">
        <f>IFERROR(__xludf.DUMMYFUNCTION("""COMPUTED_VALUE"""),"Trade Attribute 01 suggestion")</f>
        <v>Trade Attribute 01 suggestion</v>
      </c>
      <c r="AT5" s="29" t="str">
        <f>IFERROR(__xludf.DUMMYFUNCTION("""COMPUTED_VALUE"""),"Trade Attribute 02 suggestion")</f>
        <v>Trade Attribute 02 suggestion</v>
      </c>
      <c r="AU5" s="29" t="str">
        <f>IFERROR(__xludf.DUMMYFUNCTION("""COMPUTED_VALUE"""),"Trade Attribute 03 suggestion")</f>
        <v>Trade Attribute 03 suggestion</v>
      </c>
      <c r="AV5" s="29" t="str">
        <f>IFERROR(__xludf.DUMMYFUNCTION("""COMPUTED_VALUE"""),"Trade Attribute 04 suggestion")</f>
        <v>Trade Attribute 04 suggestion</v>
      </c>
      <c r="AW5" s="29" t="str">
        <f>IFERROR(__xludf.DUMMYFUNCTION("""COMPUTED_VALUE"""),"Trade Attribute 05 suggestion")</f>
        <v>Trade Attribute 05 suggestion</v>
      </c>
      <c r="AX5" s="29" t="str">
        <f>IFERROR(__xludf.DUMMYFUNCTION("""COMPUTED_VALUE"""),"Trade Attribute 06 suggestion")</f>
        <v>Trade Attribute 06 suggestion</v>
      </c>
      <c r="AY5" s="29" t="str">
        <f>IFERROR(__xludf.DUMMYFUNCTION("""COMPUTED_VALUE"""),"Strategy")</f>
        <v>Strategy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200.0</v>
      </c>
      <c r="D6" s="12">
        <v>10.0</v>
      </c>
      <c r="E6" s="12" t="s">
        <v>17</v>
      </c>
      <c r="F6" s="8"/>
      <c r="G6" s="8"/>
      <c r="H6" s="8"/>
      <c r="I6" s="8"/>
      <c r="J6" s="12" t="s">
        <v>18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VerifyRowAllFixLogs!$4:$4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18</v>
      </c>
      <c r="C6" s="32"/>
      <c r="D6" s="32"/>
      <c r="E6" s="34"/>
      <c r="F6" s="34"/>
      <c r="G6" s="35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18</v>
      </c>
      <c r="C6" s="32"/>
      <c r="D6" s="32"/>
      <c r="E6" s="34"/>
      <c r="F6" s="34"/>
      <c r="G6" s="35">
        <v>200.0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31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 t="str">
        <f>IFERROR(__xludf.DUMMYFUNCTION("""COMPUTED_VALUE"""),"ClearAllPrice")</f>
        <v>ClearAllPrice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200.0</v>
      </c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 t="str">
        <f>IFERROR(__xludf.DUMMYFUNCTION("""COMPUTED_VALUE"""),"NewAcknowledgeTrade")</f>
        <v>NewAcknowledgeTrade</v>
      </c>
      <c r="P4" s="25" t="str">
        <f>IFERROR(__xludf.DUMMYFUNCTION("""COMPUTED_VALUE"""),"VerifyRowAllFixLogs")</f>
        <v>VerifyRowAllFixLogs</v>
      </c>
      <c r="Q4" s="25" t="str">
        <f>IFERROR(__xludf.DUMMYFUNCTION("""COMPUTED_VALUE"""),"ClearAllFixLogs")</f>
        <v>ClearAllFixLogs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IFERROR(__xludf.DUMMYFUNCTION("""COMPUTED_VALUE"""),"RowLog")</f>
        <v>RowLog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8"/>
      <c r="D6" s="12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VerifyRowAllFixLogs2!$4:$4</formula1>
    </dataValidation>
  </dataValidations>
  <drawing r:id="rId1"/>
</worksheet>
</file>