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deNewSubOrder" sheetId="6" r:id="rId8"/>
    <sheet state="visible" name="CreateLiveOrder" sheetId="7" r:id="rId9"/>
    <sheet state="visible" name="AcknowledgeTrade" sheetId="8" r:id="rId10"/>
    <sheet state="visible" name="SelectTrade" sheetId="9" r:id="rId11"/>
    <sheet state="visible" name="ExecuteTrade" sheetId="10" r:id="rId12"/>
    <sheet state="visible" name="VerifySubOrder" sheetId="11" r:id="rId13"/>
  </sheets>
  <definedNames/>
  <calcPr/>
</workbook>
</file>

<file path=xl/sharedStrings.xml><?xml version="1.0" encoding="utf-8"?>
<sst xmlns="http://schemas.openxmlformats.org/spreadsheetml/2006/main" count="91" uniqueCount="31">
  <si>
    <t>Master Data Info</t>
  </si>
  <si>
    <t>Modules Info</t>
  </si>
  <si>
    <t>Settings</t>
  </si>
  <si>
    <t>Module Step Setting File</t>
  </si>
  <si>
    <t>Modules</t>
  </si>
  <si>
    <t>1BICZ_GcMhh_S937ZinFvSYqvvKYtOYB2Bc4woEPpgPg</t>
  </si>
  <si>
    <t>Master Data Settings File</t>
  </si>
  <si>
    <t>Module</t>
  </si>
  <si>
    <t>1Nt_rf5DtgjbN9Ag4AMMlUkZYROxKZLH5m54YOl7tRT0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</si>
  <si>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</si>
  <si>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</si>
  <si>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</si>
  <si>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</si>
  <si>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</si>
  <si>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</si>
  <si>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</si>
  <si>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</si>
  <si>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</si>
  <si>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Allocation1</t>
  </si>
  <si>
    <t>MS</t>
  </si>
  <si>
    <t>Blotter</t>
  </si>
  <si>
    <t>SelectTradeOnOrderGrid</t>
  </si>
  <si>
    <t>New</t>
  </si>
  <si>
    <t>TradeNewSubOrder</t>
  </si>
  <si>
    <t>CreateLiveOrder</t>
  </si>
  <si>
    <t>Simulator</t>
  </si>
  <si>
    <t>AcknowledgeTrade</t>
  </si>
  <si>
    <t>SelectTrade</t>
  </si>
  <si>
    <t>ExecuteTrade</t>
  </si>
  <si>
    <t>VerifySubOrder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</si>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</sst>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1</v>
      </c>
      <c r="B1" s="3"/>
      <c r="C1" s="3"/>
      <c r="D1" s="3"/>
      <c r="E1" s="3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2</v>
      </c>
      <c r="B1" s="3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2" t="s">
        <v>6</v>
      </c>
      <c r="B4" s="9" t="s">
        <v>8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0</v>
      </c>
      <c r="B1" s="3"/>
      <c r="C1" s="3"/>
      <c r="D1" s="3"/>
      <c r="E1" s="3"/>
      <c r="F1" s="4"/>
    </row>
    <row r="2">
      <c r="A2" s="7"/>
      <c r="B2" s="7"/>
      <c r="C2" s="7"/>
      <c r="D2" s="7"/>
      <c r="E2" s="7"/>
      <c r="F2" s="7"/>
    </row>
    <row r="3">
      <c r="A3" s="12" t="s">
        <v>7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 t="s">
        <v>16</v>
      </c>
      <c r="C6" s="9" t="s">
        <v>17</v>
      </c>
      <c r="D6" s="9">
        <v>900.0</v>
      </c>
      <c r="E6" s="6"/>
      <c r="F6" s="9" t="s">
        <v>18</v>
      </c>
      <c r="G6" s="9" t="s">
        <v>19</v>
      </c>
      <c r="H6" s="6"/>
      <c r="I6" s="6"/>
      <c r="J6" s="9">
        <v>88.0</v>
      </c>
      <c r="K6" s="6"/>
      <c r="L6" s="6"/>
      <c r="M6" s="6"/>
      <c r="N6" s="29">
        <f>Today()</f>
        <v>43712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20</v>
      </c>
      <c r="D3" s="8" t="s">
        <v>9</v>
      </c>
      <c r="E3" s="21" t="s">
        <v>21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9" t="s">
        <v>16</v>
      </c>
      <c r="E6" s="6"/>
      <c r="F6" s="9" t="s">
        <v>17</v>
      </c>
      <c r="G6" s="9" t="s">
        <v>22</v>
      </c>
      <c r="H6" s="9">
        <v>900.0</v>
      </c>
      <c r="I6" s="6"/>
      <c r="J6" s="6"/>
      <c r="K6" s="6"/>
      <c r="L6" s="6"/>
      <c r="M6" s="6"/>
      <c r="N6" s="6"/>
      <c r="O6" s="6"/>
      <c r="R6" s="30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20</v>
      </c>
      <c r="D3" s="8" t="s">
        <v>9</v>
      </c>
      <c r="E3" s="21" t="s">
        <v>23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0" t="s">
        <v>16</v>
      </c>
      <c r="AJ6" s="30" t="s">
        <v>17</v>
      </c>
      <c r="AK6" s="30" t="s">
        <v>22</v>
      </c>
      <c r="AL6" s="30">
        <v>900.0</v>
      </c>
      <c r="AT6" s="30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 t="s">
        <v>16</v>
      </c>
      <c r="C6" s="9" t="s">
        <v>17</v>
      </c>
      <c r="D6" s="9">
        <v>900.0</v>
      </c>
      <c r="E6" s="6"/>
      <c r="F6" s="9" t="s">
        <v>18</v>
      </c>
      <c r="G6" s="9" t="s">
        <v>19</v>
      </c>
      <c r="H6" s="6"/>
      <c r="I6" s="6"/>
      <c r="J6" s="9">
        <v>88.0</v>
      </c>
      <c r="K6" s="6"/>
      <c r="L6" s="6"/>
      <c r="M6" s="6"/>
      <c r="N6" s="29">
        <f>Today()</f>
        <v>43712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25</v>
      </c>
      <c r="D3" s="8" t="s">
        <v>9</v>
      </c>
      <c r="E3" s="21" t="s">
        <v>26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 t="s">
        <v>17</v>
      </c>
      <c r="C6" s="9" t="s">
        <v>16</v>
      </c>
      <c r="D6" s="6"/>
      <c r="E6" s="6"/>
      <c r="F6" s="6"/>
      <c r="G6" s="9">
        <v>900.0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25</v>
      </c>
      <c r="D3" s="8" t="s">
        <v>9</v>
      </c>
      <c r="E3" s="21" t="s">
        <v>27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 t="s">
        <v>17</v>
      </c>
      <c r="C6" s="9" t="s">
        <v>16</v>
      </c>
      <c r="D6" s="6"/>
      <c r="E6" s="6"/>
      <c r="F6" s="6"/>
      <c r="G6" s="9">
        <v>900.0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25</v>
      </c>
      <c r="D3" s="8" t="s">
        <v>9</v>
      </c>
      <c r="E3" s="21" t="s">
        <v>28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IFERROR(__xludf.DUMMYFUNCTION("""COMPUTED_VALUE"""),"Price")</f>
        <v>Price</v>
      </c>
      <c r="C5" s="26" t="str">
        <f>IFERROR(__xludf.DUMMYFUNCTION("""COMPUTED_VALUE"""),"Shares")</f>
        <v>Shares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>
        <v>88.0</v>
      </c>
      <c r="C6" s="9">
        <v>900.0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20</v>
      </c>
      <c r="D3" s="8" t="s">
        <v>9</v>
      </c>
      <c r="E3" s="21" t="s">
        <v>29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2")</f>
        <v>Trade Attribute 2</v>
      </c>
      <c r="R5" s="26" t="str">
        <f>IFERROR(__xludf.DUMMYFUNCTION("""COMPUTED_VALUE"""),"Trade Attribute 1")</f>
        <v>Trade Attribute 1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IFERROR(__xludf.DUMMYFUNCTION("""COMPUTED_VALUE"""),"Day Executed Qty")</f>
        <v>Day Executed Qty</v>
      </c>
      <c r="AO5" s="28" t="str">
        <f>IFERROR(__xludf.DUMMYFUNCTION("""COMPUTED_VALUE"""),"Last Fill Price (Local)")</f>
        <v>Last Fill Price (Local)</v>
      </c>
      <c r="AP5" s="28" t="str">
        <f>IFERROR(__xludf.DUMMYFUNCTION("""COMPUTED_VALUE"""),"Avg Fill Price (Local)")</f>
        <v>Avg Fill Price (Local)</v>
      </c>
      <c r="AQ5" s="28" t="str">
        <f>IFERROR(__xludf.DUMMYFUNCTION("""COMPUTED_VALUE"""),"Broker")</f>
        <v>Broker</v>
      </c>
      <c r="AR5" s="28" t="str">
        <f>IFERROR(__xludf.DUMMYFUNCTION("""COMPUTED_VALUE"""),"Account")</f>
        <v>Account</v>
      </c>
      <c r="AS5" s="28" t="str">
        <f>IFERROR(__xludf.DUMMYFUNCTION("""COMPUTED_VALUE"""),"Order Type")</f>
        <v>Order Type</v>
      </c>
      <c r="AT5" s="28" t="str">
        <f>IFERROR(__xludf.DUMMYFUNCTION("""COMPUTED_VALUE"""),"Principal Amount (Local)")</f>
        <v>Principal Amount (Local)</v>
      </c>
      <c r="AU5" s="28" t="str">
        <f>IFERROR(__xludf.DUMMYFUNCTION("""COMPUTED_VALUE"""),"Principal Amount (Base)")</f>
        <v>Principal Amount (Base)</v>
      </c>
      <c r="AV5" s="28" t="str">
        <f>IFERROR(__xludf.DUMMYFUNCTION("""COMPUTED_VALUE"""),"Allocation Scheme Name")</f>
        <v>Allocation Scheme Name</v>
      </c>
      <c r="AW5" s="28" t="str">
        <f>IFERROR(__xludf.DUMMYFUNCTION("""COMPUTED_VALUE"""),"Status (With Rollover)")</f>
        <v>Status (With Rollover)</v>
      </c>
      <c r="AX5" s="28" t="str">
        <f>IFERROR(__xludf.DUMMYFUNCTION("""COMPUTED_VALUE"""),"Unexecuted Qty")</f>
        <v>Unexecuted Qty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0" t="s">
        <v>16</v>
      </c>
      <c r="AJ6" s="30" t="s">
        <v>17</v>
      </c>
      <c r="AK6" s="30" t="s">
        <v>30</v>
      </c>
      <c r="AL6" s="30">
        <v>900.0</v>
      </c>
      <c r="AR6" s="30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