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CalculatePTT1" sheetId="7" r:id="rId9"/>
    <sheet state="visible" name="CalculatePTT2" sheetId="8" r:id="rId10"/>
    <sheet state="visible" name="VerifyTradeSummary" sheetId="9" r:id="rId11"/>
    <sheet state="visible" name="VerifyTradeSummary1" sheetId="10" r:id="rId12"/>
    <sheet state="visible" name="VerifyTradeSummary2" sheetId="11" r:id="rId13"/>
    <sheet state="visible" name="CustomOrderTT" sheetId="12" r:id="rId14"/>
    <sheet state="visible" name="VerifyOrder" sheetId="13" r:id="rId15"/>
    <sheet state="visible" name="OpenRTPNL" sheetId="14" r:id="rId16"/>
    <sheet state="visible" name="AddWidget" sheetId="15" r:id="rId17"/>
    <sheet state="visible" name="CheckFundLevelAggregation" sheetId="16" r:id="rId18"/>
    <sheet state="visible" name="ReloadOrderFromBlotter" sheetId="17" r:id="rId19"/>
    <sheet state="visible" name="ReloadOrderFromBlotter1" sheetId="18" r:id="rId20"/>
    <sheet state="visible" name="ReloadOrderFromBlotter2" sheetId="19" r:id="rId21"/>
    <sheet state="visible" name="CustomOrderTT1" sheetId="20" r:id="rId22"/>
  </sheets>
  <definedNames/>
  <calcPr/>
</workbook>
</file>

<file path=xl/sharedStrings.xml><?xml version="1.0" encoding="utf-8"?>
<sst xmlns="http://schemas.openxmlformats.org/spreadsheetml/2006/main" count="376" uniqueCount="142">
  <si>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</si>
  <si>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</si>
  <si>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</si>
  <si>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</si>
  <si>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</si>
  <si>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</si>
  <si>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</si>
  <si>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</si>
  <si>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</si>
  <si>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</si>
  <si>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</si>
  <si>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</si>
  <si>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</si>
  <si>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</si>
  <si>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</si>
  <si>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</si>
  <si>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</si>
  <si>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</si>
  <si>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</si>
  <si>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</si>
  <si>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</si>
  <si>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</si>
  <si>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</si>
  <si>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Allocation2</t>
  </si>
  <si>
    <t>AAPL</t>
  </si>
  <si>
    <t>Increase</t>
  </si>
  <si>
    <t>BPS</t>
  </si>
  <si>
    <t>Allocation1,Allocation2</t>
  </si>
  <si>
    <t>FRU-TC</t>
  </si>
  <si>
    <t>MasterFund</t>
  </si>
  <si>
    <t>NewMF,NewMF1</t>
  </si>
  <si>
    <t>MSFT</t>
  </si>
  <si>
    <t>Custom Group</t>
  </si>
  <si>
    <t>TRIAL</t>
  </si>
  <si>
    <t>VerifyTradeSummary</t>
  </si>
  <si>
    <t>Buy</t>
  </si>
  <si>
    <t>Yes</t>
  </si>
  <si>
    <t>Allocation3</t>
  </si>
  <si>
    <t>Allocation4</t>
  </si>
  <si>
    <t>Sell short</t>
  </si>
  <si>
    <t>TradingTicket</t>
  </si>
  <si>
    <t>CustomOrderTT</t>
  </si>
  <si>
    <t>DoneAway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</si>
  <si>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</si>
  <si>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</si>
  <si>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</si>
  <si>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</si>
  <si>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</si>
  <si>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</si>
  <si>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</si>
  <si>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</si>
  <si>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</si>
  <si>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</si>
  <si>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</si>
  <si>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</si>
  <si>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</si>
  <si>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</si>
  <si>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</si>
  <si>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</si>
  <si>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</si>
  <si>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</si>
  <si>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</si>
  <si>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</si>
  <si>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</si>
  <si>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</si>
  <si>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</si>
  <si>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</si>
  <si>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</si>
  <si>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</si>
  <si>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</si>
  <si>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</si>
  <si>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</si>
  <si>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</si>
  <si>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</si>
  <si>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</si>
  <si>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</si>
  <si>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</si>
  <si>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</si>
  <si>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</si>
  <si>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</si>
  <si>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</si>
  <si>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</si>
  <si>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</si>
  <si>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</si>
  <si>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</si>
  <si>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</si>
  <si>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</si>
  <si>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</si>
  <si>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</si>
  <si>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</si>
  <si>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</si>
  <si>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</si>
  <si>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</si>
  <si>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</si>
  <si>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</si>
  <si>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</si>
  <si>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</si>
  <si>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</si>
  <si>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</si>
  <si>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</si>
  <si>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</si>
  <si>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</si>
  <si>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</si>
  <si>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</si>
  <si>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</si>
  <si>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</si>
  <si>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</si>
  <si>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</si>
  <si>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</si>
  <si>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</si>
  <si>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</si>
  <si>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AAPL US EQUITY</t>
  </si>
  <si>
    <t>NASDAQ</t>
  </si>
  <si>
    <t>jpearce</t>
  </si>
  <si>
    <t>US</t>
  </si>
  <si>
    <t>GCCAP1</t>
  </si>
  <si>
    <t>NONE</t>
  </si>
  <si>
    <t>Multiple</t>
  </si>
  <si>
    <t>M</t>
  </si>
  <si>
    <t>Equity</t>
  </si>
  <si>
    <t>Filled</t>
  </si>
  <si>
    <t>MS</t>
  </si>
  <si>
    <t>Market</t>
  </si>
  <si>
    <t>PST</t>
  </si>
  <si>
    <t>Day</t>
  </si>
  <si>
    <t>FRU CN EQUITY</t>
  </si>
  <si>
    <t>CAD</t>
  </si>
  <si>
    <t>D</t>
  </si>
  <si>
    <t>MSFT US EQUITY</t>
  </si>
  <si>
    <t>New</t>
  </si>
  <si>
    <t>RTPNL</t>
  </si>
  <si>
    <t>OpenRTPNL</t>
  </si>
  <si>
    <t>Nirvana</t>
  </si>
  <si>
    <t>Yash</t>
  </si>
  <si>
    <t>FundLevelVerification</t>
  </si>
  <si>
    <t>AddWidget</t>
  </si>
  <si>
    <t>FundLevel</t>
  </si>
  <si>
    <t>Aggregation</t>
  </si>
  <si>
    <t>Fund</t>
  </si>
  <si>
    <t>CheckFundLevelAggregation</t>
  </si>
  <si>
    <t>ReloadOrderFromBlotter</t>
  </si>
  <si>
    <t>CreateOrder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</si>
</sst>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0" fillId="5" fontId="10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45938</v>
      </c>
      <c r="C6" s="31">
        <f>TODAY()</f>
        <v>45939</v>
      </c>
      <c r="D6" s="30"/>
      <c r="E6" s="30"/>
      <c r="F6" s="30"/>
      <c r="G6" s="32"/>
      <c r="H6" s="30"/>
      <c r="I6" s="30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18</v>
      </c>
      <c r="C5" s="27" t="s">
        <v>19</v>
      </c>
      <c r="D5" s="27" t="s">
        <v>20</v>
      </c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10000.0</v>
      </c>
      <c r="E6" s="12"/>
      <c r="F6" s="12"/>
      <c r="G6" s="8"/>
      <c r="H6" s="12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22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>
        <v>10.0</v>
      </c>
      <c r="F6" s="12">
        <v>3.0</v>
      </c>
      <c r="G6" s="8"/>
      <c r="H6" s="12" t="s">
        <v>18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25</v>
      </c>
      <c r="D6" s="12" t="s">
        <v>26</v>
      </c>
      <c r="E6" s="12">
        <v>10.0</v>
      </c>
      <c r="F6" s="12">
        <v>3.0</v>
      </c>
      <c r="G6" s="8"/>
      <c r="H6" s="12" t="s">
        <v>29</v>
      </c>
      <c r="I6" s="12"/>
      <c r="J6" s="12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25</v>
      </c>
      <c r="D6" s="12" t="s">
        <v>26</v>
      </c>
      <c r="E6" s="12">
        <v>10.0</v>
      </c>
      <c r="F6" s="12">
        <v>3.0</v>
      </c>
      <c r="G6" s="8"/>
      <c r="H6" s="12" t="s">
        <v>32</v>
      </c>
      <c r="I6" s="12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 side")</f>
        <v>Order side</v>
      </c>
      <c r="E5" s="28" t="str">
        <f>IFERROR(__xludf.DUMMYFUNCTION("""COMPUTED_VALUE"""),"AllowTrade")</f>
        <v>AllowTrade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3">
        <v>1528.0</v>
      </c>
      <c r="D6" s="12" t="s">
        <v>35</v>
      </c>
      <c r="E6" s="1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33">
        <v>325.0</v>
      </c>
      <c r="D7" s="12" t="s">
        <v>35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 side")</f>
        <v>Order side</v>
      </c>
      <c r="E5" s="28" t="str">
        <f>IFERROR(__xludf.DUMMYFUNCTION("""COMPUTED_VALUE"""),"AllowTrade")</f>
        <v>AllowTrade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>
        <v>1581.0</v>
      </c>
      <c r="D6" s="12" t="s">
        <v>35</v>
      </c>
      <c r="E6" s="1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2635.0</v>
      </c>
      <c r="D7" s="12" t="s">
        <v>35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>
        <v>520.0</v>
      </c>
      <c r="D8" s="12" t="s">
        <v>35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38</v>
      </c>
      <c r="C9" s="12">
        <v>780.0</v>
      </c>
      <c r="D9" s="12" t="s">
        <v>35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 side")</f>
        <v>Order side</v>
      </c>
      <c r="E5" s="28" t="str">
        <f>IFERROR(__xludf.DUMMYFUNCTION("""COMPUTED_VALUE"""),"AllowTrade")</f>
        <v>AllowTrade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1243.0</v>
      </c>
      <c r="D6" s="12" t="s">
        <v>39</v>
      </c>
      <c r="E6" s="1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>
        <v>621.0</v>
      </c>
      <c r="D7" s="12" t="s">
        <v>39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7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42</v>
      </c>
      <c r="F6" s="8"/>
      <c r="G6" s="12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7" t="s">
        <v>45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7" t="s">
        <v>54</v>
      </c>
      <c r="L5" s="27" t="s">
        <v>55</v>
      </c>
      <c r="M5" s="27" t="s">
        <v>56</v>
      </c>
      <c r="N5" s="27" t="s">
        <v>57</v>
      </c>
      <c r="O5" s="27" t="s">
        <v>58</v>
      </c>
      <c r="P5" s="27" t="s">
        <v>59</v>
      </c>
      <c r="Q5" s="27" t="s">
        <v>60</v>
      </c>
      <c r="R5" s="27" t="s">
        <v>61</v>
      </c>
      <c r="S5" s="27" t="s">
        <v>62</v>
      </c>
      <c r="T5" s="34" t="s">
        <v>63</v>
      </c>
      <c r="U5" s="34" t="s">
        <v>64</v>
      </c>
      <c r="V5" s="34" t="s">
        <v>65</v>
      </c>
      <c r="W5" s="34" t="s">
        <v>66</v>
      </c>
      <c r="X5" s="34" t="s">
        <v>67</v>
      </c>
      <c r="Y5" s="34" t="s">
        <v>68</v>
      </c>
      <c r="Z5" s="34" t="s">
        <v>69</v>
      </c>
      <c r="AA5" s="34" t="s">
        <v>70</v>
      </c>
      <c r="AB5" s="34" t="s">
        <v>71</v>
      </c>
      <c r="AC5" s="34" t="s">
        <v>72</v>
      </c>
      <c r="AD5" s="34" t="s">
        <v>73</v>
      </c>
      <c r="AE5" s="34" t="s">
        <v>74</v>
      </c>
      <c r="AF5" s="34" t="s">
        <v>75</v>
      </c>
      <c r="AG5" s="34" t="s">
        <v>76</v>
      </c>
      <c r="AH5" s="34" t="s">
        <v>77</v>
      </c>
      <c r="AI5" s="34" t="s">
        <v>78</v>
      </c>
      <c r="AJ5" s="34" t="s">
        <v>79</v>
      </c>
      <c r="AK5" s="34" t="s">
        <v>80</v>
      </c>
      <c r="AL5" s="34" t="s">
        <v>81</v>
      </c>
      <c r="AM5" s="34" t="s">
        <v>82</v>
      </c>
      <c r="AN5" s="34" t="s">
        <v>83</v>
      </c>
      <c r="AO5" s="34" t="s">
        <v>84</v>
      </c>
      <c r="AP5" s="34" t="s">
        <v>85</v>
      </c>
      <c r="AQ5" s="34" t="s">
        <v>86</v>
      </c>
      <c r="AR5" s="34" t="s">
        <v>87</v>
      </c>
      <c r="AS5" s="34" t="s">
        <v>88</v>
      </c>
      <c r="AT5" s="34" t="s">
        <v>18</v>
      </c>
      <c r="AU5" s="34" t="s">
        <v>89</v>
      </c>
      <c r="AV5" s="34" t="s">
        <v>90</v>
      </c>
      <c r="AW5" s="34" t="s">
        <v>91</v>
      </c>
      <c r="AX5" s="34" t="s">
        <v>92</v>
      </c>
      <c r="AY5" s="34" t="s">
        <v>93</v>
      </c>
      <c r="AZ5" s="34" t="s">
        <v>94</v>
      </c>
      <c r="BA5" s="34" t="s">
        <v>95</v>
      </c>
      <c r="BB5" s="34" t="s">
        <v>96</v>
      </c>
      <c r="BC5" s="34" t="s">
        <v>97</v>
      </c>
      <c r="BD5" s="34" t="s">
        <v>98</v>
      </c>
      <c r="BE5" s="34" t="s">
        <v>99</v>
      </c>
      <c r="BF5" s="34" t="s">
        <v>100</v>
      </c>
      <c r="BG5" s="34" t="s">
        <v>101</v>
      </c>
      <c r="BH5" s="34" t="s">
        <v>102</v>
      </c>
      <c r="BI5" s="34" t="s">
        <v>103</v>
      </c>
      <c r="BJ5" s="34" t="s">
        <v>104</v>
      </c>
      <c r="BK5" s="34" t="s">
        <v>105</v>
      </c>
      <c r="BL5" s="34" t="s">
        <v>106</v>
      </c>
      <c r="BM5" s="34" t="s">
        <v>107</v>
      </c>
      <c r="BN5" s="34" t="s">
        <v>108</v>
      </c>
      <c r="BO5" s="34" t="s">
        <v>109</v>
      </c>
      <c r="BP5" s="34" t="s">
        <v>110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6"/>
      <c r="EZ5" s="28"/>
      <c r="FA5" s="28"/>
      <c r="FB5" s="28"/>
      <c r="FC5" s="28"/>
      <c r="FD5" s="27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6"/>
      <c r="KX5" s="28"/>
      <c r="KY5" s="28"/>
      <c r="KZ5" s="28"/>
      <c r="LA5" s="28"/>
      <c r="LB5" s="27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6"/>
      <c r="QV5" s="28"/>
      <c r="QW5" s="28"/>
      <c r="QX5" s="28"/>
      <c r="QY5" s="28"/>
      <c r="QZ5" s="27"/>
      <c r="RA5" s="28"/>
      <c r="RB5" s="28"/>
      <c r="RC5" s="28"/>
      <c r="RD5" s="28"/>
      <c r="RE5" s="28"/>
      <c r="RF5" s="28"/>
      <c r="RG5" s="28"/>
      <c r="RH5" s="28"/>
      <c r="RI5" s="28"/>
      <c r="RJ5" s="28"/>
      <c r="RK5" s="28"/>
      <c r="RL5" s="28"/>
      <c r="RM5" s="28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6"/>
      <c r="WT5" s="28"/>
      <c r="WU5" s="28"/>
      <c r="WV5" s="28"/>
      <c r="WW5" s="28"/>
      <c r="WX5" s="27"/>
      <c r="WY5" s="28"/>
      <c r="WZ5" s="28"/>
      <c r="XA5" s="28"/>
      <c r="XB5" s="28"/>
      <c r="XC5" s="28"/>
      <c r="XD5" s="28"/>
      <c r="XE5" s="28"/>
      <c r="XF5" s="28"/>
      <c r="XG5" s="28"/>
      <c r="XH5" s="28"/>
      <c r="XI5" s="28"/>
      <c r="XJ5" s="28"/>
      <c r="XK5" s="28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6"/>
      <c r="ACR5" s="28"/>
      <c r="ACS5" s="28"/>
      <c r="ACT5" s="28"/>
      <c r="ACU5" s="28"/>
      <c r="ACV5" s="27"/>
      <c r="ACW5" s="28"/>
      <c r="ACX5" s="28"/>
      <c r="ACY5" s="28"/>
      <c r="ACZ5" s="28"/>
      <c r="ADA5" s="28"/>
      <c r="ADB5" s="28"/>
      <c r="ADC5" s="28"/>
      <c r="ADD5" s="28"/>
      <c r="ADE5" s="28"/>
      <c r="ADF5" s="28"/>
      <c r="ADG5" s="28"/>
      <c r="ADH5" s="28"/>
      <c r="ADI5" s="28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/>
      <c r="B6" s="36"/>
      <c r="C6" s="32"/>
      <c r="D6" s="37"/>
      <c r="E6" s="32" t="s">
        <v>111</v>
      </c>
      <c r="F6" s="38"/>
      <c r="G6" s="38"/>
      <c r="H6" s="32" t="s">
        <v>112</v>
      </c>
      <c r="I6" s="32" t="s">
        <v>113</v>
      </c>
      <c r="J6" s="32" t="s">
        <v>24</v>
      </c>
      <c r="K6" s="32" t="s">
        <v>114</v>
      </c>
      <c r="L6" s="32" t="s">
        <v>115</v>
      </c>
      <c r="M6" s="32"/>
      <c r="N6" s="32"/>
      <c r="O6" s="32"/>
      <c r="P6" s="32"/>
      <c r="Q6" s="32"/>
      <c r="R6" s="32"/>
      <c r="S6" s="38"/>
      <c r="T6" s="38"/>
      <c r="U6" s="32" t="s">
        <v>22</v>
      </c>
      <c r="V6" s="32" t="s">
        <v>116</v>
      </c>
      <c r="W6" s="36"/>
      <c r="X6" s="38"/>
      <c r="Y6" s="32"/>
      <c r="Z6" s="32"/>
      <c r="AA6" s="32" t="s">
        <v>117</v>
      </c>
      <c r="AB6" s="38"/>
      <c r="AC6" s="32"/>
      <c r="AD6" s="38">
        <v>1.0</v>
      </c>
      <c r="AE6" s="39"/>
      <c r="AF6" s="32" t="s">
        <v>118</v>
      </c>
      <c r="AG6" s="38"/>
      <c r="AH6" s="32" t="s">
        <v>119</v>
      </c>
      <c r="AI6" s="32" t="s">
        <v>24</v>
      </c>
      <c r="AJ6" s="32" t="s">
        <v>35</v>
      </c>
      <c r="AK6" s="32" t="s">
        <v>120</v>
      </c>
      <c r="AL6" s="38">
        <v>6.0</v>
      </c>
      <c r="AM6" s="38">
        <v>6.0</v>
      </c>
      <c r="AN6" s="38">
        <v>100.0</v>
      </c>
      <c r="AO6" s="38">
        <v>6.0</v>
      </c>
      <c r="AP6" s="38"/>
      <c r="AQ6" s="38"/>
      <c r="AR6" s="38"/>
      <c r="AS6" s="32" t="s">
        <v>121</v>
      </c>
      <c r="AT6" s="32" t="s">
        <v>117</v>
      </c>
      <c r="AU6" s="32" t="s">
        <v>122</v>
      </c>
      <c r="AV6" s="38"/>
      <c r="AW6" s="38"/>
      <c r="AX6" s="32"/>
      <c r="AY6" s="32"/>
      <c r="AZ6" s="38"/>
      <c r="BA6" s="32" t="s">
        <v>113</v>
      </c>
      <c r="BB6" s="32"/>
      <c r="BC6" s="39"/>
      <c r="BD6" s="32"/>
      <c r="BE6" s="32"/>
      <c r="BF6" s="32"/>
      <c r="BG6" s="32" t="s">
        <v>123</v>
      </c>
      <c r="BH6" s="32" t="s">
        <v>124</v>
      </c>
      <c r="BI6" s="32"/>
      <c r="BJ6" s="32"/>
      <c r="BK6" s="32"/>
      <c r="BL6" s="32"/>
      <c r="BM6" s="32"/>
      <c r="BN6" s="36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9"/>
      <c r="CC6" s="32"/>
      <c r="CD6" s="39"/>
      <c r="CE6" s="39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9"/>
      <c r="CR6" s="39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9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41"/>
      <c r="B7" s="36"/>
      <c r="C7" s="32"/>
      <c r="D7" s="38"/>
      <c r="E7" s="32" t="s">
        <v>125</v>
      </c>
      <c r="F7" s="38"/>
      <c r="G7" s="38"/>
      <c r="H7" s="32" t="s">
        <v>112</v>
      </c>
      <c r="I7" s="32" t="s">
        <v>113</v>
      </c>
      <c r="J7" s="32" t="s">
        <v>28</v>
      </c>
      <c r="K7" s="32" t="s">
        <v>114</v>
      </c>
      <c r="L7" s="32" t="s">
        <v>115</v>
      </c>
      <c r="M7" s="32"/>
      <c r="N7" s="32"/>
      <c r="O7" s="32"/>
      <c r="P7" s="32"/>
      <c r="Q7" s="32"/>
      <c r="R7" s="32"/>
      <c r="S7" s="38"/>
      <c r="T7" s="38"/>
      <c r="U7" s="32" t="s">
        <v>126</v>
      </c>
      <c r="V7" s="32" t="s">
        <v>116</v>
      </c>
      <c r="W7" s="36"/>
      <c r="X7" s="38"/>
      <c r="Y7" s="32"/>
      <c r="Z7" s="32"/>
      <c r="AA7" s="32" t="s">
        <v>117</v>
      </c>
      <c r="AB7" s="38"/>
      <c r="AC7" s="32"/>
      <c r="AD7" s="38">
        <v>0.0</v>
      </c>
      <c r="AE7" s="39"/>
      <c r="AF7" s="32" t="s">
        <v>127</v>
      </c>
      <c r="AG7" s="38"/>
      <c r="AH7" s="32" t="s">
        <v>119</v>
      </c>
      <c r="AI7" s="32" t="s">
        <v>28</v>
      </c>
      <c r="AJ7" s="32" t="s">
        <v>35</v>
      </c>
      <c r="AK7" s="32" t="s">
        <v>120</v>
      </c>
      <c r="AL7" s="38">
        <v>6.0</v>
      </c>
      <c r="AM7" s="38">
        <v>6.0</v>
      </c>
      <c r="AN7" s="38">
        <v>100.0</v>
      </c>
      <c r="AO7" s="38">
        <v>6.0</v>
      </c>
      <c r="AP7" s="38"/>
      <c r="AQ7" s="38"/>
      <c r="AR7" s="38"/>
      <c r="AS7" s="32" t="s">
        <v>121</v>
      </c>
      <c r="AT7" s="32" t="s">
        <v>117</v>
      </c>
      <c r="AU7" s="32" t="s">
        <v>122</v>
      </c>
      <c r="AV7" s="38"/>
      <c r="AW7" s="38"/>
      <c r="AX7" s="32"/>
      <c r="AY7" s="32"/>
      <c r="AZ7" s="38"/>
      <c r="BA7" s="32" t="s">
        <v>113</v>
      </c>
      <c r="BB7" s="32"/>
      <c r="BC7" s="32"/>
      <c r="BD7" s="32"/>
      <c r="BE7" s="32"/>
      <c r="BF7" s="32"/>
      <c r="BG7" s="32" t="s">
        <v>123</v>
      </c>
      <c r="BH7" s="32" t="s">
        <v>124</v>
      </c>
      <c r="BI7" s="32"/>
      <c r="BJ7" s="32"/>
      <c r="BK7" s="32"/>
      <c r="BL7" s="32"/>
      <c r="BM7" s="32"/>
      <c r="BN7" s="36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9"/>
      <c r="CC7" s="32"/>
      <c r="CD7" s="39"/>
      <c r="CE7" s="39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9"/>
      <c r="CR7" s="39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9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9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41"/>
      <c r="B8" s="36"/>
      <c r="C8" s="32"/>
      <c r="D8" s="38"/>
      <c r="E8" s="32" t="s">
        <v>128</v>
      </c>
      <c r="F8" s="38"/>
      <c r="G8" s="38"/>
      <c r="H8" s="32" t="s">
        <v>112</v>
      </c>
      <c r="I8" s="32" t="s">
        <v>113</v>
      </c>
      <c r="J8" s="32" t="s">
        <v>31</v>
      </c>
      <c r="K8" s="32" t="s">
        <v>114</v>
      </c>
      <c r="L8" s="32" t="s">
        <v>115</v>
      </c>
      <c r="M8" s="32"/>
      <c r="N8" s="32"/>
      <c r="O8" s="32"/>
      <c r="P8" s="32"/>
      <c r="Q8" s="32"/>
      <c r="R8" s="32"/>
      <c r="S8" s="38"/>
      <c r="T8" s="38"/>
      <c r="U8" s="32" t="s">
        <v>22</v>
      </c>
      <c r="V8" s="32" t="s">
        <v>116</v>
      </c>
      <c r="W8" s="36"/>
      <c r="X8" s="38"/>
      <c r="Y8" s="32"/>
      <c r="Z8" s="32"/>
      <c r="AA8" s="32" t="s">
        <v>117</v>
      </c>
      <c r="AB8" s="38"/>
      <c r="AC8" s="32"/>
      <c r="AD8" s="38">
        <v>1.0</v>
      </c>
      <c r="AE8" s="39"/>
      <c r="AF8" s="32" t="s">
        <v>118</v>
      </c>
      <c r="AG8" s="38"/>
      <c r="AH8" s="32" t="s">
        <v>119</v>
      </c>
      <c r="AI8" s="32" t="s">
        <v>31</v>
      </c>
      <c r="AJ8" s="32" t="s">
        <v>35</v>
      </c>
      <c r="AK8" s="32" t="s">
        <v>120</v>
      </c>
      <c r="AL8" s="38">
        <v>6.0</v>
      </c>
      <c r="AM8" s="38">
        <v>6.0</v>
      </c>
      <c r="AN8" s="38">
        <v>100.0</v>
      </c>
      <c r="AO8" s="38">
        <v>6.0</v>
      </c>
      <c r="AP8" s="38"/>
      <c r="AQ8" s="38"/>
      <c r="AR8" s="38"/>
      <c r="AS8" s="32" t="s">
        <v>121</v>
      </c>
      <c r="AT8" s="32" t="s">
        <v>117</v>
      </c>
      <c r="AU8" s="32" t="s">
        <v>122</v>
      </c>
      <c r="AV8" s="38"/>
      <c r="AW8" s="38"/>
      <c r="AX8" s="32"/>
      <c r="AY8" s="32"/>
      <c r="AZ8" s="38"/>
      <c r="BA8" s="32" t="s">
        <v>113</v>
      </c>
      <c r="BB8" s="32"/>
      <c r="BC8" s="32"/>
      <c r="BD8" s="32"/>
      <c r="BE8" s="32"/>
      <c r="BF8" s="32"/>
      <c r="BG8" s="32" t="s">
        <v>123</v>
      </c>
      <c r="BH8" s="32" t="s">
        <v>124</v>
      </c>
      <c r="BI8" s="32"/>
      <c r="BJ8" s="32"/>
      <c r="BK8" s="32"/>
      <c r="BL8" s="32"/>
      <c r="BM8" s="32"/>
      <c r="BN8" s="36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9"/>
      <c r="CC8" s="32"/>
      <c r="CD8" s="39"/>
      <c r="CE8" s="39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9"/>
      <c r="CR8" s="39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9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41"/>
      <c r="B9" s="36"/>
      <c r="C9" s="32"/>
      <c r="D9" s="36"/>
      <c r="E9" s="32" t="s">
        <v>111</v>
      </c>
      <c r="F9" s="38"/>
      <c r="G9" s="38"/>
      <c r="H9" s="32" t="s">
        <v>112</v>
      </c>
      <c r="I9" s="32" t="s">
        <v>113</v>
      </c>
      <c r="J9" s="32" t="s">
        <v>24</v>
      </c>
      <c r="K9" s="32" t="s">
        <v>114</v>
      </c>
      <c r="L9" s="32" t="s">
        <v>115</v>
      </c>
      <c r="M9" s="32"/>
      <c r="N9" s="32"/>
      <c r="O9" s="32"/>
      <c r="P9" s="32"/>
      <c r="Q9" s="39"/>
      <c r="R9" s="32"/>
      <c r="S9" s="38"/>
      <c r="T9" s="38"/>
      <c r="U9" s="32" t="s">
        <v>22</v>
      </c>
      <c r="V9" s="32" t="s">
        <v>116</v>
      </c>
      <c r="W9" s="36"/>
      <c r="X9" s="38"/>
      <c r="Y9" s="32"/>
      <c r="Z9" s="32"/>
      <c r="AA9" s="32" t="s">
        <v>117</v>
      </c>
      <c r="AB9" s="38"/>
      <c r="AC9" s="39"/>
      <c r="AD9" s="38">
        <v>1.0</v>
      </c>
      <c r="AE9" s="39"/>
      <c r="AF9" s="32" t="s">
        <v>118</v>
      </c>
      <c r="AG9" s="38"/>
      <c r="AH9" s="32" t="s">
        <v>119</v>
      </c>
      <c r="AI9" s="32" t="s">
        <v>24</v>
      </c>
      <c r="AJ9" s="32" t="s">
        <v>35</v>
      </c>
      <c r="AK9" s="32" t="s">
        <v>129</v>
      </c>
      <c r="AL9" s="38">
        <v>6.0</v>
      </c>
      <c r="AM9" s="38"/>
      <c r="AN9" s="38"/>
      <c r="AO9" s="38"/>
      <c r="AP9" s="38"/>
      <c r="AQ9" s="38"/>
      <c r="AR9" s="38"/>
      <c r="AS9" s="32" t="s">
        <v>121</v>
      </c>
      <c r="AT9" s="32" t="s">
        <v>117</v>
      </c>
      <c r="AU9" s="32" t="s">
        <v>122</v>
      </c>
      <c r="AV9" s="38"/>
      <c r="AW9" s="38"/>
      <c r="AX9" s="32"/>
      <c r="AY9" s="32"/>
      <c r="AZ9" s="38"/>
      <c r="BA9" s="32" t="s">
        <v>113</v>
      </c>
      <c r="BB9" s="32"/>
      <c r="BC9" s="32"/>
      <c r="BD9" s="32"/>
      <c r="BE9" s="32"/>
      <c r="BF9" s="32"/>
      <c r="BG9" s="32" t="s">
        <v>40</v>
      </c>
      <c r="BH9" s="32" t="s">
        <v>124</v>
      </c>
      <c r="BI9" s="32"/>
      <c r="BJ9" s="32"/>
      <c r="BK9" s="32"/>
      <c r="BL9" s="32"/>
      <c r="BM9" s="32"/>
      <c r="BN9" s="36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9"/>
      <c r="CC9" s="32"/>
      <c r="CD9" s="39"/>
      <c r="CE9" s="39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9"/>
      <c r="CR9" s="39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9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</row>
    <row r="10" ht="15.75" customHeight="1">
      <c r="A10" s="41"/>
      <c r="B10" s="36"/>
      <c r="C10" s="32"/>
      <c r="D10" s="36"/>
      <c r="E10" s="32" t="s">
        <v>125</v>
      </c>
      <c r="F10" s="38"/>
      <c r="G10" s="38"/>
      <c r="H10" s="32" t="s">
        <v>112</v>
      </c>
      <c r="I10" s="32" t="s">
        <v>113</v>
      </c>
      <c r="J10" s="32" t="s">
        <v>28</v>
      </c>
      <c r="K10" s="32" t="s">
        <v>114</v>
      </c>
      <c r="L10" s="32" t="s">
        <v>115</v>
      </c>
      <c r="M10" s="32"/>
      <c r="N10" s="32"/>
      <c r="O10" s="32"/>
      <c r="P10" s="32"/>
      <c r="Q10" s="39"/>
      <c r="R10" s="32"/>
      <c r="S10" s="38"/>
      <c r="T10" s="38"/>
      <c r="U10" s="32" t="s">
        <v>126</v>
      </c>
      <c r="V10" s="32" t="s">
        <v>116</v>
      </c>
      <c r="W10" s="36"/>
      <c r="X10" s="38"/>
      <c r="Y10" s="32"/>
      <c r="Z10" s="32"/>
      <c r="AA10" s="32" t="s">
        <v>117</v>
      </c>
      <c r="AB10" s="38"/>
      <c r="AC10" s="39"/>
      <c r="AD10" s="38">
        <v>0.0</v>
      </c>
      <c r="AE10" s="39"/>
      <c r="AF10" s="32" t="s">
        <v>127</v>
      </c>
      <c r="AG10" s="38"/>
      <c r="AH10" s="32" t="s">
        <v>119</v>
      </c>
      <c r="AI10" s="32" t="s">
        <v>28</v>
      </c>
      <c r="AJ10" s="32" t="s">
        <v>35</v>
      </c>
      <c r="AK10" s="32" t="s">
        <v>129</v>
      </c>
      <c r="AL10" s="38">
        <v>6.0</v>
      </c>
      <c r="AM10" s="38"/>
      <c r="AN10" s="38"/>
      <c r="AO10" s="38"/>
      <c r="AP10" s="38"/>
      <c r="AQ10" s="38"/>
      <c r="AR10" s="38"/>
      <c r="AS10" s="32" t="s">
        <v>121</v>
      </c>
      <c r="AT10" s="32" t="s">
        <v>117</v>
      </c>
      <c r="AU10" s="32" t="s">
        <v>122</v>
      </c>
      <c r="AV10" s="38"/>
      <c r="AW10" s="38"/>
      <c r="AX10" s="32"/>
      <c r="AY10" s="32"/>
      <c r="AZ10" s="38"/>
      <c r="BA10" s="32" t="s">
        <v>113</v>
      </c>
      <c r="BB10" s="32"/>
      <c r="BC10" s="32"/>
      <c r="BD10" s="32"/>
      <c r="BE10" s="32"/>
      <c r="BF10" s="32"/>
      <c r="BG10" s="32" t="s">
        <v>40</v>
      </c>
      <c r="BH10" s="32" t="s">
        <v>124</v>
      </c>
      <c r="BI10" s="32"/>
      <c r="BJ10" s="32"/>
      <c r="BK10" s="32"/>
      <c r="BL10" s="32"/>
      <c r="BM10" s="32"/>
      <c r="BN10" s="36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9"/>
      <c r="CC10" s="32"/>
      <c r="CD10" s="39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9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9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9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</row>
    <row r="11" ht="15.75" customHeight="1">
      <c r="A11" s="41"/>
      <c r="B11" s="36"/>
      <c r="C11" s="32"/>
      <c r="D11" s="36"/>
      <c r="E11" s="32" t="s">
        <v>128</v>
      </c>
      <c r="F11" s="38"/>
      <c r="G11" s="38"/>
      <c r="H11" s="32" t="s">
        <v>112</v>
      </c>
      <c r="I11" s="32" t="s">
        <v>113</v>
      </c>
      <c r="J11" s="32" t="s">
        <v>31</v>
      </c>
      <c r="K11" s="32" t="s">
        <v>114</v>
      </c>
      <c r="L11" s="32" t="s">
        <v>115</v>
      </c>
      <c r="M11" s="32"/>
      <c r="N11" s="32"/>
      <c r="O11" s="32"/>
      <c r="P11" s="32"/>
      <c r="Q11" s="39"/>
      <c r="R11" s="32"/>
      <c r="S11" s="38"/>
      <c r="T11" s="38"/>
      <c r="U11" s="32" t="s">
        <v>22</v>
      </c>
      <c r="V11" s="32" t="s">
        <v>116</v>
      </c>
      <c r="W11" s="36"/>
      <c r="X11" s="38"/>
      <c r="Y11" s="32"/>
      <c r="Z11" s="32"/>
      <c r="AA11" s="32" t="s">
        <v>117</v>
      </c>
      <c r="AB11" s="38"/>
      <c r="AC11" s="39"/>
      <c r="AD11" s="38">
        <v>1.0</v>
      </c>
      <c r="AE11" s="39"/>
      <c r="AF11" s="32" t="s">
        <v>118</v>
      </c>
      <c r="AG11" s="38"/>
      <c r="AH11" s="32" t="s">
        <v>119</v>
      </c>
      <c r="AI11" s="32" t="s">
        <v>31</v>
      </c>
      <c r="AJ11" s="32" t="s">
        <v>35</v>
      </c>
      <c r="AK11" s="32" t="s">
        <v>129</v>
      </c>
      <c r="AL11" s="38">
        <v>6.0</v>
      </c>
      <c r="AM11" s="38"/>
      <c r="AN11" s="38"/>
      <c r="AO11" s="38"/>
      <c r="AP11" s="38"/>
      <c r="AQ11" s="38"/>
      <c r="AR11" s="38"/>
      <c r="AS11" s="32" t="s">
        <v>121</v>
      </c>
      <c r="AT11" s="32" t="s">
        <v>117</v>
      </c>
      <c r="AU11" s="32" t="s">
        <v>122</v>
      </c>
      <c r="AV11" s="38"/>
      <c r="AW11" s="38"/>
      <c r="AX11" s="32"/>
      <c r="AY11" s="32"/>
      <c r="AZ11" s="38"/>
      <c r="BA11" s="32" t="s">
        <v>113</v>
      </c>
      <c r="BB11" s="32"/>
      <c r="BC11" s="32"/>
      <c r="BD11" s="32"/>
      <c r="BE11" s="32"/>
      <c r="BF11" s="32"/>
      <c r="BG11" s="32" t="s">
        <v>40</v>
      </c>
      <c r="BH11" s="32" t="s">
        <v>124</v>
      </c>
      <c r="BI11" s="32"/>
      <c r="BJ11" s="32"/>
      <c r="BK11" s="32"/>
      <c r="BL11" s="32"/>
      <c r="BM11" s="32"/>
      <c r="BN11" s="36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9"/>
      <c r="CC11" s="32"/>
      <c r="CD11" s="39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9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9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130</v>
      </c>
      <c r="D3" s="5" t="s">
        <v>9</v>
      </c>
      <c r="E3" s="22" t="s">
        <v>131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132</v>
      </c>
      <c r="C6" s="43" t="s">
        <v>133</v>
      </c>
      <c r="D6" s="42" t="s">
        <v>134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130</v>
      </c>
      <c r="D3" s="5" t="s">
        <v>9</v>
      </c>
      <c r="E3" s="22" t="s">
        <v>135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7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133</v>
      </c>
      <c r="C6" s="43" t="s">
        <v>136</v>
      </c>
      <c r="D6" s="30"/>
      <c r="E6" s="43" t="s">
        <v>137</v>
      </c>
      <c r="F6" s="43" t="s">
        <v>138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130</v>
      </c>
      <c r="D3" s="5" t="s">
        <v>9</v>
      </c>
      <c r="E3" s="22" t="s">
        <v>139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IFERROR(__xludf.DUMMYFUNCTION("""COMPUTED_VALUE"""),"Fund")</f>
        <v>Fund</v>
      </c>
      <c r="C5" s="28" t="str">
        <f>IFERROR(__xludf.DUMMYFUNCTION("""COMPUTED_VALUE"""),"Market Value")</f>
        <v>Market Value</v>
      </c>
      <c r="D5" s="28" t="str">
        <f>IFERROR(__xludf.DUMMYFUNCTION("""COMPUTED_VALUE"""),"P&amp;L")</f>
        <v>P&amp;L</v>
      </c>
      <c r="E5" s="28" t="str">
        <f>IFERROR(__xludf.DUMMYFUNCTION("""COMPUTED_VALUE"""),"Day P&amp;L")</f>
        <v>Day P&amp;L</v>
      </c>
      <c r="F5" s="27" t="str">
        <f>IFERROR(__xludf.DUMMYFUNCTION("""COMPUTED_VALUE"""),"Exposure")</f>
        <v>Exposure</v>
      </c>
      <c r="G5" s="28" t="str">
        <f>IFERROR(__xludf.DUMMYFUNCTION("""COMPUTED_VALUE"""),"% Gain/Loss Day")</f>
        <v>% Gain/Loss Day</v>
      </c>
      <c r="H5" s="28" t="str">
        <f>IFERROR(__xludf.DUMMYFUNCTION("""COMPUTED_VALUE"""),"% Gain/Loss Cost")</f>
        <v>% Gain/Loss Cost</v>
      </c>
      <c r="I5" s="28" t="str">
        <f>IFERROR(__xludf.DUMMYFUNCTION("""COMPUTED_VALUE"""),"% Market Value")</f>
        <v>% Market Value</v>
      </c>
      <c r="J5" s="28" t="str">
        <f>IFERROR(__xludf.DUMMYFUNCTION("""COMPUTED_VALUE"""),"% Exposure")</f>
        <v>% Exposure</v>
      </c>
      <c r="K5" s="28" t="str">
        <f>IFERROR(__xludf.DUMMYFUNCTION("""COMPUTED_VALUE"""),"Short Exposure")</f>
        <v>Short Exposure</v>
      </c>
      <c r="L5" s="28" t="str">
        <f>IFERROR(__xludf.DUMMYFUNCTION("""COMPUTED_VALUE"""),"% Short Exposure")</f>
        <v>% Short Exposure</v>
      </c>
      <c r="M5" s="28" t="str">
        <f>IFERROR(__xludf.DUMMYFUNCTION("""COMPUTED_VALUE"""),"Long Exposure")</f>
        <v>Long Exposure</v>
      </c>
      <c r="N5" s="28" t="str">
        <f>IFERROR(__xludf.DUMMYFUNCTION("""COMPUTED_VALUE"""),"% Long Exposure")</f>
        <v>% Long Exposure</v>
      </c>
      <c r="O5" s="28" t="str">
        <f>IFERROR(__xludf.DUMMYFUNCTION("""COMPUTED_VALUE"""),"Accruals")</f>
        <v>Accruals</v>
      </c>
      <c r="P5" s="28" t="str">
        <f>IFERROR(__xludf.DUMMYFUNCTION("""COMPUTED_VALUE"""),"Cash")</f>
        <v>Cash</v>
      </c>
      <c r="Q5" s="28" t="str">
        <f>IFERROR(__xludf.DUMMYFUNCTION("""COMPUTED_VALUE"""),"NAV")</f>
        <v>NAV</v>
      </c>
      <c r="R5" s="28" t="str">
        <f>IFERROR(__xludf.DUMMYFUNCTION("""COMPUTED_VALUE"""),"Testing Type")</f>
        <v>Testing Type</v>
      </c>
      <c r="S5" s="28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140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K6" s="9" t="s">
        <v>120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140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K6" s="9" t="s">
        <v>120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140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31</v>
      </c>
      <c r="AK6" s="9" t="s">
        <v>120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7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3.0</v>
      </c>
      <c r="E6" s="12" t="s">
        <v>141</v>
      </c>
      <c r="F6" s="8"/>
      <c r="G6" s="12"/>
      <c r="H6" s="8"/>
      <c r="I6" s="8"/>
      <c r="J6" s="12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