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RestartClient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AutoExercise" sheetId="11" r:id="rId13"/>
    <sheet state="visible" name="UpdateExpirationDate" sheetId="12" r:id="rId14"/>
    <sheet state="visible" name="CheckAllocatedGroups" sheetId="13" r:id="rId15"/>
    <sheet state="visible" name="Copy of Data 1" sheetId="14" r:id="rId16"/>
    <sheet state="visible" name="Copy of Data 1_conflict21231100" sheetId="15" r:id="rId17"/>
    <sheet state="visible" name="Copy of Data 2" sheetId="16" r:id="rId18"/>
  </sheets>
  <definedNames/>
  <calcPr/>
</workbook>
</file>

<file path=xl/sharedStrings.xml><?xml version="1.0" encoding="utf-8"?>
<sst xmlns="http://schemas.openxmlformats.org/spreadsheetml/2006/main" count="125" uniqueCount="36">
  <si>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</si>
  <si>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</si>
  <si>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</si>
  <si>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</si>
  <si>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</si>
  <si>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</si>
  <si>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</si>
  <si>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</si>
  <si>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</si>
  <si>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</si>
  <si>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</si>
  <si>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</si>
  <si>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</si>
  <si>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</si>
  <si>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</si>
  <si>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</si>
  <si>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</si>
  <si>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</si>
  <si>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Closing</t>
  </si>
  <si>
    <t>SetClosingPreference</t>
  </si>
  <si>
    <t>O:AAPL 23D100.00D21</t>
  </si>
  <si>
    <t>Buy to Open</t>
  </si>
  <si>
    <t>Allocation1</t>
  </si>
  <si>
    <t>AAPL</t>
  </si>
  <si>
    <t>Buy</t>
  </si>
  <si>
    <t>DailyValuation</t>
  </si>
  <si>
    <t>GetMarkPriceData</t>
  </si>
  <si>
    <t>UpdateMarkPrice</t>
  </si>
  <si>
    <t>GetDataClosing</t>
  </si>
  <si>
    <t>Current</t>
  </si>
  <si>
    <t>AutoExercise</t>
  </si>
  <si>
    <t>EquityOption</t>
  </si>
  <si>
    <t>Admin</t>
  </si>
  <si>
    <t>UpdateExpirationDate</t>
  </si>
  <si>
    <t>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</si>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</sst>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4" fontId="14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 t="b">
        <v>1</v>
      </c>
      <c r="K6" s="32"/>
      <c r="L6" s="32"/>
      <c r="M6" s="32"/>
      <c r="N6" s="32"/>
      <c r="O6" s="32"/>
      <c r="P6" s="33">
        <v>0.05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20</v>
      </c>
      <c r="C6" s="34" t="s">
        <v>21</v>
      </c>
      <c r="D6" s="35">
        <v>10.0</v>
      </c>
      <c r="E6" s="35">
        <v>10.0</v>
      </c>
      <c r="F6" s="34" t="s">
        <v>22</v>
      </c>
      <c r="G6" s="32"/>
      <c r="H6" s="32"/>
      <c r="I6" s="32"/>
      <c r="J6" s="35">
        <v>10.0</v>
      </c>
      <c r="K6" s="32"/>
      <c r="L6" s="32"/>
      <c r="M6" s="32"/>
      <c r="N6" s="36">
        <f>TODAY()</f>
        <v>45069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23</v>
      </c>
      <c r="C7" s="34" t="s">
        <v>24</v>
      </c>
      <c r="D7" s="35">
        <v>1100.0</v>
      </c>
      <c r="E7" s="35">
        <v>1100.0</v>
      </c>
      <c r="F7" s="34" t="s">
        <v>22</v>
      </c>
      <c r="G7" s="32"/>
      <c r="H7" s="32"/>
      <c r="I7" s="32"/>
      <c r="J7" s="35">
        <v>10.0</v>
      </c>
      <c r="K7" s="32"/>
      <c r="L7" s="32"/>
      <c r="M7" s="32"/>
      <c r="N7" s="36">
        <f>TODAY()-25</f>
        <v>45044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>today()-1</f>
        <v>45068</v>
      </c>
      <c r="C6" s="37">
        <f>Today()</f>
        <v>45069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23</v>
      </c>
      <c r="C6" s="38">
        <v>100.02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29</v>
      </c>
      <c r="C6" s="32"/>
      <c r="D6" s="34"/>
      <c r="E6" s="34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2"/>
      <c r="D6" s="32"/>
      <c r="E6" s="39" t="s">
        <v>31</v>
      </c>
      <c r="F6" s="32"/>
      <c r="G6" s="32"/>
      <c r="H6" s="32"/>
      <c r="I6" s="32"/>
      <c r="J6" s="40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4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41" t="s">
        <v>20</v>
      </c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20</v>
      </c>
      <c r="C6" s="42">
        <f>Today()</f>
        <v>45069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1_conflict21231100'!$4:$4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