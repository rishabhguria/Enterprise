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ClientConfig" sheetId="4" r:id="rId6"/>
    <sheet state="visible" name="Import" sheetId="5" r:id="rId7"/>
    <sheet state="visible" name="SelectAllOnImport" sheetId="6" r:id="rId8"/>
    <sheet state="visible" name="Import1" sheetId="7" r:id="rId9"/>
    <sheet state="visible" name="SelectAllOnImport1" sheetId="8" r:id="rId10"/>
    <sheet state="visible" name="MergeOrder" sheetId="9" r:id="rId11"/>
    <sheet state="visible" name="MergeOrder1" sheetId="10" r:id="rId12"/>
    <sheet state="visible" name="VerifyMergeOrder" sheetId="11" r:id="rId13"/>
    <sheet state="visible" name="LoginClient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<sst xmlns="http://schemas.openxmlformats.org/spreadsheetml/2006/main" count="138" uniqueCount="42">
  <si>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</si>
  <si>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</si>
  <si>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</si>
  <si>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</si>
  <si>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</si>
  <si>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</si>
  <si>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</si>
  <si>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</si>
  <si>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</si>
  <si>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</si>
  <si>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</si>
  <si>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</si>
  <si>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</si>
  <si>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UpdateClientConfig</t>
  </si>
  <si>
    <t>Data Format</t>
  </si>
  <si>
    <t>Input Format</t>
  </si>
  <si>
    <t>IsGroupingReqBlotterStageImport</t>
  </si>
  <si>
    <t>Import</t>
  </si>
  <si>
    <t>\\192.168.2.108\DistributedAutomation_Master\Import Cases\Stage(Blotter-0233).csv</t>
  </si>
  <si>
    <t>ISOX</t>
  </si>
  <si>
    <t>Staged Order</t>
  </si>
  <si>
    <t>SelectAllOnImport</t>
  </si>
  <si>
    <t>\\192.168.2.108\DistributedAutomation_Master\Import Cases\Stage(Blotter-0235).csv</t>
  </si>
  <si>
    <t>Blotter</t>
  </si>
  <si>
    <t>MergeOrder</t>
  </si>
  <si>
    <t>FRU-TC</t>
  </si>
  <si>
    <t>Buy</t>
  </si>
  <si>
    <t>New</t>
  </si>
  <si>
    <t>Allocation1</t>
  </si>
  <si>
    <t>Limit</t>
  </si>
  <si>
    <t>Yes</t>
  </si>
  <si>
    <t>Allocation2</t>
  </si>
  <si>
    <t>BP H9</t>
  </si>
  <si>
    <t>Buy to Open</t>
  </si>
  <si>
    <t>VerifyMergeOrder</t>
  </si>
  <si>
    <t>Equity</t>
  </si>
  <si>
    <t>MS</t>
  </si>
  <si>
    <t>Multiple</t>
  </si>
  <si>
    <t>LoginClient</t>
  </si>
  <si>
    <t>Support2</t>
  </si>
  <si>
    <t>Nirvana@1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</si>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</sst>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b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b">
        <v>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UpdateClientConfig!$4:$4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4"/>
      <c r="E6" s="35" t="s">
        <v>18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Import!$4:$4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SelectAllOnImport!$4:$4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IFERROR(__xludf.DUMMYFUNCTION("""COMPUTED_VALUE"""),"Select Date")</f>
        <v>Select Date</v>
      </c>
      <c r="D5" s="28" t="str">
        <f>IFERROR(__xludf.DUMMYFUNCTION("""COMPUTED_VALUE"""),"Date")</f>
        <v>Date</v>
      </c>
      <c r="E5" s="28" t="str">
        <f>IFERROR(__xludf.DUMMYFUNCTION("""COMPUTED_VALUE"""),"Select File")</f>
        <v>Select File</v>
      </c>
      <c r="F5" s="29" t="str">
        <f>IFERROR(__xludf.DUMMYFUNCTION("""COMPUTED_VALUE"""),"Upload ThirdParty")</f>
        <v>Upload ThirdParty</v>
      </c>
      <c r="G5" s="28" t="str">
        <f>IFERROR(__xludf.DUMMYFUNCTION("""COMPUTED_VALUE"""),"Import Type")</f>
        <v>Import Type</v>
      </c>
      <c r="H5" s="28" t="str">
        <f>IFERROR(__xludf.DUMMYFUNCTION("""COMPUTED_VALUE"""),"Import Type Format Name")</f>
        <v>Import Type Format 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0</v>
      </c>
      <c r="D6" s="34"/>
      <c r="E6" s="35" t="s">
        <v>22</v>
      </c>
      <c r="F6" s="33" t="s">
        <v>19</v>
      </c>
      <c r="G6" s="33" t="s">
        <v>20</v>
      </c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Import1!$4:$4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IFERROR(__xludf.DUMMYFUNCTION("IF(C3="""","""",Transpose(IMPORTRANGE('_Settings'!$B$3,C3&amp;""!A4:A1000"")))"),"Import")</f>
        <v>Import</v>
      </c>
      <c r="C4" s="25" t="str">
        <f>IFERROR(__xludf.DUMMYFUNCTION("""COMPUTED_VALUE"""),"SelectTransactionImportType")</f>
        <v>SelectTransactionImportType</v>
      </c>
      <c r="D4" s="25" t="str">
        <f>IFERROR(__xludf.DUMMYFUNCTION("""COMPUTED_VALUE"""),"SelectAllOnImport")</f>
        <v>SelectAllOnImport</v>
      </c>
      <c r="E4" s="25" t="str">
        <f>IFERROR(__xludf.DUMMYFUNCTION("""COMPUTED_VALUE"""),"SelectMarkPriceImportType")</f>
        <v>SelectMarkPriceImportType</v>
      </c>
      <c r="F4" s="25" t="str">
        <f>IFERROR(__xludf.DUMMYFUNCTION("""COMPUTED_VALUE"""),"SelectForexImportType")</f>
        <v>SelectForexImportType</v>
      </c>
      <c r="G4" s="25" t="str">
        <f>IFERROR(__xludf.DUMMYFUNCTION("""COMPUTED_VALUE"""),"SelectDoubleEntryCashImportType")</f>
        <v>SelectDoubleEntryCashImportType</v>
      </c>
      <c r="H4" s="25" t="str">
        <f>IFERROR(__xludf.DUMMYFUNCTION("""COMPUTED_VALUE"""),"SelectActivitiesImportType")</f>
        <v>SelectActivitiesImportType</v>
      </c>
      <c r="I4" s="25" t="str">
        <f>IFERROR(__xludf.DUMMYFUNCTION("""COMPUTED_VALUE"""),"ApplyFilterOnImport")</f>
        <v>ApplyFilterOnImport</v>
      </c>
      <c r="J4" s="25" t="str">
        <f>IFERROR(__xludf.DUMMYFUNCTION("""COMPUTED_VALUE"""),"SelectTradeOnImport")</f>
        <v>SelectTradeOnImport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IFERROR(__xludf.DUMMYFUNCTION("""COMPUTED_VALUE"""),"Import Type")</f>
        <v>Import Type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20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SelectAllOnImport1!$4:$4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25</v>
      </c>
      <c r="E6" s="33"/>
      <c r="F6" s="33" t="s">
        <v>26</v>
      </c>
      <c r="G6" s="33" t="s">
        <v>27</v>
      </c>
      <c r="H6" s="37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28</v>
      </c>
      <c r="S6" s="33"/>
      <c r="T6" s="33" t="s">
        <v>29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30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 t="s">
        <v>25</v>
      </c>
      <c r="E7" s="33"/>
      <c r="F7" s="33" t="s">
        <v>26</v>
      </c>
      <c r="G7" s="33" t="s">
        <v>27</v>
      </c>
      <c r="H7" s="37">
        <v>100.0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31</v>
      </c>
      <c r="S7" s="33"/>
      <c r="T7" s="33" t="s">
        <v>29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IFERROR(__xludf.DUMMYFUNCTION("""COMPUTED_VALUE"""),"Allow Merge")</f>
        <v>Allow Merge</v>
      </c>
      <c r="BB5" s="30" t="str">
        <f>IFERROR(__xludf.DUMMYFUNCTION("""COMPUTED_VALUE"""),"ButtonClick")</f>
        <v>ButtonClick</v>
      </c>
      <c r="BC5" s="30" t="str">
        <f>IFERROR(__xludf.DUMMYFUNCTION("""COMPUTED_VALUE"""),"checkBox")</f>
        <v>checkBox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32</v>
      </c>
      <c r="E6" s="33"/>
      <c r="F6" s="33" t="s">
        <v>33</v>
      </c>
      <c r="G6" s="33" t="s">
        <v>27</v>
      </c>
      <c r="H6" s="37">
        <v>100.0</v>
      </c>
      <c r="I6" s="33"/>
      <c r="J6" s="33"/>
      <c r="K6" s="33"/>
      <c r="L6" s="33"/>
      <c r="M6" s="33"/>
      <c r="N6" s="33"/>
      <c r="O6" s="33"/>
      <c r="P6" s="33"/>
      <c r="Q6" s="33"/>
      <c r="R6" s="33" t="s">
        <v>28</v>
      </c>
      <c r="S6" s="33"/>
      <c r="T6" s="33" t="s">
        <v>29</v>
      </c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 t="s">
        <v>30</v>
      </c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 t="s">
        <v>32</v>
      </c>
      <c r="E7" s="33"/>
      <c r="F7" s="33" t="s">
        <v>33</v>
      </c>
      <c r="G7" s="33" t="s">
        <v>27</v>
      </c>
      <c r="H7" s="37">
        <v>100.0</v>
      </c>
      <c r="I7" s="33"/>
      <c r="J7" s="33"/>
      <c r="K7" s="33"/>
      <c r="L7" s="33"/>
      <c r="M7" s="33"/>
      <c r="N7" s="33"/>
      <c r="O7" s="33"/>
      <c r="P7" s="33"/>
      <c r="Q7" s="33"/>
      <c r="R7" s="33" t="s">
        <v>31</v>
      </c>
      <c r="S7" s="33"/>
      <c r="T7" s="33" t="s">
        <v>29</v>
      </c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IFERROR(__xludf.DUMMYFUNCTION("""COMPUTED_VALUE"""),"Transaction Source")</f>
        <v>Transaction Source</v>
      </c>
      <c r="BC5" s="30" t="str">
        <f>IFERROR(__xludf.DUMMYFUNCTION("""COMPUTED_VALUE"""),"MandatoryColumn")</f>
        <v>MandatoryColumn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35</v>
      </c>
      <c r="AI6" s="33" t="s">
        <v>25</v>
      </c>
      <c r="AJ6" s="33" t="s">
        <v>26</v>
      </c>
      <c r="AK6" s="33" t="s">
        <v>27</v>
      </c>
      <c r="AL6" s="38">
        <v>200.0</v>
      </c>
      <c r="AM6" s="33"/>
      <c r="AN6" s="33"/>
      <c r="AO6" s="33"/>
      <c r="AP6" s="33"/>
      <c r="AQ6" s="33"/>
      <c r="AR6" s="33"/>
      <c r="AS6" s="33" t="s">
        <v>36</v>
      </c>
      <c r="AT6" s="33" t="s">
        <v>37</v>
      </c>
      <c r="AU6" s="33" t="s">
        <v>29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 t="s">
        <v>32</v>
      </c>
      <c r="AJ7" s="33" t="s">
        <v>33</v>
      </c>
      <c r="AK7" s="33" t="s">
        <v>27</v>
      </c>
      <c r="AL7" s="38">
        <v>200.0</v>
      </c>
      <c r="AM7" s="33"/>
      <c r="AN7" s="33"/>
      <c r="AO7" s="33"/>
      <c r="AP7" s="33"/>
      <c r="AQ7" s="33"/>
      <c r="AR7" s="33"/>
      <c r="AS7" s="33" t="s">
        <v>36</v>
      </c>
      <c r="AT7" s="33" t="s">
        <v>37</v>
      </c>
      <c r="AU7" s="33" t="s">
        <v>29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39</v>
      </c>
      <c r="C6" s="33" t="s">
        <v>40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 t="s">
        <v>35</v>
      </c>
      <c r="AI6" s="33" t="s">
        <v>25</v>
      </c>
      <c r="AJ6" s="33" t="s">
        <v>26</v>
      </c>
      <c r="AK6" s="33" t="s">
        <v>27</v>
      </c>
      <c r="AL6" s="38">
        <v>200.0</v>
      </c>
      <c r="AM6" s="33"/>
      <c r="AN6" s="33"/>
      <c r="AO6" s="33"/>
      <c r="AP6" s="33"/>
      <c r="AQ6" s="33"/>
      <c r="AR6" s="33"/>
      <c r="AS6" s="33"/>
      <c r="AT6" s="33" t="s">
        <v>37</v>
      </c>
      <c r="AU6" s="33" t="s">
        <v>29</v>
      </c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9" t="s">
        <v>32</v>
      </c>
      <c r="AJ7" s="33" t="s">
        <v>33</v>
      </c>
      <c r="AK7" s="33" t="s">
        <v>27</v>
      </c>
      <c r="AL7" s="38">
        <v>200.0</v>
      </c>
      <c r="AM7" s="33"/>
      <c r="AN7" s="33"/>
      <c r="AO7" s="33"/>
      <c r="AP7" s="33"/>
      <c r="AQ7" s="33"/>
      <c r="AR7" s="33"/>
      <c r="AS7" s="33"/>
      <c r="AT7" s="33" t="s">
        <v>37</v>
      </c>
      <c r="AU7" s="33" t="s">
        <v>29</v>
      </c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