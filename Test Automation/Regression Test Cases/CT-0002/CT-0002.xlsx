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drawing+xml" PartName="/xl/drawings/drawing5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Transaction" sheetId="4" r:id="rId6"/>
    <sheet name="CheckPortfolioManagement" sheetId="5" r:id="rId7"/>
  </sheets>
  <calcPr fullCalcOnLoad="1"/>
</workbook>
</file>

<file path=xl/sharedStrings.xml><?xml version="1.0" encoding="utf-8"?>
<sst xmlns="http://schemas.openxmlformats.org/spreadsheetml/2006/main" count="21" uniqueCount="21">
  <si>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</si>
  <si>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</si>
  <si>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</si>
  <si>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</si>
  <si>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</si>
  <si>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</si>
  <si>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</si>
  <si>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</si>
  <si>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</si>
  <si>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</si>
  <si>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</si>
  <si>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</si>
  <si>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CreateTransaction</t>
  </si>
  <si>
    <t>Data Format</t>
  </si>
  <si>
    <t>Input Format</t>
  </si>
  <si>
    <t>AAPL</t>
  </si>
  <si>
    <t>Allocation1</t>
  </si>
  <si>
    <t>Buy</t>
  </si>
  <si>
    <t>PortfolioManagement</t>
  </si>
  <si>
    <t>CheckPortfolioManagement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</si>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</sst>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1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7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IFERROR(__xludf.DUMMYFUNCTION("""COMPUTED_VALUE"""),"1bZD_br9hnE6AoS35Ty0SStxuCVDXYGgzotj5gsTsrUg")</f>
        <v>1bZD_br9hnE6AoS35Ty0SStxuCVDXYGgzotj5gsTsrUg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12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IFERROR(__xludf.DUMMYFUNCTION("IF(C3="""","""",Transpose(IMPORTRANGE('_Settings'!$B$3,C3&amp;""!A4:A1000"")))"),"CreateTransaction")</f>
        <v>CreateTransaction</v>
      </c>
      <c r="C4" s="25" t="str">
        <f>IFERROR(__xludf.DUMMYFUNCTION("""COMPUTED_VALUE"""),"AddNewTransaction")</f>
        <v>AddNewTransaction</v>
      </c>
      <c r="D4" s="25" t="str">
        <f>IFERROR(__xludf.DUMMYFUNCTION("""COMPUTED_VALUE"""),"SaveTransaction")</f>
        <v>SaveTransaction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IFERROR(__xludf.DUMMYFUNCTION("""COMPUTED_VALUE"""),"Account")</f>
        <v>Account</v>
      </c>
      <c r="D5" s="28" t="str">
        <f>IFERROR(__xludf.DUMMYFUNCTION("""COMPUTED_VALUE"""),"Side")</f>
        <v>Side</v>
      </c>
      <c r="E5" s="28" t="str">
        <f>IFERROR(__xludf.DUMMYFUNCTION("""COMPUTED_VALUE"""),"Quantity")</f>
        <v>Quantity</v>
      </c>
      <c r="F5" s="29" t="str">
        <f>IFERROR(__xludf.DUMMYFUNCTION("""COMPUTED_VALUE"""),"Executed Quantity")</f>
        <v>Executed Quantity</v>
      </c>
      <c r="G5" s="28" t="str">
        <f>IFERROR(__xludf.DUMMYFUNCTION("""COMPUTED_VALUE"""),"Average Price")</f>
        <v>Average Price</v>
      </c>
      <c r="H5" s="28" t="str">
        <f>IFERROR(__xludf.DUMMYFUNCTION("""COMPUTED_VALUE"""),"Commission")</f>
        <v>Commission</v>
      </c>
      <c r="I5" s="28" t="str">
        <f>IFERROR(__xludf.DUMMYFUNCTION("""COMPUTED_VALUE"""),"Trade Date")</f>
        <v>Trade Date</v>
      </c>
      <c r="J5" s="28" t="str">
        <f>IFERROR(__xludf.DUMMYFUNCTION("""COMPUTED_VALUE"""),"Broker")</f>
        <v>Broker</v>
      </c>
      <c r="K5" s="28" t="str">
        <f>IFERROR(__xludf.DUMMYFUNCTION("""COMPUTED_VALUE"""),"OriginalPurchaseDate")</f>
        <v>OriginalPurchaseDate</v>
      </c>
      <c r="L5" s="28" t="str">
        <f>IFERROR(__xludf.DUMMYFUNCTION("""COMPUTED_VALUE"""),"Pay/Receive")</f>
        <v>Pay/Receive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15</v>
      </c>
      <c r="C6" s="13" t="s">
        <v>16</v>
      </c>
      <c r="D6" s="13" t="s">
        <v>17</v>
      </c>
      <c r="E6" s="13">
        <v>100</v>
      </c>
      <c r="F6" s="8"/>
      <c r="G6" s="13">
        <v>10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U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7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</row>
    <row r="6" ht="15.75" customHeight="1">
      <c r="A6" s="13"/>
      <c r="B6" s="13"/>
      <c r="C6" s="13" t="s">
        <v>15</v>
      </c>
      <c r="D6" s="13">
        <v>100</v>
      </c>
      <c r="E6" s="13" t="s">
        <v>16</v>
      </c>
      <c r="F6" s="13" t="s">
        <v>20</v>
      </c>
      <c r="G6" s="13">
        <v>10</v>
      </c>
      <c r="H6" s="8"/>
      <c r="I6" s="8"/>
      <c r="J6" s="8"/>
      <c r="K6" s="8"/>
      <c r="L6" s="8"/>
      <c r="M6" s="8"/>
      <c r="N6" s="8"/>
      <c r="O6" s="8"/>
      <c r="AN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