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CustomOrderTT" sheetId="4" r:id="rId7"/>
    <sheet state="visible" name="OpenRTPNL" sheetId="5" r:id="rId8"/>
    <sheet state="visible" name="AddWidget" sheetId="6" r:id="rId9"/>
    <sheet state="visible" name="CreateGroupingWidget" sheetId="7" r:id="rId10"/>
    <sheet state="visible" name="AddWidget2" sheetId="8" r:id="rId11"/>
    <sheet state="visible" name="VerifyToastMessage" sheetId="9" r:id="rId12"/>
    <sheet state="visible" name="CreateGroupingWidget1" sheetId="10" r:id="rId13"/>
    <sheet state="visible" name="AddWidget1" sheetId="11" r:id="rId14"/>
    <sheet state="visible" name="CreateGroupingWidget2" sheetId="12" r:id="rId15"/>
    <sheet state="visible" name="VerifyColumns" sheetId="13" r:id="rId16"/>
    <sheet state="visible" name="VerifyL1L2PanelRTPNL" sheetId="14" r:id="rId17"/>
    <sheet state="visible" name="CloseRTPNL" sheetId="15" r:id="rId18"/>
    <sheet state="visible" name="OpenRTPNL1" sheetId="16" r:id="rId19"/>
  </sheets>
  <definedNames/>
  <calcPr/>
  <extLst>
    <ext uri="GoogleSheetsCustomDataVersion2">
      <go:sheetsCustomData xmlns:go="http://customooxmlschemas.google.com/" r:id="rId20" roundtripDataChecksum="1lotfIaHGdjuKyX4V7IPtQGpnU6zrwfXPAkIzDKP+28="/>
    </ext>
  </extLst>
</workbook>
</file>

<file path=xl/sharedStrings.xml><?xml version="1.0" encoding="utf-8"?>
<sst xmlns="http://schemas.openxmlformats.org/spreadsheetml/2006/main" count="131" uniqueCount="46">
  <si>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</si>
  <si>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</si>
  <si>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</si>
  <si>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</si>
  <si>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</si>
  <si>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</si>
  <si>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</si>
  <si>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</si>
  <si>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</si>
  <si>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</si>
  <si>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</si>
  <si>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</si>
  <si>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</si>
  <si>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</si>
  <si>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</si>
  <si>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</si>
  <si>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</si>
  <si>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</si>
  <si>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</si>
  <si>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RTPNL</t>
  </si>
  <si>
    <t>OpenRTPNL</t>
  </si>
  <si>
    <t>Nirvana</t>
  </si>
  <si>
    <t>yash</t>
  </si>
  <si>
    <t>AddWidget</t>
  </si>
  <si>
    <t xml:space="preserve">    AcctSym</t>
  </si>
  <si>
    <t>Grouping</t>
  </si>
  <si>
    <t>Symbol</t>
  </si>
  <si>
    <t>CreateGroupingWidget</t>
  </si>
  <si>
    <t>Underlying Symbol</t>
  </si>
  <si>
    <t>Day P&amp;L (Base)</t>
  </si>
  <si>
    <t>Create</t>
  </si>
  <si>
    <t>AcctSym</t>
  </si>
  <si>
    <t>OpenFin</t>
  </si>
  <si>
    <t>VerifyToastMessage</t>
  </si>
  <si>
    <t>Title already exists. Please update with a different title.</t>
  </si>
  <si>
    <t>Back</t>
  </si>
  <si>
    <t>AcctSym1</t>
  </si>
  <si>
    <t>VerifyColumns</t>
  </si>
  <si>
    <t>VerifyL1L2PanelRTPNL</t>
  </si>
  <si>
    <t>CloseRTPNL</t>
  </si>
  <si>
    <t>Nirvana,yash</t>
  </si>
  <si>
    <t>Discard All</t>
  </si>
  <si>
    <t>OpenWindow</t>
  </si>
  <si>
    <t>TabName</t>
  </si>
  <si>
    <t>Description</t>
  </si>
  <si>
    <t>Save?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</si>
</sst>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theme="1"/>
      <name val="Calibri"/>
    </font>
    <font>
      <color rgb="FFFFFFFF"/>
      <name val="Calibri"/>
    </font>
    <font>
      <b/>
      <color rgb="FFFFFFFF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color rgb="FFD9D9D9"/>
      <name val="Calibri"/>
    </font>
    <font>
      <color rgb="FFD9D9D9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Font="1"/>
    <xf borderId="0" fillId="0" fontId="6" numFmtId="0" xfId="0" applyFont="1"/>
    <xf borderId="1" fillId="2" fontId="7" numFmtId="0" xfId="0" applyAlignment="1" applyBorder="1" applyFont="1">
      <alignment horizontal="center" shrinkToFit="0" wrapText="0"/>
    </xf>
    <xf borderId="0" fillId="0" fontId="8" numFmtId="0" xfId="0" applyFont="1"/>
    <xf borderId="3" fillId="3" fontId="9" numFmtId="0" xfId="0" applyAlignment="1" applyBorder="1" applyFont="1">
      <alignment shrinkToFit="0" wrapText="0"/>
    </xf>
    <xf borderId="3" fillId="3" fontId="10" numFmtId="0" xfId="0" applyAlignment="1" applyBorder="1" applyFont="1">
      <alignment shrinkToFit="0" wrapText="0"/>
    </xf>
    <xf borderId="0" fillId="0" fontId="11" numFmtId="0" xfId="0" applyFont="1"/>
    <xf borderId="0" fillId="2" fontId="1" numFmtId="0" xfId="0" applyAlignment="1" applyFont="1">
      <alignment horizontal="center" shrinkToFit="0" wrapText="0"/>
    </xf>
    <xf borderId="0" fillId="2" fontId="6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2" numFmtId="0" xfId="0" applyFont="1"/>
    <xf borderId="0" fillId="4" fontId="13" numFmtId="0" xfId="0" applyAlignment="1" applyFill="1" applyFont="1">
      <alignment shrinkToFit="0" wrapText="0"/>
    </xf>
    <xf borderId="0" fillId="4" fontId="14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2" numFmtId="0" xfId="0" applyFont="1"/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IFERROR(__xludf.DUMMYFUNCTION("""COMPUTED_VALUE"""),"1hVwFlW5MKD4NHZXvDHfS6l0ApW93ZHmg5lFN4Tn10aY")</f>
        <v>1hVwFlW5MKD4NHZXvDHfS6l0ApW93ZHmg5lFN4Tn10aY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8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 t="str">
        <f>IFERROR(__xludf.DUMMYFUNCTION("""COMPUTED_VALUE"""),"Admin")</f>
        <v>Admin</v>
      </c>
      <c r="B941" s="7" t="str">
        <f>IFERROR(__xludf.DUMMYFUNCTION("""COMPUTED_VALUE"""),"ChangeDate")</f>
        <v>ChangeDate</v>
      </c>
      <c r="C941" s="7" t="str">
        <f>IFERROR(__xludf.DUMMYFUNCTION("""COMPUTED_VALUE"""),"1P5fd0ftHTs8WR6XF70cltzN5BPur7V01OcYEMpPEMVE")</f>
        <v>1P5fd0ftHTs8WR6XF70cltzN5BPur7V01OcYEMpPEMVE</v>
      </c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 t="str">
        <f>IFERROR(__xludf.DUMMYFUNCTION("""COMPUTED_VALUE"""),"Simulator")</f>
        <v>Simulator</v>
      </c>
      <c r="B942" s="7" t="str">
        <f>IFERROR(__xludf.DUMMYFUNCTION("""COMPUTED_VALUE"""),"NewAcknowledgeTrade")</f>
        <v>NewAcknowledgeTrade</v>
      </c>
      <c r="C942" s="7" t="str">
        <f>IFERROR(__xludf.DUMMYFUNCTION("""COMPUTED_VALUE"""),"1H8R-FdslnMhiBZjAanQN5V9z26E47VjoaeJWQdGZ2pU")</f>
        <v>1H8R-FdslnMhiBZjAanQN5V9z26E47VjoaeJWQdGZ2pU</v>
      </c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 t="str">
        <f>IFERROR(__xludf.DUMMYFUNCTION("""COMPUTED_VALUE"""),"Allocation")</f>
        <v>Allocation</v>
      </c>
      <c r="B943" s="7" t="str">
        <f>IFERROR(__xludf.DUMMYFUNCTION("""COMPUTED_VALUE"""),"ActionOnToolBar")</f>
        <v>ActionOnToolBar</v>
      </c>
      <c r="C943" s="7" t="str">
        <f>IFERROR(__xludf.DUMMYFUNCTION("""COMPUTED_VALUE"""),"11EX1Ln-BQAtx9NTd9zfcaia52FGNdZENDW2kwMCJ8HQ")</f>
        <v>11EX1Ln-BQAtx9NTd9zfcaia52FGNdZENDW2kwMCJ8HQ</v>
      </c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 t="str">
        <f>IFERROR(__xludf.DUMMYFUNCTION("""COMPUTED_VALUE"""),"Allocation")</f>
        <v>Allocation</v>
      </c>
      <c r="B944" s="7" t="str">
        <f>IFERROR(__xludf.DUMMYFUNCTION("""COMPUTED_VALUE"""),"AutoGrpRules")</f>
        <v>AutoGrpRules</v>
      </c>
      <c r="C944" s="7" t="str">
        <f>IFERROR(__xludf.DUMMYFUNCTION("""COMPUTED_VALUE"""),"11EX1Ln-BQAtx9NTd9zfcaia52FGNdZENDW2kwMCJ8HQ")</f>
        <v>11EX1Ln-BQAtx9NTd9zfcaia52FGNdZENDW2kwMCJ8HQ</v>
      </c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 t="str">
        <f>IFERROR(__xludf.DUMMYFUNCTION("""COMPUTED_VALUE"""),"Allocation")</f>
        <v>Allocation</v>
      </c>
      <c r="B945" s="7" t="str">
        <f>IFERROR(__xludf.DUMMYFUNCTION("""COMPUTED_VALUE"""),"VerifyToggleStateTA")</f>
        <v>VerifyToggleStateTA</v>
      </c>
      <c r="C945" s="7" t="str">
        <f>IFERROR(__xludf.DUMMYFUNCTION("""COMPUTED_VALUE"""),"11EX1Ln-BQAtx9NTd9zfcaia52FGNdZENDW2kwMCJ8HQ")</f>
        <v>11EX1Ln-BQAtx9NTd9zfcaia52FGNdZENDW2kwMCJ8HQ</v>
      </c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 t="str">
        <f>IFERROR(__xludf.DUMMYFUNCTION("""COMPUTED_VALUE"""),"Expnl")</f>
        <v>Expnl</v>
      </c>
      <c r="B946" s="7" t="str">
        <f>IFERROR(__xludf.DUMMYFUNCTION("""COMPUTED_VALUE"""),"RefreshExpnlUi")</f>
        <v>RefreshExpnlUi</v>
      </c>
      <c r="C946" s="7" t="str">
        <f>IFERROR(__xludf.DUMMYFUNCTION("""COMPUTED_VALUE"""),"Undefined")</f>
        <v>Undefined</v>
      </c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 t="str">
        <f>IFERROR(__xludf.DUMMYFUNCTION("""COMPUTED_VALUE"""),"Allocation")</f>
        <v>Allocation</v>
      </c>
      <c r="B947" s="7" t="str">
        <f>IFERROR(__xludf.DUMMYFUNCTION("""COMPUTED_VALUE"""),"ActiononAGP")</f>
        <v>ActiononAGP</v>
      </c>
      <c r="C947" s="7" t="str">
        <f>IFERROR(__xludf.DUMMYFUNCTION("""COMPUTED_VALUE"""),"11EX1Ln-BQAtx9NTd9zfcaia52FGNdZENDW2kwMCJ8HQ")</f>
        <v>11EX1Ln-BQAtx9NTd9zfcaia52FGNdZENDW2kwMCJ8HQ</v>
      </c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 t="str">
        <f>IFERROR(__xludf.DUMMYFUNCTION("""COMPUTED_VALUE"""),"Allocation")</f>
        <v>Allocation</v>
      </c>
      <c r="B948" s="7" t="str">
        <f>IFERROR(__xludf.DUMMYFUNCTION("""COMPUTED_VALUE"""),"AttBulkChng")</f>
        <v>AttBulkChng</v>
      </c>
      <c r="C948" s="7" t="str">
        <f>IFERROR(__xludf.DUMMYFUNCTION("""COMPUTED_VALUE"""),"11EX1Ln-BQAtx9NTd9zfcaia52FGNdZENDW2kwMCJ8HQ")</f>
        <v>11EX1Ln-BQAtx9NTd9zfcaia52FGNdZENDW2kwMCJ8HQ</v>
      </c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 t="str">
        <f>IFERROR(__xludf.DUMMYFUNCTION("""COMPUTED_VALUE"""),"Allocation")</f>
        <v>Allocation</v>
      </c>
      <c r="B949" s="7" t="str">
        <f>IFERROR(__xludf.DUMMYFUNCTION("""COMPUTED_VALUE"""),"AttBulkChngTwo")</f>
        <v>AttBulkChngTwo</v>
      </c>
      <c r="C949" s="7" t="str">
        <f>IFERROR(__xludf.DUMMYFUNCTION("""COMPUTED_VALUE"""),"11EX1Ln-BQAtx9NTd9zfcaia52FGNdZENDW2kwMCJ8HQ")</f>
        <v>11EX1Ln-BQAtx9NTd9zfcaia52FGNdZENDW2kwMCJ8HQ</v>
      </c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 t="str">
        <f>IFERROR(__xludf.DUMMYFUNCTION("""COMPUTED_VALUE"""),"Login")</f>
        <v>Login</v>
      </c>
      <c r="B950" s="7" t="str">
        <f>IFERROR(__xludf.DUMMYFUNCTION("""COMPUTED_VALUE"""),"Login")</f>
        <v>Login</v>
      </c>
      <c r="C950" s="7" t="str">
        <f>IFERROR(__xludf.DUMMYFUNCTION("""COMPUTED_VALUE"""),"1uy63r2XjpUIBlAUk-lXKJTr-PpvpP6wxvLlLDzoM-Ic")</f>
        <v>1uy63r2XjpUIBlAUk-lXKJTr-PpvpP6wxvLlLDzoM-Ic</v>
      </c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 t="str">
        <f>IFERROR(__xludf.DUMMYFUNCTION("""COMPUTED_VALUE"""),"Simulator")</f>
        <v>Simulator</v>
      </c>
      <c r="B951" s="7" t="str">
        <f>IFERROR(__xludf.DUMMYFUNCTION("""COMPUTED_VALUE"""),"VerifyRowAllFixLogs")</f>
        <v>VerifyRowAllFixLogs</v>
      </c>
      <c r="C951" s="7" t="str">
        <f>IFERROR(__xludf.DUMMYFUNCTION("""COMPUTED_VALUE"""),"1_W_DB1rnbV-zXf1aqv8VkPNpTGPIckmD7s5z0ncm4ho")</f>
        <v>1_W_DB1rnbV-zXf1aqv8VkPNpTGPIckmD7s5z0ncm4ho</v>
      </c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 t="str">
        <f>IFERROR(__xludf.DUMMYFUNCTION("""COMPUTED_VALUE"""),"Blotter")</f>
        <v>Blotter</v>
      </c>
      <c r="B952" s="7" t="str">
        <f>IFERROR(__xludf.DUMMYFUNCTION("""COMPUTED_VALUE"""),"ManageHotButton")</f>
        <v>ManageHotButton</v>
      </c>
      <c r="C952" s="7" t="str">
        <f>IFERROR(__xludf.DUMMYFUNCTION("""COMPUTED_VALUE"""),"1kQpkPRi_1u4R3VazjhiilbOI8OkiiHRY2wfgByau1YY")</f>
        <v>1kQpkPRi_1u4R3VazjhiilbOI8OkiiHRY2wfgByau1YY</v>
      </c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 t="str">
        <f>IFERROR(__xludf.DUMMYFUNCTION("""COMPUTED_VALUE"""),"Simulator")</f>
        <v>Simulator</v>
      </c>
      <c r="B953" s="7" t="str">
        <f>IFERROR(__xludf.DUMMYFUNCTION("""COMPUTED_VALUE"""),"ClearAllFixLogs")</f>
        <v>ClearAllFixLogs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 t="str">
        <f>IFERROR(__xludf.DUMMYFUNCTION("""COMPUTED_VALUE"""),"PranaClient")</f>
        <v>PranaClient</v>
      </c>
      <c r="B954" s="7" t="str">
        <f>IFERROR(__xludf.DUMMYFUNCTION("""COMPUTED_VALUE"""),"UpdateLiveExcelSheetForRTPNL")</f>
        <v>UpdateLiveExcelSheetForRTPNL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 t="str">
        <f>IFERROR(__xludf.DUMMYFUNCTION("""COMPUTED_VALUE"""),"OpenFin")</f>
        <v>OpenFin</v>
      </c>
      <c r="B955" s="7" t="str">
        <f>IFERROR(__xludf.DUMMYFUNCTION("""COMPUTED_VALUE"""),"SavePageRTPNL")</f>
        <v>SavePageRTPNL</v>
      </c>
      <c r="C955" s="7" t="str">
        <f>IFERROR(__xludf.DUMMYFUNCTION("""COMPUTED_VALUE"""),"1YqhSG4yXo70SfhUq3fYD9CKf-eg44IFJ37IZh4WLI84")</f>
        <v>1YqhSG4yXo70SfhUq3fYD9CKf-eg44IFJ37IZh4WLI84</v>
      </c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 t="str">
        <f>IFERROR(__xludf.DUMMYFUNCTION("""COMPUTED_VALUE"""),"RTPNL")</f>
        <v>RTPNL</v>
      </c>
      <c r="B956" s="7" t="str">
        <f>IFERROR(__xludf.DUMMYFUNCTION("""COMPUTED_VALUE"""),"VerifyGridThroughLiveExcel")</f>
        <v>VerifyGridThroughLiveExcel</v>
      </c>
      <c r="C956" s="7" t="str">
        <f>IFERROR(__xludf.DUMMYFUNCTION("""COMPUTED_VALUE"""),"1cCUw9lchUCKgHeNcwCDXybCOZXIeN4O0zRhkTZCVDUg")</f>
        <v>1cCUw9lchUCKgHeNcwCDXybCOZXIeN4O0zRhkTZCVDUg</v>
      </c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 t="str">
        <f>IFERROR(__xludf.DUMMYFUNCTION("""COMPUTED_VALUE"""),"OpenFin")</f>
        <v>OpenFin</v>
      </c>
      <c r="B957" s="7" t="str">
        <f>IFERROR(__xludf.DUMMYFUNCTION("""COMPUTED_VALUE"""),"VerifyToastMessage")</f>
        <v>VerifyToastMessage</v>
      </c>
      <c r="C957" s="7" t="str">
        <f>IFERROR(__xludf.DUMMYFUNCTION("""COMPUTED_VALUE"""),"1DYn70fZ-UJ9bocMMWUWIW2IVfXlF5TRVuLedi7Y_LNk")</f>
        <v>1DYn70fZ-UJ9bocMMWUWIW2IVfXlF5TRVuLedi7Y_LNk</v>
      </c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 t="str">
        <f>IFERROR(__xludf.DUMMYFUNCTION("""COMPUTED_VALUE"""),"NavLock")</f>
        <v>NavLock</v>
      </c>
      <c r="B958" s="7" t="str">
        <f>IFERROR(__xludf.DUMMYFUNCTION("""COMPUTED_VALUE"""),"VerifyNavLockGrid")</f>
        <v>VerifyNavLockGrid</v>
      </c>
      <c r="C958" s="7" t="str">
        <f>IFERROR(__xludf.DUMMYFUNCTION("""COMPUTED_VALUE"""),"11EX1Ln-BQAtx9NTd9zfcaia52FGNdZENDW2kwMCJ8HQ")</f>
        <v>11EX1Ln-BQAtx9NTd9zfcaia52FGNdZENDW2kwMCJ8HQ</v>
      </c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 t="str">
        <f>IFERROR(__xludf.DUMMYFUNCTION("""COMPUTED_VALUE"""),"RTPNL")</f>
        <v>RTPNL</v>
      </c>
      <c r="B959" s="7" t="str">
        <f>IFERROR(__xludf.DUMMYFUNCTION("""COMPUTED_VALUE"""),"ApplyColumnFilter")</f>
        <v>ApplyColumnFilter</v>
      </c>
      <c r="C959" s="7" t="str">
        <f>IFERROR(__xludf.DUMMYFUNCTION("""COMPUTED_VALUE"""),"1N9Nn6t5kuoUpj5sQRZwukYuXz8skh2F7E53j1Um1W1A")</f>
        <v>1N9Nn6t5kuoUpj5sQRZwukYuXz8skh2F7E53j1Um1W1A</v>
      </c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 t="str">
        <f>IFERROR(__xludf.DUMMYFUNCTION("""COMPUTED_VALUE"""),"Closing")</f>
        <v>Closing</v>
      </c>
      <c r="B960" s="7" t="str">
        <f>IFERROR(__xludf.DUMMYFUNCTION("""COMPUTED_VALUE"""),"GetClosingData")</f>
        <v>GetClosingData</v>
      </c>
      <c r="C960" s="7" t="str">
        <f>IFERROR(__xludf.DUMMYFUNCTION("""COMPUTED_VALUE"""),"11EX1Ln-BQAtx9NTd9zfcaia52FGNdZENDW2kwMCJ9HQ")</f>
        <v>11EX1Ln-BQAtx9NTd9zfcaia52FGNdZENDW2kwMCJ9HQ</v>
      </c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 t="str">
        <f>IFERROR(__xludf.DUMMYFUNCTION("""COMPUTED_VALUE"""),"Closing")</f>
        <v>Closing</v>
      </c>
      <c r="B961" s="7" t="str">
        <f>IFERROR(__xludf.DUMMYFUNCTION("""COMPUTED_VALUE"""),"CloseAmendOprtn")</f>
        <v>CloseAmendOprtn</v>
      </c>
      <c r="C961" s="7" t="str">
        <f>IFERROR(__xludf.DUMMYFUNCTION("""COMPUTED_VALUE"""),"11EX1Ln-BQAtx9NTd9zfcaia52FGNdZENDW2kwMCJ10HQ")</f>
        <v>11EX1Ln-BQAtx9NTd9zfcaia52FGNdZENDW2kwMCJ10HQ</v>
      </c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 t="str">
        <f>IFERROR(__xludf.DUMMYFUNCTION("""COMPUTED_VALUE"""),"Closing")</f>
        <v>Closing</v>
      </c>
      <c r="B962" s="7" t="str">
        <f>IFERROR(__xludf.DUMMYFUNCTION("""COMPUTED_VALUE"""),"ExpSettlOprtn")</f>
        <v>ExpSettlOprtn</v>
      </c>
      <c r="C962" s="7" t="str">
        <f>IFERROR(__xludf.DUMMYFUNCTION("""COMPUTED_VALUE"""),"11EX1Ln-BQAtx9NTd9zfcaia52FGNdZENDW2kwMCJ11HQ")</f>
        <v>11EX1Ln-BQAtx9NTd9zfcaia52FGNdZENDW2kwMCJ11HQ</v>
      </c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 t="str">
        <f>IFERROR(__xludf.DUMMYFUNCTION("""COMPUTED_VALUE"""),"Closing")</f>
        <v>Closing</v>
      </c>
      <c r="B963" s="7" t="str">
        <f>IFERROR(__xludf.DUMMYFUNCTION("""COMPUTED_VALUE"""),"CloseOrderOprtn")</f>
        <v>CloseOrderOprtn</v>
      </c>
      <c r="C963" s="7" t="str">
        <f>IFERROR(__xludf.DUMMYFUNCTION("""COMPUTED_VALUE"""),"11EX1Ln-BQAtx9NTd9zfcaia52FGNdZENDW2kwMCJ12HQ")</f>
        <v>11EX1Ln-BQAtx9NTd9zfcaia52FGNdZENDW2kwMCJ12HQ</v>
      </c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 t="str">
        <f>IFERROR(__xludf.DUMMYFUNCTION("""COMPUTED_VALUE"""),"Closing")</f>
        <v>Closing</v>
      </c>
      <c r="B964" s="7" t="str">
        <f>IFERROR(__xludf.DUMMYFUNCTION("""COMPUTED_VALUE"""),"SelectgrdCloseTrades")</f>
        <v>SelectgrdCloseTrades</v>
      </c>
      <c r="C964" s="7" t="str">
        <f>IFERROR(__xludf.DUMMYFUNCTION("""COMPUTED_VALUE"""),"11EX1Ln-BQAtx9NTd9zfcaia52FGNdZENDW2kwMCJ13HQ")</f>
        <v>11EX1Ln-BQAtx9NTd9zfcaia52FGNdZENDW2kwMCJ13HQ</v>
      </c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 t="str">
        <f>IFERROR(__xludf.DUMMYFUNCTION("""COMPUTED_VALUE"""),"Closing")</f>
        <v>Closing</v>
      </c>
      <c r="B965" s="7" t="str">
        <f>IFERROR(__xludf.DUMMYFUNCTION("""COMPUTED_VALUE"""),"SelectgrdLongTrades")</f>
        <v>SelectgrdLongTrades</v>
      </c>
      <c r="C965" s="7" t="str">
        <f>IFERROR(__xludf.DUMMYFUNCTION("""COMPUTED_VALUE"""),"11EX1Ln-BQAtx9NTd9zfcaia52FGNdZENDW2kwMCJ14HQ")</f>
        <v>11EX1Ln-BQAtx9NTd9zfcaia52FGNdZENDW2kwMCJ14HQ</v>
      </c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 t="str">
        <f>IFERROR(__xludf.DUMMYFUNCTION("""COMPUTED_VALUE"""),"Closing")</f>
        <v>Closing</v>
      </c>
      <c r="B966" s="7" t="str">
        <f>IFERROR(__xludf.DUMMYFUNCTION("""COMPUTED_VALUE"""),"SelectgrdShortTrades")</f>
        <v>SelectgrdShortTrades</v>
      </c>
      <c r="C966" s="7" t="str">
        <f>IFERROR(__xludf.DUMMYFUNCTION("""COMPUTED_VALUE"""),"11EX1Ln-BQAtx9NTd9zfcaia52FGNdZENDW2kwMCJ15HQ")</f>
        <v>11EX1Ln-BQAtx9NTd9zfcaia52FGNdZENDW2kwMCJ15HQ</v>
      </c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 t="str">
        <f>IFERROR(__xludf.DUMMYFUNCTION("""COMPUTED_VALUE"""),"Closing")</f>
        <v>Closing</v>
      </c>
      <c r="B967" s="7" t="str">
        <f>IFERROR(__xludf.DUMMYFUNCTION("""COMPUTED_VALUE"""),"SelectgrdNetPositionTrades")</f>
        <v>SelectgrdNetPositionTrades</v>
      </c>
      <c r="C967" s="7" t="str">
        <f>IFERROR(__xludf.DUMMYFUNCTION("""COMPUTED_VALUE"""),"11EX1Ln-BQAtx9NTd9zfcaia52FGNdZENDW2kwMCJ16HQ")</f>
        <v>11EX1Ln-BQAtx9NTd9zfcaia52FGNdZENDW2kwMCJ16HQ</v>
      </c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 t="str">
        <f>IFERROR(__xludf.DUMMYFUNCTION("""COMPUTED_VALUE"""),"Closing")</f>
        <v>Closing</v>
      </c>
      <c r="B968" s="7" t="str">
        <f>IFERROR(__xludf.DUMMYFUNCTION("""COMPUTED_VALUE"""),"SelectgrdUnexpiredTrades")</f>
        <v>SelectgrdUnexpiredTrades</v>
      </c>
      <c r="C968" s="7" t="str">
        <f>IFERROR(__xludf.DUMMYFUNCTION("""COMPUTED_VALUE"""),"11EX1Ln-BQAtx9NTd9zfcaia52FGNdZENDW2kwMCJ17HQ")</f>
        <v>11EX1Ln-BQAtx9NTd9zfcaia52FGNdZENDW2kwMCJ17HQ</v>
      </c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 t="str">
        <f>IFERROR(__xludf.DUMMYFUNCTION("""COMPUTED_VALUE"""),"Closing")</f>
        <v>Closing</v>
      </c>
      <c r="B969" s="7" t="str">
        <f>IFERROR(__xludf.DUMMYFUNCTION("""COMPUTED_VALUE"""),"SelectgrdCPTrades")</f>
        <v>SelectgrdCPTrades</v>
      </c>
      <c r="C969" s="7" t="str">
        <f>IFERROR(__xludf.DUMMYFUNCTION("""COMPUTED_VALUE"""),"11EX1Ln-BQAtx9NTd9zfcaia52FGNdZENDW2kwMCJ18HQ")</f>
        <v>11EX1Ln-BQAtx9NTd9zfcaia52FGNdZENDW2kwMCJ18HQ</v>
      </c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 t="str">
        <f>IFERROR(__xludf.DUMMYFUNCTION("""COMPUTED_VALUE"""),"Closing")</f>
        <v>Closing</v>
      </c>
      <c r="B970" s="7" t="str">
        <f>IFERROR(__xludf.DUMMYFUNCTION("""COMPUTED_VALUE"""),"SelectgrdExpiredTrades")</f>
        <v>SelectgrdExpiredTrades</v>
      </c>
      <c r="C970" s="7" t="str">
        <f>IFERROR(__xludf.DUMMYFUNCTION("""COMPUTED_VALUE"""),"11EX1Ln-BQAtx9NTd9zfcaia52FGNdZENDW2kwMCJ19HQ")</f>
        <v>11EX1Ln-BQAtx9NTd9zfcaia52FGNdZENDW2kwMCJ19HQ</v>
      </c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 t="str">
        <f>IFERROR(__xludf.DUMMYFUNCTION("""COMPUTED_VALUE"""),"Closing")</f>
        <v>Closing</v>
      </c>
      <c r="B971" s="7" t="str">
        <f>IFERROR(__xludf.DUMMYFUNCTION("""COMPUTED_VALUE"""),"SelectgrdOpenTrades")</f>
        <v>SelectgrdOpenTrades</v>
      </c>
      <c r="C971" s="7" t="str">
        <f>IFERROR(__xludf.DUMMYFUNCTION("""COMPUTED_VALUE"""),"11EX1Ln-BQAtx9NTd9zfcaia52FGNdZENDW2kwMCJ20HQ")</f>
        <v>11EX1Ln-BQAtx9NTd9zfcaia52FGNdZENDW2kwMCJ20HQ</v>
      </c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 t="str">
        <f>IFERROR(__xludf.DUMMYFUNCTION("""COMPUTED_VALUE"""),"Closing")</f>
        <v>Closing</v>
      </c>
      <c r="B972" s="7" t="str">
        <f>IFERROR(__xludf.DUMMYFUNCTION("""COMPUTED_VALUE"""),"GetClosingData")</f>
        <v>GetClosingData</v>
      </c>
      <c r="C972" s="7" t="str">
        <f>IFERROR(__xludf.DUMMYFUNCTION("""COMPUTED_VALUE"""),"11EX1Ln-BQAtx9NTd9zfcaia52FGNdZENDW2kwMCJ20HQ")</f>
        <v>11EX1Ln-BQAtx9NTd9zfcaia52FGNdZENDW2kwMCJ20HQ</v>
      </c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 t="str">
        <f>IFERROR(__xludf.DUMMYFUNCTION("""COMPUTED_VALUE"""),"Closing")</f>
        <v>Closing</v>
      </c>
      <c r="B973" s="7" t="str">
        <f>IFERROR(__xludf.DUMMYFUNCTION("""COMPUTED_VALUE"""),"WizardOptions")</f>
        <v>WizardOptions</v>
      </c>
      <c r="C973" s="7" t="str">
        <f>IFERROR(__xludf.DUMMYFUNCTION("""COMPUTED_VALUE"""),"11EX1Ln-BQAtx9NTd9zfcaia52FGNdZENDW2kwMCJ21HQ")</f>
        <v>11EX1Ln-BQAtx9NTd9zfcaia52FGNdZENDW2kwMCJ21HQ</v>
      </c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 t="str">
        <f>IFERROR(__xludf.DUMMYFUNCTION("""COMPUTED_VALUE"""),"Closing")</f>
        <v>Closing</v>
      </c>
      <c r="B974" s="7" t="str">
        <f>IFERROR(__xludf.DUMMYFUNCTION("""COMPUTED_VALUE"""),"ActionOnClosingWiz")</f>
        <v>ActionOnClosingWiz</v>
      </c>
      <c r="C974" s="7" t="str">
        <f>IFERROR(__xludf.DUMMYFUNCTION("""COMPUTED_VALUE"""),"11EX1Ln-BQAtx9NTd9zfcaia52FGNdZENDW2kwMCJ21HQ")</f>
        <v>11EX1Ln-BQAtx9NTd9zfcaia52FGNdZENDW2kwMCJ21HQ</v>
      </c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 t="str">
        <f>IFERROR(__xludf.DUMMYFUNCTION("""COMPUTED_VALUE"""),"Allocation")</f>
        <v>Allocation</v>
      </c>
      <c r="B975" s="7" t="str">
        <f>IFERROR(__xludf.DUMMYFUNCTION("""COMPUTED_VALUE"""),"VerifyAttRenaming")</f>
        <v>VerifyAttRenaming</v>
      </c>
      <c r="C975" s="7" t="str">
        <f>IFERROR(__xludf.DUMMYFUNCTION("""COMPUTED_VALUE"""),"11EX1Ln-BQAtx9NTd9zfcaia52FGNdZENDW2kwMCJ21HQ")</f>
        <v>11EX1Ln-BQAtx9NTd9zfcaia52FGNdZENDW2kwMCJ21HQ</v>
      </c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 t="str">
        <f>IFERROR(__xludf.DUMMYFUNCTION("""COMPUTED_VALUE"""),"NavLock")</f>
        <v>NavLock</v>
      </c>
      <c r="B976" s="7" t="str">
        <f>IFERROR(__xludf.DUMMYFUNCTION("""COMPUTED_VALUE"""),"DeleteRowNavLock")</f>
        <v>DeleteRowNavLock</v>
      </c>
      <c r="C976" s="7" t="str">
        <f>IFERROR(__xludf.DUMMYFUNCTION("""COMPUTED_VALUE"""),"11EX1Ln-BQAtx9NTd9zfcaia52FGNdZENDW2kwMCJ21HQ")</f>
        <v>11EX1Ln-BQAtx9NTd9zfcaia52FGNdZENDW2kwMCJ21HQ</v>
      </c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>
      <c r="A977" s="7" t="str">
        <f>IFERROR(__xludf.DUMMYFUNCTION("""COMPUTED_VALUE"""),"Closing")</f>
        <v>Closing</v>
      </c>
      <c r="B977" s="7" t="str">
        <f>IFERROR(__xludf.DUMMYFUNCTION("""COMPUTED_VALUE"""),"VerifyLongPositionsGrid")</f>
        <v>VerifyLongPositionsGrid</v>
      </c>
      <c r="C977" s="7" t="str">
        <f>IFERROR(__xludf.DUMMYFUNCTION("""COMPUTED_VALUE"""),"11EX1Ln-BQAtx9NTd9zfcaia52FGNdZENDW2kwMCJ14HQ")</f>
        <v>11EX1Ln-BQAtx9NTd9zfcaia52FGNdZENDW2kwMCJ14HQ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IFERROR(__xludf.DUMMYFUNCTION("""COMPUTED_VALUE"""),"VerifyShortPositionsGrid")</f>
        <v>VerifyShortPositionsGrid</v>
      </c>
      <c r="C978" s="7" t="str">
        <f>IFERROR(__xludf.DUMMYFUNCTION("""COMPUTED_VALUE"""),"11EX1Ln-BQAtx9NTd9zfcaia52FGNdZENDW2kwMCJ15HQ")</f>
        <v>11EX1Ln-BQAtx9NTd9zfcaia52FGNdZENDW2kwMCJ15HQ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IFERROR(__xludf.DUMMYFUNCTION("""COMPUTED_VALUE"""),"VerifyClosedTrades")</f>
        <v>VerifyClosedTrades</v>
      </c>
      <c r="C979" s="7" t="str">
        <f>IFERROR(__xludf.DUMMYFUNCTION("""COMPUTED_VALUE"""),"11EX1Ln-BQAtx9NTd9zfcaia52FGNdZENDW2kwMCJ16HQ")</f>
        <v>11EX1Ln-BQAtx9NTd9zfcaia52FGNdZENDW2kwMCJ16HQ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IFERROR(__xludf.DUMMYFUNCTION("""COMPUTED_VALUE"""),"CloseAmendOprtn")</f>
        <v>CloseAmendOprtn</v>
      </c>
      <c r="C980" s="7" t="str">
        <f>IFERROR(__xludf.DUMMYFUNCTION("""COMPUTED_VALUE"""),"11EX1Ln-BQAtx9NTd9zfcaia52FGNdZENDW2kwMCJ17HQ")</f>
        <v>11EX1Ln-BQAtx9NTd9zfcaia52FGNdZENDW2kwMCJ17HQ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IFERROR(__xludf.DUMMYFUNCTION("""COMPUTED_VALUE"""),"ExpSettlOprtn")</f>
        <v>ExpSettlOprtn</v>
      </c>
      <c r="C981" s="7" t="str">
        <f>IFERROR(__xludf.DUMMYFUNCTION("""COMPUTED_VALUE"""),"11EX1Ln-BQAtx9NTd9zfcaia52FGNdZENDW2kwMCJ18HQ")</f>
        <v>11EX1Ln-BQAtx9NTd9zfcaia52FGNdZENDW2kwMCJ18HQ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IFERROR(__xludf.DUMMYFUNCTION("""COMPUTED_VALUE"""),"ActionOnExpGrid")</f>
        <v>ActionOnExpGrid</v>
      </c>
      <c r="C982" s="7" t="str">
        <f>IFERROR(__xludf.DUMMYFUNCTION("""COMPUTED_VALUE"""),"11EX1Ln-BQAtx9NTd9zfcaia52FGNdZENDW2kwMCJ19HQ")</f>
        <v>11EX1Ln-BQAtx9NTd9zfcaia52FGNdZENDW2kwMCJ19HQ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IFERROR(__xludf.DUMMYFUNCTION("""COMPUTED_VALUE"""),"ActiononIncorrectQty")</f>
        <v>ActiononIncorrectQty</v>
      </c>
      <c r="C983" s="7" t="str">
        <f>IFERROR(__xludf.DUMMYFUNCTION("""COMPUTED_VALUE"""),"11EX1Ln-BQAtx9NTd9zfcaia52FGNdZENDW2kwMCJ20HQ")</f>
        <v>11EX1Ln-BQAtx9NTd9zfcaia52FGNdZENDW2kwMCJ20HQ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IFERROR(__xludf.DUMMYFUNCTION("""COMPUTED_VALUE"""),"VerifyIncorrectQty")</f>
        <v>VerifyIncorrectQty</v>
      </c>
      <c r="C984" s="7" t="str">
        <f>IFERROR(__xludf.DUMMYFUNCTION("""COMPUTED_VALUE"""),"11EX1Ln-BQAtx9NTd9zfcaia52FGNdZENDW2kwMCJ21HQ")</f>
        <v>11EX1Ln-BQAtx9NTd9zfcaia52FGNdZENDW2kwMCJ21HQ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IFERROR(__xludf.DUMMYFUNCTION("""COMPUTED_VALUE"""),"VerifyOpenTrades")</f>
        <v>VerifyOpenTrades</v>
      </c>
      <c r="C985" s="7" t="str">
        <f>IFERROR(__xludf.DUMMYFUNCTION("""COMPUTED_VALUE"""),"11EX1Ln-BQAtx9NTd9zfcaia52FGNdZENDW2kwMCJ20HQ")</f>
        <v>11EX1Ln-BQAtx9NTd9zfcaia52FGNdZENDW2kwMCJ20HQ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IFERROR(__xludf.DUMMYFUNCTION("""COMPUTED_VALUE"""),"CreateTransaction")</f>
        <v>CreateTransaction</v>
      </c>
      <c r="B986" s="7" t="str">
        <f>IFERROR(__xludf.DUMMYFUNCTION("""COMPUTED_VALUE"""),"EditCTGrid")</f>
        <v>EditCTGrid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IFERROR(__xludf.DUMMYFUNCTION("""COMPUTED_VALUE"""),"ActionOnCT")</f>
        <v>ActionOnCT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IFERROR(__xludf.DUMMYFUNCTION("""COMPUTED_VALUE"""),"Unknown")</f>
        <v>Unknown</v>
      </c>
      <c r="B988" s="7" t="str">
        <f>IFERROR(__xludf.DUMMYFUNCTION("""COMPUTED_VALUE"""),"OpenColumnChooser")</f>
        <v>OpenColumnChooser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IFERROR(__xludf.DUMMYFUNCTION("""COMPUTED_VALUE"""),"Closing")</f>
        <v>Closing</v>
      </c>
      <c r="B989" s="7" t="str">
        <f>IFERROR(__xludf.DUMMYFUNCTION("""COMPUTED_VALUE"""),"UnExpUnsettOperation")</f>
        <v>UnExpUnsettOperation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IFERROR(__xludf.DUMMYFUNCTION("""COMPUTED_VALUE"""),"NavLock")</f>
        <v>NavLock</v>
      </c>
      <c r="B990" s="7" t="str">
        <f>IFERROR(__xludf.DUMMYFUNCTION("""COMPUTED_VALUE"""),"ActiononNavLock")</f>
        <v>ActiononNavLock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IFERROR(__xludf.DUMMYFUNCTION("""COMPUTED_VALUE"""),"Allocation")</f>
        <v>Allocation</v>
      </c>
      <c r="B991" s="7" t="str">
        <f>IFERROR(__xludf.DUMMYFUNCTION("""COMPUTED_VALUE"""),"ActiononFixPref")</f>
        <v>ActiononFixPref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IFERROR(__xludf.DUMMYFUNCTION("""COMPUTED_VALUE"""),"Blotter")</f>
        <v>Blotter</v>
      </c>
      <c r="B992" s="7" t="str">
        <f>IFERROR(__xludf.DUMMYFUNCTION("""COMPUTED_VALUE"""),"SelectWorkSubsOnBlotter")</f>
        <v>SelectWorkSubsOnBlotter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IFERROR(__xludf.DUMMYFUNCTION("""COMPUTED_VALUE"""),"Closing")</f>
        <v>Closing</v>
      </c>
      <c r="B993" s="7" t="str">
        <f>IFERROR(__xludf.DUMMYFUNCTION("""COMPUTED_VALUE"""),"VerifyAccountUnexpired")</f>
        <v>VerifyAccountUnexpired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IFERROR(__xludf.DUMMYFUNCTION("""COMPUTED_VALUE"""),"PortfolioManagement")</f>
        <v>PortfolioManagement</v>
      </c>
      <c r="B994" s="7" t="str">
        <f>IFERROR(__xludf.DUMMYFUNCTION("""COMPUTED_VALUE"""),"ToolBarActiononPM")</f>
        <v>ToolBarActiononPM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IFERROR(__xludf.DUMMYFUNCTION("""COMPUTED_VALUE"""),"Allocation")</f>
        <v>Allocation</v>
      </c>
      <c r="B995" s="7" t="str">
        <f>IFERROR(__xludf.DUMMYFUNCTION("""COMPUTED_VALUE"""),"EditAttRenaming")</f>
        <v>EditAttRenaming</v>
      </c>
      <c r="C995" s="7" t="str">
        <f>IFERROR(__xludf.DUMMYFUNCTION("""COMPUTED_VALUE"""),"14aTeLjmUbS-nhaQwjtZAMGxdQ5DS6UsBjE5OTWN-LQU")</f>
        <v>14aTeLjmUbS-nhaQwjtZAMGxdQ5DS6UsBjE5OTWN-LQU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IFERROR(__xludf.DUMMYFUNCTION("""COMPUTED_VALUE"""),"Unknown")</f>
        <v>Unknown</v>
      </c>
      <c r="B996" s="7" t="str">
        <f>IFERROR(__xludf.DUMMYFUNCTION("""COMPUTED_VALUE"""),"ActiononColumnChooser")</f>
        <v>ActiononColumnChooser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IFERROR(__xludf.DUMMYFUNCTION("""COMPUTED_VALUE"""),"VerifyColumnChooser")</f>
        <v>VerifyColumnChooser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IFERROR(__xludf.DUMMYFUNCTION("""COMPUTED_VALUE"""),"EditColumnChooser")</f>
        <v>EditColumnChooser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IFERROR(__xludf.DUMMYFUNCTION("""COMPUTED_VALUE"""),"OpenColumnChooser")</f>
        <v>OpenColumnChooser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IFERROR(__xludf.DUMMYFUNCTION("""COMPUTED_VALUE"""),"TradingTicket")</f>
        <v>TradingTicket</v>
      </c>
      <c r="B1000" s="7" t="str">
        <f>IFERROR(__xludf.DUMMYFUNCTION("""COMPUTED_VALUE"""),"UpdateTTCA")</f>
        <v>UpdateTTCA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10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2" t="s">
        <v>9</v>
      </c>
      <c r="C3" s="12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IFERROR(__xludf.DUMMYFUNCTION("""COMPUTED_VALUE"""),"Quantity")</f>
        <v>Quantity</v>
      </c>
      <c r="D5" s="22" t="str">
        <f>IFERROR(__xludf.DUMMYFUNCTION("""COMPUTED_VALUE"""),"Price")</f>
        <v>Price</v>
      </c>
      <c r="E5" s="22" t="str">
        <f>IFERROR(__xludf.DUMMYFUNCTION("""COMPUTED_VALUE"""),"Order type button")</f>
        <v>Order type button</v>
      </c>
      <c r="F5" s="22" t="str">
        <f>IFERROR(__xludf.DUMMYFUNCTION("""COMPUTED_VALUE"""),"SharesOutstandingPopUp")</f>
        <v>SharesOutstandingPopUp</v>
      </c>
      <c r="G5" s="22" t="str">
        <f>IFERROR(__xludf.DUMMYFUNCTION("""COMPUTED_VALUE"""),"TT_Open")</f>
        <v>TT_Open</v>
      </c>
      <c r="H5" s="22" t="str">
        <f>IFERROR(__xludf.DUMMYFUNCTION("""COMPUTED_VALUE"""),"SharesOutstandingPopUpQty")</f>
        <v>SharesOutstandingPopUpQty</v>
      </c>
      <c r="I5" s="22" t="str">
        <f>IFERROR(__xludf.DUMMYFUNCTION("""COMPUTED_VALUE"""),"AllocationMethod")</f>
        <v>AllocationMethod</v>
      </c>
      <c r="J5" s="22" t="str">
        <f>IFERROR(__xludf.DUMMYFUNCTION("""COMPUTED_VALUE"""),"Order Side")</f>
        <v>Order Side</v>
      </c>
      <c r="K5" s="22" t="str">
        <f>IFERROR(__xludf.DUMMYFUNCTION("""COMPUTED_VALUE"""),"DB_Check")</f>
        <v>DB_Check</v>
      </c>
      <c r="L5" s="22" t="str">
        <f>IFERROR(__xludf.DUMMYFUNCTION("""COMPUTED_VALUE"""),"CommissionBasis")</f>
        <v>CommissionBasis</v>
      </c>
      <c r="M5" s="22" t="str">
        <f>IFERROR(__xludf.DUMMYFUNCTION("""COMPUTED_VALUE"""),"CommissionRate")</f>
        <v>CommissionRate</v>
      </c>
      <c r="N5" s="22" t="str">
        <f>IFERROR(__xludf.DUMMYFUNCTION("""COMPUTED_VALUE"""),"SoftBasis")</f>
        <v>SoftBasis</v>
      </c>
      <c r="O5" s="22" t="str">
        <f>IFERROR(__xludf.DUMMYFUNCTION("""COMPUTED_VALUE"""),"SoftRate")</f>
        <v>SoftRate</v>
      </c>
      <c r="P5" s="22" t="str">
        <f>IFERROR(__xludf.DUMMYFUNCTION("""COMPUTED_VALUE"""),"Account")</f>
        <v>Account</v>
      </c>
      <c r="Q5" s="22" t="str">
        <f>IFERROR(__xludf.DUMMYFUNCTION("""COMPUTED_VALUE"""),"Account %")</f>
        <v>Account %</v>
      </c>
      <c r="R5" s="22" t="str">
        <f>IFERROR(__xludf.DUMMYFUNCTION("""COMPUTED_VALUE"""),"VerifySuggestions")</f>
        <v>VerifySuggestions</v>
      </c>
      <c r="S5" s="22" t="str">
        <f>IFERROR(__xludf.DUMMYFUNCTION("""COMPUTED_VALUE"""),"SymbolToPickFromSuggesstions")</f>
        <v>SymbolToPickFromSuggesstions</v>
      </c>
      <c r="T5" s="23" t="str">
        <f>IFERROR(__xludf.DUMMYFUNCTION("""COMPUTED_VALUE"""),"TypedSymbolAvailableOnSuggestion")</f>
        <v>TypedSymbolAvailableOnSuggestion</v>
      </c>
      <c r="U5" s="23" t="str">
        <f>IFERROR(__xludf.DUMMYFUNCTION("""COMPUTED_VALUE"""),"TIF")</f>
        <v>TIF</v>
      </c>
      <c r="V5" s="23" t="str">
        <f>IFERROR(__xludf.DUMMYFUNCTION("""COMPUTED_VALUE"""),"Order Type")</f>
        <v>Order Type</v>
      </c>
      <c r="W5" s="23" t="str">
        <f>IFERROR(__xludf.DUMMYFUNCTION("""COMPUTED_VALUE"""),"Stop")</f>
        <v>Stop</v>
      </c>
      <c r="X5" s="23" t="str">
        <f>IFERROR(__xludf.DUMMYFUNCTION("""COMPUTED_VALUE"""),"Limit")</f>
        <v>Limit</v>
      </c>
      <c r="Y5" s="23" t="str">
        <f>IFERROR(__xludf.DUMMYFUNCTION("""COMPUTED_VALUE"""),"Expiration Date")</f>
        <v>Expiration Date</v>
      </c>
      <c r="Z5" s="23" t="str">
        <f>IFERROR(__xludf.DUMMYFUNCTION("""COMPUTED_VALUE"""),"Trade Date")</f>
        <v>Trade Date</v>
      </c>
      <c r="AA5" s="23" t="str">
        <f>IFERROR(__xludf.DUMMYFUNCTION("""COMPUTED_VALUE"""),"Broker")</f>
        <v>Broker</v>
      </c>
      <c r="AB5" s="23" t="str">
        <f>IFERROR(__xludf.DUMMYFUNCTION("""COMPUTED_VALUE"""),"Padlock Visiblity")</f>
        <v>Padlock Visiblity</v>
      </c>
      <c r="AC5" s="23" t="str">
        <f>IFERROR(__xludf.DUMMYFUNCTION("""COMPUTED_VALUE"""),"Padlock Unlock")</f>
        <v>Padlock Unlock</v>
      </c>
      <c r="AD5" s="23" t="str">
        <f>IFERROR(__xludf.DUMMYFUNCTION("""COMPUTED_VALUE"""),"Venue")</f>
        <v>Venue</v>
      </c>
      <c r="AE5" s="23" t="str">
        <f>IFERROR(__xludf.DUMMYFUNCTION("""COMPUTED_VALUE"""),"Fx Rate")</f>
        <v>Fx Rate</v>
      </c>
      <c r="AF5" s="23" t="str">
        <f>IFERROR(__xludf.DUMMYFUNCTION("""COMPUTED_VALUE"""),"Fx Operator")</f>
        <v>Fx Operator</v>
      </c>
      <c r="AG5" s="23" t="str">
        <f>IFERROR(__xludf.DUMMYFUNCTION("""COMPUTED_VALUE"""),"PendingApprovalPopUp")</f>
        <v>PendingApprovalPopUp</v>
      </c>
      <c r="AH5" s="23" t="str">
        <f>IFERROR(__xludf.DUMMYFUNCTION("""COMPUTED_VALUE"""),"TradeBy")</f>
        <v>TradeBy</v>
      </c>
      <c r="AI5" s="23" t="str">
        <f>IFERROR(__xludf.DUMMYFUNCTION("""COMPUTED_VALUE"""),"BookAsSwap")</f>
        <v>BookAsSwap</v>
      </c>
      <c r="AJ5" s="23" t="str">
        <f>IFERROR(__xludf.DUMMYFUNCTION("""COMPUTED_VALUE"""),"RoundLot")</f>
        <v>RoundLot</v>
      </c>
      <c r="AK5" s="23" t="str">
        <f>IFERROR(__xludf.DUMMYFUNCTION("""COMPUTED_VALUE"""),"Increment")</f>
        <v>Increment</v>
      </c>
      <c r="AL5" s="23" t="str">
        <f>IFERROR(__xludf.DUMMYFUNCTION("""COMPUTED_VALUE"""),"Decrement")</f>
        <v>Decrement</v>
      </c>
      <c r="AM5" s="23" t="str">
        <f>IFERROR(__xludf.DUMMYFUNCTION("""COMPUTED_VALUE"""),"Trade Attribute 01")</f>
        <v>Trade Attribute 01</v>
      </c>
      <c r="AN5" s="23" t="str">
        <f>IFERROR(__xludf.DUMMYFUNCTION("""COMPUTED_VALUE"""),"Trade Attribute 02")</f>
        <v>Trade Attribute 02</v>
      </c>
      <c r="AO5" s="23" t="str">
        <f>IFERROR(__xludf.DUMMYFUNCTION("""COMPUTED_VALUE"""),"Trade Attribute 03")</f>
        <v>Trade Attribute 03</v>
      </c>
      <c r="AP5" s="23" t="str">
        <f>IFERROR(__xludf.DUMMYFUNCTION("""COMPUTED_VALUE"""),"Trade Attribute 04")</f>
        <v>Trade Attribute 04</v>
      </c>
      <c r="AQ5" s="23" t="str">
        <f>IFERROR(__xludf.DUMMYFUNCTION("""COMPUTED_VALUE"""),"Trade Attribute 05")</f>
        <v>Trade Attribute 05</v>
      </c>
      <c r="AR5" s="23" t="str">
        <f>IFERROR(__xludf.DUMMYFUNCTION("""COMPUTED_VALUE"""),"Trade Attribute 06")</f>
        <v>Trade Attribute 06</v>
      </c>
      <c r="AS5" s="23" t="str">
        <f>IFERROR(__xludf.DUMMYFUNCTION("""COMPUTED_VALUE"""),"Trade Attribute 01 suggestion")</f>
        <v>Trade Attribute 01 suggestion</v>
      </c>
      <c r="AT5" s="23" t="str">
        <f>IFERROR(__xludf.DUMMYFUNCTION("""COMPUTED_VALUE"""),"Trade Attribute 02 suggestion")</f>
        <v>Trade Attribute 02 suggestion</v>
      </c>
      <c r="AU5" s="23" t="str">
        <f>IFERROR(__xludf.DUMMYFUNCTION("""COMPUTED_VALUE"""),"Trade Attribute 03 suggestion")</f>
        <v>Trade Attribute 03 suggestion</v>
      </c>
      <c r="AV5" s="23" t="str">
        <f>IFERROR(__xludf.DUMMYFUNCTION("""COMPUTED_VALUE"""),"Trade Attribute 04 suggestion")</f>
        <v>Trade Attribute 04 suggestion</v>
      </c>
      <c r="AW5" s="23" t="str">
        <f>IFERROR(__xludf.DUMMYFUNCTION("""COMPUTED_VALUE"""),"Trade Attribute 05 suggestion")</f>
        <v>Trade Attribute 05 suggestion</v>
      </c>
      <c r="AX5" s="23" t="str">
        <f>IFERROR(__xludf.DUMMYFUNCTION("""COMPUTED_VALUE"""),"Trade Attribute 06 suggestion")</f>
        <v>Trade Attribute 06 suggestion</v>
      </c>
      <c r="AY5" s="23" t="str">
        <f>IFERROR(__xludf.DUMMYFUNCTION("""COMPUTED_VALUE"""),"Strategy")</f>
        <v>Strategy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6"/>
      <c r="B6" s="6" t="s">
        <v>16</v>
      </c>
      <c r="C6" s="6">
        <v>100.0</v>
      </c>
      <c r="D6" s="6">
        <v>10.0</v>
      </c>
      <c r="E6" s="6" t="s">
        <v>17</v>
      </c>
      <c r="F6" s="6"/>
      <c r="G6" s="6"/>
      <c r="H6" s="6"/>
      <c r="I6" s="6"/>
      <c r="J6" s="6" t="s">
        <v>18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20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IFERROR(__xludf.DUMMYFUNCTION("""COMPUTED_VALUE"""),"OpenWindow")</f>
        <v>OpenWindow</v>
      </c>
      <c r="C5" s="22" t="str">
        <f>IFERROR(__xludf.DUMMYFUNCTION("""COMPUTED_VALUE"""),"TabName")</f>
        <v>TabName</v>
      </c>
      <c r="D5" s="22" t="str">
        <f>IFERROR(__xludf.DUMMYFUNCTION("""COMPUTED_VALUE"""),"Description")</f>
        <v>Description</v>
      </c>
      <c r="E5" s="22" t="str">
        <f>IFERROR(__xludf.DUMMYFUNCTION("""COMPUTED_VALUE"""),"Save?")</f>
        <v>Save?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6"/>
      <c r="B6" s="24" t="s">
        <v>21</v>
      </c>
      <c r="C6" s="24" t="s">
        <v>22</v>
      </c>
      <c r="D6" s="25"/>
      <c r="E6" s="26" t="b">
        <v>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23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IFERROR(__xludf.DUMMYFUNCTION("""COMPUTED_VALUE"""),"DashboardName")</f>
        <v>DashboardName</v>
      </c>
      <c r="C5" s="22" t="str">
        <f>IFERROR(__xludf.DUMMYFUNCTION("""COMPUTED_VALUE"""),"WidgetName")</f>
        <v>WidgetName</v>
      </c>
      <c r="D5" s="22" t="str">
        <f>IFERROR(__xludf.DUMMYFUNCTION("""COMPUTED_VALUE"""),"ColumnsToAdd")</f>
        <v>ColumnsToAdd</v>
      </c>
      <c r="E5" s="22" t="str">
        <f>IFERROR(__xludf.DUMMYFUNCTION("""COMPUTED_VALUE"""),"DashBoardType")</f>
        <v>DashBoardType</v>
      </c>
      <c r="F5" s="22" t="str">
        <f>IFERROR(__xludf.DUMMYFUNCTION("""COMPUTED_VALUE"""),"DashBoardLevel")</f>
        <v>DashBoardLevel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25"/>
      <c r="B6" s="24" t="s">
        <v>22</v>
      </c>
      <c r="C6" s="25" t="s">
        <v>24</v>
      </c>
      <c r="D6" s="25"/>
      <c r="E6" s="24" t="s">
        <v>25</v>
      </c>
      <c r="F6" s="24" t="s">
        <v>26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27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IFERROR(__xludf.DUMMYFUNCTION("""COMPUTED_VALUE"""),"Chip 1")</f>
        <v>Chip 1</v>
      </c>
      <c r="C5" s="22" t="str">
        <f>IFERROR(__xludf.DUMMYFUNCTION("""COMPUTED_VALUE"""),"Chip 2")</f>
        <v>Chip 2</v>
      </c>
      <c r="D5" s="22" t="str">
        <f>IFERROR(__xludf.DUMMYFUNCTION("""COMPUTED_VALUE"""),"Chip 3")</f>
        <v>Chip 3</v>
      </c>
      <c r="E5" s="22" t="str">
        <f>IFERROR(__xludf.DUMMYFUNCTION("""COMPUTED_VALUE"""),"MakeColumFavourite")</f>
        <v>MakeColumFavourite</v>
      </c>
      <c r="F5" s="22" t="str">
        <f>IFERROR(__xludf.DUMMYFUNCTION("""COMPUTED_VALUE"""),"MakeColumnUnfavourite")</f>
        <v>MakeColumnUnfavourite</v>
      </c>
      <c r="G5" s="22" t="str">
        <f>IFERROR(__xludf.DUMMYFUNCTION("""COMPUTED_VALUE"""),"ColumnsToAdd")</f>
        <v>ColumnsToAdd</v>
      </c>
      <c r="H5" s="22" t="str">
        <f>IFERROR(__xludf.DUMMYFUNCTION("""COMPUTED_VALUE"""),"Verify Chip Values")</f>
        <v>Verify Chip Values</v>
      </c>
      <c r="I5" s="22" t="str">
        <f>IFERROR(__xludf.DUMMYFUNCTION("""COMPUTED_VALUE"""),"NextAction")</f>
        <v>NextAction</v>
      </c>
      <c r="J5" s="22" t="str">
        <f>IFERROR(__xludf.DUMMYFUNCTION("""COMPUTED_VALUE"""),"VerifyActionButtonVisibility")</f>
        <v>VerifyActionButtonVisibility</v>
      </c>
      <c r="K5" s="22" t="str">
        <f>IFERROR(__xludf.DUMMYFUNCTION("""COMPUTED_VALUE"""),"FlashButton")</f>
        <v>FlashButton</v>
      </c>
      <c r="L5" s="22" t="str">
        <f>IFERROR(__xludf.DUMMYFUNCTION("""COMPUTED_VALUE"""),"ColumnsToCheckForFlash")</f>
        <v>ColumnsToCheckForFlash</v>
      </c>
      <c r="M5" s="22" t="str">
        <f>IFERROR(__xludf.DUMMYFUNCTION("""COMPUTED_VALUE"""),"LinkWidgetColor")</f>
        <v>LinkWidgetColor</v>
      </c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6"/>
      <c r="B6" s="6"/>
      <c r="C6" s="6"/>
      <c r="D6" s="27" t="s">
        <v>28</v>
      </c>
      <c r="E6" s="6"/>
      <c r="F6" s="6"/>
      <c r="G6" s="6" t="s">
        <v>29</v>
      </c>
      <c r="H6" s="6"/>
      <c r="I6" s="24" t="s">
        <v>30</v>
      </c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23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IFERROR(__xludf.DUMMYFUNCTION("""COMPUTED_VALUE"""),"DashboardName")</f>
        <v>DashboardName</v>
      </c>
      <c r="C5" s="22" t="str">
        <f>IFERROR(__xludf.DUMMYFUNCTION("""COMPUTED_VALUE"""),"WidgetName")</f>
        <v>WidgetName</v>
      </c>
      <c r="D5" s="22" t="str">
        <f>IFERROR(__xludf.DUMMYFUNCTION("""COMPUTED_VALUE"""),"ColumnsToAdd")</f>
        <v>ColumnsToAdd</v>
      </c>
      <c r="E5" s="22" t="str">
        <f>IFERROR(__xludf.DUMMYFUNCTION("""COMPUTED_VALUE"""),"DashBoardType")</f>
        <v>DashBoardType</v>
      </c>
      <c r="F5" s="22" t="str">
        <f>IFERROR(__xludf.DUMMYFUNCTION("""COMPUTED_VALUE"""),"DashBoardLevel")</f>
        <v>DashBoardLevel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25"/>
      <c r="B6" s="24" t="s">
        <v>22</v>
      </c>
      <c r="C6" s="25" t="s">
        <v>31</v>
      </c>
      <c r="D6" s="25"/>
      <c r="E6" s="24" t="s">
        <v>25</v>
      </c>
      <c r="F6" s="24" t="s">
        <v>26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6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32</v>
      </c>
      <c r="D3" s="4" t="s">
        <v>9</v>
      </c>
      <c r="E3" s="11" t="s">
        <v>33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</row>
    <row r="4" ht="15.75" customHeight="1">
      <c r="A4" s="19"/>
      <c r="B4" s="19" t="str">
        <f>IFERROR(__xludf.DUMMYFUNCTION("IF(C3="""","""",Transpose(IMPORTRANGE('_Settings'!$B$3,C3&amp;""!A4:A1000"")))"),"CheckOpenFinWindowName")</f>
        <v>CheckOpenFinWindowName</v>
      </c>
      <c r="C4" s="19" t="str">
        <f>IFERROR(__xludf.DUMMYFUNCTION("""COMPUTED_VALUE"""),"OpenWindowFromSearch")</f>
        <v>OpenWindowFromSearch</v>
      </c>
      <c r="D4" s="19" t="str">
        <f>IFERROR(__xludf.DUMMYFUNCTION("""COMPUTED_VALUE"""),"VerifyColour")</f>
        <v>VerifyColour</v>
      </c>
      <c r="E4" s="19" t="str">
        <f>IFERROR(__xludf.DUMMYFUNCTION("""COMPUTED_VALUE"""),"OpenReleaseClient")</f>
        <v>OpenReleaseClient</v>
      </c>
      <c r="F4" s="19" t="str">
        <f>IFERROR(__xludf.DUMMYFUNCTION("""COMPUTED_VALUE"""),"ActionOnPageFromSearch")</f>
        <v>ActionOnPageFromSearch</v>
      </c>
      <c r="G4" s="19" t="str">
        <f>IFERROR(__xludf.DUMMYFUNCTION("""COMPUTED_VALUE"""),"SavePageView")</f>
        <v>SavePageView</v>
      </c>
      <c r="H4" s="19" t="str">
        <f>IFERROR(__xludf.DUMMYFUNCTION("""COMPUTED_VALUE"""),"ChangeThemeOnModule")</f>
        <v>ChangeThemeOnModule</v>
      </c>
      <c r="I4" s="19" t="str">
        <f>IFERROR(__xludf.DUMMYFUNCTION("""COMPUTED_VALUE"""),"CloseService")</f>
        <v>CloseService</v>
      </c>
      <c r="J4" s="19" t="str">
        <f>IFERROR(__xludf.DUMMYFUNCTION("""COMPUTED_VALUE"""),"LogOutSamsara")</f>
        <v>LogOutSamsara</v>
      </c>
      <c r="K4" s="19" t="str">
        <f>IFERROR(__xludf.DUMMYFUNCTION("""COMPUTED_VALUE"""),"ResizeEnsure")</f>
        <v>ResizeEnsure</v>
      </c>
      <c r="L4" s="19" t="str">
        <f>IFERROR(__xludf.DUMMYFUNCTION("""COMPUTED_VALUE"""),"VerifyNotification")</f>
        <v>VerifyNotification</v>
      </c>
      <c r="M4" s="19" t="str">
        <f>IFERROR(__xludf.DUMMYFUNCTION("""COMPUTED_VALUE"""),"LockUnlockModule")</f>
        <v>LockUnlockModule</v>
      </c>
      <c r="N4" s="19" t="str">
        <f>IFERROR(__xludf.DUMMYFUNCTION("""COMPUTED_VALUE"""),"OpenModuleFromDock")</f>
        <v>OpenModuleFromDock</v>
      </c>
      <c r="O4" s="19" t="str">
        <f>IFERROR(__xludf.DUMMYFUNCTION("""COMPUTED_VALUE"""),"SavePageRTPNL")</f>
        <v>SavePageRTPNL</v>
      </c>
      <c r="P4" s="20" t="str">
        <f>IFERROR(__xludf.DUMMYFUNCTION("""COMPUTED_VALUE"""),"VerifyToastMessage")</f>
        <v>VerifyToastMessage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IFERROR(__xludf.DUMMYFUNCTION("""COMPUTED_VALUE"""),"Message")</f>
        <v>Message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</row>
    <row r="6" ht="15.75" customHeight="1">
      <c r="A6" s="6"/>
      <c r="B6" s="6" t="s">
        <v>34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VerifyToastMessage!$4:$4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27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IFERROR(__xludf.DUMMYFUNCTION("""COMPUTED_VALUE"""),"Chip 1")</f>
        <v>Chip 1</v>
      </c>
      <c r="C5" s="22" t="str">
        <f>IFERROR(__xludf.DUMMYFUNCTION("""COMPUTED_VALUE"""),"Chip 2")</f>
        <v>Chip 2</v>
      </c>
      <c r="D5" s="22" t="str">
        <f>IFERROR(__xludf.DUMMYFUNCTION("""COMPUTED_VALUE"""),"Chip 3")</f>
        <v>Chip 3</v>
      </c>
      <c r="E5" s="22" t="str">
        <f>IFERROR(__xludf.DUMMYFUNCTION("""COMPUTED_VALUE"""),"MakeColumFavourite")</f>
        <v>MakeColumFavourite</v>
      </c>
      <c r="F5" s="22" t="str">
        <f>IFERROR(__xludf.DUMMYFUNCTION("""COMPUTED_VALUE"""),"MakeColumnUnfavourite")</f>
        <v>MakeColumnUnfavourite</v>
      </c>
      <c r="G5" s="22" t="str">
        <f>IFERROR(__xludf.DUMMYFUNCTION("""COMPUTED_VALUE"""),"ColumnsToAdd")</f>
        <v>ColumnsToAdd</v>
      </c>
      <c r="H5" s="22" t="str">
        <f>IFERROR(__xludf.DUMMYFUNCTION("""COMPUTED_VALUE"""),"Verify Chip Values")</f>
        <v>Verify Chip Values</v>
      </c>
      <c r="I5" s="22" t="str">
        <f>IFERROR(__xludf.DUMMYFUNCTION("""COMPUTED_VALUE"""),"NextAction")</f>
        <v>NextAction</v>
      </c>
      <c r="J5" s="22" t="str">
        <f>IFERROR(__xludf.DUMMYFUNCTION("""COMPUTED_VALUE"""),"VerifyActionButtonVisibility")</f>
        <v>VerifyActionButtonVisibility</v>
      </c>
      <c r="K5" s="22" t="str">
        <f>IFERROR(__xludf.DUMMYFUNCTION("""COMPUTED_VALUE"""),"FlashButton")</f>
        <v>FlashButton</v>
      </c>
      <c r="L5" s="22" t="str">
        <f>IFERROR(__xludf.DUMMYFUNCTION("""COMPUTED_VALUE"""),"ColumnsToCheckForFlash")</f>
        <v>ColumnsToCheckForFlash</v>
      </c>
      <c r="M5" s="22" t="str">
        <f>IFERROR(__xludf.DUMMYFUNCTION("""COMPUTED_VALUE"""),"LinkWidgetColor")</f>
        <v>LinkWidgetColor</v>
      </c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6"/>
      <c r="B6" s="6"/>
      <c r="C6" s="6"/>
      <c r="D6" s="6"/>
      <c r="E6" s="6"/>
      <c r="F6" s="6"/>
      <c r="G6" s="6"/>
      <c r="H6" s="6"/>
      <c r="I6" s="6" t="s">
        <v>35</v>
      </c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23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IFERROR(__xludf.DUMMYFUNCTION("""COMPUTED_VALUE"""),"DashboardName")</f>
        <v>DashboardName</v>
      </c>
      <c r="C5" s="22" t="str">
        <f>IFERROR(__xludf.DUMMYFUNCTION("""COMPUTED_VALUE"""),"WidgetName")</f>
        <v>WidgetName</v>
      </c>
      <c r="D5" s="22" t="str">
        <f>IFERROR(__xludf.DUMMYFUNCTION("""COMPUTED_VALUE"""),"ColumnsToAdd")</f>
        <v>ColumnsToAdd</v>
      </c>
      <c r="E5" s="22" t="str">
        <f>IFERROR(__xludf.DUMMYFUNCTION("""COMPUTED_VALUE"""),"DashBoardType")</f>
        <v>DashBoardType</v>
      </c>
      <c r="F5" s="22" t="str">
        <f>IFERROR(__xludf.DUMMYFUNCTION("""COMPUTED_VALUE"""),"DashBoardLevel")</f>
        <v>DashBoardLevel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25"/>
      <c r="B6" s="24" t="s">
        <v>22</v>
      </c>
      <c r="C6" s="25" t="s">
        <v>36</v>
      </c>
      <c r="D6" s="25"/>
      <c r="E6" s="24" t="s">
        <v>25</v>
      </c>
      <c r="F6" s="24" t="s">
        <v>26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27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IFERROR(__xludf.DUMMYFUNCTION("""COMPUTED_VALUE"""),"Chip 1")</f>
        <v>Chip 1</v>
      </c>
      <c r="C5" s="22" t="str">
        <f>IFERROR(__xludf.DUMMYFUNCTION("""COMPUTED_VALUE"""),"Chip 2")</f>
        <v>Chip 2</v>
      </c>
      <c r="D5" s="22" t="str">
        <f>IFERROR(__xludf.DUMMYFUNCTION("""COMPUTED_VALUE"""),"Chip 3")</f>
        <v>Chip 3</v>
      </c>
      <c r="E5" s="22" t="str">
        <f>IFERROR(__xludf.DUMMYFUNCTION("""COMPUTED_VALUE"""),"MakeColumFavourite")</f>
        <v>MakeColumFavourite</v>
      </c>
      <c r="F5" s="22" t="str">
        <f>IFERROR(__xludf.DUMMYFUNCTION("""COMPUTED_VALUE"""),"MakeColumnUnfavourite")</f>
        <v>MakeColumnUnfavourite</v>
      </c>
      <c r="G5" s="22" t="str">
        <f>IFERROR(__xludf.DUMMYFUNCTION("""COMPUTED_VALUE"""),"ColumnsToAdd")</f>
        <v>ColumnsToAdd</v>
      </c>
      <c r="H5" s="22" t="str">
        <f>IFERROR(__xludf.DUMMYFUNCTION("""COMPUTED_VALUE"""),"Verify Chip Values")</f>
        <v>Verify Chip Values</v>
      </c>
      <c r="I5" s="22" t="str">
        <f>IFERROR(__xludf.DUMMYFUNCTION("""COMPUTED_VALUE"""),"NextAction")</f>
        <v>NextAction</v>
      </c>
      <c r="J5" s="22" t="str">
        <f>IFERROR(__xludf.DUMMYFUNCTION("""COMPUTED_VALUE"""),"VerifyActionButtonVisibility")</f>
        <v>VerifyActionButtonVisibility</v>
      </c>
      <c r="K5" s="22" t="str">
        <f>IFERROR(__xludf.DUMMYFUNCTION("""COMPUTED_VALUE"""),"FlashButton")</f>
        <v>FlashButton</v>
      </c>
      <c r="L5" s="22" t="str">
        <f>IFERROR(__xludf.DUMMYFUNCTION("""COMPUTED_VALUE"""),"ColumnsToCheckForFlash")</f>
        <v>ColumnsToCheckForFlash</v>
      </c>
      <c r="M5" s="22" t="str">
        <f>IFERROR(__xludf.DUMMYFUNCTION("""COMPUTED_VALUE"""),"LinkWidgetColor")</f>
        <v>LinkWidgetColor</v>
      </c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6"/>
      <c r="B6" s="6"/>
      <c r="C6" s="6"/>
      <c r="D6" s="27" t="s">
        <v>28</v>
      </c>
      <c r="E6" s="6"/>
      <c r="F6" s="6"/>
      <c r="G6" s="6" t="s">
        <v>29</v>
      </c>
      <c r="H6" s="6"/>
      <c r="I6" s="24" t="s">
        <v>30</v>
      </c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37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IFERROR(__xludf.DUMMYFUNCTION("""COMPUTED_VALUE"""),"WindowName")</f>
        <v>WindowName</v>
      </c>
      <c r="C5" s="22" t="str">
        <f>IFERROR(__xludf.DUMMYFUNCTION("""COMPUTED_VALUE"""),"ColumnToVerify")</f>
        <v>ColumnToVerify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6"/>
      <c r="B6" s="24" t="s">
        <v>22</v>
      </c>
      <c r="C6" s="8" t="s">
        <v>29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VerifyColumns!$4:$4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38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IFERROR(__xludf.DUMMYFUNCTION("""COMPUTED_VALUE"""),"DashboardName")</f>
        <v>DashboardName</v>
      </c>
      <c r="C5" s="22" t="str">
        <f>IFERROR(__xludf.DUMMYFUNCTION("""COMPUTED_VALUE"""),"IsL1isVisible")</f>
        <v>IsL1isVisible</v>
      </c>
      <c r="D5" s="22" t="str">
        <f>IFERROR(__xludf.DUMMYFUNCTION("""COMPUTED_VALUE"""),"IsL2isVisible")</f>
        <v>IsL2isVisible</v>
      </c>
      <c r="E5" s="22" t="str">
        <f>IFERROR(__xludf.DUMMYFUNCTION("""COMPUTED_VALUE"""),"ClickOnL1")</f>
        <v>ClickOnL1</v>
      </c>
      <c r="F5" s="22" t="str">
        <f>IFERROR(__xludf.DUMMYFUNCTION("""COMPUTED_VALUE"""),"ClickOnL2")</f>
        <v>ClickOnL2</v>
      </c>
      <c r="G5" s="22" t="str">
        <f>IFERROR(__xludf.DUMMYFUNCTION("""COMPUTED_VALUE"""),"L1State")</f>
        <v>L1State</v>
      </c>
      <c r="H5" s="22" t="str">
        <f>IFERROR(__xludf.DUMMYFUNCTION("""COMPUTED_VALUE"""),"L2State")</f>
        <v>L2State</v>
      </c>
      <c r="I5" s="22" t="str">
        <f>IFERROR(__xludf.DUMMYFUNCTION("""COMPUTED_VALUE"""),"L1Label")</f>
        <v>L1Label</v>
      </c>
      <c r="J5" s="22" t="str">
        <f>IFERROR(__xludf.DUMMYFUNCTION("""COMPUTED_VALUE"""),"L2Label")</f>
        <v>L2Label</v>
      </c>
      <c r="K5" s="22" t="str">
        <f>IFERROR(__xludf.DUMMYFUNCTION("""COMPUTED_VALUE"""),"WidgetName")</f>
        <v>WidgetName</v>
      </c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6"/>
      <c r="B6" s="24" t="s">
        <v>22</v>
      </c>
      <c r="C6" s="6"/>
      <c r="D6" s="6"/>
      <c r="E6" s="6"/>
      <c r="F6" s="6"/>
      <c r="G6" s="6"/>
      <c r="H6" s="6"/>
      <c r="I6" s="6"/>
      <c r="J6" s="6"/>
      <c r="K6" s="25" t="s">
        <v>36</v>
      </c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VerifyL1L2PanelRTPNL!$4:$4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39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IFERROR(__xludf.DUMMYFUNCTION("""COMPUTED_VALUE"""),"DashboardName")</f>
        <v>DashboardName</v>
      </c>
      <c r="C5" s="22" t="str">
        <f>IFERROR(__xludf.DUMMYFUNCTION("""COMPUTED_VALUE"""),"VerifyPopUpText")</f>
        <v>VerifyPopUpText</v>
      </c>
      <c r="D5" s="22" t="str">
        <f>IFERROR(__xludf.DUMMYFUNCTION("""COMPUTED_VALUE"""),"ActionOnPopUp")</f>
        <v>ActionOnPopUp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25"/>
      <c r="B6" s="24" t="s">
        <v>40</v>
      </c>
      <c r="C6" s="25"/>
      <c r="D6" s="24" t="s">
        <v>41</v>
      </c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CloseRTPNL!$4:$4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8" t="s">
        <v>42</v>
      </c>
      <c r="C5" s="28" t="s">
        <v>43</v>
      </c>
      <c r="D5" s="28" t="s">
        <v>44</v>
      </c>
      <c r="E5" s="28" t="s">
        <v>45</v>
      </c>
    </row>
    <row r="6">
      <c r="B6" s="28" t="s">
        <v>40</v>
      </c>
    </row>
  </sheetData>
  <drawing r:id="rId1"/>
</worksheet>
</file>