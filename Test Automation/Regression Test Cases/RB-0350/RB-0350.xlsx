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AddCash" sheetId="24" r:id="rId26"/>
    <sheet state="visible" name="RunRebalance" sheetId="25" r:id="rId27"/>
    <sheet state="visible" name="RebalanceAcrossSecurities" sheetId="26" r:id="rId28"/>
    <sheet state="visible" name="ModifyRebalance" sheetId="27" r:id="rId29"/>
    <sheet state="visible" name="SendtoStaging" sheetId="28" r:id="rId30"/>
    <sheet state="visible" name="RunRebalance1" sheetId="29" r:id="rId31"/>
    <sheet state="visible" name="SendtoStaging1" sheetId="30" r:id="rId32"/>
    <sheet state="visible" name="RunRebalance2" sheetId="31" r:id="rId33"/>
    <sheet state="visible" name="SendtoStaging2" sheetId="32" r:id="rId34"/>
    <sheet state="visible" name="SelectTradeOnOrderGrid" sheetId="33" r:id="rId35"/>
    <sheet state="visible" name="TradeNewSubOrder" sheetId="34" r:id="rId36"/>
    <sheet state="visible" name="CreateNewSubLiveOrder" sheetId="35" r:id="rId37"/>
    <sheet state="visible" name="SelectTradeOnOrderGrid1" sheetId="36" r:id="rId38"/>
    <sheet state="visible" name="TradeNewSubOrder1" sheetId="37" r:id="rId39"/>
    <sheet state="visible" name="CreateNewSubLiveOrder1" sheetId="38" r:id="rId40"/>
    <sheet state="visible" name="SelectTrade" sheetId="39" r:id="rId41"/>
    <sheet state="visible" name="AcknowledgeTrade" sheetId="40" r:id="rId42"/>
    <sheet state="visible" name="ExecuteTrade" sheetId="41" r:id="rId43"/>
    <sheet state="visible" name="SelectTrade1" sheetId="42" r:id="rId44"/>
    <sheet state="visible" name="AcknowledgeTrade1" sheetId="43" r:id="rId45"/>
    <sheet state="visible" name="ExecuteTrade1" sheetId="44" r:id="rId46"/>
    <sheet state="visible" name="CheckAllocatedGroups" sheetId="45" r:id="rId47"/>
    <sheet state="visible" name="CheckPortfolioManagement" sheetId="46" r:id="rId48"/>
  </sheets>
  <definedNames/>
  <calcPr/>
</workbook>
</file>

<file path=xl/sharedStrings.xml><?xml version="1.0" encoding="utf-8"?>
<sst xmlns="http://schemas.openxmlformats.org/spreadsheetml/2006/main" count="835" uniqueCount="137">
  <si>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</si>
  <si>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</si>
  <si>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</si>
  <si>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</si>
  <si>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</si>
  <si>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</si>
  <si>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</si>
  <si>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</si>
  <si>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</si>
  <si>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</si>
  <si>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</si>
  <si>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</si>
  <si>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</si>
  <si>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</si>
  <si>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</si>
  <si>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</si>
  <si>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</si>
  <si>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</si>
  <si>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</si>
  <si>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</si>
  <si>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</si>
  <si>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</si>
  <si>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</si>
  <si>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</si>
  <si>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</si>
  <si>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</si>
  <si>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</si>
  <si>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</si>
  <si>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</si>
  <si>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</si>
  <si>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</si>
  <si>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</si>
  <si>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</si>
  <si>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</si>
  <si>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</si>
  <si>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</si>
  <si>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</si>
  <si>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</si>
  <si>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</si>
  <si>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</si>
  <si>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</si>
  <si>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</si>
  <si>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</si>
  <si>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</si>
  <si>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</si>
  <si>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</si>
  <si>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</si>
  <si>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</si>
  <si>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</si>
  <si>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</si>
  <si>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</si>
  <si>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</si>
  <si>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</si>
  <si>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</si>
  <si>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</si>
  <si>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</si>
  <si>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</si>
  <si>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</si>
  <si>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</si>
  <si>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</si>
  <si>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</si>
  <si>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</si>
  <si>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</si>
  <si>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</si>
  <si>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</si>
  <si>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</si>
  <si>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</si>
  <si>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</si>
  <si>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</si>
  <si>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</si>
  <si>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</si>
  <si>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</si>
  <si>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</si>
  <si>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</si>
  <si>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</si>
  <si>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</si>
  <si>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</si>
  <si>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</si>
  <si>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</si>
  <si>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</si>
  <si>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</si>
  <si>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</si>
  <si>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</si>
  <si>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</si>
  <si>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</si>
  <si>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</si>
  <si>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</si>
  <si>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</si>
  <si>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SendtoStaging</t>
  </si>
  <si>
    <t>SellShort</t>
  </si>
  <si>
    <t>Round Down</t>
  </si>
  <si>
    <t>Nearest Round Off</t>
  </si>
  <si>
    <t>Blotter</t>
  </si>
  <si>
    <t>SelectTradeOnOrderGrid</t>
  </si>
  <si>
    <t>New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</si>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</sst>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48" Type="http://schemas.openxmlformats.org/officeDocument/2006/relationships/worksheet" Target="worksheets/sheet46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20</v>
      </c>
      <c r="C6" s="35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3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3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3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33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27</v>
      </c>
      <c r="C10" s="33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3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8">
        <f>TODAY()</f>
        <v>45855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44</v>
      </c>
      <c r="C6" s="32" t="s">
        <v>45</v>
      </c>
      <c r="D6" s="34" t="s">
        <v>46</v>
      </c>
      <c r="E6" s="33">
        <v>1.0588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47</v>
      </c>
      <c r="C7" s="32" t="s">
        <v>45</v>
      </c>
      <c r="D7" s="32" t="s">
        <v>48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31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51</v>
      </c>
      <c r="C6" s="38">
        <f>TODAY()-1</f>
        <v>45854</v>
      </c>
      <c r="D6" s="38">
        <f>TODAY()</f>
        <v>45855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7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33">
        <v>15.0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55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45854</v>
      </c>
      <c r="C6" s="38">
        <f t="shared" si="1"/>
        <v>45854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2" t="s">
        <v>45</v>
      </c>
      <c r="D6" s="12">
        <v>4662.0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1" t="s">
        <v>61</v>
      </c>
      <c r="D6" s="40">
        <f t="shared" ref="D6:E6" si="1">TODAY()</f>
        <v>45855</v>
      </c>
      <c r="E6" s="40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31"/>
      <c r="I7" s="31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8">
        <f>TODAY()-1</f>
        <v>45854</v>
      </c>
      <c r="J6" s="38">
        <f>TODAY()+2</f>
        <v>45857</v>
      </c>
      <c r="K6" s="38">
        <f>TODAY()</f>
        <v>45855</v>
      </c>
      <c r="L6" s="31"/>
      <c r="M6" s="41" t="s">
        <v>68</v>
      </c>
      <c r="N6" s="41" t="s">
        <v>45</v>
      </c>
      <c r="O6" s="42">
        <v>1.0</v>
      </c>
      <c r="P6" s="41" t="s">
        <v>69</v>
      </c>
      <c r="Q6" s="43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72</v>
      </c>
      <c r="C6" s="32" t="s">
        <v>58</v>
      </c>
      <c r="D6" s="38">
        <f>TODAY()</f>
        <v>45855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58</v>
      </c>
      <c r="C6" s="44" t="s">
        <v>75</v>
      </c>
      <c r="D6" s="45" t="s">
        <v>76</v>
      </c>
      <c r="E6" s="46" t="s">
        <v>77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50000.0</v>
      </c>
      <c r="C6" s="31" t="s">
        <v>79</v>
      </c>
      <c r="D6" s="34" t="s">
        <v>80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82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84</v>
      </c>
      <c r="C6" s="32" t="s">
        <v>85</v>
      </c>
      <c r="D6" s="37">
        <v>1.0</v>
      </c>
      <c r="E6" s="31"/>
      <c r="F6" s="31"/>
      <c r="G6" s="31"/>
      <c r="H6" s="31"/>
      <c r="I6" s="31"/>
      <c r="J6" s="33">
        <v>10.0</v>
      </c>
      <c r="K6" s="33">
        <v>1.0</v>
      </c>
      <c r="L6" s="32" t="s">
        <v>86</v>
      </c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>
        <v>1.23456789E8</v>
      </c>
      <c r="E6" s="48">
        <v>60063.0</v>
      </c>
      <c r="F6" s="48">
        <v>25.0</v>
      </c>
      <c r="G6" s="49">
        <v>15016.0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89</v>
      </c>
      <c r="D7" s="47" t="s">
        <v>35</v>
      </c>
      <c r="E7" s="48">
        <v>100105.0</v>
      </c>
      <c r="F7" s="48">
        <v>5.0</v>
      </c>
      <c r="G7" s="49">
        <v>-5005.0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32</v>
      </c>
      <c r="D8" s="47" t="s">
        <v>23</v>
      </c>
      <c r="E8" s="48">
        <v>600.0</v>
      </c>
      <c r="F8" s="48">
        <v>8.0</v>
      </c>
      <c r="G8" s="49">
        <v>4800.0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84</v>
      </c>
      <c r="E9" s="48">
        <v>62.0</v>
      </c>
      <c r="F9" s="48">
        <v>10.0</v>
      </c>
      <c r="G9" s="48">
        <v>620.0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32</v>
      </c>
      <c r="D10" s="47" t="s">
        <v>24</v>
      </c>
      <c r="E10" s="48">
        <v>600.0</v>
      </c>
      <c r="F10" s="48">
        <v>25.0</v>
      </c>
      <c r="G10" s="49">
        <v>15882.0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89</v>
      </c>
      <c r="D11" s="47" t="s">
        <v>25</v>
      </c>
      <c r="E11" s="48">
        <v>400.0</v>
      </c>
      <c r="F11" s="48">
        <v>30.0</v>
      </c>
      <c r="G11" s="49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89</v>
      </c>
      <c r="D12" s="47" t="s">
        <v>26</v>
      </c>
      <c r="E12" s="48">
        <v>1000.0</v>
      </c>
      <c r="F12" s="48">
        <v>10.0</v>
      </c>
      <c r="G12" s="49">
        <v>-10000.0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89</v>
      </c>
      <c r="D13" s="47" t="s">
        <v>27</v>
      </c>
      <c r="E13" s="48">
        <v>600.0</v>
      </c>
      <c r="F13" s="48">
        <v>20.0</v>
      </c>
      <c r="G13" s="49">
        <v>-12000.0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28</v>
      </c>
      <c r="E14" s="48">
        <v>600.0</v>
      </c>
      <c r="F14" s="48">
        <v>10.0</v>
      </c>
      <c r="G14" s="49">
        <v>6000.0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90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400.0</v>
      </c>
      <c r="F6" s="48">
        <v>25.0</v>
      </c>
      <c r="G6" s="49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60062.0</v>
      </c>
      <c r="F7" s="48">
        <v>25.0</v>
      </c>
      <c r="G7" s="49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89</v>
      </c>
      <c r="D8" s="47" t="s">
        <v>35</v>
      </c>
      <c r="E8" s="48">
        <v>100104.0</v>
      </c>
      <c r="F8" s="48">
        <v>5.0</v>
      </c>
      <c r="G8" s="49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300.0</v>
      </c>
      <c r="F9" s="48">
        <v>10.0</v>
      </c>
      <c r="G9" s="49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89</v>
      </c>
      <c r="D10" s="47" t="s">
        <v>26</v>
      </c>
      <c r="E10" s="48">
        <v>500.0</v>
      </c>
      <c r="F10" s="48">
        <v>10.0</v>
      </c>
      <c r="G10" s="49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32</v>
      </c>
      <c r="D11" s="47" t="s">
        <v>23</v>
      </c>
      <c r="E11" s="48">
        <v>500.0</v>
      </c>
      <c r="F11" s="48">
        <v>8.0</v>
      </c>
      <c r="G11" s="49">
        <v>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32</v>
      </c>
      <c r="D12" s="47" t="s">
        <v>84</v>
      </c>
      <c r="E12" s="48">
        <v>61.0</v>
      </c>
      <c r="F12" s="48">
        <v>10.0</v>
      </c>
      <c r="G12" s="48">
        <v>610.0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91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600.0</v>
      </c>
      <c r="F6" s="48">
        <v>25.0</v>
      </c>
      <c r="G6" s="49">
        <v>15882.0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60063.0</v>
      </c>
      <c r="F7" s="48">
        <v>25.0</v>
      </c>
      <c r="G7" s="49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89</v>
      </c>
      <c r="D8" s="47" t="s">
        <v>35</v>
      </c>
      <c r="E8" s="48">
        <v>100105.0</v>
      </c>
      <c r="F8" s="48">
        <v>5.0</v>
      </c>
      <c r="G8" s="49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600.0</v>
      </c>
      <c r="F9" s="48">
        <v>10.0</v>
      </c>
      <c r="G9" s="49">
        <v>6000.0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89</v>
      </c>
      <c r="D10" s="47" t="s">
        <v>26</v>
      </c>
      <c r="E10" s="48">
        <v>500.0</v>
      </c>
      <c r="F10" s="48">
        <v>10.0</v>
      </c>
      <c r="G10" s="49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32</v>
      </c>
      <c r="D11" s="47" t="s">
        <v>23</v>
      </c>
      <c r="E11" s="48">
        <v>500.0</v>
      </c>
      <c r="F11" s="48">
        <v>8.0</v>
      </c>
      <c r="G11" s="49">
        <v>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32</v>
      </c>
      <c r="D12" s="47" t="s">
        <v>84</v>
      </c>
      <c r="E12" s="48">
        <v>61.0</v>
      </c>
      <c r="F12" s="48">
        <v>10.0</v>
      </c>
      <c r="G12" s="48">
        <v>610.0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6"/>
      <c r="F6" s="12" t="s">
        <v>34</v>
      </c>
      <c r="G6" s="12" t="s">
        <v>94</v>
      </c>
      <c r="H6" s="12">
        <v>600.0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27</v>
      </c>
      <c r="AJ6" s="12" t="s">
        <v>34</v>
      </c>
      <c r="AK6" s="12" t="s">
        <v>94</v>
      </c>
      <c r="AL6" s="12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34</v>
      </c>
      <c r="D6" s="12" t="s">
        <v>94</v>
      </c>
      <c r="E6" s="12">
        <v>600.0</v>
      </c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6"/>
      <c r="F6" s="12" t="s">
        <v>32</v>
      </c>
      <c r="G6" s="12" t="s">
        <v>94</v>
      </c>
      <c r="H6" s="12">
        <v>600.0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23</v>
      </c>
      <c r="AJ6" s="12" t="s">
        <v>32</v>
      </c>
      <c r="AK6" s="12" t="s">
        <v>94</v>
      </c>
      <c r="AL6" s="12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32</v>
      </c>
      <c r="D6" s="12" t="s">
        <v>94</v>
      </c>
      <c r="E6" s="12">
        <v>600.0</v>
      </c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102</v>
      </c>
      <c r="B6" s="50" t="s">
        <v>58</v>
      </c>
      <c r="C6" s="8" t="s">
        <v>103</v>
      </c>
      <c r="D6" s="50"/>
      <c r="E6" s="8">
        <v>600.0</v>
      </c>
      <c r="F6" s="8" t="s">
        <v>104</v>
      </c>
      <c r="G6" s="8" t="s">
        <v>105</v>
      </c>
      <c r="H6" s="8">
        <v>108.0</v>
      </c>
      <c r="I6" s="8">
        <v>0.0</v>
      </c>
      <c r="J6" s="8">
        <v>15.0</v>
      </c>
      <c r="K6" s="8">
        <v>20.0</v>
      </c>
      <c r="L6" s="8">
        <v>20.0</v>
      </c>
      <c r="M6" s="8" t="s">
        <v>106</v>
      </c>
      <c r="N6" s="8" t="s">
        <v>107</v>
      </c>
      <c r="O6" s="8" t="s">
        <v>108</v>
      </c>
      <c r="Q6">
        <v>2.0</v>
      </c>
      <c r="S6" t="s">
        <v>109</v>
      </c>
      <c r="V6" t="s">
        <v>110</v>
      </c>
      <c r="W6">
        <v>1.0</v>
      </c>
      <c r="Y6" t="s">
        <v>102</v>
      </c>
      <c r="Z6" t="s">
        <v>45</v>
      </c>
      <c r="AB6">
        <v>1.0</v>
      </c>
      <c r="AD6" t="s">
        <v>111</v>
      </c>
      <c r="AE6">
        <v>600.0</v>
      </c>
      <c r="AF6" t="s">
        <v>102</v>
      </c>
      <c r="AH6" t="s">
        <v>69</v>
      </c>
      <c r="AI6">
        <v>1.0</v>
      </c>
      <c r="AJ6" t="s">
        <v>80</v>
      </c>
      <c r="AN6" t="b">
        <v>0</v>
      </c>
      <c r="AP6" t="b">
        <v>0</v>
      </c>
      <c r="AQ6" t="b">
        <v>0</v>
      </c>
      <c r="AR6" t="b">
        <v>1</v>
      </c>
      <c r="AT6">
        <v>11887.9</v>
      </c>
      <c r="AU6">
        <v>11887.9</v>
      </c>
      <c r="AY6" t="s">
        <v>112</v>
      </c>
      <c r="BD6" t="s">
        <v>113</v>
      </c>
      <c r="BE6">
        <v>12000.0</v>
      </c>
      <c r="BF6">
        <v>12000.0</v>
      </c>
      <c r="BJ6">
        <v>600.0</v>
      </c>
      <c r="BL6" t="s">
        <v>102</v>
      </c>
      <c r="BM6" t="s">
        <v>45</v>
      </c>
      <c r="BO6" t="s">
        <v>34</v>
      </c>
      <c r="BR6">
        <v>2.1</v>
      </c>
      <c r="BS6" t="s">
        <v>114</v>
      </c>
      <c r="BT6" t="s">
        <v>27</v>
      </c>
      <c r="BU6">
        <v>2.0</v>
      </c>
      <c r="BW6">
        <v>112.1</v>
      </c>
      <c r="CF6" t="s">
        <v>115</v>
      </c>
      <c r="CG6">
        <v>0.0</v>
      </c>
      <c r="CH6" t="s">
        <v>73</v>
      </c>
      <c r="CI6" t="s">
        <v>89</v>
      </c>
      <c r="CK6" t="s">
        <v>116</v>
      </c>
      <c r="CL6">
        <v>1.0</v>
      </c>
      <c r="CM6" t="s">
        <v>27</v>
      </c>
      <c r="CN6" t="s">
        <v>117</v>
      </c>
      <c r="CO6" t="s">
        <v>118</v>
      </c>
      <c r="CP6" t="s">
        <v>119</v>
      </c>
      <c r="CS6" t="s">
        <v>102</v>
      </c>
      <c r="CW6">
        <v>0.0</v>
      </c>
      <c r="CX6" t="s">
        <v>72</v>
      </c>
      <c r="CY6" t="s">
        <v>102</v>
      </c>
      <c r="CZ6" t="s">
        <v>102</v>
      </c>
      <c r="DA6" t="s">
        <v>102</v>
      </c>
      <c r="DB6" t="s">
        <v>102</v>
      </c>
      <c r="DC6" t="s">
        <v>102</v>
      </c>
      <c r="DD6" t="s">
        <v>102</v>
      </c>
      <c r="DE6" t="s">
        <v>102</v>
      </c>
      <c r="DF6" t="s">
        <v>102</v>
      </c>
      <c r="DG6" t="s">
        <v>102</v>
      </c>
      <c r="DH6" t="s">
        <v>102</v>
      </c>
      <c r="DI6" t="s">
        <v>102</v>
      </c>
      <c r="DJ6" t="s">
        <v>102</v>
      </c>
      <c r="DK6" t="s">
        <v>102</v>
      </c>
      <c r="DL6" t="s">
        <v>102</v>
      </c>
      <c r="DM6" t="s">
        <v>102</v>
      </c>
      <c r="DN6" t="s">
        <v>102</v>
      </c>
      <c r="DO6" t="s">
        <v>102</v>
      </c>
      <c r="DP6" t="s">
        <v>102</v>
      </c>
      <c r="DQ6" t="s">
        <v>102</v>
      </c>
      <c r="DR6" t="s">
        <v>102</v>
      </c>
      <c r="DS6" t="s">
        <v>102</v>
      </c>
      <c r="DT6" t="s">
        <v>102</v>
      </c>
      <c r="DU6" t="s">
        <v>102</v>
      </c>
      <c r="DV6" t="s">
        <v>102</v>
      </c>
      <c r="DW6" t="s">
        <v>102</v>
      </c>
      <c r="DX6" t="s">
        <v>102</v>
      </c>
      <c r="DY6" t="s">
        <v>102</v>
      </c>
      <c r="DZ6" t="s">
        <v>102</v>
      </c>
      <c r="EA6" t="s">
        <v>102</v>
      </c>
      <c r="EB6" t="s">
        <v>102</v>
      </c>
      <c r="EC6" t="s">
        <v>102</v>
      </c>
      <c r="ED6" t="s">
        <v>102</v>
      </c>
      <c r="EE6" t="s">
        <v>102</v>
      </c>
      <c r="EF6" t="s">
        <v>102</v>
      </c>
      <c r="EG6" t="s">
        <v>102</v>
      </c>
      <c r="EH6" t="s">
        <v>102</v>
      </c>
      <c r="EI6" t="s">
        <v>102</v>
      </c>
      <c r="EJ6" t="s">
        <v>102</v>
      </c>
      <c r="EK6" t="s">
        <v>102</v>
      </c>
      <c r="EL6" t="s">
        <v>102</v>
      </c>
      <c r="EM6" t="s">
        <v>102</v>
      </c>
      <c r="EN6" t="s">
        <v>102</v>
      </c>
      <c r="EO6" t="s">
        <v>102</v>
      </c>
      <c r="EP6" t="s">
        <v>102</v>
      </c>
      <c r="EQ6" t="s">
        <v>102</v>
      </c>
      <c r="ER6" t="s">
        <v>102</v>
      </c>
      <c r="ES6" t="s">
        <v>102</v>
      </c>
      <c r="ET6" t="s">
        <v>102</v>
      </c>
      <c r="EU6" t="s">
        <v>102</v>
      </c>
      <c r="EV6" t="s">
        <v>102</v>
      </c>
      <c r="EW6" t="s">
        <v>102</v>
      </c>
      <c r="EX6" t="s">
        <v>102</v>
      </c>
      <c r="FA6" t="s">
        <v>102</v>
      </c>
      <c r="FB6" t="s">
        <v>102</v>
      </c>
      <c r="FC6" t="s">
        <v>102</v>
      </c>
      <c r="FD6" t="s">
        <v>102</v>
      </c>
      <c r="FE6" t="s">
        <v>102</v>
      </c>
      <c r="FF6" t="s">
        <v>102</v>
      </c>
      <c r="FG6" t="s">
        <v>102</v>
      </c>
      <c r="FH6" t="s">
        <v>102</v>
      </c>
      <c r="FI6" t="s">
        <v>102</v>
      </c>
      <c r="FK6" t="s">
        <v>102</v>
      </c>
      <c r="FL6" t="s">
        <v>102</v>
      </c>
      <c r="FM6" t="s">
        <v>102</v>
      </c>
      <c r="FN6" t="s">
        <v>102</v>
      </c>
      <c r="FO6" t="s">
        <v>102</v>
      </c>
      <c r="FP6" t="s">
        <v>102</v>
      </c>
      <c r="FQ6" t="s">
        <v>102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102</v>
      </c>
      <c r="B7" s="8" t="s">
        <v>58</v>
      </c>
      <c r="C7" s="8" t="s">
        <v>103</v>
      </c>
      <c r="D7" s="8"/>
      <c r="E7" s="8">
        <v>600.0</v>
      </c>
      <c r="F7" s="8" t="s">
        <v>104</v>
      </c>
      <c r="G7" s="8" t="s">
        <v>105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120</v>
      </c>
      <c r="N7" s="8" t="s">
        <v>107</v>
      </c>
      <c r="O7" s="8" t="s">
        <v>108</v>
      </c>
      <c r="Q7">
        <v>2.0</v>
      </c>
      <c r="S7" t="s">
        <v>109</v>
      </c>
      <c r="V7" t="s">
        <v>121</v>
      </c>
      <c r="W7">
        <v>1.0</v>
      </c>
      <c r="Y7" t="s">
        <v>102</v>
      </c>
      <c r="Z7" t="s">
        <v>45</v>
      </c>
      <c r="AB7">
        <v>1.0</v>
      </c>
      <c r="AD7" t="s">
        <v>118</v>
      </c>
      <c r="AE7">
        <v>600.0</v>
      </c>
      <c r="AF7" t="s">
        <v>102</v>
      </c>
      <c r="AH7" t="s">
        <v>69</v>
      </c>
      <c r="AI7">
        <v>1.0</v>
      </c>
      <c r="AJ7" t="s">
        <v>80</v>
      </c>
      <c r="AN7" t="b">
        <v>0</v>
      </c>
      <c r="AP7" t="b">
        <v>0</v>
      </c>
      <c r="AQ7" t="b">
        <v>0</v>
      </c>
      <c r="AR7" t="b">
        <v>1</v>
      </c>
      <c r="AT7">
        <v>12014.0067</v>
      </c>
      <c r="AU7">
        <v>12014.0067</v>
      </c>
      <c r="AY7" t="s">
        <v>112</v>
      </c>
      <c r="BD7" t="s">
        <v>113</v>
      </c>
      <c r="BE7">
        <v>12000.0</v>
      </c>
      <c r="BF7">
        <v>12000.0</v>
      </c>
      <c r="BJ7">
        <v>600.0</v>
      </c>
      <c r="BL7" t="s">
        <v>102</v>
      </c>
      <c r="BM7" t="s">
        <v>45</v>
      </c>
      <c r="BO7" t="s">
        <v>32</v>
      </c>
      <c r="BR7">
        <v>0.0067</v>
      </c>
      <c r="BS7" t="s">
        <v>114</v>
      </c>
      <c r="BT7" t="s">
        <v>23</v>
      </c>
      <c r="BU7">
        <v>3.0</v>
      </c>
      <c r="BW7">
        <v>14.0067</v>
      </c>
      <c r="CF7" t="s">
        <v>115</v>
      </c>
      <c r="CG7">
        <v>2.0</v>
      </c>
      <c r="CH7" t="s">
        <v>73</v>
      </c>
      <c r="CI7" t="s">
        <v>32</v>
      </c>
      <c r="CK7" t="s">
        <v>116</v>
      </c>
      <c r="CL7">
        <v>1.0</v>
      </c>
      <c r="CM7" t="s">
        <v>23</v>
      </c>
      <c r="CN7" t="s">
        <v>117</v>
      </c>
      <c r="CO7" t="s">
        <v>118</v>
      </c>
      <c r="CP7" t="s">
        <v>119</v>
      </c>
      <c r="CS7" t="s">
        <v>102</v>
      </c>
      <c r="CW7">
        <v>0.0</v>
      </c>
      <c r="CX7" t="s">
        <v>72</v>
      </c>
      <c r="CY7" t="s">
        <v>102</v>
      </c>
      <c r="CZ7" t="s">
        <v>102</v>
      </c>
      <c r="DA7" t="s">
        <v>102</v>
      </c>
      <c r="DB7" t="s">
        <v>102</v>
      </c>
      <c r="DC7" t="s">
        <v>102</v>
      </c>
      <c r="DD7" t="s">
        <v>102</v>
      </c>
      <c r="DE7" t="s">
        <v>102</v>
      </c>
      <c r="DF7" t="s">
        <v>102</v>
      </c>
      <c r="DG7" t="s">
        <v>102</v>
      </c>
      <c r="DH7" t="s">
        <v>102</v>
      </c>
      <c r="DI7" t="s">
        <v>102</v>
      </c>
      <c r="DJ7" t="s">
        <v>102</v>
      </c>
      <c r="DK7" t="s">
        <v>102</v>
      </c>
      <c r="DL7" t="s">
        <v>102</v>
      </c>
      <c r="DM7" t="s">
        <v>102</v>
      </c>
      <c r="DN7" t="s">
        <v>102</v>
      </c>
      <c r="DO7" t="s">
        <v>102</v>
      </c>
      <c r="DP7" t="s">
        <v>102</v>
      </c>
      <c r="DQ7" t="s">
        <v>102</v>
      </c>
      <c r="DR7" t="s">
        <v>102</v>
      </c>
      <c r="DS7" t="s">
        <v>102</v>
      </c>
      <c r="DT7" t="s">
        <v>102</v>
      </c>
      <c r="DU7" t="s">
        <v>102</v>
      </c>
      <c r="DV7" t="s">
        <v>102</v>
      </c>
      <c r="DW7" t="s">
        <v>102</v>
      </c>
      <c r="DX7" t="s">
        <v>102</v>
      </c>
      <c r="DY7" t="s">
        <v>102</v>
      </c>
      <c r="DZ7" t="s">
        <v>102</v>
      </c>
      <c r="EA7" t="s">
        <v>102</v>
      </c>
      <c r="EB7" t="s">
        <v>102</v>
      </c>
      <c r="EC7" t="s">
        <v>102</v>
      </c>
      <c r="ED7" t="s">
        <v>102</v>
      </c>
      <c r="EE7" t="s">
        <v>102</v>
      </c>
      <c r="EF7" t="s">
        <v>102</v>
      </c>
      <c r="EG7" t="s">
        <v>102</v>
      </c>
      <c r="EH7" t="s">
        <v>102</v>
      </c>
      <c r="EI7" t="s">
        <v>102</v>
      </c>
      <c r="EJ7" t="s">
        <v>102</v>
      </c>
      <c r="EK7" t="s">
        <v>102</v>
      </c>
      <c r="EL7" t="s">
        <v>102</v>
      </c>
      <c r="EM7" t="s">
        <v>102</v>
      </c>
      <c r="EN7" t="s">
        <v>102</v>
      </c>
      <c r="EO7" t="s">
        <v>102</v>
      </c>
      <c r="EP7" t="s">
        <v>102</v>
      </c>
      <c r="EQ7" t="s">
        <v>102</v>
      </c>
      <c r="ER7" t="s">
        <v>102</v>
      </c>
      <c r="ES7" t="s">
        <v>102</v>
      </c>
      <c r="ET7" t="s">
        <v>102</v>
      </c>
      <c r="EU7" t="s">
        <v>102</v>
      </c>
      <c r="EV7" t="s">
        <v>102</v>
      </c>
      <c r="EW7" t="s">
        <v>102</v>
      </c>
      <c r="EX7" t="s">
        <v>102</v>
      </c>
      <c r="FA7" t="s">
        <v>102</v>
      </c>
      <c r="FB7" t="s">
        <v>102</v>
      </c>
      <c r="FC7" t="s">
        <v>102</v>
      </c>
      <c r="FD7" t="s">
        <v>102</v>
      </c>
      <c r="FE7" t="s">
        <v>102</v>
      </c>
      <c r="FF7" t="s">
        <v>102</v>
      </c>
      <c r="FG7" t="s">
        <v>102</v>
      </c>
      <c r="FH7" t="s">
        <v>102</v>
      </c>
      <c r="FI7" t="s">
        <v>102</v>
      </c>
      <c r="FK7" t="s">
        <v>102</v>
      </c>
      <c r="FL7" t="s">
        <v>102</v>
      </c>
      <c r="FM7" t="s">
        <v>102</v>
      </c>
      <c r="FN7" t="s">
        <v>102</v>
      </c>
      <c r="FO7" t="s">
        <v>102</v>
      </c>
      <c r="FP7" t="s">
        <v>102</v>
      </c>
      <c r="FQ7" t="s">
        <v>102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>
      <c r="B28" s="8"/>
      <c r="C28" s="8"/>
      <c r="D28" s="8"/>
      <c r="E28" s="8"/>
      <c r="F28" s="8"/>
      <c r="G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122</v>
      </c>
      <c r="D3" s="5" t="s">
        <v>9</v>
      </c>
      <c r="E3" s="22" t="s">
        <v>123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0" t="s">
        <v>102</v>
      </c>
      <c r="B6" s="50"/>
      <c r="C6" s="8" t="s">
        <v>27</v>
      </c>
      <c r="D6" s="50">
        <v>-600.0</v>
      </c>
      <c r="E6" s="8" t="s">
        <v>58</v>
      </c>
      <c r="F6" s="8" t="s">
        <v>72</v>
      </c>
      <c r="G6" s="8">
        <v>20.0</v>
      </c>
      <c r="H6" s="8" t="s">
        <v>124</v>
      </c>
      <c r="I6" s="8">
        <v>-12000.0</v>
      </c>
      <c r="J6" s="8"/>
      <c r="K6" s="8">
        <v>-12000.0</v>
      </c>
      <c r="L6" s="8">
        <v>12000.0</v>
      </c>
      <c r="M6" s="8">
        <v>12200.0</v>
      </c>
      <c r="N6" s="8"/>
      <c r="O6" s="8" t="s">
        <v>110</v>
      </c>
      <c r="P6" t="s">
        <v>125</v>
      </c>
      <c r="R6" t="s">
        <v>126</v>
      </c>
      <c r="S6" t="s">
        <v>114</v>
      </c>
      <c r="T6" t="s">
        <v>105</v>
      </c>
      <c r="U6" t="s">
        <v>116</v>
      </c>
      <c r="V6" t="s">
        <v>111</v>
      </c>
      <c r="W6" t="s">
        <v>45</v>
      </c>
      <c r="X6">
        <v>1.0</v>
      </c>
      <c r="Y6">
        <v>1.0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L6">
        <v>1.0</v>
      </c>
      <c r="AM6">
        <v>1.0</v>
      </c>
      <c r="AN6" t="s">
        <v>34</v>
      </c>
      <c r="AP6" t="s">
        <v>124</v>
      </c>
      <c r="AQ6" t="s">
        <v>27</v>
      </c>
      <c r="AR6">
        <v>20.0</v>
      </c>
      <c r="AS6">
        <v>-1.0</v>
      </c>
      <c r="AV6">
        <v>1.0</v>
      </c>
      <c r="AZ6">
        <v>-12000.0</v>
      </c>
      <c r="BA6">
        <v>0.0</v>
      </c>
      <c r="BC6">
        <v>1.0</v>
      </c>
      <c r="BD6">
        <v>12000.0</v>
      </c>
      <c r="BE6" t="s">
        <v>105</v>
      </c>
      <c r="BF6" t="s">
        <v>127</v>
      </c>
      <c r="BG6" t="s">
        <v>128</v>
      </c>
      <c r="BH6" t="s">
        <v>125</v>
      </c>
      <c r="BI6" t="s">
        <v>129</v>
      </c>
      <c r="BO6">
        <v>12000.0</v>
      </c>
      <c r="BQ6" t="s">
        <v>117</v>
      </c>
      <c r="BR6" t="s">
        <v>108</v>
      </c>
      <c r="BU6" t="s">
        <v>105</v>
      </c>
      <c r="BX6">
        <v>12000.0</v>
      </c>
      <c r="BY6">
        <v>12000.0</v>
      </c>
      <c r="BZ6">
        <v>20.0</v>
      </c>
      <c r="CA6">
        <v>20.0</v>
      </c>
      <c r="CK6" t="b">
        <v>0</v>
      </c>
      <c r="CS6">
        <v>20.0</v>
      </c>
      <c r="CY6" t="s">
        <v>130</v>
      </c>
      <c r="CZ6" t="s">
        <v>131</v>
      </c>
      <c r="DA6">
        <v>12000.0</v>
      </c>
      <c r="DD6">
        <v>-600.0</v>
      </c>
      <c r="DH6" t="s">
        <v>125</v>
      </c>
      <c r="DJ6" t="s">
        <v>34</v>
      </c>
      <c r="DM6">
        <v>1.0</v>
      </c>
      <c r="DN6">
        <v>20.0</v>
      </c>
      <c r="DO6" t="s">
        <v>132</v>
      </c>
      <c r="DP6" t="s">
        <v>124</v>
      </c>
      <c r="DQ6" t="s">
        <v>125</v>
      </c>
      <c r="DR6" t="s">
        <v>133</v>
      </c>
      <c r="DS6" t="s">
        <v>125</v>
      </c>
      <c r="DT6" t="s">
        <v>125</v>
      </c>
      <c r="DU6" t="s">
        <v>125</v>
      </c>
      <c r="DV6" t="s">
        <v>125</v>
      </c>
      <c r="DW6" t="s">
        <v>125</v>
      </c>
      <c r="DX6" t="s">
        <v>125</v>
      </c>
      <c r="DY6" t="s">
        <v>125</v>
      </c>
      <c r="DZ6" t="s">
        <v>110</v>
      </c>
      <c r="EA6" t="s">
        <v>17</v>
      </c>
      <c r="EB6" t="s">
        <v>125</v>
      </c>
      <c r="EC6" t="s">
        <v>125</v>
      </c>
      <c r="ED6" t="s">
        <v>45</v>
      </c>
      <c r="EE6" t="s">
        <v>17</v>
      </c>
      <c r="EJ6" t="s">
        <v>102</v>
      </c>
      <c r="EK6" t="s">
        <v>102</v>
      </c>
      <c r="EL6" t="s">
        <v>102</v>
      </c>
      <c r="EM6" t="s">
        <v>102</v>
      </c>
      <c r="EN6" t="s">
        <v>102</v>
      </c>
      <c r="EO6" t="s">
        <v>102</v>
      </c>
      <c r="EP6" t="s">
        <v>102</v>
      </c>
      <c r="EQ6" t="s">
        <v>102</v>
      </c>
      <c r="ER6" t="s">
        <v>102</v>
      </c>
      <c r="ES6" t="s">
        <v>102</v>
      </c>
      <c r="ET6" t="s">
        <v>102</v>
      </c>
      <c r="EU6" t="s">
        <v>102</v>
      </c>
      <c r="EV6" t="s">
        <v>102</v>
      </c>
      <c r="EW6" t="s">
        <v>102</v>
      </c>
      <c r="EX6" t="s">
        <v>102</v>
      </c>
      <c r="EY6" t="s">
        <v>102</v>
      </c>
      <c r="EZ6" t="s">
        <v>102</v>
      </c>
      <c r="FA6" t="s">
        <v>102</v>
      </c>
      <c r="FB6" t="s">
        <v>102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102</v>
      </c>
      <c r="B7" s="8"/>
      <c r="C7" s="8" t="s">
        <v>23</v>
      </c>
      <c r="D7" s="8">
        <v>600.0</v>
      </c>
      <c r="E7" s="8" t="s">
        <v>58</v>
      </c>
      <c r="F7" s="8" t="s">
        <v>72</v>
      </c>
      <c r="G7" s="8">
        <v>20.0</v>
      </c>
      <c r="H7" s="8" t="s">
        <v>67</v>
      </c>
      <c r="I7" s="8">
        <v>4800.0</v>
      </c>
      <c r="J7" s="8">
        <v>-150.0</v>
      </c>
      <c r="K7" s="8">
        <v>4800.0</v>
      </c>
      <c r="L7" s="8">
        <v>4800.0</v>
      </c>
      <c r="M7" s="8">
        <v>5600.0</v>
      </c>
      <c r="N7" s="8">
        <v>-7200.0</v>
      </c>
      <c r="O7" s="8" t="s">
        <v>121</v>
      </c>
      <c r="P7" t="s">
        <v>125</v>
      </c>
      <c r="Q7">
        <v>-7200.0</v>
      </c>
      <c r="R7" t="s">
        <v>126</v>
      </c>
      <c r="S7" t="s">
        <v>114</v>
      </c>
      <c r="T7" t="s">
        <v>105</v>
      </c>
      <c r="U7" t="s">
        <v>116</v>
      </c>
      <c r="V7" t="s">
        <v>118</v>
      </c>
      <c r="W7" t="s">
        <v>45</v>
      </c>
      <c r="X7">
        <v>1.0</v>
      </c>
      <c r="Y7">
        <v>1.0</v>
      </c>
      <c r="AD7">
        <v>4800.0</v>
      </c>
      <c r="AE7">
        <v>4800.0</v>
      </c>
      <c r="AF7">
        <v>600.0</v>
      </c>
      <c r="AG7">
        <v>4800.0</v>
      </c>
      <c r="AH7">
        <v>4800.0</v>
      </c>
      <c r="AI7">
        <v>4800.0</v>
      </c>
      <c r="AK7">
        <v>-7200.0</v>
      </c>
      <c r="AL7">
        <v>1.0</v>
      </c>
      <c r="AM7">
        <v>1.0</v>
      </c>
      <c r="AN7" t="s">
        <v>32</v>
      </c>
      <c r="AP7" t="s">
        <v>67</v>
      </c>
      <c r="AQ7" t="s">
        <v>23</v>
      </c>
      <c r="AR7">
        <v>8.0</v>
      </c>
      <c r="AS7">
        <v>1.0</v>
      </c>
      <c r="AV7">
        <v>1.0</v>
      </c>
      <c r="AW7">
        <v>-7200.0</v>
      </c>
      <c r="AZ7">
        <v>4800.0</v>
      </c>
      <c r="BA7">
        <v>-60.0</v>
      </c>
      <c r="BC7">
        <v>1.0</v>
      </c>
      <c r="BD7">
        <v>-12000.0</v>
      </c>
      <c r="BE7" t="s">
        <v>105</v>
      </c>
      <c r="BF7" t="s">
        <v>127</v>
      </c>
      <c r="BG7" t="s">
        <v>134</v>
      </c>
      <c r="BH7" t="s">
        <v>135</v>
      </c>
      <c r="BI7" t="s">
        <v>129</v>
      </c>
      <c r="BO7">
        <v>-12000.0</v>
      </c>
      <c r="BQ7" t="s">
        <v>117</v>
      </c>
      <c r="BR7" t="s">
        <v>108</v>
      </c>
      <c r="BU7" t="s">
        <v>105</v>
      </c>
      <c r="BX7">
        <v>4800.0</v>
      </c>
      <c r="BY7">
        <v>4800.0</v>
      </c>
      <c r="BZ7">
        <v>8.0</v>
      </c>
      <c r="CA7">
        <v>8.0</v>
      </c>
      <c r="CD7">
        <v>-7200.0</v>
      </c>
      <c r="CG7">
        <v>-7200.0</v>
      </c>
      <c r="CH7">
        <v>-60.0</v>
      </c>
      <c r="CK7" t="b">
        <v>0</v>
      </c>
      <c r="CS7">
        <v>20.0</v>
      </c>
      <c r="CY7" t="s">
        <v>130</v>
      </c>
      <c r="CZ7" t="s">
        <v>131</v>
      </c>
      <c r="DA7">
        <v>4800.0</v>
      </c>
      <c r="DB7">
        <v>-150.0</v>
      </c>
      <c r="DD7">
        <v>600.0</v>
      </c>
      <c r="DH7" t="s">
        <v>125</v>
      </c>
      <c r="DJ7" t="s">
        <v>32</v>
      </c>
      <c r="DM7">
        <v>1.0</v>
      </c>
      <c r="DN7">
        <v>8.0</v>
      </c>
      <c r="DO7" t="s">
        <v>136</v>
      </c>
      <c r="DP7" t="s">
        <v>67</v>
      </c>
      <c r="DQ7" t="s">
        <v>125</v>
      </c>
      <c r="DR7" t="s">
        <v>133</v>
      </c>
      <c r="DS7" t="s">
        <v>125</v>
      </c>
      <c r="DT7" t="s">
        <v>125</v>
      </c>
      <c r="DU7" t="s">
        <v>125</v>
      </c>
      <c r="DV7" t="s">
        <v>125</v>
      </c>
      <c r="DW7" t="s">
        <v>125</v>
      </c>
      <c r="DX7" t="s">
        <v>125</v>
      </c>
      <c r="DY7" t="s">
        <v>125</v>
      </c>
      <c r="DZ7" t="s">
        <v>121</v>
      </c>
      <c r="EA7" t="s">
        <v>17</v>
      </c>
      <c r="EB7" t="s">
        <v>125</v>
      </c>
      <c r="EC7" t="s">
        <v>125</v>
      </c>
      <c r="ED7" t="s">
        <v>45</v>
      </c>
      <c r="EE7" t="s">
        <v>17</v>
      </c>
      <c r="EJ7" t="s">
        <v>102</v>
      </c>
      <c r="EK7" t="s">
        <v>102</v>
      </c>
      <c r="EL7" t="s">
        <v>102</v>
      </c>
      <c r="EM7" t="s">
        <v>102</v>
      </c>
      <c r="EN7" t="s">
        <v>102</v>
      </c>
      <c r="EO7" t="s">
        <v>102</v>
      </c>
      <c r="EP7" t="s">
        <v>102</v>
      </c>
      <c r="EQ7" t="s">
        <v>102</v>
      </c>
      <c r="ER7" t="s">
        <v>102</v>
      </c>
      <c r="ES7" t="s">
        <v>102</v>
      </c>
      <c r="ET7" t="s">
        <v>102</v>
      </c>
      <c r="EU7" t="s">
        <v>102</v>
      </c>
      <c r="EV7" t="s">
        <v>102</v>
      </c>
      <c r="EW7" t="s">
        <v>102</v>
      </c>
      <c r="EX7" t="s">
        <v>102</v>
      </c>
      <c r="EY7" t="s">
        <v>102</v>
      </c>
      <c r="EZ7" t="s">
        <v>102</v>
      </c>
      <c r="FA7" t="s">
        <v>102</v>
      </c>
      <c r="FB7" t="s">
        <v>102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