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Transaction" sheetId="4" r:id="rId6"/>
    <sheet state="visible" name="SetClosingPreference" sheetId="5" r:id="rId7"/>
    <sheet state="visible" name="ManualClosing" sheetId="6" r:id="rId8"/>
    <sheet state="visible" name="VerifyClosedTrades" sheetId="7" r:id="rId9"/>
    <sheet state="visible" name="GetDataClosing" sheetId="8" r:id="rId10"/>
    <sheet state="visible" name="UnwindClosing" sheetId="9" r:id="rId11"/>
    <sheet state="visible" name="ManualClosing1" sheetId="10" r:id="rId12"/>
  </sheets>
  <definedNames/>
  <calcPr/>
</workbook>
</file>

<file path=xl/sharedStrings.xml><?xml version="1.0" encoding="utf-8"?>
<sst xmlns="http://schemas.openxmlformats.org/spreadsheetml/2006/main" count="108" uniqueCount="35">
  <si>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</si>
  <si>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</si>
  <si>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</si>
  <si>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</si>
  <si>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</si>
  <si>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</si>
  <si>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</si>
  <si>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</si>
  <si>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</si>
  <si>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</si>
  <si>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</si>
  <si>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</si>
  <si>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CreateTransaction</t>
  </si>
  <si>
    <t>Data Format</t>
  </si>
  <si>
    <t>Input Format</t>
  </si>
  <si>
    <t>ZVZZT</t>
  </si>
  <si>
    <t>Allocation1</t>
  </si>
  <si>
    <t>Sell short</t>
  </si>
  <si>
    <t>MS</t>
  </si>
  <si>
    <t>Buy to Close</t>
  </si>
  <si>
    <t>Closing</t>
  </si>
  <si>
    <t>SetClosingPreference</t>
  </si>
  <si>
    <t>Automatic</t>
  </si>
  <si>
    <t>ManualClosing</t>
  </si>
  <si>
    <t>Equity</t>
  </si>
  <si>
    <t xml:space="preserve"> </t>
  </si>
  <si>
    <t>VerifyClosedTrades</t>
  </si>
  <si>
    <t>Strategy Unallocated</t>
  </si>
  <si>
    <t>Short</t>
  </si>
  <si>
    <t>NASDAQ</t>
  </si>
  <si>
    <t>Long</t>
  </si>
  <si>
    <t>Offset</t>
  </si>
  <si>
    <t>GetDataClosing</t>
  </si>
  <si>
    <t>Historical</t>
  </si>
  <si>
    <t>UnwindClosing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</si>
</sst>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6" fontId="14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64" xfId="0" applyAlignment="1" applyFont="1" applyNumberFormat="1">
      <alignment horizontal="right" vertical="bottom"/>
    </xf>
    <xf borderId="0" fillId="6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15" numFmtId="0" xfId="0" applyAlignment="1" applyFont="1">
      <alignment horizontal="right" readingOrder="0" shrinkToFit="0" wrapText="0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readingOrder="0" shrinkToFit="0" wrapText="0"/>
    </xf>
    <xf borderId="0" fillId="0" fontId="15" numFmtId="0" xfId="0" applyAlignment="1" applyFont="1">
      <alignment horizontal="right" readingOrder="0" vertical="bottom"/>
    </xf>
    <xf borderId="0" fillId="0" fontId="15" numFmtId="0" xfId="0" applyAlignment="1" applyFon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12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IFERROR(__xludf.DUMMYFUNCTION("IF(C3="""","""",Transpose(IMPORTRANGE('_Settings'!$B$3,C3&amp;""!A4:A1000"")))"),"CreateTransaction")</f>
        <v>CreateTransaction</v>
      </c>
      <c r="C4" s="25" t="str">
        <f>IFERROR(__xludf.DUMMYFUNCTION("""COMPUTED_VALUE"""),"AddNewTransaction")</f>
        <v>AddNewTransaction</v>
      </c>
      <c r="D4" s="25" t="str">
        <f>IFERROR(__xludf.DUMMYFUNCTION("""COMPUTED_VALUE"""),"SaveTransaction")</f>
        <v>SaveTransaction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IFERROR(__xludf.DUMMYFUNCTION("""COMPUTED_VALUE"""),"Account")</f>
        <v>Account</v>
      </c>
      <c r="D5" s="28" t="str">
        <f>IFERROR(__xludf.DUMMYFUNCTION("""COMPUTED_VALUE"""),"Side")</f>
        <v>Side</v>
      </c>
      <c r="E5" s="28" t="str">
        <f>IFERROR(__xludf.DUMMYFUNCTION("""COMPUTED_VALUE"""),"Quantity")</f>
        <v>Quantity</v>
      </c>
      <c r="F5" s="29" t="str">
        <f>IFERROR(__xludf.DUMMYFUNCTION("""COMPUTED_VALUE"""),"Executed Quantity")</f>
        <v>Executed Quantity</v>
      </c>
      <c r="G5" s="28" t="str">
        <f>IFERROR(__xludf.DUMMYFUNCTION("""COMPUTED_VALUE"""),"Average Price")</f>
        <v>Average Price</v>
      </c>
      <c r="H5" s="28" t="str">
        <f>IFERROR(__xludf.DUMMYFUNCTION("""COMPUTED_VALUE"""),"Commission")</f>
        <v>Commission</v>
      </c>
      <c r="I5" s="28" t="str">
        <f>IFERROR(__xludf.DUMMYFUNCTION("""COMPUTED_VALUE"""),"Trade Date")</f>
        <v>Trade Date</v>
      </c>
      <c r="J5" s="28" t="str">
        <f>IFERROR(__xludf.DUMMYFUNCTION("""COMPUTED_VALUE"""),"Broker")</f>
        <v>Broker</v>
      </c>
      <c r="K5" s="28" t="str">
        <f>IFERROR(__xludf.DUMMYFUNCTION("""COMPUTED_VALUE"""),"OriginalPurchaseDate")</f>
        <v>OriginalPurchaseDate</v>
      </c>
      <c r="L5" s="28" t="str">
        <f>IFERROR(__xludf.DUMMYFUNCTION("""COMPUTED_VALUE"""),"Pay/Receive")</f>
        <v>Pay/Receive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15</v>
      </c>
      <c r="C6" s="33" t="s">
        <v>16</v>
      </c>
      <c r="D6" s="34" t="s">
        <v>17</v>
      </c>
      <c r="E6" s="35">
        <v>500.0</v>
      </c>
      <c r="F6" s="36"/>
      <c r="G6" s="35">
        <v>1.0</v>
      </c>
      <c r="H6" s="36"/>
      <c r="I6" s="37">
        <v>44812.0</v>
      </c>
      <c r="J6" s="38" t="s">
        <v>18</v>
      </c>
      <c r="K6" s="39">
        <v>44805.0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0" t="s">
        <v>15</v>
      </c>
      <c r="C7" s="33" t="s">
        <v>16</v>
      </c>
      <c r="D7" s="34" t="s">
        <v>19</v>
      </c>
      <c r="E7" s="35">
        <v>200.0</v>
      </c>
      <c r="F7" s="36"/>
      <c r="G7" s="35">
        <v>1.0</v>
      </c>
      <c r="H7" s="36"/>
      <c r="I7" s="37">
        <v>44816.0</v>
      </c>
      <c r="J7" s="38" t="s">
        <v>18</v>
      </c>
      <c r="K7" s="37">
        <v>44816.0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IFERROR(__xludf.DUMMYFUNCTION("""COMPUTED_VALUE"""),"CloseSSw/BuyBTO")</f>
        <v>CloseSSw/BuyBTO</v>
      </c>
      <c r="C5" s="28" t="str">
        <f>IFERROR(__xludf.DUMMYFUNCTION("""COMPUTED_VALUE"""),"AutoCloseStrategy")</f>
        <v>AutoCloseStrategy</v>
      </c>
      <c r="D5" s="28" t="str">
        <f>IFERROR(__xludf.DUMMYFUNCTION("""COMPUTED_VALUE"""),"LongAccount")</f>
        <v>LongAccount</v>
      </c>
      <c r="E5" s="28" t="str">
        <f>IFERROR(__xludf.DUMMYFUNCTION("""COMPUTED_VALUE"""),"LongAsset Class")</f>
        <v>LongAsset Class</v>
      </c>
      <c r="F5" s="29" t="str">
        <f>IFERROR(__xludf.DUMMYFUNCTION("""COMPUTED_VALUE"""),"LongAUECID")</f>
        <v>LongAUECID</v>
      </c>
      <c r="G5" s="28" t="str">
        <f>IFERROR(__xludf.DUMMYFUNCTION("""COMPUTED_VALUE"""),"LongExternalTransId")</f>
        <v>LongExternalTransId</v>
      </c>
      <c r="H5" s="28" t="str">
        <f>IFERROR(__xludf.DUMMYFUNCTION("""COMPUTED_VALUE"""),"LongIsSwapped")</f>
        <v>LongIsSwapped</v>
      </c>
      <c r="I5" s="28" t="str">
        <f>IFERROR(__xludf.DUMMYFUNCTION("""COMPUTED_VALUE"""),"LongLotId")</f>
        <v>LongLotId</v>
      </c>
      <c r="J5" s="28" t="str">
        <f>IFERROR(__xludf.DUMMYFUNCTION("""COMPUTED_VALUE"""),"LongNet Notional")</f>
        <v>LongNet Notional</v>
      </c>
      <c r="K5" s="28" t="str">
        <f>IFERROR(__xludf.DUMMYFUNCTION("""COMPUTED_VALUE"""),"LongOpening Price")</f>
        <v>LongOpening Price</v>
      </c>
      <c r="L5" s="28" t="str">
        <f>IFERROR(__xludf.DUMMYFUNCTION("""COMPUTED_VALUE"""),"LongOriginal Purchase Date")</f>
        <v>LongOriginal Purchase Date</v>
      </c>
      <c r="M5" s="28" t="str">
        <f>IFERROR(__xludf.DUMMYFUNCTION("""COMPUTED_VALUE"""),"LongPositionTag")</f>
        <v>LongPositionTag</v>
      </c>
      <c r="N5" s="28" t="str">
        <f>IFERROR(__xludf.DUMMYFUNCTION("""COMPUTED_VALUE"""),"LongProcess Date")</f>
        <v>LongProcess Date</v>
      </c>
      <c r="O5" s="28" t="str">
        <f>IFERROR(__xludf.DUMMYFUNCTION("""COMPUTED_VALUE"""),"LongQuantity")</f>
        <v>LongQuantity</v>
      </c>
      <c r="P5" s="28" t="str">
        <f>IFERROR(__xludf.DUMMYFUNCTION("""COMPUTED_VALUE"""),"LongSecurity Name")</f>
        <v>LongSecurity Name</v>
      </c>
      <c r="Q5" s="28" t="str">
        <f>IFERROR(__xludf.DUMMYFUNCTION("""COMPUTED_VALUE"""),"LongSettlement Currency")</f>
        <v>LongSettlement Currency</v>
      </c>
      <c r="R5" s="28" t="str">
        <f>IFERROR(__xludf.DUMMYFUNCTION("""COMPUTED_VALUE"""),"LongSettlement FxRate")</f>
        <v>LongSettlement FxRate</v>
      </c>
      <c r="S5" s="28" t="str">
        <f>IFERROR(__xludf.DUMMYFUNCTION("""COMPUTED_VALUE"""),"LongSettlement FxRate Operator")</f>
        <v>LongSettlement FxRate Operator</v>
      </c>
      <c r="T5" s="30" t="str">
        <f>IFERROR(__xludf.DUMMYFUNCTION("""COMPUTED_VALUE"""),"LongSettlement Price")</f>
        <v>LongSettlement Price</v>
      </c>
      <c r="U5" s="30" t="str">
        <f>IFERROR(__xludf.DUMMYFUNCTION("""COMPUTED_VALUE"""),"LongSettlement Unit Cost")</f>
        <v>LongSettlement Unit Cost</v>
      </c>
      <c r="V5" s="30" t="str">
        <f>IFERROR(__xludf.DUMMYFUNCTION("""COMPUTED_VALUE"""),"LongSide")</f>
        <v>LongSide</v>
      </c>
      <c r="W5" s="30" t="str">
        <f>IFERROR(__xludf.DUMMYFUNCTION("""COMPUTED_VALUE"""),"LongStrategy")</f>
        <v>LongStrategy</v>
      </c>
      <c r="X5" s="30" t="str">
        <f>IFERROR(__xludf.DUMMYFUNCTION("""COMPUTED_VALUE"""),"LongSymbol")</f>
        <v>LongSymbol</v>
      </c>
      <c r="Y5" s="30" t="str">
        <f>IFERROR(__xludf.DUMMYFUNCTION("""COMPUTED_VALUE"""),"LongTaxlot Id")</f>
        <v>LongTaxlot Id</v>
      </c>
      <c r="Z5" s="30" t="str">
        <f>IFERROR(__xludf.DUMMYFUNCTION("""COMPUTED_VALUE"""),"LongTotal Fee And Commission")</f>
        <v>LongTotal Fee And Commission</v>
      </c>
      <c r="AA5" s="30" t="str">
        <f>IFERROR(__xludf.DUMMYFUNCTION("""COMPUTED_VALUE"""),"LongTrade Date")</f>
        <v>LongTrade Date</v>
      </c>
      <c r="AB5" s="30" t="str">
        <f>IFERROR(__xludf.DUMMYFUNCTION("""COMPUTED_VALUE"""),"LongTransaction Type")</f>
        <v>LongTransaction Type</v>
      </c>
      <c r="AC5" s="30" t="str">
        <f>IFERROR(__xludf.DUMMYFUNCTION("""COMPUTED_VALUE"""),"LongUnderlyingName")</f>
        <v>LongUnderlyingName</v>
      </c>
      <c r="AD5" s="30" t="str">
        <f>IFERROR(__xludf.DUMMYFUNCTION("""COMPUTED_VALUE"""),"LongUnitCost")</f>
        <v>LongUnitCost</v>
      </c>
      <c r="AE5" s="30" t="str">
        <f>IFERROR(__xludf.DUMMYFUNCTION("""COMPUTED_VALUE"""),"ShortAccount")</f>
        <v>ShortAccount</v>
      </c>
      <c r="AF5" s="30" t="str">
        <f>IFERROR(__xludf.DUMMYFUNCTION("""COMPUTED_VALUE"""),"ShortAsset Class")</f>
        <v>ShortAsset Class</v>
      </c>
      <c r="AG5" s="30" t="str">
        <f>IFERROR(__xludf.DUMMYFUNCTION("""COMPUTED_VALUE"""),"ShortAUECID")</f>
        <v>ShortAUECID</v>
      </c>
      <c r="AH5" s="30" t="str">
        <f>IFERROR(__xludf.DUMMYFUNCTION("""COMPUTED_VALUE"""),"ShortExternalTransId")</f>
        <v>ShortExternalTransId</v>
      </c>
      <c r="AI5" s="30" t="str">
        <f>IFERROR(__xludf.DUMMYFUNCTION("""COMPUTED_VALUE"""),"ShortIsSwapped")</f>
        <v>ShortIsSwapped</v>
      </c>
      <c r="AJ5" s="30" t="str">
        <f>IFERROR(__xludf.DUMMYFUNCTION("""COMPUTED_VALUE"""),"ShortLotId")</f>
        <v>ShortLotId</v>
      </c>
      <c r="AK5" s="30" t="str">
        <f>IFERROR(__xludf.DUMMYFUNCTION("""COMPUTED_VALUE"""),"ShortNet Notional")</f>
        <v>ShortNet Notional</v>
      </c>
      <c r="AL5" s="30" t="str">
        <f>IFERROR(__xludf.DUMMYFUNCTION("""COMPUTED_VALUE"""),"ShortOpening Price")</f>
        <v>ShortOpening Price</v>
      </c>
      <c r="AM5" s="30" t="str">
        <f>IFERROR(__xludf.DUMMYFUNCTION("""COMPUTED_VALUE"""),"ShortOriginal Purchase Date")</f>
        <v>ShortOriginal Purchase Date</v>
      </c>
      <c r="AN5" s="30" t="str">
        <f>IFERROR(__xludf.DUMMYFUNCTION("""COMPUTED_VALUE"""),"ShortPositionTag")</f>
        <v>ShortPositionTag</v>
      </c>
      <c r="AO5" s="30" t="str">
        <f>IFERROR(__xludf.DUMMYFUNCTION("""COMPUTED_VALUE"""),"ShortProcess Date")</f>
        <v>ShortProcess Date</v>
      </c>
      <c r="AP5" s="30" t="str">
        <f>IFERROR(__xludf.DUMMYFUNCTION("""COMPUTED_VALUE"""),"ShortQuantity")</f>
        <v>ShortQuantity</v>
      </c>
      <c r="AQ5" s="30" t="str">
        <f>IFERROR(__xludf.DUMMYFUNCTION("""COMPUTED_VALUE"""),"ShortSecurity Name")</f>
        <v>ShortSecurity Name</v>
      </c>
      <c r="AR5" s="30" t="str">
        <f>IFERROR(__xludf.DUMMYFUNCTION("""COMPUTED_VALUE"""),"ShortSettlement Currency")</f>
        <v>ShortSettlement Currency</v>
      </c>
      <c r="AS5" s="30" t="str">
        <f>IFERROR(__xludf.DUMMYFUNCTION("""COMPUTED_VALUE"""),"ShortSettlement FxRate")</f>
        <v>ShortSettlement FxRate</v>
      </c>
      <c r="AT5" s="30" t="str">
        <f>IFERROR(__xludf.DUMMYFUNCTION("""COMPUTED_VALUE"""),"ShortSettlement FxRate Operator")</f>
        <v>ShortSettlement FxRate Operator</v>
      </c>
      <c r="AU5" s="30" t="str">
        <f>IFERROR(__xludf.DUMMYFUNCTION("""COMPUTED_VALUE"""),"ShortSettlement Price")</f>
        <v>ShortSettlement Price</v>
      </c>
      <c r="AV5" s="30" t="str">
        <f>IFERROR(__xludf.DUMMYFUNCTION("""COMPUTED_VALUE"""),"ShortSettlement Unit Cost")</f>
        <v>ShortSettlement Unit Cost</v>
      </c>
      <c r="AW5" s="30" t="str">
        <f>IFERROR(__xludf.DUMMYFUNCTION("""COMPUTED_VALUE"""),"ShortSide")</f>
        <v>ShortSide</v>
      </c>
      <c r="AX5" s="30" t="str">
        <f>IFERROR(__xludf.DUMMYFUNCTION("""COMPUTED_VALUE"""),"ShortStrategy")</f>
        <v>ShortStrategy</v>
      </c>
      <c r="AY5" s="30" t="str">
        <f>IFERROR(__xludf.DUMMYFUNCTION("""COMPUTED_VALUE"""),"ShortSymbol")</f>
        <v>ShortSymbol</v>
      </c>
      <c r="AZ5" s="30" t="str">
        <f>IFERROR(__xludf.DUMMYFUNCTION("""COMPUTED_VALUE"""),"ShortTaxlot Id")</f>
        <v>ShortTaxlot Id</v>
      </c>
      <c r="BA5" s="30" t="str">
        <f>IFERROR(__xludf.DUMMYFUNCTION("""COMPUTED_VALUE"""),"ShortTotal Fee And Commission")</f>
        <v>ShortTotal Fee And Commission</v>
      </c>
      <c r="BB5" s="30" t="str">
        <f>IFERROR(__xludf.DUMMYFUNCTION("""COMPUTED_VALUE"""),"ShortTrade Date")</f>
        <v>ShortTrade Date</v>
      </c>
      <c r="BC5" s="30" t="str">
        <f>IFERROR(__xludf.DUMMYFUNCTION("""COMPUTED_VALUE"""),"ShortTransaction Type")</f>
        <v>ShortTransaction Type</v>
      </c>
      <c r="BD5" s="30" t="str">
        <f>IFERROR(__xludf.DUMMYFUNCTION("""COMPUTED_VALUE"""),"ShortUnderlyingName")</f>
        <v>ShortUnderlyingName</v>
      </c>
      <c r="BE5" s="30" t="str">
        <f>IFERROR(__xludf.DUMMYFUNCTION("""COMPUTED_VALUE"""),"ShortUnitCost")</f>
        <v>ShortUnitCost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b">
        <v>0</v>
      </c>
      <c r="C6" s="42" t="b">
        <v>1</v>
      </c>
      <c r="D6" s="31" t="s">
        <v>16</v>
      </c>
      <c r="E6" s="36" t="s">
        <v>24</v>
      </c>
      <c r="F6" s="36"/>
      <c r="G6" s="36"/>
      <c r="H6" s="36"/>
      <c r="I6" s="36"/>
      <c r="J6" s="36"/>
      <c r="K6" s="38">
        <v>1.0</v>
      </c>
      <c r="L6" s="36"/>
      <c r="M6" s="36"/>
      <c r="N6" s="36"/>
      <c r="O6" s="43">
        <v>200.0</v>
      </c>
      <c r="P6" s="36"/>
      <c r="Q6" s="36"/>
      <c r="R6" s="36"/>
      <c r="S6" s="36"/>
      <c r="T6" s="36"/>
      <c r="U6" s="36"/>
      <c r="V6" s="38" t="s">
        <v>19</v>
      </c>
      <c r="W6" s="36"/>
      <c r="X6" s="40" t="s">
        <v>15</v>
      </c>
      <c r="Y6" s="36"/>
      <c r="Z6" s="36"/>
      <c r="AA6" s="36"/>
      <c r="AB6" s="36"/>
      <c r="AC6" s="36"/>
      <c r="AD6" s="36"/>
      <c r="AE6" s="36" t="s">
        <v>16</v>
      </c>
      <c r="AF6" s="36" t="s">
        <v>24</v>
      </c>
      <c r="AG6" s="36"/>
      <c r="AH6" s="36"/>
      <c r="AI6" s="36"/>
      <c r="AJ6" s="36"/>
      <c r="AK6" s="36"/>
      <c r="AL6" s="38">
        <v>1.0</v>
      </c>
      <c r="AM6" s="36"/>
      <c r="AN6" s="36"/>
      <c r="AO6" s="36"/>
      <c r="AP6" s="38">
        <v>500.0</v>
      </c>
      <c r="AQ6" s="36"/>
      <c r="AR6" s="36"/>
      <c r="AS6" s="36"/>
      <c r="AT6" s="36"/>
      <c r="AU6" s="36"/>
      <c r="AV6" s="36"/>
      <c r="AW6" s="38" t="s">
        <v>17</v>
      </c>
      <c r="AX6" s="38" t="s">
        <v>25</v>
      </c>
      <c r="AY6" s="40" t="s">
        <v>15</v>
      </c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ManualClosing!$4:$4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IFERROR(__xludf.DUMMYFUNCTION("""COMPUTED_VALUE"""),"isRowCountCheck")</f>
        <v>isRowCountCheck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44" t="s">
        <v>16</v>
      </c>
      <c r="E6" s="45" t="s">
        <v>27</v>
      </c>
      <c r="F6" s="46" t="s">
        <v>28</v>
      </c>
      <c r="G6" s="45" t="s">
        <v>24</v>
      </c>
      <c r="H6" s="45" t="s">
        <v>15</v>
      </c>
      <c r="I6" s="47">
        <v>200.0</v>
      </c>
      <c r="J6" s="47">
        <v>1.0</v>
      </c>
      <c r="K6" s="47">
        <v>1.0</v>
      </c>
      <c r="L6" s="48"/>
      <c r="M6" s="43">
        <v>0.0</v>
      </c>
      <c r="N6" s="46" t="s">
        <v>29</v>
      </c>
      <c r="O6" s="46" t="s">
        <v>28</v>
      </c>
      <c r="P6" s="43">
        <v>0.0</v>
      </c>
      <c r="Q6" s="46" t="s">
        <v>19</v>
      </c>
      <c r="R6" s="36"/>
      <c r="S6" s="36"/>
      <c r="T6" s="49"/>
      <c r="U6" s="36"/>
      <c r="V6" s="36"/>
      <c r="W6" s="36"/>
      <c r="X6" s="36"/>
      <c r="Y6" s="36"/>
      <c r="Z6" s="36"/>
      <c r="AA6" s="36"/>
      <c r="AB6" s="36"/>
      <c r="AC6" s="36"/>
      <c r="AD6" s="36"/>
      <c r="AE6" s="46" t="s">
        <v>30</v>
      </c>
      <c r="AF6" s="46" t="s">
        <v>31</v>
      </c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32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50">
        <f>TODAY()-1400</f>
        <v>44474</v>
      </c>
      <c r="D6" s="51">
        <f>TODAY()</f>
        <v>45874</v>
      </c>
      <c r="E6" s="5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34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44" t="s">
        <v>16</v>
      </c>
      <c r="E6" s="45" t="s">
        <v>27</v>
      </c>
      <c r="F6" s="46" t="s">
        <v>28</v>
      </c>
      <c r="G6" s="45" t="s">
        <v>24</v>
      </c>
      <c r="H6" s="45" t="s">
        <v>15</v>
      </c>
      <c r="I6" s="47">
        <v>200.0</v>
      </c>
      <c r="J6" s="47">
        <v>1.0</v>
      </c>
      <c r="K6" s="47">
        <v>1.0</v>
      </c>
      <c r="L6" s="48"/>
      <c r="M6" s="43">
        <v>0.0</v>
      </c>
      <c r="N6" s="46" t="s">
        <v>29</v>
      </c>
      <c r="O6" s="46" t="s">
        <v>28</v>
      </c>
      <c r="P6" s="43">
        <v>0.0</v>
      </c>
      <c r="Q6" s="46" t="s">
        <v>19</v>
      </c>
      <c r="R6" s="36"/>
      <c r="S6" s="36"/>
      <c r="T6" s="49"/>
      <c r="U6" s="36"/>
      <c r="V6" s="36"/>
      <c r="W6" s="36"/>
      <c r="X6" s="36"/>
      <c r="Y6" s="36"/>
      <c r="Z6" s="36"/>
      <c r="AA6" s="36"/>
      <c r="AB6" s="36"/>
      <c r="AC6" s="36"/>
      <c r="AD6" s="36"/>
      <c r="AE6" s="46" t="s">
        <v>30</v>
      </c>
      <c r="AF6" s="46" t="s">
        <v>31</v>
      </c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IFERROR(__xludf.DUMMYFUNCTION("""COMPUTED_VALUE"""),"CloseSSw/BuyBTO")</f>
        <v>CloseSSw/BuyBTO</v>
      </c>
      <c r="C5" s="28" t="str">
        <f>IFERROR(__xludf.DUMMYFUNCTION("""COMPUTED_VALUE"""),"AutoCloseStrategy")</f>
        <v>AutoCloseStrategy</v>
      </c>
      <c r="D5" s="28" t="str">
        <f>IFERROR(__xludf.DUMMYFUNCTION("""COMPUTED_VALUE"""),"LongAccount")</f>
        <v>LongAccount</v>
      </c>
      <c r="E5" s="28" t="str">
        <f>IFERROR(__xludf.DUMMYFUNCTION("""COMPUTED_VALUE"""),"LongAsset Class")</f>
        <v>LongAsset Class</v>
      </c>
      <c r="F5" s="29" t="str">
        <f>IFERROR(__xludf.DUMMYFUNCTION("""COMPUTED_VALUE"""),"LongAUECID")</f>
        <v>LongAUECID</v>
      </c>
      <c r="G5" s="28" t="str">
        <f>IFERROR(__xludf.DUMMYFUNCTION("""COMPUTED_VALUE"""),"LongExternalTransId")</f>
        <v>LongExternalTransId</v>
      </c>
      <c r="H5" s="28" t="str">
        <f>IFERROR(__xludf.DUMMYFUNCTION("""COMPUTED_VALUE"""),"LongIsSwapped")</f>
        <v>LongIsSwapped</v>
      </c>
      <c r="I5" s="28" t="str">
        <f>IFERROR(__xludf.DUMMYFUNCTION("""COMPUTED_VALUE"""),"LongLotId")</f>
        <v>LongLotId</v>
      </c>
      <c r="J5" s="28" t="str">
        <f>IFERROR(__xludf.DUMMYFUNCTION("""COMPUTED_VALUE"""),"LongNet Notional")</f>
        <v>LongNet Notional</v>
      </c>
      <c r="K5" s="28" t="str">
        <f>IFERROR(__xludf.DUMMYFUNCTION("""COMPUTED_VALUE"""),"LongOpening Price")</f>
        <v>LongOpening Price</v>
      </c>
      <c r="L5" s="28" t="str">
        <f>IFERROR(__xludf.DUMMYFUNCTION("""COMPUTED_VALUE"""),"LongOriginal Purchase Date")</f>
        <v>LongOriginal Purchase Date</v>
      </c>
      <c r="M5" s="28" t="str">
        <f>IFERROR(__xludf.DUMMYFUNCTION("""COMPUTED_VALUE"""),"LongPositionTag")</f>
        <v>LongPositionTag</v>
      </c>
      <c r="N5" s="28" t="str">
        <f>IFERROR(__xludf.DUMMYFUNCTION("""COMPUTED_VALUE"""),"LongProcess Date")</f>
        <v>LongProcess Date</v>
      </c>
      <c r="O5" s="28" t="str">
        <f>IFERROR(__xludf.DUMMYFUNCTION("""COMPUTED_VALUE"""),"LongQuantity")</f>
        <v>LongQuantity</v>
      </c>
      <c r="P5" s="28" t="str">
        <f>IFERROR(__xludf.DUMMYFUNCTION("""COMPUTED_VALUE"""),"LongSecurity Name")</f>
        <v>LongSecurity Name</v>
      </c>
      <c r="Q5" s="28" t="str">
        <f>IFERROR(__xludf.DUMMYFUNCTION("""COMPUTED_VALUE"""),"LongSettlement Currency")</f>
        <v>LongSettlement Currency</v>
      </c>
      <c r="R5" s="28" t="str">
        <f>IFERROR(__xludf.DUMMYFUNCTION("""COMPUTED_VALUE"""),"LongSettlement FxRate")</f>
        <v>LongSettlement FxRate</v>
      </c>
      <c r="S5" s="28" t="str">
        <f>IFERROR(__xludf.DUMMYFUNCTION("""COMPUTED_VALUE"""),"LongSettlement FxRate Operator")</f>
        <v>LongSettlement FxRate Operator</v>
      </c>
      <c r="T5" s="30" t="str">
        <f>IFERROR(__xludf.DUMMYFUNCTION("""COMPUTED_VALUE"""),"LongSettlement Price")</f>
        <v>LongSettlement Price</v>
      </c>
      <c r="U5" s="30" t="str">
        <f>IFERROR(__xludf.DUMMYFUNCTION("""COMPUTED_VALUE"""),"LongSettlement Unit Cost")</f>
        <v>LongSettlement Unit Cost</v>
      </c>
      <c r="V5" s="30" t="str">
        <f>IFERROR(__xludf.DUMMYFUNCTION("""COMPUTED_VALUE"""),"LongSide")</f>
        <v>LongSide</v>
      </c>
      <c r="W5" s="30" t="str">
        <f>IFERROR(__xludf.DUMMYFUNCTION("""COMPUTED_VALUE"""),"LongStrategy")</f>
        <v>LongStrategy</v>
      </c>
      <c r="X5" s="30" t="str">
        <f>IFERROR(__xludf.DUMMYFUNCTION("""COMPUTED_VALUE"""),"LongSymbol")</f>
        <v>LongSymbol</v>
      </c>
      <c r="Y5" s="30" t="str">
        <f>IFERROR(__xludf.DUMMYFUNCTION("""COMPUTED_VALUE"""),"LongTaxlot Id")</f>
        <v>LongTaxlot Id</v>
      </c>
      <c r="Z5" s="30" t="str">
        <f>IFERROR(__xludf.DUMMYFUNCTION("""COMPUTED_VALUE"""),"LongTotal Fee And Commission")</f>
        <v>LongTotal Fee And Commission</v>
      </c>
      <c r="AA5" s="30" t="str">
        <f>IFERROR(__xludf.DUMMYFUNCTION("""COMPUTED_VALUE"""),"LongTrade Date")</f>
        <v>LongTrade Date</v>
      </c>
      <c r="AB5" s="30" t="str">
        <f>IFERROR(__xludf.DUMMYFUNCTION("""COMPUTED_VALUE"""),"LongTransaction Type")</f>
        <v>LongTransaction Type</v>
      </c>
      <c r="AC5" s="30" t="str">
        <f>IFERROR(__xludf.DUMMYFUNCTION("""COMPUTED_VALUE"""),"LongUnderlyingName")</f>
        <v>LongUnderlyingName</v>
      </c>
      <c r="AD5" s="30" t="str">
        <f>IFERROR(__xludf.DUMMYFUNCTION("""COMPUTED_VALUE"""),"LongUnitCost")</f>
        <v>LongUnitCost</v>
      </c>
      <c r="AE5" s="30" t="str">
        <f>IFERROR(__xludf.DUMMYFUNCTION("""COMPUTED_VALUE"""),"ShortAccount")</f>
        <v>ShortAccount</v>
      </c>
      <c r="AF5" s="30" t="str">
        <f>IFERROR(__xludf.DUMMYFUNCTION("""COMPUTED_VALUE"""),"ShortAsset Class")</f>
        <v>ShortAsset Class</v>
      </c>
      <c r="AG5" s="30" t="str">
        <f>IFERROR(__xludf.DUMMYFUNCTION("""COMPUTED_VALUE"""),"ShortAUECID")</f>
        <v>ShortAUECID</v>
      </c>
      <c r="AH5" s="30" t="str">
        <f>IFERROR(__xludf.DUMMYFUNCTION("""COMPUTED_VALUE"""),"ShortExternalTransId")</f>
        <v>ShortExternalTransId</v>
      </c>
      <c r="AI5" s="30" t="str">
        <f>IFERROR(__xludf.DUMMYFUNCTION("""COMPUTED_VALUE"""),"ShortIsSwapped")</f>
        <v>ShortIsSwapped</v>
      </c>
      <c r="AJ5" s="30" t="str">
        <f>IFERROR(__xludf.DUMMYFUNCTION("""COMPUTED_VALUE"""),"ShortLotId")</f>
        <v>ShortLotId</v>
      </c>
      <c r="AK5" s="30" t="str">
        <f>IFERROR(__xludf.DUMMYFUNCTION("""COMPUTED_VALUE"""),"ShortNet Notional")</f>
        <v>ShortNet Notional</v>
      </c>
      <c r="AL5" s="30" t="str">
        <f>IFERROR(__xludf.DUMMYFUNCTION("""COMPUTED_VALUE"""),"ShortOpening Price")</f>
        <v>ShortOpening Price</v>
      </c>
      <c r="AM5" s="30" t="str">
        <f>IFERROR(__xludf.DUMMYFUNCTION("""COMPUTED_VALUE"""),"ShortOriginal Purchase Date")</f>
        <v>ShortOriginal Purchase Date</v>
      </c>
      <c r="AN5" s="30" t="str">
        <f>IFERROR(__xludf.DUMMYFUNCTION("""COMPUTED_VALUE"""),"ShortPositionTag")</f>
        <v>ShortPositionTag</v>
      </c>
      <c r="AO5" s="30" t="str">
        <f>IFERROR(__xludf.DUMMYFUNCTION("""COMPUTED_VALUE"""),"ShortProcess Date")</f>
        <v>ShortProcess Date</v>
      </c>
      <c r="AP5" s="30" t="str">
        <f>IFERROR(__xludf.DUMMYFUNCTION("""COMPUTED_VALUE"""),"ShortQuantity")</f>
        <v>ShortQuantity</v>
      </c>
      <c r="AQ5" s="30" t="str">
        <f>IFERROR(__xludf.DUMMYFUNCTION("""COMPUTED_VALUE"""),"ShortSecurity Name")</f>
        <v>ShortSecurity Name</v>
      </c>
      <c r="AR5" s="30" t="str">
        <f>IFERROR(__xludf.DUMMYFUNCTION("""COMPUTED_VALUE"""),"ShortSettlement Currency")</f>
        <v>ShortSettlement Currency</v>
      </c>
      <c r="AS5" s="30" t="str">
        <f>IFERROR(__xludf.DUMMYFUNCTION("""COMPUTED_VALUE"""),"ShortSettlement FxRate")</f>
        <v>ShortSettlement FxRate</v>
      </c>
      <c r="AT5" s="30" t="str">
        <f>IFERROR(__xludf.DUMMYFUNCTION("""COMPUTED_VALUE"""),"ShortSettlement FxRate Operator")</f>
        <v>ShortSettlement FxRate Operator</v>
      </c>
      <c r="AU5" s="30" t="str">
        <f>IFERROR(__xludf.DUMMYFUNCTION("""COMPUTED_VALUE"""),"ShortSettlement Price")</f>
        <v>ShortSettlement Price</v>
      </c>
      <c r="AV5" s="30" t="str">
        <f>IFERROR(__xludf.DUMMYFUNCTION("""COMPUTED_VALUE"""),"ShortSettlement Unit Cost")</f>
        <v>ShortSettlement Unit Cost</v>
      </c>
      <c r="AW5" s="30" t="str">
        <f>IFERROR(__xludf.DUMMYFUNCTION("""COMPUTED_VALUE"""),"ShortSide")</f>
        <v>ShortSide</v>
      </c>
      <c r="AX5" s="30" t="str">
        <f>IFERROR(__xludf.DUMMYFUNCTION("""COMPUTED_VALUE"""),"ShortStrategy")</f>
        <v>ShortStrategy</v>
      </c>
      <c r="AY5" s="30" t="str">
        <f>IFERROR(__xludf.DUMMYFUNCTION("""COMPUTED_VALUE"""),"ShortSymbol")</f>
        <v>ShortSymbol</v>
      </c>
      <c r="AZ5" s="30" t="str">
        <f>IFERROR(__xludf.DUMMYFUNCTION("""COMPUTED_VALUE"""),"ShortTaxlot Id")</f>
        <v>ShortTaxlot Id</v>
      </c>
      <c r="BA5" s="30" t="str">
        <f>IFERROR(__xludf.DUMMYFUNCTION("""COMPUTED_VALUE"""),"ShortTotal Fee And Commission")</f>
        <v>ShortTotal Fee And Commission</v>
      </c>
      <c r="BB5" s="30" t="str">
        <f>IFERROR(__xludf.DUMMYFUNCTION("""COMPUTED_VALUE"""),"ShortTrade Date")</f>
        <v>ShortTrade Date</v>
      </c>
      <c r="BC5" s="30" t="str">
        <f>IFERROR(__xludf.DUMMYFUNCTION("""COMPUTED_VALUE"""),"ShortTransaction Type")</f>
        <v>ShortTransaction Type</v>
      </c>
      <c r="BD5" s="30" t="str">
        <f>IFERROR(__xludf.DUMMYFUNCTION("""COMPUTED_VALUE"""),"ShortUnderlyingName")</f>
        <v>ShortUnderlyingName</v>
      </c>
      <c r="BE5" s="30" t="str">
        <f>IFERROR(__xludf.DUMMYFUNCTION("""COMPUTED_VALUE"""),"ShortUnitCost")</f>
        <v>ShortUnitCost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b">
        <v>0</v>
      </c>
      <c r="C6" s="42" t="b">
        <v>1</v>
      </c>
      <c r="D6" s="31" t="s">
        <v>16</v>
      </c>
      <c r="E6" s="36" t="s">
        <v>24</v>
      </c>
      <c r="F6" s="36"/>
      <c r="G6" s="36"/>
      <c r="H6" s="36"/>
      <c r="I6" s="36"/>
      <c r="J6" s="36"/>
      <c r="K6" s="38">
        <v>1.0</v>
      </c>
      <c r="L6" s="36"/>
      <c r="M6" s="36"/>
      <c r="N6" s="36"/>
      <c r="O6" s="43">
        <v>200.0</v>
      </c>
      <c r="P6" s="36"/>
      <c r="Q6" s="36"/>
      <c r="R6" s="36"/>
      <c r="S6" s="36"/>
      <c r="T6" s="36"/>
      <c r="U6" s="36"/>
      <c r="V6" s="38" t="s">
        <v>19</v>
      </c>
      <c r="W6" s="36"/>
      <c r="X6" s="40" t="s">
        <v>15</v>
      </c>
      <c r="Y6" s="36"/>
      <c r="Z6" s="36"/>
      <c r="AA6" s="36"/>
      <c r="AB6" s="36"/>
      <c r="AC6" s="36"/>
      <c r="AD6" s="36"/>
      <c r="AE6" s="36" t="s">
        <v>16</v>
      </c>
      <c r="AF6" s="36" t="s">
        <v>24</v>
      </c>
      <c r="AG6" s="36"/>
      <c r="AH6" s="36"/>
      <c r="AI6" s="36"/>
      <c r="AJ6" s="36"/>
      <c r="AK6" s="36"/>
      <c r="AL6" s="38">
        <v>1.0</v>
      </c>
      <c r="AM6" s="36"/>
      <c r="AN6" s="36"/>
      <c r="AO6" s="36"/>
      <c r="AP6" s="38">
        <v>500.0</v>
      </c>
      <c r="AQ6" s="36"/>
      <c r="AR6" s="36"/>
      <c r="AS6" s="36"/>
      <c r="AT6" s="36"/>
      <c r="AU6" s="36"/>
      <c r="AV6" s="36"/>
      <c r="AW6" s="38" t="s">
        <v>17</v>
      </c>
      <c r="AX6" s="38" t="s">
        <v>25</v>
      </c>
      <c r="AY6" s="40" t="s">
        <v>15</v>
      </c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ManualClosing1!$4:$4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