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Taxlots" sheetId="13" r:id="rId15"/>
    <sheet state="visible" name="CheckPortfolioManagement" sheetId="14" r:id="rId16"/>
    <sheet state="visible" name="Copy of Data" sheetId="15" r:id="rId17"/>
    <sheet state="visible" name="CheckAllocatedGroups" sheetId="16" r:id="rId18"/>
  </sheets>
  <definedNames/>
  <calcPr/>
</workbook>
</file>

<file path=xl/sharedStrings.xml><?xml version="1.0" encoding="utf-8"?>
<sst xmlns="http://schemas.openxmlformats.org/spreadsheetml/2006/main" count="316" uniqueCount="60">
  <si>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</si>
  <si>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</si>
  <si>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</si>
  <si>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</si>
  <si>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</si>
  <si>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</si>
  <si>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</si>
  <si>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</si>
  <si>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</si>
  <si>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</si>
  <si>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</si>
  <si>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</si>
  <si>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</si>
  <si>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</si>
  <si>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</si>
  <si>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</si>
  <si>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23D50.00D21</t>
  </si>
  <si>
    <t>O:AAPL 23D60.00D21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</si>
  <si>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</si>
  <si>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</si>
  <si>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</si>
  <si>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</si>
  <si>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</si>
  <si>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</si>
  <si>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</si>
  <si>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</si>
  <si>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Sell to Open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</si>
  <si>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</si>
  <si>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</si>
  <si>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</si>
  <si>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</si>
  <si>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</si>
  <si>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</si>
  <si>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</si>
  <si>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</si>
  <si>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</si>
  <si>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</si>
  <si>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</si>
  <si>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</si>
  <si>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CheckAllocatedTaxlots</t>
  </si>
  <si>
    <t>USD</t>
  </si>
  <si>
    <t>Strategy Unallocated</t>
  </si>
  <si>
    <t>PortfolioManagement</t>
  </si>
  <si>
    <t>CheckPortfolioManagement</t>
  </si>
  <si>
    <t>NewMF</t>
  </si>
  <si>
    <t>APPLE</t>
  </si>
  <si>
    <t>FIMAT</t>
  </si>
  <si>
    <t>Equity</t>
  </si>
  <si>
    <t>US</t>
  </si>
  <si>
    <t>NASDAQ</t>
  </si>
  <si>
    <t>New Hedge</t>
  </si>
  <si>
    <t>Small Cap</t>
  </si>
  <si>
    <t>Undefined</t>
  </si>
  <si>
    <t>jpearce</t>
  </si>
  <si>
    <t>MS</t>
  </si>
  <si>
    <t>AAPL US EQUITY</t>
  </si>
  <si>
    <t>msft</t>
  </si>
  <si>
    <t>buy</t>
  </si>
  <si>
    <t>CheckAllocatedGroups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</si>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</sst>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2" numFmtId="4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3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31">
        <f t="shared" ref="C6:C7" si="1">TODAY()-10</f>
        <v>45034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 t="shared" si="1"/>
        <v>45034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17</v>
      </c>
      <c r="C8" s="31">
        <f>TODAY()-11</f>
        <v>45033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 t="s">
        <v>20</v>
      </c>
      <c r="D6" s="32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5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23</v>
      </c>
      <c r="C6" s="34" t="s">
        <v>24</v>
      </c>
      <c r="D6" s="35">
        <v>1100.0</v>
      </c>
      <c r="E6" s="35">
        <v>1100.0</v>
      </c>
      <c r="F6" s="34" t="s">
        <v>25</v>
      </c>
      <c r="G6" s="32"/>
      <c r="H6" s="32"/>
      <c r="I6" s="32"/>
      <c r="J6" s="36">
        <v>1.0</v>
      </c>
      <c r="K6" s="32"/>
      <c r="L6" s="32"/>
      <c r="M6" s="32"/>
      <c r="N6" s="31">
        <f>TODAY()-10</f>
        <v>45034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9" t="s">
        <v>16</v>
      </c>
      <c r="C7" s="34" t="s">
        <v>26</v>
      </c>
      <c r="D7" s="36">
        <v>10.0</v>
      </c>
      <c r="E7" s="36">
        <v>10.0</v>
      </c>
      <c r="F7" s="34" t="s">
        <v>25</v>
      </c>
      <c r="G7" s="32"/>
      <c r="H7" s="32"/>
      <c r="I7" s="32"/>
      <c r="J7" s="36">
        <v>10.0</v>
      </c>
      <c r="K7" s="32"/>
      <c r="L7" s="32"/>
      <c r="M7" s="32"/>
      <c r="N7" s="31">
        <f t="shared" ref="N7:N9" si="1">TODAY()-15</f>
        <v>45029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9" t="s">
        <v>17</v>
      </c>
      <c r="C8" s="34" t="s">
        <v>26</v>
      </c>
      <c r="D8" s="36">
        <v>10.0</v>
      </c>
      <c r="E8" s="36">
        <v>10.0</v>
      </c>
      <c r="F8" s="34" t="s">
        <v>25</v>
      </c>
      <c r="G8" s="32"/>
      <c r="H8" s="32"/>
      <c r="I8" s="32"/>
      <c r="J8" s="36">
        <v>10.0</v>
      </c>
      <c r="K8" s="32"/>
      <c r="L8" s="32"/>
      <c r="M8" s="32"/>
      <c r="N8" s="31">
        <f t="shared" si="1"/>
        <v>45029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9" t="s">
        <v>17</v>
      </c>
      <c r="C9" s="34" t="s">
        <v>26</v>
      </c>
      <c r="D9" s="36">
        <v>10.0</v>
      </c>
      <c r="E9" s="36">
        <v>10.0</v>
      </c>
      <c r="F9" s="34" t="s">
        <v>25</v>
      </c>
      <c r="G9" s="32"/>
      <c r="H9" s="32"/>
      <c r="I9" s="32"/>
      <c r="J9" s="36">
        <v>10.0</v>
      </c>
      <c r="K9" s="32"/>
      <c r="L9" s="32"/>
      <c r="M9" s="34" t="s">
        <v>27</v>
      </c>
      <c r="N9" s="31">
        <f t="shared" si="1"/>
        <v>45029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34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45043</v>
      </c>
      <c r="C6" s="31">
        <f>today()</f>
        <v>45044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23</v>
      </c>
      <c r="C6" s="36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32</v>
      </c>
      <c r="C6" s="31" t="s">
        <v>33</v>
      </c>
      <c r="D6" s="31">
        <f>TODAY()</f>
        <v>45044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25</v>
      </c>
      <c r="C6" s="32"/>
      <c r="D6" s="32"/>
      <c r="E6" s="34" t="s">
        <v>35</v>
      </c>
      <c r="F6" s="32"/>
      <c r="G6" s="32"/>
      <c r="H6" s="32"/>
      <c r="I6" s="36">
        <v>10.0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7">
        <v>10.0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4" t="s">
        <v>26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7">
        <v>10.0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9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25</v>
      </c>
      <c r="C7" s="32"/>
      <c r="D7" s="32"/>
      <c r="E7" s="34" t="s">
        <v>35</v>
      </c>
      <c r="F7" s="32"/>
      <c r="G7" s="32"/>
      <c r="H7" s="32"/>
      <c r="I7" s="36">
        <v>10.0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7">
        <v>10.0</v>
      </c>
      <c r="AR7" s="38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4" t="s">
        <v>26</v>
      </c>
      <c r="BW7" s="32"/>
      <c r="BX7" s="32"/>
      <c r="BY7" s="32"/>
      <c r="BZ7" s="32"/>
      <c r="CA7" s="32"/>
      <c r="CB7" s="32"/>
      <c r="CC7" s="32"/>
      <c r="CD7" s="39"/>
      <c r="CE7" s="32"/>
      <c r="CF7" s="32"/>
      <c r="CG7" s="37">
        <v>10.0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9" t="s">
        <v>17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 t="s">
        <v>25</v>
      </c>
      <c r="C8" s="32"/>
      <c r="D8" s="32"/>
      <c r="E8" s="34" t="s">
        <v>35</v>
      </c>
      <c r="F8" s="32"/>
      <c r="G8" s="32"/>
      <c r="H8" s="32"/>
      <c r="I8" s="36">
        <v>10.0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7">
        <v>10.0</v>
      </c>
      <c r="AR8" s="38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4" t="s">
        <v>26</v>
      </c>
      <c r="BW8" s="32"/>
      <c r="BX8" s="32"/>
      <c r="BY8" s="32"/>
      <c r="BZ8" s="32"/>
      <c r="CA8" s="32"/>
      <c r="CB8" s="32"/>
      <c r="CC8" s="32"/>
      <c r="CD8" s="39"/>
      <c r="CE8" s="32"/>
      <c r="CF8" s="32"/>
      <c r="CG8" s="37">
        <v>10.0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4" t="s">
        <v>27</v>
      </c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V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32</v>
      </c>
      <c r="C6" s="31" t="s">
        <v>33</v>
      </c>
      <c r="D6" s="31">
        <f>TODAY()</f>
        <v>45044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40</v>
      </c>
      <c r="I6" s="8"/>
      <c r="J6" s="8"/>
      <c r="K6" s="8"/>
      <c r="L6" s="8"/>
      <c r="M6" s="8"/>
      <c r="N6" s="8"/>
      <c r="O6" s="13" t="s">
        <v>25</v>
      </c>
      <c r="P6" s="9" t="s">
        <v>41</v>
      </c>
      <c r="Q6" s="9">
        <v>100.0</v>
      </c>
      <c r="R6" s="40">
        <v>1100.0</v>
      </c>
      <c r="AK6" s="9">
        <v>1.0</v>
      </c>
      <c r="AL6" s="9">
        <v>3.0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40</v>
      </c>
      <c r="I7" s="8"/>
      <c r="J7" s="8"/>
      <c r="K7" s="8"/>
      <c r="L7" s="8"/>
      <c r="M7" s="8"/>
      <c r="N7" s="8"/>
      <c r="O7" s="13" t="s">
        <v>25</v>
      </c>
      <c r="P7" s="9" t="s">
        <v>27</v>
      </c>
      <c r="Q7" s="9">
        <v>100.0</v>
      </c>
      <c r="R7" s="40">
        <v>1000.0</v>
      </c>
      <c r="AI7" s="9">
        <v>60.0</v>
      </c>
      <c r="AK7" s="9">
        <v>1.0</v>
      </c>
      <c r="AL7" s="9">
        <v>3.0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40</v>
      </c>
      <c r="I8" s="8"/>
      <c r="J8" s="8"/>
      <c r="K8" s="8"/>
      <c r="L8" s="8"/>
      <c r="M8" s="8"/>
      <c r="N8" s="8"/>
      <c r="O8" s="13" t="s">
        <v>25</v>
      </c>
      <c r="P8" s="9" t="s">
        <v>41</v>
      </c>
      <c r="Q8" s="9">
        <v>100.0</v>
      </c>
      <c r="R8" s="40">
        <v>1000.0</v>
      </c>
      <c r="AI8" s="9">
        <v>60.0</v>
      </c>
      <c r="AK8" s="9">
        <v>1.0</v>
      </c>
      <c r="AL8" s="9">
        <v>3.0</v>
      </c>
    </row>
    <row r="9" ht="15.75" customHeight="1">
      <c r="A9" s="8"/>
      <c r="B9" s="8"/>
      <c r="C9" s="8"/>
      <c r="D9" s="8"/>
      <c r="E9" s="8"/>
      <c r="F9" s="8"/>
      <c r="G9" s="8"/>
      <c r="H9" s="13" t="s">
        <v>40</v>
      </c>
      <c r="I9" s="8"/>
      <c r="J9" s="8"/>
      <c r="K9" s="8"/>
      <c r="L9" s="8"/>
      <c r="M9" s="8"/>
      <c r="N9" s="8"/>
      <c r="O9" s="13" t="s">
        <v>25</v>
      </c>
      <c r="P9" s="9" t="s">
        <v>41</v>
      </c>
      <c r="Q9" s="9">
        <v>100.0</v>
      </c>
      <c r="R9" s="40">
        <v>1000.0</v>
      </c>
      <c r="AI9" s="9">
        <v>50.0</v>
      </c>
      <c r="AK9" s="9">
        <v>1.0</v>
      </c>
      <c r="AL9" s="9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13" t="s">
        <v>40</v>
      </c>
      <c r="I10" s="8"/>
      <c r="J10" s="8"/>
      <c r="K10" s="8"/>
      <c r="L10" s="8"/>
      <c r="M10" s="8"/>
      <c r="N10" s="8"/>
      <c r="O10" s="13" t="s">
        <v>25</v>
      </c>
      <c r="P10" s="9" t="s">
        <v>41</v>
      </c>
      <c r="Q10" s="9">
        <v>100.0</v>
      </c>
      <c r="R10" s="9">
        <v>10.0</v>
      </c>
      <c r="AK10" s="9">
        <v>1.0</v>
      </c>
      <c r="AL10" s="9">
        <v>3.0</v>
      </c>
    </row>
    <row r="11" ht="15.75" customHeight="1">
      <c r="A11" s="8"/>
      <c r="B11" s="8"/>
      <c r="C11" s="8"/>
      <c r="D11" s="8"/>
      <c r="E11" s="8"/>
      <c r="F11" s="8"/>
      <c r="G11" s="8"/>
      <c r="H11" s="13" t="s">
        <v>40</v>
      </c>
      <c r="I11" s="8"/>
      <c r="J11" s="8"/>
      <c r="K11" s="8"/>
      <c r="L11" s="8"/>
      <c r="M11" s="8"/>
      <c r="N11" s="8"/>
      <c r="O11" s="13" t="s">
        <v>25</v>
      </c>
      <c r="P11" s="9" t="s">
        <v>41</v>
      </c>
      <c r="Q11" s="9">
        <v>100.0</v>
      </c>
      <c r="R11" s="9">
        <v>10.0</v>
      </c>
      <c r="AI11" s="9">
        <v>10.0</v>
      </c>
      <c r="AK11" s="9">
        <v>1.0</v>
      </c>
      <c r="AL11" s="9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13" t="s">
        <v>40</v>
      </c>
      <c r="I12" s="8"/>
      <c r="J12" s="8"/>
      <c r="K12" s="8"/>
      <c r="L12" s="8"/>
      <c r="M12" s="8"/>
      <c r="N12" s="8"/>
      <c r="O12" s="13" t="s">
        <v>25</v>
      </c>
      <c r="P12" s="9" t="s">
        <v>27</v>
      </c>
      <c r="Q12" s="9">
        <v>100.0</v>
      </c>
      <c r="R12" s="9">
        <v>10.0</v>
      </c>
      <c r="AK12" s="9">
        <v>1.0</v>
      </c>
      <c r="AL12" s="9">
        <v>3.0</v>
      </c>
    </row>
    <row r="13" ht="15.75" customHeight="1">
      <c r="A13" s="8"/>
      <c r="B13" s="8"/>
      <c r="C13" s="8"/>
      <c r="D13" s="8"/>
      <c r="E13" s="8"/>
      <c r="F13" s="8"/>
      <c r="G13" s="8"/>
      <c r="H13" s="13" t="s">
        <v>40</v>
      </c>
      <c r="I13" s="8"/>
      <c r="J13" s="8"/>
      <c r="K13" s="8"/>
      <c r="L13" s="8"/>
      <c r="M13" s="8"/>
      <c r="N13" s="8"/>
      <c r="O13" s="13" t="s">
        <v>25</v>
      </c>
      <c r="P13" s="9" t="s">
        <v>41</v>
      </c>
      <c r="Q13" s="9">
        <v>100.0</v>
      </c>
      <c r="R13" s="9">
        <v>10.0</v>
      </c>
      <c r="AK13" s="9">
        <v>1.0</v>
      </c>
      <c r="AL13" s="9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13" t="s">
        <v>40</v>
      </c>
      <c r="I14" s="8"/>
      <c r="J14" s="8"/>
      <c r="K14" s="8"/>
      <c r="L14" s="8"/>
      <c r="M14" s="8"/>
      <c r="N14" s="8"/>
      <c r="O14" s="13" t="s">
        <v>25</v>
      </c>
      <c r="P14" s="9" t="s">
        <v>41</v>
      </c>
      <c r="Q14" s="9">
        <v>100.0</v>
      </c>
      <c r="R14" s="9">
        <v>10.0</v>
      </c>
      <c r="AI14" s="9">
        <v>10.0</v>
      </c>
      <c r="AK14" s="9">
        <v>1.0</v>
      </c>
      <c r="AL14" s="9">
        <v>3.0</v>
      </c>
    </row>
    <row r="15" ht="15.75" customHeight="1">
      <c r="A15" s="8"/>
      <c r="B15" s="8"/>
      <c r="C15" s="8"/>
      <c r="D15" s="8"/>
      <c r="E15" s="8"/>
      <c r="F15" s="8"/>
      <c r="G15" s="8"/>
      <c r="H15" s="13" t="s">
        <v>40</v>
      </c>
      <c r="I15" s="8"/>
      <c r="J15" s="8"/>
      <c r="K15" s="8"/>
      <c r="L15" s="8"/>
      <c r="M15" s="8"/>
      <c r="N15" s="8"/>
      <c r="O15" s="13" t="s">
        <v>25</v>
      </c>
      <c r="P15" s="9" t="s">
        <v>27</v>
      </c>
      <c r="Q15" s="9">
        <v>100.0</v>
      </c>
      <c r="R15" s="9">
        <v>10.0</v>
      </c>
      <c r="AI15" s="9">
        <v>10.0</v>
      </c>
      <c r="AK15" s="9">
        <v>1.0</v>
      </c>
      <c r="AL15" s="9">
        <v>3.0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23</v>
      </c>
      <c r="D6" s="8">
        <v>-1100.0</v>
      </c>
      <c r="E6" s="8" t="s">
        <v>25</v>
      </c>
      <c r="F6" s="8" t="s">
        <v>44</v>
      </c>
      <c r="G6" s="8"/>
      <c r="H6" s="8" t="s">
        <v>27</v>
      </c>
      <c r="I6" s="8"/>
      <c r="J6" s="8"/>
      <c r="K6" s="8"/>
      <c r="L6" s="8"/>
      <c r="M6" s="8"/>
      <c r="N6" s="8"/>
      <c r="O6" s="8" t="s">
        <v>45</v>
      </c>
      <c r="R6" t="s">
        <v>46</v>
      </c>
      <c r="S6" t="s">
        <v>41</v>
      </c>
      <c r="T6" t="s">
        <v>47</v>
      </c>
      <c r="U6" t="s">
        <v>48</v>
      </c>
      <c r="V6" t="s">
        <v>49</v>
      </c>
      <c r="W6" t="s">
        <v>40</v>
      </c>
      <c r="X6">
        <v>1.0</v>
      </c>
      <c r="Y6">
        <v>1.0</v>
      </c>
      <c r="AN6" t="s">
        <v>24</v>
      </c>
      <c r="AP6" t="s">
        <v>27</v>
      </c>
      <c r="AQ6" t="s">
        <v>23</v>
      </c>
      <c r="BF6" t="s">
        <v>50</v>
      </c>
      <c r="BG6" t="s">
        <v>51</v>
      </c>
      <c r="BH6" t="s">
        <v>52</v>
      </c>
      <c r="BQ6" t="s">
        <v>53</v>
      </c>
      <c r="BR6" t="s">
        <v>54</v>
      </c>
      <c r="CN6" t="s">
        <v>23</v>
      </c>
      <c r="CO6" t="s">
        <v>23</v>
      </c>
      <c r="CP6" t="s">
        <v>55</v>
      </c>
    </row>
    <row r="7" ht="15.75" customHeight="1">
      <c r="A7" s="8"/>
      <c r="B7" s="8"/>
      <c r="C7" s="8" t="s">
        <v>23</v>
      </c>
      <c r="D7" s="8">
        <v>-1000.0</v>
      </c>
      <c r="E7" s="8" t="s">
        <v>25</v>
      </c>
      <c r="F7" s="8" t="s">
        <v>44</v>
      </c>
      <c r="G7" s="8"/>
      <c r="H7" s="8" t="s">
        <v>27</v>
      </c>
      <c r="I7" s="8"/>
      <c r="J7" s="8"/>
      <c r="K7" s="8"/>
      <c r="L7" s="8"/>
      <c r="M7" s="8"/>
      <c r="N7" s="8"/>
      <c r="O7" s="8" t="s">
        <v>45</v>
      </c>
      <c r="R7" t="s">
        <v>46</v>
      </c>
      <c r="S7" t="s">
        <v>27</v>
      </c>
      <c r="T7" t="s">
        <v>47</v>
      </c>
      <c r="U7" t="s">
        <v>48</v>
      </c>
      <c r="V7" t="s">
        <v>49</v>
      </c>
      <c r="W7" t="s">
        <v>40</v>
      </c>
      <c r="X7">
        <v>1.0</v>
      </c>
      <c r="Y7">
        <v>1.0</v>
      </c>
      <c r="AN7" t="s">
        <v>24</v>
      </c>
      <c r="AP7" t="s">
        <v>27</v>
      </c>
      <c r="AQ7" t="s">
        <v>23</v>
      </c>
      <c r="BF7" t="s">
        <v>50</v>
      </c>
      <c r="BG7" t="s">
        <v>51</v>
      </c>
      <c r="BH7" t="s">
        <v>52</v>
      </c>
      <c r="BQ7" t="s">
        <v>53</v>
      </c>
      <c r="BR7" t="s">
        <v>54</v>
      </c>
      <c r="CN7" t="s">
        <v>23</v>
      </c>
      <c r="CO7" t="s">
        <v>23</v>
      </c>
      <c r="CP7" t="s">
        <v>55</v>
      </c>
    </row>
    <row r="8" ht="15.75" customHeight="1">
      <c r="A8" s="8"/>
      <c r="B8" s="8"/>
      <c r="C8" s="8" t="s">
        <v>23</v>
      </c>
      <c r="D8" s="8">
        <v>-1000.0</v>
      </c>
      <c r="E8" s="8" t="s">
        <v>25</v>
      </c>
      <c r="F8" s="8" t="s">
        <v>44</v>
      </c>
      <c r="G8" s="8"/>
      <c r="H8" s="8" t="s">
        <v>27</v>
      </c>
      <c r="I8" s="8"/>
      <c r="J8" s="8"/>
      <c r="K8" s="8"/>
      <c r="L8" s="8"/>
      <c r="M8" s="8"/>
      <c r="N8" s="8"/>
      <c r="O8" s="8" t="s">
        <v>45</v>
      </c>
      <c r="R8" t="s">
        <v>46</v>
      </c>
      <c r="S8" t="s">
        <v>41</v>
      </c>
      <c r="T8" t="s">
        <v>47</v>
      </c>
      <c r="U8" t="s">
        <v>48</v>
      </c>
      <c r="V8" t="s">
        <v>49</v>
      </c>
      <c r="W8" t="s">
        <v>40</v>
      </c>
      <c r="X8">
        <v>1.0</v>
      </c>
      <c r="Y8">
        <v>1.0</v>
      </c>
      <c r="AN8" t="s">
        <v>24</v>
      </c>
      <c r="AP8" t="s">
        <v>27</v>
      </c>
      <c r="AQ8" t="s">
        <v>23</v>
      </c>
      <c r="BF8" t="s">
        <v>50</v>
      </c>
      <c r="BG8" t="s">
        <v>51</v>
      </c>
      <c r="BH8" t="s">
        <v>52</v>
      </c>
      <c r="BQ8" t="s">
        <v>53</v>
      </c>
      <c r="BR8" t="s">
        <v>54</v>
      </c>
      <c r="CN8" t="s">
        <v>23</v>
      </c>
      <c r="CO8" t="s">
        <v>23</v>
      </c>
      <c r="CP8" t="s">
        <v>55</v>
      </c>
    </row>
    <row r="9" ht="15.75" customHeight="1">
      <c r="A9" s="8"/>
      <c r="B9" s="8"/>
      <c r="C9" s="8" t="s">
        <v>23</v>
      </c>
      <c r="D9" s="8">
        <v>-1000.0</v>
      </c>
      <c r="E9" s="8" t="s">
        <v>25</v>
      </c>
      <c r="F9" s="8" t="s">
        <v>44</v>
      </c>
      <c r="G9" s="8"/>
      <c r="H9" s="8" t="s">
        <v>27</v>
      </c>
      <c r="I9" s="8"/>
      <c r="J9" s="8"/>
      <c r="K9" s="8"/>
      <c r="L9" s="8"/>
      <c r="M9" s="8"/>
      <c r="N9" s="8"/>
      <c r="O9" s="8" t="s">
        <v>45</v>
      </c>
      <c r="R9" t="s">
        <v>46</v>
      </c>
      <c r="S9" t="s">
        <v>41</v>
      </c>
      <c r="T9" t="s">
        <v>47</v>
      </c>
      <c r="U9" t="s">
        <v>48</v>
      </c>
      <c r="V9" t="s">
        <v>49</v>
      </c>
      <c r="W9" t="s">
        <v>40</v>
      </c>
      <c r="X9">
        <v>1.0</v>
      </c>
      <c r="Y9">
        <v>1.0</v>
      </c>
      <c r="AN9" t="s">
        <v>24</v>
      </c>
      <c r="AP9" t="s">
        <v>27</v>
      </c>
      <c r="AQ9" t="s">
        <v>23</v>
      </c>
      <c r="BF9" t="s">
        <v>50</v>
      </c>
      <c r="BG9" t="s">
        <v>51</v>
      </c>
      <c r="BH9" t="s">
        <v>52</v>
      </c>
      <c r="BQ9" t="s">
        <v>53</v>
      </c>
      <c r="BR9" t="s">
        <v>54</v>
      </c>
      <c r="CN9" t="s">
        <v>23</v>
      </c>
      <c r="CO9" t="s">
        <v>23</v>
      </c>
      <c r="CP9" t="s">
        <v>55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8"/>
      <c r="D6" s="13" t="s">
        <v>57</v>
      </c>
      <c r="E6" s="4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8"/>
      <c r="D6" s="8"/>
      <c r="E6" s="42">
        <v>1100.0</v>
      </c>
      <c r="F6" s="8"/>
      <c r="G6" s="8"/>
      <c r="H6" s="8"/>
      <c r="I6" s="8"/>
      <c r="J6" s="8"/>
      <c r="K6" s="8"/>
      <c r="L6" s="8"/>
      <c r="M6" s="8"/>
      <c r="N6" s="8"/>
      <c r="O6" s="13" t="s">
        <v>54</v>
      </c>
      <c r="AE6" s="40">
        <v>1100.0</v>
      </c>
      <c r="BJ6" s="40">
        <v>1100.0</v>
      </c>
      <c r="BO6" s="9" t="s">
        <v>24</v>
      </c>
      <c r="BT6" s="9" t="s">
        <v>23</v>
      </c>
      <c r="CK6" s="9" t="s">
        <v>48</v>
      </c>
      <c r="CM6" s="9" t="s">
        <v>23</v>
      </c>
    </row>
    <row r="7" ht="15.75" customHeight="1">
      <c r="A7" s="8"/>
      <c r="B7" s="13" t="s">
        <v>25</v>
      </c>
      <c r="C7" s="8"/>
      <c r="D7" s="8"/>
      <c r="E7" s="42">
        <v>1000.0</v>
      </c>
      <c r="F7" s="8"/>
      <c r="G7" s="8"/>
      <c r="H7" s="8"/>
      <c r="I7" s="8"/>
      <c r="J7" s="8"/>
      <c r="K7" s="8"/>
      <c r="L7" s="8"/>
      <c r="M7" s="8"/>
      <c r="N7" s="8"/>
      <c r="O7" s="13" t="s">
        <v>54</v>
      </c>
      <c r="AE7" s="40">
        <v>1000.0</v>
      </c>
      <c r="BJ7" s="40">
        <v>1000.0</v>
      </c>
      <c r="BO7" s="9" t="s">
        <v>24</v>
      </c>
      <c r="BT7" s="9" t="s">
        <v>23</v>
      </c>
      <c r="CK7" s="9" t="s">
        <v>48</v>
      </c>
      <c r="CM7" s="9" t="s">
        <v>23</v>
      </c>
    </row>
    <row r="8" ht="15.75" customHeight="1">
      <c r="A8" s="8"/>
      <c r="B8" s="13" t="s">
        <v>25</v>
      </c>
      <c r="C8" s="8"/>
      <c r="D8" s="8"/>
      <c r="E8" s="42">
        <v>1000.0</v>
      </c>
      <c r="F8" s="8"/>
      <c r="G8" s="8"/>
      <c r="H8" s="8"/>
      <c r="I8" s="8"/>
      <c r="J8" s="8"/>
      <c r="K8" s="8"/>
      <c r="L8" s="8"/>
      <c r="M8" s="8"/>
      <c r="N8" s="8"/>
      <c r="O8" s="13" t="s">
        <v>54</v>
      </c>
      <c r="AE8" s="40">
        <v>1000.0</v>
      </c>
      <c r="BJ8" s="40">
        <v>1000.0</v>
      </c>
      <c r="BO8" s="9" t="s">
        <v>24</v>
      </c>
      <c r="BT8" s="9" t="s">
        <v>23</v>
      </c>
      <c r="CK8" s="9" t="s">
        <v>48</v>
      </c>
      <c r="CM8" s="9" t="s">
        <v>23</v>
      </c>
    </row>
    <row r="9" ht="15.75" customHeight="1">
      <c r="A9" s="8"/>
      <c r="B9" s="13" t="s">
        <v>25</v>
      </c>
      <c r="C9" s="8"/>
      <c r="D9" s="8"/>
      <c r="E9" s="42">
        <v>1000.0</v>
      </c>
      <c r="F9" s="8"/>
      <c r="G9" s="8"/>
      <c r="H9" s="8"/>
      <c r="I9" s="8"/>
      <c r="J9" s="8"/>
      <c r="K9" s="8"/>
      <c r="L9" s="8"/>
      <c r="M9" s="8"/>
      <c r="N9" s="8"/>
      <c r="O9" s="13" t="s">
        <v>54</v>
      </c>
      <c r="AE9" s="40">
        <v>1000.0</v>
      </c>
      <c r="BJ9" s="40">
        <v>1000.0</v>
      </c>
      <c r="BO9" s="9" t="s">
        <v>24</v>
      </c>
      <c r="BT9" s="9" t="s">
        <v>23</v>
      </c>
      <c r="CK9" s="9" t="s">
        <v>48</v>
      </c>
      <c r="CM9" s="9" t="s">
        <v>23</v>
      </c>
    </row>
    <row r="10" ht="15.75" customHeight="1">
      <c r="A10" s="8"/>
      <c r="B10" s="13" t="s">
        <v>25</v>
      </c>
      <c r="C10" s="8"/>
      <c r="D10" s="8"/>
      <c r="E10" s="13">
        <v>10.0</v>
      </c>
      <c r="F10" s="8"/>
      <c r="G10" s="8"/>
      <c r="H10" s="8"/>
      <c r="I10" s="8"/>
      <c r="J10" s="8"/>
      <c r="K10" s="8"/>
      <c r="L10" s="8"/>
      <c r="M10" s="8"/>
      <c r="N10" s="8"/>
      <c r="O10" s="13" t="s">
        <v>54</v>
      </c>
      <c r="AE10" s="9">
        <v>10.0</v>
      </c>
      <c r="BJ10" s="9">
        <v>10.0</v>
      </c>
      <c r="BO10" s="9" t="s">
        <v>59</v>
      </c>
      <c r="BT10" s="9" t="s">
        <v>17</v>
      </c>
      <c r="CK10" s="9" t="s">
        <v>48</v>
      </c>
      <c r="CM10" s="9" t="s">
        <v>23</v>
      </c>
    </row>
    <row r="11" ht="15.75" customHeight="1">
      <c r="A11" s="8"/>
      <c r="B11" s="13" t="s">
        <v>25</v>
      </c>
      <c r="C11" s="8"/>
      <c r="D11" s="8"/>
      <c r="E11" s="13">
        <v>10.0</v>
      </c>
      <c r="F11" s="8"/>
      <c r="G11" s="8"/>
      <c r="H11" s="8"/>
      <c r="I11" s="8"/>
      <c r="J11" s="8"/>
      <c r="K11" s="8"/>
      <c r="L11" s="8"/>
      <c r="M11" s="8"/>
      <c r="N11" s="8"/>
      <c r="O11" s="13" t="s">
        <v>54</v>
      </c>
      <c r="AE11" s="9">
        <v>10.0</v>
      </c>
      <c r="BJ11" s="9">
        <v>10.0</v>
      </c>
      <c r="BO11" s="9" t="s">
        <v>26</v>
      </c>
      <c r="BT11" s="9" t="s">
        <v>16</v>
      </c>
      <c r="CK11" s="9" t="s">
        <v>48</v>
      </c>
      <c r="CM11" s="9" t="s">
        <v>23</v>
      </c>
    </row>
    <row r="12" ht="15.75" customHeight="1">
      <c r="A12" s="8"/>
      <c r="B12" s="13" t="s">
        <v>25</v>
      </c>
      <c r="C12" s="8"/>
      <c r="D12" s="8"/>
      <c r="E12" s="13">
        <v>10.0</v>
      </c>
      <c r="F12" s="8"/>
      <c r="G12" s="8"/>
      <c r="H12" s="8"/>
      <c r="I12" s="8"/>
      <c r="J12" s="8"/>
      <c r="K12" s="8"/>
      <c r="L12" s="8"/>
      <c r="M12" s="8"/>
      <c r="N12" s="8"/>
      <c r="O12" s="13" t="s">
        <v>54</v>
      </c>
      <c r="AE12" s="9">
        <v>10.0</v>
      </c>
      <c r="BJ12" s="9">
        <v>10.0</v>
      </c>
      <c r="BO12" s="9" t="s">
        <v>59</v>
      </c>
      <c r="BT12" s="9" t="s">
        <v>17</v>
      </c>
      <c r="CK12" s="9" t="s">
        <v>48</v>
      </c>
      <c r="CM12" s="9" t="s">
        <v>23</v>
      </c>
    </row>
    <row r="13" ht="15.75" customHeight="1">
      <c r="A13" s="8"/>
      <c r="B13" s="13" t="s">
        <v>25</v>
      </c>
      <c r="C13" s="8"/>
      <c r="D13" s="8"/>
      <c r="E13" s="13">
        <v>10.0</v>
      </c>
      <c r="F13" s="8"/>
      <c r="G13" s="8"/>
      <c r="H13" s="8"/>
      <c r="I13" s="8"/>
      <c r="J13" s="8"/>
      <c r="K13" s="8"/>
      <c r="L13" s="8"/>
      <c r="M13" s="8"/>
      <c r="N13" s="8"/>
      <c r="O13" s="13" t="s">
        <v>54</v>
      </c>
      <c r="AE13" s="9">
        <v>10.0</v>
      </c>
      <c r="BJ13" s="9">
        <v>10.0</v>
      </c>
      <c r="BO13" s="9" t="s">
        <v>59</v>
      </c>
      <c r="BT13" s="9" t="s">
        <v>16</v>
      </c>
      <c r="CK13" s="9" t="s">
        <v>48</v>
      </c>
      <c r="CM13" s="9" t="s">
        <v>23</v>
      </c>
    </row>
    <row r="14" ht="15.75" customHeight="1">
      <c r="A14" s="8"/>
      <c r="B14" s="13" t="s">
        <v>25</v>
      </c>
      <c r="C14" s="8"/>
      <c r="D14" s="8"/>
      <c r="E14" s="13">
        <v>10.0</v>
      </c>
      <c r="F14" s="8"/>
      <c r="G14" s="8"/>
      <c r="H14" s="8"/>
      <c r="I14" s="8"/>
      <c r="J14" s="8"/>
      <c r="K14" s="8"/>
      <c r="L14" s="8"/>
      <c r="M14" s="8"/>
      <c r="N14" s="8"/>
      <c r="O14" s="13" t="s">
        <v>54</v>
      </c>
      <c r="AE14" s="9">
        <v>10.0</v>
      </c>
      <c r="BJ14" s="9">
        <v>10.0</v>
      </c>
      <c r="BO14" s="9" t="s">
        <v>26</v>
      </c>
      <c r="BT14" s="9" t="s">
        <v>17</v>
      </c>
      <c r="CK14" s="9" t="s">
        <v>48</v>
      </c>
      <c r="CM14" s="9" t="s">
        <v>23</v>
      </c>
    </row>
    <row r="15" ht="15.75" customHeight="1">
      <c r="B15" s="9" t="s">
        <v>25</v>
      </c>
      <c r="E15" s="9">
        <v>10.0</v>
      </c>
      <c r="O15" s="9" t="s">
        <v>54</v>
      </c>
      <c r="AE15" s="9">
        <v>10.0</v>
      </c>
      <c r="BJ15" s="9">
        <v>10.0</v>
      </c>
      <c r="BO15" s="9" t="s">
        <v>26</v>
      </c>
      <c r="BT15" s="9" t="s">
        <v>17</v>
      </c>
      <c r="CK15" s="9" t="s">
        <v>48</v>
      </c>
      <c r="CM15" s="9" t="s">
        <v>23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