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ustomOrderTT" sheetId="4" r:id="rId6"/>
    <sheet state="visible" name="EnableOrVerifyHotButton" sheetId="5" r:id="rId7"/>
    <sheet state="visible" name="CreateHotButtonOnBlotter" sheetId="6" r:id="rId8"/>
    <sheet state="visible" name="FillHBdetailsOnBlotter" sheetId="7" r:id="rId9"/>
    <sheet state="visible" name="CreateHotButtonOnBlotter1" sheetId="8" r:id="rId10"/>
    <sheet state="visible" name="FillHBdetailsOnBlotter1" sheetId="9" r:id="rId11"/>
    <sheet state="visible" name="CreateHotButtonOnBlotter2" sheetId="10" r:id="rId12"/>
    <sheet state="visible" name="FillHBdetailsOnBlotter2" sheetId="11" r:id="rId13"/>
    <sheet state="visible" name="SelectTradeOnOrderGrid" sheetId="12" r:id="rId14"/>
    <sheet state="visible" name="EnableOrVerifyHotButton1" sheetId="13" r:id="rId15"/>
    <sheet state="visible" name="EnableOrVerifyHotButton2" sheetId="14" r:id="rId16"/>
    <sheet state="visible" name="EnableOrVerifyHotButton3" sheetId="15" r:id="rId17"/>
    <sheet state="visible" name="CustomOrderTT1" sheetId="16" r:id="rId18"/>
    <sheet state="visible" name="SelectTrade" sheetId="17" r:id="rId19"/>
    <sheet state="visible" name="AcknowledgeTrade" sheetId="18" r:id="rId20"/>
    <sheet state="visible" name="ExecuteTrade" sheetId="19" r:id="rId21"/>
    <sheet state="visible" name="CustomOrderTT2" sheetId="20" r:id="rId22"/>
    <sheet state="visible" name="SelectTrade1" sheetId="21" r:id="rId23"/>
    <sheet state="visible" name="AcknowledgeTrade1" sheetId="22" r:id="rId24"/>
    <sheet state="visible" name="ExecuteTrade1" sheetId="23" r:id="rId25"/>
    <sheet state="visible" name="CustomOrderTT3" sheetId="24" r:id="rId26"/>
    <sheet state="visible" name="SelectTrade2" sheetId="25" r:id="rId27"/>
    <sheet state="visible" name="AcknowledgeTrade2" sheetId="26" r:id="rId28"/>
    <sheet state="visible" name="ExecuteTrade2" sheetId="27" r:id="rId29"/>
    <sheet state="visible" name="VerifySubOrder" sheetId="28" r:id="rId30"/>
  </sheets>
  <definedNames/>
  <calcPr/>
</workbook>
</file>

<file path=xl/sharedStrings.xml><?xml version="1.0" encoding="utf-8"?>
<sst xmlns="http://schemas.openxmlformats.org/spreadsheetml/2006/main" count="244" uniqueCount="44">
  <si>
    <t>Modules Info</t>
  </si>
  <si>
    <t>Modules</t>
  </si>
  <si>
    <t>Settings</t>
  </si>
  <si>
    <t>Module Step Setting File</t>
  </si>
  <si>
    <t>1FzWTLghJOFjrGmCEN5rFkuzctvHiAo4TNjRi7fOzwlg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</si>
  <si>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</si>
  <si>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</si>
  <si>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</si>
  <si>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</si>
  <si>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</si>
  <si>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</si>
  <si>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</si>
  <si>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</si>
  <si>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CustomOrderTT</t>
  </si>
  <si>
    <t>Data Format</t>
  </si>
  <si>
    <t>Input Format</t>
  </si>
  <si>
    <t>AAPL</t>
  </si>
  <si>
    <t>CreateOrder</t>
  </si>
  <si>
    <t>Buy</t>
  </si>
  <si>
    <t>Blotter</t>
  </si>
  <si>
    <t>EnableOrVerifyHotButton</t>
  </si>
  <si>
    <t>CreateHotButtonOnBlotter</t>
  </si>
  <si>
    <t>ABC</t>
  </si>
  <si>
    <t>Send Order To Market</t>
  </si>
  <si>
    <t>Confirm on TT</t>
  </si>
  <si>
    <t>Next</t>
  </si>
  <si>
    <t>FillHBdetailsOnBlotter</t>
  </si>
  <si>
    <t>Percentage</t>
  </si>
  <si>
    <t>Original Quantity</t>
  </si>
  <si>
    <t>BCD</t>
  </si>
  <si>
    <t>BPS</t>
  </si>
  <si>
    <t>Remaining Quantity</t>
  </si>
  <si>
    <t>DEF</t>
  </si>
  <si>
    <t>Quantity</t>
  </si>
  <si>
    <t>SelectTradeOnOrderGrid</t>
  </si>
  <si>
    <t>Send</t>
  </si>
  <si>
    <t>Simulator</t>
  </si>
  <si>
    <t>SelectTrade</t>
  </si>
  <si>
    <t>AcknowledgeTrade</t>
  </si>
  <si>
    <t>ExecuteTrade</t>
  </si>
  <si>
    <t>VerifySubOrder</t>
  </si>
  <si>
    <t>Filled</t>
  </si>
  <si>
    <t>MS</t>
  </si>
  <si>
    <t>Allocation1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</si>
</sst>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28" Type="http://schemas.openxmlformats.org/officeDocument/2006/relationships/worksheet" Target="worksheets/sheet26.xml"/><Relationship Id="rId27" Type="http://schemas.openxmlformats.org/officeDocument/2006/relationships/worksheet" Target="worksheets/sheet25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29" Type="http://schemas.openxmlformats.org/officeDocument/2006/relationships/worksheet" Target="worksheets/sheet27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30" Type="http://schemas.openxmlformats.org/officeDocument/2006/relationships/worksheet" Target="worksheets/sheet28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IFERROR(__xludf.DUMMYFUNCTION("""COMPUTED_VALUE"""),"17hQQja2JxgHYc91C7e_NxNoHLA89SiPSSBCEIFHCoTk")</f>
        <v>17hQQja2JxgHYc91C7e_NxNoHLA89SiPSSBCEIFHCoTk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IFERROR(__xludf.DUMMYFUNCTION("""COMPUTED_VALUE"""),"1RWrzEP7tKvSTkC1z87RsjU_EZslvD2btXJuTWRIwRLU")</f>
        <v>1RWrzEP7tKvSTkC1z87RsjU_EZslvD2btXJuTWRIwRLU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IFERROR(__xludf.DUMMYFUNCTION("""COMPUTED_VALUE"""),"1XzjmPmpB7IMcyzPSsbgmFfzjE_zIKdjrk0mUoMFhNZc")</f>
        <v>1XzjmPmpB7IMcyzPSsbgmFfzjE_zIKdjrk0mUoMFhNZc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>
      <c r="A874" t="str">
        <f>IFERROR(__xludf.DUMMYFUNCTION("""COMPUTED_VALUE"""),"Blotter")</f>
        <v>Blotter</v>
      </c>
      <c r="B874" t="str">
        <f>IFERROR(__xludf.DUMMYFUNCTION("""COMPUTED_VALUE"""),"ActionOnFloatingWindow")</f>
        <v>ActionOnFloatingWindow</v>
      </c>
      <c r="C874" t="str">
        <f>IFERROR(__xludf.DUMMYFUNCTION("""COMPUTED_VALUE"""),"1tFNUPT3PXgCKRnnehGwo6OF7EhLu13UJ8Elfq83HArE")</f>
        <v>1tFNUPT3PXgCKRnnehGwo6OF7EhLu13UJ8Elfq83HArE</v>
      </c>
    </row>
    <row r="875" ht="15.75" customHeight="1">
      <c r="A875" t="str">
        <f>IFERROR(__xludf.DUMMYFUNCTION("""COMPUTED_VALUE"""),"PTT")</f>
        <v>PTT</v>
      </c>
      <c r="B875" t="str">
        <f>IFERROR(__xludf.DUMMYFUNCTION("""COMPUTED_VALUE"""),"PTTDashBoard")</f>
        <v>PTTDashBoard</v>
      </c>
      <c r="C875" t="str">
        <f>IFERROR(__xludf.DUMMYFUNCTION("""COMPUTED_VALUE"""),"1DUwxSUq_47EK60XmK3LOdCXa1fkWqWJE9bLuGS3ccv412")</f>
        <v>1DUwxSUq_47EK60XmK3LOdCXa1fkWqWJE9bLuGS3ccv412</v>
      </c>
    </row>
    <row r="876" ht="15.75" customHeight="1">
      <c r="A876" t="str">
        <f>IFERROR(__xludf.DUMMYFUNCTION("""COMPUTED_VALUE"""),"OpenFin")</f>
        <v>OpenFin</v>
      </c>
      <c r="B876" t="str">
        <f>IFERROR(__xludf.DUMMYFUNCTION("""COMPUTED_VALUE"""),"LockUnlockModule")</f>
        <v>LockUnlockModule</v>
      </c>
      <c r="C876" t="str">
        <f>IFERROR(__xludf.DUMMYFUNCTION("""COMPUTED_VALUE"""),"179D0kPRO8f_KLxd7hs6seM9XGxpL-u1rhIhNgFVePsQ")</f>
        <v>179D0kPRO8f_KLxd7hs6seM9XGxpL-u1rhIhNgFVePsQ</v>
      </c>
    </row>
    <row r="877" ht="15.75" customHeight="1">
      <c r="A877" t="str">
        <f>IFERROR(__xludf.DUMMYFUNCTION("""COMPUTED_VALUE"""),"OpenFin")</f>
        <v>OpenFin</v>
      </c>
      <c r="B877" t="str">
        <f>IFERROR(__xludf.DUMMYFUNCTION("""COMPUTED_VALUE"""),"OpenModuleFromDock")</f>
        <v>OpenModuleFromDock</v>
      </c>
      <c r="C877" t="str">
        <f>IFERROR(__xludf.DUMMYFUNCTION("""COMPUTED_VALUE"""),"1IdmD7l42pWNjFNVt_7UwbOO7y5tDxaXr7tE60c9ETLw")</f>
        <v>1IdmD7l42pWNjFNVt_7UwbOO7y5tDxaXr7tE60c9ETLw</v>
      </c>
    </row>
    <row r="878" ht="15.75" customHeight="1">
      <c r="A878" t="str">
        <f>IFERROR(__xludf.DUMMYFUNCTION("""COMPUTED_VALUE"""),"Rebalancer")</f>
        <v>Rebalancer</v>
      </c>
      <c r="B878" t="str">
        <f>IFERROR(__xludf.DUMMYFUNCTION("""COMPUTED_VALUE"""),"VerifyCFI")</f>
        <v>VerifyCFI</v>
      </c>
      <c r="C878" t="str">
        <f>IFERROR(__xludf.DUMMYFUNCTION("""COMPUTED_VALUE"""),"1DUwxSUq_47EK60XmK3LOdCXa1fkWqWJE9bLuGS3ccv412")</f>
        <v>1DUwxSUq_47EK60XmK3LOdCXa1fkWqWJE9bLuGS3ccv412</v>
      </c>
    </row>
    <row r="879" ht="15.75" customHeight="1">
      <c r="A879" t="str">
        <f>IFERROR(__xludf.DUMMYFUNCTION("""COMPUTED_VALUE"""),"Blotter")</f>
        <v>Blotter</v>
      </c>
      <c r="B879" t="str">
        <f>IFERROR(__xludf.DUMMYFUNCTION("""COMPUTED_VALUE"""),"EnableOrVerifyHotButton")</f>
        <v>EnableOrVerifyHotButton</v>
      </c>
      <c r="C879" t="str">
        <f>IFERROR(__xludf.DUMMYFUNCTION("""COMPUTED_VALUE"""),"1wa8x9d9kPOHEp49mT2DEW0cyjjOClvAgixk1H2w-Tos")</f>
        <v>1wa8x9d9kPOHEp49mT2DEW0cyjjOClvAgixk1H2w-Tos</v>
      </c>
    </row>
    <row r="880" ht="15.75" customHeight="1">
      <c r="A880" t="str">
        <f>IFERROR(__xludf.DUMMYFUNCTION("""COMPUTED_VALUE"""),"TradeServer")</f>
        <v>TradeServer</v>
      </c>
      <c r="B880" t="str">
        <f>IFERROR(__xludf.DUMMYFUNCTION("""COMPUTED_VALUE"""),"RestartServerOnly")</f>
        <v>RestartServerOnly</v>
      </c>
      <c r="C880" t="str">
        <f>IFERROR(__xludf.DUMMYFUNCTION("""COMPUTED_VALUE"""),"Undefined")</f>
        <v>Undefined</v>
      </c>
    </row>
    <row r="881" ht="15.75" customHeight="1">
      <c r="A881" t="str">
        <f>IFERROR(__xludf.DUMMYFUNCTION("""COMPUTED_VALUE"""),"Rebalancer")</f>
        <v>Rebalancer</v>
      </c>
      <c r="B881" t="str">
        <f>IFERROR(__xludf.DUMMYFUNCTION("""COMPUTED_VALUE"""),"ActionOnCFI")</f>
        <v>ActionOnCFI</v>
      </c>
      <c r="C881" t="str">
        <f>IFERROR(__xludf.DUMMYFUNCTION("""COMPUTED_VALUE"""),"1DUwxSUq_47EK60XmK3LOdCXa1fkWqWJE9bLuGS3ccv412")</f>
        <v>1DUwxSUq_47EK60XmK3LOdCXa1fkWqWJE9bLuGS3ccv412</v>
      </c>
    </row>
    <row r="882" ht="15.75" customHeight="1">
      <c r="A882" t="str">
        <f>IFERROR(__xludf.DUMMYFUNCTION("""COMPUTED_VALUE"""),"Rebalancer")</f>
        <v>Rebalancer</v>
      </c>
      <c r="B882" t="str">
        <f>IFERROR(__xludf.DUMMYFUNCTION("""COMPUTED_VALUE"""),"VerifyCFI")</f>
        <v>VerifyCFI</v>
      </c>
      <c r="C882" t="str">
        <f>IFERROR(__xludf.DUMMYFUNCTION("""COMPUTED_VALUE"""),"1DUwxSUq_47EK60XmK3LOdCXa1fkWqWJE9bLuGS3ccv412")</f>
        <v>1DUwxSUq_47EK60XmK3LOdCXa1fkWqWJE9bLuGS3ccv412</v>
      </c>
    </row>
    <row r="883" ht="15.75" customHeight="1">
      <c r="A883" t="str">
        <f>IFERROR(__xludf.DUMMYFUNCTION("""COMPUTED_VALUE"""),"Rebalancer")</f>
        <v>Rebalancer</v>
      </c>
      <c r="B883" t="str">
        <f>IFERROR(__xludf.DUMMYFUNCTION("""COMPUTED_VALUE"""),"VerifyDelRASGrid")</f>
        <v>VerifyDelRASGrid</v>
      </c>
      <c r="C883" t="str">
        <f>IFERROR(__xludf.DUMMYFUNCTION("""COMPUTED_VALUE"""),"1DUwxSUq_47EK60XmK3LOdCXa1fkWqWJE9bLuGS3ccv412")</f>
        <v>1DUwxSUq_47EK60XmK3LOdCXa1fkWqWJE9bLuGS3ccv412</v>
      </c>
    </row>
    <row r="884" ht="15.75" customHeight="1">
      <c r="A884" t="str">
        <f>IFERROR(__xludf.DUMMYFUNCTION("""COMPUTED_VALUE"""),"Allocation")</f>
        <v>Allocation</v>
      </c>
      <c r="B884" t="str">
        <f>IFERROR(__xludf.DUMMYFUNCTION("""COMPUTED_VALUE"""),"ActionOnUPW")</f>
        <v>ActionOnUPW</v>
      </c>
      <c r="C884" t="str">
        <f>IFERROR(__xludf.DUMMYFUNCTION("""COMPUTED_VALUE"""),"1DUwxSUq_47EK60XmK3LOdCXa1fkWqWJE9bLuGS3ccv413")</f>
        <v>1DUwxSUq_47EK60XmK3LOdCXa1fkWqWJE9bLuGS3ccv413</v>
      </c>
    </row>
    <row r="885" ht="15.75" customHeight="1">
      <c r="A885" t="str">
        <f>IFERROR(__xludf.DUMMYFUNCTION("""COMPUTED_VALUE"""),"Allocation")</f>
        <v>Allocation</v>
      </c>
      <c r="B885" t="str">
        <f>IFERROR(__xludf.DUMMYFUNCTION("""COMPUTED_VALUE"""),"DefaultRuleUPW")</f>
        <v>DefaultRuleUPW</v>
      </c>
      <c r="C885" t="str">
        <f>IFERROR(__xludf.DUMMYFUNCTION("""COMPUTED_VALUE"""),"1DUwxSUq_47EK60XmK3LOdCXa1fkWqWJE9bLuGS3ccv414")</f>
        <v>1DUwxSUq_47EK60XmK3LOdCXa1fkWqWJE9bLuGS3ccv414</v>
      </c>
    </row>
    <row r="886" ht="15.75" customHeight="1">
      <c r="A886" t="str">
        <f>IFERROR(__xludf.DUMMYFUNCTION("""COMPUTED_VALUE"""),"Allocation")</f>
        <v>Allocation</v>
      </c>
      <c r="B886" t="str">
        <f>IFERROR(__xludf.DUMMYFUNCTION("""COMPUTED_VALUE"""),"AccountStrategyUPW")</f>
        <v>AccountStrategyUPW</v>
      </c>
      <c r="C886" t="str">
        <f>IFERROR(__xludf.DUMMYFUNCTION("""COMPUTED_VALUE"""),"1DUwxSUq_47EK60XmK3LOdCXa1fkWqWJE9bLuGS3ccv415")</f>
        <v>1DUwxSUq_47EK60XmK3LOdCXa1fkWqWJE9bLuGS3ccv415</v>
      </c>
    </row>
    <row r="887" ht="15.75" customHeight="1">
      <c r="A887" t="str">
        <f>IFERROR(__xludf.DUMMYFUNCTION("""COMPUTED_VALUE"""),"Allocation")</f>
        <v>Allocation</v>
      </c>
      <c r="B887" t="str">
        <f>IFERROR(__xludf.DUMMYFUNCTION("""COMPUTED_VALUE"""),"ActionOnCalPref")</f>
        <v>ActionOnCalPref</v>
      </c>
      <c r="C887" t="str">
        <f>IFERROR(__xludf.DUMMYFUNCTION("""COMPUTED_VALUE"""),"1DUwxSUq_47EK60XmK3LOdCXa1fkWqWJE9bLuGS3ccv416")</f>
        <v>1DUwxSUq_47EK60XmK3LOdCXa1fkWqWJE9bLuGS3ccv416</v>
      </c>
    </row>
    <row r="888" ht="15.75" customHeight="1">
      <c r="A888" t="str">
        <f>IFERROR(__xludf.DUMMYFUNCTION("""COMPUTED_VALUE"""),"Allocation")</f>
        <v>Allocation</v>
      </c>
      <c r="B888" t="str">
        <f>IFERROR(__xludf.DUMMYFUNCTION("""COMPUTED_VALUE"""),"SetMFDefaultRule")</f>
        <v>SetMFDefaultRule</v>
      </c>
      <c r="C888" t="str">
        <f>IFERROR(__xludf.DUMMYFUNCTION("""COMPUTED_VALUE"""),"1DUwxSUq_47EK60XmK3LOdCXa1fkWqWJE9bLuGS3ccv417")</f>
        <v>1DUwxSUq_47EK60XmK3LOdCXa1fkWqWJE9bLuGS3ccv417</v>
      </c>
    </row>
    <row r="889" ht="15.75" customHeight="1">
      <c r="A889" t="str">
        <f>IFERROR(__xludf.DUMMYFUNCTION("""COMPUTED_VALUE"""),"Allocation")</f>
        <v>Allocation</v>
      </c>
      <c r="B889" t="str">
        <f>IFERROR(__xludf.DUMMYFUNCTION("""COMPUTED_VALUE"""),"ActionOnPrefWindow")</f>
        <v>ActionOnPrefWindow</v>
      </c>
      <c r="C889" t="str">
        <f>IFERROR(__xludf.DUMMYFUNCTION("""COMPUTED_VALUE"""),"1DUwxSUq_47EK60XmK3LOdCXa1fkWqWJE9bLuGS3ccv418")</f>
        <v>1DUwxSUq_47EK60XmK3LOdCXa1fkWqWJE9bLuGS3ccv418</v>
      </c>
    </row>
    <row r="890" ht="15.75" customHeight="1">
      <c r="A890" t="str">
        <f>IFERROR(__xludf.DUMMYFUNCTION("""COMPUTED_VALUE"""),"Allocation")</f>
        <v>Allocation</v>
      </c>
      <c r="B890" t="str">
        <f>IFERROR(__xludf.DUMMYFUNCTION("""COMPUTED_VALUE"""),"GetFixedPrefScheme")</f>
        <v>GetFixedPrefScheme</v>
      </c>
      <c r="C890" t="str">
        <f>IFERROR(__xludf.DUMMYFUNCTION("""COMPUTED_VALUE"""),"1DUwxSUq_47EK60XmK3LOdCXa1fkWqWJE9bLuGS3ccv419")</f>
        <v>1DUwxSUq_47EK60XmK3LOdCXa1fkWqWJE9bLuGS3ccv419</v>
      </c>
    </row>
    <row r="891" ht="15.75" customHeight="1">
      <c r="A891" t="str">
        <f>IFERROR(__xludf.DUMMYFUNCTION("""COMPUTED_VALUE"""),"Allocation")</f>
        <v>Allocation</v>
      </c>
      <c r="B891" t="str">
        <f>IFERROR(__xludf.DUMMYFUNCTION("""COMPUTED_VALUE"""),"VerifyFixedPref")</f>
        <v>VerifyFixedPref</v>
      </c>
      <c r="C891" t="str">
        <f>IFERROR(__xludf.DUMMYFUNCTION("""COMPUTED_VALUE"""),"1DUwxSUq_47EK60XmK3LOdCXa1fkWqWJE9bLuGS3ccv420")</f>
        <v>1DUwxSUq_47EK60XmK3LOdCXa1fkWqWJE9bLuGS3ccv420</v>
      </c>
    </row>
    <row r="892" ht="15.75" customHeight="1">
      <c r="A892" t="str">
        <f>IFERROR(__xludf.DUMMYFUNCTION("""COMPUTED_VALUE"""),"Allocation")</f>
        <v>Allocation</v>
      </c>
      <c r="B892" t="str">
        <f>IFERROR(__xludf.DUMMYFUNCTION("""COMPUTED_VALUE"""),"ActionOnToolBar")</f>
        <v>ActionOnToolBar</v>
      </c>
      <c r="C892" t="str">
        <f>IFERROR(__xludf.DUMMYFUNCTION("""COMPUTED_VALUE"""),"1DUwxSUq_47EK60XmK3LOdCXa1fkWqWJE9bLuGS3ccv421")</f>
        <v>1DUwxSUq_47EK60XmK3LOdCXa1fkWqWJE9bLuGS3ccv421</v>
      </c>
    </row>
    <row r="893" ht="15.75" customHeight="1">
      <c r="A893" t="str">
        <f>IFERROR(__xludf.DUMMYFUNCTION("""COMPUTED_VALUE"""),"Rebalancer")</f>
        <v>Rebalancer</v>
      </c>
      <c r="B893" t="str">
        <f>IFERROR(__xludf.DUMMYFUNCTION("""COMPUTED_VALUE"""),"VerifyCustomGroupModel")</f>
        <v>VerifyCustomGroupModel</v>
      </c>
      <c r="C893" t="str">
        <f>IFERROR(__xludf.DUMMYFUNCTION("""COMPUTED_VALUE"""),"1DUwxSUq_47EK60XmK3LOdCXa1fkWqWJE9bLuGS3ccv422")</f>
        <v>1DUwxSUq_47EK60XmK3LOdCXa1fkWqWJE9bLuGS3ccv422</v>
      </c>
    </row>
    <row r="894" ht="15.75" customHeight="1">
      <c r="A894" t="str">
        <f>IFERROR(__xludf.DUMMYFUNCTION("""COMPUTED_VALUE"""),"Blotter")</f>
        <v>Blotter</v>
      </c>
      <c r="B894" t="str">
        <f>IFERROR(__xludf.DUMMYFUNCTION("""COMPUTED_VALUE"""),"VerifyFilterUiRC")</f>
        <v>VerifyFilterUiRC</v>
      </c>
      <c r="C894" t="str">
        <f>IFERROR(__xludf.DUMMYFUNCTION("""COMPUTED_VALUE"""),"1QQZEZqPXfPnxfNID2a3__xw8RnEAn77igg5Q32S3Sm0")</f>
        <v>1QQZEZqPXfPnxfNID2a3__xw8RnEAn77igg5Q32S3Sm0</v>
      </c>
    </row>
    <row r="895" ht="15.75" customHeight="1">
      <c r="A895" t="str">
        <f>IFERROR(__xludf.DUMMYFUNCTION("""COMPUTED_VALUE"""),"TradingTicket")</f>
        <v>TradingTicket</v>
      </c>
      <c r="B895" t="str">
        <f>IFERROR(__xludf.DUMMYFUNCTION("""COMPUTED_VALUE"""),"SymbolSuggestionVerify")</f>
        <v>SymbolSuggestionVerify</v>
      </c>
      <c r="C895" t="str">
        <f>IFERROR(__xludf.DUMMYFUNCTION("""COMPUTED_VALUE"""),"14aTeLjmUbS-nhaQwjtZAMGxdQ5DS6UsBjE5OTWN-LQU")</f>
        <v>14aTeLjmUbS-nhaQwjtZAMGxdQ5DS6UsBjE5OTWN-LQU</v>
      </c>
    </row>
    <row r="896" ht="15.75" customHeight="1">
      <c r="A896" t="str">
        <f>IFERROR(__xludf.DUMMYFUNCTION("""COMPUTED_VALUE"""),"PreferencesMain")</f>
        <v>PreferencesMain</v>
      </c>
      <c r="B896" t="str">
        <f>IFERROR(__xludf.DUMMYFUNCTION("""COMPUTED_VALUE"""),"UpdatePTTPref")</f>
        <v>UpdatePTTPref</v>
      </c>
      <c r="C896" t="str">
        <f>IFERROR(__xludf.DUMMYFUNCTION("""COMPUTED_VALUE"""),"14aTeLjmUbS-nhaQwjtZAMGxdQ5DS6UsBjE5OTWN-LQU")</f>
        <v>14aTeLjmUbS-nhaQwjtZAMGxdQ5DS6UsBjE5OTWN-LQU</v>
      </c>
    </row>
    <row r="897" ht="15.75" customHeight="1">
      <c r="A897" t="str">
        <f>IFERROR(__xludf.DUMMYFUNCTION("""COMPUTED_VALUE"""),"PreferencesMain")</f>
        <v>PreferencesMain</v>
      </c>
      <c r="B897" t="str">
        <f>IFERROR(__xludf.DUMMYFUNCTION("""COMPUTED_VALUE"""),"ActionOnPreferencesMain")</f>
        <v>ActionOnPreferencesMain</v>
      </c>
      <c r="C897" t="str">
        <f>IFERROR(__xludf.DUMMYFUNCTION("""COMPUTED_VALUE"""),"14aTeLjmUbS-nhaQwjtZAMGxdQ5DS6UsBjE5OTWN-LQU")</f>
        <v>14aTeLjmUbS-nhaQwjtZAMGxdQ5DS6UsBjE5OTWN-LQU</v>
      </c>
    </row>
    <row r="898" ht="15.75" customHeight="1">
      <c r="A898" t="str">
        <f>IFERROR(__xludf.DUMMYFUNCTION("""COMPUTED_VALUE"""),"PreferencesMain")</f>
        <v>PreferencesMain</v>
      </c>
      <c r="B898" t="str">
        <f>IFERROR(__xludf.DUMMYFUNCTION("""COMPUTED_VALUE"""),"VerifyUpdategrdAccountFactor")</f>
        <v>VerifyUpdategrdAccountFactor</v>
      </c>
      <c r="C898" t="str">
        <f>IFERROR(__xludf.DUMMYFUNCTION("""COMPUTED_VALUE"""),"14aTeLjmUbS-nhaQwjtZAMGxdQ5DS6UsBjE5OTWN-LQU")</f>
        <v>14aTeLjmUbS-nhaQwjtZAMGxdQ5DS6UsBjE5OTWN-LQU</v>
      </c>
    </row>
    <row r="899" ht="15.75" customHeight="1">
      <c r="A899" t="str">
        <f>IFERROR(__xludf.DUMMYFUNCTION("""COMPUTED_VALUE"""),"PreferencesMain")</f>
        <v>PreferencesMain</v>
      </c>
      <c r="B899" t="str">
        <f>IFERROR(__xludf.DUMMYFUNCTION("""COMPUTED_VALUE"""),"VerifyUpdategrdMFA")</f>
        <v>VerifyUpdategrdMFA</v>
      </c>
      <c r="C899" t="str">
        <f>IFERROR(__xludf.DUMMYFUNCTION("""COMPUTED_VALUE"""),"14aTeLjmUbS-nhaQwjtZAMGxdQ5DS6UsBjE5OTWN-LQU")</f>
        <v>14aTeLjmUbS-nhaQwjtZAMGxdQ5DS6UsBjE5OTWN-LQU</v>
      </c>
    </row>
    <row r="900" ht="15.75" customHeight="1">
      <c r="A900" t="str">
        <f>IFERROR(__xludf.DUMMYFUNCTION("""COMPUTED_VALUE"""),"PreferencesMain")</f>
        <v>PreferencesMain</v>
      </c>
      <c r="B900" t="str">
        <f>IFERROR(__xludf.DUMMYFUNCTION("""COMPUTED_VALUE"""),"SwitchTabMFA")</f>
        <v>SwitchTabMFA</v>
      </c>
      <c r="C900" t="str">
        <f>IFERROR(__xludf.DUMMYFUNCTION("""COMPUTED_VALUE"""),"14aTeLjmUbS-nhaQwjtZAMGxdQ5DS6UsBjE5OTWN-LQU")</f>
        <v>14aTeLjmUbS-nhaQwjtZAMGxdQ5DS6UsBjE5OTWN-LQU</v>
      </c>
    </row>
    <row r="901" ht="15.75" customHeight="1">
      <c r="A901" t="str">
        <f>IFERROR(__xludf.DUMMYFUNCTION("""COMPUTED_VALUE"""),"PreferencesMain")</f>
        <v>PreferencesMain</v>
      </c>
      <c r="B901" t="str">
        <f>IFERROR(__xludf.DUMMYFUNCTION("""COMPUTED_VALUE"""),"UpdateBlotterPref")</f>
        <v>UpdateBlotterPref</v>
      </c>
      <c r="C901" t="str">
        <f>IFERROR(__xludf.DUMMYFUNCTION("""COMPUTED_VALUE"""),"14aTeLjmUbS-nhaQwjtZAMGxdQ5DS6UsBjE5OTWN-LQU")</f>
        <v>14aTeLjmUbS-nhaQwjtZAMGxdQ5DS6UsBjE5OTWN-LQU</v>
      </c>
    </row>
    <row r="902" ht="15.75" customHeight="1">
      <c r="A902" t="str">
        <f>IFERROR(__xludf.DUMMYFUNCTION("""COMPUTED_VALUE"""),"PreferencesMain")</f>
        <v>PreferencesMain</v>
      </c>
      <c r="B902" t="str">
        <f>IFERROR(__xludf.DUMMYFUNCTION("""COMPUTED_VALUE"""),"UpdatePMPref")</f>
        <v>UpdatePMPref</v>
      </c>
      <c r="C902" t="str">
        <f>IFERROR(__xludf.DUMMYFUNCTION("""COMPUTED_VALUE"""),"14aTeLjmUbS-nhaQwjtZAMGxdQ5DS6UsBjE5OTWN-LQU")</f>
        <v>14aTeLjmUbS-nhaQwjtZAMGxdQ5DS6UsBjE5OTWN-LQU</v>
      </c>
    </row>
    <row r="903" ht="15.75" customHeight="1">
      <c r="A903" t="str">
        <f>IFERROR(__xludf.DUMMYFUNCTION("""COMPUTED_VALUE"""),"PreferencesMain")</f>
        <v>PreferencesMain</v>
      </c>
      <c r="B903" t="str">
        <f>IFERROR(__xludf.DUMMYFUNCTION("""COMPUTED_VALUE"""),"UpdateGenPref")</f>
        <v>UpdateGenPref</v>
      </c>
      <c r="C903" t="str">
        <f>IFERROR(__xludf.DUMMYFUNCTION("""COMPUTED_VALUE"""),"14aTeLjmUbS-nhaQwjtZAMGxdQ5DS6UsBjE5OTWN-LQU")</f>
        <v>14aTeLjmUbS-nhaQwjtZAMGxdQ5DS6UsBjE5OTWN-LQU</v>
      </c>
    </row>
    <row r="904" ht="15.75" customHeight="1">
      <c r="A904" t="str">
        <f>IFERROR(__xludf.DUMMYFUNCTION("""COMPUTED_VALUE"""),"PreferencesMain")</f>
        <v>PreferencesMain</v>
      </c>
      <c r="B904" t="str">
        <f>IFERROR(__xludf.DUMMYFUNCTION("""COMPUTED_VALUE"""),"VerifyUpdateAssetSide")</f>
        <v>VerifyUpdateAssetSide</v>
      </c>
      <c r="C904" t="str">
        <f>IFERROR(__xludf.DUMMYFUNCTION("""COMPUTED_VALUE"""),"14aTeLjmUbS-nhaQwjtZAMGxdQ5DS6UsBjE5OTWN-LQU")</f>
        <v>14aTeLjmUbS-nhaQwjtZAMGxdQ5DS6UsBjE5OTWN-LQU</v>
      </c>
    </row>
    <row r="905" ht="15.75" customHeight="1">
      <c r="A905" t="str">
        <f>IFERROR(__xludf.DUMMYFUNCTION("""COMPUTED_VALUE"""),"PreferencesMain")</f>
        <v>PreferencesMain</v>
      </c>
      <c r="B905" t="str">
        <f>IFERROR(__xludf.DUMMYFUNCTION("""COMPUTED_VALUE"""),"SwicthTabPref")</f>
        <v>SwicthTabPref</v>
      </c>
      <c r="C905" t="str">
        <f>IFERROR(__xludf.DUMMYFUNCTION("""COMPUTED_VALUE"""),"14aTeLjmUbS-nhaQwjtZAMGxdQ5DS6UsBjE5OTWN-LQU")</f>
        <v>14aTeLjmUbS-nhaQwjtZAMGxdQ5DS6UsBjE5OTWN-LQU</v>
      </c>
    </row>
    <row r="906" ht="15.75" customHeight="1">
      <c r="A906" t="str">
        <f>IFERROR(__xludf.DUMMYFUNCTION("""COMPUTED_VALUE"""),"PreferencesMain")</f>
        <v>PreferencesMain</v>
      </c>
      <c r="B906" t="str">
        <f>IFERROR(__xludf.DUMMYFUNCTION("""COMPUTED_VALUE"""),"TTDefaultSelection")</f>
        <v>TTDefaultSelection</v>
      </c>
      <c r="C906" t="str">
        <f>IFERROR(__xludf.DUMMYFUNCTION("""COMPUTED_VALUE"""),"14aTeLjmUbS-nhaQwjtZAMGxdQ5DS6UsBjE5OTWN-LQU")</f>
        <v>14aTeLjmUbS-nhaQwjtZAMGxdQ5DS6UsBjE5OTWN-LQU</v>
      </c>
    </row>
    <row r="907" ht="15.75" customHeight="1">
      <c r="A907" t="str">
        <f>IFERROR(__xludf.DUMMYFUNCTION("""COMPUTED_VALUE"""),"PreferencesMain")</f>
        <v>PreferencesMain</v>
      </c>
      <c r="B907" t="str">
        <f>IFERROR(__xludf.DUMMYFUNCTION("""COMPUTED_VALUE"""),"TTNumSelection")</f>
        <v>TTNumSelection</v>
      </c>
      <c r="C907" t="str">
        <f>IFERROR(__xludf.DUMMYFUNCTION("""COMPUTED_VALUE"""),"14aTeLjmUbS-nhaQwjtZAMGxdQ5DS6UsBjE5OTWN-LQU")</f>
        <v>14aTeLjmUbS-nhaQwjtZAMGxdQ5DS6UsBjE5OTWN-LQU</v>
      </c>
    </row>
    <row r="908" ht="15.75" customHeight="1">
      <c r="A908" t="str">
        <f>IFERROR(__xludf.DUMMYFUNCTION("""COMPUTED_VALUE"""),"PreferencesMain")</f>
        <v>PreferencesMain</v>
      </c>
      <c r="B908" t="str">
        <f>IFERROR(__xludf.DUMMYFUNCTION("""COMPUTED_VALUE"""),"TTConfirmationPopUps")</f>
        <v>TTConfirmationPopUps</v>
      </c>
      <c r="C908" t="str">
        <f>IFERROR(__xludf.DUMMYFUNCTION("""COMPUTED_VALUE"""),"14aTeLjmUbS-nhaQwjtZAMGxdQ5DS6UsBjE5OTWN-LQU")</f>
        <v>14aTeLjmUbS-nhaQwjtZAMGxdQ5DS6UsBjE5OTWN-LQU</v>
      </c>
    </row>
    <row r="909" ht="15.75" customHeight="1">
      <c r="A909" t="str">
        <f>IFERROR(__xludf.DUMMYFUNCTION("""COMPUTED_VALUE"""),"PreferencesMain")</f>
        <v>PreferencesMain</v>
      </c>
      <c r="B909" t="str">
        <f>IFERROR(__xludf.DUMMYFUNCTION("""COMPUTED_VALUE"""),"VerifyUpdateBrokerPref")</f>
        <v>VerifyUpdateBrokerPref</v>
      </c>
      <c r="C909" t="str">
        <f>IFERROR(__xludf.DUMMYFUNCTION("""COMPUTED_VALUE"""),"14aTeLjmUbS-nhaQwjtZAMGxdQ5DS6UsBjE5OTWN-LQU")</f>
        <v>14aTeLjmUbS-nhaQwjtZAMGxdQ5DS6UsBjE5OTWN-LQU</v>
      </c>
    </row>
    <row r="910" ht="15.75" customHeight="1">
      <c r="A910" t="str">
        <f>IFERROR(__xludf.DUMMYFUNCTION("""COMPUTED_VALUE"""),"PreferencesMain")</f>
        <v>PreferencesMain</v>
      </c>
      <c r="B910" t="str">
        <f>IFERROR(__xludf.DUMMYFUNCTION("""COMPUTED_VALUE"""),"TTGeneralPref")</f>
        <v>TTGeneralPref</v>
      </c>
      <c r="C910" t="str">
        <f>IFERROR(__xludf.DUMMYFUNCTION("""COMPUTED_VALUE"""),"14aTeLjmUbS-nhaQwjtZAMGxdQ5DS6UsBjE5OTWN-LQU")</f>
        <v>14aTeLjmUbS-nhaQwjtZAMGxdQ5DS6UsBjE5OTWN-LQU</v>
      </c>
    </row>
    <row r="911" ht="15.75" customHeight="1">
      <c r="A911" t="str">
        <f>IFERROR(__xludf.DUMMYFUNCTION("""COMPUTED_VALUE"""),"PreferencesMain")</f>
        <v>PreferencesMain</v>
      </c>
      <c r="B911" t="str">
        <f>IFERROR(__xludf.DUMMYFUNCTION("""COMPUTED_VALUE"""),"UpdateClosingPref")</f>
        <v>UpdateClosingPref</v>
      </c>
      <c r="C911" t="str">
        <f>IFERROR(__xludf.DUMMYFUNCTION("""COMPUTED_VALUE"""),"14aTeLjmUbS-nhaQwjtZAMGxdQ5DS6UsBjE5OTWN-LQU")</f>
        <v>14aTeLjmUbS-nhaQwjtZAMGxdQ5DS6UsBjE5OTWN-LQU</v>
      </c>
    </row>
    <row r="912" ht="15.75" customHeight="1">
      <c r="A912" t="str">
        <f>IFERROR(__xludf.DUMMYFUNCTION("""COMPUTED_VALUE"""),"Allocation")</f>
        <v>Allocation</v>
      </c>
      <c r="B912" t="str">
        <f>IFERROR(__xludf.DUMMYFUNCTION("""COMPUTED_VALUE"""),"VerifyEditAttRenaming")</f>
        <v>VerifyEditAttRenaming</v>
      </c>
      <c r="C912" t="str">
        <f>IFERROR(__xludf.DUMMYFUNCTION("""COMPUTED_VALUE"""),"14aTeLjmUbS-nhaQwjtZAMGxdQ5DS6UsBjE5OTWN-LQU")</f>
        <v>14aTeLjmUbS-nhaQwjtZAMGxdQ5DS6UsBjE5OTWN-LQU</v>
      </c>
    </row>
    <row r="913" ht="15.75" customHeight="1">
      <c r="A913" t="str">
        <f>IFERROR(__xludf.DUMMYFUNCTION("""COMPUTED_VALUE"""),"Rebalancer")</f>
        <v>Rebalancer</v>
      </c>
      <c r="B913" t="str">
        <f>IFERROR(__xludf.DUMMYFUNCTION("""COMPUTED_VALUE"""),"VerifyTradeList")</f>
        <v>VerifyTradeList</v>
      </c>
      <c r="C913" t="str">
        <f>IFERROR(__xludf.DUMMYFUNCTION("""COMPUTED_VALUE"""),"14aTeLjmUbS-nhaQwjtZAMGxdQ5DS6UsBjE5OTWN-LQU")</f>
        <v>14aTeLjmUbS-nhaQwjtZAMGxdQ5DS6UsBjE5OTWN-LQU</v>
      </c>
    </row>
    <row r="914" ht="15.75" customHeight="1">
      <c r="A914" t="str">
        <f>IFERROR(__xludf.DUMMYFUNCTION("""COMPUTED_VALUE"""),"TradingTicket")</f>
        <v>TradingTicket</v>
      </c>
      <c r="B914" t="str">
        <f>IFERROR(__xludf.DUMMYFUNCTION("""COMPUTED_VALUE"""),"TTMainControls")</f>
        <v>TTMainControls</v>
      </c>
      <c r="C914" t="str">
        <f>IFERROR(__xludf.DUMMYFUNCTION("""COMPUTED_VALUE"""),"1DUwxSUq_47EK60XmK3LOdCXa1fkWqWJE9bLuGS3ccv412")</f>
        <v>1DUwxSUq_47EK60XmK3LOdCXa1fkWqWJE9bLuGS3ccv412</v>
      </c>
    </row>
    <row r="915" ht="15.75" customHeight="1">
      <c r="A915" t="str">
        <f>IFERROR(__xludf.DUMMYFUNCTION("""COMPUTED_VALUE"""),"TradingTicket")</f>
        <v>TradingTicket</v>
      </c>
      <c r="B915" t="str">
        <f>IFERROR(__xludf.DUMMYFUNCTION("""COMPUTED_VALUE"""),"VerifySymStrip")</f>
        <v>VerifySymStrip</v>
      </c>
      <c r="C915" t="str">
        <f>IFERROR(__xludf.DUMMYFUNCTION("""COMPUTED_VALUE"""),"1DUwxSUq_47EK60XmK3LOdCXa1fkWqWJE9bLuGS3ccv412")</f>
        <v>1DUwxSUq_47EK60XmK3LOdCXa1fkWqWJE9bLuGS3ccv412</v>
      </c>
    </row>
    <row r="916" ht="15.75" customHeight="1">
      <c r="A916" t="str">
        <f>IFERROR(__xludf.DUMMYFUNCTION("""COMPUTED_VALUE"""),"TradingTicket")</f>
        <v>TradingTicket</v>
      </c>
      <c r="B916" t="str">
        <f>IFERROR(__xludf.DUMMYFUNCTION("""COMPUTED_VALUE"""),"TTBottomTab")</f>
        <v>TTBottomTab</v>
      </c>
      <c r="C916" t="str">
        <f>IFERROR(__xludf.DUMMYFUNCTION("""COMPUTED_VALUE"""),"1DUwxSUq_47EK60XmK3LOdCXa1fkWqWJE9bLuGS3ccv412")</f>
        <v>1DUwxSUq_47EK60XmK3LOdCXa1fkWqWJE9bLuGS3ccv412</v>
      </c>
    </row>
    <row r="917" ht="15.75" customHeight="1">
      <c r="A917" t="str">
        <f>IFERROR(__xludf.DUMMYFUNCTION("""COMPUTED_VALUE"""),"TradingTicket")</f>
        <v>TradingTicket</v>
      </c>
      <c r="B917" t="str">
        <f>IFERROR(__xludf.DUMMYFUNCTION("""COMPUTED_VALUE"""),"TTBottomSwap")</f>
        <v>TTBottomSwap</v>
      </c>
      <c r="C917" t="str">
        <f>IFERROR(__xludf.DUMMYFUNCTION("""COMPUTED_VALUE"""),"1DUwxSUq_47EK60XmK3LOdCXa1fkWqWJE9bLuGS3ccv412")</f>
        <v>1DUwxSUq_47EK60XmK3LOdCXa1fkWqWJE9bLuGS3ccv412</v>
      </c>
    </row>
    <row r="918" ht="15.75" customHeight="1">
      <c r="A918" t="str">
        <f>IFERROR(__xludf.DUMMYFUNCTION("""COMPUTED_VALUE"""),"Blotter")</f>
        <v>Blotter</v>
      </c>
      <c r="B918" t="str">
        <f>IFERROR(__xludf.DUMMYFUNCTION("""COMPUTED_VALUE"""),"CreateHotButtonOnBlotter")</f>
        <v>CreateHotButtonOnBlotter</v>
      </c>
      <c r="C918" t="str">
        <f>IFERROR(__xludf.DUMMYFUNCTION("""COMPUTED_VALUE"""),"1Yu7Fb6AjhUP8b-KuRJvgAwq8TykNK6BDh9F0Xpf12Ek")</f>
        <v>1Yu7Fb6AjhUP8b-KuRJvgAwq8TykNK6BDh9F0Xpf12Ek</v>
      </c>
    </row>
    <row r="919" ht="15.75" customHeight="1">
      <c r="A919" t="str">
        <f>IFERROR(__xludf.DUMMYFUNCTION("""COMPUTED_VALUE"""),"Blotter")</f>
        <v>Blotter</v>
      </c>
      <c r="B919" t="str">
        <f>IFERROR(__xludf.DUMMYFUNCTION("""COMPUTED_VALUE"""),"FillHBdetailsOnBlotter")</f>
        <v>FillHBdetailsOnBlotter</v>
      </c>
      <c r="C919" t="str">
        <f>IFERROR(__xludf.DUMMYFUNCTION("""COMPUTED_VALUE"""),"13Isj5c5k8kObxI-GBT6Ir9VBOz_46lzhwVxXXVP8jQU")</f>
        <v>13Isj5c5k8kObxI-GBT6Ir9VBOz_46lzhwVxXXVP8jQU</v>
      </c>
    </row>
    <row r="920" ht="15.75" customHeight="1">
      <c r="A920" t="str">
        <f>IFERROR(__xludf.DUMMYFUNCTION("""COMPUTED_VALUE"""),"TradingTicket")</f>
        <v>TradingTicket</v>
      </c>
      <c r="B920" t="str">
        <f>IFERROR(__xludf.DUMMYFUNCTION("""COMPUTED_VALUE"""),"EditAuecWindow")</f>
        <v>EditAuecWindow</v>
      </c>
      <c r="C920" t="str">
        <f>IFERROR(__xludf.DUMMYFUNCTION("""COMPUTED_VALUE"""),"1ottlNphVbp0AC-UFd-HlDpCLwOA2yWO1pN6eR3ML7vA")</f>
        <v>1ottlNphVbp0AC-UFd-HlDpCLwOA2yWO1pN6eR3ML7vA</v>
      </c>
    </row>
    <row r="921" ht="15.75" customHeight="1">
      <c r="A921" t="str">
        <f>IFERROR(__xludf.DUMMYFUNCTION("""COMPUTED_VALUE"""),"TradingTicket")</f>
        <v>TradingTicket</v>
      </c>
      <c r="B921" t="str">
        <f>IFERROR(__xludf.DUMMYFUNCTION("""COMPUTED_VALUE"""),"VerifyBrokerSummary")</f>
        <v>VerifyBrokerSummary</v>
      </c>
      <c r="C921" t="str">
        <f>IFERROR(__xludf.DUMMYFUNCTION("""COMPUTED_VALUE"""),"11hMxlfIQYwM8vPN2h--IGp7O02EDFbvJ4CSvjSfGsMY")</f>
        <v>11hMxlfIQYwM8vPN2h--IGp7O02EDFbvJ4CSvjSfGsMY</v>
      </c>
    </row>
    <row r="922" ht="15.75" customHeight="1">
      <c r="A922" t="str">
        <f>IFERROR(__xludf.DUMMYFUNCTION("""COMPUTED_VALUE"""),"QTT")</f>
        <v>QTT</v>
      </c>
      <c r="B922" t="str">
        <f>IFERROR(__xludf.DUMMYFUNCTION("""COMPUTED_VALUE"""),"EditAuecWindowQTT")</f>
        <v>EditAuecWindowQTT</v>
      </c>
      <c r="C922" t="str">
        <f>IFERROR(__xludf.DUMMYFUNCTION("""COMPUTED_VALUE"""),"1oI_WY3xKQgSjp5JN67BMHtm3zazX5ZiMATISa2ssGB0")</f>
        <v>1oI_WY3xKQgSjp5JN67BMHtm3zazX5ZiMATISa2ssGB0</v>
      </c>
    </row>
    <row r="923" ht="15.75" customHeight="1">
      <c r="A923" t="str">
        <f>IFERROR(__xludf.DUMMYFUNCTION("""COMPUTED_VALUE"""),"QTT")</f>
        <v>QTT</v>
      </c>
      <c r="B923" t="str">
        <f>IFERROR(__xludf.DUMMYFUNCTION("""COMPUTED_VALUE"""),"VerifyBrokerSummaryQTT")</f>
        <v>VerifyBrokerSummaryQTT</v>
      </c>
      <c r="C923" t="str">
        <f>IFERROR(__xludf.DUMMYFUNCTION("""COMPUTED_VALUE"""),"1O6-eqYsZqtvYR6DOH7UM2_Jwpq9pB9uyZvgh5vEhVAI")</f>
        <v>1O6-eqYsZqtvYR6DOH7UM2_Jwpq9pB9uyZvgh5vEhVAI</v>
      </c>
    </row>
    <row r="924" ht="15.75" customHeight="1">
      <c r="A924" t="str">
        <f>IFERROR(__xludf.DUMMYFUNCTION("""COMPUTED_VALUE"""),"QTT")</f>
        <v>QTT</v>
      </c>
      <c r="B924" t="str">
        <f>IFERROR(__xludf.DUMMYFUNCTION("""COMPUTED_VALUE"""),"SaveQTThotKey")</f>
        <v>SaveQTThotKey</v>
      </c>
      <c r="C924" t="str">
        <f>IFERROR(__xludf.DUMMYFUNCTION("""COMPUTED_VALUE"""),"Undefined")</f>
        <v>Undefined</v>
      </c>
    </row>
    <row r="925" ht="15.75" customHeight="1">
      <c r="A925" t="str">
        <f>IFERROR(__xludf.DUMMYFUNCTION("""COMPUTED_VALUE"""),"Blotter")</f>
        <v>Blotter</v>
      </c>
      <c r="B925" t="str">
        <f>IFERROR(__xludf.DUMMYFUNCTION("""COMPUTED_VALUE"""),"BlotterColumnChooser")</f>
        <v>BlotterColumnChooser</v>
      </c>
      <c r="C925" t="str">
        <f>IFERROR(__xludf.DUMMYFUNCTION("""COMPUTED_VALUE"""),"12428TbyucuJDD3KuN7QG-GyRYI3gcoyDNKTQ2UpgGMQ")</f>
        <v>12428TbyucuJDD3KuN7QG-GyRYI3gcoyDNKTQ2UpgGMQ</v>
      </c>
    </row>
    <row r="926" ht="15.75" customHeight="1">
      <c r="A926" t="str">
        <f>IFERROR(__xludf.DUMMYFUNCTION("""COMPUTED_VALUE"""),"RTPNL")</f>
        <v>RTPNL</v>
      </c>
      <c r="B926" t="str">
        <f>IFERROR(__xludf.DUMMYFUNCTION("""COMPUTED_VALUE"""),"CreateGroupingWidget")</f>
        <v>CreateGroupingWidget</v>
      </c>
      <c r="C926" t="str">
        <f>IFERROR(__xludf.DUMMYFUNCTION("""COMPUTED_VALUE"""),"1ctXhgvJgrqqe8ees0907Up0TKq9pCEhinMlZnRGqKdY")</f>
        <v>1ctXhgvJgrqqe8ees0907Up0TKq9pCEhinMlZnRGqKdY</v>
      </c>
    </row>
    <row r="927" ht="15.75" customHeight="1">
      <c r="A927" t="str">
        <f>IFERROR(__xludf.DUMMYFUNCTION("""COMPUTED_VALUE"""),"RTPNL")</f>
        <v>RTPNL</v>
      </c>
      <c r="B927" t="str">
        <f>IFERROR(__xludf.DUMMYFUNCTION("""COMPUTED_VALUE"""),"CheckGroupingWidget")</f>
        <v>CheckGroupingWidget</v>
      </c>
      <c r="C927" t="str">
        <f>IFERROR(__xludf.DUMMYFUNCTION("""COMPUTED_VALUE"""),"16mimyUFzQ0Ojogh0t4Evjy-tjzAJ67xgIrWeTNmBdw0")</f>
        <v>16mimyUFzQ0Ojogh0t4Evjy-tjzAJ67xgIrWeTNmBdw0</v>
      </c>
    </row>
    <row r="928" ht="15.75" customHeight="1">
      <c r="A928" t="str">
        <f>IFERROR(__xludf.DUMMYFUNCTION("""COMPUTED_VALUE"""),"TradingTicket")</f>
        <v>TradingTicket</v>
      </c>
      <c r="B928" t="str">
        <f>IFERROR(__xludf.DUMMYFUNCTION("""COMPUTED_VALUE"""),"QTTHamburg")</f>
        <v>QTTHamburg</v>
      </c>
      <c r="C928" t="str">
        <f>IFERROR(__xludf.DUMMYFUNCTION("""COMPUTED_VALUE"""),"1pdXDcLRWAl2b2L88lHCntj01OLBjVHaNAdGG8OHa4hA")</f>
        <v>1pdXDcLRWAl2b2L88lHCntj01OLBjVHaNAdGG8OHa4hA</v>
      </c>
    </row>
    <row r="929" ht="15.75" customHeight="1">
      <c r="A929" t="str">
        <f>IFERROR(__xludf.DUMMYFUNCTION("""COMPUTED_VALUE"""),"RTPNL")</f>
        <v>RTPNL</v>
      </c>
      <c r="B929" t="str">
        <f>IFERROR(__xludf.DUMMYFUNCTION("""COMPUTED_VALUE"""),"VerifyL1L2PanelRTPNL")</f>
        <v>VerifyL1L2PanelRTPNL</v>
      </c>
      <c r="C929" t="str">
        <f>IFERROR(__xludf.DUMMYFUNCTION("""COMPUTED_VALUE"""),"1cQo_rX9O9XHFILj0ICV1GAU_RdtTKYlclT20jg9G7hg")</f>
        <v>1cQo_rX9O9XHFILj0ICV1GAU_RdtTKYlclT20jg9G7hg</v>
      </c>
    </row>
    <row r="930" ht="15.75" customHeight="1">
      <c r="A930" t="str">
        <f>IFERROR(__xludf.DUMMYFUNCTION("""COMPUTED_VALUE"""),"Blotter")</f>
        <v>Blotter</v>
      </c>
      <c r="B930" t="str">
        <f>IFERROR(__xludf.DUMMYFUNCTION("""COMPUTED_VALUE"""),"CaptureHotButtonDetails")</f>
        <v>CaptureHotButtonDetails</v>
      </c>
      <c r="C930" t="str">
        <f>IFERROR(__xludf.DUMMYFUNCTION("""COMPUTED_VALUE"""),"16Dail-EoPWyIhwRzxyvr-EY1IE8jJTUQDarvGnXioxI")</f>
        <v>16Dail-EoPWyIhwRzxyvr-EY1IE8jJTUQDarvGnXioxI</v>
      </c>
    </row>
    <row r="931" ht="15.75" customHeight="1">
      <c r="A931" t="str">
        <f>IFERROR(__xludf.DUMMYFUNCTION("""COMPUTED_VALUE"""),"SymbolLookup")</f>
        <v>SymbolLookup</v>
      </c>
      <c r="B931" t="str">
        <f>IFERROR(__xludf.DUMMYFUNCTION("""COMPUTED_VALUE"""),"EditSMGrid")</f>
        <v>EditSMGrid</v>
      </c>
      <c r="C931" t="str">
        <f>IFERROR(__xludf.DUMMYFUNCTION("""COMPUTED_VALUE"""),"14aTeLjmUbS-nhaQwjtZAMGxdQ5DS6UsBjE5OTWN-LQU")</f>
        <v>14aTeLjmUbS-nhaQwjtZAMGxdQ5DS6UsBjE5OTWN-LQU</v>
      </c>
    </row>
    <row r="932" ht="15.75" customHeight="1">
      <c r="A932" t="str">
        <f>IFERROR(__xludf.DUMMYFUNCTION("""COMPUTED_VALUE"""),"QTT")</f>
        <v>QTT</v>
      </c>
      <c r="B932" t="str">
        <f>IFERROR(__xludf.DUMMYFUNCTION("""COMPUTED_VALUE"""),"EditQuickPreference")</f>
        <v>EditQuickPreference</v>
      </c>
      <c r="C932" t="str">
        <f>IFERROR(__xludf.DUMMYFUNCTION("""COMPUTED_VALUE"""),"133vNW3loXmIKhcuaiCwGIGXOULCttZuJZtPfA4s37vw")</f>
        <v>133vNW3loXmIKhcuaiCwGIGXOULCttZuJZtPfA4s37vw</v>
      </c>
    </row>
    <row r="933" ht="15.75" customHeight="1">
      <c r="A933" t="str">
        <f>IFERROR(__xludf.DUMMYFUNCTION("""COMPUTED_VALUE"""),"Blotter")</f>
        <v>Blotter</v>
      </c>
      <c r="B933" t="str">
        <f>IFERROR(__xludf.DUMMYFUNCTION("""COMPUTED_VALUE"""),"RightClickActionVerification")</f>
        <v>RightClickActionVerification</v>
      </c>
      <c r="C933" t="str">
        <f>IFERROR(__xludf.DUMMYFUNCTION("""COMPUTED_VALUE"""),"11EX1Ln-BQAtx9NTd9zfcaia52FGNdZENDW2kwMCJ8HQ")</f>
        <v>11EX1Ln-BQAtx9NTd9zfcaia52FGNdZENDW2kwMCJ8HQ</v>
      </c>
    </row>
    <row r="934" ht="15.75" customHeight="1">
      <c r="A934" t="str">
        <f>IFERROR(__xludf.DUMMYFUNCTION("""COMPUTED_VALUE"""),"SymbolLookup")</f>
        <v>SymbolLookup</v>
      </c>
      <c r="B934" t="str">
        <f>IFERROR(__xludf.DUMMYFUNCTION("""COMPUTED_VALUE"""),"PageOneDetails")</f>
        <v>PageOneDetails</v>
      </c>
      <c r="C934" t="str">
        <f>IFERROR(__xludf.DUMMYFUNCTION("""COMPUTED_VALUE"""),"11EX1Ln-BQAtx9NTd9zfcaia52FGNdZENDW2kwMCJ8HQ")</f>
        <v>11EX1Ln-BQAtx9NTd9zfcaia52FGNdZENDW2kwMCJ8HQ</v>
      </c>
    </row>
    <row r="935" ht="15.75" customHeight="1">
      <c r="A935" t="str">
        <f>IFERROR(__xludf.DUMMYFUNCTION("""COMPUTED_VALUE"""),"SymbolLookup")</f>
        <v>SymbolLookup</v>
      </c>
      <c r="B935" t="str">
        <f>IFERROR(__xludf.DUMMYFUNCTION("""COMPUTED_VALUE"""),"ActionOnSI")</f>
        <v>ActionOnSI</v>
      </c>
      <c r="C935" t="str">
        <f>IFERROR(__xludf.DUMMYFUNCTION("""COMPUTED_VALUE"""),"11EX1Ln-BQAtx9NTd9zfcaia52FGNdZENDW2kwMCJ8HQ")</f>
        <v>11EX1Ln-BQAtx9NTd9zfcaia52FGNdZENDW2kwMCJ8HQ</v>
      </c>
    </row>
    <row r="936" ht="15.75" customHeight="1">
      <c r="A936" t="str">
        <f>IFERROR(__xludf.DUMMYFUNCTION("""COMPUTED_VALUE"""),"SymbolLookup")</f>
        <v>SymbolLookup</v>
      </c>
      <c r="B936" t="str">
        <f>IFERROR(__xludf.DUMMYFUNCTION("""COMPUTED_VALUE"""),"PageTwoDetails")</f>
        <v>PageTwoDetails</v>
      </c>
      <c r="C936" t="str">
        <f>IFERROR(__xludf.DUMMYFUNCTION("""COMPUTED_VALUE"""),"11EX1Ln-BQAtx9NTd9zfcaia52FGNdZENDW2kwMCJ8HQ")</f>
        <v>11EX1Ln-BQAtx9NTd9zfcaia52FGNdZENDW2kwMCJ8HQ</v>
      </c>
    </row>
    <row r="937" ht="15.75" customHeight="1">
      <c r="A937" t="str">
        <f>IFERROR(__xludf.DUMMYFUNCTION("""COMPUTED_VALUE"""),"SymbolLookup")</f>
        <v>SymbolLookup</v>
      </c>
      <c r="B937" t="str">
        <f>IFERROR(__xludf.DUMMYFUNCTION("""COMPUTED_VALUE"""),"ActiononSMPane")</f>
        <v>ActiononSMPane</v>
      </c>
      <c r="C937" t="str">
        <f>IFERROR(__xludf.DUMMYFUNCTION("""COMPUTED_VALUE"""),"11EX1Ln-BQAtx9NTd9zfcaia52FGNdZENDW2kwMCJ8HQ")</f>
        <v>11EX1Ln-BQAtx9NTd9zfcaia52FGNdZENDW2kwMCJ8HQ</v>
      </c>
    </row>
    <row r="938" ht="15.75" customHeight="1">
      <c r="A938" t="str">
        <f>IFERROR(__xludf.DUMMYFUNCTION("""COMPUTED_VALUE"""),"SymbolLookup")</f>
        <v>SymbolLookup</v>
      </c>
      <c r="B938" t="str">
        <f>IFERROR(__xludf.DUMMYFUNCTION("""COMPUTED_VALUE"""),"PageThreeDetails")</f>
        <v>PageThreeDetails</v>
      </c>
      <c r="C938" t="str">
        <f>IFERROR(__xludf.DUMMYFUNCTION("""COMPUTED_VALUE"""),"11EX1Ln-BQAtx9NTd9zfcaia52FGNdZENDW2kwMCJ8HQ")</f>
        <v>11EX1Ln-BQAtx9NTd9zfcaia52FGNdZENDW2kwMCJ8HQ</v>
      </c>
    </row>
    <row r="939" ht="15.75" customHeight="1">
      <c r="A939" t="str">
        <f>IFERROR(__xludf.DUMMYFUNCTION("""COMPUTED_VALUE"""),"SymbolLookup")</f>
        <v>SymbolLookup</v>
      </c>
      <c r="B939" t="str">
        <f>IFERROR(__xludf.DUMMYFUNCTION("""COMPUTED_VALUE"""),"VerifySMGrid")</f>
        <v>VerifySMGrid</v>
      </c>
      <c r="C939" t="str">
        <f>IFERROR(__xludf.DUMMYFUNCTION("""COMPUTED_VALUE"""),"11EX1Ln-BQAtx9NTd9zfcaia52FGNdZENDW2kwMCJ8HQ")</f>
        <v>11EX1Ln-BQAtx9NTd9zfcaia52FGNdZENDW2kwMCJ8HQ</v>
      </c>
    </row>
    <row r="940" ht="15.75" customHeight="1">
      <c r="A940" t="str">
        <f>IFERROR(__xludf.DUMMYFUNCTION("""COMPUTED_VALUE"""),"SymbolLookup")</f>
        <v>SymbolLookup</v>
      </c>
      <c r="B940" t="str">
        <f>IFERROR(__xludf.DUMMYFUNCTION("""COMPUTED_VALUE"""),"PageFourDetails")</f>
        <v>PageFourDetails</v>
      </c>
      <c r="C940" t="str">
        <f>IFERROR(__xludf.DUMMYFUNCTION("""COMPUTED_VALUE"""),"11EX1Ln-BQAtx9NTd9zfcaia52FGNdZENDW2kwMCJ8HQ")</f>
        <v>11EX1Ln-BQAtx9NTd9zfcaia52FGNdZENDW2kwMCJ8HQ</v>
      </c>
    </row>
    <row r="941" ht="15.75" customHeight="1">
      <c r="A941" t="str">
        <f>IFERROR(__xludf.DUMMYFUNCTION("""COMPUTED_VALUE"""),"Admin")</f>
        <v>Admin</v>
      </c>
      <c r="B941" t="str">
        <f>IFERROR(__xludf.DUMMYFUNCTION("""COMPUTED_VALUE"""),"ChangeDate")</f>
        <v>ChangeDate</v>
      </c>
      <c r="C941" t="str">
        <f>IFERROR(__xludf.DUMMYFUNCTION("""COMPUTED_VALUE"""),"1P5fd0ftHTs8WR6XF70cltzN5BPur7V01OcYEMpPEMVE")</f>
        <v>1P5fd0ftHTs8WR6XF70cltzN5BPur7V01OcYEMpPEMVE</v>
      </c>
    </row>
    <row r="942" ht="15.75" customHeight="1">
      <c r="A942" t="str">
        <f>IFERROR(__xludf.DUMMYFUNCTION("""COMPUTED_VALUE"""),"Simulator")</f>
        <v>Simulator</v>
      </c>
      <c r="B942" t="str">
        <f>IFERROR(__xludf.DUMMYFUNCTION("""COMPUTED_VALUE"""),"NewAcknowledgeTrade")</f>
        <v>NewAcknowledgeTrade</v>
      </c>
      <c r="C942" t="str">
        <f>IFERROR(__xludf.DUMMYFUNCTION("""COMPUTED_VALUE"""),"1H8R-FdslnMhiBZjAanQN5V9z26E47VjoaeJWQdGZ2pU")</f>
        <v>1H8R-FdslnMhiBZjAanQN5V9z26E47VjoaeJWQdGZ2pU</v>
      </c>
    </row>
    <row r="943" ht="15.75" customHeight="1">
      <c r="A943" t="str">
        <f>IFERROR(__xludf.DUMMYFUNCTION("""COMPUTED_VALUE"""),"Allocation")</f>
        <v>Allocation</v>
      </c>
      <c r="B943" t="str">
        <f>IFERROR(__xludf.DUMMYFUNCTION("""COMPUTED_VALUE"""),"ActionOnToolBar")</f>
        <v>ActionOnToolBar</v>
      </c>
      <c r="C943" t="str">
        <f>IFERROR(__xludf.DUMMYFUNCTION("""COMPUTED_VALUE"""),"11EX1Ln-BQAtx9NTd9zfcaia52FGNdZENDW2kwMCJ8HQ")</f>
        <v>11EX1Ln-BQAtx9NTd9zfcaia52FGNdZENDW2kwMCJ8HQ</v>
      </c>
    </row>
    <row r="944" ht="15.75" customHeight="1">
      <c r="A944" t="str">
        <f>IFERROR(__xludf.DUMMYFUNCTION("""COMPUTED_VALUE"""),"Allocation")</f>
        <v>Allocation</v>
      </c>
      <c r="B944" t="str">
        <f>IFERROR(__xludf.DUMMYFUNCTION("""COMPUTED_VALUE"""),"AutoGrpRules")</f>
        <v>AutoGrpRules</v>
      </c>
      <c r="C944" t="str">
        <f>IFERROR(__xludf.DUMMYFUNCTION("""COMPUTED_VALUE"""),"11EX1Ln-BQAtx9NTd9zfcaia52FGNdZENDW2kwMCJ8HQ")</f>
        <v>11EX1Ln-BQAtx9NTd9zfcaia52FGNdZENDW2kwMCJ8HQ</v>
      </c>
    </row>
    <row r="945" ht="15.75" customHeight="1">
      <c r="A945" t="str">
        <f>IFERROR(__xludf.DUMMYFUNCTION("""COMPUTED_VALUE"""),"Allocation")</f>
        <v>Allocation</v>
      </c>
      <c r="B945" t="str">
        <f>IFERROR(__xludf.DUMMYFUNCTION("""COMPUTED_VALUE"""),"VerifyToggleStateTA")</f>
        <v>VerifyToggleStateTA</v>
      </c>
      <c r="C945" t="str">
        <f>IFERROR(__xludf.DUMMYFUNCTION("""COMPUTED_VALUE"""),"11EX1Ln-BQAtx9NTd9zfcaia52FGNdZENDW2kwMCJ8HQ")</f>
        <v>11EX1Ln-BQAtx9NTd9zfcaia52FGNdZENDW2kwMCJ8HQ</v>
      </c>
    </row>
    <row r="946" ht="15.75" customHeight="1">
      <c r="A946" t="str">
        <f>IFERROR(__xludf.DUMMYFUNCTION("""COMPUTED_VALUE"""),"Expnl")</f>
        <v>Expnl</v>
      </c>
      <c r="B946" t="str">
        <f>IFERROR(__xludf.DUMMYFUNCTION("""COMPUTED_VALUE"""),"RefreshExpnlUi")</f>
        <v>RefreshExpnlUi</v>
      </c>
      <c r="C946" t="str">
        <f>IFERROR(__xludf.DUMMYFUNCTION("""COMPUTED_VALUE"""),"Undefined")</f>
        <v>Undefined</v>
      </c>
    </row>
    <row r="947" ht="15.75" customHeight="1">
      <c r="A947" t="str">
        <f>IFERROR(__xludf.DUMMYFUNCTION("""COMPUTED_VALUE"""),"Allocation")</f>
        <v>Allocation</v>
      </c>
      <c r="B947" t="str">
        <f>IFERROR(__xludf.DUMMYFUNCTION("""COMPUTED_VALUE"""),"ActiononAGP")</f>
        <v>ActiononAGP</v>
      </c>
      <c r="C947" t="str">
        <f>IFERROR(__xludf.DUMMYFUNCTION("""COMPUTED_VALUE"""),"11EX1Ln-BQAtx9NTd9zfcaia52FGNdZENDW2kwMCJ8HQ")</f>
        <v>11EX1Ln-BQAtx9NTd9zfcaia52FGNdZENDW2kwMCJ8HQ</v>
      </c>
    </row>
    <row r="948" ht="15.75" customHeight="1">
      <c r="A948" t="str">
        <f>IFERROR(__xludf.DUMMYFUNCTION("""COMPUTED_VALUE"""),"Allocation")</f>
        <v>Allocation</v>
      </c>
      <c r="B948" t="str">
        <f>IFERROR(__xludf.DUMMYFUNCTION("""COMPUTED_VALUE"""),"AttBulkChng")</f>
        <v>AttBulkChng</v>
      </c>
      <c r="C948" t="str">
        <f>IFERROR(__xludf.DUMMYFUNCTION("""COMPUTED_VALUE"""),"11EX1Ln-BQAtx9NTd9zfcaia52FGNdZENDW2kwMCJ8HQ")</f>
        <v>11EX1Ln-BQAtx9NTd9zfcaia52FGNdZENDW2kwMCJ8HQ</v>
      </c>
    </row>
    <row r="949" ht="15.75" customHeight="1">
      <c r="A949" t="str">
        <f>IFERROR(__xludf.DUMMYFUNCTION("""COMPUTED_VALUE"""),"Allocation")</f>
        <v>Allocation</v>
      </c>
      <c r="B949" t="str">
        <f>IFERROR(__xludf.DUMMYFUNCTION("""COMPUTED_VALUE"""),"AttBulkChngTwo")</f>
        <v>AttBulkChngTwo</v>
      </c>
      <c r="C949" t="str">
        <f>IFERROR(__xludf.DUMMYFUNCTION("""COMPUTED_VALUE"""),"11EX1Ln-BQAtx9NTd9zfcaia52FGNdZENDW2kwMCJ8HQ")</f>
        <v>11EX1Ln-BQAtx9NTd9zfcaia52FGNdZENDW2kwMCJ8HQ</v>
      </c>
    </row>
    <row r="950" ht="15.75" customHeight="1">
      <c r="A950" t="str">
        <f>IFERROR(__xludf.DUMMYFUNCTION("""COMPUTED_VALUE"""),"Login")</f>
        <v>Login</v>
      </c>
      <c r="B950" t="str">
        <f>IFERROR(__xludf.DUMMYFUNCTION("""COMPUTED_VALUE"""),"Login")</f>
        <v>Login</v>
      </c>
      <c r="C950" t="str">
        <f>IFERROR(__xludf.DUMMYFUNCTION("""COMPUTED_VALUE"""),"1uy63r2XjpUIBlAUk-lXKJTr-PpvpP6wxvLlLDzoM-Ic")</f>
        <v>1uy63r2XjpUIBlAUk-lXKJTr-PpvpP6wxvLlLDzoM-Ic</v>
      </c>
    </row>
    <row r="951" ht="15.75" customHeight="1">
      <c r="A951" t="str">
        <f>IFERROR(__xludf.DUMMYFUNCTION("""COMPUTED_VALUE"""),"Simulator")</f>
        <v>Simulator</v>
      </c>
      <c r="B951" t="str">
        <f>IFERROR(__xludf.DUMMYFUNCTION("""COMPUTED_VALUE"""),"VerifyRowAllFixLogs")</f>
        <v>VerifyRowAllFixLogs</v>
      </c>
      <c r="C951" t="str">
        <f>IFERROR(__xludf.DUMMYFUNCTION("""COMPUTED_VALUE"""),"1_W_DB1rnbV-zXf1aqv8VkPNpTGPIckmD7s5z0ncm4ho")</f>
        <v>1_W_DB1rnbV-zXf1aqv8VkPNpTGPIckmD7s5z0ncm4ho</v>
      </c>
    </row>
    <row r="952" ht="15.75" customHeight="1">
      <c r="A952" t="str">
        <f>IFERROR(__xludf.DUMMYFUNCTION("""COMPUTED_VALUE"""),"Blotter")</f>
        <v>Blotter</v>
      </c>
      <c r="B952" t="str">
        <f>IFERROR(__xludf.DUMMYFUNCTION("""COMPUTED_VALUE"""),"ManageHotButton")</f>
        <v>ManageHotButton</v>
      </c>
      <c r="C952" t="str">
        <f>IFERROR(__xludf.DUMMYFUNCTION("""COMPUTED_VALUE"""),"1kQpkPRi_1u4R3VazjhiilbOI8OkiiHRY2wfgByau1YY")</f>
        <v>1kQpkPRi_1u4R3VazjhiilbOI8OkiiHRY2wfgByau1YY</v>
      </c>
    </row>
    <row r="953" ht="15.75" customHeight="1">
      <c r="A953" t="str">
        <f>IFERROR(__xludf.DUMMYFUNCTION("""COMPUTED_VALUE"""),"Simulator")</f>
        <v>Simulator</v>
      </c>
      <c r="B953" t="str">
        <f>IFERROR(__xludf.DUMMYFUNCTION("""COMPUTED_VALUE"""),"ClearAllFixLogs")</f>
        <v>ClearAllFixLogs</v>
      </c>
    </row>
    <row r="954" ht="15.75" customHeight="1">
      <c r="A954" t="str">
        <f>IFERROR(__xludf.DUMMYFUNCTION("""COMPUTED_VALUE"""),"PranaClient")</f>
        <v>PranaClient</v>
      </c>
      <c r="B954" t="str">
        <f>IFERROR(__xludf.DUMMYFUNCTION("""COMPUTED_VALUE"""),"UpdateLiveExcelSheetForRTPNL")</f>
        <v>UpdateLiveExcelSheetForRTPNL</v>
      </c>
    </row>
    <row r="955" ht="15.75" customHeight="1">
      <c r="A955" t="str">
        <f>IFERROR(__xludf.DUMMYFUNCTION("""COMPUTED_VALUE"""),"OpenFin")</f>
        <v>OpenFin</v>
      </c>
      <c r="B955" t="str">
        <f>IFERROR(__xludf.DUMMYFUNCTION("""COMPUTED_VALUE"""),"SavePageRTPNL")</f>
        <v>SavePageRTPNL</v>
      </c>
      <c r="C955" t="str">
        <f>IFERROR(__xludf.DUMMYFUNCTION("""COMPUTED_VALUE"""),"1YqhSG4yXo70SfhUq3fYD9CKf-eg44IFJ37IZh4WLI84")</f>
        <v>1YqhSG4yXo70SfhUq3fYD9CKf-eg44IFJ37IZh4WLI84</v>
      </c>
    </row>
    <row r="956" ht="15.75" customHeight="1">
      <c r="A956" t="str">
        <f>IFERROR(__xludf.DUMMYFUNCTION("""COMPUTED_VALUE"""),"RTPNL")</f>
        <v>RTPNL</v>
      </c>
      <c r="B956" t="str">
        <f>IFERROR(__xludf.DUMMYFUNCTION("""COMPUTED_VALUE"""),"VerifyGridThroughLiveExcel")</f>
        <v>VerifyGridThroughLiveExcel</v>
      </c>
      <c r="C956" t="str">
        <f>IFERROR(__xludf.DUMMYFUNCTION("""COMPUTED_VALUE"""),"1cCUw9lchUCKgHeNcwCDXybCOZXIeN4O0zRhkTZCVDUg")</f>
        <v>1cCUw9lchUCKgHeNcwCDXybCOZXIeN4O0zRhkTZCVDUg</v>
      </c>
    </row>
    <row r="957" ht="15.75" customHeight="1">
      <c r="A957" t="str">
        <f>IFERROR(__xludf.DUMMYFUNCTION("""COMPUTED_VALUE"""),"OpenFin")</f>
        <v>OpenFin</v>
      </c>
      <c r="B957" t="str">
        <f>IFERROR(__xludf.DUMMYFUNCTION("""COMPUTED_VALUE"""),"VerifyToastMessage")</f>
        <v>VerifyToastMessage</v>
      </c>
      <c r="C957" t="str">
        <f>IFERROR(__xludf.DUMMYFUNCTION("""COMPUTED_VALUE"""),"1DYn70fZ-UJ9bocMMWUWIW2IVfXlF5TRVuLedi7Y_LNk")</f>
        <v>1DYn70fZ-UJ9bocMMWUWIW2IVfXlF5TRVuLedi7Y_LNk</v>
      </c>
    </row>
    <row r="958" ht="15.75" customHeight="1">
      <c r="A958" t="str">
        <f>IFERROR(__xludf.DUMMYFUNCTION("""COMPUTED_VALUE"""),"NavLock")</f>
        <v>NavLock</v>
      </c>
      <c r="B958" t="str">
        <f>IFERROR(__xludf.DUMMYFUNCTION("""COMPUTED_VALUE"""),"VerifyNavLockGrid")</f>
        <v>VerifyNavLockGrid</v>
      </c>
      <c r="C958" t="str">
        <f>IFERROR(__xludf.DUMMYFUNCTION("""COMPUTED_VALUE"""),"11EX1Ln-BQAtx9NTd9zfcaia52FGNdZENDW2kwMCJ8HQ")</f>
        <v>11EX1Ln-BQAtx9NTd9zfcaia52FGNdZENDW2kwMCJ8HQ</v>
      </c>
    </row>
    <row r="959" ht="15.75" customHeight="1">
      <c r="A959" t="str">
        <f>IFERROR(__xludf.DUMMYFUNCTION("""COMPUTED_VALUE"""),"RTPNL")</f>
        <v>RTPNL</v>
      </c>
      <c r="B959" t="str">
        <f>IFERROR(__xludf.DUMMYFUNCTION("""COMPUTED_VALUE"""),"ApplyColumnFilter")</f>
        <v>ApplyColumnFilter</v>
      </c>
      <c r="C959" t="str">
        <f>IFERROR(__xludf.DUMMYFUNCTION("""COMPUTED_VALUE"""),"1N9Nn6t5kuoUpj5sQRZwukYuXz8skh2F7E53j1Um1W1A")</f>
        <v>1N9Nn6t5kuoUpj5sQRZwukYuXz8skh2F7E53j1Um1W1A</v>
      </c>
    </row>
    <row r="960" ht="15.75" customHeight="1">
      <c r="A960" t="str">
        <f>IFERROR(__xludf.DUMMYFUNCTION("""COMPUTED_VALUE"""),"Closing")</f>
        <v>Closing</v>
      </c>
      <c r="B960" t="str">
        <f>IFERROR(__xludf.DUMMYFUNCTION("""COMPUTED_VALUE"""),"GetClosingData")</f>
        <v>GetClosingData</v>
      </c>
      <c r="C960" t="str">
        <f>IFERROR(__xludf.DUMMYFUNCTION("""COMPUTED_VALUE"""),"11EX1Ln-BQAtx9NTd9zfcaia52FGNdZENDW2kwMCJ9HQ")</f>
        <v>11EX1Ln-BQAtx9NTd9zfcaia52FGNdZENDW2kwMCJ9HQ</v>
      </c>
    </row>
    <row r="961" ht="15.75" customHeight="1">
      <c r="A961" t="str">
        <f>IFERROR(__xludf.DUMMYFUNCTION("""COMPUTED_VALUE"""),"Closing")</f>
        <v>Closing</v>
      </c>
      <c r="B961" t="str">
        <f>IFERROR(__xludf.DUMMYFUNCTION("""COMPUTED_VALUE"""),"CloseAmendOprtn")</f>
        <v>CloseAmendOprtn</v>
      </c>
      <c r="C961" t="str">
        <f>IFERROR(__xludf.DUMMYFUNCTION("""COMPUTED_VALUE"""),"11EX1Ln-BQAtx9NTd9zfcaia52FGNdZENDW2kwMCJ10HQ")</f>
        <v>11EX1Ln-BQAtx9NTd9zfcaia52FGNdZENDW2kwMCJ10HQ</v>
      </c>
    </row>
    <row r="962" ht="15.75" customHeight="1">
      <c r="A962" t="str">
        <f>IFERROR(__xludf.DUMMYFUNCTION("""COMPUTED_VALUE"""),"Closing")</f>
        <v>Closing</v>
      </c>
      <c r="B962" t="str">
        <f>IFERROR(__xludf.DUMMYFUNCTION("""COMPUTED_VALUE"""),"ExpSettlOprtn")</f>
        <v>ExpSettlOprtn</v>
      </c>
      <c r="C962" t="str">
        <f>IFERROR(__xludf.DUMMYFUNCTION("""COMPUTED_VALUE"""),"11EX1Ln-BQAtx9NTd9zfcaia52FGNdZENDW2kwMCJ11HQ")</f>
        <v>11EX1Ln-BQAtx9NTd9zfcaia52FGNdZENDW2kwMCJ11HQ</v>
      </c>
    </row>
    <row r="963" ht="15.75" customHeight="1">
      <c r="A963" t="str">
        <f>IFERROR(__xludf.DUMMYFUNCTION("""COMPUTED_VALUE"""),"Closing")</f>
        <v>Closing</v>
      </c>
      <c r="B963" t="str">
        <f>IFERROR(__xludf.DUMMYFUNCTION("""COMPUTED_VALUE"""),"CloseOrderOprtn")</f>
        <v>CloseOrderOprtn</v>
      </c>
      <c r="C963" t="str">
        <f>IFERROR(__xludf.DUMMYFUNCTION("""COMPUTED_VALUE"""),"11EX1Ln-BQAtx9NTd9zfcaia52FGNdZENDW2kwMCJ12HQ")</f>
        <v>11EX1Ln-BQAtx9NTd9zfcaia52FGNdZENDW2kwMCJ12HQ</v>
      </c>
    </row>
    <row r="964" ht="15.75" customHeight="1">
      <c r="A964" t="str">
        <f>IFERROR(__xludf.DUMMYFUNCTION("""COMPUTED_VALUE"""),"Closing")</f>
        <v>Closing</v>
      </c>
      <c r="B964" t="str">
        <f>IFERROR(__xludf.DUMMYFUNCTION("""COMPUTED_VALUE"""),"SelectgrdCloseTrades")</f>
        <v>SelectgrdCloseTrades</v>
      </c>
      <c r="C964" t="str">
        <f>IFERROR(__xludf.DUMMYFUNCTION("""COMPUTED_VALUE"""),"11EX1Ln-BQAtx9NTd9zfcaia52FGNdZENDW2kwMCJ13HQ")</f>
        <v>11EX1Ln-BQAtx9NTd9zfcaia52FGNdZENDW2kwMCJ13HQ</v>
      </c>
    </row>
    <row r="965" ht="15.75" customHeight="1">
      <c r="A965" t="str">
        <f>IFERROR(__xludf.DUMMYFUNCTION("""COMPUTED_VALUE"""),"Closing")</f>
        <v>Closing</v>
      </c>
      <c r="B965" t="str">
        <f>IFERROR(__xludf.DUMMYFUNCTION("""COMPUTED_VALUE"""),"SelectgrdLongTrades")</f>
        <v>SelectgrdLongTrades</v>
      </c>
      <c r="C965" t="str">
        <f>IFERROR(__xludf.DUMMYFUNCTION("""COMPUTED_VALUE"""),"11EX1Ln-BQAtx9NTd9zfcaia52FGNdZENDW2kwMCJ14HQ")</f>
        <v>11EX1Ln-BQAtx9NTd9zfcaia52FGNdZENDW2kwMCJ14HQ</v>
      </c>
    </row>
    <row r="966" ht="15.75" customHeight="1">
      <c r="A966" t="str">
        <f>IFERROR(__xludf.DUMMYFUNCTION("""COMPUTED_VALUE"""),"Closing")</f>
        <v>Closing</v>
      </c>
      <c r="B966" t="str">
        <f>IFERROR(__xludf.DUMMYFUNCTION("""COMPUTED_VALUE"""),"SelectgrdShortTrades")</f>
        <v>SelectgrdShortTrades</v>
      </c>
      <c r="C966" t="str">
        <f>IFERROR(__xludf.DUMMYFUNCTION("""COMPUTED_VALUE"""),"11EX1Ln-BQAtx9NTd9zfcaia52FGNdZENDW2kwMCJ15HQ")</f>
        <v>11EX1Ln-BQAtx9NTd9zfcaia52FGNdZENDW2kwMCJ15HQ</v>
      </c>
    </row>
    <row r="967" ht="15.75" customHeight="1">
      <c r="A967" t="str">
        <f>IFERROR(__xludf.DUMMYFUNCTION("""COMPUTED_VALUE"""),"Closing")</f>
        <v>Closing</v>
      </c>
      <c r="B967" t="str">
        <f>IFERROR(__xludf.DUMMYFUNCTION("""COMPUTED_VALUE"""),"SelectgrdNetPositionTrades")</f>
        <v>SelectgrdNetPositionTrades</v>
      </c>
      <c r="C967" t="str">
        <f>IFERROR(__xludf.DUMMYFUNCTION("""COMPUTED_VALUE"""),"11EX1Ln-BQAtx9NTd9zfcaia52FGNdZENDW2kwMCJ16HQ")</f>
        <v>11EX1Ln-BQAtx9NTd9zfcaia52FGNdZENDW2kwMCJ16HQ</v>
      </c>
    </row>
    <row r="968" ht="15.75" customHeight="1">
      <c r="A968" t="str">
        <f>IFERROR(__xludf.DUMMYFUNCTION("""COMPUTED_VALUE"""),"Closing")</f>
        <v>Closing</v>
      </c>
      <c r="B968" t="str">
        <f>IFERROR(__xludf.DUMMYFUNCTION("""COMPUTED_VALUE"""),"SelectgrdUnexpiredTrades")</f>
        <v>SelectgrdUnexpiredTrades</v>
      </c>
      <c r="C968" t="str">
        <f>IFERROR(__xludf.DUMMYFUNCTION("""COMPUTED_VALUE"""),"11EX1Ln-BQAtx9NTd9zfcaia52FGNdZENDW2kwMCJ17HQ")</f>
        <v>11EX1Ln-BQAtx9NTd9zfcaia52FGNdZENDW2kwMCJ17HQ</v>
      </c>
    </row>
    <row r="969" ht="15.75" customHeight="1">
      <c r="A969" t="str">
        <f>IFERROR(__xludf.DUMMYFUNCTION("""COMPUTED_VALUE"""),"Closing")</f>
        <v>Closing</v>
      </c>
      <c r="B969" t="str">
        <f>IFERROR(__xludf.DUMMYFUNCTION("""COMPUTED_VALUE"""),"SelectgrdCPTrades")</f>
        <v>SelectgrdCPTrades</v>
      </c>
      <c r="C969" t="str">
        <f>IFERROR(__xludf.DUMMYFUNCTION("""COMPUTED_VALUE"""),"11EX1Ln-BQAtx9NTd9zfcaia52FGNdZENDW2kwMCJ18HQ")</f>
        <v>11EX1Ln-BQAtx9NTd9zfcaia52FGNdZENDW2kwMCJ18HQ</v>
      </c>
    </row>
    <row r="970" ht="15.75" customHeight="1">
      <c r="A970" t="str">
        <f>IFERROR(__xludf.DUMMYFUNCTION("""COMPUTED_VALUE"""),"Closing")</f>
        <v>Closing</v>
      </c>
      <c r="B970" t="str">
        <f>IFERROR(__xludf.DUMMYFUNCTION("""COMPUTED_VALUE"""),"SelectgrdExpiredTrades")</f>
        <v>SelectgrdExpiredTrades</v>
      </c>
      <c r="C970" t="str">
        <f>IFERROR(__xludf.DUMMYFUNCTION("""COMPUTED_VALUE"""),"11EX1Ln-BQAtx9NTd9zfcaia52FGNdZENDW2kwMCJ19HQ")</f>
        <v>11EX1Ln-BQAtx9NTd9zfcaia52FGNdZENDW2kwMCJ19HQ</v>
      </c>
    </row>
    <row r="971" ht="15.75" customHeight="1">
      <c r="A971" t="str">
        <f>IFERROR(__xludf.DUMMYFUNCTION("""COMPUTED_VALUE"""),"Closing")</f>
        <v>Closing</v>
      </c>
      <c r="B971" t="str">
        <f>IFERROR(__xludf.DUMMYFUNCTION("""COMPUTED_VALUE"""),"SelectgrdOpenTrades")</f>
        <v>SelectgrdOpenTrades</v>
      </c>
      <c r="C971" t="str">
        <f>IFERROR(__xludf.DUMMYFUNCTION("""COMPUTED_VALUE"""),"11EX1Ln-BQAtx9NTd9zfcaia52FGNdZENDW2kwMCJ20HQ")</f>
        <v>11EX1Ln-BQAtx9NTd9zfcaia52FGNdZENDW2kwMCJ20HQ</v>
      </c>
    </row>
    <row r="972" ht="15.75" customHeight="1">
      <c r="A972" t="str">
        <f>IFERROR(__xludf.DUMMYFUNCTION("""COMPUTED_VALUE"""),"Closing")</f>
        <v>Closing</v>
      </c>
      <c r="B972" t="str">
        <f>IFERROR(__xludf.DUMMYFUNCTION("""COMPUTED_VALUE"""),"OperationsonClosing")</f>
        <v>OperationsonClosing</v>
      </c>
      <c r="C972" t="str">
        <f>IFERROR(__xludf.DUMMYFUNCTION("""COMPUTED_VALUE"""),"11EX1Ln-BQAtx9NTd9zfcaia52FGNdZENDW2kwMCJ21HQ")</f>
        <v>11EX1Ln-BQAtx9NTd9zfcaia52FGNdZENDW2kwMCJ21HQ</v>
      </c>
    </row>
    <row r="973" ht="15.75" customHeight="1">
      <c r="A973" t="str">
        <f>IFERROR(__xludf.DUMMYFUNCTION("""COMPUTED_VALUE"""),"Closing")</f>
        <v>Closing</v>
      </c>
      <c r="B973" t="str">
        <f>IFERROR(__xludf.DUMMYFUNCTION("""COMPUTED_VALUE"""),"GetClosingData")</f>
        <v>GetClosingData</v>
      </c>
      <c r="C973" t="str">
        <f>IFERROR(__xludf.DUMMYFUNCTION("""COMPUTED_VALUE"""),"11EX1Ln-BQAtx9NTd9zfcaia52FGNdZENDW2kwMCJ20HQ")</f>
        <v>11EX1Ln-BQAtx9NTd9zfcaia52FGNdZENDW2kwMCJ20HQ</v>
      </c>
    </row>
    <row r="974" ht="15.75" customHeight="1">
      <c r="A974" t="str">
        <f>IFERROR(__xludf.DUMMYFUNCTION("""COMPUTED_VALUE"""),"Closing")</f>
        <v>Closing</v>
      </c>
      <c r="B974" t="str">
        <f>IFERROR(__xludf.DUMMYFUNCTION("""COMPUTED_VALUE"""),"WizardOptions")</f>
        <v>WizardOptions</v>
      </c>
      <c r="C974" t="str">
        <f>IFERROR(__xludf.DUMMYFUNCTION("""COMPUTED_VALUE"""),"11EX1Ln-BQAtx9NTd9zfcaia52FGNdZENDW2kwMCJ21HQ")</f>
        <v>11EX1Ln-BQAtx9NTd9zfcaia52FGNdZENDW2kwMCJ21HQ</v>
      </c>
    </row>
    <row r="975" ht="15.75" customHeight="1">
      <c r="A975" t="str">
        <f>IFERROR(__xludf.DUMMYFUNCTION("""COMPUTED_VALUE"""),"Closing")</f>
        <v>Closing</v>
      </c>
      <c r="B975" t="str">
        <f>IFERROR(__xludf.DUMMYFUNCTION("""COMPUTED_VALUE"""),"ActionOnClosingWiz")</f>
        <v>ActionOnClosingWiz</v>
      </c>
      <c r="C975" t="str">
        <f>IFERROR(__xludf.DUMMYFUNCTION("""COMPUTED_VALUE"""),"11EX1Ln-BQAtx9NTd9zfcaia52FGNdZENDW2kwMCJ21HQ")</f>
        <v>11EX1Ln-BQAtx9NTd9zfcaia52FGNdZENDW2kwMCJ21HQ</v>
      </c>
    </row>
    <row r="976" ht="15.75" customHeight="1">
      <c r="A976" t="str">
        <f>IFERROR(__xludf.DUMMYFUNCTION("""COMPUTED_VALUE"""),"Allocation")</f>
        <v>Allocation</v>
      </c>
      <c r="B976" t="str">
        <f>IFERROR(__xludf.DUMMYFUNCTION("""COMPUTED_VALUE"""),"VerifyAttRenaming")</f>
        <v>VerifyAttRenaming</v>
      </c>
      <c r="C976" t="str">
        <f>IFERROR(__xludf.DUMMYFUNCTION("""COMPUTED_VALUE"""),"11EX1Ln-BQAtx9NTd9zfcaia52FGNdZENDW2kwMCJ21HQ")</f>
        <v>11EX1Ln-BQAtx9NTd9zfcaia52FGNdZENDW2kwMCJ21HQ</v>
      </c>
    </row>
    <row r="977" ht="15.75" customHeight="1">
      <c r="A977" t="str">
        <f>IFERROR(__xludf.DUMMYFUNCTION("""COMPUTED_VALUE"""),"NavLock")</f>
        <v>NavLock</v>
      </c>
      <c r="B977" t="str">
        <f>IFERROR(__xludf.DUMMYFUNCTION("""COMPUTED_VALUE"""),"DeleteRowNavLock")</f>
        <v>DeleteRowNavLock</v>
      </c>
      <c r="C977" t="str">
        <f>IFERROR(__xludf.DUMMYFUNCTION("""COMPUTED_VALUE"""),"11EX1Ln-BQAtx9NTd9zfcaia52FGNdZENDW2kwMCJ21HQ")</f>
        <v>11EX1Ln-BQAtx9NTd9zfcaia52FGNdZENDW2kwMCJ21HQ</v>
      </c>
    </row>
    <row r="978" ht="15.75" customHeight="1">
      <c r="A978" t="str">
        <f>IFERROR(__xludf.DUMMYFUNCTION("""COMPUTED_VALUE"""),"Closing")</f>
        <v>Closing</v>
      </c>
      <c r="B978" t="str">
        <f>IFERROR(__xludf.DUMMYFUNCTION("""COMPUTED_VALUE"""),"VerifyLongPositionsGrid")</f>
        <v>VerifyLongPositionsGrid</v>
      </c>
      <c r="C978" t="str">
        <f>IFERROR(__xludf.DUMMYFUNCTION("""COMPUTED_VALUE"""),"11EX1Ln-BQAtx9NTd9zfcaia52FGNdZENDW2kwMCJ14HQ")</f>
        <v>11EX1Ln-BQAtx9NTd9zfcaia52FGNdZENDW2kwMCJ14HQ</v>
      </c>
    </row>
    <row r="979" ht="15.75" customHeight="1">
      <c r="A979" t="str">
        <f>IFERROR(__xludf.DUMMYFUNCTION("""COMPUTED_VALUE"""),"Closing")</f>
        <v>Closing</v>
      </c>
      <c r="B979" t="str">
        <f>IFERROR(__xludf.DUMMYFUNCTION("""COMPUTED_VALUE"""),"VerifyShortPositionsGrid")</f>
        <v>VerifyShortPositionsGrid</v>
      </c>
      <c r="C979" t="str">
        <f>IFERROR(__xludf.DUMMYFUNCTION("""COMPUTED_VALUE"""),"11EX1Ln-BQAtx9NTd9zfcaia52FGNdZENDW2kwMCJ15HQ")</f>
        <v>11EX1Ln-BQAtx9NTd9zfcaia52FGNdZENDW2kwMCJ15HQ</v>
      </c>
    </row>
    <row r="980" ht="15.75" customHeight="1">
      <c r="A980" t="str">
        <f>IFERROR(__xludf.DUMMYFUNCTION("""COMPUTED_VALUE"""),"Closing")</f>
        <v>Closing</v>
      </c>
      <c r="B980" t="str">
        <f>IFERROR(__xludf.DUMMYFUNCTION("""COMPUTED_VALUE"""),"VerifyClosedTrades")</f>
        <v>VerifyClosedTrades</v>
      </c>
      <c r="C980" t="str">
        <f>IFERROR(__xludf.DUMMYFUNCTION("""COMPUTED_VALUE"""),"11EX1Ln-BQAtx9NTd9zfcaia52FGNdZENDW2kwMCJ16HQ")</f>
        <v>11EX1Ln-BQAtx9NTd9zfcaia52FGNdZENDW2kwMCJ16HQ</v>
      </c>
    </row>
    <row r="981" ht="15.75" customHeight="1">
      <c r="A981" t="str">
        <f>IFERROR(__xludf.DUMMYFUNCTION("""COMPUTED_VALUE"""),"Closing")</f>
        <v>Closing</v>
      </c>
      <c r="B981" t="str">
        <f>IFERROR(__xludf.DUMMYFUNCTION("""COMPUTED_VALUE"""),"CloseAmendOprtn")</f>
        <v>CloseAmendOprtn</v>
      </c>
      <c r="C981" t="str">
        <f>IFERROR(__xludf.DUMMYFUNCTION("""COMPUTED_VALUE"""),"11EX1Ln-BQAtx9NTd9zfcaia52FGNdZENDW2kwMCJ17HQ")</f>
        <v>11EX1Ln-BQAtx9NTd9zfcaia52FGNdZENDW2kwMCJ17HQ</v>
      </c>
    </row>
    <row r="982" ht="15.75" customHeight="1">
      <c r="A982" t="str">
        <f>IFERROR(__xludf.DUMMYFUNCTION("""COMPUTED_VALUE"""),"Closing")</f>
        <v>Closing</v>
      </c>
      <c r="B982" t="str">
        <f>IFERROR(__xludf.DUMMYFUNCTION("""COMPUTED_VALUE"""),"ExpSettlOprtn")</f>
        <v>ExpSettlOprtn</v>
      </c>
      <c r="C982" t="str">
        <f>IFERROR(__xludf.DUMMYFUNCTION("""COMPUTED_VALUE"""),"11EX1Ln-BQAtx9NTd9zfcaia52FGNdZENDW2kwMCJ18HQ")</f>
        <v>11EX1Ln-BQAtx9NTd9zfcaia52FGNdZENDW2kwMCJ18HQ</v>
      </c>
    </row>
    <row r="983" ht="15.75" customHeight="1">
      <c r="A983" t="str">
        <f>IFERROR(__xludf.DUMMYFUNCTION("""COMPUTED_VALUE"""),"Closing")</f>
        <v>Closing</v>
      </c>
      <c r="B983" t="str">
        <f>IFERROR(__xludf.DUMMYFUNCTION("""COMPUTED_VALUE"""),"ActionOnExpGrid")</f>
        <v>ActionOnExpGrid</v>
      </c>
      <c r="C983" t="str">
        <f>IFERROR(__xludf.DUMMYFUNCTION("""COMPUTED_VALUE"""),"11EX1Ln-BQAtx9NTd9zfcaia52FGNdZENDW2kwMCJ19HQ")</f>
        <v>11EX1Ln-BQAtx9NTd9zfcaia52FGNdZENDW2kwMCJ19HQ</v>
      </c>
    </row>
    <row r="984" ht="15.75" customHeight="1">
      <c r="A984" t="str">
        <f>IFERROR(__xludf.DUMMYFUNCTION("""COMPUTED_VALUE"""),"Closing")</f>
        <v>Closing</v>
      </c>
      <c r="B984" t="str">
        <f>IFERROR(__xludf.DUMMYFUNCTION("""COMPUTED_VALUE"""),"ActiononIncorrectQty")</f>
        <v>ActiononIncorrectQty</v>
      </c>
      <c r="C984" t="str">
        <f>IFERROR(__xludf.DUMMYFUNCTION("""COMPUTED_VALUE"""),"11EX1Ln-BQAtx9NTd9zfcaia52FGNdZENDW2kwMCJ20HQ")</f>
        <v>11EX1Ln-BQAtx9NTd9zfcaia52FGNdZENDW2kwMCJ20HQ</v>
      </c>
    </row>
    <row r="985" ht="15.75" customHeight="1">
      <c r="A985" t="str">
        <f>IFERROR(__xludf.DUMMYFUNCTION("""COMPUTED_VALUE"""),"Closing")</f>
        <v>Closing</v>
      </c>
      <c r="B985" t="str">
        <f>IFERROR(__xludf.DUMMYFUNCTION("""COMPUTED_VALUE"""),"VerifyIncorrectQty")</f>
        <v>VerifyIncorrectQty</v>
      </c>
      <c r="C985" t="str">
        <f>IFERROR(__xludf.DUMMYFUNCTION("""COMPUTED_VALUE"""),"11EX1Ln-BQAtx9NTd9zfcaia52FGNdZENDW2kwMCJ21HQ")</f>
        <v>11EX1Ln-BQAtx9NTd9zfcaia52FGNdZENDW2kwMCJ21HQ</v>
      </c>
    </row>
    <row r="986" ht="15.75" customHeight="1">
      <c r="A986" t="str">
        <f>IFERROR(__xludf.DUMMYFUNCTION("""COMPUTED_VALUE"""),"Closing")</f>
        <v>Closing</v>
      </c>
      <c r="B986" t="str">
        <f>IFERROR(__xludf.DUMMYFUNCTION("""COMPUTED_VALUE"""),"VerifyOpenTrades")</f>
        <v>VerifyOpenTrades</v>
      </c>
      <c r="C986" t="str">
        <f>IFERROR(__xludf.DUMMYFUNCTION("""COMPUTED_VALUE"""),"11EX1Ln-BQAtx9NTd9zfcaia52FGNdZENDW2kwMCJ20HQ")</f>
        <v>11EX1Ln-BQAtx9NTd9zfcaia52FGNdZENDW2kwMCJ20HQ</v>
      </c>
    </row>
    <row r="987" ht="15.75" customHeight="1">
      <c r="A987" t="str">
        <f>IFERROR(__xludf.DUMMYFUNCTION("""COMPUTED_VALUE"""),"CreateTransaction")</f>
        <v>CreateTransaction</v>
      </c>
      <c r="B987" t="str">
        <f>IFERROR(__xludf.DUMMYFUNCTION("""COMPUTED_VALUE"""),"EditCTGrid")</f>
        <v>EditCTGrid</v>
      </c>
      <c r="C987" t="str">
        <f>IFERROR(__xludf.DUMMYFUNCTION("""COMPUTED_VALUE"""),"11EX1Ln-BQAtx9NTd9zfcaia52FGNdZENDW2kwMCJ20HQ")</f>
        <v>11EX1Ln-BQAtx9NTd9zfcaia52FGNdZENDW2kwMCJ20HQ</v>
      </c>
    </row>
    <row r="988" ht="15.75" customHeight="1">
      <c r="A988" t="str">
        <f>IFERROR(__xludf.DUMMYFUNCTION("""COMPUTED_VALUE"""),"CreateTransaction")</f>
        <v>CreateTransaction</v>
      </c>
      <c r="B988" t="str">
        <f>IFERROR(__xludf.DUMMYFUNCTION("""COMPUTED_VALUE"""),"ActionOnCT")</f>
        <v>ActionOnCT</v>
      </c>
      <c r="C988" t="str">
        <f>IFERROR(__xludf.DUMMYFUNCTION("""COMPUTED_VALUE"""),"11EX1Ln-BQAtx9NTd9zfcaia52FGNdZENDW2kwMCJ20HQ")</f>
        <v>11EX1Ln-BQAtx9NTd9zfcaia52FGNdZENDW2kwMCJ20HQ</v>
      </c>
    </row>
    <row r="989" ht="15.75" customHeight="1">
      <c r="A989" t="str">
        <f>IFERROR(__xludf.DUMMYFUNCTION("""COMPUTED_VALUE"""),"Unknown")</f>
        <v>Unknown</v>
      </c>
      <c r="B989" t="str">
        <f>IFERROR(__xludf.DUMMYFUNCTION("""COMPUTED_VALUE"""),"OpenColumnChooser")</f>
        <v>OpenColumnChooser</v>
      </c>
      <c r="C989" t="str">
        <f>IFERROR(__xludf.DUMMYFUNCTION("""COMPUTED_VALUE"""),"11EX1Ln-BQAtx9NTd9zfcaia52FGNdZENDW2kwMCJ20HQ")</f>
        <v>11EX1Ln-BQAtx9NTd9zfcaia52FGNdZENDW2kwMCJ20HQ</v>
      </c>
    </row>
    <row r="990" ht="15.75" customHeight="1">
      <c r="A990" t="str">
        <f>IFERROR(__xludf.DUMMYFUNCTION("""COMPUTED_VALUE"""),"Closing")</f>
        <v>Closing</v>
      </c>
      <c r="B990" t="str">
        <f>IFERROR(__xludf.DUMMYFUNCTION("""COMPUTED_VALUE"""),"UnExpUnsettOperation")</f>
        <v>UnExpUnsettOperation</v>
      </c>
      <c r="C990" t="str">
        <f>IFERROR(__xludf.DUMMYFUNCTION("""COMPUTED_VALUE"""),"11EX1Ln-BQAtx9NTd9zfcaia52FGNdZENDW2kwMCJ20HQ")</f>
        <v>11EX1Ln-BQAtx9NTd9zfcaia52FGNdZENDW2kwMCJ20HQ</v>
      </c>
    </row>
    <row r="991" ht="15.75" customHeight="1">
      <c r="A991" t="str">
        <f>IFERROR(__xludf.DUMMYFUNCTION("""COMPUTED_VALUE"""),"NavLock")</f>
        <v>NavLock</v>
      </c>
      <c r="B991" t="str">
        <f>IFERROR(__xludf.DUMMYFUNCTION("""COMPUTED_VALUE"""),"ActiononNavLock")</f>
        <v>ActiononNavLock</v>
      </c>
      <c r="C991" t="str">
        <f>IFERROR(__xludf.DUMMYFUNCTION("""COMPUTED_VALUE"""),"11EX1Ln-BQAtx9NTd9zfcaia52FGNdZENDW2kwMCJ20HQ")</f>
        <v>11EX1Ln-BQAtx9NTd9zfcaia52FGNdZENDW2kwMCJ20HQ</v>
      </c>
    </row>
    <row r="992" ht="15.75" customHeight="1">
      <c r="A992" t="str">
        <f>IFERROR(__xludf.DUMMYFUNCTION("""COMPUTED_VALUE"""),"Allocation")</f>
        <v>Allocation</v>
      </c>
      <c r="B992" t="str">
        <f>IFERROR(__xludf.DUMMYFUNCTION("""COMPUTED_VALUE"""),"ActiononFixPref")</f>
        <v>ActiononFixPref</v>
      </c>
      <c r="C992" t="str">
        <f>IFERROR(__xludf.DUMMYFUNCTION("""COMPUTED_VALUE"""),"11EX1Ln-BQAtx9NTd9zfcaia52FGNdZENDW2kwMCJ20HQ")</f>
        <v>11EX1Ln-BQAtx9NTd9zfcaia52FGNdZENDW2kwMCJ20HQ</v>
      </c>
    </row>
    <row r="993" ht="15.75" customHeight="1">
      <c r="A993" t="str">
        <f>IFERROR(__xludf.DUMMYFUNCTION("""COMPUTED_VALUE"""),"Blotter")</f>
        <v>Blotter</v>
      </c>
      <c r="B993" t="str">
        <f>IFERROR(__xludf.DUMMYFUNCTION("""COMPUTED_VALUE"""),"SelectWorkSubsOnBlotter")</f>
        <v>SelectWorkSubsOnBlotter</v>
      </c>
      <c r="C993" t="str">
        <f>IFERROR(__xludf.DUMMYFUNCTION("""COMPUTED_VALUE"""),"11EX1Ln-BQAtx9NTd9zfcaia52FGNdZENDW2kwMCJ20HQ")</f>
        <v>11EX1Ln-BQAtx9NTd9zfcaia52FGNdZENDW2kwMCJ20HQ</v>
      </c>
    </row>
    <row r="994" ht="15.75" customHeight="1">
      <c r="A994" t="str">
        <f>IFERROR(__xludf.DUMMYFUNCTION("""COMPUTED_VALUE"""),"Closing")</f>
        <v>Closing</v>
      </c>
      <c r="B994" t="str">
        <f>IFERROR(__xludf.DUMMYFUNCTION("""COMPUTED_VALUE"""),"VerifyAccountUnexpired")</f>
        <v>VerifyAccountUnexpired</v>
      </c>
      <c r="C994" t="str">
        <f>IFERROR(__xludf.DUMMYFUNCTION("""COMPUTED_VALUE"""),"11EX1Ln-BQAtx9NTd9zfcaia52FGNdZENDW2kwMCJ20HQ")</f>
        <v>11EX1Ln-BQAtx9NTd9zfcaia52FGNdZENDW2kwMCJ20HQ</v>
      </c>
    </row>
    <row r="995" ht="15.75" customHeight="1">
      <c r="A995" t="str">
        <f>IFERROR(__xludf.DUMMYFUNCTION("""COMPUTED_VALUE"""),"PM")</f>
        <v>PM</v>
      </c>
      <c r="B995" t="str">
        <f>IFERROR(__xludf.DUMMYFUNCTION("""COMPUTED_VALUE"""),"ToolBarActiononPM")</f>
        <v>ToolBarActiononPM</v>
      </c>
      <c r="C995" t="str">
        <f>IFERROR(__xludf.DUMMYFUNCTION("""COMPUTED_VALUE"""),"11EX1Ln-BQAtx9NTd9zfcaia52FGNdZENDW2kwMCJ20HQ")</f>
        <v>11EX1Ln-BQAtx9NTd9zfcaia52FGNdZENDW2kwMCJ20HQ</v>
      </c>
    </row>
    <row r="996" ht="15.75" customHeight="1">
      <c r="A996" t="str">
        <f>IFERROR(__xludf.DUMMYFUNCTION("""COMPUTED_VALUE"""),"Allocation")</f>
        <v>Allocation</v>
      </c>
      <c r="B996" t="str">
        <f>IFERROR(__xludf.DUMMYFUNCTION("""COMPUTED_VALUE"""),"EditAttRenaming")</f>
        <v>EditAttRenaming</v>
      </c>
      <c r="C996" t="str">
        <f>IFERROR(__xludf.DUMMYFUNCTION("""COMPUTED_VALUE"""),"14aTeLjmUbS-nhaQwjtZAMGxdQ5DS6UsBjE5OTWN-LQU")</f>
        <v>14aTeLjmUbS-nhaQwjtZAMGxdQ5DS6UsBjE5OTWN-LQU</v>
      </c>
    </row>
    <row r="997" ht="15.75" customHeight="1">
      <c r="A997" t="str">
        <f>IFERROR(__xludf.DUMMYFUNCTION("""COMPUTED_VALUE"""),"Unknown")</f>
        <v>Unknown</v>
      </c>
      <c r="B997" t="str">
        <f>IFERROR(__xludf.DUMMYFUNCTION("""COMPUTED_VALUE"""),"ActiononColumnChooser")</f>
        <v>ActiononColumnChooser</v>
      </c>
      <c r="C997" t="str">
        <f>IFERROR(__xludf.DUMMYFUNCTION("""COMPUTED_VALUE"""),"14aTeLjmUbS-nhaQwjtZAMGxdQ5DS6UsBjE5OTWN-LQU")</f>
        <v>14aTeLjmUbS-nhaQwjtZAMGxdQ5DS6UsBjE5OTWN-LQU</v>
      </c>
    </row>
    <row r="998" ht="15.75" customHeight="1">
      <c r="A998" t="str">
        <f>IFERROR(__xludf.DUMMYFUNCTION("""COMPUTED_VALUE"""),"Unknown")</f>
        <v>Unknown</v>
      </c>
      <c r="B998" t="str">
        <f>IFERROR(__xludf.DUMMYFUNCTION("""COMPUTED_VALUE"""),"VerifyColumnChooser")</f>
        <v>VerifyColumnChooser</v>
      </c>
      <c r="C998" t="str">
        <f>IFERROR(__xludf.DUMMYFUNCTION("""COMPUTED_VALUE"""),"14aTeLjmUbS-nhaQwjtZAMGxdQ5DS6UsBjE5OTWN-LQU")</f>
        <v>14aTeLjmUbS-nhaQwjtZAMGxdQ5DS6UsBjE5OTWN-LQU</v>
      </c>
    </row>
    <row r="999" ht="15.75" customHeight="1">
      <c r="A999" t="str">
        <f>IFERROR(__xludf.DUMMYFUNCTION("""COMPUTED_VALUE"""),"Unknown")</f>
        <v>Unknown</v>
      </c>
      <c r="B999" t="str">
        <f>IFERROR(__xludf.DUMMYFUNCTION("""COMPUTED_VALUE"""),"EditColumnChooser")</f>
        <v>EditColumnChooser</v>
      </c>
      <c r="C999" t="str">
        <f>IFERROR(__xludf.DUMMYFUNCTION("""COMPUTED_VALUE"""),"14aTeLjmUbS-nhaQwjtZAMGxdQ5DS6UsBjE5OTWN-LQU")</f>
        <v>14aTeLjmUbS-nhaQwjtZAMGxdQ5DS6UsBjE5OTWN-LQU</v>
      </c>
    </row>
    <row r="1000" ht="15.75" customHeight="1">
      <c r="A1000" t="str">
        <f>IFERROR(__xludf.DUMMYFUNCTION("""COMPUTED_VALUE"""),"Unknown")</f>
        <v>Unknown</v>
      </c>
      <c r="B1000" t="str">
        <f>IFERROR(__xludf.DUMMYFUNCTION("""COMPUTED_VALUE"""),"OpenColumnChooser")</f>
        <v>OpenColumnChooser</v>
      </c>
      <c r="C1000" t="str">
        <f>IFERROR(__xludf.DUMMYFUNCTION("""COMPUTED_VALUE"""),"14aTeLjmUbS-nhaQwjtZAMGxdQ5DS6UsBjE5OTWN-LQU")</f>
        <v>14aTeLjmUbS-nhaQwjtZAMGxdQ5DS6UsBjE5OTWN-LQU</v>
      </c>
    </row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 t="str">
        <f>IFERROR(__xludf.DUMMYFUNCTION("""COMPUTED_VALUE"""),"Fx Rate")</f>
        <v>Fx Rate</v>
      </c>
      <c r="AF5" s="29" t="str">
        <f>IFERROR(__xludf.DUMMYFUNCTION("""COMPUTED_VALUE"""),"Fx Operator")</f>
        <v>Fx Operator</v>
      </c>
      <c r="AG5" s="29" t="str">
        <f>IFERROR(__xludf.DUMMYFUNCTION("""COMPUTED_VALUE"""),"PendingApprovalPopUp")</f>
        <v>PendingApprovalPopUp</v>
      </c>
      <c r="AH5" s="29" t="str">
        <f>IFERROR(__xludf.DUMMYFUNCTION("""COMPUTED_VALUE"""),"TradeBy")</f>
        <v>TradeBy</v>
      </c>
      <c r="AI5" s="29" t="str">
        <f>IFERROR(__xludf.DUMMYFUNCTION("""COMPUTED_VALUE"""),"BookAsSwap")</f>
        <v>BookAsSwap</v>
      </c>
      <c r="AJ5" s="29" t="str">
        <f>IFERROR(__xludf.DUMMYFUNCTION("""COMPUTED_VALUE"""),"RoundLot")</f>
        <v>RoundLot</v>
      </c>
      <c r="AK5" s="29" t="str">
        <f>IFERROR(__xludf.DUMMYFUNCTION("""COMPUTED_VALUE"""),"Increment")</f>
        <v>Increment</v>
      </c>
      <c r="AL5" s="29" t="str">
        <f>IFERROR(__xludf.DUMMYFUNCTION("""COMPUTED_VALUE"""),"Decrement")</f>
        <v>Decrement</v>
      </c>
      <c r="AM5" s="29" t="str">
        <f>IFERROR(__xludf.DUMMYFUNCTION("""COMPUTED_VALUE"""),"Trade Attribute 01")</f>
        <v>Trade Attribute 01</v>
      </c>
      <c r="AN5" s="29" t="str">
        <f>IFERROR(__xludf.DUMMYFUNCTION("""COMPUTED_VALUE"""),"Trade Attribute 02")</f>
        <v>Trade Attribute 02</v>
      </c>
      <c r="AO5" s="29" t="str">
        <f>IFERROR(__xludf.DUMMYFUNCTION("""COMPUTED_VALUE"""),"Trade Attribute 03")</f>
        <v>Trade Attribute 03</v>
      </c>
      <c r="AP5" s="29" t="str">
        <f>IFERROR(__xludf.DUMMYFUNCTION("""COMPUTED_VALUE"""),"Trade Attribute 04")</f>
        <v>Trade Attribute 04</v>
      </c>
      <c r="AQ5" s="29" t="str">
        <f>IFERROR(__xludf.DUMMYFUNCTION("""COMPUTED_VALUE"""),"Trade Attribute 05")</f>
        <v>Trade Attribute 05</v>
      </c>
      <c r="AR5" s="29" t="str">
        <f>IFERROR(__xludf.DUMMYFUNCTION("""COMPUTED_VALUE"""),"Trade Attribute 06")</f>
        <v>Trade Attribute 06</v>
      </c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12">
        <v>1000.0</v>
      </c>
      <c r="D6" s="12">
        <v>2.0</v>
      </c>
      <c r="E6" s="12" t="s">
        <v>17</v>
      </c>
      <c r="F6" s="8"/>
      <c r="G6" s="8"/>
      <c r="H6" s="8"/>
      <c r="I6" s="8"/>
      <c r="J6" s="12" t="s">
        <v>18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CustomOrderTT!$4:$4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 t="str">
        <f>IFERROR(__xludf.DUMMYFUNCTION("""COMPUTED_VALUE"""),"CaptureHotButtonDetails")</f>
        <v>CaptureHotButtonDetails</v>
      </c>
      <c r="DG4" s="25" t="str">
        <f>IFERROR(__xludf.DUMMYFUNCTION("""COMPUTED_VALUE"""),"RightClickActionVerification")</f>
        <v>RightClickActionVerification</v>
      </c>
      <c r="DH4" s="25" t="str">
        <f>IFERROR(__xludf.DUMMYFUNCTION("""COMPUTED_VALUE"""),"ManageHotButton")</f>
        <v>ManageHotButton</v>
      </c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IFERROR(__xludf.DUMMYFUNCTION("""COMPUTED_VALUE"""),"EnableHotButton")</f>
        <v>EnableHotButton</v>
      </c>
      <c r="C5" s="27" t="str">
        <f>IFERROR(__xludf.DUMMYFUNCTION("""COMPUTED_VALUE"""),"VisiblityOfHotButtonPanel")</f>
        <v>VisiblityOfHotButtonPanel</v>
      </c>
      <c r="D5" s="27" t="str">
        <f>IFERROR(__xludf.DUMMYFUNCTION("""COMPUTED_VALUE"""),"HotKey Name")</f>
        <v>HotKey Name</v>
      </c>
      <c r="E5" s="27" t="str">
        <f>IFERROR(__xludf.DUMMYFUNCTION("""COMPUTED_VALUE"""),"HotKey Visiblity")</f>
        <v>HotKey Visiblity</v>
      </c>
      <c r="F5" s="28" t="str">
        <f>IFERROR(__xludf.DUMMYFUNCTION("""COMPUTED_VALUE"""),"TabToFind")</f>
        <v>TabToFind</v>
      </c>
      <c r="G5" s="27" t="str">
        <f>IFERROR(__xludf.DUMMYFUNCTION("""COMPUTED_VALUE"""),"Hotkey Disbable")</f>
        <v>Hotkey Disbable</v>
      </c>
      <c r="H5" s="27" t="str">
        <f>IFERROR(__xludf.DUMMYFUNCTION("""COMPUTED_VALUE"""),"UseHotButton")</f>
        <v>UseHotButton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b">
        <v>1</v>
      </c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EnableOrVerifyHotButton!$4:$4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 t="str">
        <f>IFERROR(__xludf.DUMMYFUNCTION("""COMPUTED_VALUE"""),"CaptureHotButtonDetails")</f>
        <v>CaptureHotButtonDetails</v>
      </c>
      <c r="DG4" s="25" t="str">
        <f>IFERROR(__xludf.DUMMYFUNCTION("""COMPUTED_VALUE"""),"RightClickActionVerification")</f>
        <v>RightClickActionVerification</v>
      </c>
      <c r="DH4" s="25" t="str">
        <f>IFERROR(__xludf.DUMMYFUNCTION("""COMPUTED_VALUE"""),"ManageHotButton")</f>
        <v>ManageHotButton</v>
      </c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IFERROR(__xludf.DUMMYFUNCTION("""COMPUTED_VALUE"""),"ButtonName")</f>
        <v>ButtonName</v>
      </c>
      <c r="C5" s="27" t="str">
        <f>IFERROR(__xludf.DUMMYFUNCTION("""COMPUTED_VALUE"""),"Select Action Type")</f>
        <v>Select Action Type</v>
      </c>
      <c r="D5" s="27" t="str">
        <f>IFERROR(__xludf.DUMMYFUNCTION("""COMPUTED_VALUE"""),"Transmission Preference")</f>
        <v>Transmission Preference</v>
      </c>
      <c r="E5" s="27" t="str">
        <f>IFERROR(__xludf.DUMMYFUNCTION("""COMPUTED_VALUE"""),"Button Color")</f>
        <v>Button Color</v>
      </c>
      <c r="F5" s="28" t="str">
        <f>IFERROR(__xludf.DUMMYFUNCTION("""COMPUTED_VALUE"""),"Action")</f>
        <v>Action</v>
      </c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22</v>
      </c>
      <c r="C6" s="12" t="s">
        <v>23</v>
      </c>
      <c r="D6" s="12" t="s">
        <v>24</v>
      </c>
      <c r="E6" s="30"/>
      <c r="F6" s="12" t="s">
        <v>25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CreateHotButtonOnBlotter!$4:$4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 t="str">
        <f>IFERROR(__xludf.DUMMYFUNCTION("""COMPUTED_VALUE"""),"CaptureHotButtonDetails")</f>
        <v>CaptureHotButtonDetails</v>
      </c>
      <c r="DG4" s="25" t="str">
        <f>IFERROR(__xludf.DUMMYFUNCTION("""COMPUTED_VALUE"""),"RightClickActionVerification")</f>
        <v>RightClickActionVerification</v>
      </c>
      <c r="DH4" s="25" t="str">
        <f>IFERROR(__xludf.DUMMYFUNCTION("""COMPUTED_VALUE"""),"ManageHotButton")</f>
        <v>ManageHotButton</v>
      </c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IFERROR(__xludf.DUMMYFUNCTION("""COMPUTED_VALUE"""),"Allocation")</f>
        <v>Allocation</v>
      </c>
      <c r="E5" s="27" t="str">
        <f>IFERROR(__xludf.DUMMYFUNCTION("""COMPUTED_VALUE"""),"Broker")</f>
        <v>Broker</v>
      </c>
      <c r="F5" s="28" t="str">
        <f>IFERROR(__xludf.DUMMYFUNCTION("""COMPUTED_VALUE"""),"Venue")</f>
        <v>Venue</v>
      </c>
      <c r="G5" s="27" t="str">
        <f>IFERROR(__xludf.DUMMYFUNCTION("""COMPUTED_VALUE"""),"TIF")</f>
        <v>TIF</v>
      </c>
      <c r="H5" s="27" t="str">
        <f>IFERROR(__xludf.DUMMYFUNCTION("""COMPUTED_VALUE"""),"Order Type")</f>
        <v>Order Type</v>
      </c>
      <c r="I5" s="27" t="str">
        <f>IFERROR(__xludf.DUMMYFUNCTION("""COMPUTED_VALUE"""),"Order Side")</f>
        <v>Order Side</v>
      </c>
      <c r="J5" s="27" t="str">
        <f>IFERROR(__xludf.DUMMYFUNCTION("""COMPUTED_VALUE"""),"Execution Type")</f>
        <v>Execution Type</v>
      </c>
      <c r="K5" s="27" t="str">
        <f>IFERROR(__xludf.DUMMYFUNCTION("""COMPUTED_VALUE"""),"Add to Favourite")</f>
        <v>Add to Favourite</v>
      </c>
      <c r="L5" s="27" t="str">
        <f>IFERROR(__xludf.DUMMYFUNCTION("""COMPUTED_VALUE"""),"Action")</f>
        <v>Action</v>
      </c>
      <c r="M5" s="27" t="str">
        <f>IFERROR(__xludf.DUMMYFUNCTION("""COMPUTED_VALUE"""),"Calculation Basis Type")</f>
        <v>Calculation Basis Type</v>
      </c>
      <c r="N5" s="27" t="str">
        <f>IFERROR(__xludf.DUMMYFUNCTION("""COMPUTED_VALUE"""),"Calculation Basis Amount")</f>
        <v>Calculation Basis Amount</v>
      </c>
      <c r="O5" s="27" t="str">
        <f>IFERROR(__xludf.DUMMYFUNCTION("""COMPUTED_VALUE"""),"Calculation ON")</f>
        <v>Calculation ON</v>
      </c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/>
      <c r="D6" s="12"/>
      <c r="E6" s="30"/>
      <c r="F6" s="8"/>
      <c r="G6" s="8"/>
      <c r="H6" s="8"/>
      <c r="I6" s="8"/>
      <c r="J6" s="8"/>
      <c r="K6" s="12" t="b">
        <v>1</v>
      </c>
      <c r="L6" s="31" t="s">
        <v>25</v>
      </c>
      <c r="M6" s="12" t="s">
        <v>27</v>
      </c>
      <c r="N6" s="12">
        <v>30.0</v>
      </c>
      <c r="O6" s="12" t="s">
        <v>28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FillHBdetailsOnBlotter!$4:$4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 t="str">
        <f>IFERROR(__xludf.DUMMYFUNCTION("""COMPUTED_VALUE"""),"CaptureHotButtonDetails")</f>
        <v>CaptureHotButtonDetails</v>
      </c>
      <c r="DG4" s="25" t="str">
        <f>IFERROR(__xludf.DUMMYFUNCTION("""COMPUTED_VALUE"""),"RightClickActionVerification")</f>
        <v>RightClickActionVerification</v>
      </c>
      <c r="DH4" s="25" t="str">
        <f>IFERROR(__xludf.DUMMYFUNCTION("""COMPUTED_VALUE"""),"ManageHotButton")</f>
        <v>ManageHotButton</v>
      </c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IFERROR(__xludf.DUMMYFUNCTION("""COMPUTED_VALUE"""),"ButtonName")</f>
        <v>ButtonName</v>
      </c>
      <c r="C5" s="27" t="str">
        <f>IFERROR(__xludf.DUMMYFUNCTION("""COMPUTED_VALUE"""),"Select Action Type")</f>
        <v>Select Action Type</v>
      </c>
      <c r="D5" s="27" t="str">
        <f>IFERROR(__xludf.DUMMYFUNCTION("""COMPUTED_VALUE"""),"Transmission Preference")</f>
        <v>Transmission Preference</v>
      </c>
      <c r="E5" s="27" t="str">
        <f>IFERROR(__xludf.DUMMYFUNCTION("""COMPUTED_VALUE"""),"Button Color")</f>
        <v>Button Color</v>
      </c>
      <c r="F5" s="28" t="str">
        <f>IFERROR(__xludf.DUMMYFUNCTION("""COMPUTED_VALUE"""),"Action")</f>
        <v>Action</v>
      </c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29</v>
      </c>
      <c r="C6" s="12" t="s">
        <v>23</v>
      </c>
      <c r="D6" s="12" t="s">
        <v>24</v>
      </c>
      <c r="E6" s="30"/>
      <c r="F6" s="12" t="s">
        <v>25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CreateHotButtonOnBlotter1!$4:$4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 t="str">
        <f>IFERROR(__xludf.DUMMYFUNCTION("""COMPUTED_VALUE"""),"CaptureHotButtonDetails")</f>
        <v>CaptureHotButtonDetails</v>
      </c>
      <c r="DG4" s="25" t="str">
        <f>IFERROR(__xludf.DUMMYFUNCTION("""COMPUTED_VALUE"""),"RightClickActionVerification")</f>
        <v>RightClickActionVerification</v>
      </c>
      <c r="DH4" s="25" t="str">
        <f>IFERROR(__xludf.DUMMYFUNCTION("""COMPUTED_VALUE"""),"ManageHotButton")</f>
        <v>ManageHotButton</v>
      </c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IFERROR(__xludf.DUMMYFUNCTION("""COMPUTED_VALUE"""),"Allocation")</f>
        <v>Allocation</v>
      </c>
      <c r="E5" s="27" t="str">
        <f>IFERROR(__xludf.DUMMYFUNCTION("""COMPUTED_VALUE"""),"Broker")</f>
        <v>Broker</v>
      </c>
      <c r="F5" s="28" t="str">
        <f>IFERROR(__xludf.DUMMYFUNCTION("""COMPUTED_VALUE"""),"Venue")</f>
        <v>Venue</v>
      </c>
      <c r="G5" s="27" t="str">
        <f>IFERROR(__xludf.DUMMYFUNCTION("""COMPUTED_VALUE"""),"TIF")</f>
        <v>TIF</v>
      </c>
      <c r="H5" s="27" t="str">
        <f>IFERROR(__xludf.DUMMYFUNCTION("""COMPUTED_VALUE"""),"Order Type")</f>
        <v>Order Type</v>
      </c>
      <c r="I5" s="27" t="str">
        <f>IFERROR(__xludf.DUMMYFUNCTION("""COMPUTED_VALUE"""),"Order Side")</f>
        <v>Order Side</v>
      </c>
      <c r="J5" s="27" t="str">
        <f>IFERROR(__xludf.DUMMYFUNCTION("""COMPUTED_VALUE"""),"Execution Type")</f>
        <v>Execution Type</v>
      </c>
      <c r="K5" s="27" t="str">
        <f>IFERROR(__xludf.DUMMYFUNCTION("""COMPUTED_VALUE"""),"Add to Favourite")</f>
        <v>Add to Favourite</v>
      </c>
      <c r="L5" s="27" t="str">
        <f>IFERROR(__xludf.DUMMYFUNCTION("""COMPUTED_VALUE"""),"Action")</f>
        <v>Action</v>
      </c>
      <c r="M5" s="27" t="str">
        <f>IFERROR(__xludf.DUMMYFUNCTION("""COMPUTED_VALUE"""),"Calculation Basis Type")</f>
        <v>Calculation Basis Type</v>
      </c>
      <c r="N5" s="27" t="str">
        <f>IFERROR(__xludf.DUMMYFUNCTION("""COMPUTED_VALUE"""),"Calculation Basis Amount")</f>
        <v>Calculation Basis Amount</v>
      </c>
      <c r="O5" s="27" t="str">
        <f>IFERROR(__xludf.DUMMYFUNCTION("""COMPUTED_VALUE"""),"Calculation ON")</f>
        <v>Calculation ON</v>
      </c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/>
      <c r="D6" s="12"/>
      <c r="E6" s="30"/>
      <c r="F6" s="8"/>
      <c r="G6" s="8"/>
      <c r="H6" s="8"/>
      <c r="I6" s="8"/>
      <c r="J6" s="8"/>
      <c r="K6" s="12" t="b">
        <v>1</v>
      </c>
      <c r="L6" s="31" t="s">
        <v>25</v>
      </c>
      <c r="M6" s="12" t="s">
        <v>30</v>
      </c>
      <c r="N6" s="12">
        <v>1000.0</v>
      </c>
      <c r="O6" s="12" t="s">
        <v>31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FillHBdetailsOnBlotter1!$4:$4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 t="str">
        <f>IFERROR(__xludf.DUMMYFUNCTION("""COMPUTED_VALUE"""),"CaptureHotButtonDetails")</f>
        <v>CaptureHotButtonDetails</v>
      </c>
      <c r="DG4" s="25" t="str">
        <f>IFERROR(__xludf.DUMMYFUNCTION("""COMPUTED_VALUE"""),"RightClickActionVerification")</f>
        <v>RightClickActionVerification</v>
      </c>
      <c r="DH4" s="25" t="str">
        <f>IFERROR(__xludf.DUMMYFUNCTION("""COMPUTED_VALUE"""),"ManageHotButton")</f>
        <v>ManageHotButton</v>
      </c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IFERROR(__xludf.DUMMYFUNCTION("""COMPUTED_VALUE"""),"ButtonName")</f>
        <v>ButtonName</v>
      </c>
      <c r="C5" s="27" t="str">
        <f>IFERROR(__xludf.DUMMYFUNCTION("""COMPUTED_VALUE"""),"Select Action Type")</f>
        <v>Select Action Type</v>
      </c>
      <c r="D5" s="27" t="str">
        <f>IFERROR(__xludf.DUMMYFUNCTION("""COMPUTED_VALUE"""),"Transmission Preference")</f>
        <v>Transmission Preference</v>
      </c>
      <c r="E5" s="27" t="str">
        <f>IFERROR(__xludf.DUMMYFUNCTION("""COMPUTED_VALUE"""),"Button Color")</f>
        <v>Button Color</v>
      </c>
      <c r="F5" s="28" t="str">
        <f>IFERROR(__xludf.DUMMYFUNCTION("""COMPUTED_VALUE"""),"Action")</f>
        <v>Action</v>
      </c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32</v>
      </c>
      <c r="C6" s="12" t="s">
        <v>23</v>
      </c>
      <c r="D6" s="12" t="s">
        <v>24</v>
      </c>
      <c r="E6" s="30"/>
      <c r="F6" s="12" t="s">
        <v>25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CreateHotButtonOnBlotter2!$4:$4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 t="str">
        <f>IFERROR(__xludf.DUMMYFUNCTION("""COMPUTED_VALUE"""),"CaptureHotButtonDetails")</f>
        <v>CaptureHotButtonDetails</v>
      </c>
      <c r="DG4" s="25" t="str">
        <f>IFERROR(__xludf.DUMMYFUNCTION("""COMPUTED_VALUE"""),"RightClickActionVerification")</f>
        <v>RightClickActionVerification</v>
      </c>
      <c r="DH4" s="25" t="str">
        <f>IFERROR(__xludf.DUMMYFUNCTION("""COMPUTED_VALUE"""),"ManageHotButton")</f>
        <v>ManageHotButton</v>
      </c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IFERROR(__xludf.DUMMYFUNCTION("""COMPUTED_VALUE"""),"Allocation")</f>
        <v>Allocation</v>
      </c>
      <c r="E5" s="27" t="str">
        <f>IFERROR(__xludf.DUMMYFUNCTION("""COMPUTED_VALUE"""),"Broker")</f>
        <v>Broker</v>
      </c>
      <c r="F5" s="28" t="str">
        <f>IFERROR(__xludf.DUMMYFUNCTION("""COMPUTED_VALUE"""),"Venue")</f>
        <v>Venue</v>
      </c>
      <c r="G5" s="27" t="str">
        <f>IFERROR(__xludf.DUMMYFUNCTION("""COMPUTED_VALUE"""),"TIF")</f>
        <v>TIF</v>
      </c>
      <c r="H5" s="27" t="str">
        <f>IFERROR(__xludf.DUMMYFUNCTION("""COMPUTED_VALUE"""),"Order Type")</f>
        <v>Order Type</v>
      </c>
      <c r="I5" s="27" t="str">
        <f>IFERROR(__xludf.DUMMYFUNCTION("""COMPUTED_VALUE"""),"Order Side")</f>
        <v>Order Side</v>
      </c>
      <c r="J5" s="27" t="str">
        <f>IFERROR(__xludf.DUMMYFUNCTION("""COMPUTED_VALUE"""),"Execution Type")</f>
        <v>Execution Type</v>
      </c>
      <c r="K5" s="27" t="str">
        <f>IFERROR(__xludf.DUMMYFUNCTION("""COMPUTED_VALUE"""),"Add to Favourite")</f>
        <v>Add to Favourite</v>
      </c>
      <c r="L5" s="27" t="str">
        <f>IFERROR(__xludf.DUMMYFUNCTION("""COMPUTED_VALUE"""),"Action")</f>
        <v>Action</v>
      </c>
      <c r="M5" s="27" t="str">
        <f>IFERROR(__xludf.DUMMYFUNCTION("""COMPUTED_VALUE"""),"Calculation Basis Type")</f>
        <v>Calculation Basis Type</v>
      </c>
      <c r="N5" s="27" t="str">
        <f>IFERROR(__xludf.DUMMYFUNCTION("""COMPUTED_VALUE"""),"Calculation Basis Amount")</f>
        <v>Calculation Basis Amount</v>
      </c>
      <c r="O5" s="27" t="str">
        <f>IFERROR(__xludf.DUMMYFUNCTION("""COMPUTED_VALUE"""),"Calculation ON")</f>
        <v>Calculation ON</v>
      </c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/>
      <c r="D6" s="12"/>
      <c r="E6" s="30"/>
      <c r="F6" s="8"/>
      <c r="G6" s="8"/>
      <c r="H6" s="8"/>
      <c r="I6" s="8"/>
      <c r="J6" s="8"/>
      <c r="K6" s="12" t="b">
        <v>1</v>
      </c>
      <c r="L6" s="31" t="s">
        <v>25</v>
      </c>
      <c r="M6" s="12" t="s">
        <v>33</v>
      </c>
      <c r="N6" s="12">
        <v>100.0</v>
      </c>
      <c r="O6" s="1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FillHBdetailsOnBlotter2!$4:$4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 t="str">
        <f>IFERROR(__xludf.DUMMYFUNCTION("""COMPUTED_VALUE"""),"CaptureHotButtonDetails")</f>
        <v>CaptureHotButtonDetails</v>
      </c>
      <c r="DG4" s="25" t="str">
        <f>IFERROR(__xludf.DUMMYFUNCTION("""COMPUTED_VALUE"""),"RightClickActionVerification")</f>
        <v>RightClickActionVerification</v>
      </c>
      <c r="DH4" s="25" t="str">
        <f>IFERROR(__xludf.DUMMYFUNCTION("""COMPUTED_VALUE"""),"ManageHotButton")</f>
        <v>ManageHotButton</v>
      </c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IFERROR(__xludf.DUMMYFUNCTION("""COMPUTED_VALUE"""),"CheckBox")</f>
        <v>CheckBox</v>
      </c>
      <c r="BB5" s="29" t="str">
        <f>IFERROR(__xludf.DUMMYFUNCTION("""COMPUTED_VALUE"""),"Action on toolbar")</f>
        <v>Action on toolbar</v>
      </c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 t="s">
        <v>16</v>
      </c>
      <c r="E6" s="30"/>
      <c r="F6" s="12" t="s">
        <v>18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 t="str">
        <f>IFERROR(__xludf.DUMMYFUNCTION("""COMPUTED_VALUE"""),"CaptureHotButtonDetails")</f>
        <v>CaptureHotButtonDetails</v>
      </c>
      <c r="DG4" s="25" t="str">
        <f>IFERROR(__xludf.DUMMYFUNCTION("""COMPUTED_VALUE"""),"RightClickActionVerification")</f>
        <v>RightClickActionVerification</v>
      </c>
      <c r="DH4" s="25" t="str">
        <f>IFERROR(__xludf.DUMMYFUNCTION("""COMPUTED_VALUE"""),"ManageHotButton")</f>
        <v>ManageHotButton</v>
      </c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IFERROR(__xludf.DUMMYFUNCTION("""COMPUTED_VALUE"""),"EnableHotButton")</f>
        <v>EnableHotButton</v>
      </c>
      <c r="C5" s="27" t="str">
        <f>IFERROR(__xludf.DUMMYFUNCTION("""COMPUTED_VALUE"""),"VisiblityOfHotButtonPanel")</f>
        <v>VisiblityOfHotButtonPanel</v>
      </c>
      <c r="D5" s="27" t="str">
        <f>IFERROR(__xludf.DUMMYFUNCTION("""COMPUTED_VALUE"""),"HotKey Name")</f>
        <v>HotKey Name</v>
      </c>
      <c r="E5" s="27" t="str">
        <f>IFERROR(__xludf.DUMMYFUNCTION("""COMPUTED_VALUE"""),"HotKey Visiblity")</f>
        <v>HotKey Visiblity</v>
      </c>
      <c r="F5" s="28" t="str">
        <f>IFERROR(__xludf.DUMMYFUNCTION("""COMPUTED_VALUE"""),"TabToFind")</f>
        <v>TabToFind</v>
      </c>
      <c r="G5" s="27" t="str">
        <f>IFERROR(__xludf.DUMMYFUNCTION("""COMPUTED_VALUE"""),"Hotkey Disbable")</f>
        <v>Hotkey Disbable</v>
      </c>
      <c r="H5" s="27" t="str">
        <f>IFERROR(__xludf.DUMMYFUNCTION("""COMPUTED_VALUE"""),"UseHotButton")</f>
        <v>UseHotButton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 t="s">
        <v>22</v>
      </c>
      <c r="E6" s="12" t="b">
        <v>1</v>
      </c>
      <c r="F6" s="8"/>
      <c r="G6" s="8"/>
      <c r="H6" s="12" t="b">
        <v>1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EnableOrVerifyHotButton1!$4:$4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 t="str">
        <f>IFERROR(__xludf.DUMMYFUNCTION("""COMPUTED_VALUE"""),"CaptureHotButtonDetails")</f>
        <v>CaptureHotButtonDetails</v>
      </c>
      <c r="DG4" s="25" t="str">
        <f>IFERROR(__xludf.DUMMYFUNCTION("""COMPUTED_VALUE"""),"RightClickActionVerification")</f>
        <v>RightClickActionVerification</v>
      </c>
      <c r="DH4" s="25" t="str">
        <f>IFERROR(__xludf.DUMMYFUNCTION("""COMPUTED_VALUE"""),"ManageHotButton")</f>
        <v>ManageHotButton</v>
      </c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IFERROR(__xludf.DUMMYFUNCTION("""COMPUTED_VALUE"""),"EnableHotButton")</f>
        <v>EnableHotButton</v>
      </c>
      <c r="C5" s="27" t="str">
        <f>IFERROR(__xludf.DUMMYFUNCTION("""COMPUTED_VALUE"""),"VisiblityOfHotButtonPanel")</f>
        <v>VisiblityOfHotButtonPanel</v>
      </c>
      <c r="D5" s="27" t="str">
        <f>IFERROR(__xludf.DUMMYFUNCTION("""COMPUTED_VALUE"""),"HotKey Name")</f>
        <v>HotKey Name</v>
      </c>
      <c r="E5" s="27" t="str">
        <f>IFERROR(__xludf.DUMMYFUNCTION("""COMPUTED_VALUE"""),"HotKey Visiblity")</f>
        <v>HotKey Visiblity</v>
      </c>
      <c r="F5" s="28" t="str">
        <f>IFERROR(__xludf.DUMMYFUNCTION("""COMPUTED_VALUE"""),"TabToFind")</f>
        <v>TabToFind</v>
      </c>
      <c r="G5" s="27" t="str">
        <f>IFERROR(__xludf.DUMMYFUNCTION("""COMPUTED_VALUE"""),"Hotkey Disbable")</f>
        <v>Hotkey Disbable</v>
      </c>
      <c r="H5" s="27" t="str">
        <f>IFERROR(__xludf.DUMMYFUNCTION("""COMPUTED_VALUE"""),"UseHotButton")</f>
        <v>UseHotButton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 t="s">
        <v>29</v>
      </c>
      <c r="E6" s="12" t="b">
        <v>1</v>
      </c>
      <c r="F6" s="8"/>
      <c r="G6" s="8"/>
      <c r="H6" s="12" t="b">
        <v>1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EnableOrVerifyHotButton2!$4:$4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 t="str">
        <f>IFERROR(__xludf.DUMMYFUNCTION("""COMPUTED_VALUE"""),"CaptureHotButtonDetails")</f>
        <v>CaptureHotButtonDetails</v>
      </c>
      <c r="DG4" s="25" t="str">
        <f>IFERROR(__xludf.DUMMYFUNCTION("""COMPUTED_VALUE"""),"RightClickActionVerification")</f>
        <v>RightClickActionVerification</v>
      </c>
      <c r="DH4" s="25" t="str">
        <f>IFERROR(__xludf.DUMMYFUNCTION("""COMPUTED_VALUE"""),"ManageHotButton")</f>
        <v>ManageHotButton</v>
      </c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IFERROR(__xludf.DUMMYFUNCTION("""COMPUTED_VALUE"""),"EnableHotButton")</f>
        <v>EnableHotButton</v>
      </c>
      <c r="C5" s="27" t="str">
        <f>IFERROR(__xludf.DUMMYFUNCTION("""COMPUTED_VALUE"""),"VisiblityOfHotButtonPanel")</f>
        <v>VisiblityOfHotButtonPanel</v>
      </c>
      <c r="D5" s="27" t="str">
        <f>IFERROR(__xludf.DUMMYFUNCTION("""COMPUTED_VALUE"""),"HotKey Name")</f>
        <v>HotKey Name</v>
      </c>
      <c r="E5" s="27" t="str">
        <f>IFERROR(__xludf.DUMMYFUNCTION("""COMPUTED_VALUE"""),"HotKey Visiblity")</f>
        <v>HotKey Visiblity</v>
      </c>
      <c r="F5" s="28" t="str">
        <f>IFERROR(__xludf.DUMMYFUNCTION("""COMPUTED_VALUE"""),"TabToFind")</f>
        <v>TabToFind</v>
      </c>
      <c r="G5" s="27" t="str">
        <f>IFERROR(__xludf.DUMMYFUNCTION("""COMPUTED_VALUE"""),"Hotkey Disbable")</f>
        <v>Hotkey Disbable</v>
      </c>
      <c r="H5" s="27" t="str">
        <f>IFERROR(__xludf.DUMMYFUNCTION("""COMPUTED_VALUE"""),"UseHotButton")</f>
        <v>UseHotButton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 t="s">
        <v>32</v>
      </c>
      <c r="E6" s="12" t="b">
        <v>1</v>
      </c>
      <c r="F6" s="8"/>
      <c r="G6" s="8"/>
      <c r="H6" s="12" t="b">
        <v>1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EnableOrVerifyHotButton3!$4:$4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 t="str">
        <f>IFERROR(__xludf.DUMMYFUNCTION("""COMPUTED_VALUE"""),"Fx Rate")</f>
        <v>Fx Rate</v>
      </c>
      <c r="AF5" s="29" t="str">
        <f>IFERROR(__xludf.DUMMYFUNCTION("""COMPUTED_VALUE"""),"Fx Operator")</f>
        <v>Fx Operator</v>
      </c>
      <c r="AG5" s="29" t="str">
        <f>IFERROR(__xludf.DUMMYFUNCTION("""COMPUTED_VALUE"""),"PendingApprovalPopUp")</f>
        <v>PendingApprovalPopUp</v>
      </c>
      <c r="AH5" s="29" t="str">
        <f>IFERROR(__xludf.DUMMYFUNCTION("""COMPUTED_VALUE"""),"TradeBy")</f>
        <v>TradeBy</v>
      </c>
      <c r="AI5" s="29" t="str">
        <f>IFERROR(__xludf.DUMMYFUNCTION("""COMPUTED_VALUE"""),"BookAsSwap")</f>
        <v>BookAsSwap</v>
      </c>
      <c r="AJ5" s="29" t="str">
        <f>IFERROR(__xludf.DUMMYFUNCTION("""COMPUTED_VALUE"""),"RoundLot")</f>
        <v>RoundLot</v>
      </c>
      <c r="AK5" s="29" t="str">
        <f>IFERROR(__xludf.DUMMYFUNCTION("""COMPUTED_VALUE"""),"Increment")</f>
        <v>Increment</v>
      </c>
      <c r="AL5" s="29" t="str">
        <f>IFERROR(__xludf.DUMMYFUNCTION("""COMPUTED_VALUE"""),"Decrement")</f>
        <v>Decrement</v>
      </c>
      <c r="AM5" s="29" t="str">
        <f>IFERROR(__xludf.DUMMYFUNCTION("""COMPUTED_VALUE"""),"Trade Attribute 01")</f>
        <v>Trade Attribute 01</v>
      </c>
      <c r="AN5" s="29" t="str">
        <f>IFERROR(__xludf.DUMMYFUNCTION("""COMPUTED_VALUE"""),"Trade Attribute 02")</f>
        <v>Trade Attribute 02</v>
      </c>
      <c r="AO5" s="29" t="str">
        <f>IFERROR(__xludf.DUMMYFUNCTION("""COMPUTED_VALUE"""),"Trade Attribute 03")</f>
        <v>Trade Attribute 03</v>
      </c>
      <c r="AP5" s="29" t="str">
        <f>IFERROR(__xludf.DUMMYFUNCTION("""COMPUTED_VALUE"""),"Trade Attribute 04")</f>
        <v>Trade Attribute 04</v>
      </c>
      <c r="AQ5" s="29" t="str">
        <f>IFERROR(__xludf.DUMMYFUNCTION("""COMPUTED_VALUE"""),"Trade Attribute 05")</f>
        <v>Trade Attribute 05</v>
      </c>
      <c r="AR5" s="29" t="str">
        <f>IFERROR(__xludf.DUMMYFUNCTION("""COMPUTED_VALUE"""),"Trade Attribute 06")</f>
        <v>Trade Attribute 06</v>
      </c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12">
        <v>300.0</v>
      </c>
      <c r="D6" s="12">
        <v>2.0</v>
      </c>
      <c r="E6" s="12" t="s">
        <v>35</v>
      </c>
      <c r="F6" s="8"/>
      <c r="G6" s="8"/>
      <c r="H6" s="8"/>
      <c r="I6" s="8"/>
      <c r="J6" s="12" t="s">
        <v>18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CustomOrderTT1!$4:$4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36</v>
      </c>
      <c r="D3" s="5" t="s">
        <v>9</v>
      </c>
      <c r="E3" s="22" t="s">
        <v>37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 t="str">
        <f>IFERROR(__xludf.DUMMYFUNCTION("""COMPUTED_VALUE"""),"NewAcknowledgeTrade")</f>
        <v>NewAcknowledgeTrade</v>
      </c>
      <c r="P4" s="25" t="str">
        <f>IFERROR(__xludf.DUMMYFUNCTION("""COMPUTED_VALUE"""),"VerifyRowAllFixLogs")</f>
        <v>VerifyRowAllFixLogs</v>
      </c>
      <c r="Q4" s="25" t="str">
        <f>IFERROR(__xludf.DUMMYFUNCTION("""COMPUTED_VALUE"""),"ClearAllFixLogs")</f>
        <v>ClearAllFixLogs</v>
      </c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s">
        <v>16</v>
      </c>
      <c r="D6" s="12"/>
      <c r="E6" s="30"/>
      <c r="F6" s="8"/>
      <c r="G6" s="12">
        <v>300.0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SelectTrade!$4:$4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36</v>
      </c>
      <c r="D3" s="5" t="s">
        <v>9</v>
      </c>
      <c r="E3" s="22" t="s">
        <v>38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 t="str">
        <f>IFERROR(__xludf.DUMMYFUNCTION("""COMPUTED_VALUE"""),"NewAcknowledgeTrade")</f>
        <v>NewAcknowledgeTrade</v>
      </c>
      <c r="P4" s="25" t="str">
        <f>IFERROR(__xludf.DUMMYFUNCTION("""COMPUTED_VALUE"""),"VerifyRowAllFixLogs")</f>
        <v>VerifyRowAllFixLogs</v>
      </c>
      <c r="Q4" s="25" t="str">
        <f>IFERROR(__xludf.DUMMYFUNCTION("""COMPUTED_VALUE"""),"ClearAllFixLogs")</f>
        <v>ClearAllFixLogs</v>
      </c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s">
        <v>16</v>
      </c>
      <c r="D6" s="12"/>
      <c r="E6" s="30"/>
      <c r="F6" s="8"/>
      <c r="G6" s="12">
        <v>300.0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AcknowledgeTrade!$4:$4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36</v>
      </c>
      <c r="D3" s="5" t="s">
        <v>9</v>
      </c>
      <c r="E3" s="22" t="s">
        <v>39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 t="str">
        <f>IFERROR(__xludf.DUMMYFUNCTION("""COMPUTED_VALUE"""),"NewAcknowledgeTrade")</f>
        <v>NewAcknowledgeTrade</v>
      </c>
      <c r="P4" s="25" t="str">
        <f>IFERROR(__xludf.DUMMYFUNCTION("""COMPUTED_VALUE"""),"VerifyRowAllFixLogs")</f>
        <v>VerifyRowAllFixLogs</v>
      </c>
      <c r="Q4" s="25" t="str">
        <f>IFERROR(__xludf.DUMMYFUNCTION("""COMPUTED_VALUE"""),"ClearAllFixLogs")</f>
        <v>ClearAllFixLogs</v>
      </c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 t="str">
        <f>IFERROR(__xludf.DUMMYFUNCTION("""COMPUTED_VALUE"""),"ClearAllPrice")</f>
        <v>ClearAllPrice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>
        <v>2.0</v>
      </c>
      <c r="C6" s="12">
        <v>300.0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 t="str">
        <f>IFERROR(__xludf.DUMMYFUNCTION("""COMPUTED_VALUE"""),"Fx Rate")</f>
        <v>Fx Rate</v>
      </c>
      <c r="AF5" s="29" t="str">
        <f>IFERROR(__xludf.DUMMYFUNCTION("""COMPUTED_VALUE"""),"Fx Operator")</f>
        <v>Fx Operator</v>
      </c>
      <c r="AG5" s="29" t="str">
        <f>IFERROR(__xludf.DUMMYFUNCTION("""COMPUTED_VALUE"""),"PendingApprovalPopUp")</f>
        <v>PendingApprovalPopUp</v>
      </c>
      <c r="AH5" s="29" t="str">
        <f>IFERROR(__xludf.DUMMYFUNCTION("""COMPUTED_VALUE"""),"TradeBy")</f>
        <v>TradeBy</v>
      </c>
      <c r="AI5" s="29" t="str">
        <f>IFERROR(__xludf.DUMMYFUNCTION("""COMPUTED_VALUE"""),"BookAsSwap")</f>
        <v>BookAsSwap</v>
      </c>
      <c r="AJ5" s="29" t="str">
        <f>IFERROR(__xludf.DUMMYFUNCTION("""COMPUTED_VALUE"""),"RoundLot")</f>
        <v>RoundLot</v>
      </c>
      <c r="AK5" s="29" t="str">
        <f>IFERROR(__xludf.DUMMYFUNCTION("""COMPUTED_VALUE"""),"Increment")</f>
        <v>Increment</v>
      </c>
      <c r="AL5" s="29" t="str">
        <f>IFERROR(__xludf.DUMMYFUNCTION("""COMPUTED_VALUE"""),"Decrement")</f>
        <v>Decrement</v>
      </c>
      <c r="AM5" s="29" t="str">
        <f>IFERROR(__xludf.DUMMYFUNCTION("""COMPUTED_VALUE"""),"Trade Attribute 01")</f>
        <v>Trade Attribute 01</v>
      </c>
      <c r="AN5" s="29" t="str">
        <f>IFERROR(__xludf.DUMMYFUNCTION("""COMPUTED_VALUE"""),"Trade Attribute 02")</f>
        <v>Trade Attribute 02</v>
      </c>
      <c r="AO5" s="29" t="str">
        <f>IFERROR(__xludf.DUMMYFUNCTION("""COMPUTED_VALUE"""),"Trade Attribute 03")</f>
        <v>Trade Attribute 03</v>
      </c>
      <c r="AP5" s="29" t="str">
        <f>IFERROR(__xludf.DUMMYFUNCTION("""COMPUTED_VALUE"""),"Trade Attribute 04")</f>
        <v>Trade Attribute 04</v>
      </c>
      <c r="AQ5" s="29" t="str">
        <f>IFERROR(__xludf.DUMMYFUNCTION("""COMPUTED_VALUE"""),"Trade Attribute 05")</f>
        <v>Trade Attribute 05</v>
      </c>
      <c r="AR5" s="29" t="str">
        <f>IFERROR(__xludf.DUMMYFUNCTION("""COMPUTED_VALUE"""),"Trade Attribute 06")</f>
        <v>Trade Attribute 06</v>
      </c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12">
        <v>70.0</v>
      </c>
      <c r="D6" s="12">
        <v>2.0</v>
      </c>
      <c r="E6" s="12" t="s">
        <v>35</v>
      </c>
      <c r="F6" s="8"/>
      <c r="G6" s="8"/>
      <c r="H6" s="8"/>
      <c r="I6" s="8"/>
      <c r="J6" s="12" t="s">
        <v>18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CustomOrderTT2!$4:$4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36</v>
      </c>
      <c r="D3" s="5" t="s">
        <v>9</v>
      </c>
      <c r="E3" s="22" t="s">
        <v>37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 t="str">
        <f>IFERROR(__xludf.DUMMYFUNCTION("""COMPUTED_VALUE"""),"NewAcknowledgeTrade")</f>
        <v>NewAcknowledgeTrade</v>
      </c>
      <c r="P4" s="25" t="str">
        <f>IFERROR(__xludf.DUMMYFUNCTION("""COMPUTED_VALUE"""),"VerifyRowAllFixLogs")</f>
        <v>VerifyRowAllFixLogs</v>
      </c>
      <c r="Q4" s="25" t="str">
        <f>IFERROR(__xludf.DUMMYFUNCTION("""COMPUTED_VALUE"""),"ClearAllFixLogs")</f>
        <v>ClearAllFixLogs</v>
      </c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s">
        <v>16</v>
      </c>
      <c r="D6" s="12"/>
      <c r="E6" s="30"/>
      <c r="F6" s="8"/>
      <c r="G6" s="12">
        <v>70.0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36</v>
      </c>
      <c r="D3" s="5" t="s">
        <v>9</v>
      </c>
      <c r="E3" s="22" t="s">
        <v>38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 t="str">
        <f>IFERROR(__xludf.DUMMYFUNCTION("""COMPUTED_VALUE"""),"NewAcknowledgeTrade")</f>
        <v>NewAcknowledgeTrade</v>
      </c>
      <c r="P4" s="25" t="str">
        <f>IFERROR(__xludf.DUMMYFUNCTION("""COMPUTED_VALUE"""),"VerifyRowAllFixLogs")</f>
        <v>VerifyRowAllFixLogs</v>
      </c>
      <c r="Q4" s="25" t="str">
        <f>IFERROR(__xludf.DUMMYFUNCTION("""COMPUTED_VALUE"""),"ClearAllFixLogs")</f>
        <v>ClearAllFixLogs</v>
      </c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s">
        <v>16</v>
      </c>
      <c r="D6" s="12"/>
      <c r="E6" s="30"/>
      <c r="F6" s="8"/>
      <c r="G6" s="12">
        <v>70.0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36</v>
      </c>
      <c r="D3" s="5" t="s">
        <v>9</v>
      </c>
      <c r="E3" s="22" t="s">
        <v>39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 t="str">
        <f>IFERROR(__xludf.DUMMYFUNCTION("""COMPUTED_VALUE"""),"NewAcknowledgeTrade")</f>
        <v>NewAcknowledgeTrade</v>
      </c>
      <c r="P4" s="25" t="str">
        <f>IFERROR(__xludf.DUMMYFUNCTION("""COMPUTED_VALUE"""),"VerifyRowAllFixLogs")</f>
        <v>VerifyRowAllFixLogs</v>
      </c>
      <c r="Q4" s="25" t="str">
        <f>IFERROR(__xludf.DUMMYFUNCTION("""COMPUTED_VALUE"""),"ClearAllFixLogs")</f>
        <v>ClearAllFixLogs</v>
      </c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 t="str">
        <f>IFERROR(__xludf.DUMMYFUNCTION("""COMPUTED_VALUE"""),"ClearAllPrice")</f>
        <v>ClearAllPrice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>
        <v>2.0</v>
      </c>
      <c r="C6" s="12">
        <v>70.0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 t="str">
        <f>IFERROR(__xludf.DUMMYFUNCTION("""COMPUTED_VALUE"""),"Fx Rate")</f>
        <v>Fx Rate</v>
      </c>
      <c r="AF5" s="29" t="str">
        <f>IFERROR(__xludf.DUMMYFUNCTION("""COMPUTED_VALUE"""),"Fx Operator")</f>
        <v>Fx Operator</v>
      </c>
      <c r="AG5" s="29" t="str">
        <f>IFERROR(__xludf.DUMMYFUNCTION("""COMPUTED_VALUE"""),"PendingApprovalPopUp")</f>
        <v>PendingApprovalPopUp</v>
      </c>
      <c r="AH5" s="29" t="str">
        <f>IFERROR(__xludf.DUMMYFUNCTION("""COMPUTED_VALUE"""),"TradeBy")</f>
        <v>TradeBy</v>
      </c>
      <c r="AI5" s="29" t="str">
        <f>IFERROR(__xludf.DUMMYFUNCTION("""COMPUTED_VALUE"""),"BookAsSwap")</f>
        <v>BookAsSwap</v>
      </c>
      <c r="AJ5" s="29" t="str">
        <f>IFERROR(__xludf.DUMMYFUNCTION("""COMPUTED_VALUE"""),"RoundLot")</f>
        <v>RoundLot</v>
      </c>
      <c r="AK5" s="29" t="str">
        <f>IFERROR(__xludf.DUMMYFUNCTION("""COMPUTED_VALUE"""),"Increment")</f>
        <v>Increment</v>
      </c>
      <c r="AL5" s="29" t="str">
        <f>IFERROR(__xludf.DUMMYFUNCTION("""COMPUTED_VALUE"""),"Decrement")</f>
        <v>Decrement</v>
      </c>
      <c r="AM5" s="29" t="str">
        <f>IFERROR(__xludf.DUMMYFUNCTION("""COMPUTED_VALUE"""),"Trade Attribute 01")</f>
        <v>Trade Attribute 01</v>
      </c>
      <c r="AN5" s="29" t="str">
        <f>IFERROR(__xludf.DUMMYFUNCTION("""COMPUTED_VALUE"""),"Trade Attribute 02")</f>
        <v>Trade Attribute 02</v>
      </c>
      <c r="AO5" s="29" t="str">
        <f>IFERROR(__xludf.DUMMYFUNCTION("""COMPUTED_VALUE"""),"Trade Attribute 03")</f>
        <v>Trade Attribute 03</v>
      </c>
      <c r="AP5" s="29" t="str">
        <f>IFERROR(__xludf.DUMMYFUNCTION("""COMPUTED_VALUE"""),"Trade Attribute 04")</f>
        <v>Trade Attribute 04</v>
      </c>
      <c r="AQ5" s="29" t="str">
        <f>IFERROR(__xludf.DUMMYFUNCTION("""COMPUTED_VALUE"""),"Trade Attribute 05")</f>
        <v>Trade Attribute 05</v>
      </c>
      <c r="AR5" s="29" t="str">
        <f>IFERROR(__xludf.DUMMYFUNCTION("""COMPUTED_VALUE"""),"Trade Attribute 06")</f>
        <v>Trade Attribute 06</v>
      </c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12">
        <v>100.0</v>
      </c>
      <c r="D6" s="12">
        <v>2.0</v>
      </c>
      <c r="E6" s="12" t="s">
        <v>35</v>
      </c>
      <c r="F6" s="8"/>
      <c r="G6" s="8"/>
      <c r="H6" s="8"/>
      <c r="I6" s="8"/>
      <c r="J6" s="12" t="s">
        <v>18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CustomOrderTT3!$4:$4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36</v>
      </c>
      <c r="D3" s="5" t="s">
        <v>9</v>
      </c>
      <c r="E3" s="22" t="s">
        <v>37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 t="str">
        <f>IFERROR(__xludf.DUMMYFUNCTION("""COMPUTED_VALUE"""),"NewAcknowledgeTrade")</f>
        <v>NewAcknowledgeTrade</v>
      </c>
      <c r="P4" s="25" t="str">
        <f>IFERROR(__xludf.DUMMYFUNCTION("""COMPUTED_VALUE"""),"VerifyRowAllFixLogs")</f>
        <v>VerifyRowAllFixLogs</v>
      </c>
      <c r="Q4" s="25" t="str">
        <f>IFERROR(__xludf.DUMMYFUNCTION("""COMPUTED_VALUE"""),"ClearAllFixLogs")</f>
        <v>ClearAllFixLogs</v>
      </c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s">
        <v>16</v>
      </c>
      <c r="D6" s="12"/>
      <c r="E6" s="30"/>
      <c r="F6" s="8"/>
      <c r="G6" s="12">
        <v>100.0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36</v>
      </c>
      <c r="D3" s="5" t="s">
        <v>9</v>
      </c>
      <c r="E3" s="22" t="s">
        <v>38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 t="str">
        <f>IFERROR(__xludf.DUMMYFUNCTION("""COMPUTED_VALUE"""),"NewAcknowledgeTrade")</f>
        <v>NewAcknowledgeTrade</v>
      </c>
      <c r="P4" s="25" t="str">
        <f>IFERROR(__xludf.DUMMYFUNCTION("""COMPUTED_VALUE"""),"VerifyRowAllFixLogs")</f>
        <v>VerifyRowAllFixLogs</v>
      </c>
      <c r="Q4" s="25" t="str">
        <f>IFERROR(__xludf.DUMMYFUNCTION("""COMPUTED_VALUE"""),"ClearAllFixLogs")</f>
        <v>ClearAllFixLogs</v>
      </c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s">
        <v>16</v>
      </c>
      <c r="D6" s="12"/>
      <c r="E6" s="30"/>
      <c r="F6" s="8"/>
      <c r="G6" s="12">
        <v>100.0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AcknowledgeTrade2!$4:$4</formula1>
    </dataValidation>
  </dataValidation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36</v>
      </c>
      <c r="D3" s="5" t="s">
        <v>9</v>
      </c>
      <c r="E3" s="22" t="s">
        <v>39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 t="str">
        <f>IFERROR(__xludf.DUMMYFUNCTION("""COMPUTED_VALUE"""),"NewAcknowledgeTrade")</f>
        <v>NewAcknowledgeTrade</v>
      </c>
      <c r="P4" s="25" t="str">
        <f>IFERROR(__xludf.DUMMYFUNCTION("""COMPUTED_VALUE"""),"VerifyRowAllFixLogs")</f>
        <v>VerifyRowAllFixLogs</v>
      </c>
      <c r="Q4" s="25" t="str">
        <f>IFERROR(__xludf.DUMMYFUNCTION("""COMPUTED_VALUE"""),"ClearAllFixLogs")</f>
        <v>ClearAllFixLogs</v>
      </c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 t="str">
        <f>IFERROR(__xludf.DUMMYFUNCTION("""COMPUTED_VALUE"""),"ClearAllPrice")</f>
        <v>ClearAllPrice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>
        <v>2.0</v>
      </c>
      <c r="C6" s="12">
        <v>100.0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ExecuteTrade2!$4:$4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40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 t="str">
        <f>IFERROR(__xludf.DUMMYFUNCTION("""COMPUTED_VALUE"""),"CaptureHotButtonDetails")</f>
        <v>CaptureHotButtonDetails</v>
      </c>
      <c r="DG4" s="25" t="str">
        <f>IFERROR(__xludf.DUMMYFUNCTION("""COMPUTED_VALUE"""),"RightClickActionVerification")</f>
        <v>RightClickActionVerification</v>
      </c>
      <c r="DH4" s="25" t="str">
        <f>IFERROR(__xludf.DUMMYFUNCTION("""COMPUTED_VALUE"""),"ManageHotButton")</f>
        <v>ManageHotButton</v>
      </c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2")</f>
        <v>Trade Attribute 2</v>
      </c>
      <c r="R5" s="27" t="str">
        <f>IFERROR(__xludf.DUMMYFUNCTION("""COMPUTED_VALUE"""),"Trade Attribute 1")</f>
        <v>Trade Attribute 1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IFERROR(__xludf.DUMMYFUNCTION("""COMPUTED_VALUE"""),"Quantity")</f>
        <v>Quantity</v>
      </c>
      <c r="AM5" s="29" t="str">
        <f>IFERROR(__xludf.DUMMYFUNCTION("""COMPUTED_VALUE"""),"Executed Qty")</f>
        <v>Executed Qty</v>
      </c>
      <c r="AN5" s="29" t="str">
        <f>IFERROR(__xludf.DUMMYFUNCTION("""COMPUTED_VALUE"""),"Day Executed Qty")</f>
        <v>Day Executed Qty</v>
      </c>
      <c r="AO5" s="29" t="str">
        <f>IFERROR(__xludf.DUMMYFUNCTION("""COMPUTED_VALUE"""),"Last Fill Price (Local)")</f>
        <v>Last Fill Price (Local)</v>
      </c>
      <c r="AP5" s="29" t="str">
        <f>IFERROR(__xludf.DUMMYFUNCTION("""COMPUTED_VALUE"""),"Avg Fill Price (Local)")</f>
        <v>Avg Fill Price (Local)</v>
      </c>
      <c r="AQ5" s="29" t="str">
        <f>IFERROR(__xludf.DUMMYFUNCTION("""COMPUTED_VALUE"""),"Broker")</f>
        <v>Broker</v>
      </c>
      <c r="AR5" s="29" t="str">
        <f>IFERROR(__xludf.DUMMYFUNCTION("""COMPUTED_VALUE"""),"Account")</f>
        <v>Account</v>
      </c>
      <c r="AS5" s="29" t="str">
        <f>IFERROR(__xludf.DUMMYFUNCTION("""COMPUTED_VALUE"""),"Order Type")</f>
        <v>Order Type</v>
      </c>
      <c r="AT5" s="29" t="str">
        <f>IFERROR(__xludf.DUMMYFUNCTION("""COMPUTED_VALUE"""),"Principal Amount (Local)")</f>
        <v>Principal Amount (Local)</v>
      </c>
      <c r="AU5" s="29" t="str">
        <f>IFERROR(__xludf.DUMMYFUNCTION("""COMPUTED_VALUE"""),"Principal Amount (Base)")</f>
        <v>Principal Amount (Base)</v>
      </c>
      <c r="AV5" s="29" t="str">
        <f>IFERROR(__xludf.DUMMYFUNCTION("""COMPUTED_VALUE"""),"Allocation Scheme Name")</f>
        <v>Allocation Scheme Name</v>
      </c>
      <c r="AW5" s="29" t="str">
        <f>IFERROR(__xludf.DUMMYFUNCTION("""COMPUTED_VALUE"""),"Status (With Rollover)")</f>
        <v>Status (With Rollover)</v>
      </c>
      <c r="AX5" s="29" t="str">
        <f>IFERROR(__xludf.DUMMYFUNCTION("""COMPUTED_VALUE"""),"Unexecuted Qty")</f>
        <v>Unexecuted Qty</v>
      </c>
      <c r="AY5" s="29" t="str">
        <f>IFERROR(__xludf.DUMMYFUNCTION("""COMPUTED_VALUE"""),"Strategy")</f>
        <v>Strategy</v>
      </c>
      <c r="AZ5" s="29" t="str">
        <f>IFERROR(__xludf.DUMMYFUNCTION("""COMPUTED_VALUE"""),"Actual User")</f>
        <v>Actual User</v>
      </c>
      <c r="BA5" s="29" t="str">
        <f>IFERROR(__xludf.DUMMYFUNCTION("""COMPUTED_VALUE"""),"% Completed")</f>
        <v>% Completed</v>
      </c>
      <c r="BB5" s="29" t="str">
        <f>IFERROR(__xludf.DUMMYFUNCTION("""COMPUTED_VALUE"""),"MandatoryColumn")</f>
        <v>MandatoryColumn</v>
      </c>
      <c r="BC5" s="29" t="str">
        <f>IFERROR(__xludf.DUMMYFUNCTION("""COMPUTED_VALUE"""),"Expiry Date")</f>
        <v>Expiry Date</v>
      </c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16</v>
      </c>
      <c r="AJ6" s="9" t="s">
        <v>18</v>
      </c>
      <c r="AK6" s="9" t="s">
        <v>41</v>
      </c>
      <c r="AL6" s="9">
        <v>300.0</v>
      </c>
      <c r="AM6" s="9">
        <v>300.0</v>
      </c>
      <c r="AQ6" s="9" t="s">
        <v>42</v>
      </c>
      <c r="AR6" s="9" t="s">
        <v>43</v>
      </c>
    </row>
    <row r="7" ht="15.75" customHeight="1">
      <c r="A7" s="12"/>
      <c r="B7" s="12"/>
      <c r="C7" s="8"/>
      <c r="D7" s="12"/>
      <c r="E7" s="30"/>
      <c r="F7" s="8"/>
      <c r="G7" s="8"/>
      <c r="H7" s="8"/>
      <c r="I7" s="8"/>
      <c r="J7" s="8"/>
      <c r="K7" s="8"/>
      <c r="L7" s="8"/>
      <c r="M7" s="8"/>
      <c r="N7" s="8"/>
      <c r="O7" s="8"/>
      <c r="AI7" s="9" t="s">
        <v>16</v>
      </c>
      <c r="AJ7" s="9" t="s">
        <v>18</v>
      </c>
      <c r="AK7" s="9" t="s">
        <v>41</v>
      </c>
      <c r="AL7" s="9">
        <v>70.0</v>
      </c>
      <c r="AM7" s="9">
        <v>70.0</v>
      </c>
      <c r="AQ7" s="9" t="s">
        <v>42</v>
      </c>
      <c r="AR7" s="9" t="s">
        <v>43</v>
      </c>
    </row>
    <row r="8" ht="15.75" customHeight="1">
      <c r="A8" s="12"/>
      <c r="B8" s="12"/>
      <c r="C8" s="8"/>
      <c r="D8" s="12"/>
      <c r="E8" s="30"/>
      <c r="F8" s="8"/>
      <c r="G8" s="8"/>
      <c r="H8" s="8"/>
      <c r="I8" s="8"/>
      <c r="J8" s="8"/>
      <c r="K8" s="8"/>
      <c r="L8" s="8"/>
      <c r="M8" s="8"/>
      <c r="N8" s="8"/>
      <c r="O8" s="8"/>
      <c r="AI8" s="9" t="s">
        <v>16</v>
      </c>
      <c r="AJ8" s="9" t="s">
        <v>18</v>
      </c>
      <c r="AK8" s="9" t="s">
        <v>41</v>
      </c>
      <c r="AL8" s="9">
        <v>100.0</v>
      </c>
      <c r="AM8" s="9">
        <v>100.0</v>
      </c>
      <c r="AQ8" s="9" t="s">
        <v>42</v>
      </c>
      <c r="AR8" s="9" t="s">
        <v>43</v>
      </c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VerifySubOrder!$4:$4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