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ShowMasterFundOnTT" sheetId="6" r:id="rId8"/>
    <sheet state="visible" name="UpdateMasterFundOnTT" sheetId="7" r:id="rId9"/>
    <sheet state="visible" name="CreateDoneAwayOrder" sheetId="8" r:id="rId10"/>
    <sheet state="visible" name="PricingInput" sheetId="9" r:id="rId11"/>
    <sheet state="visible" name="SetPTTPreference" sheetId="10" r:id="rId12"/>
    <sheet state="visible" name="CalculatePTT" sheetId="11" r:id="rId13"/>
    <sheet state="visible" name="VerifyPTT" sheetId="12" r:id="rId14"/>
    <sheet state="visible" name="TradePTT" sheetId="13" r:id="rId15"/>
    <sheet state="visible" name="CreateDoneAwayOrder1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SetDefaultSymbology" sheetId="18" r:id="rId20"/>
  </sheets>
  <definedNames/>
  <calcPr/>
</workbook>
</file>

<file path=xl/sharedStrings.xml><?xml version="1.0" encoding="utf-8"?>
<sst xmlns="http://schemas.openxmlformats.org/spreadsheetml/2006/main" count="180" uniqueCount="56">
  <si>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</si>
  <si>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</si>
  <si>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</si>
  <si>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</si>
  <si>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</si>
  <si>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</si>
  <si>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</si>
  <si>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</si>
  <si>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</si>
  <si>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</si>
  <si>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</si>
  <si>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</si>
  <si>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</si>
  <si>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</si>
  <si>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</si>
  <si>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</si>
  <si>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</si>
  <si>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</si>
  <si>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</si>
  <si>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</si>
  <si>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</si>
  <si>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</si>
  <si>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</si>
  <si>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</si>
  <si>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</si>
  <si>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</si>
  <si>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</si>
  <si>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</si>
  <si>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Allocation1,Allocation3</t>
  </si>
  <si>
    <t>50,50</t>
  </si>
  <si>
    <t>PricingInput</t>
  </si>
  <si>
    <t>PTT</t>
  </si>
  <si>
    <t>SetPTTPreference</t>
  </si>
  <si>
    <t>BloombergSymbol</t>
  </si>
  <si>
    <t>CalculatePTT</t>
  </si>
  <si>
    <t>AAPL US EQUITY</t>
  </si>
  <si>
    <t>Increase</t>
  </si>
  <si>
    <t>Percentage</t>
  </si>
  <si>
    <t>No</t>
  </si>
  <si>
    <t>MasterFund</t>
  </si>
  <si>
    <t>VerifyPTT</t>
  </si>
  <si>
    <t>TradePTT</t>
  </si>
  <si>
    <t>Blotter</t>
  </si>
  <si>
    <t>VerifyOrder</t>
  </si>
  <si>
    <t>M</t>
  </si>
  <si>
    <t>Filled</t>
  </si>
  <si>
    <t>MS</t>
  </si>
  <si>
    <t>Multiple</t>
  </si>
  <si>
    <t>Market</t>
  </si>
  <si>
    <t>GetDataAllocation</t>
  </si>
  <si>
    <t>Current</t>
  </si>
  <si>
    <t>CheckAllocatedGroups</t>
  </si>
  <si>
    <t>Equity</t>
  </si>
  <si>
    <t>NASDAQ</t>
  </si>
  <si>
    <t>SetDefaultSymbology</t>
  </si>
  <si>
    <t>TickerSymbol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</si>
</sst>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Arial"/>
    </font>
    <font>
      <sz val="9.0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center" readingOrder="0" shrinkToFit="0" vertical="top" wrapText="0"/>
    </xf>
    <xf borderId="0" fillId="6" fontId="15" numFmtId="0" xfId="0" applyAlignment="1" applyFont="1">
      <alignment horizontal="center" vertical="top"/>
    </xf>
    <xf borderId="0" fillId="0" fontId="3" numFmtId="0" xfId="0" applyAlignment="1" applyFont="1">
      <alignment horizontal="right" vertical="bottom"/>
    </xf>
    <xf borderId="0" fillId="6" fontId="14" numFmtId="0" xfId="0" applyAlignment="1" applyFont="1">
      <alignment horizontal="center" vertical="top"/>
    </xf>
    <xf borderId="0" fillId="6" fontId="14" numFmtId="0" xfId="0" applyAlignment="1" applyFont="1">
      <alignment horizontal="right" readingOrder="0" shrinkToFit="0" vertical="top" wrapText="0"/>
    </xf>
    <xf borderId="0" fillId="6" fontId="14" numFmtId="0" xfId="0" applyAlignment="1" applyFont="1">
      <alignment horizontal="right" vertical="top"/>
    </xf>
    <xf borderId="0" fillId="7" fontId="14" numFmtId="0" xfId="0" applyAlignment="1" applyFill="1" applyFont="1">
      <alignment horizontal="center" readingOrder="0" shrinkToFit="0" vertical="top" wrapText="0"/>
    </xf>
    <xf borderId="0" fillId="7" fontId="14" numFmtId="0" xfId="0" applyAlignment="1" applyFont="1">
      <alignment horizontal="right" readingOrder="0" shrinkToFit="0" vertical="top" wrapText="0"/>
    </xf>
    <xf borderId="0" fillId="0" fontId="13" numFmtId="0" xfId="0" applyAlignment="1" applyFont="1">
      <alignment readingOrder="0" shrinkToFit="0" vertical="bottom" wrapText="0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44091</v>
      </c>
      <c r="C6" s="31">
        <f t="shared" si="1"/>
        <v>44091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2" t="s">
        <v>18</v>
      </c>
      <c r="D6" s="34">
        <v>40000.0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40000.0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b">
        <v>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8" t="s">
        <v>24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2" t="s">
        <v>27</v>
      </c>
      <c r="D6" s="39">
        <v>500.0</v>
      </c>
      <c r="E6" s="39">
        <v>500.0</v>
      </c>
      <c r="F6" s="32"/>
      <c r="G6" s="32"/>
      <c r="H6" s="32"/>
      <c r="I6" s="32"/>
      <c r="J6" s="40">
        <v>20.0</v>
      </c>
      <c r="K6" s="32"/>
      <c r="L6" s="32"/>
      <c r="M6" s="32"/>
      <c r="N6" s="31">
        <f>TODAY()</f>
        <v>44092</v>
      </c>
      <c r="O6" s="40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41" t="s">
        <v>28</v>
      </c>
      <c r="AL6" s="41" t="s">
        <v>29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40">
        <v>20.0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IFERROR(__xludf.DUMMYFUNCTION("""COMPUTED_VALUE"""),"Add/Subtract/Set")</f>
        <v>Add/Subtract/Set</v>
      </c>
      <c r="C5" s="27" t="str">
        <f>IFERROR(__xludf.DUMMYFUNCTION("""COMPUTED_VALUE"""),"Type")</f>
        <v>Type</v>
      </c>
      <c r="D5" s="27" t="str">
        <f>IFERROR(__xludf.DUMMYFUNCTION("""COMPUTED_VALUE"""),"Combined Account Total")</f>
        <v>Combined Account Total</v>
      </c>
      <c r="E5" s="27" t="str">
        <f>IFERROR(__xludf.DUMMYFUNCTION("""COMPUTED_VALUE"""),"MasterFund/Account")</f>
        <v>MasterFund/Account</v>
      </c>
      <c r="F5" s="28" t="str">
        <f>IFERROR(__xludf.DUMMYFUNCTION("""COMPUTED_VALUE"""),"Accounts")</f>
        <v>Accounts</v>
      </c>
      <c r="G5" s="27" t="str">
        <f>IFERROR(__xludf.DUMMYFUNCTION("""COMPUTED_VALUE"""),"Increase Decimal Digits")</f>
        <v>Increase Decimal Digits</v>
      </c>
      <c r="H5" s="27" t="str">
        <f>IFERROR(__xludf.DUMMYFUNCTION("""COMPUTED_VALUE"""),"ChkRemoveAccountsWithZeroNAV")</f>
        <v>ChkRemoveAccountsWithZeroNAV</v>
      </c>
      <c r="I5" s="27" t="str">
        <f>IFERROR(__xludf.DUMMYFUNCTION("""COMPUTED_VALUE"""),"Default Symbology")</f>
        <v>Default Symbology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2"/>
      <c r="D6" s="30"/>
      <c r="E6" s="32"/>
      <c r="F6" s="32"/>
      <c r="G6" s="32"/>
      <c r="H6" s="32"/>
      <c r="I6" s="32" t="s">
        <v>33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SetPTTPreference!$4:$4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35</v>
      </c>
      <c r="C6" s="42" t="s">
        <v>36</v>
      </c>
      <c r="D6" s="43" t="s">
        <v>37</v>
      </c>
      <c r="E6" s="40">
        <v>5.0</v>
      </c>
      <c r="F6" s="32"/>
      <c r="G6" s="42" t="s">
        <v>38</v>
      </c>
      <c r="H6" s="42" t="s">
        <v>39</v>
      </c>
      <c r="I6" s="4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44">
        <v>500.0</v>
      </c>
      <c r="E6" s="44">
        <v>10000.0</v>
      </c>
      <c r="F6" s="44">
        <v>12.5</v>
      </c>
      <c r="G6" s="44">
        <v>5.0</v>
      </c>
      <c r="H6" s="44">
        <v>17.5</v>
      </c>
      <c r="I6" s="44">
        <v>200.0</v>
      </c>
      <c r="J6" s="44">
        <v>700.0</v>
      </c>
      <c r="K6" s="44">
        <v>14000.0</v>
      </c>
      <c r="L6" s="44">
        <v>100.0</v>
      </c>
      <c r="M6" s="44">
        <v>1.0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35</v>
      </c>
      <c r="C6" s="42" t="s">
        <v>36</v>
      </c>
      <c r="D6" s="43" t="s">
        <v>37</v>
      </c>
      <c r="E6" s="40">
        <v>5.0</v>
      </c>
      <c r="F6" s="32"/>
      <c r="G6" s="42" t="s">
        <v>38</v>
      </c>
      <c r="H6" s="42" t="s">
        <v>39</v>
      </c>
      <c r="I6" s="4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35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6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  <c r="U6" s="47" t="s">
        <v>18</v>
      </c>
      <c r="AD6" s="48">
        <v>1.0</v>
      </c>
      <c r="AE6" s="33"/>
      <c r="AF6" s="33" t="s">
        <v>44</v>
      </c>
      <c r="AG6" s="33"/>
      <c r="AH6" s="33"/>
      <c r="AI6" s="49" t="s">
        <v>26</v>
      </c>
      <c r="AJ6" s="49" t="s">
        <v>27</v>
      </c>
      <c r="AK6" s="49" t="s">
        <v>45</v>
      </c>
      <c r="AL6" s="50">
        <v>200.0</v>
      </c>
      <c r="AM6" s="50">
        <v>200.0</v>
      </c>
      <c r="AN6" s="46">
        <v>100.0</v>
      </c>
      <c r="AO6" s="46">
        <v>200.0</v>
      </c>
      <c r="AQ6" s="51">
        <v>20.0</v>
      </c>
      <c r="AR6" s="51">
        <v>20.0</v>
      </c>
      <c r="AS6" s="49" t="s">
        <v>46</v>
      </c>
      <c r="AT6" s="46" t="s">
        <v>47</v>
      </c>
      <c r="AU6" s="49" t="s">
        <v>48</v>
      </c>
      <c r="AV6" s="46">
        <v>4000.0</v>
      </c>
      <c r="AW6" s="46">
        <v>4000.0</v>
      </c>
      <c r="AY6" s="9">
        <v>200.0</v>
      </c>
    </row>
    <row r="7" ht="15.75" customHeight="1">
      <c r="A7" s="8"/>
      <c r="B7" s="8"/>
      <c r="C7" s="8"/>
      <c r="D7" s="8"/>
      <c r="E7" s="52" t="s">
        <v>35</v>
      </c>
      <c r="F7" s="8"/>
      <c r="G7" s="8"/>
      <c r="H7" s="8"/>
      <c r="I7" s="8"/>
      <c r="J7" s="8"/>
      <c r="K7" s="8"/>
      <c r="L7" s="8"/>
      <c r="M7" s="8"/>
      <c r="N7" s="8"/>
      <c r="O7" s="8"/>
      <c r="U7" s="47" t="s">
        <v>18</v>
      </c>
      <c r="AD7" s="48">
        <v>1.0</v>
      </c>
      <c r="AE7" s="33"/>
      <c r="AF7" s="33" t="s">
        <v>44</v>
      </c>
      <c r="AG7" s="33"/>
      <c r="AH7" s="33"/>
      <c r="AI7" s="49" t="s">
        <v>26</v>
      </c>
      <c r="AJ7" s="49" t="s">
        <v>27</v>
      </c>
      <c r="AK7" s="49" t="s">
        <v>45</v>
      </c>
      <c r="AL7" s="53">
        <v>500.0</v>
      </c>
      <c r="AM7" s="53">
        <v>500.0</v>
      </c>
      <c r="AN7" s="52">
        <v>100.0</v>
      </c>
      <c r="AO7" s="52">
        <v>500.0</v>
      </c>
      <c r="AQ7" s="51">
        <v>20.0</v>
      </c>
      <c r="AR7" s="51">
        <v>20.0</v>
      </c>
      <c r="AS7" s="49" t="s">
        <v>46</v>
      </c>
      <c r="AT7" s="52" t="s">
        <v>47</v>
      </c>
      <c r="AU7" s="49" t="s">
        <v>48</v>
      </c>
      <c r="AV7" s="52">
        <v>10000.0</v>
      </c>
      <c r="AW7" s="52">
        <v>10000.0</v>
      </c>
      <c r="AY7" s="9">
        <v>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50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s">
        <v>47</v>
      </c>
      <c r="C6" s="8"/>
      <c r="D6" s="11"/>
      <c r="E6" s="44">
        <v>500.0</v>
      </c>
      <c r="F6" s="8"/>
      <c r="G6" s="55" t="s">
        <v>52</v>
      </c>
      <c r="H6" s="32"/>
      <c r="I6" s="32"/>
      <c r="J6" s="32"/>
      <c r="K6" s="32">
        <v>20.0</v>
      </c>
      <c r="L6" s="32">
        <v>20.0</v>
      </c>
      <c r="M6" s="55" t="s">
        <v>35</v>
      </c>
      <c r="N6" s="8"/>
      <c r="O6" s="8"/>
      <c r="AD6" s="56" t="s">
        <v>53</v>
      </c>
      <c r="AE6" s="57">
        <v>500.0</v>
      </c>
      <c r="AH6" s="56" t="s">
        <v>44</v>
      </c>
      <c r="AI6" s="58">
        <v>1.0</v>
      </c>
      <c r="AT6" s="59">
        <v>10014.0056</v>
      </c>
      <c r="AU6" s="59">
        <v>10014.0056</v>
      </c>
      <c r="AY6" s="56" t="s">
        <v>48</v>
      </c>
      <c r="AZ6" s="33"/>
      <c r="BA6" s="33"/>
      <c r="BB6" s="33"/>
      <c r="BC6" s="33"/>
      <c r="BD6" s="33"/>
      <c r="BE6" s="59">
        <v>10000.0</v>
      </c>
      <c r="BF6" s="59">
        <v>10000.0</v>
      </c>
      <c r="BG6" s="33"/>
      <c r="BH6" s="33"/>
      <c r="BI6" s="33"/>
      <c r="BJ6" s="41">
        <v>500.0</v>
      </c>
      <c r="BK6" s="33"/>
      <c r="BL6" s="33"/>
      <c r="BM6" s="33"/>
      <c r="BN6" s="33"/>
      <c r="BO6" s="33" t="s">
        <v>27</v>
      </c>
      <c r="BP6" s="33"/>
      <c r="BQ6" s="33"/>
      <c r="BR6" s="33"/>
      <c r="BS6" s="33"/>
      <c r="BT6" s="33" t="s">
        <v>26</v>
      </c>
      <c r="BU6" s="33"/>
      <c r="BV6" s="33"/>
      <c r="BW6" s="44">
        <v>14.0056</v>
      </c>
      <c r="BX6" s="60"/>
      <c r="BY6" s="60"/>
      <c r="BZ6" s="61"/>
      <c r="CA6" s="60"/>
      <c r="CB6" s="61"/>
      <c r="CC6" s="33"/>
      <c r="CD6" s="33"/>
      <c r="CE6" s="33"/>
      <c r="CF6" s="33"/>
      <c r="CG6" s="33"/>
      <c r="CH6" s="54" t="s">
        <v>22</v>
      </c>
      <c r="CI6" s="33" t="s">
        <v>27</v>
      </c>
      <c r="CJ6" s="33"/>
      <c r="CK6" s="33"/>
      <c r="CL6" s="33"/>
      <c r="CM6" s="33"/>
      <c r="CN6" s="33"/>
      <c r="CO6" s="33"/>
      <c r="CP6" s="33"/>
      <c r="CQ6" s="33"/>
      <c r="CR6" s="33"/>
      <c r="CS6" s="33"/>
    </row>
    <row r="7" ht="15.75" customHeight="1">
      <c r="A7" s="8"/>
      <c r="B7" s="54" t="s">
        <v>47</v>
      </c>
      <c r="C7" s="8"/>
      <c r="D7" s="8"/>
      <c r="E7" s="44">
        <v>200.0</v>
      </c>
      <c r="F7" s="8"/>
      <c r="G7" s="56" t="s">
        <v>52</v>
      </c>
      <c r="H7" s="33"/>
      <c r="I7" s="33"/>
      <c r="J7" s="33"/>
      <c r="K7" s="33">
        <v>20.0</v>
      </c>
      <c r="L7" s="33">
        <v>20.0</v>
      </c>
      <c r="M7" s="56" t="s">
        <v>35</v>
      </c>
      <c r="N7" s="8"/>
      <c r="O7" s="8"/>
      <c r="AD7" s="56" t="s">
        <v>53</v>
      </c>
      <c r="AE7" s="57">
        <v>200.0</v>
      </c>
      <c r="AH7" s="56" t="s">
        <v>44</v>
      </c>
      <c r="AI7" s="58">
        <v>1.0</v>
      </c>
      <c r="AT7" s="59">
        <v>4014.0022</v>
      </c>
      <c r="AU7" s="59">
        <v>4014.0022</v>
      </c>
      <c r="AY7" s="56" t="s">
        <v>48</v>
      </c>
      <c r="AZ7" s="33"/>
      <c r="BA7" s="33"/>
      <c r="BB7" s="33"/>
      <c r="BC7" s="33"/>
      <c r="BD7" s="33"/>
      <c r="BE7" s="59">
        <v>4000.0</v>
      </c>
      <c r="BF7" s="59">
        <v>4000.0</v>
      </c>
      <c r="BG7" s="33"/>
      <c r="BH7" s="33"/>
      <c r="BI7" s="33"/>
      <c r="BJ7" s="41">
        <v>200.0</v>
      </c>
      <c r="BK7" s="33"/>
      <c r="BL7" s="33"/>
      <c r="BM7" s="33"/>
      <c r="BN7" s="33"/>
      <c r="BO7" s="33" t="s">
        <v>27</v>
      </c>
      <c r="BP7" s="33"/>
      <c r="BQ7" s="33"/>
      <c r="BR7" s="33"/>
      <c r="BS7" s="33"/>
      <c r="BT7" s="33" t="s">
        <v>26</v>
      </c>
      <c r="BU7" s="33"/>
      <c r="BV7" s="33"/>
      <c r="BW7" s="44">
        <v>14.0022</v>
      </c>
      <c r="BX7" s="60"/>
      <c r="BY7" s="60"/>
      <c r="BZ7" s="61"/>
      <c r="CA7" s="60"/>
      <c r="CB7" s="61"/>
      <c r="CC7" s="33"/>
      <c r="CD7" s="33"/>
      <c r="CE7" s="33"/>
      <c r="CF7" s="33"/>
      <c r="CG7" s="33"/>
      <c r="CH7" s="54" t="s">
        <v>31</v>
      </c>
      <c r="CI7" s="33" t="s">
        <v>27</v>
      </c>
      <c r="CJ7" s="33"/>
      <c r="CK7" s="33"/>
      <c r="CL7" s="33"/>
      <c r="CM7" s="33"/>
      <c r="CN7" s="33"/>
      <c r="CO7" s="33"/>
      <c r="CP7" s="33"/>
      <c r="CQ7" s="33"/>
      <c r="CR7" s="33"/>
      <c r="CS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 Symbology")</f>
        <v>Default Symbology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55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SetDefaultSymbology!$4:$4</formula1>
    </dataValidation>
  </dataValidations>
  <drawing r:id="rId1"/>
</worksheet>
</file>