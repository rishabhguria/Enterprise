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erifyWorkingSubs" sheetId="4" r:id="rId6"/>
    <sheet state="visible" name="TradeBloomberg" sheetId="5" r:id="rId7"/>
    <sheet state="visible" name="CheckUnallocatedGroups" sheetId="6" r:id="rId8"/>
    <sheet state="visible" name="CheckPortfolioManagement" sheetId="7" r:id="rId9"/>
    <sheet state="visible" name="GetDataAllocation" sheetId="8" r:id="rId10"/>
  </sheets>
  <definedNames/>
  <calcPr/>
</workbook>
</file>

<file path=xl/sharedStrings.xml><?xml version="1.0" encoding="utf-8"?>
<sst xmlns="http://schemas.openxmlformats.org/spreadsheetml/2006/main" count="60" uniqueCount="29">
  <si>
    <t>Modules Info</t>
  </si>
  <si>
    <t>Modules</t>
  </si>
  <si>
    <t>Settings</t>
  </si>
  <si>
    <t>Module Step Setting File</t>
  </si>
  <si>
    <t>1h2f3KXzFM1oQF1QB-UxRJg5tgND2XvxngZUfBU5ZvtQ</t>
  </si>
  <si>
    <t>Master Data Settings File</t>
  </si>
  <si>
    <t>1OcWcweN_YMvyZIWDw121HrVhVSDG6MrOF1WhtBWDuPU</t>
  </si>
  <si>
    <t>Master Data Info</t>
  </si>
  <si>
    <t>Module</t>
  </si>
  <si>
    <t>Step</t>
  </si>
  <si>
    <t>Master Data Sheet</t>
  </si>
  <si>
    <t>Data</t>
  </si>
  <si>
    <t>Blotter</t>
  </si>
  <si>
    <t>VerifyWorkingSubs</t>
  </si>
  <si>
    <t>Data Format</t>
  </si>
  <si>
    <t>Input Format</t>
  </si>
  <si>
    <t>ABYA3@B-BSP</t>
  </si>
  <si>
    <t>Buy</t>
  </si>
  <si>
    <t>ABYA3 BZ</t>
  </si>
  <si>
    <t>TradingTicket</t>
  </si>
  <si>
    <t>TradeBloomberg</t>
  </si>
  <si>
    <t>Unallocated</t>
  </si>
  <si>
    <t>Market</t>
  </si>
  <si>
    <t>Allocation</t>
  </si>
  <si>
    <t>CheckUnallocatedGroups</t>
  </si>
  <si>
    <t>PortfolioManagement</t>
  </si>
  <si>
    <t>CheckPortfolioManagement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</si>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</sst>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IFERROR(__xludf.DUMMYFUNCTION("""COMPUTED_VALUE"""),"17N-7s6DwOchj07O9h-scB61YQTxDrtaS924-qgGLfAs")</f>
        <v>17N-7s6DwOchj07O9h-scB61YQTxDrtaS924-qgGLfAs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IFERROR(__xludf.DUMMYFUNCTION("""COMPUTED_VALUE"""),"16eYSzSP6jOZGiJ30haDKPeKrzsi8YWCvBcxDIilenm8")</f>
        <v>16eYSzSP6jOZGiJ30haDKPeKrzsi8YWCvBcxDIilenm8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IFERROR(__xludf.DUMMYFUNCTION("""COMPUTED_VALUE"""),"11vTo2-Rjjd-AMuiinGFbk90dzCNVWYlgCkH1orx1LfY")</f>
        <v>11vTo2-Rjjd-AMuiinGFbk90dzCNVWYlgCkH1orx1LfY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IFERROR(__xludf.DUMMYFUNCTION("""COMPUTED_VALUE"""),"16eYSzSP6jOZGiJ30haDKPeKrzsi8YWCvBcxDIilenm8")</f>
        <v>16eYSzSP6jOZGiJ30haDKPeKrzsi8YWCvBcxDIilenm8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IFERROR(__xludf.DUMMYFUNCTION("""COMPUTED_VALUE"""),"1rIos7awGrpDhBXfVZCjsWMmWyXmFagkqD4Te2AUcoo4")</f>
        <v>1rIos7awGrpDhBXfVZCjsWMmWyXmFagkqD4Te2AUcoo4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IFERROR(__xludf.DUMMYFUNCTION("""COMPUTED_VALUE"""),"1rIos7awGrpDhBXfVZCjsWMmWyXmFagkqD4Te2AUcoo4")</f>
        <v>1rIos7awGrpDhBXfVZCjsWMmWyXmFagkqD4Te2AUcoo4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IFERROR(__xludf.DUMMYFUNCTION("""COMPUTED_VALUE"""),"1l5-7ozQW7_DbdGli8z1IVu3L6ojalLnEiKFXukpUddA")</f>
        <v>1l5-7ozQW7_DbdGli8z1IVu3L6ojalLnEiKFXukpUddA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IFERROR(__xludf.DUMMYFUNCTION("""COMPUTED_VALUE"""),"1Wb1HyCeaJnwnTIA4ZMCx3gKcHujHCWPTU5Rva2XLUe8")</f>
        <v>1Wb1HyCeaJnwnTIA4ZMCx3gKcHujHCWPTU5Rva2XLUe8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IFERROR(__xludf.DUMMYFUNCTION("""COMPUTED_VALUE"""),"1m-JuioCX0dUYqn26TXv8zxRXQ1pdAT_8gFRhrvzieRo")</f>
        <v>1m-JuioCX0dUYqn26TXv8zxRXQ1pdAT_8gFRhrvzieRo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IFERROR(__xludf.DUMMYFUNCTION("""COMPUTED_VALUE"""),"1OMVgv6OUQr5AFuypYJBeMvOPalGTADom5Bk3oXbZM_U")</f>
        <v>1OMVgv6OUQr5AFuypYJBeMvOPalGTADom5Bk3oXbZM_U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IFERROR(__xludf.DUMMYFUNCTION("""COMPUTED_VALUE"""),"1_TMZLDK5bswJqu6AqYfHDq_c5CPaL6knuuZYH6QD7Wk")</f>
        <v>1_TMZLDK5bswJqu6AqYfHDq_c5CPaL6knuuZYH6QD7Wk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IFERROR(__xludf.DUMMYFUNCTION("""COMPUTED_VALUE"""),"1QIX0LLIb77mJLSdYDlv9wzOyJATZB5qarKwueun9qd8")</f>
        <v>1QIX0LLIb77mJLSdYDlv9wzOyJATZB5qarKwueun9qd8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IFERROR(__xludf.DUMMYFUNCTION("""COMPUTED_VALUE"""),"1kby0vDUjdouswJMytrKvhd-uYxFRiHheQCi02ilYlGE")</f>
        <v>1kby0vDUjdouswJMytrKvhd-uYxFRiHheQCi02ilYlGE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IFERROR(__xludf.DUMMYFUNCTION("""COMPUTED_VALUE"""),"1pxWM5fI_ph4WhHBvUtEOFGxiwZIi-BBAvZKmRpQoYi8")</f>
        <v>1pxWM5fI_ph4WhHBvUtEOFGxiwZIi-BBAvZKmRpQoYi8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IFERROR(__xludf.DUMMYFUNCTION("""COMPUTED_VALUE"""),"1PUPqphHEHUw9WkoVm8ESgs1qQWcxXN0mh--QvT0FQgM")</f>
        <v>1PUPqphHEHUw9WkoVm8ESgs1qQWcxXN0mh--QvT0FQgM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IFERROR(__xludf.DUMMYFUNCTION("""COMPUTED_VALUE"""),"1EpJDT-T94LPi7oa7vFdA1BbCnaBZrxNxxBPtQcqYuIk")</f>
        <v>1EpJDT-T94LPi7oa7vFdA1BbCnaBZrxNxxBPtQcqYuIk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IFERROR(__xludf.DUMMYFUNCTION("""COMPUTED_VALUE"""),"1FKDVEXyxbCVlsfXCNbX16GFFP_0o0tqwzVStZXfdSYk")</f>
        <v>1FKDVEXyxbCVlsfXCNbX16GFFP_0o0tqwzVStZXfdSYk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IFERROR(__xludf.DUMMYFUNCTION("""COMPUTED_VALUE"""),"1GV9rz0AQXrAamUFNCgKkBK106SdUN9erGMlgSeYUgO0")</f>
        <v>1GV9rz0AQXrAamUFNCgKkBK106SdUN9erGMlgSeYUgO0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IFERROR(__xludf.DUMMYFUNCTION("""COMPUTED_VALUE"""),"1KJDiTs4px6IexLKnaGTW9CPWDCwrk_Hai9aeJRtCMKg")</f>
        <v>1KJDiTs4px6IexLKnaGTW9CPWDCwrk_Hai9aeJRtCMKg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IFERROR(__xludf.DUMMYFUNCTION("""COMPUTED_VALUE"""),"1GQ1TuTjn8jYSC3zRpHyZ7GCsf_IF9Sv7N-gc65sej2Y")</f>
        <v>1GQ1TuTjn8jYSC3zRpHyZ7GCsf_IF9Sv7N-gc65sej2Y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IFERROR(__xludf.DUMMYFUNCTION("""COMPUTED_VALUE"""),"1ktD09S-jr0jPZNVK85ALg25MrTgVVP8LZzumsAmZOAA")</f>
        <v>1ktD09S-jr0jPZNVK85ALg25MrTgVVP8LZzumsAmZOAA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IFERROR(__xludf.DUMMYFUNCTION("""COMPUTED_VALUE"""),"1ypttItfWkDL-srGQoEyUBaLKmO0_xEOFn-kuqUGCM7w")</f>
        <v>1ypttItfWkDL-srGQoEyUBaLKmO0_xEOFn-kuqUGCM7w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IFERROR(__xludf.DUMMYFUNCTION("""COMPUTED_VALUE"""),"1f1-8fmsdXtSPhepgeqz_sRWU6rusX3RO_1lyH-anqPE")</f>
        <v>1f1-8fmsdXtSPhepgeqz_sRWU6rusX3RO_1lyH-anqPE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IFERROR(__xludf.DUMMYFUNCTION("""COMPUTED_VALUE"""),"1GYUljil1RQwHJwuDE_05g1jQyAeavqXFArJqE0Qh32A")</f>
        <v>1GYUljil1RQwHJwuDE_05g1jQyAeavqXFArJqE0Qh32A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IFERROR(__xludf.DUMMYFUNCTION("""COMPUTED_VALUE"""),"15aCIJqAO3IRm5flNW-2ef71j3p5cjI_iC3RPiIsbO1A")</f>
        <v>15aCIJqAO3IRm5flNW-2ef71j3p5cjI_iC3RPiIsbO1A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IFERROR(__xludf.DUMMYFUNCTION("""COMPUTED_VALUE"""),"SymbolLookup")</f>
        <v>SymbolLookup</v>
      </c>
      <c r="C32" s="4" t="str">
        <f>IFERROR(__xludf.DUMMYFUNCTION("""COMPUTED_VALUE"""),"185a6j7stfxLvGpQ-uJfOxqLx9U5LQ8bQgkiYTcu02fg")</f>
        <v>185a6j7stfxLvGpQ-uJfOxqLx9U5LQ8bQgkiYTcu02fg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IFERROR(__xludf.DUMMYFUNCTION("""COMPUTED_VALUE"""),"1lQFsH0Ymygg2dM8SYG7CAzUuQ49Vj7e8M9k5qyqGrLU")</f>
        <v>1lQFsH0Ymygg2dM8SYG7CAzUuQ49Vj7e8M9k5qyqGrLU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IFERROR(__xludf.DUMMYFUNCTION("""COMPUTED_VALUE"""),"1hhzlsuCUtb3UJzdBUY2YASwzrfwh5kkWKZ__CryH0q8")</f>
        <v>1hhzlsuCUtb3UJzdBUY2YASwzrfwh5kkWKZ__CryH0q8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IFERROR(__xludf.DUMMYFUNCTION("""COMPUTED_VALUE"""),"1TBg-MNV4kC6jy9VMtPFpKY6qQkOJUMWIt0vOFnll76s")</f>
        <v>1TBg-MNV4kC6jy9VMtPFpKY6qQkOJUMWIt0vOFnll76s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IFERROR(__xludf.DUMMYFUNCTION("""COMPUTED_VALUE"""),"1lT8fLJpWz6Y1ek4gkd_HzvEMORWVHs36PmftdxjPn8c")</f>
        <v>1lT8fLJpWz6Y1ek4gkd_HzvEMORWVHs36PmftdxjPn8c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IFERROR(__xludf.DUMMYFUNCTION("""COMPUTED_VALUE"""),"1S_ypvd62g4yh7Pz9Y_phNJnv_utC2QtxUWvUSW1K0Dg")</f>
        <v>1S_ypvd62g4yh7Pz9Y_phNJnv_utC2QtxUWvUSW1K0Dg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IFERROR(__xludf.DUMMYFUNCTION("""COMPUTED_VALUE"""),"undefined")</f>
        <v>undefined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IFERROR(__xludf.DUMMYFUNCTION("""COMPUTED_VALUE"""),"undefined")</f>
        <v>undefined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IFERROR(__xludf.DUMMYFUNCTION("""COMPUTED_VALUE"""),"1yvxIOiQg0DYTWSS3FWLWRBq7Abquj5U7zzIW4I77VJw")</f>
        <v>1yvxIOiQg0DYTWSS3FWLWRBq7Abquj5U7zzIW4I77VJw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IFERROR(__xludf.DUMMYFUNCTION("""COMPUTED_VALUE"""),"1J6USFl78ArvsA9DFC6SLslsuUKpUORa830xO3WvgpWc")</f>
        <v>1J6USFl78ArvsA9DFC6SLslsuUKpUORa830xO3WvgpWc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IFERROR(__xludf.DUMMYFUNCTION("""COMPUTED_VALUE"""),"Allocation")</f>
        <v>Allocation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IFERROR(__xludf.DUMMYFUNCTION("""COMPUTED_VALUE"""),"1LBMyCvRJL09OxlPM4XsBZwVMeRYNMZwPbni5bgFp-nE")</f>
        <v>1LBMyCvRJL09OxlPM4XsBZwVMeRYNMZwPbni5bgFp-nE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IFERROR(__xludf.DUMMYFUNCTION("""COMPUTED_VALUE"""),"1qWKbft_6EVm2bBP5KYCGhQROz0dxok5JxFofIzn_5ig")</f>
        <v>1qWKbft_6EVm2bBP5KYCGhQROz0dxok5JxFofIzn_5ig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IFERROR(__xludf.DUMMYFUNCTION("""COMPUTED_VALUE"""),"1RzadZYkK8KPu6GVH0fDScC_vklLvmwneWrwqenxb0AA")</f>
        <v>1RzadZYkK8KPu6GVH0fDScC_vklLvmwneWrwqenxb0AA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IFERROR(__xludf.DUMMYFUNCTION("""COMPUTED_VALUE"""),"1vQqUrMaQyQyOBryAfgvq6UQ4KqgeOqk9YI41rIT-Lvs")</f>
        <v>1vQqUrMaQyQyOBryAfgvq6UQ4KqgeOqk9YI41rIT-Lvs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IFERROR(__xludf.DUMMYFUNCTION("""COMPUTED_VALUE"""),"1GNZu_eH3PBYRGB_YN7nBEZePFt2eqOXJUrURkDTXd34")</f>
        <v>1GNZu_eH3PBYRGB_YN7nBEZePFt2eqOXJUrURkDTXd34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IFERROR(__xludf.DUMMYFUNCTION("""COMPUTED_VALUE"""),"1bynVhrR6_qH2eRi8HqxkapNGPv1pDK3rEODiV4UfVyc")</f>
        <v>1bynVhrR6_qH2eRi8HqxkapNGPv1pDK3rEODiV4UfVyc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IFERROR(__xludf.DUMMYFUNCTION("""COMPUTED_VALUE"""),"1-QVMMVxvll4XO0X52Ji70vt-PjjHbRfQR0aPeoMHTtk")</f>
        <v>1-QVMMVxvll4XO0X52Ji70vt-PjjHbRfQR0aPeoMHTtk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IFERROR(__xludf.DUMMYFUNCTION("""COMPUTED_VALUE"""),"1_NdBoRWbQb5sAI7zSQGN4fhKJ0fFBZhTpbVMM-i97QM")</f>
        <v>1_NdBoRWbQb5sAI7zSQGN4fhKJ0fFBZhTpbVMM-i97QM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IFERROR(__xludf.DUMMYFUNCTION("""COMPUTED_VALUE"""),"1ZCbWn1Yjl_Ut9ZJndR6r0ZU3zn3NPrQfxpb3UTZeGmM")</f>
        <v>1ZCbWn1Yjl_Ut9ZJndR6r0ZU3zn3NPrQfxpb3UTZeGmM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IFERROR(__xludf.DUMMYFUNCTION("""COMPUTED_VALUE"""),"1wZPql7zd4PHmzeGn0w7Q9c6gNh4djD9xMdyyZjEiS5U")</f>
        <v>1wZPql7zd4PHmzeGn0w7Q9c6gNh4djD9xMdyyZjEiS5U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IFERROR(__xludf.DUMMYFUNCTION("""COMPUTED_VALUE"""),"1wBCLGHiY9T3YPlJ_-krctPGAgjO0JeeXEa8aEJV9TGE")</f>
        <v>1wBCLGHiY9T3YPlJ_-krctPGAgjO0JeeXEa8aEJV9TGE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IFERROR(__xludf.DUMMYFUNCTION("""COMPUTED_VALUE"""),"1JpxQK9QvwCP-WN8KRTKAmfHCmdWKXmmVBij4RE1iQZE")</f>
        <v>1JpxQK9QvwCP-WN8KRTKAmfHCmdWKXmmVBij4RE1iQZE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IFERROR(__xludf.DUMMYFUNCTION("""COMPUTED_VALUE"""),"15ExnMSOBJjDp1sEuqCOQohEXi3w8t2uTQ1Kr8cYxBEc")</f>
        <v>15ExnMSOBJjDp1sEuqCOQohEXi3w8t2uTQ1Kr8cYxBEc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IFERROR(__xludf.DUMMYFUNCTION("""COMPUTED_VALUE"""),"1gcFaCtnFGbYLEip0cUpzX1u33S_VXAgo9BPOv7lCMjs")</f>
        <v>1gcFaCtnFGbYLEip0cUpzX1u33S_VXAgo9BPOv7lCMjs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IFERROR(__xludf.DUMMYFUNCTION("""COMPUTED_VALUE"""),"undefined")</f>
        <v>undefined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IFERROR(__xludf.DUMMYFUNCTION("""COMPUTED_VALUE"""),"1Ri8d2mKClxy-wlB_8LE4QJy5fGbWX9thzfHnK6Bd_vc")</f>
        <v>1Ri8d2mKClxy-wlB_8LE4QJy5fGbWX9thzfHnK6Bd_vc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IFERROR(__xludf.DUMMYFUNCTION("""COMPUTED_VALUE"""),"1iabQVx7Vr-IJYiWYNi4jcO586rOG7Gaxt7Ty3iu1cMs")</f>
        <v>1iabQVx7Vr-IJYiWYNi4jcO586rOG7Gaxt7Ty3iu1cMs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IFERROR(__xludf.DUMMYFUNCTION("""COMPUTED_VALUE"""),"1gQ44xdjtUg7c_a8SpmyuCtEIHU4Bu-zP6I8SMnc49P4")</f>
        <v>1gQ44xdjtUg7c_a8SpmyuCtEIHU4Bu-zP6I8SMnc49P4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IFERROR(__xludf.DUMMYFUNCTION("""COMPUTED_VALUE"""),"1EnpS48TFHCagKmJbk5tzC9RyIIva7sPwit33fKHyehM")</f>
        <v>1EnpS48TFHCagKmJbk5tzC9RyIIva7sPwit33fKHyehM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IFERROR(__xludf.DUMMYFUNCTION("""COMPUTED_VALUE"""),"1-cEmDlY-GG9_TO8MIs1gf3N0aFRtiRE0WpOwjoDPjrM")</f>
        <v>1-cEmDlY-GG9_TO8MIs1gf3N0aFRtiRE0WpOwjoDPjrM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IFERROR(__xludf.DUMMYFUNCTION("""COMPUTED_VALUE"""),"1913QmEVihJtmbKSWd6H_SNyjVp_IQGWVeRD0g4EC_3Q")</f>
        <v>1913QmEVihJtmbKSWd6H_SNyjVp_IQGWVeRD0g4EC_3Q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IFERROR(__xludf.DUMMYFUNCTION("""COMPUTED_VALUE"""),"1BPz-efTRHQRiv80ckHR62qzIFWvqa4hJuuWb1lO-qfw")</f>
        <v>1BPz-efTRHQRiv80ckHR62qzIFWvqa4hJuuWb1lO-qfw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IFERROR(__xludf.DUMMYFUNCTION("""COMPUTED_VALUE"""),"10ArFCJW_UbqPAsvOzqwRYuajQ4FGRpULv7JSSS88ebQ")</f>
        <v>10ArFCJW_UbqPAsvOzqwRYuajQ4FGRpULv7JSSS88ebQ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IFERROR(__xludf.DUMMYFUNCTION("""COMPUTED_VALUE"""),"1EKDdHEuTN6Rl14GGLpfK4Vnf_n-HH75B4SCS5CoJNEs")</f>
        <v>1EKDdHEuTN6Rl14GGLpfK4Vnf_n-HH75B4SCS5CoJNEs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IFERROR(__xludf.DUMMYFUNCTION("""COMPUTED_VALUE"""),"1LsJMMfrjyWUapovRiqmsMWYBhe_hCcjL0ydak7DKIL8")</f>
        <v>1LsJMMfrjyWUapovRiqmsMWYBhe_hCcjL0ydak7DKIL8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IFERROR(__xludf.DUMMYFUNCTION("""COMPUTED_VALUE"""),"1mVhjJAPQf7e3jV-SyZYbHu-fS_6fOixWMnyBLxxfKSU")</f>
        <v>1mVhjJAPQf7e3jV-SyZYbHu-fS_6fOixWMnyBLxxfKSU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IFERROR(__xludf.DUMMYFUNCTION("""COMPUTED_VALUE"""),"1k_zIDXTZmiXpOkjHAjaGXWRJH-C2h2OAkkRQXXCc3o0")</f>
        <v>1k_zIDXTZmiXpOkjHAjaGXWRJH-C2h2OAkkRQXXCc3o0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IFERROR(__xludf.DUMMYFUNCTION("""COMPUTED_VALUE"""),"1ushNxtecqSZXIW4NKZzO0a_Kz2uq-N0L6qpVG6OF9N0")</f>
        <v>1ushNxtecqSZXIW4NKZzO0a_Kz2uq-N0L6qpVG6OF9N0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IFERROR(__xludf.DUMMYFUNCTION("""COMPUTED_VALUE"""),"1ST8gJuSQFKbMQhwQ27FEXX7C3MmpkkiDp7jZqIRoWD0")</f>
        <v>1ST8gJuSQFKbMQhwQ27FEXX7C3MmpkkiDp7jZqIRoWD0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IFERROR(__xludf.DUMMYFUNCTION("""COMPUTED_VALUE"""),"14NIirT_lP1vID38aA1Zjk73Fe-3sGGYVNmc2X_elEMU")</f>
        <v>14NIirT_lP1vID38aA1Zjk73Fe-3sGGYVNmc2X_elEMU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IFERROR(__xludf.DUMMYFUNCTION("""COMPUTED_VALUE"""),"1ZaS1tbgP61P9IxMKP699U0wup2cOjPSJIXQ_PuXg4xE")</f>
        <v>1ZaS1tbgP61P9IxMKP699U0wup2cOjPSJIXQ_PuXg4xE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IFERROR(__xludf.DUMMYFUNCTION("""COMPUTED_VALUE"""),"1XGtj3u9s-duMODLzHhdG8aQbk1OBtmzSGFwriKegixQ")</f>
        <v>1XGtj3u9s-duMODLzHhdG8aQbk1OBtmzSGFwriKegixQ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IFERROR(__xludf.DUMMYFUNCTION("""COMPUTED_VALUE"""),"1VXGmWC5rzEiStUkGdueohp27HPI7LGeBjzSqQO7zgAY")</f>
        <v>1VXGmWC5rzEiStUkGdueohp27HPI7LGeBjzSqQO7zgAY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IFERROR(__xludf.DUMMYFUNCTION("""COMPUTED_VALUE"""),"1o0rE7Tk4JVhft9zJxkZ9symfdmwF0JDLjRcsUVmYmbM")</f>
        <v>1o0rE7Tk4JVhft9zJxkZ9symfdmwF0JDLjRcsUVmYmbM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IFERROR(__xludf.DUMMYFUNCTION("""COMPUTED_VALUE"""),"1b1B_oTlfewskJvIGkMftvQQpB1BcFiMCLXZ0kVT8gGc")</f>
        <v>1b1B_oTlfewskJvIGkMftvQQpB1BcFiMCLXZ0kVT8gGc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IFERROR(__xludf.DUMMYFUNCTION("""COMPUTED_VALUE"""),"17iRUbT4ZX5QESvFCR4VecMwsOcMFKnDTt4cRJYSkmEo")</f>
        <v>17iRUbT4ZX5QESvFCR4VecMwsOcMFKnDTt4cRJYSkmEo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IFERROR(__xludf.DUMMYFUNCTION("""COMPUTED_VALUE"""),"1k99gCwzajXRVGg8LHmf6mQ88n77CMKTaD8LfXK2GTkw")</f>
        <v>1k99gCwzajXRVGg8LHmf6mQ88n77CMKTaD8LfXK2GTkw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IFERROR(__xludf.DUMMYFUNCTION("""COMPUTED_VALUE"""),"1TS7dbrMmOe3RYrgvj48IyHOEvCjwnuyVn8RRcrpxVB8")</f>
        <v>1TS7dbrMmOe3RYrgvj48IyHOEvCjwnuyVn8RRcrpxVB8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IFERROR(__xludf.DUMMYFUNCTION("""COMPUTED_VALUE"""),"1ZDEF_3gEk5Voblq6BSFtSZHDZvCMt1Lhs8LNFeO0zi8")</f>
        <v>1ZDEF_3gEk5Voblq6BSFtSZHDZvCMt1Lhs8LNFeO0zi8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IFERROR(__xludf.DUMMYFUNCTION("""COMPUTED_VALUE"""),"1KouURxI0e7PbYk19jgzz_T1B5H7a4pXWzoG10FxEX7Q")</f>
        <v>1KouURxI0e7PbYk19jgzz_T1B5H7a4pXWzoG10FxEX7Q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IFERROR(__xludf.DUMMYFUNCTION("""COMPUTED_VALUE"""),"1z-SSSuVDNYg-18ABt7rchANI6hhL9iu7xWGQUBMCRxs")</f>
        <v>1z-SSSuVDNYg-18ABt7rchANI6hhL9iu7xWGQUBMCRxs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IFERROR(__xludf.DUMMYFUNCTION("""COMPUTED_VALUE"""),"1B9ZQJj0Xc9RWdJK9TZGLeidGrnpRi1KpeYxzdYt1goI")</f>
        <v>1B9ZQJj0Xc9RWdJK9TZGLeidGrnpRi1KpeYxzdYt1goI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IFERROR(__xludf.DUMMYFUNCTION("""COMPUTED_VALUE"""),"1it_diO0lJjvgH2EBKR1EDGpUHZzlY49GOhWBtEwwCCs")</f>
        <v>1it_diO0lJjvgH2EBKR1EDGpUHZzlY49GOhWBtEwwCCs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IFERROR(__xludf.DUMMYFUNCTION("""COMPUTED_VALUE"""),"1Wb1HyCeaJnwnTIA4ZMCx3gKcHujHCWPTU5Rva2XLUe8")</f>
        <v>1Wb1HyCeaJnwnTIA4ZMCx3gKcHujHCWPTU5Rva2XLUe8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IFERROR(__xludf.DUMMYFUNCTION("""COMPUTED_VALUE"""),"1ySNFFhhk6FLAzbhLvkZYaxCm9ukiGc9AG0VPqASsZhA")</f>
        <v>1ySNFFhhk6FLAzbhLvkZYaxCm9ukiGc9AG0VPqASsZhA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IFERROR(__xludf.DUMMYFUNCTION("""COMPUTED_VALUE"""),"1QFQSMJpp0-Fl_UJWE2Zai6Ku7x5PI0Znf6LzAdhY2Hg")</f>
        <v>1QFQSMJpp0-Fl_UJWE2Zai6Ku7x5PI0Znf6LzAdhY2Hg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IFERROR(__xludf.DUMMYFUNCTION("""COMPUTED_VALUE"""),"1KbKh_Q5Rpulump1l-Hb4hlPXbOPSuU9feR4atRZcpAA")</f>
        <v>1KbKh_Q5Rpulump1l-Hb4hlPXbOPSuU9feR4atRZcpAA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IFERROR(__xludf.DUMMYFUNCTION("""COMPUTED_VALUE"""),"1k_zIDXTZmiXpOkjHAjaGXWRJH-C2h2OAkkRQXXCc3o0")</f>
        <v>1k_zIDXTZmiXpOkjHAjaGXWRJH-C2h2OAkkRQXXCc3o0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IFERROR(__xludf.DUMMYFUNCTION("""COMPUTED_VALUE"""),"1ri9IG4hNsrNH6tnanwfo9yjyFEv3c90Jr9MW6zCCkko")</f>
        <v>1ri9IG4hNsrNH6tnanwfo9yjyFEv3c90Jr9MW6zCCkko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IFERROR(__xludf.DUMMYFUNCTION("""COMPUTED_VALUE"""),"1x4bwJHDRG7suqUPacRhsOt3BywboZnR7UIZKMa_BtbA")</f>
        <v>1x4bwJHDRG7suqUPacRhsOt3BywboZnR7UIZKMa_BtbA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IFERROR(__xludf.DUMMYFUNCTION("""COMPUTED_VALUE"""),"1cYjDkJ0X6Mekap3A60wbuNMBM9_OMeHyL4fBF0L87kc")</f>
        <v>1cYjDkJ0X6Mekap3A60wbuNMBM9_OMeHyL4fBF0L87kc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IFERROR(__xludf.DUMMYFUNCTION("""COMPUTED_VALUE"""),"1G16ozDyHhoRiwSKnrGTyqWG5ohjZ9gIWtYc6chZaJWI")</f>
        <v>1G16ozDyHhoRiwSKnrGTyqWG5ohjZ9gIWtYc6chZaJWI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IFERROR(__xludf.DUMMYFUNCTION("""COMPUTED_VALUE"""),"1-hlxFhKPnVHDD5L2Mxw7MHkNkzIJ23UT6RTy1kjzbrk")</f>
        <v>1-hlxFhKPnVHDD5L2Mxw7MHkNkzIJ23UT6RTy1kjzbrk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IFERROR(__xludf.DUMMYFUNCTION("""COMPUTED_VALUE"""),"1Vpxb0rFyiYqD9n2ms5kc0W7DPpX5UennaskxKsr3LC8")</f>
        <v>1Vpxb0rFyiYqD9n2ms5kc0W7DPpX5UennaskxKsr3LC8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IFERROR(__xludf.DUMMYFUNCTION("""COMPUTED_VALUE"""),"1m-JuioCX0dUYqn26TXv8zxRXQ1pdAT_8gFRhrvzieRo")</f>
        <v>1m-JuioCX0dUYqn26TXv8zxRXQ1pdAT_8gFRhrvzieRo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IFERROR(__xludf.DUMMYFUNCTION("""COMPUTED_VALUE"""),"1KO4iyMCmgjFYTY14WZJODutK-p8Sqp0O4pWPZwKvs7s")</f>
        <v>1KO4iyMCmgjFYTY14WZJODutK-p8Sqp0O4pWPZwKvs7s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IFERROR(__xludf.DUMMYFUNCTION("""COMPUTED_VALUE"""),"1tPF6YOqFmo_8ShdQivsAKsbsyozjAl0aqfU3hNGom9k")</f>
        <v>1tPF6YOqFmo_8ShdQivsAKsbsyozjAl0aqfU3hNGom9k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IFERROR(__xludf.DUMMYFUNCTION("""COMPUTED_VALUE"""),"1neA_cmjAezAYN7PHlST8WfT9St78vMf34MRMklSVo7E")</f>
        <v>1neA_cmjAezAYN7PHlST8WfT9St78vMf34MRMklSVo7E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IFERROR(__xludf.DUMMYFUNCTION("""COMPUTED_VALUE"""),"16TgREC4khkYPIHjNSaUoamhbOXmV50jDJe_4uAugaBU")</f>
        <v>16TgREC4khkYPIHjNSaUoamhbOXmV50jDJe_4uAugaBU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IFERROR(__xludf.DUMMYFUNCTION("""COMPUTED_VALUE"""),"1rnD70SLEfPEpQDDJpvfnbiE1bE99RQfL8JdloFp02q4")</f>
        <v>1rnD70SLEfPEpQDDJpvfnbiE1bE99RQfL8JdloFp02q4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IFERROR(__xludf.DUMMYFUNCTION("""COMPUTED_VALUE"""),"1ibfkchdgwydeWyxuKZ-Nridc6-vk0YQ4hLCxRsoN0Hw")</f>
        <v>1ibfkchdgwydeWyxuKZ-Nridc6-vk0YQ4hLCxRsoN0Hw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IFERROR(__xludf.DUMMYFUNCTION("""COMPUTED_VALUE"""),"1DIe0w9c3Euqg9Ed85FHxeFYo6xxGuICXg3I9SPxPvzA")</f>
        <v>1DIe0w9c3Euqg9Ed85FHxeFYo6xxGuICXg3I9SPxPvzA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IFERROR(__xludf.DUMMYFUNCTION("""COMPUTED_VALUE"""),"1tc58pAEmREvAgLSVdz3kbZFkygfKxU46ISvkrKic44g")</f>
        <v>1tc58pAEmREvAgLSVdz3kbZFkygfKxU46ISvkrKic44g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IFERROR(__xludf.DUMMYFUNCTION("""COMPUTED_VALUE"""),"12KPvg1B3jRZn5oFBZDcXvZIrYkHC4cqHFTRYqPgDSog")</f>
        <v>12KPvg1B3jRZn5oFBZDcXvZIrYkHC4cqHFTRYqPgDSog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IFERROR(__xludf.DUMMYFUNCTION("""COMPUTED_VALUE"""),"1MWN-RyeVQ3cEOMe7cfVUGji3xnAm64rf17njLZPj67c")</f>
        <v>1MWN-RyeVQ3cEOMe7cfVUGji3xnAm64rf17njLZPj67c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IFERROR(__xludf.DUMMYFUNCTION("""COMPUTED_VALUE"""),"1qClDQsuC0uTWfFTJbcMc98c-ENPByiCYXsvj-KAnfXE")</f>
        <v>1qClDQsuC0uTWfFTJbcMc98c-ENPByiCYXsvj-KAnfXE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IFERROR(__xludf.DUMMYFUNCTION("""COMPUTED_VALUE"""),"109JYM9_asRks1XoWIScU2RU-DE3u9oY5wbSTXxTNuQo")</f>
        <v>109JYM9_asRks1XoWIScU2RU-DE3u9oY5wbSTXxTNuQo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IFERROR(__xludf.DUMMYFUNCTION("""COMPUTED_VALUE"""),"1ZaS1tbgP61P9IxMKP699U0wup2cOjPSJIXQ_PuXg4xE")</f>
        <v>1ZaS1tbgP61P9IxMKP699U0wup2cOjPSJIXQ_PuXg4xE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IFERROR(__xludf.DUMMYFUNCTION("""COMPUTED_VALUE"""),"1sXlltS1V-gHgnNfE0wd6u372kk9u2vj9UimnACiM0iw")</f>
        <v>1sXlltS1V-gHgnNfE0wd6u372kk9u2vj9UimnACiM0iw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IFERROR(__xludf.DUMMYFUNCTION("""COMPUTED_VALUE"""),"1G1VM_9E8XaiqxTRJxwaJ15lGQlP_lgfxqR9Nfr6dGeM")</f>
        <v>1G1VM_9E8XaiqxTRJxwaJ15lGQlP_lgfxqR9Nfr6dGeM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IFERROR(__xludf.DUMMYFUNCTION("""COMPUTED_VALUE"""),"1sAnUYES_4wcID1gDQxMKmNtpHZfmxVwcguJ5uuMXBhQ")</f>
        <v>1sAnUYES_4wcID1gDQxMKmNtpHZfmxVwcguJ5uuMXBhQ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IFERROR(__xludf.DUMMYFUNCTION("""COMPUTED_VALUE"""),"1_9tkwdAJLeT-qNQ8BqUe6weg7-HaraCPBe4t6kebcp0")</f>
        <v>1_9tkwdAJLeT-qNQ8BqUe6weg7-HaraCPBe4t6kebcp0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IFERROR(__xludf.DUMMYFUNCTION("""COMPUTED_VALUE"""),"1aNYZgsK0PS72bUELipAkZtjS_io3NTWuYvRhPX6_pl0")</f>
        <v>1aNYZgsK0PS72bUELipAkZtjS_io3NTWuYvRhPX6_pl0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IFERROR(__xludf.DUMMYFUNCTION("""COMPUTED_VALUE"""),"1I5cCQJSqQ1Q_2_r0hFTdzjZQfVpauGc19ztocrt9jzU")</f>
        <v>1I5cCQJSqQ1Q_2_r0hFTdzjZQfVpauGc19ztocrt9jzU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IFERROR(__xludf.DUMMYFUNCTION("""COMPUTED_VALUE"""),"18gHTsH2xe3qAEXTh4vDwkosKi1-dZIA2lOb88_apdfM")</f>
        <v>18gHTsH2xe3qAEXTh4vDwkosKi1-dZIA2lOb88_apdfM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IFERROR(__xludf.DUMMYFUNCTION("""COMPUTED_VALUE"""),"17tAtGdr28CCMiB0n7PVtoz3Os5DbraUA9i2C8GVoOUQ")</f>
        <v>17tAtGdr28CCMiB0n7PVtoz3Os5DbraUA9i2C8GVoOUQ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IFERROR(__xludf.DUMMYFUNCTION("""COMPUTED_VALUE"""),"1yQ-gn04yKrIQDrN0BBsZ47U3J8-VgKFbeNAprRBUtZY")</f>
        <v>1yQ-gn04yKrIQDrN0BBsZ47U3J8-VgKFbeNAprRBUtZY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IFERROR(__xludf.DUMMYFUNCTION("""COMPUTED_VALUE"""),"1xBTjCjyv2b8uVm_1XtzAHhtV1-WQOFOylS6Pdv6vN0E")</f>
        <v>1xBTjCjyv2b8uVm_1XtzAHhtV1-WQOFOylS6Pdv6vN0E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IFERROR(__xludf.DUMMYFUNCTION("""COMPUTED_VALUE"""),"16VCWpHhI69iAff1u76mmVkz0FeF006eEuMI-qaeaesI")</f>
        <v>16VCWpHhI69iAff1u76mmVkz0FeF006eEuMI-qaeaesI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IFERROR(__xludf.DUMMYFUNCTION("""COMPUTED_VALUE"""),"1Lupyy2HMPIc84PVE6geOecI-38PpZtQlB6LgeNzgNkI")</f>
        <v>1Lupyy2HMPIc84PVE6geOecI-38PpZtQlB6LgeNzgNkI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IFERROR(__xludf.DUMMYFUNCTION("""COMPUTED_VALUE"""),"1pWHJ9USH-3LyIU4f0C5her19jDvNab6AJBi0Ch8BSAQ")</f>
        <v>1pWHJ9USH-3LyIU4f0C5her19jDvNab6AJBi0Ch8BSAQ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IFERROR(__xludf.DUMMYFUNCTION("""COMPUTED_VALUE"""),"10uLrgtRu9XpFcJ7zj7lAWAhavDGNgg0Slk1ybse4ZbY")</f>
        <v>10uLrgtRu9XpFcJ7zj7lAWAhavDGNgg0Slk1ybse4ZbY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IFERROR(__xludf.DUMMYFUNCTION("""COMPUTED_VALUE"""),"1h6D1HzAIPlOf9VTwCiJV8_eMepNbSpIidh6ShSGKXXo")</f>
        <v>1h6D1HzAIPlOf9VTwCiJV8_eMepNbSpIidh6ShSGKXXo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IFERROR(__xludf.DUMMYFUNCTION("""COMPUTED_VALUE"""),"142OREVNlGM1dLYaWnqVBw1zN13NlPEJLEiCkkTd_rvU")</f>
        <v>142OREVNlGM1dLYaWnqVBw1zN13NlPEJLEiCkkTd_rvU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IFERROR(__xludf.DUMMYFUNCTION("""COMPUTED_VALUE"""),"10z7WshV-p8_62BO8WXRU8fe7Ae7Owq97rWkjdMHcicA")</f>
        <v>10z7WshV-p8_62BO8WXRU8fe7Ae7Owq97rWkjdMHcicA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IFERROR(__xludf.DUMMYFUNCTION("""COMPUTED_VALUE"""),"1bnaaEZO81wlbyR_0JWO8MM5nQ1QwZ_HnUhL4lZJ3wZk")</f>
        <v>1bnaaEZO81wlbyR_0JWO8MM5nQ1QwZ_HnUhL4lZJ3wZk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IFERROR(__xludf.DUMMYFUNCTION("""COMPUTED_VALUE"""),"1asN7Nid7E6qF2n72rOuxvO_GqN7pQS9MU0A315-rH_Y")</f>
        <v>1asN7Nid7E6qF2n72rOuxvO_GqN7pQS9MU0A315-rH_Y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IFERROR(__xludf.DUMMYFUNCTION("""COMPUTED_VALUE"""),"10dKmxM0u58VeAJ3eRVQjGT8M1h7V8etQ54-ZIq0SlPo")</f>
        <v>10dKmxM0u58VeAJ3eRVQjGT8M1h7V8etQ54-ZIq0SlPo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IFERROR(__xludf.DUMMYFUNCTION("""COMPUTED_VALUE"""),"1uO91Ghqccbk2KqSPHqDfRnICUOmHrg8Zrm9XUf9Ytfw")</f>
        <v>1uO91Ghqccbk2KqSPHqDfRnICUOmHrg8Zrm9XUf9Ytfw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IFERROR(__xludf.DUMMYFUNCTION("""COMPUTED_VALUE"""),"1-OQp_UWqNzPVuLTORwu3eel8j-NrVAmqx6iQi27hLa8")</f>
        <v>1-OQp_UWqNzPVuLTORwu3eel8j-NrVAmqx6iQi27hLa8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IFERROR(__xludf.DUMMYFUNCTION("""COMPUTED_VALUE"""),"1LwBhdzUuHn5ECF0oPPWXFePk6WwatfI51pcoKJQjvgg")</f>
        <v>1LwBhdzUuHn5ECF0oPPWXFePk6WwatfI51pcoKJQjvgg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IFERROR(__xludf.DUMMYFUNCTION("""COMPUTED_VALUE"""),"1tlHXJcmAO_u2vVhOZeBn_G4EgGw18ZVW0bb-o4doPs8")</f>
        <v>1tlHXJcmAO_u2vVhOZeBn_G4EgGw18ZVW0bb-o4doPs8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IFERROR(__xludf.DUMMYFUNCTION("""COMPUTED_VALUE"""),"1-DMjC5n9ryA99IDVm6J51Q7mURCe3DRqzYCCOLv1fZw")</f>
        <v>1-DMjC5n9ryA99IDVm6J51Q7mURCe3DRqzYCCOLv1fZw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IFERROR(__xludf.DUMMYFUNCTION("""COMPUTED_VALUE"""),"1BiATpyvKA3SWFYXVo07tiTjntMlpxJ1omEEaU21PSFQ")</f>
        <v>1BiATpyvKA3SWFYXVo07tiTjntMlpxJ1omEEaU21PSFQ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IFERROR(__xludf.DUMMYFUNCTION("""COMPUTED_VALUE"""),"1LIzbTv6XVUesa_FizwbjIUAfuyc-UgZzL11JbPoKfBw")</f>
        <v>1LIzbTv6XVUesa_FizwbjIUAfuyc-UgZzL11JbPoKfBw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IFERROR(__xludf.DUMMYFUNCTION("""COMPUTED_VALUE"""),"1UcVRC34px0Pg8dDt_XchRcO9_o-osgUuZ9W3S2hdlSQ")</f>
        <v>1UcVRC34px0Pg8dDt_XchRcO9_o-osgUuZ9W3S2hdlSQ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IFERROR(__xludf.DUMMYFUNCTION("""COMPUTED_VALUE"""),"1HXY-kiBKFlDPwU0ki0_cbGzArUc85ZUwrz5o0MckqoM")</f>
        <v>1HXY-kiBKFlDPwU0ki0_cbGzArUc85ZUwrz5o0MckqoM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IFERROR(__xludf.DUMMYFUNCTION("""COMPUTED_VALUE"""),"1kmKYH_ymr9jFqwbZ5XDb0WpnX4Z9j4CT07_MwuvQw2g")</f>
        <v>1kmKYH_ymr9jFqwbZ5XDb0WpnX4Z9j4CT07_MwuvQw2g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IFERROR(__xludf.DUMMYFUNCTION("""COMPUTED_VALUE"""),"191QU5WKNDAtykM_3WYm8EblQy_WBJQ86ggc3OLVVeFk")</f>
        <v>191QU5WKNDAtykM_3WYm8EblQy_WBJQ86ggc3OLVVeFk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IFERROR(__xludf.DUMMYFUNCTION("""COMPUTED_VALUE"""),"1eA15qdzdfq9t8GNXV0Kh-HqiN3GM0hbwz1HfRJ283HM")</f>
        <v>1eA15qdzdfq9t8GNXV0Kh-HqiN3GM0hbwz1HfRJ283HM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IFERROR(__xludf.DUMMYFUNCTION("""COMPUTED_VALUE"""),"1o4Or8KGmmN-s-pw1WM8QNO4lE08dM1WXEnZcTjccQ6s")</f>
        <v>1o4Or8KGmmN-s-pw1WM8QNO4lE08dM1WXEnZcTjccQ6s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IFERROR(__xludf.DUMMYFUNCTION("""COMPUTED_VALUE"""),"18NNrD6d3r1bH_5-ihyR5H2ShJcom_Ov3-Wqk7Tquntk")</f>
        <v>18NNrD6d3r1bH_5-ihyR5H2ShJcom_Ov3-Wqk7Tquntk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IFERROR(__xludf.DUMMYFUNCTION("""COMPUTED_VALUE"""),"CreateDoneAwayOrder")</f>
        <v>CreateDoneAwayOrder</v>
      </c>
      <c r="C150" t="str">
        <f>IFERROR(__xludf.DUMMYFUNCTION("""COMPUTED_VALUE"""),"1KjYN4lz3oaLmz_BtGKeFqhTqRYTNakKIl9euRH-oDeg")</f>
        <v>1KjYN4lz3oaLmz_BtGKeFqhTqRYTNakKIl9euRH-oDeg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IFERROR(__xludf.DUMMYFUNCTION("""COMPUTED_VALUE"""),"12lNqOpj90KFDv25lJqH9kQzvaACIRBSoQG4fr_yDz8Q")</f>
        <v>12lNqOpj90KFDv25lJqH9kQzvaACIRBSoQG4fr_yDz8Q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IFERROR(__xludf.DUMMYFUNCTION("""COMPUTED_VALUE"""),"1QeVPnXD36mOWtIRdF858goH42tVu5CAvxk9v8xEDAhs")</f>
        <v>1QeVPnXD36mOWtIRdF858goH42tVu5CAvxk9v8xEDAhs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IFERROR(__xludf.DUMMYFUNCTION("""COMPUTED_VALUE"""),"1FKpTerYuislNewnlvplrDFib3M24kVhkC8gf7i2KVL0")</f>
        <v>1FKpTerYuislNewnlvplrDFib3M24kVhkC8gf7i2KVL0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IFERROR(__xludf.DUMMYFUNCTION("""COMPUTED_VALUE"""),"1e1pctNXtYM4geFlgtwfJmlj28jObLYup_AoHh5rJpho")</f>
        <v>1e1pctNXtYM4geFlgtwfJmlj28jObLYup_AoHh5rJpho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IFERROR(__xludf.DUMMYFUNCTION("""COMPUTED_VALUE"""),"1gzUhAU0fv2NWV8U51Wh2wYxyt2P8bXASpYc8bkIraT0")</f>
        <v>1gzUhAU0fv2NWV8U51Wh2wYxyt2P8bXASpYc8bkIraT0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IFERROR(__xludf.DUMMYFUNCTION("""COMPUTED_VALUE"""),"1SomQHbMrMPO4jhkHqhFGKcCYQ8UmgzXb4KjBfItpSOA")</f>
        <v>1SomQHbMrMPO4jhkHqhFGKcCYQ8UmgzXb4KjBfItpSOA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IFERROR(__xludf.DUMMYFUNCTION("""COMPUTED_VALUE"""),"1edHJ69KVfgWlnQgr6G_zSZLWfRtIGtJ_2tKmAoQW4sA")</f>
        <v>1edHJ69KVfgWlnQgr6G_zSZLWfRtIGtJ_2tKmAoQW4sA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IFERROR(__xludf.DUMMYFUNCTION("""COMPUTED_VALUE"""),"1sA10QgEhRhmGVFpM4vtrKHtwrnr9rPkn2EyDl_js2hQ")</f>
        <v>1sA10QgEhRhmGVFpM4vtrKHtwrnr9rPkn2EyDl_js2hQ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IFERROR(__xludf.DUMMYFUNCTION("""COMPUTED_VALUE"""),"1Zl6lmCYVvYpiymanSSHg15L0UA6pSZAqCecG9Ws0DVU")</f>
        <v>1Zl6lmCYVvYpiymanSSHg15L0UA6pSZAqCecG9Ws0DVU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IFERROR(__xludf.DUMMYFUNCTION("""COMPUTED_VALUE"""),"1IYITGwn7CTL-AwHhtyYxd8hwkr1mWGpZmHnGcfSgiYw")</f>
        <v>1IYITGwn7CTL-AwHhtyYxd8hwkr1mWGpZmHnGcfSgiYw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IFERROR(__xludf.DUMMYFUNCTION("""COMPUTED_VALUE"""),"1QlqVSajIe067denKhsV95eQ5CmZEqxjdfFjib7BRkZw")</f>
        <v>1QlqVSajIe067denKhsV95eQ5CmZEqxjdfFjib7BRkZw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IFERROR(__xludf.DUMMYFUNCTION("""COMPUTED_VALUE"""),"1neA_cmjAezAYN7PHlST8WfT9St78vMf34MRMklSVo7E")</f>
        <v>1neA_cmjAezAYN7PHlST8WfT9St78vMf34MRMklSVo7E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IFERROR(__xludf.DUMMYFUNCTION("""COMPUTED_VALUE"""),"1ST8gJuSQFKbMQhwQ27FEXX7C3MmpkkiDp7jZqIRoWD0")</f>
        <v>1ST8gJuSQFKbMQhwQ27FEXX7C3MmpkkiDp7jZqIRoWD0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IFERROR(__xludf.DUMMYFUNCTION("""COMPUTED_VALUE"""),"1Zl6lmCYVvYpiymanSSHg15L0UA6pSZAqCecG9Ws0DVU")</f>
        <v>1Zl6lmCYVvYpiymanSSHg15L0UA6pSZAqCecG9Ws0DVU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IFERROR(__xludf.DUMMYFUNCTION("""COMPUTED_VALUE"""),"1_9tkwdAJLeT-qNQ8BqUe6weg7-HaraCPBe4t6kebcp0")</f>
        <v>1_9tkwdAJLeT-qNQ8BqUe6weg7-HaraCPBe4t6kebcp0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IFERROR(__xludf.DUMMYFUNCTION("""COMPUTED_VALUE"""),"16eYSzSP6jOZGiJ30haDKPeKrzsi8YWCvBcxDIilenm8")</f>
        <v>16eYSzSP6jOZGiJ30haDKPeKrzsi8YWCvBcxDIilenm8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IFERROR(__xludf.DUMMYFUNCTION("""COMPUTED_VALUE"""),"1neA_cmjAezAYN7PHlST8WfT9St78vMf34MRMklSVo7E")</f>
        <v>1neA_cmjAezAYN7PHlST8WfT9St78vMf34MRMklSVo7E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IFERROR(__xludf.DUMMYFUNCTION("""COMPUTED_VALUE"""),"16eYSzSP6jOZGiJ30haDKPeKrzsi8YWCvBcxDIilenm8")</f>
        <v>16eYSzSP6jOZGiJ30haDKPeKrzsi8YWCvBcxDIilenm8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IFERROR(__xludf.DUMMYFUNCTION("""COMPUTED_VALUE"""),"1DFtHjjlK1qv2rf2DjQ8MVlhn41MJUPH1XU0iJxpRg0w")</f>
        <v>1DFtHjjlK1qv2rf2DjQ8MVlhn41MJUPH1XU0iJxpRg0w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IFERROR(__xludf.DUMMYFUNCTION("""COMPUTED_VALUE"""),"1n5CimLkehntX1muZwMPCpVCg6b11ri51ODPnk68Pi30")</f>
        <v>1n5CimLkehntX1muZwMPCpVCg6b11ri51ODPnk68Pi30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IFERROR(__xludf.DUMMYFUNCTION("""COMPUTED_VALUE"""),"1zNOob7TeWS3IZ29FsW6g2mx1IhOOFn_s7uQxNoO9RzI")</f>
        <v>1zNOob7TeWS3IZ29FsW6g2mx1IhOOFn_s7uQxNoO9RzI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IFERROR(__xludf.DUMMYFUNCTION("""COMPUTED_VALUE"""),"1OXqoajmjYRls2YpAUJb20f5yAPJNTPl-rmUWdGRHd70")</f>
        <v>1OXqoajmjYRls2YpAUJb20f5yAPJNTPl-rmUWdGRHd70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IFERROR(__xludf.DUMMYFUNCTION("""COMPUTED_VALUE"""),"16Pg3dJAqpCyPwaXngv9YoaDYIRVM57ZQjs2Ki11OeLE")</f>
        <v>16Pg3dJAqpCyPwaXngv9YoaDYIRVM57ZQjs2Ki11OeLE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IFERROR(__xludf.DUMMYFUNCTION("""COMPUTED_VALUE"""),"1v6VgiWrxALnoa0njwc-kSipfbaoVQp8lETPaNLhYl2c")</f>
        <v>1v6VgiWrxALnoa0njwc-kSipfbaoVQp8lETPaNLhYl2c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IFERROR(__xludf.DUMMYFUNCTION("""COMPUTED_VALUE"""),"11HV5g6hhhiYzYVZa0ZdEDSse3JcVMQ56paETZKc9K58")</f>
        <v>11HV5g6hhhiYzYVZa0ZdEDSse3JcVMQ56paETZKc9K58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IFERROR(__xludf.DUMMYFUNCTION("""COMPUTED_VALUE"""),"1a20isSzHqCS5M2X_zZFFvqHEMrEGKwUNjgK7sqjbtX8")</f>
        <v>1a20isSzHqCS5M2X_zZFFvqHEMrEGKwUNjgK7sqjbtX8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IFERROR(__xludf.DUMMYFUNCTION("""COMPUTED_VALUE"""),"13Iu44pco2CoRsNNblZKGG1jp3Xt0coxd11e1UE3ZISw")</f>
        <v>13Iu44pco2CoRsNNblZKGG1jp3Xt0coxd11e1UE3ZISw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IFERROR(__xludf.DUMMYFUNCTION("""COMPUTED_VALUE"""),"1qpS8fUrbzSk15BlPKRYm00mylgTjyec8FBI6U-3Lb2Y")</f>
        <v>1qpS8fUrbzSk15BlPKRYm00mylgTjyec8FBI6U-3Lb2Y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IFERROR(__xludf.DUMMYFUNCTION("""COMPUTED_VALUE"""),"1phRTXk6lhQd0yBkq3N_AGXzGz443Odj1VEdPxkU37PE")</f>
        <v>1phRTXk6lhQd0yBkq3N_AGXzGz443Odj1VEdPxkU37PE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IFERROR(__xludf.DUMMYFUNCTION("""COMPUTED_VALUE"""),"1dRzPz2g1DZaGLV61uyy7ya2vJT1AanuWJLtapqrIxGA")</f>
        <v>1dRzPz2g1DZaGLV61uyy7ya2vJT1AanuWJLtapqrIxGA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IFERROR(__xludf.DUMMYFUNCTION("""COMPUTED_VALUE"""),"1B88Hn3E9Qqmy_wiZdvwp_-esnX5mS70bOeGn523QzfM")</f>
        <v>1B88Hn3E9Qqmy_wiZdvwp_-esnX5mS70bOeGn523QzfM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IFERROR(__xludf.DUMMYFUNCTION("""COMPUTED_VALUE"""),"1OrxpIE0uyq1Phm9Jh8gHnCyOQsJ7FJSL3a3irnTbFX4")</f>
        <v>1OrxpIE0uyq1Phm9Jh8gHnCyOQsJ7FJSL3a3irnTbFX4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IFERROR(__xludf.DUMMYFUNCTION("""COMPUTED_VALUE"""),"1UshpUHMHAQzhlr-bpoYZFT8mAnIqpXVKtCIkby8eMos")</f>
        <v>1UshpUHMHAQzhlr-bpoYZFT8mAnIqpXVKtCIkby8eMos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IFERROR(__xludf.DUMMYFUNCTION("""COMPUTED_VALUE"""),"1KGK8W-ECAckadm9I2wGjUeTDLE5But4xbJgs4PJzojY")</f>
        <v>1KGK8W-ECAckadm9I2wGjUeTDLE5But4xbJgs4PJzojY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IFERROR(__xludf.DUMMYFUNCTION("""COMPUTED_VALUE"""),"1YPRV3OZJOzlf53uVC1-BwjfgOi-9jZEYkJHvkN7QQ1I")</f>
        <v>1YPRV3OZJOzlf53uVC1-BwjfgOi-9jZEYkJHvkN7QQ1I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IFERROR(__xludf.DUMMYFUNCTION("""COMPUTED_VALUE"""),"1UXPfO_h8wY8hfygQLAmeuefqkQxJFAi7am1trQznU0Y")</f>
        <v>1UXPfO_h8wY8hfygQLAmeuefqkQxJFAi7am1trQznU0Y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IFERROR(__xludf.DUMMYFUNCTION("""COMPUTED_VALUE"""),"1xi5HBd7a9os3ubctZdGori68ThN3jpnptX78Hev9tIs")</f>
        <v>1xi5HBd7a9os3ubctZdGori68ThN3jpnptX78Hev9tIs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IFERROR(__xludf.DUMMYFUNCTION("""COMPUTED_VALUE"""),"18mk01ha7MdqFJuR3dB6DCtp1N5eg_GgKIST9sSMBS_E")</f>
        <v>18mk01ha7MdqFJuR3dB6DCtp1N5eg_GgKIST9sSMBS_E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IFERROR(__xludf.DUMMYFUNCTION("""COMPUTED_VALUE"""),"1UTGbB7eondZUvndSZeWsQux3qtWaoaVLOc-dAgePKo0")</f>
        <v>1UTGbB7eondZUvndSZeWsQux3qtWaoaVLOc-dAgePKo0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IFERROR(__xludf.DUMMYFUNCTION("""COMPUTED_VALUE"""),"1RUgJeC7dSZLnvgN_OISx0E-Ch-tv3fqJ2q9hxyTFzm4")</f>
        <v>1RUgJeC7dSZLnvgN_OISx0E-Ch-tv3fqJ2q9hxyTFzm4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IFERROR(__xludf.DUMMYFUNCTION("""COMPUTED_VALUE"""),"1_ibws5pXkhKeKmCaNAmL2xR_YcYlOxh9tGuhct0yTs0")</f>
        <v>1_ibws5pXkhKeKmCaNAmL2xR_YcYlOxh9tGuhct0yTs0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IFERROR(__xludf.DUMMYFUNCTION("""COMPUTED_VALUE"""),"138-LMD4LCmmc7va8Q27MBaab8hMU8mY4DdajZ40WNVg")</f>
        <v>138-LMD4LCmmc7va8Q27MBaab8hMU8mY4DdajZ40WNVg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IFERROR(__xludf.DUMMYFUNCTION("""COMPUTED_VALUE"""),"1neA_cmjAezAYN7PHlST8WfT9St78vMf34MRMklSVo7E")</f>
        <v>1neA_cmjAezAYN7PHlST8WfT9St78vMf34MRMklSVo7E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IFERROR(__xludf.DUMMYFUNCTION("""COMPUTED_VALUE"""),"1neA_cmjAezAYN7PHlST8WfT9St78vMf34MRMklSVo7E")</f>
        <v>1neA_cmjAezAYN7PHlST8WfT9St78vMf34MRMklSVo7E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IFERROR(__xludf.DUMMYFUNCTION("""COMPUTED_VALUE"""),"1neA_cmjAezAYN7PHlST8WfT9St78vMf34MRMklSVo7E")</f>
        <v>1neA_cmjAezAYN7PHlST8WfT9St78vMf34MRMklSVo7E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IFERROR(__xludf.DUMMYFUNCTION("""COMPUTED_VALUE"""),"16eYSzSP6jOZGiJ30haDKPeKrzsi8YWCvBcxDIilenm8")</f>
        <v>16eYSzSP6jOZGiJ30haDKPeKrzsi8YWCvBcxDIilenm8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IFERROR(__xludf.DUMMYFUNCTION("""COMPUTED_VALUE"""),"16eYSzSP6jOZGiJ30haDKPeKrzsi8YWCvBcxDIilenm8")</f>
        <v>16eYSzSP6jOZGiJ30haDKPeKrzsi8YWCvBcxDIilenm8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IFERROR(__xludf.DUMMYFUNCTION("""COMPUTED_VALUE"""),"1RvDdin_L9BOB-PNvecMNSn8GL9EI-dz4_eotQPUlqcg")</f>
        <v>1RvDdin_L9BOB-PNvecMNSn8GL9EI-dz4_eotQPUlqcg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IFERROR(__xludf.DUMMYFUNCTION("""COMPUTED_VALUE"""),"1KsoCQntYsl7X8NWFKdMnVpiJXUhScw20v2dl6aymdhw")</f>
        <v>1KsoCQntYsl7X8NWFKdMnVpiJXUhScw20v2dl6aymdhw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IFERROR(__xludf.DUMMYFUNCTION("""COMPUTED_VALUE"""),"1rE6xGjlU6sjZNQ5VunFpzw9LY-Sy6YmGKUSzPijf-1E")</f>
        <v>1rE6xGjlU6sjZNQ5VunFpzw9LY-Sy6YmGKUSzPijf-1E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IFERROR(__xludf.DUMMYFUNCTION("""COMPUTED_VALUE"""),"1tS9sJd9zQv4tkrl6Hwn3LNV5FPwJJX8iTvCI3A9mnYM")</f>
        <v>1tS9sJd9zQv4tkrl6Hwn3LNV5FPwJJX8iTvCI3A9mnYM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IFERROR(__xludf.DUMMYFUNCTION("""COMPUTED_VALUE"""),"113B4SUUwarWN67BxRNkNvzcSme4qizOcJEy1Cyr92HI")</f>
        <v>113B4SUUwarWN67BxRNkNvzcSme4qizOcJEy1Cyr92HI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IFERROR(__xludf.DUMMYFUNCTION("""COMPUTED_VALUE"""),"1VrjZ6PlQiYI2NyHnraBGAG1BQJGVPFR-CazWCfE6cPo")</f>
        <v>1VrjZ6PlQiYI2NyHnraBGAG1BQJGVPFR-CazWCfE6cPo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IFERROR(__xludf.DUMMYFUNCTION("""COMPUTED_VALUE"""),"1uddT4fT_pD1FfaavNd3Z4kLl-9z6jO93_oWAXqOtAeU")</f>
        <v>1uddT4fT_pD1FfaavNd3Z4kLl-9z6jO93_oWAXqOtAeU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IFERROR(__xludf.DUMMYFUNCTION("""COMPUTED_VALUE"""),"1gYIXEoPEFKzwPlsYNR6dYepNPdn8424SZynBp6C7bZQ")</f>
        <v>1gYIXEoPEFKzwPlsYNR6dYepNPdn8424SZynBp6C7bZQ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IFERROR(__xludf.DUMMYFUNCTION("""COMPUTED_VALUE"""),"1QO1sZw8WaBW55zzKQSeyM1RO5amXeVLNEGlKzyKRQLI")</f>
        <v>1QO1sZw8WaBW55zzKQSeyM1RO5amXeVLNEGlKzyKRQLI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IFERROR(__xludf.DUMMYFUNCTION("""COMPUTED_VALUE"""),"1u0wF8kF1HfnGMp9ZhSo_XEoondHNcOeNNWxIhcbTS3Y")</f>
        <v>1u0wF8kF1HfnGMp9ZhSo_XEoondHNcOeNNWxIhcbTS3Y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IFERROR(__xludf.DUMMYFUNCTION("""COMPUTED_VALUE"""),"1UwPAP50TyioUUJROxVKpunirqNJXej9anr5fqMgHJB0")</f>
        <v>1UwPAP50TyioUUJROxVKpunirqNJXej9anr5fqMgHJB0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IFERROR(__xludf.DUMMYFUNCTION("""COMPUTED_VALUE"""),"1t85s25HRMHAY21hZiXCRf27hlLDl-nnEPqVTY6MP0Ok")</f>
        <v>1t85s25HRMHAY21hZiXCRf27hlLDl-nnEPqVTY6MP0Ok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IFERROR(__xludf.DUMMYFUNCTION("""COMPUTED_VALUE"""),"1WwcsZ_jfu-R34xa9ybcfND3UoKrgO4ZDtYvq7PNYrTk")</f>
        <v>1WwcsZ_jfu-R34xa9ybcfND3UoKrgO4ZDtYvq7PNYrTk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IFERROR(__xludf.DUMMYFUNCTION("""COMPUTED_VALUE"""),"1ZJgJVI2xFlymh5s3_gYw2mH5kSY5-kYWaHqWWNkP4QM")</f>
        <v>1ZJgJVI2xFlymh5s3_gYw2mH5kSY5-kYWaHqWWNkP4QM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IFERROR(__xludf.DUMMYFUNCTION("""COMPUTED_VALUE"""),"12PMqu3Ve3WA-ZopGXX2SDWNDNLCcuRWlRsHncRyydfE")</f>
        <v>12PMqu3Ve3WA-ZopGXX2SDWNDNLCcuRWlRsHncRyydfE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IFERROR(__xludf.DUMMYFUNCTION("""COMPUTED_VALUE"""),"1Nsz2dUTtdumqiNuR5b6_En7rZaPe51oc_IGgBo14CRo")</f>
        <v>1Nsz2dUTtdumqiNuR5b6_En7rZaPe51oc_IGgBo14CRo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IFERROR(__xludf.DUMMYFUNCTION("""COMPUTED_VALUE"""),"1C6o4eaKlKKFQhcAaN1Oj40i-0iPXOyboII-0QPBeHv4")</f>
        <v>1C6o4eaKlKKFQhcAaN1Oj40i-0iPXOyboII-0QPBeHv4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IFERROR(__xludf.DUMMYFUNCTION("""COMPUTED_VALUE"""),"1nI3as5Hyrhg5kMfKs569tCkWnsT_Hy_oFAt4X-7ZkfY")</f>
        <v>1nI3as5Hyrhg5kMfKs569tCkWnsT_Hy_oFAt4X-7ZkfY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IFERROR(__xludf.DUMMYFUNCTION("""COMPUTED_VALUE"""),"1h_gDyrGHLdTKUbSvoE629FMo2ymd9Nc8cF3c-sLkPhI")</f>
        <v>1h_gDyrGHLdTKUbSvoE629FMo2ymd9Nc8cF3c-sLkPhI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IFERROR(__xludf.DUMMYFUNCTION("""COMPUTED_VALUE"""),"1aY-18we1tJeBlSzJwgqLomKPX2V8fQkcN7Gs3ZZ1YNQ")</f>
        <v>1aY-18we1tJeBlSzJwgqLomKPX2V8fQkcN7Gs3ZZ1YNQ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IFERROR(__xludf.DUMMYFUNCTION("""COMPUTED_VALUE"""),"1Nw4cG4FEhgfaX4J2Zjz9gHukgLrdeftcP-85ZV4RscE")</f>
        <v>1Nw4cG4FEhgfaX4J2Zjz9gHukgLrdeftcP-85ZV4RscE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IFERROR(__xludf.DUMMYFUNCTION("""COMPUTED_VALUE"""),"1qMSJYnXN0XR7zqM5SH4WCx2nHv7xL3PB8V9Y9aFlkew")</f>
        <v>1qMSJYnXN0XR7zqM5SH4WCx2nHv7xL3PB8V9Y9aFlkew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IFERROR(__xludf.DUMMYFUNCTION("""COMPUTED_VALUE"""),"131A6k4vG5r_lWFBa9IzK6ZWeScU4Sc4-Hpswdbv9ZaQ")</f>
        <v>131A6k4vG5r_lWFBa9IzK6ZWeScU4Sc4-Hpswdbv9ZaQ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IFERROR(__xludf.DUMMYFUNCTION("""COMPUTED_VALUE"""),"1mBAPn7AGFwS3SIniOV3w4Vp70Jo-IOpY6dll37vYeDI")</f>
        <v>1mBAPn7AGFwS3SIniOV3w4Vp70Jo-IOpY6dll37vYeDI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IFERROR(__xludf.DUMMYFUNCTION("""COMPUTED_VALUE"""),"195NnUdrmvj9pdLwUtAAbMID9Y0gzC3G62LqP8cuCaDg")</f>
        <v>195NnUdrmvj9pdLwUtAAbMID9Y0gzC3G62LqP8cuCaDg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IFERROR(__xludf.DUMMYFUNCTION("""COMPUTED_VALUE"""),"1GR9lqEAKTs2TuE_75WyIycc_xLxRNB3Bn-ZxKwiGjkg")</f>
        <v>1GR9lqEAKTs2TuE_75WyIycc_xLxRNB3Bn-ZxKwiGjkg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IFERROR(__xludf.DUMMYFUNCTION("""COMPUTED_VALUE"""),"1IXFaZ7UVAx9-6753C2uxNM27NY7vDEQWJYMZUXnt0u0")</f>
        <v>1IXFaZ7UVAx9-6753C2uxNM27NY7vDEQWJYMZUXnt0u0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IFERROR(__xludf.DUMMYFUNCTION("""COMPUTED_VALUE"""),"1BwT3UNa73WMfUma2mtizT22Nb53bFCgTfgxzt04zBR8")</f>
        <v>1BwT3UNa73WMfUma2mtizT22Nb53bFCgTfgxzt04zBR8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IFERROR(__xludf.DUMMYFUNCTION("""COMPUTED_VALUE"""),"164yyq4hxGsC0xKtanZaNgkEQTrnLRHMl8b6Zgovhnr4")</f>
        <v>164yyq4hxGsC0xKtanZaNgkEQTrnLRHMl8b6Zgovhnr4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IFERROR(__xludf.DUMMYFUNCTION("""COMPUTED_VALUE"""),"1UU6o44Z9a8fTHaepsBrZ45qMtCcBrubrTQHBNTcVb5s")</f>
        <v>1UU6o44Z9a8fTHaepsBrZ45qMtCcBrubrTQHBNTcVb5s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IFERROR(__xludf.DUMMYFUNCTION("""COMPUTED_VALUE"""),"1xPawsjKKvh5Jn1inhf-YxiYbDqXFALMlUizPwnEaYco")</f>
        <v>1xPawsjKKvh5Jn1inhf-YxiYbDqXFALMlUizPwnEaYco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IFERROR(__xludf.DUMMYFUNCTION("""COMPUTED_VALUE"""),"1x0jJL6k1jZdIJAed8Va4B0pndCuIukdd26n4S_YSG6k")</f>
        <v>1x0jJL6k1jZdIJAed8Va4B0pndCuIukdd26n4S_YSG6k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IFERROR(__xludf.DUMMYFUNCTION("""COMPUTED_VALUE"""),"17IHK1OiKPBxLJX6_PaZJWhyYIJFsBFHhnIN9Sy-K3l0")</f>
        <v>17IHK1OiKPBxLJX6_PaZJWhyYIJFsBFHhnIN9Sy-K3l0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IFERROR(__xludf.DUMMYFUNCTION("""COMPUTED_VALUE"""),"1a0dMfr_t-HsAUI3VT2eU87qBF1UX8F7f-zfY8soPOhI")</f>
        <v>1a0dMfr_t-HsAUI3VT2eU87qBF1UX8F7f-zfY8soPOhI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IFERROR(__xludf.DUMMYFUNCTION("""COMPUTED_VALUE"""),"10dKmxM0u58VeAJ3eRVQjGT8M1h7V8etQ54-ZIq0SlPo")</f>
        <v>10dKmxM0u58VeAJ3eRVQjGT8M1h7V8etQ54-ZIq0SlPo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IFERROR(__xludf.DUMMYFUNCTION("""COMPUTED_VALUE"""),"1rlLUvDshQkhyWSYHLONgihvxwz7h1Q30rDoxvZi4vNo")</f>
        <v>1rlLUvDshQkhyWSYHLONgihvxwz7h1Q30rDoxvZi4vNo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IFERROR(__xludf.DUMMYFUNCTION("""COMPUTED_VALUE"""),"188t8k2XsgA8054SApBaXlrMg0iwRnFElLRnrR1DMZN4")</f>
        <v>188t8k2XsgA8054SApBaXlrMg0iwRnFElLRnrR1DMZN4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IFERROR(__xludf.DUMMYFUNCTION("""COMPUTED_VALUE"""),"1nbPkbT2aMN9acqh97pvEUWlL22b_NqaicNP8WtVkzLQ")</f>
        <v>1nbPkbT2aMN9acqh97pvEUWlL22b_NqaicNP8WtVkzLQ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IFERROR(__xludf.DUMMYFUNCTION("""COMPUTED_VALUE"""),"1DiN0TME4VohlSBPppY6I36u-rE4_1ChA7bjC1GFkz3E")</f>
        <v>1DiN0TME4VohlSBPppY6I36u-rE4_1ChA7bjC1GFkz3E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IFERROR(__xludf.DUMMYFUNCTION("""COMPUTED_VALUE"""),"1L73dI6MLd-SqinsIoR3OiIL0qQev02kmMZod7ms1Ypo")</f>
        <v>1L73dI6MLd-SqinsIoR3OiIL0qQev02kmMZod7ms1Ypo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IFERROR(__xludf.DUMMYFUNCTION("""COMPUTED_VALUE"""),"12lwdi9cfPyRBFPnDJZNUdiDyHkyZQSMEp37XW1wozbk")</f>
        <v>12lwdi9cfPyRBFPnDJZNUdiDyHkyZQSMEp37XW1wozbk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IFERROR(__xludf.DUMMYFUNCTION("""COMPUTED_VALUE"""),"15orRiioRUQ09okhbGqSNUMc7hxx2CTcL9nP3dmwl638")</f>
        <v>15orRiioRUQ09okhbGqSNUMc7hxx2CTcL9nP3dmwl638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IFERROR(__xludf.DUMMYFUNCTION("""COMPUTED_VALUE"""),"1c8hu3an6CMmn2_3LtmV5o8MmZCxXuJFsWNBHQFwfO8U")</f>
        <v>1c8hu3an6CMmn2_3LtmV5o8MmZCxXuJFsWNBHQFwfO8U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IFERROR(__xludf.DUMMYFUNCTION("""COMPUTED_VALUE"""),"1LbaWnR1LPaDi4l23bA3_UG8z3N3AdQxJD0xStGsf9f4")</f>
        <v>1LbaWnR1LPaDi4l23bA3_UG8z3N3AdQxJD0xStGsf9f4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IFERROR(__xludf.DUMMYFUNCTION("""COMPUTED_VALUE"""),"1sgS_hskUjJw0gkemh2egH3kSj8YqpAr-8dhRpydHipU")</f>
        <v>1sgS_hskUjJw0gkemh2egH3kSj8YqpAr-8dhRpydHipU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IFERROR(__xludf.DUMMYFUNCTION("""COMPUTED_VALUE"""),"15KffQ6ePoW2jTNkma2M6RrO7J8Flv36n0BBpGSPJGKM")</f>
        <v>15KffQ6ePoW2jTNkma2M6RrO7J8Flv36n0BBpGSPJGKM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IFERROR(__xludf.DUMMYFUNCTION("""COMPUTED_VALUE"""),"1FKDVEXyxbCVlsfXCNbX16GFFP_0o0tqwzVStZXfdSYk")</f>
        <v>1FKDVEXyxbCVlsfXCNbX16GFFP_0o0tqwzVStZXfdSYk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IFERROR(__xludf.DUMMYFUNCTION("""COMPUTED_VALUE"""),"1uQ-rNn5nHXaf1DEBVyj2EVa5utyXLApas_8tiNZyw7s")</f>
        <v>1uQ-rNn5nHXaf1DEBVyj2EVa5utyXLApas_8tiNZyw7s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IFERROR(__xludf.DUMMYFUNCTION("""COMPUTED_VALUE"""),"1GV9rz0AQXrAamUFNCgKkBK106SdUN9erGMlgSeYUgO0")</f>
        <v>1GV9rz0AQXrAamUFNCgKkBK106SdUN9erGMlgSeYUgO0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IFERROR(__xludf.DUMMYFUNCTION("""COMPUTED_VALUE"""),"16LYUA3YlIycu91nkFHk6ik1BxNHLbWcYLUNoLQ82KME")</f>
        <v>16LYUA3YlIycu91nkFHk6ik1BxNHLbWcYLUNoLQ82KME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IFERROR(__xludf.DUMMYFUNCTION("""COMPUTED_VALUE"""),"1bwXA7_03ubAfXxvMqc3J-COiiXwUj9RgsxoE_X_QAuU")</f>
        <v>1bwXA7_03ubAfXxvMqc3J-COiiXwUj9RgsxoE_X_QAuU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IFERROR(__xludf.DUMMYFUNCTION("""COMPUTED_VALUE"""),"1e25G_BmRdKpqSe50k_Af5eNoqA1z5Sjl2-E_yy406JI")</f>
        <v>1e25G_BmRdKpqSe50k_Af5eNoqA1z5Sjl2-E_yy406JI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IFERROR(__xludf.DUMMYFUNCTION("""COMPUTED_VALUE"""),"1vQflYMKRcOsPOnrrKOyDLpDdU4rpPt0GIPhqFF73ZGc")</f>
        <v>1vQflYMKRcOsPOnrrKOyDLpDdU4rpPt0GIPhqFF73ZGc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IFERROR(__xludf.DUMMYFUNCTION("""COMPUTED_VALUE"""),"1r3RDxvLInheaVRPwem9gycqLCrlldgX0sbe77MG9y_0")</f>
        <v>1r3RDxvLInheaVRPwem9gycqLCrlldgX0sbe77MG9y_0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IFERROR(__xludf.DUMMYFUNCTION("""COMPUTED_VALUE"""),"1nvecgblxA4FR1WE9CWSMBtnuGGuFglRPYVX_zcBRbcE")</f>
        <v>1nvecgblxA4FR1WE9CWSMBtnuGGuFglRPYVX_zcBRbcE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IFERROR(__xludf.DUMMYFUNCTION("""COMPUTED_VALUE"""),"1UDr0R24mBV6xxuNjLvlxiA1qwWvdLPfTi0vDMD2gi2w")</f>
        <v>1UDr0R24mBV6xxuNjLvlxiA1qwWvdLPfTi0vDMD2gi2w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IFERROR(__xludf.DUMMYFUNCTION("""COMPUTED_VALUE"""),"1DeRs5EiFDP25mQi6NyGTv0UX0c0cerzJdJ0Yi5OyhAM")</f>
        <v>1DeRs5EiFDP25mQi6NyGTv0UX0c0cerzJdJ0Yi5OyhAM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IFERROR(__xludf.DUMMYFUNCTION("""COMPUTED_VALUE"""),"1HxE5MMxUveEoJm1wQyolzCPPLh1jTQKDomJaLfOMptg")</f>
        <v>1HxE5MMxUveEoJm1wQyolzCPPLh1jTQKDomJaLfOMptg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IFERROR(__xludf.DUMMYFUNCTION("""COMPUTED_VALUE"""),"1Ucf95Hgr3H8DPeWlPvQ5MwRcAuD1ebQb0FT2rnX-lmw")</f>
        <v>1Ucf95Hgr3H8DPeWlPvQ5MwRcAuD1ebQb0FT2rnX-lmw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IFERROR(__xludf.DUMMYFUNCTION("""COMPUTED_VALUE"""),"1Eo5wTXgx2jbrTA3or-gc7AX70FMcgfiqu-RyiDwfXQA")</f>
        <v>1Eo5wTXgx2jbrTA3or-gc7AX70FMcgfiqu-RyiDwfXQA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IFERROR(__xludf.DUMMYFUNCTION("""COMPUTED_VALUE"""),"1nJuFXpTh6im7nsD5koUSLgoxaCqoWlPMxW97lk22lxU")</f>
        <v>1nJuFXpTh6im7nsD5koUSLgoxaCqoWlPMxW97lk22lxU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IFERROR(__xludf.DUMMYFUNCTION("""COMPUTED_VALUE"""),"1U9YWHjK_PrsPh-k68PQr6O6_wuagb4wYtsyuo7qkU90")</f>
        <v>1U9YWHjK_PrsPh-k68PQr6O6_wuagb4wYtsyuo7qkU90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IFERROR(__xludf.DUMMYFUNCTION("""COMPUTED_VALUE"""),"1tSou7BmVwlLyUTvLSWvudQMbqk4kpIesfCOofFmFN-o")</f>
        <v>1tSou7BmVwlLyUTvLSWvudQMbqk4kpIesfCOofFmFN-o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IFERROR(__xludf.DUMMYFUNCTION("""COMPUTED_VALUE"""),"1mB319G-aSHgxPhqZPNWGDqgBZcGLWK3Tk5PR5YX0VNk")</f>
        <v>1mB319G-aSHgxPhqZPNWGDqgBZcGLWK3Tk5PR5YX0VNk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IFERROR(__xludf.DUMMYFUNCTION("""COMPUTED_VALUE"""),"1Zg0W6fM8fNMw692Kf_7S1uJ4ut2TWflmE4cwmEer5zo")</f>
        <v>1Zg0W6fM8fNMw692Kf_7S1uJ4ut2TWflmE4cwmEer5zo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IFERROR(__xludf.DUMMYFUNCTION("""COMPUTED_VALUE"""),"1vaWJ5vIOh9jPOAGmF9K2BQlycSVKqTcN69xkpmeW5fE")</f>
        <v>1vaWJ5vIOh9jPOAGmF9K2BQlycSVKqTcN69xkpmeW5fE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IFERROR(__xludf.DUMMYFUNCTION("""COMPUTED_VALUE"""),"1ZqcNDJbkfP2KMLGB9BdXNenCrW_fnwEgM6Q7o7M99XQ")</f>
        <v>1ZqcNDJbkfP2KMLGB9BdXNenCrW_fnwEgM6Q7o7M99XQ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IFERROR(__xludf.DUMMYFUNCTION("""COMPUTED_VALUE"""),"1PFaLRqOG1Ey_n_PETSs7USJJXapF65CdnZcwEiBOHoc")</f>
        <v>1PFaLRqOG1Ey_n_PETSs7USJJXapF65CdnZcwEiBOHoc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IFERROR(__xludf.DUMMYFUNCTION("""COMPUTED_VALUE"""),"1rP8eid07R55k0rZay7yrEpZe5Y1IFMI2sNbeXs_8VPs")</f>
        <v>1rP8eid07R55k0rZay7yrEpZe5Y1IFMI2sNbeXs_8VPs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IFERROR(__xludf.DUMMYFUNCTION("""COMPUTED_VALUE"""),"1H7EMT9E0x1GLYf1J_E9vn3QsSmyZoTJ1Mrhx4yLJDBY")</f>
        <v>1H7EMT9E0x1GLYf1J_E9vn3QsSmyZoTJ1Mrhx4yLJDBY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IFERROR(__xludf.DUMMYFUNCTION("""COMPUTED_VALUE"""),"1gyH52pmQZW-Y8-BV-t1d1RBlOyCnOtB_5s1-VpyHsjc")</f>
        <v>1gyH52pmQZW-Y8-BV-t1d1RBlOyCnOtB_5s1-VpyHsjc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IFERROR(__xludf.DUMMYFUNCTION("""COMPUTED_VALUE"""),"1N1LhOCchhPLvuAo4L3lDpiPYbBEM0LwiHy_U1R2or4A")</f>
        <v>1N1LhOCchhPLvuAo4L3lDpiPYbBEM0LwiHy_U1R2or4A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IFERROR(__xludf.DUMMYFUNCTION("""COMPUTED_VALUE"""),"16UfwvOn5xhe2uxS58M3T3Sunw2dUiXScIt2IOSEIg20")</f>
        <v>16UfwvOn5xhe2uxS58M3T3Sunw2dUiXScIt2IOSEIg20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IFERROR(__xludf.DUMMYFUNCTION("""COMPUTED_VALUE"""),"1izqBFuMnInm8QlZ5oSGHXP3A0ZNn5RQQpH5xfBS5D1E")</f>
        <v>1izqBFuMnInm8QlZ5oSGHXP3A0ZNn5RQQpH5xfBS5D1E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IFERROR(__xludf.DUMMYFUNCTION("""COMPUTED_VALUE"""),"1cmje78_Gx-4LVVVAaP08j0Jv0yRZ80GC1yQAora7yJQ")</f>
        <v>1cmje78_Gx-4LVVVAaP08j0Jv0yRZ80GC1yQAora7yJQ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IFERROR(__xludf.DUMMYFUNCTION("""COMPUTED_VALUE"""),"1MZzeR0tvjDEdFuxZ5GEuj4wtnO_DOzlghI1Hgj2rTYE")</f>
        <v>1MZzeR0tvjDEdFuxZ5GEuj4wtnO_DOzlghI1Hgj2rTYE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IFERROR(__xludf.DUMMYFUNCTION("""COMPUTED_VALUE"""),"1prmvVgdNA2N5OjSBMDG9tiQYyGom2zxYF9XuYyNwz5w")</f>
        <v>1prmvVgdNA2N5OjSBMDG9tiQYyGom2zxYF9XuYyNwz5w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IFERROR(__xludf.DUMMYFUNCTION("""COMPUTED_VALUE"""),"1E2adE8BbNKV7DMgfyEvvpAGkECjH0whM3wRzZN9yNOg")</f>
        <v>1E2adE8BbNKV7DMgfyEvvpAGkECjH0whM3wRzZN9yNOg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IFERROR(__xludf.DUMMYFUNCTION("""COMPUTED_VALUE"""),"1u2bX7gAjmRf_pG7vdA6yBh7NPDTKKti0oWskUNzgIVM")</f>
        <v>1u2bX7gAjmRf_pG7vdA6yBh7NPDTKKti0oWskUNzgIVM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IFERROR(__xludf.DUMMYFUNCTION("""COMPUTED_VALUE"""),"1lJRpK6c_KF0yDl45QyIHhnGZ7O9MtpgXuOoKeBmcUX4")</f>
        <v>1lJRpK6c_KF0yDl45QyIHhnGZ7O9MtpgXuOoKeBmcUX4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IFERROR(__xludf.DUMMYFUNCTION("""COMPUTED_VALUE"""),"1RaS1D0f_4zN7snwW_skw-jG8EAZIx3R7qRljT2LMDl8")</f>
        <v>1RaS1D0f_4zN7snwW_skw-jG8EAZIx3R7qRljT2LMDl8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IFERROR(__xludf.DUMMYFUNCTION("""COMPUTED_VALUE"""),"1ySNFFhhk6FLAzbhLvkZYaxCm9ukiGc9AG0VPqASsZhA")</f>
        <v>1ySNFFhhk6FLAzbhLvkZYaxCm9ukiGc9AG0VPqASsZhA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IFERROR(__xludf.DUMMYFUNCTION("""COMPUTED_VALUE"""),"1wb1XL9gWDoixLhYuip2-3UcElFyHb8iivWWtW92Cdbo")</f>
        <v>1wb1XL9gWDoixLhYuip2-3UcElFyHb8iivWWtW92Cdbo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IFERROR(__xludf.DUMMYFUNCTION("""COMPUTED_VALUE"""),"1x4bwJHDRG7suqUPacRhsOt3BywboZnR7UIZKMa_BtbA")</f>
        <v>1x4bwJHDRG7suqUPacRhsOt3BywboZnR7UIZKMa_BtbA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IFERROR(__xludf.DUMMYFUNCTION("""COMPUTED_VALUE"""),"1b1B_oTlfewskJvIGkMftvQQpB1BcFiMCLXZ0kVT8gGc")</f>
        <v>1b1B_oTlfewskJvIGkMftvQQpB1BcFiMCLXZ0kVT8gGc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IFERROR(__xludf.DUMMYFUNCTION("""COMPUTED_VALUE"""),"1kmKYH_ymr9jFqwbZ5XDb0WpnX4Z9j4CT07_MwuvQw2g")</f>
        <v>1kmKYH_ymr9jFqwbZ5XDb0WpnX4Z9j4CT07_MwuvQw2g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IFERROR(__xludf.DUMMYFUNCTION("""COMPUTED_VALUE"""),"1BPqboT6ZthFmm60lM6mh2z1qAh2fptZ5pKD3Ck2uhhw")</f>
        <v>1BPqboT6ZthFmm60lM6mh2z1qAh2fptZ5pKD3Ck2uhhw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IFERROR(__xludf.DUMMYFUNCTION("""COMPUTED_VALUE"""),"1k_zIDXTZmiXpOkjHAjaGXWRJH-C2h2OAkkRQXXCc3o0")</f>
        <v>1k_zIDXTZmiXpOkjHAjaGXWRJH-C2h2OAkkRQXXCc3o0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IFERROR(__xludf.DUMMYFUNCTION("""COMPUTED_VALUE"""),"1k_zIDXTZmiXpOkjHAjaGXWRJH-C2h2OAkkRQXXCc3o0")</f>
        <v>1k_zIDXTZmiXpOkjHAjaGXWRJH-C2h2OAkkRQXXCc3o0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IFERROR(__xludf.DUMMYFUNCTION("""COMPUTED_VALUE"""),"1ST8gJuSQFKbMQhwQ27FEXX7C3MmpkkiDp7jZqIRoWD0")</f>
        <v>1ST8gJuSQFKbMQhwQ27FEXX7C3MmpkkiDp7jZqIRoWD0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IFERROR(__xludf.DUMMYFUNCTION("""COMPUTED_VALUE"""),"1ST8gJuSQFKbMQhwQ27FEXX7C3MmpkkiDp7jZqIRoWD0")</f>
        <v>1ST8gJuSQFKbMQhwQ27FEXX7C3MmpkkiDp7jZqIRoWD0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IFERROR(__xludf.DUMMYFUNCTION("""COMPUTED_VALUE"""),"14NIirT_lP1vID38aA1Zjk73Fe-3sGGYVNmc2X_elEMU")</f>
        <v>14NIirT_lP1vID38aA1Zjk73Fe-3sGGYVNmc2X_elEMU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IFERROR(__xludf.DUMMYFUNCTION("""COMPUTED_VALUE"""),"1XFmAEa3gET3_k_QbsPgqHmuvDQGOj5iyOp3KMwbgx34")</f>
        <v>1XFmAEa3gET3_k_QbsPgqHmuvDQGOj5iyOp3KMwbgx34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IFERROR(__xludf.DUMMYFUNCTION("""COMPUTED_VALUE"""),"1XGmjpfbvtIlyQBYohLDveaEVx7TvObFt7azJEAZ4xeY")</f>
        <v>1XGmjpfbvtIlyQBYohLDveaEVx7TvObFt7azJEAZ4xeY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IFERROR(__xludf.DUMMYFUNCTION("""COMPUTED_VALUE"""),"1-2xY0fXXVAdYd83_H2gR2hp5Tu1HolzX10s2-dFdvFA")</f>
        <v>1-2xY0fXXVAdYd83_H2gR2hp5Tu1HolzX10s2-dFdvFA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IFERROR(__xludf.DUMMYFUNCTION("""COMPUTED_VALUE"""),"1w8VqFLngDaMwvKdxQ8ZQi2XbmqU2g_RJIerwor7XCRs")</f>
        <v>1w8VqFLngDaMwvKdxQ8ZQi2XbmqU2g_RJIerwor7XCRs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IFERROR(__xludf.DUMMYFUNCTION("""COMPUTED_VALUE"""),"1LSyzer9Hqmf3PYbNIKHxHr-XoJNCaJ7mwiEasHGzE2Y")</f>
        <v>1LSyzer9Hqmf3PYbNIKHxHr-XoJNCaJ7mwiEasHGzE2Y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IFERROR(__xludf.DUMMYFUNCTION("""COMPUTED_VALUE"""),"1AXk7MqXtefLd-_TA4Haaup6sbjrz4Hof3xY30gxr-aQ")</f>
        <v>1AXk7MqXtefLd-_TA4Haaup6sbjrz4Hof3xY30gxr-aQ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IFERROR(__xludf.DUMMYFUNCTION("""COMPUTED_VALUE"""),"1DsXZtIVe8QPH2PNtUCnKQjKSBU1s_Ayixo-1WyyUJVw")</f>
        <v>1DsXZtIVe8QPH2PNtUCnKQjKSBU1s_Ayixo-1WyyUJVw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IFERROR(__xludf.DUMMYFUNCTION("""COMPUTED_VALUE"""),"1xizDm4R9uOSlwqCD52u6Q6gnT8H6K1SQjLPr9MqaeIM")</f>
        <v>1xizDm4R9uOSlwqCD52u6Q6gnT8H6K1SQjLPr9MqaeIM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IFERROR(__xludf.DUMMYFUNCTION("""COMPUTED_VALUE"""),"16eYSzSP6jOZGiJ30haDKPeKrzsi8YWCvBcxDIilenm8")</f>
        <v>16eYSzSP6jOZGiJ30haDKPeKrzsi8YWCvBcxDIilenm8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IFERROR(__xludf.DUMMYFUNCTION("""COMPUTED_VALUE"""),"1PxUFKyo9ABORC7BnPkuaxr_N_EpV2iLmHyd8Q0YTerQ")</f>
        <v>1PxUFKyo9ABORC7BnPkuaxr_N_EpV2iLmHyd8Q0YTerQ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IFERROR(__xludf.DUMMYFUNCTION("""COMPUTED_VALUE"""),"1o8ktFCy3j-cFVym7BJh49ou6ez4GGotgoMS9Ryocn3c")</f>
        <v>1o8ktFCy3j-cFVym7BJh49ou6ez4GGotgoMS9Ryocn3c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IFERROR(__xludf.DUMMYFUNCTION("""COMPUTED_VALUE"""),"Expnl")</f>
        <v>Expnl</v>
      </c>
      <c r="B316" t="str">
        <f>IFERROR(__xludf.DUMMYFUNCTION("""COMPUTED_VALUE"""),"UpdateExpnlConfig")</f>
        <v>UpdateExpnlConfig</v>
      </c>
      <c r="C316" t="str">
        <f>IFERROR(__xludf.DUMMYFUNCTION("""COMPUTED_VALUE"""),"17QWuPaHuA6oMw-lFPRruEMsPxYbrt2LfVUZPuBJqhag")</f>
        <v>17QWuPaHuA6oMw-lFPRruEMsPxYbrt2LfVUZPuBJqhag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IFERROR(__xludf.DUMMYFUNCTION("""COMPUTED_VALUE"""),"PranaClient")</f>
        <v>PranaClient</v>
      </c>
      <c r="B317" t="str">
        <f>IFERROR(__xludf.DUMMYFUNCTION("""COMPUTED_VALUE"""),"UpdateClientConfig")</f>
        <v>UpdateClientConfig</v>
      </c>
      <c r="C317" t="str">
        <f>IFERROR(__xludf.DUMMYFUNCTION("""COMPUTED_VALUE"""),"1C7P9sWGCWoLLaH7g2AJ8liRBIrQ8wN4NNfoN8XTxFwo")</f>
        <v>1C7P9sWGCWoLLaH7g2AJ8liRBIrQ8wN4NNfoN8XTxFwo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IFERROR(__xludf.DUMMYFUNCTION("""COMPUTED_VALUE"""),"Admin")</f>
        <v>Admin</v>
      </c>
      <c r="B318" t="str">
        <f>IFERROR(__xludf.DUMMYFUNCTION("""COMPUTED_VALUE"""),"SetRollover")</f>
        <v>SetRollover</v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IFERROR(__xludf.DUMMYFUNCTION("""COMPUTED_VALUE"""),"ViewAllocationDetailsWorkingSubs")</f>
        <v>ViewAllocationDetailsWorkingSubs</v>
      </c>
      <c r="I4" s="24" t="str">
        <f>IFERROR(__xludf.DUMMYFUNCTION("""COMPUTED_VALUE"""),"ShowDetailsForAlgoTradeSubOrder")</f>
        <v>ShowDetailsForAlgoTradeSubOrder</v>
      </c>
      <c r="J4" s="24" t="str">
        <f>IFERROR(__xludf.DUMMYFUNCTION("""COMPUTED_VALUE"""),"SelectTradeOrderBlotter")</f>
        <v>SelectTradeOrderBlotter</v>
      </c>
      <c r="K4" s="24" t="str">
        <f>IFERROR(__xludf.DUMMYFUNCTION("""COMPUTED_VALUE"""),"AddFillsWorkingSubs")</f>
        <v>AddFillsWorkingSubs</v>
      </c>
      <c r="L4" s="24" t="str">
        <f>IFERROR(__xludf.DUMMYFUNCTION("""COMPUTED_VALUE"""),"ShowDetailsForAlgoTradeWorkingSubs")</f>
        <v>ShowDetailsForAlgoTradeWorkingSubs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IFERROR(__xludf.DUMMYFUNCTION("""COMPUTED_VALUE"""),"SelectTradeOnOrderGrid")</f>
        <v>SelectTradeOnOrderGrid</v>
      </c>
      <c r="O4" s="24" t="str">
        <f>IFERROR(__xludf.DUMMYFUNCTION("""COMPUTED_VALUE"""),"ViewAllocationDetailsWorkingSub")</f>
        <v>ViewAllocationDetailsWorkingSub</v>
      </c>
      <c r="P4" s="25" t="str">
        <f>IFERROR(__xludf.DUMMYFUNCTION("""COMPUTED_VALUE"""),"VerifyWorkingSubs")</f>
        <v>VerifyWorkingSubs</v>
      </c>
      <c r="Q4" s="25" t="str">
        <f>IFERROR(__xludf.DUMMYFUNCTION("""COMPUTED_VALUE"""),"TransferToUserOrder")</f>
        <v>TransferToUserOrder</v>
      </c>
      <c r="R4" s="25" t="str">
        <f>IFERROR(__xludf.DUMMYFUNCTION("""COMPUTED_VALUE"""),"TransferToUserOrder")</f>
        <v>TransferToUserOrder</v>
      </c>
      <c r="S4" s="25" t="str">
        <f>IFERROR(__xludf.DUMMYFUNCTION("""COMPUTED_VALUE"""),"TransferToUserOrder")</f>
        <v>TransferToUserOrder</v>
      </c>
      <c r="T4" s="25" t="str">
        <f>IFERROR(__xludf.DUMMYFUNCTION("""COMPUTED_VALUE"""),"SelectTradeSubOrderBlotter")</f>
        <v>SelectTradeSubOrderBlotter</v>
      </c>
      <c r="U4" s="25" t="str">
        <f>IFERROR(__xludf.DUMMYFUNCTION("""COMPUTED_VALUE"""),"VerifyOrder")</f>
        <v>VerifyOrder</v>
      </c>
      <c r="V4" s="25" t="str">
        <f>IFERROR(__xludf.DUMMYFUNCTION("""COMPUTED_VALUE"""),"VerifySubOrder")</f>
        <v>VerifySubOrder</v>
      </c>
      <c r="W4" s="25" t="str">
        <f>IFERROR(__xludf.DUMMYFUNCTION("""COMPUTED_VALUE"""),"RemoveSelectedOrders")</f>
        <v>RemoveSelectedOrders</v>
      </c>
      <c r="X4" s="25" t="str">
        <f>IFERROR(__xludf.DUMMYFUNCTION("""COMPUTED_VALUE"""),"CancelAllSelectedSubs")</f>
        <v>CancelAllSelectedSubs</v>
      </c>
      <c r="Y4" s="25" t="str">
        <f>IFERROR(__xludf.DUMMYFUNCTION("""COMPUTED_VALUE"""),"MultiTradingTicket")</f>
        <v>MultiTradingTicket</v>
      </c>
      <c r="Z4" s="25" t="str">
        <f>IFERROR(__xludf.DUMMYFUNCTION("""COMPUTED_VALUE"""),"AuditTrailOrderBlotter")</f>
        <v>AuditTrailOrderBlotter</v>
      </c>
      <c r="AA4" s="25" t="str">
        <f>IFERROR(__xludf.DUMMYFUNCTION("""COMPUTED_VALUE"""),"TradeNewSubOrder")</f>
        <v>TradeNewSubOrder</v>
      </c>
      <c r="AB4" s="25" t="str">
        <f>IFERROR(__xludf.DUMMYFUNCTION("""COMPUTED_VALUE"""),"RemoveStageOrder")</f>
        <v>RemoveStageOrder</v>
      </c>
      <c r="AC4" s="25" t="str">
        <f>IFERROR(__xludf.DUMMYFUNCTION("""COMPUTED_VALUE"""),"SelectTradeSubOrderBlotter")</f>
        <v>SelectTradeSubOrderBlotter</v>
      </c>
      <c r="AD4" s="25" t="str">
        <f>IFERROR(__xludf.DUMMYFUNCTION("""COMPUTED_VALUE"""),"SelectTradeSubOrderBlotter")</f>
        <v>SelectTradeSubOrderBlotter</v>
      </c>
      <c r="AE4" s="25" t="str">
        <f>IFERROR(__xludf.DUMMYFUNCTION("""COMPUTED_VALUE"""),"TransferToUserSubOrder")</f>
        <v>TransferToUserSubOrder</v>
      </c>
      <c r="AF4" s="25" t="str">
        <f>IFERROR(__xludf.DUMMYFUNCTION("""COMPUTED_VALUE"""),"AddFillsSubOrder")</f>
        <v>AddFillsSubOrder</v>
      </c>
      <c r="AG4" s="25" t="str">
        <f>IFERROR(__xludf.DUMMYFUNCTION("""COMPUTED_VALUE"""),"DetailsForAlgoTradeOrder")</f>
        <v>DetailsForAlgoTradeOrder</v>
      </c>
      <c r="AH4" s="25" t="str">
        <f>IFERROR(__xludf.DUMMYFUNCTION("""COMPUTED_VALUE"""),"ViewAllocationDetailsSubOrder")</f>
        <v>ViewAllocationDetailsSubOrder</v>
      </c>
      <c r="AI4" s="25" t="str">
        <f>IFERROR(__xludf.DUMMYFUNCTION("""COMPUTED_VALUE"""),"EditAddFillsDetails")</f>
        <v>EditAddFillsDetails</v>
      </c>
      <c r="AJ4" s="25" t="str">
        <f>IFERROR(__xludf.DUMMYFUNCTION("""COMPUTED_VALUE"""),"ViewAllocationDetailsSubOrder")</f>
        <v>ViewAllocationDetailsSubOrder</v>
      </c>
      <c r="AK4" s="25" t="str">
        <f>IFERROR(__xludf.DUMMYFUNCTION("""COMPUTED_VALUE"""),"AddFillsSubOrder")</f>
        <v>AddFillsSubOrder</v>
      </c>
      <c r="AL4" s="25" t="str">
        <f>IFERROR(__xludf.DUMMYFUNCTION("""COMPUTED_VALUE"""),"CancelAllSubs")</f>
        <v>CancelAllSubs</v>
      </c>
      <c r="AM4" s="25" t="str">
        <f>IFERROR(__xludf.DUMMYFUNCTION("""COMPUTED_VALUE"""),"CancelSubOrder")</f>
        <v>CancelSubOrder</v>
      </c>
      <c r="AN4" s="25" t="str">
        <f>IFERROR(__xludf.DUMMYFUNCTION("""COMPUTED_VALUE"""),"EditStageOrder")</f>
        <v>EditStageOrder</v>
      </c>
      <c r="AO4" s="25" t="str">
        <f>IFERROR(__xludf.DUMMYFUNCTION("""COMPUTED_VALUE"""),"ReplaceSubOrder")</f>
        <v>ReplaceSubOrder</v>
      </c>
      <c r="AP4" s="25" t="str">
        <f>IFERROR(__xludf.DUMMYFUNCTION("""COMPUTED_VALUE"""),"SelectTradeWorkingSub")</f>
        <v>SelectTradeWorkingSub</v>
      </c>
      <c r="AQ4" s="25" t="str">
        <f>IFERROR(__xludf.DUMMYFUNCTION("""COMPUTED_VALUE"""),"SelectTradeWorkingSubsBlotter")</f>
        <v>SelectTradeWorkingSubsBlotter</v>
      </c>
      <c r="AR4" s="25" t="str">
        <f>IFERROR(__xludf.DUMMYFUNCTION("""COMPUTED_VALUE"""),"VerifyAlgoDetails")</f>
        <v>VerifyAlgoDetails</v>
      </c>
      <c r="AS4" s="25" t="str">
        <f>IFERROR(__xludf.DUMMYFUNCTION("""COMPUTED_VALUE"""),"VerifyTransferToUserOrder")</f>
        <v>VerifyTransferToUserOrder</v>
      </c>
      <c r="AT4" s="25" t="str">
        <f>IFERROR(__xludf.DUMMYFUNCTION("""COMPUTED_VALUE"""),"VerifyTransferToUserSubOdr")</f>
        <v>VerifyTransferToUserSubOdr</v>
      </c>
      <c r="AU4" s="25" t="str">
        <f>IFERROR(__xludf.DUMMYFUNCTION("""COMPUTED_VALUE"""),"VerifyTransferToUserWorkSub")</f>
        <v>VerifyTransferToUserWorkSub</v>
      </c>
      <c r="AV4" s="25" t="str">
        <f>IFERROR(__xludf.DUMMYFUNCTION("""COMPUTED_VALUE"""),"SaveLayoutOrderGrid")</f>
        <v>SaveLayoutOrderGrid</v>
      </c>
      <c r="AW4" s="25" t="str">
        <f>IFERROR(__xludf.DUMMYFUNCTION("""COMPUTED_VALUE"""),"SaveLayoutOrderGrid")</f>
        <v>SaveLayoutOrderGrid</v>
      </c>
      <c r="AX4" s="25" t="str">
        <f>IFERROR(__xludf.DUMMYFUNCTION("""COMPUTED_VALUE"""),"ReplaceStageOrder")</f>
        <v>ReplaceStageOrder</v>
      </c>
      <c r="AY4" s="25" t="str">
        <f>IFERROR(__xludf.DUMMYFUNCTION("""COMPUTED_VALUE"""),"MultiTradingTicketFromBlotter")</f>
        <v>MultiTradingTicketFromBlotter</v>
      </c>
      <c r="AZ4" s="25" t="str">
        <f>IFERROR(__xludf.DUMMYFUNCTION("""COMPUTED_VALUE"""),"TransferToUserSubOrder")</f>
        <v>TransferToUserSubOrder</v>
      </c>
      <c r="BA4" s="25" t="str">
        <f>IFERROR(__xludf.DUMMYFUNCTION("""COMPUTED_VALUE"""),"DeleteFixedPreference")</f>
        <v>DeleteFixedPreference</v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IFERROR(__xludf.DUMMYFUNCTION("""COMPUTED_VALUE"""),"TradeID")</f>
        <v>TradeID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Qty")</f>
        <v>Executed Qty</v>
      </c>
      <c r="G5" s="27" t="str">
        <f>IFERROR(__xludf.DUMMYFUNCTION("""COMPUTED_VALUE"""),"Unexecuted Qty")</f>
        <v>Unexecuted Qty</v>
      </c>
      <c r="H5" s="27" t="str">
        <f>IFERROR(__xludf.DUMMYFUNCTION("""COMPUTED_VALUE"""),"Status")</f>
        <v>Status</v>
      </c>
      <c r="I5" s="27" t="str">
        <f>IFERROR(__xludf.DUMMYFUNCTION("""COMPUTED_VALUE"""),"Last Shares")</f>
        <v>Last Shares</v>
      </c>
      <c r="J5" s="27" t="str">
        <f>IFERROR(__xludf.DUMMYFUNCTION("""COMPUTED_VALUE"""),"Last Fill Price (Local)")</f>
        <v>Last Fill Price (Local)</v>
      </c>
      <c r="K5" s="27" t="str">
        <f>IFERROR(__xludf.DUMMYFUNCTION("""COMPUTED_VALUE"""),"Avg Fill Price (Local)")</f>
        <v>Avg Fill Price (Local)</v>
      </c>
      <c r="L5" s="27" t="str">
        <f>IFERROR(__xludf.DUMMYFUNCTION("""COMPUTED_VALUE"""),"Broker")</f>
        <v>Broker</v>
      </c>
      <c r="M5" s="27" t="str">
        <f>IFERROR(__xludf.DUMMYFUNCTION("""COMPUTED_VALUE"""),"Account")</f>
        <v>Account</v>
      </c>
      <c r="N5" s="27" t="str">
        <f>IFERROR(__xludf.DUMMYFUNCTION("""COMPUTED_VALUE"""),"Order Type")</f>
        <v>Order Type</v>
      </c>
      <c r="O5" s="27" t="str">
        <f>IFERROR(__xludf.DUMMYFUNCTION("""COMPUTED_VALUE"""),"OrderStatus")</f>
        <v>OrderStatus</v>
      </c>
      <c r="P5" s="27" t="str">
        <f>IFERROR(__xludf.DUMMYFUNCTION("""COMPUTED_VALUE"""),"Avg Fill Price (Base)")</f>
        <v>Avg Fill Price (Base)</v>
      </c>
      <c r="Q5" s="27" t="str">
        <f>IFERROR(__xludf.DUMMYFUNCTION("""COMPUTED_VALUE"""),"Limit Price")</f>
        <v>Limit Price</v>
      </c>
      <c r="R5" s="27" t="str">
        <f>IFERROR(__xludf.DUMMYFUNCTION("""COMPUTED_VALUE"""),"Stop Price")</f>
        <v>Stop Price</v>
      </c>
      <c r="S5" s="27" t="str">
        <f>IFERROR(__xludf.DUMMYFUNCTION("""COMPUTED_VALUE"""),"User")</f>
        <v>User</v>
      </c>
      <c r="T5" s="29" t="str">
        <f>IFERROR(__xludf.DUMMYFUNCTION("""COMPUTED_VALUE"""),"Bloomberg Symbol")</f>
        <v>Bloomberg Symbol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 t="s">
        <v>17</v>
      </c>
      <c r="E6" s="32">
        <v>200.0</v>
      </c>
      <c r="F6" s="33"/>
      <c r="G6" s="33"/>
      <c r="H6" s="33"/>
      <c r="I6" s="34"/>
      <c r="J6" s="34"/>
      <c r="K6" s="34"/>
      <c r="L6" s="34"/>
      <c r="M6" s="33"/>
      <c r="N6" s="33"/>
      <c r="O6" s="34"/>
      <c r="P6" s="34"/>
      <c r="Q6" s="34"/>
      <c r="R6" s="34"/>
      <c r="S6" s="34"/>
      <c r="T6" s="35" t="s">
        <v>18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IFERROR(__xludf.DUMMYFUNCTION("""COMPUTED_VALUE"""),"CreateDoneAwayOrder")</f>
        <v>CreateDoneAwayOrder</v>
      </c>
      <c r="N4" s="24" t="str">
        <f>IFERROR(__xludf.DUMMYFUNCTION("""COMPUTED_VALUE"""),"CreateNewSubOrder")</f>
        <v>CreateNewSubOrder</v>
      </c>
      <c r="O4" s="24" t="str">
        <f>IFERROR(__xludf.DUMMYFUNCTION("""COMPUTED_VALUE"""),"TradeBloomberg")</f>
        <v>TradeBloomberg</v>
      </c>
      <c r="P4" s="25" t="str">
        <f>IFERROR(__xludf.DUMMYFUNCTION("""COMPUTED_VALUE"""),"ClickSymbolLookup")</f>
        <v>ClickSymbolLookup</v>
      </c>
      <c r="Q4" s="25" t="str">
        <f>IFERROR(__xludf.DUMMYFUNCTION("""COMPUTED_VALUE"""),"CheckedUncheckedMTT")</f>
        <v>CheckedUncheckedMTT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 t="s">
        <v>18</v>
      </c>
      <c r="C6" s="36" t="s">
        <v>17</v>
      </c>
      <c r="D6" s="37">
        <v>200.0</v>
      </c>
      <c r="E6" s="34"/>
      <c r="F6" s="36" t="s">
        <v>21</v>
      </c>
      <c r="G6" s="34"/>
      <c r="H6" s="34"/>
      <c r="I6" s="36" t="s">
        <v>22</v>
      </c>
      <c r="J6" s="32">
        <v>20.0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IFERROR(__xludf.DUMMYFUNCTION("""COMPUTED_VALUE"""),"Unallocate")</f>
        <v>Unallocate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IFERROR(__xludf.DUMMYFUNCTION("""COMPUTED_VALUE"""),"SelectTradeAllocation")</f>
        <v>SelectTradeAllocation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IFERROR(__xludf.DUMMYFUNCTION("""COMPUTED_VALUE"""),"CleanUp")</f>
        <v>CleanUp</v>
      </c>
      <c r="J4" s="24" t="str">
        <f>IFERROR(__xludf.DUMMYFUNCTION("""COMPUTED_VALUE"""),"EditTrades")</f>
        <v>EditTrades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IFERROR(__xludf.DUMMYFUNCTION("""COMPUTED_VALUE"""),"CommissionBulkChange")</f>
        <v>CommissionBulkChange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IFERROR(__xludf.DUMMYFUNCTION("""COMPUTED_VALUE"""),"AttributeRenaming")</f>
        <v>AttributeRenaming</v>
      </c>
      <c r="O4" s="24" t="str">
        <f>IFERROR(__xludf.DUMMYFUNCTION("""COMPUTED_VALUE"""),"AutoGroupingRules")</f>
        <v>AutoGroupingRules</v>
      </c>
      <c r="P4" s="25" t="str">
        <f>IFERROR(__xludf.DUMMYFUNCTION("""COMPUTED_VALUE"""),"MasterFundRatioAllocation")</f>
        <v>MasterFundRatioAllocation</v>
      </c>
      <c r="Q4" s="25" t="str">
        <f>IFERROR(__xludf.DUMMYFUNCTION("""COMPUTED_VALUE"""),"CheckFixedPreferenceScheme")</f>
        <v>CheckFixedPreferenceScheme</v>
      </c>
      <c r="R4" s="25" t="str">
        <f>IFERROR(__xludf.DUMMYFUNCTION("""COMPUTED_VALUE"""),"GetFixedScheme")</f>
        <v>GetFixedScheme</v>
      </c>
      <c r="S4" s="25" t="str">
        <f>IFERROR(__xludf.DUMMYFUNCTION("""COMPUTED_VALUE"""),"AddCalculatedPreferences")</f>
        <v>AddCalculatedPreferences</v>
      </c>
      <c r="T4" s="25" t="str">
        <f>IFERROR(__xludf.DUMMYFUNCTION("""COMPUTED_VALUE"""),"BulkChangeCalculatedPreferences")</f>
        <v>BulkChangeCalculatedPreferences</v>
      </c>
      <c r="U4" s="25" t="str">
        <f>IFERROR(__xludf.DUMMYFUNCTION("""COMPUTED_VALUE"""),"DeleteCalculatedPreferences")</f>
        <v>DeleteCalculatedPreferences</v>
      </c>
      <c r="V4" s="25" t="str">
        <f>IFERROR(__xludf.DUMMYFUNCTION("""COMPUTED_VALUE"""),"RenameCalculatedPreferences")</f>
        <v>RenameCalculatedPreferences</v>
      </c>
      <c r="W4" s="25" t="str">
        <f>IFERROR(__xludf.DUMMYFUNCTION("""COMPUTED_VALUE"""),"CopyCalculatedPreferences")</f>
        <v>CopyCalculatedPreferences</v>
      </c>
      <c r="X4" s="25" t="str">
        <f>IFERROR(__xludf.DUMMYFUNCTION("""COMPUTED_VALUE"""),"RunAutoGroup")</f>
        <v>RunAutoGroup</v>
      </c>
      <c r="Y4" s="25" t="str">
        <f>IFERROR(__xludf.DUMMYFUNCTION("""COMPUTED_VALUE"""),"SwapControl")</f>
        <v>SwapControl</v>
      </c>
      <c r="Z4" s="25" t="str">
        <f>IFERROR(__xludf.DUMMYFUNCTION("""COMPUTED_VALUE"""),"RunProrata")</f>
        <v>RunProrata</v>
      </c>
      <c r="AA4" s="25" t="str">
        <f>IFERROR(__xludf.DUMMYFUNCTION("""COMPUTED_VALUE"""),"SetDefaultRuleForCalculatedPreference")</f>
        <v>SetDefaultRuleForCalculatedPreference</v>
      </c>
      <c r="AB4" s="25" t="str">
        <f>IFERROR(__xludf.DUMMYFUNCTION("""COMPUTED_VALUE"""),"RenameTradeAttributes")</f>
        <v>RenameTradeAttributes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IFERROR(__xludf.DUMMYFUNCTION("""COMPUTED_VALUE"""),"TradeAttributeBulkChange")</f>
        <v>TradeAttributeBulkChange</v>
      </c>
      <c r="AE4" s="25" t="str">
        <f>IFERROR(__xludf.DUMMYFUNCTION("""COMPUTED_VALUE"""),"TradeAttributeBulkChangeGroup")</f>
        <v>TradeAttributeBulkChangeGroup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IFERROR(__xludf.DUMMYFUNCTION("""COMPUTED_VALUE"""),"TradeAttributeBulkChangeGroups")</f>
        <v>TradeAttributeBulkChangeGroups</v>
      </c>
      <c r="AH4" s="25" t="str">
        <f>IFERROR(__xludf.DUMMYFUNCTION("""COMPUTED_VALUE"""),"SetMasterFundRatio")</f>
        <v>SetMasterFundRatio</v>
      </c>
      <c r="AI4" s="25" t="str">
        <f>IFERROR(__xludf.DUMMYFUNCTION("""COMPUTED_VALUE"""),"AddCalculatedPreferenceToolbar")</f>
        <v>AddCalculatedPreferenceToolbar</v>
      </c>
      <c r="AJ4" s="25" t="str">
        <f>IFERROR(__xludf.DUMMYFUNCTION("""COMPUTED_VALUE"""),"SetGroupingRules")</f>
        <v>SetGroupingRules</v>
      </c>
      <c r="AK4" s="25" t="str">
        <f>IFERROR(__xludf.DUMMYFUNCTION("""COMPUTED_VALUE"""),"ApplyBulkUpdateOnGroups")</f>
        <v>ApplyBulkUpdateOnGroups</v>
      </c>
      <c r="AL4" s="25" t="str">
        <f>IFERROR(__xludf.DUMMYFUNCTION("""COMPUTED_VALUE"""),"SetStrategyValueCalculatedPref")</f>
        <v>SetStrategyValueCalculatedPref</v>
      </c>
      <c r="AM4" s="25" t="str">
        <f>IFERROR(__xludf.DUMMYFUNCTION("""COMPUTED_VALUE"""),"ApplyBulkUpdateOnTaxlots")</f>
        <v>ApplyBulkUpdateOnTaxlots</v>
      </c>
      <c r="AN4" s="25" t="str">
        <f>IFERROR(__xludf.DUMMYFUNCTION("""COMPUTED_VALUE"""),"SetDefaultRuleCalculatedPref")</f>
        <v>SetDefaultRuleCalculatedPref</v>
      </c>
      <c r="AO4" s="25" t="str">
        <f>IFERROR(__xludf.DUMMYFUNCTION("""COMPUTED_VALUE"""),"CommissionBulkChangeOnGroups")</f>
        <v>CommissionBulkChangeOnGroups</v>
      </c>
      <c r="AP4" s="25" t="str">
        <f>IFERROR(__xludf.DUMMYFUNCTION("""COMPUTED_VALUE"""),"CommissionBulkChangeOnTaxlots")</f>
        <v>CommissionBulkChangeOnTaxlots</v>
      </c>
      <c r="AQ4" s="25" t="str">
        <f>IFERROR(__xludf.DUMMYFUNCTION("""COMPUTED_VALUE"""),"BookOrUpdateSwap")</f>
        <v>BookOrUpdateSwap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IFERROR(__xludf.DUMMYFUNCTION("""COMPUTED_VALUE"""),"SelectAllocatedGroup")</f>
        <v>SelectAllocatedGroup</v>
      </c>
      <c r="AT4" s="25" t="str">
        <f>IFERROR(__xludf.DUMMYFUNCTION("""COMPUTED_VALUE"""),"EnterAccountValuesToAllocate")</f>
        <v>EnterAccountValuesToAllocate</v>
      </c>
      <c r="AU4" s="25" t="str">
        <f>IFERROR(__xludf.DUMMYFUNCTION("""COMPUTED_VALUE"""),"ApplyPrefetchFilters")</f>
        <v>ApplyPrefetchFilters</v>
      </c>
      <c r="AV4" s="25" t="str">
        <f>IFERROR(__xludf.DUMMYFUNCTION("""COMPUTED_VALUE"""),"EnterStrategyValuesToAllocate")</f>
        <v>EnterStrategyValuesToAllocate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IFERROR(__xludf.DUMMYFUNCTION("""COMPUTED_VALUE"""),"CopyCalculatedPreferenceToolbar")</f>
        <v>CopyCalculatedPreferenceToolbar</v>
      </c>
      <c r="AY4" s="25" t="str">
        <f>IFERROR(__xludf.DUMMYFUNCTION("""COMPUTED_VALUE"""),"EnterAllocatePreference")</f>
        <v>EnterAllocatePreference</v>
      </c>
      <c r="AZ4" s="25" t="str">
        <f>IFERROR(__xludf.DUMMYFUNCTION("""COMPUTED_VALUE"""),"ExportAllCalculatedPreferences")</f>
        <v>ExportAllCalculatedPreferences</v>
      </c>
      <c r="BA4" s="25" t="str">
        <f>IFERROR(__xludf.DUMMYFUNCTION("""COMPUTED_VALUE"""),"SaveCalculatedPreferences")</f>
        <v>SaveCalculatedPreferences</v>
      </c>
      <c r="BB4" s="25" t="str">
        <f>IFERROR(__xludf.DUMMYFUNCTION("""COMPUTED_VALUE"""),"CloseCalculatedPreferences")</f>
        <v>CloseCalculatedPreferences</v>
      </c>
      <c r="BC4" s="25" t="str">
        <f>IFERROR(__xludf.DUMMYFUNCTION("""COMPUTED_VALUE"""),"ExportCalculatedPreference")</f>
        <v>ExportCalculatedPreference</v>
      </c>
      <c r="BD4" s="25" t="str">
        <f>IFERROR(__xludf.DUMMYFUNCTION("""COMPUTED_VALUE"""),"EditUnallocatedGroupSidePanel")</f>
        <v>EditUnallocatedGroupSidePanel</v>
      </c>
      <c r="BE4" s="25" t="str">
        <f>IFERROR(__xludf.DUMMYFUNCTION("""COMPUTED_VALUE"""),"ImportCalculatedPreferences")</f>
        <v>ImportCalculatedPreferences</v>
      </c>
      <c r="BF4" s="25" t="str">
        <f>IFERROR(__xludf.DUMMYFUNCTION("""COMPUTED_VALUE"""),"OpenAuditTrailUnallocatedGroup")</f>
        <v>OpenAuditTrailUnallocatedGroup</v>
      </c>
      <c r="BG4" s="25" t="str">
        <f>IFERROR(__xludf.DUMMYFUNCTION("""COMPUTED_VALUE"""),"DeleteCalculatedPreferencesTool")</f>
        <v>DeleteCalculatedPreferencesTool</v>
      </c>
      <c r="BH4" s="25" t="str">
        <f>IFERROR(__xludf.DUMMYFUNCTION("""COMPUTED_VALUE"""),"ImportCalculatedPreferencesTool")</f>
        <v>ImportCalculatedPreferencesTool</v>
      </c>
      <c r="BI4" s="25" t="str">
        <f>IFERROR(__xludf.DUMMYFUNCTION("""COMPUTED_VALUE"""),"ExportAllCalculatedPreferTool")</f>
        <v>ExportAllCalculatedPreferTool</v>
      </c>
      <c r="BJ4" s="25" t="str">
        <f>IFERROR(__xludf.DUMMYFUNCTION("""COMPUTED_VALUE"""),"CheckFixedPreference")</f>
        <v>CheckFixedPreference</v>
      </c>
      <c r="BK4" s="25" t="str">
        <f>IFERROR(__xludf.DUMMYFUNCTION("""COMPUTED_VALUE"""),"DeleteFixedPreference")</f>
        <v>DeleteFixedPreference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IFERROR(__xludf.DUMMYFUNCTION("""COMPUTED_VALUE"""),"OpenSymbolLookupAllocatedGroup")</f>
        <v>OpenSymbolLookupAllocatedGroup</v>
      </c>
      <c r="BN4" s="25" t="str">
        <f>IFERROR(__xludf.DUMMYFUNCTION("""COMPUTED_VALUE"""),"GetFixedPreference")</f>
        <v>GetFixedPreference</v>
      </c>
      <c r="BO4" s="25" t="str">
        <f>IFERROR(__xludf.DUMMYFUNCTION("""COMPUTED_VALUE"""),"CheckAllocatedGroups")</f>
        <v>CheckAllocatedGroups</v>
      </c>
      <c r="BP4" s="25" t="str">
        <f>IFERROR(__xludf.DUMMYFUNCTION("""COMPUTED_VALUE"""),"CheckUnallocatedGroups")</f>
        <v>CheckUnallocatedGroups</v>
      </c>
      <c r="BQ4" s="25" t="str">
        <f>IFERROR(__xludf.DUMMYFUNCTION("""COMPUTED_VALUE"""),"SetGeneralPreferences")</f>
        <v>SetGeneralPreferences</v>
      </c>
      <c r="BR4" s="25" t="str">
        <f>IFERROR(__xludf.DUMMYFUNCTION("""COMPUTED_VALUE"""),"EditAllocatedGroupSidePanel")</f>
        <v>EditAllocatedGroupSidePanel</v>
      </c>
      <c r="BS4" s="25" t="str">
        <f>IFERROR(__xludf.DUMMYFUNCTION("""COMPUTED_VALUE"""),"OpenAuditTrailAllocatedGroup")</f>
        <v>OpenAuditTrailAllocatedGroup</v>
      </c>
      <c r="BT4" s="25" t="str">
        <f>IFERROR(__xludf.DUMMYFUNCTION("""COMPUTED_VALUE"""),"GroupTrades")</f>
        <v>GroupTrades</v>
      </c>
      <c r="BU4" s="25" t="str">
        <f>IFERROR(__xludf.DUMMYFUNCTION("""COMPUTED_VALUE"""),"UngroupTrades")</f>
        <v>UngroupTrades</v>
      </c>
      <c r="BV4" s="25" t="str">
        <f>IFERROR(__xludf.DUMMYFUNCTION("""COMPUTED_VALUE"""),"DeleteGroup")</f>
        <v>DeleteGroup</v>
      </c>
      <c r="BW4" s="25" t="str">
        <f>IFERROR(__xludf.DUMMYFUNCTION("""COMPUTED_VALUE"""),"CloseOrder")</f>
        <v>CloseOrder</v>
      </c>
      <c r="BX4" s="25" t="str">
        <f>IFERROR(__xludf.DUMMYFUNCTION("""COMPUTED_VALUE"""),"Unallocate")</f>
        <v>Unallocate</v>
      </c>
      <c r="BY4" s="25" t="str">
        <f>IFERROR(__xludf.DUMMYFUNCTION("""COMPUTED_VALUE"""),"CloseAllocation")</f>
        <v>CloseAllocation</v>
      </c>
      <c r="BZ4" s="25" t="str">
        <f>IFERROR(__xludf.DUMMYFUNCTION("""COMPUTED_VALUE"""),"GeneralPrefCompanyUserWise")</f>
        <v>GeneralPrefCompanyUserWise</v>
      </c>
      <c r="CA4" s="25" t="str">
        <f>IFERROR(__xludf.DUMMYFUNCTION("""COMPUTED_VALUE"""),"SetGeneralRuleCalPreference")</f>
        <v>SetGeneralRuleCalPreference</v>
      </c>
      <c r="CB4" s="25" t="str">
        <f>IFERROR(__xludf.DUMMYFUNCTION("""COMPUTED_VALUE"""),"UpdateGRAccountValue")</f>
        <v>UpdateGRAccountValue</v>
      </c>
      <c r="CC4" s="25" t="str">
        <f>IFERROR(__xludf.DUMMYFUNCTION("""COMPUTED_VALUE"""),"UpdateGRStrategyValue")</f>
        <v>UpdateGRStrategyValue</v>
      </c>
      <c r="CD4" s="25" t="str">
        <f>IFERROR(__xludf.DUMMYFUNCTION("""COMPUTED_VALUE"""),"UpdateGRDefaultRule")</f>
        <v>UpdateGRDefaultRule</v>
      </c>
      <c r="CE4" s="25" t="str">
        <f>IFERROR(__xludf.DUMMYFUNCTION("""COMPUTED_VALUE"""),"UpdateGeneralRulePref")</f>
        <v>UpdateGeneralRulePref</v>
      </c>
      <c r="CF4" s="25" t="str">
        <f>IFERROR(__xludf.DUMMYFUNCTION("""COMPUTED_VALUE"""),"ModifyGRPreferenceValues")</f>
        <v>ModifyGRPreferenceValues</v>
      </c>
      <c r="CG4" s="25" t="str">
        <f>IFERROR(__xludf.DUMMYFUNCTION("""COMPUTED_VALUE"""),"AddMFPreferences")</f>
        <v>AddMFPreferences</v>
      </c>
      <c r="CH4" s="25" t="str">
        <f>IFERROR(__xludf.DUMMYFUNCTION("""COMPUTED_VALUE"""),"AddMFPreferenceToolbar")</f>
        <v>AddMFPreferenceToolbar</v>
      </c>
      <c r="CI4" s="25" t="str">
        <f>IFERROR(__xludf.DUMMYFUNCTION("""COMPUTED_VALUE"""),"DeleteMFPreferences")</f>
        <v>DeleteMFPreferences</v>
      </c>
      <c r="CJ4" s="25" t="str">
        <f>IFERROR(__xludf.DUMMYFUNCTION("""COMPUTED_VALUE"""),"DeleteMFPreferenceToolbar")</f>
        <v>DeleteMFPreferenceToolbar</v>
      </c>
      <c r="CK4" s="25" t="str">
        <f>IFERROR(__xludf.DUMMYFUNCTION("""COMPUTED_VALUE"""),"RenameMFPreferences")</f>
        <v>RenameMFPreferences</v>
      </c>
      <c r="CL4" s="25" t="str">
        <f>IFERROR(__xludf.DUMMYFUNCTION("""COMPUTED_VALUE"""),"SaveCloseMFPreference")</f>
        <v>SaveCloseMFPreference</v>
      </c>
      <c r="CM4" s="25" t="str">
        <f>IFERROR(__xludf.DUMMYFUNCTION("""COMPUTED_VALUE"""),"SetMFPrefAccountValues")</f>
        <v>SetMFPrefAccountValues</v>
      </c>
      <c r="CN4" s="25" t="str">
        <f>IFERROR(__xludf.DUMMYFUNCTION("""COMPUTED_VALUE"""),"ModifyMFPrefGeneralRuleValues")</f>
        <v>ModifyMFPrefGeneralRuleValues</v>
      </c>
      <c r="CO4" s="25" t="str">
        <f>IFERROR(__xludf.DUMMYFUNCTION("""COMPUTED_VALUE"""),"SetMFPrefStrategyValues")</f>
        <v>SetMFPrefStrategyValues</v>
      </c>
      <c r="CP4" s="25" t="str">
        <f>IFERROR(__xludf.DUMMYFUNCTION("""COMPUTED_VALUE"""),"SetMFPrefFundDistribution")</f>
        <v>SetMFPrefFundDistribution</v>
      </c>
      <c r="CQ4" s="25" t="str">
        <f>IFERROR(__xludf.DUMMYFUNCTION("""COMPUTED_VALUE"""),"SetMFPreferencesDefaultRule")</f>
        <v>SetMFPreferencesDefaultRule</v>
      </c>
      <c r="CR4" s="25" t="str">
        <f>IFERROR(__xludf.DUMMYFUNCTION("""COMPUTED_VALUE"""),"SetMFPrefGeneralRule")</f>
        <v>SetMFPrefGeneralRule</v>
      </c>
      <c r="CS4" s="25" t="str">
        <f>IFERROR(__xludf.DUMMYFUNCTION("""COMPUTED_VALUE"""),"SetMFPrefFundDefaultRule")</f>
        <v>SetMFPrefFundDefaultRule</v>
      </c>
      <c r="CT4" s="25" t="str">
        <f>IFERROR(__xludf.DUMMYFUNCTION("""COMPUTED_VALUE"""),"ClearPrefetchFilters")</f>
        <v>ClearPrefetchFilters</v>
      </c>
      <c r="CU4" s="25" t="str">
        <f>IFERROR(__xludf.DUMMYFUNCTION("""COMPUTED_VALUE"""),"ExpandCollapseAllUnallocated")</f>
        <v>ExpandCollapseAllUnallocated</v>
      </c>
      <c r="CV4" s="25" t="str">
        <f>IFERROR(__xludf.DUMMYFUNCTION("""COMPUTED_VALUE"""),"ExpandCollapseAllAllocated")</f>
        <v>ExpandCollapseAllAllocated</v>
      </c>
      <c r="CW4" s="25" t="str">
        <f>IFERROR(__xludf.DUMMYFUNCTION("""COMPUTED_VALUE"""),"GenerateCashTransaction")</f>
        <v>GenerateCashTransaction</v>
      </c>
      <c r="CX4" s="25" t="str">
        <f>IFERROR(__xludf.DUMMYFUNCTION("""COMPUTED_VALUE"""),"SaveAllocation")</f>
        <v>SaveAllocation</v>
      </c>
      <c r="CY4" s="25" t="str">
        <f>IFERROR(__xludf.DUMMYFUNCTION("""COMPUTED_VALUE"""),"UnallocateWithOutSave")</f>
        <v>UnallocateWithOutSave</v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 Base)")</f>
        <v>Avg Price( Base)</v>
      </c>
      <c r="K5" s="27" t="str">
        <f>IFERROR(__xludf.DUMMYFUNCTION("""COMPUTED_VALUE"""),"Avg Price(Local)")</f>
        <v>Avg Price(Local)</v>
      </c>
      <c r="L5" s="27" t="str">
        <f>IFERROR(__xludf.DUMMYFUNCTION("""COMPUTED_VALUE"""),"Avg Settl Curr FXRate")</f>
        <v>Avg Settl Curr FXRate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IFERROR(__xludf.DUMMYFUNCTION("""COMPUTED_VALUE"""),"Carry")</f>
        <v>Carry</v>
      </c>
      <c r="Q5" s="27" t="str">
        <f>IFERROR(__xludf.DUMMYFUNCTION("""COMPUTED_VALUE"""),"Change Comment")</f>
        <v>Change Comment</v>
      </c>
      <c r="R5" s="27" t="str">
        <f>IFERROR(__xludf.DUMMYFUNCTION("""COMPUTED_VALUE"""),"Change Type")</f>
        <v>Change Type</v>
      </c>
      <c r="S5" s="27" t="str">
        <f>IFERROR(__xludf.DUMMYFUNCTION("""COMPUTED_VALUE"""),"Clearing Broker Fee")</f>
        <v>Clearing Broker Fee</v>
      </c>
      <c r="T5" s="29" t="str">
        <f>IFERROR(__xludf.DUMMYFUNCTION("""COMPUTED_VALUE"""),"Closing Method")</f>
        <v>Closing Method</v>
      </c>
      <c r="U5" s="29" t="str">
        <f>IFERROR(__xludf.DUMMYFUNCTION("""COMPUTED_VALUE"""),"Closing Status")</f>
        <v>Closing Status</v>
      </c>
      <c r="V5" s="29" t="str">
        <f>IFERROR(__xludf.DUMMYFUNCTION("""COMPUTED_VALUE"""),"Commission")</f>
        <v>Commission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IFERROR(__xludf.DUMMYFUNCTION("""COMPUTED_VALUE"""),"Company")</f>
        <v>Company</v>
      </c>
      <c r="Y5" s="29" t="str">
        <f>IFERROR(__xludf.DUMMYFUNCTION("""COMPUTED_VALUE"""),"Contract Multiplier")</f>
        <v>Contract Multiplier</v>
      </c>
      <c r="Z5" s="29" t="str">
        <f>IFERROR(__xludf.DUMMYFUNCTION("""COMPUTED_VALUE"""),"Coupon Rate")</f>
        <v>Coupon Rate</v>
      </c>
      <c r="AA5" s="29" t="str">
        <f>IFERROR(__xludf.DUMMYFUNCTION("""COMPUTED_VALUE"""),"Cum Qty For Live Order")</f>
        <v>Cum Qty For Live Order</v>
      </c>
      <c r="AB5" s="29" t="str">
        <f>IFERROR(__xludf.DUMMYFUNCTION("""COMPUTED_VALUE"""),"Currency")</f>
        <v>Currency</v>
      </c>
      <c r="AC5" s="29" t="str">
        <f>IFERROR(__xludf.DUMMYFUNCTION("""COMPUTED_VALUE"""),"Cusip Symbol")</f>
        <v>Cusip Symbol</v>
      </c>
      <c r="AD5" s="29" t="str">
        <f>IFERROR(__xludf.DUMMYFUNCTION("""COMPUTED_VALUE"""),"Delta")</f>
        <v>Delta</v>
      </c>
      <c r="AE5" s="29" t="str">
        <f>IFERROR(__xludf.DUMMYFUNCTION("""COMPUTED_VALUE"""),"Description")</f>
        <v>Description</v>
      </c>
      <c r="AF5" s="29" t="str">
        <f>IFERROR(__xludf.DUMMYFUNCTION("""COMPUTED_VALUE"""),"Exchange")</f>
        <v>Exchange</v>
      </c>
      <c r="AG5" s="29" t="str">
        <f>IFERROR(__xludf.DUMMYFUNCTION("""COMPUTED_VALUE"""),"Executed Qty")</f>
        <v>Executed Qty</v>
      </c>
      <c r="AH5" s="29" t="str">
        <f>IFERROR(__xludf.DUMMYFUNCTION("""COMPUTED_VALUE"""),"Execution Time")</f>
        <v>Execution Time</v>
      </c>
      <c r="AI5" s="29" t="str">
        <f>IFERROR(__xludf.DUMMYFUNCTION("""COMPUTED_VALUE"""),"FX Conversion Operator")</f>
        <v>FX Conversion Operator</v>
      </c>
      <c r="AJ5" s="29" t="str">
        <f>IFERROR(__xludf.DUMMYFUNCTION("""COMPUTED_VALUE"""),"FX Rate")</f>
        <v>FX Rate</v>
      </c>
      <c r="AK5" s="29" t="str">
        <f>IFERROR(__xludf.DUMMYFUNCTION("""COMPUTED_VALUE"""),"Group Status")</f>
        <v>Group Status</v>
      </c>
      <c r="AL5" s="29" t="str">
        <f>IFERROR(__xludf.DUMMYFUNCTION("""COMPUTED_VALUE"""),"GroupID")</f>
        <v>GroupID</v>
      </c>
      <c r="AM5" s="29" t="str">
        <f>IFERROR(__xludf.DUMMYFUNCTION("""COMPUTED_VALUE"""),"IDCOSymbol")</f>
        <v>IDCOSymbol</v>
      </c>
      <c r="AN5" s="29" t="str">
        <f>IFERROR(__xludf.DUMMYFUNCTION("""COMPUTED_VALUE"""),"Import File Name")</f>
        <v>Import File Name</v>
      </c>
      <c r="AO5" s="29" t="str">
        <f>IFERROR(__xludf.DUMMYFUNCTION("""COMPUTED_VALUE"""),"Internal Comments")</f>
        <v>Internal Comments</v>
      </c>
      <c r="AP5" s="29" t="str">
        <f>IFERROR(__xludf.DUMMYFUNCTION("""COMPUTED_VALUE"""),"IsAnotherTaxlotAttributesUpdated")</f>
        <v>IsAnotherTaxlotAttributesUpdated</v>
      </c>
      <c r="AQ5" s="29" t="str">
        <f>IFERROR(__xludf.DUMMYFUNCTION("""COMPUTED_VALUE"""),"ISIN")</f>
        <v>ISIN</v>
      </c>
      <c r="AR5" s="29" t="str">
        <f>IFERROR(__xludf.DUMMYFUNCTION("""COMPUTED_VALUE"""),"IsManual Group")</f>
        <v>IsManual Group</v>
      </c>
      <c r="AS5" s="29" t="str">
        <f>IFERROR(__xludf.DUMMYFUNCTION("""COMPUTED_VALUE"""),"ISNDF")</f>
        <v>ISNDF</v>
      </c>
      <c r="AT5" s="29" t="str">
        <f>IFERROR(__xludf.DUMMYFUNCTION("""COMPUTED_VALUE"""),"IsPreAllocated")</f>
        <v>IsPreAllocated</v>
      </c>
      <c r="AU5" s="29" t="str">
        <f>IFERROR(__xludf.DUMMYFUNCTION("""COMPUTED_VALUE"""),"M2MProfitLoss")</f>
        <v>M2MProfitLoss</v>
      </c>
      <c r="AV5" s="29" t="str">
        <f>IFERROR(__xludf.DUMMYFUNCTION("""COMPUTED_VALUE"""),"Net Amount( Base)")</f>
        <v>Net Amount( Base)</v>
      </c>
      <c r="AW5" s="29" t="str">
        <f>IFERROR(__xludf.DUMMYFUNCTION("""COMPUTED_VALUE"""),"Net Amount( Local)")</f>
        <v>Net Amount( Local)</v>
      </c>
      <c r="AX5" s="29" t="str">
        <f>IFERROR(__xludf.DUMMYFUNCTION("""COMPUTED_VALUE"""),"Net Amount( Settlement)")</f>
        <v>Net Amount( Settlement)</v>
      </c>
      <c r="AY5" s="29" t="str">
        <f>IFERROR(__xludf.DUMMYFUNCTION("""COMPUTED_VALUE"""),"Nirvana Process Date")</f>
        <v>Nirvana Process Date</v>
      </c>
      <c r="AZ5" s="29" t="str">
        <f>IFERROR(__xludf.DUMMYFUNCTION("""COMPUTED_VALUE"""),"OCC Fee")</f>
        <v>OCC Fee</v>
      </c>
      <c r="BA5" s="29" t="str">
        <f>IFERROR(__xludf.DUMMYFUNCTION("""COMPUTED_VALUE"""),"Option Premium Adjustment")</f>
        <v>Option Premium Adjustment</v>
      </c>
      <c r="BB5" s="29" t="str">
        <f>IFERROR(__xludf.DUMMYFUNCTION("""COMPUTED_VALUE"""),"Order Type")</f>
        <v>Order Type</v>
      </c>
      <c r="BC5" s="29" t="str">
        <f>IFERROR(__xludf.DUMMYFUNCTION("""COMPUTED_VALUE"""),"ORF Fee")</f>
        <v>ORF Fee</v>
      </c>
      <c r="BD5" s="29" t="str">
        <f>IFERROR(__xludf.DUMMYFUNCTION("""COMPUTED_VALUE"""),"Original Purchase Date")</f>
        <v>Original Purchase Date</v>
      </c>
      <c r="BE5" s="29" t="str">
        <f>IFERROR(__xludf.DUMMYFUNCTION("""COMPUTED_VALUE"""),"OSISSymbol")</f>
        <v>OSISSymbol</v>
      </c>
      <c r="BF5" s="29" t="str">
        <f>IFERROR(__xludf.DUMMYFUNCTION("""COMPUTED_VALUE"""),"Other Broker Fees")</f>
        <v>Other Broker Fees</v>
      </c>
      <c r="BG5" s="29" t="str">
        <f>IFERROR(__xludf.DUMMYFUNCTION("""COMPUTED_VALUE"""),"Prana Msg Type")</f>
        <v>Prana Msg Type</v>
      </c>
      <c r="BH5" s="29" t="str">
        <f>IFERROR(__xludf.DUMMYFUNCTION("""COMPUTED_VALUE"""),"Principal Amount( Base)")</f>
        <v>Principal Amount( Base)</v>
      </c>
      <c r="BI5" s="29" t="str">
        <f>IFERROR(__xludf.DUMMYFUNCTION("""COMPUTED_VALUE"""),"Principal Amount( Local)")</f>
        <v>Principal Amount( Local)</v>
      </c>
      <c r="BJ5" s="29" t="str">
        <f>IFERROR(__xludf.DUMMYFUNCTION("""COMPUTED_VALUE"""),"Process Date")</f>
        <v>Process Date</v>
      </c>
      <c r="BK5" s="29" t="str">
        <f>IFERROR(__xludf.DUMMYFUNCTION("""COMPUTED_VALUE"""),"Proxy Symbol")</f>
        <v>Proxy Symbol</v>
      </c>
      <c r="BL5" s="29" t="str">
        <f>IFERROR(__xludf.DUMMYFUNCTION("""COMPUTED_VALUE"""),"Put Or Call")</f>
        <v>Put Or Call</v>
      </c>
      <c r="BM5" s="29" t="str">
        <f>IFERROR(__xludf.DUMMYFUNCTION("""COMPUTED_VALUE"""),"Quantity")</f>
        <v>Quantity</v>
      </c>
      <c r="BN5" s="29" t="str">
        <f>IFERROR(__xludf.DUMMYFUNCTION("""COMPUTED_VALUE"""),"SEC Fee")</f>
        <v>SEC Fee</v>
      </c>
      <c r="BO5" s="29" t="str">
        <f>IFERROR(__xludf.DUMMYFUNCTION("""COMPUTED_VALUE"""),"Sedol Symbol")</f>
        <v>Sedol Symbol</v>
      </c>
      <c r="BP5" s="29" t="str">
        <f>IFERROR(__xludf.DUMMYFUNCTION("""COMPUTED_VALUE"""),"Settl Curr Amt")</f>
        <v>Settl Curr Amt</v>
      </c>
      <c r="BQ5" s="29" t="str">
        <f>IFERROR(__xludf.DUMMYFUNCTION("""COMPUTED_VALUE"""),"Settlement Currency")</f>
        <v>Settlement Currency</v>
      </c>
      <c r="BR5" s="29" t="str">
        <f>IFERROR(__xludf.DUMMYFUNCTION("""COMPUTED_VALUE"""),"Settlement Date")</f>
        <v>Settlement Date</v>
      </c>
      <c r="BS5" s="29" t="str">
        <f>IFERROR(__xludf.DUMMYFUNCTION("""COMPUTED_VALUE"""),"Settlement Fx Operator")</f>
        <v>Settlement Fx Operator</v>
      </c>
      <c r="BT5" s="29" t="str">
        <f>IFERROR(__xludf.DUMMYFUNCTION("""COMPUTED_VALUE"""),"Settlement FXRate")</f>
        <v>Settlement FXRate</v>
      </c>
      <c r="BU5" s="29" t="str">
        <f>IFERROR(__xludf.DUMMYFUNCTION("""COMPUTED_VALUE"""),"Side")</f>
        <v>Side</v>
      </c>
      <c r="BV5" s="29" t="str">
        <f>IFERROR(__xludf.DUMMYFUNCTION("""COMPUTED_VALUE"""),"Soft Commission")</f>
        <v>Soft Commission</v>
      </c>
      <c r="BW5" s="29" t="str">
        <f>IFERROR(__xludf.DUMMYFUNCTION("""COMPUTED_VALUE"""),"Soft Commission Per Share")</f>
        <v>Soft Commission Per Share</v>
      </c>
      <c r="BX5" s="29" t="str">
        <f>IFERROR(__xludf.DUMMYFUNCTION("""COMPUTED_VALUE"""),"Stamp Duty")</f>
        <v>Stamp Duty</v>
      </c>
      <c r="BY5" s="29" t="str">
        <f>IFERROR(__xludf.DUMMYFUNCTION("""COMPUTED_VALUE"""),"Symbol")</f>
        <v>Symbol</v>
      </c>
      <c r="BZ5" s="29" t="str">
        <f>IFERROR(__xludf.DUMMYFUNCTION("""COMPUTED_VALUE"""),"Tax On Commissions")</f>
        <v>Tax On Commissions</v>
      </c>
      <c r="CA5" s="29" t="str">
        <f>IFERROR(__xludf.DUMMYFUNCTION("""COMPUTED_VALUE"""),"Total Commission")</f>
        <v>Total Commission</v>
      </c>
      <c r="CB5" s="29" t="str">
        <f>IFERROR(__xludf.DUMMYFUNCTION("""COMPUTED_VALUE"""),"Total Commission And Fee")</f>
        <v>Total Commission And Fee</v>
      </c>
      <c r="CC5" s="29" t="str">
        <f>IFERROR(__xludf.DUMMYFUNCTION("""COMPUTED_VALUE"""),"Total Commission Per Share")</f>
        <v>Total Commission Per Share</v>
      </c>
      <c r="CD5" s="29" t="str">
        <f>IFERROR(__xludf.DUMMYFUNCTION("""COMPUTED_VALUE"""),"Trade Attribute 3")</f>
        <v>Trade Attribute 3</v>
      </c>
      <c r="CE5" s="29" t="str">
        <f>IFERROR(__xludf.DUMMYFUNCTION("""COMPUTED_VALUE"""),"Trade Attribute 4")</f>
        <v>Trade Attribute 4</v>
      </c>
      <c r="CF5" s="29" t="str">
        <f>IFERROR(__xludf.DUMMYFUNCTION("""COMPUTED_VALUE"""),"Trade Attribute 5")</f>
        <v>Trade Attribute 5</v>
      </c>
      <c r="CG5" s="29" t="str">
        <f>IFERROR(__xludf.DUMMYFUNCTION("""COMPUTED_VALUE"""),"Trade Attribute 6")</f>
        <v>Trade Attribute 6</v>
      </c>
      <c r="CH5" s="29" t="str">
        <f>IFERROR(__xludf.DUMMYFUNCTION("""COMPUTED_VALUE"""),"Trade Date")</f>
        <v>Trade Date</v>
      </c>
      <c r="CI5" s="29" t="str">
        <f>IFERROR(__xludf.DUMMYFUNCTION("""COMPUTED_VALUE"""),"Trade T E S T")</f>
        <v>Trade T E S T</v>
      </c>
      <c r="CJ5" s="29" t="str">
        <f>IFERROR(__xludf.DUMMYFUNCTION("""COMPUTED_VALUE"""),"Trading Account")</f>
        <v>Trading Account</v>
      </c>
      <c r="CK5" s="29" t="str">
        <f>IFERROR(__xludf.DUMMYFUNCTION("""COMPUTED_VALUE"""),"Transaction Levy")</f>
        <v>Transaction Levy</v>
      </c>
      <c r="CL5" s="29" t="str">
        <f>IFERROR(__xludf.DUMMYFUNCTION("""COMPUTED_VALUE"""),"Transaction Source")</f>
        <v>Transaction Source</v>
      </c>
      <c r="CM5" s="29" t="str">
        <f>IFERROR(__xludf.DUMMYFUNCTION("""COMPUTED_VALUE"""),"Transaction Type")</f>
        <v>Transaction Type</v>
      </c>
      <c r="CN5" s="29" t="str">
        <f>IFERROR(__xludf.DUMMYFUNCTION("""COMPUTED_VALUE"""),"UnAllocatedQty")</f>
        <v>UnAllocatedQty</v>
      </c>
      <c r="CO5" s="29" t="str">
        <f>IFERROR(__xludf.DUMMYFUNCTION("""COMPUTED_VALUE"""),"Underlying")</f>
        <v>Underlying</v>
      </c>
      <c r="CP5" s="29" t="str">
        <f>IFERROR(__xludf.DUMMYFUNCTION("""COMPUTED_VALUE"""),"Underlying Delta")</f>
        <v>Underlying Delta</v>
      </c>
      <c r="CQ5" s="29" t="str">
        <f>IFERROR(__xludf.DUMMYFUNCTION("""COMPUTED_VALUE"""),"Underlying Symbol")</f>
        <v>Underlying Symbol</v>
      </c>
      <c r="CR5" s="29" t="str">
        <f>IFERROR(__xludf.DUMMYFUNCTION("""COMPUTED_VALUE"""),"User")</f>
        <v>User</v>
      </c>
      <c r="CS5" s="29" t="str">
        <f>IFERROR(__xludf.DUMMYFUNCTION("""COMPUTED_VALUE"""),"Venue")</f>
        <v>Venue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8"/>
      <c r="F6" s="8"/>
      <c r="G6" s="8"/>
      <c r="H6" s="8"/>
      <c r="I6" s="8"/>
      <c r="J6" s="8"/>
      <c r="K6" s="8"/>
      <c r="L6" s="8"/>
      <c r="M6" s="35" t="s">
        <v>18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9">
        <v>200.0</v>
      </c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9">
        <v>200.0</v>
      </c>
      <c r="BN6" s="34"/>
      <c r="BO6" s="34"/>
      <c r="BP6" s="34"/>
      <c r="BQ6" s="34"/>
      <c r="BR6" s="34"/>
      <c r="BS6" s="34"/>
      <c r="BT6" s="34"/>
      <c r="BU6" s="34" t="s">
        <v>17</v>
      </c>
      <c r="BV6" s="34"/>
      <c r="BW6" s="34"/>
      <c r="BX6" s="34"/>
      <c r="BY6" s="35" t="s">
        <v>16</v>
      </c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IFERROR(__xludf.DUMMYFUNCTION("""COMPUTED_VALUE"""),"Trader")</f>
        <v>Trader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IFERROR(__xludf.DUMMYFUNCTION("""COMPUTED_VALUE"""),"% Day Return (Gross MV)")</f>
        <v>% Day Return (Gross MV)</v>
      </c>
      <c r="CU5" s="29" t="str">
        <f>IFERROR(__xludf.DUMMYFUNCTION("""COMPUTED_VALUE"""),"Carry")</f>
        <v>Carry</v>
      </c>
      <c r="CV5" s="29" t="str">
        <f>IFERROR(__xludf.DUMMYFUNCTION("""COMPUTED_VALUE"""),"Trade TEST")</f>
        <v>Trade TEST</v>
      </c>
      <c r="CW5" s="29" t="str">
        <f>IFERROR(__xludf.DUMMYFUNCTION("""COMPUTED_VALUE"""),"Trade Attribute 3")</f>
        <v>Trade Attribute 3</v>
      </c>
      <c r="CX5" s="29" t="str">
        <f>IFERROR(__xludf.DUMMYFUNCTION("""COMPUTED_VALUE"""),"Trade Attribute 4")</f>
        <v>Trade Attribute 4</v>
      </c>
      <c r="CY5" s="29" t="str">
        <f>IFERROR(__xludf.DUMMYFUNCTION("""COMPUTED_VALUE"""),"Trade Attribute 5")</f>
        <v>Trade Attribute 5</v>
      </c>
      <c r="CZ5" s="29" t="str">
        <f>IFERROR(__xludf.DUMMYFUNCTION("""COMPUTED_VALUE"""),"Trade Attribute 6")</f>
        <v>Trade Attribute 6</v>
      </c>
      <c r="DA5" s="29" t="str">
        <f>IFERROR(__xludf.DUMMYFUNCTION("""COMPUTED_VALUE"""),"Proxy Symbol")</f>
        <v>Proxy Symbol</v>
      </c>
      <c r="DB5" s="29" t="str">
        <f>IFERROR(__xludf.DUMMYFUNCTION("""COMPUTED_VALUE"""),"Pricing Source")</f>
        <v>Pricing Source</v>
      </c>
      <c r="DC5" s="29" t="str">
        <f>IFERROR(__xludf.DUMMYFUNCTION("""COMPUTED_VALUE"""),"Delta Source")</f>
        <v>Delta Source</v>
      </c>
      <c r="DD5" s="29" t="str">
        <f>IFERROR(__xludf.DUMMYFUNCTION("""COMPUTED_VALUE"""),"Gross Exposure (Local)")</f>
        <v>Gross Exposure (Local)</v>
      </c>
      <c r="DE5" s="29" t="str">
        <f>IFERROR(__xludf.DUMMYFUNCTION("""COMPUTED_VALUE"""),"% Day P&amp;L (Net MV)")</f>
        <v>% Day P&amp;L (Net MV)</v>
      </c>
      <c r="DF5" s="29" t="str">
        <f>IFERROR(__xludf.DUMMYFUNCTION("""COMPUTED_VALUE"""),"Expiration Month")</f>
        <v>Expiration Month</v>
      </c>
      <c r="DG5" s="29" t="str">
        <f>IFERROR(__xludf.DUMMYFUNCTION("""COMPUTED_VALUE"""),"Delta Adj. Position (LME)")</f>
        <v>Delta Adj. Position (LME)</v>
      </c>
      <c r="DH5" s="29" t="str">
        <f>IFERROR(__xludf.DUMMYFUNCTION("""COMPUTED_VALUE"""),"Premium")</f>
        <v>Premium</v>
      </c>
      <c r="DI5" s="29" t="str">
        <f>IFERROR(__xludf.DUMMYFUNCTION("""COMPUTED_VALUE"""),"Premium $")</f>
        <v>Premium $</v>
      </c>
      <c r="DJ5" s="29" t="str">
        <f>IFERROR(__xludf.DUMMYFUNCTION("""COMPUTED_VALUE"""),"Forward Points")</f>
        <v>Forward Points</v>
      </c>
      <c r="DK5" s="29" t="str">
        <f>IFERROR(__xludf.DUMMYFUNCTION("""COMPUTED_VALUE"""),"Strike Gap Risk")</f>
        <v>Strike Gap Risk</v>
      </c>
      <c r="DL5" s="29" t="str">
        <f>IFERROR(__xludf.DUMMYFUNCTION("""COMPUTED_VALUE"""),"Strike Gap Exposure")</f>
        <v>Strike Gap Exposure</v>
      </c>
      <c r="DM5" s="29" t="str">
        <f>IFERROR(__xludf.DUMMYFUNCTION("""COMPUTED_VALUE"""),"Closing Mark (Underlying)")</f>
        <v>Closing Mark (Underlying)</v>
      </c>
      <c r="DN5" s="29" t="str">
        <f>IFERROR(__xludf.DUMMYFUNCTION("""COMPUTED_VALUE"""),"% Change (Underlying Price)")</f>
        <v>% Change (Underlying Price)</v>
      </c>
      <c r="DO5" s="29" t="str">
        <f>IFERROR(__xludf.DUMMYFUNCTION("""COMPUTED_VALUE"""),"Transaction Type")</f>
        <v>Transaction Type</v>
      </c>
      <c r="DP5" s="29" t="str">
        <f>IFERROR(__xludf.DUMMYFUNCTION("""COMPUTED_VALUE"""),"Closing Market Value (Local)")</f>
        <v>Closing Market Value (Local)</v>
      </c>
      <c r="DQ5" s="29" t="str">
        <f>IFERROR(__xludf.DUMMYFUNCTION("""COMPUTED_VALUE"""),"Closing Market Value (Base)")</f>
        <v>Closing Market Value (Base)</v>
      </c>
      <c r="DR5" s="29" t="str">
        <f>IFERROR(__xludf.DUMMYFUNCTION("""COMPUTED_VALUE"""),"Closing FX Rate")</f>
        <v>Closing FX Rate</v>
      </c>
      <c r="DS5" s="29" t="str">
        <f>IFERROR(__xludf.DUMMYFUNCTION("""COMPUTED_VALUE"""),"Change In Underlying Price")</f>
        <v>Change In Underlying Price</v>
      </c>
      <c r="DT5" s="29" t="str">
        <f>IFERROR(__xludf.DUMMYFUNCTION("""COMPUTED_VALUE"""),"RIC")</f>
        <v>RIC</v>
      </c>
      <c r="DU5" s="29" t="str">
        <f>IFERROR(__xludf.DUMMYFUNCTION("""COMPUTED_VALUE"""),"Position Side Exposure (Boxed)")</f>
        <v>Position Side Exposure (Boxed)</v>
      </c>
      <c r="DV5" s="29" t="str">
        <f>IFERROR(__xludf.DUMMYFUNCTION("""COMPUTED_VALUE"""),"Analyst")</f>
        <v>Analyst</v>
      </c>
      <c r="DW5" s="29" t="str">
        <f>IFERROR(__xludf.DUMMYFUNCTION("""COMPUTED_VALUE"""),"Country Of Risk")</f>
        <v>Country Of Risk</v>
      </c>
      <c r="DX5" s="29" t="str">
        <f>IFERROR(__xludf.DUMMYFUNCTION("""COMPUTED_VALUE"""),"Custom UDA1")</f>
        <v>Custom UDA1</v>
      </c>
      <c r="DY5" s="29" t="str">
        <f>IFERROR(__xludf.DUMMYFUNCTION("""COMPUTED_VALUE"""),"Custom UDA2")</f>
        <v>Custom UDA2</v>
      </c>
      <c r="DZ5" s="29" t="str">
        <f>IFERROR(__xludf.DUMMYFUNCTION("""COMPUTED_VALUE"""),"Custom UDA3")</f>
        <v>Custom UDA3</v>
      </c>
      <c r="EA5" s="29" t="str">
        <f>IFERROR(__xludf.DUMMYFUNCTION("""COMPUTED_VALUE"""),"Custom UDA4")</f>
        <v>Custom UDA4</v>
      </c>
      <c r="EB5" s="29" t="str">
        <f>IFERROR(__xludf.DUMMYFUNCTION("""COMPUTED_VALUE"""),"Custom UDA5")</f>
        <v>Custom UDA5</v>
      </c>
      <c r="EC5" s="29" t="str">
        <f>IFERROR(__xludf.DUMMYFUNCTION("""COMPUTED_VALUE"""),"Custom UDA6")</f>
        <v>Custom UDA6</v>
      </c>
      <c r="ED5" s="29" t="str">
        <f>IFERROR(__xludf.DUMMYFUNCTION("""COMPUTED_VALUE"""),"Custom UDA7")</f>
        <v>Custom UDA7</v>
      </c>
      <c r="EE5" s="29" t="str">
        <f>IFERROR(__xludf.DUMMYFUNCTION("""COMPUTED_VALUE"""),"Issuer")</f>
        <v>Issuer</v>
      </c>
      <c r="EF5" s="29" t="str">
        <f>IFERROR(__xludf.DUMMYFUNCTION("""COMPUTED_VALUE"""),"Liquid Tag")</f>
        <v>Liquid Tag</v>
      </c>
      <c r="EG5" s="29" t="str">
        <f>IFERROR(__xludf.DUMMYFUNCTION("""COMPUTED_VALUE"""),"Market Cap UDA")</f>
        <v>Market Cap UDA</v>
      </c>
      <c r="EH5" s="29" t="str">
        <f>IFERROR(__xludf.DUMMYFUNCTION("""COMPUTED_VALUE"""),"Region")</f>
        <v>Region</v>
      </c>
      <c r="EI5" s="29" t="str">
        <f>IFERROR(__xludf.DUMMYFUNCTION("""COMPUTED_VALUE"""),"Risk Currency")</f>
        <v>Risk Currency</v>
      </c>
      <c r="EJ5" s="29" t="str">
        <f>IFERROR(__xludf.DUMMYFUNCTION("""COMPUTED_VALUE"""),"UCITS Eligible Tag")</f>
        <v>UCITS Eligible Tag</v>
      </c>
      <c r="EK5" s="29" t="str">
        <f>IFERROR(__xludf.DUMMYFUNCTION("""COMPUTED_VALUE"""),"FX Rate (Display)")</f>
        <v>FX Rate (Display)</v>
      </c>
      <c r="EL5" s="29" t="str">
        <f>IFERROR(__xludf.DUMMYFUNCTION("""COMPUTED_VALUE"""),"% Net Exposure (Base)")</f>
        <v>% Net Exposure (Base)</v>
      </c>
      <c r="EM5" s="29" t="str">
        <f>IFERROR(__xludf.DUMMYFUNCTION("""COMPUTED_VALUE"""),"% Gross Exposure (Base)")</f>
        <v>% Gross Exposure (Base)</v>
      </c>
      <c r="EN5" s="29" t="str">
        <f>IFERROR(__xludf.DUMMYFUNCTION("""COMPUTED_VALUE"""),"% Exposure (Base)")</f>
        <v>% Exposure (Base)</v>
      </c>
      <c r="EO5" s="29" t="str">
        <f>IFERROR(__xludf.DUMMYFUNCTION("""COMPUTED_VALUE"""),"% Gross Exposure (Underlying) (Base)")</f>
        <v>% Gross Exposure (Underlying) (Base)</v>
      </c>
      <c r="EP5" s="29" t="str">
        <f>IFERROR(__xludf.DUMMYFUNCTION("""COMPUTED_VALUE"""),"% Beta Adj. Gross Exposure (Base)")</f>
        <v>% Beta Adj. Gross Exposure (Base)</v>
      </c>
      <c r="EQ5" s="29" t="str">
        <f>IFERROR(__xludf.DUMMYFUNCTION("""COMPUTED_VALUE"""),"Position Side Exposure (Underlying)")</f>
        <v>Position Side Exposure (Underlying)</v>
      </c>
      <c r="ER5" s="29" t="str">
        <f>IFERROR(__xludf.DUMMYFUNCTION("""COMPUTED_VALUE"""),"Gross Exposure (Underlying) (Base)")</f>
        <v>Gross Exposure (Underlying) (Base)</v>
      </c>
      <c r="ES5" s="29" t="str">
        <f>IFERROR(__xludf.DUMMYFUNCTION("""COMPUTED_VALUE"""),"Gross Exposure (Underlying)")</f>
        <v>Gross Exposure (Underlying)</v>
      </c>
      <c r="ET5" s="29" t="str">
        <f>IFERROR(__xludf.DUMMYFUNCTION("""COMPUTED_VALUE"""),"Day Return")</f>
        <v>Day Return</v>
      </c>
      <c r="EU5" s="29" t="str">
        <f>IFERROR(__xludf.DUMMYFUNCTION("""COMPUTED_VALUE"""),"Start of Day NAV")</f>
        <v>Start of Day NAV</v>
      </c>
      <c r="EV5" s="29" t="str">
        <f>IFERROR(__xludf.DUMMYFUNCTION("""COMPUTED_VALUE"""),"% Gross Market Value (Base)")</f>
        <v>% Gross Market Value (Base)</v>
      </c>
      <c r="EW5" s="29" t="str">
        <f>IFERROR(__xludf.DUMMYFUNCTION("""COMPUTED_VALUE"""),"Beta Adj. Gross Exposure (Underlying) (Local)")</f>
        <v>Beta Adj. Gross Exposure (Underlying) (Local)</v>
      </c>
      <c r="EX5" s="29" t="str">
        <f>IFERROR(__xludf.DUMMYFUNCTION("""COMPUTED_VALUE"""),"NAV")</f>
        <v>NAV</v>
      </c>
      <c r="EY5" s="29" t="str">
        <f>IFERROR(__xludf.DUMMYFUNCTION("""COMPUTED_VALUE"""),"% P&amp;L Contribution")</f>
        <v>% P&amp;L Contribution</v>
      </c>
      <c r="EZ5" s="29" t="str">
        <f>IFERROR(__xludf.DUMMYFUNCTION("""COMPUTED_VALUE"""),"% Net Market Value (Base)")</f>
        <v>% Net Market Value (Base)</v>
      </c>
      <c r="FA5" s="29" t="str">
        <f>IFERROR(__xludf.DUMMYFUNCTION("""COMPUTED_VALUE"""),"Position Side Exposure")</f>
        <v>Position Side Exposure</v>
      </c>
      <c r="FB5" s="29" t="str">
        <f>IFERROR(__xludf.DUMMYFUNCTION("""COMPUTED_VALUE"""),"NAV (Touch)")</f>
        <v>NAV (Touch)</v>
      </c>
      <c r="FC5" s="29" t="str">
        <f>IFERROR(__xludf.DUMMYFUNCTION("""COMPUTED_VALUE"""),"IgnorePropertyChangeEvents")</f>
        <v>IgnorePropertyChangeEvents</v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7">
        <v>200.0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17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5" t="s">
        <v>18</v>
      </c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IFERROR(__xludf.DUMMYFUNCTION("""COMPUTED_VALUE"""),"Unallocate")</f>
        <v>Unallocate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IFERROR(__xludf.DUMMYFUNCTION("""COMPUTED_VALUE"""),"SelectTradeAllocation")</f>
        <v>SelectTradeAllocation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IFERROR(__xludf.DUMMYFUNCTION("""COMPUTED_VALUE"""),"CleanUp")</f>
        <v>CleanUp</v>
      </c>
      <c r="J4" s="24" t="str">
        <f>IFERROR(__xludf.DUMMYFUNCTION("""COMPUTED_VALUE"""),"EditTrades")</f>
        <v>EditTrades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IFERROR(__xludf.DUMMYFUNCTION("""COMPUTED_VALUE"""),"CommissionBulkChange")</f>
        <v>CommissionBulkChange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IFERROR(__xludf.DUMMYFUNCTION("""COMPUTED_VALUE"""),"AttributeRenaming")</f>
        <v>AttributeRenaming</v>
      </c>
      <c r="O4" s="24" t="str">
        <f>IFERROR(__xludf.DUMMYFUNCTION("""COMPUTED_VALUE"""),"AutoGroupingRules")</f>
        <v>AutoGroupingRules</v>
      </c>
      <c r="P4" s="25" t="str">
        <f>IFERROR(__xludf.DUMMYFUNCTION("""COMPUTED_VALUE"""),"MasterFundRatioAllocation")</f>
        <v>MasterFundRatioAllocation</v>
      </c>
      <c r="Q4" s="25" t="str">
        <f>IFERROR(__xludf.DUMMYFUNCTION("""COMPUTED_VALUE"""),"CheckFixedPreferenceScheme")</f>
        <v>CheckFixedPreferenceScheme</v>
      </c>
      <c r="R4" s="25" t="str">
        <f>IFERROR(__xludf.DUMMYFUNCTION("""COMPUTED_VALUE"""),"GetFixedScheme")</f>
        <v>GetFixedScheme</v>
      </c>
      <c r="S4" s="25" t="str">
        <f>IFERROR(__xludf.DUMMYFUNCTION("""COMPUTED_VALUE"""),"AddCalculatedPreferences")</f>
        <v>AddCalculatedPreferences</v>
      </c>
      <c r="T4" s="25" t="str">
        <f>IFERROR(__xludf.DUMMYFUNCTION("""COMPUTED_VALUE"""),"BulkChangeCalculatedPreferences")</f>
        <v>BulkChangeCalculatedPreferences</v>
      </c>
      <c r="U4" s="25" t="str">
        <f>IFERROR(__xludf.DUMMYFUNCTION("""COMPUTED_VALUE"""),"DeleteCalculatedPreferences")</f>
        <v>DeleteCalculatedPreferences</v>
      </c>
      <c r="V4" s="25" t="str">
        <f>IFERROR(__xludf.DUMMYFUNCTION("""COMPUTED_VALUE"""),"RenameCalculatedPreferences")</f>
        <v>RenameCalculatedPreferences</v>
      </c>
      <c r="W4" s="25" t="str">
        <f>IFERROR(__xludf.DUMMYFUNCTION("""COMPUTED_VALUE"""),"CopyCalculatedPreferences")</f>
        <v>CopyCalculatedPreferences</v>
      </c>
      <c r="X4" s="25" t="str">
        <f>IFERROR(__xludf.DUMMYFUNCTION("""COMPUTED_VALUE"""),"RunAutoGroup")</f>
        <v>RunAutoGroup</v>
      </c>
      <c r="Y4" s="25" t="str">
        <f>IFERROR(__xludf.DUMMYFUNCTION("""COMPUTED_VALUE"""),"SwapControl")</f>
        <v>SwapControl</v>
      </c>
      <c r="Z4" s="25" t="str">
        <f>IFERROR(__xludf.DUMMYFUNCTION("""COMPUTED_VALUE"""),"RunProrata")</f>
        <v>RunProrata</v>
      </c>
      <c r="AA4" s="25" t="str">
        <f>IFERROR(__xludf.DUMMYFUNCTION("""COMPUTED_VALUE"""),"SetDefaultRuleForCalculatedPreference")</f>
        <v>SetDefaultRuleForCalculatedPreference</v>
      </c>
      <c r="AB4" s="25" t="str">
        <f>IFERROR(__xludf.DUMMYFUNCTION("""COMPUTED_VALUE"""),"RenameTradeAttributes")</f>
        <v>RenameTradeAttributes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IFERROR(__xludf.DUMMYFUNCTION("""COMPUTED_VALUE"""),"TradeAttributeBulkChange")</f>
        <v>TradeAttributeBulkChange</v>
      </c>
      <c r="AE4" s="25" t="str">
        <f>IFERROR(__xludf.DUMMYFUNCTION("""COMPUTED_VALUE"""),"TradeAttributeBulkChangeGroup")</f>
        <v>TradeAttributeBulkChangeGroup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IFERROR(__xludf.DUMMYFUNCTION("""COMPUTED_VALUE"""),"TradeAttributeBulkChangeGroups")</f>
        <v>TradeAttributeBulkChangeGroups</v>
      </c>
      <c r="AH4" s="25" t="str">
        <f>IFERROR(__xludf.DUMMYFUNCTION("""COMPUTED_VALUE"""),"SetMasterFundRatio")</f>
        <v>SetMasterFundRatio</v>
      </c>
      <c r="AI4" s="25" t="str">
        <f>IFERROR(__xludf.DUMMYFUNCTION("""COMPUTED_VALUE"""),"AddCalculatedPreferenceToolbar")</f>
        <v>AddCalculatedPreferenceToolbar</v>
      </c>
      <c r="AJ4" s="25" t="str">
        <f>IFERROR(__xludf.DUMMYFUNCTION("""COMPUTED_VALUE"""),"SetGroupingRules")</f>
        <v>SetGroupingRules</v>
      </c>
      <c r="AK4" s="25" t="str">
        <f>IFERROR(__xludf.DUMMYFUNCTION("""COMPUTED_VALUE"""),"ApplyBulkUpdateOnGroups")</f>
        <v>ApplyBulkUpdateOnGroups</v>
      </c>
      <c r="AL4" s="25" t="str">
        <f>IFERROR(__xludf.DUMMYFUNCTION("""COMPUTED_VALUE"""),"SetStrategyValueCalculatedPref")</f>
        <v>SetStrategyValueCalculatedPref</v>
      </c>
      <c r="AM4" s="25" t="str">
        <f>IFERROR(__xludf.DUMMYFUNCTION("""COMPUTED_VALUE"""),"ApplyBulkUpdateOnTaxlots")</f>
        <v>ApplyBulkUpdateOnTaxlots</v>
      </c>
      <c r="AN4" s="25" t="str">
        <f>IFERROR(__xludf.DUMMYFUNCTION("""COMPUTED_VALUE"""),"SetDefaultRuleCalculatedPref")</f>
        <v>SetDefaultRuleCalculatedPref</v>
      </c>
      <c r="AO4" s="25" t="str">
        <f>IFERROR(__xludf.DUMMYFUNCTION("""COMPUTED_VALUE"""),"CommissionBulkChangeOnGroups")</f>
        <v>CommissionBulkChangeOnGroups</v>
      </c>
      <c r="AP4" s="25" t="str">
        <f>IFERROR(__xludf.DUMMYFUNCTION("""COMPUTED_VALUE"""),"CommissionBulkChangeOnTaxlots")</f>
        <v>CommissionBulkChangeOnTaxlots</v>
      </c>
      <c r="AQ4" s="25" t="str">
        <f>IFERROR(__xludf.DUMMYFUNCTION("""COMPUTED_VALUE"""),"BookOrUpdateSwap")</f>
        <v>BookOrUpdateSwap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IFERROR(__xludf.DUMMYFUNCTION("""COMPUTED_VALUE"""),"SelectAllocatedGroup")</f>
        <v>SelectAllocatedGroup</v>
      </c>
      <c r="AT4" s="25" t="str">
        <f>IFERROR(__xludf.DUMMYFUNCTION("""COMPUTED_VALUE"""),"EnterAccountValuesToAllocate")</f>
        <v>EnterAccountValuesToAllocate</v>
      </c>
      <c r="AU4" s="25" t="str">
        <f>IFERROR(__xludf.DUMMYFUNCTION("""COMPUTED_VALUE"""),"ApplyPrefetchFilters")</f>
        <v>ApplyPrefetchFilters</v>
      </c>
      <c r="AV4" s="25" t="str">
        <f>IFERROR(__xludf.DUMMYFUNCTION("""COMPUTED_VALUE"""),"EnterStrategyValuesToAllocate")</f>
        <v>EnterStrategyValuesToAllocate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IFERROR(__xludf.DUMMYFUNCTION("""COMPUTED_VALUE"""),"CopyCalculatedPreferenceToolbar")</f>
        <v>CopyCalculatedPreferenceToolbar</v>
      </c>
      <c r="AY4" s="25" t="str">
        <f>IFERROR(__xludf.DUMMYFUNCTION("""COMPUTED_VALUE"""),"EnterAllocatePreference")</f>
        <v>EnterAllocatePreference</v>
      </c>
      <c r="AZ4" s="25" t="str">
        <f>IFERROR(__xludf.DUMMYFUNCTION("""COMPUTED_VALUE"""),"ExportAllCalculatedPreferences")</f>
        <v>ExportAllCalculatedPreferences</v>
      </c>
      <c r="BA4" s="25" t="str">
        <f>IFERROR(__xludf.DUMMYFUNCTION("""COMPUTED_VALUE"""),"SaveCalculatedPreferences")</f>
        <v>SaveCalculatedPreferences</v>
      </c>
      <c r="BB4" s="25" t="str">
        <f>IFERROR(__xludf.DUMMYFUNCTION("""COMPUTED_VALUE"""),"CloseCalculatedPreferences")</f>
        <v>CloseCalculatedPreferences</v>
      </c>
      <c r="BC4" s="25" t="str">
        <f>IFERROR(__xludf.DUMMYFUNCTION("""COMPUTED_VALUE"""),"ExportCalculatedPreference")</f>
        <v>ExportCalculatedPreference</v>
      </c>
      <c r="BD4" s="25" t="str">
        <f>IFERROR(__xludf.DUMMYFUNCTION("""COMPUTED_VALUE"""),"EditUnallocatedGroupSidePanel")</f>
        <v>EditUnallocatedGroupSidePanel</v>
      </c>
      <c r="BE4" s="25" t="str">
        <f>IFERROR(__xludf.DUMMYFUNCTION("""COMPUTED_VALUE"""),"ImportCalculatedPreferences")</f>
        <v>ImportCalculatedPreferences</v>
      </c>
      <c r="BF4" s="25" t="str">
        <f>IFERROR(__xludf.DUMMYFUNCTION("""COMPUTED_VALUE"""),"OpenAuditTrailUnallocatedGroup")</f>
        <v>OpenAuditTrailUnallocatedGroup</v>
      </c>
      <c r="BG4" s="25" t="str">
        <f>IFERROR(__xludf.DUMMYFUNCTION("""COMPUTED_VALUE"""),"DeleteCalculatedPreferencesTool")</f>
        <v>DeleteCalculatedPreferencesTool</v>
      </c>
      <c r="BH4" s="25" t="str">
        <f>IFERROR(__xludf.DUMMYFUNCTION("""COMPUTED_VALUE"""),"ImportCalculatedPreferencesTool")</f>
        <v>ImportCalculatedPreferencesTool</v>
      </c>
      <c r="BI4" s="25" t="str">
        <f>IFERROR(__xludf.DUMMYFUNCTION("""COMPUTED_VALUE"""),"ExportAllCalculatedPreferTool")</f>
        <v>ExportAllCalculatedPreferTool</v>
      </c>
      <c r="BJ4" s="25" t="str">
        <f>IFERROR(__xludf.DUMMYFUNCTION("""COMPUTED_VALUE"""),"CheckFixedPreference")</f>
        <v>CheckFixedPreference</v>
      </c>
      <c r="BK4" s="25" t="str">
        <f>IFERROR(__xludf.DUMMYFUNCTION("""COMPUTED_VALUE"""),"DeleteFixedPreference")</f>
        <v>DeleteFixedPreference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IFERROR(__xludf.DUMMYFUNCTION("""COMPUTED_VALUE"""),"OpenSymbolLookupAllocatedGroup")</f>
        <v>OpenSymbolLookupAllocatedGroup</v>
      </c>
      <c r="BN4" s="25" t="str">
        <f>IFERROR(__xludf.DUMMYFUNCTION("""COMPUTED_VALUE"""),"GetFixedPreference")</f>
        <v>GetFixedPreference</v>
      </c>
      <c r="BO4" s="25" t="str">
        <f>IFERROR(__xludf.DUMMYFUNCTION("""COMPUTED_VALUE"""),"CheckAllocatedGroups")</f>
        <v>CheckAllocatedGroups</v>
      </c>
      <c r="BP4" s="25" t="str">
        <f>IFERROR(__xludf.DUMMYFUNCTION("""COMPUTED_VALUE"""),"CheckUnallocatedGroups")</f>
        <v>CheckUnallocatedGroups</v>
      </c>
      <c r="BQ4" s="25" t="str">
        <f>IFERROR(__xludf.DUMMYFUNCTION("""COMPUTED_VALUE"""),"SetGeneralPreferences")</f>
        <v>SetGeneralPreferences</v>
      </c>
      <c r="BR4" s="25" t="str">
        <f>IFERROR(__xludf.DUMMYFUNCTION("""COMPUTED_VALUE"""),"EditAllocatedGroupSidePanel")</f>
        <v>EditAllocatedGroupSidePanel</v>
      </c>
      <c r="BS4" s="25" t="str">
        <f>IFERROR(__xludf.DUMMYFUNCTION("""COMPUTED_VALUE"""),"OpenAuditTrailAllocatedGroup")</f>
        <v>OpenAuditTrailAllocatedGroup</v>
      </c>
      <c r="BT4" s="25" t="str">
        <f>IFERROR(__xludf.DUMMYFUNCTION("""COMPUTED_VALUE"""),"GroupTrades")</f>
        <v>GroupTrades</v>
      </c>
      <c r="BU4" s="25" t="str">
        <f>IFERROR(__xludf.DUMMYFUNCTION("""COMPUTED_VALUE"""),"UngroupTrades")</f>
        <v>UngroupTrades</v>
      </c>
      <c r="BV4" s="25" t="str">
        <f>IFERROR(__xludf.DUMMYFUNCTION("""COMPUTED_VALUE"""),"DeleteGroup")</f>
        <v>DeleteGroup</v>
      </c>
      <c r="BW4" s="25" t="str">
        <f>IFERROR(__xludf.DUMMYFUNCTION("""COMPUTED_VALUE"""),"CloseOrder")</f>
        <v>CloseOrder</v>
      </c>
      <c r="BX4" s="25" t="str">
        <f>IFERROR(__xludf.DUMMYFUNCTION("""COMPUTED_VALUE"""),"Unallocate")</f>
        <v>Unallocate</v>
      </c>
      <c r="BY4" s="25" t="str">
        <f>IFERROR(__xludf.DUMMYFUNCTION("""COMPUTED_VALUE"""),"CloseAllocation")</f>
        <v>CloseAllocation</v>
      </c>
      <c r="BZ4" s="25" t="str">
        <f>IFERROR(__xludf.DUMMYFUNCTION("""COMPUTED_VALUE"""),"GeneralPrefCompanyUserWise")</f>
        <v>GeneralPrefCompanyUserWise</v>
      </c>
      <c r="CA4" s="25" t="str">
        <f>IFERROR(__xludf.DUMMYFUNCTION("""COMPUTED_VALUE"""),"SetGeneralRuleCalPreference")</f>
        <v>SetGeneralRuleCalPreference</v>
      </c>
      <c r="CB4" s="25" t="str">
        <f>IFERROR(__xludf.DUMMYFUNCTION("""COMPUTED_VALUE"""),"UpdateGRAccountValue")</f>
        <v>UpdateGRAccountValue</v>
      </c>
      <c r="CC4" s="25" t="str">
        <f>IFERROR(__xludf.DUMMYFUNCTION("""COMPUTED_VALUE"""),"UpdateGRStrategyValue")</f>
        <v>UpdateGRStrategyValue</v>
      </c>
      <c r="CD4" s="25" t="str">
        <f>IFERROR(__xludf.DUMMYFUNCTION("""COMPUTED_VALUE"""),"UpdateGRDefaultRule")</f>
        <v>UpdateGRDefaultRule</v>
      </c>
      <c r="CE4" s="25" t="str">
        <f>IFERROR(__xludf.DUMMYFUNCTION("""COMPUTED_VALUE"""),"UpdateGeneralRulePref")</f>
        <v>UpdateGeneralRulePref</v>
      </c>
      <c r="CF4" s="25" t="str">
        <f>IFERROR(__xludf.DUMMYFUNCTION("""COMPUTED_VALUE"""),"ModifyGRPreferenceValues")</f>
        <v>ModifyGRPreferenceValues</v>
      </c>
      <c r="CG4" s="25" t="str">
        <f>IFERROR(__xludf.DUMMYFUNCTION("""COMPUTED_VALUE"""),"AddMFPreferences")</f>
        <v>AddMFPreferences</v>
      </c>
      <c r="CH4" s="25" t="str">
        <f>IFERROR(__xludf.DUMMYFUNCTION("""COMPUTED_VALUE"""),"AddMFPreferenceToolbar")</f>
        <v>AddMFPreferenceToolbar</v>
      </c>
      <c r="CI4" s="25" t="str">
        <f>IFERROR(__xludf.DUMMYFUNCTION("""COMPUTED_VALUE"""),"DeleteMFPreferences")</f>
        <v>DeleteMFPreferences</v>
      </c>
      <c r="CJ4" s="25" t="str">
        <f>IFERROR(__xludf.DUMMYFUNCTION("""COMPUTED_VALUE"""),"DeleteMFPreferenceToolbar")</f>
        <v>DeleteMFPreferenceToolbar</v>
      </c>
      <c r="CK4" s="25" t="str">
        <f>IFERROR(__xludf.DUMMYFUNCTION("""COMPUTED_VALUE"""),"RenameMFPreferences")</f>
        <v>RenameMFPreferences</v>
      </c>
      <c r="CL4" s="25" t="str">
        <f>IFERROR(__xludf.DUMMYFUNCTION("""COMPUTED_VALUE"""),"SaveCloseMFPreference")</f>
        <v>SaveCloseMFPreference</v>
      </c>
      <c r="CM4" s="25" t="str">
        <f>IFERROR(__xludf.DUMMYFUNCTION("""COMPUTED_VALUE"""),"SetMFPrefAccountValues")</f>
        <v>SetMFPrefAccountValues</v>
      </c>
      <c r="CN4" s="25" t="str">
        <f>IFERROR(__xludf.DUMMYFUNCTION("""COMPUTED_VALUE"""),"ModifyMFPrefGeneralRuleValues")</f>
        <v>ModifyMFPrefGeneralRuleValues</v>
      </c>
      <c r="CO4" s="25" t="str">
        <f>IFERROR(__xludf.DUMMYFUNCTION("""COMPUTED_VALUE"""),"SetMFPrefStrategyValues")</f>
        <v>SetMFPrefStrategyValues</v>
      </c>
      <c r="CP4" s="25" t="str">
        <f>IFERROR(__xludf.DUMMYFUNCTION("""COMPUTED_VALUE"""),"SetMFPrefFundDistribution")</f>
        <v>SetMFPrefFundDistribution</v>
      </c>
      <c r="CQ4" s="25" t="str">
        <f>IFERROR(__xludf.DUMMYFUNCTION("""COMPUTED_VALUE"""),"SetMFPreferencesDefaultRule")</f>
        <v>SetMFPreferencesDefaultRule</v>
      </c>
      <c r="CR4" s="25" t="str">
        <f>IFERROR(__xludf.DUMMYFUNCTION("""COMPUTED_VALUE"""),"SetMFPrefGeneralRule")</f>
        <v>SetMFPrefGeneralRule</v>
      </c>
      <c r="CS4" s="25" t="str">
        <f>IFERROR(__xludf.DUMMYFUNCTION("""COMPUTED_VALUE"""),"SetMFPrefFundDefaultRule")</f>
        <v>SetMFPrefFundDefaultRule</v>
      </c>
      <c r="CT4" s="25" t="str">
        <f>IFERROR(__xludf.DUMMYFUNCTION("""COMPUTED_VALUE"""),"ClearPrefetchFilters")</f>
        <v>ClearPrefetchFilters</v>
      </c>
      <c r="CU4" s="25" t="str">
        <f>IFERROR(__xludf.DUMMYFUNCTION("""COMPUTED_VALUE"""),"ExpandCollapseAllUnallocated")</f>
        <v>ExpandCollapseAllUnallocated</v>
      </c>
      <c r="CV4" s="25" t="str">
        <f>IFERROR(__xludf.DUMMYFUNCTION("""COMPUTED_VALUE"""),"ExpandCollapseAllAllocated")</f>
        <v>ExpandCollapseAllAllocated</v>
      </c>
      <c r="CW4" s="25" t="str">
        <f>IFERROR(__xludf.DUMMYFUNCTION("""COMPUTED_VALUE"""),"GenerateCashTransaction")</f>
        <v>GenerateCashTransaction</v>
      </c>
      <c r="CX4" s="25" t="str">
        <f>IFERROR(__xludf.DUMMYFUNCTION("""COMPUTED_VALUE"""),"SaveAllocation")</f>
        <v>SaveAllocation</v>
      </c>
      <c r="CY4" s="25" t="str">
        <f>IFERROR(__xludf.DUMMYFUNCTION("""COMPUTED_VALUE"""),"UnallocateWithOutSave")</f>
        <v>UnallocateWithOutSave</v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28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