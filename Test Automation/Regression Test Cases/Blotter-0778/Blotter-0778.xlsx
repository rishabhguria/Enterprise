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GetDailyCash" sheetId="5" r:id="rId7"/>
    <sheet state="visible" name="UpdateMultipleDailyCash" sheetId="6" r:id="rId8"/>
    <sheet state="visible" name="CreateOrderPTT" sheetId="7" r:id="rId9"/>
    <sheet state="visible" name="SelectTradeOnBlotter" sheetId="8" r:id="rId10"/>
    <sheet state="visible" name="BookAsSwap" sheetId="9" r:id="rId11"/>
    <sheet state="visible" name="CreateOrderPTT1" sheetId="10" r:id="rId12"/>
    <sheet state="visible" name="SelectTradeOnBlotter1" sheetId="11" r:id="rId13"/>
    <sheet state="visible" name="ActionOnFloatingWindow" sheetId="12" r:id="rId14"/>
    <sheet state="visible" name="VerifyBlotter" sheetId="13" r:id="rId15"/>
    <sheet state="visible" name="SelectTradeOnBlotter2" sheetId="14" r:id="rId16"/>
    <sheet state="visible" name="VerifyBlotter2" sheetId="15" r:id="rId17"/>
    <sheet state="visible" name="CheckAllocatedTaxlots" sheetId="16" r:id="rId18"/>
    <sheet state="visible" name="CheckPortfolioManagement" sheetId="17" r:id="rId19"/>
    <sheet state="visible" name="LoginClient" sheetId="18" r:id="rId20"/>
    <sheet state="visible" name="OpenRTPNL" sheetId="19" r:id="rId21"/>
    <sheet state="visible" name="CheckRealTimeSymAccountMonitor" sheetId="20" r:id="rId22"/>
  </sheets>
  <definedNames/>
  <calcPr/>
</workbook>
</file>

<file path=xl/sharedStrings.xml><?xml version="1.0" encoding="utf-8"?>
<sst xmlns="http://schemas.openxmlformats.org/spreadsheetml/2006/main" count="2007" uniqueCount="195">
  <si>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</si>
  <si>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</si>
  <si>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</si>
  <si>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</si>
  <si>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</si>
  <si>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</si>
  <si>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</si>
  <si>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</si>
  <si>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</si>
  <si>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</si>
  <si>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</si>
  <si>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</si>
  <si>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</si>
  <si>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</si>
  <si>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</si>
  <si>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</si>
  <si>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</si>
  <si>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</si>
  <si>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</si>
  <si>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</si>
  <si>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</si>
  <si>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</si>
  <si>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</si>
  <si>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</si>
  <si>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</si>
  <si>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</si>
  <si>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</si>
  <si>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</si>
  <si>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</si>
  <si>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</si>
  <si>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</si>
  <si>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</si>
  <si>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</si>
  <si>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</si>
  <si>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</si>
  <si>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</si>
  <si>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</si>
  <si>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</si>
  <si>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</si>
  <si>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</si>
  <si>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</si>
  <si>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</si>
  <si>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</si>
  <si>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</si>
  <si>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</si>
  <si>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</si>
  <si>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</si>
  <si>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</si>
  <si>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</si>
  <si>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</si>
  <si>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AAPL</t>
  </si>
  <si>
    <t>CreateOrder</t>
  </si>
  <si>
    <t>MSFT</t>
  </si>
  <si>
    <t>DoneAway</t>
  </si>
  <si>
    <t>O:AAPL 13N715.00</t>
  </si>
  <si>
    <t>DailyValuation</t>
  </si>
  <si>
    <t>GetDailyCash</t>
  </si>
  <si>
    <t>UpdateMultipleDailyCash</t>
  </si>
  <si>
    <t>Allocation1</t>
  </si>
  <si>
    <t>USD</t>
  </si>
  <si>
    <t>PTT</t>
  </si>
  <si>
    <t>CreateOrderPTT</t>
  </si>
  <si>
    <t>IBM</t>
  </si>
  <si>
    <t>Blotter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</si>
  <si>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</si>
  <si>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</si>
  <si>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</si>
  <si>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</si>
  <si>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</si>
  <si>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</si>
  <si>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</si>
  <si>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</si>
  <si>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</si>
  <si>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</si>
  <si>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</si>
  <si>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</si>
  <si>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</si>
  <si>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</si>
  <si>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</si>
  <si>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</si>
  <si>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</si>
  <si>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</si>
  <si>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</si>
  <si>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</si>
  <si>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</si>
  <si>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</si>
  <si>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</si>
  <si>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</si>
  <si>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</si>
  <si>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</si>
  <si>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</si>
  <si>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</si>
  <si>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</si>
  <si>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</si>
  <si>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</si>
  <si>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</si>
  <si>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</si>
  <si>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</si>
  <si>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</si>
  <si>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</si>
  <si>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</si>
  <si>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</si>
  <si>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</si>
  <si>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</si>
  <si>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</si>
  <si>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</si>
  <si>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</si>
  <si>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</si>
  <si>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</si>
  <si>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</si>
  <si>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</si>
  <si>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</si>
  <si>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</si>
  <si>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</si>
  <si>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</si>
  <si>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</si>
  <si>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</si>
  <si>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</si>
  <si>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</si>
  <si>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</si>
  <si>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</si>
  <si>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</si>
  <si>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</si>
  <si>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</si>
  <si>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</si>
  <si>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</si>
  <si>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</si>
  <si>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</si>
  <si>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</si>
  <si>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</si>
  <si>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</si>
  <si>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</si>
  <si>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</si>
  <si>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</si>
  <si>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</si>
  <si>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</si>
  <si>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</si>
  <si>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</si>
  <si>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</si>
  <si>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</si>
  <si>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</si>
  <si>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</si>
  <si>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</si>
  <si>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</si>
  <si>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</si>
  <si>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GOOG</t>
  </si>
  <si>
    <t>ActionOnFloatingWindow</t>
  </si>
  <si>
    <t>VerifyOrder</t>
  </si>
  <si>
    <t>Expiry Date</t>
  </si>
  <si>
    <t/>
  </si>
  <si>
    <t>New</t>
  </si>
  <si>
    <t>Manual</t>
  </si>
  <si>
    <t>AAPL US EQUITY</t>
  </si>
  <si>
    <t>Buy</t>
  </si>
  <si>
    <t>Equity</t>
  </si>
  <si>
    <t>jpearce</t>
  </si>
  <si>
    <t>MS</t>
  </si>
  <si>
    <t>NASDAQ</t>
  </si>
  <si>
    <t>Filled</t>
  </si>
  <si>
    <t>MSFT US EQUITY</t>
  </si>
  <si>
    <t>Buy to Open</t>
  </si>
  <si>
    <t>EquityOption</t>
  </si>
  <si>
    <t>CreateDoneAwayOrder</t>
  </si>
  <si>
    <t>Replaced</t>
  </si>
  <si>
    <t>EquitySwap</t>
  </si>
  <si>
    <t>Allocation</t>
  </si>
  <si>
    <t>CheckAllocatedTaxlots</t>
  </si>
  <si>
    <t>M</t>
  </si>
  <si>
    <t>Strategy Unallocated</t>
  </si>
  <si>
    <t>Open</t>
  </si>
  <si>
    <t>PortfolioManagement</t>
  </si>
  <si>
    <t>CheckPortfolioManagement</t>
  </si>
  <si>
    <t>NewMF</t>
  </si>
  <si>
    <t>Long</t>
  </si>
  <si>
    <t>MICROSOFT INC</t>
  </si>
  <si>
    <t>Undefined</t>
  </si>
  <si>
    <t>FIMAT</t>
  </si>
  <si>
    <t>US</t>
  </si>
  <si>
    <t>Equity General</t>
  </si>
  <si>
    <t>Information Technology</t>
  </si>
  <si>
    <t>Copper</t>
  </si>
  <si>
    <t>None</t>
  </si>
  <si>
    <t>Default</t>
  </si>
  <si>
    <t>UNITED STATES</t>
  </si>
  <si>
    <t>MSFT UDA1</t>
  </si>
  <si>
    <t>Yes</t>
  </si>
  <si>
    <t>NA</t>
  </si>
  <si>
    <t>PranaClient</t>
  </si>
  <si>
    <t>LoginClient</t>
  </si>
  <si>
    <t>Support6</t>
  </si>
  <si>
    <t>Nirvana@1</t>
  </si>
  <si>
    <t>RTPNL</t>
  </si>
  <si>
    <t>OpenRTPNL</t>
  </si>
  <si>
    <t>Nirvana,PM</t>
  </si>
  <si>
    <t>CheckRealTimeSymAccountMonitor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</si>
</sst>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3" numFmtId="0" xfId="0" applyAlignment="1" applyFill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5" fontId="4" numFmtId="0" xfId="0" applyAlignment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shrinkToFit="0" vertical="bottom" wrapText="0"/>
    </xf>
    <xf borderId="0" fillId="0" fontId="15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12" t="s">
        <v>50</v>
      </c>
      <c r="C6" s="12">
        <v>100.0</v>
      </c>
      <c r="D6" s="12">
        <v>10.0</v>
      </c>
      <c r="E6" s="12" t="s">
        <v>51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52</v>
      </c>
      <c r="C7" s="12">
        <v>100.0</v>
      </c>
      <c r="D7" s="12">
        <v>10.0</v>
      </c>
      <c r="E7" s="12" t="s">
        <v>53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54</v>
      </c>
      <c r="C8" s="12">
        <v>100.0</v>
      </c>
      <c r="D8" s="12">
        <v>10.0</v>
      </c>
      <c r="E8" s="12" t="s">
        <v>51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50</v>
      </c>
      <c r="C9" s="12">
        <v>200.0</v>
      </c>
      <c r="D9" s="12">
        <v>10.0</v>
      </c>
      <c r="E9" s="12" t="s">
        <v>51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52</v>
      </c>
      <c r="C10" s="12">
        <v>200.0</v>
      </c>
      <c r="D10" s="12">
        <v>10.0</v>
      </c>
      <c r="E10" s="12" t="s">
        <v>53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54</v>
      </c>
      <c r="C11" s="12">
        <v>200.0</v>
      </c>
      <c r="D11" s="12">
        <v>10.0</v>
      </c>
      <c r="E11" s="12" t="s">
        <v>51</v>
      </c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IFERROR(__xludf.DUMMYFUNCTION("""COMPUTED_VALUE"""),"Select Date")</f>
        <v>Select Date</v>
      </c>
      <c r="C5" s="31" t="str">
        <f>IFERROR(__xludf.DUMMYFUNCTION("""COMPUTED_VALUE"""),"Copy From")</f>
        <v>Copy From</v>
      </c>
      <c r="D5" s="31"/>
      <c r="E5" s="31"/>
      <c r="F5" s="32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34">
        <f>TODAY()-1</f>
        <v>45761</v>
      </c>
      <c r="C6" s="35">
        <f>TODAY()</f>
        <v>45762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IFERROR(__xludf.DUMMYFUNCTION("""COMPUTED_VALUE"""),"Account")</f>
        <v>Account</v>
      </c>
      <c r="C5" s="31" t="str">
        <f>IFERROR(__xludf.DUMMYFUNCTION("""COMPUTED_VALUE"""),"Local Currency")</f>
        <v>Local Currency</v>
      </c>
      <c r="D5" s="31" t="str">
        <f>IFERROR(__xludf.DUMMYFUNCTION("""COMPUTED_VALUE"""),"Cash Value Local")</f>
        <v>Cash Value Local</v>
      </c>
      <c r="E5" s="31"/>
      <c r="F5" s="32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58</v>
      </c>
      <c r="C6" s="12" t="s">
        <v>59</v>
      </c>
      <c r="D6" s="12">
        <v>1.0E7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IFERROR(__xludf.DUMMYFUNCTION("""COMPUTED_VALUE"""),"Ticker")</f>
        <v>Ticker</v>
      </c>
      <c r="C5" s="31" t="str">
        <f>IFERROR(__xludf.DUMMYFUNCTION("""COMPUTED_VALUE"""),"Add/Set")</f>
        <v>Add/Set</v>
      </c>
      <c r="D5" s="31" t="str">
        <f>IFERROR(__xludf.DUMMYFUNCTION("""COMPUTED_VALUE"""),"Type")</f>
        <v>Type</v>
      </c>
      <c r="E5" s="31" t="str">
        <f>IFERROR(__xludf.DUMMYFUNCTION("""COMPUTED_VALUE"""),"Target")</f>
        <v>Target</v>
      </c>
      <c r="F5" s="32" t="str">
        <f>IFERROR(__xludf.DUMMYFUNCTION("""COMPUTED_VALUE"""),"Price")</f>
        <v>Price</v>
      </c>
      <c r="G5" s="31" t="str">
        <f>IFERROR(__xludf.DUMMYFUNCTION("""COMPUTED_VALUE"""),"Combined Account Total")</f>
        <v>Combined Account Total</v>
      </c>
      <c r="H5" s="31" t="str">
        <f>IFERROR(__xludf.DUMMYFUNCTION("""COMPUTED_VALUE"""),"MasterFund/Account")</f>
        <v>MasterFund/Account</v>
      </c>
      <c r="I5" s="31" t="str">
        <f>IFERROR(__xludf.DUMMYFUNCTION("""COMPUTED_VALUE"""),"Accounts")</f>
        <v>Accounts</v>
      </c>
      <c r="J5" s="31" t="str">
        <f>IFERROR(__xludf.DUMMYFUNCTION("""COMPUTED_VALUE"""),"SoftNotesCount")</f>
        <v>SoftNotesCount</v>
      </c>
      <c r="K5" s="31" t="str">
        <f>IFERROR(__xludf.DUMMYFUNCTION("""COMPUTED_VALUE"""),"SoftNotesComment")</f>
        <v>SoftNotesComment</v>
      </c>
      <c r="L5" s="31" t="str">
        <f>IFERROR(__xludf.DUMMYFUNCTION("""COMPUTED_VALUE"""),"DoNotAllowTrade")</f>
        <v>DoNotAllowTrade</v>
      </c>
      <c r="M5" s="31" t="str">
        <f>IFERROR(__xludf.DUMMYFUNCTION("""COMPUTED_VALUE"""),"Round Lots")</f>
        <v>Round Lots</v>
      </c>
      <c r="N5" s="31" t="str">
        <f>IFERROR(__xludf.DUMMYFUNCTION("""COMPUTED_VALUE"""),"Alert Type")</f>
        <v>Alert Type</v>
      </c>
      <c r="O5" s="31" t="str">
        <f>IFERROR(__xludf.DUMMYFUNCTION("""COMPUTED_VALUE"""),"Use Custodian Broker")</f>
        <v>Use Custodian Broker</v>
      </c>
      <c r="P5" s="31" t="str">
        <f>IFERROR(__xludf.DUMMYFUNCTION("""COMPUTED_VALUE"""),"Broker")</f>
        <v>Broker</v>
      </c>
      <c r="Q5" s="31" t="str">
        <f>IFERROR(__xludf.DUMMYFUNCTION("""COMPUTED_VALUE"""),"Venue")</f>
        <v>Venue</v>
      </c>
      <c r="R5" s="31" t="str">
        <f>IFERROR(__xludf.DUMMYFUNCTION("""COMPUTED_VALUE"""),"TIF")</f>
        <v>TIF</v>
      </c>
      <c r="S5" s="31" t="str">
        <f>IFERROR(__xludf.DUMMYFUNCTION("""COMPUTED_VALUE"""),"Order Type")</f>
        <v>Order Type</v>
      </c>
      <c r="T5" s="33" t="str">
        <f>IFERROR(__xludf.DUMMYFUNCTION("""COMPUTED_VALUE"""),"Stop")</f>
        <v>Stop</v>
      </c>
      <c r="U5" s="33" t="str">
        <f>IFERROR(__xludf.DUMMYFUNCTION("""COMPUTED_VALUE"""),"Limit")</f>
        <v>Limit</v>
      </c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62</v>
      </c>
      <c r="C6" s="8"/>
      <c r="D6" s="12"/>
      <c r="E6" s="12">
        <v>10.0</v>
      </c>
      <c r="F6" s="12">
        <v>10.0</v>
      </c>
      <c r="G6" s="8"/>
      <c r="H6" s="8"/>
      <c r="I6" s="12" t="s">
        <v>58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7"/>
      <c r="B5" s="38" t="s">
        <v>65</v>
      </c>
      <c r="C5" s="38" t="s">
        <v>66</v>
      </c>
      <c r="D5" s="38" t="s">
        <v>67</v>
      </c>
      <c r="E5" s="38" t="s">
        <v>68</v>
      </c>
      <c r="F5" s="39" t="s">
        <v>69</v>
      </c>
      <c r="G5" s="38" t="s">
        <v>70</v>
      </c>
      <c r="H5" s="38" t="s">
        <v>44</v>
      </c>
      <c r="I5" s="38" t="s">
        <v>71</v>
      </c>
      <c r="J5" s="38" t="s">
        <v>72</v>
      </c>
      <c r="K5" s="38" t="s">
        <v>17</v>
      </c>
      <c r="L5" s="38" t="s">
        <v>73</v>
      </c>
      <c r="M5" s="38" t="s">
        <v>74</v>
      </c>
      <c r="N5" s="38" t="s">
        <v>75</v>
      </c>
      <c r="O5" s="38" t="s">
        <v>76</v>
      </c>
      <c r="P5" s="38" t="s">
        <v>77</v>
      </c>
      <c r="Q5" s="38" t="s">
        <v>78</v>
      </c>
      <c r="R5" s="38" t="s">
        <v>79</v>
      </c>
      <c r="S5" s="38" t="s">
        <v>80</v>
      </c>
      <c r="T5" s="38" t="s">
        <v>81</v>
      </c>
      <c r="U5" s="38" t="s">
        <v>82</v>
      </c>
      <c r="V5" s="38" t="s">
        <v>83</v>
      </c>
      <c r="W5" s="38" t="s">
        <v>84</v>
      </c>
      <c r="X5" s="38" t="s">
        <v>85</v>
      </c>
      <c r="Y5" s="38" t="s">
        <v>86</v>
      </c>
      <c r="Z5" s="38" t="s">
        <v>87</v>
      </c>
      <c r="AA5" s="38" t="s">
        <v>88</v>
      </c>
      <c r="AB5" s="38" t="s">
        <v>89</v>
      </c>
      <c r="AC5" s="38" t="s">
        <v>90</v>
      </c>
      <c r="AD5" s="38" t="s">
        <v>91</v>
      </c>
      <c r="AE5" s="38" t="s">
        <v>92</v>
      </c>
      <c r="AF5" s="38" t="s">
        <v>93</v>
      </c>
      <c r="AG5" s="38" t="s">
        <v>94</v>
      </c>
      <c r="AH5" s="38" t="s">
        <v>95</v>
      </c>
      <c r="AI5" s="38" t="s">
        <v>96</v>
      </c>
      <c r="AJ5" s="38" t="s">
        <v>16</v>
      </c>
      <c r="AK5" s="38" t="s">
        <v>97</v>
      </c>
      <c r="AL5" s="38" t="s">
        <v>98</v>
      </c>
      <c r="AM5" s="38" t="s">
        <v>99</v>
      </c>
      <c r="AN5" s="38" t="s">
        <v>100</v>
      </c>
      <c r="AO5" s="38" t="s">
        <v>101</v>
      </c>
      <c r="AP5" s="38" t="s">
        <v>102</v>
      </c>
      <c r="AQ5" s="38" t="s">
        <v>103</v>
      </c>
      <c r="AR5" s="38" t="s">
        <v>104</v>
      </c>
      <c r="AS5" s="38" t="s">
        <v>105</v>
      </c>
      <c r="AT5" s="38" t="s">
        <v>106</v>
      </c>
      <c r="AU5" s="38" t="s">
        <v>41</v>
      </c>
      <c r="AV5" s="38" t="s">
        <v>30</v>
      </c>
      <c r="AW5" s="38" t="s">
        <v>36</v>
      </c>
      <c r="AX5" s="38" t="s">
        <v>107</v>
      </c>
      <c r="AY5" s="38" t="s">
        <v>108</v>
      </c>
      <c r="AZ5" s="38" t="s">
        <v>109</v>
      </c>
      <c r="BA5" s="38" t="s">
        <v>110</v>
      </c>
      <c r="BB5" s="38" t="s">
        <v>111</v>
      </c>
      <c r="BC5" s="38" t="s">
        <v>112</v>
      </c>
      <c r="BD5" s="38" t="s">
        <v>113</v>
      </c>
      <c r="BE5" s="38" t="s">
        <v>114</v>
      </c>
      <c r="BF5" s="38" t="s">
        <v>115</v>
      </c>
      <c r="BG5" s="38" t="s">
        <v>116</v>
      </c>
      <c r="BH5" s="38" t="s">
        <v>117</v>
      </c>
      <c r="BI5" s="38" t="s">
        <v>118</v>
      </c>
      <c r="BJ5" s="38" t="s">
        <v>35</v>
      </c>
      <c r="BK5" s="38" t="s">
        <v>119</v>
      </c>
      <c r="BL5" s="38" t="s">
        <v>120</v>
      </c>
      <c r="BM5" s="38" t="s">
        <v>121</v>
      </c>
      <c r="BN5" s="38" t="s">
        <v>122</v>
      </c>
      <c r="BO5" s="38" t="s">
        <v>123</v>
      </c>
      <c r="BP5" s="38" t="s">
        <v>124</v>
      </c>
      <c r="BQ5" s="38" t="s">
        <v>125</v>
      </c>
      <c r="BR5" s="38" t="s">
        <v>126</v>
      </c>
      <c r="BS5" s="38" t="s">
        <v>127</v>
      </c>
      <c r="BT5" s="38" t="s">
        <v>128</v>
      </c>
      <c r="BU5" s="38" t="s">
        <v>129</v>
      </c>
      <c r="BV5" s="38" t="s">
        <v>130</v>
      </c>
      <c r="BW5" s="38" t="s">
        <v>131</v>
      </c>
      <c r="BX5" s="38" t="s">
        <v>132</v>
      </c>
      <c r="BY5" s="38" t="s">
        <v>133</v>
      </c>
      <c r="BZ5" s="38" t="s">
        <v>134</v>
      </c>
      <c r="CA5" s="38" t="s">
        <v>135</v>
      </c>
      <c r="CB5" s="38" t="s">
        <v>136</v>
      </c>
      <c r="CC5" s="38" t="s">
        <v>137</v>
      </c>
      <c r="CD5" s="38" t="s">
        <v>138</v>
      </c>
      <c r="CE5" s="38" t="s">
        <v>139</v>
      </c>
      <c r="CF5" s="38" t="s">
        <v>140</v>
      </c>
      <c r="CG5" s="38" t="s">
        <v>141</v>
      </c>
      <c r="CH5" s="38" t="s">
        <v>142</v>
      </c>
      <c r="CI5" s="38" t="s">
        <v>143</v>
      </c>
      <c r="CJ5" s="38" t="s">
        <v>144</v>
      </c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J6" s="12" t="s">
        <v>54</v>
      </c>
      <c r="AM6" s="12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J7" s="12" t="s">
        <v>52</v>
      </c>
      <c r="AM7" s="12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J8" s="12" t="s">
        <v>62</v>
      </c>
      <c r="AM8" s="1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IFERROR(__xludf.DUMMYFUNCTION("""COMPUTED_VALUE"""),"Transaction Time")</f>
        <v>Transaction Time</v>
      </c>
      <c r="C5" s="31" t="str">
        <f>IFERROR(__xludf.DUMMYFUNCTION("""COMPUTED_VALUE"""),"Algo")</f>
        <v>Algo</v>
      </c>
      <c r="D5" s="31" t="str">
        <f>IFERROR(__xludf.DUMMYFUNCTION("""COMPUTED_VALUE"""),"Avg Fill Price (Base)")</f>
        <v>Avg Fill Price (Base)</v>
      </c>
      <c r="E5" s="31" t="str">
        <f>IFERROR(__xludf.DUMMYFUNCTION("""COMPUTED_VALUE"""),"Bloomberg Symbol")</f>
        <v>Bloomberg Symbol</v>
      </c>
      <c r="F5" s="32" t="str">
        <f>IFERROR(__xludf.DUMMYFUNCTION("""COMPUTED_VALUE"""),"Limit Price")</f>
        <v>Limit Price</v>
      </c>
      <c r="G5" s="31" t="str">
        <f>IFERROR(__xludf.DUMMYFUNCTION("""COMPUTED_VALUE"""),"Working Qty")</f>
        <v>Working Qty</v>
      </c>
      <c r="H5" s="31" t="str">
        <f>IFERROR(__xludf.DUMMYFUNCTION("""COMPUTED_VALUE"""),"Venue")</f>
        <v>Venue</v>
      </c>
      <c r="I5" s="31" t="str">
        <f>IFERROR(__xludf.DUMMYFUNCTION("""COMPUTED_VALUE"""),"User")</f>
        <v>User</v>
      </c>
      <c r="J5" s="31" t="str">
        <f>IFERROR(__xludf.DUMMYFUNCTION("""COMPUTED_VALUE"""),"Underlying Symbol")</f>
        <v>Underlying Symbol</v>
      </c>
      <c r="K5" s="31" t="str">
        <f>IFERROR(__xludf.DUMMYFUNCTION("""COMPUTED_VALUE"""),"Underlying Country")</f>
        <v>Underlying Country</v>
      </c>
      <c r="L5" s="31" t="str">
        <f>IFERROR(__xludf.DUMMYFUNCTION("""COMPUTED_VALUE"""),"Trader")</f>
        <v>Trader</v>
      </c>
      <c r="M5" s="31" t="str">
        <f>IFERROR(__xludf.DUMMYFUNCTION("""COMPUTED_VALUE"""),"Trade Attribute 6")</f>
        <v>Trade Attribute 6</v>
      </c>
      <c r="N5" s="31" t="str">
        <f>IFERROR(__xludf.DUMMYFUNCTION("""COMPUTED_VALUE"""),"Trade Attribute 5")</f>
        <v>Trade Attribute 5</v>
      </c>
      <c r="O5" s="31" t="str">
        <f>IFERROR(__xludf.DUMMYFUNCTION("""COMPUTED_VALUE"""),"Trade Attribute 4")</f>
        <v>Trade Attribute 4</v>
      </c>
      <c r="P5" s="31" t="str">
        <f>IFERROR(__xludf.DUMMYFUNCTION("""COMPUTED_VALUE"""),"Trade Attribute 3")</f>
        <v>Trade Attribute 3</v>
      </c>
      <c r="Q5" s="31" t="str">
        <f>IFERROR(__xludf.DUMMYFUNCTION("""COMPUTED_VALUE"""),"Trade Attribute 1")</f>
        <v>Trade Attribute 1</v>
      </c>
      <c r="R5" s="31" t="str">
        <f>IFERROR(__xludf.DUMMYFUNCTION("""COMPUTED_VALUE"""),"Trade Attribute 2")</f>
        <v>Trade Attribute 2</v>
      </c>
      <c r="S5" s="31" t="str">
        <f>IFERROR(__xludf.DUMMYFUNCTION("""COMPUTED_VALUE"""),"Strike Price")</f>
        <v>Strike Price</v>
      </c>
      <c r="T5" s="33" t="str">
        <f>IFERROR(__xludf.DUMMYFUNCTION("""COMPUTED_VALUE"""),"Stop Price")</f>
        <v>Stop Price</v>
      </c>
      <c r="U5" s="33" t="str">
        <f>IFERROR(__xludf.DUMMYFUNCTION("""COMPUTED_VALUE"""),"Settlement Currency")</f>
        <v>Settlement Currency</v>
      </c>
      <c r="V5" s="33" t="str">
        <f>IFERROR(__xludf.DUMMYFUNCTION("""COMPUTED_VALUE"""),"Put/Call")</f>
        <v>Put/Call</v>
      </c>
      <c r="W5" s="33" t="str">
        <f>IFERROR(__xludf.DUMMYFUNCTION("""COMPUTED_VALUE"""),"Process Date")</f>
        <v>Process Date</v>
      </c>
      <c r="X5" s="33" t="str">
        <f>IFERROR(__xludf.DUMMYFUNCTION("""COMPUTED_VALUE"""),"Peg")</f>
        <v>Peg</v>
      </c>
      <c r="Y5" s="33" t="str">
        <f>IFERROR(__xludf.DUMMYFUNCTION("""COMPUTED_VALUE"""),"ParentClOrderID")</f>
        <v>ParentClOrderID</v>
      </c>
      <c r="Z5" s="33" t="str">
        <f>IFERROR(__xludf.DUMMYFUNCTION("""COMPUTED_VALUE"""),"OrderID")</f>
        <v>OrderID</v>
      </c>
      <c r="AA5" s="33" t="str">
        <f>IFERROR(__xludf.DUMMYFUNCTION("""COMPUTED_VALUE"""),"Master Fund")</f>
        <v>Master Fund</v>
      </c>
      <c r="AB5" s="33" t="str">
        <f>IFERROR(__xludf.DUMMYFUNCTION("""COMPUTED_VALUE"""),"Last Shares")</f>
        <v>Last Shares</v>
      </c>
      <c r="AC5" s="33" t="str">
        <f>IFERROR(__xludf.DUMMYFUNCTION("""COMPUTED_VALUE"""),"Internal Comments")</f>
        <v>Internal Comments</v>
      </c>
      <c r="AD5" s="33" t="str">
        <f>IFERROR(__xludf.DUMMYFUNCTION("""COMPUTED_VALUE"""),"FX Rate")</f>
        <v>FX Rate</v>
      </c>
      <c r="AE5" s="33" t="str">
        <f>IFERROR(__xludf.DUMMYFUNCTION("""COMPUTED_VALUE"""),"Imported File Name")</f>
        <v>Imported File Name</v>
      </c>
      <c r="AF5" s="33" t="str">
        <f>IFERROR(__xludf.DUMMYFUNCTION("""COMPUTED_VALUE"""),"FX Conversion Operator")</f>
        <v>FX Conversion Operator</v>
      </c>
      <c r="AG5" s="33" t="str">
        <f>IFERROR(__xludf.DUMMYFUNCTION("""COMPUTED_VALUE"""),"Day Average Price")</f>
        <v>Day Average Price</v>
      </c>
      <c r="AH5" s="33" t="str">
        <f>IFERROR(__xludf.DUMMYFUNCTION("""COMPUTED_VALUE"""),"Asset Class")</f>
        <v>Asset Class</v>
      </c>
      <c r="AI5" s="33" t="str">
        <f>IFERROR(__xludf.DUMMYFUNCTION("""COMPUTED_VALUE"""),"Symbol")</f>
        <v>Symbol</v>
      </c>
      <c r="AJ5" s="33" t="str">
        <f>IFERROR(__xludf.DUMMYFUNCTION("""COMPUTED_VALUE"""),"Side")</f>
        <v>Side</v>
      </c>
      <c r="AK5" s="33" t="str">
        <f>IFERROR(__xludf.DUMMYFUNCTION("""COMPUTED_VALUE"""),"Status")</f>
        <v>Status</v>
      </c>
      <c r="AL5" s="33" t="str">
        <f>IFERROR(__xludf.DUMMYFUNCTION("""COMPUTED_VALUE"""),"Target Qty")</f>
        <v>Target Qty</v>
      </c>
      <c r="AM5" s="33" t="str">
        <f>IFERROR(__xludf.DUMMYFUNCTION("""COMPUTED_VALUE"""),"Total Executed Qty")</f>
        <v>Total Executed Qty</v>
      </c>
      <c r="AN5" s="33" t="str">
        <f>IFERROR(__xludf.DUMMYFUNCTION("""COMPUTED_VALUE"""),"% Executed")</f>
        <v>% Executed</v>
      </c>
      <c r="AO5" s="33" t="str">
        <f>IFERROR(__xludf.DUMMYFUNCTION("""COMPUTED_VALUE"""),"Day Executed Qty")</f>
        <v>Day Executed Qty</v>
      </c>
      <c r="AP5" s="33" t="str">
        <f>IFERROR(__xludf.DUMMYFUNCTION("""COMPUTED_VALUE"""),"Uncommitted Qty")</f>
        <v>Uncommitted Qty</v>
      </c>
      <c r="AQ5" s="33" t="str">
        <f>IFERROR(__xludf.DUMMYFUNCTION("""COMPUTED_VALUE"""),"Last Fill Price (Local)")</f>
        <v>Last Fill Price (Local)</v>
      </c>
      <c r="AR5" s="33" t="str">
        <f>IFERROR(__xludf.DUMMYFUNCTION("""COMPUTED_VALUE"""),"Avg Fill Price (Local)")</f>
        <v>Avg Fill Price (Local)</v>
      </c>
      <c r="AS5" s="33" t="str">
        <f>IFERROR(__xludf.DUMMYFUNCTION("""COMPUTED_VALUE"""),"Broker")</f>
        <v>Broker</v>
      </c>
      <c r="AT5" s="33" t="str">
        <f>IFERROR(__xludf.DUMMYFUNCTION("""COMPUTED_VALUE"""),"Account")</f>
        <v>Account</v>
      </c>
      <c r="AU5" s="33" t="str">
        <f>IFERROR(__xludf.DUMMYFUNCTION("""COMPUTED_VALUE"""),"Order Type")</f>
        <v>Order Type</v>
      </c>
      <c r="AV5" s="33" t="str">
        <f>IFERROR(__xludf.DUMMYFUNCTION("""COMPUTED_VALUE"""),"Principal Amount (Local)")</f>
        <v>Principal Amount (Local)</v>
      </c>
      <c r="AW5" s="33" t="str">
        <f>IFERROR(__xludf.DUMMYFUNCTION("""COMPUTED_VALUE"""),"Principal Amount (Base)")</f>
        <v>Principal Amount (Base)</v>
      </c>
      <c r="AX5" s="33" t="str">
        <f>IFERROR(__xludf.DUMMYFUNCTION("""COMPUTED_VALUE"""),"Allocation Scheme Name")</f>
        <v>Allocation Scheme Name</v>
      </c>
      <c r="AY5" s="33" t="str">
        <f>IFERROR(__xludf.DUMMYFUNCTION("""COMPUTED_VALUE"""),"Status (With Rollover)")</f>
        <v>Status (With Rollover)</v>
      </c>
      <c r="AZ5" s="33" t="str">
        <f>IFERROR(__xludf.DUMMYFUNCTION("""COMPUTED_VALUE"""),"Start of Day Qty")</f>
        <v>Start of Day Qty</v>
      </c>
      <c r="BA5" s="33" t="str">
        <f>IFERROR(__xludf.DUMMYFUNCTION("""COMPUTED_VALUE"""),"Leaves")</f>
        <v>Leaves</v>
      </c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50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BookAsSwap!$4:$4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IFERROR(__xludf.DUMMYFUNCTION("""COMPUTED_VALUE"""),"Ticker")</f>
        <v>Ticker</v>
      </c>
      <c r="C5" s="31" t="str">
        <f>IFERROR(__xludf.DUMMYFUNCTION("""COMPUTED_VALUE"""),"Add/Set")</f>
        <v>Add/Set</v>
      </c>
      <c r="D5" s="31" t="str">
        <f>IFERROR(__xludf.DUMMYFUNCTION("""COMPUTED_VALUE"""),"Type")</f>
        <v>Type</v>
      </c>
      <c r="E5" s="31" t="str">
        <f>IFERROR(__xludf.DUMMYFUNCTION("""COMPUTED_VALUE"""),"Target")</f>
        <v>Target</v>
      </c>
      <c r="F5" s="32" t="str">
        <f>IFERROR(__xludf.DUMMYFUNCTION("""COMPUTED_VALUE"""),"Price")</f>
        <v>Price</v>
      </c>
      <c r="G5" s="31" t="str">
        <f>IFERROR(__xludf.DUMMYFUNCTION("""COMPUTED_VALUE"""),"Combined Account Total")</f>
        <v>Combined Account Total</v>
      </c>
      <c r="H5" s="31" t="str">
        <f>IFERROR(__xludf.DUMMYFUNCTION("""COMPUTED_VALUE"""),"MasterFund/Account")</f>
        <v>MasterFund/Account</v>
      </c>
      <c r="I5" s="31" t="str">
        <f>IFERROR(__xludf.DUMMYFUNCTION("""COMPUTED_VALUE"""),"Accounts")</f>
        <v>Accounts</v>
      </c>
      <c r="J5" s="31" t="str">
        <f>IFERROR(__xludf.DUMMYFUNCTION("""COMPUTED_VALUE"""),"SoftNotesCount")</f>
        <v>SoftNotesCount</v>
      </c>
      <c r="K5" s="31" t="str">
        <f>IFERROR(__xludf.DUMMYFUNCTION("""COMPUTED_VALUE"""),"SoftNotesComment")</f>
        <v>SoftNotesComment</v>
      </c>
      <c r="L5" s="31" t="str">
        <f>IFERROR(__xludf.DUMMYFUNCTION("""COMPUTED_VALUE"""),"DoNotAllowTrade")</f>
        <v>DoNotAllowTrade</v>
      </c>
      <c r="M5" s="31" t="str">
        <f>IFERROR(__xludf.DUMMYFUNCTION("""COMPUTED_VALUE"""),"Round Lots")</f>
        <v>Round Lots</v>
      </c>
      <c r="N5" s="31" t="str">
        <f>IFERROR(__xludf.DUMMYFUNCTION("""COMPUTED_VALUE"""),"Alert Type")</f>
        <v>Alert Type</v>
      </c>
      <c r="O5" s="31" t="str">
        <f>IFERROR(__xludf.DUMMYFUNCTION("""COMPUTED_VALUE"""),"Use Custodian Broker")</f>
        <v>Use Custodian Broker</v>
      </c>
      <c r="P5" s="31" t="str">
        <f>IFERROR(__xludf.DUMMYFUNCTION("""COMPUTED_VALUE"""),"Broker")</f>
        <v>Broker</v>
      </c>
      <c r="Q5" s="31" t="str">
        <f>IFERROR(__xludf.DUMMYFUNCTION("""COMPUTED_VALUE"""),"Venue")</f>
        <v>Venue</v>
      </c>
      <c r="R5" s="31" t="str">
        <f>IFERROR(__xludf.DUMMYFUNCTION("""COMPUTED_VALUE"""),"TIF")</f>
        <v>TIF</v>
      </c>
      <c r="S5" s="31" t="str">
        <f>IFERROR(__xludf.DUMMYFUNCTION("""COMPUTED_VALUE"""),"Order Type")</f>
        <v>Order Type</v>
      </c>
      <c r="T5" s="33" t="str">
        <f>IFERROR(__xludf.DUMMYFUNCTION("""COMPUTED_VALUE"""),"Stop")</f>
        <v>Stop</v>
      </c>
      <c r="U5" s="33" t="str">
        <f>IFERROR(__xludf.DUMMYFUNCTION("""COMPUTED_VALUE"""),"Limit")</f>
        <v>Limit</v>
      </c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145</v>
      </c>
      <c r="C6" s="8"/>
      <c r="D6" s="12"/>
      <c r="E6" s="12">
        <v>10.0</v>
      </c>
      <c r="F6" s="12">
        <v>10.0</v>
      </c>
      <c r="G6" s="8"/>
      <c r="H6" s="8"/>
      <c r="I6" s="12" t="s">
        <v>58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7"/>
      <c r="B5" s="38" t="s">
        <v>65</v>
      </c>
      <c r="C5" s="38" t="s">
        <v>66</v>
      </c>
      <c r="D5" s="38" t="s">
        <v>67</v>
      </c>
      <c r="E5" s="38" t="s">
        <v>68</v>
      </c>
      <c r="F5" s="39" t="s">
        <v>69</v>
      </c>
      <c r="G5" s="38" t="s">
        <v>70</v>
      </c>
      <c r="H5" s="38" t="s">
        <v>44</v>
      </c>
      <c r="I5" s="38" t="s">
        <v>71</v>
      </c>
      <c r="J5" s="38" t="s">
        <v>72</v>
      </c>
      <c r="K5" s="38" t="s">
        <v>17</v>
      </c>
      <c r="L5" s="38" t="s">
        <v>73</v>
      </c>
      <c r="M5" s="38" t="s">
        <v>74</v>
      </c>
      <c r="N5" s="38" t="s">
        <v>75</v>
      </c>
      <c r="O5" s="38" t="s">
        <v>76</v>
      </c>
      <c r="P5" s="38" t="s">
        <v>77</v>
      </c>
      <c r="Q5" s="38" t="s">
        <v>78</v>
      </c>
      <c r="R5" s="38" t="s">
        <v>79</v>
      </c>
      <c r="S5" s="38" t="s">
        <v>80</v>
      </c>
      <c r="T5" s="38" t="s">
        <v>81</v>
      </c>
      <c r="U5" s="38" t="s">
        <v>82</v>
      </c>
      <c r="V5" s="38" t="s">
        <v>83</v>
      </c>
      <c r="W5" s="38" t="s">
        <v>84</v>
      </c>
      <c r="X5" s="38" t="s">
        <v>85</v>
      </c>
      <c r="Y5" s="38" t="s">
        <v>86</v>
      </c>
      <c r="Z5" s="38" t="s">
        <v>87</v>
      </c>
      <c r="AA5" s="38" t="s">
        <v>88</v>
      </c>
      <c r="AB5" s="38" t="s">
        <v>89</v>
      </c>
      <c r="AC5" s="38" t="s">
        <v>90</v>
      </c>
      <c r="AD5" s="38" t="s">
        <v>91</v>
      </c>
      <c r="AE5" s="38" t="s">
        <v>92</v>
      </c>
      <c r="AF5" s="38" t="s">
        <v>93</v>
      </c>
      <c r="AG5" s="38" t="s">
        <v>94</v>
      </c>
      <c r="AH5" s="38" t="s">
        <v>95</v>
      </c>
      <c r="AI5" s="38" t="s">
        <v>96</v>
      </c>
      <c r="AJ5" s="38" t="s">
        <v>16</v>
      </c>
      <c r="AK5" s="38" t="s">
        <v>97</v>
      </c>
      <c r="AL5" s="38" t="s">
        <v>98</v>
      </c>
      <c r="AM5" s="38" t="s">
        <v>99</v>
      </c>
      <c r="AN5" s="38" t="s">
        <v>100</v>
      </c>
      <c r="AO5" s="38" t="s">
        <v>101</v>
      </c>
      <c r="AP5" s="38" t="s">
        <v>102</v>
      </c>
      <c r="AQ5" s="38" t="s">
        <v>103</v>
      </c>
      <c r="AR5" s="38" t="s">
        <v>104</v>
      </c>
      <c r="AS5" s="38" t="s">
        <v>105</v>
      </c>
      <c r="AT5" s="38" t="s">
        <v>106</v>
      </c>
      <c r="AU5" s="38" t="s">
        <v>41</v>
      </c>
      <c r="AV5" s="38" t="s">
        <v>30</v>
      </c>
      <c r="AW5" s="38" t="s">
        <v>36</v>
      </c>
      <c r="AX5" s="38" t="s">
        <v>107</v>
      </c>
      <c r="AY5" s="38" t="s">
        <v>108</v>
      </c>
      <c r="AZ5" s="38" t="s">
        <v>109</v>
      </c>
      <c r="BA5" s="38" t="s">
        <v>110</v>
      </c>
      <c r="BB5" s="38" t="s">
        <v>111</v>
      </c>
      <c r="BC5" s="38" t="s">
        <v>112</v>
      </c>
      <c r="BD5" s="38" t="s">
        <v>113</v>
      </c>
      <c r="BE5" s="38" t="s">
        <v>114</v>
      </c>
      <c r="BF5" s="38" t="s">
        <v>115</v>
      </c>
      <c r="BG5" s="38" t="s">
        <v>116</v>
      </c>
      <c r="BH5" s="38" t="s">
        <v>117</v>
      </c>
      <c r="BI5" s="38" t="s">
        <v>118</v>
      </c>
      <c r="BJ5" s="38" t="s">
        <v>35</v>
      </c>
      <c r="BK5" s="38" t="s">
        <v>119</v>
      </c>
      <c r="BL5" s="38" t="s">
        <v>120</v>
      </c>
      <c r="BM5" s="38" t="s">
        <v>121</v>
      </c>
      <c r="BN5" s="38" t="s">
        <v>122</v>
      </c>
      <c r="BO5" s="38" t="s">
        <v>123</v>
      </c>
      <c r="BP5" s="38" t="s">
        <v>124</v>
      </c>
      <c r="BQ5" s="38" t="s">
        <v>125</v>
      </c>
      <c r="BR5" s="38" t="s">
        <v>126</v>
      </c>
      <c r="BS5" s="38" t="s">
        <v>127</v>
      </c>
      <c r="BT5" s="38" t="s">
        <v>128</v>
      </c>
      <c r="BU5" s="38" t="s">
        <v>129</v>
      </c>
      <c r="BV5" s="38" t="s">
        <v>130</v>
      </c>
      <c r="BW5" s="38" t="s">
        <v>131</v>
      </c>
      <c r="BX5" s="38" t="s">
        <v>132</v>
      </c>
      <c r="BY5" s="38" t="s">
        <v>133</v>
      </c>
      <c r="BZ5" s="38" t="s">
        <v>134</v>
      </c>
      <c r="CA5" s="38" t="s">
        <v>135</v>
      </c>
      <c r="CB5" s="38" t="s">
        <v>136</v>
      </c>
      <c r="CC5" s="38" t="s">
        <v>137</v>
      </c>
      <c r="CD5" s="38" t="s">
        <v>138</v>
      </c>
      <c r="CE5" s="38" t="s">
        <v>139</v>
      </c>
      <c r="CF5" s="38" t="s">
        <v>140</v>
      </c>
      <c r="CG5" s="38" t="s">
        <v>141</v>
      </c>
      <c r="CH5" s="38" t="s">
        <v>142</v>
      </c>
      <c r="CI5" s="38" t="s">
        <v>143</v>
      </c>
      <c r="CJ5" s="38" t="s">
        <v>144</v>
      </c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J6" s="12" t="s">
        <v>50</v>
      </c>
      <c r="AM6" s="12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J7" s="12" t="s">
        <v>52</v>
      </c>
      <c r="AM7" s="12">
        <v>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J8" s="12" t="s">
        <v>54</v>
      </c>
      <c r="AM8" s="12">
        <v>200.0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J9" s="12" t="s">
        <v>145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146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IFERROR(__xludf.DUMMYFUNCTION("""COMPUTED_VALUE"""),"Action")</f>
        <v>Action</v>
      </c>
      <c r="C5" s="31"/>
      <c r="D5" s="31"/>
      <c r="E5" s="31"/>
      <c r="F5" s="32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49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ActionOnFloatingWindow!$4:$4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147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37"/>
      <c r="B5" s="38" t="s">
        <v>69</v>
      </c>
      <c r="C5" s="38" t="s">
        <v>82</v>
      </c>
      <c r="D5" s="38" t="s">
        <v>88</v>
      </c>
      <c r="E5" s="38" t="s">
        <v>148</v>
      </c>
      <c r="F5" s="39" t="s">
        <v>98</v>
      </c>
      <c r="G5" s="38" t="s">
        <v>86</v>
      </c>
      <c r="H5" s="38" t="s">
        <v>87</v>
      </c>
      <c r="I5" s="38" t="s">
        <v>65</v>
      </c>
      <c r="J5" s="38" t="s">
        <v>109</v>
      </c>
      <c r="K5" s="38" t="s">
        <v>81</v>
      </c>
      <c r="L5" s="38" t="s">
        <v>90</v>
      </c>
      <c r="M5" s="38" t="s">
        <v>105</v>
      </c>
      <c r="N5" s="38" t="s">
        <v>70</v>
      </c>
      <c r="O5" s="38" t="s">
        <v>104</v>
      </c>
      <c r="P5" s="38" t="s">
        <v>66</v>
      </c>
      <c r="Q5" s="38" t="s">
        <v>68</v>
      </c>
      <c r="R5" s="38" t="s">
        <v>107</v>
      </c>
      <c r="S5" s="38" t="s">
        <v>108</v>
      </c>
      <c r="T5" s="38" t="s">
        <v>89</v>
      </c>
      <c r="U5" s="38" t="s">
        <v>30</v>
      </c>
      <c r="V5" s="38" t="s">
        <v>102</v>
      </c>
      <c r="W5" s="38" t="s">
        <v>103</v>
      </c>
      <c r="X5" s="38" t="s">
        <v>95</v>
      </c>
      <c r="Y5" s="38" t="s">
        <v>111</v>
      </c>
      <c r="Z5" s="38" t="s">
        <v>97</v>
      </c>
      <c r="AA5" s="38" t="s">
        <v>36</v>
      </c>
      <c r="AB5" s="38" t="s">
        <v>16</v>
      </c>
      <c r="AC5" s="38" t="s">
        <v>99</v>
      </c>
      <c r="AD5" s="38" t="s">
        <v>106</v>
      </c>
      <c r="AE5" s="38" t="s">
        <v>67</v>
      </c>
      <c r="AF5" s="38" t="s">
        <v>96</v>
      </c>
      <c r="AG5" s="38" t="s">
        <v>73</v>
      </c>
      <c r="AH5" s="38" t="s">
        <v>74</v>
      </c>
      <c r="AI5" s="38" t="s">
        <v>71</v>
      </c>
      <c r="AJ5" s="38" t="s">
        <v>112</v>
      </c>
      <c r="AK5" s="38" t="s">
        <v>41</v>
      </c>
      <c r="AL5" s="38" t="s">
        <v>44</v>
      </c>
      <c r="AM5" s="38" t="s">
        <v>101</v>
      </c>
      <c r="AN5" s="38" t="s">
        <v>94</v>
      </c>
      <c r="AO5" s="38" t="s">
        <v>85</v>
      </c>
      <c r="AP5" s="38" t="s">
        <v>72</v>
      </c>
      <c r="AQ5" s="38" t="s">
        <v>92</v>
      </c>
      <c r="AR5" s="38" t="s">
        <v>91</v>
      </c>
      <c r="AS5" s="38" t="s">
        <v>118</v>
      </c>
      <c r="AT5" s="38" t="s">
        <v>124</v>
      </c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26"/>
      <c r="KT5" s="26"/>
      <c r="KU5" s="26"/>
      <c r="KV5" s="26"/>
      <c r="KW5" s="26"/>
      <c r="KX5" s="26"/>
      <c r="KY5" s="26"/>
      <c r="KZ5" s="26"/>
      <c r="LA5" s="26"/>
      <c r="LB5" s="26"/>
      <c r="LC5" s="26"/>
      <c r="LD5" s="26"/>
      <c r="LE5" s="26"/>
      <c r="LF5" s="26"/>
      <c r="LG5" s="26"/>
      <c r="LH5" s="26"/>
      <c r="LI5" s="26"/>
      <c r="LJ5" s="26"/>
      <c r="LK5" s="26"/>
      <c r="LL5" s="26"/>
      <c r="LM5" s="26"/>
      <c r="LN5" s="26"/>
      <c r="LO5" s="26"/>
      <c r="LP5" s="26"/>
      <c r="LQ5" s="26"/>
      <c r="LR5" s="26"/>
      <c r="LS5" s="26"/>
      <c r="LT5" s="26"/>
      <c r="LU5" s="26"/>
      <c r="LV5" s="26"/>
      <c r="LW5" s="26"/>
      <c r="LX5" s="26"/>
      <c r="LY5" s="26"/>
      <c r="LZ5" s="26"/>
      <c r="MA5" s="26"/>
      <c r="MB5" s="26"/>
      <c r="MC5" s="26"/>
      <c r="MD5" s="26"/>
      <c r="ME5" s="26"/>
      <c r="MF5" s="26"/>
      <c r="MG5" s="26"/>
      <c r="MH5" s="26"/>
      <c r="MI5" s="26"/>
      <c r="MJ5" s="26"/>
      <c r="MK5" s="26"/>
      <c r="ML5" s="26"/>
      <c r="MM5" s="26"/>
      <c r="MN5" s="26"/>
      <c r="MO5" s="26"/>
      <c r="MP5" s="26"/>
      <c r="MQ5" s="26"/>
      <c r="MR5" s="26"/>
      <c r="MS5" s="26"/>
      <c r="MT5" s="26"/>
      <c r="MU5" s="26"/>
      <c r="MV5" s="26"/>
      <c r="MW5" s="26"/>
      <c r="MX5" s="26"/>
      <c r="MY5" s="26"/>
      <c r="MZ5" s="26"/>
      <c r="NA5" s="26"/>
      <c r="NB5" s="26"/>
      <c r="NC5" s="26"/>
      <c r="ND5" s="26"/>
      <c r="NE5" s="26"/>
      <c r="NF5" s="26"/>
      <c r="NG5" s="26"/>
      <c r="NH5" s="26"/>
      <c r="NI5" s="26"/>
      <c r="NJ5" s="26"/>
      <c r="NK5" s="26"/>
      <c r="NL5" s="26"/>
      <c r="NM5" s="26"/>
      <c r="NN5" s="26"/>
      <c r="NO5" s="26"/>
      <c r="NP5" s="26"/>
      <c r="NQ5" s="26"/>
      <c r="NR5" s="26"/>
      <c r="NS5" s="26"/>
      <c r="NT5" s="26"/>
      <c r="NU5" s="26"/>
      <c r="NV5" s="26"/>
      <c r="NW5" s="26"/>
      <c r="NX5" s="26"/>
      <c r="NY5" s="26"/>
      <c r="NZ5" s="26"/>
      <c r="OA5" s="26"/>
      <c r="OB5" s="26"/>
      <c r="OC5" s="26"/>
      <c r="OD5" s="26"/>
      <c r="OE5" s="26"/>
      <c r="OF5" s="26"/>
      <c r="OG5" s="26"/>
      <c r="OH5" s="26"/>
      <c r="OI5" s="26"/>
      <c r="OJ5" s="26"/>
      <c r="OK5" s="26"/>
      <c r="OL5" s="26"/>
      <c r="OM5" s="26"/>
      <c r="ON5" s="26"/>
      <c r="OO5" s="26"/>
      <c r="OP5" s="26"/>
      <c r="OQ5" s="26"/>
      <c r="OR5" s="26"/>
      <c r="OS5" s="26"/>
      <c r="OT5" s="26"/>
      <c r="OU5" s="26"/>
      <c r="OV5" s="26"/>
      <c r="OW5" s="26"/>
      <c r="OX5" s="26"/>
      <c r="OY5" s="26"/>
      <c r="OZ5" s="26"/>
      <c r="PA5" s="26"/>
      <c r="PB5" s="26"/>
      <c r="PC5" s="26"/>
      <c r="PD5" s="26"/>
      <c r="PE5" s="26"/>
      <c r="PF5" s="26"/>
      <c r="PG5" s="26"/>
      <c r="PH5" s="26"/>
      <c r="PI5" s="26"/>
      <c r="PJ5" s="26"/>
      <c r="PK5" s="26"/>
      <c r="PL5" s="26"/>
      <c r="PM5" s="26"/>
      <c r="PN5" s="26"/>
      <c r="PO5" s="26"/>
      <c r="PP5" s="26"/>
      <c r="PQ5" s="26"/>
      <c r="PR5" s="26"/>
      <c r="PS5" s="26"/>
      <c r="PT5" s="26"/>
      <c r="PU5" s="26"/>
      <c r="PV5" s="26"/>
      <c r="PW5" s="26"/>
      <c r="PX5" s="26"/>
      <c r="PY5" s="26"/>
      <c r="PZ5" s="26"/>
      <c r="QA5" s="26"/>
      <c r="QB5" s="26"/>
      <c r="QC5" s="26"/>
      <c r="QD5" s="26"/>
      <c r="QE5" s="26"/>
      <c r="QF5" s="26"/>
      <c r="QG5" s="26"/>
      <c r="QH5" s="26"/>
      <c r="QI5" s="26"/>
      <c r="QJ5" s="26"/>
      <c r="QK5" s="26"/>
      <c r="QL5" s="26"/>
      <c r="QM5" s="26"/>
      <c r="QN5" s="26"/>
      <c r="QO5" s="26"/>
      <c r="QP5" s="26"/>
      <c r="QQ5" s="26"/>
      <c r="QR5" s="26"/>
      <c r="QS5" s="26"/>
      <c r="QT5" s="26"/>
      <c r="QU5" s="26"/>
      <c r="QV5" s="26"/>
      <c r="QW5" s="26"/>
      <c r="QX5" s="26"/>
      <c r="QY5" s="26"/>
      <c r="QZ5" s="26"/>
      <c r="RA5" s="26"/>
      <c r="RB5" s="26"/>
      <c r="RC5" s="26"/>
      <c r="RD5" s="26"/>
      <c r="RE5" s="26"/>
      <c r="RF5" s="26"/>
      <c r="RG5" s="26"/>
      <c r="RH5" s="26"/>
      <c r="RI5" s="26"/>
      <c r="RJ5" s="26"/>
      <c r="RK5" s="26"/>
      <c r="RL5" s="26"/>
      <c r="RM5" s="26"/>
      <c r="RN5" s="26"/>
      <c r="RO5" s="26"/>
      <c r="RP5" s="26"/>
      <c r="RQ5" s="26"/>
      <c r="RR5" s="26"/>
      <c r="RS5" s="26"/>
      <c r="RT5" s="26"/>
      <c r="RU5" s="26"/>
      <c r="RV5" s="26"/>
      <c r="RW5" s="26"/>
      <c r="RX5" s="26"/>
      <c r="RY5" s="26"/>
      <c r="RZ5" s="26"/>
      <c r="SA5" s="26"/>
      <c r="SB5" s="26"/>
      <c r="SC5" s="26"/>
      <c r="SD5" s="26"/>
      <c r="SE5" s="26"/>
      <c r="SF5" s="26"/>
      <c r="SG5" s="26"/>
      <c r="SH5" s="26"/>
      <c r="SI5" s="26"/>
      <c r="SJ5" s="26"/>
      <c r="SK5" s="26"/>
      <c r="SL5" s="26"/>
      <c r="SM5" s="26"/>
      <c r="SN5" s="26"/>
      <c r="SO5" s="26"/>
      <c r="SP5" s="26"/>
      <c r="SQ5" s="26"/>
      <c r="SR5" s="26"/>
      <c r="SS5" s="26"/>
      <c r="ST5" s="26"/>
      <c r="SU5" s="26"/>
      <c r="SV5" s="26"/>
      <c r="SW5" s="26"/>
      <c r="SX5" s="26"/>
      <c r="SY5" s="26"/>
      <c r="SZ5" s="26"/>
      <c r="TA5" s="26"/>
      <c r="TB5" s="26"/>
      <c r="TC5" s="26"/>
      <c r="TD5" s="26"/>
      <c r="TE5" s="26"/>
      <c r="TF5" s="26"/>
      <c r="TG5" s="26"/>
      <c r="TH5" s="26"/>
      <c r="TI5" s="26"/>
      <c r="TJ5" s="26"/>
      <c r="TK5" s="26"/>
      <c r="TL5" s="26"/>
      <c r="TM5" s="26"/>
      <c r="TN5" s="26"/>
      <c r="TO5" s="26"/>
      <c r="TP5" s="26"/>
      <c r="TQ5" s="26"/>
      <c r="TR5" s="26"/>
      <c r="TS5" s="26"/>
      <c r="TT5" s="26"/>
      <c r="TU5" s="26"/>
      <c r="TV5" s="26"/>
      <c r="TW5" s="26"/>
      <c r="TX5" s="26"/>
      <c r="TY5" s="26"/>
      <c r="TZ5" s="26"/>
      <c r="UA5" s="26"/>
      <c r="UB5" s="26"/>
      <c r="UC5" s="26"/>
      <c r="UD5" s="26"/>
      <c r="UE5" s="26"/>
      <c r="UF5" s="26"/>
      <c r="UG5" s="26"/>
      <c r="UH5" s="26"/>
      <c r="UI5" s="26"/>
      <c r="UJ5" s="26"/>
      <c r="UK5" s="26"/>
      <c r="UL5" s="26"/>
      <c r="UM5" s="26"/>
      <c r="UN5" s="26"/>
      <c r="UO5" s="26"/>
      <c r="UP5" s="26"/>
      <c r="UQ5" s="26"/>
      <c r="UR5" s="26"/>
      <c r="US5" s="26"/>
      <c r="UT5" s="26"/>
      <c r="UU5" s="26"/>
      <c r="UV5" s="26"/>
      <c r="UW5" s="26"/>
      <c r="UX5" s="26"/>
      <c r="UY5" s="26"/>
      <c r="UZ5" s="26"/>
      <c r="VA5" s="26"/>
      <c r="VB5" s="26"/>
      <c r="VC5" s="26"/>
      <c r="VD5" s="26"/>
      <c r="VE5" s="26"/>
      <c r="VF5" s="26"/>
      <c r="VG5" s="26"/>
      <c r="VH5" s="26"/>
      <c r="VI5" s="26"/>
      <c r="VJ5" s="26"/>
      <c r="VK5" s="26"/>
      <c r="VL5" s="26"/>
      <c r="VM5" s="26"/>
      <c r="VN5" s="26"/>
      <c r="VO5" s="26"/>
      <c r="VP5" s="26"/>
      <c r="VQ5" s="26"/>
      <c r="VR5" s="26"/>
      <c r="VS5" s="26"/>
      <c r="VT5" s="26"/>
      <c r="VU5" s="26"/>
      <c r="VV5" s="26"/>
      <c r="VW5" s="26"/>
      <c r="VX5" s="26"/>
      <c r="VY5" s="26"/>
      <c r="VZ5" s="26"/>
      <c r="WA5" s="26"/>
      <c r="WB5" s="26"/>
      <c r="WC5" s="26"/>
      <c r="WD5" s="26"/>
      <c r="WE5" s="26"/>
      <c r="WF5" s="26"/>
      <c r="WG5" s="26"/>
      <c r="WH5" s="26"/>
      <c r="WI5" s="26"/>
      <c r="WJ5" s="26"/>
      <c r="WK5" s="26"/>
      <c r="WL5" s="26"/>
      <c r="WM5" s="26"/>
      <c r="WN5" s="26"/>
      <c r="WO5" s="26"/>
      <c r="WP5" s="26"/>
      <c r="WQ5" s="26"/>
      <c r="WR5" s="26"/>
      <c r="WS5" s="26"/>
      <c r="WT5" s="26"/>
      <c r="WU5" s="26"/>
      <c r="WV5" s="26"/>
      <c r="WW5" s="26"/>
      <c r="WX5" s="26"/>
      <c r="WY5" s="26"/>
      <c r="WZ5" s="26"/>
      <c r="XA5" s="26"/>
      <c r="XB5" s="26"/>
      <c r="XC5" s="26"/>
      <c r="XD5" s="26"/>
      <c r="XE5" s="26"/>
      <c r="XF5" s="26"/>
      <c r="XG5" s="26"/>
      <c r="XH5" s="26"/>
      <c r="XI5" s="26"/>
      <c r="XJ5" s="26"/>
      <c r="XK5" s="26"/>
      <c r="XL5" s="26"/>
      <c r="XM5" s="26"/>
      <c r="XN5" s="26"/>
      <c r="XO5" s="26"/>
      <c r="XP5" s="26"/>
      <c r="XQ5" s="26"/>
      <c r="XR5" s="26"/>
      <c r="XS5" s="26"/>
      <c r="XT5" s="26"/>
      <c r="XU5" s="26"/>
      <c r="XV5" s="26"/>
      <c r="XW5" s="26"/>
      <c r="XX5" s="26"/>
      <c r="XY5" s="26"/>
      <c r="XZ5" s="26"/>
      <c r="YA5" s="26"/>
      <c r="YB5" s="26"/>
      <c r="YC5" s="26"/>
      <c r="YD5" s="26"/>
      <c r="YE5" s="26"/>
      <c r="YF5" s="26"/>
      <c r="YG5" s="26"/>
      <c r="YH5" s="26"/>
      <c r="YI5" s="26"/>
      <c r="YJ5" s="26"/>
      <c r="YK5" s="26"/>
      <c r="YL5" s="26"/>
      <c r="YM5" s="26"/>
      <c r="YN5" s="26"/>
      <c r="YO5" s="26"/>
      <c r="YP5" s="26"/>
      <c r="YQ5" s="26"/>
      <c r="YR5" s="26"/>
      <c r="YS5" s="26"/>
      <c r="YT5" s="26"/>
      <c r="YU5" s="26"/>
      <c r="YV5" s="26"/>
      <c r="YW5" s="26"/>
      <c r="YX5" s="26"/>
      <c r="YY5" s="26"/>
      <c r="YZ5" s="26"/>
      <c r="ZA5" s="26"/>
      <c r="ZB5" s="26"/>
      <c r="ZC5" s="26"/>
      <c r="ZD5" s="26"/>
      <c r="ZE5" s="26"/>
      <c r="ZF5" s="26"/>
      <c r="ZG5" s="26"/>
      <c r="ZH5" s="26"/>
      <c r="ZI5" s="26"/>
      <c r="ZJ5" s="26"/>
      <c r="ZK5" s="26"/>
      <c r="ZL5" s="26"/>
      <c r="ZM5" s="26"/>
      <c r="ZN5" s="26"/>
      <c r="ZO5" s="26"/>
      <c r="ZP5" s="26"/>
      <c r="ZQ5" s="26"/>
      <c r="ZR5" s="26"/>
      <c r="ZS5" s="26"/>
      <c r="ZT5" s="26"/>
      <c r="ZU5" s="26"/>
      <c r="ZV5" s="26"/>
      <c r="ZW5" s="26"/>
      <c r="ZX5" s="26"/>
      <c r="ZY5" s="26"/>
      <c r="ZZ5" s="26"/>
      <c r="AAA5" s="26"/>
      <c r="AAB5" s="26"/>
      <c r="AAC5" s="26"/>
      <c r="AAD5" s="26"/>
      <c r="AAE5" s="26"/>
      <c r="AAF5" s="26"/>
      <c r="AAG5" s="26"/>
      <c r="AAH5" s="26"/>
      <c r="AAI5" s="26"/>
      <c r="AAJ5" s="26"/>
      <c r="AAK5" s="26"/>
      <c r="AAL5" s="26"/>
      <c r="AAM5" s="26"/>
      <c r="AAN5" s="26"/>
      <c r="AAO5" s="26"/>
      <c r="AAP5" s="26"/>
      <c r="AAQ5" s="26"/>
      <c r="AAR5" s="26"/>
      <c r="AAS5" s="26"/>
      <c r="AAT5" s="26"/>
      <c r="AAU5" s="26"/>
      <c r="AAV5" s="26"/>
      <c r="AAW5" s="26"/>
      <c r="AAX5" s="26"/>
      <c r="AAY5" s="26"/>
      <c r="AAZ5" s="26"/>
      <c r="ABA5" s="26"/>
      <c r="ABB5" s="26"/>
      <c r="ABC5" s="26"/>
      <c r="ABD5" s="26"/>
      <c r="ABE5" s="26"/>
      <c r="ABF5" s="26"/>
      <c r="ABG5" s="26"/>
      <c r="ABH5" s="26"/>
      <c r="ABI5" s="26"/>
      <c r="ABJ5" s="26"/>
      <c r="ABK5" s="26"/>
      <c r="ABL5" s="26"/>
      <c r="ABM5" s="26"/>
      <c r="ABN5" s="26"/>
      <c r="ABO5" s="26"/>
      <c r="ABP5" s="26"/>
      <c r="ABQ5" s="26"/>
      <c r="ABR5" s="26"/>
      <c r="ABS5" s="26"/>
      <c r="ABT5" s="26"/>
      <c r="ABU5" s="26"/>
      <c r="ABV5" s="26"/>
      <c r="ABW5" s="26"/>
      <c r="ABX5" s="26"/>
      <c r="ABY5" s="26"/>
      <c r="ABZ5" s="26"/>
      <c r="ACA5" s="26"/>
      <c r="ACB5" s="26"/>
      <c r="ACC5" s="26"/>
      <c r="ACD5" s="26"/>
      <c r="ACE5" s="26"/>
      <c r="ACF5" s="26"/>
      <c r="ACG5" s="26"/>
      <c r="ACH5" s="26"/>
      <c r="ACI5" s="26"/>
      <c r="ACJ5" s="26"/>
      <c r="ACK5" s="26"/>
      <c r="ACL5" s="26"/>
      <c r="ACM5" s="26"/>
      <c r="ACN5" s="26"/>
      <c r="ACO5" s="26"/>
      <c r="ACP5" s="26"/>
      <c r="ACQ5" s="26"/>
      <c r="ACR5" s="26"/>
      <c r="ACS5" s="26"/>
      <c r="ACT5" s="26"/>
      <c r="ACU5" s="26"/>
      <c r="ACV5" s="26"/>
      <c r="ACW5" s="26"/>
      <c r="ACX5" s="26"/>
      <c r="ACY5" s="26"/>
      <c r="ACZ5" s="26"/>
      <c r="ADA5" s="26"/>
      <c r="ADB5" s="26"/>
      <c r="ADC5" s="26"/>
      <c r="ADD5" s="26"/>
      <c r="ADE5" s="26"/>
      <c r="ADF5" s="26"/>
      <c r="ADG5" s="26"/>
      <c r="ADH5" s="26"/>
      <c r="ADI5" s="26"/>
      <c r="ADJ5" s="26"/>
      <c r="ADK5" s="26"/>
      <c r="ADL5" s="26"/>
      <c r="ADM5" s="26"/>
      <c r="ADN5" s="26"/>
      <c r="ADO5" s="26"/>
      <c r="ADP5" s="26"/>
      <c r="ADQ5" s="26"/>
      <c r="ADR5" s="26"/>
      <c r="ADS5" s="26"/>
      <c r="ADT5" s="26"/>
      <c r="ADU5" s="26"/>
      <c r="ADV5" s="26"/>
      <c r="ADW5" s="26"/>
      <c r="ADX5" s="26"/>
      <c r="ADY5" s="26"/>
      <c r="ADZ5" s="26"/>
      <c r="AEA5" s="26"/>
      <c r="AEB5" s="26"/>
      <c r="AEC5" s="26"/>
      <c r="AED5" s="26"/>
      <c r="AEE5" s="26"/>
      <c r="AEF5" s="26"/>
      <c r="AEG5" s="26"/>
      <c r="AEH5" s="26"/>
      <c r="AEI5" s="26"/>
      <c r="AEJ5" s="26"/>
      <c r="AEK5" s="26"/>
      <c r="AEL5" s="26"/>
      <c r="AEM5" s="26"/>
      <c r="AEN5" s="26"/>
      <c r="AEO5" s="26"/>
      <c r="AEP5" s="26"/>
      <c r="AEQ5" s="26"/>
      <c r="AER5" s="26"/>
      <c r="AES5" s="26"/>
      <c r="AET5" s="26"/>
      <c r="AEU5" s="26"/>
      <c r="AEV5" s="26"/>
      <c r="AEW5" s="26"/>
      <c r="AEX5" s="26"/>
      <c r="AEY5" s="26"/>
      <c r="AEZ5" s="26"/>
      <c r="AFA5" s="26"/>
      <c r="AFB5" s="26"/>
      <c r="AFC5" s="26"/>
      <c r="AFD5" s="26"/>
      <c r="AFE5" s="26"/>
      <c r="AFF5" s="26"/>
      <c r="AFG5" s="26"/>
      <c r="AFH5" s="26"/>
      <c r="AFI5" s="26"/>
      <c r="AFJ5" s="26"/>
      <c r="AFK5" s="26"/>
      <c r="AFL5" s="26"/>
      <c r="AFM5" s="26"/>
      <c r="AFN5" s="26"/>
      <c r="AFO5" s="26"/>
      <c r="AFP5" s="26"/>
      <c r="AFQ5" s="26"/>
      <c r="AFR5" s="26"/>
      <c r="AFS5" s="26"/>
      <c r="AFT5" s="26"/>
      <c r="AFU5" s="26"/>
      <c r="AFV5" s="26"/>
      <c r="AFW5" s="26"/>
      <c r="AFX5" s="26"/>
      <c r="AFY5" s="26"/>
      <c r="AFZ5" s="26"/>
      <c r="AGA5" s="26"/>
      <c r="AGB5" s="26"/>
      <c r="AGC5" s="26"/>
      <c r="AGD5" s="26"/>
      <c r="AGE5" s="26"/>
      <c r="AGF5" s="26"/>
      <c r="AGG5" s="26"/>
      <c r="AGH5" s="26"/>
      <c r="AGI5" s="26"/>
      <c r="AGJ5" s="26"/>
      <c r="AGK5" s="26"/>
      <c r="AGL5" s="26"/>
      <c r="AGM5" s="26"/>
      <c r="AGN5" s="26"/>
      <c r="AGO5" s="26"/>
      <c r="AGP5" s="26"/>
      <c r="AGQ5" s="26"/>
      <c r="AGR5" s="26"/>
      <c r="AGS5" s="26"/>
      <c r="AGT5" s="26"/>
      <c r="AGU5" s="26"/>
      <c r="AGV5" s="26"/>
      <c r="AGW5" s="26"/>
      <c r="AGX5" s="26"/>
      <c r="AGY5" s="26"/>
      <c r="AGZ5" s="26"/>
      <c r="AHA5" s="26"/>
      <c r="AHB5" s="26"/>
      <c r="AHC5" s="26"/>
      <c r="AHD5" s="26"/>
      <c r="AHE5" s="26"/>
      <c r="AHF5" s="26"/>
      <c r="AHG5" s="26"/>
      <c r="AHH5" s="26"/>
      <c r="AHI5" s="26"/>
      <c r="AHJ5" s="26"/>
      <c r="AHK5" s="26"/>
      <c r="AHL5" s="26"/>
      <c r="AHM5" s="26"/>
      <c r="AHN5" s="26"/>
      <c r="AHO5" s="26"/>
      <c r="AHP5" s="26"/>
      <c r="AHQ5" s="26"/>
      <c r="AHR5" s="26"/>
      <c r="AHS5" s="26"/>
      <c r="AHT5" s="26"/>
      <c r="AHU5" s="26"/>
      <c r="AHV5" s="26"/>
      <c r="AHW5" s="26"/>
      <c r="AHX5" s="26"/>
      <c r="AHY5" s="26"/>
      <c r="AHZ5" s="26"/>
      <c r="AIA5" s="26"/>
      <c r="AIB5" s="26"/>
      <c r="AIC5" s="26"/>
      <c r="AID5" s="26"/>
      <c r="AIE5" s="26"/>
      <c r="AIF5" s="26"/>
      <c r="AIG5" s="26"/>
      <c r="AIH5" s="26"/>
      <c r="AII5" s="26"/>
      <c r="AIJ5" s="26"/>
      <c r="AIK5" s="26"/>
      <c r="AIL5" s="26"/>
      <c r="AIM5" s="26"/>
      <c r="AIN5" s="26"/>
      <c r="AIO5" s="26"/>
      <c r="AIP5" s="26"/>
      <c r="AIQ5" s="26"/>
      <c r="AIR5" s="26"/>
      <c r="AIS5" s="26"/>
      <c r="AIT5" s="26"/>
      <c r="AIU5" s="26"/>
      <c r="AIV5" s="26"/>
      <c r="AIW5" s="26"/>
      <c r="AIX5" s="26"/>
      <c r="AIY5" s="26"/>
      <c r="AIZ5" s="26"/>
      <c r="AJA5" s="26"/>
      <c r="AJB5" s="26"/>
      <c r="AJC5" s="26"/>
      <c r="AJD5" s="26"/>
      <c r="AJE5" s="26"/>
      <c r="AJF5" s="26"/>
      <c r="AJG5" s="26"/>
      <c r="AJH5" s="26"/>
      <c r="AJI5" s="26"/>
      <c r="AJJ5" s="26"/>
      <c r="AJK5" s="26"/>
      <c r="AJL5" s="26"/>
      <c r="AJM5" s="26"/>
      <c r="AJN5" s="26"/>
      <c r="AJO5" s="26"/>
      <c r="AJP5" s="26"/>
      <c r="AJQ5" s="26"/>
      <c r="AJR5" s="26"/>
      <c r="AJS5" s="26"/>
      <c r="AJT5" s="26"/>
      <c r="AJU5" s="26"/>
      <c r="AJV5" s="26"/>
      <c r="AJW5" s="26"/>
      <c r="AJX5" s="26"/>
      <c r="AJY5" s="26"/>
      <c r="AJZ5" s="26"/>
      <c r="AKA5" s="26"/>
      <c r="AKB5" s="26"/>
      <c r="AKC5" s="26"/>
      <c r="AKD5" s="26"/>
      <c r="AKE5" s="26"/>
      <c r="AKF5" s="26"/>
      <c r="AKG5" s="26"/>
      <c r="AKH5" s="26"/>
      <c r="AKI5" s="26"/>
      <c r="AKJ5" s="26"/>
      <c r="AKK5" s="26"/>
      <c r="AKL5" s="26"/>
      <c r="AKM5" s="26"/>
      <c r="AKN5" s="26"/>
      <c r="AKO5" s="26"/>
      <c r="AKP5" s="26"/>
      <c r="AKQ5" s="26"/>
      <c r="AKR5" s="26"/>
      <c r="AKS5" s="26"/>
      <c r="AKT5" s="26"/>
      <c r="AKU5" s="26"/>
      <c r="AKV5" s="26"/>
      <c r="AKW5" s="26"/>
      <c r="AKX5" s="26"/>
      <c r="AKY5" s="26"/>
      <c r="AKZ5" s="26"/>
      <c r="ALA5" s="26"/>
      <c r="ALB5" s="26"/>
      <c r="ALC5" s="26"/>
      <c r="ALD5" s="26"/>
      <c r="ALE5" s="26"/>
      <c r="ALF5" s="26"/>
      <c r="ALG5" s="26"/>
      <c r="ALH5" s="26"/>
      <c r="ALI5" s="26"/>
      <c r="ALJ5" s="26"/>
      <c r="ALK5" s="26"/>
      <c r="ALL5" s="26"/>
      <c r="ALM5" s="26"/>
      <c r="ALN5" s="26"/>
      <c r="ALO5" s="26"/>
      <c r="ALP5" s="26"/>
      <c r="ALQ5" s="26"/>
      <c r="ALR5" s="26"/>
      <c r="ALS5" s="26"/>
      <c r="ALT5" s="26"/>
      <c r="ALU5" s="26"/>
      <c r="ALV5" s="26"/>
      <c r="ALW5" s="26"/>
      <c r="ALX5" s="26"/>
      <c r="ALY5" s="26"/>
      <c r="ALZ5" s="26"/>
      <c r="AMA5" s="26"/>
      <c r="AMB5" s="26"/>
      <c r="AMC5" s="26"/>
      <c r="AMD5" s="26"/>
      <c r="AME5" s="26"/>
      <c r="AMF5" s="26"/>
      <c r="AMG5" s="26"/>
      <c r="AMH5" s="26"/>
      <c r="AMI5" s="26"/>
      <c r="AMJ5" s="26"/>
      <c r="AMK5" s="26"/>
      <c r="AML5" s="26"/>
    </row>
    <row r="6" ht="15.75" customHeight="1">
      <c r="A6" s="40" t="s">
        <v>149</v>
      </c>
      <c r="B6" s="40" t="s">
        <v>149</v>
      </c>
      <c r="C6" s="8" t="s">
        <v>149</v>
      </c>
      <c r="D6" s="40" t="s">
        <v>149</v>
      </c>
      <c r="E6" s="8"/>
      <c r="F6" s="8" t="s">
        <v>150</v>
      </c>
      <c r="G6" s="8" t="s">
        <v>149</v>
      </c>
      <c r="H6" s="8" t="s">
        <v>149</v>
      </c>
      <c r="I6" s="8"/>
      <c r="J6" s="8" t="s">
        <v>151</v>
      </c>
      <c r="K6" s="8" t="s">
        <v>149</v>
      </c>
      <c r="L6" s="8" t="s">
        <v>149</v>
      </c>
      <c r="M6" s="8" t="s">
        <v>149</v>
      </c>
      <c r="N6" s="8"/>
      <c r="O6" s="8"/>
      <c r="Q6" t="s">
        <v>152</v>
      </c>
      <c r="R6" t="s">
        <v>149</v>
      </c>
      <c r="S6" t="s">
        <v>149</v>
      </c>
      <c r="T6" t="s">
        <v>149</v>
      </c>
      <c r="U6" t="s">
        <v>58</v>
      </c>
      <c r="W6" t="s">
        <v>149</v>
      </c>
      <c r="X6" t="s">
        <v>149</v>
      </c>
      <c r="Y6" t="s">
        <v>149</v>
      </c>
      <c r="Z6" t="s">
        <v>153</v>
      </c>
      <c r="AA6" t="s">
        <v>149</v>
      </c>
      <c r="AB6" t="s">
        <v>50</v>
      </c>
      <c r="AC6" t="s">
        <v>149</v>
      </c>
      <c r="AD6" t="s">
        <v>149</v>
      </c>
      <c r="AE6" t="s">
        <v>149</v>
      </c>
      <c r="AF6" t="s">
        <v>154</v>
      </c>
      <c r="AG6" t="s">
        <v>149</v>
      </c>
      <c r="AH6" t="s">
        <v>149</v>
      </c>
      <c r="AI6" t="s">
        <v>155</v>
      </c>
      <c r="AJ6" t="s">
        <v>155</v>
      </c>
      <c r="AK6" t="s">
        <v>156</v>
      </c>
      <c r="AL6" t="s">
        <v>157</v>
      </c>
      <c r="AM6" t="s">
        <v>149</v>
      </c>
      <c r="AN6" t="s">
        <v>149</v>
      </c>
      <c r="AO6" t="s">
        <v>149</v>
      </c>
      <c r="AP6" t="s">
        <v>149</v>
      </c>
      <c r="AQ6" t="s">
        <v>149</v>
      </c>
      <c r="AR6" t="s">
        <v>149</v>
      </c>
      <c r="AS6" t="s">
        <v>12</v>
      </c>
      <c r="AT6" t="s">
        <v>149</v>
      </c>
      <c r="AU6" t="s">
        <v>149</v>
      </c>
      <c r="AV6" t="s">
        <v>149</v>
      </c>
      <c r="AW6" t="s">
        <v>149</v>
      </c>
      <c r="AX6" t="s">
        <v>149</v>
      </c>
      <c r="AY6" t="s">
        <v>149</v>
      </c>
      <c r="AZ6" t="s">
        <v>149</v>
      </c>
      <c r="BA6" t="s">
        <v>149</v>
      </c>
      <c r="BB6" t="s">
        <v>149</v>
      </c>
      <c r="BC6" t="s">
        <v>149</v>
      </c>
      <c r="BD6" t="s">
        <v>149</v>
      </c>
      <c r="BE6" t="s">
        <v>149</v>
      </c>
      <c r="BF6" t="s">
        <v>149</v>
      </c>
      <c r="BG6" t="s">
        <v>149</v>
      </c>
      <c r="BH6" t="s">
        <v>149</v>
      </c>
      <c r="BI6" t="s">
        <v>149</v>
      </c>
      <c r="BJ6" t="s">
        <v>149</v>
      </c>
      <c r="BK6" t="s">
        <v>149</v>
      </c>
      <c r="BL6" t="s">
        <v>149</v>
      </c>
      <c r="BM6" t="s">
        <v>149</v>
      </c>
      <c r="BN6" t="s">
        <v>149</v>
      </c>
      <c r="BO6" t="s">
        <v>149</v>
      </c>
      <c r="BP6" t="s">
        <v>149</v>
      </c>
      <c r="BQ6" t="s">
        <v>149</v>
      </c>
      <c r="BR6" t="s">
        <v>149</v>
      </c>
      <c r="BS6" t="s">
        <v>149</v>
      </c>
      <c r="BT6" t="s">
        <v>149</v>
      </c>
      <c r="BU6" t="s">
        <v>149</v>
      </c>
      <c r="BV6" t="s">
        <v>149</v>
      </c>
      <c r="BW6" t="s">
        <v>149</v>
      </c>
      <c r="BX6" t="s">
        <v>149</v>
      </c>
      <c r="BY6" t="s">
        <v>149</v>
      </c>
      <c r="BZ6" t="s">
        <v>149</v>
      </c>
      <c r="CA6" t="s">
        <v>149</v>
      </c>
      <c r="CB6" t="s">
        <v>149</v>
      </c>
      <c r="CC6" t="s">
        <v>149</v>
      </c>
      <c r="CD6" t="s">
        <v>149</v>
      </c>
      <c r="CE6" t="s">
        <v>149</v>
      </c>
      <c r="CF6" t="s">
        <v>149</v>
      </c>
      <c r="CG6" t="s">
        <v>149</v>
      </c>
      <c r="CH6" t="s">
        <v>149</v>
      </c>
      <c r="CI6" t="s">
        <v>149</v>
      </c>
      <c r="CJ6" t="s">
        <v>149</v>
      </c>
      <c r="CK6" t="s">
        <v>149</v>
      </c>
      <c r="CL6" t="s">
        <v>149</v>
      </c>
      <c r="CM6" t="s">
        <v>149</v>
      </c>
      <c r="CN6" t="s">
        <v>149</v>
      </c>
      <c r="CO6" t="s">
        <v>149</v>
      </c>
      <c r="CP6" t="s">
        <v>149</v>
      </c>
      <c r="CQ6" t="s">
        <v>149</v>
      </c>
      <c r="CR6" t="s">
        <v>149</v>
      </c>
      <c r="CS6" t="s">
        <v>149</v>
      </c>
      <c r="CT6" t="s">
        <v>149</v>
      </c>
      <c r="CU6" t="s">
        <v>149</v>
      </c>
      <c r="CV6" t="s">
        <v>149</v>
      </c>
      <c r="CW6" t="s">
        <v>149</v>
      </c>
      <c r="CX6" t="s">
        <v>149</v>
      </c>
      <c r="CY6" t="s">
        <v>149</v>
      </c>
      <c r="CZ6" t="s">
        <v>149</v>
      </c>
      <c r="DA6" t="s">
        <v>149</v>
      </c>
      <c r="DB6" t="s">
        <v>149</v>
      </c>
      <c r="DC6" t="s">
        <v>149</v>
      </c>
      <c r="DD6" t="s">
        <v>149</v>
      </c>
      <c r="DE6" t="s">
        <v>149</v>
      </c>
      <c r="DF6" t="s">
        <v>149</v>
      </c>
      <c r="DG6" t="s">
        <v>149</v>
      </c>
      <c r="DH6" t="s">
        <v>149</v>
      </c>
      <c r="DI6" t="s">
        <v>149</v>
      </c>
      <c r="DJ6" t="s">
        <v>149</v>
      </c>
      <c r="DK6" t="s">
        <v>149</v>
      </c>
      <c r="DL6" t="s">
        <v>149</v>
      </c>
      <c r="DM6" t="s">
        <v>149</v>
      </c>
      <c r="DN6" t="s">
        <v>149</v>
      </c>
      <c r="DO6" t="s">
        <v>149</v>
      </c>
      <c r="DP6" t="s">
        <v>149</v>
      </c>
      <c r="DQ6" t="s">
        <v>149</v>
      </c>
      <c r="DR6" t="s">
        <v>149</v>
      </c>
      <c r="DS6" t="s">
        <v>149</v>
      </c>
      <c r="DT6" t="s">
        <v>149</v>
      </c>
      <c r="DU6" t="s">
        <v>149</v>
      </c>
      <c r="DV6" t="s">
        <v>149</v>
      </c>
      <c r="DW6" t="s">
        <v>149</v>
      </c>
      <c r="DX6" t="s">
        <v>149</v>
      </c>
      <c r="DY6" t="s">
        <v>149</v>
      </c>
      <c r="DZ6" t="s">
        <v>149</v>
      </c>
      <c r="EA6" t="s">
        <v>149</v>
      </c>
      <c r="EB6" t="s">
        <v>149</v>
      </c>
      <c r="EC6" t="s">
        <v>149</v>
      </c>
      <c r="ED6" t="s">
        <v>149</v>
      </c>
      <c r="EE6" t="s">
        <v>149</v>
      </c>
      <c r="EF6" t="s">
        <v>149</v>
      </c>
      <c r="EG6" t="s">
        <v>149</v>
      </c>
      <c r="EH6" t="s">
        <v>149</v>
      </c>
      <c r="EI6" t="s">
        <v>149</v>
      </c>
      <c r="EJ6" t="s">
        <v>149</v>
      </c>
      <c r="EK6" t="s">
        <v>149</v>
      </c>
      <c r="EL6" t="s">
        <v>149</v>
      </c>
      <c r="EM6" t="s">
        <v>149</v>
      </c>
      <c r="EN6" t="s">
        <v>149</v>
      </c>
      <c r="EO6" t="s">
        <v>149</v>
      </c>
      <c r="EP6" t="s">
        <v>149</v>
      </c>
      <c r="EQ6" t="s">
        <v>149</v>
      </c>
      <c r="ER6" t="s">
        <v>149</v>
      </c>
      <c r="ES6" t="s">
        <v>149</v>
      </c>
      <c r="ET6" t="s">
        <v>149</v>
      </c>
      <c r="EU6" t="s">
        <v>149</v>
      </c>
      <c r="EV6" t="s">
        <v>149</v>
      </c>
      <c r="EW6" t="s">
        <v>149</v>
      </c>
      <c r="EX6" t="s">
        <v>149</v>
      </c>
      <c r="EY6" t="s">
        <v>149</v>
      </c>
      <c r="EZ6" t="s">
        <v>149</v>
      </c>
      <c r="FA6" t="s">
        <v>149</v>
      </c>
      <c r="FB6" t="s">
        <v>149</v>
      </c>
      <c r="FC6" t="s">
        <v>149</v>
      </c>
      <c r="FD6" t="s">
        <v>149</v>
      </c>
      <c r="FE6" t="s">
        <v>149</v>
      </c>
      <c r="FF6" t="s">
        <v>149</v>
      </c>
      <c r="FG6" t="s">
        <v>149</v>
      </c>
      <c r="FH6" t="s">
        <v>149</v>
      </c>
      <c r="FI6" t="s">
        <v>149</v>
      </c>
      <c r="FJ6" t="s">
        <v>149</v>
      </c>
      <c r="FK6" t="s">
        <v>149</v>
      </c>
      <c r="FL6" t="s">
        <v>149</v>
      </c>
      <c r="FM6" t="s">
        <v>149</v>
      </c>
      <c r="FN6" t="s">
        <v>149</v>
      </c>
      <c r="FO6" t="s">
        <v>149</v>
      </c>
      <c r="FP6" t="s">
        <v>149</v>
      </c>
      <c r="FQ6" t="s">
        <v>149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149</v>
      </c>
      <c r="B7" s="8" t="s">
        <v>149</v>
      </c>
      <c r="C7" s="8" t="s">
        <v>149</v>
      </c>
      <c r="D7" s="8" t="s">
        <v>149</v>
      </c>
      <c r="E7" s="8"/>
      <c r="F7" s="8" t="s">
        <v>158</v>
      </c>
      <c r="G7" s="8" t="s">
        <v>149</v>
      </c>
      <c r="H7" s="8" t="s">
        <v>149</v>
      </c>
      <c r="I7" s="8"/>
      <c r="J7" s="8" t="s">
        <v>151</v>
      </c>
      <c r="K7" s="8" t="s">
        <v>149</v>
      </c>
      <c r="L7" s="8" t="s">
        <v>149</v>
      </c>
      <c r="M7" s="8" t="s">
        <v>149</v>
      </c>
      <c r="N7" s="8"/>
      <c r="O7" s="8"/>
      <c r="Q7" t="s">
        <v>159</v>
      </c>
      <c r="R7" t="s">
        <v>149</v>
      </c>
      <c r="S7" t="s">
        <v>149</v>
      </c>
      <c r="T7" t="s">
        <v>149</v>
      </c>
      <c r="U7" t="s">
        <v>58</v>
      </c>
      <c r="W7" t="s">
        <v>149</v>
      </c>
      <c r="X7" t="s">
        <v>149</v>
      </c>
      <c r="Y7" t="s">
        <v>149</v>
      </c>
      <c r="Z7" t="s">
        <v>153</v>
      </c>
      <c r="AA7" t="s">
        <v>149</v>
      </c>
      <c r="AB7" t="s">
        <v>52</v>
      </c>
      <c r="AC7" t="s">
        <v>149</v>
      </c>
      <c r="AD7" t="s">
        <v>149</v>
      </c>
      <c r="AE7" t="s">
        <v>149</v>
      </c>
      <c r="AF7" t="s">
        <v>154</v>
      </c>
      <c r="AG7" t="s">
        <v>149</v>
      </c>
      <c r="AH7" t="s">
        <v>149</v>
      </c>
      <c r="AI7" t="s">
        <v>155</v>
      </c>
      <c r="AJ7" t="s">
        <v>155</v>
      </c>
      <c r="AK7" t="s">
        <v>156</v>
      </c>
      <c r="AL7" t="s">
        <v>157</v>
      </c>
      <c r="AM7" t="s">
        <v>149</v>
      </c>
      <c r="AN7" t="s">
        <v>149</v>
      </c>
      <c r="AO7" t="s">
        <v>149</v>
      </c>
      <c r="AP7" t="s">
        <v>149</v>
      </c>
      <c r="AQ7" t="s">
        <v>149</v>
      </c>
      <c r="AR7" t="s">
        <v>149</v>
      </c>
      <c r="AS7" t="s">
        <v>12</v>
      </c>
      <c r="AT7" t="s">
        <v>149</v>
      </c>
      <c r="AU7" t="s">
        <v>149</v>
      </c>
      <c r="AV7" t="s">
        <v>149</v>
      </c>
      <c r="AW7" t="s">
        <v>149</v>
      </c>
      <c r="AX7" t="s">
        <v>149</v>
      </c>
      <c r="AY7" t="s">
        <v>149</v>
      </c>
      <c r="AZ7" t="s">
        <v>149</v>
      </c>
      <c r="BA7" t="s">
        <v>149</v>
      </c>
      <c r="BB7" t="s">
        <v>149</v>
      </c>
      <c r="BC7" t="s">
        <v>149</v>
      </c>
      <c r="BD7" t="s">
        <v>149</v>
      </c>
      <c r="BE7" t="s">
        <v>149</v>
      </c>
      <c r="BF7" t="s">
        <v>149</v>
      </c>
      <c r="BG7" t="s">
        <v>149</v>
      </c>
      <c r="BH7" t="s">
        <v>149</v>
      </c>
      <c r="BI7" t="s">
        <v>149</v>
      </c>
      <c r="BJ7" t="s">
        <v>149</v>
      </c>
      <c r="BK7" t="s">
        <v>149</v>
      </c>
      <c r="BL7" t="s">
        <v>149</v>
      </c>
      <c r="BM7" t="s">
        <v>149</v>
      </c>
      <c r="BN7" t="s">
        <v>149</v>
      </c>
      <c r="BO7" t="s">
        <v>149</v>
      </c>
      <c r="BP7" t="s">
        <v>149</v>
      </c>
      <c r="BQ7" t="s">
        <v>149</v>
      </c>
      <c r="BR7" t="s">
        <v>149</v>
      </c>
      <c r="BS7" t="s">
        <v>149</v>
      </c>
      <c r="BT7" t="s">
        <v>149</v>
      </c>
      <c r="BU7" t="s">
        <v>149</v>
      </c>
      <c r="BV7" t="s">
        <v>149</v>
      </c>
      <c r="BW7" t="s">
        <v>149</v>
      </c>
      <c r="BX7" t="s">
        <v>149</v>
      </c>
      <c r="BY7" t="s">
        <v>149</v>
      </c>
      <c r="BZ7" t="s">
        <v>149</v>
      </c>
      <c r="CA7" t="s">
        <v>149</v>
      </c>
      <c r="CB7" t="s">
        <v>149</v>
      </c>
      <c r="CC7" t="s">
        <v>149</v>
      </c>
      <c r="CD7" t="s">
        <v>149</v>
      </c>
      <c r="CE7" t="s">
        <v>149</v>
      </c>
      <c r="CF7" t="s">
        <v>149</v>
      </c>
      <c r="CG7" t="s">
        <v>149</v>
      </c>
      <c r="CH7" t="s">
        <v>149</v>
      </c>
      <c r="CI7" t="s">
        <v>149</v>
      </c>
      <c r="CJ7" t="s">
        <v>149</v>
      </c>
      <c r="CK7" t="s">
        <v>149</v>
      </c>
      <c r="CL7" t="s">
        <v>149</v>
      </c>
      <c r="CM7" t="s">
        <v>149</v>
      </c>
      <c r="CN7" t="s">
        <v>149</v>
      </c>
      <c r="CO7" t="s">
        <v>149</v>
      </c>
      <c r="CP7" t="s">
        <v>149</v>
      </c>
      <c r="CQ7" t="s">
        <v>149</v>
      </c>
      <c r="CR7" t="s">
        <v>149</v>
      </c>
      <c r="CS7" t="s">
        <v>149</v>
      </c>
      <c r="CT7" t="s">
        <v>149</v>
      </c>
      <c r="CU7" t="s">
        <v>149</v>
      </c>
      <c r="CV7" t="s">
        <v>149</v>
      </c>
      <c r="CW7" t="s">
        <v>149</v>
      </c>
      <c r="CX7" t="s">
        <v>149</v>
      </c>
      <c r="CY7" t="s">
        <v>149</v>
      </c>
      <c r="CZ7" t="s">
        <v>149</v>
      </c>
      <c r="DA7" t="s">
        <v>149</v>
      </c>
      <c r="DB7" t="s">
        <v>149</v>
      </c>
      <c r="DC7" t="s">
        <v>149</v>
      </c>
      <c r="DD7" t="s">
        <v>149</v>
      </c>
      <c r="DE7" t="s">
        <v>149</v>
      </c>
      <c r="DF7" t="s">
        <v>149</v>
      </c>
      <c r="DG7" t="s">
        <v>149</v>
      </c>
      <c r="DH7" t="s">
        <v>149</v>
      </c>
      <c r="DI7" t="s">
        <v>149</v>
      </c>
      <c r="DJ7" t="s">
        <v>149</v>
      </c>
      <c r="DK7" t="s">
        <v>149</v>
      </c>
      <c r="DL7" t="s">
        <v>149</v>
      </c>
      <c r="DM7" t="s">
        <v>149</v>
      </c>
      <c r="DN7" t="s">
        <v>149</v>
      </c>
      <c r="DO7" t="s">
        <v>149</v>
      </c>
      <c r="DP7" t="s">
        <v>149</v>
      </c>
      <c r="DQ7" t="s">
        <v>149</v>
      </c>
      <c r="DR7" t="s">
        <v>149</v>
      </c>
      <c r="DS7" t="s">
        <v>149</v>
      </c>
      <c r="DT7" t="s">
        <v>149</v>
      </c>
      <c r="DU7" t="s">
        <v>149</v>
      </c>
      <c r="DV7" t="s">
        <v>149</v>
      </c>
      <c r="DW7" t="s">
        <v>149</v>
      </c>
      <c r="DX7" t="s">
        <v>149</v>
      </c>
      <c r="DY7" t="s">
        <v>149</v>
      </c>
      <c r="DZ7" t="s">
        <v>149</v>
      </c>
      <c r="EA7" t="s">
        <v>149</v>
      </c>
      <c r="EB7" t="s">
        <v>149</v>
      </c>
      <c r="EC7" t="s">
        <v>149</v>
      </c>
      <c r="ED7" t="s">
        <v>149</v>
      </c>
      <c r="EE7" t="s">
        <v>149</v>
      </c>
      <c r="EF7" t="s">
        <v>149</v>
      </c>
      <c r="EG7" t="s">
        <v>149</v>
      </c>
      <c r="EH7" t="s">
        <v>149</v>
      </c>
      <c r="EI7" t="s">
        <v>149</v>
      </c>
      <c r="EJ7" t="s">
        <v>149</v>
      </c>
      <c r="EK7" t="s">
        <v>149</v>
      </c>
      <c r="EL7" t="s">
        <v>149</v>
      </c>
      <c r="EM7" t="s">
        <v>149</v>
      </c>
      <c r="EN7" t="s">
        <v>149</v>
      </c>
      <c r="EO7" t="s">
        <v>149</v>
      </c>
      <c r="EP7" t="s">
        <v>149</v>
      </c>
      <c r="EQ7" t="s">
        <v>149</v>
      </c>
      <c r="ER7" t="s">
        <v>149</v>
      </c>
      <c r="ES7" t="s">
        <v>149</v>
      </c>
      <c r="ET7" t="s">
        <v>149</v>
      </c>
      <c r="EU7" t="s">
        <v>149</v>
      </c>
      <c r="EV7" t="s">
        <v>149</v>
      </c>
      <c r="EW7" t="s">
        <v>149</v>
      </c>
      <c r="EX7" t="s">
        <v>149</v>
      </c>
      <c r="EY7" t="s">
        <v>149</v>
      </c>
      <c r="EZ7" t="s">
        <v>149</v>
      </c>
      <c r="FA7" t="s">
        <v>149</v>
      </c>
      <c r="FB7" t="s">
        <v>149</v>
      </c>
      <c r="FC7" t="s">
        <v>149</v>
      </c>
      <c r="FD7" t="s">
        <v>149</v>
      </c>
      <c r="FE7" t="s">
        <v>149</v>
      </c>
      <c r="FF7" t="s">
        <v>149</v>
      </c>
      <c r="FG7" t="s">
        <v>149</v>
      </c>
      <c r="FH7" t="s">
        <v>149</v>
      </c>
      <c r="FI7" t="s">
        <v>149</v>
      </c>
      <c r="FJ7" t="s">
        <v>149</v>
      </c>
      <c r="FK7" t="s">
        <v>149</v>
      </c>
      <c r="FL7" t="s">
        <v>149</v>
      </c>
      <c r="FM7" t="s">
        <v>149</v>
      </c>
      <c r="FN7" t="s">
        <v>149</v>
      </c>
      <c r="FO7" t="s">
        <v>149</v>
      </c>
      <c r="FP7" t="s">
        <v>149</v>
      </c>
      <c r="FQ7" t="s">
        <v>149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 t="s">
        <v>149</v>
      </c>
      <c r="B8" s="8" t="s">
        <v>149</v>
      </c>
      <c r="C8" s="8" t="s">
        <v>149</v>
      </c>
      <c r="D8" s="8" t="s">
        <v>149</v>
      </c>
      <c r="E8" s="8"/>
      <c r="F8" s="8" t="s">
        <v>150</v>
      </c>
      <c r="G8" s="8" t="s">
        <v>149</v>
      </c>
      <c r="H8" s="8" t="s">
        <v>149</v>
      </c>
      <c r="I8" s="8"/>
      <c r="J8" s="8" t="s">
        <v>151</v>
      </c>
      <c r="K8" s="8" t="s">
        <v>149</v>
      </c>
      <c r="L8" s="8" t="s">
        <v>149</v>
      </c>
      <c r="M8" s="8" t="s">
        <v>149</v>
      </c>
      <c r="N8" s="8"/>
      <c r="O8" s="8"/>
      <c r="R8" t="s">
        <v>149</v>
      </c>
      <c r="S8" t="s">
        <v>149</v>
      </c>
      <c r="T8" t="s">
        <v>149</v>
      </c>
      <c r="U8" t="s">
        <v>58</v>
      </c>
      <c r="W8" t="s">
        <v>149</v>
      </c>
      <c r="X8" t="s">
        <v>149</v>
      </c>
      <c r="Y8" t="s">
        <v>149</v>
      </c>
      <c r="Z8" t="s">
        <v>160</v>
      </c>
      <c r="AA8" t="s">
        <v>149</v>
      </c>
      <c r="AB8" t="s">
        <v>54</v>
      </c>
      <c r="AC8" t="s">
        <v>149</v>
      </c>
      <c r="AD8" t="s">
        <v>149</v>
      </c>
      <c r="AE8" t="s">
        <v>149</v>
      </c>
      <c r="AF8" t="s">
        <v>161</v>
      </c>
      <c r="AG8" t="s">
        <v>149</v>
      </c>
      <c r="AH8" t="s">
        <v>149</v>
      </c>
      <c r="AI8" t="s">
        <v>155</v>
      </c>
      <c r="AJ8" t="s">
        <v>155</v>
      </c>
      <c r="AK8" t="s">
        <v>156</v>
      </c>
      <c r="AL8" t="s">
        <v>157</v>
      </c>
      <c r="AM8" t="s">
        <v>149</v>
      </c>
      <c r="AN8" t="s">
        <v>149</v>
      </c>
      <c r="AO8" t="s">
        <v>149</v>
      </c>
      <c r="AP8" t="s">
        <v>149</v>
      </c>
      <c r="AQ8" t="s">
        <v>149</v>
      </c>
      <c r="AR8" t="s">
        <v>149</v>
      </c>
      <c r="AS8" t="s">
        <v>12</v>
      </c>
      <c r="AT8" t="s">
        <v>149</v>
      </c>
      <c r="AU8" t="s">
        <v>149</v>
      </c>
      <c r="AV8" t="s">
        <v>149</v>
      </c>
      <c r="AW8" t="s">
        <v>149</v>
      </c>
      <c r="AX8" t="s">
        <v>149</v>
      </c>
      <c r="AY8" t="s">
        <v>149</v>
      </c>
      <c r="AZ8" t="s">
        <v>149</v>
      </c>
      <c r="BA8" t="s">
        <v>149</v>
      </c>
      <c r="BB8" t="s">
        <v>149</v>
      </c>
      <c r="BC8" t="s">
        <v>149</v>
      </c>
      <c r="BD8" t="s">
        <v>149</v>
      </c>
      <c r="BE8" t="s">
        <v>149</v>
      </c>
      <c r="BF8" t="s">
        <v>149</v>
      </c>
      <c r="BG8" t="s">
        <v>149</v>
      </c>
      <c r="BH8" t="s">
        <v>149</v>
      </c>
      <c r="BI8" t="s">
        <v>149</v>
      </c>
      <c r="BJ8" t="s">
        <v>149</v>
      </c>
      <c r="BK8" t="s">
        <v>149</v>
      </c>
      <c r="BL8" t="s">
        <v>149</v>
      </c>
      <c r="BM8" t="s">
        <v>149</v>
      </c>
      <c r="BN8" t="s">
        <v>149</v>
      </c>
      <c r="BO8" t="s">
        <v>149</v>
      </c>
      <c r="BP8" t="s">
        <v>149</v>
      </c>
      <c r="BQ8" t="s">
        <v>149</v>
      </c>
      <c r="BR8" t="s">
        <v>149</v>
      </c>
      <c r="BS8" t="s">
        <v>149</v>
      </c>
      <c r="BT8" t="s">
        <v>149</v>
      </c>
      <c r="BU8" t="s">
        <v>149</v>
      </c>
      <c r="BV8" t="s">
        <v>149</v>
      </c>
      <c r="BW8" t="s">
        <v>149</v>
      </c>
      <c r="BX8" t="s">
        <v>149</v>
      </c>
      <c r="BY8" t="s">
        <v>149</v>
      </c>
      <c r="BZ8" t="s">
        <v>149</v>
      </c>
      <c r="CA8" t="s">
        <v>149</v>
      </c>
      <c r="CB8" t="s">
        <v>149</v>
      </c>
      <c r="CC8" t="s">
        <v>149</v>
      </c>
      <c r="CD8" t="s">
        <v>149</v>
      </c>
      <c r="CE8" t="s">
        <v>149</v>
      </c>
      <c r="CF8" t="s">
        <v>149</v>
      </c>
      <c r="CG8" t="s">
        <v>149</v>
      </c>
      <c r="CH8" t="s">
        <v>149</v>
      </c>
      <c r="CI8" t="s">
        <v>149</v>
      </c>
      <c r="CJ8" t="s">
        <v>149</v>
      </c>
      <c r="CK8" t="s">
        <v>149</v>
      </c>
      <c r="CL8" t="s">
        <v>149</v>
      </c>
      <c r="CM8" t="s">
        <v>149</v>
      </c>
      <c r="CN8" t="s">
        <v>149</v>
      </c>
      <c r="CO8" t="s">
        <v>149</v>
      </c>
      <c r="CP8" t="s">
        <v>149</v>
      </c>
      <c r="CQ8" t="s">
        <v>149</v>
      </c>
      <c r="CR8" t="s">
        <v>149</v>
      </c>
      <c r="CS8" t="s">
        <v>149</v>
      </c>
      <c r="CT8" t="s">
        <v>149</v>
      </c>
      <c r="CU8" t="s">
        <v>149</v>
      </c>
      <c r="CV8" t="s">
        <v>149</v>
      </c>
      <c r="CW8" t="s">
        <v>149</v>
      </c>
      <c r="CX8" t="s">
        <v>149</v>
      </c>
      <c r="CY8" t="s">
        <v>149</v>
      </c>
      <c r="CZ8" t="s">
        <v>149</v>
      </c>
      <c r="DA8" t="s">
        <v>149</v>
      </c>
      <c r="DB8" t="s">
        <v>149</v>
      </c>
      <c r="DC8" t="s">
        <v>149</v>
      </c>
      <c r="DD8" t="s">
        <v>149</v>
      </c>
      <c r="DE8" t="s">
        <v>149</v>
      </c>
      <c r="DF8" t="s">
        <v>149</v>
      </c>
      <c r="DG8" t="s">
        <v>149</v>
      </c>
      <c r="DH8" t="s">
        <v>149</v>
      </c>
      <c r="DI8" t="s">
        <v>149</v>
      </c>
      <c r="DJ8" t="s">
        <v>149</v>
      </c>
      <c r="DK8" t="s">
        <v>149</v>
      </c>
      <c r="DL8" t="s">
        <v>149</v>
      </c>
      <c r="DM8" t="s">
        <v>149</v>
      </c>
      <c r="DN8" t="s">
        <v>149</v>
      </c>
      <c r="DO8" t="s">
        <v>149</v>
      </c>
      <c r="DP8" t="s">
        <v>149</v>
      </c>
      <c r="DQ8" t="s">
        <v>149</v>
      </c>
      <c r="DR8" t="s">
        <v>149</v>
      </c>
      <c r="DS8" t="s">
        <v>149</v>
      </c>
      <c r="DT8" t="s">
        <v>149</v>
      </c>
      <c r="DU8" t="s">
        <v>149</v>
      </c>
      <c r="DV8" t="s">
        <v>149</v>
      </c>
      <c r="DW8" t="s">
        <v>149</v>
      </c>
      <c r="DX8" t="s">
        <v>149</v>
      </c>
      <c r="DY8" t="s">
        <v>149</v>
      </c>
      <c r="DZ8" t="s">
        <v>149</v>
      </c>
      <c r="EA8" t="s">
        <v>149</v>
      </c>
      <c r="EB8" t="s">
        <v>149</v>
      </c>
      <c r="EC8" t="s">
        <v>149</v>
      </c>
      <c r="ED8" t="s">
        <v>149</v>
      </c>
      <c r="EE8" t="s">
        <v>149</v>
      </c>
      <c r="EF8" t="s">
        <v>149</v>
      </c>
      <c r="EG8" t="s">
        <v>149</v>
      </c>
      <c r="EH8" t="s">
        <v>149</v>
      </c>
      <c r="EI8" t="s">
        <v>149</v>
      </c>
      <c r="EJ8" t="s">
        <v>149</v>
      </c>
      <c r="EK8" t="s">
        <v>149</v>
      </c>
      <c r="EL8" t="s">
        <v>149</v>
      </c>
      <c r="EM8" t="s">
        <v>149</v>
      </c>
      <c r="EN8" t="s">
        <v>149</v>
      </c>
      <c r="EO8" t="s">
        <v>149</v>
      </c>
      <c r="EP8" t="s">
        <v>149</v>
      </c>
      <c r="EQ8" t="s">
        <v>149</v>
      </c>
      <c r="ER8" t="s">
        <v>149</v>
      </c>
      <c r="ES8" t="s">
        <v>149</v>
      </c>
      <c r="ET8" t="s">
        <v>149</v>
      </c>
      <c r="EU8" t="s">
        <v>149</v>
      </c>
      <c r="EV8" t="s">
        <v>149</v>
      </c>
      <c r="EW8" t="s">
        <v>149</v>
      </c>
      <c r="EX8" t="s">
        <v>149</v>
      </c>
      <c r="EY8" t="s">
        <v>149</v>
      </c>
      <c r="EZ8" t="s">
        <v>149</v>
      </c>
      <c r="FA8" t="s">
        <v>149</v>
      </c>
      <c r="FB8" t="s">
        <v>149</v>
      </c>
      <c r="FC8" t="s">
        <v>149</v>
      </c>
      <c r="FD8" t="s">
        <v>149</v>
      </c>
      <c r="FE8" t="s">
        <v>149</v>
      </c>
      <c r="FF8" t="s">
        <v>149</v>
      </c>
      <c r="FG8" t="s">
        <v>149</v>
      </c>
      <c r="FH8" t="s">
        <v>149</v>
      </c>
      <c r="FI8" t="s">
        <v>149</v>
      </c>
      <c r="FJ8" t="s">
        <v>149</v>
      </c>
      <c r="FK8" t="s">
        <v>149</v>
      </c>
      <c r="FL8" t="s">
        <v>149</v>
      </c>
      <c r="FM8" t="s">
        <v>149</v>
      </c>
      <c r="FN8" t="s">
        <v>149</v>
      </c>
      <c r="FO8" t="s">
        <v>149</v>
      </c>
      <c r="FP8" t="s">
        <v>149</v>
      </c>
      <c r="FQ8" t="s">
        <v>149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8" t="s">
        <v>149</v>
      </c>
      <c r="B9" s="8" t="s">
        <v>149</v>
      </c>
      <c r="C9" s="8" t="s">
        <v>149</v>
      </c>
      <c r="D9" s="8" t="s">
        <v>149</v>
      </c>
      <c r="E9" s="8"/>
      <c r="F9" s="8" t="s">
        <v>150</v>
      </c>
      <c r="G9" s="8" t="s">
        <v>149</v>
      </c>
      <c r="H9" s="8" t="s">
        <v>149</v>
      </c>
      <c r="I9" s="8"/>
      <c r="J9" s="8" t="s">
        <v>151</v>
      </c>
      <c r="K9" s="8" t="s">
        <v>149</v>
      </c>
      <c r="L9" s="8" t="s">
        <v>149</v>
      </c>
      <c r="M9" s="8" t="s">
        <v>149</v>
      </c>
      <c r="N9" s="8"/>
      <c r="O9" s="8"/>
      <c r="Q9" t="s">
        <v>152</v>
      </c>
      <c r="R9" t="s">
        <v>149</v>
      </c>
      <c r="S9" t="s">
        <v>149</v>
      </c>
      <c r="T9" t="s">
        <v>149</v>
      </c>
      <c r="U9" t="s">
        <v>58</v>
      </c>
      <c r="W9" t="s">
        <v>149</v>
      </c>
      <c r="X9" t="s">
        <v>149</v>
      </c>
      <c r="Y9" t="s">
        <v>149</v>
      </c>
      <c r="Z9" t="s">
        <v>153</v>
      </c>
      <c r="AA9" t="s">
        <v>149</v>
      </c>
      <c r="AB9" t="s">
        <v>50</v>
      </c>
      <c r="AC9" t="s">
        <v>149</v>
      </c>
      <c r="AD9" t="s">
        <v>149</v>
      </c>
      <c r="AE9" t="s">
        <v>149</v>
      </c>
      <c r="AF9" t="s">
        <v>154</v>
      </c>
      <c r="AG9" t="s">
        <v>149</v>
      </c>
      <c r="AH9" t="s">
        <v>149</v>
      </c>
      <c r="AI9" t="s">
        <v>155</v>
      </c>
      <c r="AJ9" t="s">
        <v>155</v>
      </c>
      <c r="AK9" t="s">
        <v>156</v>
      </c>
      <c r="AL9" t="s">
        <v>157</v>
      </c>
      <c r="AM9" t="s">
        <v>149</v>
      </c>
      <c r="AN9" t="s">
        <v>149</v>
      </c>
      <c r="AO9" t="s">
        <v>149</v>
      </c>
      <c r="AP9" t="s">
        <v>149</v>
      </c>
      <c r="AQ9" t="s">
        <v>149</v>
      </c>
      <c r="AR9" t="s">
        <v>149</v>
      </c>
      <c r="AS9" t="s">
        <v>12</v>
      </c>
      <c r="AT9" t="s">
        <v>149</v>
      </c>
      <c r="AU9" t="s">
        <v>149</v>
      </c>
      <c r="AV9" t="s">
        <v>149</v>
      </c>
      <c r="AW9" t="s">
        <v>149</v>
      </c>
      <c r="AX9" t="s">
        <v>149</v>
      </c>
      <c r="AY9" t="s">
        <v>149</v>
      </c>
      <c r="AZ9" t="s">
        <v>149</v>
      </c>
      <c r="BA9" t="s">
        <v>149</v>
      </c>
      <c r="BB9" t="s">
        <v>149</v>
      </c>
      <c r="BC9" t="s">
        <v>149</v>
      </c>
      <c r="BD9" t="s">
        <v>149</v>
      </c>
      <c r="BE9" t="s">
        <v>149</v>
      </c>
      <c r="BF9" t="s">
        <v>149</v>
      </c>
      <c r="BG9" t="s">
        <v>149</v>
      </c>
      <c r="BH9" t="s">
        <v>149</v>
      </c>
      <c r="BI9" t="s">
        <v>149</v>
      </c>
      <c r="BJ9" t="s">
        <v>149</v>
      </c>
      <c r="BK9" t="s">
        <v>149</v>
      </c>
      <c r="BL9" t="s">
        <v>149</v>
      </c>
      <c r="BM9" t="s">
        <v>149</v>
      </c>
      <c r="BN9" t="s">
        <v>149</v>
      </c>
      <c r="BO9" t="s">
        <v>149</v>
      </c>
      <c r="BP9" t="s">
        <v>149</v>
      </c>
      <c r="BQ9" t="s">
        <v>149</v>
      </c>
      <c r="BR9" t="s">
        <v>149</v>
      </c>
      <c r="BS9" t="s">
        <v>149</v>
      </c>
      <c r="BT9" t="s">
        <v>149</v>
      </c>
      <c r="BU9" t="s">
        <v>149</v>
      </c>
      <c r="BV9" t="s">
        <v>149</v>
      </c>
      <c r="BW9" t="s">
        <v>149</v>
      </c>
      <c r="BX9" t="s">
        <v>149</v>
      </c>
      <c r="BY9" t="s">
        <v>149</v>
      </c>
      <c r="BZ9" t="s">
        <v>149</v>
      </c>
      <c r="CA9" t="s">
        <v>149</v>
      </c>
      <c r="CB9" t="s">
        <v>149</v>
      </c>
      <c r="CC9" t="s">
        <v>149</v>
      </c>
      <c r="CD9" t="s">
        <v>149</v>
      </c>
      <c r="CE9" t="s">
        <v>149</v>
      </c>
      <c r="CF9" t="s">
        <v>149</v>
      </c>
      <c r="CG9" t="s">
        <v>149</v>
      </c>
      <c r="CH9" t="s">
        <v>149</v>
      </c>
      <c r="CI9" t="s">
        <v>149</v>
      </c>
      <c r="CJ9" t="s">
        <v>149</v>
      </c>
      <c r="CK9" t="s">
        <v>149</v>
      </c>
      <c r="CL9" t="s">
        <v>149</v>
      </c>
      <c r="CM9" t="s">
        <v>149</v>
      </c>
      <c r="CN9" t="s">
        <v>149</v>
      </c>
      <c r="CO9" t="s">
        <v>149</v>
      </c>
      <c r="CP9" t="s">
        <v>149</v>
      </c>
      <c r="CQ9" t="s">
        <v>149</v>
      </c>
      <c r="CR9" t="s">
        <v>149</v>
      </c>
      <c r="CS9" t="s">
        <v>149</v>
      </c>
      <c r="CT9" t="s">
        <v>149</v>
      </c>
      <c r="CU9" t="s">
        <v>149</v>
      </c>
      <c r="CV9" t="s">
        <v>149</v>
      </c>
      <c r="CW9" t="s">
        <v>149</v>
      </c>
      <c r="CX9" t="s">
        <v>149</v>
      </c>
      <c r="CY9" t="s">
        <v>149</v>
      </c>
      <c r="CZ9" t="s">
        <v>149</v>
      </c>
      <c r="DA9" t="s">
        <v>149</v>
      </c>
      <c r="DB9" t="s">
        <v>149</v>
      </c>
      <c r="DC9" t="s">
        <v>149</v>
      </c>
      <c r="DD9" t="s">
        <v>149</v>
      </c>
      <c r="DE9" t="s">
        <v>149</v>
      </c>
      <c r="DF9" t="s">
        <v>149</v>
      </c>
      <c r="DG9" t="s">
        <v>149</v>
      </c>
      <c r="DH9" t="s">
        <v>149</v>
      </c>
      <c r="DI9" t="s">
        <v>149</v>
      </c>
      <c r="DJ9" t="s">
        <v>149</v>
      </c>
      <c r="DK9" t="s">
        <v>149</v>
      </c>
      <c r="DL9" t="s">
        <v>149</v>
      </c>
      <c r="DM9" t="s">
        <v>149</v>
      </c>
      <c r="DN9" t="s">
        <v>149</v>
      </c>
      <c r="DO9" t="s">
        <v>149</v>
      </c>
      <c r="DP9" t="s">
        <v>149</v>
      </c>
      <c r="DQ9" t="s">
        <v>149</v>
      </c>
      <c r="DR9" t="s">
        <v>149</v>
      </c>
      <c r="DS9" t="s">
        <v>149</v>
      </c>
      <c r="DT9" t="s">
        <v>149</v>
      </c>
      <c r="DU9" t="s">
        <v>149</v>
      </c>
      <c r="DV9" t="s">
        <v>149</v>
      </c>
      <c r="DW9" t="s">
        <v>149</v>
      </c>
      <c r="DX9" t="s">
        <v>149</v>
      </c>
      <c r="DY9" t="s">
        <v>149</v>
      </c>
      <c r="DZ9" t="s">
        <v>149</v>
      </c>
      <c r="EA9" t="s">
        <v>149</v>
      </c>
      <c r="EB9" t="s">
        <v>149</v>
      </c>
      <c r="EC9" t="s">
        <v>149</v>
      </c>
      <c r="ED9" t="s">
        <v>149</v>
      </c>
      <c r="EE9" t="s">
        <v>149</v>
      </c>
      <c r="EF9" t="s">
        <v>149</v>
      </c>
      <c r="EG9" t="s">
        <v>149</v>
      </c>
      <c r="EH9" t="s">
        <v>149</v>
      </c>
      <c r="EI9" t="s">
        <v>149</v>
      </c>
      <c r="EJ9" t="s">
        <v>149</v>
      </c>
      <c r="EK9" t="s">
        <v>149</v>
      </c>
      <c r="EL9" t="s">
        <v>149</v>
      </c>
      <c r="EM9" t="s">
        <v>149</v>
      </c>
      <c r="EN9" t="s">
        <v>149</v>
      </c>
      <c r="EO9" t="s">
        <v>149</v>
      </c>
      <c r="EP9" t="s">
        <v>149</v>
      </c>
      <c r="EQ9" t="s">
        <v>149</v>
      </c>
      <c r="ER9" t="s">
        <v>149</v>
      </c>
      <c r="ES9" t="s">
        <v>149</v>
      </c>
      <c r="ET9" t="s">
        <v>149</v>
      </c>
      <c r="EU9" t="s">
        <v>149</v>
      </c>
      <c r="EV9" t="s">
        <v>149</v>
      </c>
      <c r="EW9" t="s">
        <v>149</v>
      </c>
      <c r="EX9" t="s">
        <v>149</v>
      </c>
      <c r="EY9" t="s">
        <v>149</v>
      </c>
      <c r="EZ9" t="s">
        <v>149</v>
      </c>
      <c r="FA9" t="s">
        <v>149</v>
      </c>
      <c r="FB9" t="s">
        <v>149</v>
      </c>
      <c r="FC9" t="s">
        <v>149</v>
      </c>
      <c r="FD9" t="s">
        <v>149</v>
      </c>
      <c r="FE9" t="s">
        <v>149</v>
      </c>
      <c r="FF9" t="s">
        <v>149</v>
      </c>
      <c r="FG9" t="s">
        <v>149</v>
      </c>
      <c r="FH9" t="s">
        <v>149</v>
      </c>
      <c r="FI9" t="s">
        <v>149</v>
      </c>
      <c r="FJ9" t="s">
        <v>149</v>
      </c>
      <c r="FK9" t="s">
        <v>149</v>
      </c>
      <c r="FL9" t="s">
        <v>149</v>
      </c>
      <c r="FM9" t="s">
        <v>149</v>
      </c>
      <c r="FN9" t="s">
        <v>149</v>
      </c>
      <c r="FO9" t="s">
        <v>149</v>
      </c>
      <c r="FP9" t="s">
        <v>149</v>
      </c>
      <c r="FQ9" t="s">
        <v>149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</row>
    <row r="10" ht="15.75" customHeight="1">
      <c r="A10" s="8" t="s">
        <v>149</v>
      </c>
      <c r="B10" s="8" t="s">
        <v>149</v>
      </c>
      <c r="C10" s="8" t="s">
        <v>149</v>
      </c>
      <c r="D10" s="8" t="s">
        <v>149</v>
      </c>
      <c r="E10" s="8"/>
      <c r="F10" s="8" t="s">
        <v>158</v>
      </c>
      <c r="G10" s="8" t="s">
        <v>149</v>
      </c>
      <c r="H10" s="8" t="s">
        <v>149</v>
      </c>
      <c r="I10" s="8"/>
      <c r="J10" s="8" t="s">
        <v>151</v>
      </c>
      <c r="K10" s="8" t="s">
        <v>149</v>
      </c>
      <c r="L10" s="8" t="s">
        <v>149</v>
      </c>
      <c r="M10" s="8" t="s">
        <v>149</v>
      </c>
      <c r="N10" s="8"/>
      <c r="O10" s="8"/>
      <c r="Q10" t="s">
        <v>159</v>
      </c>
      <c r="R10" t="s">
        <v>149</v>
      </c>
      <c r="S10" t="s">
        <v>149</v>
      </c>
      <c r="T10" t="s">
        <v>149</v>
      </c>
      <c r="U10" t="s">
        <v>58</v>
      </c>
      <c r="W10" t="s">
        <v>149</v>
      </c>
      <c r="X10" t="s">
        <v>149</v>
      </c>
      <c r="Y10" t="s">
        <v>149</v>
      </c>
      <c r="Z10" t="s">
        <v>153</v>
      </c>
      <c r="AA10" t="s">
        <v>149</v>
      </c>
      <c r="AB10" t="s">
        <v>52</v>
      </c>
      <c r="AC10" t="s">
        <v>149</v>
      </c>
      <c r="AD10" t="s">
        <v>149</v>
      </c>
      <c r="AE10" t="s">
        <v>149</v>
      </c>
      <c r="AF10" t="s">
        <v>154</v>
      </c>
      <c r="AG10" t="s">
        <v>149</v>
      </c>
      <c r="AH10" t="s">
        <v>149</v>
      </c>
      <c r="AI10" t="s">
        <v>155</v>
      </c>
      <c r="AJ10" t="s">
        <v>155</v>
      </c>
      <c r="AK10" t="s">
        <v>156</v>
      </c>
      <c r="AL10" t="s">
        <v>157</v>
      </c>
      <c r="AM10" t="s">
        <v>149</v>
      </c>
      <c r="AN10" t="s">
        <v>149</v>
      </c>
      <c r="AO10" t="s">
        <v>149</v>
      </c>
      <c r="AP10" t="s">
        <v>149</v>
      </c>
      <c r="AQ10" t="s">
        <v>149</v>
      </c>
      <c r="AR10" t="s">
        <v>149</v>
      </c>
      <c r="AS10" t="s">
        <v>12</v>
      </c>
      <c r="AT10" t="s">
        <v>149</v>
      </c>
      <c r="AU10" t="s">
        <v>149</v>
      </c>
      <c r="AV10" t="s">
        <v>149</v>
      </c>
      <c r="AW10" t="s">
        <v>149</v>
      </c>
      <c r="AX10" t="s">
        <v>149</v>
      </c>
      <c r="AY10" t="s">
        <v>149</v>
      </c>
      <c r="AZ10" t="s">
        <v>149</v>
      </c>
      <c r="BA10" t="s">
        <v>149</v>
      </c>
      <c r="BB10" t="s">
        <v>149</v>
      </c>
      <c r="BC10" t="s">
        <v>149</v>
      </c>
      <c r="BD10" t="s">
        <v>149</v>
      </c>
      <c r="BE10" t="s">
        <v>149</v>
      </c>
      <c r="BF10" t="s">
        <v>149</v>
      </c>
      <c r="BG10" t="s">
        <v>149</v>
      </c>
      <c r="BH10" t="s">
        <v>149</v>
      </c>
      <c r="BI10" t="s">
        <v>149</v>
      </c>
      <c r="BJ10" t="s">
        <v>149</v>
      </c>
      <c r="BK10" t="s">
        <v>149</v>
      </c>
      <c r="BL10" t="s">
        <v>149</v>
      </c>
      <c r="BM10" t="s">
        <v>149</v>
      </c>
      <c r="BN10" t="s">
        <v>149</v>
      </c>
      <c r="BO10" t="s">
        <v>149</v>
      </c>
      <c r="BP10" t="s">
        <v>149</v>
      </c>
      <c r="BQ10" t="s">
        <v>149</v>
      </c>
      <c r="BR10" t="s">
        <v>149</v>
      </c>
      <c r="BS10" t="s">
        <v>149</v>
      </c>
      <c r="BT10" t="s">
        <v>149</v>
      </c>
      <c r="BU10" t="s">
        <v>149</v>
      </c>
      <c r="BV10" t="s">
        <v>149</v>
      </c>
      <c r="BW10" t="s">
        <v>149</v>
      </c>
      <c r="BX10" t="s">
        <v>149</v>
      </c>
      <c r="BY10" t="s">
        <v>149</v>
      </c>
      <c r="BZ10" t="s">
        <v>149</v>
      </c>
      <c r="CA10" t="s">
        <v>149</v>
      </c>
      <c r="CB10" t="s">
        <v>149</v>
      </c>
      <c r="CC10" t="s">
        <v>149</v>
      </c>
      <c r="CD10" t="s">
        <v>149</v>
      </c>
      <c r="CE10" t="s">
        <v>149</v>
      </c>
      <c r="CF10" t="s">
        <v>149</v>
      </c>
      <c r="CG10" t="s">
        <v>149</v>
      </c>
      <c r="CH10" t="s">
        <v>149</v>
      </c>
      <c r="CI10" t="s">
        <v>149</v>
      </c>
      <c r="CJ10" t="s">
        <v>149</v>
      </c>
      <c r="CK10" t="s">
        <v>149</v>
      </c>
      <c r="CL10" t="s">
        <v>149</v>
      </c>
      <c r="CM10" t="s">
        <v>149</v>
      </c>
      <c r="CN10" t="s">
        <v>149</v>
      </c>
      <c r="CO10" t="s">
        <v>149</v>
      </c>
      <c r="CP10" t="s">
        <v>149</v>
      </c>
      <c r="CQ10" t="s">
        <v>149</v>
      </c>
      <c r="CR10" t="s">
        <v>149</v>
      </c>
      <c r="CS10" t="s">
        <v>149</v>
      </c>
      <c r="CT10" t="s">
        <v>149</v>
      </c>
      <c r="CU10" t="s">
        <v>149</v>
      </c>
      <c r="CV10" t="s">
        <v>149</v>
      </c>
      <c r="CW10" t="s">
        <v>149</v>
      </c>
      <c r="CX10" t="s">
        <v>149</v>
      </c>
      <c r="CY10" t="s">
        <v>149</v>
      </c>
      <c r="CZ10" t="s">
        <v>149</v>
      </c>
      <c r="DA10" t="s">
        <v>149</v>
      </c>
      <c r="DB10" t="s">
        <v>149</v>
      </c>
      <c r="DC10" t="s">
        <v>149</v>
      </c>
      <c r="DD10" t="s">
        <v>149</v>
      </c>
      <c r="DE10" t="s">
        <v>149</v>
      </c>
      <c r="DF10" t="s">
        <v>149</v>
      </c>
      <c r="DG10" t="s">
        <v>149</v>
      </c>
      <c r="DH10" t="s">
        <v>149</v>
      </c>
      <c r="DI10" t="s">
        <v>149</v>
      </c>
      <c r="DJ10" t="s">
        <v>149</v>
      </c>
      <c r="DK10" t="s">
        <v>149</v>
      </c>
      <c r="DL10" t="s">
        <v>149</v>
      </c>
      <c r="DM10" t="s">
        <v>149</v>
      </c>
      <c r="DN10" t="s">
        <v>149</v>
      </c>
      <c r="DO10" t="s">
        <v>149</v>
      </c>
      <c r="DP10" t="s">
        <v>149</v>
      </c>
      <c r="DQ10" t="s">
        <v>149</v>
      </c>
      <c r="DR10" t="s">
        <v>149</v>
      </c>
      <c r="DS10" t="s">
        <v>149</v>
      </c>
      <c r="DT10" t="s">
        <v>149</v>
      </c>
      <c r="DU10" t="s">
        <v>149</v>
      </c>
      <c r="DV10" t="s">
        <v>149</v>
      </c>
      <c r="DW10" t="s">
        <v>149</v>
      </c>
      <c r="DX10" t="s">
        <v>149</v>
      </c>
      <c r="DY10" t="s">
        <v>149</v>
      </c>
      <c r="DZ10" t="s">
        <v>149</v>
      </c>
      <c r="EA10" t="s">
        <v>149</v>
      </c>
      <c r="EB10" t="s">
        <v>149</v>
      </c>
      <c r="EC10" t="s">
        <v>149</v>
      </c>
      <c r="ED10" t="s">
        <v>149</v>
      </c>
      <c r="EE10" t="s">
        <v>149</v>
      </c>
      <c r="EF10" t="s">
        <v>149</v>
      </c>
      <c r="EG10" t="s">
        <v>149</v>
      </c>
      <c r="EH10" t="s">
        <v>149</v>
      </c>
      <c r="EI10" t="s">
        <v>149</v>
      </c>
      <c r="EJ10" t="s">
        <v>149</v>
      </c>
      <c r="EK10" t="s">
        <v>149</v>
      </c>
      <c r="EL10" t="s">
        <v>149</v>
      </c>
      <c r="EM10" t="s">
        <v>149</v>
      </c>
      <c r="EN10" t="s">
        <v>149</v>
      </c>
      <c r="EO10" t="s">
        <v>149</v>
      </c>
      <c r="EP10" t="s">
        <v>149</v>
      </c>
      <c r="EQ10" t="s">
        <v>149</v>
      </c>
      <c r="ER10" t="s">
        <v>149</v>
      </c>
      <c r="ES10" t="s">
        <v>149</v>
      </c>
      <c r="ET10" t="s">
        <v>149</v>
      </c>
      <c r="EU10" t="s">
        <v>149</v>
      </c>
      <c r="EV10" t="s">
        <v>149</v>
      </c>
      <c r="EW10" t="s">
        <v>149</v>
      </c>
      <c r="EX10" t="s">
        <v>149</v>
      </c>
      <c r="EY10" t="s">
        <v>149</v>
      </c>
      <c r="EZ10" t="s">
        <v>149</v>
      </c>
      <c r="FA10" t="s">
        <v>149</v>
      </c>
      <c r="FB10" t="s">
        <v>149</v>
      </c>
      <c r="FC10" t="s">
        <v>149</v>
      </c>
      <c r="FD10" t="s">
        <v>149</v>
      </c>
      <c r="FE10" t="s">
        <v>149</v>
      </c>
      <c r="FF10" t="s">
        <v>149</v>
      </c>
      <c r="FG10" t="s">
        <v>149</v>
      </c>
      <c r="FH10" t="s">
        <v>149</v>
      </c>
      <c r="FI10" t="s">
        <v>149</v>
      </c>
      <c r="FJ10" t="s">
        <v>149</v>
      </c>
      <c r="FK10" t="s">
        <v>149</v>
      </c>
      <c r="FL10" t="s">
        <v>149</v>
      </c>
      <c r="FM10" t="s">
        <v>149</v>
      </c>
      <c r="FN10" t="s">
        <v>149</v>
      </c>
      <c r="FO10" t="s">
        <v>149</v>
      </c>
      <c r="FP10" t="s">
        <v>149</v>
      </c>
      <c r="FQ10" t="s">
        <v>149</v>
      </c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  <c r="AMK10" s="41"/>
      <c r="AML10" s="41"/>
    </row>
    <row r="11" ht="15.75" customHeight="1">
      <c r="A11" s="8" t="s">
        <v>149</v>
      </c>
      <c r="B11" s="8" t="s">
        <v>149</v>
      </c>
      <c r="C11" s="8" t="s">
        <v>149</v>
      </c>
      <c r="D11" s="8" t="s">
        <v>149</v>
      </c>
      <c r="E11" s="8"/>
      <c r="F11" s="8" t="s">
        <v>150</v>
      </c>
      <c r="G11" s="8" t="s">
        <v>149</v>
      </c>
      <c r="H11" s="8" t="s">
        <v>149</v>
      </c>
      <c r="I11" s="8"/>
      <c r="J11" s="8" t="s">
        <v>151</v>
      </c>
      <c r="K11" s="8" t="s">
        <v>149</v>
      </c>
      <c r="L11" s="8" t="s">
        <v>149</v>
      </c>
      <c r="M11" s="8" t="s">
        <v>149</v>
      </c>
      <c r="N11" s="8"/>
      <c r="O11" s="8"/>
      <c r="R11" t="s">
        <v>149</v>
      </c>
      <c r="S11" t="s">
        <v>149</v>
      </c>
      <c r="T11" t="s">
        <v>149</v>
      </c>
      <c r="U11" t="s">
        <v>58</v>
      </c>
      <c r="W11" t="s">
        <v>149</v>
      </c>
      <c r="X11" t="s">
        <v>149</v>
      </c>
      <c r="Y11" t="s">
        <v>149</v>
      </c>
      <c r="Z11" t="s">
        <v>160</v>
      </c>
      <c r="AA11" t="s">
        <v>149</v>
      </c>
      <c r="AB11" t="s">
        <v>54</v>
      </c>
      <c r="AC11" t="s">
        <v>149</v>
      </c>
      <c r="AD11" t="s">
        <v>149</v>
      </c>
      <c r="AE11" t="s">
        <v>149</v>
      </c>
      <c r="AF11" t="s">
        <v>161</v>
      </c>
      <c r="AG11" t="s">
        <v>149</v>
      </c>
      <c r="AH11" t="s">
        <v>149</v>
      </c>
      <c r="AI11" t="s">
        <v>155</v>
      </c>
      <c r="AJ11" t="s">
        <v>155</v>
      </c>
      <c r="AK11" t="s">
        <v>156</v>
      </c>
      <c r="AL11" t="s">
        <v>157</v>
      </c>
      <c r="AM11" t="s">
        <v>149</v>
      </c>
      <c r="AN11" t="s">
        <v>149</v>
      </c>
      <c r="AO11" t="s">
        <v>149</v>
      </c>
      <c r="AP11" t="s">
        <v>149</v>
      </c>
      <c r="AQ11" t="s">
        <v>149</v>
      </c>
      <c r="AR11" t="s">
        <v>149</v>
      </c>
      <c r="AS11" t="s">
        <v>12</v>
      </c>
      <c r="AT11" t="s">
        <v>149</v>
      </c>
      <c r="AU11" t="s">
        <v>149</v>
      </c>
      <c r="AV11" t="s">
        <v>149</v>
      </c>
      <c r="AW11" t="s">
        <v>149</v>
      </c>
      <c r="AX11" t="s">
        <v>149</v>
      </c>
      <c r="AY11" t="s">
        <v>149</v>
      </c>
      <c r="AZ11" t="s">
        <v>149</v>
      </c>
      <c r="BA11" t="s">
        <v>149</v>
      </c>
      <c r="BB11" t="s">
        <v>149</v>
      </c>
      <c r="BC11" t="s">
        <v>149</v>
      </c>
      <c r="BD11" t="s">
        <v>149</v>
      </c>
      <c r="BE11" t="s">
        <v>149</v>
      </c>
      <c r="BF11" t="s">
        <v>149</v>
      </c>
      <c r="BG11" t="s">
        <v>149</v>
      </c>
      <c r="BH11" t="s">
        <v>149</v>
      </c>
      <c r="BI11" t="s">
        <v>149</v>
      </c>
      <c r="BJ11" t="s">
        <v>149</v>
      </c>
      <c r="BK11" t="s">
        <v>149</v>
      </c>
      <c r="BL11" t="s">
        <v>149</v>
      </c>
      <c r="BM11" t="s">
        <v>149</v>
      </c>
      <c r="BN11" t="s">
        <v>149</v>
      </c>
      <c r="BO11" t="s">
        <v>149</v>
      </c>
      <c r="BP11" t="s">
        <v>149</v>
      </c>
      <c r="BQ11" t="s">
        <v>149</v>
      </c>
      <c r="BR11" t="s">
        <v>149</v>
      </c>
      <c r="BS11" t="s">
        <v>149</v>
      </c>
      <c r="BT11" t="s">
        <v>149</v>
      </c>
      <c r="BU11" t="s">
        <v>149</v>
      </c>
      <c r="BV11" t="s">
        <v>149</v>
      </c>
      <c r="BW11" t="s">
        <v>149</v>
      </c>
      <c r="BX11" t="s">
        <v>149</v>
      </c>
      <c r="BY11" t="s">
        <v>149</v>
      </c>
      <c r="BZ11" t="s">
        <v>149</v>
      </c>
      <c r="CA11" t="s">
        <v>149</v>
      </c>
      <c r="CB11" t="s">
        <v>149</v>
      </c>
      <c r="CC11" t="s">
        <v>149</v>
      </c>
      <c r="CD11" t="s">
        <v>149</v>
      </c>
      <c r="CE11" t="s">
        <v>149</v>
      </c>
      <c r="CF11" t="s">
        <v>149</v>
      </c>
      <c r="CG11" t="s">
        <v>149</v>
      </c>
      <c r="CH11" t="s">
        <v>149</v>
      </c>
      <c r="CI11" t="s">
        <v>149</v>
      </c>
      <c r="CJ11" t="s">
        <v>149</v>
      </c>
      <c r="CK11" t="s">
        <v>149</v>
      </c>
      <c r="CL11" t="s">
        <v>149</v>
      </c>
      <c r="CM11" t="s">
        <v>149</v>
      </c>
      <c r="CN11" t="s">
        <v>149</v>
      </c>
      <c r="CO11" t="s">
        <v>149</v>
      </c>
      <c r="CP11" t="s">
        <v>149</v>
      </c>
      <c r="CQ11" t="s">
        <v>149</v>
      </c>
      <c r="CR11" t="s">
        <v>149</v>
      </c>
      <c r="CS11" t="s">
        <v>149</v>
      </c>
      <c r="CT11" t="s">
        <v>149</v>
      </c>
      <c r="CU11" t="s">
        <v>149</v>
      </c>
      <c r="CV11" t="s">
        <v>149</v>
      </c>
      <c r="CW11" t="s">
        <v>149</v>
      </c>
      <c r="CX11" t="s">
        <v>149</v>
      </c>
      <c r="CY11" t="s">
        <v>149</v>
      </c>
      <c r="CZ11" t="s">
        <v>149</v>
      </c>
      <c r="DA11" t="s">
        <v>149</v>
      </c>
      <c r="DB11" t="s">
        <v>149</v>
      </c>
      <c r="DC11" t="s">
        <v>149</v>
      </c>
      <c r="DD11" t="s">
        <v>149</v>
      </c>
      <c r="DE11" t="s">
        <v>149</v>
      </c>
      <c r="DF11" t="s">
        <v>149</v>
      </c>
      <c r="DG11" t="s">
        <v>149</v>
      </c>
      <c r="DH11" t="s">
        <v>149</v>
      </c>
      <c r="DI11" t="s">
        <v>149</v>
      </c>
      <c r="DJ11" t="s">
        <v>149</v>
      </c>
      <c r="DK11" t="s">
        <v>149</v>
      </c>
      <c r="DL11" t="s">
        <v>149</v>
      </c>
      <c r="DM11" t="s">
        <v>149</v>
      </c>
      <c r="DN11" t="s">
        <v>149</v>
      </c>
      <c r="DO11" t="s">
        <v>149</v>
      </c>
      <c r="DP11" t="s">
        <v>149</v>
      </c>
      <c r="DQ11" t="s">
        <v>149</v>
      </c>
      <c r="DR11" t="s">
        <v>149</v>
      </c>
      <c r="DS11" t="s">
        <v>149</v>
      </c>
      <c r="DT11" t="s">
        <v>149</v>
      </c>
      <c r="DU11" t="s">
        <v>149</v>
      </c>
      <c r="DV11" t="s">
        <v>149</v>
      </c>
      <c r="DW11" t="s">
        <v>149</v>
      </c>
      <c r="DX11" t="s">
        <v>149</v>
      </c>
      <c r="DY11" t="s">
        <v>149</v>
      </c>
      <c r="DZ11" t="s">
        <v>149</v>
      </c>
      <c r="EA11" t="s">
        <v>149</v>
      </c>
      <c r="EB11" t="s">
        <v>149</v>
      </c>
      <c r="EC11" t="s">
        <v>149</v>
      </c>
      <c r="ED11" t="s">
        <v>149</v>
      </c>
      <c r="EE11" t="s">
        <v>149</v>
      </c>
      <c r="EF11" t="s">
        <v>149</v>
      </c>
      <c r="EG11" t="s">
        <v>149</v>
      </c>
      <c r="EH11" t="s">
        <v>149</v>
      </c>
      <c r="EI11" t="s">
        <v>149</v>
      </c>
      <c r="EJ11" t="s">
        <v>149</v>
      </c>
      <c r="EK11" t="s">
        <v>149</v>
      </c>
      <c r="EL11" t="s">
        <v>149</v>
      </c>
      <c r="EM11" t="s">
        <v>149</v>
      </c>
      <c r="EN11" t="s">
        <v>149</v>
      </c>
      <c r="EO11" t="s">
        <v>149</v>
      </c>
      <c r="EP11" t="s">
        <v>149</v>
      </c>
      <c r="EQ11" t="s">
        <v>149</v>
      </c>
      <c r="ER11" t="s">
        <v>149</v>
      </c>
      <c r="ES11" t="s">
        <v>149</v>
      </c>
      <c r="ET11" t="s">
        <v>149</v>
      </c>
      <c r="EU11" t="s">
        <v>149</v>
      </c>
      <c r="EV11" t="s">
        <v>149</v>
      </c>
      <c r="EW11" t="s">
        <v>149</v>
      </c>
      <c r="EX11" t="s">
        <v>149</v>
      </c>
      <c r="EY11" t="s">
        <v>149</v>
      </c>
      <c r="EZ11" t="s">
        <v>149</v>
      </c>
      <c r="FA11" t="s">
        <v>149</v>
      </c>
      <c r="FB11" t="s">
        <v>149</v>
      </c>
      <c r="FC11" t="s">
        <v>149</v>
      </c>
      <c r="FD11" t="s">
        <v>149</v>
      </c>
      <c r="FE11" t="s">
        <v>149</v>
      </c>
      <c r="FF11" t="s">
        <v>149</v>
      </c>
      <c r="FG11" t="s">
        <v>149</v>
      </c>
      <c r="FH11" t="s">
        <v>149</v>
      </c>
      <c r="FI11" t="s">
        <v>149</v>
      </c>
      <c r="FJ11" t="s">
        <v>149</v>
      </c>
      <c r="FK11" t="s">
        <v>149</v>
      </c>
      <c r="FL11" t="s">
        <v>149</v>
      </c>
      <c r="FM11" t="s">
        <v>149</v>
      </c>
      <c r="FN11" t="s">
        <v>149</v>
      </c>
      <c r="FO11" t="s">
        <v>149</v>
      </c>
      <c r="FP11" t="s">
        <v>149</v>
      </c>
      <c r="FQ11" t="s">
        <v>149</v>
      </c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7"/>
      <c r="B5" s="38" t="s">
        <v>65</v>
      </c>
      <c r="C5" s="38" t="s">
        <v>66</v>
      </c>
      <c r="D5" s="38" t="s">
        <v>67</v>
      </c>
      <c r="E5" s="38" t="s">
        <v>68</v>
      </c>
      <c r="F5" s="39" t="s">
        <v>69</v>
      </c>
      <c r="G5" s="38" t="s">
        <v>70</v>
      </c>
      <c r="H5" s="38" t="s">
        <v>44</v>
      </c>
      <c r="I5" s="38" t="s">
        <v>71</v>
      </c>
      <c r="J5" s="38" t="s">
        <v>72</v>
      </c>
      <c r="K5" s="38" t="s">
        <v>17</v>
      </c>
      <c r="L5" s="38" t="s">
        <v>73</v>
      </c>
      <c r="M5" s="38" t="s">
        <v>74</v>
      </c>
      <c r="N5" s="38" t="s">
        <v>75</v>
      </c>
      <c r="O5" s="38" t="s">
        <v>76</v>
      </c>
      <c r="P5" s="38" t="s">
        <v>77</v>
      </c>
      <c r="Q5" s="38" t="s">
        <v>78</v>
      </c>
      <c r="R5" s="38" t="s">
        <v>79</v>
      </c>
      <c r="S5" s="38" t="s">
        <v>80</v>
      </c>
      <c r="T5" s="38" t="s">
        <v>81</v>
      </c>
      <c r="U5" s="38" t="s">
        <v>82</v>
      </c>
      <c r="V5" s="38" t="s">
        <v>83</v>
      </c>
      <c r="W5" s="38" t="s">
        <v>84</v>
      </c>
      <c r="X5" s="38" t="s">
        <v>85</v>
      </c>
      <c r="Y5" s="38" t="s">
        <v>86</v>
      </c>
      <c r="Z5" s="38" t="s">
        <v>87</v>
      </c>
      <c r="AA5" s="38" t="s">
        <v>88</v>
      </c>
      <c r="AB5" s="38" t="s">
        <v>89</v>
      </c>
      <c r="AC5" s="38" t="s">
        <v>90</v>
      </c>
      <c r="AD5" s="38" t="s">
        <v>91</v>
      </c>
      <c r="AE5" s="38" t="s">
        <v>92</v>
      </c>
      <c r="AF5" s="38" t="s">
        <v>93</v>
      </c>
      <c r="AG5" s="38" t="s">
        <v>94</v>
      </c>
      <c r="AH5" s="38" t="s">
        <v>95</v>
      </c>
      <c r="AI5" s="38" t="s">
        <v>96</v>
      </c>
      <c r="AJ5" s="38" t="s">
        <v>16</v>
      </c>
      <c r="AK5" s="38" t="s">
        <v>97</v>
      </c>
      <c r="AL5" s="38" t="s">
        <v>98</v>
      </c>
      <c r="AM5" s="38" t="s">
        <v>99</v>
      </c>
      <c r="AN5" s="38" t="s">
        <v>100</v>
      </c>
      <c r="AO5" s="38" t="s">
        <v>101</v>
      </c>
      <c r="AP5" s="38" t="s">
        <v>102</v>
      </c>
      <c r="AQ5" s="38" t="s">
        <v>103</v>
      </c>
      <c r="AR5" s="38" t="s">
        <v>104</v>
      </c>
      <c r="AS5" s="38" t="s">
        <v>105</v>
      </c>
      <c r="AT5" s="38" t="s">
        <v>106</v>
      </c>
      <c r="AU5" s="38" t="s">
        <v>41</v>
      </c>
      <c r="AV5" s="38" t="s">
        <v>30</v>
      </c>
      <c r="AW5" s="38" t="s">
        <v>36</v>
      </c>
      <c r="AX5" s="38" t="s">
        <v>107</v>
      </c>
      <c r="AY5" s="38" t="s">
        <v>108</v>
      </c>
      <c r="AZ5" s="38" t="s">
        <v>109</v>
      </c>
      <c r="BA5" s="38" t="s">
        <v>110</v>
      </c>
      <c r="BB5" s="38" t="s">
        <v>111</v>
      </c>
      <c r="BC5" s="38" t="s">
        <v>112</v>
      </c>
      <c r="BD5" s="38" t="s">
        <v>113</v>
      </c>
      <c r="BE5" s="38" t="s">
        <v>114</v>
      </c>
      <c r="BF5" s="38" t="s">
        <v>115</v>
      </c>
      <c r="BG5" s="38" t="s">
        <v>116</v>
      </c>
      <c r="BH5" s="38" t="s">
        <v>117</v>
      </c>
      <c r="BI5" s="38" t="s">
        <v>118</v>
      </c>
      <c r="BJ5" s="38" t="s">
        <v>35</v>
      </c>
      <c r="BK5" s="38" t="s">
        <v>119</v>
      </c>
      <c r="BL5" s="38" t="s">
        <v>120</v>
      </c>
      <c r="BM5" s="38" t="s">
        <v>121</v>
      </c>
      <c r="BN5" s="38" t="s">
        <v>122</v>
      </c>
      <c r="BO5" s="38" t="s">
        <v>123</v>
      </c>
      <c r="BP5" s="38" t="s">
        <v>124</v>
      </c>
      <c r="BQ5" s="38" t="s">
        <v>125</v>
      </c>
      <c r="BR5" s="38" t="s">
        <v>126</v>
      </c>
      <c r="BS5" s="38" t="s">
        <v>127</v>
      </c>
      <c r="BT5" s="38" t="s">
        <v>128</v>
      </c>
      <c r="BU5" s="38" t="s">
        <v>129</v>
      </c>
      <c r="BV5" s="38" t="s">
        <v>130</v>
      </c>
      <c r="BW5" s="38" t="s">
        <v>131</v>
      </c>
      <c r="BX5" s="38" t="s">
        <v>132</v>
      </c>
      <c r="BY5" s="38" t="s">
        <v>133</v>
      </c>
      <c r="BZ5" s="38" t="s">
        <v>134</v>
      </c>
      <c r="CA5" s="38" t="s">
        <v>135</v>
      </c>
      <c r="CB5" s="38" t="s">
        <v>136</v>
      </c>
      <c r="CC5" s="38" t="s">
        <v>137</v>
      </c>
      <c r="CD5" s="38" t="s">
        <v>138</v>
      </c>
      <c r="CE5" s="38" t="s">
        <v>139</v>
      </c>
      <c r="CF5" s="38" t="s">
        <v>140</v>
      </c>
      <c r="CG5" s="38" t="s">
        <v>141</v>
      </c>
      <c r="CH5" s="38" t="s">
        <v>142</v>
      </c>
      <c r="CI5" s="38" t="s">
        <v>143</v>
      </c>
      <c r="CJ5" s="38" t="s">
        <v>144</v>
      </c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J6" s="12" t="s">
        <v>50</v>
      </c>
      <c r="AM6" s="12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SelectTradeOnBlotter2!$4:$4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37"/>
      <c r="B5" s="38" t="s">
        <v>69</v>
      </c>
      <c r="C5" s="38" t="s">
        <v>82</v>
      </c>
      <c r="D5" s="38" t="s">
        <v>88</v>
      </c>
      <c r="E5" s="38" t="s">
        <v>148</v>
      </c>
      <c r="F5" s="39" t="s">
        <v>98</v>
      </c>
      <c r="G5" s="38" t="s">
        <v>86</v>
      </c>
      <c r="H5" s="38" t="s">
        <v>87</v>
      </c>
      <c r="I5" s="38" t="s">
        <v>65</v>
      </c>
      <c r="J5" s="38" t="s">
        <v>109</v>
      </c>
      <c r="K5" s="38" t="s">
        <v>81</v>
      </c>
      <c r="L5" s="38" t="s">
        <v>90</v>
      </c>
      <c r="M5" s="38" t="s">
        <v>105</v>
      </c>
      <c r="N5" s="38" t="s">
        <v>70</v>
      </c>
      <c r="O5" s="38" t="s">
        <v>104</v>
      </c>
      <c r="P5" s="38" t="s">
        <v>66</v>
      </c>
      <c r="Q5" s="38" t="s">
        <v>68</v>
      </c>
      <c r="R5" s="38" t="s">
        <v>107</v>
      </c>
      <c r="S5" s="38" t="s">
        <v>108</v>
      </c>
      <c r="T5" s="38" t="s">
        <v>89</v>
      </c>
      <c r="U5" s="38" t="s">
        <v>30</v>
      </c>
      <c r="V5" s="38" t="s">
        <v>102</v>
      </c>
      <c r="W5" s="38" t="s">
        <v>103</v>
      </c>
      <c r="X5" s="38" t="s">
        <v>95</v>
      </c>
      <c r="Y5" s="38" t="s">
        <v>111</v>
      </c>
      <c r="Z5" s="38" t="s">
        <v>97</v>
      </c>
      <c r="AA5" s="38" t="s">
        <v>36</v>
      </c>
      <c r="AB5" s="38" t="s">
        <v>16</v>
      </c>
      <c r="AC5" s="38" t="s">
        <v>99</v>
      </c>
      <c r="AD5" s="38" t="s">
        <v>106</v>
      </c>
      <c r="AE5" s="38" t="s">
        <v>67</v>
      </c>
      <c r="AF5" s="38" t="s">
        <v>96</v>
      </c>
      <c r="AG5" s="38" t="s">
        <v>73</v>
      </c>
      <c r="AH5" s="38" t="s">
        <v>74</v>
      </c>
      <c r="AI5" s="38" t="s">
        <v>71</v>
      </c>
      <c r="AJ5" s="38" t="s">
        <v>112</v>
      </c>
      <c r="AK5" s="38" t="s">
        <v>41</v>
      </c>
      <c r="AL5" s="38" t="s">
        <v>44</v>
      </c>
      <c r="AM5" s="38" t="s">
        <v>101</v>
      </c>
      <c r="AN5" s="38" t="s">
        <v>94</v>
      </c>
      <c r="AO5" s="38" t="s">
        <v>85</v>
      </c>
      <c r="AP5" s="38" t="s">
        <v>72</v>
      </c>
      <c r="AQ5" s="38" t="s">
        <v>92</v>
      </c>
      <c r="AR5" s="38" t="s">
        <v>91</v>
      </c>
      <c r="AS5" s="38" t="s">
        <v>118</v>
      </c>
      <c r="AT5" s="38" t="s">
        <v>124</v>
      </c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26"/>
      <c r="KT5" s="26"/>
      <c r="KU5" s="26"/>
      <c r="KV5" s="26"/>
      <c r="KW5" s="26"/>
      <c r="KX5" s="26"/>
      <c r="KY5" s="26"/>
      <c r="KZ5" s="26"/>
      <c r="LA5" s="26"/>
      <c r="LB5" s="26"/>
      <c r="LC5" s="26"/>
      <c r="LD5" s="26"/>
      <c r="LE5" s="26"/>
      <c r="LF5" s="26"/>
      <c r="LG5" s="26"/>
      <c r="LH5" s="26"/>
      <c r="LI5" s="26"/>
      <c r="LJ5" s="26"/>
      <c r="LK5" s="26"/>
      <c r="LL5" s="26"/>
      <c r="LM5" s="26"/>
      <c r="LN5" s="26"/>
      <c r="LO5" s="26"/>
      <c r="LP5" s="26"/>
      <c r="LQ5" s="26"/>
      <c r="LR5" s="26"/>
      <c r="LS5" s="26"/>
      <c r="LT5" s="26"/>
      <c r="LU5" s="26"/>
      <c r="LV5" s="26"/>
      <c r="LW5" s="26"/>
      <c r="LX5" s="26"/>
      <c r="LY5" s="26"/>
      <c r="LZ5" s="26"/>
      <c r="MA5" s="26"/>
      <c r="MB5" s="26"/>
      <c r="MC5" s="26"/>
      <c r="MD5" s="26"/>
      <c r="ME5" s="26"/>
      <c r="MF5" s="26"/>
      <c r="MG5" s="26"/>
      <c r="MH5" s="26"/>
      <c r="MI5" s="26"/>
      <c r="MJ5" s="26"/>
      <c r="MK5" s="26"/>
      <c r="ML5" s="26"/>
      <c r="MM5" s="26"/>
      <c r="MN5" s="26"/>
      <c r="MO5" s="26"/>
      <c r="MP5" s="26"/>
      <c r="MQ5" s="26"/>
      <c r="MR5" s="26"/>
      <c r="MS5" s="26"/>
      <c r="MT5" s="26"/>
      <c r="MU5" s="26"/>
      <c r="MV5" s="26"/>
      <c r="MW5" s="26"/>
      <c r="MX5" s="26"/>
      <c r="MY5" s="26"/>
      <c r="MZ5" s="26"/>
      <c r="NA5" s="26"/>
      <c r="NB5" s="26"/>
      <c r="NC5" s="26"/>
      <c r="ND5" s="26"/>
      <c r="NE5" s="26"/>
      <c r="NF5" s="26"/>
      <c r="NG5" s="26"/>
      <c r="NH5" s="26"/>
      <c r="NI5" s="26"/>
      <c r="NJ5" s="26"/>
      <c r="NK5" s="26"/>
      <c r="NL5" s="26"/>
      <c r="NM5" s="26"/>
      <c r="NN5" s="26"/>
      <c r="NO5" s="26"/>
      <c r="NP5" s="26"/>
      <c r="NQ5" s="26"/>
      <c r="NR5" s="26"/>
      <c r="NS5" s="26"/>
      <c r="NT5" s="26"/>
      <c r="NU5" s="26"/>
      <c r="NV5" s="26"/>
      <c r="NW5" s="26"/>
      <c r="NX5" s="26"/>
      <c r="NY5" s="26"/>
      <c r="NZ5" s="26"/>
      <c r="OA5" s="26"/>
      <c r="OB5" s="26"/>
      <c r="OC5" s="26"/>
      <c r="OD5" s="26"/>
      <c r="OE5" s="26"/>
      <c r="OF5" s="26"/>
      <c r="OG5" s="26"/>
      <c r="OH5" s="26"/>
      <c r="OI5" s="26"/>
      <c r="OJ5" s="26"/>
      <c r="OK5" s="26"/>
      <c r="OL5" s="26"/>
      <c r="OM5" s="26"/>
      <c r="ON5" s="26"/>
      <c r="OO5" s="26"/>
      <c r="OP5" s="26"/>
      <c r="OQ5" s="26"/>
      <c r="OR5" s="26"/>
      <c r="OS5" s="26"/>
      <c r="OT5" s="26"/>
      <c r="OU5" s="26"/>
      <c r="OV5" s="26"/>
      <c r="OW5" s="26"/>
      <c r="OX5" s="26"/>
      <c r="OY5" s="26"/>
      <c r="OZ5" s="26"/>
      <c r="PA5" s="26"/>
      <c r="PB5" s="26"/>
      <c r="PC5" s="26"/>
      <c r="PD5" s="26"/>
      <c r="PE5" s="26"/>
      <c r="PF5" s="26"/>
      <c r="PG5" s="26"/>
      <c r="PH5" s="26"/>
      <c r="PI5" s="26"/>
      <c r="PJ5" s="26"/>
      <c r="PK5" s="26"/>
      <c r="PL5" s="26"/>
      <c r="PM5" s="26"/>
      <c r="PN5" s="26"/>
      <c r="PO5" s="26"/>
      <c r="PP5" s="26"/>
      <c r="PQ5" s="26"/>
      <c r="PR5" s="26"/>
      <c r="PS5" s="26"/>
      <c r="PT5" s="26"/>
      <c r="PU5" s="26"/>
      <c r="PV5" s="26"/>
      <c r="PW5" s="26"/>
      <c r="PX5" s="26"/>
      <c r="PY5" s="26"/>
      <c r="PZ5" s="26"/>
      <c r="QA5" s="26"/>
      <c r="QB5" s="26"/>
      <c r="QC5" s="26"/>
      <c r="QD5" s="26"/>
      <c r="QE5" s="26"/>
      <c r="QF5" s="26"/>
      <c r="QG5" s="26"/>
      <c r="QH5" s="26"/>
      <c r="QI5" s="26"/>
      <c r="QJ5" s="26"/>
      <c r="QK5" s="26"/>
      <c r="QL5" s="26"/>
      <c r="QM5" s="26"/>
      <c r="QN5" s="26"/>
      <c r="QO5" s="26"/>
      <c r="QP5" s="26"/>
      <c r="QQ5" s="26"/>
      <c r="QR5" s="26"/>
      <c r="QS5" s="26"/>
      <c r="QT5" s="26"/>
      <c r="QU5" s="26"/>
      <c r="QV5" s="26"/>
      <c r="QW5" s="26"/>
      <c r="QX5" s="26"/>
      <c r="QY5" s="26"/>
      <c r="QZ5" s="26"/>
      <c r="RA5" s="26"/>
      <c r="RB5" s="26"/>
      <c r="RC5" s="26"/>
      <c r="RD5" s="26"/>
      <c r="RE5" s="26"/>
      <c r="RF5" s="26"/>
      <c r="RG5" s="26"/>
      <c r="RH5" s="26"/>
      <c r="RI5" s="26"/>
      <c r="RJ5" s="26"/>
      <c r="RK5" s="26"/>
      <c r="RL5" s="26"/>
      <c r="RM5" s="26"/>
      <c r="RN5" s="26"/>
      <c r="RO5" s="26"/>
      <c r="RP5" s="26"/>
      <c r="RQ5" s="26"/>
      <c r="RR5" s="26"/>
      <c r="RS5" s="26"/>
      <c r="RT5" s="26"/>
      <c r="RU5" s="26"/>
      <c r="RV5" s="26"/>
      <c r="RW5" s="26"/>
      <c r="RX5" s="26"/>
      <c r="RY5" s="26"/>
      <c r="RZ5" s="26"/>
      <c r="SA5" s="26"/>
      <c r="SB5" s="26"/>
      <c r="SC5" s="26"/>
      <c r="SD5" s="26"/>
      <c r="SE5" s="26"/>
      <c r="SF5" s="26"/>
      <c r="SG5" s="26"/>
      <c r="SH5" s="26"/>
      <c r="SI5" s="26"/>
      <c r="SJ5" s="26"/>
      <c r="SK5" s="26"/>
      <c r="SL5" s="26"/>
      <c r="SM5" s="26"/>
      <c r="SN5" s="26"/>
      <c r="SO5" s="26"/>
      <c r="SP5" s="26"/>
      <c r="SQ5" s="26"/>
      <c r="SR5" s="26"/>
      <c r="SS5" s="26"/>
      <c r="ST5" s="26"/>
      <c r="SU5" s="26"/>
      <c r="SV5" s="26"/>
      <c r="SW5" s="26"/>
      <c r="SX5" s="26"/>
      <c r="SY5" s="26"/>
      <c r="SZ5" s="26"/>
      <c r="TA5" s="26"/>
      <c r="TB5" s="26"/>
      <c r="TC5" s="26"/>
      <c r="TD5" s="26"/>
      <c r="TE5" s="26"/>
      <c r="TF5" s="26"/>
      <c r="TG5" s="26"/>
      <c r="TH5" s="26"/>
      <c r="TI5" s="26"/>
      <c r="TJ5" s="26"/>
      <c r="TK5" s="26"/>
      <c r="TL5" s="26"/>
      <c r="TM5" s="26"/>
      <c r="TN5" s="26"/>
      <c r="TO5" s="26"/>
      <c r="TP5" s="26"/>
      <c r="TQ5" s="26"/>
      <c r="TR5" s="26"/>
      <c r="TS5" s="26"/>
      <c r="TT5" s="26"/>
      <c r="TU5" s="26"/>
      <c r="TV5" s="26"/>
      <c r="TW5" s="26"/>
      <c r="TX5" s="26"/>
      <c r="TY5" s="26"/>
      <c r="TZ5" s="26"/>
      <c r="UA5" s="26"/>
      <c r="UB5" s="26"/>
      <c r="UC5" s="26"/>
      <c r="UD5" s="26"/>
      <c r="UE5" s="26"/>
      <c r="UF5" s="26"/>
      <c r="UG5" s="26"/>
      <c r="UH5" s="26"/>
      <c r="UI5" s="26"/>
      <c r="UJ5" s="26"/>
      <c r="UK5" s="26"/>
      <c r="UL5" s="26"/>
      <c r="UM5" s="26"/>
      <c r="UN5" s="26"/>
      <c r="UO5" s="26"/>
      <c r="UP5" s="26"/>
      <c r="UQ5" s="26"/>
      <c r="UR5" s="26"/>
      <c r="US5" s="26"/>
      <c r="UT5" s="26"/>
      <c r="UU5" s="26"/>
      <c r="UV5" s="26"/>
      <c r="UW5" s="26"/>
      <c r="UX5" s="26"/>
      <c r="UY5" s="26"/>
      <c r="UZ5" s="26"/>
      <c r="VA5" s="26"/>
      <c r="VB5" s="26"/>
      <c r="VC5" s="26"/>
      <c r="VD5" s="26"/>
      <c r="VE5" s="26"/>
      <c r="VF5" s="26"/>
      <c r="VG5" s="26"/>
      <c r="VH5" s="26"/>
      <c r="VI5" s="26"/>
      <c r="VJ5" s="26"/>
      <c r="VK5" s="26"/>
      <c r="VL5" s="26"/>
      <c r="VM5" s="26"/>
      <c r="VN5" s="26"/>
      <c r="VO5" s="26"/>
      <c r="VP5" s="26"/>
      <c r="VQ5" s="26"/>
      <c r="VR5" s="26"/>
      <c r="VS5" s="26"/>
      <c r="VT5" s="26"/>
      <c r="VU5" s="26"/>
      <c r="VV5" s="26"/>
      <c r="VW5" s="26"/>
      <c r="VX5" s="26"/>
      <c r="VY5" s="26"/>
      <c r="VZ5" s="26"/>
      <c r="WA5" s="26"/>
      <c r="WB5" s="26"/>
      <c r="WC5" s="26"/>
      <c r="WD5" s="26"/>
      <c r="WE5" s="26"/>
      <c r="WF5" s="26"/>
      <c r="WG5" s="26"/>
      <c r="WH5" s="26"/>
      <c r="WI5" s="26"/>
      <c r="WJ5" s="26"/>
      <c r="WK5" s="26"/>
      <c r="WL5" s="26"/>
      <c r="WM5" s="26"/>
      <c r="WN5" s="26"/>
      <c r="WO5" s="26"/>
      <c r="WP5" s="26"/>
      <c r="WQ5" s="26"/>
      <c r="WR5" s="26"/>
      <c r="WS5" s="26"/>
      <c r="WT5" s="26"/>
      <c r="WU5" s="26"/>
      <c r="WV5" s="26"/>
      <c r="WW5" s="26"/>
      <c r="WX5" s="26"/>
      <c r="WY5" s="26"/>
      <c r="WZ5" s="26"/>
      <c r="XA5" s="26"/>
      <c r="XB5" s="26"/>
      <c r="XC5" s="26"/>
      <c r="XD5" s="26"/>
      <c r="XE5" s="26"/>
      <c r="XF5" s="26"/>
      <c r="XG5" s="26"/>
      <c r="XH5" s="26"/>
      <c r="XI5" s="26"/>
      <c r="XJ5" s="26"/>
      <c r="XK5" s="26"/>
      <c r="XL5" s="26"/>
      <c r="XM5" s="26"/>
      <c r="XN5" s="26"/>
      <c r="XO5" s="26"/>
      <c r="XP5" s="26"/>
      <c r="XQ5" s="26"/>
      <c r="XR5" s="26"/>
      <c r="XS5" s="26"/>
      <c r="XT5" s="26"/>
      <c r="XU5" s="26"/>
      <c r="XV5" s="26"/>
      <c r="XW5" s="26"/>
      <c r="XX5" s="26"/>
      <c r="XY5" s="26"/>
      <c r="XZ5" s="26"/>
      <c r="YA5" s="26"/>
      <c r="YB5" s="26"/>
      <c r="YC5" s="26"/>
      <c r="YD5" s="26"/>
      <c r="YE5" s="26"/>
      <c r="YF5" s="26"/>
      <c r="YG5" s="26"/>
      <c r="YH5" s="26"/>
      <c r="YI5" s="26"/>
      <c r="YJ5" s="26"/>
      <c r="YK5" s="26"/>
      <c r="YL5" s="26"/>
      <c r="YM5" s="26"/>
      <c r="YN5" s="26"/>
      <c r="YO5" s="26"/>
      <c r="YP5" s="26"/>
      <c r="YQ5" s="26"/>
      <c r="YR5" s="26"/>
      <c r="YS5" s="26"/>
      <c r="YT5" s="26"/>
      <c r="YU5" s="26"/>
      <c r="YV5" s="26"/>
      <c r="YW5" s="26"/>
      <c r="YX5" s="26"/>
      <c r="YY5" s="26"/>
      <c r="YZ5" s="26"/>
      <c r="ZA5" s="26"/>
      <c r="ZB5" s="26"/>
      <c r="ZC5" s="26"/>
      <c r="ZD5" s="26"/>
      <c r="ZE5" s="26"/>
      <c r="ZF5" s="26"/>
      <c r="ZG5" s="26"/>
      <c r="ZH5" s="26"/>
      <c r="ZI5" s="26"/>
      <c r="ZJ5" s="26"/>
      <c r="ZK5" s="26"/>
      <c r="ZL5" s="26"/>
      <c r="ZM5" s="26"/>
      <c r="ZN5" s="26"/>
      <c r="ZO5" s="26"/>
      <c r="ZP5" s="26"/>
      <c r="ZQ5" s="26"/>
      <c r="ZR5" s="26"/>
      <c r="ZS5" s="26"/>
      <c r="ZT5" s="26"/>
      <c r="ZU5" s="26"/>
      <c r="ZV5" s="26"/>
      <c r="ZW5" s="26"/>
      <c r="ZX5" s="26"/>
      <c r="ZY5" s="26"/>
      <c r="ZZ5" s="26"/>
      <c r="AAA5" s="26"/>
      <c r="AAB5" s="26"/>
      <c r="AAC5" s="26"/>
      <c r="AAD5" s="26"/>
      <c r="AAE5" s="26"/>
      <c r="AAF5" s="26"/>
      <c r="AAG5" s="26"/>
      <c r="AAH5" s="26"/>
      <c r="AAI5" s="26"/>
      <c r="AAJ5" s="26"/>
      <c r="AAK5" s="26"/>
      <c r="AAL5" s="26"/>
      <c r="AAM5" s="26"/>
      <c r="AAN5" s="26"/>
      <c r="AAO5" s="26"/>
      <c r="AAP5" s="26"/>
      <c r="AAQ5" s="26"/>
      <c r="AAR5" s="26"/>
      <c r="AAS5" s="26"/>
      <c r="AAT5" s="26"/>
      <c r="AAU5" s="26"/>
      <c r="AAV5" s="26"/>
      <c r="AAW5" s="26"/>
      <c r="AAX5" s="26"/>
      <c r="AAY5" s="26"/>
      <c r="AAZ5" s="26"/>
      <c r="ABA5" s="26"/>
      <c r="ABB5" s="26"/>
      <c r="ABC5" s="26"/>
      <c r="ABD5" s="26"/>
      <c r="ABE5" s="26"/>
      <c r="ABF5" s="26"/>
      <c r="ABG5" s="26"/>
      <c r="ABH5" s="26"/>
      <c r="ABI5" s="26"/>
      <c r="ABJ5" s="26"/>
      <c r="ABK5" s="26"/>
      <c r="ABL5" s="26"/>
      <c r="ABM5" s="26"/>
      <c r="ABN5" s="26"/>
      <c r="ABO5" s="26"/>
      <c r="ABP5" s="26"/>
      <c r="ABQ5" s="26"/>
      <c r="ABR5" s="26"/>
      <c r="ABS5" s="26"/>
      <c r="ABT5" s="26"/>
      <c r="ABU5" s="26"/>
      <c r="ABV5" s="26"/>
      <c r="ABW5" s="26"/>
      <c r="ABX5" s="26"/>
      <c r="ABY5" s="26"/>
      <c r="ABZ5" s="26"/>
      <c r="ACA5" s="26"/>
      <c r="ACB5" s="26"/>
      <c r="ACC5" s="26"/>
      <c r="ACD5" s="26"/>
      <c r="ACE5" s="26"/>
      <c r="ACF5" s="26"/>
      <c r="ACG5" s="26"/>
      <c r="ACH5" s="26"/>
      <c r="ACI5" s="26"/>
      <c r="ACJ5" s="26"/>
      <c r="ACK5" s="26"/>
      <c r="ACL5" s="26"/>
      <c r="ACM5" s="26"/>
      <c r="ACN5" s="26"/>
      <c r="ACO5" s="26"/>
      <c r="ACP5" s="26"/>
      <c r="ACQ5" s="26"/>
      <c r="ACR5" s="26"/>
      <c r="ACS5" s="26"/>
      <c r="ACT5" s="26"/>
      <c r="ACU5" s="26"/>
      <c r="ACV5" s="26"/>
      <c r="ACW5" s="26"/>
      <c r="ACX5" s="26"/>
      <c r="ACY5" s="26"/>
      <c r="ACZ5" s="26"/>
      <c r="ADA5" s="26"/>
      <c r="ADB5" s="26"/>
      <c r="ADC5" s="26"/>
      <c r="ADD5" s="26"/>
      <c r="ADE5" s="26"/>
      <c r="ADF5" s="26"/>
      <c r="ADG5" s="26"/>
      <c r="ADH5" s="26"/>
      <c r="ADI5" s="26"/>
      <c r="ADJ5" s="26"/>
      <c r="ADK5" s="26"/>
      <c r="ADL5" s="26"/>
      <c r="ADM5" s="26"/>
      <c r="ADN5" s="26"/>
      <c r="ADO5" s="26"/>
      <c r="ADP5" s="26"/>
      <c r="ADQ5" s="26"/>
      <c r="ADR5" s="26"/>
      <c r="ADS5" s="26"/>
      <c r="ADT5" s="26"/>
      <c r="ADU5" s="26"/>
      <c r="ADV5" s="26"/>
      <c r="ADW5" s="26"/>
      <c r="ADX5" s="26"/>
      <c r="ADY5" s="26"/>
      <c r="ADZ5" s="26"/>
      <c r="AEA5" s="26"/>
      <c r="AEB5" s="26"/>
      <c r="AEC5" s="26"/>
      <c r="AED5" s="26"/>
      <c r="AEE5" s="26"/>
      <c r="AEF5" s="26"/>
      <c r="AEG5" s="26"/>
      <c r="AEH5" s="26"/>
      <c r="AEI5" s="26"/>
      <c r="AEJ5" s="26"/>
      <c r="AEK5" s="26"/>
      <c r="AEL5" s="26"/>
      <c r="AEM5" s="26"/>
      <c r="AEN5" s="26"/>
      <c r="AEO5" s="26"/>
      <c r="AEP5" s="26"/>
      <c r="AEQ5" s="26"/>
      <c r="AER5" s="26"/>
      <c r="AES5" s="26"/>
      <c r="AET5" s="26"/>
      <c r="AEU5" s="26"/>
      <c r="AEV5" s="26"/>
      <c r="AEW5" s="26"/>
      <c r="AEX5" s="26"/>
      <c r="AEY5" s="26"/>
      <c r="AEZ5" s="26"/>
      <c r="AFA5" s="26"/>
      <c r="AFB5" s="26"/>
      <c r="AFC5" s="26"/>
      <c r="AFD5" s="26"/>
      <c r="AFE5" s="26"/>
      <c r="AFF5" s="26"/>
      <c r="AFG5" s="26"/>
      <c r="AFH5" s="26"/>
      <c r="AFI5" s="26"/>
      <c r="AFJ5" s="26"/>
      <c r="AFK5" s="26"/>
      <c r="AFL5" s="26"/>
      <c r="AFM5" s="26"/>
      <c r="AFN5" s="26"/>
      <c r="AFO5" s="26"/>
      <c r="AFP5" s="26"/>
      <c r="AFQ5" s="26"/>
      <c r="AFR5" s="26"/>
      <c r="AFS5" s="26"/>
      <c r="AFT5" s="26"/>
      <c r="AFU5" s="26"/>
      <c r="AFV5" s="26"/>
      <c r="AFW5" s="26"/>
      <c r="AFX5" s="26"/>
      <c r="AFY5" s="26"/>
      <c r="AFZ5" s="26"/>
      <c r="AGA5" s="26"/>
      <c r="AGB5" s="26"/>
      <c r="AGC5" s="26"/>
      <c r="AGD5" s="26"/>
      <c r="AGE5" s="26"/>
      <c r="AGF5" s="26"/>
      <c r="AGG5" s="26"/>
      <c r="AGH5" s="26"/>
      <c r="AGI5" s="26"/>
      <c r="AGJ5" s="26"/>
      <c r="AGK5" s="26"/>
      <c r="AGL5" s="26"/>
      <c r="AGM5" s="26"/>
      <c r="AGN5" s="26"/>
      <c r="AGO5" s="26"/>
      <c r="AGP5" s="26"/>
      <c r="AGQ5" s="26"/>
      <c r="AGR5" s="26"/>
      <c r="AGS5" s="26"/>
      <c r="AGT5" s="26"/>
      <c r="AGU5" s="26"/>
      <c r="AGV5" s="26"/>
      <c r="AGW5" s="26"/>
      <c r="AGX5" s="26"/>
      <c r="AGY5" s="26"/>
      <c r="AGZ5" s="26"/>
      <c r="AHA5" s="26"/>
      <c r="AHB5" s="26"/>
      <c r="AHC5" s="26"/>
      <c r="AHD5" s="26"/>
      <c r="AHE5" s="26"/>
      <c r="AHF5" s="26"/>
      <c r="AHG5" s="26"/>
      <c r="AHH5" s="26"/>
      <c r="AHI5" s="26"/>
      <c r="AHJ5" s="26"/>
      <c r="AHK5" s="26"/>
      <c r="AHL5" s="26"/>
      <c r="AHM5" s="26"/>
      <c r="AHN5" s="26"/>
      <c r="AHO5" s="26"/>
      <c r="AHP5" s="26"/>
      <c r="AHQ5" s="26"/>
      <c r="AHR5" s="26"/>
      <c r="AHS5" s="26"/>
      <c r="AHT5" s="26"/>
      <c r="AHU5" s="26"/>
      <c r="AHV5" s="26"/>
      <c r="AHW5" s="26"/>
      <c r="AHX5" s="26"/>
      <c r="AHY5" s="26"/>
      <c r="AHZ5" s="26"/>
      <c r="AIA5" s="26"/>
      <c r="AIB5" s="26"/>
      <c r="AIC5" s="26"/>
      <c r="AID5" s="26"/>
      <c r="AIE5" s="26"/>
      <c r="AIF5" s="26"/>
      <c r="AIG5" s="26"/>
      <c r="AIH5" s="26"/>
      <c r="AII5" s="26"/>
      <c r="AIJ5" s="26"/>
      <c r="AIK5" s="26"/>
      <c r="AIL5" s="26"/>
      <c r="AIM5" s="26"/>
      <c r="AIN5" s="26"/>
      <c r="AIO5" s="26"/>
      <c r="AIP5" s="26"/>
      <c r="AIQ5" s="26"/>
      <c r="AIR5" s="26"/>
      <c r="AIS5" s="26"/>
      <c r="AIT5" s="26"/>
      <c r="AIU5" s="26"/>
      <c r="AIV5" s="26"/>
      <c r="AIW5" s="26"/>
      <c r="AIX5" s="26"/>
      <c r="AIY5" s="26"/>
      <c r="AIZ5" s="26"/>
      <c r="AJA5" s="26"/>
      <c r="AJB5" s="26"/>
      <c r="AJC5" s="26"/>
      <c r="AJD5" s="26"/>
      <c r="AJE5" s="26"/>
      <c r="AJF5" s="26"/>
      <c r="AJG5" s="26"/>
      <c r="AJH5" s="26"/>
      <c r="AJI5" s="26"/>
      <c r="AJJ5" s="26"/>
      <c r="AJK5" s="26"/>
      <c r="AJL5" s="26"/>
      <c r="AJM5" s="26"/>
      <c r="AJN5" s="26"/>
      <c r="AJO5" s="26"/>
      <c r="AJP5" s="26"/>
      <c r="AJQ5" s="26"/>
      <c r="AJR5" s="26"/>
      <c r="AJS5" s="26"/>
      <c r="AJT5" s="26"/>
      <c r="AJU5" s="26"/>
      <c r="AJV5" s="26"/>
      <c r="AJW5" s="26"/>
      <c r="AJX5" s="26"/>
      <c r="AJY5" s="26"/>
      <c r="AJZ5" s="26"/>
      <c r="AKA5" s="26"/>
      <c r="AKB5" s="26"/>
      <c r="AKC5" s="26"/>
      <c r="AKD5" s="26"/>
      <c r="AKE5" s="26"/>
      <c r="AKF5" s="26"/>
      <c r="AKG5" s="26"/>
      <c r="AKH5" s="26"/>
      <c r="AKI5" s="26"/>
      <c r="AKJ5" s="26"/>
      <c r="AKK5" s="26"/>
      <c r="AKL5" s="26"/>
      <c r="AKM5" s="26"/>
      <c r="AKN5" s="26"/>
      <c r="AKO5" s="26"/>
      <c r="AKP5" s="26"/>
      <c r="AKQ5" s="26"/>
      <c r="AKR5" s="26"/>
      <c r="AKS5" s="26"/>
      <c r="AKT5" s="26"/>
      <c r="AKU5" s="26"/>
      <c r="AKV5" s="26"/>
      <c r="AKW5" s="26"/>
      <c r="AKX5" s="26"/>
      <c r="AKY5" s="26"/>
      <c r="AKZ5" s="26"/>
      <c r="ALA5" s="26"/>
      <c r="ALB5" s="26"/>
      <c r="ALC5" s="26"/>
      <c r="ALD5" s="26"/>
      <c r="ALE5" s="26"/>
      <c r="ALF5" s="26"/>
      <c r="ALG5" s="26"/>
      <c r="ALH5" s="26"/>
      <c r="ALI5" s="26"/>
      <c r="ALJ5" s="26"/>
      <c r="ALK5" s="26"/>
      <c r="ALL5" s="26"/>
      <c r="ALM5" s="26"/>
      <c r="ALN5" s="26"/>
      <c r="ALO5" s="26"/>
      <c r="ALP5" s="26"/>
      <c r="ALQ5" s="26"/>
      <c r="ALR5" s="26"/>
      <c r="ALS5" s="26"/>
      <c r="ALT5" s="26"/>
      <c r="ALU5" s="26"/>
      <c r="ALV5" s="26"/>
      <c r="ALW5" s="26"/>
      <c r="ALX5" s="26"/>
      <c r="ALY5" s="26"/>
      <c r="ALZ5" s="26"/>
      <c r="AMA5" s="26"/>
      <c r="AMB5" s="26"/>
      <c r="AMC5" s="26"/>
      <c r="AMD5" s="26"/>
      <c r="AME5" s="26"/>
      <c r="AMF5" s="26"/>
      <c r="AMG5" s="26"/>
      <c r="AMH5" s="26"/>
      <c r="AMI5" s="26"/>
      <c r="AMJ5" s="26"/>
      <c r="AMK5" s="26"/>
      <c r="AML5" s="26"/>
    </row>
    <row r="6" ht="15.75" customHeight="1">
      <c r="A6" s="40" t="s">
        <v>149</v>
      </c>
      <c r="B6" s="40" t="s">
        <v>149</v>
      </c>
      <c r="C6" s="8" t="s">
        <v>149</v>
      </c>
      <c r="D6" s="40" t="s">
        <v>149</v>
      </c>
      <c r="E6" s="8"/>
      <c r="F6" s="8" t="s">
        <v>163</v>
      </c>
      <c r="G6" s="8" t="s">
        <v>149</v>
      </c>
      <c r="H6" s="8" t="s">
        <v>149</v>
      </c>
      <c r="I6" s="8"/>
      <c r="J6" s="8" t="s">
        <v>151</v>
      </c>
      <c r="K6" s="8" t="s">
        <v>149</v>
      </c>
      <c r="L6" s="8" t="s">
        <v>149</v>
      </c>
      <c r="M6" s="8" t="s">
        <v>149</v>
      </c>
      <c r="N6" s="8"/>
      <c r="O6" s="8" t="s">
        <v>149</v>
      </c>
      <c r="Q6" t="s">
        <v>152</v>
      </c>
      <c r="R6" t="s">
        <v>149</v>
      </c>
      <c r="S6" t="s">
        <v>149</v>
      </c>
      <c r="T6" t="s">
        <v>149</v>
      </c>
      <c r="U6" t="s">
        <v>58</v>
      </c>
      <c r="W6" t="s">
        <v>149</v>
      </c>
      <c r="X6" t="s">
        <v>149</v>
      </c>
      <c r="Y6" t="s">
        <v>149</v>
      </c>
      <c r="Z6" t="s">
        <v>153</v>
      </c>
      <c r="AA6" t="s">
        <v>149</v>
      </c>
      <c r="AB6" t="s">
        <v>50</v>
      </c>
      <c r="AC6" t="s">
        <v>149</v>
      </c>
      <c r="AD6" t="s">
        <v>149</v>
      </c>
      <c r="AE6" t="s">
        <v>149</v>
      </c>
      <c r="AF6" t="s">
        <v>164</v>
      </c>
      <c r="AG6" t="s">
        <v>149</v>
      </c>
      <c r="AH6" t="s">
        <v>149</v>
      </c>
      <c r="AI6" t="s">
        <v>155</v>
      </c>
      <c r="AJ6" t="s">
        <v>155</v>
      </c>
      <c r="AK6" t="s">
        <v>156</v>
      </c>
      <c r="AL6" t="s">
        <v>157</v>
      </c>
      <c r="AM6" t="s">
        <v>149</v>
      </c>
      <c r="AN6" t="s">
        <v>149</v>
      </c>
      <c r="AO6" t="s">
        <v>149</v>
      </c>
      <c r="AP6" t="s">
        <v>149</v>
      </c>
      <c r="AQ6" t="s">
        <v>149</v>
      </c>
      <c r="AR6" t="s">
        <v>149</v>
      </c>
      <c r="AS6" t="s">
        <v>12</v>
      </c>
      <c r="AT6" t="s">
        <v>149</v>
      </c>
      <c r="AU6" t="s">
        <v>149</v>
      </c>
      <c r="AV6" t="s">
        <v>149</v>
      </c>
      <c r="AW6" t="s">
        <v>149</v>
      </c>
      <c r="AX6" t="s">
        <v>149</v>
      </c>
      <c r="AY6" t="s">
        <v>149</v>
      </c>
      <c r="AZ6" t="s">
        <v>149</v>
      </c>
      <c r="BA6" t="s">
        <v>149</v>
      </c>
      <c r="BB6" t="s">
        <v>149</v>
      </c>
      <c r="BC6" t="s">
        <v>149</v>
      </c>
      <c r="BD6" t="s">
        <v>149</v>
      </c>
      <c r="BE6" t="s">
        <v>149</v>
      </c>
      <c r="BF6" t="s">
        <v>149</v>
      </c>
      <c r="BG6" t="s">
        <v>149</v>
      </c>
      <c r="BH6" t="s">
        <v>149</v>
      </c>
      <c r="BI6" t="s">
        <v>149</v>
      </c>
      <c r="BJ6" t="s">
        <v>149</v>
      </c>
      <c r="BK6" t="s">
        <v>149</v>
      </c>
      <c r="BL6" t="s">
        <v>149</v>
      </c>
      <c r="BM6" t="s">
        <v>149</v>
      </c>
      <c r="BN6" t="s">
        <v>149</v>
      </c>
      <c r="BO6" t="s">
        <v>149</v>
      </c>
      <c r="BP6" t="s">
        <v>149</v>
      </c>
      <c r="BQ6" t="s">
        <v>149</v>
      </c>
      <c r="BR6" t="s">
        <v>149</v>
      </c>
      <c r="BS6" t="s">
        <v>149</v>
      </c>
      <c r="BT6" t="s">
        <v>149</v>
      </c>
      <c r="BU6" t="s">
        <v>149</v>
      </c>
      <c r="BV6" t="s">
        <v>149</v>
      </c>
      <c r="BW6" t="s">
        <v>149</v>
      </c>
      <c r="BX6" t="s">
        <v>149</v>
      </c>
      <c r="BY6" t="s">
        <v>149</v>
      </c>
      <c r="BZ6" t="s">
        <v>149</v>
      </c>
      <c r="CA6" t="s">
        <v>149</v>
      </c>
      <c r="CB6" t="s">
        <v>149</v>
      </c>
      <c r="CC6" t="s">
        <v>149</v>
      </c>
      <c r="CD6" t="s">
        <v>149</v>
      </c>
      <c r="CE6" t="s">
        <v>149</v>
      </c>
      <c r="CF6" t="s">
        <v>149</v>
      </c>
      <c r="CG6" t="s">
        <v>149</v>
      </c>
      <c r="CH6" t="s">
        <v>149</v>
      </c>
      <c r="CI6" t="s">
        <v>149</v>
      </c>
      <c r="CJ6" t="s">
        <v>149</v>
      </c>
      <c r="CK6" t="s">
        <v>149</v>
      </c>
      <c r="CL6" t="s">
        <v>149</v>
      </c>
      <c r="CM6" t="s">
        <v>149</v>
      </c>
      <c r="CN6" t="s">
        <v>149</v>
      </c>
      <c r="CO6" t="s">
        <v>149</v>
      </c>
      <c r="CP6" t="s">
        <v>149</v>
      </c>
      <c r="CQ6" t="s">
        <v>149</v>
      </c>
      <c r="CR6" t="s">
        <v>149</v>
      </c>
      <c r="CS6" t="s">
        <v>149</v>
      </c>
      <c r="CT6" t="s">
        <v>149</v>
      </c>
      <c r="CU6" t="s">
        <v>149</v>
      </c>
      <c r="CV6" t="s">
        <v>149</v>
      </c>
      <c r="CW6" t="s">
        <v>149</v>
      </c>
      <c r="CX6" t="s">
        <v>149</v>
      </c>
      <c r="CY6" t="s">
        <v>149</v>
      </c>
      <c r="CZ6" t="s">
        <v>149</v>
      </c>
      <c r="DA6" t="s">
        <v>149</v>
      </c>
      <c r="DB6" t="s">
        <v>149</v>
      </c>
      <c r="DC6" t="s">
        <v>149</v>
      </c>
      <c r="DD6" t="s">
        <v>149</v>
      </c>
      <c r="DE6" t="s">
        <v>149</v>
      </c>
      <c r="DF6" t="s">
        <v>149</v>
      </c>
      <c r="DG6" t="s">
        <v>149</v>
      </c>
      <c r="DH6" t="s">
        <v>149</v>
      </c>
      <c r="DI6" t="s">
        <v>149</v>
      </c>
      <c r="DJ6" t="s">
        <v>149</v>
      </c>
      <c r="DK6" t="s">
        <v>149</v>
      </c>
      <c r="DL6" t="s">
        <v>149</v>
      </c>
      <c r="DM6" t="s">
        <v>149</v>
      </c>
      <c r="DN6" t="s">
        <v>149</v>
      </c>
      <c r="DO6" t="s">
        <v>149</v>
      </c>
      <c r="DP6" t="s">
        <v>149</v>
      </c>
      <c r="DQ6" t="s">
        <v>149</v>
      </c>
      <c r="DR6" t="s">
        <v>149</v>
      </c>
      <c r="DS6" t="s">
        <v>149</v>
      </c>
      <c r="DT6" t="s">
        <v>149</v>
      </c>
      <c r="DU6" t="s">
        <v>149</v>
      </c>
      <c r="DV6" t="s">
        <v>149</v>
      </c>
      <c r="DW6" t="s">
        <v>149</v>
      </c>
      <c r="DX6" t="s">
        <v>149</v>
      </c>
      <c r="DY6" t="s">
        <v>149</v>
      </c>
      <c r="DZ6" t="s">
        <v>149</v>
      </c>
      <c r="EA6" t="s">
        <v>149</v>
      </c>
      <c r="EB6" t="s">
        <v>149</v>
      </c>
      <c r="EC6" t="s">
        <v>149</v>
      </c>
      <c r="ED6" t="s">
        <v>149</v>
      </c>
      <c r="EE6" t="s">
        <v>149</v>
      </c>
      <c r="EF6" t="s">
        <v>149</v>
      </c>
      <c r="EG6" t="s">
        <v>149</v>
      </c>
      <c r="EH6" t="s">
        <v>149</v>
      </c>
      <c r="EI6" t="s">
        <v>149</v>
      </c>
      <c r="EJ6" t="s">
        <v>149</v>
      </c>
      <c r="EK6" t="s">
        <v>149</v>
      </c>
      <c r="EL6" t="s">
        <v>149</v>
      </c>
      <c r="EM6" t="s">
        <v>149</v>
      </c>
      <c r="EN6" t="s">
        <v>149</v>
      </c>
      <c r="EO6" t="s">
        <v>149</v>
      </c>
      <c r="EP6" t="s">
        <v>149</v>
      </c>
      <c r="EQ6" t="s">
        <v>149</v>
      </c>
      <c r="ER6" t="s">
        <v>149</v>
      </c>
      <c r="ES6" t="s">
        <v>149</v>
      </c>
      <c r="ET6" t="s">
        <v>149</v>
      </c>
      <c r="EU6" t="s">
        <v>149</v>
      </c>
      <c r="EV6" t="s">
        <v>149</v>
      </c>
      <c r="EW6" t="s">
        <v>149</v>
      </c>
      <c r="EX6" t="s">
        <v>149</v>
      </c>
      <c r="EY6" t="s">
        <v>149</v>
      </c>
      <c r="EZ6" t="s">
        <v>149</v>
      </c>
      <c r="FA6" t="s">
        <v>149</v>
      </c>
      <c r="FB6" t="s">
        <v>149</v>
      </c>
      <c r="FC6" t="s">
        <v>149</v>
      </c>
      <c r="FD6" t="s">
        <v>149</v>
      </c>
      <c r="FE6" t="s">
        <v>149</v>
      </c>
      <c r="FF6" t="s">
        <v>149</v>
      </c>
      <c r="FG6" t="s">
        <v>149</v>
      </c>
      <c r="FH6" t="s">
        <v>149</v>
      </c>
      <c r="FI6" t="s">
        <v>149</v>
      </c>
      <c r="FJ6" t="s">
        <v>149</v>
      </c>
      <c r="FK6" t="s">
        <v>149</v>
      </c>
      <c r="FL6" t="s">
        <v>149</v>
      </c>
      <c r="FM6" t="s">
        <v>149</v>
      </c>
      <c r="FN6" t="s">
        <v>149</v>
      </c>
      <c r="FO6" t="s">
        <v>149</v>
      </c>
      <c r="FP6" t="s">
        <v>149</v>
      </c>
      <c r="FQ6" t="s">
        <v>149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149</v>
      </c>
      <c r="B7" s="8" t="s">
        <v>149</v>
      </c>
      <c r="C7" s="8" t="s">
        <v>149</v>
      </c>
      <c r="D7" s="8" t="s">
        <v>149</v>
      </c>
      <c r="E7" s="8"/>
      <c r="F7" s="8" t="s">
        <v>163</v>
      </c>
      <c r="G7" s="8" t="s">
        <v>149</v>
      </c>
      <c r="H7" s="8" t="s">
        <v>149</v>
      </c>
      <c r="I7" s="8"/>
      <c r="J7" s="8" t="s">
        <v>151</v>
      </c>
      <c r="K7" s="8" t="s">
        <v>149</v>
      </c>
      <c r="L7" s="8" t="s">
        <v>149</v>
      </c>
      <c r="M7" s="8" t="s">
        <v>149</v>
      </c>
      <c r="N7" s="8"/>
      <c r="O7" s="8" t="s">
        <v>149</v>
      </c>
      <c r="Q7" t="s">
        <v>152</v>
      </c>
      <c r="R7" t="s">
        <v>149</v>
      </c>
      <c r="S7" t="s">
        <v>149</v>
      </c>
      <c r="T7" t="s">
        <v>149</v>
      </c>
      <c r="U7" t="s">
        <v>58</v>
      </c>
      <c r="W7" t="s">
        <v>149</v>
      </c>
      <c r="X7" t="s">
        <v>149</v>
      </c>
      <c r="Y7" t="s">
        <v>149</v>
      </c>
      <c r="Z7" t="s">
        <v>153</v>
      </c>
      <c r="AA7" t="s">
        <v>149</v>
      </c>
      <c r="AB7" t="s">
        <v>50</v>
      </c>
      <c r="AC7" t="s">
        <v>149</v>
      </c>
      <c r="AD7" t="s">
        <v>149</v>
      </c>
      <c r="AE7" t="s">
        <v>149</v>
      </c>
      <c r="AF7" t="s">
        <v>164</v>
      </c>
      <c r="AG7" t="s">
        <v>149</v>
      </c>
      <c r="AH7" t="s">
        <v>149</v>
      </c>
      <c r="AI7" t="s">
        <v>155</v>
      </c>
      <c r="AJ7" t="s">
        <v>155</v>
      </c>
      <c r="AK7" t="s">
        <v>156</v>
      </c>
      <c r="AL7" t="s">
        <v>157</v>
      </c>
      <c r="AM7" t="s">
        <v>149</v>
      </c>
      <c r="AN7" t="s">
        <v>149</v>
      </c>
      <c r="AO7" t="s">
        <v>149</v>
      </c>
      <c r="AP7" t="s">
        <v>149</v>
      </c>
      <c r="AQ7" t="s">
        <v>149</v>
      </c>
      <c r="AR7" t="s">
        <v>149</v>
      </c>
      <c r="AS7" t="s">
        <v>12</v>
      </c>
      <c r="AT7" t="s">
        <v>149</v>
      </c>
      <c r="AU7" t="s">
        <v>149</v>
      </c>
      <c r="AV7" t="s">
        <v>149</v>
      </c>
      <c r="AW7" t="s">
        <v>149</v>
      </c>
      <c r="AX7" t="s">
        <v>149</v>
      </c>
      <c r="AY7" t="s">
        <v>149</v>
      </c>
      <c r="AZ7" t="s">
        <v>149</v>
      </c>
      <c r="BA7" t="s">
        <v>149</v>
      </c>
      <c r="BB7" t="s">
        <v>149</v>
      </c>
      <c r="BC7" t="s">
        <v>149</v>
      </c>
      <c r="BD7" t="s">
        <v>149</v>
      </c>
      <c r="BE7" t="s">
        <v>149</v>
      </c>
      <c r="BF7" t="s">
        <v>149</v>
      </c>
      <c r="BG7" t="s">
        <v>149</v>
      </c>
      <c r="BH7" t="s">
        <v>149</v>
      </c>
      <c r="BI7" t="s">
        <v>149</v>
      </c>
      <c r="BJ7" t="s">
        <v>149</v>
      </c>
      <c r="BK7" t="s">
        <v>149</v>
      </c>
      <c r="BL7" t="s">
        <v>149</v>
      </c>
      <c r="BM7" t="s">
        <v>149</v>
      </c>
      <c r="BN7" t="s">
        <v>149</v>
      </c>
      <c r="BO7" t="s">
        <v>149</v>
      </c>
      <c r="BP7" t="s">
        <v>149</v>
      </c>
      <c r="BQ7" t="s">
        <v>149</v>
      </c>
      <c r="BR7" t="s">
        <v>149</v>
      </c>
      <c r="BS7" t="s">
        <v>149</v>
      </c>
      <c r="BT7" t="s">
        <v>149</v>
      </c>
      <c r="BU7" t="s">
        <v>149</v>
      </c>
      <c r="BV7" t="s">
        <v>149</v>
      </c>
      <c r="BW7" t="s">
        <v>149</v>
      </c>
      <c r="BX7" t="s">
        <v>149</v>
      </c>
      <c r="BY7" t="s">
        <v>149</v>
      </c>
      <c r="BZ7" t="s">
        <v>149</v>
      </c>
      <c r="CA7" t="s">
        <v>149</v>
      </c>
      <c r="CB7" t="s">
        <v>149</v>
      </c>
      <c r="CC7" t="s">
        <v>149</v>
      </c>
      <c r="CD7" t="s">
        <v>149</v>
      </c>
      <c r="CE7" t="s">
        <v>149</v>
      </c>
      <c r="CF7" t="s">
        <v>149</v>
      </c>
      <c r="CG7" t="s">
        <v>149</v>
      </c>
      <c r="CH7" t="s">
        <v>149</v>
      </c>
      <c r="CI7" t="s">
        <v>149</v>
      </c>
      <c r="CJ7" t="s">
        <v>149</v>
      </c>
      <c r="CK7" t="s">
        <v>149</v>
      </c>
      <c r="CL7" t="s">
        <v>149</v>
      </c>
      <c r="CM7" t="s">
        <v>149</v>
      </c>
      <c r="CN7" t="s">
        <v>149</v>
      </c>
      <c r="CO7" t="s">
        <v>149</v>
      </c>
      <c r="CP7" t="s">
        <v>149</v>
      </c>
      <c r="CQ7" t="s">
        <v>149</v>
      </c>
      <c r="CR7" t="s">
        <v>149</v>
      </c>
      <c r="CS7" t="s">
        <v>149</v>
      </c>
      <c r="CT7" t="s">
        <v>149</v>
      </c>
      <c r="CU7" t="s">
        <v>149</v>
      </c>
      <c r="CV7" t="s">
        <v>149</v>
      </c>
      <c r="CW7" t="s">
        <v>149</v>
      </c>
      <c r="CX7" t="s">
        <v>149</v>
      </c>
      <c r="CY7" t="s">
        <v>149</v>
      </c>
      <c r="CZ7" t="s">
        <v>149</v>
      </c>
      <c r="DA7" t="s">
        <v>149</v>
      </c>
      <c r="DB7" t="s">
        <v>149</v>
      </c>
      <c r="DC7" t="s">
        <v>149</v>
      </c>
      <c r="DD7" t="s">
        <v>149</v>
      </c>
      <c r="DE7" t="s">
        <v>149</v>
      </c>
      <c r="DF7" t="s">
        <v>149</v>
      </c>
      <c r="DG7" t="s">
        <v>149</v>
      </c>
      <c r="DH7" t="s">
        <v>149</v>
      </c>
      <c r="DI7" t="s">
        <v>149</v>
      </c>
      <c r="DJ7" t="s">
        <v>149</v>
      </c>
      <c r="DK7" t="s">
        <v>149</v>
      </c>
      <c r="DL7" t="s">
        <v>149</v>
      </c>
      <c r="DM7" t="s">
        <v>149</v>
      </c>
      <c r="DN7" t="s">
        <v>149</v>
      </c>
      <c r="DO7" t="s">
        <v>149</v>
      </c>
      <c r="DP7" t="s">
        <v>149</v>
      </c>
      <c r="DQ7" t="s">
        <v>149</v>
      </c>
      <c r="DR7" t="s">
        <v>149</v>
      </c>
      <c r="DS7" t="s">
        <v>149</v>
      </c>
      <c r="DT7" t="s">
        <v>149</v>
      </c>
      <c r="DU7" t="s">
        <v>149</v>
      </c>
      <c r="DV7" t="s">
        <v>149</v>
      </c>
      <c r="DW7" t="s">
        <v>149</v>
      </c>
      <c r="DX7" t="s">
        <v>149</v>
      </c>
      <c r="DY7" t="s">
        <v>149</v>
      </c>
      <c r="DZ7" t="s">
        <v>149</v>
      </c>
      <c r="EA7" t="s">
        <v>149</v>
      </c>
      <c r="EB7" t="s">
        <v>149</v>
      </c>
      <c r="EC7" t="s">
        <v>149</v>
      </c>
      <c r="ED7" t="s">
        <v>149</v>
      </c>
      <c r="EE7" t="s">
        <v>149</v>
      </c>
      <c r="EF7" t="s">
        <v>149</v>
      </c>
      <c r="EG7" t="s">
        <v>149</v>
      </c>
      <c r="EH7" t="s">
        <v>149</v>
      </c>
      <c r="EI7" t="s">
        <v>149</v>
      </c>
      <c r="EJ7" t="s">
        <v>149</v>
      </c>
      <c r="EK7" t="s">
        <v>149</v>
      </c>
      <c r="EL7" t="s">
        <v>149</v>
      </c>
      <c r="EM7" t="s">
        <v>149</v>
      </c>
      <c r="EN7" t="s">
        <v>149</v>
      </c>
      <c r="EO7" t="s">
        <v>149</v>
      </c>
      <c r="EP7" t="s">
        <v>149</v>
      </c>
      <c r="EQ7" t="s">
        <v>149</v>
      </c>
      <c r="ER7" t="s">
        <v>149</v>
      </c>
      <c r="ES7" t="s">
        <v>149</v>
      </c>
      <c r="ET7" t="s">
        <v>149</v>
      </c>
      <c r="EU7" t="s">
        <v>149</v>
      </c>
      <c r="EV7" t="s">
        <v>149</v>
      </c>
      <c r="EW7" t="s">
        <v>149</v>
      </c>
      <c r="EX7" t="s">
        <v>149</v>
      </c>
      <c r="EY7" t="s">
        <v>149</v>
      </c>
      <c r="EZ7" t="s">
        <v>149</v>
      </c>
      <c r="FA7" t="s">
        <v>149</v>
      </c>
      <c r="FB7" t="s">
        <v>149</v>
      </c>
      <c r="FC7" t="s">
        <v>149</v>
      </c>
      <c r="FD7" t="s">
        <v>149</v>
      </c>
      <c r="FE7" t="s">
        <v>149</v>
      </c>
      <c r="FF7" t="s">
        <v>149</v>
      </c>
      <c r="FG7" t="s">
        <v>149</v>
      </c>
      <c r="FH7" t="s">
        <v>149</v>
      </c>
      <c r="FI7" t="s">
        <v>149</v>
      </c>
      <c r="FJ7" t="s">
        <v>149</v>
      </c>
      <c r="FK7" t="s">
        <v>149</v>
      </c>
      <c r="FL7" t="s">
        <v>149</v>
      </c>
      <c r="FM7" t="s">
        <v>149</v>
      </c>
      <c r="FN7" t="s">
        <v>149</v>
      </c>
      <c r="FO7" t="s">
        <v>149</v>
      </c>
      <c r="FP7" t="s">
        <v>149</v>
      </c>
      <c r="FQ7" t="s">
        <v>149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165</v>
      </c>
      <c r="D3" s="5" t="s">
        <v>9</v>
      </c>
      <c r="E3" s="22" t="s">
        <v>166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IFERROR(__xludf.DUMMYFUNCTION("""COMPUTED_VALUE"""),"Net Amount(Local)")</f>
        <v>Net Amount(Local)</v>
      </c>
      <c r="C5" s="31" t="str">
        <f>IFERROR(__xludf.DUMMYFUNCTION("""COMPUTED_VALUE"""),"Net Amount(Base)")</f>
        <v>Net Amount(Base)</v>
      </c>
      <c r="D5" s="31" t="str">
        <f>IFERROR(__xludf.DUMMYFUNCTION("""COMPUTED_VALUE"""),"Principal Amount(Local)")</f>
        <v>Principal Amount(Local)</v>
      </c>
      <c r="E5" s="31" t="str">
        <f>IFERROR(__xludf.DUMMYFUNCTION("""COMPUTED_VALUE"""),"Principal Amount(Base)")</f>
        <v>Principal Amount(Base)</v>
      </c>
      <c r="F5" s="32" t="str">
        <f>IFERROR(__xludf.DUMMYFUNCTION("""COMPUTED_VALUE"""),"FX Conversion Operator")</f>
        <v>FX Conversion Operator</v>
      </c>
      <c r="G5" s="31" t="str">
        <f>IFERROR(__xludf.DUMMYFUNCTION("""COMPUTED_VALUE"""),"TaxLotID")</f>
        <v>TaxLotID</v>
      </c>
      <c r="H5" s="31" t="str">
        <f>IFERROR(__xludf.DUMMYFUNCTION("""COMPUTED_VALUE"""),"Settlement Currency")</f>
        <v>Settlement Currency</v>
      </c>
      <c r="I5" s="31" t="str">
        <f>IFERROR(__xludf.DUMMYFUNCTION("""COMPUTED_VALUE"""),"Trade Attribute 1")</f>
        <v>Trade Attribute 1</v>
      </c>
      <c r="J5" s="31" t="str">
        <f>IFERROR(__xludf.DUMMYFUNCTION("""COMPUTED_VALUE"""),"Trade Attribute 2")</f>
        <v>Trade Attribute 2</v>
      </c>
      <c r="K5" s="31" t="str">
        <f>IFERROR(__xludf.DUMMYFUNCTION("""COMPUTED_VALUE"""),"Trade Attribute 3")</f>
        <v>Trade Attribute 3</v>
      </c>
      <c r="L5" s="31" t="str">
        <f>IFERROR(__xludf.DUMMYFUNCTION("""COMPUTED_VALUE"""),"Trade Attribute 4")</f>
        <v>Trade Attribute 4</v>
      </c>
      <c r="M5" s="31" t="str">
        <f>IFERROR(__xludf.DUMMYFUNCTION("""COMPUTED_VALUE"""),"Trade Attribute 5")</f>
        <v>Trade Attribute 5</v>
      </c>
      <c r="N5" s="31" t="str">
        <f>IFERROR(__xludf.DUMMYFUNCTION("""COMPUTED_VALUE"""),"Trade Attribute 6")</f>
        <v>Trade Attribute 6</v>
      </c>
      <c r="O5" s="31" t="str">
        <f>IFERROR(__xludf.DUMMYFUNCTION("""COMPUTED_VALUE"""),"Account Name")</f>
        <v>Account Name</v>
      </c>
      <c r="P5" s="31" t="str">
        <f>IFERROR(__xludf.DUMMYFUNCTION("""COMPUTED_VALUE"""),"Strategy Name")</f>
        <v>Strategy Name</v>
      </c>
      <c r="Q5" s="31" t="str">
        <f>IFERROR(__xludf.DUMMYFUNCTION("""COMPUTED_VALUE"""),"Percentage")</f>
        <v>Percentage</v>
      </c>
      <c r="R5" s="31" t="str">
        <f>IFERROR(__xludf.DUMMYFUNCTION("""COMPUTED_VALUE"""),"Taxlot Qty")</f>
        <v>Taxlot Qty</v>
      </c>
      <c r="S5" s="31" t="str">
        <f>IFERROR(__xludf.DUMMYFUNCTION("""COMPUTED_VALUE"""),"Commission")</f>
        <v>Commission</v>
      </c>
      <c r="T5" s="33" t="str">
        <f>IFERROR(__xludf.DUMMYFUNCTION("""COMPUTED_VALUE"""),"Soft Commission")</f>
        <v>Soft Commission</v>
      </c>
      <c r="U5" s="33" t="str">
        <f>IFERROR(__xludf.DUMMYFUNCTION("""COMPUTED_VALUE"""),"Other Broker Fees")</f>
        <v>Other Broker Fees</v>
      </c>
      <c r="V5" s="33" t="str">
        <f>IFERROR(__xludf.DUMMYFUNCTION("""COMPUTED_VALUE"""),"Clearing Broker Fees")</f>
        <v>Clearing Broker Fees</v>
      </c>
      <c r="W5" s="33" t="str">
        <f>IFERROR(__xludf.DUMMYFUNCTION("""COMPUTED_VALUE"""),"Stamp Duty")</f>
        <v>Stamp Duty</v>
      </c>
      <c r="X5" s="33" t="str">
        <f>IFERROR(__xludf.DUMMYFUNCTION("""COMPUTED_VALUE"""),"Transaction Levy")</f>
        <v>Transaction Levy</v>
      </c>
      <c r="Y5" s="33" t="str">
        <f>IFERROR(__xludf.DUMMYFUNCTION("""COMPUTED_VALUE"""),"AUEC Fee1")</f>
        <v>AUEC Fee1</v>
      </c>
      <c r="Z5" s="33" t="str">
        <f>IFERROR(__xludf.DUMMYFUNCTION("""COMPUTED_VALUE"""),"Tax On Commissions")</f>
        <v>Tax On Commissions</v>
      </c>
      <c r="AA5" s="33" t="str">
        <f>IFERROR(__xludf.DUMMYFUNCTION("""COMPUTED_VALUE"""),"AUEC Fee2")</f>
        <v>AUEC Fee2</v>
      </c>
      <c r="AB5" s="33" t="str">
        <f>IFERROR(__xludf.DUMMYFUNCTION("""COMPUTED_VALUE"""),"SEC Fee")</f>
        <v>SEC Fee</v>
      </c>
      <c r="AC5" s="33" t="str">
        <f>IFERROR(__xludf.DUMMYFUNCTION("""COMPUTED_VALUE"""),"OCC Fee")</f>
        <v>OCC Fee</v>
      </c>
      <c r="AD5" s="33" t="str">
        <f>IFERROR(__xludf.DUMMYFUNCTION("""COMPUTED_VALUE"""),"ORF Fee")</f>
        <v>ORF Fee</v>
      </c>
      <c r="AE5" s="33" t="str">
        <f>IFERROR(__xludf.DUMMYFUNCTION("""COMPUTED_VALUE"""),"Option Premium Adjustment")</f>
        <v>Option Premium Adjustment</v>
      </c>
      <c r="AF5" s="33" t="str">
        <f>IFERROR(__xludf.DUMMYFUNCTION("""COMPUTED_VALUE"""),"Closing Status")</f>
        <v>Closing Status</v>
      </c>
      <c r="AG5" s="33" t="str">
        <f>IFERROR(__xludf.DUMMYFUNCTION("""COMPUTED_VALUE"""),"External Transaction ID")</f>
        <v>External Transaction ID</v>
      </c>
      <c r="AH5" s="33" t="str">
        <f>IFERROR(__xludf.DUMMYFUNCTION("""COMPUTED_VALUE"""),"Lot ID")</f>
        <v>Lot ID</v>
      </c>
      <c r="AI5" s="33" t="str">
        <f>IFERROR(__xludf.DUMMYFUNCTION("""COMPUTED_VALUE"""),"AvgPriceBase")</f>
        <v>AvgPriceBase</v>
      </c>
      <c r="AJ5" s="33" t="str">
        <f>IFERROR(__xludf.DUMMYFUNCTION("""COMPUTED_VALUE"""),"Accrued Interest")</f>
        <v>Accrued Interest</v>
      </c>
      <c r="AK5" s="33" t="str">
        <f>IFERROR(__xludf.DUMMYFUNCTION("""COMPUTED_VALUE"""),"FXRate")</f>
        <v>FXRate</v>
      </c>
      <c r="AL5" s="33" t="str">
        <f>IFERROR(__xludf.DUMMYFUNCTION("""COMPUTED_VALUE"""),"Change Type")</f>
        <v>Change Type</v>
      </c>
      <c r="AM5" s="33" t="str">
        <f>IFERROR(__xludf.DUMMYFUNCTION("""COMPUTED_VALUE"""),"MandatoryColumn")</f>
        <v>MandatoryColumn</v>
      </c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42">
        <v>1014.0006</v>
      </c>
      <c r="C6" s="42">
        <v>1014.0006</v>
      </c>
      <c r="D6" s="42">
        <v>1000.0</v>
      </c>
      <c r="E6" s="42">
        <v>1000.0</v>
      </c>
      <c r="F6" s="9" t="s">
        <v>167</v>
      </c>
      <c r="G6" s="43"/>
      <c r="H6" s="44" t="s">
        <v>59</v>
      </c>
      <c r="I6" s="45"/>
      <c r="J6" s="45"/>
      <c r="K6" s="46"/>
      <c r="L6" s="45"/>
      <c r="M6" s="45"/>
      <c r="N6" s="8"/>
      <c r="O6" s="44" t="s">
        <v>58</v>
      </c>
      <c r="P6" s="9" t="s">
        <v>168</v>
      </c>
      <c r="Q6" s="9">
        <v>100.0</v>
      </c>
      <c r="R6" s="9">
        <v>100.0</v>
      </c>
      <c r="S6" s="9">
        <v>0.0</v>
      </c>
      <c r="T6" s="9">
        <v>0.0</v>
      </c>
      <c r="U6" s="9">
        <v>0.0</v>
      </c>
      <c r="V6" s="9">
        <v>0.0</v>
      </c>
      <c r="W6" s="9">
        <v>6.0E-4</v>
      </c>
      <c r="X6" s="9">
        <v>2.0</v>
      </c>
      <c r="Y6" s="9">
        <v>4.0</v>
      </c>
      <c r="Z6" s="9">
        <v>3.0</v>
      </c>
      <c r="AA6" s="9">
        <v>5.0</v>
      </c>
      <c r="AB6" s="9">
        <v>0.0</v>
      </c>
      <c r="AC6" s="9">
        <v>0.0</v>
      </c>
      <c r="AD6" s="9">
        <v>0.0</v>
      </c>
      <c r="AE6" s="9">
        <v>0.0</v>
      </c>
      <c r="AF6" s="9" t="s">
        <v>169</v>
      </c>
      <c r="AI6" s="9">
        <v>10.0</v>
      </c>
      <c r="AJ6" s="9">
        <v>0.0</v>
      </c>
      <c r="AK6" s="9">
        <v>1.0</v>
      </c>
      <c r="AL6" s="9">
        <v>3.0</v>
      </c>
    </row>
    <row r="7" ht="15.75" customHeight="1">
      <c r="A7" s="8"/>
      <c r="B7" s="42">
        <v>2014.0011</v>
      </c>
      <c r="C7" s="42">
        <v>2014.0011</v>
      </c>
      <c r="D7" s="42">
        <v>2000.0</v>
      </c>
      <c r="E7" s="42">
        <v>2000.0</v>
      </c>
      <c r="F7" s="9" t="s">
        <v>167</v>
      </c>
      <c r="G7" s="43"/>
      <c r="H7" s="44" t="s">
        <v>59</v>
      </c>
      <c r="I7" s="45"/>
      <c r="J7" s="45"/>
      <c r="K7" s="46"/>
      <c r="L7" s="45"/>
      <c r="M7" s="45"/>
      <c r="N7" s="8"/>
      <c r="O7" s="44" t="s">
        <v>58</v>
      </c>
      <c r="P7" s="9" t="s">
        <v>168</v>
      </c>
      <c r="Q7" s="9">
        <v>100.0</v>
      </c>
      <c r="R7" s="9">
        <v>200.0</v>
      </c>
      <c r="S7" s="9">
        <v>0.0</v>
      </c>
      <c r="T7" s="9">
        <v>0.0</v>
      </c>
      <c r="U7" s="9">
        <v>0.0</v>
      </c>
      <c r="V7" s="9">
        <v>0.0</v>
      </c>
      <c r="W7" s="9">
        <v>0.0011</v>
      </c>
      <c r="X7" s="9">
        <v>2.0</v>
      </c>
      <c r="Y7" s="9">
        <v>4.0</v>
      </c>
      <c r="Z7" s="9">
        <v>3.0</v>
      </c>
      <c r="AA7" s="9">
        <v>5.0</v>
      </c>
      <c r="AB7" s="9">
        <v>0.0</v>
      </c>
      <c r="AC7" s="9">
        <v>0.0</v>
      </c>
      <c r="AD7" s="9">
        <v>0.0</v>
      </c>
      <c r="AE7" s="9">
        <v>0.0</v>
      </c>
      <c r="AF7" s="9" t="s">
        <v>169</v>
      </c>
      <c r="AI7" s="9">
        <v>10.0</v>
      </c>
      <c r="AJ7" s="9">
        <v>0.0</v>
      </c>
      <c r="AK7" s="9">
        <v>1.0</v>
      </c>
      <c r="AL7" s="9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170</v>
      </c>
      <c r="D3" s="5" t="s">
        <v>9</v>
      </c>
      <c r="E3" s="22" t="s">
        <v>171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IFERROR(__xludf.DUMMYFUNCTION("""COMPUTED_VALUE"""),"Trade Date")</f>
        <v>Trade Date</v>
      </c>
      <c r="C5" s="31" t="str">
        <f>IFERROR(__xludf.DUMMYFUNCTION("""COMPUTED_VALUE"""),"Symbol")</f>
        <v>Symbol</v>
      </c>
      <c r="D5" s="31" t="str">
        <f>IFERROR(__xludf.DUMMYFUNCTION("""COMPUTED_VALUE"""),"Position")</f>
        <v>Position</v>
      </c>
      <c r="E5" s="31" t="str">
        <f>IFERROR(__xludf.DUMMYFUNCTION("""COMPUTED_VALUE"""),"Account")</f>
        <v>Account</v>
      </c>
      <c r="F5" s="32" t="str">
        <f>IFERROR(__xludf.DUMMYFUNCTION("""COMPUTED_VALUE"""),"MasterFund")</f>
        <v>MasterFund</v>
      </c>
      <c r="G5" s="31" t="str">
        <f>IFERROR(__xludf.DUMMYFUNCTION("""COMPUTED_VALUE"""),"Cost Basis")</f>
        <v>Cost Basis</v>
      </c>
      <c r="H5" s="31" t="str">
        <f>IFERROR(__xludf.DUMMYFUNCTION("""COMPUTED_VALUE"""),"Position Side")</f>
        <v>Position Side</v>
      </c>
      <c r="I5" s="31" t="str">
        <f>IFERROR(__xludf.DUMMYFUNCTION("""COMPUTED_VALUE"""),"Market Value (Base)")</f>
        <v>Market Value (Base)</v>
      </c>
      <c r="J5" s="31" t="str">
        <f>IFERROR(__xludf.DUMMYFUNCTION("""COMPUTED_VALUE"""),"% Day P&amp;L (Gross MV)")</f>
        <v>% Day P&amp;L (Gross MV)</v>
      </c>
      <c r="K5" s="31" t="str">
        <f>IFERROR(__xludf.DUMMYFUNCTION("""COMPUTED_VALUE"""),"Net Exposure (Base)")</f>
        <v>Net Exposure (Base)</v>
      </c>
      <c r="L5" s="31" t="str">
        <f>IFERROR(__xludf.DUMMYFUNCTION("""COMPUTED_VALUE"""),"Beta Adj. Gross Exposure (Base)")</f>
        <v>Beta Adj. Gross Exposure (Base)</v>
      </c>
      <c r="M5" s="31" t="str">
        <f>IFERROR(__xludf.DUMMYFUNCTION("""COMPUTED_VALUE"""),"Beta Adj. Gross Exposure (Underlying) (Base)")</f>
        <v>Beta Adj. Gross Exposure (Underlying) (Base)</v>
      </c>
      <c r="N5" s="31" t="str">
        <f>IFERROR(__xludf.DUMMYFUNCTION("""COMPUTED_VALUE"""),"Day P&amp;L (Base)")</f>
        <v>Day P&amp;L (Base)</v>
      </c>
      <c r="O5" s="31" t="str">
        <f>IFERROR(__xludf.DUMMYFUNCTION("""COMPUTED_VALUE"""),"Security Name")</f>
        <v>Security Name</v>
      </c>
      <c r="P5" s="31" t="str">
        <f>IFERROR(__xludf.DUMMYFUNCTION("""COMPUTED_VALUE"""),"Closing Mark")</f>
        <v>Closing Mark</v>
      </c>
      <c r="Q5" s="31" t="str">
        <f>IFERROR(__xludf.DUMMYFUNCTION("""COMPUTED_VALUE"""),"Cost Basis P&amp;L (Base)")</f>
        <v>Cost Basis P&amp;L (Base)</v>
      </c>
      <c r="R5" s="31" t="str">
        <f>IFERROR(__xludf.DUMMYFUNCTION("""COMPUTED_VALUE"""),"Prime Broker")</f>
        <v>Prime Broker</v>
      </c>
      <c r="S5" s="31" t="str">
        <f>IFERROR(__xludf.DUMMYFUNCTION("""COMPUTED_VALUE"""),"Strategy")</f>
        <v>Strategy</v>
      </c>
      <c r="T5" s="33" t="str">
        <f>IFERROR(__xludf.DUMMYFUNCTION("""COMPUTED_VALUE"""),"Asset Class")</f>
        <v>Asset Class</v>
      </c>
      <c r="U5" s="33" t="str">
        <f>IFERROR(__xludf.DUMMYFUNCTION("""COMPUTED_VALUE"""),"Underlying")</f>
        <v>Underlying</v>
      </c>
      <c r="V5" s="33" t="str">
        <f>IFERROR(__xludf.DUMMYFUNCTION("""COMPUTED_VALUE"""),"Exchange")</f>
        <v>Exchange</v>
      </c>
      <c r="W5" s="33" t="str">
        <f>IFERROR(__xludf.DUMMYFUNCTION("""COMPUTED_VALUE"""),"Trade Currency")</f>
        <v>Trade Currency</v>
      </c>
      <c r="X5" s="33" t="str">
        <f>IFERROR(__xludf.DUMMYFUNCTION("""COMPUTED_VALUE"""),"Multiplier")</f>
        <v>Multiplier</v>
      </c>
      <c r="Y5" s="33" t="str">
        <f>IFERROR(__xludf.DUMMYFUNCTION("""COMPUTED_VALUE"""),"FX Rate")</f>
        <v>FX Rate</v>
      </c>
      <c r="Z5" s="33" t="str">
        <f>IFERROR(__xludf.DUMMYFUNCTION("""COMPUTED_VALUE"""),"Vs Currency")</f>
        <v>Vs Currency</v>
      </c>
      <c r="AA5" s="33" t="str">
        <f>IFERROR(__xludf.DUMMYFUNCTION("""COMPUTED_VALUE"""),"Lead Currency")</f>
        <v>Lead Currency</v>
      </c>
      <c r="AB5" s="33" t="str">
        <f>IFERROR(__xludf.DUMMYFUNCTION("""COMPUTED_VALUE"""),"Dividend Yield (%)")</f>
        <v>Dividend Yield (%)</v>
      </c>
      <c r="AC5" s="33" t="str">
        <f>IFERROR(__xludf.DUMMYFUNCTION("""COMPUTED_VALUE"""),"% Change")</f>
        <v>% Change</v>
      </c>
      <c r="AD5" s="33" t="str">
        <f>IFERROR(__xludf.DUMMYFUNCTION("""COMPUTED_VALUE"""),"Net Exposure (Local)")</f>
        <v>Net Exposure (Local)</v>
      </c>
      <c r="AE5" s="33" t="str">
        <f>IFERROR(__xludf.DUMMYFUNCTION("""COMPUTED_VALUE"""),"Exposure (Local)")</f>
        <v>Exposure (Local)</v>
      </c>
      <c r="AF5" s="33" t="str">
        <f>IFERROR(__xludf.DUMMYFUNCTION("""COMPUTED_VALUE"""),"Delta Adj. Position")</f>
        <v>Delta Adj. Position</v>
      </c>
      <c r="AG5" s="33" t="str">
        <f>IFERROR(__xludf.DUMMYFUNCTION("""COMPUTED_VALUE"""),"Exposure (Base)")</f>
        <v>Exposure (Base)</v>
      </c>
      <c r="AH5" s="33" t="str">
        <f>IFERROR(__xludf.DUMMYFUNCTION("""COMPUTED_VALUE"""),"Beta Adj. Exposure (Local)")</f>
        <v>Beta Adj. Exposure (Local)</v>
      </c>
      <c r="AI5" s="33" t="str">
        <f>IFERROR(__xludf.DUMMYFUNCTION("""COMPUTED_VALUE"""),"Beta Adj. Exposure (Base)")</f>
        <v>Beta Adj. Exposure (Base)</v>
      </c>
      <c r="AJ5" s="33" t="str">
        <f>IFERROR(__xludf.DUMMYFUNCTION("""COMPUTED_VALUE"""),"Exposure (BP)(Base)")</f>
        <v>Exposure (BP)(Base)</v>
      </c>
      <c r="AK5" s="33" t="str">
        <f>IFERROR(__xludf.DUMMYFUNCTION("""COMPUTED_VALUE"""),"Day P&amp;L (Local)")</f>
        <v>Day P&amp;L (Local)</v>
      </c>
      <c r="AL5" s="33" t="str">
        <f>IFERROR(__xludf.DUMMYFUNCTION("""COMPUTED_VALUE"""),"Delta")</f>
        <v>Delta</v>
      </c>
      <c r="AM5" s="33" t="str">
        <f>IFERROR(__xludf.DUMMYFUNCTION("""COMPUTED_VALUE"""),"Leveraged Factor")</f>
        <v>Leveraged Factor</v>
      </c>
      <c r="AN5" s="33" t="str">
        <f>IFERROR(__xludf.DUMMYFUNCTION("""COMPUTED_VALUE"""),"Order Side")</f>
        <v>Order Side</v>
      </c>
      <c r="AO5" s="33" t="str">
        <f>IFERROR(__xludf.DUMMYFUNCTION("""COMPUTED_VALUE"""),"Master Strategy")</f>
        <v>Master Strategy</v>
      </c>
      <c r="AP5" s="33" t="str">
        <f>IFERROR(__xludf.DUMMYFUNCTION("""COMPUTED_VALUE"""),"Transaction Side")</f>
        <v>Transaction Side</v>
      </c>
      <c r="AQ5" s="33" t="str">
        <f>IFERROR(__xludf.DUMMYFUNCTION("""COMPUTED_VALUE"""),"Underlying Symbol")</f>
        <v>Underlying Symbol</v>
      </c>
      <c r="AR5" s="33" t="str">
        <f>IFERROR(__xludf.DUMMYFUNCTION("""COMPUTED_VALUE"""),"Underlying Price")</f>
        <v>Underlying Price</v>
      </c>
      <c r="AS5" s="33" t="str">
        <f>IFERROR(__xludf.DUMMYFUNCTION("""COMPUTED_VALUE"""),"Side Multiplier")</f>
        <v>Side Multiplier</v>
      </c>
      <c r="AT5" s="33" t="str">
        <f>IFERROR(__xludf.DUMMYFUNCTION("""COMPUTED_VALUE"""),"Description")</f>
        <v>Description</v>
      </c>
      <c r="AU5" s="33" t="str">
        <f>IFERROR(__xludf.DUMMYFUNCTION("""COMPUTED_VALUE"""),"Internal Comments")</f>
        <v>Internal Comments</v>
      </c>
      <c r="AV5" s="33" t="str">
        <f>IFERROR(__xludf.DUMMYFUNCTION("""COMPUTED_VALUE"""),"FX Rate On Trade Date")</f>
        <v>FX Rate On Trade Date</v>
      </c>
      <c r="AW5" s="33" t="str">
        <f>IFERROR(__xludf.DUMMYFUNCTION("""COMPUTED_VALUE"""),"Cost Basis P&amp;L (Local)")</f>
        <v>Cost Basis P&amp;L (Local)</v>
      </c>
      <c r="AX5" s="33" t="str">
        <f>IFERROR(__xludf.DUMMYFUNCTION("""COMPUTED_VALUE"""),"Day Interest")</f>
        <v>Day Interest</v>
      </c>
      <c r="AY5" s="33" t="str">
        <f>IFERROR(__xludf.DUMMYFUNCTION("""COMPUTED_VALUE"""),"Total Interest")</f>
        <v>Total Interest</v>
      </c>
      <c r="AZ5" s="33" t="str">
        <f>IFERROR(__xludf.DUMMYFUNCTION("""COMPUTED_VALUE"""),"Market Value (Local)")</f>
        <v>Market Value (Local)</v>
      </c>
      <c r="BA5" s="33" t="str">
        <f>IFERROR(__xludf.DUMMYFUNCTION("""COMPUTED_VALUE"""),"% Gain/Loss Day")</f>
        <v>% Gain/Loss Day</v>
      </c>
      <c r="BB5" s="33" t="str">
        <f>IFERROR(__xludf.DUMMYFUNCTION("""COMPUTED_VALUE"""),"Update Time (Last Price)")</f>
        <v>Update Time (Last Price)</v>
      </c>
      <c r="BC5" s="33" t="str">
        <f>IFERROR(__xludf.DUMMYFUNCTION("""COMPUTED_VALUE"""),"Beta")</f>
        <v>Beta</v>
      </c>
      <c r="BD5" s="33" t="str">
        <f>IFERROR(__xludf.DUMMYFUNCTION("""COMPUTED_VALUE"""),"Cash Impact (Local)")</f>
        <v>Cash Impact (Local)</v>
      </c>
      <c r="BE5" s="33" t="str">
        <f>IFERROR(__xludf.DUMMYFUNCTION("""COMPUTED_VALUE"""),"User Asset")</f>
        <v>User Asset</v>
      </c>
      <c r="BF5" s="33" t="str">
        <f>IFERROR(__xludf.DUMMYFUNCTION("""COMPUTED_VALUE"""),"Security Type")</f>
        <v>Security Type</v>
      </c>
      <c r="BG5" s="33" t="str">
        <f>IFERROR(__xludf.DUMMYFUNCTION("""COMPUTED_VALUE"""),"Sector")</f>
        <v>Sector</v>
      </c>
      <c r="BH5" s="33" t="str">
        <f>IFERROR(__xludf.DUMMYFUNCTION("""COMPUTED_VALUE"""),"Sub Sector")</f>
        <v>Sub Sector</v>
      </c>
      <c r="BI5" s="33" t="str">
        <f>IFERROR(__xludf.DUMMYFUNCTION("""COMPUTED_VALUE"""),"Country")</f>
        <v>Country</v>
      </c>
      <c r="BJ5" s="33" t="str">
        <f>IFERROR(__xludf.DUMMYFUNCTION("""COMPUTED_VALUE"""),"Market Cap")</f>
        <v>Market Cap</v>
      </c>
      <c r="BK5" s="33" t="str">
        <f>IFERROR(__xludf.DUMMYFUNCTION("""COMPUTED_VALUE"""),"Shares Outstanding (MM)")</f>
        <v>Shares Outstanding (MM)</v>
      </c>
      <c r="BL5" s="33" t="str">
        <f>IFERROR(__xludf.DUMMYFUNCTION("""COMPUTED_VALUE"""),"Avg Volume 20 Day")</f>
        <v>Avg Volume 20 Day</v>
      </c>
      <c r="BM5" s="33" t="str">
        <f>IFERROR(__xludf.DUMMYFUNCTION("""COMPUTED_VALUE"""),"% Avg Volume (Delta Adj.)")</f>
        <v>% Avg Volume (Delta Adj.)</v>
      </c>
      <c r="BN5" s="33" t="str">
        <f>IFERROR(__xludf.DUMMYFUNCTION("""COMPUTED_VALUE"""),"Ex Dividend Date")</f>
        <v>Ex Dividend Date</v>
      </c>
      <c r="BO5" s="33" t="str">
        <f>IFERROR(__xludf.DUMMYFUNCTION("""COMPUTED_VALUE"""),"Cash Impact (Base)")</f>
        <v>Cash Impact (Base)</v>
      </c>
      <c r="BP5" s="33" t="str">
        <f>IFERROR(__xludf.DUMMYFUNCTION("""COMPUTED_VALUE"""),"Volatility (%)")</f>
        <v>Volatility (%)</v>
      </c>
      <c r="BQ5" s="33" t="str">
        <f>IFERROR(__xludf.DUMMYFUNCTION("""COMPUTED_VALUE"""),"User")</f>
        <v>User</v>
      </c>
      <c r="BR5" s="33" t="str">
        <f>IFERROR(__xludf.DUMMYFUNCTION("""COMPUTED_VALUE"""),"Broker")</f>
        <v>Broker</v>
      </c>
      <c r="BS5" s="33" t="str">
        <f>IFERROR(__xludf.DUMMYFUNCTION("""COMPUTED_VALUE"""),"Earned Dividend (Local)")</f>
        <v>Earned Dividend (Local)</v>
      </c>
      <c r="BT5" s="33" t="str">
        <f>IFERROR(__xludf.DUMMYFUNCTION("""COMPUTED_VALUE"""),"Earned Dividend (Base)")</f>
        <v>Earned Dividend (Base)</v>
      </c>
      <c r="BU5" s="33" t="str">
        <f>IFERROR(__xludf.DUMMYFUNCTION("""COMPUTED_VALUE"""),"Put/Call")</f>
        <v>Put/Call</v>
      </c>
      <c r="BV5" s="33" t="str">
        <f>IFERROR(__xludf.DUMMYFUNCTION("""COMPUTED_VALUE"""),"Expiration Date")</f>
        <v>Expiration Date</v>
      </c>
      <c r="BW5" s="33" t="str">
        <f>IFERROR(__xludf.DUMMYFUNCTION("""COMPUTED_VALUE"""),"Strike Price")</f>
        <v>Strike Price</v>
      </c>
      <c r="BX5" s="33" t="str">
        <f>IFERROR(__xludf.DUMMYFUNCTION("""COMPUTED_VALUE"""),"Gross Exposure (Base)")</f>
        <v>Gross Exposure (Base)</v>
      </c>
      <c r="BY5" s="33" t="str">
        <f>IFERROR(__xludf.DUMMYFUNCTION("""COMPUTED_VALUE"""),"Gross Market Value (Base)")</f>
        <v>Gross Market Value (Base)</v>
      </c>
      <c r="BZ5" s="33" t="str">
        <f>IFERROR(__xludf.DUMMYFUNCTION("""COMPUTED_VALUE"""),"Px Selected Feed (Local)")</f>
        <v>Px Selected Feed (Local)</v>
      </c>
      <c r="CA5" s="33" t="str">
        <f>IFERROR(__xludf.DUMMYFUNCTION("""COMPUTED_VALUE"""),"Px Selected Feed (Base)")</f>
        <v>Px Selected Feed (Base)</v>
      </c>
      <c r="CB5" s="33" t="str">
        <f>IFERROR(__xludf.DUMMYFUNCTION("""COMPUTED_VALUE"""),"Settlement Date")</f>
        <v>Settlement Date</v>
      </c>
      <c r="CC5" s="33" t="str">
        <f>IFERROR(__xludf.DUMMYFUNCTION("""COMPUTED_VALUE"""),"% Avg Volume")</f>
        <v>% Avg Volume</v>
      </c>
      <c r="CD5" s="33" t="str">
        <f>IFERROR(__xludf.DUMMYFUNCTION("""COMPUTED_VALUE"""),"Day P&amp;L (Base)(Price Gain)")</f>
        <v>Day P&amp;L (Base)(Price Gain)</v>
      </c>
      <c r="CE5" s="33" t="str">
        <f>IFERROR(__xludf.DUMMYFUNCTION("""COMPUTED_VALUE"""),"Day P&amp;L (Base)(FX Gain)")</f>
        <v>Day P&amp;L (Base)(FX Gain)</v>
      </c>
      <c r="CF5" s="33" t="str">
        <f>IFERROR(__xludf.DUMMYFUNCTION("""COMPUTED_VALUE"""),"Cost Basis P&amp;L (Base)(FX Gain)")</f>
        <v>Cost Basis P&amp;L (Base)(FX Gain)</v>
      </c>
      <c r="CG5" s="33" t="str">
        <f>IFERROR(__xludf.DUMMYFUNCTION("""COMPUTED_VALUE"""),"Cost Basis P&amp;L (Base)(Price Gain)")</f>
        <v>Cost Basis P&amp;L (Base)(Price Gain)</v>
      </c>
      <c r="CH5" s="33" t="str">
        <f>IFERROR(__xludf.DUMMYFUNCTION("""COMPUTED_VALUE"""),"% Gain/Loss Cost")</f>
        <v>% Gain/Loss Cost</v>
      </c>
      <c r="CI5" s="33" t="str">
        <f>IFERROR(__xludf.DUMMYFUNCTION("""COMPUTED_VALUE"""),"Underlying Value (Options)")</f>
        <v>Underlying Value (Options)</v>
      </c>
      <c r="CJ5" s="33" t="str">
        <f>IFERROR(__xludf.DUMMYFUNCTION("""COMPUTED_VALUE"""),"Avg Volume 20 Day (Underlying Symbol)")</f>
        <v>Avg Volume 20 Day (Underlying Symbol)</v>
      </c>
      <c r="CK5" s="33" t="str">
        <f>IFERROR(__xludf.DUMMYFUNCTION("""COMPUTED_VALUE"""),"IsStaleData")</f>
        <v>IsStaleData</v>
      </c>
      <c r="CL5" s="33" t="str">
        <f>IFERROR(__xludf.DUMMYFUNCTION("""COMPUTED_VALUE"""),"IDCO")</f>
        <v>IDCO</v>
      </c>
      <c r="CM5" s="33" t="str">
        <f>IFERROR(__xludf.DUMMYFUNCTION("""COMPUTED_VALUE"""),"OSI")</f>
        <v>OSI</v>
      </c>
      <c r="CN5" s="33" t="str">
        <f>IFERROR(__xludf.DUMMYFUNCTION("""COMPUTED_VALUE"""),"SEDOL")</f>
        <v>SEDOL</v>
      </c>
      <c r="CO5" s="33" t="str">
        <f>IFERROR(__xludf.DUMMYFUNCTION("""COMPUTED_VALUE"""),"CUSIP")</f>
        <v>CUSIP</v>
      </c>
      <c r="CP5" s="33" t="str">
        <f>IFERROR(__xludf.DUMMYFUNCTION("""COMPUTED_VALUE"""),"Bloomberg")</f>
        <v>Bloomberg</v>
      </c>
      <c r="CQ5" s="33" t="str">
        <f>IFERROR(__xludf.DUMMYFUNCTION("""COMPUTED_VALUE"""),"ISIN")</f>
        <v>ISIN</v>
      </c>
      <c r="CR5" s="33" t="str">
        <f>IFERROR(__xludf.DUMMYFUNCTION("""COMPUTED_VALUE"""),"Start Trade Date")</f>
        <v>Start Trade Date</v>
      </c>
      <c r="CS5" s="33" t="str">
        <f>IFERROR(__xludf.DUMMYFUNCTION("""COMPUTED_VALUE"""),"Cost Basis (Break Even)")</f>
        <v>Cost Basis (Break Even)</v>
      </c>
      <c r="CT5" s="33" t="str">
        <f>IFERROR(__xludf.DUMMYFUNCTION("""COMPUTED_VALUE"""),"Trade Attribute 3")</f>
        <v>Trade Attribute 3</v>
      </c>
      <c r="CU5" s="33" t="str">
        <f>IFERROR(__xludf.DUMMYFUNCTION("""COMPUTED_VALUE"""),"Trade Attribute 4")</f>
        <v>Trade Attribute 4</v>
      </c>
      <c r="CV5" s="33" t="str">
        <f>IFERROR(__xludf.DUMMYFUNCTION("""COMPUTED_VALUE"""),"Trade Attribute 5")</f>
        <v>Trade Attribute 5</v>
      </c>
      <c r="CW5" s="33" t="str">
        <f>IFERROR(__xludf.DUMMYFUNCTION("""COMPUTED_VALUE"""),"Trade Attribute 6")</f>
        <v>Trade Attribute 6</v>
      </c>
      <c r="CX5" s="33" t="str">
        <f>IFERROR(__xludf.DUMMYFUNCTION("""COMPUTED_VALUE"""),"Proxy Symbol")</f>
        <v>Proxy Symbol</v>
      </c>
      <c r="CY5" s="33" t="str">
        <f>IFERROR(__xludf.DUMMYFUNCTION("""COMPUTED_VALUE"""),"Pricing Source")</f>
        <v>Pricing Source</v>
      </c>
      <c r="CZ5" s="33" t="str">
        <f>IFERROR(__xludf.DUMMYFUNCTION("""COMPUTED_VALUE"""),"Delta Source")</f>
        <v>Delta Source</v>
      </c>
      <c r="DA5" s="33" t="str">
        <f>IFERROR(__xludf.DUMMYFUNCTION("""COMPUTED_VALUE"""),"Gross Exposure (Local)")</f>
        <v>Gross Exposure (Local)</v>
      </c>
      <c r="DB5" s="33" t="str">
        <f>IFERROR(__xludf.DUMMYFUNCTION("""COMPUTED_VALUE"""),"% Day P&amp;L (Net MV)")</f>
        <v>% Day P&amp;L (Net MV)</v>
      </c>
      <c r="DC5" s="33" t="str">
        <f>IFERROR(__xludf.DUMMYFUNCTION("""COMPUTED_VALUE"""),"Expiration Month")</f>
        <v>Expiration Month</v>
      </c>
      <c r="DD5" s="33" t="str">
        <f>IFERROR(__xludf.DUMMYFUNCTION("""COMPUTED_VALUE"""),"Delta Adj. Position (LME)")</f>
        <v>Delta Adj. Position (LME)</v>
      </c>
      <c r="DE5" s="33" t="str">
        <f>IFERROR(__xludf.DUMMYFUNCTION("""COMPUTED_VALUE"""),"Premium")</f>
        <v>Premium</v>
      </c>
      <c r="DF5" s="33" t="str">
        <f>IFERROR(__xludf.DUMMYFUNCTION("""COMPUTED_VALUE"""),"Premium $")</f>
        <v>Premium $</v>
      </c>
      <c r="DG5" s="33" t="str">
        <f>IFERROR(__xludf.DUMMYFUNCTION("""COMPUTED_VALUE"""),"Forward Points")</f>
        <v>Forward Points</v>
      </c>
      <c r="DH5" s="33" t="str">
        <f>IFERROR(__xludf.DUMMYFUNCTION("""COMPUTED_VALUE"""),"Closing Mark (Underlying)")</f>
        <v>Closing Mark (Underlying)</v>
      </c>
      <c r="DI5" s="33" t="str">
        <f>IFERROR(__xludf.DUMMYFUNCTION("""COMPUTED_VALUE"""),"% Change (Underlying Price)")</f>
        <v>% Change (Underlying Price)</v>
      </c>
      <c r="DJ5" s="33" t="str">
        <f>IFERROR(__xludf.DUMMYFUNCTION("""COMPUTED_VALUE"""),"Transaction Type")</f>
        <v>Transaction Type</v>
      </c>
      <c r="DK5" s="33" t="str">
        <f>IFERROR(__xludf.DUMMYFUNCTION("""COMPUTED_VALUE"""),"Closing Market Value (Local)")</f>
        <v>Closing Market Value (Local)</v>
      </c>
      <c r="DL5" s="33" t="str">
        <f>IFERROR(__xludf.DUMMYFUNCTION("""COMPUTED_VALUE"""),"Closing Market Value (Base)")</f>
        <v>Closing Market Value (Base)</v>
      </c>
      <c r="DM5" s="33" t="str">
        <f>IFERROR(__xludf.DUMMYFUNCTION("""COMPUTED_VALUE"""),"Closing FX Rate")</f>
        <v>Closing FX Rate</v>
      </c>
      <c r="DN5" s="33" t="str">
        <f>IFERROR(__xludf.DUMMYFUNCTION("""COMPUTED_VALUE"""),"Change In Underlying Price")</f>
        <v>Change In Underlying Price</v>
      </c>
      <c r="DO5" s="33" t="str">
        <f>IFERROR(__xludf.DUMMYFUNCTION("""COMPUTED_VALUE"""),"RIC")</f>
        <v>RIC</v>
      </c>
      <c r="DP5" s="33" t="str">
        <f>IFERROR(__xludf.DUMMYFUNCTION("""COMPUTED_VALUE"""),"Position Side Exposure (Boxed)")</f>
        <v>Position Side Exposure (Boxed)</v>
      </c>
      <c r="DQ5" s="33" t="str">
        <f>IFERROR(__xludf.DUMMYFUNCTION("""COMPUTED_VALUE"""),"Analyst")</f>
        <v>Analyst</v>
      </c>
      <c r="DR5" s="33" t="str">
        <f>IFERROR(__xludf.DUMMYFUNCTION("""COMPUTED_VALUE"""),"Country Of Risk")</f>
        <v>Country Of Risk</v>
      </c>
      <c r="DS5" s="33" t="str">
        <f>IFERROR(__xludf.DUMMYFUNCTION("""COMPUTED_VALUE"""),"Custom UDA1")</f>
        <v>Custom UDA1</v>
      </c>
      <c r="DT5" s="33" t="str">
        <f>IFERROR(__xludf.DUMMYFUNCTION("""COMPUTED_VALUE"""),"Custom UDA2")</f>
        <v>Custom UDA2</v>
      </c>
      <c r="DU5" s="33" t="str">
        <f>IFERROR(__xludf.DUMMYFUNCTION("""COMPUTED_VALUE"""),"Custom UDA3")</f>
        <v>Custom UDA3</v>
      </c>
      <c r="DV5" s="33" t="str">
        <f>IFERROR(__xludf.DUMMYFUNCTION("""COMPUTED_VALUE"""),"Custom UDA4")</f>
        <v>Custom UDA4</v>
      </c>
      <c r="DW5" s="33" t="str">
        <f>IFERROR(__xludf.DUMMYFUNCTION("""COMPUTED_VALUE"""),"Custom UDA5")</f>
        <v>Custom UDA5</v>
      </c>
      <c r="DX5" s="33" t="str">
        <f>IFERROR(__xludf.DUMMYFUNCTION("""COMPUTED_VALUE"""),"Custom UDA6")</f>
        <v>Custom UDA6</v>
      </c>
      <c r="DY5" s="33" t="str">
        <f>IFERROR(__xludf.DUMMYFUNCTION("""COMPUTED_VALUE"""),"Custom UDA7")</f>
        <v>Custom UDA7</v>
      </c>
      <c r="DZ5" s="33" t="str">
        <f>IFERROR(__xludf.DUMMYFUNCTION("""COMPUTED_VALUE"""),"Issuer")</f>
        <v>Issuer</v>
      </c>
      <c r="EA5" s="33" t="str">
        <f>IFERROR(__xludf.DUMMYFUNCTION("""COMPUTED_VALUE"""),"Liquid Tag")</f>
        <v>Liquid Tag</v>
      </c>
      <c r="EB5" s="33" t="str">
        <f>IFERROR(__xludf.DUMMYFUNCTION("""COMPUTED_VALUE"""),"Market Cap UDA")</f>
        <v>Market Cap UDA</v>
      </c>
      <c r="EC5" s="33" t="str">
        <f>IFERROR(__xludf.DUMMYFUNCTION("""COMPUTED_VALUE"""),"Region")</f>
        <v>Region</v>
      </c>
      <c r="ED5" s="33" t="str">
        <f>IFERROR(__xludf.DUMMYFUNCTION("""COMPUTED_VALUE"""),"Risk Currency")</f>
        <v>Risk Currency</v>
      </c>
      <c r="EE5" s="33" t="str">
        <f>IFERROR(__xludf.DUMMYFUNCTION("""COMPUTED_VALUE"""),"UCITS Eligible Tag")</f>
        <v>UCITS Eligible Tag</v>
      </c>
      <c r="EF5" s="33" t="str">
        <f>IFERROR(__xludf.DUMMYFUNCTION("""COMPUTED_VALUE"""),"FX Rate (Display)")</f>
        <v>FX Rate (Display)</v>
      </c>
      <c r="EG5" s="33" t="str">
        <f>IFERROR(__xludf.DUMMYFUNCTION("""COMPUTED_VALUE"""),"% Net Exposure (Base)")</f>
        <v>% Net Exposure (Base)</v>
      </c>
      <c r="EH5" s="33" t="str">
        <f>IFERROR(__xludf.DUMMYFUNCTION("""COMPUTED_VALUE"""),"% Gross Exposure (Base)")</f>
        <v>% Gross Exposure (Base)</v>
      </c>
      <c r="EI5" s="33" t="str">
        <f>IFERROR(__xludf.DUMMYFUNCTION("""COMPUTED_VALUE"""),"% Exposure (Base)")</f>
        <v>% Exposure (Base)</v>
      </c>
      <c r="EJ5" s="33" t="str">
        <f>IFERROR(__xludf.DUMMYFUNCTION("""COMPUTED_VALUE"""),"% Gross Exposure (Underlying) (Base)")</f>
        <v>% Gross Exposure (Underlying) (Base)</v>
      </c>
      <c r="EK5" s="33" t="str">
        <f>IFERROR(__xludf.DUMMYFUNCTION("""COMPUTED_VALUE"""),"% Beta Adj. Gross Exposure (Base)")</f>
        <v>% Beta Adj. Gross Exposure (Base)</v>
      </c>
      <c r="EL5" s="33" t="str">
        <f>IFERROR(__xludf.DUMMYFUNCTION("""COMPUTED_VALUE"""),"Position Side Exposure (Underlying)")</f>
        <v>Position Side Exposure (Underlying)</v>
      </c>
      <c r="EM5" s="33" t="str">
        <f>IFERROR(__xludf.DUMMYFUNCTION("""COMPUTED_VALUE"""),"Gross Exposure (Underlying) (Base)")</f>
        <v>Gross Exposure (Underlying) (Base)</v>
      </c>
      <c r="EN5" s="33" t="str">
        <f>IFERROR(__xludf.DUMMYFUNCTION("""COMPUTED_VALUE"""),"Gross Exposure (Underlying)")</f>
        <v>Gross Exposure (Underlying)</v>
      </c>
      <c r="EO5" s="33" t="str">
        <f>IFERROR(__xludf.DUMMYFUNCTION("""COMPUTED_VALUE"""),"Day Return")</f>
        <v>Day Return</v>
      </c>
      <c r="EP5" s="33" t="str">
        <f>IFERROR(__xludf.DUMMYFUNCTION("""COMPUTED_VALUE"""),"Start of Day NAV")</f>
        <v>Start of Day NAV</v>
      </c>
      <c r="EQ5" s="33" t="str">
        <f>IFERROR(__xludf.DUMMYFUNCTION("""COMPUTED_VALUE"""),"% Gross Market Value (Base)")</f>
        <v>% Gross Market Value (Base)</v>
      </c>
      <c r="ER5" s="33" t="str">
        <f>IFERROR(__xludf.DUMMYFUNCTION("""COMPUTED_VALUE"""),"Beta Adj. Gross Exposure (Underlying) (Local)")</f>
        <v>Beta Adj. Gross Exposure (Underlying) (Local)</v>
      </c>
      <c r="ES5" s="33" t="str">
        <f>IFERROR(__xludf.DUMMYFUNCTION("""COMPUTED_VALUE"""),"NAV")</f>
        <v>NAV</v>
      </c>
      <c r="ET5" s="33" t="str">
        <f>IFERROR(__xludf.DUMMYFUNCTION("""COMPUTED_VALUE"""),"% P&amp;L Contribution")</f>
        <v>% P&amp;L Contribution</v>
      </c>
      <c r="EU5" s="33" t="str">
        <f>IFERROR(__xludf.DUMMYFUNCTION("""COMPUTED_VALUE"""),"% Net Market Value (Base)")</f>
        <v>% Net Market Value (Base)</v>
      </c>
      <c r="EV5" s="33" t="str">
        <f>IFERROR(__xludf.DUMMYFUNCTION("""COMPUTED_VALUE"""),"Position Side Exposure")</f>
        <v>Position Side Exposure</v>
      </c>
      <c r="EW5" s="33" t="str">
        <f>IFERROR(__xludf.DUMMYFUNCTION("""COMPUTED_VALUE"""),"NAV (Touch)")</f>
        <v>NAV (Touch)</v>
      </c>
      <c r="EX5" s="33" t="str">
        <f>IFERROR(__xludf.DUMMYFUNCTION("""COMPUTED_VALUE"""),"IgnorePropertyChangeEvents")</f>
        <v>IgnorePropertyChangeEvents</v>
      </c>
      <c r="EY5" s="33" t="str">
        <f>IFERROR(__xludf.DUMMYFUNCTION("""COMPUTED_VALUE"""),"Trade Attribute 1")</f>
        <v>Trade Attribute 1</v>
      </c>
      <c r="EZ5" s="33" t="str">
        <f>IFERROR(__xludf.DUMMYFUNCTION("""COMPUTED_VALUE"""),"Trade Attribute 2")</f>
        <v>Trade Attribute 2</v>
      </c>
      <c r="FA5" s="33" t="str">
        <f>IFERROR(__xludf.DUMMYFUNCTION("""COMPUTED_VALUE"""),"Client")</f>
        <v>Client</v>
      </c>
      <c r="FB5" s="33" t="str">
        <f>IFERROR(__xludf.DUMMYFUNCTION("""COMPUTED_VALUE"""),"IsCustomViewTab")</f>
        <v>IsCustomViewTab</v>
      </c>
      <c r="FC5" s="33" t="str">
        <f>IFERROR(__xludf.DUMMYFUNCTION("""COMPUTED_VALUE"""),"ITM/OTM")</f>
        <v>ITM/OTM</v>
      </c>
      <c r="FD5" s="33" t="str">
        <f>IFERROR(__xludf.DUMMYFUNCTION("""COMPUTED_VALUE"""),"Days to Expiry")</f>
        <v>Days to Expiry</v>
      </c>
      <c r="FE5" s="33" t="str">
        <f>IFERROR(__xludf.DUMMYFUNCTION("""COMPUTED_VALUE"""),"% of Underlying Price")</f>
        <v>% of Underlying Price</v>
      </c>
      <c r="FF5" s="33" t="str">
        <f>IFERROR(__xludf.DUMMYFUNCTION("""COMPUTED_VALUE"""),"Intrinsic value")</f>
        <v>Intrinsic value</v>
      </c>
      <c r="FG5" s="33" t="str">
        <f>IFERROR(__xludf.DUMMYFUNCTION("""COMPUTED_VALUE"""),"Gain/Loss if Ex./Assign")</f>
        <v>Gain/Loss if Ex./Assign</v>
      </c>
      <c r="FH5" s="33" t="str">
        <f>IFERROR(__xludf.DUMMYFUNCTION("""COMPUTED_VALUE"""),"Day Traded Position")</f>
        <v>Day Traded Position</v>
      </c>
      <c r="FI5" s="33" t="str">
        <f>IFERROR(__xludf.DUMMYFUNCTION("""COMPUTED_VALUE"""),"isRowCountCheck")</f>
        <v>isRowCountCheck</v>
      </c>
      <c r="FJ5" s="33" t="str">
        <f>IFERROR(__xludf.DUMMYFUNCTION("""COMPUTED_VALUE"""),"ACTIV Symbol")</f>
        <v>ACTIV Symbol</v>
      </c>
      <c r="FK5" s="33" t="str">
        <f>IFERROR(__xludf.DUMMYFUNCTION("""COMPUTED_VALUE"""),"IsAccountBlank")</f>
        <v>IsAccountBlank</v>
      </c>
      <c r="FL5" s="33" t="str">
        <f>IFERROR(__xludf.DUMMYFUNCTION("""COMPUTED_VALUE"""),"MandatoryColumn")</f>
        <v>MandatoryColumn</v>
      </c>
      <c r="FM5" s="33" t="str">
        <f>IFERROR(__xludf.DUMMYFUNCTION("""COMPUTED_VALUE"""),"Px Last")</f>
        <v>Px Last</v>
      </c>
      <c r="FN5" s="33" t="str">
        <f>IFERROR(__xludf.DUMMYFUNCTION("""COMPUTED_VALUE"""),"Px Ask")</f>
        <v>Px Ask</v>
      </c>
      <c r="FO5" s="33" t="str">
        <f>IFERROR(__xludf.DUMMYFUNCTION("""COMPUTED_VALUE"""),"Px Bid")</f>
        <v>Px Bid</v>
      </c>
      <c r="FP5" s="33" t="str">
        <f>IFERROR(__xludf.DUMMYFUNCTION("""COMPUTED_VALUE"""),"Px Mid")</f>
        <v>Px Mid</v>
      </c>
      <c r="FQ5" s="33" t="str">
        <f>IFERROR(__xludf.DUMMYFUNCTION("""COMPUTED_VALUE"""),"Closing Price")</f>
        <v>Closing Price</v>
      </c>
      <c r="FR5" s="33" t="str">
        <f>IFERROR(__xludf.DUMMYFUNCTION("""COMPUTED_VALUE"""),"Total Volume")</f>
        <v>Total Volume</v>
      </c>
      <c r="FS5" s="33" t="str">
        <f>IFERROR(__xludf.DUMMYFUNCTION("""COMPUTED_VALUE"""),"Custom UDA8")</f>
        <v>Custom UDA8</v>
      </c>
      <c r="FT5" s="33" t="str">
        <f>IFERROR(__xludf.DUMMYFUNCTION("""COMPUTED_VALUE"""),"Custom UDA9")</f>
        <v>Custom UDA9</v>
      </c>
      <c r="FU5" s="33" t="str">
        <f>IFERROR(__xludf.DUMMYFUNCTION("""COMPUTED_VALUE"""),"Custom UDA10")</f>
        <v>Custom UDA10</v>
      </c>
      <c r="FV5" s="33" t="str">
        <f>IFERROR(__xludf.DUMMYFUNCTION("""COMPUTED_VALUE"""),"Custom UDA11")</f>
        <v>Custom UDA11</v>
      </c>
      <c r="FW5" s="33" t="str">
        <f>IFERROR(__xludf.DUMMYFUNCTION("""COMPUTED_VALUE"""),"Custom UDA12")</f>
        <v>Custom UDA12</v>
      </c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  <c r="IX5" s="33"/>
      <c r="IY5" s="33"/>
      <c r="IZ5" s="33"/>
      <c r="JA5" s="33"/>
      <c r="JB5" s="33"/>
      <c r="JC5" s="33"/>
      <c r="JD5" s="33"/>
      <c r="JE5" s="33"/>
      <c r="JF5" s="33"/>
      <c r="JG5" s="33"/>
      <c r="JH5" s="33"/>
      <c r="JI5" s="33"/>
      <c r="JJ5" s="33"/>
      <c r="JK5" s="33"/>
      <c r="JL5" s="33"/>
      <c r="JM5" s="33"/>
      <c r="JN5" s="33"/>
      <c r="JO5" s="33"/>
      <c r="JP5" s="33"/>
      <c r="JQ5" s="33"/>
      <c r="JR5" s="33"/>
      <c r="JS5" s="33"/>
      <c r="JT5" s="33"/>
      <c r="JU5" s="33"/>
      <c r="JV5" s="33"/>
      <c r="JW5" s="33"/>
      <c r="JX5" s="33"/>
      <c r="JY5" s="33"/>
      <c r="JZ5" s="33"/>
      <c r="KA5" s="33"/>
      <c r="KB5" s="33"/>
      <c r="KC5" s="33"/>
      <c r="KD5" s="33"/>
      <c r="KE5" s="33"/>
      <c r="KF5" s="33"/>
      <c r="KG5" s="33"/>
      <c r="KH5" s="33"/>
      <c r="KI5" s="33"/>
      <c r="KJ5" s="33"/>
      <c r="KK5" s="33"/>
      <c r="KL5" s="33"/>
      <c r="KM5" s="33"/>
      <c r="KN5" s="33"/>
      <c r="KO5" s="33"/>
      <c r="KP5" s="33"/>
      <c r="KQ5" s="33"/>
      <c r="KR5" s="33"/>
      <c r="KS5" s="33"/>
      <c r="KT5" s="33"/>
      <c r="KU5" s="33"/>
      <c r="KV5" s="33"/>
      <c r="KW5" s="33"/>
      <c r="KX5" s="33"/>
      <c r="KY5" s="33"/>
      <c r="KZ5" s="33"/>
      <c r="LA5" s="33"/>
      <c r="LB5" s="33"/>
      <c r="LC5" s="33"/>
      <c r="LD5" s="33"/>
      <c r="LE5" s="33"/>
      <c r="LF5" s="33"/>
      <c r="LG5" s="33"/>
      <c r="LH5" s="33"/>
      <c r="LI5" s="33"/>
      <c r="LJ5" s="33"/>
      <c r="LK5" s="33"/>
      <c r="LL5" s="33"/>
      <c r="LM5" s="33"/>
      <c r="LN5" s="33"/>
      <c r="LO5" s="33"/>
      <c r="LP5" s="33"/>
      <c r="LQ5" s="33"/>
      <c r="LR5" s="33"/>
      <c r="LS5" s="33"/>
      <c r="LT5" s="33"/>
      <c r="LU5" s="33"/>
      <c r="LV5" s="33"/>
      <c r="LW5" s="33"/>
      <c r="LX5" s="33"/>
      <c r="LY5" s="33"/>
      <c r="LZ5" s="33"/>
      <c r="MA5" s="33"/>
      <c r="MB5" s="33"/>
      <c r="MC5" s="33"/>
      <c r="MD5" s="33"/>
      <c r="ME5" s="33"/>
      <c r="MF5" s="33"/>
      <c r="MG5" s="33"/>
      <c r="MH5" s="33"/>
      <c r="MI5" s="33"/>
      <c r="MJ5" s="33"/>
      <c r="MK5" s="33"/>
      <c r="ML5" s="33"/>
      <c r="MM5" s="33"/>
      <c r="MN5" s="33"/>
      <c r="MO5" s="33"/>
      <c r="MP5" s="33"/>
      <c r="MQ5" s="33"/>
      <c r="MR5" s="33"/>
      <c r="MS5" s="33"/>
      <c r="MT5" s="33"/>
      <c r="MU5" s="33"/>
      <c r="MV5" s="33"/>
      <c r="MW5" s="33"/>
      <c r="MX5" s="33"/>
      <c r="MY5" s="33"/>
      <c r="MZ5" s="33"/>
      <c r="NA5" s="33"/>
      <c r="NB5" s="33"/>
      <c r="NC5" s="33"/>
      <c r="ND5" s="33"/>
      <c r="NE5" s="33"/>
      <c r="NF5" s="33"/>
      <c r="NG5" s="33"/>
      <c r="NH5" s="33"/>
      <c r="NI5" s="33"/>
      <c r="NJ5" s="33"/>
      <c r="NK5" s="33"/>
      <c r="NL5" s="33"/>
      <c r="NM5" s="33"/>
      <c r="NN5" s="33"/>
      <c r="NO5" s="33"/>
      <c r="NP5" s="33"/>
      <c r="NQ5" s="33"/>
      <c r="NR5" s="33"/>
      <c r="NS5" s="33"/>
      <c r="NT5" s="33"/>
      <c r="NU5" s="33"/>
      <c r="NV5" s="33"/>
      <c r="NW5" s="33"/>
      <c r="NX5" s="33"/>
      <c r="NY5" s="33"/>
      <c r="NZ5" s="33"/>
      <c r="OA5" s="33"/>
      <c r="OB5" s="33"/>
      <c r="OC5" s="33"/>
      <c r="OD5" s="33"/>
      <c r="OE5" s="33"/>
      <c r="OF5" s="33"/>
      <c r="OG5" s="33"/>
      <c r="OH5" s="33"/>
      <c r="OI5" s="33"/>
      <c r="OJ5" s="33"/>
      <c r="OK5" s="33"/>
      <c r="OL5" s="33"/>
      <c r="OM5" s="33"/>
      <c r="ON5" s="33"/>
      <c r="OO5" s="33"/>
      <c r="OP5" s="33"/>
      <c r="OQ5" s="33"/>
      <c r="OR5" s="33"/>
      <c r="OS5" s="33"/>
      <c r="OT5" s="33"/>
      <c r="OU5" s="33"/>
      <c r="OV5" s="33"/>
      <c r="OW5" s="33"/>
      <c r="OX5" s="33"/>
      <c r="OY5" s="33"/>
      <c r="OZ5" s="33"/>
      <c r="PA5" s="33"/>
      <c r="PB5" s="33"/>
      <c r="PC5" s="33"/>
      <c r="PD5" s="33"/>
      <c r="PE5" s="33"/>
      <c r="PF5" s="33"/>
      <c r="PG5" s="33"/>
      <c r="PH5" s="33"/>
      <c r="PI5" s="33"/>
      <c r="PJ5" s="33"/>
      <c r="PK5" s="33"/>
      <c r="PL5" s="33"/>
      <c r="PM5" s="33"/>
      <c r="PN5" s="33"/>
      <c r="PO5" s="33"/>
      <c r="PP5" s="33"/>
      <c r="PQ5" s="33"/>
      <c r="PR5" s="33"/>
      <c r="PS5" s="33"/>
      <c r="PT5" s="33"/>
      <c r="PU5" s="33"/>
      <c r="PV5" s="33"/>
      <c r="PW5" s="33"/>
      <c r="PX5" s="33"/>
      <c r="PY5" s="33"/>
      <c r="PZ5" s="33"/>
      <c r="QA5" s="33"/>
      <c r="QB5" s="33"/>
      <c r="QC5" s="33"/>
      <c r="QD5" s="33"/>
      <c r="QE5" s="33"/>
      <c r="QF5" s="33"/>
      <c r="QG5" s="33"/>
      <c r="QH5" s="33"/>
      <c r="QI5" s="33"/>
      <c r="QJ5" s="33"/>
      <c r="QK5" s="33"/>
      <c r="QL5" s="33"/>
      <c r="QM5" s="33"/>
      <c r="QN5" s="33"/>
      <c r="QO5" s="33"/>
      <c r="QP5" s="33"/>
      <c r="QQ5" s="33"/>
      <c r="QR5" s="33"/>
      <c r="QS5" s="33"/>
      <c r="QT5" s="33"/>
      <c r="QU5" s="33"/>
      <c r="QV5" s="33"/>
      <c r="QW5" s="33"/>
      <c r="QX5" s="33"/>
      <c r="QY5" s="33"/>
      <c r="QZ5" s="33"/>
      <c r="RA5" s="33"/>
      <c r="RB5" s="33"/>
      <c r="RC5" s="33"/>
      <c r="RD5" s="33"/>
      <c r="RE5" s="33"/>
      <c r="RF5" s="33"/>
      <c r="RG5" s="33"/>
      <c r="RH5" s="33"/>
      <c r="RI5" s="33"/>
      <c r="RJ5" s="33"/>
      <c r="RK5" s="33"/>
      <c r="RL5" s="33"/>
      <c r="RM5" s="33"/>
      <c r="RN5" s="33"/>
      <c r="RO5" s="33"/>
      <c r="RP5" s="33"/>
      <c r="RQ5" s="33"/>
      <c r="RR5" s="33"/>
      <c r="RS5" s="33"/>
      <c r="RT5" s="33"/>
      <c r="RU5" s="33"/>
      <c r="RV5" s="33"/>
      <c r="RW5" s="33"/>
      <c r="RX5" s="33"/>
      <c r="RY5" s="33"/>
      <c r="RZ5" s="33"/>
      <c r="SA5" s="33"/>
      <c r="SB5" s="33"/>
      <c r="SC5" s="33"/>
      <c r="SD5" s="33"/>
      <c r="SE5" s="33"/>
      <c r="SF5" s="33"/>
      <c r="SG5" s="33"/>
      <c r="SH5" s="33"/>
      <c r="SI5" s="33"/>
      <c r="SJ5" s="33"/>
      <c r="SK5" s="33"/>
      <c r="SL5" s="33"/>
      <c r="SM5" s="33"/>
      <c r="SN5" s="33"/>
      <c r="SO5" s="33"/>
      <c r="SP5" s="33"/>
      <c r="SQ5" s="33"/>
      <c r="SR5" s="33"/>
      <c r="SS5" s="33"/>
      <c r="ST5" s="33"/>
      <c r="SU5" s="33"/>
      <c r="SV5" s="33"/>
      <c r="SW5" s="33"/>
      <c r="SX5" s="33"/>
      <c r="SY5" s="33"/>
      <c r="SZ5" s="33"/>
      <c r="TA5" s="33"/>
      <c r="TB5" s="33"/>
      <c r="TC5" s="33"/>
      <c r="TD5" s="33"/>
      <c r="TE5" s="33"/>
      <c r="TF5" s="33"/>
      <c r="TG5" s="33"/>
      <c r="TH5" s="33"/>
      <c r="TI5" s="33"/>
      <c r="TJ5" s="33"/>
      <c r="TK5" s="33"/>
      <c r="TL5" s="33"/>
      <c r="TM5" s="33"/>
      <c r="TN5" s="33"/>
      <c r="TO5" s="33"/>
      <c r="TP5" s="33"/>
      <c r="TQ5" s="33"/>
      <c r="TR5" s="33"/>
      <c r="TS5" s="33"/>
      <c r="TT5" s="33"/>
      <c r="TU5" s="33"/>
      <c r="TV5" s="33"/>
      <c r="TW5" s="33"/>
      <c r="TX5" s="33"/>
      <c r="TY5" s="33"/>
      <c r="TZ5" s="33"/>
      <c r="UA5" s="33"/>
      <c r="UB5" s="33"/>
      <c r="UC5" s="33"/>
      <c r="UD5" s="33"/>
      <c r="UE5" s="33"/>
      <c r="UF5" s="33"/>
      <c r="UG5" s="33"/>
      <c r="UH5" s="33"/>
      <c r="UI5" s="33"/>
      <c r="UJ5" s="33"/>
      <c r="UK5" s="33"/>
      <c r="UL5" s="33"/>
      <c r="UM5" s="33"/>
      <c r="UN5" s="33"/>
      <c r="UO5" s="33"/>
      <c r="UP5" s="33"/>
      <c r="UQ5" s="33"/>
      <c r="UR5" s="33"/>
      <c r="US5" s="33"/>
      <c r="UT5" s="33"/>
      <c r="UU5" s="33"/>
      <c r="UV5" s="33"/>
      <c r="UW5" s="33"/>
      <c r="UX5" s="33"/>
      <c r="UY5" s="33"/>
      <c r="UZ5" s="33"/>
      <c r="VA5" s="33"/>
      <c r="VB5" s="33"/>
      <c r="VC5" s="33"/>
      <c r="VD5" s="33"/>
      <c r="VE5" s="33"/>
      <c r="VF5" s="33"/>
      <c r="VG5" s="33"/>
      <c r="VH5" s="33"/>
      <c r="VI5" s="33"/>
      <c r="VJ5" s="33"/>
      <c r="VK5" s="33"/>
      <c r="VL5" s="33"/>
      <c r="VM5" s="33"/>
      <c r="VN5" s="33"/>
      <c r="VO5" s="33"/>
      <c r="VP5" s="33"/>
      <c r="VQ5" s="33"/>
      <c r="VR5" s="33"/>
      <c r="VS5" s="33"/>
      <c r="VT5" s="33"/>
      <c r="VU5" s="33"/>
      <c r="VV5" s="33"/>
      <c r="VW5" s="33"/>
      <c r="VX5" s="33"/>
      <c r="VY5" s="33"/>
      <c r="VZ5" s="33"/>
      <c r="WA5" s="33"/>
      <c r="WB5" s="33"/>
      <c r="WC5" s="33"/>
      <c r="WD5" s="33"/>
      <c r="WE5" s="33"/>
      <c r="WF5" s="33"/>
      <c r="WG5" s="33"/>
      <c r="WH5" s="33"/>
      <c r="WI5" s="33"/>
      <c r="WJ5" s="33"/>
      <c r="WK5" s="33"/>
      <c r="WL5" s="33"/>
      <c r="WM5" s="33"/>
      <c r="WN5" s="33"/>
      <c r="WO5" s="33"/>
      <c r="WP5" s="33"/>
      <c r="WQ5" s="33"/>
      <c r="WR5" s="33"/>
      <c r="WS5" s="33"/>
      <c r="WT5" s="33"/>
      <c r="WU5" s="33"/>
      <c r="WV5" s="33"/>
      <c r="WW5" s="33"/>
      <c r="WX5" s="33"/>
      <c r="WY5" s="33"/>
      <c r="WZ5" s="33"/>
      <c r="XA5" s="33"/>
      <c r="XB5" s="33"/>
      <c r="XC5" s="33"/>
      <c r="XD5" s="33"/>
      <c r="XE5" s="33"/>
      <c r="XF5" s="33"/>
      <c r="XG5" s="33"/>
      <c r="XH5" s="33"/>
      <c r="XI5" s="33"/>
      <c r="XJ5" s="33"/>
      <c r="XK5" s="33"/>
      <c r="XL5" s="33"/>
      <c r="XM5" s="33"/>
      <c r="XN5" s="33"/>
      <c r="XO5" s="33"/>
      <c r="XP5" s="33"/>
      <c r="XQ5" s="33"/>
      <c r="XR5" s="33"/>
      <c r="XS5" s="33"/>
      <c r="XT5" s="33"/>
      <c r="XU5" s="33"/>
      <c r="XV5" s="33"/>
      <c r="XW5" s="33"/>
      <c r="XX5" s="33"/>
      <c r="XY5" s="33"/>
      <c r="XZ5" s="33"/>
      <c r="YA5" s="33"/>
      <c r="YB5" s="33"/>
      <c r="YC5" s="33"/>
      <c r="YD5" s="33"/>
      <c r="YE5" s="33"/>
      <c r="YF5" s="33"/>
      <c r="YG5" s="33"/>
      <c r="YH5" s="33"/>
      <c r="YI5" s="33"/>
      <c r="YJ5" s="33"/>
      <c r="YK5" s="33"/>
      <c r="YL5" s="33"/>
      <c r="YM5" s="33"/>
      <c r="YN5" s="33"/>
      <c r="YO5" s="33"/>
      <c r="YP5" s="33"/>
      <c r="YQ5" s="33"/>
      <c r="YR5" s="33"/>
      <c r="YS5" s="33"/>
      <c r="YT5" s="33"/>
      <c r="YU5" s="33"/>
      <c r="YV5" s="33"/>
      <c r="YW5" s="33"/>
      <c r="YX5" s="33"/>
      <c r="YY5" s="33"/>
      <c r="YZ5" s="33"/>
      <c r="ZA5" s="33"/>
      <c r="ZB5" s="33"/>
      <c r="ZC5" s="33"/>
      <c r="ZD5" s="33"/>
      <c r="ZE5" s="33"/>
      <c r="ZF5" s="33"/>
      <c r="ZG5" s="33"/>
      <c r="ZH5" s="33"/>
      <c r="ZI5" s="33"/>
      <c r="ZJ5" s="33"/>
      <c r="ZK5" s="33"/>
      <c r="ZL5" s="33"/>
      <c r="ZM5" s="33"/>
      <c r="ZN5" s="33"/>
      <c r="ZO5" s="33"/>
      <c r="ZP5" s="33"/>
      <c r="ZQ5" s="33"/>
      <c r="ZR5" s="33"/>
      <c r="ZS5" s="33"/>
      <c r="ZT5" s="33"/>
      <c r="ZU5" s="33"/>
      <c r="ZV5" s="33"/>
      <c r="ZW5" s="33"/>
      <c r="ZX5" s="33"/>
      <c r="ZY5" s="33"/>
      <c r="ZZ5" s="33"/>
      <c r="AAA5" s="33"/>
      <c r="AAB5" s="33"/>
      <c r="AAC5" s="33"/>
      <c r="AAD5" s="33"/>
      <c r="AAE5" s="33"/>
      <c r="AAF5" s="33"/>
      <c r="AAG5" s="33"/>
      <c r="AAH5" s="33"/>
      <c r="AAI5" s="33"/>
      <c r="AAJ5" s="33"/>
      <c r="AAK5" s="33"/>
      <c r="AAL5" s="33"/>
      <c r="AAM5" s="33"/>
      <c r="AAN5" s="33"/>
      <c r="AAO5" s="33"/>
      <c r="AAP5" s="33"/>
      <c r="AAQ5" s="33"/>
      <c r="AAR5" s="33"/>
      <c r="AAS5" s="33"/>
      <c r="AAT5" s="33"/>
      <c r="AAU5" s="33"/>
      <c r="AAV5" s="33"/>
      <c r="AAW5" s="33"/>
      <c r="AAX5" s="33"/>
      <c r="AAY5" s="33"/>
      <c r="AAZ5" s="33"/>
      <c r="ABA5" s="33"/>
      <c r="ABB5" s="33"/>
      <c r="ABC5" s="33"/>
      <c r="ABD5" s="33"/>
      <c r="ABE5" s="33"/>
      <c r="ABF5" s="33"/>
      <c r="ABG5" s="33"/>
      <c r="ABH5" s="33"/>
      <c r="ABI5" s="33"/>
      <c r="ABJ5" s="33"/>
      <c r="ABK5" s="33"/>
      <c r="ABL5" s="33"/>
      <c r="ABM5" s="33"/>
      <c r="ABN5" s="33"/>
      <c r="ABO5" s="33"/>
      <c r="ABP5" s="33"/>
      <c r="ABQ5" s="33"/>
      <c r="ABR5" s="33"/>
      <c r="ABS5" s="33"/>
      <c r="ABT5" s="33"/>
      <c r="ABU5" s="33"/>
      <c r="ABV5" s="33"/>
      <c r="ABW5" s="33"/>
      <c r="ABX5" s="33"/>
      <c r="ABY5" s="33"/>
      <c r="ABZ5" s="33"/>
      <c r="ACA5" s="33"/>
      <c r="ACB5" s="33"/>
      <c r="ACC5" s="33"/>
      <c r="ACD5" s="33"/>
      <c r="ACE5" s="33"/>
      <c r="ACF5" s="33"/>
      <c r="ACG5" s="33"/>
      <c r="ACH5" s="33"/>
      <c r="ACI5" s="33"/>
      <c r="ACJ5" s="33"/>
      <c r="ACK5" s="33"/>
      <c r="ACL5" s="33"/>
      <c r="ACM5" s="33"/>
      <c r="ACN5" s="33"/>
      <c r="ACO5" s="33"/>
      <c r="ACP5" s="33"/>
      <c r="ACQ5" s="33"/>
      <c r="ACR5" s="33"/>
      <c r="ACS5" s="33"/>
      <c r="ACT5" s="33"/>
      <c r="ACU5" s="33"/>
      <c r="ACV5" s="33"/>
      <c r="ACW5" s="33"/>
      <c r="ACX5" s="33"/>
      <c r="ACY5" s="33"/>
      <c r="ACZ5" s="33"/>
      <c r="ADA5" s="33"/>
      <c r="ADB5" s="33"/>
      <c r="ADC5" s="33"/>
      <c r="ADD5" s="33"/>
      <c r="ADE5" s="33"/>
      <c r="ADF5" s="33"/>
      <c r="ADG5" s="33"/>
      <c r="ADH5" s="33"/>
      <c r="ADI5" s="33"/>
      <c r="ADJ5" s="33"/>
      <c r="ADK5" s="33"/>
      <c r="ADL5" s="33"/>
      <c r="ADM5" s="33"/>
      <c r="ADN5" s="33"/>
      <c r="ADO5" s="33"/>
      <c r="ADP5" s="33"/>
      <c r="ADQ5" s="33"/>
      <c r="ADR5" s="33"/>
      <c r="ADS5" s="33"/>
      <c r="ADT5" s="33"/>
      <c r="ADU5" s="33"/>
      <c r="ADV5" s="33"/>
      <c r="ADW5" s="33"/>
      <c r="ADX5" s="33"/>
      <c r="ADY5" s="33"/>
      <c r="ADZ5" s="33"/>
      <c r="AEA5" s="33"/>
      <c r="AEB5" s="33"/>
      <c r="AEC5" s="33"/>
      <c r="AED5" s="33"/>
      <c r="AEE5" s="33"/>
      <c r="AEF5" s="33"/>
      <c r="AEG5" s="33"/>
      <c r="AEH5" s="33"/>
      <c r="AEI5" s="33"/>
      <c r="AEJ5" s="33"/>
      <c r="AEK5" s="33"/>
      <c r="AEL5" s="33"/>
      <c r="AEM5" s="33"/>
      <c r="AEN5" s="33"/>
      <c r="AEO5" s="33"/>
      <c r="AEP5" s="33"/>
      <c r="AEQ5" s="33"/>
      <c r="AER5" s="33"/>
      <c r="AES5" s="33"/>
      <c r="AET5" s="33"/>
      <c r="AEU5" s="33"/>
      <c r="AEV5" s="33"/>
      <c r="AEW5" s="33"/>
      <c r="AEX5" s="33"/>
      <c r="AEY5" s="33"/>
      <c r="AEZ5" s="33"/>
      <c r="AFA5" s="33"/>
      <c r="AFB5" s="33"/>
      <c r="AFC5" s="33"/>
      <c r="AFD5" s="33"/>
      <c r="AFE5" s="33"/>
      <c r="AFF5" s="33"/>
      <c r="AFG5" s="33"/>
      <c r="AFH5" s="33"/>
      <c r="AFI5" s="33"/>
      <c r="AFJ5" s="33"/>
      <c r="AFK5" s="33"/>
      <c r="AFL5" s="33"/>
      <c r="AFM5" s="33"/>
      <c r="AFN5" s="33"/>
      <c r="AFO5" s="33"/>
      <c r="AFP5" s="33"/>
      <c r="AFQ5" s="33"/>
      <c r="AFR5" s="33"/>
      <c r="AFS5" s="33"/>
      <c r="AFT5" s="33"/>
      <c r="AFU5" s="33"/>
      <c r="AFV5" s="33"/>
      <c r="AFW5" s="33"/>
      <c r="AFX5" s="33"/>
      <c r="AFY5" s="33"/>
      <c r="AFZ5" s="33"/>
      <c r="AGA5" s="33"/>
      <c r="AGB5" s="33"/>
      <c r="AGC5" s="33"/>
      <c r="AGD5" s="33"/>
      <c r="AGE5" s="33"/>
      <c r="AGF5" s="33"/>
      <c r="AGG5" s="33"/>
      <c r="AGH5" s="33"/>
      <c r="AGI5" s="33"/>
      <c r="AGJ5" s="33"/>
      <c r="AGK5" s="33"/>
      <c r="AGL5" s="33"/>
      <c r="AGM5" s="33"/>
      <c r="AGN5" s="33"/>
      <c r="AGO5" s="33"/>
      <c r="AGP5" s="33"/>
      <c r="AGQ5" s="33"/>
      <c r="AGR5" s="33"/>
      <c r="AGS5" s="33"/>
      <c r="AGT5" s="33"/>
      <c r="AGU5" s="33"/>
      <c r="AGV5" s="33"/>
      <c r="AGW5" s="33"/>
      <c r="AGX5" s="33"/>
      <c r="AGY5" s="33"/>
      <c r="AGZ5" s="33"/>
      <c r="AHA5" s="33"/>
      <c r="AHB5" s="33"/>
      <c r="AHC5" s="33"/>
      <c r="AHD5" s="33"/>
      <c r="AHE5" s="33"/>
      <c r="AHF5" s="33"/>
      <c r="AHG5" s="33"/>
      <c r="AHH5" s="33"/>
      <c r="AHI5" s="33"/>
      <c r="AHJ5" s="33"/>
      <c r="AHK5" s="33"/>
      <c r="AHL5" s="33"/>
      <c r="AHM5" s="33"/>
      <c r="AHN5" s="33"/>
      <c r="AHO5" s="33"/>
      <c r="AHP5" s="33"/>
      <c r="AHQ5" s="33"/>
      <c r="AHR5" s="33"/>
      <c r="AHS5" s="33"/>
      <c r="AHT5" s="33"/>
      <c r="AHU5" s="33"/>
      <c r="AHV5" s="33"/>
      <c r="AHW5" s="33"/>
      <c r="AHX5" s="33"/>
      <c r="AHY5" s="33"/>
      <c r="AHZ5" s="33"/>
      <c r="AIA5" s="33"/>
      <c r="AIB5" s="33"/>
      <c r="AIC5" s="33"/>
      <c r="AID5" s="33"/>
      <c r="AIE5" s="33"/>
      <c r="AIF5" s="33"/>
      <c r="AIG5" s="33"/>
      <c r="AIH5" s="33"/>
      <c r="AII5" s="33"/>
      <c r="AIJ5" s="33"/>
      <c r="AIK5" s="33"/>
      <c r="AIL5" s="33"/>
      <c r="AIM5" s="33"/>
      <c r="AIN5" s="33"/>
      <c r="AIO5" s="33"/>
      <c r="AIP5" s="33"/>
      <c r="AIQ5" s="33"/>
      <c r="AIR5" s="33"/>
      <c r="AIS5" s="33"/>
      <c r="AIT5" s="33"/>
      <c r="AIU5" s="33"/>
      <c r="AIV5" s="33"/>
      <c r="AIW5" s="33"/>
      <c r="AIX5" s="33"/>
      <c r="AIY5" s="33"/>
      <c r="AIZ5" s="33"/>
      <c r="AJA5" s="33"/>
      <c r="AJB5" s="33"/>
      <c r="AJC5" s="33"/>
      <c r="AJD5" s="33"/>
      <c r="AJE5" s="33"/>
      <c r="AJF5" s="33"/>
      <c r="AJG5" s="33"/>
      <c r="AJH5" s="33"/>
      <c r="AJI5" s="33"/>
      <c r="AJJ5" s="33"/>
      <c r="AJK5" s="33"/>
      <c r="AJL5" s="33"/>
      <c r="AJM5" s="33"/>
      <c r="AJN5" s="33"/>
      <c r="AJO5" s="33"/>
      <c r="AJP5" s="33"/>
      <c r="AJQ5" s="33"/>
      <c r="AJR5" s="33"/>
      <c r="AJS5" s="33"/>
      <c r="AJT5" s="33"/>
      <c r="AJU5" s="33"/>
      <c r="AJV5" s="33"/>
      <c r="AJW5" s="33"/>
      <c r="AJX5" s="33"/>
      <c r="AJY5" s="33"/>
      <c r="AJZ5" s="33"/>
      <c r="AKA5" s="33"/>
      <c r="AKB5" s="33"/>
      <c r="AKC5" s="33"/>
      <c r="AKD5" s="33"/>
      <c r="AKE5" s="33"/>
      <c r="AKF5" s="33"/>
      <c r="AKG5" s="33"/>
      <c r="AKH5" s="33"/>
      <c r="AKI5" s="33"/>
      <c r="AKJ5" s="33"/>
      <c r="AKK5" s="33"/>
      <c r="AKL5" s="33"/>
      <c r="AKM5" s="33"/>
      <c r="AKN5" s="33"/>
      <c r="AKO5" s="33"/>
      <c r="AKP5" s="33"/>
      <c r="AKQ5" s="33"/>
      <c r="AKR5" s="33"/>
      <c r="AKS5" s="33"/>
      <c r="AKT5" s="33"/>
      <c r="AKU5" s="33"/>
      <c r="AKV5" s="33"/>
      <c r="AKW5" s="33"/>
      <c r="AKX5" s="33"/>
      <c r="AKY5" s="33"/>
      <c r="AKZ5" s="33"/>
      <c r="ALA5" s="33"/>
      <c r="ALB5" s="33"/>
      <c r="ALC5" s="33"/>
      <c r="ALD5" s="33"/>
      <c r="ALE5" s="33"/>
      <c r="ALF5" s="33"/>
      <c r="ALG5" s="33"/>
      <c r="ALH5" s="33"/>
      <c r="ALI5" s="33"/>
      <c r="ALJ5" s="33"/>
      <c r="ALK5" s="33"/>
      <c r="ALL5" s="33"/>
      <c r="ALM5" s="33"/>
      <c r="ALN5" s="33"/>
      <c r="ALO5" s="33"/>
      <c r="ALP5" s="33"/>
      <c r="ALQ5" s="33"/>
      <c r="ALR5" s="33"/>
      <c r="ALS5" s="33"/>
      <c r="ALT5" s="33"/>
      <c r="ALU5" s="33"/>
      <c r="ALV5" s="33"/>
      <c r="ALW5" s="33"/>
      <c r="ALX5" s="33"/>
      <c r="ALY5" s="33"/>
      <c r="ALZ5" s="33"/>
      <c r="AMA5" s="33"/>
      <c r="AMB5" s="33"/>
      <c r="AMC5" s="33"/>
      <c r="AMD5" s="33"/>
      <c r="AME5" s="33"/>
      <c r="AMF5" s="33"/>
      <c r="AMG5" s="33"/>
      <c r="AMH5" s="33"/>
      <c r="AMI5" s="33"/>
      <c r="AMJ5" s="33"/>
      <c r="AMK5" s="33"/>
      <c r="AML5" s="33"/>
    </row>
    <row r="6" ht="15.75" customHeight="1">
      <c r="A6" s="40" t="s">
        <v>149</v>
      </c>
      <c r="B6" s="40"/>
      <c r="C6" s="8" t="s">
        <v>52</v>
      </c>
      <c r="D6" s="40">
        <v>100.0</v>
      </c>
      <c r="E6" s="8" t="s">
        <v>58</v>
      </c>
      <c r="F6" s="8" t="s">
        <v>172</v>
      </c>
      <c r="G6" s="8">
        <v>10.0</v>
      </c>
      <c r="H6" s="8" t="s">
        <v>173</v>
      </c>
      <c r="I6" s="8"/>
      <c r="J6" s="8"/>
      <c r="K6" s="8"/>
      <c r="L6" s="8"/>
      <c r="M6" s="8"/>
      <c r="N6" s="8">
        <v>-1000.0</v>
      </c>
      <c r="O6" s="8" t="s">
        <v>174</v>
      </c>
      <c r="P6" t="s">
        <v>175</v>
      </c>
      <c r="Q6">
        <v>-1000.0</v>
      </c>
      <c r="R6" t="s">
        <v>176</v>
      </c>
      <c r="S6" t="s">
        <v>168</v>
      </c>
      <c r="T6" t="s">
        <v>154</v>
      </c>
      <c r="U6" t="s">
        <v>177</v>
      </c>
      <c r="V6" t="s">
        <v>157</v>
      </c>
      <c r="W6" t="s">
        <v>59</v>
      </c>
      <c r="X6">
        <v>1.0</v>
      </c>
      <c r="Y6">
        <v>1.0</v>
      </c>
      <c r="AF6">
        <v>100.0</v>
      </c>
      <c r="AK6">
        <v>-1000.0</v>
      </c>
      <c r="AL6">
        <v>1.0</v>
      </c>
      <c r="AM6">
        <v>1.0</v>
      </c>
      <c r="AN6" t="s">
        <v>153</v>
      </c>
      <c r="AP6" t="s">
        <v>173</v>
      </c>
      <c r="AQ6" t="s">
        <v>52</v>
      </c>
      <c r="AS6">
        <v>1.0</v>
      </c>
      <c r="AV6">
        <v>1.0</v>
      </c>
      <c r="AW6">
        <v>-1000.0</v>
      </c>
      <c r="BC6">
        <v>1.0</v>
      </c>
      <c r="BD6">
        <v>-1000.0</v>
      </c>
      <c r="BE6" t="s">
        <v>154</v>
      </c>
      <c r="BF6" t="s">
        <v>178</v>
      </c>
      <c r="BG6" t="s">
        <v>179</v>
      </c>
      <c r="BH6" t="s">
        <v>180</v>
      </c>
      <c r="BO6">
        <v>-1000.0</v>
      </c>
      <c r="BQ6" t="s">
        <v>155</v>
      </c>
      <c r="BR6" t="s">
        <v>156</v>
      </c>
      <c r="BU6" t="s">
        <v>154</v>
      </c>
      <c r="CD6">
        <v>-1000.0</v>
      </c>
      <c r="CG6">
        <v>-1000.0</v>
      </c>
      <c r="CH6">
        <v>-100.0</v>
      </c>
      <c r="CK6" t="b">
        <v>0</v>
      </c>
      <c r="CS6">
        <v>10.0</v>
      </c>
      <c r="CY6" t="s">
        <v>181</v>
      </c>
      <c r="CZ6" t="s">
        <v>182</v>
      </c>
      <c r="DD6">
        <v>100.0</v>
      </c>
      <c r="DJ6" t="s">
        <v>153</v>
      </c>
      <c r="DM6">
        <v>1.0</v>
      </c>
      <c r="DP6" t="s">
        <v>173</v>
      </c>
      <c r="DQ6" t="s">
        <v>175</v>
      </c>
      <c r="DR6" t="s">
        <v>183</v>
      </c>
      <c r="DS6" t="s">
        <v>184</v>
      </c>
      <c r="DT6" t="s">
        <v>175</v>
      </c>
      <c r="DU6" t="s">
        <v>175</v>
      </c>
      <c r="DV6" t="s">
        <v>175</v>
      </c>
      <c r="EA6" t="s">
        <v>185</v>
      </c>
      <c r="ED6" t="s">
        <v>59</v>
      </c>
      <c r="EE6" t="s">
        <v>185</v>
      </c>
      <c r="EN6" t="s">
        <v>149</v>
      </c>
      <c r="EO6" t="s">
        <v>149</v>
      </c>
      <c r="EP6" t="s">
        <v>149</v>
      </c>
      <c r="EQ6" t="s">
        <v>149</v>
      </c>
      <c r="ER6" t="s">
        <v>149</v>
      </c>
      <c r="ES6" t="s">
        <v>149</v>
      </c>
      <c r="ET6" t="s">
        <v>149</v>
      </c>
      <c r="EU6" t="s">
        <v>149</v>
      </c>
      <c r="EV6" t="s">
        <v>149</v>
      </c>
      <c r="EW6" t="s">
        <v>149</v>
      </c>
      <c r="EX6" t="s">
        <v>149</v>
      </c>
      <c r="EY6" t="s">
        <v>149</v>
      </c>
      <c r="EZ6" t="s">
        <v>149</v>
      </c>
      <c r="FA6" t="s">
        <v>149</v>
      </c>
      <c r="FB6" t="s">
        <v>149</v>
      </c>
      <c r="FC6" t="s">
        <v>186</v>
      </c>
      <c r="FH6">
        <v>300.0</v>
      </c>
      <c r="FI6" t="s">
        <v>149</v>
      </c>
      <c r="FK6" t="s">
        <v>149</v>
      </c>
      <c r="FL6" t="s">
        <v>149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149</v>
      </c>
      <c r="B7" s="8"/>
      <c r="C7" s="8" t="s">
        <v>52</v>
      </c>
      <c r="D7" s="8">
        <v>200.0</v>
      </c>
      <c r="E7" s="8" t="s">
        <v>58</v>
      </c>
      <c r="F7" s="8" t="s">
        <v>172</v>
      </c>
      <c r="G7" s="8">
        <v>10.0</v>
      </c>
      <c r="H7" s="8" t="s">
        <v>173</v>
      </c>
      <c r="I7" s="8"/>
      <c r="J7" s="8"/>
      <c r="K7" s="8"/>
      <c r="L7" s="8"/>
      <c r="M7" s="8"/>
      <c r="N7" s="8">
        <v>-2000.0</v>
      </c>
      <c r="O7" s="8" t="s">
        <v>174</v>
      </c>
      <c r="P7" t="s">
        <v>175</v>
      </c>
      <c r="Q7">
        <v>-2000.0</v>
      </c>
      <c r="R7" t="s">
        <v>176</v>
      </c>
      <c r="S7" t="s">
        <v>168</v>
      </c>
      <c r="T7" t="s">
        <v>154</v>
      </c>
      <c r="U7" t="s">
        <v>177</v>
      </c>
      <c r="V7" t="s">
        <v>157</v>
      </c>
      <c r="W7" t="s">
        <v>59</v>
      </c>
      <c r="X7">
        <v>1.0</v>
      </c>
      <c r="Y7">
        <v>1.0</v>
      </c>
      <c r="AF7">
        <v>200.0</v>
      </c>
      <c r="AK7">
        <v>-2000.0</v>
      </c>
      <c r="AL7">
        <v>1.0</v>
      </c>
      <c r="AM7">
        <v>1.0</v>
      </c>
      <c r="AN7" t="s">
        <v>153</v>
      </c>
      <c r="AP7" t="s">
        <v>173</v>
      </c>
      <c r="AQ7" t="s">
        <v>52</v>
      </c>
      <c r="AS7">
        <v>1.0</v>
      </c>
      <c r="AV7">
        <v>1.0</v>
      </c>
      <c r="AW7">
        <v>-2000.0</v>
      </c>
      <c r="BC7">
        <v>1.0</v>
      </c>
      <c r="BD7">
        <v>-2000.0</v>
      </c>
      <c r="BE7" t="s">
        <v>154</v>
      </c>
      <c r="BF7" t="s">
        <v>178</v>
      </c>
      <c r="BG7" t="s">
        <v>179</v>
      </c>
      <c r="BH7" t="s">
        <v>180</v>
      </c>
      <c r="BO7">
        <v>-2000.0</v>
      </c>
      <c r="BQ7" t="s">
        <v>155</v>
      </c>
      <c r="BR7" t="s">
        <v>156</v>
      </c>
      <c r="BU7" t="s">
        <v>154</v>
      </c>
      <c r="CD7">
        <v>-2000.0</v>
      </c>
      <c r="CG7">
        <v>-2000.0</v>
      </c>
      <c r="CH7">
        <v>-100.0</v>
      </c>
      <c r="CK7" t="b">
        <v>0</v>
      </c>
      <c r="CS7">
        <v>10.0</v>
      </c>
      <c r="CY7" t="s">
        <v>181</v>
      </c>
      <c r="CZ7" t="s">
        <v>182</v>
      </c>
      <c r="DD7">
        <v>200.0</v>
      </c>
      <c r="DJ7" t="s">
        <v>153</v>
      </c>
      <c r="DM7">
        <v>1.0</v>
      </c>
      <c r="DP7" t="s">
        <v>173</v>
      </c>
      <c r="DQ7" t="s">
        <v>175</v>
      </c>
      <c r="DR7" t="s">
        <v>183</v>
      </c>
      <c r="DS7" t="s">
        <v>184</v>
      </c>
      <c r="DT7" t="s">
        <v>175</v>
      </c>
      <c r="DU7" t="s">
        <v>175</v>
      </c>
      <c r="DV7" t="s">
        <v>175</v>
      </c>
      <c r="EA7" t="s">
        <v>185</v>
      </c>
      <c r="ED7" t="s">
        <v>59</v>
      </c>
      <c r="EE7" t="s">
        <v>185</v>
      </c>
      <c r="EN7" t="s">
        <v>149</v>
      </c>
      <c r="EO7" t="s">
        <v>149</v>
      </c>
      <c r="EP7" t="s">
        <v>149</v>
      </c>
      <c r="EQ7" t="s">
        <v>149</v>
      </c>
      <c r="ER7" t="s">
        <v>149</v>
      </c>
      <c r="ES7" t="s">
        <v>149</v>
      </c>
      <c r="ET7" t="s">
        <v>149</v>
      </c>
      <c r="EU7" t="s">
        <v>149</v>
      </c>
      <c r="EV7" t="s">
        <v>149</v>
      </c>
      <c r="EW7" t="s">
        <v>149</v>
      </c>
      <c r="EX7" t="s">
        <v>149</v>
      </c>
      <c r="EY7" t="s">
        <v>149</v>
      </c>
      <c r="EZ7" t="s">
        <v>149</v>
      </c>
      <c r="FA7" t="s">
        <v>149</v>
      </c>
      <c r="FB7" t="s">
        <v>149</v>
      </c>
      <c r="FC7" t="s">
        <v>186</v>
      </c>
      <c r="FH7">
        <v>300.0</v>
      </c>
      <c r="FI7" t="s">
        <v>149</v>
      </c>
      <c r="FK7" t="s">
        <v>149</v>
      </c>
      <c r="FL7" t="s">
        <v>149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187</v>
      </c>
      <c r="D3" s="5" t="s">
        <v>9</v>
      </c>
      <c r="E3" s="22" t="s">
        <v>188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IFERROR(__xludf.DUMMYFUNCTION("""COMPUTED_VALUE"""),"LoginUserName")</f>
        <v>LoginUserName</v>
      </c>
      <c r="C5" s="31" t="str">
        <f>IFERROR(__xludf.DUMMYFUNCTION("""COMPUTED_VALUE"""),"LoginPassword")</f>
        <v>LoginPassword</v>
      </c>
      <c r="D5" s="31"/>
      <c r="E5" s="31"/>
      <c r="F5" s="32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189</v>
      </c>
      <c r="C6" s="12" t="s">
        <v>190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191</v>
      </c>
      <c r="D3" s="5" t="s">
        <v>9</v>
      </c>
      <c r="E3" s="22" t="s">
        <v>192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IFERROR(__xludf.DUMMYFUNCTION("""COMPUTED_VALUE"""),"OpenWindow")</f>
        <v>OpenWindow</v>
      </c>
      <c r="C5" s="31" t="str">
        <f>IFERROR(__xludf.DUMMYFUNCTION("""COMPUTED_VALUE"""),"TabName")</f>
        <v>TabName</v>
      </c>
      <c r="D5" s="31" t="str">
        <f>IFERROR(__xludf.DUMMYFUNCTION("""COMPUTED_VALUE"""),"Description")</f>
        <v>Description</v>
      </c>
      <c r="E5" s="31" t="str">
        <f>IFERROR(__xludf.DUMMYFUNCTION("""COMPUTED_VALUE"""),"Save?")</f>
        <v>Save?</v>
      </c>
      <c r="F5" s="32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193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191</v>
      </c>
      <c r="D3" s="5" t="s">
        <v>9</v>
      </c>
      <c r="E3" s="22" t="s">
        <v>194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IFERROR(__xludf.DUMMYFUNCTION("""COMPUTED_VALUE"""),"Security Name")</f>
        <v>Security Name</v>
      </c>
      <c r="D5" s="31" t="str">
        <f>IFERROR(__xludf.DUMMYFUNCTION("""COMPUTED_VALUE"""),"Fund")</f>
        <v>Fund</v>
      </c>
      <c r="E5" s="31" t="str">
        <f>IFERROR(__xludf.DUMMYFUNCTION("""COMPUTED_VALUE"""),"Account")</f>
        <v>Account</v>
      </c>
      <c r="F5" s="32" t="str">
        <f>IFERROR(__xludf.DUMMYFUNCTION("""COMPUTED_VALUE"""),"Asset Class")</f>
        <v>Asset Class</v>
      </c>
      <c r="G5" s="31" t="str">
        <f>IFERROR(__xludf.DUMMYFUNCTION("""COMPUTED_VALUE"""),"Position")</f>
        <v>Position</v>
      </c>
      <c r="H5" s="31" t="str">
        <f>IFERROR(__xludf.DUMMYFUNCTION("""COMPUTED_VALUE"""),"Position Side")</f>
        <v>Position Side</v>
      </c>
      <c r="I5" s="31" t="str">
        <f>IFERROR(__xludf.DUMMYFUNCTION("""COMPUTED_VALUE"""),"Px Selected Feed (Local)")</f>
        <v>Px Selected Feed (Local)</v>
      </c>
      <c r="J5" s="31" t="str">
        <f>IFERROR(__xludf.DUMMYFUNCTION("""COMPUTED_VALUE"""),"Px Selected Feed (Base)")</f>
        <v>Px Selected Feed (Base)</v>
      </c>
      <c r="K5" s="31" t="str">
        <f>IFERROR(__xludf.DUMMYFUNCTION("""COMPUTED_VALUE"""),"Market Value (Base)")</f>
        <v>Market Value (Base)</v>
      </c>
      <c r="L5" s="31" t="str">
        <f>IFERROR(__xludf.DUMMYFUNCTION("""COMPUTED_VALUE"""),"% Net Market Value (Base)")</f>
        <v>% Net Market Value (Base)</v>
      </c>
      <c r="M5" s="31" t="str">
        <f>IFERROR(__xludf.DUMMYFUNCTION("""COMPUTED_VALUE"""),"Cost Basis P&amp;L (Base)")</f>
        <v>Cost Basis P&amp;L (Base)</v>
      </c>
      <c r="N5" s="31" t="str">
        <f>IFERROR(__xludf.DUMMYFUNCTION("""COMPUTED_VALUE"""),"% Gain/Loss Cost")</f>
        <v>% Gain/Loss Cost</v>
      </c>
      <c r="O5" s="31" t="str">
        <f>IFERROR(__xludf.DUMMYFUNCTION("""COMPUTED_VALUE"""),"Day P&amp;L (Base)")</f>
        <v>Day P&amp;L (Base)</v>
      </c>
      <c r="P5" s="31" t="str">
        <f>IFERROR(__xludf.DUMMYFUNCTION("""COMPUTED_VALUE"""),"% Gain/Loss Day")</f>
        <v>% Gain/Loss Day</v>
      </c>
      <c r="Q5" s="31" t="str">
        <f>IFERROR(__xludf.DUMMYFUNCTION("""COMPUTED_VALUE"""),"Exposure (Base)")</f>
        <v>Exposure (Base)</v>
      </c>
      <c r="R5" s="31" t="str">
        <f>IFERROR(__xludf.DUMMYFUNCTION("""COMPUTED_VALUE"""),"% Exposure (Base)")</f>
        <v>% Exposure (Base)</v>
      </c>
      <c r="S5" s="31" t="str">
        <f>IFERROR(__xludf.DUMMYFUNCTION("""COMPUTED_VALUE"""),"Live Feed Provider Ticker")</f>
        <v>Live Feed Provider Ticker</v>
      </c>
      <c r="T5" s="33" t="str">
        <f>IFERROR(__xludf.DUMMYFUNCTION("""COMPUTED_VALUE"""),"Testing Type")</f>
        <v>Testing Type</v>
      </c>
      <c r="U5" s="33" t="str">
        <f>IFERROR(__xludf.DUMMYFUNCTION("""COMPUTED_VALUE"""),"Testing Column")</f>
        <v>Testing Column</v>
      </c>
      <c r="V5" s="33" t="str">
        <f>IFERROR(__xludf.DUMMYFUNCTION("""COMPUTED_VALUE"""),"Testing Col Value")</f>
        <v>Testing Col Value</v>
      </c>
      <c r="W5" s="33" t="str">
        <f>IFERROR(__xludf.DUMMYFUNCTION("""COMPUTED_VALUE"""),"DuplicateCountOnUI")</f>
        <v>DuplicateCountOnUI</v>
      </c>
      <c r="X5" s="33" t="str">
        <f>IFERROR(__xludf.DUMMYFUNCTION("""COMPUTED_VALUE"""),"DuplicateRow")</f>
        <v>DuplicateRow</v>
      </c>
      <c r="Y5" s="33" t="str">
        <f>IFERROR(__xludf.DUMMYFUNCTION("""COMPUTED_VALUE"""),"TabName")</f>
        <v>TabName</v>
      </c>
      <c r="Z5" s="33" t="str">
        <f>IFERROR(__xludf.DUMMYFUNCTION("""COMPUTED_VALUE"""),"GridDataWidgetName")</f>
        <v>GridDataWidgetName</v>
      </c>
      <c r="AA5" s="33" t="str">
        <f>IFERROR(__xludf.DUMMYFUNCTION("""COMPUTED_VALUE"""),"Bloomberg Symbol")</f>
        <v>Bloomberg Symbol</v>
      </c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52</v>
      </c>
      <c r="C6" s="8"/>
      <c r="D6" s="12" t="s">
        <v>172</v>
      </c>
      <c r="E6" s="12" t="s">
        <v>58</v>
      </c>
      <c r="F6" s="12" t="s">
        <v>154</v>
      </c>
      <c r="G6" s="12">
        <v>300.0</v>
      </c>
      <c r="H6" s="12" t="s">
        <v>173</v>
      </c>
      <c r="I6" s="12">
        <v>10.0</v>
      </c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