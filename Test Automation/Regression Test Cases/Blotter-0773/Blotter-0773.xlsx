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Order" sheetId="5" r:id="rId7"/>
    <sheet state="visible" name="CreateReplaceOrder" sheetId="6" r:id="rId8"/>
    <sheet state="visible" name="TradeNewSubOrder" sheetId="7" r:id="rId9"/>
    <sheet state="visible" name="CreateNewSubOrder" sheetId="8" r:id="rId10"/>
    <sheet state="visible" name="ReloadOrderFromBlotter" sheetId="9" r:id="rId11"/>
    <sheet state="visible" name="CustomOrderTT1" sheetId="10" r:id="rId12"/>
    <sheet state="visible" name="SelectTradeOnOrderGrid" sheetId="11" r:id="rId13"/>
    <sheet state="visible" name="ReloadOrderFromSubOrder" sheetId="12" r:id="rId14"/>
    <sheet state="visible" name="VerifyBlotter" sheetId="13" r:id="rId15"/>
    <sheet state="visible" name="VerifyWorkingSubs" sheetId="14" r:id="rId16"/>
    <sheet state="visible" name="CheckAllocatedGroups" sheetId="15" r:id="rId17"/>
    <sheet state="visible" name="OpenRTPNL" sheetId="16" r:id="rId18"/>
    <sheet state="visible" name="CheckRealTimeSymAccountMonitor" sheetId="17" r:id="rId19"/>
  </sheets>
  <definedNames/>
  <calcPr/>
</workbook>
</file>

<file path=xl/sharedStrings.xml><?xml version="1.0" encoding="utf-8"?>
<sst xmlns="http://schemas.openxmlformats.org/spreadsheetml/2006/main" count="2726" uniqueCount="146">
  <si>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</si>
  <si>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</si>
  <si>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</si>
  <si>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</si>
  <si>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</si>
  <si>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</si>
  <si>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</si>
  <si>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</si>
  <si>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</si>
  <si>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</si>
  <si>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</si>
  <si>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</si>
  <si>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</si>
  <si>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</si>
  <si>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</si>
  <si>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</si>
  <si>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</si>
  <si>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</si>
  <si>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</si>
  <si>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</si>
  <si>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</si>
  <si>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</si>
  <si>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</si>
  <si>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</si>
  <si>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</si>
  <si>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</si>
  <si>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</si>
  <si>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</si>
  <si>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</si>
  <si>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</si>
  <si>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</si>
  <si>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</si>
  <si>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</si>
  <si>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</si>
  <si>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</si>
  <si>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</si>
  <si>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</si>
  <si>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</si>
  <si>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</si>
  <si>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</si>
  <si>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</si>
  <si>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</si>
  <si>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</si>
  <si>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</si>
  <si>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</si>
  <si>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</si>
  <si>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</si>
  <si>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</si>
  <si>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</si>
  <si>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</si>
  <si>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</si>
  <si>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DoneAway</t>
  </si>
  <si>
    <t>Yes</t>
  </si>
  <si>
    <t>MSFT</t>
  </si>
  <si>
    <t>CreateOrder</t>
  </si>
  <si>
    <t>GOOG</t>
  </si>
  <si>
    <t>IBM</t>
  </si>
  <si>
    <t>Blotter</t>
  </si>
  <si>
    <t>EditOrder</t>
  </si>
  <si>
    <t>CreateReplaceOrder</t>
  </si>
  <si>
    <t>TradeNewSubOrder</t>
  </si>
  <si>
    <t>CreateNewSubOrder</t>
  </si>
  <si>
    <t>ReloadOrderFromBlotter</t>
  </si>
  <si>
    <t>SelectTradeOnOrderGrid</t>
  </si>
  <si>
    <t>ReloadOrderFromSubOrder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</si>
  <si>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</si>
  <si>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</si>
  <si>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</si>
  <si>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</si>
  <si>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</si>
  <si>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</si>
  <si>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</si>
  <si>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</si>
  <si>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</si>
  <si>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</si>
  <si>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</si>
  <si>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</si>
  <si>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</si>
  <si>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</si>
  <si>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</si>
  <si>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</si>
  <si>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</si>
  <si>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</si>
  <si>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</si>
  <si>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</si>
  <si>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</si>
  <si>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</si>
  <si>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</si>
  <si>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</si>
  <si>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</si>
  <si>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</si>
  <si>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</si>
  <si>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</si>
  <si>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</si>
  <si>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</si>
  <si>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</si>
  <si>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</si>
  <si>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</si>
  <si>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</si>
  <si>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</si>
  <si>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</si>
  <si>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</si>
  <si>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</si>
  <si>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</si>
  <si>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</si>
  <si>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</si>
  <si>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</si>
  <si>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Replaced</t>
  </si>
  <si>
    <t>Manual</t>
  </si>
  <si>
    <t>AAPL US EQUITY</t>
  </si>
  <si>
    <t>Allocation1</t>
  </si>
  <si>
    <t>Buy</t>
  </si>
  <si>
    <t>EquitySwap</t>
  </si>
  <si>
    <t>Samsara</t>
  </si>
  <si>
    <t>MS</t>
  </si>
  <si>
    <t>NASDAQ</t>
  </si>
  <si>
    <t>Filled</t>
  </si>
  <si>
    <t>MSFT US EQUITY</t>
  </si>
  <si>
    <t>GOOG US EQUITY</t>
  </si>
  <si>
    <t>Equity</t>
  </si>
  <si>
    <t>IBM US EQUITY</t>
  </si>
  <si>
    <t>VerifyWorkingSubs</t>
  </si>
  <si>
    <t>Market</t>
  </si>
  <si>
    <t>N.A.</t>
  </si>
  <si>
    <t>GCCAP1</t>
  </si>
  <si>
    <t>Allocation</t>
  </si>
  <si>
    <t>CheckAllocatedGroups</t>
  </si>
  <si>
    <t>Actual_365</t>
  </si>
  <si>
    <t>Treasury</t>
  </si>
  <si>
    <t>Open</t>
  </si>
  <si>
    <t>APPLE</t>
  </si>
  <si>
    <t>USD</t>
  </si>
  <si>
    <t>M</t>
  </si>
  <si>
    <t>None</t>
  </si>
  <si>
    <t>InternalOrder</t>
  </si>
  <si>
    <t>Strategy Unallocated</t>
  </si>
  <si>
    <t>US</t>
  </si>
  <si>
    <t>NONE</t>
  </si>
  <si>
    <t>NewMF</t>
  </si>
  <si>
    <t>GOOGLE-A</t>
  </si>
  <si>
    <t>MICROSOFT INC</t>
  </si>
  <si>
    <t>NYSE</t>
  </si>
  <si>
    <t>RTPNL</t>
  </si>
  <si>
    <t>OpenRTPNL</t>
  </si>
  <si>
    <t>Nirvana,PM</t>
  </si>
  <si>
    <t>CheckRealTimeSymAccountMonitor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</si>
</sst>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5" fontId="14" numFmtId="0" xfId="0" applyAlignment="1" applyFont="1">
      <alignment readingOrder="0"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6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6" numFmtId="4" xfId="0" applyAlignment="1" applyBorder="1" applyFill="1" applyFont="1" applyNumberFormat="1">
      <alignment horizontal="right" vertical="bottom"/>
    </xf>
    <xf borderId="5" fillId="6" fontId="16" numFmtId="0" xfId="0" applyAlignment="1" applyBorder="1" applyFont="1">
      <alignment horizontal="right" vertical="bottom"/>
    </xf>
    <xf borderId="5" fillId="7" fontId="16" numFmtId="0" xfId="0" applyAlignment="1" applyBorder="1" applyFont="1">
      <alignment horizontal="right" vertical="bottom"/>
    </xf>
    <xf borderId="5" fillId="7" fontId="16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1" t="s">
        <v>49</v>
      </c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13"/>
      <c r="B6" s="13" t="s">
        <v>50</v>
      </c>
      <c r="C6" s="13">
        <v>100.0</v>
      </c>
      <c r="D6" s="13">
        <v>10.0</v>
      </c>
      <c r="E6" s="13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52</v>
      </c>
    </row>
    <row r="7" ht="15.75" customHeight="1">
      <c r="A7" s="13"/>
      <c r="B7" s="13" t="s">
        <v>53</v>
      </c>
      <c r="C7" s="13">
        <v>100.0</v>
      </c>
      <c r="D7" s="13">
        <v>10.0</v>
      </c>
      <c r="E7" s="13" t="s">
        <v>54</v>
      </c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52</v>
      </c>
    </row>
    <row r="8" ht="15.75" customHeight="1">
      <c r="A8" s="8"/>
      <c r="B8" s="13" t="s">
        <v>55</v>
      </c>
      <c r="C8" s="13">
        <v>100.0</v>
      </c>
      <c r="D8" s="13">
        <v>10.0</v>
      </c>
      <c r="E8" s="13" t="s">
        <v>51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56</v>
      </c>
      <c r="C9" s="13">
        <v>100.0</v>
      </c>
      <c r="D9" s="13">
        <v>10.0</v>
      </c>
      <c r="E9" s="13" t="s">
        <v>51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IFERROR(__xludf.DUMMYFUNCTION("""COMPUTED_VALUE"""),"Transaction Time")</f>
        <v>Transaction Time</v>
      </c>
      <c r="C5" s="33" t="str">
        <f>IFERROR(__xludf.DUMMYFUNCTION("""COMPUTED_VALUE"""),"Algo")</f>
        <v>Algo</v>
      </c>
      <c r="D5" s="33" t="str">
        <f>IFERROR(__xludf.DUMMYFUNCTION("""COMPUTED_VALUE"""),"Avg Fill Price (Base)")</f>
        <v>Avg Fill Price (Base)</v>
      </c>
      <c r="E5" s="33" t="str">
        <f>IFERROR(__xludf.DUMMYFUNCTION("""COMPUTED_VALUE"""),"Bloomberg Symbol")</f>
        <v>Bloomberg Symbol</v>
      </c>
      <c r="F5" s="34" t="str">
        <f>IFERROR(__xludf.DUMMYFUNCTION("""COMPUTED_VALUE"""),"Limit Price")</f>
        <v>Limit Price</v>
      </c>
      <c r="G5" s="33" t="str">
        <f>IFERROR(__xludf.DUMMYFUNCTION("""COMPUTED_VALUE"""),"Working Qty")</f>
        <v>Working Qty</v>
      </c>
      <c r="H5" s="33" t="str">
        <f>IFERROR(__xludf.DUMMYFUNCTION("""COMPUTED_VALUE"""),"Venue")</f>
        <v>Venue</v>
      </c>
      <c r="I5" s="33" t="str">
        <f>IFERROR(__xludf.DUMMYFUNCTION("""COMPUTED_VALUE"""),"User")</f>
        <v>User</v>
      </c>
      <c r="J5" s="33" t="str">
        <f>IFERROR(__xludf.DUMMYFUNCTION("""COMPUTED_VALUE"""),"Underlying Symbol")</f>
        <v>Underlying Symbol</v>
      </c>
      <c r="K5" s="33" t="str">
        <f>IFERROR(__xludf.DUMMYFUNCTION("""COMPUTED_VALUE"""),"Underlying Country")</f>
        <v>Underlying Country</v>
      </c>
      <c r="L5" s="33" t="str">
        <f>IFERROR(__xludf.DUMMYFUNCTION("""COMPUTED_VALUE"""),"Trader")</f>
        <v>Trader</v>
      </c>
      <c r="M5" s="33" t="str">
        <f>IFERROR(__xludf.DUMMYFUNCTION("""COMPUTED_VALUE"""),"Trade Attribute 6")</f>
        <v>Trade Attribute 6</v>
      </c>
      <c r="N5" s="33" t="str">
        <f>IFERROR(__xludf.DUMMYFUNCTION("""COMPUTED_VALUE"""),"Trade Attribute 5")</f>
        <v>Trade Attribute 5</v>
      </c>
      <c r="O5" s="33" t="str">
        <f>IFERROR(__xludf.DUMMYFUNCTION("""COMPUTED_VALUE"""),"Trade Attribute 4")</f>
        <v>Trade Attribute 4</v>
      </c>
      <c r="P5" s="33" t="str">
        <f>IFERROR(__xludf.DUMMYFUNCTION("""COMPUTED_VALUE"""),"Trade Attribute 3")</f>
        <v>Trade Attribute 3</v>
      </c>
      <c r="Q5" s="33" t="str">
        <f>IFERROR(__xludf.DUMMYFUNCTION("""COMPUTED_VALUE"""),"Trade Attribute 1")</f>
        <v>Trade Attribute 1</v>
      </c>
      <c r="R5" s="33" t="str">
        <f>IFERROR(__xludf.DUMMYFUNCTION("""COMPUTED_VALUE"""),"Trade Attribute 2")</f>
        <v>Trade Attribute 2</v>
      </c>
      <c r="S5" s="33" t="str">
        <f>IFERROR(__xludf.DUMMYFUNCTION("""COMPUTED_VALUE"""),"Strike Price")</f>
        <v>Strike Price</v>
      </c>
      <c r="T5" s="35" t="str">
        <f>IFERROR(__xludf.DUMMYFUNCTION("""COMPUTED_VALUE"""),"Stop Price")</f>
        <v>Stop Price</v>
      </c>
      <c r="U5" s="35" t="str">
        <f>IFERROR(__xludf.DUMMYFUNCTION("""COMPUTED_VALUE"""),"Settlement Currency")</f>
        <v>Settlement Currency</v>
      </c>
      <c r="V5" s="35" t="str">
        <f>IFERROR(__xludf.DUMMYFUNCTION("""COMPUTED_VALUE"""),"Put/Call")</f>
        <v>Put/Call</v>
      </c>
      <c r="W5" s="35" t="str">
        <f>IFERROR(__xludf.DUMMYFUNCTION("""COMPUTED_VALUE"""),"Process Date")</f>
        <v>Process Date</v>
      </c>
      <c r="X5" s="35" t="str">
        <f>IFERROR(__xludf.DUMMYFUNCTION("""COMPUTED_VALUE"""),"Peg")</f>
        <v>Peg</v>
      </c>
      <c r="Y5" s="35" t="str">
        <f>IFERROR(__xludf.DUMMYFUNCTION("""COMPUTED_VALUE"""),"ParentClOrderID")</f>
        <v>ParentClOrderID</v>
      </c>
      <c r="Z5" s="35" t="str">
        <f>IFERROR(__xludf.DUMMYFUNCTION("""COMPUTED_VALUE"""),"OrderID")</f>
        <v>OrderID</v>
      </c>
      <c r="AA5" s="35" t="str">
        <f>IFERROR(__xludf.DUMMYFUNCTION("""COMPUTED_VALUE"""),"Master Fund")</f>
        <v>Master Fund</v>
      </c>
      <c r="AB5" s="35" t="str">
        <f>IFERROR(__xludf.DUMMYFUNCTION("""COMPUTED_VALUE"""),"Last Shares")</f>
        <v>Last Shares</v>
      </c>
      <c r="AC5" s="35" t="str">
        <f>IFERROR(__xludf.DUMMYFUNCTION("""COMPUTED_VALUE"""),"Internal Comments")</f>
        <v>Internal Comments</v>
      </c>
      <c r="AD5" s="35" t="str">
        <f>IFERROR(__xludf.DUMMYFUNCTION("""COMPUTED_VALUE"""),"FX Rate")</f>
        <v>FX Rate</v>
      </c>
      <c r="AE5" s="35" t="str">
        <f>IFERROR(__xludf.DUMMYFUNCTION("""COMPUTED_VALUE"""),"Imported File Name")</f>
        <v>Imported File Name</v>
      </c>
      <c r="AF5" s="35" t="str">
        <f>IFERROR(__xludf.DUMMYFUNCTION("""COMPUTED_VALUE"""),"FX Conversion Operator")</f>
        <v>FX Conversion Operator</v>
      </c>
      <c r="AG5" s="35" t="str">
        <f>IFERROR(__xludf.DUMMYFUNCTION("""COMPUTED_VALUE"""),"Day Average Price")</f>
        <v>Day Average Price</v>
      </c>
      <c r="AH5" s="35" t="str">
        <f>IFERROR(__xludf.DUMMYFUNCTION("""COMPUTED_VALUE"""),"Asset Class")</f>
        <v>Asset Class</v>
      </c>
      <c r="AI5" s="35" t="str">
        <f>IFERROR(__xludf.DUMMYFUNCTION("""COMPUTED_VALUE"""),"Symbol")</f>
        <v>Symbol</v>
      </c>
      <c r="AJ5" s="35" t="str">
        <f>IFERROR(__xludf.DUMMYFUNCTION("""COMPUTED_VALUE"""),"Side")</f>
        <v>Side</v>
      </c>
      <c r="AK5" s="35" t="str">
        <f>IFERROR(__xludf.DUMMYFUNCTION("""COMPUTED_VALUE"""),"Status")</f>
        <v>Status</v>
      </c>
      <c r="AL5" s="35" t="str">
        <f>IFERROR(__xludf.DUMMYFUNCTION("""COMPUTED_VALUE"""),"Target Qty")</f>
        <v>Target Qty</v>
      </c>
      <c r="AM5" s="35" t="str">
        <f>IFERROR(__xludf.DUMMYFUNCTION("""COMPUTED_VALUE"""),"Total Executed Qty")</f>
        <v>Total Executed Qty</v>
      </c>
      <c r="AN5" s="35" t="str">
        <f>IFERROR(__xludf.DUMMYFUNCTION("""COMPUTED_VALUE"""),"% Executed")</f>
        <v>% Executed</v>
      </c>
      <c r="AO5" s="35" t="str">
        <f>IFERROR(__xludf.DUMMYFUNCTION("""COMPUTED_VALUE"""),"Day Executed Qty")</f>
        <v>Day Executed Qty</v>
      </c>
      <c r="AP5" s="35" t="str">
        <f>IFERROR(__xludf.DUMMYFUNCTION("""COMPUTED_VALUE"""),"Uncommitted Qty")</f>
        <v>Uncommitted Qty</v>
      </c>
      <c r="AQ5" s="35" t="str">
        <f>IFERROR(__xludf.DUMMYFUNCTION("""COMPUTED_VALUE"""),"Last Fill Price (Local)")</f>
        <v>Last Fill Price (Local)</v>
      </c>
      <c r="AR5" s="35" t="str">
        <f>IFERROR(__xludf.DUMMYFUNCTION("""COMPUTED_VALUE"""),"Avg Fill Price (Local)")</f>
        <v>Avg Fill Price (Local)</v>
      </c>
      <c r="AS5" s="35" t="str">
        <f>IFERROR(__xludf.DUMMYFUNCTION("""COMPUTED_VALUE"""),"Broker")</f>
        <v>Broker</v>
      </c>
      <c r="AT5" s="35" t="str">
        <f>IFERROR(__xludf.DUMMYFUNCTION("""COMPUTED_VALUE"""),"Account")</f>
        <v>Account</v>
      </c>
      <c r="AU5" s="35" t="str">
        <f>IFERROR(__xludf.DUMMYFUNCTION("""COMPUTED_VALUE"""),"Order Type")</f>
        <v>Order Type</v>
      </c>
      <c r="AV5" s="35" t="str">
        <f>IFERROR(__xludf.DUMMYFUNCTION("""COMPUTED_VALUE"""),"Principal Amount (Local)")</f>
        <v>Principal Amount (Local)</v>
      </c>
      <c r="AW5" s="35" t="str">
        <f>IFERROR(__xludf.DUMMYFUNCTION("""COMPUTED_VALUE"""),"Principal Amount (Base)")</f>
        <v>Principal Amount (Base)</v>
      </c>
      <c r="AX5" s="35" t="str">
        <f>IFERROR(__xludf.DUMMYFUNCTION("""COMPUTED_VALUE"""),"Allocation Scheme Name")</f>
        <v>Allocation Scheme Name</v>
      </c>
      <c r="AY5" s="35" t="str">
        <f>IFERROR(__xludf.DUMMYFUNCTION("""COMPUTED_VALUE"""),"Status (With Rollover)")</f>
        <v>Status (With Rollover)</v>
      </c>
      <c r="AZ5" s="35" t="str">
        <f>IFERROR(__xludf.DUMMYFUNCTION("""COMPUTED_VALUE"""),"Start of Day Qty")</f>
        <v>Start of Day Qty</v>
      </c>
      <c r="BA5" s="35" t="str">
        <f>IFERROR(__xludf.DUMMYFUNCTION("""COMPUTED_VALUE"""),"Leaves")</f>
        <v>Leaves</v>
      </c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IFERROR(__xludf.DUMMYFUNCTION("""COMPUTED_VALUE"""),"Symbol")</f>
        <v>Symbol</v>
      </c>
      <c r="C5" s="33" t="str">
        <f>IFERROR(__xludf.DUMMYFUNCTION("""COMPUTED_VALUE"""),"Order Side")</f>
        <v>Order Side</v>
      </c>
      <c r="D5" s="33" t="str">
        <f>IFERROR(__xludf.DUMMYFUNCTION("""COMPUTED_VALUE"""),"Quantity")</f>
        <v>Quantity</v>
      </c>
      <c r="E5" s="33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33" t="str">
        <f>IFERROR(__xludf.DUMMYFUNCTION("""COMPUTED_VALUE"""),"Broker")</f>
        <v>Broker</v>
      </c>
      <c r="H5" s="33" t="str">
        <f>IFERROR(__xludf.DUMMYFUNCTION("""COMPUTED_VALUE"""),"TIF")</f>
        <v>TIF</v>
      </c>
      <c r="I5" s="33" t="str">
        <f>IFERROR(__xludf.DUMMYFUNCTION("""COMPUTED_VALUE"""),"Order Type")</f>
        <v>Order Type</v>
      </c>
      <c r="J5" s="33" t="str">
        <f>IFERROR(__xludf.DUMMYFUNCTION("""COMPUTED_VALUE"""),"Price")</f>
        <v>Price</v>
      </c>
      <c r="K5" s="33" t="str">
        <f>IFERROR(__xludf.DUMMYFUNCTION("""COMPUTED_VALUE"""),"Stop")</f>
        <v>Stop</v>
      </c>
      <c r="L5" s="33" t="str">
        <f>IFERROR(__xludf.DUMMYFUNCTION("""COMPUTED_VALUE"""),"Limit")</f>
        <v>Limit</v>
      </c>
      <c r="M5" s="33" t="str">
        <f>IFERROR(__xludf.DUMMYFUNCTION("""COMPUTED_VALUE"""),"Strategy")</f>
        <v>Strategy</v>
      </c>
      <c r="N5" s="33" t="str">
        <f>IFERROR(__xludf.DUMMYFUNCTION("""COMPUTED_VALUE"""),"Trade Date")</f>
        <v>Trade Date</v>
      </c>
      <c r="O5" s="33" t="str">
        <f>IFERROR(__xludf.DUMMYFUNCTION("""COMPUTED_VALUE"""),"FxRate")</f>
        <v>FxRate</v>
      </c>
      <c r="P5" s="33" t="str">
        <f>IFERROR(__xludf.DUMMYFUNCTION("""COMPUTED_VALUE"""),"Notes")</f>
        <v>Notes</v>
      </c>
      <c r="Q5" s="33" t="str">
        <f>IFERROR(__xludf.DUMMYFUNCTION("""COMPUTED_VALUE"""),"Broker Notes")</f>
        <v>Broker Notes</v>
      </c>
      <c r="R5" s="33" t="str">
        <f>IFERROR(__xludf.DUMMYFUNCTION("""COMPUTED_VALUE"""),"CommissionBasis")</f>
        <v>CommissionBasis</v>
      </c>
      <c r="S5" s="33" t="str">
        <f>IFERROR(__xludf.DUMMYFUNCTION("""COMPUTED_VALUE"""),"CommissionRate")</f>
        <v>CommissionRate</v>
      </c>
      <c r="T5" s="35" t="str">
        <f>IFERROR(__xludf.DUMMYFUNCTION("""COMPUTED_VALUE"""),"SoftBasis")</f>
        <v>SoftBasis</v>
      </c>
      <c r="U5" s="35" t="str">
        <f>IFERROR(__xludf.DUMMYFUNCTION("""COMPUTED_VALUE"""),"SoftRate")</f>
        <v>SoftRate</v>
      </c>
      <c r="V5" s="35" t="str">
        <f>IFERROR(__xludf.DUMMYFUNCTION("""COMPUTED_VALUE"""),"TradeAttribute1")</f>
        <v>TradeAttribute1</v>
      </c>
      <c r="W5" s="35" t="str">
        <f>IFERROR(__xludf.DUMMYFUNCTION("""COMPUTED_VALUE"""),"TradeAttribute2")</f>
        <v>TradeAttribute2</v>
      </c>
      <c r="X5" s="35" t="str">
        <f>IFERROR(__xludf.DUMMYFUNCTION("""COMPUTED_VALUE"""),"TradeAttribute3")</f>
        <v>TradeAttribute3</v>
      </c>
      <c r="Y5" s="35" t="str">
        <f>IFERROR(__xludf.DUMMYFUNCTION("""COMPUTED_VALUE"""),"TradeAttribute4")</f>
        <v>TradeAttribute4</v>
      </c>
      <c r="Z5" s="35" t="str">
        <f>IFERROR(__xludf.DUMMYFUNCTION("""COMPUTED_VALUE"""),"TradeAttribute5")</f>
        <v>TradeAttribute5</v>
      </c>
      <c r="AA5" s="35" t="str">
        <f>IFERROR(__xludf.DUMMYFUNCTION("""COMPUTED_VALUE"""),"TradeAttribute6")</f>
        <v>TradeAttribute6</v>
      </c>
      <c r="AB5" s="35" t="str">
        <f>IFERROR(__xludf.DUMMYFUNCTION("""COMPUTED_VALUE"""),"Venue")</f>
        <v>Venue</v>
      </c>
      <c r="AC5" s="35" t="str">
        <f>IFERROR(__xludf.DUMMYFUNCTION("""COMPUTED_VALUE"""),"ExecutionInstructions")</f>
        <v>ExecutionInstructions</v>
      </c>
      <c r="AD5" s="35" t="str">
        <f>IFERROR(__xludf.DUMMYFUNCTION("""COMPUTED_VALUE"""),"HandlingInstructions")</f>
        <v>HandlingInstructions</v>
      </c>
      <c r="AE5" s="35" t="str">
        <f>IFERROR(__xludf.DUMMYFUNCTION("""COMPUTED_VALUE"""),"Trader")</f>
        <v>Trader</v>
      </c>
      <c r="AF5" s="35" t="str">
        <f>IFERROR(__xludf.DUMMYFUNCTION("""COMPUTED_VALUE"""),"SettlementCurrency")</f>
        <v>SettlementCurrency</v>
      </c>
      <c r="AG5" s="35" t="str">
        <f>IFERROR(__xludf.DUMMYFUNCTION("""COMPUTED_VALUE"""),"SettlementFXRate")</f>
        <v>SettlementFXRate</v>
      </c>
      <c r="AH5" s="35" t="str">
        <f>IFERROR(__xludf.DUMMYFUNCTION("""COMPUTED_VALUE"""),"SettlementAmount")</f>
        <v>SettlementAmount</v>
      </c>
      <c r="AI5" s="35" t="str">
        <f>IFERROR(__xludf.DUMMYFUNCTION("""COMPUTED_VALUE"""),"SettlementFXOperator")</f>
        <v>SettlementFXOperator</v>
      </c>
      <c r="AJ5" s="35" t="str">
        <f>IFERROR(__xludf.DUMMYFUNCTION("""COMPUTED_VALUE"""),"SettleByBroker")</f>
        <v>SettleByBroker</v>
      </c>
      <c r="AK5" s="35" t="str">
        <f>IFERROR(__xludf.DUMMYFUNCTION("""COMPUTED_VALUE"""),"Account")</f>
        <v>Account</v>
      </c>
      <c r="AL5" s="35" t="str">
        <f>IFERROR(__xludf.DUMMYFUNCTION("""COMPUTED_VALUE"""),"Account %")</f>
        <v>Account %</v>
      </c>
      <c r="AM5" s="35" t="str">
        <f>IFERROR(__xludf.DUMMYFUNCTION("""COMPUTED_VALUE"""),"Deal In")</f>
        <v>Deal In</v>
      </c>
      <c r="AN5" s="35" t="str">
        <f>IFERROR(__xludf.DUMMYFUNCTION("""COMPUTED_VALUE"""),"MasterFund")</f>
        <v>MasterFund</v>
      </c>
      <c r="AO5" s="35" t="str">
        <f>IFERROR(__xludf.DUMMYFUNCTION("""COMPUTED_VALUE"""),"AllowTrade")</f>
        <v>AllowTrade</v>
      </c>
      <c r="AP5" s="35" t="str">
        <f>IFERROR(__xludf.DUMMYFUNCTION("""COMPUTED_VALUE"""),"SharesOutstandingPopUp")</f>
        <v>SharesOutstandingPopUp</v>
      </c>
      <c r="AQ5" s="35" t="str">
        <f>IFERROR(__xludf.DUMMYFUNCTION("""COMPUTED_VALUE"""),"Interest Rate")</f>
        <v>Interest Rate</v>
      </c>
      <c r="AR5" s="35" t="str">
        <f>IFERROR(__xludf.DUMMYFUNCTION("""COMPUTED_VALUE"""),"SelectAlgoStrategy")</f>
        <v>SelectAlgoStrategy</v>
      </c>
      <c r="AS5" s="35" t="str">
        <f>IFERROR(__xludf.DUMMYFUNCTION("""COMPUTED_VALUE"""),"ClearOldCA")</f>
        <v>ClearOldCA</v>
      </c>
      <c r="AT5" s="35" t="str">
        <f>IFERROR(__xludf.DUMMYFUNCTION("""COMPUTED_VALUE"""),"TRVAccountName")</f>
        <v>TRVAccountName</v>
      </c>
      <c r="AU5" s="35" t="str">
        <f>IFERROR(__xludf.DUMMYFUNCTION("""COMPUTED_VALUE"""),"TRVTradeQuantity")</f>
        <v>TRVTradeQuantity</v>
      </c>
      <c r="AV5" s="35" t="str">
        <f>IFERROR(__xludf.DUMMYFUNCTION("""COMPUTED_VALUE"""),"TRVCurrentPosition")</f>
        <v>TRVCurrentPosition</v>
      </c>
      <c r="AW5" s="35" t="str">
        <f>IFERROR(__xludf.DUMMYFUNCTION("""COMPUTED_VALUE"""),"TRVNav")</f>
        <v>TRVNav</v>
      </c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>
        <v>200.0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IFERROR(__xludf.DUMMYFUNCTION("""COMPUTED_VALUE"""),"Transaction Time")</f>
        <v>Transaction Time</v>
      </c>
      <c r="C5" s="33" t="str">
        <f>IFERROR(__xludf.DUMMYFUNCTION("""COMPUTED_VALUE"""),"Algo")</f>
        <v>Algo</v>
      </c>
      <c r="D5" s="33" t="str">
        <f>IFERROR(__xludf.DUMMYFUNCTION("""COMPUTED_VALUE"""),"Avg Fill Price (Base)")</f>
        <v>Avg Fill Price (Base)</v>
      </c>
      <c r="E5" s="33" t="str">
        <f>IFERROR(__xludf.DUMMYFUNCTION("""COMPUTED_VALUE"""),"Bloomberg Symbol")</f>
        <v>Bloomberg Symbol</v>
      </c>
      <c r="F5" s="34" t="str">
        <f>IFERROR(__xludf.DUMMYFUNCTION("""COMPUTED_VALUE"""),"Limit Price")</f>
        <v>Limit Price</v>
      </c>
      <c r="G5" s="33" t="str">
        <f>IFERROR(__xludf.DUMMYFUNCTION("""COMPUTED_VALUE"""),"Working Qty")</f>
        <v>Working Qty</v>
      </c>
      <c r="H5" s="33" t="str">
        <f>IFERROR(__xludf.DUMMYFUNCTION("""COMPUTED_VALUE"""),"Venue")</f>
        <v>Venue</v>
      </c>
      <c r="I5" s="33" t="str">
        <f>IFERROR(__xludf.DUMMYFUNCTION("""COMPUTED_VALUE"""),"User")</f>
        <v>User</v>
      </c>
      <c r="J5" s="33" t="str">
        <f>IFERROR(__xludf.DUMMYFUNCTION("""COMPUTED_VALUE"""),"Underlying Symbol")</f>
        <v>Underlying Symbol</v>
      </c>
      <c r="K5" s="33" t="str">
        <f>IFERROR(__xludf.DUMMYFUNCTION("""COMPUTED_VALUE"""),"Underlying Country")</f>
        <v>Underlying Country</v>
      </c>
      <c r="L5" s="33" t="str">
        <f>IFERROR(__xludf.DUMMYFUNCTION("""COMPUTED_VALUE"""),"Trader")</f>
        <v>Trader</v>
      </c>
      <c r="M5" s="33" t="str">
        <f>IFERROR(__xludf.DUMMYFUNCTION("""COMPUTED_VALUE"""),"Trade Attribute 6")</f>
        <v>Trade Attribute 6</v>
      </c>
      <c r="N5" s="33" t="str">
        <f>IFERROR(__xludf.DUMMYFUNCTION("""COMPUTED_VALUE"""),"Trade Attribute 5")</f>
        <v>Trade Attribute 5</v>
      </c>
      <c r="O5" s="33" t="str">
        <f>IFERROR(__xludf.DUMMYFUNCTION("""COMPUTED_VALUE"""),"Trade Attribute 4")</f>
        <v>Trade Attribute 4</v>
      </c>
      <c r="P5" s="33" t="str">
        <f>IFERROR(__xludf.DUMMYFUNCTION("""COMPUTED_VALUE"""),"Trade Attribute 3")</f>
        <v>Trade Attribute 3</v>
      </c>
      <c r="Q5" s="33" t="str">
        <f>IFERROR(__xludf.DUMMYFUNCTION("""COMPUTED_VALUE"""),"Trade Attribute 1")</f>
        <v>Trade Attribute 1</v>
      </c>
      <c r="R5" s="33" t="str">
        <f>IFERROR(__xludf.DUMMYFUNCTION("""COMPUTED_VALUE"""),"Trade Attribute 2")</f>
        <v>Trade Attribute 2</v>
      </c>
      <c r="S5" s="33" t="str">
        <f>IFERROR(__xludf.DUMMYFUNCTION("""COMPUTED_VALUE"""),"Strike Price")</f>
        <v>Strike Price</v>
      </c>
      <c r="T5" s="35" t="str">
        <f>IFERROR(__xludf.DUMMYFUNCTION("""COMPUTED_VALUE"""),"Stop Price")</f>
        <v>Stop Price</v>
      </c>
      <c r="U5" s="35" t="str">
        <f>IFERROR(__xludf.DUMMYFUNCTION("""COMPUTED_VALUE"""),"Settlement Currency")</f>
        <v>Settlement Currency</v>
      </c>
      <c r="V5" s="35" t="str">
        <f>IFERROR(__xludf.DUMMYFUNCTION("""COMPUTED_VALUE"""),"Put/Call")</f>
        <v>Put/Call</v>
      </c>
      <c r="W5" s="35" t="str">
        <f>IFERROR(__xludf.DUMMYFUNCTION("""COMPUTED_VALUE"""),"Process Date")</f>
        <v>Process Date</v>
      </c>
      <c r="X5" s="35" t="str">
        <f>IFERROR(__xludf.DUMMYFUNCTION("""COMPUTED_VALUE"""),"Peg")</f>
        <v>Peg</v>
      </c>
      <c r="Y5" s="35" t="str">
        <f>IFERROR(__xludf.DUMMYFUNCTION("""COMPUTED_VALUE"""),"ParentClOrderID")</f>
        <v>ParentClOrderID</v>
      </c>
      <c r="Z5" s="35" t="str">
        <f>IFERROR(__xludf.DUMMYFUNCTION("""COMPUTED_VALUE"""),"OrderID")</f>
        <v>OrderID</v>
      </c>
      <c r="AA5" s="35" t="str">
        <f>IFERROR(__xludf.DUMMYFUNCTION("""COMPUTED_VALUE"""),"Master Fund")</f>
        <v>Master Fund</v>
      </c>
      <c r="AB5" s="35" t="str">
        <f>IFERROR(__xludf.DUMMYFUNCTION("""COMPUTED_VALUE"""),"Last Shares")</f>
        <v>Last Shares</v>
      </c>
      <c r="AC5" s="35" t="str">
        <f>IFERROR(__xludf.DUMMYFUNCTION("""COMPUTED_VALUE"""),"Internal Comments")</f>
        <v>Internal Comments</v>
      </c>
      <c r="AD5" s="35" t="str">
        <f>IFERROR(__xludf.DUMMYFUNCTION("""COMPUTED_VALUE"""),"FX Rate")</f>
        <v>FX Rate</v>
      </c>
      <c r="AE5" s="35" t="str">
        <f>IFERROR(__xludf.DUMMYFUNCTION("""COMPUTED_VALUE"""),"Imported File Name")</f>
        <v>Imported File Name</v>
      </c>
      <c r="AF5" s="35" t="str">
        <f>IFERROR(__xludf.DUMMYFUNCTION("""COMPUTED_VALUE"""),"FX Conversion Operator")</f>
        <v>FX Conversion Operator</v>
      </c>
      <c r="AG5" s="35" t="str">
        <f>IFERROR(__xludf.DUMMYFUNCTION("""COMPUTED_VALUE"""),"Day Average Price")</f>
        <v>Day Average Price</v>
      </c>
      <c r="AH5" s="35" t="str">
        <f>IFERROR(__xludf.DUMMYFUNCTION("""COMPUTED_VALUE"""),"Asset Class")</f>
        <v>Asset Class</v>
      </c>
      <c r="AI5" s="35" t="str">
        <f>IFERROR(__xludf.DUMMYFUNCTION("""COMPUTED_VALUE"""),"Symbol")</f>
        <v>Symbol</v>
      </c>
      <c r="AJ5" s="35" t="str">
        <f>IFERROR(__xludf.DUMMYFUNCTION("""COMPUTED_VALUE"""),"Side")</f>
        <v>Side</v>
      </c>
      <c r="AK5" s="35" t="str">
        <f>IFERROR(__xludf.DUMMYFUNCTION("""COMPUTED_VALUE"""),"Status")</f>
        <v>Status</v>
      </c>
      <c r="AL5" s="35" t="str">
        <f>IFERROR(__xludf.DUMMYFUNCTION("""COMPUTED_VALUE"""),"Target Qty")</f>
        <v>Target Qty</v>
      </c>
      <c r="AM5" s="35" t="str">
        <f>IFERROR(__xludf.DUMMYFUNCTION("""COMPUTED_VALUE"""),"Total Executed Qty")</f>
        <v>Total Executed Qty</v>
      </c>
      <c r="AN5" s="35" t="str">
        <f>IFERROR(__xludf.DUMMYFUNCTION("""COMPUTED_VALUE"""),"% Executed")</f>
        <v>% Executed</v>
      </c>
      <c r="AO5" s="35" t="str">
        <f>IFERROR(__xludf.DUMMYFUNCTION("""COMPUTED_VALUE"""),"Day Executed Qty")</f>
        <v>Day Executed Qty</v>
      </c>
      <c r="AP5" s="35" t="str">
        <f>IFERROR(__xludf.DUMMYFUNCTION("""COMPUTED_VALUE"""),"Uncommitted Qty")</f>
        <v>Uncommitted Qty</v>
      </c>
      <c r="AQ5" s="35" t="str">
        <f>IFERROR(__xludf.DUMMYFUNCTION("""COMPUTED_VALUE"""),"Last Fill Price (Local)")</f>
        <v>Last Fill Price (Local)</v>
      </c>
      <c r="AR5" s="35" t="str">
        <f>IFERROR(__xludf.DUMMYFUNCTION("""COMPUTED_VALUE"""),"Avg Fill Price (Local)")</f>
        <v>Avg Fill Price (Local)</v>
      </c>
      <c r="AS5" s="35" t="str">
        <f>IFERROR(__xludf.DUMMYFUNCTION("""COMPUTED_VALUE"""),"Broker")</f>
        <v>Broker</v>
      </c>
      <c r="AT5" s="35" t="str">
        <f>IFERROR(__xludf.DUMMYFUNCTION("""COMPUTED_VALUE"""),"Account")</f>
        <v>Account</v>
      </c>
      <c r="AU5" s="35" t="str">
        <f>IFERROR(__xludf.DUMMYFUNCTION("""COMPUTED_VALUE"""),"Order Type")</f>
        <v>Order Type</v>
      </c>
      <c r="AV5" s="35" t="str">
        <f>IFERROR(__xludf.DUMMYFUNCTION("""COMPUTED_VALUE"""),"Principal Amount (Local)")</f>
        <v>Principal Amount (Local)</v>
      </c>
      <c r="AW5" s="35" t="str">
        <f>IFERROR(__xludf.DUMMYFUNCTION("""COMPUTED_VALUE"""),"Principal Amount (Base)")</f>
        <v>Principal Amount (Base)</v>
      </c>
      <c r="AX5" s="35" t="str">
        <f>IFERROR(__xludf.DUMMYFUNCTION("""COMPUTED_VALUE"""),"Allocation Scheme Name")</f>
        <v>Allocation Scheme Name</v>
      </c>
      <c r="AY5" s="35" t="str">
        <f>IFERROR(__xludf.DUMMYFUNCTION("""COMPUTED_VALUE"""),"Status (With Rollover)")</f>
        <v>Status (With Rollover)</v>
      </c>
      <c r="AZ5" s="35" t="str">
        <f>IFERROR(__xludf.DUMMYFUNCTION("""COMPUTED_VALUE"""),"Start of Day Qty")</f>
        <v>Start of Day Qty</v>
      </c>
      <c r="BA5" s="35" t="str">
        <f>IFERROR(__xludf.DUMMYFUNCTION("""COMPUTED_VALUE"""),"Leaves")</f>
        <v>Leaves</v>
      </c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IFERROR(__xludf.DUMMYFUNCTION("""COMPUTED_VALUE"""),"Symbol")</f>
        <v>Symbol</v>
      </c>
      <c r="C5" s="33" t="str">
        <f>IFERROR(__xludf.DUMMYFUNCTION("""COMPUTED_VALUE"""),"Order Side")</f>
        <v>Order Side</v>
      </c>
      <c r="D5" s="33" t="str">
        <f>IFERROR(__xludf.DUMMYFUNCTION("""COMPUTED_VALUE"""),"Quantity")</f>
        <v>Quantity</v>
      </c>
      <c r="E5" s="33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33" t="str">
        <f>IFERROR(__xludf.DUMMYFUNCTION("""COMPUTED_VALUE"""),"Broker")</f>
        <v>Broker</v>
      </c>
      <c r="H5" s="33" t="str">
        <f>IFERROR(__xludf.DUMMYFUNCTION("""COMPUTED_VALUE"""),"TIF")</f>
        <v>TIF</v>
      </c>
      <c r="I5" s="33" t="str">
        <f>IFERROR(__xludf.DUMMYFUNCTION("""COMPUTED_VALUE"""),"Order Type")</f>
        <v>Order Type</v>
      </c>
      <c r="J5" s="33" t="str">
        <f>IFERROR(__xludf.DUMMYFUNCTION("""COMPUTED_VALUE"""),"Price")</f>
        <v>Price</v>
      </c>
      <c r="K5" s="33" t="str">
        <f>IFERROR(__xludf.DUMMYFUNCTION("""COMPUTED_VALUE"""),"Stop")</f>
        <v>Stop</v>
      </c>
      <c r="L5" s="33" t="str">
        <f>IFERROR(__xludf.DUMMYFUNCTION("""COMPUTED_VALUE"""),"Limit")</f>
        <v>Limit</v>
      </c>
      <c r="M5" s="33" t="str">
        <f>IFERROR(__xludf.DUMMYFUNCTION("""COMPUTED_VALUE"""),"Strategy")</f>
        <v>Strategy</v>
      </c>
      <c r="N5" s="33" t="str">
        <f>IFERROR(__xludf.DUMMYFUNCTION("""COMPUTED_VALUE"""),"Trade Date")</f>
        <v>Trade Date</v>
      </c>
      <c r="O5" s="33" t="str">
        <f>IFERROR(__xludf.DUMMYFUNCTION("""COMPUTED_VALUE"""),"FxRate")</f>
        <v>FxRate</v>
      </c>
      <c r="P5" s="33" t="str">
        <f>IFERROR(__xludf.DUMMYFUNCTION("""COMPUTED_VALUE"""),"Notes")</f>
        <v>Notes</v>
      </c>
      <c r="Q5" s="33" t="str">
        <f>IFERROR(__xludf.DUMMYFUNCTION("""COMPUTED_VALUE"""),"Broker Notes")</f>
        <v>Broker Notes</v>
      </c>
      <c r="R5" s="33" t="str">
        <f>IFERROR(__xludf.DUMMYFUNCTION("""COMPUTED_VALUE"""),"CommissionBasis")</f>
        <v>CommissionBasis</v>
      </c>
      <c r="S5" s="33" t="str">
        <f>IFERROR(__xludf.DUMMYFUNCTION("""COMPUTED_VALUE"""),"CommissionRate")</f>
        <v>CommissionRate</v>
      </c>
      <c r="T5" s="35" t="str">
        <f>IFERROR(__xludf.DUMMYFUNCTION("""COMPUTED_VALUE"""),"SoftBasis")</f>
        <v>SoftBasis</v>
      </c>
      <c r="U5" s="35" t="str">
        <f>IFERROR(__xludf.DUMMYFUNCTION("""COMPUTED_VALUE"""),"SoftRate")</f>
        <v>SoftRate</v>
      </c>
      <c r="V5" s="35" t="str">
        <f>IFERROR(__xludf.DUMMYFUNCTION("""COMPUTED_VALUE"""),"TradeAttribute1")</f>
        <v>TradeAttribute1</v>
      </c>
      <c r="W5" s="35" t="str">
        <f>IFERROR(__xludf.DUMMYFUNCTION("""COMPUTED_VALUE"""),"TradeAttribute2")</f>
        <v>TradeAttribute2</v>
      </c>
      <c r="X5" s="35" t="str">
        <f>IFERROR(__xludf.DUMMYFUNCTION("""COMPUTED_VALUE"""),"TradeAttribute3")</f>
        <v>TradeAttribute3</v>
      </c>
      <c r="Y5" s="35" t="str">
        <f>IFERROR(__xludf.DUMMYFUNCTION("""COMPUTED_VALUE"""),"TradeAttribute4")</f>
        <v>TradeAttribute4</v>
      </c>
      <c r="Z5" s="35" t="str">
        <f>IFERROR(__xludf.DUMMYFUNCTION("""COMPUTED_VALUE"""),"TradeAttribute5")</f>
        <v>TradeAttribute5</v>
      </c>
      <c r="AA5" s="35" t="str">
        <f>IFERROR(__xludf.DUMMYFUNCTION("""COMPUTED_VALUE"""),"TradeAttribute6")</f>
        <v>TradeAttribute6</v>
      </c>
      <c r="AB5" s="35" t="str">
        <f>IFERROR(__xludf.DUMMYFUNCTION("""COMPUTED_VALUE"""),"Venue")</f>
        <v>Venue</v>
      </c>
      <c r="AC5" s="35" t="str">
        <f>IFERROR(__xludf.DUMMYFUNCTION("""COMPUTED_VALUE"""),"ExecutionInstructions")</f>
        <v>ExecutionInstructions</v>
      </c>
      <c r="AD5" s="35" t="str">
        <f>IFERROR(__xludf.DUMMYFUNCTION("""COMPUTED_VALUE"""),"HandlingInstructions")</f>
        <v>HandlingInstructions</v>
      </c>
      <c r="AE5" s="35" t="str">
        <f>IFERROR(__xludf.DUMMYFUNCTION("""COMPUTED_VALUE"""),"Trader")</f>
        <v>Trader</v>
      </c>
      <c r="AF5" s="35" t="str">
        <f>IFERROR(__xludf.DUMMYFUNCTION("""COMPUTED_VALUE"""),"SettlementCurrency")</f>
        <v>SettlementCurrency</v>
      </c>
      <c r="AG5" s="35" t="str">
        <f>IFERROR(__xludf.DUMMYFUNCTION("""COMPUTED_VALUE"""),"SettlementFXRate")</f>
        <v>SettlementFXRate</v>
      </c>
      <c r="AH5" s="35" t="str">
        <f>IFERROR(__xludf.DUMMYFUNCTION("""COMPUTED_VALUE"""),"SettlementAmount")</f>
        <v>SettlementAmount</v>
      </c>
      <c r="AI5" s="35" t="str">
        <f>IFERROR(__xludf.DUMMYFUNCTION("""COMPUTED_VALUE"""),"SettlementFXOperator")</f>
        <v>SettlementFXOperator</v>
      </c>
      <c r="AJ5" s="35" t="str">
        <f>IFERROR(__xludf.DUMMYFUNCTION("""COMPUTED_VALUE"""),"SettleByBroker")</f>
        <v>SettleByBroker</v>
      </c>
      <c r="AK5" s="35" t="str">
        <f>IFERROR(__xludf.DUMMYFUNCTION("""COMPUTED_VALUE"""),"Account")</f>
        <v>Account</v>
      </c>
      <c r="AL5" s="35" t="str">
        <f>IFERROR(__xludf.DUMMYFUNCTION("""COMPUTED_VALUE"""),"Account %")</f>
        <v>Account %</v>
      </c>
      <c r="AM5" s="35" t="str">
        <f>IFERROR(__xludf.DUMMYFUNCTION("""COMPUTED_VALUE"""),"Deal In")</f>
        <v>Deal In</v>
      </c>
      <c r="AN5" s="35" t="str">
        <f>IFERROR(__xludf.DUMMYFUNCTION("""COMPUTED_VALUE"""),"PopUpQuantity")</f>
        <v>PopUpQuantity</v>
      </c>
      <c r="AO5" s="35" t="str">
        <f>IFERROR(__xludf.DUMMYFUNCTION("""COMPUTED_VALUE"""),"ShortLocate")</f>
        <v>ShortLocate</v>
      </c>
      <c r="AP5" s="35" t="str">
        <f>IFERROR(__xludf.DUMMYFUNCTION("""COMPUTED_VALUE"""),"ChkBoxBookAsSwap")</f>
        <v>ChkBoxBookAsSwap</v>
      </c>
      <c r="AQ5" s="35" t="str">
        <f>IFERROR(__xludf.DUMMYFUNCTION("""COMPUTED_VALUE"""),"Interest Rate")</f>
        <v>Interest Rate</v>
      </c>
      <c r="AR5" s="35" t="str">
        <f>IFERROR(__xludf.DUMMYFUNCTION("""COMPUTED_VALUE"""),"SharesOutstandingPopUp")</f>
        <v>SharesOutstandingPopUp</v>
      </c>
      <c r="AS5" s="35" t="str">
        <f>IFERROR(__xludf.DUMMYFUNCTION("""COMPUTED_VALUE"""),"AllowTrade")</f>
        <v>AllowTrade</v>
      </c>
      <c r="AT5" s="35" t="str">
        <f>IFERROR(__xludf.DUMMYFUNCTION("""COMPUTED_VALUE"""),"ClearOldCA")</f>
        <v>ClearOldCA</v>
      </c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>
        <v>100.0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IFERROR(__xludf.DUMMYFUNCTION("""COMPUTED_VALUE"""),"Transaction Time")</f>
        <v>Transaction Time</v>
      </c>
      <c r="C5" s="33" t="str">
        <f>IFERROR(__xludf.DUMMYFUNCTION("""COMPUTED_VALUE"""),"Algo")</f>
        <v>Algo</v>
      </c>
      <c r="D5" s="33" t="str">
        <f>IFERROR(__xludf.DUMMYFUNCTION("""COMPUTED_VALUE"""),"Avg Fill Price (Base)")</f>
        <v>Avg Fill Price (Base)</v>
      </c>
      <c r="E5" s="33" t="str">
        <f>IFERROR(__xludf.DUMMYFUNCTION("""COMPUTED_VALUE"""),"Bloomberg Symbol")</f>
        <v>Bloomberg Symbol</v>
      </c>
      <c r="F5" s="34" t="str">
        <f>IFERROR(__xludf.DUMMYFUNCTION("""COMPUTED_VALUE"""),"Limit Price")</f>
        <v>Limit Price</v>
      </c>
      <c r="G5" s="33" t="str">
        <f>IFERROR(__xludf.DUMMYFUNCTION("""COMPUTED_VALUE"""),"Working Qty")</f>
        <v>Working Qty</v>
      </c>
      <c r="H5" s="33" t="str">
        <f>IFERROR(__xludf.DUMMYFUNCTION("""COMPUTED_VALUE"""),"Venue")</f>
        <v>Venue</v>
      </c>
      <c r="I5" s="33" t="str">
        <f>IFERROR(__xludf.DUMMYFUNCTION("""COMPUTED_VALUE"""),"User")</f>
        <v>User</v>
      </c>
      <c r="J5" s="33" t="str">
        <f>IFERROR(__xludf.DUMMYFUNCTION("""COMPUTED_VALUE"""),"Underlying Symbol")</f>
        <v>Underlying Symbol</v>
      </c>
      <c r="K5" s="33" t="str">
        <f>IFERROR(__xludf.DUMMYFUNCTION("""COMPUTED_VALUE"""),"Underlying Country")</f>
        <v>Underlying Country</v>
      </c>
      <c r="L5" s="33" t="str">
        <f>IFERROR(__xludf.DUMMYFUNCTION("""COMPUTED_VALUE"""),"Trader")</f>
        <v>Trader</v>
      </c>
      <c r="M5" s="33" t="str">
        <f>IFERROR(__xludf.DUMMYFUNCTION("""COMPUTED_VALUE"""),"Trade Attribute 6")</f>
        <v>Trade Attribute 6</v>
      </c>
      <c r="N5" s="33" t="str">
        <f>IFERROR(__xludf.DUMMYFUNCTION("""COMPUTED_VALUE"""),"Trade Attribute 5")</f>
        <v>Trade Attribute 5</v>
      </c>
      <c r="O5" s="33" t="str">
        <f>IFERROR(__xludf.DUMMYFUNCTION("""COMPUTED_VALUE"""),"Trade Attribute 4")</f>
        <v>Trade Attribute 4</v>
      </c>
      <c r="P5" s="33" t="str">
        <f>IFERROR(__xludf.DUMMYFUNCTION("""COMPUTED_VALUE"""),"Trade Attribute 3")</f>
        <v>Trade Attribute 3</v>
      </c>
      <c r="Q5" s="33" t="str">
        <f>IFERROR(__xludf.DUMMYFUNCTION("""COMPUTED_VALUE"""),"Trade Attribute 1")</f>
        <v>Trade Attribute 1</v>
      </c>
      <c r="R5" s="33" t="str">
        <f>IFERROR(__xludf.DUMMYFUNCTION("""COMPUTED_VALUE"""),"Trade Attribute 2")</f>
        <v>Trade Attribute 2</v>
      </c>
      <c r="S5" s="33" t="str">
        <f>IFERROR(__xludf.DUMMYFUNCTION("""COMPUTED_VALUE"""),"Strike Price")</f>
        <v>Strike Price</v>
      </c>
      <c r="T5" s="35" t="str">
        <f>IFERROR(__xludf.DUMMYFUNCTION("""COMPUTED_VALUE"""),"Stop Price")</f>
        <v>Stop Price</v>
      </c>
      <c r="U5" s="35" t="str">
        <f>IFERROR(__xludf.DUMMYFUNCTION("""COMPUTED_VALUE"""),"Settlement Currency")</f>
        <v>Settlement Currency</v>
      </c>
      <c r="V5" s="35" t="str">
        <f>IFERROR(__xludf.DUMMYFUNCTION("""COMPUTED_VALUE"""),"Put/Call")</f>
        <v>Put/Call</v>
      </c>
      <c r="W5" s="35" t="str">
        <f>IFERROR(__xludf.DUMMYFUNCTION("""COMPUTED_VALUE"""),"Process Date")</f>
        <v>Process Date</v>
      </c>
      <c r="X5" s="35" t="str">
        <f>IFERROR(__xludf.DUMMYFUNCTION("""COMPUTED_VALUE"""),"Peg")</f>
        <v>Peg</v>
      </c>
      <c r="Y5" s="35" t="str">
        <f>IFERROR(__xludf.DUMMYFUNCTION("""COMPUTED_VALUE"""),"ParentClOrderID")</f>
        <v>ParentClOrderID</v>
      </c>
      <c r="Z5" s="35" t="str">
        <f>IFERROR(__xludf.DUMMYFUNCTION("""COMPUTED_VALUE"""),"OrderID")</f>
        <v>OrderID</v>
      </c>
      <c r="AA5" s="35" t="str">
        <f>IFERROR(__xludf.DUMMYFUNCTION("""COMPUTED_VALUE"""),"Master Fund")</f>
        <v>Master Fund</v>
      </c>
      <c r="AB5" s="35" t="str">
        <f>IFERROR(__xludf.DUMMYFUNCTION("""COMPUTED_VALUE"""),"Last Shares")</f>
        <v>Last Shares</v>
      </c>
      <c r="AC5" s="35" t="str">
        <f>IFERROR(__xludf.DUMMYFUNCTION("""COMPUTED_VALUE"""),"Internal Comments")</f>
        <v>Internal Comments</v>
      </c>
      <c r="AD5" s="35" t="str">
        <f>IFERROR(__xludf.DUMMYFUNCTION("""COMPUTED_VALUE"""),"FX Rate")</f>
        <v>FX Rate</v>
      </c>
      <c r="AE5" s="35" t="str">
        <f>IFERROR(__xludf.DUMMYFUNCTION("""COMPUTED_VALUE"""),"Imported File Name")</f>
        <v>Imported File Name</v>
      </c>
      <c r="AF5" s="35" t="str">
        <f>IFERROR(__xludf.DUMMYFUNCTION("""COMPUTED_VALUE"""),"FX Conversion Operator")</f>
        <v>FX Conversion Operator</v>
      </c>
      <c r="AG5" s="35" t="str">
        <f>IFERROR(__xludf.DUMMYFUNCTION("""COMPUTED_VALUE"""),"Day Average Price")</f>
        <v>Day Average Price</v>
      </c>
      <c r="AH5" s="35" t="str">
        <f>IFERROR(__xludf.DUMMYFUNCTION("""COMPUTED_VALUE"""),"Asset Class")</f>
        <v>Asset Class</v>
      </c>
      <c r="AI5" s="35" t="str">
        <f>IFERROR(__xludf.DUMMYFUNCTION("""COMPUTED_VALUE"""),"Symbol")</f>
        <v>Symbol</v>
      </c>
      <c r="AJ5" s="35" t="str">
        <f>IFERROR(__xludf.DUMMYFUNCTION("""COMPUTED_VALUE"""),"Side")</f>
        <v>Side</v>
      </c>
      <c r="AK5" s="35" t="str">
        <f>IFERROR(__xludf.DUMMYFUNCTION("""COMPUTED_VALUE"""),"Status")</f>
        <v>Status</v>
      </c>
      <c r="AL5" s="35" t="str">
        <f>IFERROR(__xludf.DUMMYFUNCTION("""COMPUTED_VALUE"""),"Target Qty")</f>
        <v>Target Qty</v>
      </c>
      <c r="AM5" s="35" t="str">
        <f>IFERROR(__xludf.DUMMYFUNCTION("""COMPUTED_VALUE"""),"Total Executed Qty")</f>
        <v>Total Executed Qty</v>
      </c>
      <c r="AN5" s="35" t="str">
        <f>IFERROR(__xludf.DUMMYFUNCTION("""COMPUTED_VALUE"""),"% Executed")</f>
        <v>% Executed</v>
      </c>
      <c r="AO5" s="35" t="str">
        <f>IFERROR(__xludf.DUMMYFUNCTION("""COMPUTED_VALUE"""),"Day Executed Qty")</f>
        <v>Day Executed Qty</v>
      </c>
      <c r="AP5" s="35" t="str">
        <f>IFERROR(__xludf.DUMMYFUNCTION("""COMPUTED_VALUE"""),"Uncommitted Qty")</f>
        <v>Uncommitted Qty</v>
      </c>
      <c r="AQ5" s="35" t="str">
        <f>IFERROR(__xludf.DUMMYFUNCTION("""COMPUTED_VALUE"""),"Last Fill Price (Local)")</f>
        <v>Last Fill Price (Local)</v>
      </c>
      <c r="AR5" s="35" t="str">
        <f>IFERROR(__xludf.DUMMYFUNCTION("""COMPUTED_VALUE"""),"Avg Fill Price (Local)")</f>
        <v>Avg Fill Price (Local)</v>
      </c>
      <c r="AS5" s="35" t="str">
        <f>IFERROR(__xludf.DUMMYFUNCTION("""COMPUTED_VALUE"""),"Broker")</f>
        <v>Broker</v>
      </c>
      <c r="AT5" s="35" t="str">
        <f>IFERROR(__xludf.DUMMYFUNCTION("""COMPUTED_VALUE"""),"Account")</f>
        <v>Account</v>
      </c>
      <c r="AU5" s="35" t="str">
        <f>IFERROR(__xludf.DUMMYFUNCTION("""COMPUTED_VALUE"""),"Order Type")</f>
        <v>Order Type</v>
      </c>
      <c r="AV5" s="35" t="str">
        <f>IFERROR(__xludf.DUMMYFUNCTION("""COMPUTED_VALUE"""),"Principal Amount (Local)")</f>
        <v>Principal Amount (Local)</v>
      </c>
      <c r="AW5" s="35" t="str">
        <f>IFERROR(__xludf.DUMMYFUNCTION("""COMPUTED_VALUE"""),"Principal Amount (Base)")</f>
        <v>Principal Amount (Base)</v>
      </c>
      <c r="AX5" s="35" t="str">
        <f>IFERROR(__xludf.DUMMYFUNCTION("""COMPUTED_VALUE"""),"Allocation Scheme Name")</f>
        <v>Allocation Scheme Name</v>
      </c>
      <c r="AY5" s="35" t="str">
        <f>IFERROR(__xludf.DUMMYFUNCTION("""COMPUTED_VALUE"""),"Status (With Rollover)")</f>
        <v>Status (With Rollover)</v>
      </c>
      <c r="AZ5" s="35" t="str">
        <f>IFERROR(__xludf.DUMMYFUNCTION("""COMPUTED_VALUE"""),"Start of Day Qty")</f>
        <v>Start of Day Qty</v>
      </c>
      <c r="BA5" s="35" t="str">
        <f>IFERROR(__xludf.DUMMYFUNCTION("""COMPUTED_VALUE"""),"Leaves")</f>
        <v>Leaves</v>
      </c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55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1" t="s">
        <v>49</v>
      </c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13"/>
      <c r="B6" s="13"/>
      <c r="C6" s="13">
        <v>100.0</v>
      </c>
      <c r="D6" s="13">
        <v>10.0</v>
      </c>
      <c r="E6" s="13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IFERROR(__xludf.DUMMYFUNCTION("""COMPUTED_VALUE"""),"Avg Fill Price (Base)")</f>
        <v>Avg Fill Price (Base)</v>
      </c>
      <c r="C5" s="33" t="str">
        <f>IFERROR(__xludf.DUMMYFUNCTION("""COMPUTED_VALUE"""),"Transaction Time")</f>
        <v>Transaction Time</v>
      </c>
      <c r="D5" s="33" t="str">
        <f>IFERROR(__xludf.DUMMYFUNCTION("""COMPUTED_VALUE"""),"Symbol")</f>
        <v>Symbol</v>
      </c>
      <c r="E5" s="33" t="str">
        <f>IFERROR(__xludf.DUMMYFUNCTION("""COMPUTED_VALUE"""),"Algo")</f>
        <v>Algo</v>
      </c>
      <c r="F5" s="34" t="str">
        <f>IFERROR(__xludf.DUMMYFUNCTION("""COMPUTED_VALUE"""),"Side")</f>
        <v>Side</v>
      </c>
      <c r="G5" s="33" t="str">
        <f>IFERROR(__xludf.DUMMYFUNCTION("""COMPUTED_VALUE"""),"Status")</f>
        <v>Status</v>
      </c>
      <c r="H5" s="33" t="str">
        <f>IFERROR(__xludf.DUMMYFUNCTION("""COMPUTED_VALUE"""),"Target Qty")</f>
        <v>Target Qty</v>
      </c>
      <c r="I5" s="33" t="str">
        <f>IFERROR(__xludf.DUMMYFUNCTION("""COMPUTED_VALUE"""),"Total Executed Qty")</f>
        <v>Total Executed Qty</v>
      </c>
      <c r="J5" s="33" t="str">
        <f>IFERROR(__xludf.DUMMYFUNCTION("""COMPUTED_VALUE"""),"% Executed")</f>
        <v>% Executed</v>
      </c>
      <c r="K5" s="33" t="str">
        <f>IFERROR(__xludf.DUMMYFUNCTION("""COMPUTED_VALUE"""),"Day Executed Qty")</f>
        <v>Day Executed Qty</v>
      </c>
      <c r="L5" s="33" t="str">
        <f>IFERROR(__xludf.DUMMYFUNCTION("""COMPUTED_VALUE"""),"Uncommitted Qty")</f>
        <v>Uncommitted Qty</v>
      </c>
      <c r="M5" s="33" t="str">
        <f>IFERROR(__xludf.DUMMYFUNCTION("""COMPUTED_VALUE"""),"Limit Price")</f>
        <v>Limit Price</v>
      </c>
      <c r="N5" s="33" t="str">
        <f>IFERROR(__xludf.DUMMYFUNCTION("""COMPUTED_VALUE"""),"Last Fill Price (Local)")</f>
        <v>Last Fill Price (Local)</v>
      </c>
      <c r="O5" s="33" t="str">
        <f>IFERROR(__xludf.DUMMYFUNCTION("""COMPUTED_VALUE"""),"Stop Price")</f>
        <v>Stop Price</v>
      </c>
      <c r="P5" s="33" t="str">
        <f>IFERROR(__xludf.DUMMYFUNCTION("""COMPUTED_VALUE"""),"Avg Fill Price (Local)")</f>
        <v>Avg Fill Price (Local)</v>
      </c>
      <c r="Q5" s="33" t="str">
        <f>IFERROR(__xludf.DUMMYFUNCTION("""COMPUTED_VALUE"""),"Broker")</f>
        <v>Broker</v>
      </c>
      <c r="R5" s="33" t="str">
        <f>IFERROR(__xludf.DUMMYFUNCTION("""COMPUTED_VALUE"""),"Account")</f>
        <v>Account</v>
      </c>
      <c r="S5" s="33" t="str">
        <f>IFERROR(__xludf.DUMMYFUNCTION("""COMPUTED_VALUE"""),"OrderID")</f>
        <v>OrderID</v>
      </c>
      <c r="T5" s="35" t="str">
        <f>IFERROR(__xludf.DUMMYFUNCTION("""COMPUTED_VALUE"""),"Order Type")</f>
        <v>Order Type</v>
      </c>
      <c r="U5" s="35" t="str">
        <f>IFERROR(__xludf.DUMMYFUNCTION("""COMPUTED_VALUE"""),"Principal Amount (Local)")</f>
        <v>Principal Amount (Local)</v>
      </c>
      <c r="V5" s="35" t="str">
        <f>IFERROR(__xludf.DUMMYFUNCTION("""COMPUTED_VALUE"""),"Principal Amount (Base)")</f>
        <v>Principal Amount (Base)</v>
      </c>
      <c r="W5" s="35" t="str">
        <f>IFERROR(__xludf.DUMMYFUNCTION("""COMPUTED_VALUE"""),"Peg")</f>
        <v>Peg</v>
      </c>
      <c r="X5" s="35" t="str">
        <f>IFERROR(__xludf.DUMMYFUNCTION("""COMPUTED_VALUE"""),"ParentClOrderID")</f>
        <v>ParentClOrderID</v>
      </c>
      <c r="Y5" s="35" t="str">
        <f>IFERROR(__xludf.DUMMYFUNCTION("""COMPUTED_VALUE"""),"Strike Price")</f>
        <v>Strike Price</v>
      </c>
      <c r="Z5" s="35" t="str">
        <f>IFERROR(__xludf.DUMMYFUNCTION("""COMPUTED_VALUE"""),"Last Shares")</f>
        <v>Last Shares</v>
      </c>
      <c r="AA5" s="35" t="str">
        <f>IFERROR(__xludf.DUMMYFUNCTION("""COMPUTED_VALUE"""),"Working Qty")</f>
        <v>Working Qty</v>
      </c>
      <c r="AB5" s="35" t="str">
        <f>IFERROR(__xludf.DUMMYFUNCTION("""COMPUTED_VALUE"""),"Bloomberg Symbol")</f>
        <v>Bloomberg Symbol</v>
      </c>
      <c r="AC5" s="35" t="str">
        <f>IFERROR(__xludf.DUMMYFUNCTION("""COMPUTED_VALUE"""),"Imported File Name")</f>
        <v>Imported File Name</v>
      </c>
      <c r="AD5" s="35" t="str">
        <f>IFERROR(__xludf.DUMMYFUNCTION("""COMPUTED_VALUE"""),"Master Fund")</f>
        <v>Master Fund</v>
      </c>
      <c r="AE5" s="35" t="str">
        <f>IFERROR(__xludf.DUMMYFUNCTION("""COMPUTED_VALUE"""),"Day Average Price")</f>
        <v>Day Average Price</v>
      </c>
      <c r="AF5" s="35" t="str">
        <f>IFERROR(__xludf.DUMMYFUNCTION("""COMPUTED_VALUE"""),"Asset Class")</f>
        <v>Asset Class</v>
      </c>
      <c r="AG5" s="35" t="str">
        <f>IFERROR(__xludf.DUMMYFUNCTION("""COMPUTED_VALUE"""),"Underlying Country")</f>
        <v>Underlying Country</v>
      </c>
      <c r="AH5" s="35" t="str">
        <f>IFERROR(__xludf.DUMMYFUNCTION("""COMPUTED_VALUE"""),"Trader")</f>
        <v>Trader</v>
      </c>
      <c r="AI5" s="35" t="str">
        <f>IFERROR(__xludf.DUMMYFUNCTION("""COMPUTED_VALUE"""),"User")</f>
        <v>User</v>
      </c>
      <c r="AJ5" s="35" t="str">
        <f>IFERROR(__xludf.DUMMYFUNCTION("""COMPUTED_VALUE"""),"Venue")</f>
        <v>Venue</v>
      </c>
      <c r="AK5" s="35" t="str">
        <f>IFERROR(__xludf.DUMMYFUNCTION("""COMPUTED_VALUE"""),"Settlement Currency")</f>
        <v>Settlement Currency</v>
      </c>
      <c r="AL5" s="35" t="str">
        <f>IFERROR(__xludf.DUMMYFUNCTION("""COMPUTED_VALUE"""),"FX Conversion Operator")</f>
        <v>FX Conversion Operator</v>
      </c>
      <c r="AM5" s="35" t="str">
        <f>IFERROR(__xludf.DUMMYFUNCTION("""COMPUTED_VALUE"""),"Process Date")</f>
        <v>Process Date</v>
      </c>
      <c r="AN5" s="35" t="str">
        <f>IFERROR(__xludf.DUMMYFUNCTION("""COMPUTED_VALUE"""),"Underlying Symbol")</f>
        <v>Underlying Symbol</v>
      </c>
      <c r="AO5" s="35" t="str">
        <f>IFERROR(__xludf.DUMMYFUNCTION("""COMPUTED_VALUE"""),"Put/Call")</f>
        <v>Put/Call</v>
      </c>
      <c r="AP5" s="35" t="str">
        <f>IFERROR(__xludf.DUMMYFUNCTION("""COMPUTED_VALUE"""),"FX Rate")</f>
        <v>FX Rate</v>
      </c>
      <c r="AQ5" s="35" t="str">
        <f>IFERROR(__xludf.DUMMYFUNCTION("""COMPUTED_VALUE"""),"Trade Attribute 1")</f>
        <v>Trade Attribute 1</v>
      </c>
      <c r="AR5" s="35" t="str">
        <f>IFERROR(__xludf.DUMMYFUNCTION("""COMPUTED_VALUE"""),"Trade Attribute 2")</f>
        <v>Trade Attribute 2</v>
      </c>
      <c r="AS5" s="35" t="str">
        <f>IFERROR(__xludf.DUMMYFUNCTION("""COMPUTED_VALUE"""),"Trade Attribute 3")</f>
        <v>Trade Attribute 3</v>
      </c>
      <c r="AT5" s="35" t="str">
        <f>IFERROR(__xludf.DUMMYFUNCTION("""COMPUTED_VALUE"""),"Trade Attribute 4")</f>
        <v>Trade Attribute 4</v>
      </c>
      <c r="AU5" s="35" t="str">
        <f>IFERROR(__xludf.DUMMYFUNCTION("""COMPUTED_VALUE"""),"Trade Attribute 5")</f>
        <v>Trade Attribute 5</v>
      </c>
      <c r="AV5" s="35" t="str">
        <f>IFERROR(__xludf.DUMMYFUNCTION("""COMPUTED_VALUE"""),"Trade Attribute 6")</f>
        <v>Trade Attribute 6</v>
      </c>
      <c r="AW5" s="35" t="str">
        <f>IFERROR(__xludf.DUMMYFUNCTION("""COMPUTED_VALUE"""),"Internal Comments")</f>
        <v>Internal Comments</v>
      </c>
      <c r="AX5" s="35" t="str">
        <f>IFERROR(__xludf.DUMMYFUNCTION("""COMPUTED_VALUE"""),"Allocation Scheme Name")</f>
        <v>Allocation Scheme Name</v>
      </c>
      <c r="AY5" s="35" t="str">
        <f>IFERROR(__xludf.DUMMYFUNCTION("""COMPUTED_VALUE"""),"Start of Day Qty")</f>
        <v>Start of Day Qty</v>
      </c>
      <c r="AZ5" s="35" t="str">
        <f>IFERROR(__xludf.DUMMYFUNCTION("""COMPUTED_VALUE"""),"Leaves")</f>
        <v>Leaves</v>
      </c>
      <c r="BA5" s="35" t="str">
        <f>IFERROR(__xludf.DUMMYFUNCTION("""COMPUTED_VALUE"""),"CheckBox")</f>
        <v>CheckBox</v>
      </c>
      <c r="BB5" s="35" t="str">
        <f>IFERROR(__xludf.DUMMYFUNCTION("""COMPUTED_VALUE"""),"Action on toolbar")</f>
        <v>Action on toolbar</v>
      </c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 t="s">
        <v>56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IFERROR(__xludf.DUMMYFUNCTION("""COMPUTED_VALUE"""),"Avg Fill Price (Base)")</f>
        <v>Avg Fill Price (Base)</v>
      </c>
      <c r="C5" s="33" t="str">
        <f>IFERROR(__xludf.DUMMYFUNCTION("""COMPUTED_VALUE"""),"Transaction Time")</f>
        <v>Transaction Time</v>
      </c>
      <c r="D5" s="33" t="str">
        <f>IFERROR(__xludf.DUMMYFUNCTION("""COMPUTED_VALUE"""),"Symbol")</f>
        <v>Symbol</v>
      </c>
      <c r="E5" s="33" t="str">
        <f>IFERROR(__xludf.DUMMYFUNCTION("""COMPUTED_VALUE"""),"Algo")</f>
        <v>Algo</v>
      </c>
      <c r="F5" s="34" t="str">
        <f>IFERROR(__xludf.DUMMYFUNCTION("""COMPUTED_VALUE"""),"Side")</f>
        <v>Side</v>
      </c>
      <c r="G5" s="33" t="str">
        <f>IFERROR(__xludf.DUMMYFUNCTION("""COMPUTED_VALUE"""),"Status")</f>
        <v>Status</v>
      </c>
      <c r="H5" s="33" t="str">
        <f>IFERROR(__xludf.DUMMYFUNCTION("""COMPUTED_VALUE"""),"Quantity")</f>
        <v>Quantity</v>
      </c>
      <c r="I5" s="33" t="str">
        <f>IFERROR(__xludf.DUMMYFUNCTION("""COMPUTED_VALUE"""),"Executed Qty")</f>
        <v>Executed Qty</v>
      </c>
      <c r="J5" s="33" t="str">
        <f>IFERROR(__xludf.DUMMYFUNCTION("""COMPUTED_VALUE"""),"Limit Price")</f>
        <v>Limit Price</v>
      </c>
      <c r="K5" s="33" t="str">
        <f>IFERROR(__xludf.DUMMYFUNCTION("""COMPUTED_VALUE"""),"Last Fill Price (Local)")</f>
        <v>Last Fill Price (Local)</v>
      </c>
      <c r="L5" s="33" t="str">
        <f>IFERROR(__xludf.DUMMYFUNCTION("""COMPUTED_VALUE"""),"Stop Price")</f>
        <v>Stop Price</v>
      </c>
      <c r="M5" s="33" t="str">
        <f>IFERROR(__xludf.DUMMYFUNCTION("""COMPUTED_VALUE"""),"Avg Fill Price (Local)")</f>
        <v>Avg Fill Price (Local)</v>
      </c>
      <c r="N5" s="33" t="str">
        <f>IFERROR(__xludf.DUMMYFUNCTION("""COMPUTED_VALUE"""),"Broker")</f>
        <v>Broker</v>
      </c>
      <c r="O5" s="33" t="str">
        <f>IFERROR(__xludf.DUMMYFUNCTION("""COMPUTED_VALUE"""),"Account")</f>
        <v>Account</v>
      </c>
      <c r="P5" s="33" t="str">
        <f>IFERROR(__xludf.DUMMYFUNCTION("""COMPUTED_VALUE"""),"OrderID")</f>
        <v>OrderID</v>
      </c>
      <c r="Q5" s="33" t="str">
        <f>IFERROR(__xludf.DUMMYFUNCTION("""COMPUTED_VALUE"""),"Order Type")</f>
        <v>Order Type</v>
      </c>
      <c r="R5" s="33" t="str">
        <f>IFERROR(__xludf.DUMMYFUNCTION("""COMPUTED_VALUE"""),"Principal Amount (Local)")</f>
        <v>Principal Amount (Local)</v>
      </c>
      <c r="S5" s="33" t="str">
        <f>IFERROR(__xludf.DUMMYFUNCTION("""COMPUTED_VALUE"""),"Principal Amount (Base)")</f>
        <v>Principal Amount (Base)</v>
      </c>
      <c r="T5" s="35" t="str">
        <f>IFERROR(__xludf.DUMMYFUNCTION("""COMPUTED_VALUE"""),"Peg")</f>
        <v>Peg</v>
      </c>
      <c r="U5" s="35" t="str">
        <f>IFERROR(__xludf.DUMMYFUNCTION("""COMPUTED_VALUE"""),"ParentClOrderID")</f>
        <v>ParentClOrderID</v>
      </c>
      <c r="V5" s="35" t="str">
        <f>IFERROR(__xludf.DUMMYFUNCTION("""COMPUTED_VALUE"""),"Strike Price")</f>
        <v>Strike Price</v>
      </c>
      <c r="W5" s="35" t="str">
        <f>IFERROR(__xludf.DUMMYFUNCTION("""COMPUTED_VALUE"""),"Last Shares")</f>
        <v>Last Shares</v>
      </c>
      <c r="X5" s="35" t="str">
        <f>IFERROR(__xludf.DUMMYFUNCTION("""COMPUTED_VALUE"""),"Working Qty")</f>
        <v>Working Qty</v>
      </c>
      <c r="Y5" s="35" t="str">
        <f>IFERROR(__xludf.DUMMYFUNCTION("""COMPUTED_VALUE"""),"Bloomberg Symbol")</f>
        <v>Bloomberg Symbol</v>
      </c>
      <c r="Z5" s="35" t="str">
        <f>IFERROR(__xludf.DUMMYFUNCTION("""COMPUTED_VALUE"""),"Imported File Name")</f>
        <v>Imported File Name</v>
      </c>
      <c r="AA5" s="35" t="str">
        <f>IFERROR(__xludf.DUMMYFUNCTION("""COMPUTED_VALUE"""),"Master Fund")</f>
        <v>Master Fund</v>
      </c>
      <c r="AB5" s="35" t="str">
        <f>IFERROR(__xludf.DUMMYFUNCTION("""COMPUTED_VALUE"""),"Asset Class")</f>
        <v>Asset Class</v>
      </c>
      <c r="AC5" s="35" t="str">
        <f>IFERROR(__xludf.DUMMYFUNCTION("""COMPUTED_VALUE"""),"Underlying Country")</f>
        <v>Underlying Country</v>
      </c>
      <c r="AD5" s="35" t="str">
        <f>IFERROR(__xludf.DUMMYFUNCTION("""COMPUTED_VALUE"""),"Trader")</f>
        <v>Trader</v>
      </c>
      <c r="AE5" s="35" t="str">
        <f>IFERROR(__xludf.DUMMYFUNCTION("""COMPUTED_VALUE"""),"User")</f>
        <v>User</v>
      </c>
      <c r="AF5" s="35" t="str">
        <f>IFERROR(__xludf.DUMMYFUNCTION("""COMPUTED_VALUE"""),"Venue")</f>
        <v>Venue</v>
      </c>
      <c r="AG5" s="35" t="str">
        <f>IFERROR(__xludf.DUMMYFUNCTION("""COMPUTED_VALUE"""),"Settlement Currency")</f>
        <v>Settlement Currency</v>
      </c>
      <c r="AH5" s="35" t="str">
        <f>IFERROR(__xludf.DUMMYFUNCTION("""COMPUTED_VALUE"""),"FX Conversion Operator")</f>
        <v>FX Conversion Operator</v>
      </c>
      <c r="AI5" s="35" t="str">
        <f>IFERROR(__xludf.DUMMYFUNCTION("""COMPUTED_VALUE"""),"Process Date")</f>
        <v>Process Date</v>
      </c>
      <c r="AJ5" s="35" t="str">
        <f>IFERROR(__xludf.DUMMYFUNCTION("""COMPUTED_VALUE"""),"Underlying Symbol")</f>
        <v>Underlying Symbol</v>
      </c>
      <c r="AK5" s="35" t="str">
        <f>IFERROR(__xludf.DUMMYFUNCTION("""COMPUTED_VALUE"""),"Put/Call")</f>
        <v>Put/Call</v>
      </c>
      <c r="AL5" s="35" t="str">
        <f>IFERROR(__xludf.DUMMYFUNCTION("""COMPUTED_VALUE"""),"FX Rate")</f>
        <v>FX Rate</v>
      </c>
      <c r="AM5" s="35" t="str">
        <f>IFERROR(__xludf.DUMMYFUNCTION("""COMPUTED_VALUE"""),"Trade Attribute 1")</f>
        <v>Trade Attribute 1</v>
      </c>
      <c r="AN5" s="35" t="str">
        <f>IFERROR(__xludf.DUMMYFUNCTION("""COMPUTED_VALUE"""),"Trade Attribute 2")</f>
        <v>Trade Attribute 2</v>
      </c>
      <c r="AO5" s="35" t="str">
        <f>IFERROR(__xludf.DUMMYFUNCTION("""COMPUTED_VALUE"""),"Trade Attribute 3")</f>
        <v>Trade Attribute 3</v>
      </c>
      <c r="AP5" s="35" t="str">
        <f>IFERROR(__xludf.DUMMYFUNCTION("""COMPUTED_VALUE"""),"Trade Attribute 4")</f>
        <v>Trade Attribute 4</v>
      </c>
      <c r="AQ5" s="35" t="str">
        <f>IFERROR(__xludf.DUMMYFUNCTION("""COMPUTED_VALUE"""),"Trade Attribute 5")</f>
        <v>Trade Attribute 5</v>
      </c>
      <c r="AR5" s="35" t="str">
        <f>IFERROR(__xludf.DUMMYFUNCTION("""COMPUTED_VALUE"""),"Trade Attribute 6")</f>
        <v>Trade Attribute 6</v>
      </c>
      <c r="AS5" s="35" t="str">
        <f>IFERROR(__xludf.DUMMYFUNCTION("""COMPUTED_VALUE"""),"Internal Comments")</f>
        <v>Internal Comments</v>
      </c>
      <c r="AT5" s="35" t="str">
        <f>IFERROR(__xludf.DUMMYFUNCTION("""COMPUTED_VALUE"""),"Allocation Scheme Name")</f>
        <v>Allocation Scheme Name</v>
      </c>
      <c r="AU5" s="35" t="str">
        <f>IFERROR(__xludf.DUMMYFUNCTION("""COMPUTED_VALUE"""),"Status (With Rollover)")</f>
        <v>Status (With Rollover)</v>
      </c>
      <c r="AV5" s="35" t="str">
        <f>IFERROR(__xludf.DUMMYFUNCTION("""COMPUTED_VALUE"""),"Source")</f>
        <v>Source</v>
      </c>
      <c r="AW5" s="35" t="str">
        <f>IFERROR(__xludf.DUMMYFUNCTION("""COMPUTED_VALUE"""),"Strategy")</f>
        <v>Strategy</v>
      </c>
      <c r="AX5" s="35" t="str">
        <f>IFERROR(__xludf.DUMMYFUNCTION("""COMPUTED_VALUE"""),"Unexecuted Qty")</f>
        <v>Unexecuted Qty</v>
      </c>
      <c r="AY5" s="35" t="str">
        <f>IFERROR(__xludf.DUMMYFUNCTION("""COMPUTED_VALUE"""),"Allocation Status")</f>
        <v>Allocation Status</v>
      </c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/>
      <c r="C6" s="8"/>
      <c r="D6" s="13" t="s">
        <v>56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7"/>
      <c r="B5" s="38" t="s">
        <v>66</v>
      </c>
      <c r="C5" s="38" t="s">
        <v>67</v>
      </c>
      <c r="D5" s="38" t="s">
        <v>68</v>
      </c>
      <c r="E5" s="38" t="s">
        <v>69</v>
      </c>
      <c r="F5" s="39" t="s">
        <v>70</v>
      </c>
      <c r="G5" s="38" t="s">
        <v>71</v>
      </c>
      <c r="H5" s="38" t="s">
        <v>72</v>
      </c>
      <c r="I5" s="38" t="s">
        <v>73</v>
      </c>
      <c r="J5" s="38" t="s">
        <v>74</v>
      </c>
      <c r="K5" s="38" t="s">
        <v>75</v>
      </c>
      <c r="L5" s="38" t="s">
        <v>76</v>
      </c>
      <c r="M5" s="38" t="s">
        <v>77</v>
      </c>
      <c r="N5" s="38" t="s">
        <v>78</v>
      </c>
      <c r="O5" s="38" t="s">
        <v>79</v>
      </c>
      <c r="P5" s="38" t="s">
        <v>80</v>
      </c>
      <c r="Q5" s="38" t="s">
        <v>81</v>
      </c>
      <c r="R5" s="38" t="s">
        <v>82</v>
      </c>
      <c r="S5" s="38" t="s">
        <v>83</v>
      </c>
      <c r="T5" s="38" t="s">
        <v>84</v>
      </c>
      <c r="U5" s="38" t="s">
        <v>30</v>
      </c>
      <c r="V5" s="38" t="s">
        <v>85</v>
      </c>
      <c r="W5" s="38" t="s">
        <v>86</v>
      </c>
      <c r="X5" s="38" t="s">
        <v>87</v>
      </c>
      <c r="Y5" s="38" t="s">
        <v>88</v>
      </c>
      <c r="Z5" s="38" t="s">
        <v>89</v>
      </c>
      <c r="AA5" s="38" t="s">
        <v>36</v>
      </c>
      <c r="AB5" s="38" t="s">
        <v>16</v>
      </c>
      <c r="AC5" s="38" t="s">
        <v>90</v>
      </c>
      <c r="AD5" s="38" t="s">
        <v>91</v>
      </c>
      <c r="AE5" s="38" t="s">
        <v>92</v>
      </c>
      <c r="AF5" s="38" t="s">
        <v>93</v>
      </c>
      <c r="AG5" s="38" t="s">
        <v>94</v>
      </c>
      <c r="AH5" s="38" t="s">
        <v>95</v>
      </c>
      <c r="AI5" s="38" t="s">
        <v>96</v>
      </c>
      <c r="AJ5" s="38" t="s">
        <v>97</v>
      </c>
      <c r="AK5" s="38" t="s">
        <v>41</v>
      </c>
      <c r="AL5" s="38" t="s">
        <v>44</v>
      </c>
      <c r="AM5" s="38" t="s">
        <v>98</v>
      </c>
      <c r="AN5" s="38" t="s">
        <v>99</v>
      </c>
      <c r="AO5" s="38" t="s">
        <v>100</v>
      </c>
      <c r="AP5" s="38" t="s">
        <v>101</v>
      </c>
      <c r="AQ5" s="38" t="s">
        <v>102</v>
      </c>
      <c r="AR5" s="38" t="s">
        <v>103</v>
      </c>
      <c r="AS5" s="38" t="s">
        <v>104</v>
      </c>
      <c r="AT5" s="38" t="s">
        <v>105</v>
      </c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  <c r="AMJ5" s="27"/>
      <c r="AMK5" s="27"/>
      <c r="AML5" s="27"/>
    </row>
    <row r="6" ht="15.75" customHeight="1">
      <c r="A6" s="40" t="s">
        <v>106</v>
      </c>
      <c r="B6" s="40" t="s">
        <v>106</v>
      </c>
      <c r="C6" s="8" t="s">
        <v>106</v>
      </c>
      <c r="D6" s="40" t="s">
        <v>106</v>
      </c>
      <c r="E6" s="8"/>
      <c r="F6" s="8" t="s">
        <v>107</v>
      </c>
      <c r="G6" s="8" t="s">
        <v>106</v>
      </c>
      <c r="H6" s="8" t="s">
        <v>106</v>
      </c>
      <c r="I6" s="8"/>
      <c r="J6" s="8" t="s">
        <v>108</v>
      </c>
      <c r="K6" s="8" t="s">
        <v>106</v>
      </c>
      <c r="L6" s="8" t="s">
        <v>106</v>
      </c>
      <c r="M6" s="8" t="s">
        <v>106</v>
      </c>
      <c r="N6" s="8"/>
      <c r="O6" s="8"/>
      <c r="Q6" t="s">
        <v>109</v>
      </c>
      <c r="R6" t="s">
        <v>106</v>
      </c>
      <c r="S6" t="s">
        <v>106</v>
      </c>
      <c r="U6" t="s">
        <v>110</v>
      </c>
      <c r="W6" t="s">
        <v>106</v>
      </c>
      <c r="X6" t="s">
        <v>106</v>
      </c>
      <c r="Y6" t="s">
        <v>106</v>
      </c>
      <c r="Z6" t="s">
        <v>111</v>
      </c>
      <c r="AB6" t="s">
        <v>50</v>
      </c>
      <c r="AC6" s="41">
        <v>200.0</v>
      </c>
      <c r="AD6" t="s">
        <v>106</v>
      </c>
      <c r="AE6" t="s">
        <v>106</v>
      </c>
      <c r="AF6" t="s">
        <v>112</v>
      </c>
      <c r="AG6" t="s">
        <v>106</v>
      </c>
      <c r="AH6" t="s">
        <v>106</v>
      </c>
      <c r="AI6" t="s">
        <v>113</v>
      </c>
      <c r="AJ6" t="s">
        <v>113</v>
      </c>
      <c r="AK6" t="s">
        <v>114</v>
      </c>
      <c r="AL6" t="s">
        <v>115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 t="s">
        <v>106</v>
      </c>
      <c r="BM6" t="s">
        <v>106</v>
      </c>
      <c r="BN6" t="s">
        <v>106</v>
      </c>
      <c r="BO6" t="s">
        <v>106</v>
      </c>
      <c r="BP6" t="s">
        <v>106</v>
      </c>
      <c r="BQ6" t="s">
        <v>106</v>
      </c>
      <c r="BR6" t="s">
        <v>106</v>
      </c>
      <c r="BS6" t="s">
        <v>106</v>
      </c>
      <c r="BT6" t="s">
        <v>106</v>
      </c>
      <c r="BU6" t="s">
        <v>106</v>
      </c>
      <c r="BV6" t="s">
        <v>106</v>
      </c>
      <c r="BW6" t="s">
        <v>106</v>
      </c>
      <c r="BX6" t="s">
        <v>106</v>
      </c>
      <c r="BY6" t="s">
        <v>106</v>
      </c>
      <c r="BZ6" t="s">
        <v>106</v>
      </c>
      <c r="CA6" t="s">
        <v>106</v>
      </c>
      <c r="CB6" t="s">
        <v>106</v>
      </c>
      <c r="CC6" t="s">
        <v>106</v>
      </c>
      <c r="CD6" t="s">
        <v>106</v>
      </c>
      <c r="CE6" t="s">
        <v>106</v>
      </c>
      <c r="CF6" t="s">
        <v>106</v>
      </c>
      <c r="CG6" t="s">
        <v>106</v>
      </c>
      <c r="CH6" t="s">
        <v>106</v>
      </c>
      <c r="CI6" t="s">
        <v>106</v>
      </c>
      <c r="CJ6" t="s">
        <v>106</v>
      </c>
      <c r="CK6" t="s">
        <v>106</v>
      </c>
      <c r="CL6" t="s">
        <v>106</v>
      </c>
      <c r="CM6" t="s">
        <v>106</v>
      </c>
      <c r="CN6" t="s">
        <v>106</v>
      </c>
      <c r="CO6" t="s">
        <v>106</v>
      </c>
      <c r="CP6" t="s">
        <v>106</v>
      </c>
      <c r="CQ6" t="s">
        <v>106</v>
      </c>
      <c r="CR6" t="s">
        <v>106</v>
      </c>
      <c r="CS6" t="s">
        <v>106</v>
      </c>
      <c r="CT6" t="s">
        <v>106</v>
      </c>
      <c r="CU6" t="s">
        <v>106</v>
      </c>
      <c r="CV6" t="s">
        <v>106</v>
      </c>
      <c r="CW6" t="s">
        <v>106</v>
      </c>
      <c r="CX6" t="s">
        <v>106</v>
      </c>
      <c r="CY6" t="s">
        <v>106</v>
      </c>
      <c r="CZ6" t="s">
        <v>106</v>
      </c>
      <c r="DA6" t="s">
        <v>106</v>
      </c>
      <c r="DB6" t="s">
        <v>106</v>
      </c>
      <c r="DC6" t="s">
        <v>106</v>
      </c>
      <c r="DD6" t="s">
        <v>106</v>
      </c>
      <c r="DE6" t="s">
        <v>106</v>
      </c>
      <c r="DF6" t="s">
        <v>106</v>
      </c>
      <c r="DG6" t="s">
        <v>106</v>
      </c>
      <c r="DH6" t="s">
        <v>106</v>
      </c>
      <c r="DI6" t="s">
        <v>106</v>
      </c>
      <c r="DJ6" t="s">
        <v>106</v>
      </c>
      <c r="DK6" t="s">
        <v>106</v>
      </c>
      <c r="DL6" t="s">
        <v>106</v>
      </c>
      <c r="DM6" t="s">
        <v>106</v>
      </c>
      <c r="DN6" t="s">
        <v>106</v>
      </c>
      <c r="DO6" t="s">
        <v>106</v>
      </c>
      <c r="DP6" t="s">
        <v>106</v>
      </c>
      <c r="DQ6" t="s">
        <v>106</v>
      </c>
      <c r="DR6" t="s">
        <v>106</v>
      </c>
      <c r="DS6" t="s">
        <v>106</v>
      </c>
      <c r="DT6" t="s">
        <v>106</v>
      </c>
      <c r="DU6" t="s">
        <v>106</v>
      </c>
      <c r="DV6" t="s">
        <v>106</v>
      </c>
      <c r="DW6" t="s">
        <v>106</v>
      </c>
      <c r="DX6" t="s">
        <v>106</v>
      </c>
      <c r="DY6" t="s">
        <v>106</v>
      </c>
      <c r="DZ6" t="s">
        <v>106</v>
      </c>
      <c r="EA6" t="s">
        <v>106</v>
      </c>
      <c r="EB6" t="s">
        <v>106</v>
      </c>
      <c r="EC6" t="s">
        <v>106</v>
      </c>
      <c r="ED6" t="s">
        <v>106</v>
      </c>
      <c r="EE6" t="s">
        <v>106</v>
      </c>
      <c r="EF6" t="s">
        <v>106</v>
      </c>
      <c r="EG6" t="s">
        <v>106</v>
      </c>
      <c r="EH6" t="s">
        <v>106</v>
      </c>
      <c r="EI6" t="s">
        <v>106</v>
      </c>
      <c r="EJ6" t="s">
        <v>106</v>
      </c>
      <c r="EK6" t="s">
        <v>106</v>
      </c>
      <c r="EL6" t="s">
        <v>106</v>
      </c>
      <c r="EM6" t="s">
        <v>106</v>
      </c>
      <c r="EN6" t="s">
        <v>106</v>
      </c>
      <c r="EO6" t="s">
        <v>106</v>
      </c>
      <c r="EP6" t="s">
        <v>106</v>
      </c>
      <c r="EQ6" t="s">
        <v>106</v>
      </c>
      <c r="ER6" t="s">
        <v>106</v>
      </c>
      <c r="ES6" t="s">
        <v>106</v>
      </c>
      <c r="ET6" t="s">
        <v>106</v>
      </c>
      <c r="EU6" t="s">
        <v>106</v>
      </c>
      <c r="EV6" t="s">
        <v>106</v>
      </c>
      <c r="EW6" t="s">
        <v>106</v>
      </c>
      <c r="EX6" t="s">
        <v>106</v>
      </c>
      <c r="EY6" t="s">
        <v>106</v>
      </c>
      <c r="EZ6" t="s">
        <v>106</v>
      </c>
      <c r="FA6" t="s">
        <v>106</v>
      </c>
      <c r="FB6" t="s">
        <v>106</v>
      </c>
      <c r="FC6" t="s">
        <v>106</v>
      </c>
      <c r="FD6" t="s">
        <v>106</v>
      </c>
      <c r="FE6" t="s">
        <v>106</v>
      </c>
      <c r="FF6" t="s">
        <v>106</v>
      </c>
      <c r="FG6" t="s">
        <v>106</v>
      </c>
      <c r="FH6" t="s">
        <v>106</v>
      </c>
      <c r="FI6" t="s">
        <v>106</v>
      </c>
      <c r="FJ6" t="s">
        <v>106</v>
      </c>
      <c r="FK6" t="s">
        <v>106</v>
      </c>
      <c r="FL6" t="s">
        <v>106</v>
      </c>
      <c r="FM6" t="s">
        <v>106</v>
      </c>
      <c r="FN6" t="s">
        <v>106</v>
      </c>
      <c r="FO6" t="s">
        <v>106</v>
      </c>
      <c r="FP6" t="s">
        <v>106</v>
      </c>
      <c r="FQ6" t="s">
        <v>106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106</v>
      </c>
      <c r="B7" s="8" t="s">
        <v>106</v>
      </c>
      <c r="C7" s="8" t="s">
        <v>106</v>
      </c>
      <c r="D7" s="8" t="s">
        <v>106</v>
      </c>
      <c r="E7" s="8"/>
      <c r="F7" s="8" t="s">
        <v>116</v>
      </c>
      <c r="G7" s="8" t="s">
        <v>106</v>
      </c>
      <c r="H7" s="8" t="s">
        <v>106</v>
      </c>
      <c r="I7" s="8"/>
      <c r="J7" s="8" t="s">
        <v>108</v>
      </c>
      <c r="K7" s="8" t="s">
        <v>106</v>
      </c>
      <c r="L7" s="8" t="s">
        <v>106</v>
      </c>
      <c r="M7" s="8" t="s">
        <v>106</v>
      </c>
      <c r="N7" s="8"/>
      <c r="O7" s="8"/>
      <c r="Q7" t="s">
        <v>117</v>
      </c>
      <c r="R7" t="s">
        <v>106</v>
      </c>
      <c r="S7" t="s">
        <v>106</v>
      </c>
      <c r="U7" t="s">
        <v>110</v>
      </c>
      <c r="W7" t="s">
        <v>106</v>
      </c>
      <c r="X7" t="s">
        <v>106</v>
      </c>
      <c r="Y7" t="s">
        <v>106</v>
      </c>
      <c r="Z7" t="s">
        <v>111</v>
      </c>
      <c r="AB7" t="s">
        <v>53</v>
      </c>
      <c r="AC7" s="43">
        <v>100.0</v>
      </c>
      <c r="AD7" t="s">
        <v>106</v>
      </c>
      <c r="AE7" t="s">
        <v>106</v>
      </c>
      <c r="AF7" t="s">
        <v>112</v>
      </c>
      <c r="AG7" t="s">
        <v>106</v>
      </c>
      <c r="AH7" t="s">
        <v>106</v>
      </c>
      <c r="AI7" t="s">
        <v>113</v>
      </c>
      <c r="AJ7" t="s">
        <v>113</v>
      </c>
      <c r="AK7" t="s">
        <v>114</v>
      </c>
      <c r="AL7" t="s">
        <v>115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 t="s">
        <v>106</v>
      </c>
      <c r="BM7" t="s">
        <v>106</v>
      </c>
      <c r="BN7" t="s">
        <v>106</v>
      </c>
      <c r="BO7" t="s">
        <v>106</v>
      </c>
      <c r="BP7" t="s">
        <v>106</v>
      </c>
      <c r="BQ7" t="s">
        <v>106</v>
      </c>
      <c r="BR7" t="s">
        <v>106</v>
      </c>
      <c r="BS7" t="s">
        <v>106</v>
      </c>
      <c r="BT7" t="s">
        <v>106</v>
      </c>
      <c r="BU7" t="s">
        <v>106</v>
      </c>
      <c r="BV7" t="s">
        <v>106</v>
      </c>
      <c r="BW7" t="s">
        <v>106</v>
      </c>
      <c r="BX7" t="s">
        <v>106</v>
      </c>
      <c r="BY7" t="s">
        <v>106</v>
      </c>
      <c r="BZ7" t="s">
        <v>106</v>
      </c>
      <c r="CA7" t="s">
        <v>106</v>
      </c>
      <c r="CB7" t="s">
        <v>106</v>
      </c>
      <c r="CC7" t="s">
        <v>106</v>
      </c>
      <c r="CD7" t="s">
        <v>106</v>
      </c>
      <c r="CE7" t="s">
        <v>106</v>
      </c>
      <c r="CF7" t="s">
        <v>106</v>
      </c>
      <c r="CG7" t="s">
        <v>106</v>
      </c>
      <c r="CH7" t="s">
        <v>106</v>
      </c>
      <c r="CI7" t="s">
        <v>106</v>
      </c>
      <c r="CJ7" t="s">
        <v>106</v>
      </c>
      <c r="CK7" t="s">
        <v>106</v>
      </c>
      <c r="CL7" t="s">
        <v>106</v>
      </c>
      <c r="CM7" t="s">
        <v>106</v>
      </c>
      <c r="CN7" t="s">
        <v>106</v>
      </c>
      <c r="CO7" t="s">
        <v>106</v>
      </c>
      <c r="CP7" t="s">
        <v>106</v>
      </c>
      <c r="CQ7" t="s">
        <v>106</v>
      </c>
      <c r="CR7" t="s">
        <v>106</v>
      </c>
      <c r="CS7" t="s">
        <v>106</v>
      </c>
      <c r="CT7" t="s">
        <v>106</v>
      </c>
      <c r="CU7" t="s">
        <v>106</v>
      </c>
      <c r="CV7" t="s">
        <v>106</v>
      </c>
      <c r="CW7" t="s">
        <v>106</v>
      </c>
      <c r="CX7" t="s">
        <v>106</v>
      </c>
      <c r="CY7" t="s">
        <v>106</v>
      </c>
      <c r="CZ7" t="s">
        <v>106</v>
      </c>
      <c r="DA7" t="s">
        <v>106</v>
      </c>
      <c r="DB7" t="s">
        <v>106</v>
      </c>
      <c r="DC7" t="s">
        <v>106</v>
      </c>
      <c r="DD7" t="s">
        <v>106</v>
      </c>
      <c r="DE7" t="s">
        <v>106</v>
      </c>
      <c r="DF7" t="s">
        <v>106</v>
      </c>
      <c r="DG7" t="s">
        <v>106</v>
      </c>
      <c r="DH7" t="s">
        <v>106</v>
      </c>
      <c r="DI7" t="s">
        <v>106</v>
      </c>
      <c r="DJ7" t="s">
        <v>106</v>
      </c>
      <c r="DK7" t="s">
        <v>106</v>
      </c>
      <c r="DL7" t="s">
        <v>106</v>
      </c>
      <c r="DM7" t="s">
        <v>106</v>
      </c>
      <c r="DN7" t="s">
        <v>106</v>
      </c>
      <c r="DO7" t="s">
        <v>106</v>
      </c>
      <c r="DP7" t="s">
        <v>106</v>
      </c>
      <c r="DQ7" t="s">
        <v>106</v>
      </c>
      <c r="DR7" t="s">
        <v>106</v>
      </c>
      <c r="DS7" t="s">
        <v>106</v>
      </c>
      <c r="DT7" t="s">
        <v>106</v>
      </c>
      <c r="DU7" t="s">
        <v>106</v>
      </c>
      <c r="DV7" t="s">
        <v>106</v>
      </c>
      <c r="DW7" t="s">
        <v>106</v>
      </c>
      <c r="DX7" t="s">
        <v>106</v>
      </c>
      <c r="DY7" t="s">
        <v>106</v>
      </c>
      <c r="DZ7" t="s">
        <v>106</v>
      </c>
      <c r="EA7" t="s">
        <v>106</v>
      </c>
      <c r="EB7" t="s">
        <v>106</v>
      </c>
      <c r="EC7" t="s">
        <v>106</v>
      </c>
      <c r="ED7" t="s">
        <v>106</v>
      </c>
      <c r="EE7" t="s">
        <v>106</v>
      </c>
      <c r="EF7" t="s">
        <v>106</v>
      </c>
      <c r="EG7" t="s">
        <v>106</v>
      </c>
      <c r="EH7" t="s">
        <v>106</v>
      </c>
      <c r="EI7" t="s">
        <v>106</v>
      </c>
      <c r="EJ7" t="s">
        <v>106</v>
      </c>
      <c r="EK7" t="s">
        <v>106</v>
      </c>
      <c r="EL7" t="s">
        <v>106</v>
      </c>
      <c r="EM7" t="s">
        <v>106</v>
      </c>
      <c r="EN7" t="s">
        <v>106</v>
      </c>
      <c r="EO7" t="s">
        <v>106</v>
      </c>
      <c r="EP7" t="s">
        <v>106</v>
      </c>
      <c r="EQ7" t="s">
        <v>106</v>
      </c>
      <c r="ER7" t="s">
        <v>106</v>
      </c>
      <c r="ES7" t="s">
        <v>106</v>
      </c>
      <c r="ET7" t="s">
        <v>106</v>
      </c>
      <c r="EU7" t="s">
        <v>106</v>
      </c>
      <c r="EV7" t="s">
        <v>106</v>
      </c>
      <c r="EW7" t="s">
        <v>106</v>
      </c>
      <c r="EX7" t="s">
        <v>106</v>
      </c>
      <c r="EY7" t="s">
        <v>106</v>
      </c>
      <c r="EZ7" t="s">
        <v>106</v>
      </c>
      <c r="FA7" t="s">
        <v>106</v>
      </c>
      <c r="FB7" t="s">
        <v>106</v>
      </c>
      <c r="FC7" t="s">
        <v>106</v>
      </c>
      <c r="FD7" t="s">
        <v>106</v>
      </c>
      <c r="FE7" t="s">
        <v>106</v>
      </c>
      <c r="FF7" t="s">
        <v>106</v>
      </c>
      <c r="FG7" t="s">
        <v>106</v>
      </c>
      <c r="FH7" t="s">
        <v>106</v>
      </c>
      <c r="FI7" t="s">
        <v>106</v>
      </c>
      <c r="FJ7" t="s">
        <v>106</v>
      </c>
      <c r="FK7" t="s">
        <v>106</v>
      </c>
      <c r="FL7" t="s">
        <v>106</v>
      </c>
      <c r="FM7" t="s">
        <v>106</v>
      </c>
      <c r="FN7" t="s">
        <v>106</v>
      </c>
      <c r="FO7" t="s">
        <v>106</v>
      </c>
      <c r="FP7" t="s">
        <v>106</v>
      </c>
      <c r="FQ7" t="s">
        <v>106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 t="s">
        <v>106</v>
      </c>
      <c r="B8" s="8" t="s">
        <v>106</v>
      </c>
      <c r="C8" s="8" t="s">
        <v>106</v>
      </c>
      <c r="D8" s="8" t="s">
        <v>106</v>
      </c>
      <c r="E8" s="8"/>
      <c r="F8" s="8" t="s">
        <v>116</v>
      </c>
      <c r="G8" s="8" t="s">
        <v>106</v>
      </c>
      <c r="H8" s="8" t="s">
        <v>106</v>
      </c>
      <c r="I8" s="8"/>
      <c r="J8" s="8" t="s">
        <v>108</v>
      </c>
      <c r="K8" s="8" t="s">
        <v>106</v>
      </c>
      <c r="L8" s="8" t="s">
        <v>106</v>
      </c>
      <c r="M8" s="8" t="s">
        <v>106</v>
      </c>
      <c r="N8" s="8"/>
      <c r="O8" s="8"/>
      <c r="Q8" t="s">
        <v>118</v>
      </c>
      <c r="R8" t="s">
        <v>106</v>
      </c>
      <c r="S8" t="s">
        <v>106</v>
      </c>
      <c r="U8" t="s">
        <v>110</v>
      </c>
      <c r="W8" t="s">
        <v>106</v>
      </c>
      <c r="X8" t="s">
        <v>106</v>
      </c>
      <c r="Y8" t="s">
        <v>106</v>
      </c>
      <c r="Z8" t="s">
        <v>111</v>
      </c>
      <c r="AB8" t="s">
        <v>55</v>
      </c>
      <c r="AC8" s="44">
        <v>100.0</v>
      </c>
      <c r="AD8" t="s">
        <v>106</v>
      </c>
      <c r="AE8" t="s">
        <v>106</v>
      </c>
      <c r="AF8" t="s">
        <v>119</v>
      </c>
      <c r="AG8" t="s">
        <v>106</v>
      </c>
      <c r="AH8" t="s">
        <v>106</v>
      </c>
      <c r="AI8" t="s">
        <v>113</v>
      </c>
      <c r="AJ8" t="s">
        <v>113</v>
      </c>
      <c r="AK8" t="s">
        <v>114</v>
      </c>
      <c r="AL8" t="s">
        <v>115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 t="s">
        <v>106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 t="s">
        <v>106</v>
      </c>
      <c r="BM8" t="s">
        <v>106</v>
      </c>
      <c r="BN8" t="s">
        <v>106</v>
      </c>
      <c r="BO8" t="s">
        <v>106</v>
      </c>
      <c r="BP8" t="s">
        <v>106</v>
      </c>
      <c r="BQ8" t="s">
        <v>106</v>
      </c>
      <c r="BR8" t="s">
        <v>106</v>
      </c>
      <c r="BS8" t="s">
        <v>106</v>
      </c>
      <c r="BT8" t="s">
        <v>106</v>
      </c>
      <c r="BU8" t="s">
        <v>106</v>
      </c>
      <c r="BV8" t="s">
        <v>106</v>
      </c>
      <c r="BW8" t="s">
        <v>106</v>
      </c>
      <c r="BX8" t="s">
        <v>106</v>
      </c>
      <c r="BY8" t="s">
        <v>106</v>
      </c>
      <c r="BZ8" t="s">
        <v>106</v>
      </c>
      <c r="CA8" t="s">
        <v>106</v>
      </c>
      <c r="CB8" t="s">
        <v>106</v>
      </c>
      <c r="CC8" t="s">
        <v>106</v>
      </c>
      <c r="CD8" t="s">
        <v>106</v>
      </c>
      <c r="CE8" t="s">
        <v>106</v>
      </c>
      <c r="CF8" t="s">
        <v>106</v>
      </c>
      <c r="CG8" t="s">
        <v>106</v>
      </c>
      <c r="CH8" t="s">
        <v>106</v>
      </c>
      <c r="CI8" t="s">
        <v>106</v>
      </c>
      <c r="CJ8" t="s">
        <v>106</v>
      </c>
      <c r="CK8" t="s">
        <v>106</v>
      </c>
      <c r="CL8" t="s">
        <v>106</v>
      </c>
      <c r="CM8" t="s">
        <v>106</v>
      </c>
      <c r="CN8" t="s">
        <v>106</v>
      </c>
      <c r="CO8" t="s">
        <v>106</v>
      </c>
      <c r="CP8" t="s">
        <v>106</v>
      </c>
      <c r="CQ8" t="s">
        <v>106</v>
      </c>
      <c r="CR8" t="s">
        <v>106</v>
      </c>
      <c r="CS8" t="s">
        <v>106</v>
      </c>
      <c r="CT8" t="s">
        <v>106</v>
      </c>
      <c r="CU8" t="s">
        <v>106</v>
      </c>
      <c r="CV8" t="s">
        <v>106</v>
      </c>
      <c r="CW8" t="s">
        <v>106</v>
      </c>
      <c r="CX8" t="s">
        <v>106</v>
      </c>
      <c r="CY8" t="s">
        <v>106</v>
      </c>
      <c r="CZ8" t="s">
        <v>106</v>
      </c>
      <c r="DA8" t="s">
        <v>106</v>
      </c>
      <c r="DB8" t="s">
        <v>106</v>
      </c>
      <c r="DC8" t="s">
        <v>106</v>
      </c>
      <c r="DD8" t="s">
        <v>106</v>
      </c>
      <c r="DE8" t="s">
        <v>106</v>
      </c>
      <c r="DF8" t="s">
        <v>106</v>
      </c>
      <c r="DG8" t="s">
        <v>106</v>
      </c>
      <c r="DH8" t="s">
        <v>106</v>
      </c>
      <c r="DI8" t="s">
        <v>106</v>
      </c>
      <c r="DJ8" t="s">
        <v>106</v>
      </c>
      <c r="DK8" t="s">
        <v>106</v>
      </c>
      <c r="DL8" t="s">
        <v>106</v>
      </c>
      <c r="DM8" t="s">
        <v>106</v>
      </c>
      <c r="DN8" t="s">
        <v>106</v>
      </c>
      <c r="DO8" t="s">
        <v>106</v>
      </c>
      <c r="DP8" t="s">
        <v>106</v>
      </c>
      <c r="DQ8" t="s">
        <v>106</v>
      </c>
      <c r="DR8" t="s">
        <v>106</v>
      </c>
      <c r="DS8" t="s">
        <v>106</v>
      </c>
      <c r="DT8" t="s">
        <v>106</v>
      </c>
      <c r="DU8" t="s">
        <v>106</v>
      </c>
      <c r="DV8" t="s">
        <v>106</v>
      </c>
      <c r="DW8" t="s">
        <v>106</v>
      </c>
      <c r="DX8" t="s">
        <v>106</v>
      </c>
      <c r="DY8" t="s">
        <v>106</v>
      </c>
      <c r="DZ8" t="s">
        <v>106</v>
      </c>
      <c r="EA8" t="s">
        <v>106</v>
      </c>
      <c r="EB8" t="s">
        <v>106</v>
      </c>
      <c r="EC8" t="s">
        <v>106</v>
      </c>
      <c r="ED8" t="s">
        <v>106</v>
      </c>
      <c r="EE8" t="s">
        <v>106</v>
      </c>
      <c r="EF8" t="s">
        <v>106</v>
      </c>
      <c r="EG8" t="s">
        <v>106</v>
      </c>
      <c r="EH8" t="s">
        <v>106</v>
      </c>
      <c r="EI8" t="s">
        <v>106</v>
      </c>
      <c r="EJ8" t="s">
        <v>106</v>
      </c>
      <c r="EK8" t="s">
        <v>106</v>
      </c>
      <c r="EL8" t="s">
        <v>106</v>
      </c>
      <c r="EM8" t="s">
        <v>106</v>
      </c>
      <c r="EN8" t="s">
        <v>106</v>
      </c>
      <c r="EO8" t="s">
        <v>106</v>
      </c>
      <c r="EP8" t="s">
        <v>106</v>
      </c>
      <c r="EQ8" t="s">
        <v>106</v>
      </c>
      <c r="ER8" t="s">
        <v>106</v>
      </c>
      <c r="ES8" t="s">
        <v>106</v>
      </c>
      <c r="ET8" t="s">
        <v>106</v>
      </c>
      <c r="EU8" t="s">
        <v>106</v>
      </c>
      <c r="EV8" t="s">
        <v>106</v>
      </c>
      <c r="EW8" t="s">
        <v>106</v>
      </c>
      <c r="EX8" t="s">
        <v>106</v>
      </c>
      <c r="EY8" t="s">
        <v>106</v>
      </c>
      <c r="EZ8" t="s">
        <v>106</v>
      </c>
      <c r="FA8" t="s">
        <v>106</v>
      </c>
      <c r="FB8" t="s">
        <v>106</v>
      </c>
      <c r="FC8" t="s">
        <v>106</v>
      </c>
      <c r="FD8" t="s">
        <v>106</v>
      </c>
      <c r="FE8" t="s">
        <v>106</v>
      </c>
      <c r="FF8" t="s">
        <v>106</v>
      </c>
      <c r="FG8" t="s">
        <v>106</v>
      </c>
      <c r="FH8" t="s">
        <v>106</v>
      </c>
      <c r="FI8" t="s">
        <v>106</v>
      </c>
      <c r="FJ8" t="s">
        <v>106</v>
      </c>
      <c r="FK8" t="s">
        <v>106</v>
      </c>
      <c r="FL8" t="s">
        <v>106</v>
      </c>
      <c r="FM8" t="s">
        <v>106</v>
      </c>
      <c r="FN8" t="s">
        <v>106</v>
      </c>
      <c r="FO8" t="s">
        <v>106</v>
      </c>
      <c r="FP8" t="s">
        <v>106</v>
      </c>
      <c r="FQ8" t="s">
        <v>106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 t="s">
        <v>106</v>
      </c>
      <c r="B9" s="8" t="s">
        <v>106</v>
      </c>
      <c r="C9" s="8" t="s">
        <v>106</v>
      </c>
      <c r="D9" s="8" t="s">
        <v>106</v>
      </c>
      <c r="E9" s="8"/>
      <c r="F9" s="8" t="s">
        <v>116</v>
      </c>
      <c r="G9" s="8" t="s">
        <v>106</v>
      </c>
      <c r="H9" s="8" t="s">
        <v>106</v>
      </c>
      <c r="I9" s="8"/>
      <c r="J9" s="8" t="s">
        <v>108</v>
      </c>
      <c r="K9" s="8" t="s">
        <v>106</v>
      </c>
      <c r="L9" s="8" t="s">
        <v>106</v>
      </c>
      <c r="M9" s="8" t="s">
        <v>106</v>
      </c>
      <c r="N9" s="8"/>
      <c r="O9" s="8"/>
      <c r="Q9" t="s">
        <v>120</v>
      </c>
      <c r="R9" t="s">
        <v>106</v>
      </c>
      <c r="S9" t="s">
        <v>106</v>
      </c>
      <c r="U9" t="s">
        <v>110</v>
      </c>
      <c r="W9" t="s">
        <v>106</v>
      </c>
      <c r="X9" t="s">
        <v>106</v>
      </c>
      <c r="Y9" t="s">
        <v>106</v>
      </c>
      <c r="Z9" t="s">
        <v>111</v>
      </c>
      <c r="AB9" t="s">
        <v>56</v>
      </c>
      <c r="AC9" s="45">
        <v>100.0</v>
      </c>
      <c r="AD9" t="s">
        <v>106</v>
      </c>
      <c r="AE9" t="s">
        <v>106</v>
      </c>
      <c r="AF9" t="s">
        <v>119</v>
      </c>
      <c r="AG9" t="s">
        <v>106</v>
      </c>
      <c r="AH9" t="s">
        <v>106</v>
      </c>
      <c r="AI9" t="s">
        <v>113</v>
      </c>
      <c r="AJ9" t="s">
        <v>113</v>
      </c>
      <c r="AK9" t="s">
        <v>114</v>
      </c>
      <c r="AL9" t="s">
        <v>115</v>
      </c>
      <c r="AT9" t="s">
        <v>106</v>
      </c>
      <c r="AU9" t="s">
        <v>106</v>
      </c>
      <c r="AV9" t="s">
        <v>106</v>
      </c>
      <c r="AW9" t="s">
        <v>106</v>
      </c>
      <c r="AX9" t="s">
        <v>106</v>
      </c>
      <c r="AY9" t="s">
        <v>106</v>
      </c>
      <c r="AZ9" t="s">
        <v>106</v>
      </c>
      <c r="BA9" t="s">
        <v>106</v>
      </c>
      <c r="BB9" t="s">
        <v>106</v>
      </c>
      <c r="BC9" t="s">
        <v>106</v>
      </c>
      <c r="BD9" t="s">
        <v>106</v>
      </c>
      <c r="BE9" t="s">
        <v>106</v>
      </c>
      <c r="BF9" t="s">
        <v>106</v>
      </c>
      <c r="BG9" t="s">
        <v>106</v>
      </c>
      <c r="BH9" t="s">
        <v>106</v>
      </c>
      <c r="BI9" t="s">
        <v>106</v>
      </c>
      <c r="BJ9" t="s">
        <v>106</v>
      </c>
      <c r="BK9" t="s">
        <v>106</v>
      </c>
      <c r="BL9" t="s">
        <v>106</v>
      </c>
      <c r="BM9" t="s">
        <v>106</v>
      </c>
      <c r="BN9" t="s">
        <v>106</v>
      </c>
      <c r="BO9" t="s">
        <v>106</v>
      </c>
      <c r="BP9" t="s">
        <v>106</v>
      </c>
      <c r="BQ9" t="s">
        <v>106</v>
      </c>
      <c r="BR9" t="s">
        <v>106</v>
      </c>
      <c r="BS9" t="s">
        <v>106</v>
      </c>
      <c r="BT9" t="s">
        <v>106</v>
      </c>
      <c r="BU9" t="s">
        <v>106</v>
      </c>
      <c r="BV9" t="s">
        <v>106</v>
      </c>
      <c r="BW9" t="s">
        <v>106</v>
      </c>
      <c r="BX9" t="s">
        <v>106</v>
      </c>
      <c r="BY9" t="s">
        <v>106</v>
      </c>
      <c r="BZ9" t="s">
        <v>106</v>
      </c>
      <c r="CA9" t="s">
        <v>106</v>
      </c>
      <c r="CB9" t="s">
        <v>106</v>
      </c>
      <c r="CC9" t="s">
        <v>106</v>
      </c>
      <c r="CD9" t="s">
        <v>106</v>
      </c>
      <c r="CE9" t="s">
        <v>106</v>
      </c>
      <c r="CF9" t="s">
        <v>106</v>
      </c>
      <c r="CG9" t="s">
        <v>106</v>
      </c>
      <c r="CH9" t="s">
        <v>106</v>
      </c>
      <c r="CI9" t="s">
        <v>106</v>
      </c>
      <c r="CJ9" t="s">
        <v>106</v>
      </c>
      <c r="CK9" t="s">
        <v>106</v>
      </c>
      <c r="CL9" t="s">
        <v>106</v>
      </c>
      <c r="CM9" t="s">
        <v>106</v>
      </c>
      <c r="CN9" t="s">
        <v>106</v>
      </c>
      <c r="CO9" t="s">
        <v>106</v>
      </c>
      <c r="CP9" t="s">
        <v>106</v>
      </c>
      <c r="CQ9" t="s">
        <v>106</v>
      </c>
      <c r="CR9" t="s">
        <v>106</v>
      </c>
      <c r="CS9" t="s">
        <v>106</v>
      </c>
      <c r="CT9" t="s">
        <v>106</v>
      </c>
      <c r="CU9" t="s">
        <v>106</v>
      </c>
      <c r="CV9" t="s">
        <v>106</v>
      </c>
      <c r="CW9" t="s">
        <v>106</v>
      </c>
      <c r="CX9" t="s">
        <v>106</v>
      </c>
      <c r="CY9" t="s">
        <v>106</v>
      </c>
      <c r="CZ9" t="s">
        <v>106</v>
      </c>
      <c r="DA9" t="s">
        <v>106</v>
      </c>
      <c r="DB9" t="s">
        <v>106</v>
      </c>
      <c r="DC9" t="s">
        <v>106</v>
      </c>
      <c r="DD9" t="s">
        <v>106</v>
      </c>
      <c r="DE9" t="s">
        <v>106</v>
      </c>
      <c r="DF9" t="s">
        <v>106</v>
      </c>
      <c r="DG9" t="s">
        <v>106</v>
      </c>
      <c r="DH9" t="s">
        <v>106</v>
      </c>
      <c r="DI9" t="s">
        <v>106</v>
      </c>
      <c r="DJ9" t="s">
        <v>106</v>
      </c>
      <c r="DK9" t="s">
        <v>106</v>
      </c>
      <c r="DL9" t="s">
        <v>106</v>
      </c>
      <c r="DM9" t="s">
        <v>106</v>
      </c>
      <c r="DN9" t="s">
        <v>106</v>
      </c>
      <c r="DO9" t="s">
        <v>106</v>
      </c>
      <c r="DP9" t="s">
        <v>106</v>
      </c>
      <c r="DQ9" t="s">
        <v>106</v>
      </c>
      <c r="DR9" t="s">
        <v>106</v>
      </c>
      <c r="DS9" t="s">
        <v>106</v>
      </c>
      <c r="DT9" t="s">
        <v>106</v>
      </c>
      <c r="DU9" t="s">
        <v>106</v>
      </c>
      <c r="DV9" t="s">
        <v>106</v>
      </c>
      <c r="DW9" t="s">
        <v>106</v>
      </c>
      <c r="DX9" t="s">
        <v>106</v>
      </c>
      <c r="DY9" t="s">
        <v>106</v>
      </c>
      <c r="DZ9" t="s">
        <v>106</v>
      </c>
      <c r="EA9" t="s">
        <v>106</v>
      </c>
      <c r="EB9" t="s">
        <v>106</v>
      </c>
      <c r="EC9" t="s">
        <v>106</v>
      </c>
      <c r="ED9" t="s">
        <v>106</v>
      </c>
      <c r="EE9" t="s">
        <v>106</v>
      </c>
      <c r="EF9" t="s">
        <v>106</v>
      </c>
      <c r="EG9" t="s">
        <v>106</v>
      </c>
      <c r="EH9" t="s">
        <v>106</v>
      </c>
      <c r="EI9" t="s">
        <v>106</v>
      </c>
      <c r="EJ9" t="s">
        <v>106</v>
      </c>
      <c r="EK9" t="s">
        <v>106</v>
      </c>
      <c r="EL9" t="s">
        <v>106</v>
      </c>
      <c r="EM9" t="s">
        <v>106</v>
      </c>
      <c r="EN9" t="s">
        <v>106</v>
      </c>
      <c r="EO9" t="s">
        <v>106</v>
      </c>
      <c r="EP9" t="s">
        <v>106</v>
      </c>
      <c r="EQ9" t="s">
        <v>106</v>
      </c>
      <c r="ER9" t="s">
        <v>106</v>
      </c>
      <c r="ES9" t="s">
        <v>106</v>
      </c>
      <c r="ET9" t="s">
        <v>106</v>
      </c>
      <c r="EU9" t="s">
        <v>106</v>
      </c>
      <c r="EV9" t="s">
        <v>106</v>
      </c>
      <c r="EW9" t="s">
        <v>106</v>
      </c>
      <c r="EX9" t="s">
        <v>106</v>
      </c>
      <c r="EY9" t="s">
        <v>106</v>
      </c>
      <c r="EZ9" t="s">
        <v>106</v>
      </c>
      <c r="FA9" t="s">
        <v>106</v>
      </c>
      <c r="FB9" t="s">
        <v>106</v>
      </c>
      <c r="FC9" t="s">
        <v>106</v>
      </c>
      <c r="FD9" t="s">
        <v>106</v>
      </c>
      <c r="FE9" t="s">
        <v>106</v>
      </c>
      <c r="FF9" t="s">
        <v>106</v>
      </c>
      <c r="FG9" t="s">
        <v>106</v>
      </c>
      <c r="FH9" t="s">
        <v>106</v>
      </c>
      <c r="FI9" t="s">
        <v>106</v>
      </c>
      <c r="FJ9" t="s">
        <v>106</v>
      </c>
      <c r="FK9" t="s">
        <v>106</v>
      </c>
      <c r="FL9" t="s">
        <v>106</v>
      </c>
      <c r="FM9" t="s">
        <v>106</v>
      </c>
      <c r="FN9" t="s">
        <v>106</v>
      </c>
      <c r="FO9" t="s">
        <v>106</v>
      </c>
      <c r="FP9" t="s">
        <v>106</v>
      </c>
      <c r="FQ9" t="s">
        <v>106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 t="s">
        <v>106</v>
      </c>
      <c r="B10" s="8" t="s">
        <v>106</v>
      </c>
      <c r="C10" s="8" t="s">
        <v>106</v>
      </c>
      <c r="D10" s="8" t="s">
        <v>106</v>
      </c>
      <c r="E10" s="8"/>
      <c r="F10" s="8" t="s">
        <v>116</v>
      </c>
      <c r="G10" s="8" t="s">
        <v>106</v>
      </c>
      <c r="H10" s="8" t="s">
        <v>106</v>
      </c>
      <c r="I10" s="8"/>
      <c r="J10" s="8" t="s">
        <v>108</v>
      </c>
      <c r="K10" s="8" t="s">
        <v>106</v>
      </c>
      <c r="L10" s="8" t="s">
        <v>106</v>
      </c>
      <c r="M10" s="8" t="s">
        <v>106</v>
      </c>
      <c r="N10" s="8"/>
      <c r="O10" s="8"/>
      <c r="Q10" t="s">
        <v>118</v>
      </c>
      <c r="R10" t="s">
        <v>106</v>
      </c>
      <c r="S10" t="s">
        <v>106</v>
      </c>
      <c r="U10" t="s">
        <v>110</v>
      </c>
      <c r="W10" t="s">
        <v>106</v>
      </c>
      <c r="X10" t="s">
        <v>106</v>
      </c>
      <c r="Y10" t="s">
        <v>106</v>
      </c>
      <c r="Z10" t="s">
        <v>111</v>
      </c>
      <c r="AB10" t="s">
        <v>55</v>
      </c>
      <c r="AC10" s="44">
        <v>100.0</v>
      </c>
      <c r="AD10" t="s">
        <v>106</v>
      </c>
      <c r="AE10" t="s">
        <v>106</v>
      </c>
      <c r="AF10" t="s">
        <v>112</v>
      </c>
      <c r="AG10" t="s">
        <v>106</v>
      </c>
      <c r="AH10" t="s">
        <v>106</v>
      </c>
      <c r="AI10" t="s">
        <v>113</v>
      </c>
      <c r="AJ10" t="s">
        <v>113</v>
      </c>
      <c r="AK10" t="s">
        <v>114</v>
      </c>
      <c r="AL10" t="s">
        <v>115</v>
      </c>
      <c r="AS10" t="s">
        <v>57</v>
      </c>
      <c r="AT10" t="s">
        <v>106</v>
      </c>
      <c r="AU10" t="s">
        <v>106</v>
      </c>
      <c r="AV10" t="s">
        <v>106</v>
      </c>
      <c r="AW10" t="s">
        <v>106</v>
      </c>
      <c r="AX10" t="s">
        <v>106</v>
      </c>
      <c r="AY10" t="s">
        <v>106</v>
      </c>
      <c r="AZ10" t="s">
        <v>106</v>
      </c>
      <c r="BA10" t="s">
        <v>106</v>
      </c>
      <c r="BB10" t="s">
        <v>106</v>
      </c>
      <c r="BC10" t="s">
        <v>106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106</v>
      </c>
      <c r="BJ10" t="s">
        <v>106</v>
      </c>
      <c r="BK10" t="s">
        <v>106</v>
      </c>
      <c r="BL10" t="s">
        <v>106</v>
      </c>
      <c r="BM10" t="s">
        <v>106</v>
      </c>
      <c r="BN10" t="s">
        <v>106</v>
      </c>
      <c r="BO10" t="s">
        <v>106</v>
      </c>
      <c r="BP10" t="s">
        <v>106</v>
      </c>
      <c r="BQ10" t="s">
        <v>106</v>
      </c>
      <c r="BR10" t="s">
        <v>106</v>
      </c>
      <c r="BS10" t="s">
        <v>106</v>
      </c>
      <c r="BT10" t="s">
        <v>106</v>
      </c>
      <c r="BU10" t="s">
        <v>106</v>
      </c>
      <c r="BV10" t="s">
        <v>106</v>
      </c>
      <c r="BW10" t="s">
        <v>106</v>
      </c>
      <c r="BX10" t="s">
        <v>106</v>
      </c>
      <c r="BY10" t="s">
        <v>106</v>
      </c>
      <c r="BZ10" t="s">
        <v>106</v>
      </c>
      <c r="CA10" t="s">
        <v>106</v>
      </c>
      <c r="CB10" t="s">
        <v>106</v>
      </c>
      <c r="CC10" t="s">
        <v>106</v>
      </c>
      <c r="CD10" t="s">
        <v>106</v>
      </c>
      <c r="CE10" t="s">
        <v>106</v>
      </c>
      <c r="CF10" t="s">
        <v>106</v>
      </c>
      <c r="CG10" t="s">
        <v>106</v>
      </c>
      <c r="CH10" t="s">
        <v>106</v>
      </c>
      <c r="CI10" t="s">
        <v>106</v>
      </c>
      <c r="CJ10" t="s">
        <v>106</v>
      </c>
      <c r="CK10" t="s">
        <v>106</v>
      </c>
      <c r="CL10" t="s">
        <v>106</v>
      </c>
      <c r="CM10" t="s">
        <v>106</v>
      </c>
      <c r="CN10" t="s">
        <v>106</v>
      </c>
      <c r="CO10" t="s">
        <v>106</v>
      </c>
      <c r="CP10" t="s">
        <v>106</v>
      </c>
      <c r="CQ10" t="s">
        <v>106</v>
      </c>
      <c r="CR10" t="s">
        <v>106</v>
      </c>
      <c r="CS10" t="s">
        <v>106</v>
      </c>
      <c r="CT10" t="s">
        <v>106</v>
      </c>
      <c r="CU10" t="s">
        <v>106</v>
      </c>
      <c r="CV10" t="s">
        <v>106</v>
      </c>
      <c r="CW10" t="s">
        <v>106</v>
      </c>
      <c r="CX10" t="s">
        <v>106</v>
      </c>
      <c r="CY10" t="s">
        <v>106</v>
      </c>
      <c r="CZ10" t="s">
        <v>106</v>
      </c>
      <c r="DA10" t="s">
        <v>106</v>
      </c>
      <c r="DB10" t="s">
        <v>106</v>
      </c>
      <c r="DC10" t="s">
        <v>106</v>
      </c>
      <c r="DD10" t="s">
        <v>106</v>
      </c>
      <c r="DE10" t="s">
        <v>106</v>
      </c>
      <c r="DF10" t="s">
        <v>106</v>
      </c>
      <c r="DG10" t="s">
        <v>106</v>
      </c>
      <c r="DH10" t="s">
        <v>106</v>
      </c>
      <c r="DI10" t="s">
        <v>106</v>
      </c>
      <c r="DJ10" t="s">
        <v>106</v>
      </c>
      <c r="DK10" t="s">
        <v>106</v>
      </c>
      <c r="DL10" t="s">
        <v>106</v>
      </c>
      <c r="DM10" t="s">
        <v>106</v>
      </c>
      <c r="DN10" t="s">
        <v>106</v>
      </c>
      <c r="DO10" t="s">
        <v>106</v>
      </c>
      <c r="DP10" t="s">
        <v>106</v>
      </c>
      <c r="DQ10" t="s">
        <v>106</v>
      </c>
      <c r="DR10" t="s">
        <v>106</v>
      </c>
      <c r="DS10" t="s">
        <v>106</v>
      </c>
      <c r="DT10" t="s">
        <v>106</v>
      </c>
      <c r="DU10" t="s">
        <v>106</v>
      </c>
      <c r="DV10" t="s">
        <v>106</v>
      </c>
      <c r="DW10" t="s">
        <v>106</v>
      </c>
      <c r="DX10" t="s">
        <v>106</v>
      </c>
      <c r="DY10" t="s">
        <v>106</v>
      </c>
      <c r="DZ10" t="s">
        <v>106</v>
      </c>
      <c r="EA10" t="s">
        <v>106</v>
      </c>
      <c r="EB10" t="s">
        <v>106</v>
      </c>
      <c r="EC10" t="s">
        <v>106</v>
      </c>
      <c r="ED10" t="s">
        <v>106</v>
      </c>
      <c r="EE10" t="s">
        <v>106</v>
      </c>
      <c r="EF10" t="s">
        <v>106</v>
      </c>
      <c r="EG10" t="s">
        <v>106</v>
      </c>
      <c r="EH10" t="s">
        <v>106</v>
      </c>
      <c r="EI10" t="s">
        <v>106</v>
      </c>
      <c r="EJ10" t="s">
        <v>106</v>
      </c>
      <c r="EK10" t="s">
        <v>106</v>
      </c>
      <c r="EL10" t="s">
        <v>106</v>
      </c>
      <c r="EM10" t="s">
        <v>106</v>
      </c>
      <c r="EN10" t="s">
        <v>106</v>
      </c>
      <c r="EO10" t="s">
        <v>106</v>
      </c>
      <c r="EP10" t="s">
        <v>106</v>
      </c>
      <c r="EQ10" t="s">
        <v>106</v>
      </c>
      <c r="ER10" t="s">
        <v>106</v>
      </c>
      <c r="ES10" t="s">
        <v>106</v>
      </c>
      <c r="ET10" t="s">
        <v>106</v>
      </c>
      <c r="EU10" t="s">
        <v>106</v>
      </c>
      <c r="EV10" t="s">
        <v>106</v>
      </c>
      <c r="EW10" t="s">
        <v>106</v>
      </c>
      <c r="EX10" t="s">
        <v>106</v>
      </c>
      <c r="EY10" t="s">
        <v>106</v>
      </c>
      <c r="EZ10" t="s">
        <v>106</v>
      </c>
      <c r="FA10" t="s">
        <v>106</v>
      </c>
      <c r="FB10" t="s">
        <v>106</v>
      </c>
      <c r="FC10" t="s">
        <v>106</v>
      </c>
      <c r="FD10" t="s">
        <v>106</v>
      </c>
      <c r="FE10" t="s">
        <v>106</v>
      </c>
      <c r="FF10" t="s">
        <v>106</v>
      </c>
      <c r="FG10" t="s">
        <v>106</v>
      </c>
      <c r="FH10" t="s">
        <v>106</v>
      </c>
      <c r="FI10" t="s">
        <v>106</v>
      </c>
      <c r="FJ10" t="s">
        <v>106</v>
      </c>
      <c r="FK10" t="s">
        <v>106</v>
      </c>
      <c r="FL10" t="s">
        <v>106</v>
      </c>
      <c r="FM10" t="s">
        <v>106</v>
      </c>
      <c r="FN10" t="s">
        <v>106</v>
      </c>
      <c r="FO10" t="s">
        <v>106</v>
      </c>
      <c r="FP10" t="s">
        <v>106</v>
      </c>
      <c r="FQ10" t="s">
        <v>106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 t="s">
        <v>106</v>
      </c>
      <c r="B11" s="8" t="s">
        <v>106</v>
      </c>
      <c r="C11" s="8" t="s">
        <v>106</v>
      </c>
      <c r="D11" s="8" t="s">
        <v>106</v>
      </c>
      <c r="E11" s="8"/>
      <c r="F11" s="8" t="s">
        <v>116</v>
      </c>
      <c r="G11" s="8" t="s">
        <v>106</v>
      </c>
      <c r="H11" s="8" t="s">
        <v>106</v>
      </c>
      <c r="I11" s="8"/>
      <c r="J11" s="8" t="s">
        <v>108</v>
      </c>
      <c r="K11" s="8" t="s">
        <v>106</v>
      </c>
      <c r="L11" s="8" t="s">
        <v>106</v>
      </c>
      <c r="M11" s="8" t="s">
        <v>106</v>
      </c>
      <c r="N11" s="8"/>
      <c r="O11" s="8"/>
      <c r="Q11" t="s">
        <v>120</v>
      </c>
      <c r="R11" t="s">
        <v>106</v>
      </c>
      <c r="S11" t="s">
        <v>106</v>
      </c>
      <c r="U11" t="s">
        <v>110</v>
      </c>
      <c r="W11" t="s">
        <v>106</v>
      </c>
      <c r="X11" t="s">
        <v>106</v>
      </c>
      <c r="Y11" t="s">
        <v>106</v>
      </c>
      <c r="Z11" t="s">
        <v>111</v>
      </c>
      <c r="AB11" t="s">
        <v>56</v>
      </c>
      <c r="AC11" s="46">
        <v>100.0</v>
      </c>
      <c r="AD11" t="s">
        <v>106</v>
      </c>
      <c r="AE11" t="s">
        <v>106</v>
      </c>
      <c r="AF11" t="s">
        <v>112</v>
      </c>
      <c r="AG11" t="s">
        <v>106</v>
      </c>
      <c r="AH11" t="s">
        <v>106</v>
      </c>
      <c r="AI11" t="s">
        <v>113</v>
      </c>
      <c r="AJ11" t="s">
        <v>113</v>
      </c>
      <c r="AK11" t="s">
        <v>114</v>
      </c>
      <c r="AL11" t="s">
        <v>115</v>
      </c>
      <c r="AS11" t="s">
        <v>57</v>
      </c>
      <c r="AT11" t="s">
        <v>106</v>
      </c>
      <c r="AU11" t="s">
        <v>106</v>
      </c>
      <c r="AV11" t="s">
        <v>106</v>
      </c>
      <c r="AW11" t="s">
        <v>106</v>
      </c>
      <c r="AX11" t="s">
        <v>106</v>
      </c>
      <c r="AY11" t="s">
        <v>106</v>
      </c>
      <c r="AZ11" t="s">
        <v>106</v>
      </c>
      <c r="BA11" t="s">
        <v>106</v>
      </c>
      <c r="BB11" t="s">
        <v>106</v>
      </c>
      <c r="BC11" t="s">
        <v>106</v>
      </c>
      <c r="BD11" t="s">
        <v>106</v>
      </c>
      <c r="BE11" t="s">
        <v>106</v>
      </c>
      <c r="BF11" t="s">
        <v>106</v>
      </c>
      <c r="BG11" t="s">
        <v>106</v>
      </c>
      <c r="BH11" t="s">
        <v>106</v>
      </c>
      <c r="BI11" t="s">
        <v>106</v>
      </c>
      <c r="BJ11" t="s">
        <v>106</v>
      </c>
      <c r="BK11" t="s">
        <v>106</v>
      </c>
      <c r="BL11" t="s">
        <v>106</v>
      </c>
      <c r="BM11" t="s">
        <v>106</v>
      </c>
      <c r="BN11" t="s">
        <v>106</v>
      </c>
      <c r="BO11" t="s">
        <v>106</v>
      </c>
      <c r="BP11" t="s">
        <v>106</v>
      </c>
      <c r="BQ11" t="s">
        <v>106</v>
      </c>
      <c r="BR11" t="s">
        <v>106</v>
      </c>
      <c r="BS11" t="s">
        <v>106</v>
      </c>
      <c r="BT11" t="s">
        <v>106</v>
      </c>
      <c r="BU11" t="s">
        <v>106</v>
      </c>
      <c r="BV11" t="s">
        <v>106</v>
      </c>
      <c r="BW11" t="s">
        <v>106</v>
      </c>
      <c r="BX11" t="s">
        <v>106</v>
      </c>
      <c r="BY11" t="s">
        <v>106</v>
      </c>
      <c r="BZ11" t="s">
        <v>106</v>
      </c>
      <c r="CA11" t="s">
        <v>106</v>
      </c>
      <c r="CB11" t="s">
        <v>106</v>
      </c>
      <c r="CC11" t="s">
        <v>106</v>
      </c>
      <c r="CD11" t="s">
        <v>106</v>
      </c>
      <c r="CE11" t="s">
        <v>106</v>
      </c>
      <c r="CF11" t="s">
        <v>106</v>
      </c>
      <c r="CG11" t="s">
        <v>106</v>
      </c>
      <c r="CH11" t="s">
        <v>106</v>
      </c>
      <c r="CI11" t="s">
        <v>106</v>
      </c>
      <c r="CJ11" t="s">
        <v>106</v>
      </c>
      <c r="CK11" t="s">
        <v>106</v>
      </c>
      <c r="CL11" t="s">
        <v>106</v>
      </c>
      <c r="CM11" t="s">
        <v>106</v>
      </c>
      <c r="CN11" t="s">
        <v>106</v>
      </c>
      <c r="CO11" t="s">
        <v>106</v>
      </c>
      <c r="CP11" t="s">
        <v>106</v>
      </c>
      <c r="CQ11" t="s">
        <v>106</v>
      </c>
      <c r="CR11" t="s">
        <v>106</v>
      </c>
      <c r="CS11" t="s">
        <v>106</v>
      </c>
      <c r="CT11" t="s">
        <v>106</v>
      </c>
      <c r="CU11" t="s">
        <v>106</v>
      </c>
      <c r="CV11" t="s">
        <v>106</v>
      </c>
      <c r="CW11" t="s">
        <v>106</v>
      </c>
      <c r="CX11" t="s">
        <v>106</v>
      </c>
      <c r="CY11" t="s">
        <v>106</v>
      </c>
      <c r="CZ11" t="s">
        <v>106</v>
      </c>
      <c r="DA11" t="s">
        <v>106</v>
      </c>
      <c r="DB11" t="s">
        <v>106</v>
      </c>
      <c r="DC11" t="s">
        <v>106</v>
      </c>
      <c r="DD11" t="s">
        <v>106</v>
      </c>
      <c r="DE11" t="s">
        <v>106</v>
      </c>
      <c r="DF11" t="s">
        <v>106</v>
      </c>
      <c r="DG11" t="s">
        <v>106</v>
      </c>
      <c r="DH11" t="s">
        <v>106</v>
      </c>
      <c r="DI11" t="s">
        <v>106</v>
      </c>
      <c r="DJ11" t="s">
        <v>106</v>
      </c>
      <c r="DK11" t="s">
        <v>106</v>
      </c>
      <c r="DL11" t="s">
        <v>106</v>
      </c>
      <c r="DM11" t="s">
        <v>106</v>
      </c>
      <c r="DN11" t="s">
        <v>106</v>
      </c>
      <c r="DO11" t="s">
        <v>106</v>
      </c>
      <c r="DP11" t="s">
        <v>106</v>
      </c>
      <c r="DQ11" t="s">
        <v>106</v>
      </c>
      <c r="DR11" t="s">
        <v>106</v>
      </c>
      <c r="DS11" t="s">
        <v>106</v>
      </c>
      <c r="DT11" t="s">
        <v>106</v>
      </c>
      <c r="DU11" t="s">
        <v>106</v>
      </c>
      <c r="DV11" t="s">
        <v>106</v>
      </c>
      <c r="DW11" t="s">
        <v>106</v>
      </c>
      <c r="DX11" t="s">
        <v>106</v>
      </c>
      <c r="DY11" t="s">
        <v>106</v>
      </c>
      <c r="DZ11" t="s">
        <v>106</v>
      </c>
      <c r="EA11" t="s">
        <v>106</v>
      </c>
      <c r="EB11" t="s">
        <v>106</v>
      </c>
      <c r="EC11" t="s">
        <v>106</v>
      </c>
      <c r="ED11" t="s">
        <v>106</v>
      </c>
      <c r="EE11" t="s">
        <v>106</v>
      </c>
      <c r="EF11" t="s">
        <v>106</v>
      </c>
      <c r="EG11" t="s">
        <v>106</v>
      </c>
      <c r="EH11" t="s">
        <v>106</v>
      </c>
      <c r="EI11" t="s">
        <v>106</v>
      </c>
      <c r="EJ11" t="s">
        <v>106</v>
      </c>
      <c r="EK11" t="s">
        <v>106</v>
      </c>
      <c r="EL11" t="s">
        <v>106</v>
      </c>
      <c r="EM11" t="s">
        <v>106</v>
      </c>
      <c r="EN11" t="s">
        <v>106</v>
      </c>
      <c r="EO11" t="s">
        <v>106</v>
      </c>
      <c r="EP11" t="s">
        <v>106</v>
      </c>
      <c r="EQ11" t="s">
        <v>106</v>
      </c>
      <c r="ER11" t="s">
        <v>106</v>
      </c>
      <c r="ES11" t="s">
        <v>106</v>
      </c>
      <c r="ET11" t="s">
        <v>106</v>
      </c>
      <c r="EU11" t="s">
        <v>106</v>
      </c>
      <c r="EV11" t="s">
        <v>106</v>
      </c>
      <c r="EW11" t="s">
        <v>106</v>
      </c>
      <c r="EX11" t="s">
        <v>106</v>
      </c>
      <c r="EY11" t="s">
        <v>106</v>
      </c>
      <c r="EZ11" t="s">
        <v>106</v>
      </c>
      <c r="FA11" t="s">
        <v>106</v>
      </c>
      <c r="FB11" t="s">
        <v>106</v>
      </c>
      <c r="FC11" t="s">
        <v>106</v>
      </c>
      <c r="FD11" t="s">
        <v>106</v>
      </c>
      <c r="FE11" t="s">
        <v>106</v>
      </c>
      <c r="FF11" t="s">
        <v>106</v>
      </c>
      <c r="FG11" t="s">
        <v>106</v>
      </c>
      <c r="FH11" t="s">
        <v>106</v>
      </c>
      <c r="FI11" t="s">
        <v>106</v>
      </c>
      <c r="FJ11" t="s">
        <v>106</v>
      </c>
      <c r="FK11" t="s">
        <v>106</v>
      </c>
      <c r="FL11" t="s">
        <v>106</v>
      </c>
      <c r="FM11" t="s">
        <v>106</v>
      </c>
      <c r="FN11" t="s">
        <v>106</v>
      </c>
      <c r="FO11" t="s">
        <v>106</v>
      </c>
      <c r="FP11" t="s">
        <v>106</v>
      </c>
      <c r="FQ11" t="s">
        <v>106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121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IFERROR(__xludf.DUMMYFUNCTION("""COMPUTED_VALUE"""),"Symbol")</f>
        <v>Symbol</v>
      </c>
      <c r="C5" s="33" t="str">
        <f>IFERROR(__xludf.DUMMYFUNCTION("""COMPUTED_VALUE"""),"Side")</f>
        <v>Side</v>
      </c>
      <c r="D5" s="33" t="str">
        <f>IFERROR(__xludf.DUMMYFUNCTION("""COMPUTED_VALUE"""),"Quantity")</f>
        <v>Quantity</v>
      </c>
      <c r="E5" s="33" t="str">
        <f>IFERROR(__xludf.DUMMYFUNCTION("""COMPUTED_VALUE"""),"Executed Qty")</f>
        <v>Executed Qty</v>
      </c>
      <c r="F5" s="34" t="str">
        <f>IFERROR(__xludf.DUMMYFUNCTION("""COMPUTED_VALUE"""),"Unexecuted Qty")</f>
        <v>Unexecuted Qty</v>
      </c>
      <c r="G5" s="33" t="str">
        <f>IFERROR(__xludf.DUMMYFUNCTION("""COMPUTED_VALUE"""),"Status")</f>
        <v>Status</v>
      </c>
      <c r="H5" s="33" t="str">
        <f>IFERROR(__xludf.DUMMYFUNCTION("""COMPUTED_VALUE"""),"Last Shares")</f>
        <v>Last Shares</v>
      </c>
      <c r="I5" s="33" t="str">
        <f>IFERROR(__xludf.DUMMYFUNCTION("""COMPUTED_VALUE"""),"Last Fill Price (Local)")</f>
        <v>Last Fill Price (Local)</v>
      </c>
      <c r="J5" s="33" t="str">
        <f>IFERROR(__xludf.DUMMYFUNCTION("""COMPUTED_VALUE"""),"Avg Fill Price (Local)")</f>
        <v>Avg Fill Price (Local)</v>
      </c>
      <c r="K5" s="33" t="str">
        <f>IFERROR(__xludf.DUMMYFUNCTION("""COMPUTED_VALUE"""),"Broker")</f>
        <v>Broker</v>
      </c>
      <c r="L5" s="33" t="str">
        <f>IFERROR(__xludf.DUMMYFUNCTION("""COMPUTED_VALUE"""),"Account")</f>
        <v>Account</v>
      </c>
      <c r="M5" s="33" t="str">
        <f>IFERROR(__xludf.DUMMYFUNCTION("""COMPUTED_VALUE"""),"Order Type")</f>
        <v>Order Type</v>
      </c>
      <c r="N5" s="33" t="str">
        <f>IFERROR(__xludf.DUMMYFUNCTION("""COMPUTED_VALUE"""),"OrderStatus")</f>
        <v>OrderStatus</v>
      </c>
      <c r="O5" s="33" t="str">
        <f>IFERROR(__xludf.DUMMYFUNCTION("""COMPUTED_VALUE"""),"Avg Fill Price (Base)")</f>
        <v>Avg Fill Price (Base)</v>
      </c>
      <c r="P5" s="33" t="str">
        <f>IFERROR(__xludf.DUMMYFUNCTION("""COMPUTED_VALUE"""),"Limit Price")</f>
        <v>Limit Price</v>
      </c>
      <c r="Q5" s="33" t="str">
        <f>IFERROR(__xludf.DUMMYFUNCTION("""COMPUTED_VALUE"""),"Stop Price")</f>
        <v>Stop Price</v>
      </c>
      <c r="R5" s="33" t="str">
        <f>IFERROR(__xludf.DUMMYFUNCTION("""COMPUTED_VALUE"""),"Actual User")</f>
        <v>Actual User</v>
      </c>
      <c r="S5" s="33" t="str">
        <f>IFERROR(__xludf.DUMMYFUNCTION("""COMPUTED_VALUE"""),"Bloomberg Symbol")</f>
        <v>Bloomberg Symbol</v>
      </c>
      <c r="T5" s="35" t="str">
        <f>IFERROR(__xludf.DUMMYFUNCTION("""COMPUTED_VALUE"""),"Algo")</f>
        <v>Algo</v>
      </c>
      <c r="U5" s="35" t="str">
        <f>IFERROR(__xludf.DUMMYFUNCTION("""COMPUTED_VALUE"""),"Allocation Scheme Name")</f>
        <v>Allocation Scheme Name</v>
      </c>
      <c r="V5" s="35" t="str">
        <f>IFERROR(__xludf.DUMMYFUNCTION("""COMPUTED_VALUE"""),"Allocation Status")</f>
        <v>Allocation Status</v>
      </c>
      <c r="W5" s="35" t="str">
        <f>IFERROR(__xludf.DUMMYFUNCTION("""COMPUTED_VALUE"""),"Asset Class")</f>
        <v>Asset Class</v>
      </c>
      <c r="X5" s="35" t="str">
        <f>IFERROR(__xludf.DUMMYFUNCTION("""COMPUTED_VALUE"""),"FX Conversion Operator")</f>
        <v>FX Conversion Operator</v>
      </c>
      <c r="Y5" s="35" t="str">
        <f>IFERROR(__xludf.DUMMYFUNCTION("""COMPUTED_VALUE"""),"FX Rate")</f>
        <v>FX Rate</v>
      </c>
      <c r="Z5" s="35" t="str">
        <f>IFERROR(__xludf.DUMMYFUNCTION("""COMPUTED_VALUE"""),"Imported File Name")</f>
        <v>Imported File Name</v>
      </c>
      <c r="AA5" s="35" t="str">
        <f>IFERROR(__xludf.DUMMYFUNCTION("""COMPUTED_VALUE"""),"Internal Comments")</f>
        <v>Internal Comments</v>
      </c>
      <c r="AB5" s="35" t="str">
        <f>IFERROR(__xludf.DUMMYFUNCTION("""COMPUTED_VALUE"""),"Peg")</f>
        <v>Peg</v>
      </c>
      <c r="AC5" s="35" t="str">
        <f>IFERROR(__xludf.DUMMYFUNCTION("""COMPUTED_VALUE"""),"Principal Amount (Base)")</f>
        <v>Principal Amount (Base)</v>
      </c>
      <c r="AD5" s="35" t="str">
        <f>IFERROR(__xludf.DUMMYFUNCTION("""COMPUTED_VALUE"""),"Principal Amount (Local)")</f>
        <v>Principal Amount (Local)</v>
      </c>
      <c r="AE5" s="35" t="str">
        <f>IFERROR(__xludf.DUMMYFUNCTION("""COMPUTED_VALUE"""),"Process Date")</f>
        <v>Process Date</v>
      </c>
      <c r="AF5" s="35" t="str">
        <f>IFERROR(__xludf.DUMMYFUNCTION("""COMPUTED_VALUE"""),"Put/Call")</f>
        <v>Put/Call</v>
      </c>
      <c r="AG5" s="35" t="str">
        <f>IFERROR(__xludf.DUMMYFUNCTION("""COMPUTED_VALUE"""),"Settlement Currency")</f>
        <v>Settlement Currency</v>
      </c>
      <c r="AH5" s="35" t="str">
        <f>IFERROR(__xludf.DUMMYFUNCTION("""COMPUTED_VALUE"""),"Source")</f>
        <v>Source</v>
      </c>
      <c r="AI5" s="35" t="str">
        <f>IFERROR(__xludf.DUMMYFUNCTION("""COMPUTED_VALUE"""),"Status (With Rollover)")</f>
        <v>Status (With Rollover)</v>
      </c>
      <c r="AJ5" s="35" t="str">
        <f>IFERROR(__xludf.DUMMYFUNCTION("""COMPUTED_VALUE"""),"Strategy")</f>
        <v>Strategy</v>
      </c>
      <c r="AK5" s="35" t="str">
        <f>IFERROR(__xludf.DUMMYFUNCTION("""COMPUTED_VALUE"""),"Strike Price")</f>
        <v>Strike Price</v>
      </c>
      <c r="AL5" s="35" t="str">
        <f>IFERROR(__xludf.DUMMYFUNCTION("""COMPUTED_VALUE"""),"Trade Attribute 1")</f>
        <v>Trade Attribute 1</v>
      </c>
      <c r="AM5" s="35" t="str">
        <f>IFERROR(__xludf.DUMMYFUNCTION("""COMPUTED_VALUE"""),"Trade Attribute 2")</f>
        <v>Trade Attribute 2</v>
      </c>
      <c r="AN5" s="35" t="str">
        <f>IFERROR(__xludf.DUMMYFUNCTION("""COMPUTED_VALUE"""),"Trade Attribute 3")</f>
        <v>Trade Attribute 3</v>
      </c>
      <c r="AO5" s="35" t="str">
        <f>IFERROR(__xludf.DUMMYFUNCTION("""COMPUTED_VALUE"""),"Trade Attribute 4")</f>
        <v>Trade Attribute 4</v>
      </c>
      <c r="AP5" s="35" t="str">
        <f>IFERROR(__xludf.DUMMYFUNCTION("""COMPUTED_VALUE"""),"Trade Attribute 5")</f>
        <v>Trade Attribute 5</v>
      </c>
      <c r="AQ5" s="35" t="str">
        <f>IFERROR(__xludf.DUMMYFUNCTION("""COMPUTED_VALUE"""),"Trade Attribute 6")</f>
        <v>Trade Attribute 6</v>
      </c>
      <c r="AR5" s="35" t="str">
        <f>IFERROR(__xludf.DUMMYFUNCTION("""COMPUTED_VALUE"""),"Trader")</f>
        <v>Trader</v>
      </c>
      <c r="AS5" s="35" t="str">
        <f>IFERROR(__xludf.DUMMYFUNCTION("""COMPUTED_VALUE"""),"Transaction Time")</f>
        <v>Transaction Time</v>
      </c>
      <c r="AT5" s="35" t="str">
        <f>IFERROR(__xludf.DUMMYFUNCTION("""COMPUTED_VALUE"""),"Underlying Country")</f>
        <v>Underlying Country</v>
      </c>
      <c r="AU5" s="35" t="str">
        <f>IFERROR(__xludf.DUMMYFUNCTION("""COMPUTED_VALUE"""),"Underlying Symbol")</f>
        <v>Underlying Symbol</v>
      </c>
      <c r="AV5" s="35" t="str">
        <f>IFERROR(__xludf.DUMMYFUNCTION("""COMPUTED_VALUE"""),"Venue")</f>
        <v>Venue</v>
      </c>
      <c r="AW5" s="35" t="str">
        <f>IFERROR(__xludf.DUMMYFUNCTION("""COMPUTED_VALUE"""),"Working Qty")</f>
        <v>Working Qty</v>
      </c>
      <c r="AX5" s="35" t="str">
        <f>IFERROR(__xludf.DUMMYFUNCTION("""COMPUTED_VALUE"""),"Client")</f>
        <v>Client</v>
      </c>
      <c r="AY5" s="35" t="str">
        <f>IFERROR(__xludf.DUMMYFUNCTION("""COMPUTED_VALUE"""),"OrderID")</f>
        <v>OrderID</v>
      </c>
      <c r="AZ5" s="35" t="str">
        <f>IFERROR(__xludf.DUMMYFUNCTION("""COMPUTED_VALUE"""),"ParentClOrderID")</f>
        <v>ParentClOrderID</v>
      </c>
      <c r="BA5" s="35" t="str">
        <f>IFERROR(__xludf.DUMMYFUNCTION("""COMPUTED_VALUE"""),"Master Fund")</f>
        <v>Master Fund</v>
      </c>
      <c r="BB5" s="35" t="str">
        <f>IFERROR(__xludf.DUMMYFUNCTION("""COMPUTED_VALUE"""),"Current User")</f>
        <v>Current User</v>
      </c>
      <c r="BC5" s="35" t="str">
        <f>IFERROR(__xludf.DUMMYFUNCTION("""COMPUTED_VALUE"""),"% Completed")</f>
        <v>% Completed</v>
      </c>
      <c r="BD5" s="35" t="str">
        <f>IFERROR(__xludf.DUMMYFUNCTION("""COMPUTED_VALUE"""),"isRowCountCheck")</f>
        <v>isRowCountCheck</v>
      </c>
      <c r="BE5" s="35" t="str">
        <f>IFERROR(__xludf.DUMMYFUNCTION("""COMPUTED_VALUE"""),"MandatoryColumn")</f>
        <v>MandatoryColumn</v>
      </c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</row>
    <row r="6" ht="15.75" customHeight="1">
      <c r="A6" s="40" t="s">
        <v>106</v>
      </c>
      <c r="B6" s="40" t="s">
        <v>50</v>
      </c>
      <c r="C6" s="8" t="s">
        <v>111</v>
      </c>
      <c r="D6" s="40">
        <v>100.0</v>
      </c>
      <c r="E6" s="8">
        <v>100.0</v>
      </c>
      <c r="F6" s="8" t="s">
        <v>106</v>
      </c>
      <c r="G6" s="8" t="s">
        <v>116</v>
      </c>
      <c r="H6" s="8" t="s">
        <v>106</v>
      </c>
      <c r="I6" s="8" t="s">
        <v>106</v>
      </c>
      <c r="J6" s="8" t="s">
        <v>106</v>
      </c>
      <c r="K6" s="8" t="s">
        <v>114</v>
      </c>
      <c r="L6" s="8" t="s">
        <v>110</v>
      </c>
      <c r="M6" s="8" t="s">
        <v>122</v>
      </c>
      <c r="N6" s="8" t="s">
        <v>106</v>
      </c>
      <c r="O6" s="8" t="s">
        <v>106</v>
      </c>
      <c r="P6" t="s">
        <v>106</v>
      </c>
      <c r="Q6" t="s">
        <v>106</v>
      </c>
      <c r="R6" t="s">
        <v>113</v>
      </c>
      <c r="S6" t="s">
        <v>109</v>
      </c>
      <c r="T6" t="s">
        <v>123</v>
      </c>
      <c r="U6" t="s">
        <v>108</v>
      </c>
      <c r="V6" t="s">
        <v>106</v>
      </c>
      <c r="W6" t="s">
        <v>112</v>
      </c>
      <c r="Z6" t="s">
        <v>106</v>
      </c>
      <c r="AB6" t="s">
        <v>106</v>
      </c>
      <c r="AC6" t="s">
        <v>106</v>
      </c>
      <c r="AD6" t="s">
        <v>106</v>
      </c>
      <c r="AJ6" t="s">
        <v>106</v>
      </c>
      <c r="AK6" t="s">
        <v>106</v>
      </c>
      <c r="AR6" t="s">
        <v>124</v>
      </c>
      <c r="AV6" t="s">
        <v>115</v>
      </c>
      <c r="BB6" t="s">
        <v>113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 t="s">
        <v>106</v>
      </c>
      <c r="BM6" t="s">
        <v>106</v>
      </c>
      <c r="BN6" t="s">
        <v>106</v>
      </c>
      <c r="BO6" t="s">
        <v>106</v>
      </c>
      <c r="BP6" t="s">
        <v>106</v>
      </c>
      <c r="BQ6" t="s">
        <v>106</v>
      </c>
      <c r="BR6" t="s">
        <v>106</v>
      </c>
      <c r="BS6" t="s">
        <v>106</v>
      </c>
      <c r="BT6" t="s">
        <v>106</v>
      </c>
      <c r="BU6" t="s">
        <v>106</v>
      </c>
      <c r="BV6" t="s">
        <v>106</v>
      </c>
      <c r="BW6" t="s">
        <v>106</v>
      </c>
      <c r="BX6" t="s">
        <v>106</v>
      </c>
      <c r="BY6" t="s">
        <v>106</v>
      </c>
      <c r="BZ6" t="s">
        <v>106</v>
      </c>
      <c r="CA6" t="s">
        <v>106</v>
      </c>
      <c r="CB6" t="s">
        <v>106</v>
      </c>
      <c r="CC6" t="s">
        <v>106</v>
      </c>
      <c r="CD6" t="s">
        <v>106</v>
      </c>
      <c r="CE6" t="s">
        <v>106</v>
      </c>
      <c r="CF6" t="s">
        <v>106</v>
      </c>
      <c r="CG6" t="s">
        <v>106</v>
      </c>
      <c r="CH6" t="s">
        <v>106</v>
      </c>
      <c r="CI6" t="s">
        <v>106</v>
      </c>
      <c r="CJ6" t="s">
        <v>106</v>
      </c>
      <c r="CK6" t="s">
        <v>106</v>
      </c>
      <c r="CL6" t="s">
        <v>106</v>
      </c>
      <c r="CM6" t="s">
        <v>106</v>
      </c>
      <c r="CN6" t="s">
        <v>106</v>
      </c>
      <c r="CO6" t="s">
        <v>106</v>
      </c>
      <c r="CP6" t="s">
        <v>106</v>
      </c>
      <c r="CQ6" t="s">
        <v>106</v>
      </c>
      <c r="CR6" t="s">
        <v>106</v>
      </c>
      <c r="CS6" t="s">
        <v>106</v>
      </c>
      <c r="CT6" t="s">
        <v>106</v>
      </c>
      <c r="CU6" t="s">
        <v>106</v>
      </c>
      <c r="CV6" t="s">
        <v>106</v>
      </c>
      <c r="CW6" t="s">
        <v>106</v>
      </c>
      <c r="CX6" t="s">
        <v>106</v>
      </c>
      <c r="CY6" t="s">
        <v>106</v>
      </c>
      <c r="CZ6" t="s">
        <v>106</v>
      </c>
      <c r="DA6" t="s">
        <v>106</v>
      </c>
      <c r="DB6" t="s">
        <v>106</v>
      </c>
      <c r="DC6" t="s">
        <v>106</v>
      </c>
      <c r="DD6" t="s">
        <v>106</v>
      </c>
      <c r="DE6" t="s">
        <v>106</v>
      </c>
      <c r="DF6" t="s">
        <v>106</v>
      </c>
      <c r="DG6" t="s">
        <v>106</v>
      </c>
      <c r="DH6" t="s">
        <v>106</v>
      </c>
      <c r="DI6" t="s">
        <v>106</v>
      </c>
      <c r="DJ6" t="s">
        <v>106</v>
      </c>
      <c r="DK6" t="s">
        <v>106</v>
      </c>
      <c r="DL6" t="s">
        <v>106</v>
      </c>
      <c r="DM6" t="s">
        <v>106</v>
      </c>
      <c r="DN6" t="s">
        <v>106</v>
      </c>
      <c r="DO6" t="s">
        <v>106</v>
      </c>
      <c r="DP6" t="s">
        <v>106</v>
      </c>
      <c r="DQ6" t="s">
        <v>106</v>
      </c>
      <c r="DR6" t="s">
        <v>106</v>
      </c>
      <c r="DS6" t="s">
        <v>106</v>
      </c>
      <c r="DT6" t="s">
        <v>106</v>
      </c>
      <c r="DU6" t="s">
        <v>106</v>
      </c>
      <c r="DV6" t="s">
        <v>106</v>
      </c>
      <c r="DW6" t="s">
        <v>106</v>
      </c>
      <c r="DX6" t="s">
        <v>106</v>
      </c>
      <c r="DY6" t="s">
        <v>106</v>
      </c>
      <c r="DZ6" t="s">
        <v>106</v>
      </c>
      <c r="EA6" t="s">
        <v>106</v>
      </c>
      <c r="EB6" t="s">
        <v>106</v>
      </c>
      <c r="EC6" t="s">
        <v>106</v>
      </c>
      <c r="ED6" t="s">
        <v>106</v>
      </c>
      <c r="EE6" t="s">
        <v>106</v>
      </c>
      <c r="EF6" t="s">
        <v>106</v>
      </c>
      <c r="EG6" t="s">
        <v>106</v>
      </c>
      <c r="EH6" t="s">
        <v>106</v>
      </c>
      <c r="EI6" t="s">
        <v>106</v>
      </c>
      <c r="EJ6" t="s">
        <v>106</v>
      </c>
      <c r="EK6" t="s">
        <v>106</v>
      </c>
      <c r="EL6" t="s">
        <v>106</v>
      </c>
      <c r="EM6" t="s">
        <v>106</v>
      </c>
      <c r="EN6" t="s">
        <v>106</v>
      </c>
      <c r="EO6" t="s">
        <v>106</v>
      </c>
      <c r="EP6" t="s">
        <v>106</v>
      </c>
      <c r="EQ6" t="s">
        <v>106</v>
      </c>
      <c r="ER6" t="s">
        <v>106</v>
      </c>
      <c r="ES6" t="s">
        <v>106</v>
      </c>
      <c r="ET6" t="s">
        <v>106</v>
      </c>
      <c r="EU6" t="s">
        <v>106</v>
      </c>
      <c r="EV6" t="s">
        <v>106</v>
      </c>
      <c r="EW6" t="s">
        <v>106</v>
      </c>
      <c r="EX6" t="s">
        <v>106</v>
      </c>
      <c r="EY6" t="s">
        <v>106</v>
      </c>
      <c r="EZ6" t="s">
        <v>106</v>
      </c>
      <c r="FA6" t="s">
        <v>106</v>
      </c>
      <c r="FB6" t="s">
        <v>106</v>
      </c>
      <c r="FC6" t="s">
        <v>106</v>
      </c>
      <c r="FD6" t="s">
        <v>106</v>
      </c>
      <c r="FE6" t="s">
        <v>106</v>
      </c>
      <c r="FF6" t="s">
        <v>106</v>
      </c>
      <c r="FG6" t="s">
        <v>106</v>
      </c>
      <c r="FH6" t="s">
        <v>106</v>
      </c>
      <c r="FI6" t="s">
        <v>106</v>
      </c>
      <c r="FJ6" t="s">
        <v>106</v>
      </c>
      <c r="FK6" t="s">
        <v>106</v>
      </c>
      <c r="FL6" t="s">
        <v>106</v>
      </c>
      <c r="FM6" t="s">
        <v>106</v>
      </c>
      <c r="FN6" t="s">
        <v>106</v>
      </c>
      <c r="FO6" t="s">
        <v>106</v>
      </c>
      <c r="FP6" t="s">
        <v>106</v>
      </c>
      <c r="FQ6" t="s">
        <v>106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106</v>
      </c>
      <c r="B7" s="8" t="s">
        <v>55</v>
      </c>
      <c r="C7" s="8" t="s">
        <v>111</v>
      </c>
      <c r="D7" s="8">
        <v>100.0</v>
      </c>
      <c r="E7" s="8">
        <v>100.0</v>
      </c>
      <c r="F7" s="8" t="s">
        <v>106</v>
      </c>
      <c r="G7" s="8" t="s">
        <v>116</v>
      </c>
      <c r="H7" s="8" t="s">
        <v>106</v>
      </c>
      <c r="I7" s="8" t="s">
        <v>106</v>
      </c>
      <c r="J7" s="8" t="s">
        <v>106</v>
      </c>
      <c r="K7" s="8" t="s">
        <v>114</v>
      </c>
      <c r="L7" s="8" t="s">
        <v>110</v>
      </c>
      <c r="M7" s="8" t="s">
        <v>122</v>
      </c>
      <c r="N7" s="8" t="s">
        <v>106</v>
      </c>
      <c r="O7" s="8" t="s">
        <v>106</v>
      </c>
      <c r="P7" t="s">
        <v>106</v>
      </c>
      <c r="Q7" t="s">
        <v>106</v>
      </c>
      <c r="R7" t="s">
        <v>113</v>
      </c>
      <c r="S7" t="s">
        <v>118</v>
      </c>
      <c r="T7" t="s">
        <v>123</v>
      </c>
      <c r="U7" t="s">
        <v>108</v>
      </c>
      <c r="V7" t="s">
        <v>106</v>
      </c>
      <c r="W7" t="s">
        <v>119</v>
      </c>
      <c r="Z7" t="s">
        <v>106</v>
      </c>
      <c r="AB7" t="s">
        <v>106</v>
      </c>
      <c r="AC7" t="s">
        <v>106</v>
      </c>
      <c r="AD7" t="s">
        <v>106</v>
      </c>
      <c r="AJ7" t="s">
        <v>106</v>
      </c>
      <c r="AK7" t="s">
        <v>106</v>
      </c>
      <c r="AR7" t="s">
        <v>124</v>
      </c>
      <c r="AV7" t="s">
        <v>115</v>
      </c>
      <c r="BB7" t="s">
        <v>113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 t="s">
        <v>106</v>
      </c>
      <c r="BM7" t="s">
        <v>106</v>
      </c>
      <c r="BN7" t="s">
        <v>106</v>
      </c>
      <c r="BO7" t="s">
        <v>106</v>
      </c>
      <c r="BP7" t="s">
        <v>106</v>
      </c>
      <c r="BQ7" t="s">
        <v>106</v>
      </c>
      <c r="BR7" t="s">
        <v>106</v>
      </c>
      <c r="BS7" t="s">
        <v>106</v>
      </c>
      <c r="BT7" t="s">
        <v>106</v>
      </c>
      <c r="BU7" t="s">
        <v>106</v>
      </c>
      <c r="BV7" t="s">
        <v>106</v>
      </c>
      <c r="BW7" t="s">
        <v>106</v>
      </c>
      <c r="BX7" t="s">
        <v>106</v>
      </c>
      <c r="BY7" t="s">
        <v>106</v>
      </c>
      <c r="BZ7" t="s">
        <v>106</v>
      </c>
      <c r="CA7" t="s">
        <v>106</v>
      </c>
      <c r="CB7" t="s">
        <v>106</v>
      </c>
      <c r="CC7" t="s">
        <v>106</v>
      </c>
      <c r="CD7" t="s">
        <v>106</v>
      </c>
      <c r="CE7" t="s">
        <v>106</v>
      </c>
      <c r="CF7" t="s">
        <v>106</v>
      </c>
      <c r="CG7" t="s">
        <v>106</v>
      </c>
      <c r="CH7" t="s">
        <v>106</v>
      </c>
      <c r="CI7" t="s">
        <v>106</v>
      </c>
      <c r="CJ7" t="s">
        <v>106</v>
      </c>
      <c r="CK7" t="s">
        <v>106</v>
      </c>
      <c r="CL7" t="s">
        <v>106</v>
      </c>
      <c r="CM7" t="s">
        <v>106</v>
      </c>
      <c r="CN7" t="s">
        <v>106</v>
      </c>
      <c r="CO7" t="s">
        <v>106</v>
      </c>
      <c r="CP7" t="s">
        <v>106</v>
      </c>
      <c r="CQ7" t="s">
        <v>106</v>
      </c>
      <c r="CR7" t="s">
        <v>106</v>
      </c>
      <c r="CS7" t="s">
        <v>106</v>
      </c>
      <c r="CT7" t="s">
        <v>106</v>
      </c>
      <c r="CU7" t="s">
        <v>106</v>
      </c>
      <c r="CV7" t="s">
        <v>106</v>
      </c>
      <c r="CW7" t="s">
        <v>106</v>
      </c>
      <c r="CX7" t="s">
        <v>106</v>
      </c>
      <c r="CY7" t="s">
        <v>106</v>
      </c>
      <c r="CZ7" t="s">
        <v>106</v>
      </c>
      <c r="DA7" t="s">
        <v>106</v>
      </c>
      <c r="DB7" t="s">
        <v>106</v>
      </c>
      <c r="DC7" t="s">
        <v>106</v>
      </c>
      <c r="DD7" t="s">
        <v>106</v>
      </c>
      <c r="DE7" t="s">
        <v>106</v>
      </c>
      <c r="DF7" t="s">
        <v>106</v>
      </c>
      <c r="DG7" t="s">
        <v>106</v>
      </c>
      <c r="DH7" t="s">
        <v>106</v>
      </c>
      <c r="DI7" t="s">
        <v>106</v>
      </c>
      <c r="DJ7" t="s">
        <v>106</v>
      </c>
      <c r="DK7" t="s">
        <v>106</v>
      </c>
      <c r="DL7" t="s">
        <v>106</v>
      </c>
      <c r="DM7" t="s">
        <v>106</v>
      </c>
      <c r="DN7" t="s">
        <v>106</v>
      </c>
      <c r="DO7" t="s">
        <v>106</v>
      </c>
      <c r="DP7" t="s">
        <v>106</v>
      </c>
      <c r="DQ7" t="s">
        <v>106</v>
      </c>
      <c r="DR7" t="s">
        <v>106</v>
      </c>
      <c r="DS7" t="s">
        <v>106</v>
      </c>
      <c r="DT7" t="s">
        <v>106</v>
      </c>
      <c r="DU7" t="s">
        <v>106</v>
      </c>
      <c r="DV7" t="s">
        <v>106</v>
      </c>
      <c r="DW7" t="s">
        <v>106</v>
      </c>
      <c r="DX7" t="s">
        <v>106</v>
      </c>
      <c r="DY7" t="s">
        <v>106</v>
      </c>
      <c r="DZ7" t="s">
        <v>106</v>
      </c>
      <c r="EA7" t="s">
        <v>106</v>
      </c>
      <c r="EB7" t="s">
        <v>106</v>
      </c>
      <c r="EC7" t="s">
        <v>106</v>
      </c>
      <c r="ED7" t="s">
        <v>106</v>
      </c>
      <c r="EE7" t="s">
        <v>106</v>
      </c>
      <c r="EF7" t="s">
        <v>106</v>
      </c>
      <c r="EG7" t="s">
        <v>106</v>
      </c>
      <c r="EH7" t="s">
        <v>106</v>
      </c>
      <c r="EI7" t="s">
        <v>106</v>
      </c>
      <c r="EJ7" t="s">
        <v>106</v>
      </c>
      <c r="EK7" t="s">
        <v>106</v>
      </c>
      <c r="EL7" t="s">
        <v>106</v>
      </c>
      <c r="EM7" t="s">
        <v>106</v>
      </c>
      <c r="EN7" t="s">
        <v>106</v>
      </c>
      <c r="EO7" t="s">
        <v>106</v>
      </c>
      <c r="EP7" t="s">
        <v>106</v>
      </c>
      <c r="EQ7" t="s">
        <v>106</v>
      </c>
      <c r="ER7" t="s">
        <v>106</v>
      </c>
      <c r="ES7" t="s">
        <v>106</v>
      </c>
      <c r="ET7" t="s">
        <v>106</v>
      </c>
      <c r="EU7" t="s">
        <v>106</v>
      </c>
      <c r="EV7" t="s">
        <v>106</v>
      </c>
      <c r="EW7" t="s">
        <v>106</v>
      </c>
      <c r="EX7" t="s">
        <v>106</v>
      </c>
      <c r="EY7" t="s">
        <v>106</v>
      </c>
      <c r="EZ7" t="s">
        <v>106</v>
      </c>
      <c r="FA7" t="s">
        <v>106</v>
      </c>
      <c r="FB7" t="s">
        <v>106</v>
      </c>
      <c r="FC7" t="s">
        <v>106</v>
      </c>
      <c r="FD7" t="s">
        <v>106</v>
      </c>
      <c r="FE7" t="s">
        <v>106</v>
      </c>
      <c r="FF7" t="s">
        <v>106</v>
      </c>
      <c r="FG7" t="s">
        <v>106</v>
      </c>
      <c r="FH7" t="s">
        <v>106</v>
      </c>
      <c r="FI7" t="s">
        <v>106</v>
      </c>
      <c r="FJ7" t="s">
        <v>106</v>
      </c>
      <c r="FK7" t="s">
        <v>106</v>
      </c>
      <c r="FL7" t="s">
        <v>106</v>
      </c>
      <c r="FM7" t="s">
        <v>106</v>
      </c>
      <c r="FN7" t="s">
        <v>106</v>
      </c>
      <c r="FO7" t="s">
        <v>106</v>
      </c>
      <c r="FP7" t="s">
        <v>106</v>
      </c>
      <c r="FQ7" t="s">
        <v>106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 t="s">
        <v>106</v>
      </c>
      <c r="B8" s="8" t="s">
        <v>56</v>
      </c>
      <c r="C8" s="8" t="s">
        <v>111</v>
      </c>
      <c r="D8" s="8">
        <v>100.0</v>
      </c>
      <c r="E8" s="8">
        <v>100.0</v>
      </c>
      <c r="F8" s="8" t="s">
        <v>106</v>
      </c>
      <c r="G8" s="8" t="s">
        <v>116</v>
      </c>
      <c r="H8" s="8" t="s">
        <v>106</v>
      </c>
      <c r="I8" s="8" t="s">
        <v>106</v>
      </c>
      <c r="J8" s="8" t="s">
        <v>106</v>
      </c>
      <c r="K8" s="8" t="s">
        <v>114</v>
      </c>
      <c r="L8" s="8" t="s">
        <v>110</v>
      </c>
      <c r="M8" s="8" t="s">
        <v>122</v>
      </c>
      <c r="N8" s="8" t="s">
        <v>106</v>
      </c>
      <c r="O8" s="8" t="s">
        <v>106</v>
      </c>
      <c r="P8" t="s">
        <v>106</v>
      </c>
      <c r="Q8" t="s">
        <v>106</v>
      </c>
      <c r="R8" t="s">
        <v>113</v>
      </c>
      <c r="S8" t="s">
        <v>120</v>
      </c>
      <c r="T8" t="s">
        <v>123</v>
      </c>
      <c r="U8" t="s">
        <v>108</v>
      </c>
      <c r="V8" t="s">
        <v>106</v>
      </c>
      <c r="W8" t="s">
        <v>119</v>
      </c>
      <c r="Z8" t="s">
        <v>106</v>
      </c>
      <c r="AB8" t="s">
        <v>106</v>
      </c>
      <c r="AC8" t="s">
        <v>106</v>
      </c>
      <c r="AD8" t="s">
        <v>106</v>
      </c>
      <c r="AJ8" t="s">
        <v>106</v>
      </c>
      <c r="AK8" t="s">
        <v>106</v>
      </c>
      <c r="AR8" t="s">
        <v>124</v>
      </c>
      <c r="AV8" t="s">
        <v>115</v>
      </c>
      <c r="BB8" t="s">
        <v>113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 t="s">
        <v>106</v>
      </c>
      <c r="BM8" t="s">
        <v>106</v>
      </c>
      <c r="BN8" t="s">
        <v>106</v>
      </c>
      <c r="BO8" t="s">
        <v>106</v>
      </c>
      <c r="BP8" t="s">
        <v>106</v>
      </c>
      <c r="BQ8" t="s">
        <v>106</v>
      </c>
      <c r="BR8" t="s">
        <v>106</v>
      </c>
      <c r="BS8" t="s">
        <v>106</v>
      </c>
      <c r="BT8" t="s">
        <v>106</v>
      </c>
      <c r="BU8" t="s">
        <v>106</v>
      </c>
      <c r="BV8" t="s">
        <v>106</v>
      </c>
      <c r="BW8" t="s">
        <v>106</v>
      </c>
      <c r="BX8" t="s">
        <v>106</v>
      </c>
      <c r="BY8" t="s">
        <v>106</v>
      </c>
      <c r="BZ8" t="s">
        <v>106</v>
      </c>
      <c r="CA8" t="s">
        <v>106</v>
      </c>
      <c r="CB8" t="s">
        <v>106</v>
      </c>
      <c r="CC8" t="s">
        <v>106</v>
      </c>
      <c r="CD8" t="s">
        <v>106</v>
      </c>
      <c r="CE8" t="s">
        <v>106</v>
      </c>
      <c r="CF8" t="s">
        <v>106</v>
      </c>
      <c r="CG8" t="s">
        <v>106</v>
      </c>
      <c r="CH8" t="s">
        <v>106</v>
      </c>
      <c r="CI8" t="s">
        <v>106</v>
      </c>
      <c r="CJ8" t="s">
        <v>106</v>
      </c>
      <c r="CK8" t="s">
        <v>106</v>
      </c>
      <c r="CL8" t="s">
        <v>106</v>
      </c>
      <c r="CM8" t="s">
        <v>106</v>
      </c>
      <c r="CN8" t="s">
        <v>106</v>
      </c>
      <c r="CO8" t="s">
        <v>106</v>
      </c>
      <c r="CP8" t="s">
        <v>106</v>
      </c>
      <c r="CQ8" t="s">
        <v>106</v>
      </c>
      <c r="CR8" t="s">
        <v>106</v>
      </c>
      <c r="CS8" t="s">
        <v>106</v>
      </c>
      <c r="CT8" t="s">
        <v>106</v>
      </c>
      <c r="CU8" t="s">
        <v>106</v>
      </c>
      <c r="CV8" t="s">
        <v>106</v>
      </c>
      <c r="CW8" t="s">
        <v>106</v>
      </c>
      <c r="CX8" t="s">
        <v>106</v>
      </c>
      <c r="CY8" t="s">
        <v>106</v>
      </c>
      <c r="CZ8" t="s">
        <v>106</v>
      </c>
      <c r="DA8" t="s">
        <v>106</v>
      </c>
      <c r="DB8" t="s">
        <v>106</v>
      </c>
      <c r="DC8" t="s">
        <v>106</v>
      </c>
      <c r="DD8" t="s">
        <v>106</v>
      </c>
      <c r="DE8" t="s">
        <v>106</v>
      </c>
      <c r="DF8" t="s">
        <v>106</v>
      </c>
      <c r="DG8" t="s">
        <v>106</v>
      </c>
      <c r="DH8" t="s">
        <v>106</v>
      </c>
      <c r="DI8" t="s">
        <v>106</v>
      </c>
      <c r="DJ8" t="s">
        <v>106</v>
      </c>
      <c r="DK8" t="s">
        <v>106</v>
      </c>
      <c r="DL8" t="s">
        <v>106</v>
      </c>
      <c r="DM8" t="s">
        <v>106</v>
      </c>
      <c r="DN8" t="s">
        <v>106</v>
      </c>
      <c r="DO8" t="s">
        <v>106</v>
      </c>
      <c r="DP8" t="s">
        <v>106</v>
      </c>
      <c r="DQ8" t="s">
        <v>106</v>
      </c>
      <c r="DR8" t="s">
        <v>106</v>
      </c>
      <c r="DS8" t="s">
        <v>106</v>
      </c>
      <c r="DT8" t="s">
        <v>106</v>
      </c>
      <c r="DU8" t="s">
        <v>106</v>
      </c>
      <c r="DV8" t="s">
        <v>106</v>
      </c>
      <c r="DW8" t="s">
        <v>106</v>
      </c>
      <c r="DX8" t="s">
        <v>106</v>
      </c>
      <c r="DY8" t="s">
        <v>106</v>
      </c>
      <c r="DZ8" t="s">
        <v>106</v>
      </c>
      <c r="EA8" t="s">
        <v>106</v>
      </c>
      <c r="EB8" t="s">
        <v>106</v>
      </c>
      <c r="EC8" t="s">
        <v>106</v>
      </c>
      <c r="ED8" t="s">
        <v>106</v>
      </c>
      <c r="EE8" t="s">
        <v>106</v>
      </c>
      <c r="EF8" t="s">
        <v>106</v>
      </c>
      <c r="EG8" t="s">
        <v>106</v>
      </c>
      <c r="EH8" t="s">
        <v>106</v>
      </c>
      <c r="EI8" t="s">
        <v>106</v>
      </c>
      <c r="EJ8" t="s">
        <v>106</v>
      </c>
      <c r="EK8" t="s">
        <v>106</v>
      </c>
      <c r="EL8" t="s">
        <v>106</v>
      </c>
      <c r="EM8" t="s">
        <v>106</v>
      </c>
      <c r="EN8" t="s">
        <v>106</v>
      </c>
      <c r="EO8" t="s">
        <v>106</v>
      </c>
      <c r="EP8" t="s">
        <v>106</v>
      </c>
      <c r="EQ8" t="s">
        <v>106</v>
      </c>
      <c r="ER8" t="s">
        <v>106</v>
      </c>
      <c r="ES8" t="s">
        <v>106</v>
      </c>
      <c r="ET8" t="s">
        <v>106</v>
      </c>
      <c r="EU8" t="s">
        <v>106</v>
      </c>
      <c r="EV8" t="s">
        <v>106</v>
      </c>
      <c r="EW8" t="s">
        <v>106</v>
      </c>
      <c r="EX8" t="s">
        <v>106</v>
      </c>
      <c r="EY8" t="s">
        <v>106</v>
      </c>
      <c r="EZ8" t="s">
        <v>106</v>
      </c>
      <c r="FA8" t="s">
        <v>106</v>
      </c>
      <c r="FB8" t="s">
        <v>106</v>
      </c>
      <c r="FC8" t="s">
        <v>106</v>
      </c>
      <c r="FD8" t="s">
        <v>106</v>
      </c>
      <c r="FE8" t="s">
        <v>106</v>
      </c>
      <c r="FF8" t="s">
        <v>106</v>
      </c>
      <c r="FG8" t="s">
        <v>106</v>
      </c>
      <c r="FH8" t="s">
        <v>106</v>
      </c>
      <c r="FI8" t="s">
        <v>106</v>
      </c>
      <c r="FJ8" t="s">
        <v>106</v>
      </c>
      <c r="FK8" t="s">
        <v>106</v>
      </c>
      <c r="FL8" t="s">
        <v>106</v>
      </c>
      <c r="FM8" t="s">
        <v>106</v>
      </c>
      <c r="FN8" t="s">
        <v>106</v>
      </c>
      <c r="FO8" t="s">
        <v>106</v>
      </c>
      <c r="FP8" t="s">
        <v>106</v>
      </c>
      <c r="FQ8" t="s">
        <v>106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 t="s">
        <v>106</v>
      </c>
      <c r="B9" s="8" t="s">
        <v>53</v>
      </c>
      <c r="C9" s="8" t="s">
        <v>111</v>
      </c>
      <c r="D9" s="8">
        <v>100.0</v>
      </c>
      <c r="E9" s="8">
        <v>100.0</v>
      </c>
      <c r="F9" s="8" t="s">
        <v>106</v>
      </c>
      <c r="G9" s="8" t="s">
        <v>116</v>
      </c>
      <c r="H9" s="8" t="s">
        <v>106</v>
      </c>
      <c r="I9" s="8" t="s">
        <v>106</v>
      </c>
      <c r="J9" s="8" t="s">
        <v>106</v>
      </c>
      <c r="K9" s="8" t="s">
        <v>114</v>
      </c>
      <c r="L9" s="8" t="s">
        <v>110</v>
      </c>
      <c r="M9" s="8" t="s">
        <v>122</v>
      </c>
      <c r="N9" s="8" t="s">
        <v>106</v>
      </c>
      <c r="O9" s="8" t="s">
        <v>106</v>
      </c>
      <c r="P9" t="s">
        <v>106</v>
      </c>
      <c r="Q9" t="s">
        <v>106</v>
      </c>
      <c r="R9" t="s">
        <v>113</v>
      </c>
      <c r="S9" t="s">
        <v>117</v>
      </c>
      <c r="T9" t="s">
        <v>123</v>
      </c>
      <c r="U9" t="s">
        <v>108</v>
      </c>
      <c r="V9" t="s">
        <v>106</v>
      </c>
      <c r="W9" t="s">
        <v>112</v>
      </c>
      <c r="Z9" t="s">
        <v>106</v>
      </c>
      <c r="AB9" t="s">
        <v>106</v>
      </c>
      <c r="AC9" t="s">
        <v>106</v>
      </c>
      <c r="AD9" t="s">
        <v>106</v>
      </c>
      <c r="AJ9" t="s">
        <v>106</v>
      </c>
      <c r="AK9" t="s">
        <v>106</v>
      </c>
      <c r="AR9" t="s">
        <v>124</v>
      </c>
      <c r="AV9" t="s">
        <v>115</v>
      </c>
      <c r="BB9" t="s">
        <v>113</v>
      </c>
      <c r="BC9" t="s">
        <v>106</v>
      </c>
      <c r="BD9" t="s">
        <v>106</v>
      </c>
      <c r="BE9" t="s">
        <v>106</v>
      </c>
      <c r="BF9" t="s">
        <v>106</v>
      </c>
      <c r="BG9" t="s">
        <v>106</v>
      </c>
      <c r="BH9" t="s">
        <v>106</v>
      </c>
      <c r="BI9" t="s">
        <v>106</v>
      </c>
      <c r="BJ9" t="s">
        <v>106</v>
      </c>
      <c r="BK9" t="s">
        <v>106</v>
      </c>
      <c r="BL9" t="s">
        <v>106</v>
      </c>
      <c r="BM9" t="s">
        <v>106</v>
      </c>
      <c r="BN9" t="s">
        <v>106</v>
      </c>
      <c r="BO9" t="s">
        <v>106</v>
      </c>
      <c r="BP9" t="s">
        <v>106</v>
      </c>
      <c r="BQ9" t="s">
        <v>106</v>
      </c>
      <c r="BR9" t="s">
        <v>106</v>
      </c>
      <c r="BS9" t="s">
        <v>106</v>
      </c>
      <c r="BT9" t="s">
        <v>106</v>
      </c>
      <c r="BU9" t="s">
        <v>106</v>
      </c>
      <c r="BV9" t="s">
        <v>106</v>
      </c>
      <c r="BW9" t="s">
        <v>106</v>
      </c>
      <c r="BX9" t="s">
        <v>106</v>
      </c>
      <c r="BY9" t="s">
        <v>106</v>
      </c>
      <c r="BZ9" t="s">
        <v>106</v>
      </c>
      <c r="CA9" t="s">
        <v>106</v>
      </c>
      <c r="CB9" t="s">
        <v>106</v>
      </c>
      <c r="CC9" t="s">
        <v>106</v>
      </c>
      <c r="CD9" t="s">
        <v>106</v>
      </c>
      <c r="CE9" t="s">
        <v>106</v>
      </c>
      <c r="CF9" t="s">
        <v>106</v>
      </c>
      <c r="CG9" t="s">
        <v>106</v>
      </c>
      <c r="CH9" t="s">
        <v>106</v>
      </c>
      <c r="CI9" t="s">
        <v>106</v>
      </c>
      <c r="CJ9" t="s">
        <v>106</v>
      </c>
      <c r="CK9" t="s">
        <v>106</v>
      </c>
      <c r="CL9" t="s">
        <v>106</v>
      </c>
      <c r="CM9" t="s">
        <v>106</v>
      </c>
      <c r="CN9" t="s">
        <v>106</v>
      </c>
      <c r="CO9" t="s">
        <v>106</v>
      </c>
      <c r="CP9" t="s">
        <v>106</v>
      </c>
      <c r="CQ9" t="s">
        <v>106</v>
      </c>
      <c r="CR9" t="s">
        <v>106</v>
      </c>
      <c r="CS9" t="s">
        <v>106</v>
      </c>
      <c r="CT9" t="s">
        <v>106</v>
      </c>
      <c r="CU9" t="s">
        <v>106</v>
      </c>
      <c r="CV9" t="s">
        <v>106</v>
      </c>
      <c r="CW9" t="s">
        <v>106</v>
      </c>
      <c r="CX9" t="s">
        <v>106</v>
      </c>
      <c r="CY9" t="s">
        <v>106</v>
      </c>
      <c r="CZ9" t="s">
        <v>106</v>
      </c>
      <c r="DA9" t="s">
        <v>106</v>
      </c>
      <c r="DB9" t="s">
        <v>106</v>
      </c>
      <c r="DC9" t="s">
        <v>106</v>
      </c>
      <c r="DD9" t="s">
        <v>106</v>
      </c>
      <c r="DE9" t="s">
        <v>106</v>
      </c>
      <c r="DF9" t="s">
        <v>106</v>
      </c>
      <c r="DG9" t="s">
        <v>106</v>
      </c>
      <c r="DH9" t="s">
        <v>106</v>
      </c>
      <c r="DI9" t="s">
        <v>106</v>
      </c>
      <c r="DJ9" t="s">
        <v>106</v>
      </c>
      <c r="DK9" t="s">
        <v>106</v>
      </c>
      <c r="DL9" t="s">
        <v>106</v>
      </c>
      <c r="DM9" t="s">
        <v>106</v>
      </c>
      <c r="DN9" t="s">
        <v>106</v>
      </c>
      <c r="DO9" t="s">
        <v>106</v>
      </c>
      <c r="DP9" t="s">
        <v>106</v>
      </c>
      <c r="DQ9" t="s">
        <v>106</v>
      </c>
      <c r="DR9" t="s">
        <v>106</v>
      </c>
      <c r="DS9" t="s">
        <v>106</v>
      </c>
      <c r="DT9" t="s">
        <v>106</v>
      </c>
      <c r="DU9" t="s">
        <v>106</v>
      </c>
      <c r="DV9" t="s">
        <v>106</v>
      </c>
      <c r="DW9" t="s">
        <v>106</v>
      </c>
      <c r="DX9" t="s">
        <v>106</v>
      </c>
      <c r="DY9" t="s">
        <v>106</v>
      </c>
      <c r="DZ9" t="s">
        <v>106</v>
      </c>
      <c r="EA9" t="s">
        <v>106</v>
      </c>
      <c r="EB9" t="s">
        <v>106</v>
      </c>
      <c r="EC9" t="s">
        <v>106</v>
      </c>
      <c r="ED9" t="s">
        <v>106</v>
      </c>
      <c r="EE9" t="s">
        <v>106</v>
      </c>
      <c r="EF9" t="s">
        <v>106</v>
      </c>
      <c r="EG9" t="s">
        <v>106</v>
      </c>
      <c r="EH9" t="s">
        <v>106</v>
      </c>
      <c r="EI9" t="s">
        <v>106</v>
      </c>
      <c r="EJ9" t="s">
        <v>106</v>
      </c>
      <c r="EK9" t="s">
        <v>106</v>
      </c>
      <c r="EL9" t="s">
        <v>106</v>
      </c>
      <c r="EM9" t="s">
        <v>106</v>
      </c>
      <c r="EN9" t="s">
        <v>106</v>
      </c>
      <c r="EO9" t="s">
        <v>106</v>
      </c>
      <c r="EP9" t="s">
        <v>106</v>
      </c>
      <c r="EQ9" t="s">
        <v>106</v>
      </c>
      <c r="ER9" t="s">
        <v>106</v>
      </c>
      <c r="ES9" t="s">
        <v>106</v>
      </c>
      <c r="ET9" t="s">
        <v>106</v>
      </c>
      <c r="EU9" t="s">
        <v>106</v>
      </c>
      <c r="EV9" t="s">
        <v>106</v>
      </c>
      <c r="EW9" t="s">
        <v>106</v>
      </c>
      <c r="EX9" t="s">
        <v>106</v>
      </c>
      <c r="EY9" t="s">
        <v>106</v>
      </c>
      <c r="EZ9" t="s">
        <v>106</v>
      </c>
      <c r="FA9" t="s">
        <v>106</v>
      </c>
      <c r="FB9" t="s">
        <v>106</v>
      </c>
      <c r="FC9" t="s">
        <v>106</v>
      </c>
      <c r="FD9" t="s">
        <v>106</v>
      </c>
      <c r="FE9" t="s">
        <v>106</v>
      </c>
      <c r="FF9" t="s">
        <v>106</v>
      </c>
      <c r="FG9" t="s">
        <v>106</v>
      </c>
      <c r="FH9" t="s">
        <v>106</v>
      </c>
      <c r="FI9" t="s">
        <v>106</v>
      </c>
      <c r="FJ9" t="s">
        <v>106</v>
      </c>
      <c r="FK9" t="s">
        <v>106</v>
      </c>
      <c r="FL9" t="s">
        <v>106</v>
      </c>
      <c r="FM9" t="s">
        <v>106</v>
      </c>
      <c r="FN9" t="s">
        <v>106</v>
      </c>
      <c r="FO9" t="s">
        <v>106</v>
      </c>
      <c r="FP9" t="s">
        <v>106</v>
      </c>
      <c r="FQ9" t="s">
        <v>106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 t="s">
        <v>106</v>
      </c>
      <c r="B10" s="8" t="s">
        <v>55</v>
      </c>
      <c r="C10" s="8" t="s">
        <v>111</v>
      </c>
      <c r="D10" s="8">
        <v>100.0</v>
      </c>
      <c r="E10" s="8">
        <v>100.0</v>
      </c>
      <c r="F10" s="8" t="s">
        <v>106</v>
      </c>
      <c r="G10" s="8" t="s">
        <v>116</v>
      </c>
      <c r="H10" s="8" t="s">
        <v>106</v>
      </c>
      <c r="I10" s="8" t="s">
        <v>106</v>
      </c>
      <c r="J10" s="8" t="s">
        <v>106</v>
      </c>
      <c r="K10" s="8" t="s">
        <v>114</v>
      </c>
      <c r="L10" s="8" t="s">
        <v>110</v>
      </c>
      <c r="M10" s="8" t="s">
        <v>122</v>
      </c>
      <c r="N10" s="8" t="s">
        <v>106</v>
      </c>
      <c r="O10" s="8" t="s">
        <v>106</v>
      </c>
      <c r="P10" t="s">
        <v>106</v>
      </c>
      <c r="Q10" t="s">
        <v>106</v>
      </c>
      <c r="R10" t="s">
        <v>113</v>
      </c>
      <c r="S10" t="s">
        <v>118</v>
      </c>
      <c r="T10" t="s">
        <v>123</v>
      </c>
      <c r="U10" t="s">
        <v>108</v>
      </c>
      <c r="V10" t="s">
        <v>106</v>
      </c>
      <c r="W10" t="s">
        <v>112</v>
      </c>
      <c r="Z10" t="s">
        <v>106</v>
      </c>
      <c r="AB10" t="s">
        <v>106</v>
      </c>
      <c r="AC10" t="s">
        <v>106</v>
      </c>
      <c r="AD10" t="s">
        <v>106</v>
      </c>
      <c r="AJ10" t="s">
        <v>106</v>
      </c>
      <c r="AK10" t="s">
        <v>106</v>
      </c>
      <c r="AR10" t="s">
        <v>124</v>
      </c>
      <c r="AV10" t="s">
        <v>115</v>
      </c>
      <c r="BB10" t="s">
        <v>113</v>
      </c>
      <c r="BC10" t="s">
        <v>106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106</v>
      </c>
      <c r="BJ10" t="s">
        <v>106</v>
      </c>
      <c r="BK10" t="s">
        <v>106</v>
      </c>
      <c r="BL10" t="s">
        <v>106</v>
      </c>
      <c r="BM10" t="s">
        <v>106</v>
      </c>
      <c r="BN10" t="s">
        <v>106</v>
      </c>
      <c r="BO10" t="s">
        <v>106</v>
      </c>
      <c r="BP10" t="s">
        <v>106</v>
      </c>
      <c r="BQ10" t="s">
        <v>106</v>
      </c>
      <c r="BR10" t="s">
        <v>106</v>
      </c>
      <c r="BS10" t="s">
        <v>106</v>
      </c>
      <c r="BT10" t="s">
        <v>106</v>
      </c>
      <c r="BU10" t="s">
        <v>106</v>
      </c>
      <c r="BV10" t="s">
        <v>106</v>
      </c>
      <c r="BW10" t="s">
        <v>106</v>
      </c>
      <c r="BX10" t="s">
        <v>106</v>
      </c>
      <c r="BY10" t="s">
        <v>106</v>
      </c>
      <c r="BZ10" t="s">
        <v>106</v>
      </c>
      <c r="CA10" t="s">
        <v>106</v>
      </c>
      <c r="CB10" t="s">
        <v>106</v>
      </c>
      <c r="CC10" t="s">
        <v>106</v>
      </c>
      <c r="CD10" t="s">
        <v>106</v>
      </c>
      <c r="CE10" t="s">
        <v>106</v>
      </c>
      <c r="CF10" t="s">
        <v>106</v>
      </c>
      <c r="CG10" t="s">
        <v>106</v>
      </c>
      <c r="CH10" t="s">
        <v>106</v>
      </c>
      <c r="CI10" t="s">
        <v>106</v>
      </c>
      <c r="CJ10" t="s">
        <v>106</v>
      </c>
      <c r="CK10" t="s">
        <v>106</v>
      </c>
      <c r="CL10" t="s">
        <v>106</v>
      </c>
      <c r="CM10" t="s">
        <v>106</v>
      </c>
      <c r="CN10" t="s">
        <v>106</v>
      </c>
      <c r="CO10" t="s">
        <v>106</v>
      </c>
      <c r="CP10" t="s">
        <v>106</v>
      </c>
      <c r="CQ10" t="s">
        <v>106</v>
      </c>
      <c r="CR10" t="s">
        <v>106</v>
      </c>
      <c r="CS10" t="s">
        <v>106</v>
      </c>
      <c r="CT10" t="s">
        <v>106</v>
      </c>
      <c r="CU10" t="s">
        <v>106</v>
      </c>
      <c r="CV10" t="s">
        <v>106</v>
      </c>
      <c r="CW10" t="s">
        <v>106</v>
      </c>
      <c r="CX10" t="s">
        <v>106</v>
      </c>
      <c r="CY10" t="s">
        <v>106</v>
      </c>
      <c r="CZ10" t="s">
        <v>106</v>
      </c>
      <c r="DA10" t="s">
        <v>106</v>
      </c>
      <c r="DB10" t="s">
        <v>106</v>
      </c>
      <c r="DC10" t="s">
        <v>106</v>
      </c>
      <c r="DD10" t="s">
        <v>106</v>
      </c>
      <c r="DE10" t="s">
        <v>106</v>
      </c>
      <c r="DF10" t="s">
        <v>106</v>
      </c>
      <c r="DG10" t="s">
        <v>106</v>
      </c>
      <c r="DH10" t="s">
        <v>106</v>
      </c>
      <c r="DI10" t="s">
        <v>106</v>
      </c>
      <c r="DJ10" t="s">
        <v>106</v>
      </c>
      <c r="DK10" t="s">
        <v>106</v>
      </c>
      <c r="DL10" t="s">
        <v>106</v>
      </c>
      <c r="DM10" t="s">
        <v>106</v>
      </c>
      <c r="DN10" t="s">
        <v>106</v>
      </c>
      <c r="DO10" t="s">
        <v>106</v>
      </c>
      <c r="DP10" t="s">
        <v>106</v>
      </c>
      <c r="DQ10" t="s">
        <v>106</v>
      </c>
      <c r="DR10" t="s">
        <v>106</v>
      </c>
      <c r="DS10" t="s">
        <v>106</v>
      </c>
      <c r="DT10" t="s">
        <v>106</v>
      </c>
      <c r="DU10" t="s">
        <v>106</v>
      </c>
      <c r="DV10" t="s">
        <v>106</v>
      </c>
      <c r="DW10" t="s">
        <v>106</v>
      </c>
      <c r="DX10" t="s">
        <v>106</v>
      </c>
      <c r="DY10" t="s">
        <v>106</v>
      </c>
      <c r="DZ10" t="s">
        <v>106</v>
      </c>
      <c r="EA10" t="s">
        <v>106</v>
      </c>
      <c r="EB10" t="s">
        <v>106</v>
      </c>
      <c r="EC10" t="s">
        <v>106</v>
      </c>
      <c r="ED10" t="s">
        <v>106</v>
      </c>
      <c r="EE10" t="s">
        <v>106</v>
      </c>
      <c r="EF10" t="s">
        <v>106</v>
      </c>
      <c r="EG10" t="s">
        <v>106</v>
      </c>
      <c r="EH10" t="s">
        <v>106</v>
      </c>
      <c r="EI10" t="s">
        <v>106</v>
      </c>
      <c r="EJ10" t="s">
        <v>106</v>
      </c>
      <c r="EK10" t="s">
        <v>106</v>
      </c>
      <c r="EL10" t="s">
        <v>106</v>
      </c>
      <c r="EM10" t="s">
        <v>106</v>
      </c>
      <c r="EN10" t="s">
        <v>106</v>
      </c>
      <c r="EO10" t="s">
        <v>106</v>
      </c>
      <c r="EP10" t="s">
        <v>106</v>
      </c>
      <c r="EQ10" t="s">
        <v>106</v>
      </c>
      <c r="ER10" t="s">
        <v>106</v>
      </c>
      <c r="ES10" t="s">
        <v>106</v>
      </c>
      <c r="ET10" t="s">
        <v>106</v>
      </c>
      <c r="EU10" t="s">
        <v>106</v>
      </c>
      <c r="EV10" t="s">
        <v>106</v>
      </c>
      <c r="EW10" t="s">
        <v>106</v>
      </c>
      <c r="EX10" t="s">
        <v>106</v>
      </c>
      <c r="EY10" t="s">
        <v>106</v>
      </c>
      <c r="EZ10" t="s">
        <v>106</v>
      </c>
      <c r="FA10" t="s">
        <v>106</v>
      </c>
      <c r="FB10" t="s">
        <v>106</v>
      </c>
      <c r="FC10" t="s">
        <v>106</v>
      </c>
      <c r="FD10" t="s">
        <v>106</v>
      </c>
      <c r="FE10" t="s">
        <v>106</v>
      </c>
      <c r="FF10" t="s">
        <v>106</v>
      </c>
      <c r="FG10" t="s">
        <v>106</v>
      </c>
      <c r="FH10" t="s">
        <v>106</v>
      </c>
      <c r="FI10" t="s">
        <v>106</v>
      </c>
      <c r="FJ10" t="s">
        <v>106</v>
      </c>
      <c r="FK10" t="s">
        <v>106</v>
      </c>
      <c r="FL10" t="s">
        <v>106</v>
      </c>
      <c r="FM10" t="s">
        <v>106</v>
      </c>
      <c r="FN10" t="s">
        <v>106</v>
      </c>
      <c r="FO10" t="s">
        <v>106</v>
      </c>
      <c r="FP10" t="s">
        <v>106</v>
      </c>
      <c r="FQ10" t="s">
        <v>106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 t="s">
        <v>106</v>
      </c>
      <c r="B11" s="8" t="s">
        <v>56</v>
      </c>
      <c r="C11" s="8" t="s">
        <v>111</v>
      </c>
      <c r="D11" s="8">
        <v>100.0</v>
      </c>
      <c r="E11" s="8">
        <v>100.0</v>
      </c>
      <c r="F11" s="8" t="s">
        <v>106</v>
      </c>
      <c r="G11" s="8" t="s">
        <v>116</v>
      </c>
      <c r="H11" s="8" t="s">
        <v>106</v>
      </c>
      <c r="I11" s="8" t="s">
        <v>106</v>
      </c>
      <c r="J11" s="8" t="s">
        <v>106</v>
      </c>
      <c r="K11" s="8" t="s">
        <v>114</v>
      </c>
      <c r="L11" s="8" t="s">
        <v>110</v>
      </c>
      <c r="M11" s="8" t="s">
        <v>122</v>
      </c>
      <c r="N11" s="8" t="s">
        <v>106</v>
      </c>
      <c r="O11" s="8" t="s">
        <v>106</v>
      </c>
      <c r="P11" t="s">
        <v>106</v>
      </c>
      <c r="Q11" t="s">
        <v>106</v>
      </c>
      <c r="R11" t="s">
        <v>113</v>
      </c>
      <c r="S11" t="s">
        <v>120</v>
      </c>
      <c r="T11" t="s">
        <v>123</v>
      </c>
      <c r="U11" t="s">
        <v>108</v>
      </c>
      <c r="V11" t="s">
        <v>106</v>
      </c>
      <c r="W11" t="s">
        <v>112</v>
      </c>
      <c r="Z11" t="s">
        <v>106</v>
      </c>
      <c r="AB11" t="s">
        <v>106</v>
      </c>
      <c r="AC11" t="s">
        <v>106</v>
      </c>
      <c r="AD11" t="s">
        <v>106</v>
      </c>
      <c r="AJ11" t="s">
        <v>106</v>
      </c>
      <c r="AK11" t="s">
        <v>106</v>
      </c>
      <c r="AR11" t="s">
        <v>124</v>
      </c>
      <c r="AV11" t="s">
        <v>115</v>
      </c>
      <c r="BB11" t="s">
        <v>113</v>
      </c>
      <c r="BC11" t="s">
        <v>106</v>
      </c>
      <c r="BD11" t="s">
        <v>106</v>
      </c>
      <c r="BE11" t="s">
        <v>106</v>
      </c>
      <c r="BF11" t="s">
        <v>106</v>
      </c>
      <c r="BG11" t="s">
        <v>106</v>
      </c>
      <c r="BH11" t="s">
        <v>106</v>
      </c>
      <c r="BI11" t="s">
        <v>106</v>
      </c>
      <c r="BJ11" t="s">
        <v>106</v>
      </c>
      <c r="BK11" t="s">
        <v>106</v>
      </c>
      <c r="BL11" t="s">
        <v>106</v>
      </c>
      <c r="BM11" t="s">
        <v>106</v>
      </c>
      <c r="BN11" t="s">
        <v>106</v>
      </c>
      <c r="BO11" t="s">
        <v>106</v>
      </c>
      <c r="BP11" t="s">
        <v>106</v>
      </c>
      <c r="BQ11" t="s">
        <v>106</v>
      </c>
      <c r="BR11" t="s">
        <v>106</v>
      </c>
      <c r="BS11" t="s">
        <v>106</v>
      </c>
      <c r="BT11" t="s">
        <v>106</v>
      </c>
      <c r="BU11" t="s">
        <v>106</v>
      </c>
      <c r="BV11" t="s">
        <v>106</v>
      </c>
      <c r="BW11" t="s">
        <v>106</v>
      </c>
      <c r="BX11" t="s">
        <v>106</v>
      </c>
      <c r="BY11" t="s">
        <v>106</v>
      </c>
      <c r="BZ11" t="s">
        <v>106</v>
      </c>
      <c r="CA11" t="s">
        <v>106</v>
      </c>
      <c r="CB11" t="s">
        <v>106</v>
      </c>
      <c r="CC11" t="s">
        <v>106</v>
      </c>
      <c r="CD11" t="s">
        <v>106</v>
      </c>
      <c r="CE11" t="s">
        <v>106</v>
      </c>
      <c r="CF11" t="s">
        <v>106</v>
      </c>
      <c r="CG11" t="s">
        <v>106</v>
      </c>
      <c r="CH11" t="s">
        <v>106</v>
      </c>
      <c r="CI11" t="s">
        <v>106</v>
      </c>
      <c r="CJ11" t="s">
        <v>106</v>
      </c>
      <c r="CK11" t="s">
        <v>106</v>
      </c>
      <c r="CL11" t="s">
        <v>106</v>
      </c>
      <c r="CM11" t="s">
        <v>106</v>
      </c>
      <c r="CN11" t="s">
        <v>106</v>
      </c>
      <c r="CO11" t="s">
        <v>106</v>
      </c>
      <c r="CP11" t="s">
        <v>106</v>
      </c>
      <c r="CQ11" t="s">
        <v>106</v>
      </c>
      <c r="CR11" t="s">
        <v>106</v>
      </c>
      <c r="CS11" t="s">
        <v>106</v>
      </c>
      <c r="CT11" t="s">
        <v>106</v>
      </c>
      <c r="CU11" t="s">
        <v>106</v>
      </c>
      <c r="CV11" t="s">
        <v>106</v>
      </c>
      <c r="CW11" t="s">
        <v>106</v>
      </c>
      <c r="CX11" t="s">
        <v>106</v>
      </c>
      <c r="CY11" t="s">
        <v>106</v>
      </c>
      <c r="CZ11" t="s">
        <v>106</v>
      </c>
      <c r="DA11" t="s">
        <v>106</v>
      </c>
      <c r="DB11" t="s">
        <v>106</v>
      </c>
      <c r="DC11" t="s">
        <v>106</v>
      </c>
      <c r="DD11" t="s">
        <v>106</v>
      </c>
      <c r="DE11" t="s">
        <v>106</v>
      </c>
      <c r="DF11" t="s">
        <v>106</v>
      </c>
      <c r="DG11" t="s">
        <v>106</v>
      </c>
      <c r="DH11" t="s">
        <v>106</v>
      </c>
      <c r="DI11" t="s">
        <v>106</v>
      </c>
      <c r="DJ11" t="s">
        <v>106</v>
      </c>
      <c r="DK11" t="s">
        <v>106</v>
      </c>
      <c r="DL11" t="s">
        <v>106</v>
      </c>
      <c r="DM11" t="s">
        <v>106</v>
      </c>
      <c r="DN11" t="s">
        <v>106</v>
      </c>
      <c r="DO11" t="s">
        <v>106</v>
      </c>
      <c r="DP11" t="s">
        <v>106</v>
      </c>
      <c r="DQ11" t="s">
        <v>106</v>
      </c>
      <c r="DR11" t="s">
        <v>106</v>
      </c>
      <c r="DS11" t="s">
        <v>106</v>
      </c>
      <c r="DT11" t="s">
        <v>106</v>
      </c>
      <c r="DU11" t="s">
        <v>106</v>
      </c>
      <c r="DV11" t="s">
        <v>106</v>
      </c>
      <c r="DW11" t="s">
        <v>106</v>
      </c>
      <c r="DX11" t="s">
        <v>106</v>
      </c>
      <c r="DY11" t="s">
        <v>106</v>
      </c>
      <c r="DZ11" t="s">
        <v>106</v>
      </c>
      <c r="EA11" t="s">
        <v>106</v>
      </c>
      <c r="EB11" t="s">
        <v>106</v>
      </c>
      <c r="EC11" t="s">
        <v>106</v>
      </c>
      <c r="ED11" t="s">
        <v>106</v>
      </c>
      <c r="EE11" t="s">
        <v>106</v>
      </c>
      <c r="EF11" t="s">
        <v>106</v>
      </c>
      <c r="EG11" t="s">
        <v>106</v>
      </c>
      <c r="EH11" t="s">
        <v>106</v>
      </c>
      <c r="EI11" t="s">
        <v>106</v>
      </c>
      <c r="EJ11" t="s">
        <v>106</v>
      </c>
      <c r="EK11" t="s">
        <v>106</v>
      </c>
      <c r="EL11" t="s">
        <v>106</v>
      </c>
      <c r="EM11" t="s">
        <v>106</v>
      </c>
      <c r="EN11" t="s">
        <v>106</v>
      </c>
      <c r="EO11" t="s">
        <v>106</v>
      </c>
      <c r="EP11" t="s">
        <v>106</v>
      </c>
      <c r="EQ11" t="s">
        <v>106</v>
      </c>
      <c r="ER11" t="s">
        <v>106</v>
      </c>
      <c r="ES11" t="s">
        <v>106</v>
      </c>
      <c r="ET11" t="s">
        <v>106</v>
      </c>
      <c r="EU11" t="s">
        <v>106</v>
      </c>
      <c r="EV11" t="s">
        <v>106</v>
      </c>
      <c r="EW11" t="s">
        <v>106</v>
      </c>
      <c r="EX11" t="s">
        <v>106</v>
      </c>
      <c r="EY11" t="s">
        <v>106</v>
      </c>
      <c r="EZ11" t="s">
        <v>106</v>
      </c>
      <c r="FA11" t="s">
        <v>106</v>
      </c>
      <c r="FB11" t="s">
        <v>106</v>
      </c>
      <c r="FC11" t="s">
        <v>106</v>
      </c>
      <c r="FD11" t="s">
        <v>106</v>
      </c>
      <c r="FE11" t="s">
        <v>106</v>
      </c>
      <c r="FF11" t="s">
        <v>106</v>
      </c>
      <c r="FG11" t="s">
        <v>106</v>
      </c>
      <c r="FH11" t="s">
        <v>106</v>
      </c>
      <c r="FI11" t="s">
        <v>106</v>
      </c>
      <c r="FJ11" t="s">
        <v>106</v>
      </c>
      <c r="FK11" t="s">
        <v>106</v>
      </c>
      <c r="FL11" t="s">
        <v>106</v>
      </c>
      <c r="FM11" t="s">
        <v>106</v>
      </c>
      <c r="FN11" t="s">
        <v>106</v>
      </c>
      <c r="FO11" t="s">
        <v>106</v>
      </c>
      <c r="FP11" t="s">
        <v>106</v>
      </c>
      <c r="FQ11" t="s">
        <v>106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125</v>
      </c>
      <c r="D3" s="5" t="s">
        <v>9</v>
      </c>
      <c r="E3" s="23" t="s">
        <v>126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IFERROR(__xludf.DUMMYFUNCTION("""COMPUTED_VALUE"""),"Account Name")</f>
        <v>Account Name</v>
      </c>
      <c r="C5" s="33" t="str">
        <f>IFERROR(__xludf.DUMMYFUNCTION("""COMPUTED_VALUE"""),"Accrual Basis")</f>
        <v>Accrual Basis</v>
      </c>
      <c r="D5" s="33" t="str">
        <f>IFERROR(__xludf.DUMMYFUNCTION("""COMPUTED_VALUE"""),"Accrued Interest")</f>
        <v>Accrued Interest</v>
      </c>
      <c r="E5" s="33" t="str">
        <f>IFERROR(__xludf.DUMMYFUNCTION("""COMPUTED_VALUE"""),"Allocated Qty")</f>
        <v>Allocated Qty</v>
      </c>
      <c r="F5" s="34" t="str">
        <f>IFERROR(__xludf.DUMMYFUNCTION("""COMPUTED_VALUE"""),"Allocation Scheme Name")</f>
        <v>Allocation Scheme Name</v>
      </c>
      <c r="G5" s="33" t="str">
        <f>IFERROR(__xludf.DUMMYFUNCTION("""COMPUTED_VALUE"""),"Asset Category")</f>
        <v>Asset Category</v>
      </c>
      <c r="H5" s="33" t="str">
        <f>IFERROR(__xludf.DUMMYFUNCTION("""COMPUTED_VALUE"""),"AUEC Fee1")</f>
        <v>AUEC Fee1</v>
      </c>
      <c r="I5" s="33" t="str">
        <f>IFERROR(__xludf.DUMMYFUNCTION("""COMPUTED_VALUE"""),"AUEC Fee2")</f>
        <v>AUEC Fee2</v>
      </c>
      <c r="J5" s="33" t="str">
        <f>IFERROR(__xludf.DUMMYFUNCTION("""COMPUTED_VALUE"""),"AUECID")</f>
        <v>AUECID</v>
      </c>
      <c r="K5" s="33" t="str">
        <f>IFERROR(__xludf.DUMMYFUNCTION("""COMPUTED_VALUE"""),"Avg Price(Base)")</f>
        <v>Avg Price(Base)</v>
      </c>
      <c r="L5" s="33" t="str">
        <f>IFERROR(__xludf.DUMMYFUNCTION("""COMPUTED_VALUE"""),"Avg Price(Local)")</f>
        <v>Avg Price(Local)</v>
      </c>
      <c r="M5" s="33" t="str">
        <f>IFERROR(__xludf.DUMMYFUNCTION("""COMPUTED_VALUE"""),"Bloomberg")</f>
        <v>Bloomberg</v>
      </c>
      <c r="N5" s="33" t="str">
        <f>IFERROR(__xludf.DUMMYFUNCTION("""COMPUTED_VALUE"""),"Bond Type")</f>
        <v>Bond Type</v>
      </c>
      <c r="O5" s="33" t="str">
        <f>IFERROR(__xludf.DUMMYFUNCTION("""COMPUTED_VALUE"""),"Broker")</f>
        <v>Broker</v>
      </c>
      <c r="P5" s="33" t="str">
        <f>IFERROR(__xludf.DUMMYFUNCTION("""COMPUTED_VALUE"""),"Change Comment")</f>
        <v>Change Comment</v>
      </c>
      <c r="Q5" s="33" t="str">
        <f>IFERROR(__xludf.DUMMYFUNCTION("""COMPUTED_VALUE"""),"Change Type")</f>
        <v>Change Type</v>
      </c>
      <c r="R5" s="33" t="str">
        <f>IFERROR(__xludf.DUMMYFUNCTION("""COMPUTED_VALUE"""),"Clearing Broker Fee")</f>
        <v>Clearing Broker Fee</v>
      </c>
      <c r="S5" s="33" t="str">
        <f>IFERROR(__xludf.DUMMYFUNCTION("""COMPUTED_VALUE"""),"Closing Status")</f>
        <v>Closing Status</v>
      </c>
      <c r="T5" s="35" t="str">
        <f>IFERROR(__xludf.DUMMYFUNCTION("""COMPUTED_VALUE"""),"Commission")</f>
        <v>Commission</v>
      </c>
      <c r="U5" s="35" t="str">
        <f>IFERROR(__xludf.DUMMYFUNCTION("""COMPUTED_VALUE"""),"Commission Per Share")</f>
        <v>Commission Per Share</v>
      </c>
      <c r="V5" s="35" t="str">
        <f>IFERROR(__xludf.DUMMYFUNCTION("""COMPUTED_VALUE"""),"Company")</f>
        <v>Company</v>
      </c>
      <c r="W5" s="35" t="str">
        <f>IFERROR(__xludf.DUMMYFUNCTION("""COMPUTED_VALUE"""),"Contract Multiplier")</f>
        <v>Contract Multiplier</v>
      </c>
      <c r="X5" s="35" t="str">
        <f>IFERROR(__xludf.DUMMYFUNCTION("""COMPUTED_VALUE"""),"Coupon Rate")</f>
        <v>Coupon Rate</v>
      </c>
      <c r="Y5" s="35" t="str">
        <f>IFERROR(__xludf.DUMMYFUNCTION("""COMPUTED_VALUE"""),"Cum Qty For Sub Order")</f>
        <v>Cum Qty For Sub Order</v>
      </c>
      <c r="Z5" s="35" t="str">
        <f>IFERROR(__xludf.DUMMYFUNCTION("""COMPUTED_VALUE"""),"Currency")</f>
        <v>Currency</v>
      </c>
      <c r="AA5" s="35" t="str">
        <f>IFERROR(__xludf.DUMMYFUNCTION("""COMPUTED_VALUE"""),"Cusip Symbol")</f>
        <v>Cusip Symbol</v>
      </c>
      <c r="AB5" s="35" t="str">
        <f>IFERROR(__xludf.DUMMYFUNCTION("""COMPUTED_VALUE"""),"Delta")</f>
        <v>Delta</v>
      </c>
      <c r="AC5" s="35" t="str">
        <f>IFERROR(__xludf.DUMMYFUNCTION("""COMPUTED_VALUE"""),"Description")</f>
        <v>Description</v>
      </c>
      <c r="AD5" s="35" t="str">
        <f>IFERROR(__xludf.DUMMYFUNCTION("""COMPUTED_VALUE"""),"Exchange")</f>
        <v>Exchange</v>
      </c>
      <c r="AE5" s="35" t="str">
        <f>IFERROR(__xludf.DUMMYFUNCTION("""COMPUTED_VALUE"""),"Executed Qty")</f>
        <v>Executed Qty</v>
      </c>
      <c r="AF5" s="35" t="str">
        <f>IFERROR(__xludf.DUMMYFUNCTION("""COMPUTED_VALUE"""),"Exceution Time")</f>
        <v>Exceution Time</v>
      </c>
      <c r="AG5" s="35" t="str">
        <f>IFERROR(__xludf.DUMMYFUNCTION("""COMPUTED_VALUE"""),"Expiration Date")</f>
        <v>Expiration Date</v>
      </c>
      <c r="AH5" s="35" t="str">
        <f>IFERROR(__xludf.DUMMYFUNCTION("""COMPUTED_VALUE"""),"FX Conversion Operator")</f>
        <v>FX Conversion Operator</v>
      </c>
      <c r="AI5" s="35" t="str">
        <f>IFERROR(__xludf.DUMMYFUNCTION("""COMPUTED_VALUE"""),"FX Rate")</f>
        <v>FX Rate</v>
      </c>
      <c r="AJ5" s="35" t="str">
        <f>IFERROR(__xludf.DUMMYFUNCTION("""COMPUTED_VALUE"""),"Group Status")</f>
        <v>Group Status</v>
      </c>
      <c r="AK5" s="35" t="str">
        <f>IFERROR(__xludf.DUMMYFUNCTION("""COMPUTED_VALUE"""),"IDCOSymbol")</f>
        <v>IDCOSymbol</v>
      </c>
      <c r="AL5" s="35" t="str">
        <f>IFERROR(__xludf.DUMMYFUNCTION("""COMPUTED_VALUE"""),"Import File Name")</f>
        <v>Import File Name</v>
      </c>
      <c r="AM5" s="35" t="str">
        <f>IFERROR(__xludf.DUMMYFUNCTION("""COMPUTED_VALUE"""),"Internal Comments")</f>
        <v>Internal Comments</v>
      </c>
      <c r="AN5" s="35" t="str">
        <f>IFERROR(__xludf.DUMMYFUNCTION("""COMPUTED_VALUE"""),"IsAnotherTaxlotAttributesUpdated")</f>
        <v>IsAnotherTaxlotAttributesUpdated</v>
      </c>
      <c r="AO5" s="35" t="str">
        <f>IFERROR(__xludf.DUMMYFUNCTION("""COMPUTED_VALUE"""),"ISIN")</f>
        <v>ISIN</v>
      </c>
      <c r="AP5" s="35" t="str">
        <f>IFERROR(__xludf.DUMMYFUNCTION("""COMPUTED_VALUE"""),"IsManual Group")</f>
        <v>IsManual Group</v>
      </c>
      <c r="AQ5" s="35" t="str">
        <f>IFERROR(__xludf.DUMMYFUNCTION("""COMPUTED_VALUE"""),"ISNDF")</f>
        <v>ISNDF</v>
      </c>
      <c r="AR5" s="35" t="str">
        <f>IFERROR(__xludf.DUMMYFUNCTION("""COMPUTED_VALUE"""),"IsPreAllocated")</f>
        <v>IsPreAllocated</v>
      </c>
      <c r="AS5" s="35" t="str">
        <f>IFERROR(__xludf.DUMMYFUNCTION("""COMPUTED_VALUE"""),"M2MProfitLoss")</f>
        <v>M2MProfitLoss</v>
      </c>
      <c r="AT5" s="35" t="str">
        <f>IFERROR(__xludf.DUMMYFUNCTION("""COMPUTED_VALUE"""),"Net Amount( Base)")</f>
        <v>Net Amount( Base)</v>
      </c>
      <c r="AU5" s="35" t="str">
        <f>IFERROR(__xludf.DUMMYFUNCTION("""COMPUTED_VALUE"""),"Net Amount( Local)")</f>
        <v>Net Amount( Local)</v>
      </c>
      <c r="AV5" s="35" t="str">
        <f>IFERROR(__xludf.DUMMYFUNCTION("""COMPUTED_VALUE"""),"Nirvana Process Date")</f>
        <v>Nirvana Process Date</v>
      </c>
      <c r="AW5" s="35" t="str">
        <f>IFERROR(__xludf.DUMMYFUNCTION("""COMPUTED_VALUE"""),"OCC Fee")</f>
        <v>OCC Fee</v>
      </c>
      <c r="AX5" s="35" t="str">
        <f>IFERROR(__xludf.DUMMYFUNCTION("""COMPUTED_VALUE"""),"Option Premium Adjustment")</f>
        <v>Option Premium Adjustment</v>
      </c>
      <c r="AY5" s="35" t="str">
        <f>IFERROR(__xludf.DUMMYFUNCTION("""COMPUTED_VALUE"""),"Order Type")</f>
        <v>Order Type</v>
      </c>
      <c r="AZ5" s="35" t="str">
        <f>IFERROR(__xludf.DUMMYFUNCTION("""COMPUTED_VALUE"""),"ORF Fee")</f>
        <v>ORF Fee</v>
      </c>
      <c r="BA5" s="35" t="str">
        <f>IFERROR(__xludf.DUMMYFUNCTION("""COMPUTED_VALUE"""),"Original Purchase Date")</f>
        <v>Original Purchase Date</v>
      </c>
      <c r="BB5" s="35" t="str">
        <f>IFERROR(__xludf.DUMMYFUNCTION("""COMPUTED_VALUE"""),"OSISSymbol")</f>
        <v>OSISSymbol</v>
      </c>
      <c r="BC5" s="35" t="str">
        <f>IFERROR(__xludf.DUMMYFUNCTION("""COMPUTED_VALUE"""),"Other Broker Fees")</f>
        <v>Other Broker Fees</v>
      </c>
      <c r="BD5" s="35" t="str">
        <f>IFERROR(__xludf.DUMMYFUNCTION("""COMPUTED_VALUE"""),"Prana Msg Type")</f>
        <v>Prana Msg Type</v>
      </c>
      <c r="BE5" s="35" t="str">
        <f>IFERROR(__xludf.DUMMYFUNCTION("""COMPUTED_VALUE"""),"Principal Amount( Base)")</f>
        <v>Principal Amount( Base)</v>
      </c>
      <c r="BF5" s="35" t="str">
        <f>IFERROR(__xludf.DUMMYFUNCTION("""COMPUTED_VALUE"""),"Principal Amount( Local)")</f>
        <v>Principal Amount( Local)</v>
      </c>
      <c r="BG5" s="35" t="str">
        <f>IFERROR(__xludf.DUMMYFUNCTION("""COMPUTED_VALUE"""),"Process Date")</f>
        <v>Process Date</v>
      </c>
      <c r="BH5" s="35" t="str">
        <f>IFERROR(__xludf.DUMMYFUNCTION("""COMPUTED_VALUE"""),"Proxy Symbol")</f>
        <v>Proxy Symbol</v>
      </c>
      <c r="BI5" s="35" t="str">
        <f>IFERROR(__xludf.DUMMYFUNCTION("""COMPUTED_VALUE"""),"Put Or Call")</f>
        <v>Put Or Call</v>
      </c>
      <c r="BJ5" s="35" t="str">
        <f>IFERROR(__xludf.DUMMYFUNCTION("""COMPUTED_VALUE"""),"Quantity")</f>
        <v>Quantity</v>
      </c>
      <c r="BK5" s="35" t="str">
        <f>IFERROR(__xludf.DUMMYFUNCTION("""COMPUTED_VALUE"""),"SEC Fee")</f>
        <v>SEC Fee</v>
      </c>
      <c r="BL5" s="35" t="str">
        <f>IFERROR(__xludf.DUMMYFUNCTION("""COMPUTED_VALUE"""),"Sedol Symbol")</f>
        <v>Sedol Symbol</v>
      </c>
      <c r="BM5" s="35" t="str">
        <f>IFERROR(__xludf.DUMMYFUNCTION("""COMPUTED_VALUE"""),"Settlement Currency")</f>
        <v>Settlement Currency</v>
      </c>
      <c r="BN5" s="35" t="str">
        <f>IFERROR(__xludf.DUMMYFUNCTION("""COMPUTED_VALUE"""),"Settlement Date")</f>
        <v>Settlement Date</v>
      </c>
      <c r="BO5" s="35" t="str">
        <f>IFERROR(__xludf.DUMMYFUNCTION("""COMPUTED_VALUE"""),"Side")</f>
        <v>Side</v>
      </c>
      <c r="BP5" s="35" t="str">
        <f>IFERROR(__xludf.DUMMYFUNCTION("""COMPUTED_VALUE"""),"Soft Commission")</f>
        <v>Soft Commission</v>
      </c>
      <c r="BQ5" s="35" t="str">
        <f>IFERROR(__xludf.DUMMYFUNCTION("""COMPUTED_VALUE"""),"Soft Commission Per Share")</f>
        <v>Soft Commission Per Share</v>
      </c>
      <c r="BR5" s="35" t="str">
        <f>IFERROR(__xludf.DUMMYFUNCTION("""COMPUTED_VALUE"""),"Stamp Duty")</f>
        <v>Stamp Duty</v>
      </c>
      <c r="BS5" s="35" t="str">
        <f>IFERROR(__xludf.DUMMYFUNCTION("""COMPUTED_VALUE"""),"Strategy Name")</f>
        <v>Strategy Name</v>
      </c>
      <c r="BT5" s="35" t="str">
        <f>IFERROR(__xludf.DUMMYFUNCTION("""COMPUTED_VALUE"""),"Symbol")</f>
        <v>Symbol</v>
      </c>
      <c r="BU5" s="35" t="str">
        <f>IFERROR(__xludf.DUMMYFUNCTION("""COMPUTED_VALUE"""),"Tax On Commissions")</f>
        <v>Tax On Commissions</v>
      </c>
      <c r="BV5" s="35" t="str">
        <f>IFERROR(__xludf.DUMMYFUNCTION("""COMPUTED_VALUE"""),"Total Commission")</f>
        <v>Total Commission</v>
      </c>
      <c r="BW5" s="35" t="str">
        <f>IFERROR(__xludf.DUMMYFUNCTION("""COMPUTED_VALUE"""),"Total Commission And Fee")</f>
        <v>Total Commission And Fee</v>
      </c>
      <c r="BX5" s="35" t="str">
        <f>IFERROR(__xludf.DUMMYFUNCTION("""COMPUTED_VALUE"""),"Total Commission Per Share")</f>
        <v>Total Commission Per Share</v>
      </c>
      <c r="BY5" s="35" t="str">
        <f>IFERROR(__xludf.DUMMYFUNCTION("""COMPUTED_VALUE"""),"Trade Attribute 1")</f>
        <v>Trade Attribute 1</v>
      </c>
      <c r="BZ5" s="35" t="str">
        <f>IFERROR(__xludf.DUMMYFUNCTION("""COMPUTED_VALUE"""),"Trade Attribute 2")</f>
        <v>Trade Attribute 2</v>
      </c>
      <c r="CA5" s="35" t="str">
        <f>IFERROR(__xludf.DUMMYFUNCTION("""COMPUTED_VALUE"""),"Trade Attribute 3")</f>
        <v>Trade Attribute 3</v>
      </c>
      <c r="CB5" s="35" t="str">
        <f>IFERROR(__xludf.DUMMYFUNCTION("""COMPUTED_VALUE"""),"Trade Attribute 4")</f>
        <v>Trade Attribute 4</v>
      </c>
      <c r="CC5" s="35" t="str">
        <f>IFERROR(__xludf.DUMMYFUNCTION("""COMPUTED_VALUE"""),"Trade Attribute 5")</f>
        <v>Trade Attribute 5</v>
      </c>
      <c r="CD5" s="35" t="str">
        <f>IFERROR(__xludf.DUMMYFUNCTION("""COMPUTED_VALUE"""),"Trade Attribute 6")</f>
        <v>Trade Attribute 6</v>
      </c>
      <c r="CE5" s="35" t="str">
        <f>IFERROR(__xludf.DUMMYFUNCTION("""COMPUTED_VALUE"""),"Trade Date")</f>
        <v>Trade Date</v>
      </c>
      <c r="CF5" s="35" t="str">
        <f>IFERROR(__xludf.DUMMYFUNCTION("""COMPUTED_VALUE"""),"Trading Account")</f>
        <v>Trading Account</v>
      </c>
      <c r="CG5" s="35" t="str">
        <f>IFERROR(__xludf.DUMMYFUNCTION("""COMPUTED_VALUE"""),"Transaction Levy")</f>
        <v>Transaction Levy</v>
      </c>
      <c r="CH5" s="35" t="str">
        <f>IFERROR(__xludf.DUMMYFUNCTION("""COMPUTED_VALUE"""),"Transaction Source")</f>
        <v>Transaction Source</v>
      </c>
      <c r="CI5" s="35" t="str">
        <f>IFERROR(__xludf.DUMMYFUNCTION("""COMPUTED_VALUE"""),"Transaction Type")</f>
        <v>Transaction Type</v>
      </c>
      <c r="CJ5" s="35" t="str">
        <f>IFERROR(__xludf.DUMMYFUNCTION("""COMPUTED_VALUE"""),"UnAllocatedQty")</f>
        <v>UnAllocatedQty</v>
      </c>
      <c r="CK5" s="35" t="str">
        <f>IFERROR(__xludf.DUMMYFUNCTION("""COMPUTED_VALUE"""),"Underlying")</f>
        <v>Underlying</v>
      </c>
      <c r="CL5" s="35" t="str">
        <f>IFERROR(__xludf.DUMMYFUNCTION("""COMPUTED_VALUE"""),"Underlying Delta")</f>
        <v>Underlying Delta</v>
      </c>
      <c r="CM5" s="35" t="str">
        <f>IFERROR(__xludf.DUMMYFUNCTION("""COMPUTED_VALUE"""),"Underlying Symbol")</f>
        <v>Underlying Symbol</v>
      </c>
      <c r="CN5" s="35" t="str">
        <f>IFERROR(__xludf.DUMMYFUNCTION("""COMPUTED_VALUE"""),"User")</f>
        <v>User</v>
      </c>
      <c r="CO5" s="35" t="str">
        <f>IFERROR(__xludf.DUMMYFUNCTION("""COMPUTED_VALUE"""),"Venue")</f>
        <v>Venue</v>
      </c>
      <c r="CP5" s="35" t="str">
        <f>IFERROR(__xludf.DUMMYFUNCTION("""COMPUTED_VALUE"""),"Closing Method")</f>
        <v>Closing Method</v>
      </c>
      <c r="CQ5" s="35" t="str">
        <f>IFERROR(__xludf.DUMMYFUNCTION("""COMPUTED_VALUE"""),"Closing Date")</f>
        <v>Closing Date</v>
      </c>
      <c r="CR5" s="35" t="str">
        <f>IFERROR(__xludf.DUMMYFUNCTION("""COMPUTED_VALUE"""),"GroupID")</f>
        <v>GroupID</v>
      </c>
      <c r="CS5" s="35" t="str">
        <f>IFERROR(__xludf.DUMMYFUNCTION("""COMPUTED_VALUE"""),"Client")</f>
        <v>Client</v>
      </c>
      <c r="CT5" s="35" t="str">
        <f>IFERROR(__xludf.DUMMYFUNCTION("""COMPUTED_VALUE"""),"Borrow Broker")</f>
        <v>Borrow Broker</v>
      </c>
      <c r="CU5" s="35" t="str">
        <f>IFERROR(__xludf.DUMMYFUNCTION("""COMPUTED_VALUE"""),"ACTIV Symbol")</f>
        <v>ACTIV Symbol</v>
      </c>
      <c r="CV5" s="35" t="str">
        <f>IFERROR(__xludf.DUMMYFUNCTION("""COMPUTED_VALUE"""),"Borrower Id")</f>
        <v>Borrower Id</v>
      </c>
      <c r="CW5" s="35" t="str">
        <f>IFERROR(__xludf.DUMMYFUNCTION("""COMPUTED_VALUE"""),"Borrow Rate(%)")</f>
        <v>Borrow Rate(%)</v>
      </c>
      <c r="CX5" s="35" t="str">
        <f>IFERROR(__xludf.DUMMYFUNCTION("""COMPUTED_VALUE"""),"Master Fund")</f>
        <v>Master Fund</v>
      </c>
      <c r="CY5" s="35" t="str">
        <f>IFERROR(__xludf.DUMMYFUNCTION("""COMPUTED_VALUE"""),"MandatoryColumn")</f>
        <v>MandatoryColumn</v>
      </c>
      <c r="CZ5" s="35" t="str">
        <f>IFERROR(__xludf.DUMMYFUNCTION("""COMPUTED_VALUE"""),"Testing Type")</f>
        <v>Testing Type</v>
      </c>
      <c r="DA5" s="35" t="str">
        <f>IFERROR(__xludf.DUMMYFUNCTION("""COMPUTED_VALUE"""),"Testing Column")</f>
        <v>Testing Column</v>
      </c>
      <c r="DB5" s="35" t="str">
        <f>IFERROR(__xludf.DUMMYFUNCTION("""COMPUTED_VALUE"""),"Testing Col Value")</f>
        <v>Testing Col Value</v>
      </c>
      <c r="DC5" s="35" t="str">
        <f>IFERROR(__xludf.DUMMYFUNCTION("""COMPUTED_VALUE"""),"DuplicateRow")</f>
        <v>DuplicateRow</v>
      </c>
      <c r="DD5" s="35" t="str">
        <f>IFERROR(__xludf.DUMMYFUNCTION("""COMPUTED_VALUE"""),"DuplicateCountOnUI")</f>
        <v>DuplicateCountOnUI</v>
      </c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</row>
    <row r="6" ht="15.75" customHeight="1">
      <c r="A6" s="47" t="s">
        <v>106</v>
      </c>
      <c r="B6" s="47" t="s">
        <v>110</v>
      </c>
      <c r="C6" s="37" t="s">
        <v>127</v>
      </c>
      <c r="D6" s="48">
        <v>0.0</v>
      </c>
      <c r="E6" s="49">
        <v>100.0</v>
      </c>
      <c r="F6" s="37" t="s">
        <v>108</v>
      </c>
      <c r="G6" s="37" t="s">
        <v>112</v>
      </c>
      <c r="H6" s="49">
        <v>4.0</v>
      </c>
      <c r="I6" s="49">
        <v>5.0</v>
      </c>
      <c r="J6" s="49">
        <v>1.0</v>
      </c>
      <c r="K6" s="49">
        <v>10.0</v>
      </c>
      <c r="L6" s="49">
        <v>10.0</v>
      </c>
      <c r="M6" s="37" t="s">
        <v>109</v>
      </c>
      <c r="N6" s="37" t="s">
        <v>128</v>
      </c>
      <c r="O6" s="37" t="s">
        <v>114</v>
      </c>
      <c r="P6" s="37"/>
      <c r="Q6" s="49">
        <v>3.0</v>
      </c>
      <c r="R6" s="49">
        <v>0.0</v>
      </c>
      <c r="S6" s="37" t="s">
        <v>129</v>
      </c>
      <c r="T6" s="49">
        <v>0.0</v>
      </c>
      <c r="U6" s="49">
        <v>0.0</v>
      </c>
      <c r="V6" s="37" t="s">
        <v>130</v>
      </c>
      <c r="W6" s="49">
        <v>1.0</v>
      </c>
      <c r="X6" s="49">
        <v>0.0</v>
      </c>
      <c r="Y6" s="37" t="s">
        <v>106</v>
      </c>
      <c r="Z6" s="37" t="s">
        <v>131</v>
      </c>
      <c r="AA6" s="37"/>
      <c r="AB6" s="49">
        <v>1.0</v>
      </c>
      <c r="AC6" s="37"/>
      <c r="AD6" s="37" t="s">
        <v>115</v>
      </c>
      <c r="AE6" s="49">
        <v>100.0</v>
      </c>
      <c r="AF6" s="37" t="s">
        <v>106</v>
      </c>
      <c r="AG6" s="49"/>
      <c r="AH6" s="37" t="s">
        <v>132</v>
      </c>
      <c r="AI6" s="49">
        <v>1.0</v>
      </c>
      <c r="AJ6" s="37" t="s">
        <v>133</v>
      </c>
      <c r="AK6" s="37"/>
      <c r="AL6" s="37"/>
      <c r="AM6" s="37"/>
      <c r="AN6" s="50" t="b">
        <v>0</v>
      </c>
      <c r="AO6" s="37"/>
      <c r="AP6" s="50" t="b">
        <v>1</v>
      </c>
      <c r="AQ6" s="50" t="b">
        <v>0</v>
      </c>
      <c r="AR6" s="50" t="b">
        <v>1</v>
      </c>
      <c r="AS6" s="49">
        <v>0.0</v>
      </c>
      <c r="AT6" s="49">
        <v>1014.0006</v>
      </c>
      <c r="AU6" s="49">
        <v>1014.0006</v>
      </c>
      <c r="AV6" s="49"/>
      <c r="AW6" s="49">
        <v>0.0</v>
      </c>
      <c r="AX6" s="49">
        <v>0.0</v>
      </c>
      <c r="AY6" s="37" t="s">
        <v>122</v>
      </c>
      <c r="AZ6" s="49">
        <v>0.0</v>
      </c>
      <c r="BA6" s="49"/>
      <c r="BB6" s="37"/>
      <c r="BC6" s="49">
        <v>0.0</v>
      </c>
      <c r="BD6" s="37" t="s">
        <v>134</v>
      </c>
      <c r="BE6" s="49">
        <v>1000.0</v>
      </c>
      <c r="BF6" s="49">
        <v>1000.0</v>
      </c>
      <c r="BG6" s="49"/>
      <c r="BH6" s="37"/>
      <c r="BI6" s="37"/>
      <c r="BJ6" s="49">
        <v>100.0</v>
      </c>
      <c r="BK6" s="49">
        <v>0.0</v>
      </c>
      <c r="BL6" s="37" t="s">
        <v>106</v>
      </c>
      <c r="BM6" s="37" t="s">
        <v>131</v>
      </c>
      <c r="BN6" s="37"/>
      <c r="BO6" s="37" t="s">
        <v>111</v>
      </c>
      <c r="BP6" s="49">
        <v>0.0</v>
      </c>
      <c r="BQ6" s="49">
        <v>0.0</v>
      </c>
      <c r="BR6" s="49">
        <v>6.0E-4</v>
      </c>
      <c r="BS6" s="37" t="s">
        <v>135</v>
      </c>
      <c r="BT6" s="37" t="s">
        <v>50</v>
      </c>
      <c r="BU6" s="49">
        <v>3.0</v>
      </c>
      <c r="BV6" s="49">
        <v>0.0</v>
      </c>
      <c r="BW6" s="49">
        <v>14.0006</v>
      </c>
      <c r="BX6" s="49">
        <v>0.0</v>
      </c>
      <c r="BY6" s="37"/>
      <c r="BZ6" s="37"/>
      <c r="CA6" s="37"/>
      <c r="CB6" s="37"/>
      <c r="CC6" s="37"/>
      <c r="CD6" s="37"/>
      <c r="CE6" s="49"/>
      <c r="CF6" s="37" t="s">
        <v>124</v>
      </c>
      <c r="CG6" s="49">
        <v>2.0</v>
      </c>
      <c r="CH6" s="37" t="s">
        <v>12</v>
      </c>
      <c r="CI6" s="37" t="s">
        <v>111</v>
      </c>
      <c r="CJ6" s="49">
        <v>0.0</v>
      </c>
      <c r="CK6" s="37" t="s">
        <v>136</v>
      </c>
      <c r="CL6" s="49">
        <v>1.0</v>
      </c>
      <c r="CM6" s="37" t="s">
        <v>50</v>
      </c>
      <c r="CN6" s="37" t="s">
        <v>113</v>
      </c>
      <c r="CO6" s="37" t="s">
        <v>115</v>
      </c>
      <c r="CP6" s="37" t="s">
        <v>137</v>
      </c>
      <c r="CQ6" s="49"/>
      <c r="CR6" s="49"/>
      <c r="CS6" s="37" t="s">
        <v>106</v>
      </c>
      <c r="CT6" s="37"/>
      <c r="CU6" s="37"/>
      <c r="CV6" s="37"/>
      <c r="CW6" s="49">
        <v>0.0</v>
      </c>
      <c r="CX6" s="37" t="s">
        <v>138</v>
      </c>
      <c r="CY6" s="37" t="s">
        <v>106</v>
      </c>
      <c r="CZ6" s="37" t="s">
        <v>106</v>
      </c>
      <c r="DA6" s="37" t="s">
        <v>106</v>
      </c>
      <c r="DB6" s="37" t="s">
        <v>106</v>
      </c>
      <c r="DC6" s="37" t="s">
        <v>106</v>
      </c>
      <c r="DD6" s="37" t="s">
        <v>106</v>
      </c>
      <c r="DE6" s="37" t="s">
        <v>106</v>
      </c>
      <c r="DF6" s="37" t="s">
        <v>106</v>
      </c>
      <c r="DG6" s="37" t="s">
        <v>106</v>
      </c>
      <c r="DH6" s="37" t="s">
        <v>106</v>
      </c>
      <c r="DI6" s="37" t="s">
        <v>106</v>
      </c>
      <c r="DJ6" s="37" t="s">
        <v>106</v>
      </c>
      <c r="DK6" s="37" t="s">
        <v>106</v>
      </c>
      <c r="DL6" s="37" t="s">
        <v>106</v>
      </c>
      <c r="DM6" s="37" t="s">
        <v>106</v>
      </c>
      <c r="DN6" s="37" t="s">
        <v>106</v>
      </c>
      <c r="DO6" s="37" t="s">
        <v>106</v>
      </c>
      <c r="DP6" s="37" t="s">
        <v>106</v>
      </c>
      <c r="DQ6" s="37" t="s">
        <v>106</v>
      </c>
      <c r="DR6" s="37" t="s">
        <v>106</v>
      </c>
      <c r="DS6" s="37" t="s">
        <v>106</v>
      </c>
      <c r="DT6" s="37" t="s">
        <v>106</v>
      </c>
      <c r="DU6" s="37" t="s">
        <v>106</v>
      </c>
      <c r="DV6" s="37" t="s">
        <v>106</v>
      </c>
      <c r="DW6" s="37" t="s">
        <v>106</v>
      </c>
      <c r="DX6" s="37" t="s">
        <v>106</v>
      </c>
      <c r="DY6" s="37" t="s">
        <v>106</v>
      </c>
      <c r="DZ6" s="37" t="s">
        <v>106</v>
      </c>
      <c r="EA6" s="37" t="s">
        <v>106</v>
      </c>
      <c r="EB6" s="37" t="s">
        <v>106</v>
      </c>
      <c r="EC6" s="37" t="s">
        <v>106</v>
      </c>
      <c r="ED6" s="37" t="s">
        <v>106</v>
      </c>
      <c r="EE6" s="37" t="s">
        <v>106</v>
      </c>
      <c r="EF6" s="37" t="s">
        <v>106</v>
      </c>
      <c r="EG6" s="37" t="s">
        <v>106</v>
      </c>
      <c r="EH6" s="37" t="s">
        <v>106</v>
      </c>
      <c r="EI6" s="37" t="s">
        <v>106</v>
      </c>
      <c r="EJ6" s="37" t="s">
        <v>106</v>
      </c>
      <c r="EK6" s="37" t="s">
        <v>106</v>
      </c>
      <c r="EL6" s="37" t="s">
        <v>106</v>
      </c>
      <c r="EM6" s="37" t="s">
        <v>106</v>
      </c>
      <c r="EN6" s="37" t="s">
        <v>106</v>
      </c>
      <c r="EO6" s="37" t="s">
        <v>106</v>
      </c>
      <c r="EP6" s="37" t="s">
        <v>106</v>
      </c>
      <c r="EQ6" s="37" t="s">
        <v>106</v>
      </c>
      <c r="ER6" s="37" t="s">
        <v>106</v>
      </c>
      <c r="ES6" s="37" t="s">
        <v>106</v>
      </c>
      <c r="ET6" s="37" t="s">
        <v>106</v>
      </c>
      <c r="EU6" s="37" t="s">
        <v>106</v>
      </c>
      <c r="EV6" s="37" t="s">
        <v>106</v>
      </c>
      <c r="EW6" s="37" t="s">
        <v>106</v>
      </c>
      <c r="EX6" s="37" t="s">
        <v>106</v>
      </c>
      <c r="EY6" s="37" t="s">
        <v>106</v>
      </c>
      <c r="EZ6" s="37" t="s">
        <v>106</v>
      </c>
      <c r="FA6" s="37" t="s">
        <v>106</v>
      </c>
      <c r="FB6" s="37" t="s">
        <v>106</v>
      </c>
      <c r="FC6" s="37" t="s">
        <v>106</v>
      </c>
      <c r="FD6" s="37" t="s">
        <v>106</v>
      </c>
      <c r="FE6" s="37" t="s">
        <v>106</v>
      </c>
      <c r="FF6" s="37" t="s">
        <v>106</v>
      </c>
      <c r="FG6" s="37" t="s">
        <v>106</v>
      </c>
      <c r="FH6" s="37" t="s">
        <v>106</v>
      </c>
      <c r="FI6" s="37" t="s">
        <v>106</v>
      </c>
      <c r="FJ6" s="37" t="s">
        <v>106</v>
      </c>
      <c r="FK6" s="37" t="s">
        <v>106</v>
      </c>
      <c r="FL6" s="37" t="s">
        <v>106</v>
      </c>
      <c r="FM6" s="37" t="s">
        <v>106</v>
      </c>
      <c r="FN6" s="37" t="s">
        <v>106</v>
      </c>
      <c r="FO6" s="37" t="s">
        <v>106</v>
      </c>
      <c r="FP6" s="37" t="s">
        <v>106</v>
      </c>
      <c r="FQ6" s="37" t="s">
        <v>106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37" t="s">
        <v>106</v>
      </c>
      <c r="B7" s="37" t="s">
        <v>110</v>
      </c>
      <c r="C7" s="37" t="s">
        <v>127</v>
      </c>
      <c r="D7" s="49">
        <v>0.0</v>
      </c>
      <c r="E7" s="49">
        <v>100.0</v>
      </c>
      <c r="F7" s="37" t="s">
        <v>108</v>
      </c>
      <c r="G7" s="37" t="s">
        <v>119</v>
      </c>
      <c r="H7" s="49">
        <v>4.0</v>
      </c>
      <c r="I7" s="49">
        <v>5.0</v>
      </c>
      <c r="J7" s="49">
        <v>1.0</v>
      </c>
      <c r="K7" s="49">
        <v>10.0</v>
      </c>
      <c r="L7" s="49">
        <v>10.0</v>
      </c>
      <c r="M7" s="37" t="s">
        <v>118</v>
      </c>
      <c r="N7" s="37" t="s">
        <v>128</v>
      </c>
      <c r="O7" s="37" t="s">
        <v>114</v>
      </c>
      <c r="P7" s="37"/>
      <c r="Q7" s="49">
        <v>3.0</v>
      </c>
      <c r="R7" s="49">
        <v>0.0</v>
      </c>
      <c r="S7" s="37" t="s">
        <v>129</v>
      </c>
      <c r="T7" s="49">
        <v>0.0</v>
      </c>
      <c r="U7" s="49">
        <v>0.0</v>
      </c>
      <c r="V7" s="37" t="s">
        <v>139</v>
      </c>
      <c r="W7" s="49">
        <v>1.0</v>
      </c>
      <c r="X7" s="49">
        <v>0.0</v>
      </c>
      <c r="Y7" s="37" t="s">
        <v>106</v>
      </c>
      <c r="Z7" s="37" t="s">
        <v>131</v>
      </c>
      <c r="AA7" s="37"/>
      <c r="AB7" s="49">
        <v>1.0</v>
      </c>
      <c r="AC7" s="37"/>
      <c r="AD7" s="37" t="s">
        <v>115</v>
      </c>
      <c r="AE7" s="49">
        <v>100.0</v>
      </c>
      <c r="AF7" s="37" t="s">
        <v>106</v>
      </c>
      <c r="AG7" s="49"/>
      <c r="AH7" s="37" t="s">
        <v>132</v>
      </c>
      <c r="AI7" s="49">
        <v>1.0</v>
      </c>
      <c r="AJ7" s="37" t="s">
        <v>133</v>
      </c>
      <c r="AK7" s="37"/>
      <c r="AL7" s="37"/>
      <c r="AM7" s="37"/>
      <c r="AN7" s="50" t="b">
        <v>0</v>
      </c>
      <c r="AO7" s="37"/>
      <c r="AP7" s="50" t="b">
        <v>1</v>
      </c>
      <c r="AQ7" s="50" t="b">
        <v>0</v>
      </c>
      <c r="AR7" s="50" t="b">
        <v>1</v>
      </c>
      <c r="AS7" s="49">
        <v>0.0</v>
      </c>
      <c r="AT7" s="49">
        <v>1014.0006</v>
      </c>
      <c r="AU7" s="49">
        <v>1014.0006</v>
      </c>
      <c r="AV7" s="49"/>
      <c r="AW7" s="49">
        <v>0.0</v>
      </c>
      <c r="AX7" s="49">
        <v>0.0</v>
      </c>
      <c r="AY7" s="37" t="s">
        <v>122</v>
      </c>
      <c r="AZ7" s="49">
        <v>0.0</v>
      </c>
      <c r="BA7" s="49"/>
      <c r="BB7" s="37"/>
      <c r="BC7" s="49">
        <v>0.0</v>
      </c>
      <c r="BD7" s="37" t="s">
        <v>134</v>
      </c>
      <c r="BE7" s="49">
        <v>1000.0</v>
      </c>
      <c r="BF7" s="49">
        <v>1000.0</v>
      </c>
      <c r="BG7" s="49"/>
      <c r="BH7" s="37"/>
      <c r="BI7" s="37"/>
      <c r="BJ7" s="49">
        <v>100.0</v>
      </c>
      <c r="BK7" s="49">
        <v>0.0</v>
      </c>
      <c r="BL7" s="37" t="s">
        <v>106</v>
      </c>
      <c r="BM7" s="37" t="s">
        <v>131</v>
      </c>
      <c r="BN7" s="37"/>
      <c r="BO7" s="37" t="s">
        <v>111</v>
      </c>
      <c r="BP7" s="49">
        <v>0.0</v>
      </c>
      <c r="BQ7" s="49">
        <v>0.0</v>
      </c>
      <c r="BR7" s="49">
        <v>6.0E-4</v>
      </c>
      <c r="BS7" s="37" t="s">
        <v>135</v>
      </c>
      <c r="BT7" s="37" t="s">
        <v>55</v>
      </c>
      <c r="BU7" s="49">
        <v>3.0</v>
      </c>
      <c r="BV7" s="49">
        <v>0.0</v>
      </c>
      <c r="BW7" s="49">
        <v>14.0006</v>
      </c>
      <c r="BX7" s="49">
        <v>0.0</v>
      </c>
      <c r="BY7" s="37"/>
      <c r="BZ7" s="37"/>
      <c r="CA7" s="37"/>
      <c r="CB7" s="37"/>
      <c r="CC7" s="37"/>
      <c r="CD7" s="37"/>
      <c r="CE7" s="49"/>
      <c r="CF7" s="37" t="s">
        <v>124</v>
      </c>
      <c r="CG7" s="49">
        <v>2.0</v>
      </c>
      <c r="CH7" s="37" t="s">
        <v>12</v>
      </c>
      <c r="CI7" s="37" t="s">
        <v>111</v>
      </c>
      <c r="CJ7" s="49">
        <v>0.0</v>
      </c>
      <c r="CK7" s="37" t="s">
        <v>136</v>
      </c>
      <c r="CL7" s="49">
        <v>1.0</v>
      </c>
      <c r="CM7" s="37" t="s">
        <v>55</v>
      </c>
      <c r="CN7" s="37" t="s">
        <v>113</v>
      </c>
      <c r="CO7" s="37" t="s">
        <v>115</v>
      </c>
      <c r="CP7" s="37" t="s">
        <v>137</v>
      </c>
      <c r="CQ7" s="49"/>
      <c r="CR7" s="49"/>
      <c r="CS7" s="37" t="s">
        <v>106</v>
      </c>
      <c r="CT7" s="37"/>
      <c r="CU7" s="37"/>
      <c r="CV7" s="37"/>
      <c r="CW7" s="49">
        <v>0.0</v>
      </c>
      <c r="CX7" s="37" t="s">
        <v>138</v>
      </c>
      <c r="CY7" s="37" t="s">
        <v>106</v>
      </c>
      <c r="CZ7" s="37" t="s">
        <v>106</v>
      </c>
      <c r="DA7" s="37" t="s">
        <v>106</v>
      </c>
      <c r="DB7" s="37" t="s">
        <v>106</v>
      </c>
      <c r="DC7" s="37" t="s">
        <v>106</v>
      </c>
      <c r="DD7" s="37" t="s">
        <v>106</v>
      </c>
      <c r="DE7" s="37" t="s">
        <v>106</v>
      </c>
      <c r="DF7" s="37" t="s">
        <v>106</v>
      </c>
      <c r="DG7" s="37" t="s">
        <v>106</v>
      </c>
      <c r="DH7" s="37" t="s">
        <v>106</v>
      </c>
      <c r="DI7" s="37" t="s">
        <v>106</v>
      </c>
      <c r="DJ7" s="37" t="s">
        <v>106</v>
      </c>
      <c r="DK7" s="37" t="s">
        <v>106</v>
      </c>
      <c r="DL7" s="37" t="s">
        <v>106</v>
      </c>
      <c r="DM7" s="37" t="s">
        <v>106</v>
      </c>
      <c r="DN7" s="37" t="s">
        <v>106</v>
      </c>
      <c r="DO7" s="37" t="s">
        <v>106</v>
      </c>
      <c r="DP7" s="37" t="s">
        <v>106</v>
      </c>
      <c r="DQ7" s="37" t="s">
        <v>106</v>
      </c>
      <c r="DR7" s="37" t="s">
        <v>106</v>
      </c>
      <c r="DS7" s="37" t="s">
        <v>106</v>
      </c>
      <c r="DT7" s="37" t="s">
        <v>106</v>
      </c>
      <c r="DU7" s="37" t="s">
        <v>106</v>
      </c>
      <c r="DV7" s="37" t="s">
        <v>106</v>
      </c>
      <c r="DW7" s="37" t="s">
        <v>106</v>
      </c>
      <c r="DX7" s="37" t="s">
        <v>106</v>
      </c>
      <c r="DY7" s="37" t="s">
        <v>106</v>
      </c>
      <c r="DZ7" s="37" t="s">
        <v>106</v>
      </c>
      <c r="EA7" s="37" t="s">
        <v>106</v>
      </c>
      <c r="EB7" s="37" t="s">
        <v>106</v>
      </c>
      <c r="EC7" s="37" t="s">
        <v>106</v>
      </c>
      <c r="ED7" s="37" t="s">
        <v>106</v>
      </c>
      <c r="EE7" s="37" t="s">
        <v>106</v>
      </c>
      <c r="EF7" s="37" t="s">
        <v>106</v>
      </c>
      <c r="EG7" s="37" t="s">
        <v>106</v>
      </c>
      <c r="EH7" s="37" t="s">
        <v>106</v>
      </c>
      <c r="EI7" s="37" t="s">
        <v>106</v>
      </c>
      <c r="EJ7" s="37" t="s">
        <v>106</v>
      </c>
      <c r="EK7" s="37" t="s">
        <v>106</v>
      </c>
      <c r="EL7" s="37" t="s">
        <v>106</v>
      </c>
      <c r="EM7" s="37" t="s">
        <v>106</v>
      </c>
      <c r="EN7" s="37" t="s">
        <v>106</v>
      </c>
      <c r="EO7" s="37" t="s">
        <v>106</v>
      </c>
      <c r="EP7" s="37" t="s">
        <v>106</v>
      </c>
      <c r="EQ7" s="37" t="s">
        <v>106</v>
      </c>
      <c r="ER7" s="37" t="s">
        <v>106</v>
      </c>
      <c r="ES7" s="37" t="s">
        <v>106</v>
      </c>
      <c r="ET7" s="37" t="s">
        <v>106</v>
      </c>
      <c r="EU7" s="37" t="s">
        <v>106</v>
      </c>
      <c r="EV7" s="37" t="s">
        <v>106</v>
      </c>
      <c r="EW7" s="37" t="s">
        <v>106</v>
      </c>
      <c r="EX7" s="37" t="s">
        <v>106</v>
      </c>
      <c r="EY7" s="37" t="s">
        <v>106</v>
      </c>
      <c r="EZ7" s="37" t="s">
        <v>106</v>
      </c>
      <c r="FA7" s="37" t="s">
        <v>106</v>
      </c>
      <c r="FB7" s="37" t="s">
        <v>106</v>
      </c>
      <c r="FC7" s="37" t="s">
        <v>106</v>
      </c>
      <c r="FD7" s="37" t="s">
        <v>106</v>
      </c>
      <c r="FE7" s="37" t="s">
        <v>106</v>
      </c>
      <c r="FF7" s="37" t="s">
        <v>106</v>
      </c>
      <c r="FG7" s="37" t="s">
        <v>106</v>
      </c>
      <c r="FH7" s="37" t="s">
        <v>106</v>
      </c>
      <c r="FI7" s="37" t="s">
        <v>106</v>
      </c>
      <c r="FJ7" s="37" t="s">
        <v>106</v>
      </c>
      <c r="FK7" s="37" t="s">
        <v>106</v>
      </c>
      <c r="FL7" s="37" t="s">
        <v>106</v>
      </c>
      <c r="FM7" s="37" t="s">
        <v>106</v>
      </c>
      <c r="FN7" s="37" t="s">
        <v>106</v>
      </c>
      <c r="FO7" s="37" t="s">
        <v>106</v>
      </c>
      <c r="FP7" s="37" t="s">
        <v>106</v>
      </c>
      <c r="FQ7" s="37" t="s">
        <v>106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37" t="s">
        <v>106</v>
      </c>
      <c r="B8" s="37" t="s">
        <v>110</v>
      </c>
      <c r="C8" s="37" t="s">
        <v>127</v>
      </c>
      <c r="D8" s="49">
        <v>0.0</v>
      </c>
      <c r="E8" s="49">
        <v>100.0</v>
      </c>
      <c r="F8" s="37" t="s">
        <v>108</v>
      </c>
      <c r="G8" s="37" t="s">
        <v>112</v>
      </c>
      <c r="H8" s="49">
        <v>4.0</v>
      </c>
      <c r="I8" s="49">
        <v>5.0</v>
      </c>
      <c r="J8" s="49">
        <v>1.0</v>
      </c>
      <c r="K8" s="49">
        <v>10.0</v>
      </c>
      <c r="L8" s="49">
        <v>10.0</v>
      </c>
      <c r="M8" s="37" t="s">
        <v>117</v>
      </c>
      <c r="N8" s="37" t="s">
        <v>128</v>
      </c>
      <c r="O8" s="37" t="s">
        <v>114</v>
      </c>
      <c r="P8" s="37"/>
      <c r="Q8" s="49">
        <v>3.0</v>
      </c>
      <c r="R8" s="49">
        <v>0.0</v>
      </c>
      <c r="S8" s="37" t="s">
        <v>129</v>
      </c>
      <c r="T8" s="49">
        <v>0.0</v>
      </c>
      <c r="U8" s="49">
        <v>0.0</v>
      </c>
      <c r="V8" s="37" t="s">
        <v>140</v>
      </c>
      <c r="W8" s="49">
        <v>1.0</v>
      </c>
      <c r="X8" s="49">
        <v>0.0</v>
      </c>
      <c r="Y8" s="37" t="s">
        <v>106</v>
      </c>
      <c r="Z8" s="37" t="s">
        <v>131</v>
      </c>
      <c r="AA8" s="49"/>
      <c r="AB8" s="49">
        <v>1.0</v>
      </c>
      <c r="AC8" s="37"/>
      <c r="AD8" s="37" t="s">
        <v>115</v>
      </c>
      <c r="AE8" s="49">
        <v>100.0</v>
      </c>
      <c r="AF8" s="37" t="s">
        <v>106</v>
      </c>
      <c r="AG8" s="49"/>
      <c r="AH8" s="37" t="s">
        <v>132</v>
      </c>
      <c r="AI8" s="49">
        <v>1.0</v>
      </c>
      <c r="AJ8" s="37" t="s">
        <v>133</v>
      </c>
      <c r="AK8" s="37"/>
      <c r="AL8" s="37"/>
      <c r="AM8" s="37"/>
      <c r="AN8" s="50" t="b">
        <v>0</v>
      </c>
      <c r="AO8" s="37"/>
      <c r="AP8" s="50" t="b">
        <v>1</v>
      </c>
      <c r="AQ8" s="50" t="b">
        <v>0</v>
      </c>
      <c r="AR8" s="50" t="b">
        <v>1</v>
      </c>
      <c r="AS8" s="49">
        <v>0.0</v>
      </c>
      <c r="AT8" s="49">
        <v>1014.0006</v>
      </c>
      <c r="AU8" s="49">
        <v>1014.0006</v>
      </c>
      <c r="AV8" s="49"/>
      <c r="AW8" s="49">
        <v>0.0</v>
      </c>
      <c r="AX8" s="49">
        <v>0.0</v>
      </c>
      <c r="AY8" s="37" t="s">
        <v>122</v>
      </c>
      <c r="AZ8" s="49">
        <v>0.0</v>
      </c>
      <c r="BA8" s="49"/>
      <c r="BB8" s="37"/>
      <c r="BC8" s="49">
        <v>0.0</v>
      </c>
      <c r="BD8" s="37" t="s">
        <v>134</v>
      </c>
      <c r="BE8" s="49">
        <v>1000.0</v>
      </c>
      <c r="BF8" s="49">
        <v>1000.0</v>
      </c>
      <c r="BG8" s="49"/>
      <c r="BH8" s="37"/>
      <c r="BI8" s="37"/>
      <c r="BJ8" s="49">
        <v>100.0</v>
      </c>
      <c r="BK8" s="49">
        <v>0.0</v>
      </c>
      <c r="BL8" s="37" t="s">
        <v>106</v>
      </c>
      <c r="BM8" s="37" t="s">
        <v>131</v>
      </c>
      <c r="BN8" s="37"/>
      <c r="BO8" s="37" t="s">
        <v>111</v>
      </c>
      <c r="BP8" s="49">
        <v>0.0</v>
      </c>
      <c r="BQ8" s="49">
        <v>0.0</v>
      </c>
      <c r="BR8" s="49">
        <v>6.0E-4</v>
      </c>
      <c r="BS8" s="37" t="s">
        <v>135</v>
      </c>
      <c r="BT8" s="37" t="s">
        <v>53</v>
      </c>
      <c r="BU8" s="49">
        <v>3.0</v>
      </c>
      <c r="BV8" s="49">
        <v>0.0</v>
      </c>
      <c r="BW8" s="49">
        <v>14.0006</v>
      </c>
      <c r="BX8" s="49">
        <v>0.0</v>
      </c>
      <c r="BY8" s="37"/>
      <c r="BZ8" s="37"/>
      <c r="CA8" s="37"/>
      <c r="CB8" s="37"/>
      <c r="CC8" s="37"/>
      <c r="CD8" s="37"/>
      <c r="CE8" s="49"/>
      <c r="CF8" s="37" t="s">
        <v>124</v>
      </c>
      <c r="CG8" s="49">
        <v>2.0</v>
      </c>
      <c r="CH8" s="37" t="s">
        <v>12</v>
      </c>
      <c r="CI8" s="37" t="s">
        <v>111</v>
      </c>
      <c r="CJ8" s="49">
        <v>0.0</v>
      </c>
      <c r="CK8" s="37" t="s">
        <v>136</v>
      </c>
      <c r="CL8" s="49">
        <v>1.0</v>
      </c>
      <c r="CM8" s="37" t="s">
        <v>53</v>
      </c>
      <c r="CN8" s="37" t="s">
        <v>113</v>
      </c>
      <c r="CO8" s="37" t="s">
        <v>115</v>
      </c>
      <c r="CP8" s="37" t="s">
        <v>137</v>
      </c>
      <c r="CQ8" s="49"/>
      <c r="CR8" s="49"/>
      <c r="CS8" s="37" t="s">
        <v>106</v>
      </c>
      <c r="CT8" s="37"/>
      <c r="CU8" s="37"/>
      <c r="CV8" s="37"/>
      <c r="CW8" s="49">
        <v>0.0</v>
      </c>
      <c r="CX8" s="37" t="s">
        <v>138</v>
      </c>
      <c r="CY8" s="37" t="s">
        <v>106</v>
      </c>
      <c r="CZ8" s="37" t="s">
        <v>106</v>
      </c>
      <c r="DA8" s="37" t="s">
        <v>106</v>
      </c>
      <c r="DB8" s="37" t="s">
        <v>106</v>
      </c>
      <c r="DC8" s="37" t="s">
        <v>106</v>
      </c>
      <c r="DD8" s="37" t="s">
        <v>106</v>
      </c>
      <c r="DE8" s="37" t="s">
        <v>106</v>
      </c>
      <c r="DF8" s="37" t="s">
        <v>106</v>
      </c>
      <c r="DG8" s="37" t="s">
        <v>106</v>
      </c>
      <c r="DH8" s="37" t="s">
        <v>106</v>
      </c>
      <c r="DI8" s="37" t="s">
        <v>106</v>
      </c>
      <c r="DJ8" s="37" t="s">
        <v>106</v>
      </c>
      <c r="DK8" s="37" t="s">
        <v>106</v>
      </c>
      <c r="DL8" s="37" t="s">
        <v>106</v>
      </c>
      <c r="DM8" s="37" t="s">
        <v>106</v>
      </c>
      <c r="DN8" s="37" t="s">
        <v>106</v>
      </c>
      <c r="DO8" s="37" t="s">
        <v>106</v>
      </c>
      <c r="DP8" s="37" t="s">
        <v>106</v>
      </c>
      <c r="DQ8" s="37" t="s">
        <v>106</v>
      </c>
      <c r="DR8" s="37" t="s">
        <v>106</v>
      </c>
      <c r="DS8" s="37" t="s">
        <v>106</v>
      </c>
      <c r="DT8" s="37" t="s">
        <v>106</v>
      </c>
      <c r="DU8" s="37" t="s">
        <v>106</v>
      </c>
      <c r="DV8" s="37" t="s">
        <v>106</v>
      </c>
      <c r="DW8" s="37" t="s">
        <v>106</v>
      </c>
      <c r="DX8" s="37" t="s">
        <v>106</v>
      </c>
      <c r="DY8" s="37" t="s">
        <v>106</v>
      </c>
      <c r="DZ8" s="37" t="s">
        <v>106</v>
      </c>
      <c r="EA8" s="37" t="s">
        <v>106</v>
      </c>
      <c r="EB8" s="37" t="s">
        <v>106</v>
      </c>
      <c r="EC8" s="37" t="s">
        <v>106</v>
      </c>
      <c r="ED8" s="37" t="s">
        <v>106</v>
      </c>
      <c r="EE8" s="37" t="s">
        <v>106</v>
      </c>
      <c r="EF8" s="37" t="s">
        <v>106</v>
      </c>
      <c r="EG8" s="37" t="s">
        <v>106</v>
      </c>
      <c r="EH8" s="37" t="s">
        <v>106</v>
      </c>
      <c r="EI8" s="37" t="s">
        <v>106</v>
      </c>
      <c r="EJ8" s="37" t="s">
        <v>106</v>
      </c>
      <c r="EK8" s="37" t="s">
        <v>106</v>
      </c>
      <c r="EL8" s="37" t="s">
        <v>106</v>
      </c>
      <c r="EM8" s="37" t="s">
        <v>106</v>
      </c>
      <c r="EN8" s="37" t="s">
        <v>106</v>
      </c>
      <c r="EO8" s="37" t="s">
        <v>106</v>
      </c>
      <c r="EP8" s="37" t="s">
        <v>106</v>
      </c>
      <c r="EQ8" s="37" t="s">
        <v>106</v>
      </c>
      <c r="ER8" s="37" t="s">
        <v>106</v>
      </c>
      <c r="ES8" s="37" t="s">
        <v>106</v>
      </c>
      <c r="ET8" s="37" t="s">
        <v>106</v>
      </c>
      <c r="EU8" s="37" t="s">
        <v>106</v>
      </c>
      <c r="EV8" s="37" t="s">
        <v>106</v>
      </c>
      <c r="EW8" s="37" t="s">
        <v>106</v>
      </c>
      <c r="EX8" s="37" t="s">
        <v>106</v>
      </c>
      <c r="EY8" s="37" t="s">
        <v>106</v>
      </c>
      <c r="EZ8" s="37" t="s">
        <v>106</v>
      </c>
      <c r="FA8" s="37" t="s">
        <v>106</v>
      </c>
      <c r="FB8" s="37" t="s">
        <v>106</v>
      </c>
      <c r="FC8" s="37" t="s">
        <v>106</v>
      </c>
      <c r="FD8" s="37" t="s">
        <v>106</v>
      </c>
      <c r="FE8" s="37" t="s">
        <v>106</v>
      </c>
      <c r="FF8" s="37" t="s">
        <v>106</v>
      </c>
      <c r="FG8" s="37" t="s">
        <v>106</v>
      </c>
      <c r="FH8" s="37" t="s">
        <v>106</v>
      </c>
      <c r="FI8" s="37" t="s">
        <v>106</v>
      </c>
      <c r="FJ8" s="37" t="s">
        <v>106</v>
      </c>
      <c r="FK8" s="37" t="s">
        <v>106</v>
      </c>
      <c r="FL8" s="37" t="s">
        <v>106</v>
      </c>
      <c r="FM8" s="37" t="s">
        <v>106</v>
      </c>
      <c r="FN8" s="37" t="s">
        <v>106</v>
      </c>
      <c r="FO8" s="37" t="s">
        <v>106</v>
      </c>
      <c r="FP8" s="37" t="s">
        <v>106</v>
      </c>
      <c r="FQ8" s="37" t="s">
        <v>106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</row>
    <row r="9" ht="15.75" customHeight="1">
      <c r="A9" s="37" t="s">
        <v>106</v>
      </c>
      <c r="B9" s="37" t="s">
        <v>110</v>
      </c>
      <c r="C9" s="37" t="s">
        <v>127</v>
      </c>
      <c r="D9" s="49">
        <v>0.0</v>
      </c>
      <c r="E9" s="49">
        <v>100.0</v>
      </c>
      <c r="F9" s="37" t="s">
        <v>108</v>
      </c>
      <c r="G9" s="37" t="s">
        <v>112</v>
      </c>
      <c r="H9" s="49">
        <v>4.0</v>
      </c>
      <c r="I9" s="49">
        <v>5.0</v>
      </c>
      <c r="J9" s="49">
        <v>1.0</v>
      </c>
      <c r="K9" s="49">
        <v>10.0</v>
      </c>
      <c r="L9" s="49">
        <v>10.0</v>
      </c>
      <c r="M9" s="37" t="s">
        <v>118</v>
      </c>
      <c r="N9" s="37" t="s">
        <v>128</v>
      </c>
      <c r="O9" s="37" t="s">
        <v>114</v>
      </c>
      <c r="P9" s="37"/>
      <c r="Q9" s="49">
        <v>3.0</v>
      </c>
      <c r="R9" s="49">
        <v>0.0</v>
      </c>
      <c r="S9" s="37" t="s">
        <v>129</v>
      </c>
      <c r="T9" s="49">
        <v>0.0</v>
      </c>
      <c r="U9" s="49">
        <v>0.0</v>
      </c>
      <c r="V9" s="37" t="s">
        <v>139</v>
      </c>
      <c r="W9" s="49">
        <v>1.0</v>
      </c>
      <c r="X9" s="49">
        <v>0.0</v>
      </c>
      <c r="Y9" s="37" t="s">
        <v>106</v>
      </c>
      <c r="Z9" s="37" t="s">
        <v>131</v>
      </c>
      <c r="AA9" s="37"/>
      <c r="AB9" s="49">
        <v>1.0</v>
      </c>
      <c r="AC9" s="37"/>
      <c r="AD9" s="37" t="s">
        <v>115</v>
      </c>
      <c r="AE9" s="49">
        <v>100.0</v>
      </c>
      <c r="AF9" s="37" t="s">
        <v>106</v>
      </c>
      <c r="AG9" s="49"/>
      <c r="AH9" s="37" t="s">
        <v>132</v>
      </c>
      <c r="AI9" s="49">
        <v>1.0</v>
      </c>
      <c r="AJ9" s="37" t="s">
        <v>133</v>
      </c>
      <c r="AK9" s="37"/>
      <c r="AL9" s="37"/>
      <c r="AM9" s="37"/>
      <c r="AN9" s="50" t="b">
        <v>0</v>
      </c>
      <c r="AO9" s="37"/>
      <c r="AP9" s="50" t="b">
        <v>1</v>
      </c>
      <c r="AQ9" s="50" t="b">
        <v>0</v>
      </c>
      <c r="AR9" s="50" t="b">
        <v>1</v>
      </c>
      <c r="AS9" s="49">
        <v>0.0</v>
      </c>
      <c r="AT9" s="49">
        <v>1014.0006</v>
      </c>
      <c r="AU9" s="49">
        <v>1014.0006</v>
      </c>
      <c r="AV9" s="49"/>
      <c r="AW9" s="49">
        <v>0.0</v>
      </c>
      <c r="AX9" s="49">
        <v>0.0</v>
      </c>
      <c r="AY9" s="37" t="s">
        <v>122</v>
      </c>
      <c r="AZ9" s="49">
        <v>0.0</v>
      </c>
      <c r="BA9" s="49"/>
      <c r="BB9" s="37"/>
      <c r="BC9" s="49">
        <v>0.0</v>
      </c>
      <c r="BD9" s="37" t="s">
        <v>134</v>
      </c>
      <c r="BE9" s="49">
        <v>1000.0</v>
      </c>
      <c r="BF9" s="49">
        <v>1000.0</v>
      </c>
      <c r="BG9" s="49"/>
      <c r="BH9" s="37"/>
      <c r="BI9" s="37"/>
      <c r="BJ9" s="49">
        <v>100.0</v>
      </c>
      <c r="BK9" s="49">
        <v>0.0</v>
      </c>
      <c r="BL9" s="37" t="s">
        <v>106</v>
      </c>
      <c r="BM9" s="37" t="s">
        <v>131</v>
      </c>
      <c r="BN9" s="37"/>
      <c r="BO9" s="37" t="s">
        <v>111</v>
      </c>
      <c r="BP9" s="49">
        <v>0.0</v>
      </c>
      <c r="BQ9" s="49">
        <v>0.0</v>
      </c>
      <c r="BR9" s="49">
        <v>6.0E-4</v>
      </c>
      <c r="BS9" s="37" t="s">
        <v>135</v>
      </c>
      <c r="BT9" s="37" t="s">
        <v>55</v>
      </c>
      <c r="BU9" s="49">
        <v>3.0</v>
      </c>
      <c r="BV9" s="49">
        <v>0.0</v>
      </c>
      <c r="BW9" s="49">
        <v>14.0006</v>
      </c>
      <c r="BX9" s="49">
        <v>0.0</v>
      </c>
      <c r="BY9" s="37"/>
      <c r="BZ9" s="37"/>
      <c r="CA9" s="37"/>
      <c r="CB9" s="37"/>
      <c r="CC9" s="37"/>
      <c r="CD9" s="37"/>
      <c r="CE9" s="49"/>
      <c r="CF9" s="37" t="s">
        <v>124</v>
      </c>
      <c r="CG9" s="49">
        <v>2.0</v>
      </c>
      <c r="CH9" s="37" t="s">
        <v>12</v>
      </c>
      <c r="CI9" s="37" t="s">
        <v>111</v>
      </c>
      <c r="CJ9" s="49">
        <v>0.0</v>
      </c>
      <c r="CK9" s="37" t="s">
        <v>136</v>
      </c>
      <c r="CL9" s="49">
        <v>1.0</v>
      </c>
      <c r="CM9" s="37" t="s">
        <v>55</v>
      </c>
      <c r="CN9" s="37" t="s">
        <v>113</v>
      </c>
      <c r="CO9" s="37" t="s">
        <v>115</v>
      </c>
      <c r="CP9" s="37" t="s">
        <v>137</v>
      </c>
      <c r="CQ9" s="49"/>
      <c r="CR9" s="49"/>
      <c r="CS9" s="37" t="s">
        <v>106</v>
      </c>
      <c r="CT9" s="37"/>
      <c r="CU9" s="37"/>
      <c r="CV9" s="37"/>
      <c r="CW9" s="49">
        <v>0.0</v>
      </c>
      <c r="CX9" s="37" t="s">
        <v>138</v>
      </c>
      <c r="CY9" s="37" t="s">
        <v>106</v>
      </c>
      <c r="CZ9" s="37" t="s">
        <v>106</v>
      </c>
      <c r="DA9" s="37" t="s">
        <v>106</v>
      </c>
      <c r="DB9" s="37" t="s">
        <v>106</v>
      </c>
      <c r="DC9" s="37" t="s">
        <v>106</v>
      </c>
      <c r="DD9" s="37" t="s">
        <v>106</v>
      </c>
      <c r="DE9" s="37" t="s">
        <v>106</v>
      </c>
      <c r="DF9" s="37" t="s">
        <v>106</v>
      </c>
      <c r="DG9" s="37" t="s">
        <v>106</v>
      </c>
      <c r="DH9" s="37" t="s">
        <v>106</v>
      </c>
      <c r="DI9" s="37" t="s">
        <v>106</v>
      </c>
      <c r="DJ9" s="37" t="s">
        <v>106</v>
      </c>
      <c r="DK9" s="37" t="s">
        <v>106</v>
      </c>
      <c r="DL9" s="37" t="s">
        <v>106</v>
      </c>
      <c r="DM9" s="37" t="s">
        <v>106</v>
      </c>
      <c r="DN9" s="37" t="s">
        <v>106</v>
      </c>
      <c r="DO9" s="37" t="s">
        <v>106</v>
      </c>
      <c r="DP9" s="37" t="s">
        <v>106</v>
      </c>
      <c r="DQ9" s="37" t="s">
        <v>106</v>
      </c>
      <c r="DR9" s="37" t="s">
        <v>106</v>
      </c>
      <c r="DS9" s="37" t="s">
        <v>106</v>
      </c>
      <c r="DT9" s="37" t="s">
        <v>106</v>
      </c>
      <c r="DU9" s="37" t="s">
        <v>106</v>
      </c>
      <c r="DV9" s="37" t="s">
        <v>106</v>
      </c>
      <c r="DW9" s="37" t="s">
        <v>106</v>
      </c>
      <c r="DX9" s="37" t="s">
        <v>106</v>
      </c>
      <c r="DY9" s="37" t="s">
        <v>106</v>
      </c>
      <c r="DZ9" s="37" t="s">
        <v>106</v>
      </c>
      <c r="EA9" s="37" t="s">
        <v>106</v>
      </c>
      <c r="EB9" s="37" t="s">
        <v>106</v>
      </c>
      <c r="EC9" s="37" t="s">
        <v>106</v>
      </c>
      <c r="ED9" s="37" t="s">
        <v>106</v>
      </c>
      <c r="EE9" s="37" t="s">
        <v>106</v>
      </c>
      <c r="EF9" s="37" t="s">
        <v>106</v>
      </c>
      <c r="EG9" s="37" t="s">
        <v>106</v>
      </c>
      <c r="EH9" s="37" t="s">
        <v>106</v>
      </c>
      <c r="EI9" s="37" t="s">
        <v>106</v>
      </c>
      <c r="EJ9" s="37" t="s">
        <v>106</v>
      </c>
      <c r="EK9" s="37" t="s">
        <v>106</v>
      </c>
      <c r="EL9" s="37" t="s">
        <v>106</v>
      </c>
      <c r="EM9" s="37" t="s">
        <v>106</v>
      </c>
      <c r="EN9" s="37" t="s">
        <v>106</v>
      </c>
      <c r="EO9" s="37" t="s">
        <v>106</v>
      </c>
      <c r="EP9" s="37" t="s">
        <v>106</v>
      </c>
      <c r="EQ9" s="37" t="s">
        <v>106</v>
      </c>
      <c r="ER9" s="37" t="s">
        <v>106</v>
      </c>
      <c r="ES9" s="37" t="s">
        <v>106</v>
      </c>
      <c r="ET9" s="37" t="s">
        <v>106</v>
      </c>
      <c r="EU9" s="37" t="s">
        <v>106</v>
      </c>
      <c r="EV9" s="37" t="s">
        <v>106</v>
      </c>
      <c r="EW9" s="37" t="s">
        <v>106</v>
      </c>
      <c r="EX9" s="37" t="s">
        <v>106</v>
      </c>
      <c r="EY9" s="37" t="s">
        <v>106</v>
      </c>
      <c r="EZ9" s="37" t="s">
        <v>106</v>
      </c>
      <c r="FA9" s="37" t="s">
        <v>106</v>
      </c>
      <c r="FB9" s="37" t="s">
        <v>106</v>
      </c>
      <c r="FC9" s="37" t="s">
        <v>106</v>
      </c>
      <c r="FD9" s="37" t="s">
        <v>106</v>
      </c>
      <c r="FE9" s="37" t="s">
        <v>106</v>
      </c>
      <c r="FF9" s="37" t="s">
        <v>106</v>
      </c>
      <c r="FG9" s="37" t="s">
        <v>106</v>
      </c>
      <c r="FH9" s="37" t="s">
        <v>106</v>
      </c>
      <c r="FI9" s="37" t="s">
        <v>106</v>
      </c>
      <c r="FJ9" s="37" t="s">
        <v>106</v>
      </c>
      <c r="FK9" s="37" t="s">
        <v>106</v>
      </c>
      <c r="FL9" s="37" t="s">
        <v>106</v>
      </c>
      <c r="FM9" s="37" t="s">
        <v>106</v>
      </c>
      <c r="FN9" s="37" t="s">
        <v>106</v>
      </c>
      <c r="FO9" s="37" t="s">
        <v>106</v>
      </c>
      <c r="FP9" s="37" t="s">
        <v>106</v>
      </c>
      <c r="FQ9" s="37" t="s">
        <v>106</v>
      </c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  <c r="AML9" s="51"/>
    </row>
    <row r="10" ht="15.75" customHeight="1">
      <c r="A10" s="37" t="s">
        <v>106</v>
      </c>
      <c r="B10" s="37" t="s">
        <v>110</v>
      </c>
      <c r="C10" s="37" t="s">
        <v>127</v>
      </c>
      <c r="D10" s="49">
        <v>0.0</v>
      </c>
      <c r="E10" s="49">
        <v>100.0</v>
      </c>
      <c r="F10" s="37" t="s">
        <v>108</v>
      </c>
      <c r="G10" s="37" t="s">
        <v>119</v>
      </c>
      <c r="H10" s="49">
        <v>9.0</v>
      </c>
      <c r="I10" s="49">
        <v>0.0</v>
      </c>
      <c r="J10" s="49">
        <v>15.0</v>
      </c>
      <c r="K10" s="49">
        <v>10.0</v>
      </c>
      <c r="L10" s="49">
        <v>10.0</v>
      </c>
      <c r="M10" s="37" t="s">
        <v>120</v>
      </c>
      <c r="N10" s="37" t="s">
        <v>128</v>
      </c>
      <c r="O10" s="37" t="s">
        <v>114</v>
      </c>
      <c r="P10" s="37"/>
      <c r="Q10" s="49">
        <v>3.0</v>
      </c>
      <c r="R10" s="49">
        <v>0.0</v>
      </c>
      <c r="S10" s="37" t="s">
        <v>129</v>
      </c>
      <c r="T10" s="49">
        <v>0.0</v>
      </c>
      <c r="U10" s="49">
        <v>0.0</v>
      </c>
      <c r="V10" s="37" t="s">
        <v>56</v>
      </c>
      <c r="W10" s="49">
        <v>1.0</v>
      </c>
      <c r="X10" s="49">
        <v>0.0</v>
      </c>
      <c r="Y10" s="37" t="s">
        <v>106</v>
      </c>
      <c r="Z10" s="37" t="s">
        <v>131</v>
      </c>
      <c r="AA10" s="49"/>
      <c r="AB10" s="49">
        <v>1.0</v>
      </c>
      <c r="AC10" s="37"/>
      <c r="AD10" s="37" t="s">
        <v>141</v>
      </c>
      <c r="AE10" s="49">
        <v>100.0</v>
      </c>
      <c r="AF10" s="37" t="s">
        <v>106</v>
      </c>
      <c r="AG10" s="49"/>
      <c r="AH10" s="37" t="s">
        <v>132</v>
      </c>
      <c r="AI10" s="49">
        <v>1.0</v>
      </c>
      <c r="AJ10" s="37" t="s">
        <v>133</v>
      </c>
      <c r="AK10" s="37"/>
      <c r="AL10" s="37"/>
      <c r="AM10" s="37"/>
      <c r="AN10" s="50" t="b">
        <v>0</v>
      </c>
      <c r="AO10" s="37"/>
      <c r="AP10" s="50" t="b">
        <v>1</v>
      </c>
      <c r="AQ10" s="50" t="b">
        <v>0</v>
      </c>
      <c r="AR10" s="50" t="b">
        <v>1</v>
      </c>
      <c r="AS10" s="49">
        <v>0.0</v>
      </c>
      <c r="AT10" s="49">
        <v>1010.175</v>
      </c>
      <c r="AU10" s="49">
        <v>1010.175</v>
      </c>
      <c r="AV10" s="49"/>
      <c r="AW10" s="49">
        <v>0.0</v>
      </c>
      <c r="AX10" s="49">
        <v>0.0</v>
      </c>
      <c r="AY10" s="37" t="s">
        <v>122</v>
      </c>
      <c r="AZ10" s="49">
        <v>0.0</v>
      </c>
      <c r="BA10" s="49"/>
      <c r="BB10" s="37"/>
      <c r="BC10" s="49">
        <v>0.0</v>
      </c>
      <c r="BD10" s="37" t="s">
        <v>134</v>
      </c>
      <c r="BE10" s="49">
        <v>1000.0</v>
      </c>
      <c r="BF10" s="49">
        <v>1000.0</v>
      </c>
      <c r="BG10" s="49"/>
      <c r="BH10" s="37"/>
      <c r="BI10" s="37"/>
      <c r="BJ10" s="49">
        <v>100.0</v>
      </c>
      <c r="BK10" s="49">
        <v>0.0</v>
      </c>
      <c r="BL10" s="37" t="s">
        <v>106</v>
      </c>
      <c r="BM10" s="37" t="s">
        <v>131</v>
      </c>
      <c r="BN10" s="37"/>
      <c r="BO10" s="37" t="s">
        <v>111</v>
      </c>
      <c r="BP10" s="49">
        <v>0.0</v>
      </c>
      <c r="BQ10" s="49">
        <v>0.0</v>
      </c>
      <c r="BR10" s="49">
        <v>0.175</v>
      </c>
      <c r="BS10" s="37" t="s">
        <v>135</v>
      </c>
      <c r="BT10" s="37" t="s">
        <v>56</v>
      </c>
      <c r="BU10" s="49">
        <v>1.0</v>
      </c>
      <c r="BV10" s="49">
        <v>0.0</v>
      </c>
      <c r="BW10" s="49">
        <v>10.175</v>
      </c>
      <c r="BX10" s="49">
        <v>0.0</v>
      </c>
      <c r="BY10" s="37"/>
      <c r="BZ10" s="37"/>
      <c r="CA10" s="37"/>
      <c r="CB10" s="37"/>
      <c r="CC10" s="37"/>
      <c r="CD10" s="37"/>
      <c r="CE10" s="49"/>
      <c r="CF10" s="37" t="s">
        <v>124</v>
      </c>
      <c r="CG10" s="49">
        <v>0.0</v>
      </c>
      <c r="CH10" s="37" t="s">
        <v>12</v>
      </c>
      <c r="CI10" s="37" t="s">
        <v>111</v>
      </c>
      <c r="CJ10" s="49">
        <v>0.0</v>
      </c>
      <c r="CK10" s="37" t="s">
        <v>136</v>
      </c>
      <c r="CL10" s="49">
        <v>1.0</v>
      </c>
      <c r="CM10" s="37" t="s">
        <v>56</v>
      </c>
      <c r="CN10" s="37" t="s">
        <v>113</v>
      </c>
      <c r="CO10" s="37" t="s">
        <v>115</v>
      </c>
      <c r="CP10" s="37" t="s">
        <v>137</v>
      </c>
      <c r="CQ10" s="49"/>
      <c r="CR10" s="49"/>
      <c r="CS10" s="37" t="s">
        <v>106</v>
      </c>
      <c r="CT10" s="37"/>
      <c r="CU10" s="37"/>
      <c r="CV10" s="37"/>
      <c r="CW10" s="49">
        <v>0.0</v>
      </c>
      <c r="CX10" s="37" t="s">
        <v>138</v>
      </c>
      <c r="CY10" s="37" t="s">
        <v>106</v>
      </c>
      <c r="CZ10" s="37" t="s">
        <v>106</v>
      </c>
      <c r="DA10" s="37" t="s">
        <v>106</v>
      </c>
      <c r="DB10" s="37" t="s">
        <v>106</v>
      </c>
      <c r="DC10" s="37" t="s">
        <v>106</v>
      </c>
      <c r="DD10" s="37" t="s">
        <v>106</v>
      </c>
      <c r="DE10" s="37" t="s">
        <v>106</v>
      </c>
      <c r="DF10" s="37" t="s">
        <v>106</v>
      </c>
      <c r="DG10" s="37" t="s">
        <v>106</v>
      </c>
      <c r="DH10" s="37" t="s">
        <v>106</v>
      </c>
      <c r="DI10" s="37" t="s">
        <v>106</v>
      </c>
      <c r="DJ10" s="37" t="s">
        <v>106</v>
      </c>
      <c r="DK10" s="37" t="s">
        <v>106</v>
      </c>
      <c r="DL10" s="37" t="s">
        <v>106</v>
      </c>
      <c r="DM10" s="37" t="s">
        <v>106</v>
      </c>
      <c r="DN10" s="37" t="s">
        <v>106</v>
      </c>
      <c r="DO10" s="37" t="s">
        <v>106</v>
      </c>
      <c r="DP10" s="37" t="s">
        <v>106</v>
      </c>
      <c r="DQ10" s="37" t="s">
        <v>106</v>
      </c>
      <c r="DR10" s="37" t="s">
        <v>106</v>
      </c>
      <c r="DS10" s="37" t="s">
        <v>106</v>
      </c>
      <c r="DT10" s="37" t="s">
        <v>106</v>
      </c>
      <c r="DU10" s="37" t="s">
        <v>106</v>
      </c>
      <c r="DV10" s="37" t="s">
        <v>106</v>
      </c>
      <c r="DW10" s="37" t="s">
        <v>106</v>
      </c>
      <c r="DX10" s="37" t="s">
        <v>106</v>
      </c>
      <c r="DY10" s="37" t="s">
        <v>106</v>
      </c>
      <c r="DZ10" s="37" t="s">
        <v>106</v>
      </c>
      <c r="EA10" s="37" t="s">
        <v>106</v>
      </c>
      <c r="EB10" s="37" t="s">
        <v>106</v>
      </c>
      <c r="EC10" s="37" t="s">
        <v>106</v>
      </c>
      <c r="ED10" s="37" t="s">
        <v>106</v>
      </c>
      <c r="EE10" s="37" t="s">
        <v>106</v>
      </c>
      <c r="EF10" s="37" t="s">
        <v>106</v>
      </c>
      <c r="EG10" s="37" t="s">
        <v>106</v>
      </c>
      <c r="EH10" s="37" t="s">
        <v>106</v>
      </c>
      <c r="EI10" s="37" t="s">
        <v>106</v>
      </c>
      <c r="EJ10" s="37" t="s">
        <v>106</v>
      </c>
      <c r="EK10" s="37" t="s">
        <v>106</v>
      </c>
      <c r="EL10" s="37" t="s">
        <v>106</v>
      </c>
      <c r="EM10" s="37" t="s">
        <v>106</v>
      </c>
      <c r="EN10" s="37" t="s">
        <v>106</v>
      </c>
      <c r="EO10" s="37" t="s">
        <v>106</v>
      </c>
      <c r="EP10" s="37" t="s">
        <v>106</v>
      </c>
      <c r="EQ10" s="37" t="s">
        <v>106</v>
      </c>
      <c r="ER10" s="37" t="s">
        <v>106</v>
      </c>
      <c r="ES10" s="37" t="s">
        <v>106</v>
      </c>
      <c r="ET10" s="37" t="s">
        <v>106</v>
      </c>
      <c r="EU10" s="37" t="s">
        <v>106</v>
      </c>
      <c r="EV10" s="37" t="s">
        <v>106</v>
      </c>
      <c r="EW10" s="37" t="s">
        <v>106</v>
      </c>
      <c r="EX10" s="37" t="s">
        <v>106</v>
      </c>
      <c r="EY10" s="37" t="s">
        <v>106</v>
      </c>
      <c r="EZ10" s="37" t="s">
        <v>106</v>
      </c>
      <c r="FA10" s="37" t="s">
        <v>106</v>
      </c>
      <c r="FB10" s="37" t="s">
        <v>106</v>
      </c>
      <c r="FC10" s="37" t="s">
        <v>106</v>
      </c>
      <c r="FD10" s="37" t="s">
        <v>106</v>
      </c>
      <c r="FE10" s="37" t="s">
        <v>106</v>
      </c>
      <c r="FF10" s="37" t="s">
        <v>106</v>
      </c>
      <c r="FG10" s="37" t="s">
        <v>106</v>
      </c>
      <c r="FH10" s="37" t="s">
        <v>106</v>
      </c>
      <c r="FI10" s="37" t="s">
        <v>106</v>
      </c>
      <c r="FJ10" s="37" t="s">
        <v>106</v>
      </c>
      <c r="FK10" s="37" t="s">
        <v>106</v>
      </c>
      <c r="FL10" s="37" t="s">
        <v>106</v>
      </c>
      <c r="FM10" s="37" t="s">
        <v>106</v>
      </c>
      <c r="FN10" s="37" t="s">
        <v>106</v>
      </c>
      <c r="FO10" s="37" t="s">
        <v>106</v>
      </c>
      <c r="FP10" s="37" t="s">
        <v>106</v>
      </c>
      <c r="FQ10" s="37" t="s">
        <v>106</v>
      </c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51"/>
      <c r="GN10" s="51"/>
      <c r="GO10" s="51"/>
      <c r="GP10" s="51"/>
      <c r="GQ10" s="51"/>
      <c r="GR10" s="51"/>
      <c r="GS10" s="51"/>
      <c r="GT10" s="51"/>
      <c r="GU10" s="51"/>
      <c r="GV10" s="51"/>
      <c r="GW10" s="51"/>
      <c r="GX10" s="51"/>
      <c r="GY10" s="51"/>
      <c r="GZ10" s="51"/>
      <c r="HA10" s="51"/>
      <c r="HB10" s="51"/>
      <c r="HC10" s="51"/>
      <c r="HD10" s="51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1"/>
      <c r="HV10" s="51"/>
      <c r="HW10" s="51"/>
      <c r="HX10" s="51"/>
      <c r="HY10" s="51"/>
      <c r="HZ10" s="51"/>
      <c r="IA10" s="51"/>
      <c r="IB10" s="51"/>
      <c r="IC10" s="51"/>
      <c r="ID10" s="51"/>
      <c r="IE10" s="51"/>
      <c r="IF10" s="51"/>
      <c r="IG10" s="51"/>
      <c r="IH10" s="51"/>
      <c r="II10" s="51"/>
      <c r="IJ10" s="51"/>
      <c r="IK10" s="51"/>
      <c r="IL10" s="51"/>
      <c r="IM10" s="51"/>
      <c r="IN10" s="51"/>
      <c r="IO10" s="51"/>
      <c r="IP10" s="51"/>
      <c r="IQ10" s="51"/>
      <c r="IR10" s="51"/>
      <c r="IS10" s="51"/>
      <c r="IT10" s="51"/>
      <c r="IU10" s="51"/>
      <c r="IV10" s="51"/>
      <c r="IW10" s="51"/>
      <c r="IX10" s="51"/>
      <c r="IY10" s="51"/>
      <c r="IZ10" s="51"/>
      <c r="JA10" s="51"/>
      <c r="JB10" s="51"/>
      <c r="JC10" s="51"/>
      <c r="JD10" s="51"/>
      <c r="JE10" s="51"/>
      <c r="JF10" s="51"/>
      <c r="JG10" s="51"/>
      <c r="JH10" s="51"/>
      <c r="JI10" s="51"/>
      <c r="JJ10" s="51"/>
      <c r="JK10" s="51"/>
      <c r="JL10" s="51"/>
      <c r="JM10" s="51"/>
      <c r="JN10" s="51"/>
      <c r="JO10" s="51"/>
      <c r="JP10" s="51"/>
      <c r="JQ10" s="51"/>
      <c r="JR10" s="51"/>
      <c r="JS10" s="51"/>
      <c r="JT10" s="51"/>
      <c r="JU10" s="51"/>
      <c r="JV10" s="51"/>
      <c r="JW10" s="51"/>
      <c r="JX10" s="51"/>
      <c r="JY10" s="51"/>
      <c r="JZ10" s="51"/>
      <c r="KA10" s="51"/>
      <c r="KB10" s="51"/>
      <c r="KC10" s="51"/>
      <c r="KD10" s="51"/>
      <c r="KE10" s="51"/>
      <c r="KF10" s="51"/>
      <c r="KG10" s="51"/>
      <c r="KH10" s="51"/>
      <c r="KI10" s="51"/>
      <c r="KJ10" s="51"/>
      <c r="KK10" s="51"/>
      <c r="KL10" s="51"/>
      <c r="KM10" s="51"/>
      <c r="KN10" s="51"/>
      <c r="KO10" s="51"/>
      <c r="KP10" s="51"/>
      <c r="KQ10" s="51"/>
      <c r="KR10" s="51"/>
      <c r="KS10" s="51"/>
      <c r="KT10" s="51"/>
      <c r="KU10" s="51"/>
      <c r="KV10" s="51"/>
      <c r="KW10" s="51"/>
      <c r="KX10" s="51"/>
      <c r="KY10" s="51"/>
      <c r="KZ10" s="51"/>
      <c r="LA10" s="51"/>
      <c r="LB10" s="51"/>
      <c r="LC10" s="51"/>
      <c r="LD10" s="51"/>
      <c r="LE10" s="51"/>
      <c r="LF10" s="51"/>
      <c r="LG10" s="51"/>
      <c r="LH10" s="51"/>
      <c r="LI10" s="51"/>
      <c r="LJ10" s="51"/>
      <c r="LK10" s="51"/>
      <c r="LL10" s="51"/>
      <c r="LM10" s="51"/>
      <c r="LN10" s="51"/>
      <c r="LO10" s="51"/>
      <c r="LP10" s="51"/>
      <c r="LQ10" s="51"/>
      <c r="LR10" s="51"/>
      <c r="LS10" s="51"/>
      <c r="LT10" s="51"/>
      <c r="LU10" s="51"/>
      <c r="LV10" s="51"/>
      <c r="LW10" s="51"/>
      <c r="LX10" s="51"/>
      <c r="LY10" s="51"/>
      <c r="LZ10" s="51"/>
      <c r="MA10" s="51"/>
      <c r="MB10" s="51"/>
      <c r="MC10" s="51"/>
      <c r="MD10" s="51"/>
      <c r="ME10" s="51"/>
      <c r="MF10" s="51"/>
      <c r="MG10" s="51"/>
      <c r="MH10" s="51"/>
      <c r="MI10" s="51"/>
      <c r="MJ10" s="51"/>
      <c r="MK10" s="51"/>
      <c r="ML10" s="51"/>
      <c r="MM10" s="51"/>
      <c r="MN10" s="51"/>
      <c r="MO10" s="51"/>
      <c r="MP10" s="51"/>
      <c r="MQ10" s="51"/>
      <c r="MR10" s="51"/>
      <c r="MS10" s="51"/>
      <c r="MT10" s="51"/>
      <c r="MU10" s="51"/>
      <c r="MV10" s="51"/>
      <c r="MW10" s="51"/>
      <c r="MX10" s="51"/>
      <c r="MY10" s="51"/>
      <c r="MZ10" s="51"/>
      <c r="NA10" s="51"/>
      <c r="NB10" s="51"/>
      <c r="NC10" s="51"/>
      <c r="ND10" s="51"/>
      <c r="NE10" s="51"/>
      <c r="NF10" s="51"/>
      <c r="NG10" s="51"/>
      <c r="NH10" s="51"/>
      <c r="NI10" s="51"/>
      <c r="NJ10" s="51"/>
      <c r="NK10" s="51"/>
      <c r="NL10" s="51"/>
      <c r="NM10" s="51"/>
      <c r="NN10" s="51"/>
      <c r="NO10" s="51"/>
      <c r="NP10" s="51"/>
      <c r="NQ10" s="51"/>
      <c r="NR10" s="51"/>
      <c r="NS10" s="51"/>
      <c r="NT10" s="51"/>
      <c r="NU10" s="51"/>
      <c r="NV10" s="51"/>
      <c r="NW10" s="51"/>
      <c r="NX10" s="51"/>
      <c r="NY10" s="51"/>
      <c r="NZ10" s="51"/>
      <c r="OA10" s="51"/>
      <c r="OB10" s="51"/>
      <c r="OC10" s="51"/>
      <c r="OD10" s="51"/>
      <c r="OE10" s="51"/>
      <c r="OF10" s="51"/>
      <c r="OG10" s="51"/>
      <c r="OH10" s="51"/>
      <c r="OI10" s="51"/>
      <c r="OJ10" s="51"/>
      <c r="OK10" s="51"/>
      <c r="OL10" s="51"/>
      <c r="OM10" s="51"/>
      <c r="ON10" s="51"/>
      <c r="OO10" s="51"/>
      <c r="OP10" s="51"/>
      <c r="OQ10" s="51"/>
      <c r="OR10" s="51"/>
      <c r="OS10" s="51"/>
      <c r="OT10" s="51"/>
      <c r="OU10" s="51"/>
      <c r="OV10" s="51"/>
      <c r="OW10" s="51"/>
      <c r="OX10" s="51"/>
      <c r="OY10" s="51"/>
      <c r="OZ10" s="51"/>
      <c r="PA10" s="51"/>
      <c r="PB10" s="51"/>
      <c r="PC10" s="51"/>
      <c r="PD10" s="51"/>
      <c r="PE10" s="51"/>
      <c r="PF10" s="51"/>
      <c r="PG10" s="51"/>
      <c r="PH10" s="51"/>
      <c r="PI10" s="51"/>
      <c r="PJ10" s="51"/>
      <c r="PK10" s="51"/>
      <c r="PL10" s="51"/>
      <c r="PM10" s="51"/>
      <c r="PN10" s="51"/>
      <c r="PO10" s="51"/>
      <c r="PP10" s="51"/>
      <c r="PQ10" s="51"/>
      <c r="PR10" s="51"/>
      <c r="PS10" s="51"/>
      <c r="PT10" s="51"/>
      <c r="PU10" s="51"/>
      <c r="PV10" s="51"/>
      <c r="PW10" s="51"/>
      <c r="PX10" s="51"/>
      <c r="PY10" s="51"/>
      <c r="PZ10" s="51"/>
      <c r="QA10" s="51"/>
      <c r="QB10" s="51"/>
      <c r="QC10" s="51"/>
      <c r="QD10" s="51"/>
      <c r="QE10" s="51"/>
      <c r="QF10" s="51"/>
      <c r="QG10" s="51"/>
      <c r="QH10" s="51"/>
      <c r="QI10" s="51"/>
      <c r="QJ10" s="51"/>
      <c r="QK10" s="51"/>
      <c r="QL10" s="51"/>
      <c r="QM10" s="51"/>
      <c r="QN10" s="51"/>
      <c r="QO10" s="51"/>
      <c r="QP10" s="51"/>
      <c r="QQ10" s="51"/>
      <c r="QR10" s="51"/>
      <c r="QS10" s="51"/>
      <c r="QT10" s="51"/>
      <c r="QU10" s="51"/>
      <c r="QV10" s="51"/>
      <c r="QW10" s="51"/>
      <c r="QX10" s="51"/>
      <c r="QY10" s="51"/>
      <c r="QZ10" s="51"/>
      <c r="RA10" s="51"/>
      <c r="RB10" s="51"/>
      <c r="RC10" s="51"/>
      <c r="RD10" s="51"/>
      <c r="RE10" s="51"/>
      <c r="RF10" s="51"/>
      <c r="RG10" s="51"/>
      <c r="RH10" s="51"/>
      <c r="RI10" s="51"/>
      <c r="RJ10" s="51"/>
      <c r="RK10" s="51"/>
      <c r="RL10" s="51"/>
      <c r="RM10" s="51"/>
      <c r="RN10" s="51"/>
      <c r="RO10" s="51"/>
      <c r="RP10" s="51"/>
      <c r="RQ10" s="51"/>
      <c r="RR10" s="51"/>
      <c r="RS10" s="51"/>
      <c r="RT10" s="51"/>
      <c r="RU10" s="51"/>
      <c r="RV10" s="51"/>
      <c r="RW10" s="51"/>
      <c r="RX10" s="51"/>
      <c r="RY10" s="51"/>
      <c r="RZ10" s="51"/>
      <c r="SA10" s="51"/>
      <c r="SB10" s="51"/>
      <c r="SC10" s="51"/>
      <c r="SD10" s="51"/>
      <c r="SE10" s="51"/>
      <c r="SF10" s="51"/>
      <c r="SG10" s="51"/>
      <c r="SH10" s="51"/>
      <c r="SI10" s="51"/>
      <c r="SJ10" s="51"/>
      <c r="SK10" s="51"/>
      <c r="SL10" s="51"/>
      <c r="SM10" s="51"/>
      <c r="SN10" s="51"/>
      <c r="SO10" s="51"/>
      <c r="SP10" s="51"/>
      <c r="SQ10" s="51"/>
      <c r="SR10" s="51"/>
      <c r="SS10" s="51"/>
      <c r="ST10" s="51"/>
      <c r="SU10" s="51"/>
      <c r="SV10" s="51"/>
      <c r="SW10" s="51"/>
      <c r="SX10" s="51"/>
      <c r="SY10" s="51"/>
      <c r="SZ10" s="51"/>
      <c r="TA10" s="51"/>
      <c r="TB10" s="51"/>
      <c r="TC10" s="51"/>
      <c r="TD10" s="51"/>
      <c r="TE10" s="51"/>
      <c r="TF10" s="51"/>
      <c r="TG10" s="51"/>
      <c r="TH10" s="51"/>
      <c r="TI10" s="51"/>
      <c r="TJ10" s="51"/>
      <c r="TK10" s="51"/>
      <c r="TL10" s="51"/>
      <c r="TM10" s="51"/>
      <c r="TN10" s="51"/>
      <c r="TO10" s="51"/>
      <c r="TP10" s="51"/>
      <c r="TQ10" s="51"/>
      <c r="TR10" s="51"/>
      <c r="TS10" s="51"/>
      <c r="TT10" s="51"/>
      <c r="TU10" s="51"/>
      <c r="TV10" s="51"/>
      <c r="TW10" s="51"/>
      <c r="TX10" s="51"/>
      <c r="TY10" s="51"/>
      <c r="TZ10" s="51"/>
      <c r="UA10" s="51"/>
      <c r="UB10" s="51"/>
      <c r="UC10" s="51"/>
      <c r="UD10" s="51"/>
      <c r="UE10" s="51"/>
      <c r="UF10" s="51"/>
      <c r="UG10" s="51"/>
      <c r="UH10" s="51"/>
      <c r="UI10" s="51"/>
      <c r="UJ10" s="51"/>
      <c r="UK10" s="51"/>
      <c r="UL10" s="51"/>
      <c r="UM10" s="51"/>
      <c r="UN10" s="51"/>
      <c r="UO10" s="51"/>
      <c r="UP10" s="51"/>
      <c r="UQ10" s="51"/>
      <c r="UR10" s="51"/>
      <c r="US10" s="51"/>
      <c r="UT10" s="51"/>
      <c r="UU10" s="51"/>
      <c r="UV10" s="51"/>
      <c r="UW10" s="51"/>
      <c r="UX10" s="51"/>
      <c r="UY10" s="51"/>
      <c r="UZ10" s="51"/>
      <c r="VA10" s="51"/>
      <c r="VB10" s="51"/>
      <c r="VC10" s="51"/>
      <c r="VD10" s="51"/>
      <c r="VE10" s="51"/>
      <c r="VF10" s="51"/>
      <c r="VG10" s="51"/>
      <c r="VH10" s="51"/>
      <c r="VI10" s="51"/>
      <c r="VJ10" s="51"/>
      <c r="VK10" s="51"/>
      <c r="VL10" s="51"/>
      <c r="VM10" s="51"/>
      <c r="VN10" s="51"/>
      <c r="VO10" s="51"/>
      <c r="VP10" s="51"/>
      <c r="VQ10" s="51"/>
      <c r="VR10" s="51"/>
      <c r="VS10" s="51"/>
      <c r="VT10" s="51"/>
      <c r="VU10" s="51"/>
      <c r="VV10" s="51"/>
      <c r="VW10" s="51"/>
      <c r="VX10" s="51"/>
      <c r="VY10" s="51"/>
      <c r="VZ10" s="51"/>
      <c r="WA10" s="51"/>
      <c r="WB10" s="51"/>
      <c r="WC10" s="51"/>
      <c r="WD10" s="51"/>
      <c r="WE10" s="51"/>
      <c r="WF10" s="51"/>
      <c r="WG10" s="51"/>
      <c r="WH10" s="51"/>
      <c r="WI10" s="51"/>
      <c r="WJ10" s="51"/>
      <c r="WK10" s="51"/>
      <c r="WL10" s="51"/>
      <c r="WM10" s="51"/>
      <c r="WN10" s="51"/>
      <c r="WO10" s="51"/>
      <c r="WP10" s="51"/>
      <c r="WQ10" s="51"/>
      <c r="WR10" s="51"/>
      <c r="WS10" s="51"/>
      <c r="WT10" s="51"/>
      <c r="WU10" s="51"/>
      <c r="WV10" s="51"/>
      <c r="WW10" s="51"/>
      <c r="WX10" s="51"/>
      <c r="WY10" s="51"/>
      <c r="WZ10" s="51"/>
      <c r="XA10" s="51"/>
      <c r="XB10" s="51"/>
      <c r="XC10" s="51"/>
      <c r="XD10" s="51"/>
      <c r="XE10" s="51"/>
      <c r="XF10" s="51"/>
      <c r="XG10" s="51"/>
      <c r="XH10" s="51"/>
      <c r="XI10" s="51"/>
      <c r="XJ10" s="51"/>
      <c r="XK10" s="51"/>
      <c r="XL10" s="51"/>
      <c r="XM10" s="51"/>
      <c r="XN10" s="51"/>
      <c r="XO10" s="51"/>
      <c r="XP10" s="51"/>
      <c r="XQ10" s="51"/>
      <c r="XR10" s="51"/>
      <c r="XS10" s="51"/>
      <c r="XT10" s="51"/>
      <c r="XU10" s="51"/>
      <c r="XV10" s="51"/>
      <c r="XW10" s="51"/>
      <c r="XX10" s="51"/>
      <c r="XY10" s="51"/>
      <c r="XZ10" s="51"/>
      <c r="YA10" s="51"/>
      <c r="YB10" s="51"/>
      <c r="YC10" s="51"/>
      <c r="YD10" s="51"/>
      <c r="YE10" s="51"/>
      <c r="YF10" s="51"/>
      <c r="YG10" s="51"/>
      <c r="YH10" s="51"/>
      <c r="YI10" s="51"/>
      <c r="YJ10" s="51"/>
      <c r="YK10" s="51"/>
      <c r="YL10" s="51"/>
      <c r="YM10" s="51"/>
      <c r="YN10" s="51"/>
      <c r="YO10" s="51"/>
      <c r="YP10" s="51"/>
      <c r="YQ10" s="51"/>
      <c r="YR10" s="51"/>
      <c r="YS10" s="51"/>
      <c r="YT10" s="51"/>
      <c r="YU10" s="51"/>
      <c r="YV10" s="51"/>
      <c r="YW10" s="51"/>
      <c r="YX10" s="51"/>
      <c r="YY10" s="51"/>
      <c r="YZ10" s="51"/>
      <c r="ZA10" s="51"/>
      <c r="ZB10" s="51"/>
      <c r="ZC10" s="51"/>
      <c r="ZD10" s="51"/>
      <c r="ZE10" s="51"/>
      <c r="ZF10" s="51"/>
      <c r="ZG10" s="51"/>
      <c r="ZH10" s="51"/>
      <c r="ZI10" s="51"/>
      <c r="ZJ10" s="51"/>
      <c r="ZK10" s="51"/>
      <c r="ZL10" s="51"/>
      <c r="ZM10" s="51"/>
      <c r="ZN10" s="51"/>
      <c r="ZO10" s="51"/>
      <c r="ZP10" s="51"/>
      <c r="ZQ10" s="51"/>
      <c r="ZR10" s="51"/>
      <c r="ZS10" s="51"/>
      <c r="ZT10" s="51"/>
      <c r="ZU10" s="51"/>
      <c r="ZV10" s="51"/>
      <c r="ZW10" s="51"/>
      <c r="ZX10" s="51"/>
      <c r="ZY10" s="51"/>
      <c r="ZZ10" s="51"/>
      <c r="AAA10" s="51"/>
      <c r="AAB10" s="51"/>
      <c r="AAC10" s="51"/>
      <c r="AAD10" s="51"/>
      <c r="AAE10" s="51"/>
      <c r="AAF10" s="51"/>
      <c r="AAG10" s="51"/>
      <c r="AAH10" s="51"/>
      <c r="AAI10" s="51"/>
      <c r="AAJ10" s="51"/>
      <c r="AAK10" s="51"/>
      <c r="AAL10" s="51"/>
      <c r="AAM10" s="51"/>
      <c r="AAN10" s="51"/>
      <c r="AAO10" s="51"/>
      <c r="AAP10" s="51"/>
      <c r="AAQ10" s="51"/>
      <c r="AAR10" s="51"/>
      <c r="AAS10" s="51"/>
      <c r="AAT10" s="51"/>
      <c r="AAU10" s="51"/>
      <c r="AAV10" s="51"/>
      <c r="AAW10" s="51"/>
      <c r="AAX10" s="51"/>
      <c r="AAY10" s="51"/>
      <c r="AAZ10" s="51"/>
      <c r="ABA10" s="51"/>
      <c r="ABB10" s="51"/>
      <c r="ABC10" s="51"/>
      <c r="ABD10" s="51"/>
      <c r="ABE10" s="51"/>
      <c r="ABF10" s="51"/>
      <c r="ABG10" s="51"/>
      <c r="ABH10" s="51"/>
      <c r="ABI10" s="51"/>
      <c r="ABJ10" s="51"/>
      <c r="ABK10" s="51"/>
      <c r="ABL10" s="51"/>
      <c r="ABM10" s="51"/>
      <c r="ABN10" s="51"/>
      <c r="ABO10" s="51"/>
      <c r="ABP10" s="51"/>
      <c r="ABQ10" s="51"/>
      <c r="ABR10" s="51"/>
      <c r="ABS10" s="51"/>
      <c r="ABT10" s="51"/>
      <c r="ABU10" s="51"/>
      <c r="ABV10" s="51"/>
      <c r="ABW10" s="51"/>
      <c r="ABX10" s="51"/>
      <c r="ABY10" s="51"/>
      <c r="ABZ10" s="51"/>
      <c r="ACA10" s="51"/>
      <c r="ACB10" s="51"/>
      <c r="ACC10" s="51"/>
      <c r="ACD10" s="51"/>
      <c r="ACE10" s="51"/>
      <c r="ACF10" s="51"/>
      <c r="ACG10" s="51"/>
      <c r="ACH10" s="51"/>
      <c r="ACI10" s="51"/>
      <c r="ACJ10" s="51"/>
      <c r="ACK10" s="51"/>
      <c r="ACL10" s="51"/>
      <c r="ACM10" s="51"/>
      <c r="ACN10" s="51"/>
      <c r="ACO10" s="51"/>
      <c r="ACP10" s="51"/>
      <c r="ACQ10" s="51"/>
      <c r="ACR10" s="51"/>
      <c r="ACS10" s="51"/>
      <c r="ACT10" s="51"/>
      <c r="ACU10" s="51"/>
      <c r="ACV10" s="51"/>
      <c r="ACW10" s="51"/>
      <c r="ACX10" s="51"/>
      <c r="ACY10" s="51"/>
      <c r="ACZ10" s="51"/>
      <c r="ADA10" s="51"/>
      <c r="ADB10" s="51"/>
      <c r="ADC10" s="51"/>
      <c r="ADD10" s="51"/>
      <c r="ADE10" s="51"/>
      <c r="ADF10" s="51"/>
      <c r="ADG10" s="51"/>
      <c r="ADH10" s="51"/>
      <c r="ADI10" s="51"/>
      <c r="ADJ10" s="51"/>
      <c r="ADK10" s="51"/>
      <c r="ADL10" s="51"/>
      <c r="ADM10" s="51"/>
      <c r="ADN10" s="51"/>
      <c r="ADO10" s="51"/>
      <c r="ADP10" s="51"/>
      <c r="ADQ10" s="51"/>
      <c r="ADR10" s="51"/>
      <c r="ADS10" s="51"/>
      <c r="ADT10" s="51"/>
      <c r="ADU10" s="51"/>
      <c r="ADV10" s="51"/>
      <c r="ADW10" s="51"/>
      <c r="ADX10" s="51"/>
      <c r="ADY10" s="51"/>
      <c r="ADZ10" s="51"/>
      <c r="AEA10" s="51"/>
      <c r="AEB10" s="51"/>
      <c r="AEC10" s="51"/>
      <c r="AED10" s="51"/>
      <c r="AEE10" s="51"/>
      <c r="AEF10" s="51"/>
      <c r="AEG10" s="51"/>
      <c r="AEH10" s="51"/>
      <c r="AEI10" s="51"/>
      <c r="AEJ10" s="51"/>
      <c r="AEK10" s="51"/>
      <c r="AEL10" s="51"/>
      <c r="AEM10" s="51"/>
      <c r="AEN10" s="51"/>
      <c r="AEO10" s="51"/>
      <c r="AEP10" s="51"/>
      <c r="AEQ10" s="51"/>
      <c r="AER10" s="51"/>
      <c r="AES10" s="51"/>
      <c r="AET10" s="51"/>
      <c r="AEU10" s="51"/>
      <c r="AEV10" s="51"/>
      <c r="AEW10" s="51"/>
      <c r="AEX10" s="51"/>
      <c r="AEY10" s="51"/>
      <c r="AEZ10" s="51"/>
      <c r="AFA10" s="51"/>
      <c r="AFB10" s="51"/>
      <c r="AFC10" s="51"/>
      <c r="AFD10" s="51"/>
      <c r="AFE10" s="51"/>
      <c r="AFF10" s="51"/>
      <c r="AFG10" s="51"/>
      <c r="AFH10" s="51"/>
      <c r="AFI10" s="51"/>
      <c r="AFJ10" s="51"/>
      <c r="AFK10" s="51"/>
      <c r="AFL10" s="51"/>
      <c r="AFM10" s="51"/>
      <c r="AFN10" s="51"/>
      <c r="AFO10" s="51"/>
      <c r="AFP10" s="51"/>
      <c r="AFQ10" s="51"/>
      <c r="AFR10" s="51"/>
      <c r="AFS10" s="51"/>
      <c r="AFT10" s="51"/>
      <c r="AFU10" s="51"/>
      <c r="AFV10" s="51"/>
      <c r="AFW10" s="51"/>
      <c r="AFX10" s="51"/>
      <c r="AFY10" s="51"/>
      <c r="AFZ10" s="51"/>
      <c r="AGA10" s="51"/>
      <c r="AGB10" s="51"/>
      <c r="AGC10" s="51"/>
      <c r="AGD10" s="51"/>
      <c r="AGE10" s="51"/>
      <c r="AGF10" s="51"/>
      <c r="AGG10" s="51"/>
      <c r="AGH10" s="51"/>
      <c r="AGI10" s="51"/>
      <c r="AGJ10" s="51"/>
      <c r="AGK10" s="51"/>
      <c r="AGL10" s="51"/>
      <c r="AGM10" s="51"/>
      <c r="AGN10" s="51"/>
      <c r="AGO10" s="51"/>
      <c r="AGP10" s="51"/>
      <c r="AGQ10" s="51"/>
      <c r="AGR10" s="51"/>
      <c r="AGS10" s="51"/>
      <c r="AGT10" s="51"/>
      <c r="AGU10" s="51"/>
      <c r="AGV10" s="51"/>
      <c r="AGW10" s="51"/>
      <c r="AGX10" s="51"/>
      <c r="AGY10" s="51"/>
      <c r="AGZ10" s="51"/>
      <c r="AHA10" s="51"/>
      <c r="AHB10" s="51"/>
      <c r="AHC10" s="51"/>
      <c r="AHD10" s="51"/>
      <c r="AHE10" s="51"/>
      <c r="AHF10" s="51"/>
      <c r="AHG10" s="51"/>
      <c r="AHH10" s="51"/>
      <c r="AHI10" s="51"/>
      <c r="AHJ10" s="51"/>
      <c r="AHK10" s="51"/>
      <c r="AHL10" s="51"/>
      <c r="AHM10" s="51"/>
      <c r="AHN10" s="51"/>
      <c r="AHO10" s="51"/>
      <c r="AHP10" s="51"/>
      <c r="AHQ10" s="51"/>
      <c r="AHR10" s="51"/>
      <c r="AHS10" s="51"/>
      <c r="AHT10" s="51"/>
      <c r="AHU10" s="51"/>
      <c r="AHV10" s="51"/>
      <c r="AHW10" s="51"/>
      <c r="AHX10" s="51"/>
      <c r="AHY10" s="51"/>
      <c r="AHZ10" s="51"/>
      <c r="AIA10" s="51"/>
      <c r="AIB10" s="51"/>
      <c r="AIC10" s="51"/>
      <c r="AID10" s="51"/>
      <c r="AIE10" s="51"/>
      <c r="AIF10" s="51"/>
      <c r="AIG10" s="51"/>
      <c r="AIH10" s="51"/>
      <c r="AII10" s="51"/>
      <c r="AIJ10" s="51"/>
      <c r="AIK10" s="51"/>
      <c r="AIL10" s="51"/>
      <c r="AIM10" s="51"/>
      <c r="AIN10" s="51"/>
      <c r="AIO10" s="51"/>
      <c r="AIP10" s="51"/>
      <c r="AIQ10" s="51"/>
      <c r="AIR10" s="51"/>
      <c r="AIS10" s="51"/>
      <c r="AIT10" s="51"/>
      <c r="AIU10" s="51"/>
      <c r="AIV10" s="51"/>
      <c r="AIW10" s="51"/>
      <c r="AIX10" s="51"/>
      <c r="AIY10" s="51"/>
      <c r="AIZ10" s="51"/>
      <c r="AJA10" s="51"/>
      <c r="AJB10" s="51"/>
      <c r="AJC10" s="51"/>
      <c r="AJD10" s="51"/>
      <c r="AJE10" s="51"/>
      <c r="AJF10" s="51"/>
      <c r="AJG10" s="51"/>
      <c r="AJH10" s="51"/>
      <c r="AJI10" s="51"/>
      <c r="AJJ10" s="51"/>
      <c r="AJK10" s="51"/>
      <c r="AJL10" s="51"/>
      <c r="AJM10" s="51"/>
      <c r="AJN10" s="51"/>
      <c r="AJO10" s="51"/>
      <c r="AJP10" s="51"/>
      <c r="AJQ10" s="51"/>
      <c r="AJR10" s="51"/>
      <c r="AJS10" s="51"/>
      <c r="AJT10" s="51"/>
      <c r="AJU10" s="51"/>
      <c r="AJV10" s="51"/>
      <c r="AJW10" s="51"/>
      <c r="AJX10" s="51"/>
      <c r="AJY10" s="51"/>
      <c r="AJZ10" s="51"/>
      <c r="AKA10" s="51"/>
      <c r="AKB10" s="51"/>
      <c r="AKC10" s="51"/>
      <c r="AKD10" s="51"/>
      <c r="AKE10" s="51"/>
      <c r="AKF10" s="51"/>
      <c r="AKG10" s="51"/>
      <c r="AKH10" s="51"/>
      <c r="AKI10" s="51"/>
      <c r="AKJ10" s="51"/>
      <c r="AKK10" s="51"/>
      <c r="AKL10" s="51"/>
      <c r="AKM10" s="51"/>
      <c r="AKN10" s="51"/>
      <c r="AKO10" s="51"/>
      <c r="AKP10" s="51"/>
      <c r="AKQ10" s="51"/>
      <c r="AKR10" s="51"/>
      <c r="AKS10" s="51"/>
      <c r="AKT10" s="51"/>
      <c r="AKU10" s="51"/>
      <c r="AKV10" s="51"/>
      <c r="AKW10" s="51"/>
      <c r="AKX10" s="51"/>
      <c r="AKY10" s="51"/>
      <c r="AKZ10" s="51"/>
      <c r="ALA10" s="51"/>
      <c r="ALB10" s="51"/>
      <c r="ALC10" s="51"/>
      <c r="ALD10" s="51"/>
      <c r="ALE10" s="51"/>
      <c r="ALF10" s="51"/>
      <c r="ALG10" s="51"/>
      <c r="ALH10" s="51"/>
      <c r="ALI10" s="51"/>
      <c r="ALJ10" s="51"/>
      <c r="ALK10" s="51"/>
      <c r="ALL10" s="51"/>
      <c r="ALM10" s="51"/>
      <c r="ALN10" s="51"/>
      <c r="ALO10" s="51"/>
      <c r="ALP10" s="51"/>
      <c r="ALQ10" s="51"/>
      <c r="ALR10" s="51"/>
      <c r="ALS10" s="51"/>
      <c r="ALT10" s="51"/>
      <c r="ALU10" s="51"/>
      <c r="ALV10" s="51"/>
      <c r="ALW10" s="51"/>
      <c r="ALX10" s="51"/>
      <c r="ALY10" s="51"/>
      <c r="ALZ10" s="51"/>
      <c r="AMA10" s="51"/>
      <c r="AMB10" s="51"/>
      <c r="AMC10" s="51"/>
      <c r="AMD10" s="51"/>
      <c r="AME10" s="51"/>
      <c r="AMF10" s="51"/>
      <c r="AMG10" s="51"/>
      <c r="AMH10" s="51"/>
      <c r="AMI10" s="51"/>
      <c r="AMJ10" s="51"/>
      <c r="AMK10" s="51"/>
      <c r="AML10" s="51"/>
    </row>
    <row r="11" ht="15.75" customHeight="1">
      <c r="A11" s="37" t="s">
        <v>106</v>
      </c>
      <c r="B11" s="37" t="s">
        <v>110</v>
      </c>
      <c r="C11" s="37" t="s">
        <v>127</v>
      </c>
      <c r="D11" s="49">
        <v>0.0</v>
      </c>
      <c r="E11" s="49">
        <v>100.0</v>
      </c>
      <c r="F11" s="37" t="s">
        <v>108</v>
      </c>
      <c r="G11" s="37" t="s">
        <v>112</v>
      </c>
      <c r="H11" s="49">
        <v>9.0</v>
      </c>
      <c r="I11" s="49">
        <v>0.0</v>
      </c>
      <c r="J11" s="49">
        <v>15.0</v>
      </c>
      <c r="K11" s="49">
        <v>10.0</v>
      </c>
      <c r="L11" s="49">
        <v>10.0</v>
      </c>
      <c r="M11" s="37" t="s">
        <v>120</v>
      </c>
      <c r="N11" s="37" t="s">
        <v>128</v>
      </c>
      <c r="O11" s="37" t="s">
        <v>114</v>
      </c>
      <c r="P11" s="37"/>
      <c r="Q11" s="49">
        <v>3.0</v>
      </c>
      <c r="R11" s="49">
        <v>0.0</v>
      </c>
      <c r="S11" s="37" t="s">
        <v>129</v>
      </c>
      <c r="T11" s="49">
        <v>0.0</v>
      </c>
      <c r="U11" s="49">
        <v>0.0</v>
      </c>
      <c r="V11" s="37" t="s">
        <v>56</v>
      </c>
      <c r="W11" s="49">
        <v>1.0</v>
      </c>
      <c r="X11" s="49">
        <v>0.0</v>
      </c>
      <c r="Y11" s="37" t="s">
        <v>106</v>
      </c>
      <c r="Z11" s="37" t="s">
        <v>131</v>
      </c>
      <c r="AA11" s="49"/>
      <c r="AB11" s="49">
        <v>1.0</v>
      </c>
      <c r="AC11" s="37"/>
      <c r="AD11" s="37" t="s">
        <v>141</v>
      </c>
      <c r="AE11" s="49">
        <v>100.0</v>
      </c>
      <c r="AF11" s="37" t="s">
        <v>106</v>
      </c>
      <c r="AG11" s="49"/>
      <c r="AH11" s="37" t="s">
        <v>132</v>
      </c>
      <c r="AI11" s="49">
        <v>1.0</v>
      </c>
      <c r="AJ11" s="37" t="s">
        <v>133</v>
      </c>
      <c r="AK11" s="37"/>
      <c r="AL11" s="37"/>
      <c r="AM11" s="37"/>
      <c r="AN11" s="50" t="b">
        <v>0</v>
      </c>
      <c r="AO11" s="37"/>
      <c r="AP11" s="50" t="b">
        <v>1</v>
      </c>
      <c r="AQ11" s="50" t="b">
        <v>0</v>
      </c>
      <c r="AR11" s="50" t="b">
        <v>1</v>
      </c>
      <c r="AS11" s="49">
        <v>0.0</v>
      </c>
      <c r="AT11" s="49">
        <v>1010.175</v>
      </c>
      <c r="AU11" s="49">
        <v>1010.175</v>
      </c>
      <c r="AV11" s="49"/>
      <c r="AW11" s="49">
        <v>0.0</v>
      </c>
      <c r="AX11" s="49">
        <v>0.0</v>
      </c>
      <c r="AY11" s="37" t="s">
        <v>122</v>
      </c>
      <c r="AZ11" s="49">
        <v>0.0</v>
      </c>
      <c r="BA11" s="49"/>
      <c r="BB11" s="37"/>
      <c r="BC11" s="49">
        <v>0.0</v>
      </c>
      <c r="BD11" s="37" t="s">
        <v>134</v>
      </c>
      <c r="BE11" s="49">
        <v>1000.0</v>
      </c>
      <c r="BF11" s="49">
        <v>1000.0</v>
      </c>
      <c r="BG11" s="49"/>
      <c r="BH11" s="37"/>
      <c r="BI11" s="37"/>
      <c r="BJ11" s="49">
        <v>100.0</v>
      </c>
      <c r="BK11" s="49">
        <v>0.0</v>
      </c>
      <c r="BL11" s="37" t="s">
        <v>106</v>
      </c>
      <c r="BM11" s="37" t="s">
        <v>131</v>
      </c>
      <c r="BN11" s="37"/>
      <c r="BO11" s="37" t="s">
        <v>111</v>
      </c>
      <c r="BP11" s="49">
        <v>0.0</v>
      </c>
      <c r="BQ11" s="49">
        <v>0.0</v>
      </c>
      <c r="BR11" s="49">
        <v>0.175</v>
      </c>
      <c r="BS11" s="37" t="s">
        <v>135</v>
      </c>
      <c r="BT11" s="37" t="s">
        <v>56</v>
      </c>
      <c r="BU11" s="49">
        <v>1.0</v>
      </c>
      <c r="BV11" s="49">
        <v>0.0</v>
      </c>
      <c r="BW11" s="49">
        <v>10.175</v>
      </c>
      <c r="BX11" s="49">
        <v>0.0</v>
      </c>
      <c r="BY11" s="37"/>
      <c r="BZ11" s="37"/>
      <c r="CA11" s="37"/>
      <c r="CB11" s="37"/>
      <c r="CC11" s="37"/>
      <c r="CD11" s="37"/>
      <c r="CE11" s="49"/>
      <c r="CF11" s="37" t="s">
        <v>124</v>
      </c>
      <c r="CG11" s="49">
        <v>0.0</v>
      </c>
      <c r="CH11" s="37" t="s">
        <v>12</v>
      </c>
      <c r="CI11" s="37" t="s">
        <v>111</v>
      </c>
      <c r="CJ11" s="49">
        <v>0.0</v>
      </c>
      <c r="CK11" s="37" t="s">
        <v>136</v>
      </c>
      <c r="CL11" s="49">
        <v>1.0</v>
      </c>
      <c r="CM11" s="37" t="s">
        <v>56</v>
      </c>
      <c r="CN11" s="37" t="s">
        <v>113</v>
      </c>
      <c r="CO11" s="37" t="s">
        <v>115</v>
      </c>
      <c r="CP11" s="37" t="s">
        <v>137</v>
      </c>
      <c r="CQ11" s="49"/>
      <c r="CR11" s="49"/>
      <c r="CS11" s="37" t="s">
        <v>106</v>
      </c>
      <c r="CT11" s="37"/>
      <c r="CU11" s="37"/>
      <c r="CV11" s="37"/>
      <c r="CW11" s="49">
        <v>0.0</v>
      </c>
      <c r="CX11" s="37" t="s">
        <v>138</v>
      </c>
      <c r="CY11" s="37" t="s">
        <v>106</v>
      </c>
      <c r="CZ11" s="37" t="s">
        <v>106</v>
      </c>
      <c r="DA11" s="37" t="s">
        <v>106</v>
      </c>
      <c r="DB11" s="37" t="s">
        <v>106</v>
      </c>
      <c r="DC11" s="37" t="s">
        <v>106</v>
      </c>
      <c r="DD11" s="37" t="s">
        <v>106</v>
      </c>
      <c r="DE11" s="37" t="s">
        <v>106</v>
      </c>
      <c r="DF11" s="37" t="s">
        <v>106</v>
      </c>
      <c r="DG11" s="37" t="s">
        <v>106</v>
      </c>
      <c r="DH11" s="37" t="s">
        <v>106</v>
      </c>
      <c r="DI11" s="37" t="s">
        <v>106</v>
      </c>
      <c r="DJ11" s="37" t="s">
        <v>106</v>
      </c>
      <c r="DK11" s="37" t="s">
        <v>106</v>
      </c>
      <c r="DL11" s="37" t="s">
        <v>106</v>
      </c>
      <c r="DM11" s="37" t="s">
        <v>106</v>
      </c>
      <c r="DN11" s="37" t="s">
        <v>106</v>
      </c>
      <c r="DO11" s="37" t="s">
        <v>106</v>
      </c>
      <c r="DP11" s="37" t="s">
        <v>106</v>
      </c>
      <c r="DQ11" s="37" t="s">
        <v>106</v>
      </c>
      <c r="DR11" s="37" t="s">
        <v>106</v>
      </c>
      <c r="DS11" s="37" t="s">
        <v>106</v>
      </c>
      <c r="DT11" s="37" t="s">
        <v>106</v>
      </c>
      <c r="DU11" s="37" t="s">
        <v>106</v>
      </c>
      <c r="DV11" s="37" t="s">
        <v>106</v>
      </c>
      <c r="DW11" s="37" t="s">
        <v>106</v>
      </c>
      <c r="DX11" s="37" t="s">
        <v>106</v>
      </c>
      <c r="DY11" s="37" t="s">
        <v>106</v>
      </c>
      <c r="DZ11" s="37" t="s">
        <v>106</v>
      </c>
      <c r="EA11" s="37" t="s">
        <v>106</v>
      </c>
      <c r="EB11" s="37" t="s">
        <v>106</v>
      </c>
      <c r="EC11" s="37" t="s">
        <v>106</v>
      </c>
      <c r="ED11" s="37" t="s">
        <v>106</v>
      </c>
      <c r="EE11" s="37" t="s">
        <v>106</v>
      </c>
      <c r="EF11" s="37" t="s">
        <v>106</v>
      </c>
      <c r="EG11" s="37" t="s">
        <v>106</v>
      </c>
      <c r="EH11" s="37" t="s">
        <v>106</v>
      </c>
      <c r="EI11" s="37" t="s">
        <v>106</v>
      </c>
      <c r="EJ11" s="37" t="s">
        <v>106</v>
      </c>
      <c r="EK11" s="37" t="s">
        <v>106</v>
      </c>
      <c r="EL11" s="37" t="s">
        <v>106</v>
      </c>
      <c r="EM11" s="37" t="s">
        <v>106</v>
      </c>
      <c r="EN11" s="37" t="s">
        <v>106</v>
      </c>
      <c r="EO11" s="37" t="s">
        <v>106</v>
      </c>
      <c r="EP11" s="37" t="s">
        <v>106</v>
      </c>
      <c r="EQ11" s="37" t="s">
        <v>106</v>
      </c>
      <c r="ER11" s="37" t="s">
        <v>106</v>
      </c>
      <c r="ES11" s="37" t="s">
        <v>106</v>
      </c>
      <c r="ET11" s="37" t="s">
        <v>106</v>
      </c>
      <c r="EU11" s="37" t="s">
        <v>106</v>
      </c>
      <c r="EV11" s="37" t="s">
        <v>106</v>
      </c>
      <c r="EW11" s="37" t="s">
        <v>106</v>
      </c>
      <c r="EX11" s="37" t="s">
        <v>106</v>
      </c>
      <c r="EY11" s="37" t="s">
        <v>106</v>
      </c>
      <c r="EZ11" s="37" t="s">
        <v>106</v>
      </c>
      <c r="FA11" s="37" t="s">
        <v>106</v>
      </c>
      <c r="FB11" s="37" t="s">
        <v>106</v>
      </c>
      <c r="FC11" s="37" t="s">
        <v>106</v>
      </c>
      <c r="FD11" s="37" t="s">
        <v>106</v>
      </c>
      <c r="FE11" s="37" t="s">
        <v>106</v>
      </c>
      <c r="FF11" s="37" t="s">
        <v>106</v>
      </c>
      <c r="FG11" s="37" t="s">
        <v>106</v>
      </c>
      <c r="FH11" s="37" t="s">
        <v>106</v>
      </c>
      <c r="FI11" s="37" t="s">
        <v>106</v>
      </c>
      <c r="FJ11" s="37" t="s">
        <v>106</v>
      </c>
      <c r="FK11" s="37" t="s">
        <v>106</v>
      </c>
      <c r="FL11" s="37" t="s">
        <v>106</v>
      </c>
      <c r="FM11" s="37" t="s">
        <v>106</v>
      </c>
      <c r="FN11" s="37" t="s">
        <v>106</v>
      </c>
      <c r="FO11" s="37" t="s">
        <v>106</v>
      </c>
      <c r="FP11" s="37" t="s">
        <v>106</v>
      </c>
      <c r="FQ11" s="37" t="s">
        <v>106</v>
      </c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1"/>
      <c r="GY11" s="51"/>
      <c r="GZ11" s="51"/>
      <c r="HA11" s="51"/>
      <c r="HB11" s="51"/>
      <c r="HC11" s="51"/>
      <c r="HD11" s="51"/>
      <c r="HE11" s="51"/>
      <c r="HF11" s="51"/>
      <c r="HG11" s="51"/>
      <c r="HH11" s="51"/>
      <c r="HI11" s="51"/>
      <c r="HJ11" s="51"/>
      <c r="HK11" s="51"/>
      <c r="HL11" s="51"/>
      <c r="HM11" s="51"/>
      <c r="HN11" s="51"/>
      <c r="HO11" s="51"/>
      <c r="HP11" s="51"/>
      <c r="HQ11" s="51"/>
      <c r="HR11" s="51"/>
      <c r="HS11" s="51"/>
      <c r="HT11" s="51"/>
      <c r="HU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  <c r="IF11" s="51"/>
      <c r="IG11" s="51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  <c r="IW11" s="51"/>
      <c r="IX11" s="51"/>
      <c r="IY11" s="51"/>
      <c r="IZ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/>
      <c r="JK11" s="51"/>
      <c r="JL11" s="51"/>
      <c r="JM11" s="51"/>
      <c r="JN11" s="51"/>
      <c r="JO11" s="51"/>
      <c r="JP11" s="51"/>
      <c r="JQ11" s="51"/>
      <c r="JR11" s="51"/>
      <c r="JS11" s="51"/>
      <c r="JT11" s="51"/>
      <c r="JU11" s="51"/>
      <c r="JV11" s="51"/>
      <c r="JW11" s="51"/>
      <c r="JX11" s="51"/>
      <c r="JY11" s="51"/>
      <c r="JZ11" s="51"/>
      <c r="KA11" s="51"/>
      <c r="KB11" s="51"/>
      <c r="KC11" s="51"/>
      <c r="KD11" s="51"/>
      <c r="KE11" s="51"/>
      <c r="KF11" s="51"/>
      <c r="KG11" s="51"/>
      <c r="KH11" s="51"/>
      <c r="KI11" s="51"/>
      <c r="KJ11" s="51"/>
      <c r="KK11" s="51"/>
      <c r="KL11" s="51"/>
      <c r="KM11" s="51"/>
      <c r="KN11" s="51"/>
      <c r="KO11" s="51"/>
      <c r="KP11" s="51"/>
      <c r="KQ11" s="51"/>
      <c r="KR11" s="51"/>
      <c r="KS11" s="51"/>
      <c r="KT11" s="51"/>
      <c r="KU11" s="51"/>
      <c r="KV11" s="51"/>
      <c r="KW11" s="51"/>
      <c r="KX11" s="51"/>
      <c r="KY11" s="51"/>
      <c r="KZ11" s="51"/>
      <c r="LA11" s="51"/>
      <c r="LB11" s="51"/>
      <c r="LC11" s="51"/>
      <c r="LD11" s="51"/>
      <c r="LE11" s="51"/>
      <c r="LF11" s="51"/>
      <c r="LG11" s="51"/>
      <c r="LH11" s="51"/>
      <c r="LI11" s="51"/>
      <c r="LJ11" s="51"/>
      <c r="LK11" s="51"/>
      <c r="LL11" s="51"/>
      <c r="LM11" s="51"/>
      <c r="LN11" s="51"/>
      <c r="LO11" s="51"/>
      <c r="LP11" s="51"/>
      <c r="LQ11" s="51"/>
      <c r="LR11" s="51"/>
      <c r="LS11" s="51"/>
      <c r="LT11" s="51"/>
      <c r="LU11" s="51"/>
      <c r="LV11" s="51"/>
      <c r="LW11" s="51"/>
      <c r="LX11" s="51"/>
      <c r="LY11" s="51"/>
      <c r="LZ11" s="51"/>
      <c r="MA11" s="51"/>
      <c r="MB11" s="51"/>
      <c r="MC11" s="51"/>
      <c r="MD11" s="51"/>
      <c r="ME11" s="51"/>
      <c r="MF11" s="51"/>
      <c r="MG11" s="51"/>
      <c r="MH11" s="51"/>
      <c r="MI11" s="51"/>
      <c r="MJ11" s="51"/>
      <c r="MK11" s="51"/>
      <c r="ML11" s="51"/>
      <c r="MM11" s="51"/>
      <c r="MN11" s="51"/>
      <c r="MO11" s="51"/>
      <c r="MP11" s="51"/>
      <c r="MQ11" s="51"/>
      <c r="MR11" s="51"/>
      <c r="MS11" s="51"/>
      <c r="MT11" s="51"/>
      <c r="MU11" s="51"/>
      <c r="MV11" s="51"/>
      <c r="MW11" s="51"/>
      <c r="MX11" s="51"/>
      <c r="MY11" s="51"/>
      <c r="MZ11" s="51"/>
      <c r="NA11" s="51"/>
      <c r="NB11" s="51"/>
      <c r="NC11" s="51"/>
      <c r="ND11" s="51"/>
      <c r="NE11" s="51"/>
      <c r="NF11" s="51"/>
      <c r="NG11" s="51"/>
      <c r="NH11" s="51"/>
      <c r="NI11" s="51"/>
      <c r="NJ11" s="51"/>
      <c r="NK11" s="51"/>
      <c r="NL11" s="51"/>
      <c r="NM11" s="51"/>
      <c r="NN11" s="51"/>
      <c r="NO11" s="51"/>
      <c r="NP11" s="51"/>
      <c r="NQ11" s="51"/>
      <c r="NR11" s="51"/>
      <c r="NS11" s="51"/>
      <c r="NT11" s="51"/>
      <c r="NU11" s="51"/>
      <c r="NV11" s="51"/>
      <c r="NW11" s="51"/>
      <c r="NX11" s="51"/>
      <c r="NY11" s="51"/>
      <c r="NZ11" s="51"/>
      <c r="OA11" s="51"/>
      <c r="OB11" s="51"/>
      <c r="OC11" s="51"/>
      <c r="OD11" s="51"/>
      <c r="OE11" s="51"/>
      <c r="OF11" s="51"/>
      <c r="OG11" s="51"/>
      <c r="OH11" s="51"/>
      <c r="OI11" s="51"/>
      <c r="OJ11" s="51"/>
      <c r="OK11" s="51"/>
      <c r="OL11" s="51"/>
      <c r="OM11" s="51"/>
      <c r="ON11" s="51"/>
      <c r="OO11" s="51"/>
      <c r="OP11" s="51"/>
      <c r="OQ11" s="51"/>
      <c r="OR11" s="51"/>
      <c r="OS11" s="51"/>
      <c r="OT11" s="51"/>
      <c r="OU11" s="51"/>
      <c r="OV11" s="51"/>
      <c r="OW11" s="51"/>
      <c r="OX11" s="51"/>
      <c r="OY11" s="51"/>
      <c r="OZ11" s="51"/>
      <c r="PA11" s="51"/>
      <c r="PB11" s="51"/>
      <c r="PC11" s="51"/>
      <c r="PD11" s="51"/>
      <c r="PE11" s="51"/>
      <c r="PF11" s="51"/>
      <c r="PG11" s="51"/>
      <c r="PH11" s="51"/>
      <c r="PI11" s="51"/>
      <c r="PJ11" s="51"/>
      <c r="PK11" s="51"/>
      <c r="PL11" s="51"/>
      <c r="PM11" s="51"/>
      <c r="PN11" s="51"/>
      <c r="PO11" s="51"/>
      <c r="PP11" s="51"/>
      <c r="PQ11" s="51"/>
      <c r="PR11" s="51"/>
      <c r="PS11" s="51"/>
      <c r="PT11" s="51"/>
      <c r="PU11" s="51"/>
      <c r="PV11" s="51"/>
      <c r="PW11" s="51"/>
      <c r="PX11" s="51"/>
      <c r="PY11" s="51"/>
      <c r="PZ11" s="51"/>
      <c r="QA11" s="51"/>
      <c r="QB11" s="51"/>
      <c r="QC11" s="51"/>
      <c r="QD11" s="51"/>
      <c r="QE11" s="51"/>
      <c r="QF11" s="51"/>
      <c r="QG11" s="51"/>
      <c r="QH11" s="51"/>
      <c r="QI11" s="51"/>
      <c r="QJ11" s="51"/>
      <c r="QK11" s="51"/>
      <c r="QL11" s="51"/>
      <c r="QM11" s="51"/>
      <c r="QN11" s="51"/>
      <c r="QO11" s="51"/>
      <c r="QP11" s="51"/>
      <c r="QQ11" s="51"/>
      <c r="QR11" s="51"/>
      <c r="QS11" s="51"/>
      <c r="QT11" s="51"/>
      <c r="QU11" s="51"/>
      <c r="QV11" s="51"/>
      <c r="QW11" s="51"/>
      <c r="QX11" s="51"/>
      <c r="QY11" s="51"/>
      <c r="QZ11" s="51"/>
      <c r="RA11" s="51"/>
      <c r="RB11" s="51"/>
      <c r="RC11" s="51"/>
      <c r="RD11" s="51"/>
      <c r="RE11" s="51"/>
      <c r="RF11" s="51"/>
      <c r="RG11" s="51"/>
      <c r="RH11" s="51"/>
      <c r="RI11" s="51"/>
      <c r="RJ11" s="51"/>
      <c r="RK11" s="51"/>
      <c r="RL11" s="51"/>
      <c r="RM11" s="51"/>
      <c r="RN11" s="51"/>
      <c r="RO11" s="51"/>
      <c r="RP11" s="51"/>
      <c r="RQ11" s="51"/>
      <c r="RR11" s="51"/>
      <c r="RS11" s="51"/>
      <c r="RT11" s="51"/>
      <c r="RU11" s="51"/>
      <c r="RV11" s="51"/>
      <c r="RW11" s="51"/>
      <c r="RX11" s="51"/>
      <c r="RY11" s="51"/>
      <c r="RZ11" s="51"/>
      <c r="SA11" s="51"/>
      <c r="SB11" s="51"/>
      <c r="SC11" s="51"/>
      <c r="SD11" s="51"/>
      <c r="SE11" s="51"/>
      <c r="SF11" s="51"/>
      <c r="SG11" s="51"/>
      <c r="SH11" s="51"/>
      <c r="SI11" s="51"/>
      <c r="SJ11" s="51"/>
      <c r="SK11" s="51"/>
      <c r="SL11" s="51"/>
      <c r="SM11" s="51"/>
      <c r="SN11" s="51"/>
      <c r="SO11" s="51"/>
      <c r="SP11" s="51"/>
      <c r="SQ11" s="51"/>
      <c r="SR11" s="51"/>
      <c r="SS11" s="51"/>
      <c r="ST11" s="51"/>
      <c r="SU11" s="51"/>
      <c r="SV11" s="51"/>
      <c r="SW11" s="51"/>
      <c r="SX11" s="51"/>
      <c r="SY11" s="51"/>
      <c r="SZ11" s="51"/>
      <c r="TA11" s="51"/>
      <c r="TB11" s="51"/>
      <c r="TC11" s="51"/>
      <c r="TD11" s="51"/>
      <c r="TE11" s="51"/>
      <c r="TF11" s="51"/>
      <c r="TG11" s="51"/>
      <c r="TH11" s="51"/>
      <c r="TI11" s="51"/>
      <c r="TJ11" s="51"/>
      <c r="TK11" s="51"/>
      <c r="TL11" s="51"/>
      <c r="TM11" s="51"/>
      <c r="TN11" s="51"/>
      <c r="TO11" s="51"/>
      <c r="TP11" s="51"/>
      <c r="TQ11" s="51"/>
      <c r="TR11" s="51"/>
      <c r="TS11" s="51"/>
      <c r="TT11" s="51"/>
      <c r="TU11" s="51"/>
      <c r="TV11" s="51"/>
      <c r="TW11" s="51"/>
      <c r="TX11" s="51"/>
      <c r="TY11" s="51"/>
      <c r="TZ11" s="51"/>
      <c r="UA11" s="51"/>
      <c r="UB11" s="51"/>
      <c r="UC11" s="51"/>
      <c r="UD11" s="51"/>
      <c r="UE11" s="51"/>
      <c r="UF11" s="51"/>
      <c r="UG11" s="51"/>
      <c r="UH11" s="51"/>
      <c r="UI11" s="51"/>
      <c r="UJ11" s="51"/>
      <c r="UK11" s="51"/>
      <c r="UL11" s="51"/>
      <c r="UM11" s="51"/>
      <c r="UN11" s="51"/>
      <c r="UO11" s="51"/>
      <c r="UP11" s="51"/>
      <c r="UQ11" s="51"/>
      <c r="UR11" s="51"/>
      <c r="US11" s="51"/>
      <c r="UT11" s="51"/>
      <c r="UU11" s="51"/>
      <c r="UV11" s="51"/>
      <c r="UW11" s="51"/>
      <c r="UX11" s="51"/>
      <c r="UY11" s="51"/>
      <c r="UZ11" s="51"/>
      <c r="VA11" s="51"/>
      <c r="VB11" s="51"/>
      <c r="VC11" s="51"/>
      <c r="VD11" s="51"/>
      <c r="VE11" s="51"/>
      <c r="VF11" s="51"/>
      <c r="VG11" s="51"/>
      <c r="VH11" s="51"/>
      <c r="VI11" s="51"/>
      <c r="VJ11" s="51"/>
      <c r="VK11" s="51"/>
      <c r="VL11" s="51"/>
      <c r="VM11" s="51"/>
      <c r="VN11" s="51"/>
      <c r="VO11" s="51"/>
      <c r="VP11" s="51"/>
      <c r="VQ11" s="51"/>
      <c r="VR11" s="51"/>
      <c r="VS11" s="51"/>
      <c r="VT11" s="51"/>
      <c r="VU11" s="51"/>
      <c r="VV11" s="51"/>
      <c r="VW11" s="51"/>
      <c r="VX11" s="51"/>
      <c r="VY11" s="51"/>
      <c r="VZ11" s="51"/>
      <c r="WA11" s="51"/>
      <c r="WB11" s="51"/>
      <c r="WC11" s="51"/>
      <c r="WD11" s="51"/>
      <c r="WE11" s="51"/>
      <c r="WF11" s="51"/>
      <c r="WG11" s="51"/>
      <c r="WH11" s="51"/>
      <c r="WI11" s="51"/>
      <c r="WJ11" s="51"/>
      <c r="WK11" s="51"/>
      <c r="WL11" s="51"/>
      <c r="WM11" s="51"/>
      <c r="WN11" s="51"/>
      <c r="WO11" s="51"/>
      <c r="WP11" s="51"/>
      <c r="WQ11" s="51"/>
      <c r="WR11" s="51"/>
      <c r="WS11" s="51"/>
      <c r="WT11" s="51"/>
      <c r="WU11" s="51"/>
      <c r="WV11" s="51"/>
      <c r="WW11" s="51"/>
      <c r="WX11" s="51"/>
      <c r="WY11" s="51"/>
      <c r="WZ11" s="51"/>
      <c r="XA11" s="51"/>
      <c r="XB11" s="51"/>
      <c r="XC11" s="51"/>
      <c r="XD11" s="51"/>
      <c r="XE11" s="51"/>
      <c r="XF11" s="51"/>
      <c r="XG11" s="51"/>
      <c r="XH11" s="51"/>
      <c r="XI11" s="51"/>
      <c r="XJ11" s="51"/>
      <c r="XK11" s="51"/>
      <c r="XL11" s="51"/>
      <c r="XM11" s="51"/>
      <c r="XN11" s="51"/>
      <c r="XO11" s="51"/>
      <c r="XP11" s="51"/>
      <c r="XQ11" s="51"/>
      <c r="XR11" s="51"/>
      <c r="XS11" s="51"/>
      <c r="XT11" s="51"/>
      <c r="XU11" s="51"/>
      <c r="XV11" s="51"/>
      <c r="XW11" s="51"/>
      <c r="XX11" s="51"/>
      <c r="XY11" s="51"/>
      <c r="XZ11" s="51"/>
      <c r="YA11" s="51"/>
      <c r="YB11" s="51"/>
      <c r="YC11" s="51"/>
      <c r="YD11" s="51"/>
      <c r="YE11" s="51"/>
      <c r="YF11" s="51"/>
      <c r="YG11" s="51"/>
      <c r="YH11" s="51"/>
      <c r="YI11" s="51"/>
      <c r="YJ11" s="51"/>
      <c r="YK11" s="51"/>
      <c r="YL11" s="51"/>
      <c r="YM11" s="51"/>
      <c r="YN11" s="51"/>
      <c r="YO11" s="51"/>
      <c r="YP11" s="51"/>
      <c r="YQ11" s="51"/>
      <c r="YR11" s="51"/>
      <c r="YS11" s="51"/>
      <c r="YT11" s="51"/>
      <c r="YU11" s="51"/>
      <c r="YV11" s="51"/>
      <c r="YW11" s="51"/>
      <c r="YX11" s="51"/>
      <c r="YY11" s="51"/>
      <c r="YZ11" s="51"/>
      <c r="ZA11" s="51"/>
      <c r="ZB11" s="51"/>
      <c r="ZC11" s="51"/>
      <c r="ZD11" s="51"/>
      <c r="ZE11" s="51"/>
      <c r="ZF11" s="51"/>
      <c r="ZG11" s="51"/>
      <c r="ZH11" s="51"/>
      <c r="ZI11" s="51"/>
      <c r="ZJ11" s="51"/>
      <c r="ZK11" s="51"/>
      <c r="ZL11" s="51"/>
      <c r="ZM11" s="51"/>
      <c r="ZN11" s="51"/>
      <c r="ZO11" s="51"/>
      <c r="ZP11" s="51"/>
      <c r="ZQ11" s="51"/>
      <c r="ZR11" s="51"/>
      <c r="ZS11" s="51"/>
      <c r="ZT11" s="51"/>
      <c r="ZU11" s="51"/>
      <c r="ZV11" s="51"/>
      <c r="ZW11" s="51"/>
      <c r="ZX11" s="51"/>
      <c r="ZY11" s="51"/>
      <c r="ZZ11" s="51"/>
      <c r="AAA11" s="51"/>
      <c r="AAB11" s="51"/>
      <c r="AAC11" s="51"/>
      <c r="AAD11" s="51"/>
      <c r="AAE11" s="51"/>
      <c r="AAF11" s="51"/>
      <c r="AAG11" s="51"/>
      <c r="AAH11" s="51"/>
      <c r="AAI11" s="51"/>
      <c r="AAJ11" s="51"/>
      <c r="AAK11" s="51"/>
      <c r="AAL11" s="51"/>
      <c r="AAM11" s="51"/>
      <c r="AAN11" s="51"/>
      <c r="AAO11" s="51"/>
      <c r="AAP11" s="51"/>
      <c r="AAQ11" s="51"/>
      <c r="AAR11" s="51"/>
      <c r="AAS11" s="51"/>
      <c r="AAT11" s="51"/>
      <c r="AAU11" s="51"/>
      <c r="AAV11" s="51"/>
      <c r="AAW11" s="51"/>
      <c r="AAX11" s="51"/>
      <c r="AAY11" s="51"/>
      <c r="AAZ11" s="51"/>
      <c r="ABA11" s="51"/>
      <c r="ABB11" s="51"/>
      <c r="ABC11" s="51"/>
      <c r="ABD11" s="51"/>
      <c r="ABE11" s="51"/>
      <c r="ABF11" s="51"/>
      <c r="ABG11" s="51"/>
      <c r="ABH11" s="51"/>
      <c r="ABI11" s="51"/>
      <c r="ABJ11" s="51"/>
      <c r="ABK11" s="51"/>
      <c r="ABL11" s="51"/>
      <c r="ABM11" s="51"/>
      <c r="ABN11" s="51"/>
      <c r="ABO11" s="51"/>
      <c r="ABP11" s="51"/>
      <c r="ABQ11" s="51"/>
      <c r="ABR11" s="51"/>
      <c r="ABS11" s="51"/>
      <c r="ABT11" s="51"/>
      <c r="ABU11" s="51"/>
      <c r="ABV11" s="51"/>
      <c r="ABW11" s="51"/>
      <c r="ABX11" s="51"/>
      <c r="ABY11" s="51"/>
      <c r="ABZ11" s="51"/>
      <c r="ACA11" s="51"/>
      <c r="ACB11" s="51"/>
      <c r="ACC11" s="51"/>
      <c r="ACD11" s="51"/>
      <c r="ACE11" s="51"/>
      <c r="ACF11" s="51"/>
      <c r="ACG11" s="51"/>
      <c r="ACH11" s="51"/>
      <c r="ACI11" s="51"/>
      <c r="ACJ11" s="51"/>
      <c r="ACK11" s="51"/>
      <c r="ACL11" s="51"/>
      <c r="ACM11" s="51"/>
      <c r="ACN11" s="51"/>
      <c r="ACO11" s="51"/>
      <c r="ACP11" s="51"/>
      <c r="ACQ11" s="51"/>
      <c r="ACR11" s="51"/>
      <c r="ACS11" s="51"/>
      <c r="ACT11" s="51"/>
      <c r="ACU11" s="51"/>
      <c r="ACV11" s="51"/>
      <c r="ACW11" s="51"/>
      <c r="ACX11" s="51"/>
      <c r="ACY11" s="51"/>
      <c r="ACZ11" s="51"/>
      <c r="ADA11" s="51"/>
      <c r="ADB11" s="51"/>
      <c r="ADC11" s="51"/>
      <c r="ADD11" s="51"/>
      <c r="ADE11" s="51"/>
      <c r="ADF11" s="51"/>
      <c r="ADG11" s="51"/>
      <c r="ADH11" s="51"/>
      <c r="ADI11" s="51"/>
      <c r="ADJ11" s="51"/>
      <c r="ADK11" s="51"/>
      <c r="ADL11" s="51"/>
      <c r="ADM11" s="51"/>
      <c r="ADN11" s="51"/>
      <c r="ADO11" s="51"/>
      <c r="ADP11" s="51"/>
      <c r="ADQ11" s="51"/>
      <c r="ADR11" s="51"/>
      <c r="ADS11" s="51"/>
      <c r="ADT11" s="51"/>
      <c r="ADU11" s="51"/>
      <c r="ADV11" s="51"/>
      <c r="ADW11" s="51"/>
      <c r="ADX11" s="51"/>
      <c r="ADY11" s="51"/>
      <c r="ADZ11" s="51"/>
      <c r="AEA11" s="51"/>
      <c r="AEB11" s="51"/>
      <c r="AEC11" s="51"/>
      <c r="AED11" s="51"/>
      <c r="AEE11" s="51"/>
      <c r="AEF11" s="51"/>
      <c r="AEG11" s="51"/>
      <c r="AEH11" s="51"/>
      <c r="AEI11" s="51"/>
      <c r="AEJ11" s="51"/>
      <c r="AEK11" s="51"/>
      <c r="AEL11" s="51"/>
      <c r="AEM11" s="51"/>
      <c r="AEN11" s="51"/>
      <c r="AEO11" s="51"/>
      <c r="AEP11" s="51"/>
      <c r="AEQ11" s="51"/>
      <c r="AER11" s="51"/>
      <c r="AES11" s="51"/>
      <c r="AET11" s="51"/>
      <c r="AEU11" s="51"/>
      <c r="AEV11" s="51"/>
      <c r="AEW11" s="51"/>
      <c r="AEX11" s="51"/>
      <c r="AEY11" s="51"/>
      <c r="AEZ11" s="51"/>
      <c r="AFA11" s="51"/>
      <c r="AFB11" s="51"/>
      <c r="AFC11" s="51"/>
      <c r="AFD11" s="51"/>
      <c r="AFE11" s="51"/>
      <c r="AFF11" s="51"/>
      <c r="AFG11" s="51"/>
      <c r="AFH11" s="51"/>
      <c r="AFI11" s="51"/>
      <c r="AFJ11" s="51"/>
      <c r="AFK11" s="51"/>
      <c r="AFL11" s="51"/>
      <c r="AFM11" s="51"/>
      <c r="AFN11" s="51"/>
      <c r="AFO11" s="51"/>
      <c r="AFP11" s="51"/>
      <c r="AFQ11" s="51"/>
      <c r="AFR11" s="51"/>
      <c r="AFS11" s="51"/>
      <c r="AFT11" s="51"/>
      <c r="AFU11" s="51"/>
      <c r="AFV11" s="51"/>
      <c r="AFW11" s="51"/>
      <c r="AFX11" s="51"/>
      <c r="AFY11" s="51"/>
      <c r="AFZ11" s="51"/>
      <c r="AGA11" s="51"/>
      <c r="AGB11" s="51"/>
      <c r="AGC11" s="51"/>
      <c r="AGD11" s="51"/>
      <c r="AGE11" s="51"/>
      <c r="AGF11" s="51"/>
      <c r="AGG11" s="51"/>
      <c r="AGH11" s="51"/>
      <c r="AGI11" s="51"/>
      <c r="AGJ11" s="51"/>
      <c r="AGK11" s="51"/>
      <c r="AGL11" s="51"/>
      <c r="AGM11" s="51"/>
      <c r="AGN11" s="51"/>
      <c r="AGO11" s="51"/>
      <c r="AGP11" s="51"/>
      <c r="AGQ11" s="51"/>
      <c r="AGR11" s="51"/>
      <c r="AGS11" s="51"/>
      <c r="AGT11" s="51"/>
      <c r="AGU11" s="51"/>
      <c r="AGV11" s="51"/>
      <c r="AGW11" s="51"/>
      <c r="AGX11" s="51"/>
      <c r="AGY11" s="51"/>
      <c r="AGZ11" s="51"/>
      <c r="AHA11" s="51"/>
      <c r="AHB11" s="51"/>
      <c r="AHC11" s="51"/>
      <c r="AHD11" s="51"/>
      <c r="AHE11" s="51"/>
      <c r="AHF11" s="51"/>
      <c r="AHG11" s="51"/>
      <c r="AHH11" s="51"/>
      <c r="AHI11" s="51"/>
      <c r="AHJ11" s="51"/>
      <c r="AHK11" s="51"/>
      <c r="AHL11" s="51"/>
      <c r="AHM11" s="51"/>
      <c r="AHN11" s="51"/>
      <c r="AHO11" s="51"/>
      <c r="AHP11" s="51"/>
      <c r="AHQ11" s="51"/>
      <c r="AHR11" s="51"/>
      <c r="AHS11" s="51"/>
      <c r="AHT11" s="51"/>
      <c r="AHU11" s="51"/>
      <c r="AHV11" s="51"/>
      <c r="AHW11" s="51"/>
      <c r="AHX11" s="51"/>
      <c r="AHY11" s="51"/>
      <c r="AHZ11" s="51"/>
      <c r="AIA11" s="51"/>
      <c r="AIB11" s="51"/>
      <c r="AIC11" s="51"/>
      <c r="AID11" s="51"/>
      <c r="AIE11" s="51"/>
      <c r="AIF11" s="51"/>
      <c r="AIG11" s="51"/>
      <c r="AIH11" s="51"/>
      <c r="AII11" s="51"/>
      <c r="AIJ11" s="51"/>
      <c r="AIK11" s="51"/>
      <c r="AIL11" s="51"/>
      <c r="AIM11" s="51"/>
      <c r="AIN11" s="51"/>
      <c r="AIO11" s="51"/>
      <c r="AIP11" s="51"/>
      <c r="AIQ11" s="51"/>
      <c r="AIR11" s="51"/>
      <c r="AIS11" s="51"/>
      <c r="AIT11" s="51"/>
      <c r="AIU11" s="51"/>
      <c r="AIV11" s="51"/>
      <c r="AIW11" s="51"/>
      <c r="AIX11" s="51"/>
      <c r="AIY11" s="51"/>
      <c r="AIZ11" s="51"/>
      <c r="AJA11" s="51"/>
      <c r="AJB11" s="51"/>
      <c r="AJC11" s="51"/>
      <c r="AJD11" s="51"/>
      <c r="AJE11" s="51"/>
      <c r="AJF11" s="51"/>
      <c r="AJG11" s="51"/>
      <c r="AJH11" s="51"/>
      <c r="AJI11" s="51"/>
      <c r="AJJ11" s="51"/>
      <c r="AJK11" s="51"/>
      <c r="AJL11" s="51"/>
      <c r="AJM11" s="51"/>
      <c r="AJN11" s="51"/>
      <c r="AJO11" s="51"/>
      <c r="AJP11" s="51"/>
      <c r="AJQ11" s="51"/>
      <c r="AJR11" s="51"/>
      <c r="AJS11" s="51"/>
      <c r="AJT11" s="51"/>
      <c r="AJU11" s="51"/>
      <c r="AJV11" s="51"/>
      <c r="AJW11" s="51"/>
      <c r="AJX11" s="51"/>
      <c r="AJY11" s="51"/>
      <c r="AJZ11" s="51"/>
      <c r="AKA11" s="51"/>
      <c r="AKB11" s="51"/>
      <c r="AKC11" s="51"/>
      <c r="AKD11" s="51"/>
      <c r="AKE11" s="51"/>
      <c r="AKF11" s="51"/>
      <c r="AKG11" s="51"/>
      <c r="AKH11" s="51"/>
      <c r="AKI11" s="51"/>
      <c r="AKJ11" s="51"/>
      <c r="AKK11" s="51"/>
      <c r="AKL11" s="51"/>
      <c r="AKM11" s="51"/>
      <c r="AKN11" s="51"/>
      <c r="AKO11" s="51"/>
      <c r="AKP11" s="51"/>
      <c r="AKQ11" s="51"/>
      <c r="AKR11" s="51"/>
      <c r="AKS11" s="51"/>
      <c r="AKT11" s="51"/>
      <c r="AKU11" s="51"/>
      <c r="AKV11" s="51"/>
      <c r="AKW11" s="51"/>
      <c r="AKX11" s="51"/>
      <c r="AKY11" s="51"/>
      <c r="AKZ11" s="51"/>
      <c r="ALA11" s="51"/>
      <c r="ALB11" s="51"/>
      <c r="ALC11" s="51"/>
      <c r="ALD11" s="51"/>
      <c r="ALE11" s="51"/>
      <c r="ALF11" s="51"/>
      <c r="ALG11" s="51"/>
      <c r="ALH11" s="51"/>
      <c r="ALI11" s="51"/>
      <c r="ALJ11" s="51"/>
      <c r="ALK11" s="51"/>
      <c r="ALL11" s="51"/>
      <c r="ALM11" s="51"/>
      <c r="ALN11" s="51"/>
      <c r="ALO11" s="51"/>
      <c r="ALP11" s="51"/>
      <c r="ALQ11" s="51"/>
      <c r="ALR11" s="51"/>
      <c r="ALS11" s="51"/>
      <c r="ALT11" s="51"/>
      <c r="ALU11" s="51"/>
      <c r="ALV11" s="51"/>
      <c r="ALW11" s="51"/>
      <c r="ALX11" s="51"/>
      <c r="ALY11" s="51"/>
      <c r="ALZ11" s="51"/>
      <c r="AMA11" s="51"/>
      <c r="AMB11" s="51"/>
      <c r="AMC11" s="51"/>
      <c r="AMD11" s="51"/>
      <c r="AME11" s="51"/>
      <c r="AMF11" s="51"/>
      <c r="AMG11" s="51"/>
      <c r="AMH11" s="51"/>
      <c r="AMI11" s="51"/>
      <c r="AMJ11" s="51"/>
      <c r="AMK11" s="51"/>
      <c r="AML11" s="5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142</v>
      </c>
      <c r="D3" s="5" t="s">
        <v>9</v>
      </c>
      <c r="E3" s="23" t="s">
        <v>143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IFERROR(__xludf.DUMMYFUNCTION("""COMPUTED_VALUE"""),"OpenWindow")</f>
        <v>OpenWindow</v>
      </c>
      <c r="C5" s="33" t="str">
        <f>IFERROR(__xludf.DUMMYFUNCTION("""COMPUTED_VALUE"""),"TabName")</f>
        <v>TabName</v>
      </c>
      <c r="D5" s="33" t="str">
        <f>IFERROR(__xludf.DUMMYFUNCTION("""COMPUTED_VALUE"""),"Description")</f>
        <v>Description</v>
      </c>
      <c r="E5" s="33" t="str">
        <f>IFERROR(__xludf.DUMMYFUNCTION("""COMPUTED_VALUE"""),"Save?")</f>
        <v>Save?</v>
      </c>
      <c r="F5" s="34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13" t="s">
        <v>144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142</v>
      </c>
      <c r="D3" s="5" t="s">
        <v>9</v>
      </c>
      <c r="E3" s="23" t="s">
        <v>145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IFERROR(__xludf.DUMMYFUNCTION("""COMPUTED_VALUE"""),"Symbol")</f>
        <v>Symbol</v>
      </c>
      <c r="C5" s="33" t="str">
        <f>IFERROR(__xludf.DUMMYFUNCTION("""COMPUTED_VALUE"""),"Security Name")</f>
        <v>Security Name</v>
      </c>
      <c r="D5" s="33" t="str">
        <f>IFERROR(__xludf.DUMMYFUNCTION("""COMPUTED_VALUE"""),"Fund")</f>
        <v>Fund</v>
      </c>
      <c r="E5" s="33" t="str">
        <f>IFERROR(__xludf.DUMMYFUNCTION("""COMPUTED_VALUE"""),"Account")</f>
        <v>Account</v>
      </c>
      <c r="F5" s="34" t="str">
        <f>IFERROR(__xludf.DUMMYFUNCTION("""COMPUTED_VALUE"""),"Asset Class")</f>
        <v>Asset Class</v>
      </c>
      <c r="G5" s="33" t="str">
        <f>IFERROR(__xludf.DUMMYFUNCTION("""COMPUTED_VALUE"""),"Position")</f>
        <v>Position</v>
      </c>
      <c r="H5" s="33" t="str">
        <f>IFERROR(__xludf.DUMMYFUNCTION("""COMPUTED_VALUE"""),"Position Side")</f>
        <v>Position Side</v>
      </c>
      <c r="I5" s="33" t="str">
        <f>IFERROR(__xludf.DUMMYFUNCTION("""COMPUTED_VALUE"""),"Px Selected Feed (Local)")</f>
        <v>Px Selected Feed (Local)</v>
      </c>
      <c r="J5" s="33" t="str">
        <f>IFERROR(__xludf.DUMMYFUNCTION("""COMPUTED_VALUE"""),"Px Selected Feed (Base)")</f>
        <v>Px Selected Feed (Base)</v>
      </c>
      <c r="K5" s="33" t="str">
        <f>IFERROR(__xludf.DUMMYFUNCTION("""COMPUTED_VALUE"""),"Market Value (Base)")</f>
        <v>Market Value (Base)</v>
      </c>
      <c r="L5" s="33" t="str">
        <f>IFERROR(__xludf.DUMMYFUNCTION("""COMPUTED_VALUE"""),"% Net Market Value (Base)")</f>
        <v>% Net Market Value (Base)</v>
      </c>
      <c r="M5" s="33" t="str">
        <f>IFERROR(__xludf.DUMMYFUNCTION("""COMPUTED_VALUE"""),"Cost Basis P&amp;L (Base)")</f>
        <v>Cost Basis P&amp;L (Base)</v>
      </c>
      <c r="N5" s="33" t="str">
        <f>IFERROR(__xludf.DUMMYFUNCTION("""COMPUTED_VALUE"""),"% Gain/Loss Cost")</f>
        <v>% Gain/Loss Cost</v>
      </c>
      <c r="O5" s="33" t="str">
        <f>IFERROR(__xludf.DUMMYFUNCTION("""COMPUTED_VALUE"""),"Day P&amp;L (Base)")</f>
        <v>Day P&amp;L (Base)</v>
      </c>
      <c r="P5" s="33" t="str">
        <f>IFERROR(__xludf.DUMMYFUNCTION("""COMPUTED_VALUE"""),"% Gain/Loss Day")</f>
        <v>% Gain/Loss Day</v>
      </c>
      <c r="Q5" s="33" t="str">
        <f>IFERROR(__xludf.DUMMYFUNCTION("""COMPUTED_VALUE"""),"Exposure (Base)")</f>
        <v>Exposure (Base)</v>
      </c>
      <c r="R5" s="33" t="str">
        <f>IFERROR(__xludf.DUMMYFUNCTION("""COMPUTED_VALUE"""),"% Exposure (Base)")</f>
        <v>% Exposure (Base)</v>
      </c>
      <c r="S5" s="33" t="str">
        <f>IFERROR(__xludf.DUMMYFUNCTION("""COMPUTED_VALUE"""),"Live Feed Provider Ticker")</f>
        <v>Live Feed Provider Ticker</v>
      </c>
      <c r="T5" s="35" t="str">
        <f>IFERROR(__xludf.DUMMYFUNCTION("""COMPUTED_VALUE"""),"Testing Type")</f>
        <v>Testing Type</v>
      </c>
      <c r="U5" s="35" t="str">
        <f>IFERROR(__xludf.DUMMYFUNCTION("""COMPUTED_VALUE"""),"Testing Column")</f>
        <v>Testing Column</v>
      </c>
      <c r="V5" s="35" t="str">
        <f>IFERROR(__xludf.DUMMYFUNCTION("""COMPUTED_VALUE"""),"Testing Col Value")</f>
        <v>Testing Col Value</v>
      </c>
      <c r="W5" s="35" t="str">
        <f>IFERROR(__xludf.DUMMYFUNCTION("""COMPUTED_VALUE"""),"DuplicateCountOnUI")</f>
        <v>DuplicateCountOnUI</v>
      </c>
      <c r="X5" s="35" t="str">
        <f>IFERROR(__xludf.DUMMYFUNCTION("""COMPUTED_VALUE"""),"DuplicateRow")</f>
        <v>DuplicateRow</v>
      </c>
      <c r="Y5" s="35" t="str">
        <f>IFERROR(__xludf.DUMMYFUNCTION("""COMPUTED_VALUE"""),"TabName")</f>
        <v>TabName</v>
      </c>
      <c r="Z5" s="35" t="str">
        <f>IFERROR(__xludf.DUMMYFUNCTION("""COMPUTED_VALUE"""),"GridDataWidgetName")</f>
        <v>GridDataWidgetName</v>
      </c>
      <c r="AA5" s="35" t="str">
        <f>IFERROR(__xludf.DUMMYFUNCTION("""COMPUTED_VALUE"""),"Bloomberg Symbol")</f>
        <v>Bloomberg Symbol</v>
      </c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13"/>
      <c r="B6" s="40" t="s">
        <v>50</v>
      </c>
      <c r="C6" s="8"/>
      <c r="D6" s="13" t="s">
        <v>138</v>
      </c>
      <c r="E6" s="13" t="s">
        <v>110</v>
      </c>
      <c r="F6" s="13" t="s">
        <v>112</v>
      </c>
      <c r="G6" s="13">
        <v>100.0</v>
      </c>
      <c r="H6" s="8"/>
      <c r="I6" s="13">
        <v>10.0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 t="s">
        <v>55</v>
      </c>
      <c r="C7" s="8"/>
      <c r="D7" s="13" t="s">
        <v>138</v>
      </c>
      <c r="E7" s="13" t="s">
        <v>110</v>
      </c>
      <c r="F7" s="13" t="s">
        <v>119</v>
      </c>
      <c r="G7" s="13">
        <v>100.0</v>
      </c>
      <c r="H7" s="8"/>
      <c r="I7" s="13">
        <v>10.0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55</v>
      </c>
      <c r="C8" s="8"/>
      <c r="D8" s="13" t="s">
        <v>138</v>
      </c>
      <c r="E8" s="13" t="s">
        <v>110</v>
      </c>
      <c r="F8" s="13" t="s">
        <v>112</v>
      </c>
      <c r="G8" s="13">
        <v>100.0</v>
      </c>
      <c r="H8" s="8"/>
      <c r="I8" s="13">
        <v>10.0</v>
      </c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56</v>
      </c>
      <c r="C9" s="8"/>
      <c r="D9" s="13" t="s">
        <v>138</v>
      </c>
      <c r="E9" s="13" t="s">
        <v>110</v>
      </c>
      <c r="F9" s="13" t="s">
        <v>119</v>
      </c>
      <c r="G9" s="13">
        <v>100.0</v>
      </c>
      <c r="H9" s="8"/>
      <c r="I9" s="13">
        <v>10.0</v>
      </c>
      <c r="J9" s="13">
        <v>10.0</v>
      </c>
      <c r="K9" s="8"/>
      <c r="L9" s="8"/>
      <c r="M9" s="8"/>
      <c r="N9" s="8"/>
      <c r="O9" s="8"/>
    </row>
    <row r="10" ht="15.75" customHeight="1">
      <c r="A10" s="8"/>
      <c r="B10" s="13" t="s">
        <v>56</v>
      </c>
      <c r="C10" s="8"/>
      <c r="D10" s="13" t="s">
        <v>138</v>
      </c>
      <c r="E10" s="13" t="s">
        <v>110</v>
      </c>
      <c r="F10" s="13" t="s">
        <v>112</v>
      </c>
      <c r="G10" s="13">
        <v>100.0</v>
      </c>
      <c r="H10" s="8"/>
      <c r="I10" s="13">
        <v>10.0</v>
      </c>
      <c r="J10" s="13">
        <v>10.0</v>
      </c>
      <c r="K10" s="8"/>
      <c r="L10" s="8"/>
      <c r="M10" s="8"/>
      <c r="N10" s="8"/>
      <c r="O10" s="8"/>
    </row>
    <row r="11" ht="15.75" customHeight="1">
      <c r="A11" s="8"/>
      <c r="B11" s="13" t="s">
        <v>53</v>
      </c>
      <c r="C11" s="8"/>
      <c r="D11" s="13" t="s">
        <v>138</v>
      </c>
      <c r="E11" s="13" t="s">
        <v>110</v>
      </c>
      <c r="F11" s="13" t="s">
        <v>112</v>
      </c>
      <c r="G11" s="13">
        <v>100.0</v>
      </c>
      <c r="H11" s="8"/>
      <c r="I11" s="13">
        <v>10.0</v>
      </c>
      <c r="J11" s="13">
        <v>10.0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