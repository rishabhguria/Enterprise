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FetchAccountPositions" sheetId="8" r:id="rId10"/>
    <sheet state="visible" name="RebalanceAcrossSecurities" sheetId="9" r:id="rId11"/>
    <sheet state="visible" name="RunRebalance" sheetId="10" r:id="rId12"/>
    <sheet state="visible" name="VerifyGridData" sheetId="11" r:id="rId13"/>
  </sheets>
  <definedNames/>
  <calcPr/>
</workbook>
</file>

<file path=xl/sharedStrings.xml><?xml version="1.0" encoding="utf-8"?>
<sst xmlns="http://schemas.openxmlformats.org/spreadsheetml/2006/main" count="100" uniqueCount="39">
  <si>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</si>
  <si>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</si>
  <si>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</si>
  <si>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</si>
  <si>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</si>
  <si>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</si>
  <si>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1hEhI9rg16D4Xvfk19pDaFUFF78jjfIG29BBaNg8kT0A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</si>
  <si>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</si>
  <si>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</si>
  <si>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</si>
  <si>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</si>
  <si>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</si>
  <si>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</si>
  <si>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</si>
  <si>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</si>
  <si>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</si>
  <si>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</si>
  <si>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</si>
  <si>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</si>
  <si>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Allocation3</t>
  </si>
  <si>
    <t>TradingTicket</t>
  </si>
  <si>
    <t>CreateDoneAwayOrder</t>
  </si>
  <si>
    <t>AAPL</t>
  </si>
  <si>
    <t>Buy</t>
  </si>
  <si>
    <t>MSFT</t>
  </si>
  <si>
    <t>AIG</t>
  </si>
  <si>
    <t>Sell short</t>
  </si>
  <si>
    <t>PricingInput</t>
  </si>
  <si>
    <t>Rebalancer</t>
  </si>
  <si>
    <t>FetchAccountPositions</t>
  </si>
  <si>
    <t>Real-Time Positions</t>
  </si>
  <si>
    <t>RebalanceAcrossSecurities</t>
  </si>
  <si>
    <t>Decrease</t>
  </si>
  <si>
    <t>Check</t>
  </si>
  <si>
    <t>RunRebalance</t>
  </si>
  <si>
    <t>Nearest Round Off</t>
  </si>
  <si>
    <t>VerifyGridData</t>
  </si>
  <si>
    <t>Accruals</t>
  </si>
  <si>
    <t>Cash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</si>
</sst>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Inconsolata"/>
    </font>
    <font>
      <color rgb="FF000000"/>
      <name val="Docs-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top/>
    </border>
    <border>
      <right/>
      <top/>
    </border>
  </borders>
  <cellStyleXfs count="1">
    <xf borderId="0" fillId="0" fontId="0" numFmtId="0" applyAlignment="1" applyFont="1"/>
  </cellStyleXfs>
  <cellXfs count="4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shrinkToFit="0" wrapText="0"/>
    </xf>
    <xf borderId="0" fillId="6" fontId="13" numFmtId="14" xfId="0" applyAlignment="1" applyFill="1" applyFont="1" applyNumberFormat="1">
      <alignment horizontal="left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5" fillId="6" fontId="14" numFmtId="0" xfId="0" applyAlignment="1" applyBorder="1" applyFont="1">
      <alignment vertical="bottom"/>
    </xf>
    <xf borderId="6" fillId="0" fontId="5" numFmtId="0" xfId="0" applyAlignment="1" applyBorder="1" applyFont="1">
      <alignment shrinkToFit="0" vertical="bottom" wrapText="0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IFERROR(__xludf.DUMMYFUNCTION("""COMPUTED_VALUE"""),"1tE_B1MbYuONekKo2FJCjz81vOxEukuWLbDI84AvoR2Y")</f>
        <v>1tE_B1MbYuONekKo2FJCjz81vOxEukuWLbDI84AvoR2Y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IFERROR(__xludf.DUMMYFUNCTION("""COMPUTED_VALUE"""),"1jioQdD3XlMWB-FhSemgF2Y-BAp85sCvZSZJzxbDG-uY")</f>
        <v>1jioQdD3XlMWB-FhSemgF2Y-BAp85sCvZSZJzxbDG-uY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IFERROR(__xludf.DUMMYFUNCTION("""COMPUTED_VALUE"""),"1Z7QxmNsys5SzZV3G-2XqSn0OdEXfUG5t0ZPmwtyFCL8")</f>
        <v>1Z7QxmNsys5SzZV3G-2XqSn0OdEXfUG5t0ZPmwtyFCL8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IFERROR(__xludf.DUMMYFUNCTION("""COMPUTED_VALUE"""),"1A0nU9DMune_BQD6mdF4jX7kLj0RbHiXhcWgPgbNEIVM")</f>
        <v>1A0nU9DMune_BQD6mdF4jX7kLj0RbHiXhcWgPgbNEIVM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IFERROR(__xludf.DUMMYFUNCTION("""COMPUTED_VALUE"""),"1q8zAoreC7MIeJDU3n8P82NH8qIhpvWC2BtDtEAyBLPg")</f>
        <v>1q8zAoreC7MIeJDU3n8P82NH8qIhpvWC2BtDtEAyBLPg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IFERROR(__xludf.DUMMYFUNCTION("""COMPUTED_VALUE"""),"1U1ODQcFsY16SNjzU2RI28CuGFFSBBndsvfyS0p6HRg8")</f>
        <v>1U1ODQcFsY16SNjzU2RI28CuGFFSBBndsvfyS0p6HRg8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IFERROR(__xludf.DUMMYFUNCTION("""COMPUTED_VALUE"""),"1rvAoeelgUtlBWcdnZmGDYNUZPMtp2QSpHWK9X9nndtY")</f>
        <v>1rvAoeelgUtlBWcdnZmGDYNUZPMtp2QSpHWK9X9nndtY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IFERROR(__xludf.DUMMYFUNCTION("""COMPUTED_VALUE"""),"1VACCWCgBryUd7LLXblEl-UFNnDXAwDkKGKIScrCR34E")</f>
        <v>1VACCWCgBryUd7LLXblEl-UFNnDXAwDkKGKIScrCR34E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IFERROR(__xludf.DUMMYFUNCTION("""COMPUTED_VALUE"""),"1loxAoSB-5jR3IFJ4UUieEaGynvHC8saDDF25y8gu-FM")</f>
        <v>1loxAoSB-5jR3IFJ4UUieEaGynvHC8saDDF25y8gu-FM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IFERROR(__xludf.DUMMYFUNCTION("""COMPUTED_VALUE"""),"1oyfT0NXu05XUQfzB3__UfSsQJxHsjU5EfujHM7zFMlY")</f>
        <v>1oyfT0NXu05XUQfzB3__UfSsQJxHsjU5EfujHM7zFMlY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IFERROR(__xludf.DUMMYFUNCTION("""COMPUTED_VALUE"""),"1ptHqTt8wfxoCZvvS0BozaQuRsKg0DRBnN_lMfrOuCt4")</f>
        <v>1ptHqTt8wfxoCZvvS0BozaQuRsKg0DRBnN_lMfrOuCt4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IFERROR(__xludf.DUMMYFUNCTION("""COMPUTED_VALUE"""),"1_DD-M3ooW4-P7PXFGguTddV1HkDRh3fvGh7QLyagROE")</f>
        <v>1_DD-M3ooW4-P7PXFGguTddV1HkDRh3fvGh7QLyagROE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IFERROR(__xludf.DUMMYFUNCTION("""COMPUTED_VALUE"""),"1nKxupjB_Nu5Xmiq2y3y7zVWkf9U8ybAzhilyucCbfWM")</f>
        <v>1nKxupjB_Nu5Xmiq2y3y7zVWkf9U8ybAzhilyucCbfWM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IFERROR(__xludf.DUMMYFUNCTION("""COMPUTED_VALUE"""),"1MtfT4qFywQbZPb5icSzgAwGBRSAc-wIF98jFX9Y-4-o")</f>
        <v>1MtfT4qFywQbZPb5icSzgAwGBRSAc-wIF98jFX9Y-4-o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IFERROR(__xludf.DUMMYFUNCTION("""COMPUTED_VALUE"""),"1W62DF4BeF63sD5d9KK7SfSYQW4r_m2TLH6nBjvW3Sbg")</f>
        <v>1W62DF4BeF63sD5d9KK7SfSYQW4r_m2TLH6nBjvW3Sbg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IFERROR(__xludf.DUMMYFUNCTION("""COMPUTED_VALUE"""),"178rOki2KCouUF9Iz9lng6bwJnPFVHaZtwBC9CdiyuVc")</f>
        <v>178rOki2KCouUF9Iz9lng6bwJnPFVHaZtwBC9CdiyuVc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IFERROR(__xludf.DUMMYFUNCTION("""COMPUTED_VALUE"""),"1xzn2YyCPdZfMTo0ieuR11YKa_oxUPbzkPKQEmibGMDo")</f>
        <v>1xzn2YyCPdZfMTo0ieuR11YKa_oxUPbzkPKQEmibGMDo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IFERROR(__xludf.DUMMYFUNCTION("""COMPUTED_VALUE"""),"1Yxu4VMZGMl7EQBhNAo8lBqOGH6w7WWla7_FbMhPALQg")</f>
        <v>1Yxu4VMZGMl7EQBhNAo8lBqOGH6w7WWla7_FbMhPALQg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IFERROR(__xludf.DUMMYFUNCTION("""COMPUTED_VALUE"""),"1FA4SNuZD1iNtwriSOwwy4hmnh57supgsXcTNOxos2sI")</f>
        <v>1FA4SNuZD1iNtwriSOwwy4hmnh57supgsXcTNOxos2sI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IFERROR(__xludf.DUMMYFUNCTION("""COMPUTED_VALUE"""),"EnterFixedIncome")</f>
        <v>EnterFixedIncome</v>
      </c>
      <c r="C544" t="str">
        <f>IFERROR(__xludf.DUMMYFUNCTION("""COMPUTED_VALUE"""),"101Kvhc5ATCS0OM6d_6c9zJAFIJo-CDiQjm3oRDpRn5k")</f>
        <v>101Kvhc5ATCS0OM6d_6c9zJAFIJo-CDiQjm3oRDpRn5k</v>
      </c>
    </row>
    <row r="545" ht="15.75" customHeight="1">
      <c r="A545" t="str">
        <f>IFERROR(__xludf.DUMMYFUNCTION("""COMPUTED_VALUE"""),"SymbolLookup")</f>
        <v>SymbolLookup</v>
      </c>
      <c r="B545" t="str">
        <f>IFERROR(__xludf.DUMMYFUNCTION("""COMPUTED_VALUE"""),"EnterPrivateEquity")</f>
        <v>EnterPrivateEquity</v>
      </c>
      <c r="C545" t="str">
        <f>IFERROR(__xludf.DUMMYFUNCTION("""COMPUTED_VALUE"""),"1zCjPNqT6O1Bji3Xp5apvgnkJ0fL3xe7mGzeMQl6_P2U")</f>
        <v>1zCjPNqT6O1Bji3Xp5apvgnkJ0fL3xe7mGzeMQl6_P2U</v>
      </c>
    </row>
    <row r="546" ht="15.75" customHeight="1">
      <c r="A546" t="str">
        <f>IFERROR(__xludf.DUMMYFUNCTION("""COMPUTED_VALUE"""),"SymbolLookup")</f>
        <v>SymbolLookup</v>
      </c>
      <c r="B546" t="str">
        <f>IFERROR(__xludf.DUMMYFUNCTION("""COMPUTED_VALUE"""),"EnterFXForward")</f>
        <v>EnterFXForward</v>
      </c>
      <c r="C546" t="str">
        <f>IFERROR(__xludf.DUMMYFUNCTION("""COMPUTED_VALUE"""),"1fsI9VyTOx_f9h2Q8vnZyyagt8AXq4LV5OgjVofsbMzo")</f>
        <v>1fsI9VyTOx_f9h2Q8vnZyyagt8AXq4LV5OgjVofsbMzo</v>
      </c>
    </row>
    <row r="547" ht="15.75" customHeight="1">
      <c r="A547" t="str">
        <f>IFERROR(__xludf.DUMMYFUNCTION("""COMPUTED_VALUE"""),"SymbolLookup")</f>
        <v>SymbolLookup</v>
      </c>
      <c r="B547" t="str">
        <f>IFERROR(__xludf.DUMMYFUNCTION("""COMPUTED_VALUE"""),"EnterFuture")</f>
        <v>EnterFuture</v>
      </c>
      <c r="C547" t="str">
        <f>IFERROR(__xludf.DUMMYFUNCTION("""COMPUTED_VALUE"""),"1meZrTyv8YpJ9g7cSn63NhfDwibizAu7DtkV3LAH28ik")</f>
        <v>1meZrTyv8YpJ9g7cSn63NhfDwibizAu7DtkV3LAH28ik</v>
      </c>
    </row>
    <row r="548" ht="15.75" customHeight="1">
      <c r="A548" t="str">
        <f>IFERROR(__xludf.DUMMYFUNCTION("""COMPUTED_VALUE"""),"SymbolLookup")</f>
        <v>SymbolLookup</v>
      </c>
      <c r="B548" t="str">
        <f>IFERROR(__xludf.DUMMYFUNCTION("""COMPUTED_VALUE"""),"EnterFutureOptions")</f>
        <v>EnterFutureOptions</v>
      </c>
      <c r="C548" t="str">
        <f>IFERROR(__xludf.DUMMYFUNCTION("""COMPUTED_VALUE"""),"1kXNkxLMhrMh7s-p9_FlQRC59ml6mMO0xASI4CpwqnsQ")</f>
        <v>1kXNkxLMhrMh7s-p9_FlQRC59ml6mMO0xASI4CpwqnsQ</v>
      </c>
    </row>
    <row r="549" ht="15.75" customHeight="1">
      <c r="A549" t="str">
        <f>IFERROR(__xludf.DUMMYFUNCTION("""COMPUTED_VALUE"""),"SymbolLookup")</f>
        <v>SymbolLookup</v>
      </c>
      <c r="B549" t="str">
        <f>IFERROR(__xludf.DUMMYFUNCTION("""COMPUTED_VALUE"""),"UpdateSecurityInfoOnSM")</f>
        <v>UpdateSecurityInfoOnSM</v>
      </c>
      <c r="C549" t="str">
        <f>IFERROR(__xludf.DUMMYFUNCTION("""COMPUTED_VALUE"""),"14z69pnCfo_DnsBrAd1uY7YL0PPT5uLfl7VchS5jQ8a8")</f>
        <v>14z69pnCfo_DnsBrAd1uY7YL0PPT5uLfl7VchS5jQ8a8</v>
      </c>
    </row>
    <row r="550" ht="15.75" customHeight="1">
      <c r="A550" t="str">
        <f>IFERROR(__xludf.DUMMYFUNCTION("""COMPUTED_VALUE"""),"Admin")</f>
        <v>Admin</v>
      </c>
      <c r="B550" t="str">
        <f>IFERROR(__xludf.DUMMYFUNCTION("""COMPUTED_VALUE"""),"UpdateThirdPartyFileFormat")</f>
        <v>UpdateThirdPartyFileFormat</v>
      </c>
      <c r="C550" t="str">
        <f>IFERROR(__xludf.DUMMYFUNCTION("""COMPUTED_VALUE"""),"1jJUZ0g-6Y-_Dy6ZKv3032e8qPnPG5QjNu2nyrJNkYnU")</f>
        <v>1jJUZ0g-6Y-_Dy6ZKv3032e8qPnPG5QjNu2nyrJNkYnU</v>
      </c>
    </row>
    <row r="551" ht="15.75" customHeight="1">
      <c r="A551" t="str">
        <f>IFERROR(__xludf.DUMMYFUNCTION("""COMPUTED_VALUE"""),"Blotter")</f>
        <v>Blotter</v>
      </c>
      <c r="B551" t="str">
        <f>IFERROR(__xludf.DUMMYFUNCTION("""COMPUTED_VALUE"""),"AddTab")</f>
        <v>AddTab</v>
      </c>
      <c r="C551" t="str">
        <f>IFERROR(__xludf.DUMMYFUNCTION("""COMPUTED_VALUE"""),"1XqeDEA12mZ2_sGgDigv55KFQP1uT7OLjHrsbyTxz6ck")</f>
        <v>1XqeDEA12mZ2_sGgDigv55KFQP1uT7OLjHrsbyTxz6ck</v>
      </c>
    </row>
    <row r="552" ht="15.75" customHeight="1">
      <c r="A552" t="str">
        <f>IFERROR(__xludf.DUMMYFUNCTION("""COMPUTED_VALUE"""),"Blotter")</f>
        <v>Blotter</v>
      </c>
      <c r="B552" t="str">
        <f>IFERROR(__xludf.DUMMYFUNCTION("""COMPUTED_VALUE"""),"RemoveTab")</f>
        <v>RemoveTab</v>
      </c>
      <c r="C552" t="str">
        <f>IFERROR(__xludf.DUMMYFUNCTION("""COMPUTED_VALUE"""),"1GK-cFfSLhl30UUg6KVuQM4xiYr7ZVs9T8-HbIaWAGSI")</f>
        <v>1GK-cFfSLhl30UUg6KVuQM4xiYr7ZVs9T8-HbIaWAGSI</v>
      </c>
    </row>
    <row r="553" ht="15.75" customHeight="1">
      <c r="A553" t="str">
        <f>IFERROR(__xludf.DUMMYFUNCTION("""COMPUTED_VALUE"""),"Blotter")</f>
        <v>Blotter</v>
      </c>
      <c r="B553" t="str">
        <f>IFERROR(__xludf.DUMMYFUNCTION("""COMPUTED_VALUE"""),"SelectCustomTab")</f>
        <v>SelectCustomTab</v>
      </c>
      <c r="C553" t="str">
        <f>IFERROR(__xludf.DUMMYFUNCTION("""COMPUTED_VALUE"""),"1kRtj_Fc0CYUsYDlKPBoU0CLid2Psb8dmosj3ZRAjroE")</f>
        <v>1kRtj_Fc0CYUsYDlKPBoU0CLid2Psb8dmosj3ZRAjroE</v>
      </c>
    </row>
    <row r="554" ht="15.75" customHeight="1">
      <c r="A554" t="str">
        <f>IFERROR(__xludf.DUMMYFUNCTION("""COMPUTED_VALUE"""),"Blotter")</f>
        <v>Blotter</v>
      </c>
      <c r="B554" t="str">
        <f>IFERROR(__xludf.DUMMYFUNCTION("""COMPUTED_VALUE"""),"VerifyOrderCustomTab")</f>
        <v>VerifyOrderCustomTab</v>
      </c>
      <c r="C554" t="str">
        <f>IFERROR(__xludf.DUMMYFUNCTION("""COMPUTED_VALUE"""),"1gOy9G8eKkWGKSuA9Fia5GxcUDS_ETGm1_VGBu5wSMC4")</f>
        <v>1gOy9G8eKkWGKSuA9Fia5GxcUDS_ETGm1_VGBu5wSMC4</v>
      </c>
    </row>
    <row r="555" ht="15.75" customHeight="1">
      <c r="A555" t="str">
        <f>IFERROR(__xludf.DUMMYFUNCTION("""COMPUTED_VALUE"""),"Blotter")</f>
        <v>Blotter</v>
      </c>
      <c r="B555" t="str">
        <f>IFERROR(__xludf.DUMMYFUNCTION("""COMPUTED_VALUE"""),"VerifySubOrderCustomTab")</f>
        <v>VerifySubOrderCustomTab</v>
      </c>
      <c r="C555" t="str">
        <f>IFERROR(__xludf.DUMMYFUNCTION("""COMPUTED_VALUE"""),"1ytbg-lonAtPMe12Y6drQXMuXtdZVd3el_SNLn_tZlM4")</f>
        <v>1ytbg-lonAtPMe12Y6drQXMuXtdZVd3el_SNLn_tZlM4</v>
      </c>
    </row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30">
        <f t="shared" ref="B6:C6" si="1">today()-1</f>
        <v>44774</v>
      </c>
      <c r="C6" s="31">
        <f t="shared" si="1"/>
        <v>44774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3" t="s">
        <v>17</v>
      </c>
      <c r="C6" s="34" t="s">
        <v>18</v>
      </c>
      <c r="D6" s="35">
        <v>12000.0</v>
      </c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37"/>
      <c r="B7" s="38" t="s">
        <v>19</v>
      </c>
      <c r="C7" s="38" t="s">
        <v>18</v>
      </c>
      <c r="D7" s="39">
        <v>15000.0</v>
      </c>
      <c r="E7" s="37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37"/>
      <c r="B8" s="37"/>
      <c r="C8" s="37"/>
      <c r="D8" s="37"/>
      <c r="E8" s="37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3" t="s">
        <v>22</v>
      </c>
      <c r="C6" s="34" t="s">
        <v>23</v>
      </c>
      <c r="D6" s="35">
        <v>100.0</v>
      </c>
      <c r="E6" s="40">
        <v>100.0</v>
      </c>
      <c r="F6" s="34" t="s">
        <v>17</v>
      </c>
      <c r="G6" s="36"/>
      <c r="H6" s="36"/>
      <c r="I6" s="36"/>
      <c r="J6" s="40">
        <v>50.0</v>
      </c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8" t="s">
        <v>24</v>
      </c>
      <c r="C7" s="38" t="s">
        <v>23</v>
      </c>
      <c r="D7" s="39">
        <v>100.0</v>
      </c>
      <c r="E7" s="39">
        <v>100.0</v>
      </c>
      <c r="F7" s="38" t="s">
        <v>17</v>
      </c>
      <c r="G7" s="37"/>
      <c r="H7" s="37"/>
      <c r="I7" s="37"/>
      <c r="J7" s="39">
        <v>60.0</v>
      </c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38" t="s">
        <v>25</v>
      </c>
      <c r="C8" s="38" t="s">
        <v>26</v>
      </c>
      <c r="D8" s="39">
        <v>50.0</v>
      </c>
      <c r="E8" s="39">
        <v>50.0</v>
      </c>
      <c r="F8" s="38" t="s">
        <v>17</v>
      </c>
      <c r="G8" s="37"/>
      <c r="H8" s="37"/>
      <c r="I8" s="37"/>
      <c r="J8" s="39">
        <v>30.0</v>
      </c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33" t="s">
        <v>22</v>
      </c>
      <c r="C6" s="40">
        <v>50.0</v>
      </c>
      <c r="D6" s="41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7"/>
      <c r="B7" s="38" t="s">
        <v>24</v>
      </c>
      <c r="C7" s="39">
        <v>60.0</v>
      </c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38" t="s">
        <v>25</v>
      </c>
      <c r="C8" s="39">
        <v>30.0</v>
      </c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2"/>
      <c r="B6" s="42" t="s">
        <v>17</v>
      </c>
      <c r="C6" s="43" t="s">
        <v>30</v>
      </c>
      <c r="D6" s="41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22</v>
      </c>
      <c r="C6" s="11" t="s">
        <v>32</v>
      </c>
      <c r="D6" s="11">
        <v>10.0</v>
      </c>
      <c r="E6" s="11" t="s">
        <v>17</v>
      </c>
      <c r="F6" s="11" t="s">
        <v>33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11" t="s">
        <v>35</v>
      </c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 (Base)")</f>
        <v>Price (Base)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8"/>
      <c r="B6" s="8"/>
      <c r="C6" s="44" t="s">
        <v>17</v>
      </c>
      <c r="D6" s="44" t="s">
        <v>22</v>
      </c>
      <c r="E6" s="8"/>
      <c r="F6" s="8"/>
      <c r="G6" s="8"/>
      <c r="H6" s="45">
        <v>50.0</v>
      </c>
      <c r="I6" s="8"/>
      <c r="J6" s="8"/>
      <c r="K6" s="45">
        <v>100.0</v>
      </c>
      <c r="L6" s="8"/>
      <c r="M6" s="8"/>
      <c r="N6" s="8"/>
      <c r="O6" s="45">
        <v>76.0</v>
      </c>
      <c r="R6" s="9">
        <v>-24.0</v>
      </c>
      <c r="S6" s="9">
        <v>-1200.0</v>
      </c>
    </row>
    <row r="7" ht="15.75" customHeight="1">
      <c r="A7" s="8"/>
      <c r="B7" s="8"/>
      <c r="C7" s="44" t="s">
        <v>17</v>
      </c>
      <c r="D7" s="44" t="s">
        <v>25</v>
      </c>
      <c r="E7" s="8"/>
      <c r="F7" s="8"/>
      <c r="G7" s="8"/>
      <c r="H7" s="45">
        <v>30.0</v>
      </c>
      <c r="I7" s="8"/>
      <c r="J7" s="8"/>
      <c r="K7" s="45">
        <v>50.0</v>
      </c>
      <c r="L7" s="8"/>
      <c r="M7" s="8"/>
      <c r="N7" s="8"/>
      <c r="O7" s="45">
        <v>50.0</v>
      </c>
      <c r="R7" s="9">
        <v>0.0</v>
      </c>
      <c r="S7" s="9">
        <v>0.0</v>
      </c>
    </row>
    <row r="8" ht="15.75" customHeight="1">
      <c r="A8" s="8"/>
      <c r="B8" s="8"/>
      <c r="C8" s="44" t="s">
        <v>17</v>
      </c>
      <c r="D8" s="44" t="s">
        <v>24</v>
      </c>
      <c r="E8" s="8"/>
      <c r="F8" s="8"/>
      <c r="G8" s="8"/>
      <c r="H8" s="45">
        <v>60.0</v>
      </c>
      <c r="I8" s="8"/>
      <c r="J8" s="8"/>
      <c r="K8" s="45">
        <v>100.0</v>
      </c>
      <c r="L8" s="8"/>
      <c r="M8" s="8"/>
      <c r="N8" s="8"/>
      <c r="O8" s="45">
        <v>114.0</v>
      </c>
      <c r="R8" s="9">
        <v>14.0</v>
      </c>
      <c r="S8" s="9">
        <v>840.0</v>
      </c>
    </row>
    <row r="9" ht="15.75" customHeight="1">
      <c r="A9" s="8"/>
      <c r="B9" s="8"/>
      <c r="C9" s="44" t="s">
        <v>17</v>
      </c>
      <c r="D9" s="44" t="s">
        <v>37</v>
      </c>
      <c r="E9" s="8"/>
      <c r="F9" s="8"/>
      <c r="G9" s="8"/>
      <c r="H9" s="45">
        <v>1.0</v>
      </c>
      <c r="I9" s="8"/>
      <c r="J9" s="8"/>
      <c r="K9" s="45">
        <v>0.0</v>
      </c>
      <c r="L9" s="8"/>
      <c r="M9" s="8"/>
      <c r="N9" s="8"/>
      <c r="O9" s="45">
        <v>0.0</v>
      </c>
      <c r="R9" s="9">
        <v>0.0</v>
      </c>
      <c r="S9" s="9">
        <v>0.0</v>
      </c>
    </row>
    <row r="10" ht="15.75" customHeight="1">
      <c r="A10" s="8"/>
      <c r="B10" s="8"/>
      <c r="C10" s="44" t="s">
        <v>17</v>
      </c>
      <c r="D10" s="44" t="s">
        <v>38</v>
      </c>
      <c r="E10" s="8"/>
      <c r="F10" s="8"/>
      <c r="G10" s="8"/>
      <c r="H10" s="45">
        <v>1.0</v>
      </c>
      <c r="I10" s="8"/>
      <c r="J10" s="8"/>
      <c r="K10" s="45">
        <v>2500.0</v>
      </c>
      <c r="L10" s="8"/>
      <c r="M10" s="8"/>
      <c r="N10" s="8"/>
      <c r="O10" s="45">
        <v>2860.0</v>
      </c>
      <c r="R10" s="9">
        <v>360.0</v>
      </c>
      <c r="S10" s="9">
        <v>360.0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