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ChangeDate" sheetId="12" r:id="rId14"/>
    <sheet state="visible" name="RestartReleasesAndServices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AllocateFromBlotter" sheetId="17" r:id="rId19"/>
    <sheet state="visible" name="VerifySubOrder" sheetId="18" r:id="rId20"/>
    <sheet state="visible" name="GetDataAllocation" sheetId="19" r:id="rId21"/>
    <sheet state="visible" name="CheckAllocatedGroups" sheetId="20" r:id="rId22"/>
    <sheet state="visible" name="ExecuteTrade1" sheetId="21" r:id="rId23"/>
    <sheet state="visible" name="CheckAllocatedGroups1" sheetId="22" r:id="rId24"/>
    <sheet state="visible" name="Unallocate" sheetId="23" r:id="rId25"/>
    <sheet state="visible" name="SelectUnallocatedGroup" sheetId="24" r:id="rId26"/>
    <sheet state="visible" name="EnterAllocatePreference" sheetId="25" r:id="rId27"/>
    <sheet state="visible" name="CheckAllocatedGroups2" sheetId="26" r:id="rId28"/>
    <sheet state="visible" name="ChangeDate1" sheetId="27" r:id="rId29"/>
  </sheets>
  <definedNames/>
  <calcPr/>
</workbook>
</file>

<file path=xl/sharedStrings.xml><?xml version="1.0" encoding="utf-8"?>
<sst xmlns="http://schemas.openxmlformats.org/spreadsheetml/2006/main" count="330" uniqueCount="78">
  <si>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</si>
  <si>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</si>
  <si>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</si>
  <si>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</si>
  <si>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</si>
  <si>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</si>
  <si>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</si>
  <si>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</si>
  <si>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</si>
  <si>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</si>
  <si>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</si>
  <si>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</si>
  <si>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</si>
  <si>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</si>
  <si>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</si>
  <si>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</si>
  <si>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</si>
  <si>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Allocation</t>
  </si>
  <si>
    <t>AddCalculatedPreferences</t>
  </si>
  <si>
    <t>Test</t>
  </si>
  <si>
    <t>SetAccountValueCalculatedPref</t>
  </si>
  <si>
    <t>Allocation1</t>
  </si>
  <si>
    <t>Allocation2</t>
  </si>
  <si>
    <t>SetDefaultRuleCalculatedPref</t>
  </si>
  <si>
    <t>Trade Quantity</t>
  </si>
  <si>
    <t>Current Preference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</si>
  <si>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</si>
  <si>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</si>
  <si>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</si>
  <si>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</si>
  <si>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</si>
  <si>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</si>
  <si>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</si>
  <si>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</si>
  <si>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</si>
  <si>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</si>
  <si>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</si>
  <si>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</si>
  <si>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</si>
  <si>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</si>
  <si>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</si>
  <si>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</si>
  <si>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</si>
  <si>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</si>
  <si>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</si>
  <si>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</si>
  <si>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</si>
  <si>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</si>
  <si>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</si>
  <si>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VerifySubOrder</t>
  </si>
  <si>
    <t>Equity</t>
  </si>
  <si>
    <t>Replaced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</si>
  <si>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</si>
  <si>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</si>
  <si>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</si>
  <si>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</si>
  <si>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</si>
  <si>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</si>
  <si>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</si>
  <si>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</si>
  <si>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</si>
  <si>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</si>
  <si>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</si>
  <si>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</si>
  <si>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</si>
  <si>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</si>
  <si>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</si>
  <si>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</si>
  <si>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</si>
  <si>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</si>
  <si>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</si>
  <si>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</si>
  <si>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</si>
  <si>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</si>
  <si>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Unallocate</t>
  </si>
  <si>
    <t>SelectUnallocatedGroup</t>
  </si>
  <si>
    <t>EnterAllocatePreference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</si>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</sst>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21</v>
      </c>
      <c r="D6" s="36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5" t="s">
        <v>22</v>
      </c>
      <c r="D7" s="32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/>
      <c r="D6" s="34" t="s">
        <v>25</v>
      </c>
      <c r="E6" s="33"/>
      <c r="F6" s="33"/>
      <c r="G6" s="37" t="b">
        <v>1</v>
      </c>
      <c r="H6" s="35" t="s">
        <v>19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2">
        <v>10000.0</v>
      </c>
      <c r="D6" s="36">
        <v>2.0</v>
      </c>
      <c r="E6" s="35" t="s">
        <v>29</v>
      </c>
      <c r="F6" s="33"/>
      <c r="G6" s="33"/>
      <c r="H6" s="33"/>
      <c r="I6" s="35" t="s">
        <v>30</v>
      </c>
      <c r="J6" s="35" t="s">
        <v>31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32</v>
      </c>
      <c r="V6" s="33" t="s">
        <v>33</v>
      </c>
      <c r="W6" s="33"/>
      <c r="X6" s="32">
        <v>10.0</v>
      </c>
      <c r="Y6" s="38">
        <f>TODAY()+1</f>
        <v>45825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9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28</v>
      </c>
      <c r="C6" s="33"/>
      <c r="D6" s="36">
        <v>2.0</v>
      </c>
      <c r="E6" s="34" t="s">
        <v>46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47</v>
      </c>
      <c r="V6" s="33" t="s">
        <v>33</v>
      </c>
      <c r="W6" s="33"/>
      <c r="X6" s="32">
        <v>10.0</v>
      </c>
      <c r="Y6" s="38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50</v>
      </c>
      <c r="AI6" s="33" t="s">
        <v>28</v>
      </c>
      <c r="AJ6" s="33" t="s">
        <v>31</v>
      </c>
      <c r="AK6" s="40" t="s">
        <v>51</v>
      </c>
      <c r="AL6" s="41">
        <v>10000.0</v>
      </c>
      <c r="AM6" s="41">
        <v>5000.0</v>
      </c>
      <c r="AN6" s="33"/>
      <c r="AO6" s="41"/>
      <c r="AP6" s="41">
        <v>2.0</v>
      </c>
      <c r="AQ6" s="33" t="s">
        <v>52</v>
      </c>
      <c r="AR6" s="33" t="s">
        <v>53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55</v>
      </c>
      <c r="C6" s="42">
        <f>today()-1</f>
        <v>45823</v>
      </c>
      <c r="D6" s="42">
        <f>today()+1</f>
        <v>45825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57</v>
      </c>
      <c r="D6" s="43">
        <v>0.0</v>
      </c>
      <c r="E6" s="41">
        <v>5000.0</v>
      </c>
      <c r="F6" s="33" t="s">
        <v>19</v>
      </c>
      <c r="G6" s="33" t="s">
        <v>50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58</v>
      </c>
      <c r="N6" s="33" t="s">
        <v>59</v>
      </c>
      <c r="O6" s="33" t="s">
        <v>52</v>
      </c>
      <c r="P6" s="33"/>
      <c r="Q6" s="41">
        <v>3.0</v>
      </c>
      <c r="R6" s="41">
        <v>0.0</v>
      </c>
      <c r="S6" s="33" t="s">
        <v>60</v>
      </c>
      <c r="T6" s="41">
        <v>0.0</v>
      </c>
      <c r="U6" s="41">
        <v>0.0</v>
      </c>
      <c r="V6" s="33" t="s">
        <v>61</v>
      </c>
      <c r="W6" s="44"/>
      <c r="X6" s="41">
        <v>0.0</v>
      </c>
      <c r="Y6" s="33"/>
      <c r="Z6" s="33" t="s">
        <v>62</v>
      </c>
      <c r="AA6" s="33" t="s">
        <v>28</v>
      </c>
      <c r="AB6" s="41">
        <v>1.0</v>
      </c>
      <c r="AC6" s="33"/>
      <c r="AD6" s="33" t="s">
        <v>63</v>
      </c>
      <c r="AE6" s="41">
        <v>5000.0</v>
      </c>
      <c r="AF6" s="33"/>
      <c r="AG6" s="44"/>
      <c r="AH6" s="33" t="s">
        <v>64</v>
      </c>
      <c r="AI6" s="41">
        <v>1.0</v>
      </c>
      <c r="AJ6" s="33" t="s">
        <v>65</v>
      </c>
      <c r="AK6" s="33"/>
      <c r="AL6" s="33"/>
      <c r="AM6" s="33" t="s">
        <v>66</v>
      </c>
      <c r="AN6" s="45" t="b">
        <v>0</v>
      </c>
      <c r="AO6" s="33"/>
      <c r="AP6" s="45" t="b">
        <v>0</v>
      </c>
      <c r="AQ6" s="45" t="b">
        <v>0</v>
      </c>
      <c r="AR6" s="45" t="b">
        <v>0</v>
      </c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33</v>
      </c>
      <c r="AZ6" s="41">
        <v>0.0</v>
      </c>
      <c r="BA6" s="44"/>
      <c r="BB6" s="33"/>
      <c r="BC6" s="44"/>
      <c r="BD6" s="33" t="s">
        <v>67</v>
      </c>
      <c r="BE6" s="41">
        <v>10000.0</v>
      </c>
      <c r="BF6" s="41">
        <v>10000.0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62</v>
      </c>
      <c r="BN6" s="44"/>
      <c r="BO6" s="33" t="s">
        <v>31</v>
      </c>
      <c r="BP6" s="41">
        <v>0.0</v>
      </c>
      <c r="BQ6" s="41">
        <v>0.0</v>
      </c>
      <c r="BR6" s="41">
        <v>0.0056</v>
      </c>
      <c r="BS6" s="33" t="s">
        <v>68</v>
      </c>
      <c r="BT6" s="33" t="s">
        <v>28</v>
      </c>
      <c r="BU6" s="41">
        <v>3.0</v>
      </c>
      <c r="BV6" s="44"/>
      <c r="BW6" s="41">
        <v>14.0056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69</v>
      </c>
      <c r="CG6" s="41">
        <v>2.0</v>
      </c>
      <c r="CH6" s="33"/>
      <c r="CI6" s="33" t="s">
        <v>31</v>
      </c>
      <c r="CJ6" s="41">
        <v>0.0</v>
      </c>
      <c r="CK6" s="33" t="s">
        <v>70</v>
      </c>
      <c r="CL6" s="41">
        <v>1.0</v>
      </c>
      <c r="CM6" s="33" t="s">
        <v>28</v>
      </c>
      <c r="CN6" s="33" t="s">
        <v>71</v>
      </c>
      <c r="CO6" s="33" t="s">
        <v>63</v>
      </c>
      <c r="CP6" s="33" t="s">
        <v>72</v>
      </c>
      <c r="CQ6" s="44"/>
      <c r="CR6" s="44"/>
      <c r="CS6" s="33"/>
      <c r="CT6" s="33"/>
      <c r="CU6" s="33"/>
      <c r="CV6" s="33"/>
      <c r="CW6" s="41">
        <v>0.0</v>
      </c>
      <c r="CX6" s="33" t="s">
        <v>53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57</v>
      </c>
      <c r="D6" s="43">
        <v>0.0</v>
      </c>
      <c r="E6" s="41">
        <v>100.0</v>
      </c>
      <c r="F6" s="33" t="s">
        <v>73</v>
      </c>
      <c r="G6" s="33" t="s">
        <v>50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58</v>
      </c>
      <c r="N6" s="33" t="s">
        <v>59</v>
      </c>
      <c r="O6" s="33" t="s">
        <v>52</v>
      </c>
      <c r="P6" s="33"/>
      <c r="Q6" s="41">
        <v>3.0</v>
      </c>
      <c r="R6" s="41">
        <v>0.0</v>
      </c>
      <c r="S6" s="33" t="s">
        <v>60</v>
      </c>
      <c r="T6" s="41">
        <v>0.0</v>
      </c>
      <c r="U6" s="41">
        <v>0.0</v>
      </c>
      <c r="V6" s="33" t="s">
        <v>61</v>
      </c>
      <c r="W6" s="44"/>
      <c r="X6" s="41">
        <v>0.0</v>
      </c>
      <c r="Y6" s="33"/>
      <c r="Z6" s="33" t="s">
        <v>62</v>
      </c>
      <c r="AA6" s="33" t="s">
        <v>28</v>
      </c>
      <c r="AB6" s="41">
        <v>1.0</v>
      </c>
      <c r="AC6" s="33"/>
      <c r="AD6" s="33" t="s">
        <v>63</v>
      </c>
      <c r="AE6" s="41">
        <v>100.0</v>
      </c>
      <c r="AF6" s="33"/>
      <c r="AG6" s="44"/>
      <c r="AH6" s="33" t="s">
        <v>64</v>
      </c>
      <c r="AI6" s="41">
        <v>1.0</v>
      </c>
      <c r="AJ6" s="33" t="s">
        <v>65</v>
      </c>
      <c r="AK6" s="33"/>
      <c r="AL6" s="33"/>
      <c r="AM6" s="33"/>
      <c r="AN6" s="45" t="b">
        <v>0</v>
      </c>
      <c r="AO6" s="33"/>
      <c r="AP6" s="33"/>
      <c r="AQ6" s="33"/>
      <c r="AR6" s="33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33</v>
      </c>
      <c r="AZ6" s="41">
        <v>0.0</v>
      </c>
      <c r="BA6" s="44"/>
      <c r="BB6" s="33"/>
      <c r="BC6" s="44"/>
      <c r="BD6" s="33" t="s">
        <v>67</v>
      </c>
      <c r="BE6" s="41">
        <v>200.0</v>
      </c>
      <c r="BF6" s="41">
        <v>200.0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62</v>
      </c>
      <c r="BN6" s="44"/>
      <c r="BO6" s="33" t="s">
        <v>31</v>
      </c>
      <c r="BP6" s="41">
        <v>0.0</v>
      </c>
      <c r="BQ6" s="41">
        <v>0.0</v>
      </c>
      <c r="BR6" s="41">
        <v>1.0E-4</v>
      </c>
      <c r="BS6" s="33" t="s">
        <v>68</v>
      </c>
      <c r="BT6" s="33" t="s">
        <v>28</v>
      </c>
      <c r="BU6" s="41">
        <v>3.0</v>
      </c>
      <c r="BV6" s="44"/>
      <c r="BW6" s="41">
        <v>14.0001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69</v>
      </c>
      <c r="CG6" s="41">
        <v>2.0</v>
      </c>
      <c r="CH6" s="33"/>
      <c r="CI6" s="33" t="s">
        <v>31</v>
      </c>
      <c r="CJ6" s="41">
        <v>0.0</v>
      </c>
      <c r="CK6" s="33" t="s">
        <v>70</v>
      </c>
      <c r="CL6" s="41">
        <v>1.0</v>
      </c>
      <c r="CM6" s="33" t="s">
        <v>28</v>
      </c>
      <c r="CN6" s="33" t="s">
        <v>71</v>
      </c>
      <c r="CO6" s="33" t="s">
        <v>63</v>
      </c>
      <c r="CP6" s="33" t="s">
        <v>72</v>
      </c>
      <c r="CQ6" s="44"/>
      <c r="CR6" s="44"/>
      <c r="CS6" s="33"/>
      <c r="CT6" s="33"/>
      <c r="CU6" s="33"/>
      <c r="CV6" s="33"/>
      <c r="CW6" s="41">
        <v>0.0</v>
      </c>
      <c r="CX6" s="33" t="s">
        <v>53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57</v>
      </c>
      <c r="D6" s="43">
        <v>0.0</v>
      </c>
      <c r="E6" s="41">
        <v>5000.0</v>
      </c>
      <c r="F6" s="33" t="s">
        <v>19</v>
      </c>
      <c r="G6" s="33" t="s">
        <v>50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58</v>
      </c>
      <c r="N6" s="33" t="s">
        <v>59</v>
      </c>
      <c r="O6" s="33" t="s">
        <v>52</v>
      </c>
      <c r="P6" s="33"/>
      <c r="Q6" s="41">
        <v>3.0</v>
      </c>
      <c r="R6" s="41">
        <v>0.0</v>
      </c>
      <c r="S6" s="33" t="s">
        <v>60</v>
      </c>
      <c r="T6" s="41">
        <v>0.0</v>
      </c>
      <c r="U6" s="41">
        <v>0.0</v>
      </c>
      <c r="V6" s="33" t="s">
        <v>61</v>
      </c>
      <c r="W6" s="44"/>
      <c r="X6" s="41">
        <v>0.0</v>
      </c>
      <c r="Y6" s="33"/>
      <c r="Z6" s="33" t="s">
        <v>62</v>
      </c>
      <c r="AA6" s="33" t="s">
        <v>28</v>
      </c>
      <c r="AB6" s="41">
        <v>1.0</v>
      </c>
      <c r="AC6" s="33"/>
      <c r="AD6" s="33" t="s">
        <v>63</v>
      </c>
      <c r="AE6" s="41">
        <v>5000.0</v>
      </c>
      <c r="AF6" s="33"/>
      <c r="AG6" s="44"/>
      <c r="AH6" s="33" t="s">
        <v>64</v>
      </c>
      <c r="AI6" s="41">
        <v>1.0</v>
      </c>
      <c r="AJ6" s="33" t="s">
        <v>65</v>
      </c>
      <c r="AK6" s="33"/>
      <c r="AL6" s="33"/>
      <c r="AM6" s="33" t="s">
        <v>66</v>
      </c>
      <c r="AN6" s="45" t="b">
        <v>0</v>
      </c>
      <c r="AO6" s="33"/>
      <c r="AP6" s="33"/>
      <c r="AQ6" s="33"/>
      <c r="AR6" s="33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33</v>
      </c>
      <c r="AZ6" s="41">
        <v>0.0</v>
      </c>
      <c r="BA6" s="44"/>
      <c r="BB6" s="33"/>
      <c r="BC6" s="44"/>
      <c r="BD6" s="33" t="s">
        <v>67</v>
      </c>
      <c r="BE6" s="41">
        <v>10000.0</v>
      </c>
      <c r="BF6" s="41">
        <v>10000.0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62</v>
      </c>
      <c r="BN6" s="44"/>
      <c r="BO6" s="33" t="s">
        <v>31</v>
      </c>
      <c r="BP6" s="41">
        <v>0.0</v>
      </c>
      <c r="BQ6" s="41">
        <v>0.0</v>
      </c>
      <c r="BR6" s="41">
        <v>0.0056</v>
      </c>
      <c r="BS6" s="33" t="s">
        <v>68</v>
      </c>
      <c r="BT6" s="33" t="s">
        <v>28</v>
      </c>
      <c r="BU6" s="41">
        <v>3.0</v>
      </c>
      <c r="BV6" s="44"/>
      <c r="BW6" s="41">
        <v>14.0056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69</v>
      </c>
      <c r="CG6" s="41">
        <v>2.0</v>
      </c>
      <c r="CH6" s="33"/>
      <c r="CI6" s="33" t="s">
        <v>31</v>
      </c>
      <c r="CJ6" s="41">
        <v>0.0</v>
      </c>
      <c r="CK6" s="33" t="s">
        <v>70</v>
      </c>
      <c r="CL6" s="41">
        <v>1.0</v>
      </c>
      <c r="CM6" s="33" t="s">
        <v>28</v>
      </c>
      <c r="CN6" s="33" t="s">
        <v>71</v>
      </c>
      <c r="CO6" s="33" t="s">
        <v>63</v>
      </c>
      <c r="CP6" s="33" t="s">
        <v>72</v>
      </c>
      <c r="CQ6" s="44"/>
      <c r="CR6" s="44"/>
      <c r="CS6" s="33"/>
      <c r="CT6" s="33"/>
      <c r="CU6" s="33"/>
      <c r="CV6" s="33"/>
      <c r="CW6" s="41">
        <v>0.0</v>
      </c>
      <c r="CX6" s="33" t="s">
        <v>53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57</v>
      </c>
      <c r="D7" s="41">
        <v>0.0</v>
      </c>
      <c r="E7" s="41">
        <v>100.0</v>
      </c>
      <c r="F7" s="33" t="s">
        <v>19</v>
      </c>
      <c r="G7" s="33" t="s">
        <v>50</v>
      </c>
      <c r="H7" s="41">
        <v>4.0</v>
      </c>
      <c r="I7" s="41">
        <v>5.0</v>
      </c>
      <c r="J7" s="41">
        <v>1.0</v>
      </c>
      <c r="K7" s="41">
        <v>2.0</v>
      </c>
      <c r="L7" s="41">
        <v>2.0</v>
      </c>
      <c r="M7" s="33" t="s">
        <v>58</v>
      </c>
      <c r="N7" s="33" t="s">
        <v>59</v>
      </c>
      <c r="O7" s="33" t="s">
        <v>52</v>
      </c>
      <c r="P7" s="33"/>
      <c r="Q7" s="41">
        <v>3.0</v>
      </c>
      <c r="R7" s="41">
        <v>0.0</v>
      </c>
      <c r="S7" s="33" t="s">
        <v>60</v>
      </c>
      <c r="T7" s="41">
        <v>0.0</v>
      </c>
      <c r="U7" s="41">
        <v>0.0</v>
      </c>
      <c r="V7" s="33" t="s">
        <v>61</v>
      </c>
      <c r="W7" s="44"/>
      <c r="X7" s="41">
        <v>0.0</v>
      </c>
      <c r="Y7" s="33"/>
      <c r="Z7" s="33" t="s">
        <v>62</v>
      </c>
      <c r="AA7" s="33" t="s">
        <v>28</v>
      </c>
      <c r="AB7" s="41">
        <v>1.0</v>
      </c>
      <c r="AC7" s="33"/>
      <c r="AD7" s="33" t="s">
        <v>63</v>
      </c>
      <c r="AE7" s="41">
        <v>100.0</v>
      </c>
      <c r="AF7" s="33"/>
      <c r="AG7" s="44"/>
      <c r="AH7" s="33" t="s">
        <v>64</v>
      </c>
      <c r="AI7" s="41">
        <v>1.0</v>
      </c>
      <c r="AJ7" s="33" t="s">
        <v>65</v>
      </c>
      <c r="AK7" s="33"/>
      <c r="AL7" s="33"/>
      <c r="AM7" s="33"/>
      <c r="AN7" s="45" t="b">
        <v>0</v>
      </c>
      <c r="AO7" s="33"/>
      <c r="AP7" s="33"/>
      <c r="AQ7" s="33"/>
      <c r="AR7" s="33"/>
      <c r="AS7" s="41">
        <v>0.0</v>
      </c>
      <c r="AT7" s="33"/>
      <c r="AU7" s="33"/>
      <c r="AV7" s="44"/>
      <c r="AW7" s="41">
        <v>0.0</v>
      </c>
      <c r="AX7" s="41">
        <v>0.0</v>
      </c>
      <c r="AY7" s="33" t="s">
        <v>33</v>
      </c>
      <c r="AZ7" s="41">
        <v>0.0</v>
      </c>
      <c r="BA7" s="44"/>
      <c r="BB7" s="33"/>
      <c r="BC7" s="44"/>
      <c r="BD7" s="33" t="s">
        <v>67</v>
      </c>
      <c r="BE7" s="41">
        <v>200.0</v>
      </c>
      <c r="BF7" s="41">
        <v>200.0</v>
      </c>
      <c r="BG7" s="44"/>
      <c r="BH7" s="33"/>
      <c r="BI7" s="33"/>
      <c r="BJ7" s="41">
        <v>10000.0</v>
      </c>
      <c r="BK7" s="41">
        <v>0.0</v>
      </c>
      <c r="BL7" s="33"/>
      <c r="BM7" s="33" t="s">
        <v>62</v>
      </c>
      <c r="BN7" s="44"/>
      <c r="BO7" s="33" t="s">
        <v>31</v>
      </c>
      <c r="BP7" s="41">
        <v>0.0</v>
      </c>
      <c r="BQ7" s="41">
        <v>0.0</v>
      </c>
      <c r="BR7" s="41">
        <v>1.0E-4</v>
      </c>
      <c r="BS7" s="33" t="s">
        <v>68</v>
      </c>
      <c r="BT7" s="33" t="s">
        <v>28</v>
      </c>
      <c r="BU7" s="41">
        <v>3.0</v>
      </c>
      <c r="BV7" s="44"/>
      <c r="BW7" s="41">
        <v>14.0001</v>
      </c>
      <c r="BX7" s="41">
        <v>0.0</v>
      </c>
      <c r="BY7" s="33"/>
      <c r="BZ7" s="33"/>
      <c r="CA7" s="33"/>
      <c r="CB7" s="44"/>
      <c r="CC7" s="33"/>
      <c r="CD7" s="33"/>
      <c r="CE7" s="44"/>
      <c r="CF7" s="33" t="s">
        <v>69</v>
      </c>
      <c r="CG7" s="41">
        <v>2.0</v>
      </c>
      <c r="CH7" s="33"/>
      <c r="CI7" s="33" t="s">
        <v>31</v>
      </c>
      <c r="CJ7" s="41">
        <v>0.0</v>
      </c>
      <c r="CK7" s="33" t="s">
        <v>70</v>
      </c>
      <c r="CL7" s="41">
        <v>1.0</v>
      </c>
      <c r="CM7" s="33" t="s">
        <v>28</v>
      </c>
      <c r="CN7" s="33" t="s">
        <v>71</v>
      </c>
      <c r="CO7" s="33" t="s">
        <v>63</v>
      </c>
      <c r="CP7" s="33" t="s">
        <v>72</v>
      </c>
      <c r="CQ7" s="44"/>
      <c r="CR7" s="44"/>
      <c r="CS7" s="33"/>
      <c r="CT7" s="33"/>
      <c r="CU7" s="33"/>
      <c r="CV7" s="33"/>
      <c r="CW7" s="41">
        <v>0.0</v>
      </c>
      <c r="CX7" s="33" t="s">
        <v>53</v>
      </c>
      <c r="CY7" s="33"/>
      <c r="CZ7" s="33"/>
      <c r="DA7" s="33"/>
      <c r="DB7" s="33"/>
      <c r="DC7" s="44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