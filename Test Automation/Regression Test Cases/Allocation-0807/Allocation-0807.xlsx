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GetDataAllocation" sheetId="6" r:id="rId8"/>
    <sheet state="visible" name="SelectUnallocatedGroup" sheetId="7" r:id="rId9"/>
    <sheet state="visible" name="EnterAccountValuesToAllocate" sheetId="8" r:id="rId10"/>
    <sheet state="visible" name="CheckAllocatedTaxlots" sheetId="9" r:id="rId11"/>
  </sheets>
  <definedNames/>
  <calcPr/>
</workbook>
</file>

<file path=xl/sharedStrings.xml><?xml version="1.0" encoding="utf-8"?>
<sst xmlns="http://schemas.openxmlformats.org/spreadsheetml/2006/main" count="206" uniqueCount="40">
  <si>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</si>
  <si>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</si>
  <si>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</si>
  <si>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</si>
  <si>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</si>
  <si>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</si>
  <si>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</si>
  <si>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</si>
  <si>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</si>
  <si>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</si>
  <si>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</si>
  <si>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</si>
  <si>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</si>
  <si>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</si>
  <si>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</si>
  <si>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\\192.168.2.108\DistributedAutomation_Master\Import Cases\Transaction_Import(AL-0807).csv</t>
  </si>
  <si>
    <t>Cameron</t>
  </si>
  <si>
    <t>Transaction</t>
  </si>
  <si>
    <t>SelectAllOnImport</t>
  </si>
  <si>
    <t>Allocation</t>
  </si>
  <si>
    <t>GetDataAllocation</t>
  </si>
  <si>
    <t>Historical</t>
  </si>
  <si>
    <t>SelectUnallocatedGroup</t>
  </si>
  <si>
    <t>ES Z6</t>
  </si>
  <si>
    <t>Buy</t>
  </si>
  <si>
    <t>Sell</t>
  </si>
  <si>
    <t>O:AAPL 13G420.00</t>
  </si>
  <si>
    <t>Buy to Open</t>
  </si>
  <si>
    <t>Buy to Close</t>
  </si>
  <si>
    <t>Sell short</t>
  </si>
  <si>
    <t>CSCO</t>
  </si>
  <si>
    <t>EnterAccountValuesToAllocate</t>
  </si>
  <si>
    <t>Allocation1</t>
  </si>
  <si>
    <t>Allocation2</t>
  </si>
  <si>
    <t>Allocation3</t>
  </si>
  <si>
    <t>Allocation4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</si>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</sst>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center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65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3"/>
      <c r="E6" s="34" t="s">
        <v>15</v>
      </c>
      <c r="F6" s="35" t="s">
        <v>16</v>
      </c>
      <c r="G6" s="35" t="s">
        <v>17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8">
        <f>TODAY()-300</f>
        <v>45590</v>
      </c>
      <c r="D6" s="38">
        <f>TODAY()-1</f>
        <v>45889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23</v>
      </c>
      <c r="C6" s="39" t="s">
        <v>24</v>
      </c>
      <c r="D6" s="40">
        <v>771.0</v>
      </c>
      <c r="E6" s="40">
        <v>771.0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23</v>
      </c>
      <c r="C7" s="39" t="s">
        <v>24</v>
      </c>
      <c r="D7" s="40">
        <v>30.0</v>
      </c>
      <c r="E7" s="40">
        <v>30.0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23</v>
      </c>
      <c r="C8" s="39" t="s">
        <v>25</v>
      </c>
      <c r="D8" s="40">
        <v>500.0</v>
      </c>
      <c r="E8" s="40">
        <v>500.0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26</v>
      </c>
      <c r="C9" s="39" t="s">
        <v>27</v>
      </c>
      <c r="D9" s="40">
        <v>500.0</v>
      </c>
      <c r="E9" s="40">
        <v>500.0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26</v>
      </c>
      <c r="C10" s="39" t="s">
        <v>28</v>
      </c>
      <c r="D10" s="40">
        <v>500.0</v>
      </c>
      <c r="E10" s="40">
        <v>500.0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26</v>
      </c>
      <c r="C11" s="39" t="s">
        <v>29</v>
      </c>
      <c r="D11" s="40">
        <v>100.0</v>
      </c>
      <c r="E11" s="40">
        <v>100.0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30</v>
      </c>
      <c r="C12" s="39" t="s">
        <v>24</v>
      </c>
      <c r="D12" s="40">
        <v>121.0</v>
      </c>
      <c r="E12" s="40">
        <v>121.0</v>
      </c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30</v>
      </c>
      <c r="C13" s="39" t="s">
        <v>24</v>
      </c>
      <c r="D13" s="40">
        <v>100.0</v>
      </c>
      <c r="E13" s="40">
        <v>100.0</v>
      </c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>
        <v>65.0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33</v>
      </c>
      <c r="C7" s="13">
        <v>23.0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34</v>
      </c>
      <c r="C8" s="13">
        <v>7.0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35</v>
      </c>
      <c r="C9" s="13">
        <v>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v>50109.1206692607</v>
      </c>
      <c r="C6" s="41">
        <v>50109.1206692607</v>
      </c>
      <c r="D6" s="41">
        <v>50100.0</v>
      </c>
      <c r="E6" s="41">
        <v>50100.0</v>
      </c>
      <c r="F6" s="42" t="s">
        <v>37</v>
      </c>
      <c r="G6" s="8"/>
      <c r="H6" s="42" t="s">
        <v>38</v>
      </c>
      <c r="I6" s="8"/>
      <c r="J6" s="8"/>
      <c r="K6" s="8"/>
      <c r="L6" s="8"/>
      <c r="M6" s="8"/>
      <c r="N6" s="8"/>
      <c r="O6" s="42" t="s">
        <v>32</v>
      </c>
      <c r="P6" s="42" t="s">
        <v>39</v>
      </c>
      <c r="Q6" s="43">
        <v>64.98054504</v>
      </c>
      <c r="R6" s="43">
        <v>501.0</v>
      </c>
      <c r="AI6" s="43">
        <v>2.0</v>
      </c>
      <c r="AJ6" s="43">
        <v>0.0</v>
      </c>
      <c r="AK6" s="43">
        <v>1.0</v>
      </c>
      <c r="AL6" s="43">
        <v>3.0</v>
      </c>
    </row>
    <row r="7" ht="15.75" customHeight="1">
      <c r="A7" s="8"/>
      <c r="B7" s="41">
        <v>17703.2222723735</v>
      </c>
      <c r="C7" s="41">
        <v>17703.2222723735</v>
      </c>
      <c r="D7" s="41">
        <v>17700.0</v>
      </c>
      <c r="E7" s="41">
        <v>17700.0</v>
      </c>
      <c r="F7" s="42" t="s">
        <v>37</v>
      </c>
      <c r="G7" s="8"/>
      <c r="H7" s="42" t="s">
        <v>38</v>
      </c>
      <c r="I7" s="8"/>
      <c r="J7" s="8"/>
      <c r="K7" s="8"/>
      <c r="L7" s="8"/>
      <c r="M7" s="8"/>
      <c r="N7" s="8"/>
      <c r="O7" s="42" t="s">
        <v>33</v>
      </c>
      <c r="P7" s="42" t="s">
        <v>39</v>
      </c>
      <c r="Q7" s="43">
        <v>22.9571991</v>
      </c>
      <c r="R7" s="43">
        <v>177.0</v>
      </c>
      <c r="AI7" s="43">
        <v>2.0</v>
      </c>
      <c r="AJ7" s="43">
        <v>0.0</v>
      </c>
      <c r="AK7" s="43">
        <v>1.0</v>
      </c>
      <c r="AL7" s="43">
        <v>3.0</v>
      </c>
    </row>
    <row r="8" ht="15.75" customHeight="1">
      <c r="A8" s="8"/>
      <c r="B8" s="41">
        <v>5400.98306614786</v>
      </c>
      <c r="C8" s="41">
        <v>5400.98306614786</v>
      </c>
      <c r="D8" s="41">
        <v>5400.0</v>
      </c>
      <c r="E8" s="41">
        <v>5400.0</v>
      </c>
      <c r="F8" s="42" t="s">
        <v>37</v>
      </c>
      <c r="G8" s="8"/>
      <c r="H8" s="42" t="s">
        <v>38</v>
      </c>
      <c r="I8" s="8"/>
      <c r="J8" s="8"/>
      <c r="K8" s="8"/>
      <c r="L8" s="8"/>
      <c r="M8" s="8"/>
      <c r="N8" s="8"/>
      <c r="O8" s="42" t="s">
        <v>34</v>
      </c>
      <c r="P8" s="42" t="s">
        <v>39</v>
      </c>
      <c r="Q8" s="43">
        <v>7.003890991</v>
      </c>
      <c r="R8" s="43">
        <v>54.0</v>
      </c>
      <c r="AI8" s="43">
        <v>2.0</v>
      </c>
      <c r="AJ8" s="43">
        <v>0.0</v>
      </c>
      <c r="AK8" s="43">
        <v>1.0</v>
      </c>
      <c r="AL8" s="43">
        <v>3.0</v>
      </c>
    </row>
    <row r="9" ht="15.75" customHeight="1">
      <c r="A9" s="8"/>
      <c r="B9" s="41">
        <v>3900.7099922179</v>
      </c>
      <c r="C9" s="41">
        <v>3900.7099922179</v>
      </c>
      <c r="D9" s="41">
        <v>3900.0</v>
      </c>
      <c r="E9" s="41">
        <v>3900.0</v>
      </c>
      <c r="F9" s="42" t="s">
        <v>37</v>
      </c>
      <c r="G9" s="8"/>
      <c r="H9" s="42" t="s">
        <v>38</v>
      </c>
      <c r="I9" s="8"/>
      <c r="J9" s="8"/>
      <c r="K9" s="8"/>
      <c r="L9" s="8"/>
      <c r="M9" s="8"/>
      <c r="N9" s="8"/>
      <c r="O9" s="42" t="s">
        <v>35</v>
      </c>
      <c r="P9" s="42" t="s">
        <v>39</v>
      </c>
      <c r="Q9" s="43">
        <v>5.058365822</v>
      </c>
      <c r="R9" s="43">
        <v>39.0</v>
      </c>
      <c r="AI9" s="43">
        <v>2.0</v>
      </c>
      <c r="AJ9" s="43">
        <v>0.0</v>
      </c>
      <c r="AK9" s="43">
        <v>1.0</v>
      </c>
      <c r="AL9" s="43">
        <v>3.0</v>
      </c>
    </row>
    <row r="10" ht="15.75" customHeight="1">
      <c r="A10" s="8"/>
      <c r="B10" s="41">
        <v>32490.8766</v>
      </c>
      <c r="C10" s="41">
        <v>32490.8766</v>
      </c>
      <c r="D10" s="41">
        <v>32500.0</v>
      </c>
      <c r="E10" s="41">
        <v>32500.0</v>
      </c>
      <c r="F10" s="42" t="s">
        <v>37</v>
      </c>
      <c r="G10" s="8"/>
      <c r="H10" s="42" t="s">
        <v>38</v>
      </c>
      <c r="I10" s="8"/>
      <c r="J10" s="8"/>
      <c r="K10" s="8"/>
      <c r="L10" s="8"/>
      <c r="M10" s="8"/>
      <c r="N10" s="8"/>
      <c r="O10" s="42" t="s">
        <v>32</v>
      </c>
      <c r="P10" s="42" t="s">
        <v>39</v>
      </c>
      <c r="Q10" s="43">
        <v>65.0</v>
      </c>
      <c r="R10" s="43">
        <v>325.0</v>
      </c>
      <c r="AI10" s="43">
        <v>2.0</v>
      </c>
      <c r="AJ10" s="43">
        <v>0.0</v>
      </c>
      <c r="AK10" s="43">
        <v>1.0</v>
      </c>
      <c r="AL10" s="43">
        <v>3.0</v>
      </c>
    </row>
    <row r="11" ht="15.75" customHeight="1">
      <c r="A11" s="8"/>
      <c r="B11" s="41">
        <v>2499.2982</v>
      </c>
      <c r="C11" s="41">
        <v>2499.2982</v>
      </c>
      <c r="D11" s="41">
        <v>2500.0</v>
      </c>
      <c r="E11" s="41">
        <v>2500.0</v>
      </c>
      <c r="F11" s="42" t="s">
        <v>37</v>
      </c>
      <c r="G11" s="8"/>
      <c r="H11" s="42" t="s">
        <v>38</v>
      </c>
      <c r="I11" s="8"/>
      <c r="J11" s="8"/>
      <c r="K11" s="8"/>
      <c r="L11" s="8"/>
      <c r="M11" s="8"/>
      <c r="N11" s="8"/>
      <c r="O11" s="42" t="s">
        <v>35</v>
      </c>
      <c r="P11" s="42" t="s">
        <v>39</v>
      </c>
      <c r="Q11" s="43">
        <v>5.0</v>
      </c>
      <c r="R11" s="43">
        <v>25.0</v>
      </c>
      <c r="AI11" s="43">
        <v>2.0</v>
      </c>
      <c r="AJ11" s="43">
        <v>0.0</v>
      </c>
      <c r="AK11" s="43">
        <v>1.0</v>
      </c>
      <c r="AL11" s="43">
        <v>3.0</v>
      </c>
    </row>
    <row r="12" ht="15.75" customHeight="1">
      <c r="A12" s="8"/>
      <c r="B12" s="41">
        <v>3499.01748</v>
      </c>
      <c r="C12" s="41">
        <v>3499.01748</v>
      </c>
      <c r="D12" s="41">
        <v>3500.0</v>
      </c>
      <c r="E12" s="41">
        <v>3500.0</v>
      </c>
      <c r="F12" s="42" t="s">
        <v>37</v>
      </c>
      <c r="G12" s="8"/>
      <c r="H12" s="42" t="s">
        <v>38</v>
      </c>
      <c r="I12" s="8"/>
      <c r="J12" s="8"/>
      <c r="K12" s="8"/>
      <c r="L12" s="8"/>
      <c r="M12" s="8"/>
      <c r="N12" s="8"/>
      <c r="O12" s="42" t="s">
        <v>34</v>
      </c>
      <c r="P12" s="42" t="s">
        <v>39</v>
      </c>
      <c r="Q12" s="43">
        <v>7.0</v>
      </c>
      <c r="R12" s="43">
        <v>35.0</v>
      </c>
      <c r="AI12" s="43">
        <v>2.0</v>
      </c>
      <c r="AJ12" s="43">
        <v>0.0</v>
      </c>
      <c r="AK12" s="43">
        <v>1.0</v>
      </c>
      <c r="AL12" s="43">
        <v>3.0</v>
      </c>
    </row>
    <row r="13" ht="15.75" customHeight="1">
      <c r="A13" s="8"/>
      <c r="B13" s="41">
        <v>11496.77172</v>
      </c>
      <c r="C13" s="41">
        <v>11496.77172</v>
      </c>
      <c r="D13" s="41">
        <v>11500.0</v>
      </c>
      <c r="E13" s="41">
        <v>11500.0</v>
      </c>
      <c r="F13" s="42" t="s">
        <v>37</v>
      </c>
      <c r="G13" s="8"/>
      <c r="H13" s="42" t="s">
        <v>38</v>
      </c>
      <c r="I13" s="8"/>
      <c r="J13" s="8"/>
      <c r="K13" s="8"/>
      <c r="L13" s="8"/>
      <c r="M13" s="8"/>
      <c r="N13" s="8"/>
      <c r="O13" s="42" t="s">
        <v>33</v>
      </c>
      <c r="P13" s="42" t="s">
        <v>39</v>
      </c>
      <c r="Q13" s="43">
        <v>23.0</v>
      </c>
      <c r="R13" s="43">
        <v>115.0</v>
      </c>
      <c r="AI13" s="43">
        <v>2.0</v>
      </c>
      <c r="AJ13" s="43">
        <v>0.0</v>
      </c>
      <c r="AK13" s="43">
        <v>1.0</v>
      </c>
      <c r="AL13" s="43">
        <v>3.0</v>
      </c>
    </row>
    <row r="14" ht="15.75" customHeight="1">
      <c r="A14" s="8"/>
      <c r="B14" s="41">
        <v>162509.1234</v>
      </c>
      <c r="C14" s="41">
        <v>162509.1234</v>
      </c>
      <c r="D14" s="41">
        <v>162500.0</v>
      </c>
      <c r="E14" s="41">
        <v>162500.0</v>
      </c>
      <c r="F14" s="42" t="s">
        <v>37</v>
      </c>
      <c r="G14" s="8"/>
      <c r="H14" s="42" t="s">
        <v>38</v>
      </c>
      <c r="I14" s="8"/>
      <c r="J14" s="8"/>
      <c r="K14" s="8"/>
      <c r="L14" s="8"/>
      <c r="M14" s="8"/>
      <c r="N14" s="8"/>
      <c r="O14" s="42" t="s">
        <v>32</v>
      </c>
      <c r="P14" s="42" t="s">
        <v>39</v>
      </c>
      <c r="Q14" s="43">
        <v>65.0</v>
      </c>
      <c r="R14" s="43">
        <v>325.0</v>
      </c>
      <c r="AI14" s="43">
        <v>5.0</v>
      </c>
      <c r="AJ14" s="43">
        <v>0.0</v>
      </c>
      <c r="AK14" s="43">
        <v>1.0</v>
      </c>
      <c r="AL14" s="43">
        <v>3.0</v>
      </c>
    </row>
    <row r="15" ht="15.75" customHeight="1">
      <c r="A15" s="8"/>
      <c r="B15" s="41">
        <v>57503.22828</v>
      </c>
      <c r="C15" s="41">
        <v>57503.22828</v>
      </c>
      <c r="D15" s="41">
        <v>57500.0</v>
      </c>
      <c r="E15" s="41">
        <v>57500.0</v>
      </c>
      <c r="F15" s="42" t="s">
        <v>37</v>
      </c>
      <c r="G15" s="8"/>
      <c r="H15" s="42" t="s">
        <v>38</v>
      </c>
      <c r="I15" s="8"/>
      <c r="J15" s="8"/>
      <c r="K15" s="8"/>
      <c r="L15" s="8"/>
      <c r="M15" s="8"/>
      <c r="N15" s="8"/>
      <c r="O15" s="42" t="s">
        <v>33</v>
      </c>
      <c r="P15" s="42" t="s">
        <v>39</v>
      </c>
      <c r="Q15" s="43">
        <v>23.0</v>
      </c>
      <c r="R15" s="43">
        <v>115.0</v>
      </c>
      <c r="AI15" s="43">
        <v>5.0</v>
      </c>
      <c r="AJ15" s="43">
        <v>0.0</v>
      </c>
      <c r="AK15" s="43">
        <v>1.0</v>
      </c>
      <c r="AL15" s="43">
        <v>3.0</v>
      </c>
    </row>
    <row r="16" ht="15.75" customHeight="1">
      <c r="A16" s="8"/>
      <c r="B16" s="41">
        <v>17500.98252</v>
      </c>
      <c r="C16" s="41">
        <v>17500.98252</v>
      </c>
      <c r="D16" s="41">
        <v>17500.0</v>
      </c>
      <c r="E16" s="41">
        <v>17500.0</v>
      </c>
      <c r="F16" s="42" t="s">
        <v>37</v>
      </c>
      <c r="G16" s="8"/>
      <c r="H16" s="42" t="s">
        <v>38</v>
      </c>
      <c r="I16" s="8"/>
      <c r="J16" s="8"/>
      <c r="K16" s="8"/>
      <c r="L16" s="8"/>
      <c r="M16" s="8"/>
      <c r="N16" s="8"/>
      <c r="O16" s="42" t="s">
        <v>34</v>
      </c>
      <c r="P16" s="42" t="s">
        <v>39</v>
      </c>
      <c r="Q16" s="43">
        <v>7.0</v>
      </c>
      <c r="R16" s="43">
        <v>35.0</v>
      </c>
      <c r="AI16" s="43">
        <v>5.0</v>
      </c>
      <c r="AJ16" s="43">
        <v>0.0</v>
      </c>
      <c r="AK16" s="43">
        <v>1.0</v>
      </c>
      <c r="AL16" s="43">
        <v>3.0</v>
      </c>
    </row>
    <row r="17" ht="15.75" customHeight="1">
      <c r="A17" s="8"/>
      <c r="B17" s="41">
        <v>12500.7018</v>
      </c>
      <c r="C17" s="41">
        <v>12500.7018</v>
      </c>
      <c r="D17" s="41">
        <v>12500.0</v>
      </c>
      <c r="E17" s="41">
        <v>12500.0</v>
      </c>
      <c r="F17" s="42" t="s">
        <v>37</v>
      </c>
      <c r="G17" s="8"/>
      <c r="H17" s="42" t="s">
        <v>38</v>
      </c>
      <c r="I17" s="8"/>
      <c r="J17" s="8"/>
      <c r="K17" s="8"/>
      <c r="L17" s="8"/>
      <c r="M17" s="8"/>
      <c r="N17" s="8"/>
      <c r="O17" s="42" t="s">
        <v>35</v>
      </c>
      <c r="P17" s="42" t="s">
        <v>39</v>
      </c>
      <c r="Q17" s="43">
        <v>5.0</v>
      </c>
      <c r="R17" s="43">
        <v>25.0</v>
      </c>
      <c r="AI17" s="43">
        <v>5.0</v>
      </c>
      <c r="AJ17" s="43">
        <v>0.0</v>
      </c>
      <c r="AK17" s="43">
        <v>1.0</v>
      </c>
      <c r="AL17" s="43">
        <v>3.0</v>
      </c>
    </row>
    <row r="18" ht="15.75" customHeight="1">
      <c r="A18" s="8"/>
      <c r="B18" s="41">
        <v>199345.8766</v>
      </c>
      <c r="C18" s="41">
        <v>199345.8766</v>
      </c>
      <c r="D18" s="41">
        <v>199355.0</v>
      </c>
      <c r="E18" s="41">
        <v>199355.0</v>
      </c>
      <c r="F18" s="42" t="s">
        <v>37</v>
      </c>
      <c r="G18" s="8"/>
      <c r="H18" s="42" t="s">
        <v>38</v>
      </c>
      <c r="I18" s="8"/>
      <c r="J18" s="8"/>
      <c r="K18" s="8"/>
      <c r="L18" s="8"/>
      <c r="M18" s="8"/>
      <c r="N18" s="8"/>
      <c r="O18" s="42" t="s">
        <v>32</v>
      </c>
      <c r="P18" s="42" t="s">
        <v>39</v>
      </c>
      <c r="Q18" s="43">
        <v>65.0</v>
      </c>
      <c r="R18" s="43">
        <v>65.0</v>
      </c>
      <c r="AI18" s="43">
        <v>30.67</v>
      </c>
      <c r="AJ18" s="43">
        <v>0.0</v>
      </c>
      <c r="AK18" s="43">
        <v>1.0</v>
      </c>
      <c r="AL18" s="43">
        <v>3.0</v>
      </c>
    </row>
    <row r="19" ht="15.75" customHeight="1">
      <c r="A19" s="8"/>
      <c r="B19" s="41">
        <v>70537.77172</v>
      </c>
      <c r="C19" s="41">
        <v>70537.77172</v>
      </c>
      <c r="D19" s="41">
        <v>70541.0</v>
      </c>
      <c r="E19" s="41">
        <v>70541.0</v>
      </c>
      <c r="F19" s="42" t="s">
        <v>37</v>
      </c>
      <c r="G19" s="8"/>
      <c r="H19" s="42" t="s">
        <v>38</v>
      </c>
      <c r="I19" s="8"/>
      <c r="J19" s="8"/>
      <c r="K19" s="8"/>
      <c r="L19" s="8"/>
      <c r="M19" s="8"/>
      <c r="N19" s="8"/>
      <c r="O19" s="42" t="s">
        <v>33</v>
      </c>
      <c r="P19" s="42" t="s">
        <v>39</v>
      </c>
      <c r="Q19" s="43">
        <v>23.0</v>
      </c>
      <c r="R19" s="43">
        <v>23.0</v>
      </c>
      <c r="AI19" s="43">
        <v>30.67</v>
      </c>
      <c r="AJ19" s="43">
        <v>0.0</v>
      </c>
      <c r="AK19" s="43">
        <v>1.0</v>
      </c>
      <c r="AL19" s="43">
        <v>3.0</v>
      </c>
    </row>
    <row r="20" ht="15.75" customHeight="1">
      <c r="A20" s="8"/>
      <c r="B20" s="41">
        <v>21468.01748</v>
      </c>
      <c r="C20" s="41">
        <v>21468.01748</v>
      </c>
      <c r="D20" s="41">
        <v>21469.0</v>
      </c>
      <c r="E20" s="41">
        <v>21469.0</v>
      </c>
      <c r="F20" s="42" t="s">
        <v>37</v>
      </c>
      <c r="G20" s="8"/>
      <c r="H20" s="42" t="s">
        <v>38</v>
      </c>
      <c r="I20" s="8"/>
      <c r="J20" s="8"/>
      <c r="K20" s="8"/>
      <c r="L20" s="8"/>
      <c r="M20" s="8"/>
      <c r="N20" s="8"/>
      <c r="O20" s="42" t="s">
        <v>34</v>
      </c>
      <c r="P20" s="42" t="s">
        <v>39</v>
      </c>
      <c r="Q20" s="43">
        <v>7.0</v>
      </c>
      <c r="R20" s="43">
        <v>7.0</v>
      </c>
      <c r="AI20" s="43">
        <v>30.67</v>
      </c>
      <c r="AJ20" s="43">
        <v>0.0</v>
      </c>
      <c r="AK20" s="43">
        <v>1.0</v>
      </c>
      <c r="AL20" s="43">
        <v>3.0</v>
      </c>
    </row>
    <row r="21" ht="15.75" customHeight="1">
      <c r="A21" s="8"/>
      <c r="B21" s="41">
        <v>15334.2982</v>
      </c>
      <c r="C21" s="41">
        <v>15334.2982</v>
      </c>
      <c r="D21" s="41">
        <v>15335.0</v>
      </c>
      <c r="E21" s="41">
        <v>15335.0</v>
      </c>
      <c r="F21" s="42" t="s">
        <v>37</v>
      </c>
      <c r="G21" s="8"/>
      <c r="H21" s="42" t="s">
        <v>38</v>
      </c>
      <c r="I21" s="8"/>
      <c r="J21" s="8"/>
      <c r="K21" s="8"/>
      <c r="L21" s="8"/>
      <c r="M21" s="8"/>
      <c r="N21" s="8"/>
      <c r="O21" s="42" t="s">
        <v>35</v>
      </c>
      <c r="P21" s="42" t="s">
        <v>39</v>
      </c>
      <c r="Q21" s="43">
        <v>5.0</v>
      </c>
      <c r="R21" s="43">
        <v>5.0</v>
      </c>
      <c r="AI21" s="43">
        <v>30.67</v>
      </c>
      <c r="AJ21" s="43">
        <v>0.0</v>
      </c>
      <c r="AK21" s="43">
        <v>1.0</v>
      </c>
      <c r="AL21" s="43">
        <v>3.0</v>
      </c>
    </row>
    <row r="22" ht="15.75" customHeight="1">
      <c r="A22" s="8"/>
      <c r="B22" s="41">
        <v>162509.1234</v>
      </c>
      <c r="C22" s="41">
        <v>162509.1234</v>
      </c>
      <c r="D22" s="41">
        <v>162500.0</v>
      </c>
      <c r="E22" s="41">
        <v>162500.0</v>
      </c>
      <c r="F22" s="42" t="s">
        <v>37</v>
      </c>
      <c r="G22" s="8"/>
      <c r="H22" s="42" t="s">
        <v>38</v>
      </c>
      <c r="I22" s="8"/>
      <c r="J22" s="8"/>
      <c r="K22" s="8"/>
      <c r="L22" s="8"/>
      <c r="M22" s="8"/>
      <c r="N22" s="8"/>
      <c r="O22" s="42" t="s">
        <v>32</v>
      </c>
      <c r="P22" s="42" t="s">
        <v>39</v>
      </c>
      <c r="Q22" s="43">
        <v>65.0</v>
      </c>
      <c r="R22" s="43">
        <v>325.0</v>
      </c>
      <c r="AI22" s="43">
        <v>5.0</v>
      </c>
      <c r="AJ22" s="43">
        <v>0.0</v>
      </c>
      <c r="AK22" s="43">
        <v>1.0</v>
      </c>
      <c r="AL22" s="43">
        <v>3.0</v>
      </c>
    </row>
    <row r="23" ht="15.75" customHeight="1">
      <c r="A23" s="8"/>
      <c r="B23" s="41">
        <v>57503.22828</v>
      </c>
      <c r="C23" s="41">
        <v>57503.22828</v>
      </c>
      <c r="D23" s="41">
        <v>57500.0</v>
      </c>
      <c r="E23" s="41">
        <v>57500.0</v>
      </c>
      <c r="F23" s="42" t="s">
        <v>37</v>
      </c>
      <c r="G23" s="8"/>
      <c r="H23" s="42" t="s">
        <v>38</v>
      </c>
      <c r="I23" s="8"/>
      <c r="J23" s="8"/>
      <c r="K23" s="8"/>
      <c r="L23" s="8"/>
      <c r="M23" s="8"/>
      <c r="N23" s="8"/>
      <c r="O23" s="42" t="s">
        <v>33</v>
      </c>
      <c r="P23" s="42" t="s">
        <v>39</v>
      </c>
      <c r="Q23" s="43">
        <v>23.0</v>
      </c>
      <c r="R23" s="43">
        <v>115.0</v>
      </c>
      <c r="AI23" s="43">
        <v>5.0</v>
      </c>
      <c r="AJ23" s="43">
        <v>0.0</v>
      </c>
      <c r="AK23" s="43">
        <v>1.0</v>
      </c>
      <c r="AL23" s="43">
        <v>3.0</v>
      </c>
    </row>
    <row r="24" ht="15.75" customHeight="1">
      <c r="A24" s="8"/>
      <c r="B24" s="41">
        <v>17500.98252</v>
      </c>
      <c r="C24" s="41">
        <v>17500.98252</v>
      </c>
      <c r="D24" s="41">
        <v>17500.0</v>
      </c>
      <c r="E24" s="41">
        <v>17500.0</v>
      </c>
      <c r="F24" s="42" t="s">
        <v>37</v>
      </c>
      <c r="G24" s="8"/>
      <c r="H24" s="42" t="s">
        <v>38</v>
      </c>
      <c r="I24" s="8"/>
      <c r="J24" s="8"/>
      <c r="K24" s="8"/>
      <c r="L24" s="8"/>
      <c r="M24" s="8"/>
      <c r="N24" s="8"/>
      <c r="O24" s="42" t="s">
        <v>34</v>
      </c>
      <c r="P24" s="42" t="s">
        <v>39</v>
      </c>
      <c r="Q24" s="43">
        <v>7.0</v>
      </c>
      <c r="R24" s="43">
        <v>35.0</v>
      </c>
      <c r="AI24" s="43">
        <v>5.0</v>
      </c>
      <c r="AJ24" s="43">
        <v>0.0</v>
      </c>
      <c r="AK24" s="43">
        <v>1.0</v>
      </c>
      <c r="AL24" s="43">
        <v>3.0</v>
      </c>
    </row>
    <row r="25" ht="15.75" customHeight="1">
      <c r="A25" s="8"/>
      <c r="B25" s="41">
        <v>12500.7018</v>
      </c>
      <c r="C25" s="41">
        <v>12500.7018</v>
      </c>
      <c r="D25" s="41">
        <v>12500.0</v>
      </c>
      <c r="E25" s="41">
        <v>12500.0</v>
      </c>
      <c r="F25" s="42" t="s">
        <v>37</v>
      </c>
      <c r="G25" s="8"/>
      <c r="H25" s="42" t="s">
        <v>38</v>
      </c>
      <c r="I25" s="8"/>
      <c r="J25" s="8"/>
      <c r="K25" s="8"/>
      <c r="L25" s="8"/>
      <c r="M25" s="8"/>
      <c r="N25" s="8"/>
      <c r="O25" s="42" t="s">
        <v>35</v>
      </c>
      <c r="P25" s="42" t="s">
        <v>39</v>
      </c>
      <c r="Q25" s="43">
        <v>5.0</v>
      </c>
      <c r="R25" s="43">
        <v>25.0</v>
      </c>
      <c r="AI25" s="43">
        <v>5.0</v>
      </c>
      <c r="AJ25" s="43">
        <v>0.0</v>
      </c>
      <c r="AK25" s="43">
        <v>1.0</v>
      </c>
      <c r="AL25" s="43">
        <v>3.0</v>
      </c>
    </row>
    <row r="26" ht="15.75" customHeight="1">
      <c r="A26" s="8"/>
      <c r="B26" s="43">
        <v>7.980007</v>
      </c>
      <c r="C26" s="43">
        <v>7.980007</v>
      </c>
      <c r="D26" s="43">
        <v>7.0</v>
      </c>
      <c r="E26" s="43">
        <v>7.0</v>
      </c>
      <c r="F26" s="42" t="s">
        <v>37</v>
      </c>
      <c r="G26" s="8"/>
      <c r="H26" s="42" t="s">
        <v>38</v>
      </c>
      <c r="I26" s="8"/>
      <c r="J26" s="8"/>
      <c r="K26" s="8"/>
      <c r="L26" s="8"/>
      <c r="M26" s="8"/>
      <c r="N26" s="8"/>
      <c r="O26" s="42" t="s">
        <v>34</v>
      </c>
      <c r="P26" s="42" t="s">
        <v>39</v>
      </c>
      <c r="Q26" s="43">
        <v>7.0</v>
      </c>
      <c r="R26" s="43">
        <v>7.0</v>
      </c>
      <c r="AI26" s="43">
        <v>1.0</v>
      </c>
      <c r="AJ26" s="43">
        <v>0.0</v>
      </c>
      <c r="AK26" s="43">
        <v>1.0</v>
      </c>
      <c r="AL26" s="43">
        <v>3.0</v>
      </c>
    </row>
    <row r="27" ht="15.75" customHeight="1">
      <c r="B27" s="43">
        <v>5.700005</v>
      </c>
      <c r="C27" s="43">
        <v>5.700005</v>
      </c>
      <c r="D27" s="43">
        <v>5.0</v>
      </c>
      <c r="E27" s="43">
        <v>5.0</v>
      </c>
      <c r="F27" s="42" t="s">
        <v>37</v>
      </c>
      <c r="H27" s="42" t="s">
        <v>38</v>
      </c>
      <c r="O27" s="42" t="s">
        <v>35</v>
      </c>
      <c r="P27" s="42" t="s">
        <v>39</v>
      </c>
      <c r="Q27" s="43">
        <v>5.0</v>
      </c>
      <c r="R27" s="43">
        <v>5.0</v>
      </c>
      <c r="AI27" s="43">
        <v>1.0</v>
      </c>
      <c r="AJ27" s="43">
        <v>0.0</v>
      </c>
      <c r="AK27" s="43">
        <v>1.0</v>
      </c>
      <c r="AL27" s="43">
        <v>3.0</v>
      </c>
    </row>
    <row r="28" ht="15.75" customHeight="1">
      <c r="B28" s="43">
        <v>26.220023</v>
      </c>
      <c r="C28" s="43">
        <v>26.220023</v>
      </c>
      <c r="D28" s="43">
        <v>23.0</v>
      </c>
      <c r="E28" s="43">
        <v>23.0</v>
      </c>
      <c r="F28" s="42" t="s">
        <v>37</v>
      </c>
      <c r="H28" s="42" t="s">
        <v>38</v>
      </c>
      <c r="O28" s="42" t="s">
        <v>33</v>
      </c>
      <c r="P28" s="42" t="s">
        <v>39</v>
      </c>
      <c r="Q28" s="43">
        <v>23.0</v>
      </c>
      <c r="R28" s="43">
        <v>23.0</v>
      </c>
      <c r="AI28" s="43">
        <v>1.0</v>
      </c>
      <c r="AJ28" s="43">
        <v>0.0</v>
      </c>
      <c r="AK28" s="43">
        <v>1.0</v>
      </c>
      <c r="AL28" s="43">
        <v>3.0</v>
      </c>
    </row>
    <row r="29" ht="15.75" customHeight="1">
      <c r="B29" s="43">
        <v>74.100065</v>
      </c>
      <c r="C29" s="43">
        <v>74.100065</v>
      </c>
      <c r="D29" s="43">
        <v>65.0</v>
      </c>
      <c r="E29" s="43">
        <v>65.0</v>
      </c>
      <c r="F29" s="42" t="s">
        <v>37</v>
      </c>
      <c r="H29" s="42" t="s">
        <v>38</v>
      </c>
      <c r="O29" s="42" t="s">
        <v>32</v>
      </c>
      <c r="P29" s="42" t="s">
        <v>39</v>
      </c>
      <c r="Q29" s="43">
        <v>65.0</v>
      </c>
      <c r="R29" s="43">
        <v>65.0</v>
      </c>
      <c r="AI29" s="43">
        <v>1.0</v>
      </c>
      <c r="AJ29" s="43">
        <v>0.0</v>
      </c>
      <c r="AK29" s="43">
        <v>1.0</v>
      </c>
      <c r="AL29" s="43">
        <v>3.0</v>
      </c>
    </row>
    <row r="30" ht="15.75" customHeight="1">
      <c r="B30" s="43">
        <v>8.92562644628099</v>
      </c>
      <c r="C30" s="43">
        <v>8.92562644628099</v>
      </c>
      <c r="D30" s="43">
        <v>8.0</v>
      </c>
      <c r="E30" s="43">
        <v>8.0</v>
      </c>
      <c r="F30" s="42" t="s">
        <v>37</v>
      </c>
      <c r="H30" s="42" t="s">
        <v>38</v>
      </c>
      <c r="O30" s="42" t="s">
        <v>34</v>
      </c>
      <c r="P30" s="42" t="s">
        <v>39</v>
      </c>
      <c r="Q30" s="43">
        <v>6.611570358</v>
      </c>
      <c r="R30" s="43">
        <v>8.0</v>
      </c>
      <c r="AI30" s="43">
        <v>1.0</v>
      </c>
      <c r="AJ30" s="43">
        <v>0.0</v>
      </c>
      <c r="AK30" s="43">
        <v>1.0</v>
      </c>
      <c r="AL30" s="43">
        <v>3.0</v>
      </c>
    </row>
    <row r="31" ht="15.75" customHeight="1">
      <c r="B31" s="43">
        <v>6.69421983471074</v>
      </c>
      <c r="C31" s="43">
        <v>6.69421983471074</v>
      </c>
      <c r="D31" s="43">
        <v>6.0</v>
      </c>
      <c r="E31" s="43">
        <v>6.0</v>
      </c>
      <c r="F31" s="42" t="s">
        <v>37</v>
      </c>
      <c r="H31" s="42" t="s">
        <v>38</v>
      </c>
      <c r="O31" s="42" t="s">
        <v>35</v>
      </c>
      <c r="P31" s="42" t="s">
        <v>39</v>
      </c>
      <c r="Q31" s="43">
        <v>4.958677769</v>
      </c>
      <c r="R31" s="43">
        <v>6.0</v>
      </c>
      <c r="AI31" s="43">
        <v>1.0</v>
      </c>
      <c r="AJ31" s="43">
        <v>0.0</v>
      </c>
      <c r="AK31" s="43">
        <v>1.0</v>
      </c>
      <c r="AL31" s="43">
        <v>3.0</v>
      </c>
    </row>
    <row r="32" ht="15.75" customHeight="1">
      <c r="B32" s="43">
        <v>31.2396925619835</v>
      </c>
      <c r="C32" s="43">
        <v>31.2396925619835</v>
      </c>
      <c r="D32" s="43">
        <v>28.0</v>
      </c>
      <c r="E32" s="43">
        <v>28.0</v>
      </c>
      <c r="F32" s="42" t="s">
        <v>37</v>
      </c>
      <c r="H32" s="42" t="s">
        <v>38</v>
      </c>
      <c r="O32" s="42" t="s">
        <v>33</v>
      </c>
      <c r="P32" s="42" t="s">
        <v>39</v>
      </c>
      <c r="Q32" s="43">
        <v>23.1404953</v>
      </c>
      <c r="R32" s="43">
        <v>28.0</v>
      </c>
      <c r="AI32" s="43">
        <v>1.0</v>
      </c>
      <c r="AJ32" s="43">
        <v>0.0</v>
      </c>
      <c r="AK32" s="43">
        <v>1.0</v>
      </c>
      <c r="AL32" s="43">
        <v>3.0</v>
      </c>
    </row>
    <row r="33" ht="15.75" customHeight="1">
      <c r="B33" s="43">
        <v>88.1405611570248</v>
      </c>
      <c r="C33" s="43">
        <v>88.1405611570248</v>
      </c>
      <c r="D33" s="43">
        <v>79.0</v>
      </c>
      <c r="E33" s="43">
        <v>79.0</v>
      </c>
      <c r="F33" s="42" t="s">
        <v>37</v>
      </c>
      <c r="H33" s="42" t="s">
        <v>38</v>
      </c>
      <c r="O33" s="42" t="s">
        <v>32</v>
      </c>
      <c r="P33" s="42" t="s">
        <v>39</v>
      </c>
      <c r="Q33" s="43">
        <v>65.28925323</v>
      </c>
      <c r="R33" s="43">
        <v>79.0</v>
      </c>
      <c r="AI33" s="43">
        <v>1.0</v>
      </c>
      <c r="AJ33" s="43">
        <v>0.0</v>
      </c>
      <c r="AK33" s="43">
        <v>1.0</v>
      </c>
      <c r="AL33" s="43">
        <v>3.0</v>
      </c>
    </row>
    <row r="34" ht="15.75" customHeight="1">
      <c r="B34" s="43">
        <v>353.275066666662</v>
      </c>
      <c r="C34" s="43">
        <v>353.275066666662</v>
      </c>
      <c r="D34" s="43">
        <v>350.0</v>
      </c>
      <c r="E34" s="43">
        <v>350.0</v>
      </c>
      <c r="F34" s="42" t="s">
        <v>37</v>
      </c>
      <c r="H34" s="42" t="s">
        <v>38</v>
      </c>
      <c r="O34" s="42" t="s">
        <v>33</v>
      </c>
      <c r="P34" s="42" t="s">
        <v>39</v>
      </c>
      <c r="Q34" s="43">
        <v>23.33333588</v>
      </c>
      <c r="R34" s="43">
        <v>7.0</v>
      </c>
      <c r="AI34" s="43">
        <v>1.0</v>
      </c>
      <c r="AJ34" s="43">
        <v>0.0</v>
      </c>
      <c r="AK34" s="43">
        <v>1.0</v>
      </c>
      <c r="AL34" s="43">
        <v>3.0</v>
      </c>
    </row>
    <row r="35" ht="15.75" customHeight="1">
      <c r="B35" s="43">
        <v>100.935733333338</v>
      </c>
      <c r="C35" s="43">
        <v>100.935733333338</v>
      </c>
      <c r="D35" s="43">
        <v>100.0</v>
      </c>
      <c r="E35" s="43">
        <v>100.0</v>
      </c>
      <c r="F35" s="42" t="s">
        <v>37</v>
      </c>
      <c r="H35" s="42" t="s">
        <v>38</v>
      </c>
      <c r="O35" s="42" t="s">
        <v>34</v>
      </c>
      <c r="P35" s="42" t="s">
        <v>39</v>
      </c>
      <c r="Q35" s="43">
        <v>6.666666031</v>
      </c>
      <c r="R35" s="43">
        <v>2.0</v>
      </c>
      <c r="AI35" s="43">
        <v>1.0</v>
      </c>
      <c r="AJ35" s="43">
        <v>0.0</v>
      </c>
      <c r="AK35" s="43">
        <v>1.0</v>
      </c>
      <c r="AL35" s="43">
        <v>3.0</v>
      </c>
    </row>
    <row r="36" ht="15.75" customHeight="1">
      <c r="B36" s="41">
        <v>1009.35733333334</v>
      </c>
      <c r="C36" s="41">
        <v>1009.35733333334</v>
      </c>
      <c r="D36" s="41">
        <v>1000.0</v>
      </c>
      <c r="E36" s="41">
        <v>1000.0</v>
      </c>
      <c r="F36" s="42" t="s">
        <v>37</v>
      </c>
      <c r="H36" s="42" t="s">
        <v>38</v>
      </c>
      <c r="O36" s="42" t="s">
        <v>32</v>
      </c>
      <c r="P36" s="42" t="s">
        <v>39</v>
      </c>
      <c r="Q36" s="43">
        <v>66.66666412</v>
      </c>
      <c r="R36" s="43">
        <v>20.0</v>
      </c>
      <c r="AI36" s="43">
        <v>1.0</v>
      </c>
      <c r="AJ36" s="43">
        <v>0.0</v>
      </c>
      <c r="AK36" s="43">
        <v>1.0</v>
      </c>
      <c r="AL36" s="43">
        <v>3.0</v>
      </c>
    </row>
    <row r="37" ht="15.75" customHeight="1">
      <c r="B37" s="43">
        <v>50.467866666662</v>
      </c>
      <c r="C37" s="43">
        <v>50.467866666662</v>
      </c>
      <c r="D37" s="43">
        <v>50.0</v>
      </c>
      <c r="E37" s="43">
        <v>50.0</v>
      </c>
      <c r="F37" s="42" t="s">
        <v>37</v>
      </c>
      <c r="H37" s="42" t="s">
        <v>38</v>
      </c>
      <c r="O37" s="42" t="s">
        <v>35</v>
      </c>
      <c r="P37" s="42" t="s">
        <v>39</v>
      </c>
      <c r="Q37" s="43">
        <v>3.333333015</v>
      </c>
      <c r="R37" s="43">
        <v>1.0</v>
      </c>
      <c r="AI37" s="43">
        <v>1.0</v>
      </c>
      <c r="AJ37" s="43">
        <v>0.0</v>
      </c>
      <c r="AK37" s="43">
        <v>1.0</v>
      </c>
      <c r="AL37" s="43">
        <v>3.0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