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1" sheetId="8" r:id="rId10"/>
    <sheet state="visible" name="ExecuteTrade1" sheetId="9" r:id="rId11"/>
    <sheet state="visible" name="VerifyOrder" sheetId="10" r:id="rId12"/>
    <sheet state="visible" name="Copy of Data" sheetId="11" r:id="rId13"/>
  </sheets>
  <definedNames/>
  <calcPr/>
</workbook>
</file>

<file path=xl/sharedStrings.xml><?xml version="1.0" encoding="utf-8"?>
<sst xmlns="http://schemas.openxmlformats.org/spreadsheetml/2006/main" count="83" uniqueCount="30">
  <si>
    <t>Modules Info</t>
  </si>
  <si>
    <t>Settings</t>
  </si>
  <si>
    <t>Master Data Info</t>
  </si>
  <si>
    <t>Module</t>
  </si>
  <si>
    <t>Modules</t>
  </si>
  <si>
    <t>Module Step Setting File</t>
  </si>
  <si>
    <t>Step</t>
  </si>
  <si>
    <t>Master Data Sheet</t>
  </si>
  <si>
    <t>1BICZ_GcMhh_S937ZinFvSYqvvKYtOYB2Bc4woEPpgPg</t>
  </si>
  <si>
    <t>Master Data Settings File</t>
  </si>
  <si>
    <t>1Nt_rf5DtgjbN9Ag4AMMlUkZYROxKZLH5m54YOl7tRT0</t>
  </si>
  <si>
    <t>Data</t>
  </si>
  <si>
    <t>TradingTicket</t>
  </si>
  <si>
    <t>CreateLiveOrder</t>
  </si>
  <si>
    <t>Data Format</t>
  </si>
  <si>
    <t>Input Format</t>
  </si>
  <si>
    <t>AAPL</t>
  </si>
  <si>
    <t>Buy</t>
  </si>
  <si>
    <t>Allocation1</t>
  </si>
  <si>
    <t>MS</t>
  </si>
  <si>
    <t>Simulator</t>
  </si>
  <si>
    <t>AcknowledgeTrade</t>
  </si>
  <si>
    <t>SelectTrade</t>
  </si>
  <si>
    <t>ExecuteTrade</t>
  </si>
  <si>
    <t>Blotter</t>
  </si>
  <si>
    <t>VerifyOrder</t>
  </si>
  <si>
    <t>PartiallyFilled</t>
  </si>
  <si>
    <t>CreateDoneAwayOrder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</si>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</sst>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4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9" t="s">
        <v>4</v>
      </c>
      <c r="B3" s="11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1</v>
      </c>
      <c r="B1" s="3"/>
      <c r="C1" s="5"/>
    </row>
    <row r="2" ht="15.75" customHeight="1">
      <c r="A2" s="7"/>
      <c r="B2" s="7"/>
      <c r="C2" s="7"/>
    </row>
    <row r="3" ht="15.75" customHeight="1">
      <c r="A3" s="9" t="s">
        <v>5</v>
      </c>
      <c r="B3" s="15" t="s">
        <v>8</v>
      </c>
      <c r="C3" s="7"/>
    </row>
    <row r="4" ht="15.75" customHeight="1">
      <c r="A4" s="8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2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8" t="s">
        <v>3</v>
      </c>
      <c r="B3" s="10" t="s">
        <v>6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13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16</v>
      </c>
      <c r="C6" s="15" t="s">
        <v>17</v>
      </c>
      <c r="D6" s="15">
        <v>1000.0</v>
      </c>
      <c r="E6" s="7"/>
      <c r="F6" s="15" t="s">
        <v>18</v>
      </c>
      <c r="G6" s="15" t="s">
        <v>19</v>
      </c>
      <c r="H6" s="7"/>
      <c r="I6" s="7"/>
      <c r="J6" s="15">
        <v>15.0</v>
      </c>
      <c r="K6" s="7"/>
      <c r="L6" s="7"/>
      <c r="M6" s="7"/>
      <c r="N6" s="29">
        <f>Today()</f>
        <v>43700</v>
      </c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21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17</v>
      </c>
      <c r="C6" s="15" t="s">
        <v>16</v>
      </c>
      <c r="D6" s="7"/>
      <c r="E6" s="7"/>
      <c r="F6" s="7"/>
      <c r="G6" s="15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17</v>
      </c>
      <c r="C6" s="15" t="s">
        <v>16</v>
      </c>
      <c r="D6" s="7"/>
      <c r="E6" s="7"/>
      <c r="F6" s="7"/>
      <c r="G6" s="15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>
        <v>15.0</v>
      </c>
      <c r="C6" s="15">
        <v>2000.0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22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 t="s">
        <v>17</v>
      </c>
      <c r="C6" s="15" t="s">
        <v>16</v>
      </c>
      <c r="D6" s="7"/>
      <c r="E6" s="7"/>
      <c r="F6" s="7"/>
      <c r="G6" s="15">
        <v>1000.0</v>
      </c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20</v>
      </c>
      <c r="D3" s="9" t="s">
        <v>6</v>
      </c>
      <c r="E3" s="21" t="s">
        <v>23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5">
        <v>15.0</v>
      </c>
      <c r="C6" s="15">
        <v>200.0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24</v>
      </c>
      <c r="D3" s="9" t="s">
        <v>6</v>
      </c>
      <c r="E3" s="21" t="s">
        <v>25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6")</f>
        <v>Trade Attribute 6</v>
      </c>
      <c r="N5" s="26" t="str">
        <f>IFERROR(__xludf.DUMMYFUNCTION("""COMPUTED_VALUE"""),"Trade Attribute 5")</f>
        <v>Trade Attribute 5</v>
      </c>
      <c r="O5" s="26" t="str">
        <f>IFERROR(__xludf.DUMMYFUNCTION("""COMPUTED_VALUE"""),"Trade Attribute 4")</f>
        <v>Trade Attribute 4</v>
      </c>
      <c r="P5" s="26" t="str">
        <f>IFERROR(__xludf.DUMMYFUNCTION("""COMPUTED_VALUE"""),"Trade Attribute 3")</f>
        <v>Trade Attribute 3</v>
      </c>
      <c r="Q5" s="26" t="str">
        <f>IFERROR(__xludf.DUMMYFUNCTION("""COMPUTED_VALUE"""),"Trade Attribute 1")</f>
        <v>Trade Attribute 1</v>
      </c>
      <c r="R5" s="26" t="str">
        <f>IFERROR(__xludf.DUMMYFUNCTION("""COMPUTED_VALUE"""),"Trade Attribute 2")</f>
        <v>Trade Attribute 2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AI6" s="30" t="s">
        <v>16</v>
      </c>
      <c r="AJ6" s="30" t="s">
        <v>17</v>
      </c>
      <c r="AK6" s="30" t="s">
        <v>26</v>
      </c>
      <c r="AL6" s="30">
        <v>1000.0</v>
      </c>
      <c r="AM6" s="30">
        <v>200.0</v>
      </c>
      <c r="AT6" s="30" t="s">
        <v>18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9" t="s">
        <v>3</v>
      </c>
      <c r="C3" s="21" t="s">
        <v>12</v>
      </c>
      <c r="D3" s="9" t="s">
        <v>6</v>
      </c>
      <c r="E3" s="21" t="s">
        <v>27</v>
      </c>
      <c r="F3" s="9" t="s">
        <v>14</v>
      </c>
      <c r="G3" s="16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IFERROR(__xludf.DUMMYFUNCTION("TRANSPOSE(IMPORTRANGE(VLOOKUP($E$3,IMPORTRANGE('_Settings'!$B$3,$C$3&amp;""!A4:B1000""),2,FALSE),$G$3&amp;""!A4:A1000""))"),"#REF!")</f>
        <v>#REF!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15"/>
      <c r="B6" s="15" t="s">
        <v>28</v>
      </c>
      <c r="C6" s="7"/>
      <c r="D6" s="15" t="s">
        <v>29</v>
      </c>
      <c r="E6" s="31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