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VerifyPTT" sheetId="6" r:id="rId8"/>
    <sheet state="visible" name="CalculatePTT" sheetId="7" r:id="rId9"/>
    <sheet state="visible" name="TradePTT" sheetId="8" r:id="rId10"/>
    <sheet state="visible" name="CreateDoneAwayOrder1" sheetId="9" r:id="rId11"/>
    <sheet state="visible" name="CustomOrderTT" sheetId="10" r:id="rId12"/>
    <sheet state="visible" name="VerifyOrder" sheetId="11" r:id="rId13"/>
    <sheet state="visible" name="CreateDoneAwayOrder2" sheetId="12" r:id="rId14"/>
    <sheet state="visible" name="GetDailyCash" sheetId="13" r:id="rId15"/>
    <sheet state="visible" name="UpdateMultipleDailyCash" sheetId="14" r:id="rId16"/>
    <sheet state="visible" name="CreateOrderPTT" sheetId="15" r:id="rId17"/>
    <sheet state="visible" name="CreateOrderPTT1" sheetId="16" r:id="rId18"/>
    <sheet state="visible" name="MultiTradingTicketFromBlotter" sheetId="17" r:id="rId19"/>
    <sheet state="visible" name="SelectTradeUsingMTT" sheetId="18" r:id="rId20"/>
    <sheet state="visible" name="EditTradeUsingMTT" sheetId="19" r:id="rId21"/>
    <sheet state="visible" name="SelectTradeUsingMTT1" sheetId="20" r:id="rId22"/>
    <sheet state="visible" name="EditTradeUsingMTT1" sheetId="21" r:id="rId23"/>
    <sheet state="visible" name="DoneAwayUsingMTT" sheetId="22" r:id="rId24"/>
    <sheet state="visible" name="VerifyWorkingSubs" sheetId="23" r:id="rId25"/>
    <sheet state="visible" name="CreateOrderPTT2" sheetId="24" r:id="rId26"/>
    <sheet state="visible" name="CreateOrderPTT3" sheetId="25" r:id="rId27"/>
    <sheet state="visible" name="MultiTradingTicketFromBlotter1" sheetId="26" r:id="rId28"/>
    <sheet state="visible" name="SelectTradeUsingMTT2" sheetId="27" r:id="rId29"/>
    <sheet state="visible" name="EditTradeUsingMTT2" sheetId="28" r:id="rId30"/>
    <sheet state="visible" name="SelectTradeUsingMTT3" sheetId="29" r:id="rId31"/>
    <sheet state="visible" name="EditTradeUsingMTT3" sheetId="30" r:id="rId32"/>
    <sheet state="visible" name="SendOrderUsingMTT" sheetId="31" r:id="rId33"/>
    <sheet state="visible" name="VerifyWorkingSubs1" sheetId="32" r:id="rId34"/>
    <sheet state="visible" name="VerifyOrder1" sheetId="33" r:id="rId35"/>
  </sheets>
  <definedNames/>
  <calcPr/>
</workbook>
</file>

<file path=xl/sharedStrings.xml><?xml version="1.0" encoding="utf-8"?>
<sst xmlns="http://schemas.openxmlformats.org/spreadsheetml/2006/main" count="1466" uniqueCount="71">
  <si>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</si>
  <si>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</si>
  <si>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</si>
  <si>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</si>
  <si>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</si>
  <si>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</si>
  <si>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</si>
  <si>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</si>
  <si>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</si>
  <si>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</si>
  <si>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</si>
  <si>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</si>
  <si>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</si>
  <si>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</si>
  <si>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</si>
  <si>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</si>
  <si>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</si>
  <si>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</si>
  <si>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rt</t>
  </si>
  <si>
    <t>PricingInput</t>
  </si>
  <si>
    <t>PTT</t>
  </si>
  <si>
    <t>VerifyPTT</t>
  </si>
  <si>
    <t/>
  </si>
  <si>
    <t>CalculatePTT</t>
  </si>
  <si>
    <t>Set</t>
  </si>
  <si>
    <t>Percentage</t>
  </si>
  <si>
    <t>MasterFund</t>
  </si>
  <si>
    <t>NewMF</t>
  </si>
  <si>
    <t>TradePTT</t>
  </si>
  <si>
    <t>Increase</t>
  </si>
  <si>
    <t>Account</t>
  </si>
  <si>
    <t>Sell short</t>
  </si>
  <si>
    <t>CustomOrderTT</t>
  </si>
  <si>
    <t>DONEAWAY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</si>
  <si>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</si>
  <si>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</si>
  <si>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</si>
  <si>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</si>
  <si>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</si>
  <si>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</si>
  <si>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</si>
  <si>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</si>
  <si>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</si>
  <si>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M</t>
  </si>
  <si>
    <t>Equity</t>
  </si>
  <si>
    <t>Filled</t>
  </si>
  <si>
    <t>MS</t>
  </si>
  <si>
    <t>Market</t>
  </si>
  <si>
    <t>None</t>
  </si>
  <si>
    <t>Allocation1</t>
  </si>
  <si>
    <t>Allocation2</t>
  </si>
  <si>
    <t>Allocation3</t>
  </si>
  <si>
    <t>Allocation4</t>
  </si>
  <si>
    <t>DailyValuation</t>
  </si>
  <si>
    <t>GetDailyCash</t>
  </si>
  <si>
    <t>UpdateMultipleDailyCash</t>
  </si>
  <si>
    <t>CreateOrderPTT</t>
  </si>
  <si>
    <t>MultiTradingTicketFromBlotter</t>
  </si>
  <si>
    <t>MultiTradingTicket</t>
  </si>
  <si>
    <t>SelectTradeUsingMTT</t>
  </si>
  <si>
    <t>EditTradeUsingMTT</t>
  </si>
  <si>
    <t>DoneAwayUsingMTT</t>
  </si>
  <si>
    <t>VerifyWorkingSubs</t>
  </si>
  <si>
    <t>Manual</t>
  </si>
  <si>
    <t>ALLOCATED</t>
  </si>
  <si>
    <t>NewMF1</t>
  </si>
  <si>
    <t>SendOrderUsingMTT</t>
  </si>
  <si>
    <t>Fix</t>
  </si>
  <si>
    <t>Strategy Unallocated</t>
  </si>
  <si>
    <t>New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</si>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</sst>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sz val="9.0"/>
      <color rgb="FFFF8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5" fillId="6" fontId="4" numFmtId="0" xfId="0" applyAlignment="1" applyBorder="1" applyFont="1">
      <alignment shrinkToFit="0" wrapText="0"/>
    </xf>
    <xf borderId="5" fillId="6" fontId="4" numFmtId="0" xfId="0" applyAlignment="1" applyBorder="1" applyFont="1">
      <alignment readingOrder="0" shrinkToFit="0" wrapText="0"/>
    </xf>
    <xf borderId="0" fillId="4" fontId="5" numFmtId="0" xfId="0" applyAlignment="1" applyFont="1">
      <alignment horizontal="left" shrinkToFit="0" vertical="bottom" wrapText="0"/>
    </xf>
    <xf borderId="0" fillId="4" fontId="14" numFmtId="0" xfId="0" applyAlignment="1" applyFont="1">
      <alignment horizontal="left" shrinkToFit="0" vertical="bottom" wrapText="0"/>
    </xf>
    <xf borderId="0" fillId="4" fontId="2" numFmtId="0" xfId="0" applyAlignment="1" applyFont="1">
      <alignment horizontal="left" vertical="bottom"/>
    </xf>
    <xf borderId="0" fillId="4" fontId="2" numFmtId="164" xfId="0" applyAlignment="1" applyFont="1" applyNumberFormat="1">
      <alignment horizontal="left" vertical="bottom"/>
    </xf>
    <xf borderId="0" fillId="4" fontId="15" numFmtId="0" xfId="0" applyAlignment="1" applyFont="1">
      <alignment horizontal="left" shrinkToFit="0" vertical="bottom" wrapText="0"/>
    </xf>
    <xf borderId="0" fillId="4" fontId="5" numFmtId="0" xfId="0" applyAlignment="1" applyFont="1">
      <alignment shrinkToFit="0" wrapText="0"/>
    </xf>
    <xf borderId="0" fillId="4" fontId="15" numFmtId="0" xfId="0" applyAlignment="1" applyFont="1">
      <alignment horizontal="right" readingOrder="0" shrinkToFit="0" vertical="top" wrapText="0"/>
    </xf>
    <xf borderId="0" fillId="4" fontId="2" numFmtId="0" xfId="0" applyFont="1"/>
    <xf borderId="0" fillId="4" fontId="2" numFmtId="164" xfId="0" applyFont="1" applyNumberFormat="1"/>
    <xf borderId="0" fillId="4" fontId="14" numFmtId="0" xfId="0" applyAlignment="1" applyFont="1">
      <alignment horizontal="right" readingOrder="0" shrinkToFit="0" vertical="top" wrapText="0"/>
    </xf>
    <xf borderId="0" fillId="0" fontId="16" numFmtId="0" xfId="0" applyAlignment="1" applyFont="1">
      <alignment shrinkToFit="0" vertical="bottom" wrapText="0"/>
    </xf>
    <xf borderId="6" fillId="7" fontId="14" numFmtId="0" xfId="0" applyAlignment="1" applyBorder="1" applyFill="1" applyFont="1">
      <alignment horizontal="right" shrinkToFit="0" vertical="top" wrapText="0"/>
    </xf>
    <xf borderId="6" fillId="8" fontId="14" numFmtId="0" xfId="0" applyAlignment="1" applyBorder="1" applyFill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 t="s">
        <v>22</v>
      </c>
      <c r="C6" s="8" t="s">
        <v>22</v>
      </c>
      <c r="D6" s="32">
        <v>0.0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1.0</v>
      </c>
      <c r="N6" s="8" t="s">
        <v>22</v>
      </c>
      <c r="O6" s="8" t="s">
        <v>22</v>
      </c>
      <c r="P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 t="s">
        <v>22</v>
      </c>
      <c r="AI6" t="s">
        <v>22</v>
      </c>
      <c r="AJ6" t="s">
        <v>22</v>
      </c>
      <c r="AK6" t="s">
        <v>22</v>
      </c>
      <c r="AL6" t="s">
        <v>22</v>
      </c>
      <c r="AM6" t="s">
        <v>22</v>
      </c>
      <c r="AN6" t="s">
        <v>22</v>
      </c>
      <c r="AO6" t="s">
        <v>22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0.0</v>
      </c>
      <c r="F6" s="8"/>
      <c r="G6" s="8"/>
      <c r="H6" s="13" t="s">
        <v>26</v>
      </c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13" t="s">
        <v>25</v>
      </c>
      <c r="E6" s="13">
        <v>25.0</v>
      </c>
      <c r="F6" s="8"/>
      <c r="G6" s="8"/>
      <c r="H6" s="13" t="s">
        <v>30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D6" s="13"/>
      <c r="E6" s="13" t="s">
        <v>33</v>
      </c>
      <c r="F6" s="8"/>
      <c r="G6" s="8"/>
      <c r="H6" s="8"/>
      <c r="I6" s="8"/>
      <c r="J6" s="8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/>
      <c r="C6" s="8"/>
      <c r="D6" s="32">
        <v>140.0</v>
      </c>
      <c r="E6" s="8" t="s">
        <v>36</v>
      </c>
      <c r="F6" s="8"/>
      <c r="G6" s="8"/>
      <c r="H6" s="8" t="s">
        <v>37</v>
      </c>
      <c r="I6" s="8" t="s">
        <v>38</v>
      </c>
      <c r="J6" s="8" t="s">
        <v>16</v>
      </c>
      <c r="K6" s="8" t="s">
        <v>39</v>
      </c>
      <c r="L6" s="8" t="s">
        <v>40</v>
      </c>
      <c r="M6" s="8"/>
      <c r="N6" s="8"/>
      <c r="O6" s="8"/>
      <c r="U6" t="s">
        <v>41</v>
      </c>
      <c r="V6" t="s">
        <v>42</v>
      </c>
      <c r="AB6">
        <v>23.0</v>
      </c>
      <c r="AD6">
        <v>1.0</v>
      </c>
      <c r="AF6" t="s">
        <v>43</v>
      </c>
      <c r="AG6">
        <v>140.0</v>
      </c>
      <c r="AH6" t="s">
        <v>44</v>
      </c>
      <c r="AI6" t="s">
        <v>16</v>
      </c>
      <c r="AJ6" t="s">
        <v>31</v>
      </c>
      <c r="AK6" t="s">
        <v>45</v>
      </c>
      <c r="AN6">
        <v>100.0</v>
      </c>
      <c r="AO6">
        <v>23.0</v>
      </c>
      <c r="AQ6">
        <v>140.0</v>
      </c>
      <c r="AR6">
        <v>140.0</v>
      </c>
      <c r="AS6" t="s">
        <v>46</v>
      </c>
      <c r="AU6" t="s">
        <v>47</v>
      </c>
      <c r="BA6" t="s">
        <v>38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48</v>
      </c>
      <c r="BH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49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13" t="s">
        <v>50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31</v>
      </c>
      <c r="D8" s="13">
        <v>100.0</v>
      </c>
      <c r="E8" s="31"/>
      <c r="F8" s="13" t="s">
        <v>51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 t="s">
        <v>31</v>
      </c>
      <c r="D9" s="13">
        <v>100.0</v>
      </c>
      <c r="E9" s="31"/>
      <c r="F9" s="13" t="s">
        <v>52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45202</v>
      </c>
      <c r="C6" s="34">
        <f>TODAY()</f>
        <v>45203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41</v>
      </c>
      <c r="D6" s="13">
        <v>1000000.0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50</v>
      </c>
      <c r="C7" s="13" t="s">
        <v>41</v>
      </c>
      <c r="D7" s="13">
        <v>1000000.0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 t="s">
        <v>51</v>
      </c>
      <c r="C8" s="13" t="s">
        <v>41</v>
      </c>
      <c r="D8" s="13">
        <v>1000000.0</v>
      </c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3"/>
      <c r="B9" s="13" t="s">
        <v>52</v>
      </c>
      <c r="C9" s="13" t="s">
        <v>41</v>
      </c>
      <c r="D9" s="13">
        <v>1000000.0</v>
      </c>
      <c r="E9" s="31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10.0</v>
      </c>
      <c r="F6" s="8"/>
      <c r="G6" s="8"/>
      <c r="H6" s="13" t="s">
        <v>30</v>
      </c>
      <c r="I6" s="13" t="s">
        <v>49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10.0</v>
      </c>
      <c r="F6" s="8"/>
      <c r="G6" s="8"/>
      <c r="H6" s="13" t="s">
        <v>30</v>
      </c>
      <c r="I6" s="13" t="s">
        <v>50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T6" s="9" t="s">
        <v>49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13" t="s">
        <v>16</v>
      </c>
      <c r="K7" s="8"/>
      <c r="L7" s="8"/>
      <c r="M7" s="8"/>
      <c r="N7" s="8"/>
      <c r="O7" s="8"/>
      <c r="AI7" s="9" t="s">
        <v>16</v>
      </c>
      <c r="AT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49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1"/>
      <c r="F6" s="13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50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1"/>
      <c r="F6" s="13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49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8"/>
      <c r="D7" s="8"/>
      <c r="E7" s="8"/>
      <c r="F7" s="13" t="s">
        <v>50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IFERROR(__xludf.DUMMYFUNCTION("""COMPUTED_VALUE"""),"Symbol")</f>
        <v>Symbol</v>
      </c>
      <c r="C5" s="35" t="str">
        <f>IFERROR(__xludf.DUMMYFUNCTION("""COMPUTED_VALUE"""),"Side")</f>
        <v>Side</v>
      </c>
      <c r="D5" s="35" t="str">
        <f>IFERROR(__xludf.DUMMYFUNCTION("""COMPUTED_VALUE"""),"Quantity")</f>
        <v>Quantity</v>
      </c>
      <c r="E5" s="35" t="str">
        <f>IFERROR(__xludf.DUMMYFUNCTION("""COMPUTED_VALUE"""),"Executed Qty")</f>
        <v>Executed Qty</v>
      </c>
      <c r="F5" s="36" t="str">
        <f>IFERROR(__xludf.DUMMYFUNCTION("""COMPUTED_VALUE"""),"Unexecuted Qty")</f>
        <v>Unexecuted Qty</v>
      </c>
      <c r="G5" s="35" t="str">
        <f>IFERROR(__xludf.DUMMYFUNCTION("""COMPUTED_VALUE"""),"Status")</f>
        <v>Status</v>
      </c>
      <c r="H5" s="35" t="str">
        <f>IFERROR(__xludf.DUMMYFUNCTION("""COMPUTED_VALUE"""),"Last Shares")</f>
        <v>Last Shares</v>
      </c>
      <c r="I5" s="35" t="str">
        <f>IFERROR(__xludf.DUMMYFUNCTION("""COMPUTED_VALUE"""),"Last Fill Price (Local)")</f>
        <v>Last Fill Price (Local)</v>
      </c>
      <c r="J5" s="35" t="str">
        <f>IFERROR(__xludf.DUMMYFUNCTION("""COMPUTED_VALUE"""),"Avg Fill Price (Local)")</f>
        <v>Avg Fill Price (Local)</v>
      </c>
      <c r="K5" s="35" t="str">
        <f>IFERROR(__xludf.DUMMYFUNCTION("""COMPUTED_VALUE"""),"Broker")</f>
        <v>Broker</v>
      </c>
      <c r="L5" s="35" t="str">
        <f>IFERROR(__xludf.DUMMYFUNCTION("""COMPUTED_VALUE"""),"Account")</f>
        <v>Account</v>
      </c>
      <c r="M5" s="35" t="str">
        <f>IFERROR(__xludf.DUMMYFUNCTION("""COMPUTED_VALUE"""),"Order Type")</f>
        <v>Order Type</v>
      </c>
      <c r="N5" s="35" t="str">
        <f>IFERROR(__xludf.DUMMYFUNCTION("""COMPUTED_VALUE"""),"OrderStatus")</f>
        <v>OrderStatus</v>
      </c>
      <c r="O5" s="35" t="str">
        <f>IFERROR(__xludf.DUMMYFUNCTION("""COMPUTED_VALUE"""),"Avg Fill Price (Base)")</f>
        <v>Avg Fill Price (Base)</v>
      </c>
      <c r="P5" s="35" t="str">
        <f>IFERROR(__xludf.DUMMYFUNCTION("""COMPUTED_VALUE"""),"Limit Price")</f>
        <v>Limit Price</v>
      </c>
      <c r="Q5" s="35" t="str">
        <f>IFERROR(__xludf.DUMMYFUNCTION("""COMPUTED_VALUE"""),"Stop Price")</f>
        <v>Stop Price</v>
      </c>
      <c r="R5" s="35" t="str">
        <f>IFERROR(__xludf.DUMMYFUNCTION("""COMPUTED_VALUE"""),"Actual User")</f>
        <v>Actual User</v>
      </c>
      <c r="S5" s="35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22</v>
      </c>
      <c r="B6" s="38" t="s">
        <v>16</v>
      </c>
      <c r="C6" s="38" t="s">
        <v>17</v>
      </c>
      <c r="D6" s="38">
        <v>10.0</v>
      </c>
      <c r="E6" s="38">
        <v>10.0</v>
      </c>
      <c r="F6" s="37"/>
      <c r="G6" s="38" t="s">
        <v>45</v>
      </c>
      <c r="H6" s="38">
        <v>10.0</v>
      </c>
      <c r="I6" s="38">
        <v>10.0</v>
      </c>
      <c r="J6" s="38">
        <v>10.0</v>
      </c>
      <c r="K6" s="38" t="s">
        <v>46</v>
      </c>
      <c r="L6" s="38" t="s">
        <v>50</v>
      </c>
      <c r="M6" s="37" t="s">
        <v>47</v>
      </c>
      <c r="N6" s="37" t="s">
        <v>22</v>
      </c>
      <c r="O6" s="37">
        <v>10.0</v>
      </c>
      <c r="P6" s="39"/>
      <c r="Q6" s="39"/>
      <c r="R6" s="39" t="s">
        <v>38</v>
      </c>
      <c r="S6" s="39" t="s">
        <v>36</v>
      </c>
      <c r="T6" s="39" t="s">
        <v>22</v>
      </c>
      <c r="U6" s="39" t="s">
        <v>63</v>
      </c>
      <c r="V6" s="38" t="s">
        <v>64</v>
      </c>
      <c r="W6" s="39" t="s">
        <v>44</v>
      </c>
      <c r="X6" s="39" t="s">
        <v>43</v>
      </c>
      <c r="Y6" s="39">
        <v>1.0</v>
      </c>
      <c r="Z6" s="39" t="s">
        <v>22</v>
      </c>
      <c r="AA6" s="39"/>
      <c r="AB6" s="39" t="s">
        <v>22</v>
      </c>
      <c r="AC6" s="38">
        <v>100.0</v>
      </c>
      <c r="AD6" s="38">
        <v>100.0</v>
      </c>
      <c r="AE6" s="39"/>
      <c r="AF6" s="39" t="s">
        <v>42</v>
      </c>
      <c r="AG6" s="39" t="s">
        <v>41</v>
      </c>
      <c r="AH6" s="39" t="s">
        <v>22</v>
      </c>
      <c r="AI6" s="39" t="s">
        <v>22</v>
      </c>
      <c r="AJ6" s="39" t="s">
        <v>22</v>
      </c>
      <c r="AK6" s="39" t="s">
        <v>22</v>
      </c>
      <c r="AL6" s="39"/>
      <c r="AM6" s="39"/>
      <c r="AN6" s="39"/>
      <c r="AO6" s="39"/>
      <c r="AP6" s="39"/>
      <c r="AQ6" s="39"/>
      <c r="AR6" s="38"/>
      <c r="AS6" s="39"/>
      <c r="AT6" s="39" t="s">
        <v>39</v>
      </c>
      <c r="AU6" s="39" t="s">
        <v>16</v>
      </c>
      <c r="AV6" s="39" t="s">
        <v>37</v>
      </c>
      <c r="AW6" s="39"/>
      <c r="AX6" s="39" t="s">
        <v>22</v>
      </c>
      <c r="AY6" s="39" t="s">
        <v>22</v>
      </c>
      <c r="AZ6" s="39" t="s">
        <v>22</v>
      </c>
      <c r="BA6" s="38" t="s">
        <v>65</v>
      </c>
      <c r="BB6" s="39" t="s">
        <v>38</v>
      </c>
      <c r="BC6" s="39">
        <v>100.0</v>
      </c>
      <c r="BD6" s="39" t="s">
        <v>22</v>
      </c>
      <c r="BE6" s="39" t="s">
        <v>22</v>
      </c>
      <c r="BF6" s="39" t="s">
        <v>22</v>
      </c>
      <c r="BG6" s="39" t="s">
        <v>22</v>
      </c>
      <c r="BH6" s="39" t="s">
        <v>22</v>
      </c>
      <c r="BI6" s="39" t="s">
        <v>22</v>
      </c>
      <c r="BJ6" s="39" t="s">
        <v>22</v>
      </c>
      <c r="BK6" s="39" t="s">
        <v>22</v>
      </c>
      <c r="BL6" s="39" t="s">
        <v>22</v>
      </c>
      <c r="BM6" s="39" t="s">
        <v>22</v>
      </c>
      <c r="BN6" s="39" t="s">
        <v>22</v>
      </c>
      <c r="BO6" s="39" t="s">
        <v>22</v>
      </c>
      <c r="BP6" s="39" t="s">
        <v>22</v>
      </c>
      <c r="BQ6" s="39" t="s">
        <v>22</v>
      </c>
      <c r="BR6" s="39" t="s">
        <v>22</v>
      </c>
      <c r="BS6" s="39" t="s">
        <v>22</v>
      </c>
      <c r="BT6" s="39" t="s">
        <v>22</v>
      </c>
      <c r="BU6" s="39" t="s">
        <v>22</v>
      </c>
      <c r="BV6" s="39" t="s">
        <v>22</v>
      </c>
      <c r="BW6" s="39" t="s">
        <v>22</v>
      </c>
      <c r="BX6" s="39" t="s">
        <v>22</v>
      </c>
      <c r="BY6" s="39" t="s">
        <v>22</v>
      </c>
      <c r="BZ6" s="39" t="s">
        <v>22</v>
      </c>
      <c r="CA6" s="39" t="s">
        <v>22</v>
      </c>
      <c r="CB6" s="39" t="s">
        <v>22</v>
      </c>
      <c r="CC6" s="39" t="s">
        <v>22</v>
      </c>
      <c r="CD6" s="39" t="s">
        <v>22</v>
      </c>
      <c r="CE6" s="39" t="s">
        <v>22</v>
      </c>
      <c r="CF6" s="39" t="s">
        <v>22</v>
      </c>
      <c r="CG6" s="39" t="s">
        <v>22</v>
      </c>
      <c r="CH6" s="39" t="s">
        <v>22</v>
      </c>
      <c r="CI6" s="39" t="s">
        <v>22</v>
      </c>
      <c r="CJ6" s="39" t="s">
        <v>22</v>
      </c>
      <c r="CK6" s="39" t="s">
        <v>22</v>
      </c>
      <c r="CL6" s="39" t="s">
        <v>22</v>
      </c>
      <c r="CM6" s="39" t="s">
        <v>22</v>
      </c>
      <c r="CN6" s="39" t="s">
        <v>22</v>
      </c>
      <c r="CO6" s="39" t="s">
        <v>22</v>
      </c>
      <c r="CP6" s="39" t="s">
        <v>22</v>
      </c>
      <c r="CQ6" s="39" t="s">
        <v>22</v>
      </c>
      <c r="CR6" s="39" t="s">
        <v>22</v>
      </c>
      <c r="CS6" s="39" t="s">
        <v>22</v>
      </c>
      <c r="CT6" s="39" t="s">
        <v>22</v>
      </c>
      <c r="CU6" s="39" t="s">
        <v>22</v>
      </c>
      <c r="CV6" s="39" t="s">
        <v>22</v>
      </c>
      <c r="CW6" s="39" t="s">
        <v>22</v>
      </c>
      <c r="CX6" s="39" t="s">
        <v>22</v>
      </c>
      <c r="CY6" s="39" t="s">
        <v>22</v>
      </c>
      <c r="CZ6" s="39" t="s">
        <v>22</v>
      </c>
      <c r="DA6" s="39" t="s">
        <v>22</v>
      </c>
      <c r="DB6" s="39" t="s">
        <v>22</v>
      </c>
      <c r="DC6" s="39" t="s">
        <v>22</v>
      </c>
      <c r="DD6" s="39" t="s">
        <v>22</v>
      </c>
      <c r="DE6" s="39" t="s">
        <v>22</v>
      </c>
      <c r="DF6" s="39" t="s">
        <v>22</v>
      </c>
      <c r="DG6" s="39" t="s">
        <v>22</v>
      </c>
      <c r="DH6" s="39" t="s">
        <v>22</v>
      </c>
      <c r="DI6" s="39" t="s">
        <v>22</v>
      </c>
      <c r="DJ6" s="39" t="s">
        <v>22</v>
      </c>
      <c r="DK6" s="39" t="s">
        <v>22</v>
      </c>
      <c r="DL6" s="39" t="s">
        <v>22</v>
      </c>
      <c r="DM6" s="39" t="s">
        <v>22</v>
      </c>
      <c r="DN6" s="39" t="s">
        <v>22</v>
      </c>
      <c r="DO6" s="39" t="s">
        <v>22</v>
      </c>
      <c r="DP6" s="39" t="s">
        <v>22</v>
      </c>
      <c r="DQ6" s="39" t="s">
        <v>22</v>
      </c>
      <c r="DR6" s="39" t="s">
        <v>22</v>
      </c>
      <c r="DS6" s="39" t="s">
        <v>22</v>
      </c>
      <c r="DT6" s="39" t="s">
        <v>22</v>
      </c>
      <c r="DU6" s="39" t="s">
        <v>22</v>
      </c>
      <c r="DV6" s="39" t="s">
        <v>22</v>
      </c>
      <c r="DW6" s="39" t="s">
        <v>22</v>
      </c>
      <c r="DX6" s="39" t="s">
        <v>22</v>
      </c>
      <c r="DY6" s="39" t="s">
        <v>22</v>
      </c>
      <c r="DZ6" s="39" t="s">
        <v>22</v>
      </c>
      <c r="EA6" s="39" t="s">
        <v>22</v>
      </c>
      <c r="EB6" s="39" t="s">
        <v>22</v>
      </c>
      <c r="EC6" s="39" t="s">
        <v>22</v>
      </c>
      <c r="ED6" s="39" t="s">
        <v>22</v>
      </c>
      <c r="EE6" s="39" t="s">
        <v>22</v>
      </c>
      <c r="EF6" s="39" t="s">
        <v>22</v>
      </c>
      <c r="EG6" s="39" t="s">
        <v>22</v>
      </c>
      <c r="EH6" s="39" t="s">
        <v>22</v>
      </c>
      <c r="EI6" s="39" t="s">
        <v>22</v>
      </c>
      <c r="EJ6" s="39" t="s">
        <v>22</v>
      </c>
      <c r="EK6" s="39" t="s">
        <v>22</v>
      </c>
      <c r="EL6" s="39" t="s">
        <v>22</v>
      </c>
      <c r="EM6" s="39" t="s">
        <v>22</v>
      </c>
      <c r="EN6" s="39" t="s">
        <v>22</v>
      </c>
      <c r="EO6" s="39" t="s">
        <v>22</v>
      </c>
      <c r="EP6" s="39" t="s">
        <v>22</v>
      </c>
      <c r="EQ6" s="39" t="s">
        <v>22</v>
      </c>
      <c r="ER6" s="39" t="s">
        <v>22</v>
      </c>
      <c r="ES6" s="39" t="s">
        <v>22</v>
      </c>
      <c r="ET6" s="39" t="s">
        <v>22</v>
      </c>
      <c r="EU6" s="39" t="s">
        <v>22</v>
      </c>
      <c r="EV6" s="39" t="s">
        <v>22</v>
      </c>
      <c r="EW6" s="39" t="s">
        <v>22</v>
      </c>
      <c r="EX6" s="39" t="s">
        <v>22</v>
      </c>
      <c r="EY6" s="39" t="s">
        <v>22</v>
      </c>
      <c r="EZ6" s="39" t="s">
        <v>22</v>
      </c>
      <c r="FA6" s="39" t="s">
        <v>22</v>
      </c>
      <c r="FB6" s="39" t="s">
        <v>22</v>
      </c>
      <c r="FC6" s="39" t="s">
        <v>22</v>
      </c>
      <c r="FD6" s="39" t="s">
        <v>22</v>
      </c>
      <c r="FE6" s="39" t="s">
        <v>22</v>
      </c>
      <c r="FF6" s="39" t="s">
        <v>22</v>
      </c>
      <c r="FG6" s="39" t="s">
        <v>22</v>
      </c>
      <c r="FH6" s="39" t="s">
        <v>22</v>
      </c>
      <c r="FI6" s="39" t="s">
        <v>22</v>
      </c>
      <c r="FJ6" s="39" t="s">
        <v>22</v>
      </c>
      <c r="FK6" s="39" t="s">
        <v>22</v>
      </c>
      <c r="FL6" s="39" t="s">
        <v>22</v>
      </c>
      <c r="FM6" s="39" t="s">
        <v>22</v>
      </c>
      <c r="FN6" s="39" t="s">
        <v>22</v>
      </c>
      <c r="FO6" s="39" t="s">
        <v>22</v>
      </c>
      <c r="FP6" s="39" t="s">
        <v>22</v>
      </c>
      <c r="FQ6" s="39" t="s">
        <v>22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7" t="s">
        <v>22</v>
      </c>
      <c r="B7" s="41" t="s">
        <v>16</v>
      </c>
      <c r="C7" s="41" t="s">
        <v>17</v>
      </c>
      <c r="D7" s="41">
        <v>10.0</v>
      </c>
      <c r="E7" s="41">
        <v>10.0</v>
      </c>
      <c r="F7" s="37"/>
      <c r="G7" s="41" t="s">
        <v>45</v>
      </c>
      <c r="H7" s="41">
        <v>10.0</v>
      </c>
      <c r="I7" s="41">
        <v>10.0</v>
      </c>
      <c r="J7" s="41">
        <v>10.0</v>
      </c>
      <c r="K7" s="41" t="s">
        <v>46</v>
      </c>
      <c r="L7" s="41" t="s">
        <v>49</v>
      </c>
      <c r="M7" s="37" t="s">
        <v>47</v>
      </c>
      <c r="N7" s="37" t="s">
        <v>22</v>
      </c>
      <c r="O7" s="37">
        <v>10.0</v>
      </c>
      <c r="P7" s="39"/>
      <c r="Q7" s="39"/>
      <c r="R7" s="39" t="s">
        <v>38</v>
      </c>
      <c r="S7" s="39" t="s">
        <v>36</v>
      </c>
      <c r="T7" s="39" t="s">
        <v>22</v>
      </c>
      <c r="U7" s="39" t="s">
        <v>63</v>
      </c>
      <c r="V7" s="41" t="s">
        <v>64</v>
      </c>
      <c r="W7" s="39" t="s">
        <v>44</v>
      </c>
      <c r="X7" s="39" t="s">
        <v>43</v>
      </c>
      <c r="Y7" s="39">
        <v>1.0</v>
      </c>
      <c r="Z7" s="39" t="s">
        <v>22</v>
      </c>
      <c r="AA7" s="39"/>
      <c r="AB7" s="39" t="s">
        <v>22</v>
      </c>
      <c r="AC7" s="41">
        <v>100.0</v>
      </c>
      <c r="AD7" s="41">
        <v>100.0</v>
      </c>
      <c r="AE7" s="39"/>
      <c r="AF7" s="39" t="s">
        <v>42</v>
      </c>
      <c r="AG7" s="39" t="s">
        <v>41</v>
      </c>
      <c r="AH7" s="39" t="s">
        <v>22</v>
      </c>
      <c r="AI7" s="39" t="s">
        <v>22</v>
      </c>
      <c r="AJ7" s="39" t="s">
        <v>22</v>
      </c>
      <c r="AK7" s="39" t="s">
        <v>22</v>
      </c>
      <c r="AL7" s="39"/>
      <c r="AM7" s="39"/>
      <c r="AN7" s="39"/>
      <c r="AO7" s="39"/>
      <c r="AP7" s="39"/>
      <c r="AQ7" s="39"/>
      <c r="AR7" s="41"/>
      <c r="AS7" s="39"/>
      <c r="AT7" s="39" t="s">
        <v>39</v>
      </c>
      <c r="AU7" s="39" t="s">
        <v>16</v>
      </c>
      <c r="AV7" s="39" t="s">
        <v>37</v>
      </c>
      <c r="AW7" s="39"/>
      <c r="AX7" s="39" t="s">
        <v>22</v>
      </c>
      <c r="AY7" s="39" t="s">
        <v>22</v>
      </c>
      <c r="AZ7" s="39" t="s">
        <v>22</v>
      </c>
      <c r="BA7" s="41" t="s">
        <v>65</v>
      </c>
      <c r="BB7" s="39" t="s">
        <v>38</v>
      </c>
      <c r="BC7" s="39">
        <v>100.0</v>
      </c>
      <c r="BD7" s="39" t="s">
        <v>22</v>
      </c>
      <c r="BE7" s="39" t="s">
        <v>22</v>
      </c>
      <c r="BF7" s="39" t="s">
        <v>22</v>
      </c>
      <c r="BG7" s="39" t="s">
        <v>22</v>
      </c>
      <c r="BH7" s="39" t="s">
        <v>22</v>
      </c>
      <c r="BI7" s="39" t="s">
        <v>22</v>
      </c>
      <c r="BJ7" s="39" t="s">
        <v>22</v>
      </c>
      <c r="BK7" s="39" t="s">
        <v>22</v>
      </c>
      <c r="BL7" s="39" t="s">
        <v>22</v>
      </c>
      <c r="BM7" s="39" t="s">
        <v>22</v>
      </c>
      <c r="BN7" s="39" t="s">
        <v>22</v>
      </c>
      <c r="BO7" s="39" t="s">
        <v>22</v>
      </c>
      <c r="BP7" s="39" t="s">
        <v>22</v>
      </c>
      <c r="BQ7" s="39" t="s">
        <v>22</v>
      </c>
      <c r="BR7" s="39" t="s">
        <v>22</v>
      </c>
      <c r="BS7" s="39" t="s">
        <v>22</v>
      </c>
      <c r="BT7" s="39" t="s">
        <v>22</v>
      </c>
      <c r="BU7" s="39" t="s">
        <v>22</v>
      </c>
      <c r="BV7" s="39" t="s">
        <v>22</v>
      </c>
      <c r="BW7" s="39" t="s">
        <v>22</v>
      </c>
      <c r="BX7" s="39" t="s">
        <v>22</v>
      </c>
      <c r="BY7" s="39" t="s">
        <v>22</v>
      </c>
      <c r="BZ7" s="39" t="s">
        <v>22</v>
      </c>
      <c r="CA7" s="39" t="s">
        <v>22</v>
      </c>
      <c r="CB7" s="39" t="s">
        <v>22</v>
      </c>
      <c r="CC7" s="39" t="s">
        <v>22</v>
      </c>
      <c r="CD7" s="39" t="s">
        <v>22</v>
      </c>
      <c r="CE7" s="39" t="s">
        <v>22</v>
      </c>
      <c r="CF7" s="39" t="s">
        <v>22</v>
      </c>
      <c r="CG7" s="39" t="s">
        <v>22</v>
      </c>
      <c r="CH7" s="39" t="s">
        <v>22</v>
      </c>
      <c r="CI7" s="39" t="s">
        <v>22</v>
      </c>
      <c r="CJ7" s="39" t="s">
        <v>22</v>
      </c>
      <c r="CK7" s="39" t="s">
        <v>22</v>
      </c>
      <c r="CL7" s="39" t="s">
        <v>22</v>
      </c>
      <c r="CM7" s="39" t="s">
        <v>22</v>
      </c>
      <c r="CN7" s="39" t="s">
        <v>22</v>
      </c>
      <c r="CO7" s="39" t="s">
        <v>22</v>
      </c>
      <c r="CP7" s="39" t="s">
        <v>22</v>
      </c>
      <c r="CQ7" s="39" t="s">
        <v>22</v>
      </c>
      <c r="CR7" s="39" t="s">
        <v>22</v>
      </c>
      <c r="CS7" s="39" t="s">
        <v>22</v>
      </c>
      <c r="CT7" s="39" t="s">
        <v>22</v>
      </c>
      <c r="CU7" s="39" t="s">
        <v>22</v>
      </c>
      <c r="CV7" s="39" t="s">
        <v>22</v>
      </c>
      <c r="CW7" s="39" t="s">
        <v>22</v>
      </c>
      <c r="CX7" s="39" t="s">
        <v>22</v>
      </c>
      <c r="CY7" s="39" t="s">
        <v>22</v>
      </c>
      <c r="CZ7" s="39" t="s">
        <v>22</v>
      </c>
      <c r="DA7" s="39" t="s">
        <v>22</v>
      </c>
      <c r="DB7" s="39" t="s">
        <v>22</v>
      </c>
      <c r="DC7" s="39" t="s">
        <v>22</v>
      </c>
      <c r="DD7" s="39" t="s">
        <v>22</v>
      </c>
      <c r="DE7" s="39" t="s">
        <v>22</v>
      </c>
      <c r="DF7" s="39" t="s">
        <v>22</v>
      </c>
      <c r="DG7" s="39" t="s">
        <v>22</v>
      </c>
      <c r="DH7" s="39" t="s">
        <v>22</v>
      </c>
      <c r="DI7" s="39" t="s">
        <v>22</v>
      </c>
      <c r="DJ7" s="39" t="s">
        <v>22</v>
      </c>
      <c r="DK7" s="39" t="s">
        <v>22</v>
      </c>
      <c r="DL7" s="39" t="s">
        <v>22</v>
      </c>
      <c r="DM7" s="39" t="s">
        <v>22</v>
      </c>
      <c r="DN7" s="39" t="s">
        <v>22</v>
      </c>
      <c r="DO7" s="39" t="s">
        <v>22</v>
      </c>
      <c r="DP7" s="39" t="s">
        <v>22</v>
      </c>
      <c r="DQ7" s="39" t="s">
        <v>22</v>
      </c>
      <c r="DR7" s="39" t="s">
        <v>22</v>
      </c>
      <c r="DS7" s="39" t="s">
        <v>22</v>
      </c>
      <c r="DT7" s="39" t="s">
        <v>22</v>
      </c>
      <c r="DU7" s="39" t="s">
        <v>22</v>
      </c>
      <c r="DV7" s="39" t="s">
        <v>22</v>
      </c>
      <c r="DW7" s="39" t="s">
        <v>22</v>
      </c>
      <c r="DX7" s="39" t="s">
        <v>22</v>
      </c>
      <c r="DY7" s="39" t="s">
        <v>22</v>
      </c>
      <c r="DZ7" s="39" t="s">
        <v>22</v>
      </c>
      <c r="EA7" s="39" t="s">
        <v>22</v>
      </c>
      <c r="EB7" s="39" t="s">
        <v>22</v>
      </c>
      <c r="EC7" s="39" t="s">
        <v>22</v>
      </c>
      <c r="ED7" s="39" t="s">
        <v>22</v>
      </c>
      <c r="EE7" s="39" t="s">
        <v>22</v>
      </c>
      <c r="EF7" s="39" t="s">
        <v>22</v>
      </c>
      <c r="EG7" s="39" t="s">
        <v>22</v>
      </c>
      <c r="EH7" s="39" t="s">
        <v>22</v>
      </c>
      <c r="EI7" s="39" t="s">
        <v>22</v>
      </c>
      <c r="EJ7" s="39" t="s">
        <v>22</v>
      </c>
      <c r="EK7" s="39" t="s">
        <v>22</v>
      </c>
      <c r="EL7" s="39" t="s">
        <v>22</v>
      </c>
      <c r="EM7" s="39" t="s">
        <v>22</v>
      </c>
      <c r="EN7" s="39" t="s">
        <v>22</v>
      </c>
      <c r="EO7" s="39" t="s">
        <v>22</v>
      </c>
      <c r="EP7" s="39" t="s">
        <v>22</v>
      </c>
      <c r="EQ7" s="39" t="s">
        <v>22</v>
      </c>
      <c r="ER7" s="39" t="s">
        <v>22</v>
      </c>
      <c r="ES7" s="39" t="s">
        <v>22</v>
      </c>
      <c r="ET7" s="39" t="s">
        <v>22</v>
      </c>
      <c r="EU7" s="39" t="s">
        <v>22</v>
      </c>
      <c r="EV7" s="39" t="s">
        <v>22</v>
      </c>
      <c r="EW7" s="39" t="s">
        <v>22</v>
      </c>
      <c r="EX7" s="39" t="s">
        <v>22</v>
      </c>
      <c r="EY7" s="39" t="s">
        <v>22</v>
      </c>
      <c r="EZ7" s="39" t="s">
        <v>22</v>
      </c>
      <c r="FA7" s="39" t="s">
        <v>22</v>
      </c>
      <c r="FB7" s="39" t="s">
        <v>22</v>
      </c>
      <c r="FC7" s="39" t="s">
        <v>22</v>
      </c>
      <c r="FD7" s="39" t="s">
        <v>22</v>
      </c>
      <c r="FE7" s="39" t="s">
        <v>22</v>
      </c>
      <c r="FF7" s="39" t="s">
        <v>22</v>
      </c>
      <c r="FG7" s="39" t="s">
        <v>22</v>
      </c>
      <c r="FH7" s="39" t="s">
        <v>22</v>
      </c>
      <c r="FI7" s="39" t="s">
        <v>22</v>
      </c>
      <c r="FJ7" s="39" t="s">
        <v>22</v>
      </c>
      <c r="FK7" s="39" t="s">
        <v>22</v>
      </c>
      <c r="FL7" s="39" t="s">
        <v>22</v>
      </c>
      <c r="FM7" s="39" t="s">
        <v>22</v>
      </c>
      <c r="FN7" s="39" t="s">
        <v>22</v>
      </c>
      <c r="FO7" s="39" t="s">
        <v>22</v>
      </c>
      <c r="FP7" s="39" t="s">
        <v>22</v>
      </c>
      <c r="FQ7" s="39" t="s">
        <v>22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42"/>
      <c r="B8" s="43"/>
      <c r="C8" s="43"/>
      <c r="D8" s="43"/>
      <c r="E8" s="43"/>
      <c r="F8" s="42"/>
      <c r="G8" s="43"/>
      <c r="H8" s="43"/>
      <c r="I8" s="43"/>
      <c r="J8" s="43"/>
      <c r="K8" s="43"/>
      <c r="L8" s="43"/>
      <c r="M8" s="42"/>
      <c r="N8" s="42"/>
      <c r="O8" s="42"/>
      <c r="P8" s="44"/>
      <c r="Q8" s="44"/>
      <c r="R8" s="44"/>
      <c r="S8" s="44"/>
      <c r="T8" s="44"/>
      <c r="U8" s="44"/>
      <c r="V8" s="43"/>
      <c r="W8" s="44"/>
      <c r="X8" s="44"/>
      <c r="Y8" s="44"/>
      <c r="Z8" s="44"/>
      <c r="AA8" s="44"/>
      <c r="AB8" s="44"/>
      <c r="AC8" s="43"/>
      <c r="AD8" s="43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3"/>
      <c r="AS8" s="44"/>
      <c r="AT8" s="44"/>
      <c r="AU8" s="44"/>
      <c r="AV8" s="44"/>
      <c r="AW8" s="44"/>
      <c r="AX8" s="44"/>
      <c r="AY8" s="44"/>
      <c r="AZ8" s="44"/>
      <c r="BA8" s="43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ht="15.75" customHeight="1">
      <c r="A9" s="42"/>
      <c r="B9" s="46"/>
      <c r="C9" s="46"/>
      <c r="D9" s="46"/>
      <c r="E9" s="46"/>
      <c r="F9" s="42"/>
      <c r="G9" s="46"/>
      <c r="H9" s="46"/>
      <c r="I9" s="46"/>
      <c r="J9" s="46"/>
      <c r="K9" s="46"/>
      <c r="L9" s="46"/>
      <c r="M9" s="42"/>
      <c r="N9" s="42"/>
      <c r="O9" s="42"/>
      <c r="P9" s="44"/>
      <c r="Q9" s="44"/>
      <c r="R9" s="44"/>
      <c r="S9" s="44"/>
      <c r="T9" s="44"/>
      <c r="U9" s="44"/>
      <c r="V9" s="46"/>
      <c r="W9" s="44"/>
      <c r="X9" s="44"/>
      <c r="Y9" s="44"/>
      <c r="Z9" s="44"/>
      <c r="AA9" s="44"/>
      <c r="AB9" s="44"/>
      <c r="AC9" s="46"/>
      <c r="AD9" s="46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6"/>
      <c r="AS9" s="44"/>
      <c r="AT9" s="44"/>
      <c r="AU9" s="44"/>
      <c r="AV9" s="44"/>
      <c r="AW9" s="44"/>
      <c r="AX9" s="44"/>
      <c r="AY9" s="44"/>
      <c r="AZ9" s="44"/>
      <c r="BA9" s="46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</row>
    <row r="10" ht="15.75" customHeight="1">
      <c r="A10" s="42"/>
      <c r="B10" s="46"/>
      <c r="C10" s="46"/>
      <c r="D10" s="46"/>
      <c r="E10" s="46"/>
      <c r="F10" s="42"/>
      <c r="G10" s="46"/>
      <c r="H10" s="46"/>
      <c r="I10" s="46"/>
      <c r="J10" s="46"/>
      <c r="K10" s="46"/>
      <c r="L10" s="46"/>
      <c r="M10" s="42"/>
      <c r="N10" s="42"/>
      <c r="O10" s="42"/>
      <c r="P10" s="44"/>
      <c r="Q10" s="44"/>
      <c r="R10" s="44"/>
      <c r="S10" s="44"/>
      <c r="T10" s="44"/>
      <c r="U10" s="44"/>
      <c r="V10" s="46"/>
      <c r="W10" s="44"/>
      <c r="X10" s="44"/>
      <c r="Y10" s="44"/>
      <c r="Z10" s="44"/>
      <c r="AA10" s="44"/>
      <c r="AB10" s="44"/>
      <c r="AC10" s="46"/>
      <c r="AD10" s="46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6"/>
      <c r="AS10" s="44"/>
      <c r="AT10" s="44"/>
      <c r="AU10" s="44"/>
      <c r="AV10" s="44"/>
      <c r="AW10" s="44"/>
      <c r="AX10" s="44"/>
      <c r="AY10" s="44"/>
      <c r="AZ10" s="44"/>
      <c r="BA10" s="46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</row>
    <row r="11" ht="15.75" customHeight="1">
      <c r="A11" s="8"/>
      <c r="B11" s="8"/>
      <c r="C11" s="8"/>
      <c r="D11" s="47"/>
      <c r="E11" s="8"/>
      <c r="F11" s="8"/>
      <c r="G11" s="47"/>
      <c r="H11" s="8"/>
      <c r="I11" s="8"/>
      <c r="J11" s="47"/>
      <c r="K11" s="47"/>
      <c r="L11" s="47"/>
      <c r="M11" s="8"/>
      <c r="N11" s="8"/>
      <c r="O11" s="8"/>
      <c r="AR11" s="47"/>
      <c r="BA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10.0</v>
      </c>
      <c r="F6" s="8"/>
      <c r="G6" s="8"/>
      <c r="H6" s="13" t="s">
        <v>30</v>
      </c>
      <c r="I6" s="13" t="s">
        <v>51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10.0</v>
      </c>
      <c r="F6" s="8"/>
      <c r="G6" s="8"/>
      <c r="H6" s="13" t="s">
        <v>30</v>
      </c>
      <c r="I6" s="13" t="s">
        <v>52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T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 t="s">
        <v>16</v>
      </c>
      <c r="K7" s="8"/>
      <c r="L7" s="8"/>
      <c r="M7" s="8"/>
      <c r="N7" s="8"/>
      <c r="O7" s="8"/>
      <c r="AI7" s="9" t="s">
        <v>16</v>
      </c>
      <c r="AT7" s="9" t="s">
        <v>52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51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1"/>
      <c r="F6" s="13" t="s">
        <v>51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52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1"/>
      <c r="F6" s="13" t="s">
        <v>52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51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8"/>
      <c r="D7" s="8"/>
      <c r="E7" s="8"/>
      <c r="F7" s="13" t="s">
        <v>52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48" t="s">
        <v>16</v>
      </c>
      <c r="C6" s="48" t="s">
        <v>31</v>
      </c>
      <c r="D6" s="48">
        <v>10.0</v>
      </c>
      <c r="E6" s="48">
        <v>10.0</v>
      </c>
      <c r="F6" s="8"/>
      <c r="G6" s="48" t="s">
        <v>45</v>
      </c>
      <c r="H6" s="8"/>
      <c r="I6" s="8"/>
      <c r="J6" s="8"/>
      <c r="K6" s="48" t="s">
        <v>46</v>
      </c>
      <c r="L6" s="48" t="s">
        <v>52</v>
      </c>
      <c r="M6" s="8" t="s">
        <v>47</v>
      </c>
      <c r="N6" s="8" t="s">
        <v>22</v>
      </c>
      <c r="O6" s="8"/>
      <c r="R6" t="s">
        <v>38</v>
      </c>
      <c r="S6" s="48" t="s">
        <v>36</v>
      </c>
      <c r="U6" s="48" t="s">
        <v>63</v>
      </c>
      <c r="V6" s="48" t="s">
        <v>64</v>
      </c>
      <c r="W6" t="s">
        <v>44</v>
      </c>
      <c r="X6" t="s">
        <v>43</v>
      </c>
      <c r="Y6">
        <v>1.0</v>
      </c>
      <c r="AF6" t="s">
        <v>42</v>
      </c>
      <c r="AG6" t="s">
        <v>41</v>
      </c>
      <c r="AH6" t="s">
        <v>67</v>
      </c>
      <c r="AI6" t="s">
        <v>45</v>
      </c>
      <c r="AJ6" t="s">
        <v>68</v>
      </c>
      <c r="AT6" t="s">
        <v>39</v>
      </c>
      <c r="AU6" t="s">
        <v>16</v>
      </c>
      <c r="AV6" t="s">
        <v>37</v>
      </c>
      <c r="BA6" t="s">
        <v>65</v>
      </c>
      <c r="BB6" t="s">
        <v>38</v>
      </c>
      <c r="BC6">
        <v>100.0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22</v>
      </c>
      <c r="B7" s="49" t="s">
        <v>16</v>
      </c>
      <c r="C7" s="49" t="s">
        <v>31</v>
      </c>
      <c r="D7" s="49">
        <v>10.0</v>
      </c>
      <c r="E7" s="49">
        <v>10.0</v>
      </c>
      <c r="F7" s="8"/>
      <c r="G7" s="49" t="s">
        <v>45</v>
      </c>
      <c r="H7" s="8"/>
      <c r="I7" s="8"/>
      <c r="J7" s="8"/>
      <c r="K7" s="49" t="s">
        <v>46</v>
      </c>
      <c r="L7" s="49" t="s">
        <v>51</v>
      </c>
      <c r="M7" s="8" t="s">
        <v>47</v>
      </c>
      <c r="N7" s="8" t="s">
        <v>22</v>
      </c>
      <c r="O7" s="8"/>
      <c r="R7" t="s">
        <v>38</v>
      </c>
      <c r="S7" s="49" t="s">
        <v>36</v>
      </c>
      <c r="U7" s="49" t="s">
        <v>63</v>
      </c>
      <c r="V7" s="49" t="s">
        <v>64</v>
      </c>
      <c r="W7" t="s">
        <v>44</v>
      </c>
      <c r="X7" t="s">
        <v>43</v>
      </c>
      <c r="Y7">
        <v>1.0</v>
      </c>
      <c r="AF7" t="s">
        <v>42</v>
      </c>
      <c r="AG7" t="s">
        <v>41</v>
      </c>
      <c r="AH7" t="s">
        <v>67</v>
      </c>
      <c r="AI7" t="s">
        <v>45</v>
      </c>
      <c r="AJ7" t="s">
        <v>68</v>
      </c>
      <c r="AT7" t="s">
        <v>39</v>
      </c>
      <c r="AU7" t="s">
        <v>16</v>
      </c>
      <c r="AV7" t="s">
        <v>37</v>
      </c>
      <c r="BA7" t="s">
        <v>27</v>
      </c>
      <c r="BB7" t="s">
        <v>38</v>
      </c>
      <c r="BC7">
        <v>100.0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47"/>
      <c r="F8" s="8"/>
      <c r="G8" s="47"/>
      <c r="H8" s="8"/>
      <c r="I8" s="8"/>
      <c r="J8" s="8"/>
      <c r="K8" s="8"/>
      <c r="L8" s="8"/>
      <c r="M8" s="8"/>
      <c r="N8" s="8"/>
      <c r="O8" s="8"/>
      <c r="S8" s="47"/>
      <c r="U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S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S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/>
      <c r="C6" s="8"/>
      <c r="D6" s="32"/>
      <c r="E6" s="8" t="s">
        <v>36</v>
      </c>
      <c r="F6" s="8"/>
      <c r="G6" s="8">
        <v>10.0</v>
      </c>
      <c r="H6" s="8" t="s">
        <v>37</v>
      </c>
      <c r="I6" s="8" t="s">
        <v>38</v>
      </c>
      <c r="J6" s="8" t="s">
        <v>16</v>
      </c>
      <c r="K6" s="8" t="s">
        <v>39</v>
      </c>
      <c r="L6" s="8"/>
      <c r="M6" s="8"/>
      <c r="N6" s="8"/>
      <c r="O6" s="8"/>
      <c r="U6" t="s">
        <v>41</v>
      </c>
      <c r="V6" t="s">
        <v>42</v>
      </c>
      <c r="AA6" t="s">
        <v>27</v>
      </c>
      <c r="AD6">
        <v>1.0</v>
      </c>
      <c r="AF6" t="s">
        <v>43</v>
      </c>
      <c r="AH6" t="s">
        <v>44</v>
      </c>
      <c r="AI6" t="s">
        <v>16</v>
      </c>
      <c r="AJ6" t="s">
        <v>31</v>
      </c>
      <c r="AK6" t="s">
        <v>69</v>
      </c>
      <c r="AL6">
        <v>605.0</v>
      </c>
      <c r="AP6">
        <v>595.0</v>
      </c>
      <c r="AS6" t="s">
        <v>46</v>
      </c>
      <c r="AT6" t="s">
        <v>51</v>
      </c>
      <c r="AU6" t="s">
        <v>47</v>
      </c>
      <c r="AX6" t="s">
        <v>63</v>
      </c>
      <c r="AY6">
        <v>605.0</v>
      </c>
      <c r="AZ6">
        <v>605.0</v>
      </c>
      <c r="BA6" t="s">
        <v>38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20</v>
      </c>
      <c r="BH6" t="s">
        <v>70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22</v>
      </c>
      <c r="B7" s="8"/>
      <c r="C7" s="8"/>
      <c r="D7" s="8"/>
      <c r="E7" s="8" t="s">
        <v>36</v>
      </c>
      <c r="F7" s="8"/>
      <c r="G7" s="8">
        <v>10.0</v>
      </c>
      <c r="H7" s="8" t="s">
        <v>37</v>
      </c>
      <c r="I7" s="8" t="s">
        <v>38</v>
      </c>
      <c r="J7" s="8" t="s">
        <v>16</v>
      </c>
      <c r="K7" s="8" t="s">
        <v>39</v>
      </c>
      <c r="L7" s="8"/>
      <c r="M7" s="8"/>
      <c r="N7" s="8"/>
      <c r="O7" s="8"/>
      <c r="U7" t="s">
        <v>41</v>
      </c>
      <c r="V7" t="s">
        <v>42</v>
      </c>
      <c r="AA7" t="s">
        <v>65</v>
      </c>
      <c r="AD7">
        <v>1.0</v>
      </c>
      <c r="AF7" t="s">
        <v>43</v>
      </c>
      <c r="AH7" t="s">
        <v>44</v>
      </c>
      <c r="AI7" t="s">
        <v>16</v>
      </c>
      <c r="AJ7" t="s">
        <v>31</v>
      </c>
      <c r="AK7" t="s">
        <v>69</v>
      </c>
      <c r="AL7">
        <v>605.0</v>
      </c>
      <c r="AP7">
        <v>595.0</v>
      </c>
      <c r="AS7" t="s">
        <v>46</v>
      </c>
      <c r="AT7" t="s">
        <v>52</v>
      </c>
      <c r="AU7" t="s">
        <v>47</v>
      </c>
      <c r="AX7" t="s">
        <v>63</v>
      </c>
      <c r="AY7">
        <v>605.0</v>
      </c>
      <c r="AZ7">
        <v>605.0</v>
      </c>
      <c r="BA7" t="s">
        <v>38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20</v>
      </c>
      <c r="BH7" t="s">
        <v>70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