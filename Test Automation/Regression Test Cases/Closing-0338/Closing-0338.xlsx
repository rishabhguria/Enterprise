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Closing1" sheetId="12" r:id="rId14"/>
    <sheet state="visible" name="SelectTradeUnexpiredUnsettled1" sheetId="13" r:id="rId15"/>
    <sheet state="visible" name="GetDataClosing2" sheetId="14" r:id="rId16"/>
    <sheet state="visible" name="SelectTradeUnexpiredUnsettled2" sheetId="15" r:id="rId17"/>
    <sheet state="visible" name="GetDataClosing3" sheetId="16" r:id="rId18"/>
    <sheet state="visible" name="SelectTradeUnexpiredUnsettled3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<sst xmlns="http://schemas.openxmlformats.org/spreadsheetml/2006/main" count="1476" uniqueCount="65">
  <si>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</si>
  <si>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</si>
  <si>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</si>
  <si>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</si>
  <si>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</si>
  <si>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</si>
  <si>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</si>
  <si>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</si>
  <si>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</si>
  <si>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</si>
  <si>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</si>
  <si>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</si>
  <si>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</si>
  <si>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</si>
  <si>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</si>
  <si>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</si>
  <si>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12K31.00</t>
  </si>
  <si>
    <t>Yes</t>
  </si>
  <si>
    <t>O:MSFT 12X31.00</t>
  </si>
  <si>
    <t>O:FB 13I26.00</t>
  </si>
  <si>
    <t>O:FB 13R27.00</t>
  </si>
  <si>
    <t>O:GOOG 13I715.00</t>
  </si>
  <si>
    <t>O:GOOG 13M635.00</t>
  </si>
  <si>
    <t>Closing</t>
  </si>
  <si>
    <t>SetClosingPreference</t>
  </si>
  <si>
    <t>HIFO</t>
  </si>
  <si>
    <t>TradingTicket</t>
  </si>
  <si>
    <t>CreateDoneAwayOrder</t>
  </si>
  <si>
    <t>O:AAPL 23D90.00D21</t>
  </si>
  <si>
    <t>Buy to Open</t>
  </si>
  <si>
    <t>Allocation1</t>
  </si>
  <si>
    <t>O:AAPL 23P110.00D21</t>
  </si>
  <si>
    <t>Allocation2</t>
  </si>
  <si>
    <t>Sell to Open</t>
  </si>
  <si>
    <t>rt</t>
  </si>
  <si>
    <t>Allocation5</t>
  </si>
  <si>
    <t>DailyValuation</t>
  </si>
  <si>
    <t>GetMarkPriceData</t>
  </si>
  <si>
    <t>UpdateMarkPrice</t>
  </si>
  <si>
    <t>AAPL</t>
  </si>
  <si>
    <t>MSFT</t>
  </si>
  <si>
    <t>FB</t>
  </si>
  <si>
    <t>GOOG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</si>
  <si>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</si>
  <si>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</si>
  <si>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</si>
  <si>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</si>
  <si>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</si>
  <si>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</si>
  <si>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</si>
  <si>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</si>
  <si>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</si>
  <si>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Buy</t>
  </si>
  <si>
    <t>jpearce</t>
  </si>
  <si>
    <t>Sell short</t>
  </si>
  <si>
    <t>PortfolioManagement</t>
  </si>
  <si>
    <t>CheckPortfolioManagement</t>
  </si>
  <si>
    <t>NewMF</t>
  </si>
  <si>
    <t>Short</t>
  </si>
  <si>
    <t>APPLE</t>
  </si>
  <si>
    <t>US</t>
  </si>
  <si>
    <t>NASDAQ</t>
  </si>
  <si>
    <t>USD</t>
  </si>
  <si>
    <t>MS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</si>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</sst>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90.0</v>
      </c>
      <c r="G6" s="8"/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110.0</v>
      </c>
      <c r="G7" s="8"/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90.0</v>
      </c>
      <c r="G8" s="8"/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110.0</v>
      </c>
      <c r="G9" s="8"/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90.0</v>
      </c>
      <c r="G10" s="8"/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110.0</v>
      </c>
      <c r="G11" s="8"/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25</v>
      </c>
      <c r="D6" s="32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28</v>
      </c>
      <c r="C6" s="36" t="s">
        <v>29</v>
      </c>
      <c r="D6" s="37">
        <v>10.0</v>
      </c>
      <c r="E6" s="33"/>
      <c r="F6" s="36" t="s">
        <v>30</v>
      </c>
      <c r="G6" s="33"/>
      <c r="H6" s="33"/>
      <c r="I6" s="33"/>
      <c r="J6" s="38">
        <v>10.0</v>
      </c>
      <c r="K6" s="33"/>
      <c r="L6" s="33"/>
      <c r="M6" s="33"/>
      <c r="N6" s="39">
        <f>TODAY()-8</f>
        <v>45105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31</v>
      </c>
      <c r="C7" s="36" t="s">
        <v>29</v>
      </c>
      <c r="D7" s="38">
        <v>10.0</v>
      </c>
      <c r="E7" s="33"/>
      <c r="F7" s="36" t="s">
        <v>30</v>
      </c>
      <c r="G7" s="33"/>
      <c r="H7" s="33"/>
      <c r="I7" s="33"/>
      <c r="J7" s="38">
        <v>10.0</v>
      </c>
      <c r="K7" s="33"/>
      <c r="L7" s="33"/>
      <c r="M7" s="33"/>
      <c r="N7" s="39">
        <f>TODAY()-7</f>
        <v>45106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0"/>
      <c r="B8" s="13" t="s">
        <v>16</v>
      </c>
      <c r="C8" s="41" t="s">
        <v>29</v>
      </c>
      <c r="D8" s="42">
        <v>10.0</v>
      </c>
      <c r="E8" s="41"/>
      <c r="F8" s="36" t="s">
        <v>32</v>
      </c>
      <c r="G8" s="41"/>
      <c r="H8" s="41"/>
      <c r="I8" s="41"/>
      <c r="J8" s="42">
        <v>10.0</v>
      </c>
      <c r="K8" s="41"/>
      <c r="L8" s="41"/>
      <c r="M8" s="41"/>
      <c r="N8" s="43">
        <f>TODAY()-8</f>
        <v>45105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13" t="s">
        <v>18</v>
      </c>
      <c r="C9" s="41" t="s">
        <v>33</v>
      </c>
      <c r="D9" s="42">
        <v>10.0</v>
      </c>
      <c r="E9" s="41"/>
      <c r="F9" s="36" t="s">
        <v>32</v>
      </c>
      <c r="G9" s="41"/>
      <c r="H9" s="41"/>
      <c r="I9" s="41"/>
      <c r="J9" s="42">
        <v>10.0</v>
      </c>
      <c r="K9" s="41"/>
      <c r="L9" s="41"/>
      <c r="M9" s="41"/>
      <c r="N9" s="43">
        <f>TODAY()-7</f>
        <v>45106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0"/>
      <c r="B10" s="13" t="s">
        <v>19</v>
      </c>
      <c r="C10" s="41" t="s">
        <v>33</v>
      </c>
      <c r="D10" s="42">
        <v>10.0</v>
      </c>
      <c r="E10" s="40"/>
      <c r="F10" s="44" t="s">
        <v>34</v>
      </c>
      <c r="G10" s="40"/>
      <c r="H10" s="40"/>
      <c r="I10" s="40"/>
      <c r="J10" s="42">
        <v>10.0</v>
      </c>
      <c r="K10" s="40"/>
      <c r="L10" s="40"/>
      <c r="M10" s="40"/>
      <c r="N10" s="43">
        <f>TODAY()-8</f>
        <v>45105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13" t="s">
        <v>20</v>
      </c>
      <c r="C11" s="40" t="s">
        <v>29</v>
      </c>
      <c r="D11" s="42">
        <v>10.0</v>
      </c>
      <c r="E11" s="40"/>
      <c r="F11" s="44" t="s">
        <v>34</v>
      </c>
      <c r="G11" s="40"/>
      <c r="H11" s="40"/>
      <c r="I11" s="40"/>
      <c r="J11" s="42">
        <v>10.0</v>
      </c>
      <c r="K11" s="40"/>
      <c r="L11" s="40"/>
      <c r="M11" s="40"/>
      <c r="N11" s="43">
        <f>TODAY()-7</f>
        <v>45106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13" t="s">
        <v>21</v>
      </c>
      <c r="C12" s="41" t="s">
        <v>33</v>
      </c>
      <c r="D12" s="42">
        <v>10.0</v>
      </c>
      <c r="E12" s="40"/>
      <c r="F12" s="44" t="s">
        <v>35</v>
      </c>
      <c r="G12" s="40"/>
      <c r="H12" s="40"/>
      <c r="I12" s="40"/>
      <c r="J12" s="42">
        <v>10.0</v>
      </c>
      <c r="K12" s="40"/>
      <c r="L12" s="40"/>
      <c r="M12" s="40"/>
      <c r="N12" s="43">
        <f>TODAY()-8</f>
        <v>45105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13" t="s">
        <v>22</v>
      </c>
      <c r="C13" s="41" t="s">
        <v>33</v>
      </c>
      <c r="D13" s="42">
        <v>10.0</v>
      </c>
      <c r="E13" s="40"/>
      <c r="F13" s="44" t="s">
        <v>35</v>
      </c>
      <c r="G13" s="40"/>
      <c r="H13" s="40"/>
      <c r="I13" s="40"/>
      <c r="J13" s="42">
        <v>10.0</v>
      </c>
      <c r="K13" s="40"/>
      <c r="L13" s="40"/>
      <c r="M13" s="40"/>
      <c r="N13" s="43">
        <f>TODAY()-7</f>
        <v>45106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>
        <f>TODAY()-1</f>
        <v>45112</v>
      </c>
      <c r="C6" s="39">
        <f>TODAY()</f>
        <v>45113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39</v>
      </c>
      <c r="C6" s="45">
        <v>100.0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6" t="s">
        <v>40</v>
      </c>
      <c r="C7" s="45">
        <v>100.0</v>
      </c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2"/>
      <c r="B8" s="36" t="s">
        <v>41</v>
      </c>
      <c r="C8" s="45">
        <v>100.0</v>
      </c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2"/>
      <c r="B9" s="36" t="s">
        <v>42</v>
      </c>
      <c r="C9" s="45">
        <v>100.0</v>
      </c>
      <c r="D9" s="3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44</v>
      </c>
      <c r="C6" s="46" t="s">
        <v>45</v>
      </c>
      <c r="D6" s="46">
        <f>TODAY()</f>
        <v>45113</v>
      </c>
      <c r="E6" s="36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5" t="s">
        <v>28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5" t="s">
        <v>31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44</v>
      </c>
      <c r="C6" s="46" t="s">
        <v>45</v>
      </c>
      <c r="D6" s="46">
        <f>TODAY()</f>
        <v>45113</v>
      </c>
      <c r="E6" s="36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44</v>
      </c>
      <c r="C6" s="46" t="s">
        <v>45</v>
      </c>
      <c r="D6" s="46">
        <f>TODAY()</f>
        <v>45113</v>
      </c>
      <c r="E6" s="36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44</v>
      </c>
      <c r="C6" s="46" t="s">
        <v>45</v>
      </c>
      <c r="D6" s="46">
        <f>TODAY()</f>
        <v>45113</v>
      </c>
      <c r="E6" s="36" t="s">
        <v>35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44</v>
      </c>
      <c r="C6" s="46" t="s">
        <v>45</v>
      </c>
      <c r="D6" s="46">
        <f>TODAY()</f>
        <v>45113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51</v>
      </c>
      <c r="B6" s="47" t="s">
        <v>30</v>
      </c>
      <c r="C6" s="8" t="s">
        <v>51</v>
      </c>
      <c r="D6" s="47" t="s">
        <v>51</v>
      </c>
      <c r="E6" s="8">
        <v>1000.0</v>
      </c>
      <c r="F6" s="8" t="s">
        <v>51</v>
      </c>
      <c r="G6" s="8" t="s">
        <v>51</v>
      </c>
      <c r="H6" s="8" t="s">
        <v>51</v>
      </c>
      <c r="I6" s="8" t="s">
        <v>51</v>
      </c>
      <c r="J6" s="8" t="s">
        <v>51</v>
      </c>
      <c r="K6" s="8" t="s">
        <v>51</v>
      </c>
      <c r="L6" s="8">
        <v>90.0</v>
      </c>
      <c r="M6" s="8"/>
      <c r="N6" s="8" t="s">
        <v>51</v>
      </c>
      <c r="O6" s="8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I6" t="s">
        <v>51</v>
      </c>
      <c r="BJ6">
        <v>1000.0</v>
      </c>
      <c r="BK6" t="s">
        <v>51</v>
      </c>
      <c r="BL6" t="s">
        <v>51</v>
      </c>
      <c r="BM6" t="s">
        <v>51</v>
      </c>
      <c r="BO6" t="s">
        <v>52</v>
      </c>
      <c r="BP6" t="s">
        <v>51</v>
      </c>
      <c r="BQ6" t="s">
        <v>51</v>
      </c>
      <c r="BR6" t="s">
        <v>51</v>
      </c>
      <c r="BS6" t="s">
        <v>51</v>
      </c>
      <c r="BT6" t="s">
        <v>39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E6" t="s">
        <v>51</v>
      </c>
      <c r="CF6" t="s">
        <v>51</v>
      </c>
      <c r="CG6" t="s">
        <v>51</v>
      </c>
      <c r="CM6" t="s">
        <v>39</v>
      </c>
      <c r="CN6" t="s">
        <v>53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  <c r="FI6" t="s">
        <v>51</v>
      </c>
      <c r="FJ6" t="s">
        <v>51</v>
      </c>
      <c r="FK6" t="s">
        <v>51</v>
      </c>
      <c r="FL6" t="s">
        <v>51</v>
      </c>
      <c r="FM6" t="s">
        <v>51</v>
      </c>
      <c r="FN6" t="s">
        <v>51</v>
      </c>
      <c r="FO6" t="s">
        <v>51</v>
      </c>
      <c r="FP6" t="s">
        <v>51</v>
      </c>
      <c r="FQ6" t="s">
        <v>51</v>
      </c>
    </row>
    <row r="7" ht="15.75" customHeight="1">
      <c r="A7" s="8" t="s">
        <v>51</v>
      </c>
      <c r="B7" s="8" t="s">
        <v>30</v>
      </c>
      <c r="C7" s="8" t="s">
        <v>51</v>
      </c>
      <c r="D7" s="8" t="s">
        <v>51</v>
      </c>
      <c r="E7" s="8">
        <v>1000.0</v>
      </c>
      <c r="F7" s="8" t="s">
        <v>51</v>
      </c>
      <c r="G7" s="8" t="s">
        <v>51</v>
      </c>
      <c r="H7" s="8" t="s">
        <v>51</v>
      </c>
      <c r="I7" s="8" t="s">
        <v>51</v>
      </c>
      <c r="J7" s="8" t="s">
        <v>51</v>
      </c>
      <c r="K7" s="8" t="s">
        <v>51</v>
      </c>
      <c r="L7" s="8">
        <v>110.0</v>
      </c>
      <c r="M7" s="8"/>
      <c r="N7" s="8" t="s">
        <v>51</v>
      </c>
      <c r="O7" s="8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t="s">
        <v>51</v>
      </c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I7" t="s">
        <v>51</v>
      </c>
      <c r="BJ7">
        <v>1000.0</v>
      </c>
      <c r="BK7" t="s">
        <v>51</v>
      </c>
      <c r="BL7" t="s">
        <v>51</v>
      </c>
      <c r="BM7" t="s">
        <v>51</v>
      </c>
      <c r="BO7" t="s">
        <v>54</v>
      </c>
      <c r="BP7" t="s">
        <v>51</v>
      </c>
      <c r="BQ7" t="s">
        <v>51</v>
      </c>
      <c r="BR7" t="s">
        <v>51</v>
      </c>
      <c r="BS7" t="s">
        <v>51</v>
      </c>
      <c r="BT7" t="s">
        <v>39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E7" t="s">
        <v>51</v>
      </c>
      <c r="CF7" t="s">
        <v>51</v>
      </c>
      <c r="CG7" t="s">
        <v>51</v>
      </c>
      <c r="CM7" t="s">
        <v>39</v>
      </c>
      <c r="CN7" t="s">
        <v>53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  <c r="FI7" t="s">
        <v>51</v>
      </c>
      <c r="FJ7" t="s">
        <v>51</v>
      </c>
      <c r="FK7" t="s">
        <v>51</v>
      </c>
      <c r="FL7" t="s">
        <v>51</v>
      </c>
      <c r="FM7" t="s">
        <v>51</v>
      </c>
      <c r="FN7" t="s">
        <v>51</v>
      </c>
      <c r="FO7" t="s">
        <v>51</v>
      </c>
      <c r="FP7" t="s">
        <v>51</v>
      </c>
      <c r="FQ7" t="s">
        <v>51</v>
      </c>
    </row>
    <row r="8" ht="15.75" customHeight="1">
      <c r="A8" s="8" t="s">
        <v>51</v>
      </c>
      <c r="B8" s="8" t="s">
        <v>32</v>
      </c>
      <c r="C8" s="8" t="s">
        <v>51</v>
      </c>
      <c r="D8" s="8" t="s">
        <v>51</v>
      </c>
      <c r="E8" s="8">
        <v>1000.0</v>
      </c>
      <c r="F8" s="8" t="s">
        <v>51</v>
      </c>
      <c r="G8" s="8" t="s">
        <v>51</v>
      </c>
      <c r="H8" s="8" t="s">
        <v>51</v>
      </c>
      <c r="I8" s="8" t="s">
        <v>51</v>
      </c>
      <c r="J8" s="8" t="s">
        <v>51</v>
      </c>
      <c r="K8" s="8" t="s">
        <v>51</v>
      </c>
      <c r="L8" s="8">
        <v>110.0</v>
      </c>
      <c r="M8" s="8"/>
      <c r="N8" s="8" t="s">
        <v>51</v>
      </c>
      <c r="O8" s="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I8" t="s">
        <v>51</v>
      </c>
      <c r="BJ8">
        <v>1000.0</v>
      </c>
      <c r="BK8" t="s">
        <v>51</v>
      </c>
      <c r="BL8" t="s">
        <v>51</v>
      </c>
      <c r="BM8" t="s">
        <v>51</v>
      </c>
      <c r="BO8" t="s">
        <v>52</v>
      </c>
      <c r="BP8" t="s">
        <v>51</v>
      </c>
      <c r="BQ8" t="s">
        <v>51</v>
      </c>
      <c r="BR8" t="s">
        <v>51</v>
      </c>
      <c r="BS8" t="s">
        <v>51</v>
      </c>
      <c r="BT8" t="s">
        <v>40</v>
      </c>
      <c r="BU8" t="s">
        <v>51</v>
      </c>
      <c r="BV8" t="s">
        <v>51</v>
      </c>
      <c r="BW8" t="s">
        <v>51</v>
      </c>
      <c r="BX8" t="s">
        <v>51</v>
      </c>
      <c r="BY8" t="s">
        <v>51</v>
      </c>
      <c r="BZ8" t="s">
        <v>51</v>
      </c>
      <c r="CE8" t="s">
        <v>51</v>
      </c>
      <c r="CF8" t="s">
        <v>51</v>
      </c>
      <c r="CG8" t="s">
        <v>51</v>
      </c>
      <c r="CM8" t="s">
        <v>40</v>
      </c>
      <c r="CN8" t="s">
        <v>53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  <c r="FI8" t="s">
        <v>51</v>
      </c>
      <c r="FJ8" t="s">
        <v>51</v>
      </c>
      <c r="FK8" t="s">
        <v>51</v>
      </c>
      <c r="FL8" t="s">
        <v>51</v>
      </c>
      <c r="FM8" t="s">
        <v>51</v>
      </c>
      <c r="FN8" t="s">
        <v>51</v>
      </c>
      <c r="FO8" t="s">
        <v>51</v>
      </c>
      <c r="FP8" t="s">
        <v>51</v>
      </c>
      <c r="FQ8" t="s">
        <v>51</v>
      </c>
    </row>
    <row r="9" ht="15.75" customHeight="1">
      <c r="A9" s="8" t="s">
        <v>51</v>
      </c>
      <c r="B9" s="8" t="s">
        <v>32</v>
      </c>
      <c r="C9" s="8" t="s">
        <v>51</v>
      </c>
      <c r="D9" s="8" t="s">
        <v>51</v>
      </c>
      <c r="E9" s="8">
        <v>1000.0</v>
      </c>
      <c r="F9" s="8" t="s">
        <v>51</v>
      </c>
      <c r="G9" s="8" t="s">
        <v>51</v>
      </c>
      <c r="H9" s="8" t="s">
        <v>51</v>
      </c>
      <c r="I9" s="8" t="s">
        <v>51</v>
      </c>
      <c r="J9" s="8" t="s">
        <v>51</v>
      </c>
      <c r="K9" s="8" t="s">
        <v>51</v>
      </c>
      <c r="L9" s="8">
        <v>90.0</v>
      </c>
      <c r="M9" s="8"/>
      <c r="N9" s="8" t="s">
        <v>51</v>
      </c>
      <c r="O9" s="8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51</v>
      </c>
      <c r="BA9" t="s">
        <v>51</v>
      </c>
      <c r="BB9" t="s">
        <v>51</v>
      </c>
      <c r="BC9" t="s">
        <v>51</v>
      </c>
      <c r="BD9" t="s">
        <v>51</v>
      </c>
      <c r="BE9" t="s">
        <v>51</v>
      </c>
      <c r="BF9" t="s">
        <v>51</v>
      </c>
      <c r="BG9" t="s">
        <v>51</v>
      </c>
      <c r="BI9" t="s">
        <v>51</v>
      </c>
      <c r="BJ9">
        <v>1000.0</v>
      </c>
      <c r="BK9" t="s">
        <v>51</v>
      </c>
      <c r="BL9" t="s">
        <v>51</v>
      </c>
      <c r="BM9" t="s">
        <v>51</v>
      </c>
      <c r="BO9" t="s">
        <v>52</v>
      </c>
      <c r="BP9" t="s">
        <v>51</v>
      </c>
      <c r="BQ9" t="s">
        <v>51</v>
      </c>
      <c r="BR9" t="s">
        <v>51</v>
      </c>
      <c r="BS9" t="s">
        <v>51</v>
      </c>
      <c r="BT9" t="s">
        <v>40</v>
      </c>
      <c r="BU9" t="s">
        <v>51</v>
      </c>
      <c r="BV9" t="s">
        <v>51</v>
      </c>
      <c r="BW9" t="s">
        <v>51</v>
      </c>
      <c r="BX9" t="s">
        <v>51</v>
      </c>
      <c r="BY9" t="s">
        <v>51</v>
      </c>
      <c r="BZ9" t="s">
        <v>51</v>
      </c>
      <c r="CE9" t="s">
        <v>51</v>
      </c>
      <c r="CF9" t="s">
        <v>51</v>
      </c>
      <c r="CG9" t="s">
        <v>51</v>
      </c>
      <c r="CM9" t="s">
        <v>40</v>
      </c>
      <c r="CN9" t="s">
        <v>53</v>
      </c>
      <c r="CP9" t="s">
        <v>51</v>
      </c>
      <c r="CQ9" t="s">
        <v>51</v>
      </c>
      <c r="CR9" t="s">
        <v>51</v>
      </c>
      <c r="CS9" t="s">
        <v>51</v>
      </c>
      <c r="CT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  <c r="FI9" t="s">
        <v>51</v>
      </c>
      <c r="FJ9" t="s">
        <v>51</v>
      </c>
      <c r="FK9" t="s">
        <v>51</v>
      </c>
      <c r="FL9" t="s">
        <v>51</v>
      </c>
      <c r="FM9" t="s">
        <v>51</v>
      </c>
      <c r="FN9" t="s">
        <v>51</v>
      </c>
      <c r="FO9" t="s">
        <v>51</v>
      </c>
      <c r="FP9" t="s">
        <v>51</v>
      </c>
      <c r="FQ9" t="s">
        <v>51</v>
      </c>
    </row>
    <row r="10" ht="15.75" customHeight="1">
      <c r="A10" s="8" t="s">
        <v>51</v>
      </c>
      <c r="B10" s="8" t="s">
        <v>34</v>
      </c>
      <c r="C10" s="8" t="s">
        <v>51</v>
      </c>
      <c r="D10" s="8" t="s">
        <v>51</v>
      </c>
      <c r="E10" s="8">
        <v>1000.0</v>
      </c>
      <c r="F10" s="8" t="s">
        <v>51</v>
      </c>
      <c r="G10" s="8" t="s">
        <v>51</v>
      </c>
      <c r="H10" s="8" t="s">
        <v>51</v>
      </c>
      <c r="I10" s="8" t="s">
        <v>51</v>
      </c>
      <c r="J10" s="8" t="s">
        <v>51</v>
      </c>
      <c r="K10" s="8" t="s">
        <v>51</v>
      </c>
      <c r="L10" s="8">
        <v>90.0</v>
      </c>
      <c r="M10" s="8"/>
      <c r="N10" s="8" t="s">
        <v>51</v>
      </c>
      <c r="O10" s="8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  <c r="AY10" t="s">
        <v>51</v>
      </c>
      <c r="AZ10" t="s">
        <v>51</v>
      </c>
      <c r="BA10" t="s">
        <v>51</v>
      </c>
      <c r="BB10" t="s">
        <v>51</v>
      </c>
      <c r="BC10" t="s">
        <v>51</v>
      </c>
      <c r="BD10" t="s">
        <v>51</v>
      </c>
      <c r="BE10" t="s">
        <v>51</v>
      </c>
      <c r="BF10" t="s">
        <v>51</v>
      </c>
      <c r="BG10" t="s">
        <v>51</v>
      </c>
      <c r="BI10" t="s">
        <v>51</v>
      </c>
      <c r="BJ10">
        <v>1000.0</v>
      </c>
      <c r="BK10" t="s">
        <v>51</v>
      </c>
      <c r="BL10" t="s">
        <v>51</v>
      </c>
      <c r="BM10" t="s">
        <v>51</v>
      </c>
      <c r="BO10" t="s">
        <v>54</v>
      </c>
      <c r="BP10" t="s">
        <v>51</v>
      </c>
      <c r="BQ10" t="s">
        <v>51</v>
      </c>
      <c r="BR10" t="s">
        <v>51</v>
      </c>
      <c r="BS10" t="s">
        <v>51</v>
      </c>
      <c r="BT10" t="s">
        <v>41</v>
      </c>
      <c r="BU10" t="s">
        <v>51</v>
      </c>
      <c r="BV10" t="s">
        <v>51</v>
      </c>
      <c r="BW10" t="s">
        <v>51</v>
      </c>
      <c r="BX10" t="s">
        <v>51</v>
      </c>
      <c r="BY10" t="s">
        <v>51</v>
      </c>
      <c r="BZ10" t="s">
        <v>51</v>
      </c>
      <c r="CE10" t="s">
        <v>51</v>
      </c>
      <c r="CF10" t="s">
        <v>51</v>
      </c>
      <c r="CG10" t="s">
        <v>51</v>
      </c>
      <c r="CM10" t="s">
        <v>41</v>
      </c>
      <c r="CN10" t="s">
        <v>53</v>
      </c>
      <c r="CP10" t="s">
        <v>51</v>
      </c>
      <c r="CQ10" t="s">
        <v>51</v>
      </c>
      <c r="CR10" t="s">
        <v>51</v>
      </c>
      <c r="CS10" t="s">
        <v>51</v>
      </c>
      <c r="CT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EY10" t="s">
        <v>51</v>
      </c>
      <c r="EZ10" t="s">
        <v>51</v>
      </c>
      <c r="FA10" t="s">
        <v>51</v>
      </c>
      <c r="FB10" t="s">
        <v>51</v>
      </c>
      <c r="FC10" t="s">
        <v>51</v>
      </c>
      <c r="FD10" t="s">
        <v>51</v>
      </c>
      <c r="FE10" t="s">
        <v>51</v>
      </c>
      <c r="FF10" t="s">
        <v>51</v>
      </c>
      <c r="FG10" t="s">
        <v>51</v>
      </c>
      <c r="FH10" t="s">
        <v>51</v>
      </c>
      <c r="FI10" t="s">
        <v>51</v>
      </c>
      <c r="FJ10" t="s">
        <v>51</v>
      </c>
      <c r="FK10" t="s">
        <v>51</v>
      </c>
      <c r="FL10" t="s">
        <v>51</v>
      </c>
      <c r="FM10" t="s">
        <v>51</v>
      </c>
      <c r="FN10" t="s">
        <v>51</v>
      </c>
      <c r="FO10" t="s">
        <v>51</v>
      </c>
      <c r="FP10" t="s">
        <v>51</v>
      </c>
      <c r="FQ10" t="s">
        <v>51</v>
      </c>
    </row>
    <row r="11" ht="15.75" customHeight="1">
      <c r="A11" s="8" t="s">
        <v>51</v>
      </c>
      <c r="B11" s="8" t="s">
        <v>34</v>
      </c>
      <c r="C11" s="8" t="s">
        <v>51</v>
      </c>
      <c r="D11" s="8" t="s">
        <v>51</v>
      </c>
      <c r="E11" s="8">
        <v>1000.0</v>
      </c>
      <c r="F11" s="8" t="s">
        <v>51</v>
      </c>
      <c r="G11" s="8" t="s">
        <v>51</v>
      </c>
      <c r="H11" s="8" t="s">
        <v>51</v>
      </c>
      <c r="I11" s="8" t="s">
        <v>51</v>
      </c>
      <c r="J11" s="8" t="s">
        <v>51</v>
      </c>
      <c r="K11" s="8" t="s">
        <v>51</v>
      </c>
      <c r="L11" s="8">
        <v>110.0</v>
      </c>
      <c r="M11" s="8"/>
      <c r="N11" s="8" t="s">
        <v>51</v>
      </c>
      <c r="O11" s="8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  <c r="AY11" t="s">
        <v>51</v>
      </c>
      <c r="AZ11" t="s">
        <v>51</v>
      </c>
      <c r="BA11" t="s">
        <v>51</v>
      </c>
      <c r="BB11" t="s">
        <v>51</v>
      </c>
      <c r="BC11" t="s">
        <v>51</v>
      </c>
      <c r="BD11" t="s">
        <v>51</v>
      </c>
      <c r="BE11" t="s">
        <v>51</v>
      </c>
      <c r="BF11" t="s">
        <v>51</v>
      </c>
      <c r="BG11" t="s">
        <v>51</v>
      </c>
      <c r="BI11" t="s">
        <v>51</v>
      </c>
      <c r="BJ11">
        <v>1000.0</v>
      </c>
      <c r="BK11" t="s">
        <v>51</v>
      </c>
      <c r="BL11" t="s">
        <v>51</v>
      </c>
      <c r="BM11" t="s">
        <v>51</v>
      </c>
      <c r="BO11" t="s">
        <v>54</v>
      </c>
      <c r="BP11" t="s">
        <v>51</v>
      </c>
      <c r="BQ11" t="s">
        <v>51</v>
      </c>
      <c r="BR11" t="s">
        <v>51</v>
      </c>
      <c r="BS11" t="s">
        <v>51</v>
      </c>
      <c r="BT11" t="s">
        <v>41</v>
      </c>
      <c r="BU11" t="s">
        <v>51</v>
      </c>
      <c r="BV11" t="s">
        <v>51</v>
      </c>
      <c r="BW11" t="s">
        <v>51</v>
      </c>
      <c r="BX11" t="s">
        <v>51</v>
      </c>
      <c r="BY11" t="s">
        <v>51</v>
      </c>
      <c r="BZ11" t="s">
        <v>51</v>
      </c>
      <c r="CE11" t="s">
        <v>51</v>
      </c>
      <c r="CF11" t="s">
        <v>51</v>
      </c>
      <c r="CG11" t="s">
        <v>51</v>
      </c>
      <c r="CM11" t="s">
        <v>41</v>
      </c>
      <c r="CN11" t="s">
        <v>53</v>
      </c>
      <c r="CP11" t="s">
        <v>51</v>
      </c>
      <c r="CQ11" t="s">
        <v>51</v>
      </c>
      <c r="CR11" t="s">
        <v>51</v>
      </c>
      <c r="CS11" t="s">
        <v>51</v>
      </c>
      <c r="CT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51</v>
      </c>
      <c r="FD11" t="s">
        <v>51</v>
      </c>
      <c r="FE11" t="s">
        <v>51</v>
      </c>
      <c r="FF11" t="s">
        <v>51</v>
      </c>
      <c r="FG11" t="s">
        <v>51</v>
      </c>
      <c r="FH11" t="s">
        <v>51</v>
      </c>
      <c r="FI11" t="s">
        <v>51</v>
      </c>
      <c r="FJ11" t="s">
        <v>51</v>
      </c>
      <c r="FK11" t="s">
        <v>51</v>
      </c>
      <c r="FL11" t="s">
        <v>51</v>
      </c>
      <c r="FM11" t="s">
        <v>51</v>
      </c>
      <c r="FN11" t="s">
        <v>51</v>
      </c>
      <c r="FO11" t="s">
        <v>51</v>
      </c>
      <c r="FP11" t="s">
        <v>51</v>
      </c>
      <c r="FQ11" t="s">
        <v>51</v>
      </c>
    </row>
    <row r="12" ht="15.75" customHeight="1">
      <c r="A12" s="8" t="s">
        <v>51</v>
      </c>
      <c r="B12" s="8" t="s">
        <v>35</v>
      </c>
      <c r="C12" s="8" t="s">
        <v>51</v>
      </c>
      <c r="D12" s="8" t="s">
        <v>51</v>
      </c>
      <c r="E12" s="8">
        <v>1000.0</v>
      </c>
      <c r="F12" s="8" t="s">
        <v>51</v>
      </c>
      <c r="G12" s="8" t="s">
        <v>51</v>
      </c>
      <c r="H12" s="8" t="s">
        <v>51</v>
      </c>
      <c r="I12" s="8" t="s">
        <v>51</v>
      </c>
      <c r="J12" s="8" t="s">
        <v>51</v>
      </c>
      <c r="K12" s="8" t="s">
        <v>51</v>
      </c>
      <c r="L12" s="8">
        <v>90.0</v>
      </c>
      <c r="M12" s="8"/>
      <c r="N12" s="8" t="s">
        <v>51</v>
      </c>
      <c r="O12" s="8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  <c r="AY12" t="s">
        <v>51</v>
      </c>
      <c r="AZ12" t="s">
        <v>51</v>
      </c>
      <c r="BA12" t="s">
        <v>51</v>
      </c>
      <c r="BB12" t="s">
        <v>51</v>
      </c>
      <c r="BC12" t="s">
        <v>51</v>
      </c>
      <c r="BD12" t="s">
        <v>51</v>
      </c>
      <c r="BE12" t="s">
        <v>51</v>
      </c>
      <c r="BF12" t="s">
        <v>51</v>
      </c>
      <c r="BG12" t="s">
        <v>51</v>
      </c>
      <c r="BI12" t="s">
        <v>51</v>
      </c>
      <c r="BJ12">
        <v>1000.0</v>
      </c>
      <c r="BK12" t="s">
        <v>51</v>
      </c>
      <c r="BL12" t="s">
        <v>51</v>
      </c>
      <c r="BM12" t="s">
        <v>51</v>
      </c>
      <c r="BO12" t="s">
        <v>54</v>
      </c>
      <c r="BP12" t="s">
        <v>51</v>
      </c>
      <c r="BQ12" t="s">
        <v>51</v>
      </c>
      <c r="BR12" t="s">
        <v>51</v>
      </c>
      <c r="BS12" t="s">
        <v>51</v>
      </c>
      <c r="BT12" t="s">
        <v>42</v>
      </c>
      <c r="BU12" t="s">
        <v>51</v>
      </c>
      <c r="BV12" t="s">
        <v>51</v>
      </c>
      <c r="BW12" t="s">
        <v>51</v>
      </c>
      <c r="BX12" t="s">
        <v>51</v>
      </c>
      <c r="BY12" t="s">
        <v>51</v>
      </c>
      <c r="BZ12" t="s">
        <v>51</v>
      </c>
      <c r="CE12" t="s">
        <v>51</v>
      </c>
      <c r="CF12" t="s">
        <v>51</v>
      </c>
      <c r="CG12" t="s">
        <v>51</v>
      </c>
      <c r="CM12" t="s">
        <v>42</v>
      </c>
      <c r="CN12" t="s">
        <v>53</v>
      </c>
      <c r="CP12" t="s">
        <v>51</v>
      </c>
      <c r="CQ12" t="s">
        <v>51</v>
      </c>
      <c r="CR12" t="s">
        <v>51</v>
      </c>
      <c r="CS12" t="s">
        <v>51</v>
      </c>
      <c r="CT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EY12" t="s">
        <v>51</v>
      </c>
      <c r="EZ12" t="s">
        <v>51</v>
      </c>
      <c r="FA12" t="s">
        <v>51</v>
      </c>
      <c r="FB12" t="s">
        <v>51</v>
      </c>
      <c r="FC12" t="s">
        <v>51</v>
      </c>
      <c r="FD12" t="s">
        <v>51</v>
      </c>
      <c r="FE12" t="s">
        <v>51</v>
      </c>
      <c r="FF12" t="s">
        <v>51</v>
      </c>
      <c r="FG12" t="s">
        <v>51</v>
      </c>
      <c r="FH12" t="s">
        <v>51</v>
      </c>
      <c r="FI12" t="s">
        <v>51</v>
      </c>
      <c r="FJ12" t="s">
        <v>51</v>
      </c>
      <c r="FK12" t="s">
        <v>51</v>
      </c>
      <c r="FL12" t="s">
        <v>51</v>
      </c>
      <c r="FM12" t="s">
        <v>51</v>
      </c>
      <c r="FN12" t="s">
        <v>51</v>
      </c>
      <c r="FO12" t="s">
        <v>51</v>
      </c>
      <c r="FP12" t="s">
        <v>51</v>
      </c>
      <c r="FQ12" t="s">
        <v>51</v>
      </c>
    </row>
    <row r="13" ht="15.75" customHeight="1">
      <c r="A13" s="8" t="s">
        <v>51</v>
      </c>
      <c r="B13" s="8" t="s">
        <v>35</v>
      </c>
      <c r="C13" s="8" t="s">
        <v>51</v>
      </c>
      <c r="D13" s="8" t="s">
        <v>51</v>
      </c>
      <c r="E13" s="8">
        <v>1000.0</v>
      </c>
      <c r="F13" s="8" t="s">
        <v>51</v>
      </c>
      <c r="G13" s="8" t="s">
        <v>51</v>
      </c>
      <c r="H13" s="8" t="s">
        <v>51</v>
      </c>
      <c r="I13" s="8" t="s">
        <v>51</v>
      </c>
      <c r="J13" s="8" t="s">
        <v>51</v>
      </c>
      <c r="K13" s="8" t="s">
        <v>51</v>
      </c>
      <c r="L13" s="8">
        <v>110.0</v>
      </c>
      <c r="M13" s="8"/>
      <c r="N13" s="8" t="s">
        <v>51</v>
      </c>
      <c r="O13" s="8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  <c r="AY13" t="s">
        <v>51</v>
      </c>
      <c r="AZ13" t="s">
        <v>51</v>
      </c>
      <c r="BA13" t="s">
        <v>51</v>
      </c>
      <c r="BB13" t="s">
        <v>51</v>
      </c>
      <c r="BC13" t="s">
        <v>51</v>
      </c>
      <c r="BD13" t="s">
        <v>51</v>
      </c>
      <c r="BE13" t="s">
        <v>51</v>
      </c>
      <c r="BF13" t="s">
        <v>51</v>
      </c>
      <c r="BG13" t="s">
        <v>51</v>
      </c>
      <c r="BI13" t="s">
        <v>51</v>
      </c>
      <c r="BJ13">
        <v>1000.0</v>
      </c>
      <c r="BK13" t="s">
        <v>51</v>
      </c>
      <c r="BL13" t="s">
        <v>51</v>
      </c>
      <c r="BM13" t="s">
        <v>51</v>
      </c>
      <c r="BO13" t="s">
        <v>52</v>
      </c>
      <c r="BP13" t="s">
        <v>51</v>
      </c>
      <c r="BQ13" t="s">
        <v>51</v>
      </c>
      <c r="BR13" t="s">
        <v>51</v>
      </c>
      <c r="BS13" t="s">
        <v>51</v>
      </c>
      <c r="BT13" t="s">
        <v>42</v>
      </c>
      <c r="BU13" t="s">
        <v>51</v>
      </c>
      <c r="BV13" t="s">
        <v>51</v>
      </c>
      <c r="BW13" t="s">
        <v>51</v>
      </c>
      <c r="BX13" t="s">
        <v>51</v>
      </c>
      <c r="BY13" t="s">
        <v>51</v>
      </c>
      <c r="BZ13" t="s">
        <v>51</v>
      </c>
      <c r="CE13" t="s">
        <v>51</v>
      </c>
      <c r="CF13" t="s">
        <v>51</v>
      </c>
      <c r="CG13" t="s">
        <v>51</v>
      </c>
      <c r="CM13" t="s">
        <v>42</v>
      </c>
      <c r="CN13" t="s">
        <v>53</v>
      </c>
      <c r="CP13" t="s">
        <v>51</v>
      </c>
      <c r="CQ13" t="s">
        <v>51</v>
      </c>
      <c r="CR13" t="s">
        <v>51</v>
      </c>
      <c r="CS13" t="s">
        <v>51</v>
      </c>
      <c r="CT13" t="s">
        <v>51</v>
      </c>
      <c r="CU13" t="s">
        <v>51</v>
      </c>
      <c r="CV13" t="s">
        <v>51</v>
      </c>
      <c r="CW13" t="s">
        <v>51</v>
      </c>
      <c r="CX13" t="s">
        <v>51</v>
      </c>
      <c r="CY13" t="s">
        <v>51</v>
      </c>
      <c r="CZ13" t="s">
        <v>51</v>
      </c>
      <c r="DA13" t="s">
        <v>51</v>
      </c>
      <c r="DB13" t="s">
        <v>51</v>
      </c>
      <c r="DC13" t="s">
        <v>51</v>
      </c>
      <c r="DD13" t="s">
        <v>51</v>
      </c>
      <c r="DE13" t="s">
        <v>51</v>
      </c>
      <c r="DF13" t="s">
        <v>51</v>
      </c>
      <c r="DG13" t="s">
        <v>51</v>
      </c>
      <c r="DH13" t="s">
        <v>51</v>
      </c>
      <c r="DI13" t="s">
        <v>51</v>
      </c>
      <c r="DJ13" t="s">
        <v>51</v>
      </c>
      <c r="DK13" t="s">
        <v>51</v>
      </c>
      <c r="DL13" t="s">
        <v>51</v>
      </c>
      <c r="DM13" t="s">
        <v>51</v>
      </c>
      <c r="DN13" t="s">
        <v>51</v>
      </c>
      <c r="DO13" t="s">
        <v>51</v>
      </c>
      <c r="DP13" t="s">
        <v>51</v>
      </c>
      <c r="DQ13" t="s">
        <v>51</v>
      </c>
      <c r="DR13" t="s">
        <v>51</v>
      </c>
      <c r="DS13" t="s">
        <v>51</v>
      </c>
      <c r="DT13" t="s">
        <v>51</v>
      </c>
      <c r="DU13" t="s">
        <v>51</v>
      </c>
      <c r="DV13" t="s">
        <v>51</v>
      </c>
      <c r="DW13" t="s">
        <v>51</v>
      </c>
      <c r="DX13" t="s">
        <v>51</v>
      </c>
      <c r="DY13" t="s">
        <v>51</v>
      </c>
      <c r="DZ13" t="s">
        <v>51</v>
      </c>
      <c r="EA13" t="s">
        <v>51</v>
      </c>
      <c r="EB13" t="s">
        <v>51</v>
      </c>
      <c r="EC13" t="s">
        <v>51</v>
      </c>
      <c r="ED13" t="s">
        <v>51</v>
      </c>
      <c r="EE13" t="s">
        <v>51</v>
      </c>
      <c r="EF13" t="s">
        <v>51</v>
      </c>
      <c r="EG13" t="s">
        <v>51</v>
      </c>
      <c r="EH13" t="s">
        <v>51</v>
      </c>
      <c r="EI13" t="s">
        <v>51</v>
      </c>
      <c r="EJ13" t="s">
        <v>51</v>
      </c>
      <c r="EK13" t="s">
        <v>51</v>
      </c>
      <c r="EL13" t="s">
        <v>51</v>
      </c>
      <c r="EM13" t="s">
        <v>51</v>
      </c>
      <c r="EN13" t="s">
        <v>51</v>
      </c>
      <c r="EO13" t="s">
        <v>51</v>
      </c>
      <c r="EP13" t="s">
        <v>51</v>
      </c>
      <c r="EQ13" t="s">
        <v>51</v>
      </c>
      <c r="ER13" t="s">
        <v>51</v>
      </c>
      <c r="ES13" t="s">
        <v>51</v>
      </c>
      <c r="ET13" t="s">
        <v>51</v>
      </c>
      <c r="EU13" t="s">
        <v>51</v>
      </c>
      <c r="EV13" t="s">
        <v>51</v>
      </c>
      <c r="EW13" t="s">
        <v>51</v>
      </c>
      <c r="EX13" t="s">
        <v>51</v>
      </c>
      <c r="EY13" t="s">
        <v>51</v>
      </c>
      <c r="EZ13" t="s">
        <v>51</v>
      </c>
      <c r="FA13" t="s">
        <v>51</v>
      </c>
      <c r="FB13" t="s">
        <v>51</v>
      </c>
      <c r="FC13" t="s">
        <v>51</v>
      </c>
      <c r="FD13" t="s">
        <v>51</v>
      </c>
      <c r="FE13" t="s">
        <v>51</v>
      </c>
      <c r="FF13" t="s">
        <v>51</v>
      </c>
      <c r="FG13" t="s">
        <v>51</v>
      </c>
      <c r="FH13" t="s">
        <v>51</v>
      </c>
      <c r="FI13" t="s">
        <v>51</v>
      </c>
      <c r="FJ13" t="s">
        <v>51</v>
      </c>
      <c r="FK13" t="s">
        <v>51</v>
      </c>
      <c r="FL13" t="s">
        <v>51</v>
      </c>
      <c r="FM13" t="s">
        <v>51</v>
      </c>
      <c r="FN13" t="s">
        <v>51</v>
      </c>
      <c r="FO13" t="s">
        <v>51</v>
      </c>
      <c r="FP13" t="s">
        <v>51</v>
      </c>
      <c r="FQ13" t="s">
        <v>51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51</v>
      </c>
      <c r="B6" s="47"/>
      <c r="C6" s="8" t="s">
        <v>39</v>
      </c>
      <c r="D6" s="47">
        <v>-1000.0</v>
      </c>
      <c r="E6" s="8" t="s">
        <v>30</v>
      </c>
      <c r="F6" s="8" t="s">
        <v>57</v>
      </c>
      <c r="G6" s="8"/>
      <c r="H6" s="8" t="s">
        <v>58</v>
      </c>
      <c r="I6" s="8"/>
      <c r="J6" s="8"/>
      <c r="K6" s="8"/>
      <c r="L6" s="8"/>
      <c r="M6" s="8"/>
      <c r="N6" s="8"/>
      <c r="O6" s="8" t="s">
        <v>59</v>
      </c>
      <c r="U6" t="s">
        <v>60</v>
      </c>
      <c r="V6" t="s">
        <v>61</v>
      </c>
      <c r="W6" t="s">
        <v>62</v>
      </c>
      <c r="AN6" t="s">
        <v>54</v>
      </c>
      <c r="AP6" t="s">
        <v>58</v>
      </c>
      <c r="AQ6" t="s">
        <v>39</v>
      </c>
      <c r="BQ6" t="s">
        <v>53</v>
      </c>
      <c r="BR6" t="s">
        <v>63</v>
      </c>
      <c r="EL6" t="s">
        <v>64</v>
      </c>
      <c r="EV6" t="s">
        <v>64</v>
      </c>
      <c r="FP6" t="s">
        <v>51</v>
      </c>
      <c r="FQ6" t="s">
        <v>51</v>
      </c>
    </row>
    <row r="7" ht="15.75" customHeight="1">
      <c r="A7" s="8" t="s">
        <v>51</v>
      </c>
      <c r="B7" s="8"/>
      <c r="C7" s="8" t="s">
        <v>39</v>
      </c>
      <c r="D7" s="8">
        <v>1000.0</v>
      </c>
      <c r="E7" s="8" t="s">
        <v>30</v>
      </c>
      <c r="F7" s="8" t="s">
        <v>57</v>
      </c>
      <c r="G7" s="8"/>
      <c r="H7" s="8" t="s">
        <v>58</v>
      </c>
      <c r="I7" s="8"/>
      <c r="J7" s="8"/>
      <c r="K7" s="8"/>
      <c r="L7" s="8"/>
      <c r="M7" s="8"/>
      <c r="N7" s="8"/>
      <c r="O7" s="8" t="s">
        <v>59</v>
      </c>
      <c r="U7" t="s">
        <v>60</v>
      </c>
      <c r="V7" t="s">
        <v>61</v>
      </c>
      <c r="W7" t="s">
        <v>62</v>
      </c>
      <c r="AN7" t="s">
        <v>52</v>
      </c>
      <c r="AP7" t="s">
        <v>64</v>
      </c>
      <c r="AQ7" t="s">
        <v>39</v>
      </c>
      <c r="BQ7" t="s">
        <v>53</v>
      </c>
      <c r="BR7" t="s">
        <v>63</v>
      </c>
      <c r="EL7" t="s">
        <v>64</v>
      </c>
      <c r="EV7" t="s">
        <v>64</v>
      </c>
      <c r="FP7" t="s">
        <v>51</v>
      </c>
      <c r="FQ7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