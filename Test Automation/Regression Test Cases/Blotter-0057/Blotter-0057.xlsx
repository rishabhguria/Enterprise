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TradeNewSubOrder" sheetId="6" r:id="rId8"/>
    <sheet state="visible" name="CreateNewSubOrder" sheetId="7" r:id="rId9"/>
    <sheet state="visible" name="TradeNewSubOrder1" sheetId="8" r:id="rId10"/>
    <sheet state="visible" name="CreateNewSubOrder1" sheetId="9" r:id="rId11"/>
    <sheet state="visible" name="SelectTradeOnOrderGrid" sheetId="10" r:id="rId12"/>
    <sheet state="visible" name="CancelSubOrder" sheetId="11" r:id="rId13"/>
    <sheet state="visible" name="SelectTradeOnOrderGrid1" sheetId="12" r:id="rId14"/>
    <sheet state="visible" name="ReplaceSubOrder" sheetId="13" r:id="rId15"/>
    <sheet state="visible" name="CreateReplaceOrder" sheetId="14" r:id="rId16"/>
    <sheet state="visible" name="CreateStageOrder1" sheetId="15" r:id="rId17"/>
    <sheet state="visible" name="SetRollover" sheetId="16" r:id="rId18"/>
    <sheet state="visible" name="SelectTradeOnOrderGrid2" sheetId="17" r:id="rId19"/>
    <sheet state="visible" name="VerifyRollover" sheetId="18" r:id="rId20"/>
    <sheet state="visible" name="VerifyOrder" sheetId="19" r:id="rId21"/>
    <sheet state="visible" name="SelectTradeOnOrderGrid3" sheetId="20" r:id="rId22"/>
    <sheet state="visible" name="VerifySubOrderAfterRollover" sheetId="21" r:id="rId23"/>
    <sheet state="visible" name="SelectTradeOnOrderGrid4" sheetId="22" r:id="rId24"/>
    <sheet state="visible" name="VerifySubOrderAfterRollover1" sheetId="23" r:id="rId25"/>
    <sheet state="visible" name="SelectTradeOnOrderGrid5" sheetId="24" r:id="rId26"/>
    <sheet state="visible" name="VerifySubOrderAfterRollover2" sheetId="25" r:id="rId27"/>
  </sheets>
  <definedNames/>
  <calcPr/>
</workbook>
</file>

<file path=xl/sharedStrings.xml><?xml version="1.0" encoding="utf-8"?>
<sst xmlns="http://schemas.openxmlformats.org/spreadsheetml/2006/main" count="316" uniqueCount="45">
  <si>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</si>
  <si>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</si>
  <si>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</si>
  <si>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</si>
  <si>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</si>
  <si>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</si>
  <si>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</si>
  <si>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</si>
  <si>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</si>
  <si>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</si>
  <si>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</si>
  <si>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</si>
  <si>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</si>
  <si>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</si>
  <si>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</si>
  <si>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</si>
  <si>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GOOG</t>
  </si>
  <si>
    <t>Buy</t>
  </si>
  <si>
    <t>Allocation1</t>
  </si>
  <si>
    <t>CreateStageOrder</t>
  </si>
  <si>
    <t>AAPL</t>
  </si>
  <si>
    <t>Blotter</t>
  </si>
  <si>
    <t>TradeNewSubOrder</t>
  </si>
  <si>
    <t>Equity</t>
  </si>
  <si>
    <t>New</t>
  </si>
  <si>
    <t>Market</t>
  </si>
  <si>
    <t>CreateNewSubOrder</t>
  </si>
  <si>
    <t>PartiallyFilled</t>
  </si>
  <si>
    <t>SelectTradeOnOrderGrid</t>
  </si>
  <si>
    <t>MS</t>
  </si>
  <si>
    <t>CancelSubOrder</t>
  </si>
  <si>
    <t>ReplaceSubOrder</t>
  </si>
  <si>
    <t>CreateReplaceOrder</t>
  </si>
  <si>
    <t>SAP</t>
  </si>
  <si>
    <t>Admin</t>
  </si>
  <si>
    <t>SetRollover</t>
  </si>
  <si>
    <t>US</t>
  </si>
  <si>
    <t>NASDAQ</t>
  </si>
  <si>
    <t>Right Now</t>
  </si>
  <si>
    <t>VerifyRollover</t>
  </si>
  <si>
    <t>RollOver</t>
  </si>
  <si>
    <t>VerifyOrder</t>
  </si>
  <si>
    <t>VerifySubOrderAfterRollover</t>
  </si>
  <si>
    <t>Cancelled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</si>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</sst>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wrapText="0"/>
    </xf>
    <xf borderId="4" fillId="5" fontId="4" numFmtId="49" xfId="0" applyAlignment="1" applyBorder="1" applyFont="1" applyNumberFormat="1">
      <alignment shrinkToFit="0" wrapText="0"/>
    </xf>
    <xf borderId="5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3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0.0</v>
      </c>
      <c r="F6" s="11" t="s">
        <v>18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11"/>
      <c r="B7" s="11" t="s">
        <v>16</v>
      </c>
      <c r="C7" s="11" t="s">
        <v>17</v>
      </c>
      <c r="D7" s="11">
        <v>200.0</v>
      </c>
      <c r="E7" s="11">
        <v>100.0</v>
      </c>
      <c r="F7" s="11" t="s">
        <v>18</v>
      </c>
      <c r="G7" s="8"/>
      <c r="H7" s="8"/>
      <c r="I7" s="8"/>
      <c r="J7" s="11">
        <v>10.0</v>
      </c>
      <c r="K7" s="8"/>
      <c r="L7" s="8"/>
      <c r="M7" s="8"/>
      <c r="N7" s="8"/>
      <c r="O7" s="8"/>
    </row>
    <row r="8" ht="15.75" customHeight="1">
      <c r="A8" s="11"/>
      <c r="B8" s="11" t="s">
        <v>16</v>
      </c>
      <c r="C8" s="11" t="s">
        <v>17</v>
      </c>
      <c r="D8" s="11">
        <v>300.0</v>
      </c>
      <c r="E8" s="11">
        <v>300.0</v>
      </c>
      <c r="F8" s="11" t="s">
        <v>18</v>
      </c>
      <c r="G8" s="8"/>
      <c r="H8" s="8"/>
      <c r="I8" s="8"/>
      <c r="J8" s="11">
        <v>10.0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20</v>
      </c>
      <c r="C6" s="11" t="s">
        <v>17</v>
      </c>
      <c r="D6" s="11">
        <v>1000.0</v>
      </c>
      <c r="E6" s="11">
        <v>1000.0</v>
      </c>
      <c r="F6" s="11" t="s">
        <v>18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23</v>
      </c>
      <c r="AI6" s="9" t="s">
        <v>20</v>
      </c>
      <c r="AJ6" s="9" t="s">
        <v>17</v>
      </c>
      <c r="AK6" s="9" t="s">
        <v>24</v>
      </c>
      <c r="AL6" s="31">
        <v>1000.0</v>
      </c>
      <c r="AT6" s="9" t="s">
        <v>18</v>
      </c>
      <c r="AU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200.0</v>
      </c>
      <c r="E6" s="11">
        <v>100.0</v>
      </c>
      <c r="F6" s="8"/>
      <c r="G6" s="8"/>
      <c r="H6" s="8"/>
      <c r="I6" s="8"/>
      <c r="J6" s="11">
        <v>15.0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23</v>
      </c>
      <c r="AI6" s="9" t="s">
        <v>20</v>
      </c>
      <c r="AJ6" s="9" t="s">
        <v>17</v>
      </c>
      <c r="AK6" s="9" t="s">
        <v>27</v>
      </c>
      <c r="AL6" s="31">
        <v>1000.0</v>
      </c>
      <c r="AT6" s="9" t="s">
        <v>18</v>
      </c>
      <c r="AU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400.0</v>
      </c>
      <c r="E6" s="11">
        <v>200.0</v>
      </c>
      <c r="F6" s="8"/>
      <c r="G6" s="8"/>
      <c r="H6" s="8"/>
      <c r="I6" s="8"/>
      <c r="J6" s="11">
        <v>15.0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 t="s">
        <v>20</v>
      </c>
      <c r="E6" s="30"/>
      <c r="F6" s="11" t="s">
        <v>17</v>
      </c>
      <c r="G6" s="11" t="s">
        <v>27</v>
      </c>
      <c r="H6" s="32">
        <v>1000.0</v>
      </c>
      <c r="I6" s="8"/>
      <c r="J6" s="8"/>
      <c r="K6" s="8"/>
      <c r="L6" s="8"/>
      <c r="M6" s="8"/>
      <c r="N6" s="8"/>
      <c r="O6" s="8"/>
      <c r="Q6" s="9" t="s">
        <v>29</v>
      </c>
      <c r="R6" s="9" t="s">
        <v>18</v>
      </c>
      <c r="AF6" s="9" t="s">
        <v>23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30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23</v>
      </c>
      <c r="AI6" s="9" t="s">
        <v>20</v>
      </c>
      <c r="AJ6" s="9" t="s">
        <v>17</v>
      </c>
      <c r="AK6" s="9" t="s">
        <v>27</v>
      </c>
      <c r="AL6" s="9">
        <v>200.0</v>
      </c>
      <c r="AM6" s="9">
        <v>100.0</v>
      </c>
      <c r="AS6" s="9" t="s">
        <v>29</v>
      </c>
      <c r="AT6" s="9" t="s">
        <v>18</v>
      </c>
      <c r="AU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 t="s">
        <v>20</v>
      </c>
      <c r="E6" s="30"/>
      <c r="F6" s="11" t="s">
        <v>17</v>
      </c>
      <c r="G6" s="11" t="s">
        <v>27</v>
      </c>
      <c r="H6" s="32">
        <v>1000.0</v>
      </c>
      <c r="I6" s="8"/>
      <c r="J6" s="8"/>
      <c r="K6" s="8"/>
      <c r="L6" s="8"/>
      <c r="M6" s="8"/>
      <c r="N6" s="8"/>
      <c r="O6" s="8"/>
      <c r="Q6" s="9" t="s">
        <v>29</v>
      </c>
      <c r="R6" s="9" t="s">
        <v>18</v>
      </c>
      <c r="AF6" s="9" t="s">
        <v>23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30"/>
      <c r="F6" s="8"/>
      <c r="G6" s="11">
        <v>200.0</v>
      </c>
      <c r="H6" s="8"/>
      <c r="I6" s="8"/>
      <c r="J6" s="8"/>
      <c r="K6" s="8"/>
      <c r="L6" s="8"/>
      <c r="M6" s="8"/>
      <c r="N6" s="8"/>
      <c r="O6" s="8"/>
      <c r="AE6" s="9">
        <v>1.0</v>
      </c>
      <c r="AI6" s="9" t="s">
        <v>23</v>
      </c>
      <c r="AJ6" s="9" t="s">
        <v>20</v>
      </c>
      <c r="AK6" s="9" t="s">
        <v>17</v>
      </c>
      <c r="AL6" s="9" t="s">
        <v>27</v>
      </c>
      <c r="AM6" s="9">
        <v>400.0</v>
      </c>
      <c r="AN6" s="9">
        <v>200.0</v>
      </c>
      <c r="AT6" s="9" t="s">
        <v>29</v>
      </c>
      <c r="AU6" s="9" t="s">
        <v>18</v>
      </c>
      <c r="AV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1200.0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33</v>
      </c>
      <c r="C6" s="11" t="s">
        <v>17</v>
      </c>
      <c r="D6" s="11">
        <v>1000.0</v>
      </c>
      <c r="E6" s="11">
        <v>1000.0</v>
      </c>
      <c r="F6" s="11" t="s">
        <v>18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IFERROR(__xludf.DUMMYFUNCTION("""COMPUTED_VALUE"""),"")</f>
        <v/>
      </c>
      <c r="G4" s="24" t="str">
        <f>IFERROR(__xludf.DUMMYFUNCTION("""COMPUTED_VALUE"""),"")</f>
        <v/>
      </c>
      <c r="H4" s="24" t="str">
        <f>IFERROR(__xludf.DUMMYFUNCTION("""COMPUTED_VALUE"""),"")</f>
        <v/>
      </c>
      <c r="I4" s="24" t="str">
        <f>IFERROR(__xludf.DUMMYFUNCTION("""COMPUTED_VALUE"""),"")</f>
        <v/>
      </c>
      <c r="J4" s="24" t="str">
        <f>IFERROR(__xludf.DUMMYFUNCTION("""COMPUTED_VALUE"""),"")</f>
        <v/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IFERROR(__xludf.DUMMYFUNCTION("""COMPUTED_VALUE"""),"AssetName")</f>
        <v>AssetName</v>
      </c>
      <c r="C5" s="27" t="str">
        <f>IFERROR(__xludf.DUMMYFUNCTION("""COMPUTED_VALUE"""),"UnderLyingName")</f>
        <v>UnderLyingName</v>
      </c>
      <c r="D5" s="27" t="str">
        <f>IFERROR(__xludf.DUMMYFUNCTION("""COMPUTED_VALUE"""),"DisplayName")</f>
        <v>DisplayName</v>
      </c>
      <c r="E5" s="33" t="str">
        <f>IFERROR(__xludf.DUMMYFUNCTION("""COMPUTED_VALUE"""),"ClearanceTime")</f>
        <v>ClearanceTime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23</v>
      </c>
      <c r="C6" s="34" t="s">
        <v>36</v>
      </c>
      <c r="D6" s="34" t="s">
        <v>37</v>
      </c>
      <c r="E6" s="11" t="s">
        <v>38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/>
      <c r="C7" s="34"/>
      <c r="D7" s="34"/>
      <c r="E7" s="1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 t="s">
        <v>16</v>
      </c>
      <c r="E6" s="30"/>
      <c r="F6" s="11" t="s">
        <v>17</v>
      </c>
      <c r="G6" s="11" t="s">
        <v>24</v>
      </c>
      <c r="H6" s="11">
        <v>100.0</v>
      </c>
      <c r="I6" s="8"/>
      <c r="J6" s="8"/>
      <c r="K6" s="8"/>
      <c r="L6" s="11">
        <v>100.0</v>
      </c>
      <c r="M6" s="8"/>
      <c r="N6" s="8"/>
      <c r="O6" s="8"/>
      <c r="Q6" s="9" t="s">
        <v>29</v>
      </c>
      <c r="R6" s="9" t="s">
        <v>18</v>
      </c>
      <c r="T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23</v>
      </c>
      <c r="AI6" s="9" t="s">
        <v>16</v>
      </c>
      <c r="AJ6" s="9" t="s">
        <v>17</v>
      </c>
      <c r="AK6" s="9" t="s">
        <v>24</v>
      </c>
      <c r="AL6" s="9">
        <v>100.0</v>
      </c>
      <c r="AP6" s="9">
        <v>0.0</v>
      </c>
      <c r="AQ6" s="9" t="s">
        <v>29</v>
      </c>
      <c r="AR6" s="9" t="s">
        <v>18</v>
      </c>
      <c r="AS6" s="9" t="s">
        <v>25</v>
      </c>
      <c r="AT6" s="9">
        <v>0.0</v>
      </c>
      <c r="AU6" s="9">
        <v>0.0</v>
      </c>
      <c r="AW6" s="9" t="s">
        <v>40</v>
      </c>
      <c r="AX6" s="9">
        <v>100.0</v>
      </c>
    </row>
    <row r="7" ht="15.75" customHeight="1">
      <c r="A7" s="8"/>
      <c r="B7" s="8"/>
      <c r="C7" s="8"/>
      <c r="D7" s="11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L7" s="31"/>
      <c r="AP7" s="31"/>
      <c r="AY7" s="31"/>
    </row>
    <row r="8" ht="15.75" customHeight="1">
      <c r="A8" s="8"/>
      <c r="B8" s="8"/>
      <c r="C8" s="8"/>
      <c r="D8" s="11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11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L9" s="31"/>
      <c r="AP9" s="31"/>
      <c r="AY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VerifyRollover!$4:$4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23</v>
      </c>
      <c r="AI6" s="9" t="s">
        <v>16</v>
      </c>
      <c r="AJ6" s="9" t="s">
        <v>17</v>
      </c>
      <c r="AK6" s="9" t="s">
        <v>24</v>
      </c>
      <c r="AL6" s="9">
        <v>100.0</v>
      </c>
      <c r="AP6" s="9">
        <v>100.0</v>
      </c>
      <c r="AQ6" s="9">
        <v>0.0</v>
      </c>
      <c r="AR6" s="9">
        <v>0.0</v>
      </c>
      <c r="AS6" s="9" t="s">
        <v>29</v>
      </c>
      <c r="AT6" s="9" t="s">
        <v>18</v>
      </c>
      <c r="AU6" s="9" t="s">
        <v>25</v>
      </c>
      <c r="AY6" s="9">
        <v>100.0</v>
      </c>
      <c r="AZ6" s="9">
        <v>100.0</v>
      </c>
    </row>
    <row r="7" ht="15.75" customHeight="1">
      <c r="A7" s="8"/>
      <c r="B7" s="8"/>
      <c r="C7" s="8"/>
      <c r="D7" s="11">
        <v>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H7" s="9" t="s">
        <v>23</v>
      </c>
      <c r="AI7" s="9" t="s">
        <v>33</v>
      </c>
      <c r="AJ7" s="9" t="s">
        <v>17</v>
      </c>
      <c r="AK7" s="9" t="s">
        <v>24</v>
      </c>
      <c r="AL7" s="31">
        <v>1000.0</v>
      </c>
      <c r="AP7" s="31">
        <v>1000.0</v>
      </c>
      <c r="AQ7" s="9">
        <v>0.0</v>
      </c>
      <c r="AR7" s="9">
        <v>0.0</v>
      </c>
      <c r="AS7" s="9" t="s">
        <v>29</v>
      </c>
      <c r="AT7" s="9" t="s">
        <v>18</v>
      </c>
      <c r="AU7" s="9" t="s">
        <v>25</v>
      </c>
      <c r="AY7" s="31">
        <v>1000.0</v>
      </c>
      <c r="AZ7" s="9">
        <v>1000.0</v>
      </c>
    </row>
    <row r="8" ht="15.75" customHeight="1">
      <c r="A8" s="8"/>
      <c r="B8" s="8"/>
      <c r="C8" s="8"/>
      <c r="D8" s="11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D8" s="9">
        <v>1.0</v>
      </c>
      <c r="AH8" s="9" t="s">
        <v>23</v>
      </c>
      <c r="AI8" s="9" t="s">
        <v>16</v>
      </c>
      <c r="AJ8" s="9" t="s">
        <v>17</v>
      </c>
      <c r="AK8" s="9" t="s">
        <v>27</v>
      </c>
      <c r="AL8" s="9">
        <v>200.0</v>
      </c>
      <c r="AM8" s="9">
        <v>100.0</v>
      </c>
      <c r="AP8" s="9">
        <v>100.0</v>
      </c>
      <c r="AQ8" s="9">
        <v>0.0</v>
      </c>
      <c r="AR8" s="9">
        <v>10.0</v>
      </c>
      <c r="AS8" s="9" t="s">
        <v>29</v>
      </c>
      <c r="AT8" s="9" t="s">
        <v>18</v>
      </c>
      <c r="AU8" s="9" t="s">
        <v>25</v>
      </c>
      <c r="AY8" s="9">
        <v>100.0</v>
      </c>
      <c r="AZ8" s="9">
        <v>100.0</v>
      </c>
    </row>
    <row r="9" ht="15.75" customHeight="1">
      <c r="A9" s="8"/>
      <c r="B9" s="8"/>
      <c r="C9" s="8"/>
      <c r="D9" s="11">
        <v>15.0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D9" s="9">
        <v>1.0</v>
      </c>
      <c r="AH9" s="9" t="s">
        <v>23</v>
      </c>
      <c r="AI9" s="9" t="s">
        <v>20</v>
      </c>
      <c r="AJ9" s="9" t="s">
        <v>17</v>
      </c>
      <c r="AK9" s="9" t="s">
        <v>27</v>
      </c>
      <c r="AL9" s="31">
        <v>1300.0</v>
      </c>
      <c r="AM9" s="9">
        <v>300.0</v>
      </c>
      <c r="AP9" s="31">
        <v>1000.0</v>
      </c>
      <c r="AQ9" s="9">
        <v>0.0</v>
      </c>
      <c r="AR9" s="9">
        <v>15.0</v>
      </c>
      <c r="AS9" s="9" t="s">
        <v>29</v>
      </c>
      <c r="AT9" s="9" t="s">
        <v>18</v>
      </c>
      <c r="AU9" s="9" t="s">
        <v>25</v>
      </c>
      <c r="AY9" s="31">
        <v>1000.0</v>
      </c>
      <c r="AZ9" s="9">
        <v>1000.0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 t="s">
        <v>16</v>
      </c>
      <c r="E6" s="30"/>
      <c r="F6" s="11" t="s">
        <v>17</v>
      </c>
      <c r="G6" s="11" t="s">
        <v>24</v>
      </c>
      <c r="H6" s="11">
        <v>100.0</v>
      </c>
      <c r="I6" s="8"/>
      <c r="J6" s="8"/>
      <c r="K6" s="8"/>
      <c r="L6" s="11">
        <v>100.0</v>
      </c>
      <c r="M6" s="8"/>
      <c r="N6" s="8"/>
      <c r="O6" s="8"/>
      <c r="Q6" s="9" t="s">
        <v>29</v>
      </c>
      <c r="R6" s="9" t="s">
        <v>18</v>
      </c>
      <c r="T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23</v>
      </c>
      <c r="AI6" s="9" t="s">
        <v>16</v>
      </c>
      <c r="AJ6" s="9" t="s">
        <v>17</v>
      </c>
      <c r="AK6" s="9" t="s">
        <v>24</v>
      </c>
      <c r="AL6" s="9">
        <v>100.0</v>
      </c>
      <c r="AP6" s="9">
        <v>0.0</v>
      </c>
      <c r="AQ6" s="9" t="s">
        <v>29</v>
      </c>
      <c r="AR6" s="9" t="s">
        <v>18</v>
      </c>
      <c r="AS6" s="9" t="s">
        <v>25</v>
      </c>
      <c r="AT6" s="9">
        <v>0.0</v>
      </c>
      <c r="AU6" s="9">
        <v>0.0</v>
      </c>
      <c r="AW6" s="9" t="s">
        <v>40</v>
      </c>
      <c r="AX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VerifySubOrderAfterRollover!$4:$4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 t="s">
        <v>16</v>
      </c>
      <c r="E6" s="30"/>
      <c r="F6" s="11" t="s">
        <v>17</v>
      </c>
      <c r="G6" s="11" t="s">
        <v>27</v>
      </c>
      <c r="H6" s="11">
        <v>200.0</v>
      </c>
      <c r="I6" s="11">
        <v>100.0</v>
      </c>
      <c r="J6" s="8"/>
      <c r="K6" s="8"/>
      <c r="L6" s="8"/>
      <c r="M6" s="8"/>
      <c r="N6" s="8"/>
      <c r="O6" s="8"/>
      <c r="Q6" s="9" t="s">
        <v>29</v>
      </c>
      <c r="R6" s="9" t="s">
        <v>18</v>
      </c>
      <c r="T6" s="9" t="s">
        <v>25</v>
      </c>
      <c r="AF6" s="9" t="s">
        <v>23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10.0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23</v>
      </c>
      <c r="AI6" s="9" t="s">
        <v>16</v>
      </c>
      <c r="AJ6" s="9" t="s">
        <v>17</v>
      </c>
      <c r="AK6" s="9" t="s">
        <v>27</v>
      </c>
      <c r="AL6" s="9">
        <v>200.0</v>
      </c>
      <c r="AM6" s="9">
        <v>100.0</v>
      </c>
      <c r="AP6" s="9">
        <v>10.0</v>
      </c>
      <c r="AQ6" s="9" t="s">
        <v>29</v>
      </c>
      <c r="AR6" s="9" t="s">
        <v>18</v>
      </c>
      <c r="AS6" s="9" t="s">
        <v>25</v>
      </c>
      <c r="AT6" s="31">
        <v>1000.0</v>
      </c>
      <c r="AU6" s="31">
        <v>1000.0</v>
      </c>
      <c r="AW6" s="9" t="s">
        <v>40</v>
      </c>
      <c r="AX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VerifySubOrderAfterRollover1!$4:$4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 t="s">
        <v>20</v>
      </c>
      <c r="E6" s="30"/>
      <c r="F6" s="11" t="s">
        <v>17</v>
      </c>
      <c r="G6" s="11" t="s">
        <v>27</v>
      </c>
      <c r="H6" s="32">
        <v>1300.0</v>
      </c>
      <c r="I6" s="8"/>
      <c r="J6" s="8"/>
      <c r="K6" s="8"/>
      <c r="L6" s="8"/>
      <c r="M6" s="8"/>
      <c r="N6" s="8"/>
      <c r="O6" s="8"/>
      <c r="Q6" s="9" t="s">
        <v>29</v>
      </c>
      <c r="R6" s="9" t="s">
        <v>18</v>
      </c>
      <c r="T6" s="9" t="s">
        <v>25</v>
      </c>
      <c r="AF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15.0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23</v>
      </c>
      <c r="AI6" s="9" t="s">
        <v>20</v>
      </c>
      <c r="AJ6" s="9" t="s">
        <v>17</v>
      </c>
      <c r="AK6" s="9" t="s">
        <v>43</v>
      </c>
      <c r="AL6" s="9">
        <v>200.0</v>
      </c>
      <c r="AM6" s="9">
        <v>100.0</v>
      </c>
      <c r="AP6" s="9">
        <v>15.0</v>
      </c>
      <c r="AQ6" s="9" t="s">
        <v>29</v>
      </c>
      <c r="AR6" s="9" t="s">
        <v>18</v>
      </c>
      <c r="AS6" s="9" t="s">
        <v>25</v>
      </c>
      <c r="AW6" s="9" t="s">
        <v>43</v>
      </c>
      <c r="AX6" s="9">
        <v>100.0</v>
      </c>
    </row>
    <row r="7" ht="15.75" customHeight="1">
      <c r="A7" s="8"/>
      <c r="B7" s="8"/>
      <c r="C7" s="8"/>
      <c r="D7" s="11">
        <v>15.0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H7" s="9" t="s">
        <v>23</v>
      </c>
      <c r="AI7" s="9" t="s">
        <v>20</v>
      </c>
      <c r="AJ7" s="9" t="s">
        <v>17</v>
      </c>
      <c r="AK7" s="9" t="s">
        <v>44</v>
      </c>
      <c r="AL7" s="31">
        <v>1200.0</v>
      </c>
      <c r="AM7" s="9">
        <v>200.0</v>
      </c>
      <c r="AP7" s="9">
        <v>15.0</v>
      </c>
      <c r="AQ7" s="9" t="s">
        <v>29</v>
      </c>
      <c r="AR7" s="9" t="s">
        <v>18</v>
      </c>
      <c r="AS7" s="9" t="s">
        <v>25</v>
      </c>
      <c r="AW7" s="9" t="s">
        <v>40</v>
      </c>
      <c r="AX7" s="9">
        <v>1000.0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VerifySubOrderAfterRollover2!$4:$4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