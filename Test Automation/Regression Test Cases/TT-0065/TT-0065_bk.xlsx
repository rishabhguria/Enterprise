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heckPortfolioManagement" sheetId="6" r:id="rId8"/>
    <sheet state="visible" name="PricingInput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PortfolioManagement1" sheetId="12" r:id="rId14"/>
    <sheet state="visible" name="CalculatePTT1" sheetId="13" r:id="rId15"/>
    <sheet state="visible" name="VerifyPTT1" sheetId="14" r:id="rId16"/>
    <sheet state="visible" name="TradePTT1" sheetId="15" r:id="rId17"/>
    <sheet state="visible" name="CreateDoneAwayOrder2" sheetId="16" r:id="rId18"/>
    <sheet state="visible" name="VerifyOrder" sheetId="17" r:id="rId19"/>
    <sheet state="visible" name="GetDataAllocation" sheetId="18" r:id="rId20"/>
    <sheet state="visible" name="CheckAllocatedGroups" sheetId="19" r:id="rId21"/>
    <sheet state="visible" name="CheckPortfolioManagement2" sheetId="20" r:id="rId22"/>
  </sheets>
  <definedNames/>
  <calcPr/>
</workbook>
</file>

<file path=xl/sharedStrings.xml><?xml version="1.0" encoding="utf-8"?>
<sst xmlns="http://schemas.openxmlformats.org/spreadsheetml/2006/main" count="411" uniqueCount="67">
  <si>
    <t>Modules Info</t>
  </si>
  <si>
    <t>Modules</t>
  </si>
  <si>
    <t>Settings</t>
  </si>
  <si>
    <t>Module Step Setting File</t>
  </si>
  <si>
    <t>1j0XTqylCAyEpn_j9vfFi3Z_-jq412Z7RTqmw5bXru1U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</si>
  <si>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</si>
  <si>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</si>
  <si>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</si>
  <si>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</si>
  <si>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</si>
  <si>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</si>
  <si>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</si>
  <si>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</si>
  <si>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</si>
  <si>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</si>
  <si>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</si>
  <si>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</si>
  <si>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</si>
  <si>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</si>
  <si>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</si>
  <si>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</si>
  <si>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</si>
  <si>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PortfolioManagement</t>
  </si>
  <si>
    <t>CheckPortfolioManagement</t>
  </si>
  <si>
    <t>NewMF</t>
  </si>
  <si>
    <t>Long</t>
  </si>
  <si>
    <t>APPLE</t>
  </si>
  <si>
    <t>FIMAT</t>
  </si>
  <si>
    <t>Strategy Unallocated</t>
  </si>
  <si>
    <t>Equity</t>
  </si>
  <si>
    <t>US</t>
  </si>
  <si>
    <t>NASDAQ</t>
  </si>
  <si>
    <t>USD</t>
  </si>
  <si>
    <t>New Hedge</t>
  </si>
  <si>
    <t>Small Cap</t>
  </si>
  <si>
    <t>Undefined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</si>
  <si>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</si>
  <si>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</si>
  <si>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</si>
  <si>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</si>
  <si>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</si>
  <si>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</si>
  <si>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</si>
  <si>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</si>
  <si>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</si>
  <si>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PricingInput</t>
  </si>
  <si>
    <t>PTT</t>
  </si>
  <si>
    <t>CalculatePTT</t>
  </si>
  <si>
    <t>Set</t>
  </si>
  <si>
    <t>Percentage</t>
  </si>
  <si>
    <t>No</t>
  </si>
  <si>
    <t>VerifyPTT</t>
  </si>
  <si>
    <t>TradePTT</t>
  </si>
  <si>
    <t>User Defined</t>
  </si>
  <si>
    <t>Blotter</t>
  </si>
  <si>
    <t>VerifyOrder</t>
  </si>
  <si>
    <t xml:space="preserve">jpearce 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</si>
  <si>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</si>
  <si>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</si>
  <si>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</si>
  <si>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</si>
  <si>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</si>
  <si>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</si>
  <si>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</si>
  <si>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M</t>
  </si>
  <si>
    <t>False</t>
  </si>
  <si>
    <t>True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</si>
</sst>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name val="Calibri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3" xfId="0" applyAlignment="1" applyBorder="1" applyFont="1" applyNumberFormat="1">
      <alignment horizontal="right" vertical="bottom"/>
    </xf>
    <xf borderId="5" fillId="0" fontId="13" numFmtId="0" xfId="0" applyAlignment="1" applyBorder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13" numFmtId="0" xfId="0" applyAlignment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164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0" xfId="0" applyAlignment="1" applyFont="1">
      <alignment vertical="bottom"/>
    </xf>
    <xf borderId="5" fillId="0" fontId="14" numFmtId="16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14" numFmtId="164" xfId="0" applyAlignment="1" applyBorder="1" applyFont="1" applyNumberFormat="1">
      <alignment horizontal="right" readingOrder="0" vertical="bottom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2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IFERROR(__xludf.DUMMYFUNCTION("""COMPUTED_VALUE"""),"SetTTUIPreferencesViaAdmin")</f>
        <v>SetTTUIPreferencesViaAdmin</v>
      </c>
      <c r="C532" t="str">
        <f>IFERROR(__xludf.DUMMYFUNCTION("""COMPUTED_VALUE"""),"1Z8JIwoPxCgLRv01bYZcdh7xr1IcRWOaqqUrwQZaloYA")</f>
        <v>1Z8JIwoPxCgLRv01bYZcdh7xr1IcRWOaqqUrwQZaloYA</v>
      </c>
    </row>
    <row r="533" ht="15.75" customHeight="1">
      <c r="A533" t="str">
        <f>IFERROR(__xludf.DUMMYFUNCTION("""COMPUTED_VALUE"""),"Allocation")</f>
        <v>Allocation</v>
      </c>
      <c r="B533" t="str">
        <f>IFERROR(__xludf.DUMMYFUNCTION("""COMPUTED_VALUE"""),"AllocationAuditTrail")</f>
        <v>AllocationAuditTrail</v>
      </c>
      <c r="C533" t="str">
        <f>IFERROR(__xludf.DUMMYFUNCTION("""COMPUTED_VALUE"""),"178rOki2KCouUF9Iz9lng6bwJnPFVHaZtwBC9CdiyuVc")</f>
        <v>178rOki2KCouUF9Iz9lng6bwJnPFVHaZtwBC9CdiyuVc</v>
      </c>
    </row>
    <row r="534" ht="15.75" customHeight="1">
      <c r="A534" t="str">
        <f>IFERROR(__xludf.DUMMYFUNCTION("""COMPUTED_VALUE"""),"Allocation")</f>
        <v>Allocation</v>
      </c>
      <c r="B534" t="str">
        <f>IFERROR(__xludf.DUMMYFUNCTION("""COMPUTED_VALUE"""),"GetAuditTrailData")</f>
        <v>GetAuditTrailData</v>
      </c>
      <c r="C534" t="str">
        <f>IFERROR(__xludf.DUMMYFUNCTION("""COMPUTED_VALUE"""),"1xzn2YyCPdZfMTo0ieuR11YKa_oxUPbzkPKQEmibGMDo")</f>
        <v>1xzn2YyCPdZfMTo0ieuR11YKa_oxUPbzkPKQEmibGMDo</v>
      </c>
    </row>
    <row r="535" ht="15.75" customHeight="1">
      <c r="A535" t="str">
        <f>IFERROR(__xludf.DUMMYFUNCTION("""COMPUTED_VALUE"""),"Allocation")</f>
        <v>Allocation</v>
      </c>
      <c r="B535" t="str">
        <f>IFERROR(__xludf.DUMMYFUNCTION("""COMPUTED_VALUE"""),"CheckAuditTrailData")</f>
        <v>CheckAuditTrailData</v>
      </c>
      <c r="C535" t="str">
        <f>IFERROR(__xludf.DUMMYFUNCTION("""COMPUTED_VALUE"""),"1Yxu4VMZGMl7EQBhNAo8lBqOGH6w7WWla7_FbMhPALQg")</f>
        <v>1Yxu4VMZGMl7EQBhNAo8lBqOGH6w7WWla7_FbMhPALQg</v>
      </c>
    </row>
    <row r="536" ht="15.75" customHeight="1">
      <c r="A536" t="str">
        <f>IFERROR(__xludf.DUMMYFUNCTION("""COMPUTED_VALUE"""),"SymbolLookup")</f>
        <v>SymbolLookup</v>
      </c>
      <c r="B536" t="str">
        <f>IFERROR(__xludf.DUMMYFUNCTION("""COMPUTED_VALUE"""),"UpdateSecurityInfoOnSM")</f>
        <v>UpdateSecurityInfoOnSM</v>
      </c>
      <c r="C536" t="str">
        <f>IFERROR(__xludf.DUMMYFUNCTION("""COMPUTED_VALUE"""),"14z69pnCfo_DnsBrAd1uY7YL0PPT5uLfl7VchS5jQ8a8")</f>
        <v>14z69pnCfo_DnsBrAd1uY7YL0PPT5uLfl7VchS5jQ8a8</v>
      </c>
    </row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IFERROR(__xludf.DUMMYFUNCTION("""COMPUTED_VALUE"""),"SetTTUIPreferencesViaAdmin")</f>
        <v>SetTTUIPreferencesViaAdmin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2" t="b">
        <v>1</v>
      </c>
      <c r="O6" s="33">
        <v>2.0</v>
      </c>
      <c r="P6" s="31" t="s">
        <v>16</v>
      </c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1000.0</v>
      </c>
      <c r="E6" s="33">
        <v>1000.0</v>
      </c>
      <c r="F6" s="31" t="s">
        <v>21</v>
      </c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7">
        <v>0.0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0"/>
      <c r="C6" s="38" t="s">
        <v>19</v>
      </c>
      <c r="D6" s="39">
        <v>1000.0</v>
      </c>
      <c r="E6" s="38" t="s">
        <v>21</v>
      </c>
      <c r="F6" s="38" t="s">
        <v>24</v>
      </c>
      <c r="G6" s="40">
        <v>10.0</v>
      </c>
      <c r="H6" s="38" t="s">
        <v>25</v>
      </c>
      <c r="I6" s="40">
        <v>0.0</v>
      </c>
      <c r="J6" s="31"/>
      <c r="K6" s="40">
        <v>0.0</v>
      </c>
      <c r="L6" s="31"/>
      <c r="M6" s="31"/>
      <c r="N6" s="39">
        <v>-10000.0</v>
      </c>
      <c r="O6" s="38" t="s">
        <v>26</v>
      </c>
      <c r="P6" s="40">
        <v>0.0</v>
      </c>
      <c r="Q6" s="39">
        <v>-10000.0</v>
      </c>
      <c r="R6" s="38" t="s">
        <v>27</v>
      </c>
      <c r="S6" s="38" t="s">
        <v>28</v>
      </c>
      <c r="T6" s="41" t="s">
        <v>29</v>
      </c>
      <c r="U6" s="41" t="s">
        <v>30</v>
      </c>
      <c r="V6" s="41" t="s">
        <v>31</v>
      </c>
      <c r="W6" s="41" t="s">
        <v>32</v>
      </c>
      <c r="X6" s="34"/>
      <c r="Y6" s="42">
        <v>1.0</v>
      </c>
      <c r="Z6" s="34"/>
      <c r="AA6" s="34"/>
      <c r="AB6" s="42">
        <v>0.0</v>
      </c>
      <c r="AC6" s="42">
        <v>0.0</v>
      </c>
      <c r="AD6" s="42">
        <v>0.0</v>
      </c>
      <c r="AE6" s="42">
        <v>0.0</v>
      </c>
      <c r="AF6" s="43">
        <v>1000.0</v>
      </c>
      <c r="AG6" s="42">
        <v>0.0</v>
      </c>
      <c r="AH6" s="42">
        <v>0.0</v>
      </c>
      <c r="AI6" s="42">
        <v>0.0</v>
      </c>
      <c r="AJ6" s="42">
        <v>0.0</v>
      </c>
      <c r="AK6" s="43">
        <v>-10000.0</v>
      </c>
      <c r="AL6" s="42">
        <v>1.0</v>
      </c>
      <c r="AM6" s="42">
        <v>1.0</v>
      </c>
      <c r="AN6" s="34" t="s">
        <v>20</v>
      </c>
      <c r="AO6" s="34"/>
      <c r="AP6" s="41" t="s">
        <v>25</v>
      </c>
      <c r="AQ6" s="41" t="s">
        <v>19</v>
      </c>
      <c r="AR6" s="42">
        <v>0.0</v>
      </c>
      <c r="AS6" s="34"/>
      <c r="AT6" s="34"/>
      <c r="AU6" s="34"/>
      <c r="AV6" s="42">
        <v>1.0</v>
      </c>
      <c r="AW6" s="43">
        <v>-10000.0</v>
      </c>
      <c r="AX6" s="42">
        <v>0.0</v>
      </c>
      <c r="AY6" s="42">
        <v>0.0</v>
      </c>
      <c r="AZ6" s="42">
        <v>0.0</v>
      </c>
      <c r="BA6" s="42">
        <v>-100.0</v>
      </c>
      <c r="BB6" s="34"/>
      <c r="BC6" s="42">
        <v>1.0</v>
      </c>
      <c r="BD6" s="43">
        <v>-10000.0</v>
      </c>
      <c r="BE6" s="41" t="s">
        <v>29</v>
      </c>
      <c r="BF6" s="41" t="s">
        <v>33</v>
      </c>
      <c r="BG6" s="41" t="s">
        <v>34</v>
      </c>
      <c r="BH6" s="41" t="s">
        <v>35</v>
      </c>
      <c r="BI6" s="42">
        <v>5.0</v>
      </c>
      <c r="BJ6" s="42">
        <v>0.0</v>
      </c>
      <c r="BK6" s="42">
        <v>0.0</v>
      </c>
      <c r="BL6" s="42">
        <v>0.0</v>
      </c>
      <c r="BM6" s="42">
        <v>0.0</v>
      </c>
      <c r="BN6" s="34"/>
      <c r="BO6" s="43">
        <v>-10000.0</v>
      </c>
      <c r="BP6" s="42">
        <v>0.0</v>
      </c>
      <c r="BQ6" s="41" t="s">
        <v>36</v>
      </c>
      <c r="BR6" s="41" t="s">
        <v>37</v>
      </c>
      <c r="BS6" s="42">
        <v>0.0</v>
      </c>
      <c r="BT6" s="42">
        <v>0.0</v>
      </c>
      <c r="BU6" s="41" t="s">
        <v>29</v>
      </c>
      <c r="BV6" s="34"/>
      <c r="BW6" s="42">
        <v>0.0</v>
      </c>
      <c r="BX6" s="42">
        <v>0.0</v>
      </c>
      <c r="BY6" s="42">
        <v>0.0</v>
      </c>
      <c r="BZ6" s="42">
        <v>0.0</v>
      </c>
      <c r="CA6" s="42">
        <v>0.0</v>
      </c>
      <c r="CB6" s="34"/>
      <c r="CC6" s="42">
        <v>0.0</v>
      </c>
      <c r="CD6" s="43">
        <v>-10000.0</v>
      </c>
      <c r="CE6" s="42">
        <v>0.0</v>
      </c>
      <c r="CF6" s="42">
        <v>0.0</v>
      </c>
      <c r="CG6" s="43">
        <v>-10000.0</v>
      </c>
      <c r="CH6" s="42">
        <v>-100.0</v>
      </c>
      <c r="CI6" s="42">
        <v>0.0</v>
      </c>
      <c r="CJ6" s="42">
        <v>0.0</v>
      </c>
      <c r="CK6" s="44" t="b">
        <v>0</v>
      </c>
      <c r="CL6" s="34"/>
      <c r="CM6" s="34"/>
      <c r="CN6" s="41" t="s">
        <v>19</v>
      </c>
      <c r="CO6" s="41" t="s">
        <v>19</v>
      </c>
      <c r="CP6" s="41" t="s">
        <v>38</v>
      </c>
      <c r="CQ6" s="34"/>
      <c r="CR6" s="34"/>
      <c r="CS6" s="42">
        <v>10.0</v>
      </c>
      <c r="CT6" s="34"/>
      <c r="CU6" s="34"/>
      <c r="CV6" s="34"/>
      <c r="CW6" s="34"/>
      <c r="CX6" s="34"/>
      <c r="CY6" s="41" t="s">
        <v>39</v>
      </c>
      <c r="CZ6" s="41" t="s">
        <v>40</v>
      </c>
      <c r="DA6" s="42">
        <v>0.0</v>
      </c>
      <c r="DB6" s="42">
        <v>0.0</v>
      </c>
      <c r="DC6" s="42"/>
      <c r="DD6" s="43">
        <v>1000.0</v>
      </c>
      <c r="DE6" s="42">
        <v>0.0</v>
      </c>
      <c r="DF6" s="42">
        <v>0.0</v>
      </c>
      <c r="DG6" s="42">
        <v>0.0</v>
      </c>
      <c r="DH6" s="42">
        <v>0.0</v>
      </c>
      <c r="DI6" s="42">
        <v>0.0</v>
      </c>
      <c r="DJ6" s="41" t="s">
        <v>20</v>
      </c>
      <c r="DK6" s="42">
        <v>0.0</v>
      </c>
      <c r="DL6" s="42">
        <v>0.0</v>
      </c>
      <c r="DM6" s="42">
        <v>1.0</v>
      </c>
      <c r="DN6" s="42">
        <v>0.0</v>
      </c>
      <c r="DO6" s="34"/>
      <c r="DP6" s="41" t="s">
        <v>25</v>
      </c>
      <c r="DQ6" s="41" t="s">
        <v>41</v>
      </c>
      <c r="DR6" s="41" t="s">
        <v>42</v>
      </c>
      <c r="DS6" s="41" t="s">
        <v>41</v>
      </c>
      <c r="DT6" s="41" t="s">
        <v>41</v>
      </c>
      <c r="DU6" s="41" t="s">
        <v>43</v>
      </c>
      <c r="DV6" s="41" t="s">
        <v>41</v>
      </c>
      <c r="DW6" s="41" t="s">
        <v>41</v>
      </c>
      <c r="DX6" s="41" t="s">
        <v>41</v>
      </c>
      <c r="DY6" s="41" t="s">
        <v>41</v>
      </c>
      <c r="DZ6" s="41" t="s">
        <v>26</v>
      </c>
      <c r="EA6" s="41" t="s">
        <v>43</v>
      </c>
      <c r="EB6" s="41" t="s">
        <v>41</v>
      </c>
      <c r="EC6" s="41" t="s">
        <v>41</v>
      </c>
      <c r="ED6" s="41" t="s">
        <v>32</v>
      </c>
      <c r="EE6" s="41" t="s">
        <v>44</v>
      </c>
      <c r="EF6" s="42">
        <v>0.0</v>
      </c>
      <c r="EG6" s="42">
        <v>0.0</v>
      </c>
      <c r="EH6" s="42">
        <v>0.0</v>
      </c>
      <c r="EI6" s="42">
        <v>0.0</v>
      </c>
      <c r="EJ6" s="42">
        <v>0.0</v>
      </c>
      <c r="EK6" s="42">
        <v>0.0</v>
      </c>
      <c r="EL6" s="41" t="s">
        <v>25</v>
      </c>
      <c r="EM6" s="42">
        <v>0.0</v>
      </c>
      <c r="EN6" s="42">
        <v>0.0</v>
      </c>
      <c r="EO6" s="42">
        <v>0.0</v>
      </c>
      <c r="EP6" s="42"/>
      <c r="EQ6" s="42">
        <v>0.0</v>
      </c>
      <c r="ER6" s="42">
        <v>0.0</v>
      </c>
      <c r="ES6" s="34"/>
      <c r="ET6" s="34"/>
      <c r="EU6" s="42">
        <v>0.0</v>
      </c>
      <c r="EV6" s="41" t="s">
        <v>25</v>
      </c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45">
        <v>500.0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46">
        <v>1000000.0</v>
      </c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5" t="s">
        <v>19</v>
      </c>
      <c r="C6" s="30" t="s">
        <v>48</v>
      </c>
      <c r="D6" s="30" t="s">
        <v>49</v>
      </c>
      <c r="E6" s="47">
        <v>19000.0</v>
      </c>
      <c r="F6" s="47">
        <v>10.0</v>
      </c>
      <c r="G6" s="31" t="s">
        <v>50</v>
      </c>
      <c r="H6" s="31" t="s">
        <v>16</v>
      </c>
      <c r="I6" s="48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49">
        <v>490000.0</v>
      </c>
      <c r="D6" s="49">
        <v>1000.0</v>
      </c>
      <c r="E6" s="49">
        <v>500000.0</v>
      </c>
      <c r="F6" s="11"/>
      <c r="G6" s="11"/>
      <c r="H6" s="49">
        <v>18900.0</v>
      </c>
      <c r="I6" s="49">
        <v>9260000.0</v>
      </c>
      <c r="J6" s="49">
        <v>9261000.0</v>
      </c>
      <c r="K6" s="49">
        <v>9.261E7</v>
      </c>
      <c r="L6" s="8"/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5" t="s">
        <v>19</v>
      </c>
      <c r="C6" s="30" t="s">
        <v>48</v>
      </c>
      <c r="D6" s="30" t="s">
        <v>49</v>
      </c>
      <c r="E6" s="47">
        <v>19000.0</v>
      </c>
      <c r="F6" s="47">
        <v>10.0</v>
      </c>
      <c r="G6" s="31" t="s">
        <v>50</v>
      </c>
      <c r="H6" s="31" t="s">
        <v>16</v>
      </c>
      <c r="I6" s="48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19000.0</v>
      </c>
      <c r="E6" s="33">
        <v>19000.0</v>
      </c>
      <c r="F6" s="31" t="s">
        <v>21</v>
      </c>
      <c r="G6" s="31"/>
      <c r="H6" s="31"/>
      <c r="I6" s="31"/>
      <c r="J6" s="4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9" t="s">
        <v>50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0" t="s">
        <v>19</v>
      </c>
      <c r="D6" s="51">
        <v>1000.0</v>
      </c>
      <c r="E6" s="50" t="s">
        <v>21</v>
      </c>
      <c r="F6" s="50" t="s">
        <v>24</v>
      </c>
      <c r="G6" s="52">
        <v>10.0</v>
      </c>
      <c r="H6" s="50" t="s">
        <v>25</v>
      </c>
      <c r="I6" s="51">
        <v>500000.0</v>
      </c>
      <c r="J6" s="8"/>
      <c r="K6" s="51">
        <v>500000.0</v>
      </c>
      <c r="L6" s="8"/>
      <c r="M6" s="8"/>
      <c r="N6" s="51">
        <v>490000.0</v>
      </c>
      <c r="O6" s="50" t="s">
        <v>26</v>
      </c>
      <c r="P6" s="52">
        <v>0.0</v>
      </c>
      <c r="Q6" s="51">
        <v>490000.0</v>
      </c>
      <c r="R6" s="50" t="s">
        <v>27</v>
      </c>
      <c r="S6" s="50" t="s">
        <v>28</v>
      </c>
      <c r="T6" s="50" t="s">
        <v>29</v>
      </c>
      <c r="U6" s="50" t="s">
        <v>30</v>
      </c>
      <c r="V6" s="50" t="s">
        <v>31</v>
      </c>
      <c r="W6" s="50" t="s">
        <v>32</v>
      </c>
      <c r="X6" s="52">
        <v>1.0</v>
      </c>
      <c r="Y6" s="53"/>
      <c r="Z6" s="53"/>
      <c r="AA6" s="52"/>
      <c r="AB6" s="52">
        <v>0.0</v>
      </c>
      <c r="AC6" s="52">
        <v>0.0</v>
      </c>
      <c r="AD6" s="51">
        <v>500000.0</v>
      </c>
      <c r="AE6" s="51">
        <v>500000.0</v>
      </c>
      <c r="AF6" s="51">
        <v>1000.0</v>
      </c>
      <c r="AG6" s="51">
        <v>500000.0</v>
      </c>
      <c r="AH6" s="51">
        <v>500000.0</v>
      </c>
      <c r="AI6" s="51">
        <v>500000.0</v>
      </c>
      <c r="AJ6" s="52"/>
      <c r="AK6" s="51">
        <v>490000.0</v>
      </c>
      <c r="AL6" s="52">
        <v>1.0</v>
      </c>
      <c r="AN6" s="9" t="s">
        <v>20</v>
      </c>
      <c r="AP6" s="50" t="s">
        <v>25</v>
      </c>
      <c r="AQ6" s="50" t="s">
        <v>19</v>
      </c>
      <c r="AR6" s="52">
        <v>500.0</v>
      </c>
      <c r="AS6" s="52">
        <v>1.0</v>
      </c>
      <c r="AT6" s="50"/>
      <c r="AU6" s="50"/>
      <c r="AV6" s="52">
        <v>1.0</v>
      </c>
      <c r="AW6" s="51">
        <v>490000.0</v>
      </c>
      <c r="AX6" s="52">
        <v>0.0</v>
      </c>
      <c r="AY6" s="52">
        <v>0.0</v>
      </c>
      <c r="AZ6" s="51">
        <v>500000.0</v>
      </c>
      <c r="BA6" s="51">
        <v>4900.0</v>
      </c>
      <c r="BC6" s="52">
        <v>1.0</v>
      </c>
      <c r="BD6" s="51">
        <v>-10000.0</v>
      </c>
      <c r="BE6" s="50" t="s">
        <v>29</v>
      </c>
      <c r="BF6" s="50" t="s">
        <v>33</v>
      </c>
      <c r="BG6" s="50" t="s">
        <v>34</v>
      </c>
      <c r="BH6" s="50" t="s">
        <v>35</v>
      </c>
      <c r="BI6" s="52">
        <v>5.0</v>
      </c>
      <c r="BJ6" s="51">
        <v>5.0E8</v>
      </c>
      <c r="BK6" s="51">
        <v>1.0</v>
      </c>
      <c r="BL6" s="52">
        <v>0.0</v>
      </c>
      <c r="BM6" s="52">
        <v>0.0</v>
      </c>
      <c r="BO6" s="51">
        <v>-10000.0</v>
      </c>
      <c r="BP6" s="52">
        <v>0.0</v>
      </c>
      <c r="BQ6" s="50" t="s">
        <v>36</v>
      </c>
      <c r="BR6" s="50" t="s">
        <v>37</v>
      </c>
      <c r="BS6" s="52">
        <v>0.0</v>
      </c>
      <c r="BT6" s="52">
        <v>0.0</v>
      </c>
      <c r="BW6" s="52">
        <v>0.0</v>
      </c>
      <c r="BX6" s="51">
        <v>500000.0</v>
      </c>
      <c r="BY6" s="51">
        <v>500000.0</v>
      </c>
      <c r="BZ6" s="51">
        <v>500.0</v>
      </c>
      <c r="CA6" s="52">
        <v>500.0</v>
      </c>
      <c r="CB6" s="52"/>
      <c r="CD6" s="51">
        <v>490000.0</v>
      </c>
      <c r="CE6" s="52">
        <v>0.0</v>
      </c>
      <c r="CF6" s="52">
        <v>0.0</v>
      </c>
      <c r="CG6" s="51">
        <v>490000.0</v>
      </c>
      <c r="CH6" s="51">
        <v>4900.0</v>
      </c>
      <c r="CI6" s="52">
        <v>0.0</v>
      </c>
      <c r="CK6" s="50" t="b">
        <v>0</v>
      </c>
      <c r="CL6" s="53"/>
      <c r="CM6" s="53"/>
      <c r="CN6" s="50" t="s">
        <v>19</v>
      </c>
      <c r="CO6" s="50" t="s">
        <v>19</v>
      </c>
      <c r="CP6" s="50" t="s">
        <v>38</v>
      </c>
      <c r="CS6" s="52">
        <v>10.0</v>
      </c>
      <c r="CY6" s="50" t="s">
        <v>53</v>
      </c>
      <c r="CZ6" s="50" t="s">
        <v>40</v>
      </c>
      <c r="DA6" s="51">
        <v>500000.0</v>
      </c>
      <c r="DD6" s="51">
        <v>1000.0</v>
      </c>
      <c r="DE6" s="52">
        <v>0.0</v>
      </c>
      <c r="DF6" s="52">
        <v>0.0</v>
      </c>
      <c r="DG6" s="52">
        <v>0.0</v>
      </c>
      <c r="DH6" s="52">
        <v>0.0</v>
      </c>
      <c r="DI6" s="52">
        <v>0.0</v>
      </c>
      <c r="DJ6" s="50" t="s">
        <v>20</v>
      </c>
      <c r="DK6" s="52">
        <v>0.0</v>
      </c>
      <c r="DL6" s="52">
        <v>0.0</v>
      </c>
      <c r="DM6" s="52">
        <v>1.0</v>
      </c>
      <c r="DN6" s="52">
        <v>500.0</v>
      </c>
      <c r="DP6" s="50" t="s">
        <v>25</v>
      </c>
      <c r="DQ6" s="50" t="s">
        <v>41</v>
      </c>
      <c r="DR6" s="50" t="s">
        <v>42</v>
      </c>
      <c r="DS6" s="50" t="s">
        <v>41</v>
      </c>
      <c r="DT6" s="50" t="s">
        <v>41</v>
      </c>
      <c r="DU6" s="50" t="s">
        <v>43</v>
      </c>
      <c r="DV6" s="50" t="s">
        <v>41</v>
      </c>
      <c r="DW6" s="50" t="s">
        <v>41</v>
      </c>
      <c r="DX6" s="50" t="s">
        <v>41</v>
      </c>
      <c r="DY6" s="50" t="s">
        <v>41</v>
      </c>
      <c r="DZ6" s="50" t="s">
        <v>26</v>
      </c>
      <c r="EA6" s="50" t="s">
        <v>43</v>
      </c>
      <c r="EB6" s="50" t="s">
        <v>41</v>
      </c>
      <c r="EC6" s="50" t="s">
        <v>41</v>
      </c>
      <c r="ED6" s="50" t="s">
        <v>32</v>
      </c>
      <c r="EE6" s="50" t="s">
        <v>44</v>
      </c>
      <c r="EF6" s="52">
        <v>0.0</v>
      </c>
      <c r="EG6" s="52">
        <v>102.04</v>
      </c>
      <c r="EH6" s="52">
        <v>102.04</v>
      </c>
      <c r="EI6" s="52">
        <v>102.04</v>
      </c>
      <c r="EJ6" s="52">
        <v>102.04</v>
      </c>
      <c r="EK6" s="52">
        <v>102.04</v>
      </c>
      <c r="EL6" s="50" t="s">
        <v>25</v>
      </c>
      <c r="EM6" s="51">
        <v>500000.0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5" t="s">
        <v>19</v>
      </c>
      <c r="C6" s="30" t="s">
        <v>48</v>
      </c>
      <c r="D6" s="30" t="s">
        <v>49</v>
      </c>
      <c r="E6" s="47">
        <v>19000.0</v>
      </c>
      <c r="F6" s="47">
        <v>10.0</v>
      </c>
      <c r="G6" s="31" t="s">
        <v>50</v>
      </c>
      <c r="H6" s="31" t="s">
        <v>16</v>
      </c>
      <c r="I6" s="48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IFERROR(__xludf.DUMMYFUNCTION("""COMPUTED_VALUE"""),"MasterFund NAV")</f>
        <v>MasterFund NAV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21</v>
      </c>
      <c r="C6" s="49">
        <v>490000.0</v>
      </c>
      <c r="D6" s="49">
        <v>1000.0</v>
      </c>
      <c r="E6" s="49">
        <v>500000.0</v>
      </c>
      <c r="F6" s="11"/>
      <c r="G6" s="11"/>
      <c r="H6" s="49">
        <v>18900.0</v>
      </c>
      <c r="I6" s="49">
        <v>9260000.0</v>
      </c>
      <c r="J6" s="49">
        <v>9261000.0</v>
      </c>
      <c r="K6" s="49">
        <v>9.261E7</v>
      </c>
      <c r="L6" s="8"/>
      <c r="M6" s="11">
        <v>1.0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IFERROR(__xludf.DUMMYFUNCTION("""COMPUTED_VALUE"""),"StageOrderUsingPTT")</f>
        <v>StageOrderUsingPTT</v>
      </c>
      <c r="E4" s="24" t="str">
        <f>IFERROR(__xludf.DUMMYFUNCTION("""COMPUTED_VALUE"""),"CreateOrderPTT")</f>
        <v>CreateOrderPTT</v>
      </c>
      <c r="F4" s="24" t="str">
        <f>IFERROR(__xludf.DUMMYFUNCTION("""COMPUTED_VALUE"""),"TradePTT")</f>
        <v>TradePTT</v>
      </c>
      <c r="G4" s="24" t="str">
        <f>IFERROR(__xludf.DUMMYFUNCTION("""COMPUTED_VALUE"""),"VerifyPTT")</f>
        <v>VerifyPTT</v>
      </c>
      <c r="H4" s="24" t="str">
        <f>IFERROR(__xludf.DUMMYFUNCTION("""COMPUTED_VALUE"""),"OpenMultiTTFromPTT")</f>
        <v>OpenMultiTTFromPTT</v>
      </c>
      <c r="I4" s="24" t="str">
        <f>IFERROR(__xludf.DUMMYFUNCTION("""COMPUTED_VALUE"""),"SelectMultiTT")</f>
        <v>SelectMultiTT</v>
      </c>
      <c r="J4" s="24" t="str">
        <f>IFERROR(__xludf.DUMMYFUNCTION("""COMPUTED_VALUE"""),"EditMultiTT")</f>
        <v>EditMultiTT</v>
      </c>
      <c r="K4" s="24" t="str">
        <f>IFERROR(__xludf.DUMMYFUNCTION("""COMPUTED_VALUE"""),"SetAccountFactor")</f>
        <v>SetAccountFactor</v>
      </c>
      <c r="L4" s="24" t="str">
        <f>IFERROR(__xludf.DUMMYFUNCTION("""COMPUTED_VALUE"""),"SetPTTPreference")</f>
        <v>SetPTTPreference</v>
      </c>
      <c r="M4" s="24" t="str">
        <f>IFERROR(__xludf.DUMMYFUNCTION("""COMPUTED_VALUE"""),"SetLongShortPTTPreference")</f>
        <v>SetLongShortPTTPreference</v>
      </c>
      <c r="N4" s="24" t="str">
        <f>IFERROR(__xludf.DUMMYFUNCTION("""COMPUTED_VALUE"""),"SelectPTTRecord")</f>
        <v>SelectPTTRecord</v>
      </c>
      <c r="O4" s="24" t="str">
        <f>IFERROR(__xludf.DUMMYFUNCTION("""COMPUTED_VALUE"""),"EditPTTRecord")</f>
        <v>EditPTTRecord</v>
      </c>
      <c r="P4" s="25" t="str">
        <f>IFERROR(__xludf.DUMMYFUNCTION("""COMPUTED_VALUE"""),"SetDefaultSymbology")</f>
        <v>SetDefaultSymbology</v>
      </c>
      <c r="Q4" s="25" t="str">
        <f>IFERROR(__xludf.DUMMYFUNCTION("""COMPUTED_VALUE"""),"EditPTTAccountLevelWPF")</f>
        <v>EditPTTAccountLevelWPF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45" t="s">
        <v>19</v>
      </c>
      <c r="C6" s="30" t="s">
        <v>48</v>
      </c>
      <c r="D6" s="30" t="s">
        <v>49</v>
      </c>
      <c r="E6" s="47">
        <v>19000.0</v>
      </c>
      <c r="F6" s="47">
        <v>10.0</v>
      </c>
      <c r="G6" s="31" t="s">
        <v>50</v>
      </c>
      <c r="H6" s="31" t="s">
        <v>16</v>
      </c>
      <c r="I6" s="48" t="s">
        <v>21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 t="s">
        <v>19</v>
      </c>
      <c r="C6" s="31" t="s">
        <v>20</v>
      </c>
      <c r="D6" s="36">
        <v>19000.0</v>
      </c>
      <c r="E6" s="33">
        <v>19000.0</v>
      </c>
      <c r="F6" s="31" t="s">
        <v>21</v>
      </c>
      <c r="G6" s="31"/>
      <c r="H6" s="31"/>
      <c r="I6" s="31"/>
      <c r="J6" s="47">
        <v>10.0</v>
      </c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0"/>
      <c r="C6" s="31"/>
      <c r="D6" s="47">
        <v>10.0</v>
      </c>
      <c r="E6" s="31"/>
      <c r="F6" s="31"/>
      <c r="G6" s="31"/>
      <c r="H6" s="31" t="s">
        <v>31</v>
      </c>
      <c r="I6" s="31" t="s">
        <v>56</v>
      </c>
      <c r="J6" s="31" t="s">
        <v>19</v>
      </c>
      <c r="K6" s="31" t="s">
        <v>30</v>
      </c>
      <c r="L6" s="31"/>
      <c r="M6" s="31"/>
      <c r="N6" s="31"/>
      <c r="O6" s="31"/>
      <c r="P6" s="31"/>
      <c r="Q6" s="31"/>
      <c r="R6" s="31"/>
      <c r="S6" s="46">
        <v>0.0</v>
      </c>
      <c r="T6" s="37">
        <v>0.0</v>
      </c>
      <c r="U6" s="34" t="s">
        <v>32</v>
      </c>
      <c r="V6" s="34"/>
      <c r="W6" s="34"/>
      <c r="X6" s="34"/>
      <c r="Y6" s="34"/>
      <c r="Z6" s="34"/>
      <c r="AA6" s="34"/>
      <c r="AB6" s="34"/>
      <c r="AC6" s="34"/>
      <c r="AD6" s="37">
        <v>1.0</v>
      </c>
      <c r="AE6" s="34"/>
      <c r="AF6" s="34"/>
      <c r="AG6" s="34"/>
      <c r="AH6" s="34" t="s">
        <v>29</v>
      </c>
      <c r="AI6" s="34" t="s">
        <v>19</v>
      </c>
      <c r="AJ6" s="34" t="s">
        <v>20</v>
      </c>
      <c r="AK6" s="34" t="s">
        <v>57</v>
      </c>
      <c r="AL6" s="37">
        <v>1000.0</v>
      </c>
      <c r="AM6" s="37">
        <v>1000.0</v>
      </c>
      <c r="AN6" s="37">
        <v>100.0</v>
      </c>
      <c r="AO6" s="37">
        <v>1000.0</v>
      </c>
      <c r="AP6" s="34"/>
      <c r="AQ6" s="54">
        <v>10.0</v>
      </c>
      <c r="AR6" s="54">
        <v>10.0</v>
      </c>
      <c r="AS6" s="34" t="s">
        <v>37</v>
      </c>
      <c r="AT6" s="34" t="s">
        <v>21</v>
      </c>
      <c r="AU6" s="34" t="s">
        <v>58</v>
      </c>
      <c r="AV6" s="55">
        <v>10000.0</v>
      </c>
      <c r="AW6" s="55">
        <v>10000.0</v>
      </c>
      <c r="AX6" s="34"/>
      <c r="AY6" s="56">
        <v>1000.0</v>
      </c>
      <c r="AZ6" s="34"/>
      <c r="BA6" s="34" t="s">
        <v>36</v>
      </c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57">
        <v>10.0</v>
      </c>
      <c r="E7" s="34"/>
      <c r="F7" s="31"/>
      <c r="G7" s="31"/>
      <c r="H7" s="31" t="s">
        <v>31</v>
      </c>
      <c r="I7" s="31" t="s">
        <v>56</v>
      </c>
      <c r="J7" s="31" t="s">
        <v>19</v>
      </c>
      <c r="K7" s="31" t="s">
        <v>30</v>
      </c>
      <c r="L7" s="34"/>
      <c r="M7" s="34"/>
      <c r="N7" s="34"/>
      <c r="O7" s="34"/>
      <c r="P7" s="34"/>
      <c r="Q7" s="34"/>
      <c r="R7" s="34"/>
      <c r="S7" s="37">
        <v>0.0</v>
      </c>
      <c r="T7" s="37">
        <v>0.0</v>
      </c>
      <c r="U7" s="34" t="s">
        <v>32</v>
      </c>
      <c r="V7" s="34"/>
      <c r="W7" s="34"/>
      <c r="X7" s="34"/>
      <c r="Y7" s="34"/>
      <c r="Z7" s="34"/>
      <c r="AA7" s="34"/>
      <c r="AB7" s="34"/>
      <c r="AC7" s="34"/>
      <c r="AD7" s="37">
        <v>1.0</v>
      </c>
      <c r="AE7" s="34"/>
      <c r="AF7" s="34"/>
      <c r="AG7" s="34"/>
      <c r="AH7" s="34" t="s">
        <v>29</v>
      </c>
      <c r="AI7" s="34" t="s">
        <v>19</v>
      </c>
      <c r="AJ7" s="34" t="s">
        <v>20</v>
      </c>
      <c r="AK7" s="34" t="s">
        <v>57</v>
      </c>
      <c r="AL7" s="56">
        <v>19000.0</v>
      </c>
      <c r="AM7" s="56">
        <v>19000.0</v>
      </c>
      <c r="AN7" s="37">
        <v>100.0</v>
      </c>
      <c r="AO7" s="56">
        <v>19000.0</v>
      </c>
      <c r="AP7" s="34"/>
      <c r="AQ7" s="54">
        <v>10.0</v>
      </c>
      <c r="AR7" s="54">
        <v>10.0</v>
      </c>
      <c r="AS7" s="34" t="s">
        <v>37</v>
      </c>
      <c r="AT7" s="34" t="s">
        <v>21</v>
      </c>
      <c r="AU7" s="34" t="s">
        <v>58</v>
      </c>
      <c r="AV7" s="55">
        <v>190000.0</v>
      </c>
      <c r="AW7" s="55">
        <v>190000.0</v>
      </c>
      <c r="AX7" s="34"/>
      <c r="AY7" s="56">
        <v>19000.0</v>
      </c>
      <c r="AZ7" s="34"/>
      <c r="BA7" s="34" t="s">
        <v>36</v>
      </c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61</v>
      </c>
      <c r="C6" s="8"/>
      <c r="D6" s="11"/>
      <c r="E6" s="5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IFERROR(__xludf.DUMMYFUNCTION("""COMPUTED_VALUE"""),"AllocationAuditTrail")</f>
        <v>AllocationAuditTrail</v>
      </c>
      <c r="DS4" s="25" t="str">
        <f>IFERROR(__xludf.DUMMYFUNCTION("""COMPUTED_VALUE"""),"GetAuditTrailData")</f>
        <v>GetAuditTrailData</v>
      </c>
      <c r="DT4" s="25" t="str">
        <f>IFERROR(__xludf.DUMMYFUNCTION("""COMPUTED_VALUE"""),"CheckAuditTrailData")</f>
        <v>CheckAuditTrailData</v>
      </c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59" t="s">
        <v>21</v>
      </c>
      <c r="C6" s="34"/>
      <c r="D6" s="60">
        <v>0.0</v>
      </c>
      <c r="E6" s="61">
        <v>1000.0</v>
      </c>
      <c r="F6" s="34"/>
      <c r="G6" s="62" t="s">
        <v>29</v>
      </c>
      <c r="H6" s="60">
        <v>4.0</v>
      </c>
      <c r="I6" s="60">
        <v>5.0</v>
      </c>
      <c r="J6" s="34"/>
      <c r="K6" s="63">
        <v>10.0</v>
      </c>
      <c r="L6" s="63">
        <v>10.0</v>
      </c>
      <c r="M6" s="8"/>
      <c r="N6" s="8"/>
      <c r="O6" s="62" t="s">
        <v>37</v>
      </c>
      <c r="P6" s="34"/>
      <c r="Q6" s="60">
        <v>3.0</v>
      </c>
      <c r="R6" s="60">
        <v>0.0</v>
      </c>
      <c r="S6" s="59" t="s">
        <v>63</v>
      </c>
      <c r="T6" s="60">
        <v>0.0</v>
      </c>
      <c r="U6" s="60">
        <v>0.0</v>
      </c>
      <c r="Z6" s="59" t="s">
        <v>32</v>
      </c>
      <c r="AA6" s="34"/>
      <c r="AB6" s="60">
        <v>1.0</v>
      </c>
      <c r="AC6" s="34"/>
      <c r="AD6" s="59" t="s">
        <v>31</v>
      </c>
      <c r="AE6" s="61">
        <v>1000.0</v>
      </c>
      <c r="AF6" s="34"/>
      <c r="AG6" s="34"/>
      <c r="AH6" s="59" t="s">
        <v>64</v>
      </c>
      <c r="AI6" s="9">
        <v>1.0</v>
      </c>
      <c r="AN6" s="59" t="s">
        <v>65</v>
      </c>
      <c r="AO6" s="34"/>
      <c r="AP6" s="59" t="s">
        <v>66</v>
      </c>
      <c r="AQ6" s="59" t="s">
        <v>65</v>
      </c>
      <c r="AR6" s="59" t="s">
        <v>66</v>
      </c>
      <c r="AT6" s="60">
        <v>10014.0056</v>
      </c>
      <c r="AU6" s="60">
        <v>10014.0056</v>
      </c>
      <c r="AW6" s="60">
        <v>0.0</v>
      </c>
      <c r="AX6" s="60">
        <v>0.0</v>
      </c>
      <c r="AY6" s="34" t="s">
        <v>58</v>
      </c>
      <c r="AZ6" s="60">
        <v>0.0</v>
      </c>
      <c r="BA6" s="34"/>
      <c r="BB6" s="34"/>
      <c r="BC6" s="60">
        <v>0.0</v>
      </c>
      <c r="BD6" s="34"/>
      <c r="BE6" s="60">
        <v>10000.0</v>
      </c>
      <c r="BF6" s="60">
        <v>10000.0</v>
      </c>
      <c r="BJ6" s="61">
        <v>1000.0</v>
      </c>
      <c r="BK6" s="60">
        <v>0.0</v>
      </c>
      <c r="BL6" s="34"/>
      <c r="BM6" s="59" t="s">
        <v>32</v>
      </c>
      <c r="BN6" s="34"/>
      <c r="BO6" s="59" t="s">
        <v>20</v>
      </c>
      <c r="BP6" s="60">
        <v>0.0</v>
      </c>
      <c r="BQ6" s="60">
        <v>0.0</v>
      </c>
      <c r="BR6" s="34"/>
      <c r="BS6" s="34"/>
      <c r="BT6" s="34" t="s">
        <v>19</v>
      </c>
      <c r="BU6" s="60">
        <v>3.0</v>
      </c>
      <c r="BV6" s="60">
        <v>0.0</v>
      </c>
      <c r="BW6" s="61">
        <v>14.0056</v>
      </c>
      <c r="BX6" s="63">
        <v>0.0</v>
      </c>
      <c r="CG6" s="60">
        <v>2.0</v>
      </c>
      <c r="CH6" s="59" t="s">
        <v>17</v>
      </c>
      <c r="CI6" s="59" t="s">
        <v>20</v>
      </c>
      <c r="CJ6" s="60">
        <v>0.0</v>
      </c>
      <c r="CK6" s="59" t="s">
        <v>30</v>
      </c>
      <c r="CL6" s="34"/>
      <c r="CM6" s="59" t="s">
        <v>19</v>
      </c>
      <c r="CN6" s="34" t="s">
        <v>36</v>
      </c>
      <c r="CO6" s="59" t="s">
        <v>31</v>
      </c>
      <c r="CP6" s="34"/>
    </row>
    <row r="7" ht="15.75" customHeight="1">
      <c r="A7" s="11"/>
      <c r="B7" s="64" t="s">
        <v>21</v>
      </c>
      <c r="C7" s="31"/>
      <c r="D7" s="65">
        <v>0.0</v>
      </c>
      <c r="E7" s="61">
        <v>19000.0</v>
      </c>
      <c r="F7" s="31"/>
      <c r="G7" s="66" t="s">
        <v>29</v>
      </c>
      <c r="H7" s="65">
        <v>4.0</v>
      </c>
      <c r="I7" s="65">
        <v>5.0</v>
      </c>
      <c r="J7" s="31"/>
      <c r="K7" s="67">
        <v>10.0</v>
      </c>
      <c r="L7" s="67">
        <v>10.0</v>
      </c>
      <c r="M7" s="8"/>
      <c r="N7" s="8"/>
      <c r="O7" s="66" t="s">
        <v>37</v>
      </c>
      <c r="P7" s="31"/>
      <c r="Q7" s="65">
        <v>3.0</v>
      </c>
      <c r="R7" s="65">
        <v>0.0</v>
      </c>
      <c r="S7" s="68" t="s">
        <v>63</v>
      </c>
      <c r="T7" s="60">
        <v>0.0</v>
      </c>
      <c r="U7" s="60">
        <v>0.0</v>
      </c>
      <c r="Z7" s="59" t="s">
        <v>32</v>
      </c>
      <c r="AA7" s="34"/>
      <c r="AB7" s="60">
        <v>1.0</v>
      </c>
      <c r="AC7" s="34"/>
      <c r="AD7" s="59" t="s">
        <v>31</v>
      </c>
      <c r="AE7" s="61">
        <v>19000.0</v>
      </c>
      <c r="AF7" s="34"/>
      <c r="AG7" s="34"/>
      <c r="AH7" s="59" t="s">
        <v>64</v>
      </c>
      <c r="AI7" s="9">
        <v>1.0</v>
      </c>
      <c r="AN7" s="59" t="s">
        <v>65</v>
      </c>
      <c r="AO7" s="34"/>
      <c r="AP7" s="59" t="s">
        <v>66</v>
      </c>
      <c r="AQ7" s="59" t="s">
        <v>65</v>
      </c>
      <c r="AR7" s="59" t="s">
        <v>66</v>
      </c>
      <c r="AT7" s="60">
        <v>190014.1064</v>
      </c>
      <c r="AU7" s="60">
        <v>190014.1064</v>
      </c>
      <c r="AW7" s="60">
        <v>0.0</v>
      </c>
      <c r="AX7" s="60">
        <v>0.0</v>
      </c>
      <c r="AY7" s="34" t="s">
        <v>58</v>
      </c>
      <c r="AZ7" s="60">
        <v>0.0</v>
      </c>
      <c r="BA7" s="34"/>
      <c r="BB7" s="34"/>
      <c r="BC7" s="60">
        <v>0.0</v>
      </c>
      <c r="BD7" s="34"/>
      <c r="BE7" s="60">
        <v>190000.0</v>
      </c>
      <c r="BF7" s="60">
        <v>190000.0</v>
      </c>
      <c r="BJ7" s="61">
        <v>19000.0</v>
      </c>
      <c r="BK7" s="60">
        <v>0.0</v>
      </c>
      <c r="BL7" s="34"/>
      <c r="BM7" s="59" t="s">
        <v>32</v>
      </c>
      <c r="BN7" s="34"/>
      <c r="BO7" s="59" t="s">
        <v>20</v>
      </c>
      <c r="BP7" s="60">
        <v>0.0</v>
      </c>
      <c r="BQ7" s="60">
        <v>0.0</v>
      </c>
      <c r="BR7" s="34"/>
      <c r="BS7" s="34"/>
      <c r="BT7" s="34" t="s">
        <v>19</v>
      </c>
      <c r="BU7" s="60">
        <v>3.0</v>
      </c>
      <c r="BV7" s="60">
        <v>0.0</v>
      </c>
      <c r="BW7" s="61">
        <v>14.1064</v>
      </c>
      <c r="BX7" s="63">
        <v>0.0</v>
      </c>
      <c r="CG7" s="60">
        <v>2.0</v>
      </c>
      <c r="CH7" s="50" t="s">
        <v>46</v>
      </c>
      <c r="CI7" s="59" t="s">
        <v>20</v>
      </c>
      <c r="CJ7" s="60">
        <v>0.0</v>
      </c>
      <c r="CK7" s="59" t="s">
        <v>30</v>
      </c>
      <c r="CL7" s="34"/>
      <c r="CM7" s="59" t="s">
        <v>19</v>
      </c>
      <c r="CN7" s="34" t="s">
        <v>36</v>
      </c>
      <c r="CO7" s="59" t="s">
        <v>31</v>
      </c>
      <c r="CP7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34"/>
      <c r="P9" s="34"/>
      <c r="Q9" s="34"/>
      <c r="R9" s="34"/>
      <c r="S9" s="34"/>
      <c r="T9" s="34"/>
      <c r="U9" s="34"/>
      <c r="Z9" s="34"/>
      <c r="AA9" s="34"/>
      <c r="AB9" s="34"/>
      <c r="AC9" s="34"/>
      <c r="AD9" s="34"/>
      <c r="AE9" s="34"/>
      <c r="AF9" s="34"/>
      <c r="AG9" s="34"/>
      <c r="AH9" s="34"/>
      <c r="AW9" s="34"/>
      <c r="AX9" s="34"/>
      <c r="AY9" s="34"/>
      <c r="AZ9" s="34"/>
      <c r="BA9" s="34"/>
      <c r="BB9" s="34"/>
      <c r="BC9" s="34"/>
      <c r="BD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CG9" s="34"/>
      <c r="CH9" s="34"/>
      <c r="CI9" s="34"/>
      <c r="CJ9" s="34"/>
      <c r="CK9" s="34"/>
      <c r="CL9" s="34"/>
      <c r="CM9" s="34"/>
      <c r="CN9" s="34"/>
      <c r="CO9" s="34"/>
      <c r="CP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34"/>
      <c r="P10" s="34"/>
      <c r="Q10" s="34"/>
      <c r="R10" s="34"/>
      <c r="S10" s="34"/>
      <c r="T10" s="34"/>
      <c r="U10" s="34"/>
      <c r="Z10" s="34"/>
      <c r="AA10" s="34"/>
      <c r="AB10" s="34"/>
      <c r="AC10" s="34"/>
      <c r="AD10" s="34"/>
      <c r="AE10" s="34"/>
      <c r="AF10" s="34"/>
      <c r="AG10" s="34"/>
      <c r="AH10" s="34"/>
      <c r="AW10" s="34"/>
      <c r="AX10" s="34"/>
      <c r="AY10" s="34"/>
      <c r="AZ10" s="34"/>
      <c r="BA10" s="34"/>
      <c r="BB10" s="34"/>
      <c r="BC10" s="34"/>
      <c r="BD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50" t="s">
        <v>19</v>
      </c>
      <c r="D6" s="51">
        <v>1000.0</v>
      </c>
      <c r="E6" s="50" t="s">
        <v>21</v>
      </c>
      <c r="F6" s="50" t="s">
        <v>24</v>
      </c>
      <c r="G6" s="52">
        <v>10.0</v>
      </c>
      <c r="H6" s="69" t="s">
        <v>25</v>
      </c>
      <c r="I6" s="51">
        <v>500000.0</v>
      </c>
      <c r="J6" s="8"/>
      <c r="K6" s="51">
        <v>500000.0</v>
      </c>
      <c r="L6" s="8"/>
      <c r="M6" s="8"/>
      <c r="N6" s="51">
        <v>490000.0</v>
      </c>
      <c r="O6" s="50" t="s">
        <v>26</v>
      </c>
      <c r="P6" s="52">
        <v>0.0</v>
      </c>
      <c r="Q6" s="51">
        <v>490000.0</v>
      </c>
      <c r="R6" s="50" t="s">
        <v>27</v>
      </c>
      <c r="S6" s="50" t="s">
        <v>28</v>
      </c>
      <c r="T6" s="50" t="s">
        <v>29</v>
      </c>
      <c r="U6" s="50" t="s">
        <v>30</v>
      </c>
      <c r="V6" s="50" t="s">
        <v>31</v>
      </c>
      <c r="W6" s="50" t="s">
        <v>32</v>
      </c>
      <c r="X6" s="52">
        <v>1.0</v>
      </c>
      <c r="Y6" s="53"/>
      <c r="Z6" s="53"/>
      <c r="AA6" s="52"/>
      <c r="AB6" s="52">
        <v>0.0</v>
      </c>
      <c r="AC6" s="52">
        <v>0.0</v>
      </c>
      <c r="AD6" s="51">
        <v>500000.0</v>
      </c>
      <c r="AE6" s="51">
        <v>500000.0</v>
      </c>
      <c r="AF6" s="51">
        <v>1000.0</v>
      </c>
      <c r="AG6" s="51">
        <v>500000.0</v>
      </c>
      <c r="AH6" s="51">
        <v>500000.0</v>
      </c>
      <c r="AI6" s="51">
        <v>500000.0</v>
      </c>
      <c r="AJ6" s="52"/>
      <c r="AK6" s="51">
        <v>490000.0</v>
      </c>
      <c r="AL6" s="52">
        <v>1.0</v>
      </c>
      <c r="AN6" s="9" t="s">
        <v>20</v>
      </c>
      <c r="AP6" s="50" t="s">
        <v>25</v>
      </c>
      <c r="AQ6" s="50" t="s">
        <v>19</v>
      </c>
      <c r="AR6" s="52">
        <v>500.0</v>
      </c>
      <c r="AS6" s="52">
        <v>1.0</v>
      </c>
      <c r="AT6" s="50"/>
      <c r="AU6" s="50"/>
      <c r="AV6" s="52">
        <v>1.0</v>
      </c>
      <c r="AW6" s="51">
        <v>490000.0</v>
      </c>
      <c r="AX6" s="52">
        <v>0.0</v>
      </c>
      <c r="AY6" s="52">
        <v>0.0</v>
      </c>
      <c r="AZ6" s="51">
        <v>500000.0</v>
      </c>
      <c r="BA6" s="51">
        <v>4900.0</v>
      </c>
      <c r="BC6" s="52">
        <v>1.0</v>
      </c>
      <c r="BD6" s="51">
        <v>-10000.0</v>
      </c>
      <c r="BE6" s="50" t="s">
        <v>29</v>
      </c>
      <c r="BF6" s="50" t="s">
        <v>33</v>
      </c>
      <c r="BG6" s="50" t="s">
        <v>34</v>
      </c>
      <c r="BH6" s="50" t="s">
        <v>35</v>
      </c>
      <c r="BI6" s="52">
        <v>5.0</v>
      </c>
      <c r="BJ6" s="51">
        <v>5.0E8</v>
      </c>
      <c r="BK6" s="51">
        <v>1.0</v>
      </c>
      <c r="BL6" s="52">
        <v>0.0</v>
      </c>
      <c r="BM6" s="52">
        <v>0.0</v>
      </c>
      <c r="BO6" s="51">
        <v>-10000.0</v>
      </c>
      <c r="BP6" s="52">
        <v>0.0</v>
      </c>
      <c r="BQ6" s="50" t="s">
        <v>36</v>
      </c>
      <c r="BR6" s="50" t="s">
        <v>37</v>
      </c>
      <c r="BS6" s="52">
        <v>0.0</v>
      </c>
      <c r="BT6" s="52">
        <v>0.0</v>
      </c>
      <c r="BW6" s="52">
        <v>0.0</v>
      </c>
      <c r="BX6" s="51">
        <v>500000.0</v>
      </c>
      <c r="BY6" s="51">
        <v>500000.0</v>
      </c>
      <c r="BZ6" s="51">
        <v>500.0</v>
      </c>
      <c r="CA6" s="52">
        <v>500.0</v>
      </c>
      <c r="CB6" s="52"/>
      <c r="CD6" s="51">
        <v>490000.0</v>
      </c>
      <c r="CE6" s="52">
        <v>0.0</v>
      </c>
      <c r="CF6" s="52">
        <v>0.0</v>
      </c>
      <c r="CG6" s="51">
        <v>490000.0</v>
      </c>
      <c r="CH6" s="51">
        <v>4900.0</v>
      </c>
      <c r="CI6" s="52">
        <v>0.0</v>
      </c>
      <c r="CK6" s="50" t="b">
        <v>0</v>
      </c>
      <c r="CL6" s="53"/>
      <c r="CM6" s="53"/>
      <c r="CN6" s="50" t="s">
        <v>19</v>
      </c>
      <c r="CO6" s="50" t="s">
        <v>19</v>
      </c>
      <c r="CP6" s="50" t="s">
        <v>38</v>
      </c>
      <c r="CS6" s="52">
        <v>10.0</v>
      </c>
      <c r="CY6" s="50" t="s">
        <v>53</v>
      </c>
      <c r="CZ6" s="50" t="s">
        <v>40</v>
      </c>
      <c r="DA6" s="51">
        <v>500000.0</v>
      </c>
      <c r="DD6" s="51">
        <v>1000.0</v>
      </c>
      <c r="DE6" s="52">
        <v>0.0</v>
      </c>
      <c r="DF6" s="52">
        <v>0.0</v>
      </c>
      <c r="DG6" s="52">
        <v>0.0</v>
      </c>
      <c r="DH6" s="52">
        <v>0.0</v>
      </c>
      <c r="DI6" s="52">
        <v>0.0</v>
      </c>
      <c r="DJ6" s="50" t="s">
        <v>20</v>
      </c>
      <c r="DK6" s="52">
        <v>0.0</v>
      </c>
      <c r="DL6" s="52">
        <v>0.0</v>
      </c>
      <c r="DM6" s="52">
        <v>1.0</v>
      </c>
      <c r="DN6" s="52">
        <v>500.0</v>
      </c>
      <c r="DP6" s="69" t="s">
        <v>25</v>
      </c>
      <c r="DQ6" s="50" t="s">
        <v>41</v>
      </c>
      <c r="DR6" s="50" t="s">
        <v>42</v>
      </c>
      <c r="DS6" s="50" t="s">
        <v>41</v>
      </c>
      <c r="DT6" s="50" t="s">
        <v>41</v>
      </c>
      <c r="DU6" s="50" t="s">
        <v>43</v>
      </c>
      <c r="DV6" s="50" t="s">
        <v>41</v>
      </c>
      <c r="DW6" s="50" t="s">
        <v>41</v>
      </c>
      <c r="DX6" s="50" t="s">
        <v>41</v>
      </c>
      <c r="DY6" s="50" t="s">
        <v>41</v>
      </c>
      <c r="DZ6" s="50" t="s">
        <v>26</v>
      </c>
      <c r="EA6" s="50" t="s">
        <v>43</v>
      </c>
      <c r="EB6" s="50" t="s">
        <v>41</v>
      </c>
      <c r="EC6" s="50" t="s">
        <v>41</v>
      </c>
      <c r="ED6" s="50" t="s">
        <v>32</v>
      </c>
      <c r="EE6" s="50" t="s">
        <v>44</v>
      </c>
      <c r="EF6" s="52">
        <v>0.0</v>
      </c>
      <c r="EG6" s="52">
        <v>5.1</v>
      </c>
      <c r="EH6" s="52">
        <v>5.1</v>
      </c>
      <c r="EI6" s="52">
        <v>5.1</v>
      </c>
      <c r="EJ6" s="52">
        <v>102.04</v>
      </c>
      <c r="EK6" s="52">
        <v>102.04</v>
      </c>
      <c r="EL6" s="69" t="s">
        <v>25</v>
      </c>
      <c r="EM6" s="51">
        <v>1.0E7</v>
      </c>
    </row>
    <row r="7" ht="15.75" customHeight="1">
      <c r="A7" s="8"/>
      <c r="B7" s="8"/>
      <c r="C7" s="50" t="s">
        <v>19</v>
      </c>
      <c r="D7" s="51">
        <v>19000.0</v>
      </c>
      <c r="E7" s="50" t="s">
        <v>21</v>
      </c>
      <c r="F7" s="50" t="s">
        <v>24</v>
      </c>
      <c r="G7" s="52">
        <v>10.0</v>
      </c>
      <c r="H7" s="69" t="s">
        <v>25</v>
      </c>
      <c r="I7" s="51">
        <v>9500000.0</v>
      </c>
      <c r="J7" s="8"/>
      <c r="K7" s="51">
        <v>9500000.0</v>
      </c>
      <c r="L7" s="8"/>
      <c r="M7" s="8"/>
      <c r="N7" s="51">
        <v>9310000.0</v>
      </c>
      <c r="O7" s="50" t="s">
        <v>26</v>
      </c>
      <c r="P7" s="52">
        <v>0.0</v>
      </c>
      <c r="Q7" s="51">
        <v>9310000.0</v>
      </c>
      <c r="R7" s="50" t="s">
        <v>27</v>
      </c>
      <c r="S7" s="50" t="s">
        <v>28</v>
      </c>
      <c r="T7" s="50" t="s">
        <v>29</v>
      </c>
      <c r="U7" s="50" t="s">
        <v>30</v>
      </c>
      <c r="V7" s="50" t="s">
        <v>31</v>
      </c>
      <c r="W7" s="50" t="s">
        <v>32</v>
      </c>
      <c r="X7" s="52">
        <v>1.0</v>
      </c>
      <c r="Y7" s="53"/>
      <c r="Z7" s="53"/>
      <c r="AA7" s="52"/>
      <c r="AB7" s="52">
        <v>0.0</v>
      </c>
      <c r="AC7" s="52">
        <v>0.0</v>
      </c>
      <c r="AD7" s="51">
        <v>9500000.0</v>
      </c>
      <c r="AE7" s="51">
        <v>9500000.0</v>
      </c>
      <c r="AF7" s="51">
        <v>19000.0</v>
      </c>
      <c r="AG7" s="51">
        <v>9500000.0</v>
      </c>
      <c r="AH7" s="51">
        <v>9500000.0</v>
      </c>
      <c r="AI7" s="51">
        <v>9500000.0</v>
      </c>
      <c r="AJ7" s="51"/>
      <c r="AK7" s="51">
        <v>9310000.0</v>
      </c>
      <c r="AL7" s="52">
        <v>1.0</v>
      </c>
      <c r="AN7" s="9" t="s">
        <v>20</v>
      </c>
      <c r="AP7" s="50" t="s">
        <v>25</v>
      </c>
      <c r="AQ7" s="50" t="s">
        <v>19</v>
      </c>
      <c r="AR7" s="52">
        <v>500.0</v>
      </c>
      <c r="AS7" s="52">
        <v>1.0</v>
      </c>
      <c r="AT7" s="53"/>
      <c r="AU7" s="53"/>
      <c r="AV7" s="52">
        <v>1.0</v>
      </c>
      <c r="AW7" s="51">
        <v>9310000.0</v>
      </c>
      <c r="AX7" s="52">
        <v>0.0</v>
      </c>
      <c r="AY7" s="52">
        <v>0.0</v>
      </c>
      <c r="AZ7" s="51">
        <v>9500000.0</v>
      </c>
      <c r="BA7" s="51">
        <v>4900.0</v>
      </c>
      <c r="BC7" s="52">
        <v>1.0</v>
      </c>
      <c r="BD7" s="51">
        <v>-190000.0</v>
      </c>
      <c r="BE7" s="50" t="s">
        <v>29</v>
      </c>
      <c r="BF7" s="50" t="s">
        <v>33</v>
      </c>
      <c r="BG7" s="50" t="s">
        <v>34</v>
      </c>
      <c r="BH7" s="50" t="s">
        <v>35</v>
      </c>
      <c r="BI7" s="52">
        <v>5.0</v>
      </c>
      <c r="BJ7" s="51">
        <v>5.0E8</v>
      </c>
      <c r="BK7" s="51">
        <v>1.0</v>
      </c>
      <c r="BL7" s="52">
        <v>0.0</v>
      </c>
      <c r="BM7" s="52">
        <v>0.0</v>
      </c>
      <c r="BO7" s="51">
        <v>-190000.0</v>
      </c>
      <c r="BP7" s="52">
        <v>0.0</v>
      </c>
      <c r="BQ7" s="50" t="s">
        <v>36</v>
      </c>
      <c r="BR7" s="50" t="s">
        <v>37</v>
      </c>
      <c r="BS7" s="52">
        <v>0.0</v>
      </c>
      <c r="BT7" s="52">
        <v>0.0</v>
      </c>
      <c r="BW7" s="52">
        <v>0.0</v>
      </c>
      <c r="BX7" s="51">
        <v>9500000.0</v>
      </c>
      <c r="BY7" s="51">
        <v>9500000.0</v>
      </c>
      <c r="BZ7" s="51">
        <v>500.0</v>
      </c>
      <c r="CA7" s="52">
        <v>500.0</v>
      </c>
      <c r="CB7" s="52"/>
      <c r="CD7" s="51">
        <v>9310000.0</v>
      </c>
      <c r="CE7" s="52">
        <v>0.0</v>
      </c>
      <c r="CF7" s="52">
        <v>0.0</v>
      </c>
      <c r="CG7" s="51">
        <v>9310000.0</v>
      </c>
      <c r="CH7" s="51">
        <v>4900.0</v>
      </c>
      <c r="CI7" s="52">
        <v>0.0</v>
      </c>
      <c r="CK7" s="50" t="b">
        <v>0</v>
      </c>
      <c r="CL7" s="53"/>
      <c r="CM7" s="53"/>
      <c r="CN7" s="50" t="s">
        <v>19</v>
      </c>
      <c r="CO7" s="50" t="s">
        <v>19</v>
      </c>
      <c r="CP7" s="50" t="s">
        <v>38</v>
      </c>
      <c r="CS7" s="52">
        <v>10.0</v>
      </c>
      <c r="CY7" s="50" t="s">
        <v>53</v>
      </c>
      <c r="CZ7" s="50" t="s">
        <v>40</v>
      </c>
      <c r="DA7" s="51">
        <v>9500000.0</v>
      </c>
      <c r="DD7" s="51">
        <v>19000.0</v>
      </c>
      <c r="DE7" s="52">
        <v>0.0</v>
      </c>
      <c r="DF7" s="52">
        <v>0.0</v>
      </c>
      <c r="DG7" s="52">
        <v>0.0</v>
      </c>
      <c r="DH7" s="52">
        <v>0.0</v>
      </c>
      <c r="DI7" s="52">
        <v>0.0</v>
      </c>
      <c r="DJ7" s="50" t="s">
        <v>20</v>
      </c>
      <c r="DK7" s="52">
        <v>0.0</v>
      </c>
      <c r="DL7" s="52">
        <v>0.0</v>
      </c>
      <c r="DM7" s="52">
        <v>1.0</v>
      </c>
      <c r="DN7" s="52">
        <v>500.0</v>
      </c>
      <c r="DP7" s="69" t="s">
        <v>25</v>
      </c>
      <c r="DQ7" s="50" t="s">
        <v>41</v>
      </c>
      <c r="DR7" s="50" t="s">
        <v>42</v>
      </c>
      <c r="DS7" s="50" t="s">
        <v>41</v>
      </c>
      <c r="DT7" s="50" t="s">
        <v>41</v>
      </c>
      <c r="DU7" s="50" t="s">
        <v>43</v>
      </c>
      <c r="DV7" s="50" t="s">
        <v>41</v>
      </c>
      <c r="DW7" s="50" t="s">
        <v>41</v>
      </c>
      <c r="DX7" s="50" t="s">
        <v>41</v>
      </c>
      <c r="DY7" s="50" t="s">
        <v>41</v>
      </c>
      <c r="DZ7" s="50" t="s">
        <v>26</v>
      </c>
      <c r="EA7" s="50" t="s">
        <v>43</v>
      </c>
      <c r="EB7" s="50" t="s">
        <v>41</v>
      </c>
      <c r="EC7" s="50" t="s">
        <v>41</v>
      </c>
      <c r="ED7" s="50" t="s">
        <v>32</v>
      </c>
      <c r="EE7" s="50" t="s">
        <v>44</v>
      </c>
      <c r="EF7" s="52">
        <v>0.0</v>
      </c>
      <c r="EG7" s="52">
        <v>96.94</v>
      </c>
      <c r="EH7" s="52">
        <v>96.94</v>
      </c>
      <c r="EI7" s="52">
        <v>96.94</v>
      </c>
      <c r="EJ7" s="52">
        <v>102.04</v>
      </c>
      <c r="EK7" s="52">
        <v>102.04</v>
      </c>
      <c r="EL7" s="69" t="s">
        <v>25</v>
      </c>
      <c r="EM7" s="51">
        <v>1.0E7</v>
      </c>
    </row>
    <row r="8" ht="15.75" customHeight="1">
      <c r="A8" s="8"/>
      <c r="B8" s="8"/>
      <c r="C8" s="53"/>
      <c r="D8" s="53"/>
      <c r="E8" s="53"/>
      <c r="F8" s="53"/>
      <c r="G8" s="8"/>
      <c r="H8" s="53"/>
      <c r="I8" s="53"/>
      <c r="J8" s="8"/>
      <c r="K8" s="53"/>
      <c r="L8" s="8"/>
      <c r="M8" s="8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O8" s="53"/>
      <c r="BP8" s="53"/>
      <c r="BQ8" s="53"/>
      <c r="BR8" s="53"/>
      <c r="BS8" s="53"/>
      <c r="BT8" s="53"/>
      <c r="BW8" s="53"/>
      <c r="CK8" s="53"/>
      <c r="CL8" s="53"/>
      <c r="CM8" s="53"/>
      <c r="CN8" s="53"/>
      <c r="CO8" s="53"/>
      <c r="CP8" s="53"/>
      <c r="CS8" s="53"/>
      <c r="CY8" s="53"/>
      <c r="CZ8" s="53"/>
      <c r="DA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V9" s="53"/>
      <c r="AW9" s="53"/>
      <c r="AX9" s="53"/>
      <c r="AY9" s="53"/>
      <c r="AZ9" s="53"/>
      <c r="BA9" s="53"/>
      <c r="BO9" s="53"/>
      <c r="BP9" s="53"/>
      <c r="BQ9" s="53"/>
      <c r="BR9" s="53"/>
      <c r="BS9" s="53"/>
      <c r="BT9" s="53"/>
      <c r="CK9" s="53"/>
      <c r="CL9" s="53"/>
      <c r="CM9" s="53"/>
      <c r="CN9" s="53"/>
      <c r="CO9" s="53"/>
      <c r="CP9" s="53"/>
      <c r="CY9" s="53"/>
      <c r="CZ9" s="53"/>
      <c r="DA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53"/>
      <c r="S10" s="53"/>
      <c r="T10" s="53"/>
      <c r="U10" s="53"/>
      <c r="V10" s="53"/>
      <c r="AC10" s="53"/>
      <c r="AD10" s="53"/>
      <c r="AE10" s="53"/>
      <c r="AF10" s="53"/>
      <c r="AG10" s="53"/>
      <c r="AH10" s="53"/>
      <c r="AI10" s="53"/>
      <c r="AJ10" s="53"/>
      <c r="CY10" s="53"/>
      <c r="CZ10" s="53"/>
      <c r="DA10" s="53"/>
      <c r="DJ10" s="53"/>
      <c r="DK10" s="53"/>
      <c r="DL10" s="53"/>
      <c r="DM10" s="53"/>
      <c r="DN10" s="53"/>
      <c r="EG10" s="53"/>
      <c r="EH10" s="53"/>
      <c r="EI10" s="53"/>
      <c r="EJ10" s="53"/>
      <c r="EK10" s="53"/>
      <c r="EL10" s="53"/>
      <c r="EM10" s="5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C11" s="53"/>
      <c r="AD11" s="53"/>
      <c r="AE11" s="53"/>
      <c r="AF11" s="53"/>
      <c r="AG11" s="53"/>
      <c r="AH11" s="53"/>
      <c r="AI11" s="53"/>
      <c r="AJ11" s="5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CheckPortfolioManagement2!$4:$4</formula1>
    </dataValidation>
  </dataValidations>
  <drawing r:id="rId1"/>
</worksheet>
</file>