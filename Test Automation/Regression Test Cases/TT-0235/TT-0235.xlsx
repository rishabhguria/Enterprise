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FilterPM" sheetId="8" r:id="rId10"/>
    <sheet state="visible" name="IncreasePositionFromPM" sheetId="9" r:id="rId11"/>
    <sheet state="visible" name="CreateDoneAwayOrder1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1" sheetId="14" r:id="rId16"/>
  </sheets>
  <definedNames/>
  <calcPr/>
</workbook>
</file>

<file path=xl/sharedStrings.xml><?xml version="1.0" encoding="utf-8"?>
<sst xmlns="http://schemas.openxmlformats.org/spreadsheetml/2006/main" count="182" uniqueCount="49">
  <si>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</si>
  <si>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</si>
  <si>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</si>
  <si>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</si>
  <si>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</si>
  <si>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</si>
  <si>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</si>
  <si>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</si>
  <si>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</si>
  <si>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</si>
  <si>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</si>
  <si>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</si>
  <si>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</si>
  <si>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</si>
  <si>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</si>
  <si>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</si>
  <si>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</si>
  <si>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</si>
  <si>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</si>
  <si>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</si>
  <si>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</si>
  <si>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</si>
  <si>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PricingInput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</si>
  <si>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</si>
  <si>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</si>
  <si>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</si>
  <si>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</si>
  <si>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</si>
  <si>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</si>
  <si>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</si>
  <si>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</si>
  <si>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</si>
  <si>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</si>
  <si>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</si>
  <si>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</si>
  <si>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MS</t>
  </si>
  <si>
    <t>AAPL US EQUITY</t>
  </si>
  <si>
    <t>FilterPM</t>
  </si>
  <si>
    <t>MasterFund</t>
  </si>
  <si>
    <t>IncreasePositionFromPM</t>
  </si>
  <si>
    <t>Blotter</t>
  </si>
  <si>
    <t>VerifyOrder</t>
  </si>
  <si>
    <t>M</t>
  </si>
  <si>
    <t>Filled</t>
  </si>
  <si>
    <t>Market</t>
  </si>
  <si>
    <t>Allocation</t>
  </si>
  <si>
    <t>GetDataAllocation</t>
  </si>
  <si>
    <t>Historical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</si>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</sst>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14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readingOrder="0" vertical="top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189.0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R6" s="32"/>
      <c r="S6" s="32"/>
      <c r="T6" s="32"/>
      <c r="U6" s="36">
        <v>1000000.0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7" t="s">
        <v>19</v>
      </c>
      <c r="D6" s="38">
        <v>189.0</v>
      </c>
      <c r="E6" s="37" t="s">
        <v>21</v>
      </c>
      <c r="F6" s="37" t="s">
        <v>25</v>
      </c>
      <c r="G6" s="32"/>
      <c r="H6" s="37" t="s">
        <v>26</v>
      </c>
      <c r="I6" s="32"/>
      <c r="J6" s="32"/>
      <c r="K6" s="32"/>
      <c r="L6" s="32"/>
      <c r="M6" s="32"/>
      <c r="N6" s="32"/>
      <c r="O6" s="37" t="s">
        <v>27</v>
      </c>
      <c r="P6" s="37" t="s">
        <v>28</v>
      </c>
      <c r="Q6" s="39">
        <v>-189.0</v>
      </c>
      <c r="R6" s="39" t="s">
        <v>29</v>
      </c>
      <c r="S6" s="37" t="s">
        <v>30</v>
      </c>
      <c r="T6" s="37" t="s">
        <v>31</v>
      </c>
      <c r="U6" s="37" t="s">
        <v>32</v>
      </c>
      <c r="V6" s="37" t="s">
        <v>33</v>
      </c>
      <c r="W6" s="37" t="s">
        <v>34</v>
      </c>
      <c r="X6" s="37"/>
      <c r="Y6" s="39">
        <v>1.0</v>
      </c>
      <c r="Z6" s="39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40"/>
      <c r="BL6" s="32"/>
      <c r="BM6" s="32"/>
      <c r="BN6" s="32"/>
      <c r="BO6" s="32"/>
      <c r="BP6" s="32"/>
      <c r="BQ6" s="32"/>
      <c r="BR6" s="32" t="s">
        <v>35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41" t="s">
        <v>36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38</v>
      </c>
      <c r="C6" s="32" t="s">
        <v>25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21</v>
      </c>
      <c r="C6" s="44" t="s">
        <v>19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45">
        <v>19811.0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40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25</v>
      </c>
      <c r="AB6" s="32"/>
      <c r="AC6" s="32"/>
      <c r="AD6" s="46">
        <v>1.0</v>
      </c>
      <c r="AE6" s="32"/>
      <c r="AF6" s="32" t="s">
        <v>42</v>
      </c>
      <c r="AG6" s="32"/>
      <c r="AH6" s="47" t="s">
        <v>31</v>
      </c>
      <c r="AI6" s="48" t="s">
        <v>19</v>
      </c>
      <c r="AJ6" s="48" t="s">
        <v>20</v>
      </c>
      <c r="AK6" s="48" t="s">
        <v>43</v>
      </c>
      <c r="AL6" s="48">
        <v>189.0</v>
      </c>
      <c r="AM6" s="48">
        <v>189.0</v>
      </c>
      <c r="AN6" s="32"/>
      <c r="AO6" s="32"/>
      <c r="AP6" s="47"/>
      <c r="AQ6" s="48">
        <v>1.0</v>
      </c>
      <c r="AR6" s="48">
        <v>1.0</v>
      </c>
      <c r="AS6" s="48" t="s">
        <v>35</v>
      </c>
      <c r="AT6" s="48" t="s">
        <v>21</v>
      </c>
      <c r="AU6" s="48" t="s">
        <v>44</v>
      </c>
      <c r="AV6" s="48">
        <v>189.0</v>
      </c>
      <c r="AW6" s="48">
        <v>189.0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 t="s">
        <v>25</v>
      </c>
      <c r="AB7" s="32"/>
      <c r="AC7" s="32"/>
      <c r="AD7" s="46">
        <v>1.0</v>
      </c>
      <c r="AE7" s="32"/>
      <c r="AF7" s="32" t="s">
        <v>42</v>
      </c>
      <c r="AG7" s="32"/>
      <c r="AH7" s="47" t="s">
        <v>31</v>
      </c>
      <c r="AI7" s="49" t="s">
        <v>19</v>
      </c>
      <c r="AJ7" s="49" t="s">
        <v>20</v>
      </c>
      <c r="AK7" s="49" t="s">
        <v>43</v>
      </c>
      <c r="AL7" s="50">
        <v>19811.0</v>
      </c>
      <c r="AM7" s="50">
        <v>19811.0</v>
      </c>
      <c r="AN7" s="32"/>
      <c r="AO7" s="32"/>
      <c r="AP7" s="47"/>
      <c r="AQ7" s="49">
        <v>1.0</v>
      </c>
      <c r="AR7" s="49">
        <v>1.0</v>
      </c>
      <c r="AS7" s="49" t="s">
        <v>35</v>
      </c>
      <c r="AT7" s="49" t="s">
        <v>21</v>
      </c>
      <c r="AU7" s="49" t="s">
        <v>44</v>
      </c>
      <c r="AV7" s="50">
        <v>19811.0</v>
      </c>
      <c r="AW7" s="50">
        <v>19811.0</v>
      </c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47</v>
      </c>
      <c r="C6" s="51">
        <f t="shared" ref="C6:D6" si="1">today()</f>
        <v>44985</v>
      </c>
      <c r="D6" s="51">
        <f t="shared" si="1"/>
        <v>44985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 t="s">
        <v>21</v>
      </c>
      <c r="C6" s="32"/>
      <c r="D6" s="31"/>
      <c r="E6" s="39">
        <v>189.0</v>
      </c>
      <c r="F6" s="32"/>
      <c r="G6" s="32"/>
      <c r="H6" s="34">
        <v>4.0</v>
      </c>
      <c r="I6" s="34">
        <v>5.0</v>
      </c>
      <c r="J6" s="32"/>
      <c r="K6" s="34">
        <v>1.0</v>
      </c>
      <c r="L6" s="34">
        <v>1.0</v>
      </c>
      <c r="M6" s="32" t="s">
        <v>36</v>
      </c>
      <c r="N6" s="32"/>
      <c r="O6" s="37" t="s">
        <v>35</v>
      </c>
      <c r="P6" s="32"/>
      <c r="Q6" s="32"/>
      <c r="R6" s="32"/>
      <c r="S6" s="32"/>
      <c r="T6" s="32"/>
      <c r="U6" s="32"/>
      <c r="V6" s="32" t="s">
        <v>27</v>
      </c>
      <c r="W6" s="32"/>
      <c r="X6" s="32"/>
      <c r="Y6" s="32"/>
      <c r="Z6" s="32" t="s">
        <v>34</v>
      </c>
      <c r="AA6" s="32"/>
      <c r="AB6" s="32"/>
      <c r="AC6" s="32"/>
      <c r="AD6" s="37" t="s">
        <v>33</v>
      </c>
      <c r="AE6" s="39">
        <v>189.0</v>
      </c>
      <c r="AF6" s="32"/>
      <c r="AG6" s="32"/>
      <c r="AH6" s="32" t="s">
        <v>42</v>
      </c>
      <c r="AI6" s="46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9"/>
      <c r="AU6" s="39"/>
      <c r="AV6" s="32"/>
      <c r="AW6" s="32"/>
      <c r="AX6" s="32"/>
      <c r="AY6" s="32"/>
      <c r="AZ6" s="32"/>
      <c r="BA6" s="32"/>
      <c r="BB6" s="32"/>
      <c r="BC6" s="32"/>
      <c r="BD6" s="32"/>
      <c r="BE6" s="39">
        <v>189.0</v>
      </c>
      <c r="BF6" s="39">
        <v>189.0</v>
      </c>
      <c r="BG6" s="32"/>
      <c r="BH6" s="32"/>
      <c r="BI6" s="32"/>
      <c r="BJ6" s="39">
        <v>189.0</v>
      </c>
      <c r="BK6" s="32"/>
      <c r="BL6" s="32"/>
      <c r="BM6" s="32"/>
      <c r="BN6" s="32"/>
      <c r="BO6" s="32" t="s">
        <v>20</v>
      </c>
      <c r="BP6" s="32"/>
      <c r="BQ6" s="32"/>
      <c r="BR6" s="32"/>
      <c r="BS6" s="32"/>
      <c r="BT6" s="32" t="s">
        <v>19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21</v>
      </c>
      <c r="C7" s="32"/>
      <c r="D7" s="32"/>
      <c r="E7" s="53">
        <v>19811.0</v>
      </c>
      <c r="F7" s="32"/>
      <c r="G7" s="32"/>
      <c r="H7" s="34">
        <v>4.0</v>
      </c>
      <c r="I7" s="34">
        <v>5.0</v>
      </c>
      <c r="J7" s="32"/>
      <c r="K7" s="34">
        <v>1.0</v>
      </c>
      <c r="L7" s="34">
        <v>1.0</v>
      </c>
      <c r="M7" s="32" t="s">
        <v>36</v>
      </c>
      <c r="N7" s="32"/>
      <c r="O7" s="37" t="s">
        <v>35</v>
      </c>
      <c r="P7" s="32"/>
      <c r="Q7" s="32"/>
      <c r="R7" s="32"/>
      <c r="S7" s="32"/>
      <c r="T7" s="32"/>
      <c r="U7" s="32"/>
      <c r="V7" s="32" t="s">
        <v>27</v>
      </c>
      <c r="W7" s="32"/>
      <c r="X7" s="32"/>
      <c r="Y7" s="32"/>
      <c r="Z7" s="32" t="s">
        <v>34</v>
      </c>
      <c r="AA7" s="32"/>
      <c r="AB7" s="32"/>
      <c r="AC7" s="32"/>
      <c r="AD7" s="37" t="s">
        <v>33</v>
      </c>
      <c r="AE7" s="53">
        <v>19811.0</v>
      </c>
      <c r="AF7" s="32"/>
      <c r="AG7" s="32"/>
      <c r="AH7" s="32" t="s">
        <v>42</v>
      </c>
      <c r="AI7" s="46">
        <v>1.0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54"/>
      <c r="AU7" s="54"/>
      <c r="AV7" s="32"/>
      <c r="AW7" s="32"/>
      <c r="AX7" s="32"/>
      <c r="AY7" s="32"/>
      <c r="AZ7" s="32"/>
      <c r="BA7" s="32"/>
      <c r="BB7" s="32"/>
      <c r="BC7" s="32"/>
      <c r="BD7" s="32"/>
      <c r="BE7" s="53">
        <v>19811.0</v>
      </c>
      <c r="BF7" s="53">
        <v>19811.0</v>
      </c>
      <c r="BG7" s="32"/>
      <c r="BH7" s="32"/>
      <c r="BI7" s="32"/>
      <c r="BJ7" s="53">
        <v>19811.0</v>
      </c>
      <c r="BK7" s="32"/>
      <c r="BL7" s="32"/>
      <c r="BM7" s="32"/>
      <c r="BN7" s="32"/>
      <c r="BO7" s="32" t="s">
        <v>20</v>
      </c>
      <c r="BP7" s="32"/>
      <c r="BQ7" s="32"/>
      <c r="BR7" s="32"/>
      <c r="BS7" s="32"/>
      <c r="BT7" s="32" t="s">
        <v>19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7" t="s">
        <v>19</v>
      </c>
      <c r="D6" s="38">
        <v>189.0</v>
      </c>
      <c r="E6" s="37" t="s">
        <v>21</v>
      </c>
      <c r="F6" s="37" t="s">
        <v>25</v>
      </c>
      <c r="G6" s="32"/>
      <c r="H6" s="37" t="s">
        <v>26</v>
      </c>
      <c r="I6" s="32"/>
      <c r="J6" s="32"/>
      <c r="K6" s="32"/>
      <c r="L6" s="32"/>
      <c r="M6" s="32"/>
      <c r="N6" s="32"/>
      <c r="O6" s="37" t="s">
        <v>27</v>
      </c>
      <c r="P6" s="37" t="s">
        <v>28</v>
      </c>
      <c r="Q6" s="39">
        <v>-189.0</v>
      </c>
      <c r="R6" s="39" t="s">
        <v>29</v>
      </c>
      <c r="S6" s="37" t="s">
        <v>30</v>
      </c>
      <c r="T6" s="37" t="s">
        <v>31</v>
      </c>
      <c r="U6" s="37" t="s">
        <v>32</v>
      </c>
      <c r="V6" s="37" t="s">
        <v>33</v>
      </c>
      <c r="W6" s="37" t="s">
        <v>34</v>
      </c>
      <c r="X6" s="37"/>
      <c r="Y6" s="39">
        <v>1.0</v>
      </c>
      <c r="Z6" s="39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 t="s">
        <v>35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41" t="s">
        <v>36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37" t="s">
        <v>19</v>
      </c>
      <c r="D7" s="45">
        <v>19811.0</v>
      </c>
      <c r="E7" s="37" t="s">
        <v>21</v>
      </c>
      <c r="F7" s="37" t="s">
        <v>25</v>
      </c>
      <c r="G7" s="32"/>
      <c r="H7" s="37" t="s">
        <v>26</v>
      </c>
      <c r="I7" s="32"/>
      <c r="J7" s="32"/>
      <c r="K7" s="32"/>
      <c r="L7" s="32"/>
      <c r="M7" s="32"/>
      <c r="N7" s="32"/>
      <c r="O7" s="37" t="s">
        <v>27</v>
      </c>
      <c r="P7" s="37" t="s">
        <v>28</v>
      </c>
      <c r="Q7" s="45">
        <v>-19811.0</v>
      </c>
      <c r="R7" s="39" t="s">
        <v>29</v>
      </c>
      <c r="S7" s="37" t="s">
        <v>30</v>
      </c>
      <c r="T7" s="37" t="s">
        <v>31</v>
      </c>
      <c r="U7" s="37" t="s">
        <v>32</v>
      </c>
      <c r="V7" s="37" t="s">
        <v>33</v>
      </c>
      <c r="W7" s="37" t="s">
        <v>34</v>
      </c>
      <c r="X7" s="37"/>
      <c r="Y7" s="39">
        <v>1.0</v>
      </c>
      <c r="Z7" s="39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20</v>
      </c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 t="s">
        <v>35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41" t="s">
        <v>36</v>
      </c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