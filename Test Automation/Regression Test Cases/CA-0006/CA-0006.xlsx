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yEndCash" sheetId="10" r:id="rId12"/>
    <sheet state="visible" name="GetAccountBalance" sheetId="11" r:id="rId13"/>
    <sheet state="visible" name="GetRevaluationData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1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MarkPriceData2" sheetId="28" r:id="rId30"/>
    <sheet state="visible" name="UpdateMarkPrice2" sheetId="29" r:id="rId31"/>
    <sheet state="visible" name="GetAccountBalance2" sheetId="30" r:id="rId32"/>
    <sheet state="visible" name="GetRevaluationData2" sheetId="31" r:id="rId33"/>
    <sheet state="visible" name="VerifyRevaluationData1" sheetId="32" r:id="rId34"/>
    <sheet state="visible" name="VerifyTradingTransaction1" sheetId="33" r:id="rId35"/>
    <sheet state="visible" name="GetActivityData1" sheetId="34" r:id="rId36"/>
    <sheet state="visible" name="VerifyActivity1" sheetId="35" r:id="rId37"/>
    <sheet state="visible" name="GetDataClosing1" sheetId="36" r:id="rId38"/>
    <sheet state="visible" name="VerifyLongPositionsGrid" sheetId="37" r:id="rId39"/>
    <sheet state="visible" name="GetDataAllocation" sheetId="38" r:id="rId40"/>
    <sheet state="visible" name="CheckAllocatedGroups" sheetId="39" r:id="rId41"/>
  </sheets>
  <definedNames/>
  <calcPr/>
</workbook>
</file>

<file path=xl/sharedStrings.xml><?xml version="1.0" encoding="utf-8"?>
<sst xmlns="http://schemas.openxmlformats.org/spreadsheetml/2006/main" count="2029" uniqueCount="88">
  <si>
    <t>Modules Info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</si>
  <si>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</si>
  <si>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</si>
  <si>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</si>
  <si>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</si>
  <si>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</si>
  <si>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</si>
  <si>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</si>
  <si>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</si>
  <si>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Modules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</si>
  <si>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</si>
  <si>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</si>
  <si>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</si>
  <si>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</si>
  <si>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</si>
  <si>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</si>
  <si>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</si>
  <si>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</si>
  <si>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</si>
  <si>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</si>
  <si>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</si>
  <si>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</si>
  <si>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</si>
  <si>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</si>
  <si>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</si>
  <si>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</si>
  <si>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AAPL</t>
  </si>
  <si>
    <t>Buy</t>
  </si>
  <si>
    <t>MS</t>
  </si>
  <si>
    <t>Flat Amount</t>
  </si>
  <si>
    <t>50,50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</si>
  <si>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</si>
  <si>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</si>
  <si>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</si>
  <si>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</si>
  <si>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</si>
  <si>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</si>
  <si>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GOOG</t>
  </si>
  <si>
    <t>Sell</t>
  </si>
  <si>
    <t>Closing</t>
  </si>
  <si>
    <t>AutomaticClosing</t>
  </si>
  <si>
    <t>GetDataClosing</t>
  </si>
  <si>
    <t>Historical</t>
  </si>
  <si>
    <t>FIFO</t>
  </si>
  <si>
    <t>None</t>
  </si>
  <si>
    <t>Default</t>
  </si>
  <si>
    <t>VerifyRevaluationData</t>
  </si>
  <si>
    <t>VerifyTradingTransaction</t>
  </si>
  <si>
    <t>DR</t>
  </si>
  <si>
    <t>Trading</t>
  </si>
  <si>
    <t>Investment - Long Equity [Asset]</t>
  </si>
  <si>
    <t>CR</t>
  </si>
  <si>
    <t>GetActivityData</t>
  </si>
  <si>
    <t>Equity Long Revaluation [Asset]</t>
  </si>
  <si>
    <t>Revaluation</t>
  </si>
  <si>
    <t>UnRealized PNL Entry</t>
  </si>
  <si>
    <t>Equity UnRealized Profit And Loss [Income]</t>
  </si>
  <si>
    <t>Equity Realized Profit And Loss [Income]</t>
  </si>
  <si>
    <t>Realized PNL Entry</t>
  </si>
  <si>
    <t>Contra UnRealized PNL Entry</t>
  </si>
  <si>
    <t>CorporateAction</t>
  </si>
  <si>
    <t>VerifyActivity</t>
  </si>
  <si>
    <t>OpenSpinOff</t>
  </si>
  <si>
    <t>EquityLongUnRealizedPNL</t>
  </si>
  <si>
    <t>Cash</t>
  </si>
  <si>
    <t>SpinOff</t>
  </si>
  <si>
    <t>NonTrading</t>
  </si>
  <si>
    <t>unknown5</t>
  </si>
  <si>
    <t>Manual Journal Entry</t>
  </si>
  <si>
    <t>EquityL</t>
  </si>
  <si>
    <t>EquityLongRealizedPNL</t>
  </si>
  <si>
    <t>VerifyAndApplyCorpAction</t>
  </si>
  <si>
    <t>MSFT</t>
  </si>
  <si>
    <t>NoCashInLieu</t>
  </si>
  <si>
    <t>VerifyLongPositionsGrid</t>
  </si>
  <si>
    <t>Equity</t>
  </si>
  <si>
    <t>Long</t>
  </si>
  <si>
    <t>GOOGLE-A</t>
  </si>
  <si>
    <t>Strategy Unallocated</t>
  </si>
  <si>
    <t>US</t>
  </si>
  <si>
    <t>LongAddition</t>
  </si>
  <si>
    <t>APPLE</t>
  </si>
  <si>
    <t>MICROSOFT INC</t>
  </si>
  <si>
    <t>Allocation</t>
  </si>
  <si>
    <t>GetDataAllocation</t>
  </si>
  <si>
    <t>CheckAllocatedGroups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</si>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</sst>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20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Segoe UI"/>
    </font>
    <font>
      <sz val="9.0"/>
      <color rgb="FFE7E8E9"/>
      <name val="Segoe UI"/>
    </font>
    <font>
      <sz val="9.0"/>
      <color rgb="FF868686"/>
      <name val="Segoe UI"/>
    </font>
    <font>
      <sz val="9.0"/>
      <color rgb="FF000000"/>
      <name val="Verdana"/>
    </font>
    <font>
      <color rgb="FF000000"/>
      <name val="Roboto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6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5" fillId="0" fontId="7" numFmtId="0" xfId="0" applyAlignment="1" applyBorder="1" applyFont="1">
      <alignment readingOrder="0" vertical="bottom"/>
    </xf>
    <xf borderId="5" fillId="0" fontId="4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2" fillId="0" fontId="7" numFmtId="0" xfId="0" applyAlignment="1" applyBorder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6" fillId="0" fontId="7" numFmtId="0" xfId="0" applyAlignment="1" applyBorder="1" applyFont="1">
      <alignment shrinkToFit="0" vertical="bottom" wrapText="0"/>
    </xf>
    <xf borderId="0" fillId="0" fontId="4" numFmtId="0" xfId="0" applyAlignment="1" applyFont="1">
      <alignment horizontal="right" vertical="bottom"/>
    </xf>
    <xf borderId="0" fillId="0" fontId="7" numFmtId="0" xfId="0" applyAlignment="1" applyFont="1">
      <alignment readingOrder="0" vertical="bottom"/>
    </xf>
    <xf borderId="5" fillId="0" fontId="4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4" numFmtId="0" xfId="0" applyAlignment="1" applyFont="1">
      <alignment readingOrder="0" shrinkToFit="0" wrapText="0"/>
    </xf>
    <xf borderId="5" fillId="0" fontId="4" numFmtId="0" xfId="0" applyAlignment="1" applyBorder="1" applyFont="1">
      <alignment horizontal="center" vertical="bottom"/>
    </xf>
    <xf borderId="5" fillId="0" fontId="4" numFmtId="164" xfId="0" applyAlignment="1" applyBorder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 shrinkToFit="0" wrapText="0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7" fillId="6" fontId="13" numFmtId="165" xfId="0" applyAlignment="1" applyBorder="1" applyFill="1" applyFont="1" applyNumberFormat="1">
      <alignment horizontal="left" readingOrder="0" shrinkToFit="0" wrapText="0"/>
    </xf>
    <xf borderId="7" fillId="6" fontId="14" numFmtId="166" xfId="0" applyAlignment="1" applyBorder="1" applyFont="1" applyNumberFormat="1">
      <alignment horizontal="left" readingOrder="0" shrinkToFit="0" wrapText="0"/>
    </xf>
    <xf borderId="7" fillId="6" fontId="13" numFmtId="0" xfId="0" applyAlignment="1" applyBorder="1" applyFont="1">
      <alignment horizontal="right" readingOrder="0" shrinkToFit="0" wrapText="0"/>
    </xf>
    <xf borderId="7" fillId="6" fontId="15" numFmtId="0" xfId="0" applyAlignment="1" applyBorder="1" applyFont="1">
      <alignment horizontal="right" readingOrder="0" shrinkToFit="0" wrapText="0"/>
    </xf>
    <xf borderId="7" fillId="6" fontId="14" numFmtId="0" xfId="0" applyAlignment="1" applyBorder="1" applyFont="1">
      <alignment horizontal="right" readingOrder="0" shrinkToFit="0" wrapText="0"/>
    </xf>
    <xf borderId="7" fillId="6" fontId="14" numFmtId="0" xfId="0" applyAlignment="1" applyBorder="1" applyFont="1">
      <alignment horizontal="left" readingOrder="0" shrinkToFit="0" wrapText="0"/>
    </xf>
    <xf borderId="7" fillId="6" fontId="14" numFmtId="0" xfId="0" applyAlignment="1" applyBorder="1" applyFont="1">
      <alignment horizontal="left" shrinkToFit="0" wrapText="0"/>
    </xf>
    <xf borderId="7" fillId="7" fontId="14" numFmtId="166" xfId="0" applyAlignment="1" applyBorder="1" applyFill="1" applyFont="1" applyNumberFormat="1">
      <alignment horizontal="left" readingOrder="0" shrinkToFit="0" wrapText="0"/>
    </xf>
    <xf borderId="7" fillId="7" fontId="16" numFmtId="0" xfId="0" applyAlignment="1" applyBorder="1" applyFont="1">
      <alignment horizontal="right" readingOrder="0" shrinkToFit="0" wrapText="0"/>
    </xf>
    <xf borderId="7" fillId="7" fontId="13" numFmtId="0" xfId="0" applyAlignment="1" applyBorder="1" applyFont="1">
      <alignment horizontal="right" readingOrder="0" shrinkToFit="0" wrapText="0"/>
    </xf>
    <xf borderId="7" fillId="7" fontId="14" numFmtId="0" xfId="0" applyAlignment="1" applyBorder="1" applyFont="1">
      <alignment horizontal="right" readingOrder="0" shrinkToFit="0" wrapText="0"/>
    </xf>
    <xf borderId="7" fillId="7" fontId="14" numFmtId="0" xfId="0" applyAlignment="1" applyBorder="1" applyFont="1">
      <alignment horizontal="left" readingOrder="0" shrinkToFit="0" wrapText="0"/>
    </xf>
    <xf borderId="7" fillId="6" fontId="14" numFmtId="165" xfId="0" applyAlignment="1" applyBorder="1" applyFont="1" applyNumberFormat="1">
      <alignment horizontal="left" readingOrder="0" shrinkToFit="0" wrapText="0"/>
    </xf>
    <xf borderId="8" fillId="6" fontId="14" numFmtId="0" xfId="0" applyAlignment="1" applyBorder="1" applyFont="1">
      <alignment horizontal="left" readingOrder="0" shrinkToFit="0" wrapText="0"/>
    </xf>
    <xf borderId="8" fillId="6" fontId="14" numFmtId="0" xfId="0" applyAlignment="1" applyBorder="1" applyFont="1">
      <alignment horizontal="right" readingOrder="0" shrinkToFit="0" wrapText="0"/>
    </xf>
    <xf borderId="8" fillId="6" fontId="14" numFmtId="166" xfId="0" applyAlignment="1" applyBorder="1" applyFont="1" applyNumberFormat="1">
      <alignment horizontal="left" readingOrder="0" shrinkToFit="0" wrapText="0"/>
    </xf>
    <xf borderId="8" fillId="6" fontId="14" numFmtId="0" xfId="0" applyAlignment="1" applyBorder="1" applyFont="1">
      <alignment horizontal="left" shrinkToFit="0" wrapText="0"/>
    </xf>
    <xf borderId="8" fillId="6" fontId="14" numFmtId="167" xfId="0" applyAlignment="1" applyBorder="1" applyFont="1" applyNumberFormat="1">
      <alignment horizontal="left" readingOrder="0" shrinkToFit="0" wrapText="0"/>
    </xf>
    <xf borderId="8" fillId="6" fontId="14" numFmtId="165" xfId="0" applyAlignment="1" applyBorder="1" applyFont="1" applyNumberFormat="1">
      <alignment horizontal="left" readingOrder="0" shrinkToFit="0" wrapText="0"/>
    </xf>
    <xf borderId="8" fillId="6" fontId="17" numFmtId="0" xfId="0" applyAlignment="1" applyBorder="1" applyFont="1">
      <alignment horizontal="left" readingOrder="0" shrinkToFit="0" wrapText="0"/>
    </xf>
    <xf borderId="8" fillId="8" fontId="14" numFmtId="0" xfId="0" applyAlignment="1" applyBorder="1" applyFill="1" applyFont="1">
      <alignment horizontal="left" readingOrder="0" shrinkToFit="0" wrapText="0"/>
    </xf>
    <xf borderId="8" fillId="8" fontId="14" numFmtId="0" xfId="0" applyAlignment="1" applyBorder="1" applyFont="1">
      <alignment horizontal="right" readingOrder="0" shrinkToFit="0" wrapText="0"/>
    </xf>
    <xf borderId="8" fillId="8" fontId="14" numFmtId="166" xfId="0" applyAlignment="1" applyBorder="1" applyFont="1" applyNumberFormat="1">
      <alignment horizontal="left" readingOrder="0" shrinkToFit="0" wrapText="0"/>
    </xf>
    <xf borderId="8" fillId="8" fontId="14" numFmtId="0" xfId="0" applyAlignment="1" applyBorder="1" applyFont="1">
      <alignment horizontal="left" shrinkToFit="0" wrapText="0"/>
    </xf>
    <xf borderId="8" fillId="8" fontId="14" numFmtId="167" xfId="0" applyAlignment="1" applyBorder="1" applyFont="1" applyNumberFormat="1">
      <alignment horizontal="left" readingOrder="0" shrinkToFit="0" wrapText="0"/>
    </xf>
    <xf borderId="8" fillId="8" fontId="14" numFmtId="165" xfId="0" applyAlignment="1" applyBorder="1" applyFont="1" applyNumberFormat="1">
      <alignment horizontal="left" readingOrder="0" shrinkToFit="0" wrapText="0"/>
    </xf>
    <xf borderId="8" fillId="8" fontId="17" numFmtId="0" xfId="0" applyAlignment="1" applyBorder="1" applyFont="1">
      <alignment horizontal="left" readingOrder="0" shrinkToFit="0" wrapText="0"/>
    </xf>
    <xf borderId="8" fillId="6" fontId="13" numFmtId="0" xfId="0" applyAlignment="1" applyBorder="1" applyFont="1">
      <alignment horizontal="right" readingOrder="0" shrinkToFit="0" wrapText="0"/>
    </xf>
    <xf borderId="8" fillId="6" fontId="13" numFmtId="165" xfId="0" applyAlignment="1" applyBorder="1" applyFont="1" applyNumberFormat="1">
      <alignment horizontal="left" readingOrder="0" shrinkToFit="0" wrapText="0"/>
    </xf>
    <xf borderId="8" fillId="8" fontId="13" numFmtId="0" xfId="0" applyAlignment="1" applyBorder="1" applyFont="1">
      <alignment horizontal="right" readingOrder="0" shrinkToFit="0" wrapText="0"/>
    </xf>
    <xf borderId="8" fillId="8" fontId="13" numFmtId="165" xfId="0" applyAlignment="1" applyBorder="1" applyFont="1" applyNumberFormat="1">
      <alignment horizontal="left" readingOrder="0" shrinkToFit="0" wrapText="0"/>
    </xf>
    <xf borderId="0" fillId="9" fontId="18" numFmtId="0" xfId="0" applyAlignment="1" applyFill="1" applyFont="1">
      <alignment readingOrder="0"/>
    </xf>
    <xf borderId="9" fillId="0" fontId="7" numFmtId="0" xfId="0" applyAlignment="1" applyBorder="1" applyFont="1">
      <alignment readingOrder="0" shrinkToFit="0" vertical="bottom" wrapText="0"/>
    </xf>
    <xf borderId="0" fillId="0" fontId="19" numFmtId="0" xfId="0" applyAlignment="1" applyFont="1">
      <alignment readingOrder="0" shrinkToFit="0" wrapText="0"/>
    </xf>
    <xf borderId="0" fillId="0" fontId="19" numFmtId="0" xfId="0" applyAlignment="1" applyFont="1">
      <alignment horizontal="right" readingOrder="0" shrinkToFit="0" wrapText="0"/>
    </xf>
    <xf borderId="0" fillId="0" fontId="19" numFmtId="165" xfId="0" applyAlignment="1" applyFont="1" applyNumberFormat="1">
      <alignment horizontal="right" readingOrder="0" shrinkToFit="0" wrapText="0"/>
    </xf>
    <xf borderId="0" fillId="0" fontId="19" numFmtId="166" xfId="0" applyAlignment="1" applyFont="1" applyNumberFormat="1">
      <alignment horizontal="right" readingOrder="0" shrinkToFit="0" wrapText="0"/>
    </xf>
    <xf borderId="0" fillId="0" fontId="19" numFmtId="0" xfId="0" applyAlignment="1" applyFont="1">
      <alignment shrinkToFit="0" wrapText="0"/>
    </xf>
    <xf borderId="5" fillId="0" fontId="4" numFmtId="0" xfId="0" applyAlignment="1" applyBorder="1" applyFont="1">
      <alignment readingOrder="0" vertical="bottom"/>
    </xf>
    <xf borderId="7" fillId="7" fontId="14" numFmtId="165" xfId="0" applyAlignment="1" applyBorder="1" applyFont="1" applyNumberFormat="1">
      <alignment horizontal="left" readingOrder="0" shrinkToFit="0" wrapText="0"/>
    </xf>
    <xf borderId="0" fillId="0" fontId="19" numFmtId="11" xfId="0" applyAlignment="1" applyFont="1" applyNumberFormat="1">
      <alignment horizontal="right" readingOrder="0" shrinkToFit="0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167" xfId="0" applyAlignment="1" applyFont="1" applyNumberFormat="1">
      <alignment readingOrder="0" shrinkToFit="0" vertical="bottom" wrapText="0"/>
    </xf>
    <xf borderId="0" fillId="0" fontId="19" numFmtId="4" xfId="0" applyAlignment="1" applyFont="1" applyNumberFormat="1">
      <alignment horizontal="right" readingOrder="0" shrinkToFit="0" vertical="bottom" wrapText="0"/>
    </xf>
    <xf borderId="0" fillId="0" fontId="19" numFmtId="165" xfId="0" applyAlignment="1" applyFont="1" applyNumberFormat="1">
      <alignment horizontal="right" readingOrder="0" shrinkToFit="0" vertical="bottom" wrapText="0"/>
    </xf>
    <xf borderId="0" fillId="0" fontId="19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6" t="s">
        <v>9</v>
      </c>
      <c r="B3" s="15"/>
      <c r="C3" s="16"/>
      <c r="D3" s="16"/>
      <c r="E3" s="16"/>
      <c r="F3" s="16"/>
    </row>
    <row r="4" ht="15.75" customHeight="1">
      <c r="A4" s="5" t="str">
        <f>IFERROR(__xludf.DUMMYFUNCTION("IMPORTRANGE('_Settings'!B3,""Modules!A4:L1000"")"),"Allocation")</f>
        <v>Allocation</v>
      </c>
      <c r="B4" s="11" t="str">
        <f>IFERROR(__xludf.DUMMYFUNCTION("""COMPUTED_VALUE"""),"Allocate")</f>
        <v>Allocate</v>
      </c>
      <c r="C4" s="11" t="str">
        <f>IFERROR(__xludf.DUMMYFUNCTION("""COMPUTED_VALUE"""),"1g8wLprruaWRC_5pQcovqkv8ZCiMt5fspCOACibdkz7g")</f>
        <v>1g8wLprruaWRC_5pQcovqkv8ZCiMt5fspCOACibdkz7g</v>
      </c>
      <c r="D4" s="11" t="str">
        <f>IFERROR(__xludf.DUMMYFUNCTION("""COMPUTED_VALUE"""),"")</f>
        <v/>
      </c>
      <c r="E4" s="11" t="str">
        <f>IFERROR(__xludf.DUMMYFUNCTION("""COMPUTED_VALUE"""),"")</f>
        <v/>
      </c>
      <c r="F4" s="11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5" t="str">
        <f>IFERROR(__xludf.DUMMYFUNCTION("""COMPUTED_VALUE"""),"Allocation")</f>
        <v>Allocation</v>
      </c>
      <c r="B5" s="11" t="str">
        <f>IFERROR(__xludf.DUMMYFUNCTION("""COMPUTED_VALUE"""),"CheckAllocatedGroups")</f>
        <v>CheckAllocatedGroups</v>
      </c>
      <c r="C5" s="11" t="str">
        <f>IFERROR(__xludf.DUMMYFUNCTION("""COMPUTED_VALUE"""),"1aecq-HMDoDkIInONjPC11z5TBFHyJhv4ro66e2ZOphg")</f>
        <v>1aecq-HMDoDkIInONjPC11z5TBFHyJhv4ro66e2ZOphg</v>
      </c>
      <c r="D5" s="11" t="str">
        <f>IFERROR(__xludf.DUMMYFUNCTION("""COMPUTED_VALUE"""),"")</f>
        <v/>
      </c>
      <c r="E5" s="11" t="str">
        <f>IFERROR(__xludf.DUMMYFUNCTION("""COMPUTED_VALUE"""),"")</f>
        <v/>
      </c>
      <c r="F5" s="11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1" t="str">
        <f>IFERROR(__xludf.DUMMYFUNCTION("""COMPUTED_VALUE"""),"Allocation")</f>
        <v>Allocation</v>
      </c>
      <c r="B6" s="11" t="str">
        <f>IFERROR(__xludf.DUMMYFUNCTION("""COMPUTED_VALUE"""),"Unallocate")</f>
        <v>Unallocate</v>
      </c>
      <c r="C6" s="11" t="str">
        <f>IFERROR(__xludf.DUMMYFUNCTION("""COMPUTED_VALUE"""),"1eDZq-_vllq4jwvwpk9qGnwQUhlb-sFvyFKPBriT2dA0")</f>
        <v>1eDZq-_vllq4jwvwpk9qGnwQUhlb-sFvyFKPBriT2dA0</v>
      </c>
      <c r="D6" s="11" t="str">
        <f>IFERROR(__xludf.DUMMYFUNCTION("""COMPUTED_VALUE"""),"")</f>
        <v/>
      </c>
      <c r="E6" s="11" t="str">
        <f>IFERROR(__xludf.DUMMYFUNCTION("""COMPUTED_VALUE"""),"")</f>
        <v/>
      </c>
      <c r="F6" s="11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1" t="str">
        <f>IFERROR(__xludf.DUMMYFUNCTION("""COMPUTED_VALUE"""),"Allocation")</f>
        <v>Allocation</v>
      </c>
      <c r="B7" s="11" t="str">
        <f>IFERROR(__xludf.DUMMYFUNCTION("""COMPUTED_VALUE"""),"GetDataAllocation")</f>
        <v>GetDataAllocation</v>
      </c>
      <c r="C7" s="11" t="str">
        <f>IFERROR(__xludf.DUMMYFUNCTION("""COMPUTED_VALUE"""),"1FBTO3wCB7odq-jpQMbYHgSrAL5-rFO2_kp9Kr2iXqXE")</f>
        <v>1FBTO3wCB7odq-jpQMbYHgSrAL5-rFO2_kp9Kr2iXqXE</v>
      </c>
      <c r="D7" s="11" t="str">
        <f>IFERROR(__xludf.DUMMYFUNCTION("""COMPUTED_VALUE"""),"")</f>
        <v/>
      </c>
      <c r="E7" s="11" t="str">
        <f>IFERROR(__xludf.DUMMYFUNCTION("""COMPUTED_VALUE"""),"")</f>
        <v/>
      </c>
      <c r="F7" s="11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1" t="str">
        <f>IFERROR(__xludf.DUMMYFUNCTION("""COMPUTED_VALUE"""),"Allocation")</f>
        <v>Allocation</v>
      </c>
      <c r="B8" s="11" t="str">
        <f>IFERROR(__xludf.DUMMYFUNCTION("""COMPUTED_VALUE"""),"SelectAllocatedGroup")</f>
        <v>SelectAllocatedGroup</v>
      </c>
      <c r="C8" s="11" t="str">
        <f>IFERROR(__xludf.DUMMYFUNCTION("""COMPUTED_VALUE"""),"1G0ZkXDrIDX_loGmAyLs_Shy8hExtTELtFXERbX-HdPo")</f>
        <v>1G0ZkXDrIDX_loGmAyLs_Shy8hExtTELtFXERbX-HdPo</v>
      </c>
      <c r="D8" s="11" t="str">
        <f>IFERROR(__xludf.DUMMYFUNCTION("""COMPUTED_VALUE"""),"")</f>
        <v/>
      </c>
      <c r="E8" s="11" t="str">
        <f>IFERROR(__xludf.DUMMYFUNCTION("""COMPUTED_VALUE"""),"")</f>
        <v/>
      </c>
      <c r="F8" s="11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1" t="str">
        <f>IFERROR(__xludf.DUMMYFUNCTION("""COMPUTED_VALUE"""),"Allocation")</f>
        <v>Allocation</v>
      </c>
      <c r="B9" s="11" t="str">
        <f>IFERROR(__xludf.DUMMYFUNCTION("""COMPUTED_VALUE"""),"EditTradesAllocated")</f>
        <v>EditTradesAllocated</v>
      </c>
      <c r="C9" s="11" t="str">
        <f>IFERROR(__xludf.DUMMYFUNCTION("""COMPUTED_VALUE"""),"1YgVZ1jEVgjUF1Dp8FAj_W_zLEZCyqvNMlWJIg0Tmkq4")</f>
        <v>1YgVZ1jEVgjUF1Dp8FAj_W_zLEZCyqvNMlWJIg0Tmkq4</v>
      </c>
      <c r="D9" s="11" t="str">
        <f>IFERROR(__xludf.DUMMYFUNCTION("""COMPUTED_VALUE"""),"")</f>
        <v/>
      </c>
      <c r="E9" s="11" t="str">
        <f>IFERROR(__xludf.DUMMYFUNCTION("""COMPUTED_VALUE"""),"")</f>
        <v/>
      </c>
      <c r="F9" s="11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1" t="str">
        <f>IFERROR(__xludf.DUMMYFUNCTION("""COMPUTED_VALUE"""),"Allocation")</f>
        <v>Allocation</v>
      </c>
      <c r="B10" s="11" t="str">
        <f>IFERROR(__xludf.DUMMYFUNCTION("""COMPUTED_VALUE"""),"EditTradesUnallocated")</f>
        <v>EditTradesUnallocated</v>
      </c>
      <c r="C10" s="11" t="str">
        <f>IFERROR(__xludf.DUMMYFUNCTION("""COMPUTED_VALUE"""),"1MyB61T39MDAUyQqCUJLATzUT2f5UlE8nFq4ltWy_DJ4")</f>
        <v>1MyB61T39MDAUyQqCUJLATzUT2f5UlE8nFq4ltWy_DJ4</v>
      </c>
      <c r="D10" s="11" t="str">
        <f>IFERROR(__xludf.DUMMYFUNCTION("""COMPUTED_VALUE"""),"")</f>
        <v/>
      </c>
      <c r="E10" s="11" t="str">
        <f>IFERROR(__xludf.DUMMYFUNCTION("""COMPUTED_VALUE"""),"")</f>
        <v/>
      </c>
      <c r="F10" s="11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1" t="str">
        <f>IFERROR(__xludf.DUMMYFUNCTION("""COMPUTED_VALUE"""),"Allocation")</f>
        <v>Allocation</v>
      </c>
      <c r="B11" s="11" t="str">
        <f>IFERROR(__xludf.DUMMYFUNCTION("""COMPUTED_VALUE"""),"Reallocate")</f>
        <v>Reallocate</v>
      </c>
      <c r="C11" s="11" t="str">
        <f>IFERROR(__xludf.DUMMYFUNCTION("""COMPUTED_VALUE"""),"undefined")</f>
        <v>undefined</v>
      </c>
      <c r="D11" s="11" t="str">
        <f>IFERROR(__xludf.DUMMYFUNCTION("""COMPUTED_VALUE"""),"")</f>
        <v/>
      </c>
      <c r="E11" s="11" t="str">
        <f>IFERROR(__xludf.DUMMYFUNCTION("""COMPUTED_VALUE"""),"")</f>
        <v/>
      </c>
      <c r="F11" s="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1" t="str">
        <f>IFERROR(__xludf.DUMMYFUNCTION("""COMPUTED_VALUE"""),"Blotter")</f>
        <v>Blotter</v>
      </c>
      <c r="B12" s="11" t="str">
        <f>IFERROR(__xludf.DUMMYFUNCTION("""COMPUTED_VALUE"""),"ReplaceFillsOnBlotter")</f>
        <v>ReplaceFillsOnBlotter</v>
      </c>
      <c r="C12" s="11" t="str">
        <f>IFERROR(__xludf.DUMMYFUNCTION("""COMPUTED_VALUE"""),"undefined")</f>
        <v>undefined</v>
      </c>
      <c r="D12" s="11" t="str">
        <f>IFERROR(__xludf.DUMMYFUNCTION("""COMPUTED_VALUE"""),"")</f>
        <v/>
      </c>
      <c r="E12" s="11" t="str">
        <f>IFERROR(__xludf.DUMMYFUNCTION("""COMPUTED_VALUE"""),"")</f>
        <v/>
      </c>
      <c r="F12" s="11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1" t="str">
        <f>IFERROR(__xludf.DUMMYFUNCTION("""COMPUTED_VALUE"""),"Blotter")</f>
        <v>Blotter</v>
      </c>
      <c r="B13" s="11" t="str">
        <f>IFERROR(__xludf.DUMMYFUNCTION("""COMPUTED_VALUE"""),"CheckBlotter")</f>
        <v>CheckBlotter</v>
      </c>
      <c r="C13" s="11" t="str">
        <f>IFERROR(__xludf.DUMMYFUNCTION("""COMPUTED_VALUE"""),"16qheLbvgC92hKxalWDlpWfHBMyDDVqHERUCc7bQiO2A")</f>
        <v>16qheLbvgC92hKxalWDlpWfHBMyDDVqHERUCc7bQiO2A</v>
      </c>
      <c r="D13" s="11" t="str">
        <f>IFERROR(__xludf.DUMMYFUNCTION("""COMPUTED_VALUE"""),"")</f>
        <v/>
      </c>
      <c r="E13" s="11" t="str">
        <f>IFERROR(__xludf.DUMMYFUNCTION("""COMPUTED_VALUE"""),"")</f>
        <v/>
      </c>
      <c r="F13" s="11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1" t="str">
        <f>IFERROR(__xludf.DUMMYFUNCTION("""COMPUTED_VALUE"""),"GeneralLedger")</f>
        <v>GeneralLedger</v>
      </c>
      <c r="B14" s="11" t="str">
        <f>IFERROR(__xludf.DUMMYFUNCTION("""COMPUTED_VALUE"""),"GetDataCash")</f>
        <v>GetDataCash</v>
      </c>
      <c r="C14" s="11" t="str">
        <f>IFERROR(__xludf.DUMMYFUNCTION("""COMPUTED_VALUE"""),"1zLd3ju-mV8f6PZiQUYLU-cAgAUwLwyoIAKuu0WgG2zI")</f>
        <v>1zLd3ju-mV8f6PZiQUYLU-cAgAUwLwyoIAKuu0WgG2zI</v>
      </c>
      <c r="D14" s="11" t="str">
        <f>IFERROR(__xludf.DUMMYFUNCTION("""COMPUTED_VALUE"""),"")</f>
        <v/>
      </c>
      <c r="E14" s="11" t="str">
        <f>IFERROR(__xludf.DUMMYFUNCTION("""COMPUTED_VALUE"""),"")</f>
        <v/>
      </c>
      <c r="F14" s="11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1" t="str">
        <f>IFERROR(__xludf.DUMMYFUNCTION("""COMPUTED_VALUE"""),"GeneralLedger")</f>
        <v>GeneralLedger</v>
      </c>
      <c r="B15" s="11" t="str">
        <f>IFERROR(__xludf.DUMMYFUNCTION("""COMPUTED_VALUE"""),"EnterCashDividends")</f>
        <v>EnterCashDividends</v>
      </c>
      <c r="C15" s="11" t="str">
        <f>IFERROR(__xludf.DUMMYFUNCTION("""COMPUTED_VALUE"""),"1sjDsI5FIL_l_G6osMJQ7e8auBgYd3R3JDaKWKV_8Og0")</f>
        <v>1sjDsI5FIL_l_G6osMJQ7e8auBgYd3R3JDaKWKV_8Og0</v>
      </c>
      <c r="D15" s="11" t="str">
        <f>IFERROR(__xludf.DUMMYFUNCTION("""COMPUTED_VALUE"""),"")</f>
        <v/>
      </c>
      <c r="E15" s="11" t="str">
        <f>IFERROR(__xludf.DUMMYFUNCTION("""COMPUTED_VALUE"""),"")</f>
        <v/>
      </c>
      <c r="F15" s="11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1" t="str">
        <f>IFERROR(__xludf.DUMMYFUNCTION("""COMPUTED_VALUE"""),"GeneralLedger")</f>
        <v>GeneralLedger</v>
      </c>
      <c r="B16" s="11" t="str">
        <f>IFERROR(__xludf.DUMMYFUNCTION("""COMPUTED_VALUE"""),"EnterNonTradingTransaction")</f>
        <v>EnterNonTradingTransaction</v>
      </c>
      <c r="C16" s="11" t="str">
        <f>IFERROR(__xludf.DUMMYFUNCTION("""COMPUTED_VALUE"""),"1xn1P_Z-3N4d2BC1SUPly2HiVZazly5ZQcS18BfaTyho")</f>
        <v>1xn1P_Z-3N4d2BC1SUPly2HiVZazly5ZQcS18BfaTyho</v>
      </c>
      <c r="D16" s="11" t="str">
        <f>IFERROR(__xludf.DUMMYFUNCTION("""COMPUTED_VALUE"""),"")</f>
        <v/>
      </c>
      <c r="E16" s="11" t="str">
        <f>IFERROR(__xludf.DUMMYFUNCTION("""COMPUTED_VALUE"""),"")</f>
        <v/>
      </c>
      <c r="F16" s="11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1" t="str">
        <f>IFERROR(__xludf.DUMMYFUNCTION("""COMPUTED_VALUE"""),"GeneralLedger")</f>
        <v>GeneralLedger</v>
      </c>
      <c r="B17" s="11" t="str">
        <f>IFERROR(__xludf.DUMMYFUNCTION("""COMPUTED_VALUE"""),"VerifyCash")</f>
        <v>VerifyCash</v>
      </c>
      <c r="C17" s="11" t="str">
        <f>IFERROR(__xludf.DUMMYFUNCTION("""COMPUTED_VALUE"""),"1vlvYPsiFAWjsnFrbkGn_fAvkwF00V3e7htalalU6QN4")</f>
        <v>1vlvYPsiFAWjsnFrbkGn_fAvkwF00V3e7htalalU6QN4</v>
      </c>
      <c r="D17" s="11" t="str">
        <f>IFERROR(__xludf.DUMMYFUNCTION("""COMPUTED_VALUE"""),"")</f>
        <v/>
      </c>
      <c r="E17" s="11" t="str">
        <f>IFERROR(__xludf.DUMMYFUNCTION("""COMPUTED_VALUE"""),"")</f>
        <v/>
      </c>
      <c r="F17" s="11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1" t="str">
        <f>IFERROR(__xludf.DUMMYFUNCTION("""COMPUTED_VALUE"""),"GeneralLedger")</f>
        <v>GeneralLedger</v>
      </c>
      <c r="B18" s="11" t="str">
        <f>IFERROR(__xludf.DUMMYFUNCTION("""COMPUTED_VALUE"""),"VerifyActivity")</f>
        <v>VerifyActivity</v>
      </c>
      <c r="C18" s="11" t="str">
        <f>IFERROR(__xludf.DUMMYFUNCTION("""COMPUTED_VALUE"""),"1o2rCg2FuoAOT5Pl8i4iFP_TwpPm0UB1dd49GbpkytfM")</f>
        <v>1o2rCg2FuoAOT5Pl8i4iFP_TwpPm0UB1dd49GbpkytfM</v>
      </c>
      <c r="D18" s="11" t="str">
        <f>IFERROR(__xludf.DUMMYFUNCTION("""COMPUTED_VALUE"""),"")</f>
        <v/>
      </c>
      <c r="E18" s="11" t="str">
        <f>IFERROR(__xludf.DUMMYFUNCTION("""COMPUTED_VALUE"""),"")</f>
        <v/>
      </c>
      <c r="F18" s="11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1" t="str">
        <f>IFERROR(__xludf.DUMMYFUNCTION("""COMPUTED_VALUE"""),"GeneralLedger")</f>
        <v>GeneralLedger</v>
      </c>
      <c r="B19" s="11" t="str">
        <f>IFERROR(__xludf.DUMMYFUNCTION("""COMPUTED_VALUE"""),"VerifyTradingTransaction")</f>
        <v>VerifyTradingTransaction</v>
      </c>
      <c r="C19" s="11" t="str">
        <f>IFERROR(__xludf.DUMMYFUNCTION("""COMPUTED_VALUE"""),"1_v2niCJ9VGNvgEBpvz030BFqEISSUhYRHyWcAJAn_Eg")</f>
        <v>1_v2niCJ9VGNvgEBpvz030BFqEISSUhYRHyWcAJAn_Eg</v>
      </c>
      <c r="D19" s="11" t="str">
        <f>IFERROR(__xludf.DUMMYFUNCTION("""COMPUTED_VALUE"""),"")</f>
        <v/>
      </c>
      <c r="E19" s="11" t="str">
        <f>IFERROR(__xludf.DUMMYFUNCTION("""COMPUTED_VALUE"""),"")</f>
        <v/>
      </c>
      <c r="F19" s="11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1" t="str">
        <f>IFERROR(__xludf.DUMMYFUNCTION("""COMPUTED_VALUE"""),"GeneralLedger")</f>
        <v>GeneralLedger</v>
      </c>
      <c r="B20" s="11" t="str">
        <f>IFERROR(__xludf.DUMMYFUNCTION("""COMPUTED_VALUE"""),"VerifyRevaluationData")</f>
        <v>VerifyRevaluationData</v>
      </c>
      <c r="C20" s="11" t="str">
        <f>IFERROR(__xludf.DUMMYFUNCTION("""COMPUTED_VALUE"""),"1hsRs1-LY0akTrMe91ArnbLtk6GUy_bKxVwMYCaiMs-8")</f>
        <v>1hsRs1-LY0akTrMe91ArnbLtk6GUy_bKxVwMYCaiMs-8</v>
      </c>
      <c r="D20" s="11" t="str">
        <f>IFERROR(__xludf.DUMMYFUNCTION("""COMPUTED_VALUE"""),"")</f>
        <v/>
      </c>
      <c r="E20" s="11" t="str">
        <f>IFERROR(__xludf.DUMMYFUNCTION("""COMPUTED_VALUE"""),"")</f>
        <v/>
      </c>
      <c r="F20" s="11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1" t="str">
        <f>IFERROR(__xludf.DUMMYFUNCTION("""COMPUTED_VALUE"""),"CorporateAction")</f>
        <v>CorporateAction</v>
      </c>
      <c r="B21" s="11" t="str">
        <f>IFERROR(__xludf.DUMMYFUNCTION("""COMPUTED_VALUE"""),"CorporateAction")</f>
        <v>CorporateAction</v>
      </c>
      <c r="C21" s="11" t="str">
        <f>IFERROR(__xludf.DUMMYFUNCTION("""COMPUTED_VALUE"""),"14rwUHTx4auE_hf60WN-tNOx3atNg7QGvErWNwVQIRqE")</f>
        <v>14rwUHTx4auE_hf60WN-tNOx3atNg7QGvErWNwVQIRqE</v>
      </c>
      <c r="D21" s="11" t="str">
        <f>IFERROR(__xludf.DUMMYFUNCTION("""COMPUTED_VALUE"""),"")</f>
        <v/>
      </c>
      <c r="E21" s="11" t="str">
        <f>IFERROR(__xludf.DUMMYFUNCTION("""COMPUTED_VALUE"""),"")</f>
        <v/>
      </c>
      <c r="F21" s="1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1" t="str">
        <f>IFERROR(__xludf.DUMMYFUNCTION("""COMPUTED_VALUE"""),"CreateTransaction")</f>
        <v>CreateTransaction</v>
      </c>
      <c r="B22" s="11" t="str">
        <f>IFERROR(__xludf.DUMMYFUNCTION("""COMPUTED_VALUE"""),"CreateTransaction")</f>
        <v>CreateTransaction</v>
      </c>
      <c r="C22" s="11" t="str">
        <f>IFERROR(__xludf.DUMMYFUNCTION("""COMPUTED_VALUE"""),"1amshi8Ns36lsDpccBK0y_9bL_pQ2rHdGNYypcgzceUg")</f>
        <v>1amshi8Ns36lsDpccBK0y_9bL_pQ2rHdGNYypcgzceUg</v>
      </c>
      <c r="D22" s="11" t="str">
        <f>IFERROR(__xludf.DUMMYFUNCTION("""COMPUTED_VALUE"""),"")</f>
        <v/>
      </c>
      <c r="E22" s="11" t="str">
        <f>IFERROR(__xludf.DUMMYFUNCTION("""COMPUTED_VALUE"""),"")</f>
        <v/>
      </c>
      <c r="F22" s="11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1" t="str">
        <f>IFERROR(__xludf.DUMMYFUNCTION("""COMPUTED_VALUE"""),"DailyValuation")</f>
        <v>DailyValuation</v>
      </c>
      <c r="B23" s="11" t="str">
        <f>IFERROR(__xludf.DUMMYFUNCTION("""COMPUTED_VALUE"""),"UpdateBeta")</f>
        <v>UpdateBeta</v>
      </c>
      <c r="C23" s="11" t="str">
        <f>IFERROR(__xludf.DUMMYFUNCTION("""COMPUTED_VALUE"""),"1YKttwHsdIskNDoo0Sl7HF2DWikROW-KA05qfT3GLIyI")</f>
        <v>1YKttwHsdIskNDoo0Sl7HF2DWikROW-KA05qfT3GLIyI</v>
      </c>
      <c r="D23" s="11" t="str">
        <f>IFERROR(__xludf.DUMMYFUNCTION("""COMPUTED_VALUE"""),"")</f>
        <v/>
      </c>
      <c r="E23" s="11" t="str">
        <f>IFERROR(__xludf.DUMMYFUNCTION("""COMPUTED_VALUE"""),"")</f>
        <v/>
      </c>
      <c r="F23" s="11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1" t="str">
        <f>IFERROR(__xludf.DUMMYFUNCTION("""COMPUTED_VALUE"""),"DailyValuation")</f>
        <v>DailyValuation</v>
      </c>
      <c r="B24" s="11" t="str">
        <f>IFERROR(__xludf.DUMMYFUNCTION("""COMPUTED_VALUE"""),"UpdateDailyCash")</f>
        <v>UpdateDailyCash</v>
      </c>
      <c r="C24" s="11" t="str">
        <f>IFERROR(__xludf.DUMMYFUNCTION("""COMPUTED_VALUE"""),"1YJ2rTp-OqQTGjubvs_cBC6fl0l94pyHI2eaLJzbddS4")</f>
        <v>1YJ2rTp-OqQTGjubvs_cBC6fl0l94pyHI2eaLJzbddS4</v>
      </c>
      <c r="D24" s="11" t="str">
        <f>IFERROR(__xludf.DUMMYFUNCTION("""COMPUTED_VALUE"""),"")</f>
        <v/>
      </c>
      <c r="E24" s="11" t="str">
        <f>IFERROR(__xludf.DUMMYFUNCTION("""COMPUTED_VALUE"""),"")</f>
        <v/>
      </c>
      <c r="F24" s="11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1" t="str">
        <f>IFERROR(__xludf.DUMMYFUNCTION("""COMPUTED_VALUE"""),"DailyValuation")</f>
        <v>DailyValuation</v>
      </c>
      <c r="B25" s="11" t="str">
        <f>IFERROR(__xludf.DUMMYFUNCTION("""COMPUTED_VALUE"""),"UpdateForexConversion")</f>
        <v>UpdateForexConversion</v>
      </c>
      <c r="C25" s="11" t="str">
        <f>IFERROR(__xludf.DUMMYFUNCTION("""COMPUTED_VALUE"""),"1mLyEfNTVFd65cnE6GfgCRD6TdpKg1BgqNIDjHCFzyO4")</f>
        <v>1mLyEfNTVFd65cnE6GfgCRD6TdpKg1BgqNIDjHCFzyO4</v>
      </c>
      <c r="D25" s="11" t="str">
        <f>IFERROR(__xludf.DUMMYFUNCTION("""COMPUTED_VALUE"""),"")</f>
        <v/>
      </c>
      <c r="E25" s="11" t="str">
        <f>IFERROR(__xludf.DUMMYFUNCTION("""COMPUTED_VALUE"""),"")</f>
        <v/>
      </c>
      <c r="F25" s="11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1" t="str">
        <f>IFERROR(__xludf.DUMMYFUNCTION("""COMPUTED_VALUE"""),"DailyValuation")</f>
        <v>DailyValuation</v>
      </c>
      <c r="B26" s="11" t="str">
        <f>IFERROR(__xludf.DUMMYFUNCTION("""COMPUTED_VALUE"""),"UpdateMarkPrice")</f>
        <v>UpdateMarkPrice</v>
      </c>
      <c r="C26" s="11" t="str">
        <f>IFERROR(__xludf.DUMMYFUNCTION("""COMPUTED_VALUE"""),"1M8d9TyOhMnA65NSIYvS6dR68SH5RL6oKahd6uz7yp6c")</f>
        <v>1M8d9TyOhMnA65NSIYvS6dR68SH5RL6oKahd6uz7yp6c</v>
      </c>
      <c r="D26" s="11" t="str">
        <f>IFERROR(__xludf.DUMMYFUNCTION("""COMPUTED_VALUE"""),"")</f>
        <v/>
      </c>
      <c r="E26" s="11" t="str">
        <f>IFERROR(__xludf.DUMMYFUNCTION("""COMPUTED_VALUE"""),"")</f>
        <v/>
      </c>
      <c r="F26" s="11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1" t="str">
        <f>IFERROR(__xludf.DUMMYFUNCTION("""COMPUTED_VALUE"""),"Import")</f>
        <v>Import</v>
      </c>
      <c r="B27" s="11" t="str">
        <f>IFERROR(__xludf.DUMMYFUNCTION("""COMPUTED_VALUE"""),"Import")</f>
        <v>Import</v>
      </c>
      <c r="C27" s="11" t="str">
        <f>IFERROR(__xludf.DUMMYFUNCTION("""COMPUTED_VALUE"""),"1Q5uOVYo1NMRks6hQRJuV8XWMPb6VFEAbSzpgP1dot1I")</f>
        <v>1Q5uOVYo1NMRks6hQRJuV8XWMPb6VFEAbSzpgP1dot1I</v>
      </c>
      <c r="D27" s="11" t="str">
        <f>IFERROR(__xludf.DUMMYFUNCTION("""COMPUTED_VALUE"""),"")</f>
        <v/>
      </c>
      <c r="E27" s="11" t="str">
        <f>IFERROR(__xludf.DUMMYFUNCTION("""COMPUTED_VALUE"""),"")</f>
        <v/>
      </c>
      <c r="F27" s="11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1" t="str">
        <f>IFERROR(__xludf.DUMMYFUNCTION("""COMPUTED_VALUE"""),"PortfolioManagement")</f>
        <v>PortfolioManagement</v>
      </c>
      <c r="B28" s="11" t="str">
        <f>IFERROR(__xludf.DUMMYFUNCTION("""COMPUTED_VALUE"""),"CheckDashboardPM")</f>
        <v>CheckDashboardPM</v>
      </c>
      <c r="C28" s="11" t="str">
        <f>IFERROR(__xludf.DUMMYFUNCTION("""COMPUTED_VALUE"""),"1iqfUyYqyebXIeNBGljH7-T8whBcywTlkBBU3dBZV06s")</f>
        <v>1iqfUyYqyebXIeNBGljH7-T8whBcywTlkBBU3dBZV06s</v>
      </c>
      <c r="D28" s="11" t="str">
        <f>IFERROR(__xludf.DUMMYFUNCTION("""COMPUTED_VALUE"""),"")</f>
        <v/>
      </c>
      <c r="E28" s="11" t="str">
        <f>IFERROR(__xludf.DUMMYFUNCTION("""COMPUTED_VALUE"""),"")</f>
        <v/>
      </c>
      <c r="F28" s="11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1" t="str">
        <f>IFERROR(__xludf.DUMMYFUNCTION("""COMPUTED_VALUE"""),"PortfolioManagement")</f>
        <v>PortfolioManagement</v>
      </c>
      <c r="B29" s="11" t="str">
        <f>IFERROR(__xludf.DUMMYFUNCTION("""COMPUTED_VALUE"""),"CheckPortfolioManagement")</f>
        <v>CheckPortfolioManagement</v>
      </c>
      <c r="C29" s="11" t="str">
        <f>IFERROR(__xludf.DUMMYFUNCTION("""COMPUTED_VALUE"""),"1u0XMlZJy_Slp7uXMwirinW7StOOdTcWD-D8V07sO0VA")</f>
        <v>1u0XMlZJy_Slp7uXMwirinW7StOOdTcWD-D8V07sO0VA</v>
      </c>
      <c r="D29" s="11" t="str">
        <f>IFERROR(__xludf.DUMMYFUNCTION("""COMPUTED_VALUE"""),"")</f>
        <v/>
      </c>
      <c r="E29" s="11" t="str">
        <f>IFERROR(__xludf.DUMMYFUNCTION("""COMPUTED_VALUE"""),"")</f>
        <v/>
      </c>
      <c r="F29" s="11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1" t="str">
        <f>IFERROR(__xludf.DUMMYFUNCTION("""COMPUTED_VALUE"""),"PricingInput")</f>
        <v>PricingInput</v>
      </c>
      <c r="B30" s="11" t="str">
        <f>IFERROR(__xludf.DUMMYFUNCTION("""COMPUTED_VALUE"""),"PricingInput")</f>
        <v>PricingInput</v>
      </c>
      <c r="C30" s="11" t="str">
        <f>IFERROR(__xludf.DUMMYFUNCTION("""COMPUTED_VALUE"""),"1mh3Z5PifhJ3yzX8TPeoc3H3nteNiA0V2tWFse0rVChE")</f>
        <v>1mh3Z5PifhJ3yzX8TPeoc3H3nteNiA0V2tWFse0rVChE</v>
      </c>
      <c r="D30" s="11" t="str">
        <f>IFERROR(__xludf.DUMMYFUNCTION("""COMPUTED_VALUE"""),"")</f>
        <v/>
      </c>
      <c r="E30" s="11" t="str">
        <f>IFERROR(__xludf.DUMMYFUNCTION("""COMPUTED_VALUE"""),"")</f>
        <v/>
      </c>
      <c r="F30" s="11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1" t="str">
        <f>IFERROR(__xludf.DUMMYFUNCTION("""COMPUTED_VALUE"""),"PricingInput")</f>
        <v>PricingInput</v>
      </c>
      <c r="B31" s="11" t="str">
        <f>IFERROR(__xludf.DUMMYFUNCTION("""COMPUTED_VALUE"""),"UpdateSharesOutstanding")</f>
        <v>UpdateSharesOutstanding</v>
      </c>
      <c r="C31" s="11" t="str">
        <f>IFERROR(__xludf.DUMMYFUNCTION("""COMPUTED_VALUE"""),"1vmZ6v1OyZ8SSi8bqqjK3ap3KtM_yPA_SEcIQgYiRInY")</f>
        <v>1vmZ6v1OyZ8SSi8bqqjK3ap3KtM_yPA_SEcIQgYiRInY</v>
      </c>
      <c r="D31" s="11" t="str">
        <f>IFERROR(__xludf.DUMMYFUNCTION("""COMPUTED_VALUE"""),"")</f>
        <v/>
      </c>
      <c r="E31" s="11" t="str">
        <f>IFERROR(__xludf.DUMMYFUNCTION("""COMPUTED_VALUE"""),"")</f>
        <v/>
      </c>
      <c r="F31" s="1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1" t="str">
        <f>IFERROR(__xludf.DUMMYFUNCTION("""COMPUTED_VALUE"""),"SymbolLookup")</f>
        <v>SymbolLookup</v>
      </c>
      <c r="B32" s="11" t="str">
        <f>IFERROR(__xludf.DUMMYFUNCTION("""COMPUTED_VALUE"""),"VerifySymbolLookUp")</f>
        <v>VerifySymbolLookUp</v>
      </c>
      <c r="C32" s="11" t="str">
        <f>IFERROR(__xludf.DUMMYFUNCTION("""COMPUTED_VALUE"""),"1OiI1Pi_JAFOFi8ByMaD3_qqEXSv6yQMo_u6aGTozbl8")</f>
        <v>1OiI1Pi_JAFOFi8ByMaD3_qqEXSv6yQMo_u6aGTozbl8</v>
      </c>
      <c r="D32" s="11" t="str">
        <f>IFERROR(__xludf.DUMMYFUNCTION("""COMPUTED_VALUE"""),"")</f>
        <v/>
      </c>
      <c r="E32" s="11" t="str">
        <f>IFERROR(__xludf.DUMMYFUNCTION("""COMPUTED_VALUE"""),"")</f>
        <v/>
      </c>
      <c r="F32" s="11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1" t="str">
        <f>IFERROR(__xludf.DUMMYFUNCTION("""COMPUTED_VALUE"""),"SymbolLookup")</f>
        <v>SymbolLookup</v>
      </c>
      <c r="B33" s="11" t="str">
        <f>IFERROR(__xludf.DUMMYFUNCTION("""COMPUTED_VALUE"""),"SymbolLookupFromTT")</f>
        <v>SymbolLookupFromTT</v>
      </c>
      <c r="C33" s="11" t="str">
        <f>IFERROR(__xludf.DUMMYFUNCTION("""COMPUTED_VALUE"""),"1ubfvE9sHq5KpJ9NazeH96CrVMJqAuol5Ya9GPjxWrgI")</f>
        <v>1ubfvE9sHq5KpJ9NazeH96CrVMJqAuol5Ya9GPjxWrgI</v>
      </c>
      <c r="D33" s="11" t="str">
        <f>IFERROR(__xludf.DUMMYFUNCTION("""COMPUTED_VALUE"""),"")</f>
        <v/>
      </c>
      <c r="E33" s="11" t="str">
        <f>IFERROR(__xludf.DUMMYFUNCTION("""COMPUTED_VALUE"""),"")</f>
        <v/>
      </c>
      <c r="F33" s="11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5"/>
      <c r="B2" s="5"/>
      <c r="C2" s="5"/>
    </row>
    <row r="3" ht="15.75" customHeight="1">
      <c r="A3" s="6" t="s">
        <v>2</v>
      </c>
      <c r="B3" s="7" t="s">
        <v>3</v>
      </c>
      <c r="C3" s="5"/>
    </row>
    <row r="4" ht="15.75" customHeight="1">
      <c r="A4" s="8" t="s">
        <v>4</v>
      </c>
      <c r="B4" s="7" t="s">
        <v>5</v>
      </c>
      <c r="C4" s="5"/>
    </row>
    <row r="5" ht="15.75" customHeight="1">
      <c r="A5" s="9"/>
      <c r="B5" s="5"/>
      <c r="C5" s="5"/>
    </row>
    <row r="6" ht="15.75" customHeight="1">
      <c r="A6" s="9"/>
      <c r="B6" s="5"/>
      <c r="C6" s="5"/>
    </row>
    <row r="7" ht="15.75" customHeight="1">
      <c r="A7" s="9"/>
      <c r="B7" s="5"/>
      <c r="C7" s="5"/>
    </row>
    <row r="8" ht="15.75" customHeight="1">
      <c r="A8" s="9"/>
      <c r="B8" s="5"/>
      <c r="C8" s="5"/>
    </row>
    <row r="9" ht="15.75" customHeight="1">
      <c r="A9" s="9"/>
      <c r="B9" s="5"/>
      <c r="C9" s="5"/>
    </row>
    <row r="10" ht="15.75" customHeight="1">
      <c r="A10" s="9"/>
      <c r="B10" s="5"/>
      <c r="C10" s="5"/>
    </row>
    <row r="11" ht="15.75" customHeight="1">
      <c r="A11" s="9"/>
      <c r="B11" s="5"/>
      <c r="C11" s="5"/>
    </row>
    <row r="12" ht="15.75" customHeight="1">
      <c r="A12" s="9"/>
      <c r="B12" s="5"/>
      <c r="C12" s="5"/>
    </row>
    <row r="13" ht="15.75" customHeight="1">
      <c r="A13" s="9"/>
      <c r="B13" s="5"/>
      <c r="C13" s="5"/>
    </row>
    <row r="14" ht="15.75" customHeight="1">
      <c r="A14" s="9"/>
      <c r="B14" s="5"/>
      <c r="C14" s="5"/>
    </row>
    <row r="15" ht="15.75" customHeight="1">
      <c r="A15" s="9"/>
      <c r="B15" s="5"/>
      <c r="C15" s="5"/>
    </row>
    <row r="16" ht="15.75" customHeight="1">
      <c r="A16" s="9"/>
      <c r="B16" s="5"/>
      <c r="C16" s="5"/>
    </row>
    <row r="17" ht="15.75" customHeight="1">
      <c r="A17" s="9"/>
      <c r="B17" s="5"/>
      <c r="C17" s="5"/>
    </row>
    <row r="18" ht="15.75" customHeight="1">
      <c r="A18" s="9"/>
      <c r="B18" s="5"/>
      <c r="C18" s="5"/>
    </row>
    <row r="19" ht="15.75" customHeight="1">
      <c r="A19" s="9"/>
      <c r="B19" s="5"/>
      <c r="C19" s="5"/>
    </row>
    <row r="20" ht="15.75" customHeight="1">
      <c r="A20" s="9"/>
      <c r="B20" s="5"/>
      <c r="C20" s="5"/>
    </row>
    <row r="21" ht="15.75" customHeight="1">
      <c r="A21" s="9"/>
      <c r="B21" s="5"/>
      <c r="C21" s="5"/>
    </row>
    <row r="22" ht="15.75" customHeight="1">
      <c r="A22" s="9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6</v>
      </c>
      <c r="B1" s="3"/>
      <c r="C1" s="3"/>
      <c r="D1" s="3"/>
      <c r="E1" s="3"/>
      <c r="F1" s="4"/>
    </row>
    <row r="2">
      <c r="A2" s="11"/>
      <c r="B2" s="11"/>
      <c r="C2" s="11"/>
      <c r="D2" s="11"/>
      <c r="E2" s="11"/>
      <c r="F2" s="11"/>
    </row>
    <row r="3">
      <c r="A3" s="8" t="s">
        <v>7</v>
      </c>
      <c r="B3" s="12" t="s">
        <v>8</v>
      </c>
      <c r="C3" s="12" t="s">
        <v>10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13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29" t="s">
        <v>16</v>
      </c>
      <c r="D6" s="30">
        <v>43871.0</v>
      </c>
      <c r="E6" s="30">
        <v>43875.0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7"/>
      <c r="D7" s="30"/>
      <c r="E7" s="30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17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0">
        <v>43871.0</v>
      </c>
      <c r="C6" s="32" t="s">
        <v>18</v>
      </c>
      <c r="D6" s="33"/>
      <c r="E6" s="32" t="s">
        <v>19</v>
      </c>
      <c r="F6" s="32" t="s">
        <v>20</v>
      </c>
      <c r="G6" s="32"/>
      <c r="H6" s="34">
        <v>500000.0</v>
      </c>
      <c r="I6" s="32"/>
      <c r="J6" s="34">
        <v>1.0</v>
      </c>
      <c r="K6" s="32" t="s">
        <v>21</v>
      </c>
      <c r="L6" s="32"/>
      <c r="M6" s="32"/>
      <c r="N6" s="32"/>
      <c r="O6" s="32"/>
      <c r="P6" s="32"/>
      <c r="Q6" s="32"/>
      <c r="R6" s="34">
        <v>500000.0</v>
      </c>
      <c r="S6" s="35"/>
    </row>
    <row r="7" ht="15.75" customHeight="1">
      <c r="A7" s="5"/>
      <c r="B7" s="36">
        <v>43871.0</v>
      </c>
      <c r="C7" s="37" t="s">
        <v>18</v>
      </c>
      <c r="D7" s="37"/>
      <c r="E7" s="37" t="s">
        <v>19</v>
      </c>
      <c r="F7" s="38" t="s">
        <v>22</v>
      </c>
      <c r="G7" s="37"/>
      <c r="H7" s="37"/>
      <c r="I7" s="39">
        <v>500000.0</v>
      </c>
      <c r="J7" s="39">
        <v>1.0</v>
      </c>
      <c r="K7" s="37" t="s">
        <v>21</v>
      </c>
      <c r="L7" s="37"/>
      <c r="M7" s="37"/>
      <c r="N7" s="37"/>
      <c r="O7" s="37"/>
      <c r="P7" s="37"/>
      <c r="Q7" s="37"/>
      <c r="R7" s="37"/>
      <c r="S7" s="39">
        <v>500000.0</v>
      </c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17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0">
        <v>43871.0</v>
      </c>
      <c r="C6" s="29" t="s">
        <v>23</v>
      </c>
      <c r="D6" s="33"/>
      <c r="E6" s="32" t="s">
        <v>19</v>
      </c>
      <c r="F6" s="32" t="s">
        <v>20</v>
      </c>
      <c r="G6" s="32"/>
      <c r="H6" s="34">
        <v>500000.0</v>
      </c>
      <c r="I6" s="32"/>
      <c r="J6" s="34">
        <v>1.0</v>
      </c>
      <c r="K6" s="32" t="s">
        <v>21</v>
      </c>
      <c r="L6" s="32"/>
      <c r="M6" s="32"/>
      <c r="N6" s="32"/>
      <c r="O6" s="32"/>
      <c r="P6" s="32"/>
      <c r="Q6" s="32"/>
      <c r="R6" s="34">
        <v>500000.0</v>
      </c>
      <c r="S6" s="35"/>
    </row>
    <row r="7" ht="15.75" customHeight="1">
      <c r="A7" s="5"/>
      <c r="B7" s="36">
        <v>43871.0</v>
      </c>
      <c r="C7" s="40" t="s">
        <v>23</v>
      </c>
      <c r="D7" s="37"/>
      <c r="E7" s="37" t="s">
        <v>19</v>
      </c>
      <c r="F7" s="38" t="s">
        <v>22</v>
      </c>
      <c r="G7" s="37"/>
      <c r="H7" s="37"/>
      <c r="I7" s="39">
        <v>500000.0</v>
      </c>
      <c r="J7" s="39">
        <v>1.0</v>
      </c>
      <c r="K7" s="37" t="s">
        <v>21</v>
      </c>
      <c r="L7" s="37"/>
      <c r="M7" s="37"/>
      <c r="N7" s="37"/>
      <c r="O7" s="37"/>
      <c r="P7" s="37"/>
      <c r="Q7" s="37"/>
      <c r="R7" s="37"/>
      <c r="S7" s="39">
        <v>500000.0</v>
      </c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6" width="14.43"/>
    <col customWidth="1" min="37" max="37" width="33.0"/>
    <col customWidth="1" min="38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24</v>
      </c>
      <c r="D3" s="6" t="s">
        <v>8</v>
      </c>
      <c r="E3" s="21" t="s">
        <v>25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3" t="s">
        <v>26</v>
      </c>
      <c r="C6" s="33" t="s">
        <v>27</v>
      </c>
      <c r="D6" s="41">
        <v>105.0</v>
      </c>
      <c r="E6" s="34">
        <v>105.0</v>
      </c>
      <c r="F6" s="32"/>
      <c r="G6" s="32" t="s">
        <v>28</v>
      </c>
      <c r="H6" s="32"/>
      <c r="I6" s="32"/>
      <c r="J6" s="34">
        <v>300.0</v>
      </c>
      <c r="K6" s="32"/>
      <c r="L6" s="32"/>
      <c r="M6" s="32"/>
      <c r="N6" s="30">
        <v>43871.0</v>
      </c>
      <c r="O6" s="32"/>
      <c r="P6" s="32"/>
      <c r="Q6" s="32"/>
      <c r="R6" s="32" t="s">
        <v>29</v>
      </c>
      <c r="S6" s="42">
        <v>2.5</v>
      </c>
      <c r="T6" s="37" t="s">
        <v>29</v>
      </c>
      <c r="U6" s="43">
        <v>7.5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1" t="s">
        <v>16</v>
      </c>
      <c r="AL6" s="31" t="s">
        <v>30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31</v>
      </c>
      <c r="D3" s="6" t="s">
        <v>8</v>
      </c>
      <c r="E3" s="21" t="s">
        <v>32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0">
        <v>43871.0</v>
      </c>
      <c r="C6" s="30">
        <v>43871.0</v>
      </c>
      <c r="D6" s="7"/>
      <c r="E6" s="44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31</v>
      </c>
      <c r="D3" s="6" t="s">
        <v>8</v>
      </c>
      <c r="E3" s="21" t="s">
        <v>33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3" t="s">
        <v>26</v>
      </c>
      <c r="C6" s="34">
        <v>305.0</v>
      </c>
      <c r="D6" s="7"/>
      <c r="E6" s="44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34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32" t="s">
        <v>16</v>
      </c>
      <c r="D6" s="30">
        <v>43871.0</v>
      </c>
      <c r="E6" s="30">
        <v>43871.0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8.0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35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29" t="s">
        <v>16</v>
      </c>
      <c r="D6" s="30">
        <v>43871.0</v>
      </c>
      <c r="E6" s="45" t="b">
        <v>1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36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32" t="s">
        <v>16</v>
      </c>
      <c r="D6" s="30">
        <v>43871.0</v>
      </c>
      <c r="E6" s="30">
        <v>43871.0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24</v>
      </c>
      <c r="D3" s="6" t="s">
        <v>8</v>
      </c>
      <c r="E3" s="21" t="s">
        <v>25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3" t="s">
        <v>26</v>
      </c>
      <c r="C6" s="33" t="s">
        <v>27</v>
      </c>
      <c r="D6" s="41">
        <v>105.0</v>
      </c>
      <c r="E6" s="34">
        <v>105.0</v>
      </c>
      <c r="F6" s="32"/>
      <c r="G6" s="32" t="s">
        <v>28</v>
      </c>
      <c r="H6" s="32"/>
      <c r="I6" s="32"/>
      <c r="J6" s="34">
        <v>300.0</v>
      </c>
      <c r="K6" s="32"/>
      <c r="L6" s="32"/>
      <c r="M6" s="32"/>
      <c r="N6" s="46">
        <v>43872.0</v>
      </c>
      <c r="O6" s="32"/>
      <c r="P6" s="32"/>
      <c r="Q6" s="32"/>
      <c r="R6" s="32" t="s">
        <v>29</v>
      </c>
      <c r="S6" s="42">
        <v>2.5</v>
      </c>
      <c r="T6" s="37" t="s">
        <v>29</v>
      </c>
      <c r="U6" s="43">
        <v>7.5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1" t="s">
        <v>16</v>
      </c>
      <c r="AL6" s="31" t="s">
        <v>30</v>
      </c>
    </row>
    <row r="7">
      <c r="B7" s="31" t="s">
        <v>37</v>
      </c>
      <c r="C7" s="31" t="s">
        <v>27</v>
      </c>
      <c r="D7" s="31">
        <v>105.0</v>
      </c>
      <c r="E7" s="31">
        <v>105.0</v>
      </c>
      <c r="G7" s="31" t="s">
        <v>28</v>
      </c>
      <c r="J7" s="31">
        <v>1315.0</v>
      </c>
      <c r="N7" s="47">
        <v>43872.0</v>
      </c>
      <c r="R7" s="31" t="s">
        <v>29</v>
      </c>
      <c r="S7" s="31">
        <v>2.5</v>
      </c>
      <c r="T7" s="31" t="s">
        <v>29</v>
      </c>
      <c r="U7" s="31">
        <v>7.5</v>
      </c>
      <c r="AK7" s="31" t="s">
        <v>16</v>
      </c>
      <c r="AL7" s="31" t="s">
        <v>30</v>
      </c>
    </row>
    <row r="8">
      <c r="B8" s="31" t="s">
        <v>26</v>
      </c>
      <c r="C8" s="31" t="s">
        <v>38</v>
      </c>
      <c r="D8" s="31">
        <v>105.0</v>
      </c>
      <c r="E8" s="31">
        <v>105.0</v>
      </c>
      <c r="G8" s="31" t="s">
        <v>28</v>
      </c>
      <c r="J8" s="31">
        <v>300.0</v>
      </c>
      <c r="N8" s="47">
        <v>43872.0</v>
      </c>
      <c r="AK8" s="31" t="s">
        <v>16</v>
      </c>
      <c r="AL8" s="31" t="s">
        <v>30</v>
      </c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39</v>
      </c>
      <c r="D3" s="6" t="s">
        <v>8</v>
      </c>
      <c r="E3" s="21" t="s">
        <v>41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42</v>
      </c>
      <c r="C6" s="48">
        <v>43871.0</v>
      </c>
      <c r="D6" s="48">
        <v>43872.0</v>
      </c>
      <c r="E6" s="7" t="s">
        <v>16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39</v>
      </c>
      <c r="D3" s="6" t="s">
        <v>8</v>
      </c>
      <c r="E3" s="21" t="s">
        <v>40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49" t="b">
        <v>0</v>
      </c>
      <c r="C6" s="50" t="b">
        <v>0</v>
      </c>
      <c r="D6" s="51" t="s">
        <v>43</v>
      </c>
      <c r="E6" s="52" t="s">
        <v>44</v>
      </c>
      <c r="F6" s="52" t="s">
        <v>45</v>
      </c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31</v>
      </c>
      <c r="D3" s="6" t="s">
        <v>8</v>
      </c>
      <c r="E3" s="21" t="s">
        <v>32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48">
        <v>43872.0</v>
      </c>
      <c r="C6" s="48">
        <v>43872.0</v>
      </c>
      <c r="D6" s="7"/>
      <c r="E6" s="44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31</v>
      </c>
      <c r="D3" s="6" t="s">
        <v>8</v>
      </c>
      <c r="E3" s="21" t="s">
        <v>33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26</v>
      </c>
      <c r="C6" s="7">
        <v>310.0</v>
      </c>
      <c r="D6" s="7"/>
      <c r="E6" s="44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7" t="s">
        <v>37</v>
      </c>
      <c r="C7" s="7">
        <v>1320.0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3.14"/>
    <col customWidth="1" min="4" max="4" width="14.43"/>
    <col customWidth="1" min="5" max="5" width="29.43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34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 t="s">
        <v>16</v>
      </c>
      <c r="D6" s="48">
        <v>43871.0</v>
      </c>
      <c r="E6" s="48">
        <v>43872.0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5.86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35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 t="s">
        <v>16</v>
      </c>
      <c r="D6" s="48">
        <v>43872.0</v>
      </c>
      <c r="E6" s="7" t="b">
        <v>1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7.14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36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 t="s">
        <v>16</v>
      </c>
      <c r="D6" s="48">
        <v>43871.0</v>
      </c>
      <c r="E6" s="48">
        <v>43872.0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46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65">
        <v>43871.0</v>
      </c>
      <c r="C6" s="58" t="s">
        <v>23</v>
      </c>
      <c r="D6" s="58" t="s">
        <v>26</v>
      </c>
      <c r="E6" s="58" t="s">
        <v>19</v>
      </c>
      <c r="F6" s="58" t="s">
        <v>53</v>
      </c>
      <c r="G6" s="57">
        <v>252.88</v>
      </c>
      <c r="H6" s="56">
        <v>0.0</v>
      </c>
      <c r="I6" s="54"/>
      <c r="J6" s="54"/>
      <c r="K6" s="58"/>
      <c r="L6" s="57">
        <v>1.0</v>
      </c>
      <c r="M6" s="58" t="s">
        <v>21</v>
      </c>
      <c r="N6" s="58" t="s">
        <v>48</v>
      </c>
      <c r="O6" s="58" t="s">
        <v>54</v>
      </c>
      <c r="P6" s="58" t="s">
        <v>19</v>
      </c>
      <c r="Q6" s="58" t="s">
        <v>55</v>
      </c>
      <c r="R6" s="57">
        <v>252.88</v>
      </c>
      <c r="S6" s="57">
        <v>0.0</v>
      </c>
    </row>
    <row r="7" ht="15.75" customHeight="1">
      <c r="A7" s="5"/>
      <c r="B7" s="65">
        <v>43871.0</v>
      </c>
      <c r="C7" s="58" t="s">
        <v>23</v>
      </c>
      <c r="D7" s="58" t="s">
        <v>26</v>
      </c>
      <c r="E7" s="58" t="s">
        <v>19</v>
      </c>
      <c r="F7" s="64" t="s">
        <v>56</v>
      </c>
      <c r="G7" s="61">
        <v>0.0</v>
      </c>
      <c r="H7" s="63">
        <v>252.88</v>
      </c>
      <c r="I7" s="60"/>
      <c r="J7" s="60"/>
      <c r="K7" s="64"/>
      <c r="L7" s="63">
        <v>1.0</v>
      </c>
      <c r="M7" s="64" t="s">
        <v>21</v>
      </c>
      <c r="N7" s="64" t="s">
        <v>51</v>
      </c>
      <c r="O7" s="64" t="s">
        <v>54</v>
      </c>
      <c r="P7" s="64" t="s">
        <v>19</v>
      </c>
      <c r="Q7" s="58" t="s">
        <v>55</v>
      </c>
      <c r="R7" s="63">
        <v>0.0</v>
      </c>
      <c r="S7" s="63">
        <v>252.88</v>
      </c>
    </row>
    <row r="8" ht="15.75" customHeight="1">
      <c r="A8" s="5"/>
      <c r="B8" s="65">
        <v>43872.0</v>
      </c>
      <c r="C8" s="58" t="s">
        <v>23</v>
      </c>
      <c r="D8" s="58" t="s">
        <v>26</v>
      </c>
      <c r="E8" s="58" t="s">
        <v>19</v>
      </c>
      <c r="F8" s="58" t="s">
        <v>57</v>
      </c>
      <c r="G8" s="57">
        <v>19.2</v>
      </c>
      <c r="H8" s="56">
        <v>0.0</v>
      </c>
      <c r="I8" s="54"/>
      <c r="J8" s="54"/>
      <c r="K8" s="58"/>
      <c r="L8" s="57">
        <v>1.0</v>
      </c>
      <c r="M8" s="58" t="s">
        <v>21</v>
      </c>
      <c r="N8" s="58" t="s">
        <v>48</v>
      </c>
      <c r="O8" s="58" t="s">
        <v>54</v>
      </c>
      <c r="P8" s="58" t="s">
        <v>19</v>
      </c>
      <c r="Q8" s="58" t="s">
        <v>58</v>
      </c>
      <c r="R8" s="57">
        <v>19.2</v>
      </c>
      <c r="S8" s="57">
        <v>0.0</v>
      </c>
    </row>
    <row r="9" ht="15.75" customHeight="1">
      <c r="A9" s="5"/>
      <c r="B9" s="65">
        <v>43872.0</v>
      </c>
      <c r="C9" s="58" t="s">
        <v>23</v>
      </c>
      <c r="D9" s="58" t="s">
        <v>26</v>
      </c>
      <c r="E9" s="58" t="s">
        <v>19</v>
      </c>
      <c r="F9" s="64" t="s">
        <v>50</v>
      </c>
      <c r="G9" s="61">
        <v>0.0</v>
      </c>
      <c r="H9" s="63">
        <v>19.2</v>
      </c>
      <c r="I9" s="60"/>
      <c r="J9" s="60"/>
      <c r="K9" s="64"/>
      <c r="L9" s="63">
        <v>1.0</v>
      </c>
      <c r="M9" s="64" t="s">
        <v>21</v>
      </c>
      <c r="N9" s="64" t="s">
        <v>51</v>
      </c>
      <c r="O9" s="64" t="s">
        <v>54</v>
      </c>
      <c r="P9" s="64" t="s">
        <v>19</v>
      </c>
      <c r="Q9" s="58" t="s">
        <v>58</v>
      </c>
      <c r="R9" s="63">
        <v>0.0</v>
      </c>
      <c r="S9" s="63">
        <v>19.2</v>
      </c>
    </row>
    <row r="10" ht="15.75" customHeight="1">
      <c r="A10" s="5"/>
      <c r="B10" s="65">
        <v>43872.0</v>
      </c>
      <c r="C10" s="58" t="s">
        <v>23</v>
      </c>
      <c r="D10" s="58" t="s">
        <v>26</v>
      </c>
      <c r="E10" s="58" t="s">
        <v>19</v>
      </c>
      <c r="F10" s="58" t="s">
        <v>53</v>
      </c>
      <c r="G10" s="57">
        <v>517.88</v>
      </c>
      <c r="H10" s="56">
        <v>0.0</v>
      </c>
      <c r="I10" s="54"/>
      <c r="J10" s="54"/>
      <c r="K10" s="58"/>
      <c r="L10" s="57">
        <v>1.0</v>
      </c>
      <c r="M10" s="58" t="s">
        <v>21</v>
      </c>
      <c r="N10" s="58" t="s">
        <v>48</v>
      </c>
      <c r="O10" s="58" t="s">
        <v>54</v>
      </c>
      <c r="P10" s="58" t="s">
        <v>19</v>
      </c>
      <c r="Q10" s="58" t="s">
        <v>55</v>
      </c>
      <c r="R10" s="57">
        <v>517.88</v>
      </c>
      <c r="S10" s="57">
        <v>0.0</v>
      </c>
    </row>
    <row r="11" ht="15.75" customHeight="1">
      <c r="A11" s="5"/>
      <c r="B11" s="65">
        <v>43872.0</v>
      </c>
      <c r="C11" s="58" t="s">
        <v>23</v>
      </c>
      <c r="D11" s="58" t="s">
        <v>26</v>
      </c>
      <c r="E11" s="58" t="s">
        <v>19</v>
      </c>
      <c r="F11" s="64" t="s">
        <v>56</v>
      </c>
      <c r="G11" s="61">
        <v>0.0</v>
      </c>
      <c r="H11" s="63">
        <v>517.88</v>
      </c>
      <c r="I11" s="60"/>
      <c r="J11" s="60"/>
      <c r="K11" s="64"/>
      <c r="L11" s="63">
        <v>1.0</v>
      </c>
      <c r="M11" s="64" t="s">
        <v>21</v>
      </c>
      <c r="N11" s="64" t="s">
        <v>51</v>
      </c>
      <c r="O11" s="64" t="s">
        <v>54</v>
      </c>
      <c r="P11" s="64" t="s">
        <v>19</v>
      </c>
      <c r="Q11" s="58" t="s">
        <v>55</v>
      </c>
      <c r="R11" s="63">
        <v>0.0</v>
      </c>
      <c r="S11" s="63">
        <v>517.88</v>
      </c>
    </row>
    <row r="12" ht="15.75" customHeight="1">
      <c r="A12" s="5"/>
      <c r="B12" s="65">
        <v>43872.0</v>
      </c>
      <c r="C12" s="58" t="s">
        <v>23</v>
      </c>
      <c r="D12" s="58" t="s">
        <v>37</v>
      </c>
      <c r="E12" s="58" t="s">
        <v>19</v>
      </c>
      <c r="F12" s="58" t="s">
        <v>53</v>
      </c>
      <c r="G12" s="57">
        <v>252.85</v>
      </c>
      <c r="H12" s="56">
        <v>0.0</v>
      </c>
      <c r="I12" s="54"/>
      <c r="J12" s="54"/>
      <c r="K12" s="58"/>
      <c r="L12" s="57">
        <v>1.0</v>
      </c>
      <c r="M12" s="58" t="s">
        <v>21</v>
      </c>
      <c r="N12" s="58" t="s">
        <v>48</v>
      </c>
      <c r="O12" s="58" t="s">
        <v>54</v>
      </c>
      <c r="P12" s="58" t="s">
        <v>19</v>
      </c>
      <c r="Q12" s="58" t="s">
        <v>55</v>
      </c>
      <c r="R12" s="57">
        <v>252.85</v>
      </c>
      <c r="S12" s="57">
        <v>0.0</v>
      </c>
    </row>
    <row r="13" ht="15.75" customHeight="1">
      <c r="A13" s="5"/>
      <c r="B13" s="65">
        <v>43872.0</v>
      </c>
      <c r="C13" s="58" t="s">
        <v>23</v>
      </c>
      <c r="D13" s="58" t="s">
        <v>37</v>
      </c>
      <c r="E13" s="58" t="s">
        <v>19</v>
      </c>
      <c r="F13" s="64" t="s">
        <v>56</v>
      </c>
      <c r="G13" s="61">
        <v>0.0</v>
      </c>
      <c r="H13" s="63">
        <v>252.85</v>
      </c>
      <c r="I13" s="60"/>
      <c r="J13" s="60"/>
      <c r="K13" s="64"/>
      <c r="L13" s="63">
        <v>1.0</v>
      </c>
      <c r="M13" s="64" t="s">
        <v>21</v>
      </c>
      <c r="N13" s="64" t="s">
        <v>51</v>
      </c>
      <c r="O13" s="64" t="s">
        <v>54</v>
      </c>
      <c r="P13" s="64" t="s">
        <v>19</v>
      </c>
      <c r="Q13" s="58" t="s">
        <v>55</v>
      </c>
      <c r="R13" s="63">
        <v>0.0</v>
      </c>
      <c r="S13" s="63">
        <v>252.85</v>
      </c>
    </row>
    <row r="14" ht="15.75" customHeight="1">
      <c r="A14" s="5"/>
      <c r="B14" s="65">
        <v>43872.0</v>
      </c>
      <c r="C14" s="58" t="s">
        <v>23</v>
      </c>
      <c r="D14" s="58" t="s">
        <v>26</v>
      </c>
      <c r="E14" s="58" t="s">
        <v>19</v>
      </c>
      <c r="F14" s="58" t="s">
        <v>56</v>
      </c>
      <c r="G14" s="57">
        <v>252.88</v>
      </c>
      <c r="H14" s="56">
        <v>0.0</v>
      </c>
      <c r="I14" s="54"/>
      <c r="J14" s="54"/>
      <c r="K14" s="58"/>
      <c r="L14" s="57">
        <v>1.0</v>
      </c>
      <c r="M14" s="58" t="s">
        <v>21</v>
      </c>
      <c r="N14" s="58" t="s">
        <v>48</v>
      </c>
      <c r="O14" s="58" t="s">
        <v>54</v>
      </c>
      <c r="P14" s="58" t="s">
        <v>19</v>
      </c>
      <c r="Q14" s="58" t="s">
        <v>59</v>
      </c>
      <c r="R14" s="57">
        <v>252.88</v>
      </c>
      <c r="S14" s="57">
        <v>0.0</v>
      </c>
    </row>
    <row r="15" ht="15.75" customHeight="1">
      <c r="A15" s="5"/>
      <c r="B15" s="65">
        <v>43872.0</v>
      </c>
      <c r="C15" s="58" t="s">
        <v>23</v>
      </c>
      <c r="D15" s="58" t="s">
        <v>26</v>
      </c>
      <c r="E15" s="58" t="s">
        <v>19</v>
      </c>
      <c r="F15" s="64" t="s">
        <v>53</v>
      </c>
      <c r="G15" s="61">
        <v>0.0</v>
      </c>
      <c r="H15" s="63">
        <v>252.88</v>
      </c>
      <c r="I15" s="60"/>
      <c r="J15" s="60"/>
      <c r="K15" s="64"/>
      <c r="L15" s="63">
        <v>1.0</v>
      </c>
      <c r="M15" s="64" t="s">
        <v>21</v>
      </c>
      <c r="N15" s="64" t="s">
        <v>51</v>
      </c>
      <c r="O15" s="64" t="s">
        <v>54</v>
      </c>
      <c r="P15" s="64" t="s">
        <v>19</v>
      </c>
      <c r="Q15" s="58" t="s">
        <v>59</v>
      </c>
      <c r="R15" s="63">
        <v>0.0</v>
      </c>
      <c r="S15" s="63">
        <v>252.88</v>
      </c>
    </row>
    <row r="16" ht="15.75" customHeight="1">
      <c r="A16" s="5"/>
      <c r="B16" s="65">
        <v>43871.0</v>
      </c>
      <c r="C16" s="58" t="s">
        <v>18</v>
      </c>
      <c r="D16" s="58" t="s">
        <v>26</v>
      </c>
      <c r="E16" s="58" t="s">
        <v>19</v>
      </c>
      <c r="F16" s="58" t="s">
        <v>53</v>
      </c>
      <c r="G16" s="57">
        <v>248.11</v>
      </c>
      <c r="H16" s="56">
        <v>0.0</v>
      </c>
      <c r="I16" s="54"/>
      <c r="J16" s="54"/>
      <c r="K16" s="58"/>
      <c r="L16" s="57">
        <v>1.0</v>
      </c>
      <c r="M16" s="58" t="s">
        <v>21</v>
      </c>
      <c r="N16" s="58" t="s">
        <v>48</v>
      </c>
      <c r="O16" s="58" t="s">
        <v>54</v>
      </c>
      <c r="P16" s="58" t="s">
        <v>19</v>
      </c>
      <c r="Q16" s="58" t="s">
        <v>55</v>
      </c>
      <c r="R16" s="57">
        <v>248.11</v>
      </c>
      <c r="S16" s="57">
        <v>0.0</v>
      </c>
    </row>
    <row r="17" ht="15.75" customHeight="1">
      <c r="A17" s="5"/>
      <c r="B17" s="65">
        <v>43871.0</v>
      </c>
      <c r="C17" s="58" t="s">
        <v>18</v>
      </c>
      <c r="D17" s="58" t="s">
        <v>26</v>
      </c>
      <c r="E17" s="58" t="s">
        <v>19</v>
      </c>
      <c r="F17" s="64" t="s">
        <v>56</v>
      </c>
      <c r="G17" s="61">
        <v>0.0</v>
      </c>
      <c r="H17" s="63">
        <v>248.11</v>
      </c>
      <c r="I17" s="60"/>
      <c r="J17" s="60"/>
      <c r="K17" s="64"/>
      <c r="L17" s="63">
        <v>1.0</v>
      </c>
      <c r="M17" s="64" t="s">
        <v>21</v>
      </c>
      <c r="N17" s="64" t="s">
        <v>51</v>
      </c>
      <c r="O17" s="64" t="s">
        <v>54</v>
      </c>
      <c r="P17" s="64" t="s">
        <v>19</v>
      </c>
      <c r="Q17" s="58" t="s">
        <v>55</v>
      </c>
      <c r="R17" s="63">
        <v>0.0</v>
      </c>
      <c r="S17" s="63">
        <v>248.11</v>
      </c>
    </row>
    <row r="18" ht="15.75" customHeight="1">
      <c r="A18" s="5"/>
      <c r="B18" s="65">
        <v>43872.0</v>
      </c>
      <c r="C18" s="58" t="s">
        <v>18</v>
      </c>
      <c r="D18" s="58" t="s">
        <v>26</v>
      </c>
      <c r="E18" s="58" t="s">
        <v>19</v>
      </c>
      <c r="F18" s="58" t="s">
        <v>57</v>
      </c>
      <c r="G18" s="57">
        <v>18.83</v>
      </c>
      <c r="H18" s="56">
        <v>0.0</v>
      </c>
      <c r="I18" s="54"/>
      <c r="J18" s="54"/>
      <c r="K18" s="58"/>
      <c r="L18" s="57">
        <v>1.0</v>
      </c>
      <c r="M18" s="58" t="s">
        <v>21</v>
      </c>
      <c r="N18" s="58" t="s">
        <v>48</v>
      </c>
      <c r="O18" s="58" t="s">
        <v>54</v>
      </c>
      <c r="P18" s="58" t="s">
        <v>19</v>
      </c>
      <c r="Q18" s="58" t="s">
        <v>58</v>
      </c>
      <c r="R18" s="57">
        <v>18.83</v>
      </c>
      <c r="S18" s="57">
        <v>0.0</v>
      </c>
    </row>
    <row r="19" ht="15.75" customHeight="1">
      <c r="A19" s="5"/>
      <c r="B19" s="65">
        <v>43872.0</v>
      </c>
      <c r="C19" s="58" t="s">
        <v>18</v>
      </c>
      <c r="D19" s="58" t="s">
        <v>26</v>
      </c>
      <c r="E19" s="58" t="s">
        <v>19</v>
      </c>
      <c r="F19" s="64" t="s">
        <v>50</v>
      </c>
      <c r="G19" s="61">
        <v>0.0</v>
      </c>
      <c r="H19" s="63">
        <v>18.83</v>
      </c>
      <c r="I19" s="60"/>
      <c r="J19" s="60"/>
      <c r="K19" s="64"/>
      <c r="L19" s="63">
        <v>1.0</v>
      </c>
      <c r="M19" s="64" t="s">
        <v>21</v>
      </c>
      <c r="N19" s="64" t="s">
        <v>51</v>
      </c>
      <c r="O19" s="64" t="s">
        <v>54</v>
      </c>
      <c r="P19" s="64" t="s">
        <v>19</v>
      </c>
      <c r="Q19" s="58" t="s">
        <v>58</v>
      </c>
      <c r="R19" s="63">
        <v>0.0</v>
      </c>
      <c r="S19" s="63">
        <v>18.83</v>
      </c>
    </row>
    <row r="20" ht="15.75" customHeight="1">
      <c r="A20" s="5"/>
      <c r="B20" s="65">
        <v>43872.0</v>
      </c>
      <c r="C20" s="58" t="s">
        <v>18</v>
      </c>
      <c r="D20" s="58" t="s">
        <v>26</v>
      </c>
      <c r="E20" s="58" t="s">
        <v>19</v>
      </c>
      <c r="F20" s="58" t="s">
        <v>53</v>
      </c>
      <c r="G20" s="57">
        <v>508.11</v>
      </c>
      <c r="H20" s="56">
        <v>0.0</v>
      </c>
      <c r="I20" s="54"/>
      <c r="J20" s="54"/>
      <c r="K20" s="58"/>
      <c r="L20" s="57">
        <v>1.0</v>
      </c>
      <c r="M20" s="58" t="s">
        <v>21</v>
      </c>
      <c r="N20" s="58" t="s">
        <v>48</v>
      </c>
      <c r="O20" s="58" t="s">
        <v>54</v>
      </c>
      <c r="P20" s="58" t="s">
        <v>19</v>
      </c>
      <c r="Q20" s="58" t="s">
        <v>55</v>
      </c>
      <c r="R20" s="57">
        <v>508.11</v>
      </c>
      <c r="S20" s="57">
        <v>0.0</v>
      </c>
    </row>
    <row r="21" ht="15.75" customHeight="1">
      <c r="A21" s="5"/>
      <c r="B21" s="65">
        <v>43872.0</v>
      </c>
      <c r="C21" s="58" t="s">
        <v>18</v>
      </c>
      <c r="D21" s="58" t="s">
        <v>26</v>
      </c>
      <c r="E21" s="58" t="s">
        <v>19</v>
      </c>
      <c r="F21" s="64" t="s">
        <v>56</v>
      </c>
      <c r="G21" s="61">
        <v>0.0</v>
      </c>
      <c r="H21" s="63">
        <v>508.11</v>
      </c>
      <c r="I21" s="60"/>
      <c r="J21" s="60"/>
      <c r="K21" s="64"/>
      <c r="L21" s="63">
        <v>1.0</v>
      </c>
      <c r="M21" s="64" t="s">
        <v>21</v>
      </c>
      <c r="N21" s="64" t="s">
        <v>51</v>
      </c>
      <c r="O21" s="64" t="s">
        <v>54</v>
      </c>
      <c r="P21" s="64" t="s">
        <v>19</v>
      </c>
      <c r="Q21" s="58" t="s">
        <v>55</v>
      </c>
      <c r="R21" s="63">
        <v>0.0</v>
      </c>
      <c r="S21" s="63">
        <v>508.11</v>
      </c>
    </row>
    <row r="22" ht="15.75" customHeight="1">
      <c r="A22" s="5"/>
      <c r="B22" s="65">
        <v>43872.0</v>
      </c>
      <c r="C22" s="58" t="s">
        <v>18</v>
      </c>
      <c r="D22" s="58" t="s">
        <v>37</v>
      </c>
      <c r="E22" s="58" t="s">
        <v>19</v>
      </c>
      <c r="F22" s="58" t="s">
        <v>53</v>
      </c>
      <c r="G22" s="57">
        <v>248.08</v>
      </c>
      <c r="H22" s="56">
        <v>0.0</v>
      </c>
      <c r="I22" s="54"/>
      <c r="J22" s="54"/>
      <c r="K22" s="58"/>
      <c r="L22" s="57">
        <v>1.0</v>
      </c>
      <c r="M22" s="58" t="s">
        <v>21</v>
      </c>
      <c r="N22" s="58" t="s">
        <v>48</v>
      </c>
      <c r="O22" s="58" t="s">
        <v>54</v>
      </c>
      <c r="P22" s="58" t="s">
        <v>19</v>
      </c>
      <c r="Q22" s="58" t="s">
        <v>55</v>
      </c>
      <c r="R22" s="57">
        <v>248.08</v>
      </c>
      <c r="S22" s="57">
        <v>0.0</v>
      </c>
    </row>
    <row r="23" ht="15.75" customHeight="1">
      <c r="A23" s="5"/>
      <c r="B23" s="65">
        <v>43872.0</v>
      </c>
      <c r="C23" s="58" t="s">
        <v>18</v>
      </c>
      <c r="D23" s="58" t="s">
        <v>37</v>
      </c>
      <c r="E23" s="58" t="s">
        <v>19</v>
      </c>
      <c r="F23" s="64" t="s">
        <v>56</v>
      </c>
      <c r="G23" s="61">
        <v>0.0</v>
      </c>
      <c r="H23" s="63">
        <v>248.08</v>
      </c>
      <c r="I23" s="60"/>
      <c r="J23" s="60"/>
      <c r="K23" s="64"/>
      <c r="L23" s="63">
        <v>1.0</v>
      </c>
      <c r="M23" s="64" t="s">
        <v>21</v>
      </c>
      <c r="N23" s="64" t="s">
        <v>51</v>
      </c>
      <c r="O23" s="64" t="s">
        <v>54</v>
      </c>
      <c r="P23" s="64" t="s">
        <v>19</v>
      </c>
      <c r="Q23" s="58" t="s">
        <v>55</v>
      </c>
      <c r="R23" s="63">
        <v>0.0</v>
      </c>
      <c r="S23" s="63">
        <v>248.08</v>
      </c>
    </row>
    <row r="24" ht="15.75" customHeight="1">
      <c r="A24" s="5"/>
      <c r="B24" s="65">
        <v>43872.0</v>
      </c>
      <c r="C24" s="58" t="s">
        <v>18</v>
      </c>
      <c r="D24" s="58" t="s">
        <v>26</v>
      </c>
      <c r="E24" s="58" t="s">
        <v>19</v>
      </c>
      <c r="F24" s="58" t="s">
        <v>56</v>
      </c>
      <c r="G24" s="57">
        <v>248.11</v>
      </c>
      <c r="H24" s="56">
        <v>0.0</v>
      </c>
      <c r="I24" s="54"/>
      <c r="J24" s="54"/>
      <c r="K24" s="58"/>
      <c r="L24" s="57">
        <v>1.0</v>
      </c>
      <c r="M24" s="58" t="s">
        <v>21</v>
      </c>
      <c r="N24" s="58" t="s">
        <v>48</v>
      </c>
      <c r="O24" s="58" t="s">
        <v>54</v>
      </c>
      <c r="P24" s="58" t="s">
        <v>19</v>
      </c>
      <c r="Q24" s="58" t="s">
        <v>59</v>
      </c>
      <c r="R24" s="57">
        <v>248.11</v>
      </c>
      <c r="S24" s="57">
        <v>0.0</v>
      </c>
    </row>
    <row r="25" ht="15.75" customHeight="1">
      <c r="A25" s="5"/>
      <c r="B25" s="65">
        <v>43872.0</v>
      </c>
      <c r="C25" s="58" t="s">
        <v>18</v>
      </c>
      <c r="D25" s="58" t="s">
        <v>26</v>
      </c>
      <c r="E25" s="58" t="s">
        <v>19</v>
      </c>
      <c r="F25" s="64" t="s">
        <v>53</v>
      </c>
      <c r="G25" s="61">
        <v>0.0</v>
      </c>
      <c r="H25" s="63">
        <v>248.11</v>
      </c>
      <c r="I25" s="60"/>
      <c r="J25" s="60"/>
      <c r="K25" s="64"/>
      <c r="L25" s="63">
        <v>1.0</v>
      </c>
      <c r="M25" s="64" t="s">
        <v>21</v>
      </c>
      <c r="N25" s="64" t="s">
        <v>51</v>
      </c>
      <c r="O25" s="64" t="s">
        <v>54</v>
      </c>
      <c r="P25" s="64" t="s">
        <v>19</v>
      </c>
      <c r="Q25" s="58" t="s">
        <v>59</v>
      </c>
      <c r="R25" s="63">
        <v>0.0</v>
      </c>
      <c r="S25" s="63">
        <v>248.11</v>
      </c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3.0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47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53">
        <v>43871.0</v>
      </c>
      <c r="C6" s="54"/>
      <c r="D6" s="54"/>
      <c r="E6" s="55">
        <v>15611.89</v>
      </c>
      <c r="F6" s="56">
        <v>0.0</v>
      </c>
      <c r="G6" s="57">
        <v>1.0</v>
      </c>
      <c r="H6" s="58" t="s">
        <v>21</v>
      </c>
      <c r="I6" s="58" t="s">
        <v>48</v>
      </c>
      <c r="J6" s="58" t="s">
        <v>49</v>
      </c>
      <c r="K6" s="58" t="s">
        <v>19</v>
      </c>
      <c r="L6" s="58" t="s">
        <v>19</v>
      </c>
      <c r="M6" s="58" t="s">
        <v>26</v>
      </c>
      <c r="N6" s="59"/>
      <c r="O6" s="55">
        <v>15611.89</v>
      </c>
      <c r="P6" s="57">
        <v>0.0</v>
      </c>
      <c r="Q6" s="58" t="s">
        <v>50</v>
      </c>
      <c r="R6" s="58" t="s">
        <v>18</v>
      </c>
    </row>
    <row r="7" ht="15.75" customHeight="1">
      <c r="A7" s="5"/>
      <c r="B7" s="53">
        <v>43871.0</v>
      </c>
      <c r="C7" s="60"/>
      <c r="D7" s="60"/>
      <c r="E7" s="61">
        <v>0.0</v>
      </c>
      <c r="F7" s="62">
        <v>15611.89</v>
      </c>
      <c r="G7" s="63">
        <v>1.0</v>
      </c>
      <c r="H7" s="64" t="s">
        <v>21</v>
      </c>
      <c r="I7" s="64" t="s">
        <v>51</v>
      </c>
      <c r="J7" s="64" t="s">
        <v>49</v>
      </c>
      <c r="K7" s="58" t="s">
        <v>19</v>
      </c>
      <c r="L7" s="64" t="s">
        <v>19</v>
      </c>
      <c r="M7" s="58" t="s">
        <v>26</v>
      </c>
      <c r="N7" s="59"/>
      <c r="O7" s="63">
        <v>0.0</v>
      </c>
      <c r="P7" s="62">
        <v>15611.89</v>
      </c>
      <c r="Q7" s="64" t="s">
        <v>20</v>
      </c>
      <c r="R7" s="58" t="s">
        <v>18</v>
      </c>
    </row>
    <row r="8" ht="15.75" customHeight="1">
      <c r="A8" s="5"/>
      <c r="B8" s="53">
        <v>43871.0</v>
      </c>
      <c r="C8" s="54"/>
      <c r="D8" s="54"/>
      <c r="E8" s="55">
        <v>15912.12</v>
      </c>
      <c r="F8" s="56">
        <v>0.0</v>
      </c>
      <c r="G8" s="57">
        <v>1.0</v>
      </c>
      <c r="H8" s="58" t="s">
        <v>21</v>
      </c>
      <c r="I8" s="58" t="s">
        <v>48</v>
      </c>
      <c r="J8" s="58" t="s">
        <v>49</v>
      </c>
      <c r="K8" s="58" t="s">
        <v>19</v>
      </c>
      <c r="L8" s="58" t="s">
        <v>19</v>
      </c>
      <c r="M8" s="58" t="s">
        <v>26</v>
      </c>
      <c r="N8" s="59"/>
      <c r="O8" s="55">
        <v>15912.12</v>
      </c>
      <c r="P8" s="57">
        <v>0.0</v>
      </c>
      <c r="Q8" s="58" t="s">
        <v>50</v>
      </c>
      <c r="R8" s="58" t="s">
        <v>23</v>
      </c>
    </row>
    <row r="9" ht="15.75" customHeight="1">
      <c r="A9" s="5"/>
      <c r="B9" s="53">
        <v>43871.0</v>
      </c>
      <c r="C9" s="60"/>
      <c r="D9" s="60"/>
      <c r="E9" s="61">
        <v>0.0</v>
      </c>
      <c r="F9" s="62">
        <v>15912.12</v>
      </c>
      <c r="G9" s="63">
        <v>1.0</v>
      </c>
      <c r="H9" s="64" t="s">
        <v>21</v>
      </c>
      <c r="I9" s="64" t="s">
        <v>51</v>
      </c>
      <c r="J9" s="64" t="s">
        <v>49</v>
      </c>
      <c r="K9" s="58" t="s">
        <v>19</v>
      </c>
      <c r="L9" s="64" t="s">
        <v>19</v>
      </c>
      <c r="M9" s="58" t="s">
        <v>26</v>
      </c>
      <c r="N9" s="59"/>
      <c r="O9" s="63">
        <v>0.0</v>
      </c>
      <c r="P9" s="62">
        <v>15912.12</v>
      </c>
      <c r="Q9" s="64" t="s">
        <v>20</v>
      </c>
      <c r="R9" s="58" t="s">
        <v>23</v>
      </c>
    </row>
    <row r="10" ht="15.75" customHeight="1">
      <c r="A10" s="5"/>
      <c r="B10" s="53">
        <v>43872.0</v>
      </c>
      <c r="C10" s="54"/>
      <c r="D10" s="54"/>
      <c r="E10" s="55">
        <v>15611.89</v>
      </c>
      <c r="F10" s="56">
        <v>0.0</v>
      </c>
      <c r="G10" s="57">
        <v>1.0</v>
      </c>
      <c r="H10" s="58" t="s">
        <v>21</v>
      </c>
      <c r="I10" s="58" t="s">
        <v>48</v>
      </c>
      <c r="J10" s="58" t="s">
        <v>49</v>
      </c>
      <c r="K10" s="58" t="s">
        <v>19</v>
      </c>
      <c r="L10" s="58" t="s">
        <v>19</v>
      </c>
      <c r="M10" s="58" t="s">
        <v>26</v>
      </c>
      <c r="N10" s="59"/>
      <c r="O10" s="55">
        <v>15611.89</v>
      </c>
      <c r="P10" s="57">
        <v>0.0</v>
      </c>
      <c r="Q10" s="58" t="s">
        <v>50</v>
      </c>
      <c r="R10" s="58" t="s">
        <v>18</v>
      </c>
    </row>
    <row r="11" ht="15.75" customHeight="1">
      <c r="A11" s="5"/>
      <c r="B11" s="53">
        <v>43872.0</v>
      </c>
      <c r="C11" s="60"/>
      <c r="D11" s="60"/>
      <c r="E11" s="61">
        <v>0.0</v>
      </c>
      <c r="F11" s="62">
        <v>15611.89</v>
      </c>
      <c r="G11" s="63">
        <v>1.0</v>
      </c>
      <c r="H11" s="64" t="s">
        <v>21</v>
      </c>
      <c r="I11" s="64" t="s">
        <v>51</v>
      </c>
      <c r="J11" s="64" t="s">
        <v>49</v>
      </c>
      <c r="K11" s="58" t="s">
        <v>19</v>
      </c>
      <c r="L11" s="64" t="s">
        <v>19</v>
      </c>
      <c r="M11" s="58" t="s">
        <v>26</v>
      </c>
      <c r="N11" s="59"/>
      <c r="O11" s="63">
        <v>0.0</v>
      </c>
      <c r="P11" s="62">
        <v>15611.89</v>
      </c>
      <c r="Q11" s="64" t="s">
        <v>20</v>
      </c>
      <c r="R11" s="58" t="s">
        <v>18</v>
      </c>
    </row>
    <row r="12" ht="15.75" customHeight="1">
      <c r="A12" s="5"/>
      <c r="B12" s="53">
        <v>43872.0</v>
      </c>
      <c r="C12" s="54"/>
      <c r="D12" s="54"/>
      <c r="E12" s="55">
        <v>15912.12</v>
      </c>
      <c r="F12" s="56">
        <v>0.0</v>
      </c>
      <c r="G12" s="57">
        <v>1.0</v>
      </c>
      <c r="H12" s="58" t="s">
        <v>21</v>
      </c>
      <c r="I12" s="58" t="s">
        <v>48</v>
      </c>
      <c r="J12" s="58" t="s">
        <v>49</v>
      </c>
      <c r="K12" s="58" t="s">
        <v>19</v>
      </c>
      <c r="L12" s="58" t="s">
        <v>19</v>
      </c>
      <c r="M12" s="58" t="s">
        <v>26</v>
      </c>
      <c r="N12" s="59"/>
      <c r="O12" s="55">
        <v>15912.12</v>
      </c>
      <c r="P12" s="57">
        <v>0.0</v>
      </c>
      <c r="Q12" s="58" t="s">
        <v>50</v>
      </c>
      <c r="R12" s="58" t="s">
        <v>23</v>
      </c>
    </row>
    <row r="13" ht="15.75" customHeight="1">
      <c r="A13" s="5"/>
      <c r="B13" s="53">
        <v>43872.0</v>
      </c>
      <c r="C13" s="60"/>
      <c r="D13" s="60"/>
      <c r="E13" s="61">
        <v>0.0</v>
      </c>
      <c r="F13" s="62">
        <v>15912.12</v>
      </c>
      <c r="G13" s="63">
        <v>1.0</v>
      </c>
      <c r="H13" s="64" t="s">
        <v>21</v>
      </c>
      <c r="I13" s="64" t="s">
        <v>51</v>
      </c>
      <c r="J13" s="64" t="s">
        <v>49</v>
      </c>
      <c r="K13" s="58" t="s">
        <v>19</v>
      </c>
      <c r="L13" s="64" t="s">
        <v>19</v>
      </c>
      <c r="M13" s="58" t="s">
        <v>26</v>
      </c>
      <c r="N13" s="59"/>
      <c r="O13" s="63">
        <v>0.0</v>
      </c>
      <c r="P13" s="62">
        <v>15912.12</v>
      </c>
      <c r="Q13" s="64" t="s">
        <v>20</v>
      </c>
      <c r="R13" s="58" t="s">
        <v>23</v>
      </c>
    </row>
    <row r="14" ht="15.75" customHeight="1">
      <c r="A14" s="5"/>
      <c r="B14" s="53">
        <v>43872.0</v>
      </c>
      <c r="C14" s="54"/>
      <c r="D14" s="54"/>
      <c r="E14" s="55">
        <v>68391.92</v>
      </c>
      <c r="F14" s="56">
        <v>0.0</v>
      </c>
      <c r="G14" s="57">
        <v>1.0</v>
      </c>
      <c r="H14" s="58" t="s">
        <v>21</v>
      </c>
      <c r="I14" s="58" t="s">
        <v>48</v>
      </c>
      <c r="J14" s="58" t="s">
        <v>49</v>
      </c>
      <c r="K14" s="58" t="s">
        <v>19</v>
      </c>
      <c r="L14" s="58" t="s">
        <v>19</v>
      </c>
      <c r="M14" s="58" t="s">
        <v>37</v>
      </c>
      <c r="N14" s="59"/>
      <c r="O14" s="55">
        <v>68391.92</v>
      </c>
      <c r="P14" s="57">
        <v>0.0</v>
      </c>
      <c r="Q14" s="58" t="s">
        <v>50</v>
      </c>
      <c r="R14" s="58" t="s">
        <v>18</v>
      </c>
    </row>
    <row r="15" ht="15.75" customHeight="1">
      <c r="A15" s="5"/>
      <c r="B15" s="53">
        <v>43872.0</v>
      </c>
      <c r="C15" s="60"/>
      <c r="D15" s="60"/>
      <c r="E15" s="61">
        <v>0.0</v>
      </c>
      <c r="F15" s="62">
        <v>68391.92</v>
      </c>
      <c r="G15" s="63">
        <v>1.0</v>
      </c>
      <c r="H15" s="64" t="s">
        <v>21</v>
      </c>
      <c r="I15" s="64" t="s">
        <v>51</v>
      </c>
      <c r="J15" s="64" t="s">
        <v>49</v>
      </c>
      <c r="K15" s="58" t="s">
        <v>19</v>
      </c>
      <c r="L15" s="64" t="s">
        <v>19</v>
      </c>
      <c r="M15" s="58" t="s">
        <v>37</v>
      </c>
      <c r="N15" s="59"/>
      <c r="O15" s="63">
        <v>0.0</v>
      </c>
      <c r="P15" s="62">
        <v>68391.92</v>
      </c>
      <c r="Q15" s="64" t="s">
        <v>20</v>
      </c>
      <c r="R15" s="58" t="s">
        <v>18</v>
      </c>
    </row>
    <row r="16" ht="15.75" customHeight="1">
      <c r="A16" s="5"/>
      <c r="B16" s="53">
        <v>43872.0</v>
      </c>
      <c r="C16" s="54"/>
      <c r="D16" s="54"/>
      <c r="E16" s="55">
        <v>69707.15</v>
      </c>
      <c r="F16" s="56">
        <v>0.0</v>
      </c>
      <c r="G16" s="57">
        <v>1.0</v>
      </c>
      <c r="H16" s="58" t="s">
        <v>21</v>
      </c>
      <c r="I16" s="58" t="s">
        <v>48</v>
      </c>
      <c r="J16" s="58" t="s">
        <v>49</v>
      </c>
      <c r="K16" s="58" t="s">
        <v>19</v>
      </c>
      <c r="L16" s="58" t="s">
        <v>19</v>
      </c>
      <c r="M16" s="58" t="s">
        <v>37</v>
      </c>
      <c r="N16" s="59"/>
      <c r="O16" s="55">
        <v>69707.15</v>
      </c>
      <c r="P16" s="57">
        <v>0.0</v>
      </c>
      <c r="Q16" s="58" t="s">
        <v>50</v>
      </c>
      <c r="R16" s="58" t="s">
        <v>23</v>
      </c>
    </row>
    <row r="17" ht="15.75" customHeight="1">
      <c r="A17" s="5"/>
      <c r="B17" s="53">
        <v>43872.0</v>
      </c>
      <c r="C17" s="60"/>
      <c r="D17" s="60"/>
      <c r="E17" s="61">
        <v>0.0</v>
      </c>
      <c r="F17" s="62">
        <v>69707.15</v>
      </c>
      <c r="G17" s="63">
        <v>1.0</v>
      </c>
      <c r="H17" s="64" t="s">
        <v>21</v>
      </c>
      <c r="I17" s="64" t="s">
        <v>51</v>
      </c>
      <c r="J17" s="64" t="s">
        <v>49</v>
      </c>
      <c r="K17" s="58" t="s">
        <v>19</v>
      </c>
      <c r="L17" s="64" t="s">
        <v>19</v>
      </c>
      <c r="M17" s="58" t="s">
        <v>37</v>
      </c>
      <c r="N17" s="59"/>
      <c r="O17" s="63">
        <v>0.0</v>
      </c>
      <c r="P17" s="62">
        <v>69707.15</v>
      </c>
      <c r="Q17" s="64" t="s">
        <v>20</v>
      </c>
      <c r="R17" s="58" t="s">
        <v>23</v>
      </c>
    </row>
    <row r="18" ht="15.75" customHeight="1">
      <c r="A18" s="5"/>
      <c r="B18" s="53">
        <v>43872.0</v>
      </c>
      <c r="C18" s="54"/>
      <c r="D18" s="54"/>
      <c r="E18" s="55">
        <v>7.08</v>
      </c>
      <c r="F18" s="56">
        <v>0.0</v>
      </c>
      <c r="G18" s="57">
        <v>1.0</v>
      </c>
      <c r="H18" s="58" t="s">
        <v>21</v>
      </c>
      <c r="I18" s="58" t="s">
        <v>48</v>
      </c>
      <c r="J18" s="58" t="s">
        <v>49</v>
      </c>
      <c r="K18" s="58" t="s">
        <v>19</v>
      </c>
      <c r="L18" s="58" t="s">
        <v>19</v>
      </c>
      <c r="M18" s="58" t="s">
        <v>26</v>
      </c>
      <c r="N18" s="59"/>
      <c r="O18" s="55">
        <v>7.08</v>
      </c>
      <c r="P18" s="57">
        <v>0.0</v>
      </c>
      <c r="Q18" s="58" t="s">
        <v>50</v>
      </c>
      <c r="R18" s="58" t="s">
        <v>23</v>
      </c>
    </row>
    <row r="19" ht="15.75" customHeight="1">
      <c r="A19" s="5"/>
      <c r="B19" s="53">
        <v>43872.0</v>
      </c>
      <c r="C19" s="60"/>
      <c r="D19" s="60"/>
      <c r="E19" s="61">
        <v>0.0</v>
      </c>
      <c r="F19" s="62">
        <v>7.08</v>
      </c>
      <c r="G19" s="63">
        <v>1.0</v>
      </c>
      <c r="H19" s="64" t="s">
        <v>21</v>
      </c>
      <c r="I19" s="64" t="s">
        <v>51</v>
      </c>
      <c r="J19" s="64" t="s">
        <v>49</v>
      </c>
      <c r="K19" s="58" t="s">
        <v>19</v>
      </c>
      <c r="L19" s="64" t="s">
        <v>19</v>
      </c>
      <c r="M19" s="58" t="s">
        <v>26</v>
      </c>
      <c r="N19" s="59"/>
      <c r="O19" s="63">
        <v>0.0</v>
      </c>
      <c r="P19" s="62">
        <v>7.08</v>
      </c>
      <c r="Q19" s="64" t="s">
        <v>20</v>
      </c>
      <c r="R19" s="58" t="s">
        <v>23</v>
      </c>
    </row>
    <row r="20" ht="15.75" customHeight="1">
      <c r="A20" s="5"/>
      <c r="B20" s="53">
        <v>43872.0</v>
      </c>
      <c r="C20" s="54"/>
      <c r="D20" s="54"/>
      <c r="E20" s="57">
        <v>15900.0</v>
      </c>
      <c r="F20" s="56">
        <v>0.0</v>
      </c>
      <c r="G20" s="57">
        <v>1.0</v>
      </c>
      <c r="H20" s="58" t="s">
        <v>21</v>
      </c>
      <c r="I20" s="58" t="s">
        <v>48</v>
      </c>
      <c r="J20" s="58" t="s">
        <v>49</v>
      </c>
      <c r="K20" s="58" t="s">
        <v>19</v>
      </c>
      <c r="L20" s="58" t="s">
        <v>19</v>
      </c>
      <c r="M20" s="58" t="s">
        <v>26</v>
      </c>
      <c r="N20" s="59"/>
      <c r="O20" s="57">
        <v>15900.0</v>
      </c>
      <c r="P20" s="57">
        <v>0.0</v>
      </c>
      <c r="Q20" s="58" t="s">
        <v>20</v>
      </c>
      <c r="R20" s="58" t="s">
        <v>23</v>
      </c>
    </row>
    <row r="21" ht="15.75" customHeight="1">
      <c r="A21" s="5"/>
      <c r="B21" s="53">
        <v>43872.0</v>
      </c>
      <c r="C21" s="60"/>
      <c r="D21" s="60"/>
      <c r="E21" s="61">
        <v>0.0</v>
      </c>
      <c r="F21" s="63">
        <v>15900.0</v>
      </c>
      <c r="G21" s="63">
        <v>1.0</v>
      </c>
      <c r="H21" s="64" t="s">
        <v>21</v>
      </c>
      <c r="I21" s="64" t="s">
        <v>51</v>
      </c>
      <c r="J21" s="64" t="s">
        <v>49</v>
      </c>
      <c r="K21" s="58" t="s">
        <v>19</v>
      </c>
      <c r="L21" s="64" t="s">
        <v>19</v>
      </c>
      <c r="M21" s="58" t="s">
        <v>26</v>
      </c>
      <c r="N21" s="59"/>
      <c r="O21" s="63">
        <v>0.0</v>
      </c>
      <c r="P21" s="63">
        <v>15900.0</v>
      </c>
      <c r="Q21" s="64" t="s">
        <v>50</v>
      </c>
      <c r="R21" s="58" t="s">
        <v>23</v>
      </c>
    </row>
    <row r="22" ht="15.75" customHeight="1">
      <c r="A22" s="5"/>
      <c r="B22" s="53">
        <v>43872.0</v>
      </c>
      <c r="C22" s="54"/>
      <c r="D22" s="54"/>
      <c r="E22" s="55">
        <v>6.94</v>
      </c>
      <c r="F22" s="56">
        <v>0.0</v>
      </c>
      <c r="G22" s="57">
        <v>1.0</v>
      </c>
      <c r="H22" s="58" t="s">
        <v>21</v>
      </c>
      <c r="I22" s="58" t="s">
        <v>48</v>
      </c>
      <c r="J22" s="58" t="s">
        <v>49</v>
      </c>
      <c r="K22" s="58" t="s">
        <v>19</v>
      </c>
      <c r="L22" s="58" t="s">
        <v>19</v>
      </c>
      <c r="M22" s="58" t="s">
        <v>26</v>
      </c>
      <c r="N22" s="59"/>
      <c r="O22" s="55">
        <v>6.94</v>
      </c>
      <c r="P22" s="57">
        <v>0.0</v>
      </c>
      <c r="Q22" s="58" t="s">
        <v>50</v>
      </c>
      <c r="R22" s="58" t="s">
        <v>18</v>
      </c>
    </row>
    <row r="23" ht="15.75" customHeight="1">
      <c r="A23" s="5"/>
      <c r="B23" s="53">
        <v>43872.0</v>
      </c>
      <c r="C23" s="60"/>
      <c r="D23" s="60"/>
      <c r="E23" s="61">
        <v>0.0</v>
      </c>
      <c r="F23" s="62">
        <v>6.94</v>
      </c>
      <c r="G23" s="63">
        <v>1.0</v>
      </c>
      <c r="H23" s="64" t="s">
        <v>21</v>
      </c>
      <c r="I23" s="64" t="s">
        <v>51</v>
      </c>
      <c r="J23" s="64" t="s">
        <v>49</v>
      </c>
      <c r="K23" s="58" t="s">
        <v>19</v>
      </c>
      <c r="L23" s="64" t="s">
        <v>19</v>
      </c>
      <c r="M23" s="58" t="s">
        <v>26</v>
      </c>
      <c r="N23" s="59"/>
      <c r="O23" s="63">
        <v>0.0</v>
      </c>
      <c r="P23" s="62">
        <v>6.94</v>
      </c>
      <c r="Q23" s="64" t="s">
        <v>20</v>
      </c>
      <c r="R23" s="58" t="s">
        <v>18</v>
      </c>
    </row>
    <row r="24" ht="15.75" customHeight="1">
      <c r="A24" s="5"/>
      <c r="B24" s="53">
        <v>43872.0</v>
      </c>
      <c r="C24" s="54"/>
      <c r="D24" s="54"/>
      <c r="E24" s="57">
        <v>15600.0</v>
      </c>
      <c r="F24" s="56">
        <v>0.0</v>
      </c>
      <c r="G24" s="57">
        <v>1.0</v>
      </c>
      <c r="H24" s="58" t="s">
        <v>21</v>
      </c>
      <c r="I24" s="58" t="s">
        <v>48</v>
      </c>
      <c r="J24" s="58" t="s">
        <v>49</v>
      </c>
      <c r="K24" s="58" t="s">
        <v>19</v>
      </c>
      <c r="L24" s="58" t="s">
        <v>19</v>
      </c>
      <c r="M24" s="58" t="s">
        <v>26</v>
      </c>
      <c r="N24" s="59"/>
      <c r="O24" s="57">
        <v>15600.0</v>
      </c>
      <c r="P24" s="57">
        <v>0.0</v>
      </c>
      <c r="Q24" s="58" t="s">
        <v>20</v>
      </c>
      <c r="R24" s="58" t="s">
        <v>18</v>
      </c>
    </row>
    <row r="25" ht="15.75" customHeight="1">
      <c r="A25" s="5"/>
      <c r="B25" s="53">
        <v>43872.0</v>
      </c>
      <c r="C25" s="60"/>
      <c r="D25" s="60"/>
      <c r="E25" s="61">
        <v>0.0</v>
      </c>
      <c r="F25" s="63">
        <v>15600.0</v>
      </c>
      <c r="G25" s="63">
        <v>1.0</v>
      </c>
      <c r="H25" s="64" t="s">
        <v>21</v>
      </c>
      <c r="I25" s="64" t="s">
        <v>51</v>
      </c>
      <c r="J25" s="64" t="s">
        <v>49</v>
      </c>
      <c r="K25" s="58" t="s">
        <v>19</v>
      </c>
      <c r="L25" s="64" t="s">
        <v>19</v>
      </c>
      <c r="M25" s="58" t="s">
        <v>26</v>
      </c>
      <c r="N25" s="59"/>
      <c r="O25" s="63">
        <v>0.0</v>
      </c>
      <c r="P25" s="63">
        <v>15600.0</v>
      </c>
      <c r="Q25" s="64" t="s">
        <v>50</v>
      </c>
      <c r="R25" s="58" t="s">
        <v>18</v>
      </c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33.71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52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29" t="s">
        <v>16</v>
      </c>
      <c r="D6" s="30">
        <v>43871.0</v>
      </c>
      <c r="E6" s="30">
        <v>43872.0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33.43"/>
    <col customWidth="1" min="6" max="6" width="26.29"/>
    <col customWidth="1" min="7" max="8" width="14.43"/>
    <col customWidth="1" min="9" max="9" width="18.14"/>
    <col customWidth="1" min="10" max="11" width="17.43"/>
    <col customWidth="1" min="12" max="12" width="26.43"/>
    <col customWidth="1" min="13" max="29" width="14.43"/>
    <col customWidth="1" min="30" max="30" width="21.43"/>
    <col customWidth="1" min="31" max="32" width="14.43"/>
    <col customWidth="1" min="33" max="33" width="26.0"/>
    <col customWidth="1" min="34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61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66" t="s">
        <v>23</v>
      </c>
      <c r="C6" s="66" t="s">
        <v>54</v>
      </c>
      <c r="D6" s="66" t="s">
        <v>63</v>
      </c>
      <c r="E6" s="67">
        <v>252.88</v>
      </c>
      <c r="F6" s="67">
        <v>0.0</v>
      </c>
      <c r="G6" s="67">
        <v>0.0</v>
      </c>
      <c r="H6" s="66" t="s">
        <v>64</v>
      </c>
      <c r="I6" s="67">
        <v>0.0</v>
      </c>
      <c r="J6" s="67">
        <v>0.0</v>
      </c>
      <c r="K6" s="66" t="s">
        <v>19</v>
      </c>
      <c r="L6" s="66" t="s">
        <v>55</v>
      </c>
      <c r="M6" s="68"/>
      <c r="N6" s="66" t="s">
        <v>21</v>
      </c>
      <c r="O6" s="67">
        <v>1.0</v>
      </c>
      <c r="P6" s="69"/>
      <c r="Q6" s="68"/>
      <c r="R6" s="67">
        <v>0.0</v>
      </c>
      <c r="S6" s="67">
        <v>0.0</v>
      </c>
      <c r="T6" s="67">
        <v>0.0</v>
      </c>
      <c r="U6" s="67">
        <v>0.0</v>
      </c>
      <c r="V6" s="67">
        <v>0.0</v>
      </c>
      <c r="W6" s="67">
        <v>0.0</v>
      </c>
      <c r="X6" s="69"/>
      <c r="Y6" s="70"/>
      <c r="Z6" s="67">
        <v>0.0</v>
      </c>
      <c r="AA6" s="67">
        <v>0.0</v>
      </c>
      <c r="AB6" s="66" t="s">
        <v>26</v>
      </c>
      <c r="AC6" s="67">
        <v>0.0</v>
      </c>
      <c r="AD6" s="67">
        <v>0.0</v>
      </c>
      <c r="AE6" s="71">
        <v>43871.0</v>
      </c>
      <c r="AF6" s="67"/>
      <c r="AG6" s="72" t="s">
        <v>54</v>
      </c>
      <c r="AH6" s="66"/>
      <c r="AI6" s="69"/>
    </row>
    <row r="7" ht="15.75" customHeight="1">
      <c r="A7" s="5"/>
      <c r="B7" s="73" t="s">
        <v>18</v>
      </c>
      <c r="C7" s="73" t="s">
        <v>54</v>
      </c>
      <c r="D7" s="73" t="s">
        <v>63</v>
      </c>
      <c r="E7" s="74">
        <v>248.11</v>
      </c>
      <c r="F7" s="74">
        <v>0.0</v>
      </c>
      <c r="G7" s="74">
        <v>0.0</v>
      </c>
      <c r="H7" s="73" t="s">
        <v>64</v>
      </c>
      <c r="I7" s="74">
        <v>0.0</v>
      </c>
      <c r="J7" s="74">
        <v>0.0</v>
      </c>
      <c r="K7" s="73" t="s">
        <v>19</v>
      </c>
      <c r="L7" s="73" t="s">
        <v>55</v>
      </c>
      <c r="M7" s="75"/>
      <c r="N7" s="73" t="s">
        <v>21</v>
      </c>
      <c r="O7" s="74">
        <v>1.0</v>
      </c>
      <c r="P7" s="76"/>
      <c r="Q7" s="75"/>
      <c r="R7" s="74">
        <v>0.0</v>
      </c>
      <c r="S7" s="74">
        <v>0.0</v>
      </c>
      <c r="T7" s="74">
        <v>0.0</v>
      </c>
      <c r="U7" s="74">
        <v>0.0</v>
      </c>
      <c r="V7" s="74">
        <v>0.0</v>
      </c>
      <c r="W7" s="74">
        <v>0.0</v>
      </c>
      <c r="X7" s="76"/>
      <c r="Y7" s="77"/>
      <c r="Z7" s="74">
        <v>0.0</v>
      </c>
      <c r="AA7" s="74">
        <v>0.0</v>
      </c>
      <c r="AB7" s="73" t="s">
        <v>26</v>
      </c>
      <c r="AC7" s="74">
        <v>0.0</v>
      </c>
      <c r="AD7" s="74">
        <v>0.0</v>
      </c>
      <c r="AE7" s="78">
        <v>43871.0</v>
      </c>
      <c r="AF7" s="74"/>
      <c r="AG7" s="79" t="s">
        <v>54</v>
      </c>
      <c r="AH7" s="73"/>
      <c r="AI7" s="76"/>
    </row>
    <row r="8" ht="15.75" customHeight="1">
      <c r="A8" s="5"/>
      <c r="B8" s="66" t="s">
        <v>18</v>
      </c>
      <c r="C8" s="66" t="s">
        <v>66</v>
      </c>
      <c r="D8" s="66" t="s">
        <v>67</v>
      </c>
      <c r="E8" s="67">
        <v>500000.0</v>
      </c>
      <c r="F8" s="67">
        <v>0.0</v>
      </c>
      <c r="G8" s="67">
        <v>0.0</v>
      </c>
      <c r="H8" s="66" t="s">
        <v>64</v>
      </c>
      <c r="I8" s="67">
        <v>0.0</v>
      </c>
      <c r="J8" s="67">
        <v>0.0</v>
      </c>
      <c r="K8" s="66" t="s">
        <v>19</v>
      </c>
      <c r="L8" s="69"/>
      <c r="M8" s="68"/>
      <c r="N8" s="66" t="s">
        <v>21</v>
      </c>
      <c r="O8" s="67">
        <v>1.0</v>
      </c>
      <c r="P8" s="69"/>
      <c r="Q8" s="68"/>
      <c r="R8" s="67">
        <v>0.0</v>
      </c>
      <c r="S8" s="67">
        <v>0.0</v>
      </c>
      <c r="T8" s="67">
        <v>0.0</v>
      </c>
      <c r="U8" s="67">
        <v>0.0</v>
      </c>
      <c r="V8" s="67">
        <v>0.0</v>
      </c>
      <c r="W8" s="67">
        <v>0.0</v>
      </c>
      <c r="X8" s="69"/>
      <c r="Y8" s="71"/>
      <c r="Z8" s="67">
        <v>0.0</v>
      </c>
      <c r="AA8" s="67">
        <v>0.0</v>
      </c>
      <c r="AB8" s="69"/>
      <c r="AC8" s="67">
        <v>0.0</v>
      </c>
      <c r="AD8" s="67">
        <v>0.0</v>
      </c>
      <c r="AE8" s="71">
        <v>43871.0</v>
      </c>
      <c r="AF8" s="67"/>
      <c r="AG8" s="72" t="s">
        <v>68</v>
      </c>
      <c r="AH8" s="66"/>
      <c r="AI8" s="69"/>
    </row>
    <row r="9" ht="15.75" customHeight="1">
      <c r="A9" s="5"/>
      <c r="B9" s="73" t="s">
        <v>23</v>
      </c>
      <c r="C9" s="73" t="s">
        <v>66</v>
      </c>
      <c r="D9" s="73" t="s">
        <v>67</v>
      </c>
      <c r="E9" s="74">
        <v>500000.0</v>
      </c>
      <c r="F9" s="74">
        <v>0.0</v>
      </c>
      <c r="G9" s="74">
        <v>0.0</v>
      </c>
      <c r="H9" s="73" t="s">
        <v>64</v>
      </c>
      <c r="I9" s="74">
        <v>0.0</v>
      </c>
      <c r="J9" s="74">
        <v>0.0</v>
      </c>
      <c r="K9" s="73" t="s">
        <v>19</v>
      </c>
      <c r="L9" s="76"/>
      <c r="M9" s="75"/>
      <c r="N9" s="73" t="s">
        <v>21</v>
      </c>
      <c r="O9" s="74">
        <v>1.0</v>
      </c>
      <c r="P9" s="76"/>
      <c r="Q9" s="75"/>
      <c r="R9" s="74">
        <v>0.0</v>
      </c>
      <c r="S9" s="74">
        <v>0.0</v>
      </c>
      <c r="T9" s="74">
        <v>0.0</v>
      </c>
      <c r="U9" s="74">
        <v>0.0</v>
      </c>
      <c r="V9" s="74">
        <v>0.0</v>
      </c>
      <c r="W9" s="74">
        <v>0.0</v>
      </c>
      <c r="X9" s="76"/>
      <c r="Y9" s="78"/>
      <c r="Z9" s="74">
        <v>0.0</v>
      </c>
      <c r="AA9" s="74">
        <v>0.0</v>
      </c>
      <c r="AB9" s="76"/>
      <c r="AC9" s="74">
        <v>0.0</v>
      </c>
      <c r="AD9" s="74">
        <v>0.0</v>
      </c>
      <c r="AE9" s="78">
        <v>43871.0</v>
      </c>
      <c r="AF9" s="74"/>
      <c r="AG9" s="79" t="s">
        <v>68</v>
      </c>
      <c r="AH9" s="73"/>
      <c r="AI9" s="76"/>
    </row>
    <row r="10" ht="15.75" customHeight="1">
      <c r="A10" s="5"/>
      <c r="B10" s="66" t="s">
        <v>18</v>
      </c>
      <c r="C10" s="66" t="s">
        <v>49</v>
      </c>
      <c r="D10" s="66" t="s">
        <v>69</v>
      </c>
      <c r="E10" s="80">
        <v>-15611.89</v>
      </c>
      <c r="F10" s="80">
        <v>1.980952380952</v>
      </c>
      <c r="G10" s="80">
        <v>2.47619047619</v>
      </c>
      <c r="H10" s="66" t="s">
        <v>64</v>
      </c>
      <c r="I10" s="67">
        <v>0.0</v>
      </c>
      <c r="J10" s="80">
        <v>1.238095238095</v>
      </c>
      <c r="K10" s="66" t="s">
        <v>19</v>
      </c>
      <c r="L10" s="69"/>
      <c r="M10" s="68"/>
      <c r="N10" s="66" t="s">
        <v>21</v>
      </c>
      <c r="O10" s="67">
        <v>1.0</v>
      </c>
      <c r="P10" s="69"/>
      <c r="Q10" s="68"/>
      <c r="R10" s="67">
        <v>0.0</v>
      </c>
      <c r="S10" s="67">
        <v>0.0</v>
      </c>
      <c r="T10" s="67">
        <v>0.0</v>
      </c>
      <c r="U10" s="67">
        <v>0.0</v>
      </c>
      <c r="V10" s="67">
        <v>52.0</v>
      </c>
      <c r="W10" s="67">
        <v>0.0</v>
      </c>
      <c r="X10" s="72" t="s">
        <v>19</v>
      </c>
      <c r="Y10" s="68"/>
      <c r="Z10" s="80">
        <v>3.714285714285</v>
      </c>
      <c r="AA10" s="80">
        <v>0.008716190476</v>
      </c>
      <c r="AB10" s="66" t="s">
        <v>26</v>
      </c>
      <c r="AC10" s="80">
        <v>1.485714285714</v>
      </c>
      <c r="AD10" s="80">
        <v>11.894430476188</v>
      </c>
      <c r="AE10" s="81">
        <v>43871.0</v>
      </c>
      <c r="AF10" s="67"/>
      <c r="AG10" s="72" t="s">
        <v>49</v>
      </c>
      <c r="AH10" s="69"/>
      <c r="AI10" s="69"/>
    </row>
    <row r="11" ht="15.75" customHeight="1">
      <c r="A11" s="5"/>
      <c r="B11" s="73" t="s">
        <v>23</v>
      </c>
      <c r="C11" s="73" t="s">
        <v>49</v>
      </c>
      <c r="D11" s="73" t="s">
        <v>69</v>
      </c>
      <c r="E11" s="82">
        <v>-15912.12</v>
      </c>
      <c r="F11" s="82">
        <v>2.019047619047</v>
      </c>
      <c r="G11" s="82">
        <v>2.523809523809</v>
      </c>
      <c r="H11" s="73" t="s">
        <v>64</v>
      </c>
      <c r="I11" s="74">
        <v>0.0</v>
      </c>
      <c r="J11" s="82">
        <v>1.261904761905</v>
      </c>
      <c r="K11" s="73" t="s">
        <v>19</v>
      </c>
      <c r="L11" s="76"/>
      <c r="M11" s="75"/>
      <c r="N11" s="73" t="s">
        <v>21</v>
      </c>
      <c r="O11" s="74">
        <v>1.0</v>
      </c>
      <c r="P11" s="76"/>
      <c r="Q11" s="75"/>
      <c r="R11" s="74">
        <v>0.0</v>
      </c>
      <c r="S11" s="74">
        <v>0.0</v>
      </c>
      <c r="T11" s="74">
        <v>0.0</v>
      </c>
      <c r="U11" s="74">
        <v>0.0</v>
      </c>
      <c r="V11" s="74">
        <v>53.0</v>
      </c>
      <c r="W11" s="74">
        <v>0.0</v>
      </c>
      <c r="X11" s="79" t="s">
        <v>19</v>
      </c>
      <c r="Y11" s="75"/>
      <c r="Z11" s="82">
        <v>3.785714285715</v>
      </c>
      <c r="AA11" s="82">
        <v>0.008883809523</v>
      </c>
      <c r="AB11" s="73" t="s">
        <v>26</v>
      </c>
      <c r="AC11" s="82">
        <v>1.514285714285</v>
      </c>
      <c r="AD11" s="82">
        <v>12.123169523807</v>
      </c>
      <c r="AE11" s="83">
        <v>43871.0</v>
      </c>
      <c r="AF11" s="74"/>
      <c r="AG11" s="79" t="s">
        <v>49</v>
      </c>
      <c r="AH11" s="76"/>
      <c r="AI11" s="76"/>
    </row>
    <row r="12" ht="15.75" customHeight="1">
      <c r="A12" s="5"/>
      <c r="B12" s="66" t="s">
        <v>18</v>
      </c>
      <c r="C12" s="66" t="s">
        <v>54</v>
      </c>
      <c r="D12" s="66" t="s">
        <v>70</v>
      </c>
      <c r="E12" s="67">
        <v>-18.83</v>
      </c>
      <c r="F12" s="67">
        <v>0.0</v>
      </c>
      <c r="G12" s="67">
        <v>0.0</v>
      </c>
      <c r="H12" s="66" t="s">
        <v>64</v>
      </c>
      <c r="I12" s="67">
        <v>0.0</v>
      </c>
      <c r="J12" s="67">
        <v>0.0</v>
      </c>
      <c r="K12" s="66" t="s">
        <v>19</v>
      </c>
      <c r="L12" s="66" t="s">
        <v>58</v>
      </c>
      <c r="M12" s="68"/>
      <c r="N12" s="66" t="s">
        <v>21</v>
      </c>
      <c r="O12" s="67">
        <v>1.0</v>
      </c>
      <c r="P12" s="69"/>
      <c r="Q12" s="68"/>
      <c r="R12" s="67">
        <v>0.0</v>
      </c>
      <c r="S12" s="67">
        <v>0.0</v>
      </c>
      <c r="T12" s="67">
        <v>0.0</v>
      </c>
      <c r="U12" s="67">
        <v>0.0</v>
      </c>
      <c r="V12" s="67">
        <v>0.0</v>
      </c>
      <c r="W12" s="67">
        <v>0.0</v>
      </c>
      <c r="X12" s="69"/>
      <c r="Y12" s="70"/>
      <c r="Z12" s="67">
        <v>0.0</v>
      </c>
      <c r="AA12" s="67">
        <v>0.0</v>
      </c>
      <c r="AB12" s="66" t="s">
        <v>26</v>
      </c>
      <c r="AC12" s="67">
        <v>0.0</v>
      </c>
      <c r="AD12" s="67">
        <v>0.0</v>
      </c>
      <c r="AE12" s="71">
        <v>43872.0</v>
      </c>
      <c r="AF12" s="67"/>
      <c r="AG12" s="72" t="s">
        <v>54</v>
      </c>
      <c r="AH12" s="66"/>
      <c r="AI12" s="69"/>
    </row>
    <row r="13" ht="15.75" customHeight="1">
      <c r="A13" s="5"/>
      <c r="B13" s="73" t="s">
        <v>18</v>
      </c>
      <c r="C13" s="73" t="s">
        <v>54</v>
      </c>
      <c r="D13" s="73" t="s">
        <v>63</v>
      </c>
      <c r="E13" s="74">
        <v>508.11</v>
      </c>
      <c r="F13" s="74">
        <v>0.0</v>
      </c>
      <c r="G13" s="74">
        <v>0.0</v>
      </c>
      <c r="H13" s="73" t="s">
        <v>64</v>
      </c>
      <c r="I13" s="74">
        <v>0.0</v>
      </c>
      <c r="J13" s="74">
        <v>0.0</v>
      </c>
      <c r="K13" s="73" t="s">
        <v>19</v>
      </c>
      <c r="L13" s="73" t="s">
        <v>55</v>
      </c>
      <c r="M13" s="75"/>
      <c r="N13" s="73" t="s">
        <v>21</v>
      </c>
      <c r="O13" s="74">
        <v>1.0</v>
      </c>
      <c r="P13" s="76"/>
      <c r="Q13" s="75"/>
      <c r="R13" s="74">
        <v>0.0</v>
      </c>
      <c r="S13" s="74">
        <v>0.0</v>
      </c>
      <c r="T13" s="74">
        <v>0.0</v>
      </c>
      <c r="U13" s="74">
        <v>0.0</v>
      </c>
      <c r="V13" s="74">
        <v>0.0</v>
      </c>
      <c r="W13" s="74">
        <v>0.0</v>
      </c>
      <c r="X13" s="76"/>
      <c r="Y13" s="77"/>
      <c r="Z13" s="74">
        <v>0.0</v>
      </c>
      <c r="AA13" s="74">
        <v>0.0</v>
      </c>
      <c r="AB13" s="73" t="s">
        <v>26</v>
      </c>
      <c r="AC13" s="74">
        <v>0.0</v>
      </c>
      <c r="AD13" s="74">
        <v>0.0</v>
      </c>
      <c r="AE13" s="78">
        <v>43872.0</v>
      </c>
      <c r="AF13" s="74"/>
      <c r="AG13" s="79" t="s">
        <v>54</v>
      </c>
      <c r="AH13" s="73"/>
      <c r="AI13" s="76"/>
    </row>
    <row r="14" ht="15.75" customHeight="1">
      <c r="A14" s="5"/>
      <c r="B14" s="66" t="s">
        <v>18</v>
      </c>
      <c r="C14" s="66" t="s">
        <v>54</v>
      </c>
      <c r="D14" s="66" t="s">
        <v>63</v>
      </c>
      <c r="E14" s="67">
        <v>248.08</v>
      </c>
      <c r="F14" s="67">
        <v>0.0</v>
      </c>
      <c r="G14" s="67">
        <v>0.0</v>
      </c>
      <c r="H14" s="66" t="s">
        <v>64</v>
      </c>
      <c r="I14" s="67">
        <v>0.0</v>
      </c>
      <c r="J14" s="67">
        <v>0.0</v>
      </c>
      <c r="K14" s="66" t="s">
        <v>19</v>
      </c>
      <c r="L14" s="66" t="s">
        <v>55</v>
      </c>
      <c r="M14" s="68"/>
      <c r="N14" s="66" t="s">
        <v>21</v>
      </c>
      <c r="O14" s="67">
        <v>1.0</v>
      </c>
      <c r="P14" s="69"/>
      <c r="Q14" s="68"/>
      <c r="R14" s="67">
        <v>0.0</v>
      </c>
      <c r="S14" s="67">
        <v>0.0</v>
      </c>
      <c r="T14" s="67">
        <v>0.0</v>
      </c>
      <c r="U14" s="67">
        <v>0.0</v>
      </c>
      <c r="V14" s="67">
        <v>0.0</v>
      </c>
      <c r="W14" s="67">
        <v>0.0</v>
      </c>
      <c r="X14" s="69"/>
      <c r="Y14" s="70"/>
      <c r="Z14" s="67">
        <v>0.0</v>
      </c>
      <c r="AA14" s="67">
        <v>0.0</v>
      </c>
      <c r="AB14" s="66" t="s">
        <v>37</v>
      </c>
      <c r="AC14" s="67">
        <v>0.0</v>
      </c>
      <c r="AD14" s="67">
        <v>0.0</v>
      </c>
      <c r="AE14" s="71">
        <v>43872.0</v>
      </c>
      <c r="AF14" s="67"/>
      <c r="AG14" s="72" t="s">
        <v>54</v>
      </c>
      <c r="AH14" s="66"/>
      <c r="AI14" s="69"/>
    </row>
    <row r="15" ht="15.75" customHeight="1">
      <c r="A15" s="5"/>
      <c r="B15" s="73" t="s">
        <v>18</v>
      </c>
      <c r="C15" s="73" t="s">
        <v>54</v>
      </c>
      <c r="D15" s="73" t="s">
        <v>63</v>
      </c>
      <c r="E15" s="74">
        <v>-248.11</v>
      </c>
      <c r="F15" s="74">
        <v>0.0</v>
      </c>
      <c r="G15" s="74">
        <v>0.0</v>
      </c>
      <c r="H15" s="73" t="s">
        <v>64</v>
      </c>
      <c r="I15" s="74">
        <v>0.0</v>
      </c>
      <c r="J15" s="74">
        <v>0.0</v>
      </c>
      <c r="K15" s="73" t="s">
        <v>19</v>
      </c>
      <c r="L15" s="73" t="s">
        <v>59</v>
      </c>
      <c r="M15" s="75"/>
      <c r="N15" s="73" t="s">
        <v>21</v>
      </c>
      <c r="O15" s="74">
        <v>1.0</v>
      </c>
      <c r="P15" s="76"/>
      <c r="Q15" s="75"/>
      <c r="R15" s="74">
        <v>0.0</v>
      </c>
      <c r="S15" s="74">
        <v>0.0</v>
      </c>
      <c r="T15" s="74">
        <v>0.0</v>
      </c>
      <c r="U15" s="74">
        <v>0.0</v>
      </c>
      <c r="V15" s="74">
        <v>0.0</v>
      </c>
      <c r="W15" s="74">
        <v>0.0</v>
      </c>
      <c r="X15" s="76"/>
      <c r="Y15" s="77"/>
      <c r="Z15" s="74">
        <v>0.0</v>
      </c>
      <c r="AA15" s="74">
        <v>0.0</v>
      </c>
      <c r="AB15" s="73" t="s">
        <v>26</v>
      </c>
      <c r="AC15" s="74">
        <v>0.0</v>
      </c>
      <c r="AD15" s="74">
        <v>0.0</v>
      </c>
      <c r="AE15" s="78">
        <v>43872.0</v>
      </c>
      <c r="AF15" s="74"/>
      <c r="AG15" s="79" t="s">
        <v>54</v>
      </c>
      <c r="AH15" s="73"/>
      <c r="AI15" s="76"/>
    </row>
    <row r="16" ht="15.75" customHeight="1">
      <c r="A16" s="5"/>
      <c r="B16" s="66" t="s">
        <v>23</v>
      </c>
      <c r="C16" s="66" t="s">
        <v>54</v>
      </c>
      <c r="D16" s="66" t="s">
        <v>70</v>
      </c>
      <c r="E16" s="67">
        <v>-19.2</v>
      </c>
      <c r="F16" s="67">
        <v>0.0</v>
      </c>
      <c r="G16" s="67">
        <v>0.0</v>
      </c>
      <c r="H16" s="66" t="s">
        <v>64</v>
      </c>
      <c r="I16" s="67">
        <v>0.0</v>
      </c>
      <c r="J16" s="67">
        <v>0.0</v>
      </c>
      <c r="K16" s="66" t="s">
        <v>19</v>
      </c>
      <c r="L16" s="66" t="s">
        <v>58</v>
      </c>
      <c r="M16" s="68"/>
      <c r="N16" s="66" t="s">
        <v>21</v>
      </c>
      <c r="O16" s="67">
        <v>1.0</v>
      </c>
      <c r="P16" s="69"/>
      <c r="Q16" s="68"/>
      <c r="R16" s="67">
        <v>0.0</v>
      </c>
      <c r="S16" s="67">
        <v>0.0</v>
      </c>
      <c r="T16" s="67">
        <v>0.0</v>
      </c>
      <c r="U16" s="67">
        <v>0.0</v>
      </c>
      <c r="V16" s="67">
        <v>0.0</v>
      </c>
      <c r="W16" s="67">
        <v>0.0</v>
      </c>
      <c r="X16" s="69"/>
      <c r="Y16" s="70"/>
      <c r="Z16" s="67">
        <v>0.0</v>
      </c>
      <c r="AA16" s="67">
        <v>0.0</v>
      </c>
      <c r="AB16" s="66" t="s">
        <v>26</v>
      </c>
      <c r="AC16" s="67">
        <v>0.0</v>
      </c>
      <c r="AD16" s="67">
        <v>0.0</v>
      </c>
      <c r="AE16" s="71">
        <v>43872.0</v>
      </c>
      <c r="AF16" s="67"/>
      <c r="AG16" s="72" t="s">
        <v>54</v>
      </c>
      <c r="AH16" s="66"/>
      <c r="AI16" s="69"/>
    </row>
    <row r="17" ht="15.75" customHeight="1">
      <c r="A17" s="5"/>
      <c r="B17" s="73" t="s">
        <v>23</v>
      </c>
      <c r="C17" s="73" t="s">
        <v>54</v>
      </c>
      <c r="D17" s="73" t="s">
        <v>63</v>
      </c>
      <c r="E17" s="74">
        <v>517.88</v>
      </c>
      <c r="F17" s="74">
        <v>0.0</v>
      </c>
      <c r="G17" s="74">
        <v>0.0</v>
      </c>
      <c r="H17" s="73" t="s">
        <v>64</v>
      </c>
      <c r="I17" s="74">
        <v>0.0</v>
      </c>
      <c r="J17" s="74">
        <v>0.0</v>
      </c>
      <c r="K17" s="73" t="s">
        <v>19</v>
      </c>
      <c r="L17" s="73" t="s">
        <v>55</v>
      </c>
      <c r="M17" s="75"/>
      <c r="N17" s="73" t="s">
        <v>21</v>
      </c>
      <c r="O17" s="74">
        <v>1.0</v>
      </c>
      <c r="P17" s="76"/>
      <c r="Q17" s="75"/>
      <c r="R17" s="74">
        <v>0.0</v>
      </c>
      <c r="S17" s="74">
        <v>0.0</v>
      </c>
      <c r="T17" s="74">
        <v>0.0</v>
      </c>
      <c r="U17" s="74">
        <v>0.0</v>
      </c>
      <c r="V17" s="74">
        <v>0.0</v>
      </c>
      <c r="W17" s="74">
        <v>0.0</v>
      </c>
      <c r="X17" s="76"/>
      <c r="Y17" s="77"/>
      <c r="Z17" s="74">
        <v>0.0</v>
      </c>
      <c r="AA17" s="74">
        <v>0.0</v>
      </c>
      <c r="AB17" s="73" t="s">
        <v>26</v>
      </c>
      <c r="AC17" s="74">
        <v>0.0</v>
      </c>
      <c r="AD17" s="74">
        <v>0.0</v>
      </c>
      <c r="AE17" s="78">
        <v>43872.0</v>
      </c>
      <c r="AF17" s="74"/>
      <c r="AG17" s="79" t="s">
        <v>54</v>
      </c>
      <c r="AH17" s="73"/>
      <c r="AI17" s="76"/>
    </row>
    <row r="18" ht="15.75" customHeight="1">
      <c r="A18" s="5"/>
      <c r="B18" s="66" t="s">
        <v>23</v>
      </c>
      <c r="C18" s="66" t="s">
        <v>54</v>
      </c>
      <c r="D18" s="66" t="s">
        <v>63</v>
      </c>
      <c r="E18" s="67">
        <v>252.85</v>
      </c>
      <c r="F18" s="67">
        <v>0.0</v>
      </c>
      <c r="G18" s="67">
        <v>0.0</v>
      </c>
      <c r="H18" s="66" t="s">
        <v>64</v>
      </c>
      <c r="I18" s="67">
        <v>0.0</v>
      </c>
      <c r="J18" s="67">
        <v>0.0</v>
      </c>
      <c r="K18" s="66" t="s">
        <v>19</v>
      </c>
      <c r="L18" s="66" t="s">
        <v>55</v>
      </c>
      <c r="M18" s="68"/>
      <c r="N18" s="66" t="s">
        <v>21</v>
      </c>
      <c r="O18" s="67">
        <v>1.0</v>
      </c>
      <c r="P18" s="69"/>
      <c r="Q18" s="68"/>
      <c r="R18" s="67">
        <v>0.0</v>
      </c>
      <c r="S18" s="67">
        <v>0.0</v>
      </c>
      <c r="T18" s="67">
        <v>0.0</v>
      </c>
      <c r="U18" s="67">
        <v>0.0</v>
      </c>
      <c r="V18" s="67">
        <v>0.0</v>
      </c>
      <c r="W18" s="67">
        <v>0.0</v>
      </c>
      <c r="X18" s="69"/>
      <c r="Y18" s="70"/>
      <c r="Z18" s="67">
        <v>0.0</v>
      </c>
      <c r="AA18" s="67">
        <v>0.0</v>
      </c>
      <c r="AB18" s="66" t="s">
        <v>37</v>
      </c>
      <c r="AC18" s="67">
        <v>0.0</v>
      </c>
      <c r="AD18" s="67">
        <v>0.0</v>
      </c>
      <c r="AE18" s="71">
        <v>43872.0</v>
      </c>
      <c r="AF18" s="67"/>
      <c r="AG18" s="72" t="s">
        <v>54</v>
      </c>
      <c r="AH18" s="66"/>
      <c r="AI18" s="69"/>
    </row>
    <row r="19" ht="15.75" customHeight="1">
      <c r="A19" s="5"/>
      <c r="B19" s="73" t="s">
        <v>23</v>
      </c>
      <c r="C19" s="73" t="s">
        <v>54</v>
      </c>
      <c r="D19" s="73" t="s">
        <v>63</v>
      </c>
      <c r="E19" s="74">
        <v>-252.88</v>
      </c>
      <c r="F19" s="74">
        <v>0.0</v>
      </c>
      <c r="G19" s="74">
        <v>0.0</v>
      </c>
      <c r="H19" s="73" t="s">
        <v>64</v>
      </c>
      <c r="I19" s="74">
        <v>0.0</v>
      </c>
      <c r="J19" s="74">
        <v>0.0</v>
      </c>
      <c r="K19" s="73" t="s">
        <v>19</v>
      </c>
      <c r="L19" s="73" t="s">
        <v>59</v>
      </c>
      <c r="M19" s="75"/>
      <c r="N19" s="73" t="s">
        <v>21</v>
      </c>
      <c r="O19" s="74">
        <v>1.0</v>
      </c>
      <c r="P19" s="76"/>
      <c r="Q19" s="75"/>
      <c r="R19" s="74">
        <v>0.0</v>
      </c>
      <c r="S19" s="74">
        <v>0.0</v>
      </c>
      <c r="T19" s="74">
        <v>0.0</v>
      </c>
      <c r="U19" s="74">
        <v>0.0</v>
      </c>
      <c r="V19" s="74">
        <v>0.0</v>
      </c>
      <c r="W19" s="74">
        <v>0.0</v>
      </c>
      <c r="X19" s="76"/>
      <c r="Y19" s="77"/>
      <c r="Z19" s="74">
        <v>0.0</v>
      </c>
      <c r="AA19" s="74">
        <v>0.0</v>
      </c>
      <c r="AB19" s="73" t="s">
        <v>26</v>
      </c>
      <c r="AC19" s="74">
        <v>0.0</v>
      </c>
      <c r="AD19" s="74">
        <v>0.0</v>
      </c>
      <c r="AE19" s="78">
        <v>43872.0</v>
      </c>
      <c r="AF19" s="74"/>
      <c r="AG19" s="79" t="s">
        <v>54</v>
      </c>
      <c r="AH19" s="73"/>
      <c r="AI19" s="76"/>
    </row>
    <row r="20" ht="15.75" customHeight="1">
      <c r="A20" s="5"/>
      <c r="B20" s="66" t="s">
        <v>18</v>
      </c>
      <c r="C20" s="66" t="s">
        <v>49</v>
      </c>
      <c r="D20" s="66" t="s">
        <v>69</v>
      </c>
      <c r="E20" s="80">
        <v>-15611.89</v>
      </c>
      <c r="F20" s="84">
        <v>1.980952380952</v>
      </c>
      <c r="G20" s="84">
        <v>2.47619047619</v>
      </c>
      <c r="H20" s="66" t="s">
        <v>64</v>
      </c>
      <c r="I20" s="67">
        <v>0.0</v>
      </c>
      <c r="J20" s="80">
        <v>1.238095238095</v>
      </c>
      <c r="K20" s="66" t="s">
        <v>19</v>
      </c>
      <c r="L20" s="69"/>
      <c r="M20" s="68"/>
      <c r="N20" s="66" t="s">
        <v>21</v>
      </c>
      <c r="O20" s="67">
        <v>1.0</v>
      </c>
      <c r="P20" s="69"/>
      <c r="Q20" s="68"/>
      <c r="R20" s="67">
        <v>0.0</v>
      </c>
      <c r="S20" s="67">
        <v>0.0</v>
      </c>
      <c r="T20" s="67">
        <v>0.0</v>
      </c>
      <c r="U20" s="67">
        <v>0.0</v>
      </c>
      <c r="V20" s="67">
        <v>52.0</v>
      </c>
      <c r="W20" s="67">
        <v>0.0</v>
      </c>
      <c r="X20" s="72" t="s">
        <v>19</v>
      </c>
      <c r="Y20" s="68"/>
      <c r="Z20" s="80">
        <v>3.714285714285</v>
      </c>
      <c r="AA20" s="80">
        <v>0.008716190476</v>
      </c>
      <c r="AB20" s="66" t="s">
        <v>26</v>
      </c>
      <c r="AC20" s="80">
        <v>1.485714285714</v>
      </c>
      <c r="AD20" s="80">
        <v>11.894430476188</v>
      </c>
      <c r="AE20" s="81">
        <v>43872.0</v>
      </c>
      <c r="AF20" s="67"/>
      <c r="AG20" s="72" t="s">
        <v>49</v>
      </c>
      <c r="AH20" s="69"/>
      <c r="AI20" s="69"/>
    </row>
    <row r="21" ht="15.75" customHeight="1">
      <c r="A21" s="5"/>
      <c r="B21" s="73" t="s">
        <v>23</v>
      </c>
      <c r="C21" s="73" t="s">
        <v>49</v>
      </c>
      <c r="D21" s="73" t="s">
        <v>69</v>
      </c>
      <c r="E21" s="82">
        <v>-15912.12</v>
      </c>
      <c r="F21" s="84">
        <v>2.019047619047</v>
      </c>
      <c r="G21" s="82">
        <v>2.523809523809</v>
      </c>
      <c r="H21" s="73" t="s">
        <v>64</v>
      </c>
      <c r="I21" s="74">
        <v>0.0</v>
      </c>
      <c r="J21" s="82">
        <v>1.261904761905</v>
      </c>
      <c r="K21" s="73" t="s">
        <v>19</v>
      </c>
      <c r="L21" s="76"/>
      <c r="M21" s="75"/>
      <c r="N21" s="73" t="s">
        <v>21</v>
      </c>
      <c r="O21" s="74">
        <v>1.0</v>
      </c>
      <c r="P21" s="76"/>
      <c r="Q21" s="75"/>
      <c r="R21" s="74">
        <v>0.0</v>
      </c>
      <c r="S21" s="74">
        <v>0.0</v>
      </c>
      <c r="T21" s="74">
        <v>0.0</v>
      </c>
      <c r="U21" s="74">
        <v>0.0</v>
      </c>
      <c r="V21" s="74">
        <v>53.0</v>
      </c>
      <c r="W21" s="74">
        <v>0.0</v>
      </c>
      <c r="X21" s="79" t="s">
        <v>19</v>
      </c>
      <c r="Y21" s="75"/>
      <c r="Z21" s="82">
        <v>3.785714285715</v>
      </c>
      <c r="AA21" s="82">
        <v>0.008883809523</v>
      </c>
      <c r="AB21" s="73" t="s">
        <v>26</v>
      </c>
      <c r="AC21" s="82">
        <v>1.514285714285</v>
      </c>
      <c r="AD21" s="84">
        <v>12.123169523807</v>
      </c>
      <c r="AE21" s="83">
        <v>43872.0</v>
      </c>
      <c r="AF21" s="74"/>
      <c r="AG21" s="79" t="s">
        <v>49</v>
      </c>
      <c r="AH21" s="76"/>
      <c r="AI21" s="76"/>
    </row>
    <row r="22" ht="15.75" customHeight="1">
      <c r="A22" s="5"/>
      <c r="B22" s="66" t="s">
        <v>18</v>
      </c>
      <c r="C22" s="66" t="s">
        <v>49</v>
      </c>
      <c r="D22" s="66" t="s">
        <v>69</v>
      </c>
      <c r="E22" s="80">
        <v>-68391.92</v>
      </c>
      <c r="F22" s="84">
        <v>1.980952380952</v>
      </c>
      <c r="G22" s="84">
        <v>2.47619047619</v>
      </c>
      <c r="H22" s="66" t="s">
        <v>64</v>
      </c>
      <c r="I22" s="67">
        <v>0.0</v>
      </c>
      <c r="J22" s="80">
        <v>1.238095238095</v>
      </c>
      <c r="K22" s="66" t="s">
        <v>19</v>
      </c>
      <c r="L22" s="69"/>
      <c r="M22" s="68"/>
      <c r="N22" s="66" t="s">
        <v>21</v>
      </c>
      <c r="O22" s="67">
        <v>1.0</v>
      </c>
      <c r="P22" s="69"/>
      <c r="Q22" s="68"/>
      <c r="R22" s="67">
        <v>0.0</v>
      </c>
      <c r="S22" s="67">
        <v>0.0</v>
      </c>
      <c r="T22" s="67">
        <v>0.0</v>
      </c>
      <c r="U22" s="67">
        <v>0.0</v>
      </c>
      <c r="V22" s="67">
        <v>52.0</v>
      </c>
      <c r="W22" s="67">
        <v>0.0</v>
      </c>
      <c r="X22" s="72" t="s">
        <v>19</v>
      </c>
      <c r="Y22" s="68"/>
      <c r="Z22" s="80">
        <v>3.714285714285</v>
      </c>
      <c r="AA22" s="80">
        <v>0.038281904761</v>
      </c>
      <c r="AB22" s="66" t="s">
        <v>37</v>
      </c>
      <c r="AC22" s="80">
        <v>1.485714285714</v>
      </c>
      <c r="AD22" s="80">
        <v>11.923996190473</v>
      </c>
      <c r="AE22" s="81">
        <v>43872.0</v>
      </c>
      <c r="AF22" s="67"/>
      <c r="AG22" s="72" t="s">
        <v>49</v>
      </c>
      <c r="AH22" s="69"/>
      <c r="AI22" s="69"/>
    </row>
    <row r="23" ht="15.75" customHeight="1">
      <c r="A23" s="5"/>
      <c r="B23" s="73" t="s">
        <v>23</v>
      </c>
      <c r="C23" s="73" t="s">
        <v>49</v>
      </c>
      <c r="D23" s="73" t="s">
        <v>69</v>
      </c>
      <c r="E23" s="82">
        <v>-69707.15</v>
      </c>
      <c r="F23" s="84">
        <v>2.019047619047</v>
      </c>
      <c r="G23" s="82">
        <v>2.523809523809</v>
      </c>
      <c r="H23" s="73" t="s">
        <v>64</v>
      </c>
      <c r="I23" s="74">
        <v>0.0</v>
      </c>
      <c r="J23" s="82">
        <v>1.261904761905</v>
      </c>
      <c r="K23" s="73" t="s">
        <v>19</v>
      </c>
      <c r="L23" s="76"/>
      <c r="M23" s="75"/>
      <c r="N23" s="73" t="s">
        <v>21</v>
      </c>
      <c r="O23" s="74">
        <v>1.0</v>
      </c>
      <c r="P23" s="76"/>
      <c r="Q23" s="75"/>
      <c r="R23" s="74">
        <v>0.0</v>
      </c>
      <c r="S23" s="74">
        <v>0.0</v>
      </c>
      <c r="T23" s="74">
        <v>0.0</v>
      </c>
      <c r="U23" s="74">
        <v>0.0</v>
      </c>
      <c r="V23" s="74">
        <v>53.0</v>
      </c>
      <c r="W23" s="74">
        <v>0.0</v>
      </c>
      <c r="X23" s="79" t="s">
        <v>19</v>
      </c>
      <c r="Y23" s="75"/>
      <c r="Z23" s="82">
        <v>3.785714285715</v>
      </c>
      <c r="AA23" s="82">
        <v>0.039018095238</v>
      </c>
      <c r="AB23" s="73" t="s">
        <v>37</v>
      </c>
      <c r="AC23" s="82">
        <v>1.514285714285</v>
      </c>
      <c r="AD23" s="82">
        <v>12.153303809522</v>
      </c>
      <c r="AE23" s="83">
        <v>43872.0</v>
      </c>
      <c r="AF23" s="74"/>
      <c r="AG23" s="79" t="s">
        <v>49</v>
      </c>
      <c r="AH23" s="76"/>
      <c r="AI23" s="76"/>
    </row>
    <row r="24" ht="15.75" customHeight="1">
      <c r="A24" s="5"/>
      <c r="B24" s="66" t="s">
        <v>18</v>
      </c>
      <c r="C24" s="66" t="s">
        <v>49</v>
      </c>
      <c r="D24" s="66" t="s">
        <v>69</v>
      </c>
      <c r="E24" s="80">
        <v>15593.06</v>
      </c>
      <c r="F24" s="84">
        <v>1.980952380952</v>
      </c>
      <c r="G24" s="84">
        <v>2.47619047619</v>
      </c>
      <c r="H24" s="66" t="s">
        <v>64</v>
      </c>
      <c r="I24" s="67">
        <v>0.0</v>
      </c>
      <c r="J24" s="67">
        <v>0.0</v>
      </c>
      <c r="K24" s="66" t="s">
        <v>19</v>
      </c>
      <c r="L24" s="69"/>
      <c r="M24" s="68"/>
      <c r="N24" s="66" t="s">
        <v>21</v>
      </c>
      <c r="O24" s="67">
        <v>1.0</v>
      </c>
      <c r="P24" s="69"/>
      <c r="Q24" s="68"/>
      <c r="R24" s="67">
        <v>0.0</v>
      </c>
      <c r="S24" s="67">
        <v>0.0</v>
      </c>
      <c r="T24" s="67">
        <v>0.0</v>
      </c>
      <c r="U24" s="67">
        <v>0.0</v>
      </c>
      <c r="V24" s="67">
        <v>52.0</v>
      </c>
      <c r="W24" s="67">
        <v>0.0</v>
      </c>
      <c r="X24" s="72" t="s">
        <v>19</v>
      </c>
      <c r="Y24" s="68"/>
      <c r="Z24" s="67">
        <v>0.0</v>
      </c>
      <c r="AA24" s="80">
        <v>0.008716190476</v>
      </c>
      <c r="AB24" s="66" t="s">
        <v>26</v>
      </c>
      <c r="AC24" s="80">
        <v>1.485714285714</v>
      </c>
      <c r="AD24" s="80">
        <v>6.942049523808</v>
      </c>
      <c r="AE24" s="81">
        <v>43872.0</v>
      </c>
      <c r="AF24" s="67"/>
      <c r="AG24" s="72" t="s">
        <v>49</v>
      </c>
      <c r="AH24" s="69"/>
      <c r="AI24" s="69"/>
    </row>
    <row r="25" ht="15.75" customHeight="1">
      <c r="A25" s="5"/>
      <c r="B25" s="73" t="s">
        <v>23</v>
      </c>
      <c r="C25" s="73" t="s">
        <v>49</v>
      </c>
      <c r="D25" s="73" t="s">
        <v>69</v>
      </c>
      <c r="E25" s="82">
        <v>15892.92</v>
      </c>
      <c r="F25" s="84">
        <v>2.019047619047</v>
      </c>
      <c r="G25" s="82">
        <v>2.523809523809</v>
      </c>
      <c r="H25" s="73" t="s">
        <v>64</v>
      </c>
      <c r="I25" s="74">
        <v>0.0</v>
      </c>
      <c r="J25" s="74">
        <v>0.0</v>
      </c>
      <c r="K25" s="73" t="s">
        <v>19</v>
      </c>
      <c r="L25" s="76"/>
      <c r="M25" s="75"/>
      <c r="N25" s="73" t="s">
        <v>21</v>
      </c>
      <c r="O25" s="74">
        <v>1.0</v>
      </c>
      <c r="P25" s="76"/>
      <c r="Q25" s="75"/>
      <c r="R25" s="74">
        <v>0.0</v>
      </c>
      <c r="S25" s="74">
        <v>0.0</v>
      </c>
      <c r="T25" s="74">
        <v>0.0</v>
      </c>
      <c r="U25" s="74">
        <v>0.0</v>
      </c>
      <c r="V25" s="74">
        <v>53.0</v>
      </c>
      <c r="W25" s="74">
        <v>0.0</v>
      </c>
      <c r="X25" s="79" t="s">
        <v>19</v>
      </c>
      <c r="Y25" s="75"/>
      <c r="Z25" s="74">
        <v>0.0</v>
      </c>
      <c r="AA25" s="82">
        <v>0.008883809523</v>
      </c>
      <c r="AB25" s="73" t="s">
        <v>26</v>
      </c>
      <c r="AC25" s="82">
        <v>1.514285714285</v>
      </c>
      <c r="AD25" s="82">
        <v>7.075550476187</v>
      </c>
      <c r="AE25" s="83">
        <v>43872.0</v>
      </c>
      <c r="AF25" s="74"/>
      <c r="AG25" s="79" t="s">
        <v>49</v>
      </c>
      <c r="AH25" s="76"/>
      <c r="AI25" s="76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7.71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60</v>
      </c>
      <c r="D3" s="6" t="s">
        <v>8</v>
      </c>
      <c r="E3" s="21" t="s">
        <v>62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3" t="s">
        <v>65</v>
      </c>
      <c r="C6" s="29" t="s">
        <v>16</v>
      </c>
      <c r="D6" s="7"/>
      <c r="E6" s="44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7" width="14.43"/>
    <col customWidth="1" min="8" max="8" width="25.14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60</v>
      </c>
      <c r="D3" s="6" t="s">
        <v>8</v>
      </c>
      <c r="E3" s="21" t="s">
        <v>65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0">
        <v>43873.0</v>
      </c>
      <c r="C6" s="32"/>
      <c r="D6" s="33"/>
      <c r="E6" s="32" t="s">
        <v>26</v>
      </c>
      <c r="F6" s="32"/>
      <c r="G6" s="32" t="s">
        <v>72</v>
      </c>
      <c r="H6" s="34">
        <v>1.0</v>
      </c>
      <c r="I6" s="34">
        <v>0.33</v>
      </c>
      <c r="J6" s="34">
        <v>0.625</v>
      </c>
      <c r="K6" s="32"/>
      <c r="L6" s="32"/>
      <c r="M6" s="85" t="s">
        <v>73</v>
      </c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8.14"/>
    <col customWidth="1" min="7" max="7" width="14.43"/>
    <col customWidth="1" min="8" max="8" width="26.29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60</v>
      </c>
      <c r="D3" s="6" t="s">
        <v>8</v>
      </c>
      <c r="E3" s="21" t="s">
        <v>71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86" t="s">
        <v>26</v>
      </c>
      <c r="C6" s="86" t="s">
        <v>19</v>
      </c>
      <c r="D6" s="86" t="s">
        <v>27</v>
      </c>
      <c r="E6" s="86" t="s">
        <v>23</v>
      </c>
      <c r="F6" s="87">
        <v>300.0</v>
      </c>
      <c r="G6" s="87">
        <v>53.0</v>
      </c>
      <c r="H6" s="87">
        <v>12.1231695238105</v>
      </c>
      <c r="I6" s="88">
        <v>43872.0</v>
      </c>
      <c r="J6" s="89"/>
      <c r="K6" s="88">
        <v>43872.0</v>
      </c>
      <c r="L6" s="89"/>
      <c r="M6" s="86"/>
      <c r="N6" s="87">
        <v>1.0</v>
      </c>
      <c r="O6" s="86" t="s">
        <v>21</v>
      </c>
      <c r="P6" s="87">
        <v>0.0</v>
      </c>
      <c r="Q6" s="87">
        <v>15912.12</v>
      </c>
      <c r="R6" s="87">
        <v>15912.12</v>
      </c>
      <c r="S6" s="86" t="s">
        <v>27</v>
      </c>
    </row>
    <row r="7" ht="15.75" customHeight="1">
      <c r="A7" s="5"/>
      <c r="B7" s="86" t="s">
        <v>26</v>
      </c>
      <c r="C7" s="86" t="s">
        <v>19</v>
      </c>
      <c r="D7" s="86" t="s">
        <v>38</v>
      </c>
      <c r="E7" s="86" t="s">
        <v>23</v>
      </c>
      <c r="F7" s="87">
        <v>300.228739047619</v>
      </c>
      <c r="G7" s="87">
        <v>53.0</v>
      </c>
      <c r="H7" s="87">
        <v>0.0</v>
      </c>
      <c r="I7" s="88">
        <v>43873.0</v>
      </c>
      <c r="J7" s="89"/>
      <c r="K7" s="88">
        <v>43873.0</v>
      </c>
      <c r="L7" s="89"/>
      <c r="M7" s="90"/>
      <c r="N7" s="87">
        <v>1.0</v>
      </c>
      <c r="O7" s="86" t="s">
        <v>21</v>
      </c>
      <c r="P7" s="87">
        <v>0.0</v>
      </c>
      <c r="Q7" s="87">
        <v>15912.12</v>
      </c>
      <c r="R7" s="87">
        <v>15912.12</v>
      </c>
      <c r="S7" s="86" t="s">
        <v>38</v>
      </c>
    </row>
    <row r="8" ht="15.75" customHeight="1">
      <c r="A8" s="5"/>
      <c r="B8" s="86" t="s">
        <v>26</v>
      </c>
      <c r="C8" s="86" t="s">
        <v>19</v>
      </c>
      <c r="D8" s="86" t="s">
        <v>27</v>
      </c>
      <c r="E8" s="86" t="s">
        <v>23</v>
      </c>
      <c r="F8" s="87">
        <v>187.642961904762</v>
      </c>
      <c r="G8" s="87">
        <v>53.0</v>
      </c>
      <c r="H8" s="87">
        <v>0.0</v>
      </c>
      <c r="I8" s="88">
        <v>43873.0</v>
      </c>
      <c r="J8" s="89"/>
      <c r="K8" s="88">
        <v>43872.0</v>
      </c>
      <c r="L8" s="89"/>
      <c r="M8" s="90"/>
      <c r="N8" s="87">
        <v>1.0</v>
      </c>
      <c r="O8" s="86" t="s">
        <v>21</v>
      </c>
      <c r="P8" s="87">
        <v>300.0</v>
      </c>
      <c r="Q8" s="87">
        <v>9945.08</v>
      </c>
      <c r="R8" s="87">
        <v>9945.08</v>
      </c>
      <c r="S8" s="86" t="s">
        <v>27</v>
      </c>
    </row>
    <row r="9" ht="15.75" customHeight="1">
      <c r="A9" s="5"/>
      <c r="B9" s="86" t="s">
        <v>72</v>
      </c>
      <c r="C9" s="86" t="s">
        <v>19</v>
      </c>
      <c r="D9" s="86" t="s">
        <v>27</v>
      </c>
      <c r="E9" s="86" t="s">
        <v>23</v>
      </c>
      <c r="F9" s="87">
        <v>341.169021645021</v>
      </c>
      <c r="G9" s="87">
        <v>17.49</v>
      </c>
      <c r="H9" s="87">
        <v>0.0</v>
      </c>
      <c r="I9" s="88">
        <v>43873.0</v>
      </c>
      <c r="J9" s="89"/>
      <c r="K9" s="88">
        <v>43872.0</v>
      </c>
      <c r="L9" s="89"/>
      <c r="M9" s="90"/>
      <c r="N9" s="87">
        <v>1.0</v>
      </c>
      <c r="O9" s="86" t="s">
        <v>21</v>
      </c>
      <c r="P9" s="87">
        <v>341.169</v>
      </c>
      <c r="Q9" s="87">
        <v>5967.05</v>
      </c>
      <c r="R9" s="87">
        <v>5967.05</v>
      </c>
      <c r="S9" s="86" t="s">
        <v>27</v>
      </c>
    </row>
    <row r="10" ht="15.75" customHeight="1">
      <c r="A10" s="5"/>
      <c r="B10" s="86" t="s">
        <v>26</v>
      </c>
      <c r="C10" s="86" t="s">
        <v>19</v>
      </c>
      <c r="D10" s="86" t="s">
        <v>27</v>
      </c>
      <c r="E10" s="86" t="s">
        <v>18</v>
      </c>
      <c r="F10" s="87">
        <v>300.0</v>
      </c>
      <c r="G10" s="87">
        <v>52.0</v>
      </c>
      <c r="H10" s="87">
        <v>11.8944304761895</v>
      </c>
      <c r="I10" s="88">
        <v>43872.0</v>
      </c>
      <c r="J10" s="89"/>
      <c r="K10" s="88">
        <v>43872.0</v>
      </c>
      <c r="L10" s="89"/>
      <c r="M10" s="86"/>
      <c r="N10" s="87">
        <v>1.0</v>
      </c>
      <c r="O10" s="86" t="s">
        <v>21</v>
      </c>
      <c r="P10" s="87">
        <v>0.0</v>
      </c>
      <c r="Q10" s="87">
        <v>15611.89</v>
      </c>
      <c r="R10" s="87">
        <v>15611.89</v>
      </c>
      <c r="S10" s="86" t="s">
        <v>27</v>
      </c>
    </row>
    <row r="11" ht="15.75" customHeight="1">
      <c r="A11" s="5"/>
      <c r="B11" s="86" t="s">
        <v>26</v>
      </c>
      <c r="C11" s="86" t="s">
        <v>19</v>
      </c>
      <c r="D11" s="86" t="s">
        <v>38</v>
      </c>
      <c r="E11" s="86" t="s">
        <v>18</v>
      </c>
      <c r="F11" s="87">
        <v>300.228739047619</v>
      </c>
      <c r="G11" s="87">
        <v>52.0</v>
      </c>
      <c r="H11" s="87">
        <v>0.0</v>
      </c>
      <c r="I11" s="88">
        <v>43873.0</v>
      </c>
      <c r="J11" s="89"/>
      <c r="K11" s="88">
        <v>43873.0</v>
      </c>
      <c r="L11" s="89"/>
      <c r="M11" s="90"/>
      <c r="N11" s="87">
        <v>1.0</v>
      </c>
      <c r="O11" s="86" t="s">
        <v>21</v>
      </c>
      <c r="P11" s="87">
        <v>0.0</v>
      </c>
      <c r="Q11" s="87">
        <v>15611.89</v>
      </c>
      <c r="R11" s="87">
        <v>15611.89</v>
      </c>
      <c r="S11" s="86" t="s">
        <v>38</v>
      </c>
    </row>
    <row r="12" ht="15.75" customHeight="1">
      <c r="A12" s="5"/>
      <c r="B12" s="86" t="s">
        <v>26</v>
      </c>
      <c r="C12" s="86" t="s">
        <v>19</v>
      </c>
      <c r="D12" s="86" t="s">
        <v>27</v>
      </c>
      <c r="E12" s="86" t="s">
        <v>18</v>
      </c>
      <c r="F12" s="87">
        <v>187.642961904762</v>
      </c>
      <c r="G12" s="87">
        <v>52.0</v>
      </c>
      <c r="H12" s="87">
        <v>0.0</v>
      </c>
      <c r="I12" s="88">
        <v>43873.0</v>
      </c>
      <c r="J12" s="89"/>
      <c r="K12" s="88">
        <v>43872.0</v>
      </c>
      <c r="L12" s="89"/>
      <c r="M12" s="90"/>
      <c r="N12" s="87">
        <v>1.0</v>
      </c>
      <c r="O12" s="86" t="s">
        <v>21</v>
      </c>
      <c r="P12" s="87">
        <v>300.0</v>
      </c>
      <c r="Q12" s="87">
        <v>9757.43</v>
      </c>
      <c r="R12" s="87">
        <v>9757.43</v>
      </c>
      <c r="S12" s="86" t="s">
        <v>27</v>
      </c>
    </row>
    <row r="13" ht="15.75" customHeight="1">
      <c r="A13" s="5"/>
      <c r="B13" s="86" t="s">
        <v>72</v>
      </c>
      <c r="C13" s="86" t="s">
        <v>19</v>
      </c>
      <c r="D13" s="86" t="s">
        <v>27</v>
      </c>
      <c r="E13" s="86" t="s">
        <v>18</v>
      </c>
      <c r="F13" s="87">
        <v>341.169021645022</v>
      </c>
      <c r="G13" s="87">
        <v>17.16</v>
      </c>
      <c r="H13" s="87">
        <v>0.0</v>
      </c>
      <c r="I13" s="88">
        <v>43873.0</v>
      </c>
      <c r="J13" s="89"/>
      <c r="K13" s="88">
        <v>43872.0</v>
      </c>
      <c r="L13" s="89"/>
      <c r="M13" s="90"/>
      <c r="N13" s="87">
        <v>1.0</v>
      </c>
      <c r="O13" s="86" t="s">
        <v>21</v>
      </c>
      <c r="P13" s="87">
        <v>341.169</v>
      </c>
      <c r="Q13" s="87">
        <v>5854.46</v>
      </c>
      <c r="R13" s="87">
        <v>5854.46</v>
      </c>
      <c r="S13" s="86" t="s">
        <v>27</v>
      </c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31</v>
      </c>
      <c r="D3" s="6" t="s">
        <v>8</v>
      </c>
      <c r="E3" s="21" t="s">
        <v>32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0">
        <v>43873.0</v>
      </c>
      <c r="C6" s="30">
        <v>43873.0</v>
      </c>
      <c r="D6" s="7"/>
      <c r="E6" s="44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31</v>
      </c>
      <c r="D3" s="6" t="s">
        <v>8</v>
      </c>
      <c r="E3" s="21" t="s">
        <v>33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26</v>
      </c>
      <c r="C6" s="7">
        <v>315.0</v>
      </c>
      <c r="D6" s="7"/>
      <c r="E6" s="44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7" t="s">
        <v>37</v>
      </c>
      <c r="C7" s="7">
        <v>1325.0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7" t="s">
        <v>72</v>
      </c>
      <c r="C8" s="7">
        <v>175.0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2.29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35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91" t="s">
        <v>16</v>
      </c>
      <c r="D6" s="30">
        <v>43873.0</v>
      </c>
      <c r="E6" s="45" t="b">
        <v>1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1.43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36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91" t="s">
        <v>16</v>
      </c>
      <c r="D6" s="46">
        <v>43871.0</v>
      </c>
      <c r="E6" s="30">
        <v>43873.0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46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65">
        <v>43871.0</v>
      </c>
      <c r="C6" s="58" t="s">
        <v>23</v>
      </c>
      <c r="D6" s="58" t="s">
        <v>26</v>
      </c>
      <c r="E6" s="58" t="s">
        <v>19</v>
      </c>
      <c r="F6" s="58" t="s">
        <v>53</v>
      </c>
      <c r="G6" s="57">
        <v>252.88</v>
      </c>
      <c r="H6" s="56">
        <v>0.0</v>
      </c>
      <c r="I6" s="54"/>
      <c r="J6" s="54"/>
      <c r="K6" s="58"/>
      <c r="L6" s="57">
        <v>1.0</v>
      </c>
      <c r="M6" s="58" t="s">
        <v>21</v>
      </c>
      <c r="N6" s="58" t="s">
        <v>48</v>
      </c>
      <c r="O6" s="58" t="s">
        <v>54</v>
      </c>
      <c r="P6" s="58" t="s">
        <v>19</v>
      </c>
      <c r="Q6" s="58" t="s">
        <v>55</v>
      </c>
      <c r="R6" s="57">
        <v>252.88</v>
      </c>
      <c r="S6" s="57">
        <v>0.0</v>
      </c>
    </row>
    <row r="7" ht="15.75" customHeight="1">
      <c r="A7" s="5"/>
      <c r="B7" s="65">
        <v>43871.0</v>
      </c>
      <c r="C7" s="58" t="s">
        <v>23</v>
      </c>
      <c r="D7" s="58" t="s">
        <v>26</v>
      </c>
      <c r="E7" s="58" t="s">
        <v>19</v>
      </c>
      <c r="F7" s="64" t="s">
        <v>56</v>
      </c>
      <c r="G7" s="61">
        <v>0.0</v>
      </c>
      <c r="H7" s="63">
        <v>252.88</v>
      </c>
      <c r="I7" s="60"/>
      <c r="J7" s="60"/>
      <c r="K7" s="64"/>
      <c r="L7" s="63">
        <v>1.0</v>
      </c>
      <c r="M7" s="64" t="s">
        <v>21</v>
      </c>
      <c r="N7" s="64" t="s">
        <v>51</v>
      </c>
      <c r="O7" s="64" t="s">
        <v>54</v>
      </c>
      <c r="P7" s="64" t="s">
        <v>19</v>
      </c>
      <c r="Q7" s="58" t="s">
        <v>55</v>
      </c>
      <c r="R7" s="63">
        <v>0.0</v>
      </c>
      <c r="S7" s="63">
        <v>252.88</v>
      </c>
    </row>
    <row r="8" ht="15.75" customHeight="1">
      <c r="A8" s="5"/>
      <c r="B8" s="65">
        <v>43871.0</v>
      </c>
      <c r="C8" s="58" t="s">
        <v>18</v>
      </c>
      <c r="D8" s="58" t="s">
        <v>26</v>
      </c>
      <c r="E8" s="58" t="s">
        <v>19</v>
      </c>
      <c r="F8" s="58" t="s">
        <v>53</v>
      </c>
      <c r="G8" s="57">
        <v>248.11</v>
      </c>
      <c r="H8" s="56">
        <v>0.0</v>
      </c>
      <c r="I8" s="54"/>
      <c r="J8" s="54"/>
      <c r="K8" s="58"/>
      <c r="L8" s="57">
        <v>1.0</v>
      </c>
      <c r="M8" s="58" t="s">
        <v>21</v>
      </c>
      <c r="N8" s="58" t="s">
        <v>48</v>
      </c>
      <c r="O8" s="58" t="s">
        <v>54</v>
      </c>
      <c r="P8" s="58" t="s">
        <v>19</v>
      </c>
      <c r="Q8" s="58" t="s">
        <v>55</v>
      </c>
      <c r="R8" s="57">
        <v>248.11</v>
      </c>
      <c r="S8" s="57">
        <v>0.0</v>
      </c>
    </row>
    <row r="9" ht="15.75" customHeight="1">
      <c r="A9" s="5"/>
      <c r="B9" s="65">
        <v>43871.0</v>
      </c>
      <c r="C9" s="58" t="s">
        <v>18</v>
      </c>
      <c r="D9" s="58" t="s">
        <v>26</v>
      </c>
      <c r="E9" s="58" t="s">
        <v>19</v>
      </c>
      <c r="F9" s="64" t="s">
        <v>56</v>
      </c>
      <c r="G9" s="61">
        <v>0.0</v>
      </c>
      <c r="H9" s="63">
        <v>248.11</v>
      </c>
      <c r="I9" s="60"/>
      <c r="J9" s="60"/>
      <c r="K9" s="64"/>
      <c r="L9" s="63">
        <v>1.0</v>
      </c>
      <c r="M9" s="64" t="s">
        <v>21</v>
      </c>
      <c r="N9" s="64" t="s">
        <v>51</v>
      </c>
      <c r="O9" s="64" t="s">
        <v>54</v>
      </c>
      <c r="P9" s="64" t="s">
        <v>19</v>
      </c>
      <c r="Q9" s="58" t="s">
        <v>55</v>
      </c>
      <c r="R9" s="63">
        <v>0.0</v>
      </c>
      <c r="S9" s="63">
        <v>248.11</v>
      </c>
    </row>
    <row r="10" ht="15.75" customHeight="1">
      <c r="A10" s="5"/>
      <c r="B10" s="65">
        <v>43872.0</v>
      </c>
      <c r="C10" s="58" t="s">
        <v>23</v>
      </c>
      <c r="D10" s="58" t="s">
        <v>26</v>
      </c>
      <c r="E10" s="58" t="s">
        <v>19</v>
      </c>
      <c r="F10" s="58" t="s">
        <v>57</v>
      </c>
      <c r="G10" s="57">
        <v>19.2</v>
      </c>
      <c r="H10" s="56">
        <v>0.0</v>
      </c>
      <c r="I10" s="54"/>
      <c r="J10" s="54"/>
      <c r="K10" s="58"/>
      <c r="L10" s="57">
        <v>1.0</v>
      </c>
      <c r="M10" s="58" t="s">
        <v>21</v>
      </c>
      <c r="N10" s="58" t="s">
        <v>48</v>
      </c>
      <c r="O10" s="58" t="s">
        <v>54</v>
      </c>
      <c r="P10" s="58" t="s">
        <v>19</v>
      </c>
      <c r="Q10" s="58" t="s">
        <v>58</v>
      </c>
      <c r="R10" s="57">
        <v>19.2</v>
      </c>
      <c r="S10" s="57">
        <v>0.0</v>
      </c>
    </row>
    <row r="11" ht="15.75" customHeight="1">
      <c r="A11" s="5"/>
      <c r="B11" s="65">
        <v>43872.0</v>
      </c>
      <c r="C11" s="58" t="s">
        <v>23</v>
      </c>
      <c r="D11" s="58" t="s">
        <v>26</v>
      </c>
      <c r="E11" s="58" t="s">
        <v>19</v>
      </c>
      <c r="F11" s="64" t="s">
        <v>50</v>
      </c>
      <c r="G11" s="61">
        <v>0.0</v>
      </c>
      <c r="H11" s="63">
        <v>19.2</v>
      </c>
      <c r="I11" s="60"/>
      <c r="J11" s="60"/>
      <c r="K11" s="64"/>
      <c r="L11" s="63">
        <v>1.0</v>
      </c>
      <c r="M11" s="64" t="s">
        <v>21</v>
      </c>
      <c r="N11" s="64" t="s">
        <v>51</v>
      </c>
      <c r="O11" s="64" t="s">
        <v>54</v>
      </c>
      <c r="P11" s="64" t="s">
        <v>19</v>
      </c>
      <c r="Q11" s="58" t="s">
        <v>58</v>
      </c>
      <c r="R11" s="63">
        <v>0.0</v>
      </c>
      <c r="S11" s="63">
        <v>19.2</v>
      </c>
    </row>
    <row r="12" ht="15.75" customHeight="1">
      <c r="A12" s="5"/>
      <c r="B12" s="65">
        <v>43872.0</v>
      </c>
      <c r="C12" s="58" t="s">
        <v>23</v>
      </c>
      <c r="D12" s="58" t="s">
        <v>26</v>
      </c>
      <c r="E12" s="58" t="s">
        <v>19</v>
      </c>
      <c r="F12" s="58" t="s">
        <v>53</v>
      </c>
      <c r="G12" s="57">
        <v>517.88</v>
      </c>
      <c r="H12" s="56">
        <v>0.0</v>
      </c>
      <c r="I12" s="54"/>
      <c r="J12" s="54"/>
      <c r="K12" s="58"/>
      <c r="L12" s="57">
        <v>1.0</v>
      </c>
      <c r="M12" s="58" t="s">
        <v>21</v>
      </c>
      <c r="N12" s="58" t="s">
        <v>48</v>
      </c>
      <c r="O12" s="58" t="s">
        <v>54</v>
      </c>
      <c r="P12" s="58" t="s">
        <v>19</v>
      </c>
      <c r="Q12" s="58" t="s">
        <v>55</v>
      </c>
      <c r="R12" s="57">
        <v>517.88</v>
      </c>
      <c r="S12" s="57">
        <v>0.0</v>
      </c>
    </row>
    <row r="13" ht="15.75" customHeight="1">
      <c r="A13" s="5"/>
      <c r="B13" s="65">
        <v>43872.0</v>
      </c>
      <c r="C13" s="58" t="s">
        <v>23</v>
      </c>
      <c r="D13" s="58" t="s">
        <v>26</v>
      </c>
      <c r="E13" s="58" t="s">
        <v>19</v>
      </c>
      <c r="F13" s="64" t="s">
        <v>56</v>
      </c>
      <c r="G13" s="61">
        <v>0.0</v>
      </c>
      <c r="H13" s="63">
        <v>517.88</v>
      </c>
      <c r="I13" s="60"/>
      <c r="J13" s="60"/>
      <c r="K13" s="64"/>
      <c r="L13" s="63">
        <v>1.0</v>
      </c>
      <c r="M13" s="64" t="s">
        <v>21</v>
      </c>
      <c r="N13" s="64" t="s">
        <v>51</v>
      </c>
      <c r="O13" s="64" t="s">
        <v>54</v>
      </c>
      <c r="P13" s="64" t="s">
        <v>19</v>
      </c>
      <c r="Q13" s="58" t="s">
        <v>55</v>
      </c>
      <c r="R13" s="63">
        <v>0.0</v>
      </c>
      <c r="S13" s="63">
        <v>517.88</v>
      </c>
    </row>
    <row r="14" ht="15.75" customHeight="1">
      <c r="A14" s="5"/>
      <c r="B14" s="65">
        <v>43872.0</v>
      </c>
      <c r="C14" s="58" t="s">
        <v>23</v>
      </c>
      <c r="D14" s="58" t="s">
        <v>37</v>
      </c>
      <c r="E14" s="58" t="s">
        <v>19</v>
      </c>
      <c r="F14" s="58" t="s">
        <v>53</v>
      </c>
      <c r="G14" s="57">
        <v>252.85</v>
      </c>
      <c r="H14" s="56">
        <v>0.0</v>
      </c>
      <c r="I14" s="54"/>
      <c r="J14" s="54"/>
      <c r="K14" s="58"/>
      <c r="L14" s="57">
        <v>1.0</v>
      </c>
      <c r="M14" s="58" t="s">
        <v>21</v>
      </c>
      <c r="N14" s="58" t="s">
        <v>48</v>
      </c>
      <c r="O14" s="58" t="s">
        <v>54</v>
      </c>
      <c r="P14" s="58" t="s">
        <v>19</v>
      </c>
      <c r="Q14" s="58" t="s">
        <v>55</v>
      </c>
      <c r="R14" s="57">
        <v>252.85</v>
      </c>
      <c r="S14" s="57">
        <v>0.0</v>
      </c>
    </row>
    <row r="15" ht="15.75" customHeight="1">
      <c r="A15" s="5"/>
      <c r="B15" s="65">
        <v>43872.0</v>
      </c>
      <c r="C15" s="58" t="s">
        <v>23</v>
      </c>
      <c r="D15" s="58" t="s">
        <v>37</v>
      </c>
      <c r="E15" s="58" t="s">
        <v>19</v>
      </c>
      <c r="F15" s="64" t="s">
        <v>56</v>
      </c>
      <c r="G15" s="61">
        <v>0.0</v>
      </c>
      <c r="H15" s="63">
        <v>252.85</v>
      </c>
      <c r="I15" s="60"/>
      <c r="J15" s="60"/>
      <c r="K15" s="64"/>
      <c r="L15" s="63">
        <v>1.0</v>
      </c>
      <c r="M15" s="64" t="s">
        <v>21</v>
      </c>
      <c r="N15" s="64" t="s">
        <v>51</v>
      </c>
      <c r="O15" s="64" t="s">
        <v>54</v>
      </c>
      <c r="P15" s="64" t="s">
        <v>19</v>
      </c>
      <c r="Q15" s="58" t="s">
        <v>55</v>
      </c>
      <c r="R15" s="63">
        <v>0.0</v>
      </c>
      <c r="S15" s="63">
        <v>252.85</v>
      </c>
    </row>
    <row r="16" ht="15.75" customHeight="1">
      <c r="A16" s="5"/>
      <c r="B16" s="65">
        <v>43872.0</v>
      </c>
      <c r="C16" s="58" t="s">
        <v>23</v>
      </c>
      <c r="D16" s="58" t="s">
        <v>26</v>
      </c>
      <c r="E16" s="58" t="s">
        <v>19</v>
      </c>
      <c r="F16" s="58" t="s">
        <v>56</v>
      </c>
      <c r="G16" s="57">
        <v>252.88</v>
      </c>
      <c r="H16" s="56">
        <v>0.0</v>
      </c>
      <c r="I16" s="54"/>
      <c r="J16" s="54"/>
      <c r="K16" s="58"/>
      <c r="L16" s="57">
        <v>1.0</v>
      </c>
      <c r="M16" s="58" t="s">
        <v>21</v>
      </c>
      <c r="N16" s="58" t="s">
        <v>48</v>
      </c>
      <c r="O16" s="58" t="s">
        <v>54</v>
      </c>
      <c r="P16" s="58" t="s">
        <v>19</v>
      </c>
      <c r="Q16" s="58" t="s">
        <v>59</v>
      </c>
      <c r="R16" s="57">
        <v>252.88</v>
      </c>
      <c r="S16" s="57">
        <v>0.0</v>
      </c>
    </row>
    <row r="17" ht="15.75" customHeight="1">
      <c r="A17" s="5"/>
      <c r="B17" s="65">
        <v>43872.0</v>
      </c>
      <c r="C17" s="58" t="s">
        <v>23</v>
      </c>
      <c r="D17" s="58" t="s">
        <v>26</v>
      </c>
      <c r="E17" s="58" t="s">
        <v>19</v>
      </c>
      <c r="F17" s="64" t="s">
        <v>53</v>
      </c>
      <c r="G17" s="61">
        <v>0.0</v>
      </c>
      <c r="H17" s="63">
        <v>252.88</v>
      </c>
      <c r="I17" s="60"/>
      <c r="J17" s="60"/>
      <c r="K17" s="64"/>
      <c r="L17" s="63">
        <v>1.0</v>
      </c>
      <c r="M17" s="64" t="s">
        <v>21</v>
      </c>
      <c r="N17" s="64" t="s">
        <v>51</v>
      </c>
      <c r="O17" s="64" t="s">
        <v>54</v>
      </c>
      <c r="P17" s="64" t="s">
        <v>19</v>
      </c>
      <c r="Q17" s="58" t="s">
        <v>59</v>
      </c>
      <c r="R17" s="63">
        <v>0.0</v>
      </c>
      <c r="S17" s="63">
        <v>252.88</v>
      </c>
    </row>
    <row r="18" ht="15.75" customHeight="1">
      <c r="A18" s="5"/>
      <c r="B18" s="65">
        <v>43873.0</v>
      </c>
      <c r="C18" s="58" t="s">
        <v>23</v>
      </c>
      <c r="D18" s="58" t="s">
        <v>26</v>
      </c>
      <c r="E18" s="58" t="s">
        <v>19</v>
      </c>
      <c r="F18" s="58" t="s">
        <v>53</v>
      </c>
      <c r="G18" s="57">
        <v>6749.92</v>
      </c>
      <c r="H18" s="56">
        <v>0.0</v>
      </c>
      <c r="I18" s="54"/>
      <c r="J18" s="54"/>
      <c r="K18" s="58"/>
      <c r="L18" s="57">
        <v>1.0</v>
      </c>
      <c r="M18" s="58" t="s">
        <v>21</v>
      </c>
      <c r="N18" s="58" t="s">
        <v>48</v>
      </c>
      <c r="O18" s="58" t="s">
        <v>54</v>
      </c>
      <c r="P18" s="58" t="s">
        <v>19</v>
      </c>
      <c r="Q18" s="58" t="s">
        <v>55</v>
      </c>
      <c r="R18" s="57">
        <v>6749.92</v>
      </c>
      <c r="S18" s="57">
        <v>0.0</v>
      </c>
    </row>
    <row r="19" ht="15.75" customHeight="1">
      <c r="A19" s="5"/>
      <c r="B19" s="65">
        <v>43873.0</v>
      </c>
      <c r="C19" s="58" t="s">
        <v>23</v>
      </c>
      <c r="D19" s="58" t="s">
        <v>26</v>
      </c>
      <c r="E19" s="58" t="s">
        <v>19</v>
      </c>
      <c r="F19" s="64" t="s">
        <v>56</v>
      </c>
      <c r="G19" s="61">
        <v>0.0</v>
      </c>
      <c r="H19" s="63">
        <v>6749.92</v>
      </c>
      <c r="I19" s="60"/>
      <c r="J19" s="60"/>
      <c r="K19" s="64"/>
      <c r="L19" s="63">
        <v>1.0</v>
      </c>
      <c r="M19" s="64" t="s">
        <v>21</v>
      </c>
      <c r="N19" s="64" t="s">
        <v>51</v>
      </c>
      <c r="O19" s="64" t="s">
        <v>54</v>
      </c>
      <c r="P19" s="64" t="s">
        <v>19</v>
      </c>
      <c r="Q19" s="58" t="s">
        <v>55</v>
      </c>
      <c r="R19" s="63">
        <v>0.0</v>
      </c>
      <c r="S19" s="63">
        <v>6749.92</v>
      </c>
    </row>
    <row r="20" ht="15.75" customHeight="1">
      <c r="A20" s="5"/>
      <c r="B20" s="65">
        <v>43873.0</v>
      </c>
      <c r="C20" s="58" t="s">
        <v>23</v>
      </c>
      <c r="D20" s="58" t="s">
        <v>37</v>
      </c>
      <c r="E20" s="58" t="s">
        <v>19</v>
      </c>
      <c r="F20" s="58" t="s">
        <v>53</v>
      </c>
      <c r="G20" s="57">
        <v>517.85</v>
      </c>
      <c r="H20" s="56">
        <v>0.0</v>
      </c>
      <c r="I20" s="54"/>
      <c r="J20" s="54"/>
      <c r="K20" s="58"/>
      <c r="L20" s="57">
        <v>1.0</v>
      </c>
      <c r="M20" s="58" t="s">
        <v>21</v>
      </c>
      <c r="N20" s="58" t="s">
        <v>48</v>
      </c>
      <c r="O20" s="58" t="s">
        <v>54</v>
      </c>
      <c r="P20" s="58" t="s">
        <v>19</v>
      </c>
      <c r="Q20" s="58" t="s">
        <v>55</v>
      </c>
      <c r="R20" s="57">
        <v>517.85</v>
      </c>
      <c r="S20" s="57">
        <v>0.0</v>
      </c>
    </row>
    <row r="21" ht="15.75" customHeight="1">
      <c r="A21" s="5"/>
      <c r="B21" s="65">
        <v>43873.0</v>
      </c>
      <c r="C21" s="58" t="s">
        <v>23</v>
      </c>
      <c r="D21" s="58" t="s">
        <v>37</v>
      </c>
      <c r="E21" s="58" t="s">
        <v>19</v>
      </c>
      <c r="F21" s="64" t="s">
        <v>56</v>
      </c>
      <c r="G21" s="61">
        <v>0.0</v>
      </c>
      <c r="H21" s="63">
        <v>517.85</v>
      </c>
      <c r="I21" s="60"/>
      <c r="J21" s="60"/>
      <c r="K21" s="64"/>
      <c r="L21" s="63">
        <v>1.0</v>
      </c>
      <c r="M21" s="64" t="s">
        <v>21</v>
      </c>
      <c r="N21" s="64" t="s">
        <v>51</v>
      </c>
      <c r="O21" s="64" t="s">
        <v>54</v>
      </c>
      <c r="P21" s="64" t="s">
        <v>19</v>
      </c>
      <c r="Q21" s="58" t="s">
        <v>55</v>
      </c>
      <c r="R21" s="63">
        <v>0.0</v>
      </c>
      <c r="S21" s="63">
        <v>517.85</v>
      </c>
    </row>
    <row r="22" ht="15.75" customHeight="1">
      <c r="A22" s="5"/>
      <c r="B22" s="65">
        <v>43873.0</v>
      </c>
      <c r="C22" s="58" t="s">
        <v>23</v>
      </c>
      <c r="D22" s="58" t="s">
        <v>72</v>
      </c>
      <c r="E22" s="58" t="s">
        <v>19</v>
      </c>
      <c r="F22" s="58" t="s">
        <v>56</v>
      </c>
      <c r="G22" s="57">
        <v>2906.3</v>
      </c>
      <c r="H22" s="56">
        <v>0.0</v>
      </c>
      <c r="I22" s="54"/>
      <c r="J22" s="54"/>
      <c r="K22" s="58"/>
      <c r="L22" s="57">
        <v>1.0</v>
      </c>
      <c r="M22" s="58" t="s">
        <v>21</v>
      </c>
      <c r="N22" s="58" t="s">
        <v>48</v>
      </c>
      <c r="O22" s="58" t="s">
        <v>54</v>
      </c>
      <c r="P22" s="58" t="s">
        <v>19</v>
      </c>
      <c r="Q22" s="58" t="s">
        <v>55</v>
      </c>
      <c r="R22" s="57">
        <v>2906.3</v>
      </c>
      <c r="S22" s="57">
        <v>0.0</v>
      </c>
    </row>
    <row r="23" ht="15.75" customHeight="1">
      <c r="A23" s="5"/>
      <c r="B23" s="65">
        <v>43873.0</v>
      </c>
      <c r="C23" s="58" t="s">
        <v>23</v>
      </c>
      <c r="D23" s="58" t="s">
        <v>72</v>
      </c>
      <c r="E23" s="58" t="s">
        <v>19</v>
      </c>
      <c r="F23" s="64" t="s">
        <v>53</v>
      </c>
      <c r="G23" s="61">
        <v>0.0</v>
      </c>
      <c r="H23" s="63">
        <v>2906.3</v>
      </c>
      <c r="I23" s="60"/>
      <c r="J23" s="60"/>
      <c r="K23" s="64"/>
      <c r="L23" s="63">
        <v>1.0</v>
      </c>
      <c r="M23" s="64" t="s">
        <v>21</v>
      </c>
      <c r="N23" s="64" t="s">
        <v>51</v>
      </c>
      <c r="O23" s="64" t="s">
        <v>54</v>
      </c>
      <c r="P23" s="64" t="s">
        <v>19</v>
      </c>
      <c r="Q23" s="58" t="s">
        <v>55</v>
      </c>
      <c r="R23" s="63">
        <v>0.0</v>
      </c>
      <c r="S23" s="63">
        <v>2906.3</v>
      </c>
    </row>
    <row r="24" ht="15.75" customHeight="1">
      <c r="A24" s="5"/>
      <c r="B24" s="65">
        <v>43873.0</v>
      </c>
      <c r="C24" s="58" t="s">
        <v>23</v>
      </c>
      <c r="D24" s="58" t="s">
        <v>26</v>
      </c>
      <c r="E24" s="58" t="s">
        <v>19</v>
      </c>
      <c r="F24" s="58" t="s">
        <v>56</v>
      </c>
      <c r="G24" s="57">
        <v>517.88</v>
      </c>
      <c r="H24" s="56">
        <v>0.0</v>
      </c>
      <c r="I24" s="54"/>
      <c r="J24" s="54"/>
      <c r="K24" s="58"/>
      <c r="L24" s="57">
        <v>1.0</v>
      </c>
      <c r="M24" s="58" t="s">
        <v>21</v>
      </c>
      <c r="N24" s="58" t="s">
        <v>48</v>
      </c>
      <c r="O24" s="58" t="s">
        <v>54</v>
      </c>
      <c r="P24" s="58" t="s">
        <v>19</v>
      </c>
      <c r="Q24" s="58" t="s">
        <v>59</v>
      </c>
      <c r="R24" s="57">
        <v>517.88</v>
      </c>
      <c r="S24" s="57">
        <v>0.0</v>
      </c>
    </row>
    <row r="25" ht="15.75" customHeight="1">
      <c r="A25" s="5"/>
      <c r="B25" s="65">
        <v>43873.0</v>
      </c>
      <c r="C25" s="58" t="s">
        <v>23</v>
      </c>
      <c r="D25" s="58" t="s">
        <v>26</v>
      </c>
      <c r="E25" s="58" t="s">
        <v>19</v>
      </c>
      <c r="F25" s="64" t="s">
        <v>53</v>
      </c>
      <c r="G25" s="61">
        <v>0.0</v>
      </c>
      <c r="H25" s="63">
        <v>517.88</v>
      </c>
      <c r="I25" s="60"/>
      <c r="J25" s="60"/>
      <c r="K25" s="64"/>
      <c r="L25" s="63">
        <v>1.0</v>
      </c>
      <c r="M25" s="64" t="s">
        <v>21</v>
      </c>
      <c r="N25" s="64" t="s">
        <v>51</v>
      </c>
      <c r="O25" s="64" t="s">
        <v>54</v>
      </c>
      <c r="P25" s="64" t="s">
        <v>19</v>
      </c>
      <c r="Q25" s="58" t="s">
        <v>59</v>
      </c>
      <c r="R25" s="63">
        <v>0.0</v>
      </c>
      <c r="S25" s="63">
        <v>517.88</v>
      </c>
    </row>
    <row r="26" ht="15.75" customHeight="1">
      <c r="A26" s="5"/>
      <c r="B26" s="65">
        <v>43873.0</v>
      </c>
      <c r="C26" s="58" t="s">
        <v>23</v>
      </c>
      <c r="D26" s="58" t="s">
        <v>37</v>
      </c>
      <c r="E26" s="58" t="s">
        <v>19</v>
      </c>
      <c r="F26" s="58" t="s">
        <v>56</v>
      </c>
      <c r="G26" s="57">
        <v>252.85</v>
      </c>
      <c r="H26" s="56">
        <v>0.0</v>
      </c>
      <c r="I26" s="54"/>
      <c r="J26" s="54"/>
      <c r="K26" s="58"/>
      <c r="L26" s="57">
        <v>1.0</v>
      </c>
      <c r="M26" s="58" t="s">
        <v>21</v>
      </c>
      <c r="N26" s="58" t="s">
        <v>48</v>
      </c>
      <c r="O26" s="58" t="s">
        <v>54</v>
      </c>
      <c r="P26" s="58" t="s">
        <v>19</v>
      </c>
      <c r="Q26" s="58" t="s">
        <v>59</v>
      </c>
      <c r="R26" s="57">
        <v>252.85</v>
      </c>
      <c r="S26" s="57">
        <v>0.0</v>
      </c>
    </row>
    <row r="27" ht="15.75" customHeight="1">
      <c r="B27" s="65">
        <v>43873.0</v>
      </c>
      <c r="C27" s="58" t="s">
        <v>23</v>
      </c>
      <c r="D27" s="58" t="s">
        <v>37</v>
      </c>
      <c r="E27" s="58" t="s">
        <v>19</v>
      </c>
      <c r="F27" s="64" t="s">
        <v>53</v>
      </c>
      <c r="G27" s="61">
        <v>0.0</v>
      </c>
      <c r="H27" s="63">
        <v>252.85</v>
      </c>
      <c r="I27" s="60"/>
      <c r="J27" s="60"/>
      <c r="K27" s="64"/>
      <c r="L27" s="63">
        <v>1.0</v>
      </c>
      <c r="M27" s="64" t="s">
        <v>21</v>
      </c>
      <c r="N27" s="64" t="s">
        <v>51</v>
      </c>
      <c r="O27" s="64" t="s">
        <v>54</v>
      </c>
      <c r="P27" s="64" t="s">
        <v>19</v>
      </c>
      <c r="Q27" s="58" t="s">
        <v>59</v>
      </c>
      <c r="R27" s="63">
        <v>0.0</v>
      </c>
      <c r="S27" s="63">
        <v>252.85</v>
      </c>
    </row>
    <row r="28" ht="15.75" customHeight="1">
      <c r="B28" s="65">
        <v>43872.0</v>
      </c>
      <c r="C28" s="58" t="s">
        <v>18</v>
      </c>
      <c r="D28" s="58" t="s">
        <v>26</v>
      </c>
      <c r="E28" s="58" t="s">
        <v>19</v>
      </c>
      <c r="F28" s="58" t="s">
        <v>57</v>
      </c>
      <c r="G28" s="57">
        <v>18.83</v>
      </c>
      <c r="H28" s="56">
        <v>0.0</v>
      </c>
      <c r="I28" s="54"/>
      <c r="J28" s="54"/>
      <c r="K28" s="58"/>
      <c r="L28" s="57">
        <v>1.0</v>
      </c>
      <c r="M28" s="58" t="s">
        <v>21</v>
      </c>
      <c r="N28" s="58" t="s">
        <v>48</v>
      </c>
      <c r="O28" s="58" t="s">
        <v>54</v>
      </c>
      <c r="P28" s="58" t="s">
        <v>19</v>
      </c>
      <c r="Q28" s="58" t="s">
        <v>58</v>
      </c>
      <c r="R28" s="57">
        <v>18.83</v>
      </c>
      <c r="S28" s="57">
        <v>0.0</v>
      </c>
    </row>
    <row r="29" ht="15.75" customHeight="1">
      <c r="B29" s="65">
        <v>43872.0</v>
      </c>
      <c r="C29" s="58" t="s">
        <v>18</v>
      </c>
      <c r="D29" s="58" t="s">
        <v>26</v>
      </c>
      <c r="E29" s="58" t="s">
        <v>19</v>
      </c>
      <c r="F29" s="64" t="s">
        <v>50</v>
      </c>
      <c r="G29" s="61">
        <v>0.0</v>
      </c>
      <c r="H29" s="63">
        <v>18.83</v>
      </c>
      <c r="I29" s="60"/>
      <c r="J29" s="60"/>
      <c r="K29" s="64"/>
      <c r="L29" s="63">
        <v>1.0</v>
      </c>
      <c r="M29" s="64" t="s">
        <v>21</v>
      </c>
      <c r="N29" s="64" t="s">
        <v>51</v>
      </c>
      <c r="O29" s="64" t="s">
        <v>54</v>
      </c>
      <c r="P29" s="64" t="s">
        <v>19</v>
      </c>
      <c r="Q29" s="58" t="s">
        <v>58</v>
      </c>
      <c r="R29" s="63">
        <v>0.0</v>
      </c>
      <c r="S29" s="63">
        <v>18.83</v>
      </c>
    </row>
    <row r="30" ht="15.75" customHeight="1">
      <c r="B30" s="65">
        <v>43872.0</v>
      </c>
      <c r="C30" s="58" t="s">
        <v>18</v>
      </c>
      <c r="D30" s="58" t="s">
        <v>26</v>
      </c>
      <c r="E30" s="58" t="s">
        <v>19</v>
      </c>
      <c r="F30" s="58" t="s">
        <v>53</v>
      </c>
      <c r="G30" s="57">
        <v>508.11</v>
      </c>
      <c r="H30" s="56">
        <v>0.0</v>
      </c>
      <c r="I30" s="54"/>
      <c r="J30" s="54"/>
      <c r="K30" s="58"/>
      <c r="L30" s="57">
        <v>1.0</v>
      </c>
      <c r="M30" s="58" t="s">
        <v>21</v>
      </c>
      <c r="N30" s="58" t="s">
        <v>48</v>
      </c>
      <c r="O30" s="58" t="s">
        <v>54</v>
      </c>
      <c r="P30" s="58" t="s">
        <v>19</v>
      </c>
      <c r="Q30" s="58" t="s">
        <v>55</v>
      </c>
      <c r="R30" s="57">
        <v>508.11</v>
      </c>
      <c r="S30" s="57">
        <v>0.0</v>
      </c>
    </row>
    <row r="31" ht="15.75" customHeight="1">
      <c r="B31" s="65">
        <v>43872.0</v>
      </c>
      <c r="C31" s="58" t="s">
        <v>18</v>
      </c>
      <c r="D31" s="58" t="s">
        <v>26</v>
      </c>
      <c r="E31" s="58" t="s">
        <v>19</v>
      </c>
      <c r="F31" s="64" t="s">
        <v>56</v>
      </c>
      <c r="G31" s="61">
        <v>0.0</v>
      </c>
      <c r="H31" s="63">
        <v>508.11</v>
      </c>
      <c r="I31" s="60"/>
      <c r="J31" s="60"/>
      <c r="K31" s="64"/>
      <c r="L31" s="63">
        <v>1.0</v>
      </c>
      <c r="M31" s="64" t="s">
        <v>21</v>
      </c>
      <c r="N31" s="64" t="s">
        <v>51</v>
      </c>
      <c r="O31" s="64" t="s">
        <v>54</v>
      </c>
      <c r="P31" s="64" t="s">
        <v>19</v>
      </c>
      <c r="Q31" s="58" t="s">
        <v>55</v>
      </c>
      <c r="R31" s="63">
        <v>0.0</v>
      </c>
      <c r="S31" s="63">
        <v>508.11</v>
      </c>
    </row>
    <row r="32" ht="15.75" customHeight="1">
      <c r="B32" s="65">
        <v>43872.0</v>
      </c>
      <c r="C32" s="58" t="s">
        <v>18</v>
      </c>
      <c r="D32" s="58" t="s">
        <v>37</v>
      </c>
      <c r="E32" s="58" t="s">
        <v>19</v>
      </c>
      <c r="F32" s="58" t="s">
        <v>53</v>
      </c>
      <c r="G32" s="57">
        <v>248.08</v>
      </c>
      <c r="H32" s="56">
        <v>0.0</v>
      </c>
      <c r="I32" s="54"/>
      <c r="J32" s="54"/>
      <c r="K32" s="58"/>
      <c r="L32" s="57">
        <v>1.0</v>
      </c>
      <c r="M32" s="58" t="s">
        <v>21</v>
      </c>
      <c r="N32" s="58" t="s">
        <v>48</v>
      </c>
      <c r="O32" s="58" t="s">
        <v>54</v>
      </c>
      <c r="P32" s="58" t="s">
        <v>19</v>
      </c>
      <c r="Q32" s="58" t="s">
        <v>55</v>
      </c>
      <c r="R32" s="57">
        <v>248.08</v>
      </c>
      <c r="S32" s="57">
        <v>0.0</v>
      </c>
    </row>
    <row r="33" ht="15.75" customHeight="1">
      <c r="B33" s="65">
        <v>43872.0</v>
      </c>
      <c r="C33" s="58" t="s">
        <v>18</v>
      </c>
      <c r="D33" s="58" t="s">
        <v>37</v>
      </c>
      <c r="E33" s="58" t="s">
        <v>19</v>
      </c>
      <c r="F33" s="64" t="s">
        <v>56</v>
      </c>
      <c r="G33" s="61">
        <v>0.0</v>
      </c>
      <c r="H33" s="63">
        <v>248.08</v>
      </c>
      <c r="I33" s="60"/>
      <c r="J33" s="60"/>
      <c r="K33" s="64"/>
      <c r="L33" s="63">
        <v>1.0</v>
      </c>
      <c r="M33" s="64" t="s">
        <v>21</v>
      </c>
      <c r="N33" s="64" t="s">
        <v>51</v>
      </c>
      <c r="O33" s="64" t="s">
        <v>54</v>
      </c>
      <c r="P33" s="64" t="s">
        <v>19</v>
      </c>
      <c r="Q33" s="58" t="s">
        <v>55</v>
      </c>
      <c r="R33" s="63">
        <v>0.0</v>
      </c>
      <c r="S33" s="63">
        <v>248.08</v>
      </c>
    </row>
    <row r="34" ht="15.75" customHeight="1">
      <c r="B34" s="65">
        <v>43872.0</v>
      </c>
      <c r="C34" s="58" t="s">
        <v>18</v>
      </c>
      <c r="D34" s="58" t="s">
        <v>26</v>
      </c>
      <c r="E34" s="58" t="s">
        <v>19</v>
      </c>
      <c r="F34" s="58" t="s">
        <v>56</v>
      </c>
      <c r="G34" s="57">
        <v>248.11</v>
      </c>
      <c r="H34" s="56">
        <v>0.0</v>
      </c>
      <c r="I34" s="54"/>
      <c r="J34" s="54"/>
      <c r="K34" s="58"/>
      <c r="L34" s="57">
        <v>1.0</v>
      </c>
      <c r="M34" s="58" t="s">
        <v>21</v>
      </c>
      <c r="N34" s="58" t="s">
        <v>48</v>
      </c>
      <c r="O34" s="58" t="s">
        <v>54</v>
      </c>
      <c r="P34" s="58" t="s">
        <v>19</v>
      </c>
      <c r="Q34" s="58" t="s">
        <v>59</v>
      </c>
      <c r="R34" s="57">
        <v>248.11</v>
      </c>
      <c r="S34" s="57">
        <v>0.0</v>
      </c>
    </row>
    <row r="35" ht="15.75" customHeight="1">
      <c r="B35" s="65">
        <v>43872.0</v>
      </c>
      <c r="C35" s="58" t="s">
        <v>18</v>
      </c>
      <c r="D35" s="58" t="s">
        <v>26</v>
      </c>
      <c r="E35" s="58" t="s">
        <v>19</v>
      </c>
      <c r="F35" s="64" t="s">
        <v>53</v>
      </c>
      <c r="G35" s="61">
        <v>0.0</v>
      </c>
      <c r="H35" s="63">
        <v>248.11</v>
      </c>
      <c r="I35" s="60"/>
      <c r="J35" s="60"/>
      <c r="K35" s="64"/>
      <c r="L35" s="63">
        <v>1.0</v>
      </c>
      <c r="M35" s="64" t="s">
        <v>21</v>
      </c>
      <c r="N35" s="64" t="s">
        <v>51</v>
      </c>
      <c r="O35" s="64" t="s">
        <v>54</v>
      </c>
      <c r="P35" s="64" t="s">
        <v>19</v>
      </c>
      <c r="Q35" s="58" t="s">
        <v>59</v>
      </c>
      <c r="R35" s="63">
        <v>0.0</v>
      </c>
      <c r="S35" s="63">
        <v>248.11</v>
      </c>
    </row>
    <row r="36" ht="15.75" customHeight="1">
      <c r="B36" s="65">
        <v>43873.0</v>
      </c>
      <c r="C36" s="58" t="s">
        <v>18</v>
      </c>
      <c r="D36" s="58" t="s">
        <v>26</v>
      </c>
      <c r="E36" s="58" t="s">
        <v>19</v>
      </c>
      <c r="F36" s="58" t="s">
        <v>53</v>
      </c>
      <c r="G36" s="57">
        <v>6622.57</v>
      </c>
      <c r="H36" s="56">
        <v>0.0</v>
      </c>
      <c r="I36" s="54"/>
      <c r="J36" s="54"/>
      <c r="K36" s="58"/>
      <c r="L36" s="57">
        <v>1.0</v>
      </c>
      <c r="M36" s="58" t="s">
        <v>21</v>
      </c>
      <c r="N36" s="58" t="s">
        <v>48</v>
      </c>
      <c r="O36" s="58" t="s">
        <v>54</v>
      </c>
      <c r="P36" s="58" t="s">
        <v>19</v>
      </c>
      <c r="Q36" s="58" t="s">
        <v>55</v>
      </c>
      <c r="R36" s="57">
        <v>6622.57</v>
      </c>
      <c r="S36" s="57">
        <v>0.0</v>
      </c>
    </row>
    <row r="37" ht="15.75" customHeight="1">
      <c r="B37" s="65">
        <v>43873.0</v>
      </c>
      <c r="C37" s="58" t="s">
        <v>18</v>
      </c>
      <c r="D37" s="58" t="s">
        <v>26</v>
      </c>
      <c r="E37" s="58" t="s">
        <v>19</v>
      </c>
      <c r="F37" s="64" t="s">
        <v>56</v>
      </c>
      <c r="G37" s="61">
        <v>0.0</v>
      </c>
      <c r="H37" s="63">
        <v>6622.57</v>
      </c>
      <c r="I37" s="60"/>
      <c r="J37" s="60"/>
      <c r="K37" s="64"/>
      <c r="L37" s="63">
        <v>1.0</v>
      </c>
      <c r="M37" s="64" t="s">
        <v>21</v>
      </c>
      <c r="N37" s="64" t="s">
        <v>51</v>
      </c>
      <c r="O37" s="64" t="s">
        <v>54</v>
      </c>
      <c r="P37" s="64" t="s">
        <v>19</v>
      </c>
      <c r="Q37" s="58" t="s">
        <v>55</v>
      </c>
      <c r="R37" s="63">
        <v>0.0</v>
      </c>
      <c r="S37" s="63">
        <v>6622.57</v>
      </c>
    </row>
    <row r="38" ht="15.75" customHeight="1">
      <c r="B38" s="65">
        <v>43873.0</v>
      </c>
      <c r="C38" s="58" t="s">
        <v>18</v>
      </c>
      <c r="D38" s="58" t="s">
        <v>37</v>
      </c>
      <c r="E38" s="58" t="s">
        <v>19</v>
      </c>
      <c r="F38" s="58" t="s">
        <v>53</v>
      </c>
      <c r="G38" s="57">
        <v>508.08</v>
      </c>
      <c r="H38" s="56">
        <v>0.0</v>
      </c>
      <c r="I38" s="54"/>
      <c r="J38" s="54"/>
      <c r="K38" s="58"/>
      <c r="L38" s="57">
        <v>1.0</v>
      </c>
      <c r="M38" s="58" t="s">
        <v>21</v>
      </c>
      <c r="N38" s="58" t="s">
        <v>48</v>
      </c>
      <c r="O38" s="58" t="s">
        <v>54</v>
      </c>
      <c r="P38" s="58" t="s">
        <v>19</v>
      </c>
      <c r="Q38" s="58" t="s">
        <v>55</v>
      </c>
      <c r="R38" s="57">
        <v>508.08</v>
      </c>
      <c r="S38" s="57">
        <v>0.0</v>
      </c>
    </row>
    <row r="39" ht="15.75" customHeight="1">
      <c r="B39" s="65">
        <v>43873.0</v>
      </c>
      <c r="C39" s="58" t="s">
        <v>18</v>
      </c>
      <c r="D39" s="58" t="s">
        <v>37</v>
      </c>
      <c r="E39" s="58" t="s">
        <v>19</v>
      </c>
      <c r="F39" s="64" t="s">
        <v>56</v>
      </c>
      <c r="G39" s="61">
        <v>0.0</v>
      </c>
      <c r="H39" s="63">
        <v>508.08</v>
      </c>
      <c r="I39" s="60"/>
      <c r="J39" s="60"/>
      <c r="K39" s="64"/>
      <c r="L39" s="63">
        <v>1.0</v>
      </c>
      <c r="M39" s="64" t="s">
        <v>21</v>
      </c>
      <c r="N39" s="64" t="s">
        <v>51</v>
      </c>
      <c r="O39" s="64" t="s">
        <v>54</v>
      </c>
      <c r="P39" s="64" t="s">
        <v>19</v>
      </c>
      <c r="Q39" s="58" t="s">
        <v>55</v>
      </c>
      <c r="R39" s="63">
        <v>0.0</v>
      </c>
      <c r="S39" s="63">
        <v>508.08</v>
      </c>
    </row>
    <row r="40" ht="15.75" customHeight="1">
      <c r="B40" s="65">
        <v>43873.0</v>
      </c>
      <c r="C40" s="58" t="s">
        <v>18</v>
      </c>
      <c r="D40" s="58" t="s">
        <v>72</v>
      </c>
      <c r="E40" s="58" t="s">
        <v>19</v>
      </c>
      <c r="F40" s="58" t="s">
        <v>56</v>
      </c>
      <c r="G40" s="57">
        <v>2851.46</v>
      </c>
      <c r="H40" s="56">
        <v>0.0</v>
      </c>
      <c r="I40" s="54"/>
      <c r="J40" s="54"/>
      <c r="K40" s="58"/>
      <c r="L40" s="57">
        <v>1.0</v>
      </c>
      <c r="M40" s="58" t="s">
        <v>21</v>
      </c>
      <c r="N40" s="58" t="s">
        <v>48</v>
      </c>
      <c r="O40" s="58" t="s">
        <v>54</v>
      </c>
      <c r="P40" s="58" t="s">
        <v>19</v>
      </c>
      <c r="Q40" s="58" t="s">
        <v>55</v>
      </c>
      <c r="R40" s="57">
        <v>2851.46</v>
      </c>
      <c r="S40" s="57">
        <v>0.0</v>
      </c>
    </row>
    <row r="41" ht="15.75" customHeight="1">
      <c r="B41" s="65">
        <v>43873.0</v>
      </c>
      <c r="C41" s="58" t="s">
        <v>18</v>
      </c>
      <c r="D41" s="58" t="s">
        <v>72</v>
      </c>
      <c r="E41" s="58" t="s">
        <v>19</v>
      </c>
      <c r="F41" s="64" t="s">
        <v>53</v>
      </c>
      <c r="G41" s="61">
        <v>0.0</v>
      </c>
      <c r="H41" s="63">
        <v>2851.46</v>
      </c>
      <c r="I41" s="60"/>
      <c r="J41" s="60"/>
      <c r="K41" s="64"/>
      <c r="L41" s="63">
        <v>1.0</v>
      </c>
      <c r="M41" s="64" t="s">
        <v>21</v>
      </c>
      <c r="N41" s="64" t="s">
        <v>51</v>
      </c>
      <c r="O41" s="64" t="s">
        <v>54</v>
      </c>
      <c r="P41" s="64" t="s">
        <v>19</v>
      </c>
      <c r="Q41" s="58" t="s">
        <v>55</v>
      </c>
      <c r="R41" s="63">
        <v>0.0</v>
      </c>
      <c r="S41" s="63">
        <v>2851.46</v>
      </c>
    </row>
    <row r="42" ht="15.75" customHeight="1">
      <c r="B42" s="65">
        <v>43873.0</v>
      </c>
      <c r="C42" s="58" t="s">
        <v>18</v>
      </c>
      <c r="D42" s="58" t="s">
        <v>26</v>
      </c>
      <c r="E42" s="58" t="s">
        <v>19</v>
      </c>
      <c r="F42" s="58" t="s">
        <v>56</v>
      </c>
      <c r="G42" s="57">
        <v>508.11</v>
      </c>
      <c r="H42" s="56">
        <v>0.0</v>
      </c>
      <c r="I42" s="54"/>
      <c r="J42" s="54"/>
      <c r="K42" s="58"/>
      <c r="L42" s="57">
        <v>1.0</v>
      </c>
      <c r="M42" s="58" t="s">
        <v>21</v>
      </c>
      <c r="N42" s="58" t="s">
        <v>48</v>
      </c>
      <c r="O42" s="58" t="s">
        <v>54</v>
      </c>
      <c r="P42" s="58" t="s">
        <v>19</v>
      </c>
      <c r="Q42" s="58" t="s">
        <v>59</v>
      </c>
      <c r="R42" s="57">
        <v>508.11</v>
      </c>
      <c r="S42" s="57">
        <v>0.0</v>
      </c>
    </row>
    <row r="43" ht="15.75" customHeight="1">
      <c r="B43" s="65">
        <v>43873.0</v>
      </c>
      <c r="C43" s="58" t="s">
        <v>18</v>
      </c>
      <c r="D43" s="58" t="s">
        <v>26</v>
      </c>
      <c r="E43" s="58" t="s">
        <v>19</v>
      </c>
      <c r="F43" s="64" t="s">
        <v>53</v>
      </c>
      <c r="G43" s="61">
        <v>0.0</v>
      </c>
      <c r="H43" s="63">
        <v>508.11</v>
      </c>
      <c r="I43" s="60"/>
      <c r="J43" s="60"/>
      <c r="K43" s="64"/>
      <c r="L43" s="63">
        <v>1.0</v>
      </c>
      <c r="M43" s="64" t="s">
        <v>21</v>
      </c>
      <c r="N43" s="64" t="s">
        <v>51</v>
      </c>
      <c r="O43" s="64" t="s">
        <v>54</v>
      </c>
      <c r="P43" s="64" t="s">
        <v>19</v>
      </c>
      <c r="Q43" s="58" t="s">
        <v>59</v>
      </c>
      <c r="R43" s="63">
        <v>0.0</v>
      </c>
      <c r="S43" s="63">
        <v>508.11</v>
      </c>
    </row>
    <row r="44" ht="15.75" customHeight="1">
      <c r="B44" s="65">
        <v>43873.0</v>
      </c>
      <c r="C44" s="58" t="s">
        <v>18</v>
      </c>
      <c r="D44" s="58" t="s">
        <v>37</v>
      </c>
      <c r="E44" s="58" t="s">
        <v>19</v>
      </c>
      <c r="F44" s="58" t="s">
        <v>56</v>
      </c>
      <c r="G44" s="57">
        <v>248.08</v>
      </c>
      <c r="H44" s="56">
        <v>0.0</v>
      </c>
      <c r="I44" s="54"/>
      <c r="J44" s="54"/>
      <c r="K44" s="58"/>
      <c r="L44" s="57">
        <v>1.0</v>
      </c>
      <c r="M44" s="58" t="s">
        <v>21</v>
      </c>
      <c r="N44" s="58" t="s">
        <v>48</v>
      </c>
      <c r="O44" s="58" t="s">
        <v>54</v>
      </c>
      <c r="P44" s="58" t="s">
        <v>19</v>
      </c>
      <c r="Q44" s="58" t="s">
        <v>59</v>
      </c>
      <c r="R44" s="57">
        <v>248.08</v>
      </c>
      <c r="S44" s="57">
        <v>0.0</v>
      </c>
    </row>
    <row r="45" ht="15.75" customHeight="1">
      <c r="B45" s="65">
        <v>43873.0</v>
      </c>
      <c r="C45" s="58" t="s">
        <v>18</v>
      </c>
      <c r="D45" s="58" t="s">
        <v>37</v>
      </c>
      <c r="E45" s="58" t="s">
        <v>19</v>
      </c>
      <c r="F45" s="64" t="s">
        <v>53</v>
      </c>
      <c r="G45" s="61">
        <v>0.0</v>
      </c>
      <c r="H45" s="63">
        <v>248.08</v>
      </c>
      <c r="I45" s="60"/>
      <c r="J45" s="60"/>
      <c r="K45" s="64"/>
      <c r="L45" s="63">
        <v>1.0</v>
      </c>
      <c r="M45" s="64" t="s">
        <v>21</v>
      </c>
      <c r="N45" s="64" t="s">
        <v>51</v>
      </c>
      <c r="O45" s="64" t="s">
        <v>54</v>
      </c>
      <c r="P45" s="64" t="s">
        <v>19</v>
      </c>
      <c r="Q45" s="58" t="s">
        <v>59</v>
      </c>
      <c r="R45" s="63">
        <v>0.0</v>
      </c>
      <c r="S45" s="63">
        <v>248.08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24.14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47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53">
        <v>43871.0</v>
      </c>
      <c r="C6" s="54"/>
      <c r="D6" s="54"/>
      <c r="E6" s="55">
        <v>15611.89</v>
      </c>
      <c r="F6" s="56">
        <v>0.0</v>
      </c>
      <c r="G6" s="57">
        <v>1.0</v>
      </c>
      <c r="H6" s="58" t="s">
        <v>21</v>
      </c>
      <c r="I6" s="58" t="s">
        <v>48</v>
      </c>
      <c r="J6" s="58" t="s">
        <v>49</v>
      </c>
      <c r="K6" s="58" t="s">
        <v>19</v>
      </c>
      <c r="L6" s="58" t="s">
        <v>19</v>
      </c>
      <c r="M6" s="58" t="s">
        <v>26</v>
      </c>
      <c r="N6" s="59"/>
      <c r="O6" s="55">
        <v>15611.89</v>
      </c>
      <c r="P6" s="57">
        <v>0.0</v>
      </c>
      <c r="Q6" s="58" t="s">
        <v>50</v>
      </c>
      <c r="R6" s="58" t="s">
        <v>18</v>
      </c>
      <c r="S6" s="58"/>
    </row>
    <row r="7" ht="15.75" customHeight="1">
      <c r="A7" s="5"/>
      <c r="B7" s="53">
        <v>43871.0</v>
      </c>
      <c r="C7" s="60"/>
      <c r="D7" s="60"/>
      <c r="E7" s="61">
        <v>0.0</v>
      </c>
      <c r="F7" s="62">
        <v>15611.89</v>
      </c>
      <c r="G7" s="63">
        <v>1.0</v>
      </c>
      <c r="H7" s="64" t="s">
        <v>21</v>
      </c>
      <c r="I7" s="64" t="s">
        <v>51</v>
      </c>
      <c r="J7" s="64" t="s">
        <v>49</v>
      </c>
      <c r="K7" s="58" t="s">
        <v>19</v>
      </c>
      <c r="L7" s="64" t="s">
        <v>19</v>
      </c>
      <c r="M7" s="58" t="s">
        <v>26</v>
      </c>
      <c r="N7" s="59"/>
      <c r="O7" s="63">
        <v>0.0</v>
      </c>
      <c r="P7" s="62">
        <v>15611.89</v>
      </c>
      <c r="Q7" s="64" t="s">
        <v>20</v>
      </c>
      <c r="R7" s="58" t="s">
        <v>18</v>
      </c>
      <c r="S7" s="64"/>
    </row>
    <row r="8" ht="15.75" customHeight="1">
      <c r="A8" s="5"/>
      <c r="B8" s="53">
        <v>43871.0</v>
      </c>
      <c r="C8" s="54"/>
      <c r="D8" s="54"/>
      <c r="E8" s="55">
        <v>15912.12</v>
      </c>
      <c r="F8" s="56">
        <v>0.0</v>
      </c>
      <c r="G8" s="57">
        <v>1.0</v>
      </c>
      <c r="H8" s="58" t="s">
        <v>21</v>
      </c>
      <c r="I8" s="58" t="s">
        <v>48</v>
      </c>
      <c r="J8" s="58" t="s">
        <v>49</v>
      </c>
      <c r="K8" s="58" t="s">
        <v>19</v>
      </c>
      <c r="L8" s="58" t="s">
        <v>19</v>
      </c>
      <c r="M8" s="58" t="s">
        <v>26</v>
      </c>
      <c r="N8" s="59"/>
      <c r="O8" s="55">
        <v>15912.12</v>
      </c>
      <c r="P8" s="57">
        <v>0.0</v>
      </c>
      <c r="Q8" s="58" t="s">
        <v>50</v>
      </c>
      <c r="R8" s="58" t="s">
        <v>23</v>
      </c>
      <c r="S8" s="58"/>
    </row>
    <row r="9" ht="15.75" customHeight="1">
      <c r="A9" s="5"/>
      <c r="B9" s="53">
        <v>43871.0</v>
      </c>
      <c r="C9" s="60"/>
      <c r="D9" s="60"/>
      <c r="E9" s="61">
        <v>0.0</v>
      </c>
      <c r="F9" s="62">
        <v>15912.12</v>
      </c>
      <c r="G9" s="63">
        <v>1.0</v>
      </c>
      <c r="H9" s="64" t="s">
        <v>21</v>
      </c>
      <c r="I9" s="64" t="s">
        <v>51</v>
      </c>
      <c r="J9" s="64" t="s">
        <v>49</v>
      </c>
      <c r="K9" s="58" t="s">
        <v>19</v>
      </c>
      <c r="L9" s="64" t="s">
        <v>19</v>
      </c>
      <c r="M9" s="58" t="s">
        <v>26</v>
      </c>
      <c r="N9" s="59"/>
      <c r="O9" s="63">
        <v>0.0</v>
      </c>
      <c r="P9" s="62">
        <v>15912.12</v>
      </c>
      <c r="Q9" s="64" t="s">
        <v>20</v>
      </c>
      <c r="R9" s="58" t="s">
        <v>23</v>
      </c>
      <c r="S9" s="64"/>
    </row>
    <row r="10" ht="15.75" customHeight="1">
      <c r="A10" s="5"/>
      <c r="B10" s="53">
        <v>43872.0</v>
      </c>
      <c r="C10" s="54"/>
      <c r="D10" s="54"/>
      <c r="E10" s="55">
        <v>15611.89</v>
      </c>
      <c r="F10" s="56">
        <v>0.0</v>
      </c>
      <c r="G10" s="57">
        <v>1.0</v>
      </c>
      <c r="H10" s="58" t="s">
        <v>21</v>
      </c>
      <c r="I10" s="58" t="s">
        <v>48</v>
      </c>
      <c r="J10" s="58" t="s">
        <v>49</v>
      </c>
      <c r="K10" s="58" t="s">
        <v>19</v>
      </c>
      <c r="L10" s="58" t="s">
        <v>19</v>
      </c>
      <c r="M10" s="58" t="s">
        <v>26</v>
      </c>
      <c r="N10" s="59"/>
      <c r="O10" s="55">
        <v>15611.89</v>
      </c>
      <c r="P10" s="57">
        <v>0.0</v>
      </c>
      <c r="Q10" s="58" t="s">
        <v>50</v>
      </c>
      <c r="R10" s="58" t="s">
        <v>18</v>
      </c>
      <c r="S10" s="58"/>
    </row>
    <row r="11" ht="15.75" customHeight="1">
      <c r="A11" s="5"/>
      <c r="B11" s="53">
        <v>43872.0</v>
      </c>
      <c r="C11" s="60"/>
      <c r="D11" s="60"/>
      <c r="E11" s="61">
        <v>0.0</v>
      </c>
      <c r="F11" s="62">
        <v>15611.89</v>
      </c>
      <c r="G11" s="63">
        <v>1.0</v>
      </c>
      <c r="H11" s="64" t="s">
        <v>21</v>
      </c>
      <c r="I11" s="64" t="s">
        <v>51</v>
      </c>
      <c r="J11" s="64" t="s">
        <v>49</v>
      </c>
      <c r="K11" s="58" t="s">
        <v>19</v>
      </c>
      <c r="L11" s="64" t="s">
        <v>19</v>
      </c>
      <c r="M11" s="58" t="s">
        <v>26</v>
      </c>
      <c r="N11" s="59"/>
      <c r="O11" s="63">
        <v>0.0</v>
      </c>
      <c r="P11" s="62">
        <v>15611.89</v>
      </c>
      <c r="Q11" s="64" t="s">
        <v>20</v>
      </c>
      <c r="R11" s="58" t="s">
        <v>18</v>
      </c>
      <c r="S11" s="64"/>
    </row>
    <row r="12" ht="15.75" customHeight="1">
      <c r="A12" s="5"/>
      <c r="B12" s="53">
        <v>43872.0</v>
      </c>
      <c r="C12" s="54"/>
      <c r="D12" s="54"/>
      <c r="E12" s="55">
        <v>15912.12</v>
      </c>
      <c r="F12" s="56">
        <v>0.0</v>
      </c>
      <c r="G12" s="57">
        <v>1.0</v>
      </c>
      <c r="H12" s="58" t="s">
        <v>21</v>
      </c>
      <c r="I12" s="58" t="s">
        <v>48</v>
      </c>
      <c r="J12" s="58" t="s">
        <v>49</v>
      </c>
      <c r="K12" s="58" t="s">
        <v>19</v>
      </c>
      <c r="L12" s="58" t="s">
        <v>19</v>
      </c>
      <c r="M12" s="58" t="s">
        <v>26</v>
      </c>
      <c r="N12" s="59"/>
      <c r="O12" s="55">
        <v>15912.12</v>
      </c>
      <c r="P12" s="57">
        <v>0.0</v>
      </c>
      <c r="Q12" s="58" t="s">
        <v>50</v>
      </c>
      <c r="R12" s="58" t="s">
        <v>23</v>
      </c>
      <c r="S12" s="58"/>
    </row>
    <row r="13" ht="15.75" customHeight="1">
      <c r="A13" s="5"/>
      <c r="B13" s="53">
        <v>43872.0</v>
      </c>
      <c r="C13" s="60"/>
      <c r="D13" s="60"/>
      <c r="E13" s="61">
        <v>0.0</v>
      </c>
      <c r="F13" s="62">
        <v>15912.12</v>
      </c>
      <c r="G13" s="63">
        <v>1.0</v>
      </c>
      <c r="H13" s="64" t="s">
        <v>21</v>
      </c>
      <c r="I13" s="64" t="s">
        <v>51</v>
      </c>
      <c r="J13" s="64" t="s">
        <v>49</v>
      </c>
      <c r="K13" s="58" t="s">
        <v>19</v>
      </c>
      <c r="L13" s="64" t="s">
        <v>19</v>
      </c>
      <c r="M13" s="58" t="s">
        <v>26</v>
      </c>
      <c r="N13" s="59"/>
      <c r="O13" s="63">
        <v>0.0</v>
      </c>
      <c r="P13" s="62">
        <v>15912.12</v>
      </c>
      <c r="Q13" s="64" t="s">
        <v>20</v>
      </c>
      <c r="R13" s="58" t="s">
        <v>23</v>
      </c>
      <c r="S13" s="64"/>
    </row>
    <row r="14" ht="15.75" customHeight="1">
      <c r="A14" s="5"/>
      <c r="B14" s="53">
        <v>43872.0</v>
      </c>
      <c r="C14" s="54"/>
      <c r="D14" s="54"/>
      <c r="E14" s="55">
        <v>68391.92</v>
      </c>
      <c r="F14" s="56">
        <v>0.0</v>
      </c>
      <c r="G14" s="57">
        <v>1.0</v>
      </c>
      <c r="H14" s="58" t="s">
        <v>21</v>
      </c>
      <c r="I14" s="58" t="s">
        <v>48</v>
      </c>
      <c r="J14" s="58" t="s">
        <v>49</v>
      </c>
      <c r="K14" s="58" t="s">
        <v>19</v>
      </c>
      <c r="L14" s="58" t="s">
        <v>19</v>
      </c>
      <c r="M14" s="58" t="s">
        <v>37</v>
      </c>
      <c r="N14" s="59"/>
      <c r="O14" s="55">
        <v>68391.92</v>
      </c>
      <c r="P14" s="57">
        <v>0.0</v>
      </c>
      <c r="Q14" s="58" t="s">
        <v>50</v>
      </c>
      <c r="R14" s="58" t="s">
        <v>18</v>
      </c>
      <c r="S14" s="58"/>
    </row>
    <row r="15" ht="15.75" customHeight="1">
      <c r="A15" s="5"/>
      <c r="B15" s="53">
        <v>43872.0</v>
      </c>
      <c r="C15" s="60"/>
      <c r="D15" s="60"/>
      <c r="E15" s="61">
        <v>0.0</v>
      </c>
      <c r="F15" s="62">
        <v>68391.92</v>
      </c>
      <c r="G15" s="63">
        <v>1.0</v>
      </c>
      <c r="H15" s="64" t="s">
        <v>21</v>
      </c>
      <c r="I15" s="64" t="s">
        <v>51</v>
      </c>
      <c r="J15" s="64" t="s">
        <v>49</v>
      </c>
      <c r="K15" s="58" t="s">
        <v>19</v>
      </c>
      <c r="L15" s="64" t="s">
        <v>19</v>
      </c>
      <c r="M15" s="58" t="s">
        <v>37</v>
      </c>
      <c r="N15" s="59"/>
      <c r="O15" s="63">
        <v>0.0</v>
      </c>
      <c r="P15" s="62">
        <v>68391.92</v>
      </c>
      <c r="Q15" s="64" t="s">
        <v>20</v>
      </c>
      <c r="R15" s="58" t="s">
        <v>18</v>
      </c>
      <c r="S15" s="64"/>
    </row>
    <row r="16" ht="15.75" customHeight="1">
      <c r="A16" s="5"/>
      <c r="B16" s="53">
        <v>43872.0</v>
      </c>
      <c r="C16" s="54"/>
      <c r="D16" s="54"/>
      <c r="E16" s="55">
        <v>69707.15</v>
      </c>
      <c r="F16" s="56">
        <v>0.0</v>
      </c>
      <c r="G16" s="57">
        <v>1.0</v>
      </c>
      <c r="H16" s="58" t="s">
        <v>21</v>
      </c>
      <c r="I16" s="58" t="s">
        <v>48</v>
      </c>
      <c r="J16" s="58" t="s">
        <v>49</v>
      </c>
      <c r="K16" s="58" t="s">
        <v>19</v>
      </c>
      <c r="L16" s="58" t="s">
        <v>19</v>
      </c>
      <c r="M16" s="58" t="s">
        <v>37</v>
      </c>
      <c r="N16" s="59"/>
      <c r="O16" s="55">
        <v>69707.15</v>
      </c>
      <c r="P16" s="57">
        <v>0.0</v>
      </c>
      <c r="Q16" s="58" t="s">
        <v>50</v>
      </c>
      <c r="R16" s="58" t="s">
        <v>23</v>
      </c>
      <c r="S16" s="58"/>
    </row>
    <row r="17" ht="15.75" customHeight="1">
      <c r="A17" s="5"/>
      <c r="B17" s="53">
        <v>43872.0</v>
      </c>
      <c r="C17" s="60"/>
      <c r="D17" s="60"/>
      <c r="E17" s="61">
        <v>0.0</v>
      </c>
      <c r="F17" s="62">
        <v>69707.15</v>
      </c>
      <c r="G17" s="63">
        <v>1.0</v>
      </c>
      <c r="H17" s="64" t="s">
        <v>21</v>
      </c>
      <c r="I17" s="64" t="s">
        <v>51</v>
      </c>
      <c r="J17" s="64" t="s">
        <v>49</v>
      </c>
      <c r="K17" s="58" t="s">
        <v>19</v>
      </c>
      <c r="L17" s="64" t="s">
        <v>19</v>
      </c>
      <c r="M17" s="58" t="s">
        <v>37</v>
      </c>
      <c r="N17" s="59"/>
      <c r="O17" s="63">
        <v>0.0</v>
      </c>
      <c r="P17" s="62">
        <v>69707.15</v>
      </c>
      <c r="Q17" s="64" t="s">
        <v>20</v>
      </c>
      <c r="R17" s="58" t="s">
        <v>23</v>
      </c>
      <c r="S17" s="64"/>
    </row>
    <row r="18" ht="15.75" customHeight="1">
      <c r="A18" s="5"/>
      <c r="B18" s="53">
        <v>43872.0</v>
      </c>
      <c r="C18" s="54"/>
      <c r="D18" s="54"/>
      <c r="E18" s="55">
        <v>7.08</v>
      </c>
      <c r="F18" s="56">
        <v>0.0</v>
      </c>
      <c r="G18" s="57">
        <v>1.0</v>
      </c>
      <c r="H18" s="58" t="s">
        <v>21</v>
      </c>
      <c r="I18" s="58" t="s">
        <v>48</v>
      </c>
      <c r="J18" s="58" t="s">
        <v>49</v>
      </c>
      <c r="K18" s="58" t="s">
        <v>19</v>
      </c>
      <c r="L18" s="58" t="s">
        <v>19</v>
      </c>
      <c r="M18" s="58" t="s">
        <v>26</v>
      </c>
      <c r="N18" s="59"/>
      <c r="O18" s="55">
        <v>7.08</v>
      </c>
      <c r="P18" s="57">
        <v>0.0</v>
      </c>
      <c r="Q18" s="58" t="s">
        <v>50</v>
      </c>
      <c r="R18" s="58" t="s">
        <v>23</v>
      </c>
      <c r="S18" s="58"/>
    </row>
    <row r="19" ht="15.75" customHeight="1">
      <c r="A19" s="5"/>
      <c r="B19" s="53">
        <v>43872.0</v>
      </c>
      <c r="C19" s="60"/>
      <c r="D19" s="60"/>
      <c r="E19" s="61">
        <v>0.0</v>
      </c>
      <c r="F19" s="62">
        <v>7.08</v>
      </c>
      <c r="G19" s="63">
        <v>1.0</v>
      </c>
      <c r="H19" s="64" t="s">
        <v>21</v>
      </c>
      <c r="I19" s="64" t="s">
        <v>51</v>
      </c>
      <c r="J19" s="64" t="s">
        <v>49</v>
      </c>
      <c r="K19" s="58" t="s">
        <v>19</v>
      </c>
      <c r="L19" s="64" t="s">
        <v>19</v>
      </c>
      <c r="M19" s="58" t="s">
        <v>26</v>
      </c>
      <c r="N19" s="59"/>
      <c r="O19" s="63">
        <v>0.0</v>
      </c>
      <c r="P19" s="62">
        <v>7.08</v>
      </c>
      <c r="Q19" s="64" t="s">
        <v>20</v>
      </c>
      <c r="R19" s="58" t="s">
        <v>23</v>
      </c>
      <c r="S19" s="64"/>
    </row>
    <row r="20" ht="15.75" customHeight="1">
      <c r="A20" s="5"/>
      <c r="B20" s="53">
        <v>43872.0</v>
      </c>
      <c r="C20" s="54"/>
      <c r="D20" s="54"/>
      <c r="E20" s="57">
        <v>15900.0</v>
      </c>
      <c r="F20" s="56">
        <v>0.0</v>
      </c>
      <c r="G20" s="57">
        <v>1.0</v>
      </c>
      <c r="H20" s="58" t="s">
        <v>21</v>
      </c>
      <c r="I20" s="58" t="s">
        <v>48</v>
      </c>
      <c r="J20" s="58" t="s">
        <v>49</v>
      </c>
      <c r="K20" s="58" t="s">
        <v>19</v>
      </c>
      <c r="L20" s="58" t="s">
        <v>19</v>
      </c>
      <c r="M20" s="58" t="s">
        <v>26</v>
      </c>
      <c r="N20" s="59"/>
      <c r="O20" s="57">
        <v>15900.0</v>
      </c>
      <c r="P20" s="57">
        <v>0.0</v>
      </c>
      <c r="Q20" s="58" t="s">
        <v>20</v>
      </c>
      <c r="R20" s="58" t="s">
        <v>23</v>
      </c>
      <c r="S20" s="58"/>
    </row>
    <row r="21" ht="15.75" customHeight="1">
      <c r="A21" s="5"/>
      <c r="B21" s="53">
        <v>43872.0</v>
      </c>
      <c r="C21" s="60"/>
      <c r="D21" s="60"/>
      <c r="E21" s="61">
        <v>0.0</v>
      </c>
      <c r="F21" s="63">
        <v>15900.0</v>
      </c>
      <c r="G21" s="63">
        <v>1.0</v>
      </c>
      <c r="H21" s="64" t="s">
        <v>21</v>
      </c>
      <c r="I21" s="64" t="s">
        <v>51</v>
      </c>
      <c r="J21" s="64" t="s">
        <v>49</v>
      </c>
      <c r="K21" s="58" t="s">
        <v>19</v>
      </c>
      <c r="L21" s="64" t="s">
        <v>19</v>
      </c>
      <c r="M21" s="58" t="s">
        <v>26</v>
      </c>
      <c r="N21" s="59"/>
      <c r="O21" s="63">
        <v>0.0</v>
      </c>
      <c r="P21" s="63">
        <v>15900.0</v>
      </c>
      <c r="Q21" s="64" t="s">
        <v>50</v>
      </c>
      <c r="R21" s="58" t="s">
        <v>23</v>
      </c>
      <c r="S21" s="64"/>
    </row>
    <row r="22" ht="15.75" customHeight="1">
      <c r="A22" s="5"/>
      <c r="B22" s="53">
        <v>43872.0</v>
      </c>
      <c r="C22" s="54"/>
      <c r="D22" s="54"/>
      <c r="E22" s="55">
        <v>6.94</v>
      </c>
      <c r="F22" s="56">
        <v>0.0</v>
      </c>
      <c r="G22" s="57">
        <v>1.0</v>
      </c>
      <c r="H22" s="58" t="s">
        <v>21</v>
      </c>
      <c r="I22" s="58" t="s">
        <v>48</v>
      </c>
      <c r="J22" s="58" t="s">
        <v>49</v>
      </c>
      <c r="K22" s="58" t="s">
        <v>19</v>
      </c>
      <c r="L22" s="58" t="s">
        <v>19</v>
      </c>
      <c r="M22" s="58" t="s">
        <v>26</v>
      </c>
      <c r="N22" s="59"/>
      <c r="O22" s="55">
        <v>6.94</v>
      </c>
      <c r="P22" s="57">
        <v>0.0</v>
      </c>
      <c r="Q22" s="58" t="s">
        <v>50</v>
      </c>
      <c r="R22" s="58" t="s">
        <v>18</v>
      </c>
      <c r="S22" s="58"/>
    </row>
    <row r="23" ht="15.75" customHeight="1">
      <c r="A23" s="5"/>
      <c r="B23" s="53">
        <v>43872.0</v>
      </c>
      <c r="C23" s="60"/>
      <c r="D23" s="60"/>
      <c r="E23" s="61">
        <v>0.0</v>
      </c>
      <c r="F23" s="62">
        <v>6.94</v>
      </c>
      <c r="G23" s="63">
        <v>1.0</v>
      </c>
      <c r="H23" s="64" t="s">
        <v>21</v>
      </c>
      <c r="I23" s="64" t="s">
        <v>51</v>
      </c>
      <c r="J23" s="64" t="s">
        <v>49</v>
      </c>
      <c r="K23" s="58" t="s">
        <v>19</v>
      </c>
      <c r="L23" s="64" t="s">
        <v>19</v>
      </c>
      <c r="M23" s="58" t="s">
        <v>26</v>
      </c>
      <c r="N23" s="59"/>
      <c r="O23" s="63">
        <v>0.0</v>
      </c>
      <c r="P23" s="62">
        <v>6.94</v>
      </c>
      <c r="Q23" s="64" t="s">
        <v>20</v>
      </c>
      <c r="R23" s="58" t="s">
        <v>18</v>
      </c>
      <c r="S23" s="64"/>
    </row>
    <row r="24" ht="15.75" customHeight="1">
      <c r="A24" s="5"/>
      <c r="B24" s="53">
        <v>43872.0</v>
      </c>
      <c r="C24" s="54"/>
      <c r="D24" s="54"/>
      <c r="E24" s="57">
        <v>15600.0</v>
      </c>
      <c r="F24" s="56">
        <v>0.0</v>
      </c>
      <c r="G24" s="57">
        <v>1.0</v>
      </c>
      <c r="H24" s="58" t="s">
        <v>21</v>
      </c>
      <c r="I24" s="58" t="s">
        <v>48</v>
      </c>
      <c r="J24" s="58" t="s">
        <v>49</v>
      </c>
      <c r="K24" s="58" t="s">
        <v>19</v>
      </c>
      <c r="L24" s="58" t="s">
        <v>19</v>
      </c>
      <c r="M24" s="58" t="s">
        <v>26</v>
      </c>
      <c r="N24" s="59"/>
      <c r="O24" s="57">
        <v>15600.0</v>
      </c>
      <c r="P24" s="57">
        <v>0.0</v>
      </c>
      <c r="Q24" s="58" t="s">
        <v>20</v>
      </c>
      <c r="R24" s="58" t="s">
        <v>18</v>
      </c>
      <c r="S24" s="58"/>
    </row>
    <row r="25" ht="15.75" customHeight="1">
      <c r="A25" s="5"/>
      <c r="B25" s="53">
        <v>43872.0</v>
      </c>
      <c r="C25" s="60"/>
      <c r="D25" s="60"/>
      <c r="E25" s="61">
        <v>0.0</v>
      </c>
      <c r="F25" s="63">
        <v>15600.0</v>
      </c>
      <c r="G25" s="63">
        <v>1.0</v>
      </c>
      <c r="H25" s="64" t="s">
        <v>21</v>
      </c>
      <c r="I25" s="64" t="s">
        <v>51</v>
      </c>
      <c r="J25" s="64" t="s">
        <v>49</v>
      </c>
      <c r="K25" s="58" t="s">
        <v>19</v>
      </c>
      <c r="L25" s="64" t="s">
        <v>19</v>
      </c>
      <c r="M25" s="58" t="s">
        <v>26</v>
      </c>
      <c r="N25" s="59"/>
      <c r="O25" s="63">
        <v>0.0</v>
      </c>
      <c r="P25" s="63">
        <v>15600.0</v>
      </c>
      <c r="Q25" s="64" t="s">
        <v>50</v>
      </c>
      <c r="R25" s="58" t="s">
        <v>18</v>
      </c>
      <c r="S25" s="64"/>
    </row>
    <row r="26" ht="15.75" customHeight="1">
      <c r="A26" s="5"/>
      <c r="B26" s="65">
        <v>43873.0</v>
      </c>
      <c r="C26" s="54"/>
      <c r="D26" s="65"/>
      <c r="E26" s="55">
        <v>15912.12</v>
      </c>
      <c r="F26" s="56">
        <v>0.0</v>
      </c>
      <c r="G26" s="57">
        <v>1.0</v>
      </c>
      <c r="H26" s="58" t="s">
        <v>21</v>
      </c>
      <c r="I26" s="58" t="s">
        <v>48</v>
      </c>
      <c r="J26" s="58" t="s">
        <v>49</v>
      </c>
      <c r="K26" s="58" t="s">
        <v>19</v>
      </c>
      <c r="L26" s="58" t="s">
        <v>19</v>
      </c>
      <c r="M26" s="58" t="s">
        <v>26</v>
      </c>
      <c r="N26" s="59"/>
      <c r="O26" s="55">
        <v>15912.12</v>
      </c>
      <c r="P26" s="57">
        <v>0.0</v>
      </c>
      <c r="Q26" s="58" t="s">
        <v>20</v>
      </c>
      <c r="R26" s="58" t="s">
        <v>23</v>
      </c>
      <c r="S26" s="58"/>
    </row>
    <row r="27" ht="15.75" customHeight="1">
      <c r="B27" s="65">
        <v>43873.0</v>
      </c>
      <c r="C27" s="60"/>
      <c r="D27" s="92"/>
      <c r="E27" s="61">
        <v>0.0</v>
      </c>
      <c r="F27" s="62">
        <v>15912.12</v>
      </c>
      <c r="G27" s="63">
        <v>1.0</v>
      </c>
      <c r="H27" s="64" t="s">
        <v>21</v>
      </c>
      <c r="I27" s="64" t="s">
        <v>51</v>
      </c>
      <c r="J27" s="64" t="s">
        <v>49</v>
      </c>
      <c r="K27" s="58" t="s">
        <v>19</v>
      </c>
      <c r="L27" s="64" t="s">
        <v>19</v>
      </c>
      <c r="M27" s="58" t="s">
        <v>26</v>
      </c>
      <c r="N27" s="59"/>
      <c r="O27" s="63">
        <v>0.0</v>
      </c>
      <c r="P27" s="62">
        <v>15912.12</v>
      </c>
      <c r="Q27" s="64" t="s">
        <v>50</v>
      </c>
      <c r="R27" s="58" t="s">
        <v>23</v>
      </c>
      <c r="S27" s="64"/>
    </row>
    <row r="28" ht="15.75" customHeight="1">
      <c r="B28" s="65">
        <v>43873.0</v>
      </c>
      <c r="C28" s="54"/>
      <c r="D28" s="65"/>
      <c r="E28" s="55">
        <v>9945.08</v>
      </c>
      <c r="F28" s="56">
        <v>0.0</v>
      </c>
      <c r="G28" s="57">
        <v>1.0</v>
      </c>
      <c r="H28" s="58" t="s">
        <v>21</v>
      </c>
      <c r="I28" s="58" t="s">
        <v>48</v>
      </c>
      <c r="J28" s="58" t="s">
        <v>49</v>
      </c>
      <c r="K28" s="58" t="s">
        <v>19</v>
      </c>
      <c r="L28" s="58" t="s">
        <v>19</v>
      </c>
      <c r="M28" s="58" t="s">
        <v>26</v>
      </c>
      <c r="N28" s="59"/>
      <c r="O28" s="55">
        <v>9945.08</v>
      </c>
      <c r="P28" s="57">
        <v>0.0</v>
      </c>
      <c r="Q28" s="58" t="s">
        <v>50</v>
      </c>
      <c r="R28" s="58" t="s">
        <v>23</v>
      </c>
      <c r="S28" s="58"/>
    </row>
    <row r="29" ht="15.75" customHeight="1">
      <c r="B29" s="65">
        <v>43873.0</v>
      </c>
      <c r="C29" s="60"/>
      <c r="D29" s="92"/>
      <c r="E29" s="61">
        <v>0.0</v>
      </c>
      <c r="F29" s="62">
        <v>9945.08</v>
      </c>
      <c r="G29" s="63">
        <v>1.0</v>
      </c>
      <c r="H29" s="64" t="s">
        <v>21</v>
      </c>
      <c r="I29" s="64" t="s">
        <v>51</v>
      </c>
      <c r="J29" s="64" t="s">
        <v>49</v>
      </c>
      <c r="K29" s="58" t="s">
        <v>19</v>
      </c>
      <c r="L29" s="64" t="s">
        <v>19</v>
      </c>
      <c r="M29" s="58" t="s">
        <v>26</v>
      </c>
      <c r="N29" s="59"/>
      <c r="O29" s="63">
        <v>0.0</v>
      </c>
      <c r="P29" s="62">
        <v>9945.08</v>
      </c>
      <c r="Q29" s="64" t="s">
        <v>20</v>
      </c>
      <c r="R29" s="58" t="s">
        <v>23</v>
      </c>
      <c r="S29" s="64"/>
    </row>
    <row r="30" ht="15.75" customHeight="1">
      <c r="B30" s="65">
        <v>43873.0</v>
      </c>
      <c r="C30" s="54"/>
      <c r="D30" s="65"/>
      <c r="E30" s="55">
        <v>5967.05</v>
      </c>
      <c r="F30" s="56">
        <v>0.0</v>
      </c>
      <c r="G30" s="57">
        <v>1.0</v>
      </c>
      <c r="H30" s="58" t="s">
        <v>21</v>
      </c>
      <c r="I30" s="58" t="s">
        <v>48</v>
      </c>
      <c r="J30" s="58" t="s">
        <v>49</v>
      </c>
      <c r="K30" s="58" t="s">
        <v>19</v>
      </c>
      <c r="L30" s="58" t="s">
        <v>19</v>
      </c>
      <c r="M30" s="58" t="s">
        <v>72</v>
      </c>
      <c r="N30" s="59"/>
      <c r="O30" s="55">
        <v>5967.05</v>
      </c>
      <c r="P30" s="57">
        <v>0.0</v>
      </c>
      <c r="Q30" s="58" t="s">
        <v>50</v>
      </c>
      <c r="R30" s="58" t="s">
        <v>23</v>
      </c>
      <c r="S30" s="58"/>
    </row>
    <row r="31" ht="15.75" customHeight="1">
      <c r="B31" s="65">
        <v>43873.0</v>
      </c>
      <c r="C31" s="60"/>
      <c r="D31" s="92"/>
      <c r="E31" s="61">
        <v>0.0</v>
      </c>
      <c r="F31" s="62">
        <v>5967.05</v>
      </c>
      <c r="G31" s="63">
        <v>1.0</v>
      </c>
      <c r="H31" s="64" t="s">
        <v>21</v>
      </c>
      <c r="I31" s="64" t="s">
        <v>51</v>
      </c>
      <c r="J31" s="64" t="s">
        <v>49</v>
      </c>
      <c r="K31" s="58" t="s">
        <v>19</v>
      </c>
      <c r="L31" s="64" t="s">
        <v>19</v>
      </c>
      <c r="M31" s="58" t="s">
        <v>72</v>
      </c>
      <c r="N31" s="59"/>
      <c r="O31" s="63">
        <v>0.0</v>
      </c>
      <c r="P31" s="62">
        <v>5967.05</v>
      </c>
      <c r="Q31" s="64" t="s">
        <v>20</v>
      </c>
      <c r="R31" s="58" t="s">
        <v>23</v>
      </c>
      <c r="S31" s="64"/>
    </row>
    <row r="32" ht="15.75" customHeight="1">
      <c r="B32" s="65">
        <v>43873.0</v>
      </c>
      <c r="C32" s="54"/>
      <c r="D32" s="65"/>
      <c r="E32" s="55">
        <v>9757.43</v>
      </c>
      <c r="F32" s="56">
        <v>0.0</v>
      </c>
      <c r="G32" s="57">
        <v>1.0</v>
      </c>
      <c r="H32" s="58" t="s">
        <v>21</v>
      </c>
      <c r="I32" s="58" t="s">
        <v>48</v>
      </c>
      <c r="J32" s="58" t="s">
        <v>49</v>
      </c>
      <c r="K32" s="58" t="s">
        <v>19</v>
      </c>
      <c r="L32" s="58" t="s">
        <v>19</v>
      </c>
      <c r="M32" s="58" t="s">
        <v>26</v>
      </c>
      <c r="N32" s="59"/>
      <c r="O32" s="55">
        <v>9757.43</v>
      </c>
      <c r="P32" s="57">
        <v>0.0</v>
      </c>
      <c r="Q32" s="58" t="s">
        <v>50</v>
      </c>
      <c r="R32" s="58" t="s">
        <v>18</v>
      </c>
      <c r="S32" s="58"/>
    </row>
    <row r="33" ht="15.75" customHeight="1">
      <c r="B33" s="65">
        <v>43873.0</v>
      </c>
      <c r="C33" s="60"/>
      <c r="D33" s="92"/>
      <c r="E33" s="61">
        <v>0.0</v>
      </c>
      <c r="F33" s="62">
        <v>9757.43</v>
      </c>
      <c r="G33" s="63">
        <v>1.0</v>
      </c>
      <c r="H33" s="64" t="s">
        <v>21</v>
      </c>
      <c r="I33" s="64" t="s">
        <v>51</v>
      </c>
      <c r="J33" s="64" t="s">
        <v>49</v>
      </c>
      <c r="K33" s="58" t="s">
        <v>19</v>
      </c>
      <c r="L33" s="64" t="s">
        <v>19</v>
      </c>
      <c r="M33" s="58" t="s">
        <v>26</v>
      </c>
      <c r="N33" s="59"/>
      <c r="O33" s="63">
        <v>0.0</v>
      </c>
      <c r="P33" s="62">
        <v>9757.43</v>
      </c>
      <c r="Q33" s="64" t="s">
        <v>20</v>
      </c>
      <c r="R33" s="58" t="s">
        <v>18</v>
      </c>
      <c r="S33" s="64"/>
    </row>
    <row r="34" ht="15.75" customHeight="1">
      <c r="B34" s="65">
        <v>43873.0</v>
      </c>
      <c r="C34" s="54"/>
      <c r="D34" s="65"/>
      <c r="E34" s="55">
        <v>5854.46</v>
      </c>
      <c r="F34" s="56">
        <v>0.0</v>
      </c>
      <c r="G34" s="57">
        <v>1.0</v>
      </c>
      <c r="H34" s="58" t="s">
        <v>21</v>
      </c>
      <c r="I34" s="58" t="s">
        <v>48</v>
      </c>
      <c r="J34" s="58" t="s">
        <v>49</v>
      </c>
      <c r="K34" s="58" t="s">
        <v>19</v>
      </c>
      <c r="L34" s="58" t="s">
        <v>19</v>
      </c>
      <c r="M34" s="58" t="s">
        <v>72</v>
      </c>
      <c r="N34" s="59"/>
      <c r="O34" s="55">
        <v>5854.46</v>
      </c>
      <c r="P34" s="57">
        <v>0.0</v>
      </c>
      <c r="Q34" s="58" t="s">
        <v>50</v>
      </c>
      <c r="R34" s="58" t="s">
        <v>18</v>
      </c>
      <c r="S34" s="58"/>
    </row>
    <row r="35" ht="15.75" customHeight="1">
      <c r="B35" s="65">
        <v>43873.0</v>
      </c>
      <c r="C35" s="60"/>
      <c r="D35" s="92"/>
      <c r="E35" s="61">
        <v>0.0</v>
      </c>
      <c r="F35" s="62">
        <v>5854.46</v>
      </c>
      <c r="G35" s="63">
        <v>1.0</v>
      </c>
      <c r="H35" s="64" t="s">
        <v>21</v>
      </c>
      <c r="I35" s="64" t="s">
        <v>51</v>
      </c>
      <c r="J35" s="64" t="s">
        <v>49</v>
      </c>
      <c r="K35" s="58" t="s">
        <v>19</v>
      </c>
      <c r="L35" s="64" t="s">
        <v>19</v>
      </c>
      <c r="M35" s="58" t="s">
        <v>72</v>
      </c>
      <c r="N35" s="59"/>
      <c r="O35" s="63">
        <v>0.0</v>
      </c>
      <c r="P35" s="62">
        <v>5854.46</v>
      </c>
      <c r="Q35" s="64" t="s">
        <v>20</v>
      </c>
      <c r="R35" s="58" t="s">
        <v>18</v>
      </c>
      <c r="S35" s="64"/>
    </row>
    <row r="36" ht="15.75" customHeight="1">
      <c r="B36" s="65">
        <v>43873.0</v>
      </c>
      <c r="C36" s="54"/>
      <c r="D36" s="65"/>
      <c r="E36" s="55">
        <v>15611.89</v>
      </c>
      <c r="F36" s="56">
        <v>0.0</v>
      </c>
      <c r="G36" s="57">
        <v>1.0</v>
      </c>
      <c r="H36" s="58" t="s">
        <v>21</v>
      </c>
      <c r="I36" s="58" t="s">
        <v>48</v>
      </c>
      <c r="J36" s="58" t="s">
        <v>49</v>
      </c>
      <c r="K36" s="58" t="s">
        <v>19</v>
      </c>
      <c r="L36" s="58" t="s">
        <v>19</v>
      </c>
      <c r="M36" s="58" t="s">
        <v>26</v>
      </c>
      <c r="N36" s="59"/>
      <c r="O36" s="55">
        <v>15611.89</v>
      </c>
      <c r="P36" s="57">
        <v>0.0</v>
      </c>
      <c r="Q36" s="58" t="s">
        <v>20</v>
      </c>
      <c r="R36" s="58" t="s">
        <v>18</v>
      </c>
      <c r="S36" s="58"/>
    </row>
    <row r="37" ht="15.75" customHeight="1">
      <c r="B37" s="65">
        <v>43873.0</v>
      </c>
      <c r="C37" s="60"/>
      <c r="D37" s="92"/>
      <c r="E37" s="61">
        <v>0.0</v>
      </c>
      <c r="F37" s="62">
        <v>15611.89</v>
      </c>
      <c r="G37" s="63">
        <v>1.0</v>
      </c>
      <c r="H37" s="64" t="s">
        <v>21</v>
      </c>
      <c r="I37" s="64" t="s">
        <v>51</v>
      </c>
      <c r="J37" s="64" t="s">
        <v>49</v>
      </c>
      <c r="K37" s="58" t="s">
        <v>19</v>
      </c>
      <c r="L37" s="64" t="s">
        <v>19</v>
      </c>
      <c r="M37" s="58" t="s">
        <v>26</v>
      </c>
      <c r="N37" s="59"/>
      <c r="O37" s="63">
        <v>0.0</v>
      </c>
      <c r="P37" s="62">
        <v>15611.89</v>
      </c>
      <c r="Q37" s="64" t="s">
        <v>50</v>
      </c>
      <c r="R37" s="58" t="s">
        <v>18</v>
      </c>
      <c r="S37" s="6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4.57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52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29" t="s">
        <v>16</v>
      </c>
      <c r="D6" s="30">
        <v>43871.0</v>
      </c>
      <c r="E6" s="30">
        <v>43873.0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24.0"/>
    <col customWidth="1" min="6" max="6" width="28.57"/>
    <col customWidth="1" min="7" max="8" width="14.43"/>
    <col customWidth="1" min="9" max="9" width="18.14"/>
    <col customWidth="1" min="10" max="11" width="17.43"/>
    <col customWidth="1" min="12" max="12" width="21.71"/>
    <col customWidth="1" min="13" max="26" width="14.43"/>
    <col customWidth="1" min="27" max="27" width="22.71"/>
    <col customWidth="1" min="28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8</v>
      </c>
      <c r="E3" s="21" t="s">
        <v>61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66" t="s">
        <v>23</v>
      </c>
      <c r="C6" s="66" t="s">
        <v>54</v>
      </c>
      <c r="D6" s="66" t="s">
        <v>63</v>
      </c>
      <c r="E6" s="67">
        <v>252.88</v>
      </c>
      <c r="F6" s="67">
        <v>0.0</v>
      </c>
      <c r="G6" s="67">
        <v>0.0</v>
      </c>
      <c r="H6" s="66" t="s">
        <v>64</v>
      </c>
      <c r="I6" s="67">
        <v>0.0</v>
      </c>
      <c r="J6" s="67">
        <v>0.0</v>
      </c>
      <c r="K6" s="66" t="s">
        <v>19</v>
      </c>
      <c r="L6" s="66" t="s">
        <v>55</v>
      </c>
      <c r="M6" s="68"/>
      <c r="N6" s="66" t="s">
        <v>21</v>
      </c>
      <c r="O6" s="67">
        <v>1.0</v>
      </c>
      <c r="P6" s="69"/>
      <c r="Q6" s="68"/>
      <c r="R6" s="67">
        <v>0.0</v>
      </c>
      <c r="S6" s="67">
        <v>0.0</v>
      </c>
      <c r="T6" s="67">
        <v>0.0</v>
      </c>
      <c r="U6" s="67">
        <v>0.0</v>
      </c>
      <c r="V6" s="67">
        <v>0.0</v>
      </c>
      <c r="W6" s="67">
        <v>0.0</v>
      </c>
      <c r="X6" s="69"/>
      <c r="Y6" s="70"/>
      <c r="Z6" s="67">
        <v>0.0</v>
      </c>
      <c r="AA6" s="67">
        <v>0.0</v>
      </c>
      <c r="AB6" s="66" t="s">
        <v>26</v>
      </c>
      <c r="AC6" s="67">
        <v>0.0</v>
      </c>
      <c r="AD6" s="67">
        <v>0.0</v>
      </c>
      <c r="AE6" s="71">
        <v>43871.0</v>
      </c>
      <c r="AF6" s="67"/>
      <c r="AG6" s="72" t="s">
        <v>54</v>
      </c>
      <c r="AH6" s="66"/>
      <c r="AI6" s="69"/>
    </row>
    <row r="7" ht="15.75" customHeight="1">
      <c r="A7" s="5"/>
      <c r="B7" s="73" t="s">
        <v>18</v>
      </c>
      <c r="C7" s="73" t="s">
        <v>54</v>
      </c>
      <c r="D7" s="73" t="s">
        <v>63</v>
      </c>
      <c r="E7" s="74">
        <v>248.11</v>
      </c>
      <c r="F7" s="74">
        <v>0.0</v>
      </c>
      <c r="G7" s="74">
        <v>0.0</v>
      </c>
      <c r="H7" s="73" t="s">
        <v>64</v>
      </c>
      <c r="I7" s="74">
        <v>0.0</v>
      </c>
      <c r="J7" s="74">
        <v>0.0</v>
      </c>
      <c r="K7" s="73" t="s">
        <v>19</v>
      </c>
      <c r="L7" s="73" t="s">
        <v>55</v>
      </c>
      <c r="M7" s="75"/>
      <c r="N7" s="73" t="s">
        <v>21</v>
      </c>
      <c r="O7" s="74">
        <v>1.0</v>
      </c>
      <c r="P7" s="76"/>
      <c r="Q7" s="75"/>
      <c r="R7" s="74">
        <v>0.0</v>
      </c>
      <c r="S7" s="74">
        <v>0.0</v>
      </c>
      <c r="T7" s="74">
        <v>0.0</v>
      </c>
      <c r="U7" s="74">
        <v>0.0</v>
      </c>
      <c r="V7" s="74">
        <v>0.0</v>
      </c>
      <c r="W7" s="74">
        <v>0.0</v>
      </c>
      <c r="X7" s="76"/>
      <c r="Y7" s="77"/>
      <c r="Z7" s="74">
        <v>0.0</v>
      </c>
      <c r="AA7" s="74">
        <v>0.0</v>
      </c>
      <c r="AB7" s="73" t="s">
        <v>26</v>
      </c>
      <c r="AC7" s="74">
        <v>0.0</v>
      </c>
      <c r="AD7" s="74">
        <v>0.0</v>
      </c>
      <c r="AE7" s="78">
        <v>43871.0</v>
      </c>
      <c r="AF7" s="74"/>
      <c r="AG7" s="79" t="s">
        <v>54</v>
      </c>
      <c r="AH7" s="73"/>
      <c r="AI7" s="76"/>
    </row>
    <row r="8" ht="15.75" customHeight="1">
      <c r="A8" s="5"/>
      <c r="B8" s="66" t="s">
        <v>18</v>
      </c>
      <c r="C8" s="66" t="s">
        <v>66</v>
      </c>
      <c r="D8" s="66" t="s">
        <v>67</v>
      </c>
      <c r="E8" s="67">
        <v>500000.0</v>
      </c>
      <c r="F8" s="67">
        <v>0.0</v>
      </c>
      <c r="G8" s="67">
        <v>0.0</v>
      </c>
      <c r="H8" s="66" t="s">
        <v>64</v>
      </c>
      <c r="I8" s="67">
        <v>0.0</v>
      </c>
      <c r="J8" s="67">
        <v>0.0</v>
      </c>
      <c r="K8" s="66" t="s">
        <v>19</v>
      </c>
      <c r="L8" s="69"/>
      <c r="M8" s="68"/>
      <c r="N8" s="66" t="s">
        <v>21</v>
      </c>
      <c r="O8" s="67">
        <v>1.0</v>
      </c>
      <c r="P8" s="69"/>
      <c r="Q8" s="68"/>
      <c r="R8" s="67">
        <v>0.0</v>
      </c>
      <c r="S8" s="67">
        <v>0.0</v>
      </c>
      <c r="T8" s="67">
        <v>0.0</v>
      </c>
      <c r="U8" s="67">
        <v>0.0</v>
      </c>
      <c r="V8" s="67">
        <v>0.0</v>
      </c>
      <c r="W8" s="67">
        <v>0.0</v>
      </c>
      <c r="X8" s="69"/>
      <c r="Y8" s="71"/>
      <c r="Z8" s="67">
        <v>0.0</v>
      </c>
      <c r="AA8" s="67">
        <v>0.0</v>
      </c>
      <c r="AB8" s="69"/>
      <c r="AC8" s="67">
        <v>0.0</v>
      </c>
      <c r="AD8" s="67">
        <v>0.0</v>
      </c>
      <c r="AE8" s="71">
        <v>43871.0</v>
      </c>
      <c r="AF8" s="67"/>
      <c r="AG8" s="72" t="s">
        <v>68</v>
      </c>
      <c r="AH8" s="66"/>
      <c r="AI8" s="69"/>
    </row>
    <row r="9" ht="15.75" customHeight="1">
      <c r="A9" s="5"/>
      <c r="B9" s="73" t="s">
        <v>23</v>
      </c>
      <c r="C9" s="73" t="s">
        <v>66</v>
      </c>
      <c r="D9" s="73" t="s">
        <v>67</v>
      </c>
      <c r="E9" s="74">
        <v>500000.0</v>
      </c>
      <c r="F9" s="74">
        <v>0.0</v>
      </c>
      <c r="G9" s="74">
        <v>0.0</v>
      </c>
      <c r="H9" s="73" t="s">
        <v>64</v>
      </c>
      <c r="I9" s="74">
        <v>0.0</v>
      </c>
      <c r="J9" s="74">
        <v>0.0</v>
      </c>
      <c r="K9" s="73" t="s">
        <v>19</v>
      </c>
      <c r="L9" s="76"/>
      <c r="M9" s="75"/>
      <c r="N9" s="73" t="s">
        <v>21</v>
      </c>
      <c r="O9" s="74">
        <v>1.0</v>
      </c>
      <c r="P9" s="76"/>
      <c r="Q9" s="75"/>
      <c r="R9" s="74">
        <v>0.0</v>
      </c>
      <c r="S9" s="74">
        <v>0.0</v>
      </c>
      <c r="T9" s="74">
        <v>0.0</v>
      </c>
      <c r="U9" s="74">
        <v>0.0</v>
      </c>
      <c r="V9" s="74">
        <v>0.0</v>
      </c>
      <c r="W9" s="74">
        <v>0.0</v>
      </c>
      <c r="X9" s="76"/>
      <c r="Y9" s="78"/>
      <c r="Z9" s="74">
        <v>0.0</v>
      </c>
      <c r="AA9" s="74">
        <v>0.0</v>
      </c>
      <c r="AB9" s="76"/>
      <c r="AC9" s="74">
        <v>0.0</v>
      </c>
      <c r="AD9" s="74">
        <v>0.0</v>
      </c>
      <c r="AE9" s="78">
        <v>43871.0</v>
      </c>
      <c r="AF9" s="74"/>
      <c r="AG9" s="79" t="s">
        <v>68</v>
      </c>
      <c r="AH9" s="73"/>
      <c r="AI9" s="76"/>
    </row>
    <row r="10" ht="15.75" customHeight="1">
      <c r="A10" s="5"/>
      <c r="B10" s="66" t="s">
        <v>18</v>
      </c>
      <c r="C10" s="66" t="s">
        <v>49</v>
      </c>
      <c r="D10" s="66" t="s">
        <v>69</v>
      </c>
      <c r="E10" s="80">
        <v>-15611.89</v>
      </c>
      <c r="F10" s="80">
        <v>1.980952380952</v>
      </c>
      <c r="G10" s="80">
        <v>2.47619047619</v>
      </c>
      <c r="H10" s="66" t="s">
        <v>64</v>
      </c>
      <c r="I10" s="67">
        <v>0.0</v>
      </c>
      <c r="J10" s="80">
        <v>1.238095238095</v>
      </c>
      <c r="K10" s="66" t="s">
        <v>19</v>
      </c>
      <c r="L10" s="69"/>
      <c r="M10" s="68"/>
      <c r="N10" s="66" t="s">
        <v>21</v>
      </c>
      <c r="O10" s="67">
        <v>1.0</v>
      </c>
      <c r="P10" s="69"/>
      <c r="Q10" s="68"/>
      <c r="R10" s="67">
        <v>0.0</v>
      </c>
      <c r="S10" s="67">
        <v>0.0</v>
      </c>
      <c r="T10" s="67">
        <v>0.0</v>
      </c>
      <c r="U10" s="67">
        <v>0.0</v>
      </c>
      <c r="V10" s="67">
        <v>52.0</v>
      </c>
      <c r="W10" s="67">
        <v>0.0</v>
      </c>
      <c r="X10" s="72" t="s">
        <v>19</v>
      </c>
      <c r="Y10" s="68"/>
      <c r="Z10" s="80">
        <v>3.714285714285</v>
      </c>
      <c r="AA10" s="80">
        <v>0.008716190476</v>
      </c>
      <c r="AB10" s="66" t="s">
        <v>26</v>
      </c>
      <c r="AC10" s="80">
        <v>1.485714285714</v>
      </c>
      <c r="AD10" s="80">
        <v>11.894430476188</v>
      </c>
      <c r="AE10" s="81">
        <v>43871.0</v>
      </c>
      <c r="AF10" s="67"/>
      <c r="AG10" s="72" t="s">
        <v>49</v>
      </c>
      <c r="AH10" s="69"/>
      <c r="AI10" s="69"/>
    </row>
    <row r="11" ht="15.75" customHeight="1">
      <c r="A11" s="5"/>
      <c r="B11" s="73" t="s">
        <v>23</v>
      </c>
      <c r="C11" s="73" t="s">
        <v>49</v>
      </c>
      <c r="D11" s="73" t="s">
        <v>69</v>
      </c>
      <c r="E11" s="82">
        <v>-15912.12</v>
      </c>
      <c r="F11" s="82">
        <v>2.019047619047</v>
      </c>
      <c r="G11" s="82">
        <v>2.523809523809</v>
      </c>
      <c r="H11" s="73" t="s">
        <v>64</v>
      </c>
      <c r="I11" s="74">
        <v>0.0</v>
      </c>
      <c r="J11" s="82">
        <v>1.261904761905</v>
      </c>
      <c r="K11" s="73" t="s">
        <v>19</v>
      </c>
      <c r="L11" s="76"/>
      <c r="M11" s="75"/>
      <c r="N11" s="73" t="s">
        <v>21</v>
      </c>
      <c r="O11" s="74">
        <v>1.0</v>
      </c>
      <c r="P11" s="76"/>
      <c r="Q11" s="75"/>
      <c r="R11" s="74">
        <v>0.0</v>
      </c>
      <c r="S11" s="74">
        <v>0.0</v>
      </c>
      <c r="T11" s="74">
        <v>0.0</v>
      </c>
      <c r="U11" s="74">
        <v>0.0</v>
      </c>
      <c r="V11" s="74">
        <v>53.0</v>
      </c>
      <c r="W11" s="74">
        <v>0.0</v>
      </c>
      <c r="X11" s="79" t="s">
        <v>19</v>
      </c>
      <c r="Y11" s="75"/>
      <c r="Z11" s="82">
        <v>3.785714285715</v>
      </c>
      <c r="AA11" s="82">
        <v>0.008883809523</v>
      </c>
      <c r="AB11" s="73" t="s">
        <v>26</v>
      </c>
      <c r="AC11" s="82">
        <v>1.514285714285</v>
      </c>
      <c r="AD11" s="82">
        <v>12.123169523807</v>
      </c>
      <c r="AE11" s="83">
        <v>43871.0</v>
      </c>
      <c r="AF11" s="74"/>
      <c r="AG11" s="79" t="s">
        <v>49</v>
      </c>
      <c r="AH11" s="76"/>
      <c r="AI11" s="76"/>
    </row>
    <row r="12" ht="15.75" customHeight="1">
      <c r="A12" s="5"/>
      <c r="B12" s="66" t="s">
        <v>23</v>
      </c>
      <c r="C12" s="66" t="s">
        <v>54</v>
      </c>
      <c r="D12" s="66" t="s">
        <v>70</v>
      </c>
      <c r="E12" s="67">
        <v>-19.2</v>
      </c>
      <c r="F12" s="67">
        <v>0.0</v>
      </c>
      <c r="G12" s="67">
        <v>0.0</v>
      </c>
      <c r="H12" s="66" t="s">
        <v>64</v>
      </c>
      <c r="I12" s="67">
        <v>0.0</v>
      </c>
      <c r="J12" s="67">
        <v>0.0</v>
      </c>
      <c r="K12" s="66" t="s">
        <v>19</v>
      </c>
      <c r="L12" s="66" t="s">
        <v>58</v>
      </c>
      <c r="M12" s="68"/>
      <c r="N12" s="66" t="s">
        <v>21</v>
      </c>
      <c r="O12" s="67">
        <v>1.0</v>
      </c>
      <c r="P12" s="69"/>
      <c r="Q12" s="68"/>
      <c r="R12" s="67">
        <v>0.0</v>
      </c>
      <c r="S12" s="67">
        <v>0.0</v>
      </c>
      <c r="T12" s="67">
        <v>0.0</v>
      </c>
      <c r="U12" s="67">
        <v>0.0</v>
      </c>
      <c r="V12" s="67">
        <v>0.0</v>
      </c>
      <c r="W12" s="67">
        <v>0.0</v>
      </c>
      <c r="X12" s="69"/>
      <c r="Y12" s="70"/>
      <c r="Z12" s="67">
        <v>0.0</v>
      </c>
      <c r="AA12" s="67">
        <v>0.0</v>
      </c>
      <c r="AB12" s="66" t="s">
        <v>26</v>
      </c>
      <c r="AC12" s="67">
        <v>0.0</v>
      </c>
      <c r="AD12" s="67">
        <v>0.0</v>
      </c>
      <c r="AE12" s="71">
        <v>43872.0</v>
      </c>
      <c r="AF12" s="67"/>
      <c r="AG12" s="72" t="s">
        <v>54</v>
      </c>
      <c r="AH12" s="66"/>
      <c r="AI12" s="69"/>
    </row>
    <row r="13" ht="15.75" customHeight="1">
      <c r="A13" s="5"/>
      <c r="B13" s="73" t="s">
        <v>23</v>
      </c>
      <c r="C13" s="73" t="s">
        <v>54</v>
      </c>
      <c r="D13" s="73" t="s">
        <v>63</v>
      </c>
      <c r="E13" s="74">
        <v>517.88</v>
      </c>
      <c r="F13" s="74">
        <v>0.0</v>
      </c>
      <c r="G13" s="74">
        <v>0.0</v>
      </c>
      <c r="H13" s="73" t="s">
        <v>64</v>
      </c>
      <c r="I13" s="74">
        <v>0.0</v>
      </c>
      <c r="J13" s="74">
        <v>0.0</v>
      </c>
      <c r="K13" s="73" t="s">
        <v>19</v>
      </c>
      <c r="L13" s="73" t="s">
        <v>55</v>
      </c>
      <c r="M13" s="75"/>
      <c r="N13" s="73" t="s">
        <v>21</v>
      </c>
      <c r="O13" s="74">
        <v>1.0</v>
      </c>
      <c r="P13" s="76"/>
      <c r="Q13" s="75"/>
      <c r="R13" s="74">
        <v>0.0</v>
      </c>
      <c r="S13" s="74">
        <v>0.0</v>
      </c>
      <c r="T13" s="74">
        <v>0.0</v>
      </c>
      <c r="U13" s="74">
        <v>0.0</v>
      </c>
      <c r="V13" s="74">
        <v>0.0</v>
      </c>
      <c r="W13" s="74">
        <v>0.0</v>
      </c>
      <c r="X13" s="76"/>
      <c r="Y13" s="77"/>
      <c r="Z13" s="74">
        <v>0.0</v>
      </c>
      <c r="AA13" s="74">
        <v>0.0</v>
      </c>
      <c r="AB13" s="73" t="s">
        <v>26</v>
      </c>
      <c r="AC13" s="74">
        <v>0.0</v>
      </c>
      <c r="AD13" s="74">
        <v>0.0</v>
      </c>
      <c r="AE13" s="78">
        <v>43872.0</v>
      </c>
      <c r="AF13" s="74"/>
      <c r="AG13" s="79" t="s">
        <v>54</v>
      </c>
      <c r="AH13" s="73"/>
      <c r="AI13" s="76"/>
    </row>
    <row r="14" ht="15.75" customHeight="1">
      <c r="A14" s="5"/>
      <c r="B14" s="66" t="s">
        <v>23</v>
      </c>
      <c r="C14" s="66" t="s">
        <v>54</v>
      </c>
      <c r="D14" s="66" t="s">
        <v>63</v>
      </c>
      <c r="E14" s="67">
        <v>252.85</v>
      </c>
      <c r="F14" s="67">
        <v>0.0</v>
      </c>
      <c r="G14" s="67">
        <v>0.0</v>
      </c>
      <c r="H14" s="66" t="s">
        <v>64</v>
      </c>
      <c r="I14" s="67">
        <v>0.0</v>
      </c>
      <c r="J14" s="67">
        <v>0.0</v>
      </c>
      <c r="K14" s="66" t="s">
        <v>19</v>
      </c>
      <c r="L14" s="66" t="s">
        <v>55</v>
      </c>
      <c r="M14" s="68"/>
      <c r="N14" s="66" t="s">
        <v>21</v>
      </c>
      <c r="O14" s="67">
        <v>1.0</v>
      </c>
      <c r="P14" s="69"/>
      <c r="Q14" s="68"/>
      <c r="R14" s="67">
        <v>0.0</v>
      </c>
      <c r="S14" s="67">
        <v>0.0</v>
      </c>
      <c r="T14" s="67">
        <v>0.0</v>
      </c>
      <c r="U14" s="67">
        <v>0.0</v>
      </c>
      <c r="V14" s="67">
        <v>0.0</v>
      </c>
      <c r="W14" s="67">
        <v>0.0</v>
      </c>
      <c r="X14" s="69"/>
      <c r="Y14" s="70"/>
      <c r="Z14" s="67">
        <v>0.0</v>
      </c>
      <c r="AA14" s="67">
        <v>0.0</v>
      </c>
      <c r="AB14" s="66" t="s">
        <v>37</v>
      </c>
      <c r="AC14" s="67">
        <v>0.0</v>
      </c>
      <c r="AD14" s="67">
        <v>0.0</v>
      </c>
      <c r="AE14" s="71">
        <v>43872.0</v>
      </c>
      <c r="AF14" s="67"/>
      <c r="AG14" s="72" t="s">
        <v>54</v>
      </c>
      <c r="AH14" s="66"/>
      <c r="AI14" s="69"/>
    </row>
    <row r="15" ht="15.75" customHeight="1">
      <c r="A15" s="5"/>
      <c r="B15" s="73" t="s">
        <v>23</v>
      </c>
      <c r="C15" s="73" t="s">
        <v>54</v>
      </c>
      <c r="D15" s="73" t="s">
        <v>63</v>
      </c>
      <c r="E15" s="74">
        <v>-252.88</v>
      </c>
      <c r="F15" s="74">
        <v>0.0</v>
      </c>
      <c r="G15" s="74">
        <v>0.0</v>
      </c>
      <c r="H15" s="73" t="s">
        <v>64</v>
      </c>
      <c r="I15" s="74">
        <v>0.0</v>
      </c>
      <c r="J15" s="74">
        <v>0.0</v>
      </c>
      <c r="K15" s="73" t="s">
        <v>19</v>
      </c>
      <c r="L15" s="73" t="s">
        <v>59</v>
      </c>
      <c r="M15" s="75"/>
      <c r="N15" s="73" t="s">
        <v>21</v>
      </c>
      <c r="O15" s="74">
        <v>1.0</v>
      </c>
      <c r="P15" s="76"/>
      <c r="Q15" s="75"/>
      <c r="R15" s="74">
        <v>0.0</v>
      </c>
      <c r="S15" s="74">
        <v>0.0</v>
      </c>
      <c r="T15" s="74">
        <v>0.0</v>
      </c>
      <c r="U15" s="74">
        <v>0.0</v>
      </c>
      <c r="V15" s="74">
        <v>0.0</v>
      </c>
      <c r="W15" s="74">
        <v>0.0</v>
      </c>
      <c r="X15" s="76"/>
      <c r="Y15" s="77"/>
      <c r="Z15" s="74">
        <v>0.0</v>
      </c>
      <c r="AA15" s="74">
        <v>0.0</v>
      </c>
      <c r="AB15" s="73" t="s">
        <v>26</v>
      </c>
      <c r="AC15" s="74">
        <v>0.0</v>
      </c>
      <c r="AD15" s="74">
        <v>0.0</v>
      </c>
      <c r="AE15" s="78">
        <v>43872.0</v>
      </c>
      <c r="AF15" s="74"/>
      <c r="AG15" s="79" t="s">
        <v>54</v>
      </c>
      <c r="AH15" s="73"/>
      <c r="AI15" s="76"/>
    </row>
    <row r="16" ht="15.75" customHeight="1">
      <c r="A16" s="5"/>
      <c r="B16" s="66" t="s">
        <v>18</v>
      </c>
      <c r="C16" s="66" t="s">
        <v>54</v>
      </c>
      <c r="D16" s="66" t="s">
        <v>70</v>
      </c>
      <c r="E16" s="67">
        <v>-18.83</v>
      </c>
      <c r="F16" s="67">
        <v>0.0</v>
      </c>
      <c r="G16" s="67">
        <v>0.0</v>
      </c>
      <c r="H16" s="66" t="s">
        <v>64</v>
      </c>
      <c r="I16" s="67">
        <v>0.0</v>
      </c>
      <c r="J16" s="67">
        <v>0.0</v>
      </c>
      <c r="K16" s="66" t="s">
        <v>19</v>
      </c>
      <c r="L16" s="66" t="s">
        <v>58</v>
      </c>
      <c r="M16" s="68"/>
      <c r="N16" s="66" t="s">
        <v>21</v>
      </c>
      <c r="O16" s="67">
        <v>1.0</v>
      </c>
      <c r="P16" s="69"/>
      <c r="Q16" s="68"/>
      <c r="R16" s="67">
        <v>0.0</v>
      </c>
      <c r="S16" s="67">
        <v>0.0</v>
      </c>
      <c r="T16" s="67">
        <v>0.0</v>
      </c>
      <c r="U16" s="67">
        <v>0.0</v>
      </c>
      <c r="V16" s="67">
        <v>0.0</v>
      </c>
      <c r="W16" s="67">
        <v>0.0</v>
      </c>
      <c r="X16" s="69"/>
      <c r="Y16" s="70"/>
      <c r="Z16" s="67">
        <v>0.0</v>
      </c>
      <c r="AA16" s="67">
        <v>0.0</v>
      </c>
      <c r="AB16" s="66" t="s">
        <v>26</v>
      </c>
      <c r="AC16" s="67">
        <v>0.0</v>
      </c>
      <c r="AD16" s="67">
        <v>0.0</v>
      </c>
      <c r="AE16" s="71">
        <v>43872.0</v>
      </c>
      <c r="AF16" s="67"/>
      <c r="AG16" s="72" t="s">
        <v>54</v>
      </c>
      <c r="AH16" s="66"/>
      <c r="AI16" s="69"/>
    </row>
    <row r="17" ht="15.75" customHeight="1">
      <c r="A17" s="5"/>
      <c r="B17" s="73" t="s">
        <v>18</v>
      </c>
      <c r="C17" s="73" t="s">
        <v>54</v>
      </c>
      <c r="D17" s="73" t="s">
        <v>63</v>
      </c>
      <c r="E17" s="74">
        <v>508.11</v>
      </c>
      <c r="F17" s="74">
        <v>0.0</v>
      </c>
      <c r="G17" s="74">
        <v>0.0</v>
      </c>
      <c r="H17" s="73" t="s">
        <v>64</v>
      </c>
      <c r="I17" s="74">
        <v>0.0</v>
      </c>
      <c r="J17" s="74">
        <v>0.0</v>
      </c>
      <c r="K17" s="73" t="s">
        <v>19</v>
      </c>
      <c r="L17" s="73" t="s">
        <v>55</v>
      </c>
      <c r="M17" s="75"/>
      <c r="N17" s="73" t="s">
        <v>21</v>
      </c>
      <c r="O17" s="74">
        <v>1.0</v>
      </c>
      <c r="P17" s="76"/>
      <c r="Q17" s="75"/>
      <c r="R17" s="74">
        <v>0.0</v>
      </c>
      <c r="S17" s="74">
        <v>0.0</v>
      </c>
      <c r="T17" s="74">
        <v>0.0</v>
      </c>
      <c r="U17" s="74">
        <v>0.0</v>
      </c>
      <c r="V17" s="74">
        <v>0.0</v>
      </c>
      <c r="W17" s="74">
        <v>0.0</v>
      </c>
      <c r="X17" s="76"/>
      <c r="Y17" s="77"/>
      <c r="Z17" s="74">
        <v>0.0</v>
      </c>
      <c r="AA17" s="74">
        <v>0.0</v>
      </c>
      <c r="AB17" s="73" t="s">
        <v>26</v>
      </c>
      <c r="AC17" s="74">
        <v>0.0</v>
      </c>
      <c r="AD17" s="74">
        <v>0.0</v>
      </c>
      <c r="AE17" s="78">
        <v>43872.0</v>
      </c>
      <c r="AF17" s="74"/>
      <c r="AG17" s="79" t="s">
        <v>54</v>
      </c>
      <c r="AH17" s="73"/>
      <c r="AI17" s="76"/>
    </row>
    <row r="18" ht="15.75" customHeight="1">
      <c r="A18" s="5"/>
      <c r="B18" s="66" t="s">
        <v>18</v>
      </c>
      <c r="C18" s="66" t="s">
        <v>54</v>
      </c>
      <c r="D18" s="66" t="s">
        <v>63</v>
      </c>
      <c r="E18" s="67">
        <v>248.08</v>
      </c>
      <c r="F18" s="67">
        <v>0.0</v>
      </c>
      <c r="G18" s="67">
        <v>0.0</v>
      </c>
      <c r="H18" s="66" t="s">
        <v>64</v>
      </c>
      <c r="I18" s="67">
        <v>0.0</v>
      </c>
      <c r="J18" s="67">
        <v>0.0</v>
      </c>
      <c r="K18" s="66" t="s">
        <v>19</v>
      </c>
      <c r="L18" s="66" t="s">
        <v>55</v>
      </c>
      <c r="M18" s="68"/>
      <c r="N18" s="66" t="s">
        <v>21</v>
      </c>
      <c r="O18" s="67">
        <v>1.0</v>
      </c>
      <c r="P18" s="69"/>
      <c r="Q18" s="68"/>
      <c r="R18" s="67">
        <v>0.0</v>
      </c>
      <c r="S18" s="67">
        <v>0.0</v>
      </c>
      <c r="T18" s="67">
        <v>0.0</v>
      </c>
      <c r="U18" s="67">
        <v>0.0</v>
      </c>
      <c r="V18" s="67">
        <v>0.0</v>
      </c>
      <c r="W18" s="67">
        <v>0.0</v>
      </c>
      <c r="X18" s="69"/>
      <c r="Y18" s="70"/>
      <c r="Z18" s="67">
        <v>0.0</v>
      </c>
      <c r="AA18" s="67">
        <v>0.0</v>
      </c>
      <c r="AB18" s="66" t="s">
        <v>37</v>
      </c>
      <c r="AC18" s="67">
        <v>0.0</v>
      </c>
      <c r="AD18" s="67">
        <v>0.0</v>
      </c>
      <c r="AE18" s="71">
        <v>43872.0</v>
      </c>
      <c r="AF18" s="67"/>
      <c r="AG18" s="72" t="s">
        <v>54</v>
      </c>
      <c r="AH18" s="66"/>
      <c r="AI18" s="69"/>
    </row>
    <row r="19" ht="15.75" customHeight="1">
      <c r="A19" s="5"/>
      <c r="B19" s="73" t="s">
        <v>18</v>
      </c>
      <c r="C19" s="73" t="s">
        <v>54</v>
      </c>
      <c r="D19" s="73" t="s">
        <v>63</v>
      </c>
      <c r="E19" s="74">
        <v>-248.11</v>
      </c>
      <c r="F19" s="74">
        <v>0.0</v>
      </c>
      <c r="G19" s="74">
        <v>0.0</v>
      </c>
      <c r="H19" s="73" t="s">
        <v>64</v>
      </c>
      <c r="I19" s="74">
        <v>0.0</v>
      </c>
      <c r="J19" s="74">
        <v>0.0</v>
      </c>
      <c r="K19" s="73" t="s">
        <v>19</v>
      </c>
      <c r="L19" s="73" t="s">
        <v>59</v>
      </c>
      <c r="M19" s="75"/>
      <c r="N19" s="73" t="s">
        <v>21</v>
      </c>
      <c r="O19" s="74">
        <v>1.0</v>
      </c>
      <c r="P19" s="76"/>
      <c r="Q19" s="75"/>
      <c r="R19" s="74">
        <v>0.0</v>
      </c>
      <c r="S19" s="74">
        <v>0.0</v>
      </c>
      <c r="T19" s="74">
        <v>0.0</v>
      </c>
      <c r="U19" s="74">
        <v>0.0</v>
      </c>
      <c r="V19" s="74">
        <v>0.0</v>
      </c>
      <c r="W19" s="74">
        <v>0.0</v>
      </c>
      <c r="X19" s="76"/>
      <c r="Y19" s="77"/>
      <c r="Z19" s="74">
        <v>0.0</v>
      </c>
      <c r="AA19" s="74">
        <v>0.0</v>
      </c>
      <c r="AB19" s="73" t="s">
        <v>26</v>
      </c>
      <c r="AC19" s="74">
        <v>0.0</v>
      </c>
      <c r="AD19" s="74">
        <v>0.0</v>
      </c>
      <c r="AE19" s="78">
        <v>43872.0</v>
      </c>
      <c r="AF19" s="74"/>
      <c r="AG19" s="79" t="s">
        <v>54</v>
      </c>
      <c r="AH19" s="73"/>
      <c r="AI19" s="76"/>
    </row>
    <row r="20" ht="15.75" customHeight="1">
      <c r="A20" s="5"/>
      <c r="B20" s="66" t="s">
        <v>18</v>
      </c>
      <c r="C20" s="66" t="s">
        <v>49</v>
      </c>
      <c r="D20" s="66" t="s">
        <v>69</v>
      </c>
      <c r="E20" s="80">
        <v>-15611.89</v>
      </c>
      <c r="F20" s="80">
        <v>1.980952380952</v>
      </c>
      <c r="G20" s="80">
        <v>2.47619047619</v>
      </c>
      <c r="H20" s="66" t="s">
        <v>64</v>
      </c>
      <c r="I20" s="67">
        <v>0.0</v>
      </c>
      <c r="J20" s="80">
        <v>1.238095238095</v>
      </c>
      <c r="K20" s="66" t="s">
        <v>19</v>
      </c>
      <c r="L20" s="69"/>
      <c r="M20" s="68"/>
      <c r="N20" s="66" t="s">
        <v>21</v>
      </c>
      <c r="O20" s="67">
        <v>1.0</v>
      </c>
      <c r="P20" s="69"/>
      <c r="Q20" s="68"/>
      <c r="R20" s="67">
        <v>0.0</v>
      </c>
      <c r="S20" s="67">
        <v>0.0</v>
      </c>
      <c r="T20" s="67">
        <v>0.0</v>
      </c>
      <c r="U20" s="67">
        <v>0.0</v>
      </c>
      <c r="V20" s="67">
        <v>52.0</v>
      </c>
      <c r="W20" s="67">
        <v>0.0</v>
      </c>
      <c r="X20" s="72" t="s">
        <v>19</v>
      </c>
      <c r="Y20" s="68"/>
      <c r="Z20" s="80">
        <v>3.714285714285</v>
      </c>
      <c r="AA20" s="80">
        <v>0.008716190476</v>
      </c>
      <c r="AB20" s="66" t="s">
        <v>26</v>
      </c>
      <c r="AC20" s="80">
        <v>1.485714285714</v>
      </c>
      <c r="AD20" s="80">
        <v>11.894430476188</v>
      </c>
      <c r="AE20" s="81">
        <v>43872.0</v>
      </c>
      <c r="AF20" s="67"/>
      <c r="AG20" s="72" t="s">
        <v>49</v>
      </c>
      <c r="AH20" s="69"/>
      <c r="AI20" s="69"/>
    </row>
    <row r="21" ht="15.75" customHeight="1">
      <c r="A21" s="5"/>
      <c r="B21" s="73" t="s">
        <v>23</v>
      </c>
      <c r="C21" s="73" t="s">
        <v>49</v>
      </c>
      <c r="D21" s="73" t="s">
        <v>69</v>
      </c>
      <c r="E21" s="82">
        <v>-15912.12</v>
      </c>
      <c r="F21" s="82">
        <v>2.019047619047</v>
      </c>
      <c r="G21" s="82">
        <v>2.523809523809</v>
      </c>
      <c r="H21" s="73" t="s">
        <v>64</v>
      </c>
      <c r="I21" s="74">
        <v>0.0</v>
      </c>
      <c r="J21" s="82">
        <v>1.261904761905</v>
      </c>
      <c r="K21" s="73" t="s">
        <v>19</v>
      </c>
      <c r="L21" s="76"/>
      <c r="M21" s="75"/>
      <c r="N21" s="73" t="s">
        <v>21</v>
      </c>
      <c r="O21" s="74">
        <v>1.0</v>
      </c>
      <c r="P21" s="76"/>
      <c r="Q21" s="75"/>
      <c r="R21" s="74">
        <v>0.0</v>
      </c>
      <c r="S21" s="74">
        <v>0.0</v>
      </c>
      <c r="T21" s="74">
        <v>0.0</v>
      </c>
      <c r="U21" s="74">
        <v>0.0</v>
      </c>
      <c r="V21" s="74">
        <v>53.0</v>
      </c>
      <c r="W21" s="74">
        <v>0.0</v>
      </c>
      <c r="X21" s="79" t="s">
        <v>19</v>
      </c>
      <c r="Y21" s="75"/>
      <c r="Z21" s="82">
        <v>3.785714285715</v>
      </c>
      <c r="AA21" s="82">
        <v>0.008883809523</v>
      </c>
      <c r="AB21" s="73" t="s">
        <v>26</v>
      </c>
      <c r="AC21" s="82">
        <v>1.514285714285</v>
      </c>
      <c r="AD21" s="82">
        <v>12.123169523807</v>
      </c>
      <c r="AE21" s="83">
        <v>43872.0</v>
      </c>
      <c r="AF21" s="74"/>
      <c r="AG21" s="79" t="s">
        <v>49</v>
      </c>
      <c r="AH21" s="76"/>
      <c r="AI21" s="76"/>
    </row>
    <row r="22" ht="15.75" customHeight="1">
      <c r="A22" s="5"/>
      <c r="B22" s="66" t="s">
        <v>18</v>
      </c>
      <c r="C22" s="66" t="s">
        <v>49</v>
      </c>
      <c r="D22" s="66" t="s">
        <v>69</v>
      </c>
      <c r="E22" s="80">
        <v>-68391.92</v>
      </c>
      <c r="F22" s="80">
        <v>1.980952380952</v>
      </c>
      <c r="G22" s="80">
        <v>2.47619047619</v>
      </c>
      <c r="H22" s="66" t="s">
        <v>64</v>
      </c>
      <c r="I22" s="67">
        <v>0.0</v>
      </c>
      <c r="J22" s="80">
        <v>1.238095238095</v>
      </c>
      <c r="K22" s="66" t="s">
        <v>19</v>
      </c>
      <c r="L22" s="69"/>
      <c r="M22" s="68"/>
      <c r="N22" s="66" t="s">
        <v>21</v>
      </c>
      <c r="O22" s="67">
        <v>1.0</v>
      </c>
      <c r="P22" s="69"/>
      <c r="Q22" s="68"/>
      <c r="R22" s="67">
        <v>0.0</v>
      </c>
      <c r="S22" s="67">
        <v>0.0</v>
      </c>
      <c r="T22" s="67">
        <v>0.0</v>
      </c>
      <c r="U22" s="67">
        <v>0.0</v>
      </c>
      <c r="V22" s="67">
        <v>52.0</v>
      </c>
      <c r="W22" s="67">
        <v>0.0</v>
      </c>
      <c r="X22" s="72" t="s">
        <v>19</v>
      </c>
      <c r="Y22" s="68"/>
      <c r="Z22" s="80">
        <v>3.714285714285</v>
      </c>
      <c r="AA22" s="80">
        <v>0.038281904761</v>
      </c>
      <c r="AB22" s="66" t="s">
        <v>37</v>
      </c>
      <c r="AC22" s="80">
        <v>1.485714285714</v>
      </c>
      <c r="AD22" s="80">
        <v>11.923996190473</v>
      </c>
      <c r="AE22" s="81">
        <v>43872.0</v>
      </c>
      <c r="AF22" s="67"/>
      <c r="AG22" s="72" t="s">
        <v>49</v>
      </c>
      <c r="AH22" s="69"/>
      <c r="AI22" s="69"/>
    </row>
    <row r="23" ht="15.75" customHeight="1">
      <c r="A23" s="5"/>
      <c r="B23" s="73" t="s">
        <v>23</v>
      </c>
      <c r="C23" s="73" t="s">
        <v>49</v>
      </c>
      <c r="D23" s="73" t="s">
        <v>69</v>
      </c>
      <c r="E23" s="82">
        <v>-69707.15</v>
      </c>
      <c r="F23" s="82">
        <v>2.019047619047</v>
      </c>
      <c r="G23" s="82">
        <v>2.523809523809</v>
      </c>
      <c r="H23" s="73" t="s">
        <v>64</v>
      </c>
      <c r="I23" s="74">
        <v>0.0</v>
      </c>
      <c r="J23" s="82">
        <v>1.261904761905</v>
      </c>
      <c r="K23" s="73" t="s">
        <v>19</v>
      </c>
      <c r="L23" s="76"/>
      <c r="M23" s="75"/>
      <c r="N23" s="73" t="s">
        <v>21</v>
      </c>
      <c r="O23" s="74">
        <v>1.0</v>
      </c>
      <c r="P23" s="76"/>
      <c r="Q23" s="75"/>
      <c r="R23" s="74">
        <v>0.0</v>
      </c>
      <c r="S23" s="74">
        <v>0.0</v>
      </c>
      <c r="T23" s="74">
        <v>0.0</v>
      </c>
      <c r="U23" s="74">
        <v>0.0</v>
      </c>
      <c r="V23" s="74">
        <v>53.0</v>
      </c>
      <c r="W23" s="74">
        <v>0.0</v>
      </c>
      <c r="X23" s="79" t="s">
        <v>19</v>
      </c>
      <c r="Y23" s="75"/>
      <c r="Z23" s="82">
        <v>3.785714285715</v>
      </c>
      <c r="AA23" s="82">
        <v>0.039018095238</v>
      </c>
      <c r="AB23" s="73" t="s">
        <v>37</v>
      </c>
      <c r="AC23" s="82">
        <v>1.514285714285</v>
      </c>
      <c r="AD23" s="82">
        <v>12.153303809522</v>
      </c>
      <c r="AE23" s="83">
        <v>43872.0</v>
      </c>
      <c r="AF23" s="74"/>
      <c r="AG23" s="79" t="s">
        <v>49</v>
      </c>
      <c r="AH23" s="76"/>
      <c r="AI23" s="76"/>
    </row>
    <row r="24" ht="15.75" customHeight="1">
      <c r="A24" s="5"/>
      <c r="B24" s="66" t="s">
        <v>18</v>
      </c>
      <c r="C24" s="66" t="s">
        <v>49</v>
      </c>
      <c r="D24" s="66" t="s">
        <v>69</v>
      </c>
      <c r="E24" s="80">
        <v>15593.06</v>
      </c>
      <c r="F24" s="80">
        <v>1.980952380952</v>
      </c>
      <c r="G24" s="80">
        <v>2.47619047619</v>
      </c>
      <c r="H24" s="66" t="s">
        <v>64</v>
      </c>
      <c r="I24" s="67">
        <v>0.0</v>
      </c>
      <c r="J24" s="67">
        <v>0.0</v>
      </c>
      <c r="K24" s="66" t="s">
        <v>19</v>
      </c>
      <c r="L24" s="69"/>
      <c r="M24" s="68"/>
      <c r="N24" s="66" t="s">
        <v>21</v>
      </c>
      <c r="O24" s="67">
        <v>1.0</v>
      </c>
      <c r="P24" s="69"/>
      <c r="Q24" s="68"/>
      <c r="R24" s="67">
        <v>0.0</v>
      </c>
      <c r="S24" s="67">
        <v>0.0</v>
      </c>
      <c r="T24" s="67">
        <v>0.0</v>
      </c>
      <c r="U24" s="67">
        <v>0.0</v>
      </c>
      <c r="V24" s="67">
        <v>52.0</v>
      </c>
      <c r="W24" s="67">
        <v>0.0</v>
      </c>
      <c r="X24" s="72" t="s">
        <v>19</v>
      </c>
      <c r="Y24" s="68"/>
      <c r="Z24" s="67">
        <v>0.0</v>
      </c>
      <c r="AA24" s="80">
        <v>0.008716190476</v>
      </c>
      <c r="AB24" s="66" t="s">
        <v>26</v>
      </c>
      <c r="AC24" s="80">
        <v>1.485714285714</v>
      </c>
      <c r="AD24" s="80">
        <v>6.942049523808</v>
      </c>
      <c r="AE24" s="81">
        <v>43872.0</v>
      </c>
      <c r="AF24" s="67"/>
      <c r="AG24" s="72" t="s">
        <v>49</v>
      </c>
      <c r="AH24" s="69"/>
      <c r="AI24" s="69"/>
    </row>
    <row r="25" ht="15.75" customHeight="1">
      <c r="A25" s="5"/>
      <c r="B25" s="73" t="s">
        <v>23</v>
      </c>
      <c r="C25" s="73" t="s">
        <v>49</v>
      </c>
      <c r="D25" s="73" t="s">
        <v>69</v>
      </c>
      <c r="E25" s="82">
        <v>15892.92</v>
      </c>
      <c r="F25" s="82">
        <v>2.019047619047</v>
      </c>
      <c r="G25" s="82">
        <v>2.523809523809</v>
      </c>
      <c r="H25" s="73" t="s">
        <v>64</v>
      </c>
      <c r="I25" s="74">
        <v>0.0</v>
      </c>
      <c r="J25" s="74">
        <v>0.0</v>
      </c>
      <c r="K25" s="73" t="s">
        <v>19</v>
      </c>
      <c r="L25" s="76"/>
      <c r="M25" s="75"/>
      <c r="N25" s="73" t="s">
        <v>21</v>
      </c>
      <c r="O25" s="74">
        <v>1.0</v>
      </c>
      <c r="P25" s="76"/>
      <c r="Q25" s="75"/>
      <c r="R25" s="74">
        <v>0.0</v>
      </c>
      <c r="S25" s="74">
        <v>0.0</v>
      </c>
      <c r="T25" s="74">
        <v>0.0</v>
      </c>
      <c r="U25" s="74">
        <v>0.0</v>
      </c>
      <c r="V25" s="74">
        <v>53.0</v>
      </c>
      <c r="W25" s="74">
        <v>0.0</v>
      </c>
      <c r="X25" s="79" t="s">
        <v>19</v>
      </c>
      <c r="Y25" s="75"/>
      <c r="Z25" s="74">
        <v>0.0</v>
      </c>
      <c r="AA25" s="82">
        <v>0.008883809523</v>
      </c>
      <c r="AB25" s="73" t="s">
        <v>26</v>
      </c>
      <c r="AC25" s="82">
        <v>1.514285714285</v>
      </c>
      <c r="AD25" s="82">
        <v>7.075550476187</v>
      </c>
      <c r="AE25" s="83">
        <v>43872.0</v>
      </c>
      <c r="AF25" s="74"/>
      <c r="AG25" s="79" t="s">
        <v>49</v>
      </c>
      <c r="AH25" s="76"/>
      <c r="AI25" s="76"/>
    </row>
    <row r="26" ht="15.75" customHeight="1">
      <c r="A26" s="5"/>
      <c r="B26" s="66" t="s">
        <v>18</v>
      </c>
      <c r="C26" s="66" t="s">
        <v>54</v>
      </c>
      <c r="D26" s="66" t="s">
        <v>63</v>
      </c>
      <c r="E26" s="67">
        <v>6622.57</v>
      </c>
      <c r="F26" s="67">
        <v>0.0</v>
      </c>
      <c r="G26" s="67">
        <v>0.0</v>
      </c>
      <c r="H26" s="66" t="s">
        <v>64</v>
      </c>
      <c r="I26" s="67">
        <v>0.0</v>
      </c>
      <c r="J26" s="67">
        <v>0.0</v>
      </c>
      <c r="K26" s="66" t="s">
        <v>19</v>
      </c>
      <c r="L26" s="66" t="s">
        <v>55</v>
      </c>
      <c r="M26" s="68"/>
      <c r="N26" s="66" t="s">
        <v>21</v>
      </c>
      <c r="O26" s="67">
        <v>1.0</v>
      </c>
      <c r="P26" s="69"/>
      <c r="Q26" s="68"/>
      <c r="R26" s="67">
        <v>0.0</v>
      </c>
      <c r="S26" s="67">
        <v>0.0</v>
      </c>
      <c r="T26" s="67">
        <v>0.0</v>
      </c>
      <c r="U26" s="67">
        <v>0.0</v>
      </c>
      <c r="V26" s="67">
        <v>0.0</v>
      </c>
      <c r="W26" s="67">
        <v>0.0</v>
      </c>
      <c r="X26" s="69"/>
      <c r="Y26" s="70"/>
      <c r="Z26" s="67">
        <v>0.0</v>
      </c>
      <c r="AA26" s="67">
        <v>0.0</v>
      </c>
      <c r="AB26" s="66" t="s">
        <v>26</v>
      </c>
      <c r="AC26" s="67">
        <v>0.0</v>
      </c>
      <c r="AD26" s="67">
        <v>0.0</v>
      </c>
      <c r="AE26" s="71">
        <v>43873.0</v>
      </c>
      <c r="AF26" s="67"/>
      <c r="AG26" s="72" t="s">
        <v>54</v>
      </c>
      <c r="AH26" s="66"/>
      <c r="AI26" s="69"/>
    </row>
    <row r="27" ht="15.75" customHeight="1">
      <c r="B27" s="73" t="s">
        <v>18</v>
      </c>
      <c r="C27" s="73" t="s">
        <v>54</v>
      </c>
      <c r="D27" s="73" t="s">
        <v>63</v>
      </c>
      <c r="E27" s="74">
        <v>508.08</v>
      </c>
      <c r="F27" s="74">
        <v>0.0</v>
      </c>
      <c r="G27" s="74">
        <v>0.0</v>
      </c>
      <c r="H27" s="73" t="s">
        <v>64</v>
      </c>
      <c r="I27" s="74">
        <v>0.0</v>
      </c>
      <c r="J27" s="74">
        <v>0.0</v>
      </c>
      <c r="K27" s="73" t="s">
        <v>19</v>
      </c>
      <c r="L27" s="73" t="s">
        <v>55</v>
      </c>
      <c r="M27" s="75"/>
      <c r="N27" s="73" t="s">
        <v>21</v>
      </c>
      <c r="O27" s="74">
        <v>1.0</v>
      </c>
      <c r="P27" s="76"/>
      <c r="Q27" s="75"/>
      <c r="R27" s="74">
        <v>0.0</v>
      </c>
      <c r="S27" s="74">
        <v>0.0</v>
      </c>
      <c r="T27" s="74">
        <v>0.0</v>
      </c>
      <c r="U27" s="74">
        <v>0.0</v>
      </c>
      <c r="V27" s="74">
        <v>0.0</v>
      </c>
      <c r="W27" s="74">
        <v>0.0</v>
      </c>
      <c r="X27" s="76"/>
      <c r="Y27" s="77"/>
      <c r="Z27" s="74">
        <v>0.0</v>
      </c>
      <c r="AA27" s="74">
        <v>0.0</v>
      </c>
      <c r="AB27" s="73" t="s">
        <v>37</v>
      </c>
      <c r="AC27" s="74">
        <v>0.0</v>
      </c>
      <c r="AD27" s="74">
        <v>0.0</v>
      </c>
      <c r="AE27" s="78">
        <v>43873.0</v>
      </c>
      <c r="AF27" s="74"/>
      <c r="AG27" s="79" t="s">
        <v>54</v>
      </c>
      <c r="AH27" s="73"/>
      <c r="AI27" s="76"/>
    </row>
    <row r="28" ht="15.75" customHeight="1">
      <c r="B28" s="66" t="s">
        <v>18</v>
      </c>
      <c r="C28" s="66" t="s">
        <v>54</v>
      </c>
      <c r="D28" s="66" t="s">
        <v>63</v>
      </c>
      <c r="E28" s="67">
        <v>-2851.46</v>
      </c>
      <c r="F28" s="67">
        <v>0.0</v>
      </c>
      <c r="G28" s="67">
        <v>0.0</v>
      </c>
      <c r="H28" s="66" t="s">
        <v>64</v>
      </c>
      <c r="I28" s="67">
        <v>0.0</v>
      </c>
      <c r="J28" s="67">
        <v>0.0</v>
      </c>
      <c r="K28" s="66" t="s">
        <v>19</v>
      </c>
      <c r="L28" s="66" t="s">
        <v>55</v>
      </c>
      <c r="M28" s="68"/>
      <c r="N28" s="66" t="s">
        <v>21</v>
      </c>
      <c r="O28" s="67">
        <v>1.0</v>
      </c>
      <c r="P28" s="69"/>
      <c r="Q28" s="68"/>
      <c r="R28" s="67">
        <v>0.0</v>
      </c>
      <c r="S28" s="67">
        <v>0.0</v>
      </c>
      <c r="T28" s="67">
        <v>0.0</v>
      </c>
      <c r="U28" s="67">
        <v>0.0</v>
      </c>
      <c r="V28" s="67">
        <v>0.0</v>
      </c>
      <c r="W28" s="67">
        <v>0.0</v>
      </c>
      <c r="X28" s="69"/>
      <c r="Y28" s="70"/>
      <c r="Z28" s="67">
        <v>0.0</v>
      </c>
      <c r="AA28" s="67">
        <v>0.0</v>
      </c>
      <c r="AB28" s="66" t="s">
        <v>72</v>
      </c>
      <c r="AC28" s="67">
        <v>0.0</v>
      </c>
      <c r="AD28" s="67">
        <v>0.0</v>
      </c>
      <c r="AE28" s="71">
        <v>43873.0</v>
      </c>
      <c r="AF28" s="67"/>
      <c r="AG28" s="72" t="s">
        <v>54</v>
      </c>
      <c r="AH28" s="66"/>
      <c r="AI28" s="69"/>
    </row>
    <row r="29" ht="15.75" customHeight="1">
      <c r="B29" s="73" t="s">
        <v>18</v>
      </c>
      <c r="C29" s="73" t="s">
        <v>54</v>
      </c>
      <c r="D29" s="73" t="s">
        <v>63</v>
      </c>
      <c r="E29" s="74">
        <v>-508.11</v>
      </c>
      <c r="F29" s="74">
        <v>0.0</v>
      </c>
      <c r="G29" s="74">
        <v>0.0</v>
      </c>
      <c r="H29" s="73" t="s">
        <v>64</v>
      </c>
      <c r="I29" s="74">
        <v>0.0</v>
      </c>
      <c r="J29" s="74">
        <v>0.0</v>
      </c>
      <c r="K29" s="73" t="s">
        <v>19</v>
      </c>
      <c r="L29" s="73" t="s">
        <v>59</v>
      </c>
      <c r="M29" s="75"/>
      <c r="N29" s="73" t="s">
        <v>21</v>
      </c>
      <c r="O29" s="74">
        <v>1.0</v>
      </c>
      <c r="P29" s="76"/>
      <c r="Q29" s="75"/>
      <c r="R29" s="74">
        <v>0.0</v>
      </c>
      <c r="S29" s="74">
        <v>0.0</v>
      </c>
      <c r="T29" s="74">
        <v>0.0</v>
      </c>
      <c r="U29" s="74">
        <v>0.0</v>
      </c>
      <c r="V29" s="74">
        <v>0.0</v>
      </c>
      <c r="W29" s="74">
        <v>0.0</v>
      </c>
      <c r="X29" s="76"/>
      <c r="Y29" s="77"/>
      <c r="Z29" s="74">
        <v>0.0</v>
      </c>
      <c r="AA29" s="74">
        <v>0.0</v>
      </c>
      <c r="AB29" s="73" t="s">
        <v>26</v>
      </c>
      <c r="AC29" s="74">
        <v>0.0</v>
      </c>
      <c r="AD29" s="74">
        <v>0.0</v>
      </c>
      <c r="AE29" s="78">
        <v>43873.0</v>
      </c>
      <c r="AF29" s="74"/>
      <c r="AG29" s="79" t="s">
        <v>54</v>
      </c>
      <c r="AH29" s="73"/>
      <c r="AI29" s="76"/>
    </row>
    <row r="30" ht="15.75" customHeight="1">
      <c r="B30" s="66" t="s">
        <v>18</v>
      </c>
      <c r="C30" s="66" t="s">
        <v>54</v>
      </c>
      <c r="D30" s="66" t="s">
        <v>63</v>
      </c>
      <c r="E30" s="67">
        <v>-248.08</v>
      </c>
      <c r="F30" s="67">
        <v>0.0</v>
      </c>
      <c r="G30" s="67">
        <v>0.0</v>
      </c>
      <c r="H30" s="66" t="s">
        <v>64</v>
      </c>
      <c r="I30" s="67">
        <v>0.0</v>
      </c>
      <c r="J30" s="67">
        <v>0.0</v>
      </c>
      <c r="K30" s="66" t="s">
        <v>19</v>
      </c>
      <c r="L30" s="66" t="s">
        <v>59</v>
      </c>
      <c r="M30" s="68"/>
      <c r="N30" s="66" t="s">
        <v>21</v>
      </c>
      <c r="O30" s="67">
        <v>1.0</v>
      </c>
      <c r="P30" s="69"/>
      <c r="Q30" s="68"/>
      <c r="R30" s="67">
        <v>0.0</v>
      </c>
      <c r="S30" s="67">
        <v>0.0</v>
      </c>
      <c r="T30" s="67">
        <v>0.0</v>
      </c>
      <c r="U30" s="67">
        <v>0.0</v>
      </c>
      <c r="V30" s="67">
        <v>0.0</v>
      </c>
      <c r="W30" s="67">
        <v>0.0</v>
      </c>
      <c r="X30" s="69"/>
      <c r="Y30" s="70"/>
      <c r="Z30" s="67">
        <v>0.0</v>
      </c>
      <c r="AA30" s="67">
        <v>0.0</v>
      </c>
      <c r="AB30" s="66" t="s">
        <v>37</v>
      </c>
      <c r="AC30" s="67">
        <v>0.0</v>
      </c>
      <c r="AD30" s="67">
        <v>0.0</v>
      </c>
      <c r="AE30" s="71">
        <v>43873.0</v>
      </c>
      <c r="AF30" s="67"/>
      <c r="AG30" s="72" t="s">
        <v>54</v>
      </c>
      <c r="AH30" s="66"/>
      <c r="AI30" s="69"/>
    </row>
    <row r="31" ht="15.75" customHeight="1">
      <c r="B31" s="73" t="s">
        <v>23</v>
      </c>
      <c r="C31" s="73" t="s">
        <v>54</v>
      </c>
      <c r="D31" s="73" t="s">
        <v>63</v>
      </c>
      <c r="E31" s="74">
        <v>6749.92</v>
      </c>
      <c r="F31" s="74">
        <v>0.0</v>
      </c>
      <c r="G31" s="74">
        <v>0.0</v>
      </c>
      <c r="H31" s="73" t="s">
        <v>64</v>
      </c>
      <c r="I31" s="74">
        <v>0.0</v>
      </c>
      <c r="J31" s="74">
        <v>0.0</v>
      </c>
      <c r="K31" s="73" t="s">
        <v>19</v>
      </c>
      <c r="L31" s="73" t="s">
        <v>55</v>
      </c>
      <c r="M31" s="75"/>
      <c r="N31" s="73" t="s">
        <v>21</v>
      </c>
      <c r="O31" s="74">
        <v>1.0</v>
      </c>
      <c r="P31" s="76"/>
      <c r="Q31" s="75"/>
      <c r="R31" s="74">
        <v>0.0</v>
      </c>
      <c r="S31" s="74">
        <v>0.0</v>
      </c>
      <c r="T31" s="74">
        <v>0.0</v>
      </c>
      <c r="U31" s="74">
        <v>0.0</v>
      </c>
      <c r="V31" s="74">
        <v>0.0</v>
      </c>
      <c r="W31" s="74">
        <v>0.0</v>
      </c>
      <c r="X31" s="76"/>
      <c r="Y31" s="77"/>
      <c r="Z31" s="74">
        <v>0.0</v>
      </c>
      <c r="AA31" s="74">
        <v>0.0</v>
      </c>
      <c r="AB31" s="73" t="s">
        <v>26</v>
      </c>
      <c r="AC31" s="74">
        <v>0.0</v>
      </c>
      <c r="AD31" s="74">
        <v>0.0</v>
      </c>
      <c r="AE31" s="78">
        <v>43873.0</v>
      </c>
      <c r="AF31" s="74"/>
      <c r="AG31" s="79" t="s">
        <v>54</v>
      </c>
      <c r="AH31" s="73"/>
      <c r="AI31" s="76"/>
    </row>
    <row r="32" ht="15.75" customHeight="1">
      <c r="B32" s="66" t="s">
        <v>23</v>
      </c>
      <c r="C32" s="66" t="s">
        <v>54</v>
      </c>
      <c r="D32" s="66" t="s">
        <v>63</v>
      </c>
      <c r="E32" s="67">
        <v>517.85</v>
      </c>
      <c r="F32" s="67">
        <v>0.0</v>
      </c>
      <c r="G32" s="67">
        <v>0.0</v>
      </c>
      <c r="H32" s="66" t="s">
        <v>64</v>
      </c>
      <c r="I32" s="67">
        <v>0.0</v>
      </c>
      <c r="J32" s="67">
        <v>0.0</v>
      </c>
      <c r="K32" s="66" t="s">
        <v>19</v>
      </c>
      <c r="L32" s="66" t="s">
        <v>55</v>
      </c>
      <c r="M32" s="68"/>
      <c r="N32" s="66" t="s">
        <v>21</v>
      </c>
      <c r="O32" s="67">
        <v>1.0</v>
      </c>
      <c r="P32" s="69"/>
      <c r="Q32" s="68"/>
      <c r="R32" s="67">
        <v>0.0</v>
      </c>
      <c r="S32" s="67">
        <v>0.0</v>
      </c>
      <c r="T32" s="67">
        <v>0.0</v>
      </c>
      <c r="U32" s="67">
        <v>0.0</v>
      </c>
      <c r="V32" s="67">
        <v>0.0</v>
      </c>
      <c r="W32" s="67">
        <v>0.0</v>
      </c>
      <c r="X32" s="69"/>
      <c r="Y32" s="70"/>
      <c r="Z32" s="67">
        <v>0.0</v>
      </c>
      <c r="AA32" s="67">
        <v>0.0</v>
      </c>
      <c r="AB32" s="66" t="s">
        <v>37</v>
      </c>
      <c r="AC32" s="67">
        <v>0.0</v>
      </c>
      <c r="AD32" s="67">
        <v>0.0</v>
      </c>
      <c r="AE32" s="71">
        <v>43873.0</v>
      </c>
      <c r="AF32" s="67"/>
      <c r="AG32" s="72" t="s">
        <v>54</v>
      </c>
      <c r="AH32" s="66"/>
      <c r="AI32" s="69"/>
    </row>
    <row r="33" ht="15.75" customHeight="1">
      <c r="B33" s="73" t="s">
        <v>23</v>
      </c>
      <c r="C33" s="73" t="s">
        <v>54</v>
      </c>
      <c r="D33" s="73" t="s">
        <v>63</v>
      </c>
      <c r="E33" s="74">
        <v>-2906.3</v>
      </c>
      <c r="F33" s="74">
        <v>0.0</v>
      </c>
      <c r="G33" s="74">
        <v>0.0</v>
      </c>
      <c r="H33" s="73" t="s">
        <v>64</v>
      </c>
      <c r="I33" s="74">
        <v>0.0</v>
      </c>
      <c r="J33" s="74">
        <v>0.0</v>
      </c>
      <c r="K33" s="73" t="s">
        <v>19</v>
      </c>
      <c r="L33" s="73" t="s">
        <v>55</v>
      </c>
      <c r="M33" s="75"/>
      <c r="N33" s="73" t="s">
        <v>21</v>
      </c>
      <c r="O33" s="74">
        <v>1.0</v>
      </c>
      <c r="P33" s="76"/>
      <c r="Q33" s="75"/>
      <c r="R33" s="74">
        <v>0.0</v>
      </c>
      <c r="S33" s="74">
        <v>0.0</v>
      </c>
      <c r="T33" s="74">
        <v>0.0</v>
      </c>
      <c r="U33" s="74">
        <v>0.0</v>
      </c>
      <c r="V33" s="74">
        <v>0.0</v>
      </c>
      <c r="W33" s="74">
        <v>0.0</v>
      </c>
      <c r="X33" s="76"/>
      <c r="Y33" s="77"/>
      <c r="Z33" s="74">
        <v>0.0</v>
      </c>
      <c r="AA33" s="74">
        <v>0.0</v>
      </c>
      <c r="AB33" s="73" t="s">
        <v>72</v>
      </c>
      <c r="AC33" s="74">
        <v>0.0</v>
      </c>
      <c r="AD33" s="74">
        <v>0.0</v>
      </c>
      <c r="AE33" s="78">
        <v>43873.0</v>
      </c>
      <c r="AF33" s="74"/>
      <c r="AG33" s="79" t="s">
        <v>54</v>
      </c>
      <c r="AH33" s="73"/>
      <c r="AI33" s="76"/>
    </row>
    <row r="34" ht="15.75" customHeight="1">
      <c r="B34" s="66" t="s">
        <v>23</v>
      </c>
      <c r="C34" s="66" t="s">
        <v>54</v>
      </c>
      <c r="D34" s="66" t="s">
        <v>63</v>
      </c>
      <c r="E34" s="67">
        <v>-517.88</v>
      </c>
      <c r="F34" s="67">
        <v>0.0</v>
      </c>
      <c r="G34" s="67">
        <v>0.0</v>
      </c>
      <c r="H34" s="66" t="s">
        <v>64</v>
      </c>
      <c r="I34" s="67">
        <v>0.0</v>
      </c>
      <c r="J34" s="67">
        <v>0.0</v>
      </c>
      <c r="K34" s="66" t="s">
        <v>19</v>
      </c>
      <c r="L34" s="66" t="s">
        <v>59</v>
      </c>
      <c r="M34" s="68"/>
      <c r="N34" s="66" t="s">
        <v>21</v>
      </c>
      <c r="O34" s="67">
        <v>1.0</v>
      </c>
      <c r="P34" s="69"/>
      <c r="Q34" s="68"/>
      <c r="R34" s="67">
        <v>0.0</v>
      </c>
      <c r="S34" s="67">
        <v>0.0</v>
      </c>
      <c r="T34" s="67">
        <v>0.0</v>
      </c>
      <c r="U34" s="67">
        <v>0.0</v>
      </c>
      <c r="V34" s="67">
        <v>0.0</v>
      </c>
      <c r="W34" s="67">
        <v>0.0</v>
      </c>
      <c r="X34" s="69"/>
      <c r="Y34" s="70"/>
      <c r="Z34" s="67">
        <v>0.0</v>
      </c>
      <c r="AA34" s="67">
        <v>0.0</v>
      </c>
      <c r="AB34" s="66" t="s">
        <v>26</v>
      </c>
      <c r="AC34" s="67">
        <v>0.0</v>
      </c>
      <c r="AD34" s="67">
        <v>0.0</v>
      </c>
      <c r="AE34" s="71">
        <v>43873.0</v>
      </c>
      <c r="AF34" s="67"/>
      <c r="AG34" s="72" t="s">
        <v>54</v>
      </c>
      <c r="AH34" s="66"/>
      <c r="AI34" s="69"/>
    </row>
    <row r="35" ht="15.75" customHeight="1">
      <c r="B35" s="73" t="s">
        <v>23</v>
      </c>
      <c r="C35" s="73" t="s">
        <v>54</v>
      </c>
      <c r="D35" s="73" t="s">
        <v>63</v>
      </c>
      <c r="E35" s="74">
        <v>-252.85</v>
      </c>
      <c r="F35" s="74">
        <v>0.0</v>
      </c>
      <c r="G35" s="74">
        <v>0.0</v>
      </c>
      <c r="H35" s="73" t="s">
        <v>64</v>
      </c>
      <c r="I35" s="74">
        <v>0.0</v>
      </c>
      <c r="J35" s="74">
        <v>0.0</v>
      </c>
      <c r="K35" s="73" t="s">
        <v>19</v>
      </c>
      <c r="L35" s="73" t="s">
        <v>59</v>
      </c>
      <c r="M35" s="75"/>
      <c r="N35" s="73" t="s">
        <v>21</v>
      </c>
      <c r="O35" s="74">
        <v>1.0</v>
      </c>
      <c r="P35" s="76"/>
      <c r="Q35" s="75"/>
      <c r="R35" s="74">
        <v>0.0</v>
      </c>
      <c r="S35" s="74">
        <v>0.0</v>
      </c>
      <c r="T35" s="74">
        <v>0.0</v>
      </c>
      <c r="U35" s="74">
        <v>0.0</v>
      </c>
      <c r="V35" s="74">
        <v>0.0</v>
      </c>
      <c r="W35" s="74">
        <v>0.0</v>
      </c>
      <c r="X35" s="76"/>
      <c r="Y35" s="77"/>
      <c r="Z35" s="74">
        <v>0.0</v>
      </c>
      <c r="AA35" s="74">
        <v>0.0</v>
      </c>
      <c r="AB35" s="73" t="s">
        <v>37</v>
      </c>
      <c r="AC35" s="74">
        <v>0.0</v>
      </c>
      <c r="AD35" s="74">
        <v>0.0</v>
      </c>
      <c r="AE35" s="78">
        <v>43873.0</v>
      </c>
      <c r="AF35" s="74"/>
      <c r="AG35" s="79" t="s">
        <v>54</v>
      </c>
      <c r="AH35" s="73"/>
      <c r="AI35" s="76"/>
    </row>
    <row r="36" ht="15.75" customHeight="1">
      <c r="B36" s="66" t="s">
        <v>23</v>
      </c>
      <c r="C36" s="66" t="s">
        <v>49</v>
      </c>
      <c r="D36" s="66" t="s">
        <v>69</v>
      </c>
      <c r="E36" s="80">
        <v>15912.12</v>
      </c>
      <c r="F36" s="67">
        <v>0.0</v>
      </c>
      <c r="G36" s="67">
        <v>0.0</v>
      </c>
      <c r="H36" s="66" t="s">
        <v>64</v>
      </c>
      <c r="I36" s="67">
        <v>0.0</v>
      </c>
      <c r="J36" s="67">
        <v>0.0</v>
      </c>
      <c r="K36" s="66" t="s">
        <v>19</v>
      </c>
      <c r="L36" s="69"/>
      <c r="M36" s="71"/>
      <c r="N36" s="66" t="s">
        <v>21</v>
      </c>
      <c r="O36" s="67">
        <v>1.0</v>
      </c>
      <c r="P36" s="69"/>
      <c r="Q36" s="68"/>
      <c r="R36" s="67">
        <v>0.0</v>
      </c>
      <c r="S36" s="67">
        <v>0.0</v>
      </c>
      <c r="T36" s="67">
        <v>0.0</v>
      </c>
      <c r="U36" s="67">
        <v>0.0</v>
      </c>
      <c r="V36" s="67">
        <v>53.0</v>
      </c>
      <c r="W36" s="67">
        <v>0.0</v>
      </c>
      <c r="X36" s="72" t="s">
        <v>19</v>
      </c>
      <c r="Y36" s="71"/>
      <c r="Z36" s="67">
        <v>0.0</v>
      </c>
      <c r="AA36" s="67">
        <v>0.0</v>
      </c>
      <c r="AB36" s="66" t="s">
        <v>26</v>
      </c>
      <c r="AC36" s="67">
        <v>0.0</v>
      </c>
      <c r="AD36" s="67">
        <v>0.0</v>
      </c>
      <c r="AE36" s="71">
        <v>43873.0</v>
      </c>
      <c r="AF36" s="67"/>
      <c r="AG36" s="72" t="s">
        <v>49</v>
      </c>
      <c r="AH36" s="69"/>
      <c r="AI36" s="69"/>
    </row>
    <row r="37" ht="15.75" customHeight="1">
      <c r="B37" s="73" t="s">
        <v>18</v>
      </c>
      <c r="C37" s="73" t="s">
        <v>49</v>
      </c>
      <c r="D37" s="73" t="s">
        <v>69</v>
      </c>
      <c r="E37" s="82">
        <v>15611.89</v>
      </c>
      <c r="F37" s="74">
        <v>0.0</v>
      </c>
      <c r="G37" s="74">
        <v>0.0</v>
      </c>
      <c r="H37" s="73" t="s">
        <v>64</v>
      </c>
      <c r="I37" s="74">
        <v>0.0</v>
      </c>
      <c r="J37" s="74">
        <v>0.0</v>
      </c>
      <c r="K37" s="73" t="s">
        <v>19</v>
      </c>
      <c r="L37" s="76"/>
      <c r="M37" s="78"/>
      <c r="N37" s="73" t="s">
        <v>21</v>
      </c>
      <c r="O37" s="74">
        <v>1.0</v>
      </c>
      <c r="P37" s="76"/>
      <c r="Q37" s="75"/>
      <c r="R37" s="74">
        <v>0.0</v>
      </c>
      <c r="S37" s="74">
        <v>0.0</v>
      </c>
      <c r="T37" s="74">
        <v>0.0</v>
      </c>
      <c r="U37" s="74">
        <v>0.0</v>
      </c>
      <c r="V37" s="74">
        <v>52.0</v>
      </c>
      <c r="W37" s="74">
        <v>0.0</v>
      </c>
      <c r="X37" s="79" t="s">
        <v>19</v>
      </c>
      <c r="Y37" s="78"/>
      <c r="Z37" s="74">
        <v>0.0</v>
      </c>
      <c r="AA37" s="74">
        <v>0.0</v>
      </c>
      <c r="AB37" s="73" t="s">
        <v>26</v>
      </c>
      <c r="AC37" s="74">
        <v>0.0</v>
      </c>
      <c r="AD37" s="74">
        <v>0.0</v>
      </c>
      <c r="AE37" s="78">
        <v>43873.0</v>
      </c>
      <c r="AF37" s="74"/>
      <c r="AG37" s="79" t="s">
        <v>49</v>
      </c>
      <c r="AH37" s="76"/>
      <c r="AI37" s="76"/>
    </row>
    <row r="38" ht="15.75" customHeight="1">
      <c r="B38" s="66" t="s">
        <v>23</v>
      </c>
      <c r="C38" s="66" t="s">
        <v>49</v>
      </c>
      <c r="D38" s="66" t="s">
        <v>69</v>
      </c>
      <c r="E38" s="80">
        <v>-9945.08</v>
      </c>
      <c r="F38" s="67">
        <v>0.0</v>
      </c>
      <c r="G38" s="67">
        <v>0.0</v>
      </c>
      <c r="H38" s="66" t="s">
        <v>64</v>
      </c>
      <c r="I38" s="67">
        <v>0.0</v>
      </c>
      <c r="J38" s="67">
        <v>0.0</v>
      </c>
      <c r="K38" s="66" t="s">
        <v>19</v>
      </c>
      <c r="L38" s="69"/>
      <c r="M38" s="71"/>
      <c r="N38" s="66" t="s">
        <v>21</v>
      </c>
      <c r="O38" s="67">
        <v>1.0</v>
      </c>
      <c r="P38" s="69"/>
      <c r="Q38" s="68"/>
      <c r="R38" s="67">
        <v>0.0</v>
      </c>
      <c r="S38" s="67">
        <v>0.0</v>
      </c>
      <c r="T38" s="67">
        <v>0.0</v>
      </c>
      <c r="U38" s="67">
        <v>0.0</v>
      </c>
      <c r="V38" s="67">
        <v>53.0</v>
      </c>
      <c r="W38" s="67">
        <v>0.0</v>
      </c>
      <c r="X38" s="72" t="s">
        <v>19</v>
      </c>
      <c r="Y38" s="71"/>
      <c r="Z38" s="67">
        <v>0.0</v>
      </c>
      <c r="AA38" s="67">
        <v>0.0</v>
      </c>
      <c r="AB38" s="66" t="s">
        <v>26</v>
      </c>
      <c r="AC38" s="67">
        <v>0.0</v>
      </c>
      <c r="AD38" s="67">
        <v>0.0</v>
      </c>
      <c r="AE38" s="71">
        <v>43873.0</v>
      </c>
      <c r="AF38" s="67"/>
      <c r="AG38" s="72" t="s">
        <v>49</v>
      </c>
      <c r="AH38" s="69"/>
      <c r="AI38" s="69"/>
    </row>
    <row r="39" ht="15.75" customHeight="1">
      <c r="B39" s="73" t="s">
        <v>23</v>
      </c>
      <c r="C39" s="73" t="s">
        <v>49</v>
      </c>
      <c r="D39" s="73" t="s">
        <v>69</v>
      </c>
      <c r="E39" s="82">
        <v>-5967.05</v>
      </c>
      <c r="F39" s="74">
        <v>0.0</v>
      </c>
      <c r="G39" s="74">
        <v>0.0</v>
      </c>
      <c r="H39" s="73" t="s">
        <v>64</v>
      </c>
      <c r="I39" s="74">
        <v>0.0</v>
      </c>
      <c r="J39" s="74">
        <v>0.0</v>
      </c>
      <c r="K39" s="73" t="s">
        <v>19</v>
      </c>
      <c r="L39" s="76"/>
      <c r="M39" s="78"/>
      <c r="N39" s="73" t="s">
        <v>21</v>
      </c>
      <c r="O39" s="74">
        <v>1.0</v>
      </c>
      <c r="P39" s="76"/>
      <c r="Q39" s="75"/>
      <c r="R39" s="74">
        <v>0.0</v>
      </c>
      <c r="S39" s="74">
        <v>0.0</v>
      </c>
      <c r="T39" s="74">
        <v>0.0</v>
      </c>
      <c r="U39" s="74">
        <v>0.0</v>
      </c>
      <c r="V39" s="74">
        <v>17.49</v>
      </c>
      <c r="W39" s="74">
        <v>0.0</v>
      </c>
      <c r="X39" s="79" t="s">
        <v>19</v>
      </c>
      <c r="Y39" s="78"/>
      <c r="Z39" s="74">
        <v>0.0</v>
      </c>
      <c r="AA39" s="74">
        <v>0.0</v>
      </c>
      <c r="AB39" s="73" t="s">
        <v>72</v>
      </c>
      <c r="AC39" s="74">
        <v>0.0</v>
      </c>
      <c r="AD39" s="74">
        <v>0.0</v>
      </c>
      <c r="AE39" s="78">
        <v>43873.0</v>
      </c>
      <c r="AF39" s="74"/>
      <c r="AG39" s="79" t="s">
        <v>49</v>
      </c>
      <c r="AH39" s="76"/>
      <c r="AI39" s="76"/>
    </row>
    <row r="40" ht="15.75" customHeight="1">
      <c r="B40" s="66" t="s">
        <v>18</v>
      </c>
      <c r="C40" s="66" t="s">
        <v>49</v>
      </c>
      <c r="D40" s="66" t="s">
        <v>69</v>
      </c>
      <c r="E40" s="80">
        <v>-9757.43</v>
      </c>
      <c r="F40" s="67">
        <v>0.0</v>
      </c>
      <c r="G40" s="67">
        <v>0.0</v>
      </c>
      <c r="H40" s="66" t="s">
        <v>64</v>
      </c>
      <c r="I40" s="67">
        <v>0.0</v>
      </c>
      <c r="J40" s="67">
        <v>0.0</v>
      </c>
      <c r="K40" s="66" t="s">
        <v>19</v>
      </c>
      <c r="L40" s="69"/>
      <c r="M40" s="71"/>
      <c r="N40" s="66" t="s">
        <v>21</v>
      </c>
      <c r="O40" s="67">
        <v>1.0</v>
      </c>
      <c r="P40" s="69"/>
      <c r="Q40" s="68"/>
      <c r="R40" s="67">
        <v>0.0</v>
      </c>
      <c r="S40" s="67">
        <v>0.0</v>
      </c>
      <c r="T40" s="67">
        <v>0.0</v>
      </c>
      <c r="U40" s="67">
        <v>0.0</v>
      </c>
      <c r="V40" s="67">
        <v>52.0</v>
      </c>
      <c r="W40" s="67">
        <v>0.0</v>
      </c>
      <c r="X40" s="72" t="s">
        <v>19</v>
      </c>
      <c r="Y40" s="71"/>
      <c r="Z40" s="67">
        <v>0.0</v>
      </c>
      <c r="AA40" s="67">
        <v>0.0</v>
      </c>
      <c r="AB40" s="66" t="s">
        <v>26</v>
      </c>
      <c r="AC40" s="67">
        <v>0.0</v>
      </c>
      <c r="AD40" s="67">
        <v>0.0</v>
      </c>
      <c r="AE40" s="71">
        <v>43873.0</v>
      </c>
      <c r="AF40" s="67"/>
      <c r="AG40" s="72" t="s">
        <v>49</v>
      </c>
      <c r="AH40" s="69"/>
      <c r="AI40" s="69"/>
    </row>
    <row r="41" ht="15.75" customHeight="1">
      <c r="B41" s="73" t="s">
        <v>18</v>
      </c>
      <c r="C41" s="73" t="s">
        <v>49</v>
      </c>
      <c r="D41" s="73" t="s">
        <v>69</v>
      </c>
      <c r="E41" s="82">
        <v>-5854.46</v>
      </c>
      <c r="F41" s="74">
        <v>0.0</v>
      </c>
      <c r="G41" s="74">
        <v>0.0</v>
      </c>
      <c r="H41" s="73" t="s">
        <v>64</v>
      </c>
      <c r="I41" s="74">
        <v>0.0</v>
      </c>
      <c r="J41" s="74">
        <v>0.0</v>
      </c>
      <c r="K41" s="73" t="s">
        <v>19</v>
      </c>
      <c r="L41" s="76"/>
      <c r="M41" s="78"/>
      <c r="N41" s="73" t="s">
        <v>21</v>
      </c>
      <c r="O41" s="74">
        <v>1.0</v>
      </c>
      <c r="P41" s="76"/>
      <c r="Q41" s="75"/>
      <c r="R41" s="74">
        <v>0.0</v>
      </c>
      <c r="S41" s="74">
        <v>0.0</v>
      </c>
      <c r="T41" s="74">
        <v>0.0</v>
      </c>
      <c r="U41" s="74">
        <v>0.0</v>
      </c>
      <c r="V41" s="74">
        <v>17.16</v>
      </c>
      <c r="W41" s="74">
        <v>0.0</v>
      </c>
      <c r="X41" s="79" t="s">
        <v>19</v>
      </c>
      <c r="Y41" s="78"/>
      <c r="Z41" s="74">
        <v>0.0</v>
      </c>
      <c r="AA41" s="74">
        <v>0.0</v>
      </c>
      <c r="AB41" s="73" t="s">
        <v>72</v>
      </c>
      <c r="AC41" s="74">
        <v>0.0</v>
      </c>
      <c r="AD41" s="74">
        <v>0.0</v>
      </c>
      <c r="AE41" s="78">
        <v>43873.0</v>
      </c>
      <c r="AF41" s="74"/>
      <c r="AG41" s="79" t="s">
        <v>49</v>
      </c>
      <c r="AH41" s="76"/>
      <c r="AI41" s="7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2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39</v>
      </c>
      <c r="D3" s="6" t="s">
        <v>8</v>
      </c>
      <c r="E3" s="21" t="s">
        <v>41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3" t="s">
        <v>42</v>
      </c>
      <c r="C6" s="30">
        <v>43871.0</v>
      </c>
      <c r="D6" s="30">
        <v>43873.0</v>
      </c>
      <c r="E6" s="29" t="s">
        <v>16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" width="14.43"/>
    <col customWidth="1" min="20" max="20" width="39.86"/>
    <col customWidth="1" min="21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39</v>
      </c>
      <c r="D3" s="6" t="s">
        <v>8</v>
      </c>
      <c r="E3" s="21" t="s">
        <v>74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86" t="s">
        <v>23</v>
      </c>
      <c r="C6" s="86" t="s">
        <v>75</v>
      </c>
      <c r="D6" s="87">
        <v>1.0</v>
      </c>
      <c r="E6" s="90"/>
      <c r="F6" s="86"/>
      <c r="G6" s="90"/>
      <c r="H6" s="87">
        <v>69707.1533</v>
      </c>
      <c r="I6" s="87">
        <v>1315.0</v>
      </c>
      <c r="J6" s="89"/>
      <c r="K6" s="86" t="s">
        <v>76</v>
      </c>
      <c r="L6" s="89"/>
      <c r="M6" s="87">
        <v>53.0</v>
      </c>
      <c r="N6" s="86" t="s">
        <v>77</v>
      </c>
      <c r="O6" s="87"/>
      <c r="P6" s="86" t="s">
        <v>27</v>
      </c>
      <c r="Q6" s="86" t="s">
        <v>78</v>
      </c>
      <c r="R6" s="86" t="s">
        <v>37</v>
      </c>
      <c r="S6" s="93"/>
      <c r="T6" s="87">
        <v>12.1533</v>
      </c>
      <c r="U6" s="89"/>
      <c r="V6" s="86" t="s">
        <v>27</v>
      </c>
      <c r="W6" s="86" t="s">
        <v>79</v>
      </c>
      <c r="X6" s="87">
        <v>1315.22930761905</v>
      </c>
      <c r="Y6" s="87">
        <v>1315.2293</v>
      </c>
    </row>
    <row r="7" ht="15.75" customHeight="1">
      <c r="A7" s="5"/>
      <c r="B7" s="86" t="s">
        <v>18</v>
      </c>
      <c r="C7" s="86" t="s">
        <v>75</v>
      </c>
      <c r="D7" s="87">
        <v>1.0</v>
      </c>
      <c r="E7" s="90"/>
      <c r="F7" s="86"/>
      <c r="G7" s="90"/>
      <c r="H7" s="87">
        <v>68391.924</v>
      </c>
      <c r="I7" s="87">
        <v>1315.0</v>
      </c>
      <c r="J7" s="89"/>
      <c r="K7" s="86" t="s">
        <v>76</v>
      </c>
      <c r="L7" s="89"/>
      <c r="M7" s="87">
        <v>52.0</v>
      </c>
      <c r="N7" s="86" t="s">
        <v>77</v>
      </c>
      <c r="O7" s="87"/>
      <c r="P7" s="86" t="s">
        <v>27</v>
      </c>
      <c r="Q7" s="86" t="s">
        <v>78</v>
      </c>
      <c r="R7" s="86" t="s">
        <v>37</v>
      </c>
      <c r="S7" s="93"/>
      <c r="T7" s="87">
        <v>11.924</v>
      </c>
      <c r="U7" s="89"/>
      <c r="V7" s="86" t="s">
        <v>27</v>
      </c>
      <c r="W7" s="86" t="s">
        <v>79</v>
      </c>
      <c r="X7" s="87">
        <v>1315.22930761905</v>
      </c>
      <c r="Y7" s="87">
        <v>1315.2293</v>
      </c>
    </row>
    <row r="8" ht="15.75" customHeight="1">
      <c r="A8" s="5"/>
      <c r="B8" s="86" t="s">
        <v>23</v>
      </c>
      <c r="C8" s="86" t="s">
        <v>75</v>
      </c>
      <c r="D8" s="87">
        <v>1.0</v>
      </c>
      <c r="E8" s="90"/>
      <c r="F8" s="86"/>
      <c r="G8" s="90"/>
      <c r="H8" s="87">
        <v>9945.077</v>
      </c>
      <c r="I8" s="87">
        <v>187.643</v>
      </c>
      <c r="J8" s="89"/>
      <c r="K8" s="86" t="s">
        <v>80</v>
      </c>
      <c r="L8" s="89"/>
      <c r="M8" s="87">
        <v>53.0</v>
      </c>
      <c r="N8" s="86" t="s">
        <v>81</v>
      </c>
      <c r="O8" s="87"/>
      <c r="P8" s="86" t="s">
        <v>27</v>
      </c>
      <c r="Q8" s="86" t="s">
        <v>78</v>
      </c>
      <c r="R8" s="86" t="s">
        <v>26</v>
      </c>
      <c r="S8" s="93"/>
      <c r="T8" s="87">
        <v>0.0</v>
      </c>
      <c r="U8" s="89"/>
      <c r="V8" s="86" t="s">
        <v>27</v>
      </c>
      <c r="W8" s="86" t="s">
        <v>79</v>
      </c>
      <c r="X8" s="87">
        <v>187.642961904762</v>
      </c>
      <c r="Y8" s="87">
        <v>187.643</v>
      </c>
    </row>
    <row r="9" ht="15.75" customHeight="1">
      <c r="A9" s="5"/>
      <c r="B9" s="86" t="s">
        <v>23</v>
      </c>
      <c r="C9" s="86" t="s">
        <v>75</v>
      </c>
      <c r="D9" s="87">
        <v>1.0</v>
      </c>
      <c r="E9" s="90"/>
      <c r="F9" s="86"/>
      <c r="G9" s="90"/>
      <c r="H9" s="87">
        <v>5967.0462</v>
      </c>
      <c r="I9" s="87">
        <v>341.169</v>
      </c>
      <c r="J9" s="89"/>
      <c r="K9" s="86" t="s">
        <v>80</v>
      </c>
      <c r="L9" s="89"/>
      <c r="M9" s="87">
        <v>17.49</v>
      </c>
      <c r="N9" s="86" t="s">
        <v>82</v>
      </c>
      <c r="O9" s="87"/>
      <c r="P9" s="86" t="s">
        <v>27</v>
      </c>
      <c r="Q9" s="86" t="s">
        <v>78</v>
      </c>
      <c r="R9" s="86" t="s">
        <v>72</v>
      </c>
      <c r="S9" s="93"/>
      <c r="T9" s="87">
        <v>0.0</v>
      </c>
      <c r="U9" s="89"/>
      <c r="V9" s="86" t="s">
        <v>27</v>
      </c>
      <c r="W9" s="86" t="s">
        <v>79</v>
      </c>
      <c r="X9" s="87">
        <v>341.169021645021</v>
      </c>
      <c r="Y9" s="87">
        <v>341.169</v>
      </c>
    </row>
    <row r="10" ht="15.75" customHeight="1">
      <c r="A10" s="5"/>
      <c r="B10" s="86" t="s">
        <v>18</v>
      </c>
      <c r="C10" s="86" t="s">
        <v>75</v>
      </c>
      <c r="D10" s="87">
        <v>1.0</v>
      </c>
      <c r="E10" s="90"/>
      <c r="F10" s="86"/>
      <c r="G10" s="90"/>
      <c r="H10" s="87">
        <v>9757.434</v>
      </c>
      <c r="I10" s="87">
        <v>187.643</v>
      </c>
      <c r="J10" s="89"/>
      <c r="K10" s="86" t="s">
        <v>80</v>
      </c>
      <c r="L10" s="89"/>
      <c r="M10" s="87">
        <v>52.0</v>
      </c>
      <c r="N10" s="86" t="s">
        <v>81</v>
      </c>
      <c r="O10" s="87"/>
      <c r="P10" s="86" t="s">
        <v>27</v>
      </c>
      <c r="Q10" s="86" t="s">
        <v>78</v>
      </c>
      <c r="R10" s="86" t="s">
        <v>26</v>
      </c>
      <c r="S10" s="93"/>
      <c r="T10" s="87">
        <v>0.0</v>
      </c>
      <c r="U10" s="89"/>
      <c r="V10" s="86" t="s">
        <v>27</v>
      </c>
      <c r="W10" s="86" t="s">
        <v>79</v>
      </c>
      <c r="X10" s="87">
        <v>187.642961904762</v>
      </c>
      <c r="Y10" s="87">
        <v>187.643</v>
      </c>
    </row>
    <row r="11" ht="15.75" customHeight="1">
      <c r="A11" s="5"/>
      <c r="B11" s="86" t="s">
        <v>18</v>
      </c>
      <c r="C11" s="86" t="s">
        <v>75</v>
      </c>
      <c r="D11" s="87">
        <v>1.0</v>
      </c>
      <c r="E11" s="90"/>
      <c r="F11" s="86"/>
      <c r="G11" s="90"/>
      <c r="H11" s="87">
        <v>5854.4604</v>
      </c>
      <c r="I11" s="87">
        <v>341.169</v>
      </c>
      <c r="J11" s="89"/>
      <c r="K11" s="86" t="s">
        <v>80</v>
      </c>
      <c r="L11" s="89"/>
      <c r="M11" s="87">
        <v>17.16</v>
      </c>
      <c r="N11" s="86" t="s">
        <v>82</v>
      </c>
      <c r="O11" s="87"/>
      <c r="P11" s="86" t="s">
        <v>27</v>
      </c>
      <c r="Q11" s="86" t="s">
        <v>78</v>
      </c>
      <c r="R11" s="86" t="s">
        <v>72</v>
      </c>
      <c r="S11" s="93"/>
      <c r="T11" s="87">
        <v>0.0</v>
      </c>
      <c r="U11" s="89"/>
      <c r="V11" s="86" t="s">
        <v>27</v>
      </c>
      <c r="W11" s="86" t="s">
        <v>79</v>
      </c>
      <c r="X11" s="87">
        <v>341.169021645022</v>
      </c>
      <c r="Y11" s="87">
        <v>341.169</v>
      </c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83</v>
      </c>
      <c r="D3" s="6" t="s">
        <v>8</v>
      </c>
      <c r="E3" s="21" t="s">
        <v>84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3" t="s">
        <v>42</v>
      </c>
      <c r="C6" s="30">
        <v>43871.0</v>
      </c>
      <c r="D6" s="30">
        <v>43873.0</v>
      </c>
      <c r="E6" s="44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0" width="17.43"/>
    <col customWidth="1" min="11" max="11" width="22.57"/>
    <col customWidth="1" min="12" max="45" width="14.43"/>
    <col customWidth="1" min="46" max="46" width="32.71"/>
    <col customWidth="1" min="47" max="47" width="23.14"/>
    <col customWidth="1" min="48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83</v>
      </c>
      <c r="D3" s="6" t="s">
        <v>8</v>
      </c>
      <c r="E3" s="21" t="s">
        <v>85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94" t="s">
        <v>23</v>
      </c>
      <c r="C6" s="94"/>
      <c r="D6" s="95">
        <v>0.0</v>
      </c>
      <c r="E6" s="95">
        <v>53.0</v>
      </c>
      <c r="F6" s="94"/>
      <c r="G6" s="94" t="s">
        <v>75</v>
      </c>
      <c r="H6" s="95">
        <v>0.0</v>
      </c>
      <c r="I6" s="95">
        <v>0.0</v>
      </c>
      <c r="J6" s="95"/>
      <c r="K6" s="95">
        <v>187.642961904762</v>
      </c>
      <c r="L6" s="95">
        <v>187.642961904762</v>
      </c>
      <c r="M6" s="94"/>
      <c r="N6" s="94"/>
      <c r="O6" s="96"/>
      <c r="P6" s="96"/>
      <c r="Q6" s="95"/>
      <c r="R6" s="95">
        <v>0.0</v>
      </c>
      <c r="S6" s="94"/>
      <c r="T6" s="95">
        <v>0.0</v>
      </c>
      <c r="U6" s="95">
        <v>0.0</v>
      </c>
      <c r="V6" s="94" t="s">
        <v>81</v>
      </c>
      <c r="W6" s="95"/>
      <c r="X6" s="95"/>
      <c r="Y6" s="94"/>
      <c r="Z6" s="94" t="s">
        <v>19</v>
      </c>
      <c r="AA6" s="94"/>
      <c r="AB6" s="95"/>
      <c r="AC6" s="96"/>
      <c r="AD6" s="94"/>
      <c r="AE6" s="95">
        <v>53.0</v>
      </c>
      <c r="AF6" s="97"/>
      <c r="AG6" s="97"/>
      <c r="AH6" s="94" t="s">
        <v>21</v>
      </c>
      <c r="AI6" s="95">
        <v>1.0</v>
      </c>
      <c r="AJ6" s="94" t="s">
        <v>60</v>
      </c>
      <c r="AK6" s="96"/>
      <c r="AL6" s="96"/>
      <c r="AM6" s="96"/>
      <c r="AN6" s="94"/>
      <c r="AO6" s="96"/>
      <c r="AP6" s="94"/>
      <c r="AQ6" s="94"/>
      <c r="AR6" s="94"/>
      <c r="AS6" s="95"/>
      <c r="AT6" s="98">
        <v>9945.07698095239</v>
      </c>
      <c r="AU6" s="98">
        <v>9945.07698095239</v>
      </c>
      <c r="AV6" s="99"/>
      <c r="AW6" s="95"/>
      <c r="AX6" s="95"/>
      <c r="AY6" s="94"/>
      <c r="AZ6" s="95"/>
      <c r="BA6" s="100"/>
      <c r="BB6" s="96"/>
      <c r="BC6" s="95">
        <v>0.0</v>
      </c>
      <c r="BD6" s="94"/>
      <c r="BE6" s="98">
        <v>9945.07698095239</v>
      </c>
      <c r="BF6" s="98">
        <v>9945.07698095239</v>
      </c>
      <c r="BG6" s="99"/>
      <c r="BH6" s="96"/>
      <c r="BI6" s="96"/>
      <c r="BJ6" s="95">
        <v>53.0</v>
      </c>
      <c r="BK6" s="95">
        <v>0.0</v>
      </c>
      <c r="BL6" s="94"/>
      <c r="BM6" s="94" t="s">
        <v>19</v>
      </c>
      <c r="BN6" s="99"/>
      <c r="BO6" s="94" t="s">
        <v>27</v>
      </c>
      <c r="BP6" s="95">
        <v>0.0</v>
      </c>
      <c r="BQ6" s="95">
        <v>0.0</v>
      </c>
      <c r="BR6" s="95">
        <v>0.0</v>
      </c>
      <c r="BS6" s="94" t="s">
        <v>78</v>
      </c>
      <c r="BT6" s="94" t="s">
        <v>26</v>
      </c>
      <c r="BU6" s="95">
        <v>0.0</v>
      </c>
      <c r="BV6" s="95">
        <v>0.0</v>
      </c>
      <c r="BW6" s="95">
        <v>0.0</v>
      </c>
      <c r="BX6" s="95">
        <v>0.0</v>
      </c>
      <c r="BY6" s="96"/>
      <c r="BZ6" s="96"/>
      <c r="CA6" s="96"/>
      <c r="CB6" s="96"/>
      <c r="CC6" s="96"/>
      <c r="CD6" s="96"/>
      <c r="CE6" s="99"/>
      <c r="CF6" s="94"/>
      <c r="CG6" s="95"/>
      <c r="CH6" s="94" t="s">
        <v>86</v>
      </c>
      <c r="CI6" s="94" t="s">
        <v>27</v>
      </c>
      <c r="CJ6" s="95">
        <v>0.0</v>
      </c>
      <c r="CK6" s="94" t="s">
        <v>79</v>
      </c>
      <c r="CL6" s="95"/>
      <c r="CM6" s="94" t="s">
        <v>26</v>
      </c>
      <c r="CN6" s="94"/>
    </row>
    <row r="7" ht="15.75" customHeight="1">
      <c r="A7" s="5"/>
      <c r="B7" s="94" t="s">
        <v>23</v>
      </c>
      <c r="C7" s="94"/>
      <c r="D7" s="95">
        <v>0.0</v>
      </c>
      <c r="E7" s="95">
        <v>17.49</v>
      </c>
      <c r="F7" s="94"/>
      <c r="G7" s="94" t="s">
        <v>75</v>
      </c>
      <c r="H7" s="95">
        <v>0.0</v>
      </c>
      <c r="I7" s="95">
        <v>0.0</v>
      </c>
      <c r="J7" s="95"/>
      <c r="K7" s="95">
        <v>341.169021645021</v>
      </c>
      <c r="L7" s="95">
        <v>341.169021645021</v>
      </c>
      <c r="M7" s="94"/>
      <c r="N7" s="94"/>
      <c r="O7" s="96"/>
      <c r="P7" s="96"/>
      <c r="Q7" s="95"/>
      <c r="R7" s="95">
        <v>0.0</v>
      </c>
      <c r="S7" s="94"/>
      <c r="T7" s="95">
        <v>0.0</v>
      </c>
      <c r="U7" s="95">
        <v>0.0</v>
      </c>
      <c r="V7" s="94" t="s">
        <v>82</v>
      </c>
      <c r="W7" s="95"/>
      <c r="X7" s="95"/>
      <c r="Y7" s="94"/>
      <c r="Z7" s="94" t="s">
        <v>19</v>
      </c>
      <c r="AA7" s="94"/>
      <c r="AB7" s="95"/>
      <c r="AC7" s="96"/>
      <c r="AD7" s="94"/>
      <c r="AE7" s="95">
        <v>17.49</v>
      </c>
      <c r="AF7" s="97"/>
      <c r="AG7" s="97"/>
      <c r="AH7" s="94" t="s">
        <v>21</v>
      </c>
      <c r="AI7" s="95">
        <v>1.0</v>
      </c>
      <c r="AJ7" s="94" t="s">
        <v>60</v>
      </c>
      <c r="AK7" s="96"/>
      <c r="AL7" s="96"/>
      <c r="AM7" s="96"/>
      <c r="AN7" s="94"/>
      <c r="AO7" s="94"/>
      <c r="AP7" s="94"/>
      <c r="AQ7" s="94"/>
      <c r="AR7" s="94"/>
      <c r="AS7" s="95"/>
      <c r="AT7" s="98">
        <v>5967.04618857142</v>
      </c>
      <c r="AU7" s="98">
        <v>5967.04618857142</v>
      </c>
      <c r="AV7" s="99"/>
      <c r="AW7" s="95"/>
      <c r="AX7" s="95"/>
      <c r="AY7" s="94"/>
      <c r="AZ7" s="95"/>
      <c r="BA7" s="100"/>
      <c r="BB7" s="96"/>
      <c r="BC7" s="95">
        <v>0.0</v>
      </c>
      <c r="BD7" s="94"/>
      <c r="BE7" s="98">
        <v>5967.04618857142</v>
      </c>
      <c r="BF7" s="98">
        <v>5967.04618857142</v>
      </c>
      <c r="BG7" s="99"/>
      <c r="BH7" s="96"/>
      <c r="BI7" s="96"/>
      <c r="BJ7" s="95">
        <v>17.49</v>
      </c>
      <c r="BK7" s="95">
        <v>0.0</v>
      </c>
      <c r="BL7" s="94"/>
      <c r="BM7" s="94" t="s">
        <v>19</v>
      </c>
      <c r="BN7" s="99"/>
      <c r="BO7" s="94" t="s">
        <v>27</v>
      </c>
      <c r="BP7" s="95">
        <v>0.0</v>
      </c>
      <c r="BQ7" s="95">
        <v>0.0</v>
      </c>
      <c r="BR7" s="95">
        <v>0.0</v>
      </c>
      <c r="BS7" s="94" t="s">
        <v>78</v>
      </c>
      <c r="BT7" s="94" t="s">
        <v>72</v>
      </c>
      <c r="BU7" s="95">
        <v>0.0</v>
      </c>
      <c r="BV7" s="95">
        <v>0.0</v>
      </c>
      <c r="BW7" s="95">
        <v>0.0</v>
      </c>
      <c r="BX7" s="95">
        <v>0.0</v>
      </c>
      <c r="BY7" s="96"/>
      <c r="BZ7" s="96"/>
      <c r="CA7" s="96"/>
      <c r="CB7" s="96"/>
      <c r="CC7" s="96"/>
      <c r="CD7" s="96"/>
      <c r="CE7" s="99"/>
      <c r="CF7" s="94"/>
      <c r="CG7" s="95"/>
      <c r="CH7" s="94" t="s">
        <v>86</v>
      </c>
      <c r="CI7" s="94" t="s">
        <v>27</v>
      </c>
      <c r="CJ7" s="95">
        <v>0.0</v>
      </c>
      <c r="CK7" s="94" t="s">
        <v>79</v>
      </c>
      <c r="CL7" s="95"/>
      <c r="CM7" s="94" t="s">
        <v>72</v>
      </c>
      <c r="CN7" s="94"/>
    </row>
    <row r="8" ht="15.75" customHeight="1">
      <c r="A8" s="5"/>
      <c r="B8" s="94" t="s">
        <v>23</v>
      </c>
      <c r="C8" s="94"/>
      <c r="D8" s="95">
        <v>0.0</v>
      </c>
      <c r="E8" s="95">
        <v>53.0</v>
      </c>
      <c r="F8" s="94"/>
      <c r="G8" s="94" t="s">
        <v>75</v>
      </c>
      <c r="H8" s="95">
        <v>0.0</v>
      </c>
      <c r="I8" s="95">
        <v>0.0</v>
      </c>
      <c r="J8" s="95"/>
      <c r="K8" s="95">
        <v>300.228739047619</v>
      </c>
      <c r="L8" s="95">
        <v>300.228739047619</v>
      </c>
      <c r="M8" s="94"/>
      <c r="N8" s="94"/>
      <c r="O8" s="96"/>
      <c r="P8" s="96"/>
      <c r="Q8" s="95"/>
      <c r="R8" s="95">
        <v>0.0</v>
      </c>
      <c r="S8" s="94"/>
      <c r="T8" s="95">
        <v>0.0</v>
      </c>
      <c r="U8" s="95">
        <v>0.0</v>
      </c>
      <c r="V8" s="94" t="s">
        <v>81</v>
      </c>
      <c r="W8" s="95"/>
      <c r="X8" s="95"/>
      <c r="Y8" s="94"/>
      <c r="Z8" s="94" t="s">
        <v>19</v>
      </c>
      <c r="AA8" s="94"/>
      <c r="AB8" s="95"/>
      <c r="AC8" s="96"/>
      <c r="AD8" s="94"/>
      <c r="AE8" s="95">
        <v>53.0</v>
      </c>
      <c r="AF8" s="97"/>
      <c r="AG8" s="97"/>
      <c r="AH8" s="94" t="s">
        <v>21</v>
      </c>
      <c r="AI8" s="95">
        <v>1.0</v>
      </c>
      <c r="AJ8" s="94" t="s">
        <v>60</v>
      </c>
      <c r="AK8" s="96"/>
      <c r="AL8" s="96"/>
      <c r="AM8" s="96"/>
      <c r="AN8" s="94"/>
      <c r="AO8" s="96"/>
      <c r="AP8" s="94"/>
      <c r="AQ8" s="94"/>
      <c r="AR8" s="94"/>
      <c r="AS8" s="95"/>
      <c r="AT8" s="98">
        <v>15912.1231695238</v>
      </c>
      <c r="AU8" s="98">
        <v>15912.1231695238</v>
      </c>
      <c r="AV8" s="99"/>
      <c r="AW8" s="95"/>
      <c r="AX8" s="95"/>
      <c r="AY8" s="94"/>
      <c r="AZ8" s="95"/>
      <c r="BA8" s="99"/>
      <c r="BB8" s="96"/>
      <c r="BC8" s="95">
        <v>0.0</v>
      </c>
      <c r="BD8" s="94"/>
      <c r="BE8" s="98">
        <v>15912.1231695238</v>
      </c>
      <c r="BF8" s="98">
        <v>15912.1231695238</v>
      </c>
      <c r="BG8" s="99"/>
      <c r="BH8" s="96"/>
      <c r="BI8" s="96"/>
      <c r="BJ8" s="95">
        <v>53.0</v>
      </c>
      <c r="BK8" s="95">
        <v>0.0</v>
      </c>
      <c r="BL8" s="94"/>
      <c r="BM8" s="94" t="s">
        <v>19</v>
      </c>
      <c r="BN8" s="99"/>
      <c r="BO8" s="94" t="s">
        <v>38</v>
      </c>
      <c r="BP8" s="95">
        <v>0.0</v>
      </c>
      <c r="BQ8" s="95">
        <v>0.0</v>
      </c>
      <c r="BR8" s="95">
        <v>0.0</v>
      </c>
      <c r="BS8" s="94" t="s">
        <v>78</v>
      </c>
      <c r="BT8" s="94" t="s">
        <v>26</v>
      </c>
      <c r="BU8" s="95">
        <v>0.0</v>
      </c>
      <c r="BV8" s="95">
        <v>0.0</v>
      </c>
      <c r="BW8" s="95">
        <v>0.0</v>
      </c>
      <c r="BX8" s="95">
        <v>0.0</v>
      </c>
      <c r="BY8" s="96"/>
      <c r="BZ8" s="96"/>
      <c r="CA8" s="96"/>
      <c r="CB8" s="96"/>
      <c r="CC8" s="96"/>
      <c r="CD8" s="96"/>
      <c r="CE8" s="99"/>
      <c r="CF8" s="94"/>
      <c r="CG8" s="95"/>
      <c r="CH8" s="94" t="s">
        <v>86</v>
      </c>
      <c r="CI8" s="94" t="s">
        <v>38</v>
      </c>
      <c r="CJ8" s="95">
        <v>0.0</v>
      </c>
      <c r="CK8" s="94" t="s">
        <v>79</v>
      </c>
      <c r="CL8" s="95"/>
      <c r="CM8" s="94" t="s">
        <v>26</v>
      </c>
      <c r="CN8" s="94"/>
    </row>
    <row r="9" ht="15.75" customHeight="1">
      <c r="A9" s="5"/>
      <c r="B9" s="94" t="s">
        <v>18</v>
      </c>
      <c r="C9" s="94"/>
      <c r="D9" s="95">
        <v>0.0</v>
      </c>
      <c r="E9" s="95">
        <v>52.0</v>
      </c>
      <c r="F9" s="94"/>
      <c r="G9" s="94" t="s">
        <v>75</v>
      </c>
      <c r="H9" s="95">
        <v>0.0</v>
      </c>
      <c r="I9" s="95">
        <v>0.0</v>
      </c>
      <c r="J9" s="95"/>
      <c r="K9" s="95">
        <v>300.228739047619</v>
      </c>
      <c r="L9" s="95">
        <v>300.228739047619</v>
      </c>
      <c r="M9" s="94"/>
      <c r="N9" s="94"/>
      <c r="O9" s="96"/>
      <c r="P9" s="96"/>
      <c r="Q9" s="95"/>
      <c r="R9" s="95">
        <v>0.0</v>
      </c>
      <c r="S9" s="94"/>
      <c r="T9" s="95">
        <v>0.0</v>
      </c>
      <c r="U9" s="95">
        <v>0.0</v>
      </c>
      <c r="V9" s="94" t="s">
        <v>81</v>
      </c>
      <c r="W9" s="95"/>
      <c r="X9" s="95"/>
      <c r="Y9" s="94"/>
      <c r="Z9" s="94" t="s">
        <v>19</v>
      </c>
      <c r="AA9" s="94"/>
      <c r="AB9" s="95"/>
      <c r="AC9" s="96"/>
      <c r="AD9" s="94"/>
      <c r="AE9" s="95">
        <v>52.0</v>
      </c>
      <c r="AF9" s="97"/>
      <c r="AG9" s="97"/>
      <c r="AH9" s="94" t="s">
        <v>21</v>
      </c>
      <c r="AI9" s="95">
        <v>1.0</v>
      </c>
      <c r="AJ9" s="94" t="s">
        <v>60</v>
      </c>
      <c r="AK9" s="96"/>
      <c r="AL9" s="96"/>
      <c r="AM9" s="96"/>
      <c r="AN9" s="94"/>
      <c r="AO9" s="96"/>
      <c r="AP9" s="94"/>
      <c r="AQ9" s="94"/>
      <c r="AR9" s="94"/>
      <c r="AS9" s="95"/>
      <c r="AT9" s="98">
        <v>15611.8944304762</v>
      </c>
      <c r="AU9" s="98">
        <v>15611.8944304762</v>
      </c>
      <c r="AV9" s="99"/>
      <c r="AW9" s="95"/>
      <c r="AX9" s="95"/>
      <c r="AY9" s="94"/>
      <c r="AZ9" s="95"/>
      <c r="BA9" s="99"/>
      <c r="BB9" s="96"/>
      <c r="BC9" s="95">
        <v>0.0</v>
      </c>
      <c r="BD9" s="94"/>
      <c r="BE9" s="98">
        <v>15611.8944304762</v>
      </c>
      <c r="BF9" s="98">
        <v>15611.8944304762</v>
      </c>
      <c r="BG9" s="99"/>
      <c r="BH9" s="96"/>
      <c r="BI9" s="96"/>
      <c r="BJ9" s="95">
        <v>52.0</v>
      </c>
      <c r="BK9" s="95">
        <v>0.0</v>
      </c>
      <c r="BL9" s="94"/>
      <c r="BM9" s="94" t="s">
        <v>19</v>
      </c>
      <c r="BN9" s="99"/>
      <c r="BO9" s="94" t="s">
        <v>38</v>
      </c>
      <c r="BP9" s="95">
        <v>0.0</v>
      </c>
      <c r="BQ9" s="95">
        <v>0.0</v>
      </c>
      <c r="BR9" s="95">
        <v>0.0</v>
      </c>
      <c r="BS9" s="94" t="s">
        <v>78</v>
      </c>
      <c r="BT9" s="94" t="s">
        <v>26</v>
      </c>
      <c r="BU9" s="95">
        <v>0.0</v>
      </c>
      <c r="BV9" s="95">
        <v>0.0</v>
      </c>
      <c r="BW9" s="95">
        <v>0.0</v>
      </c>
      <c r="BX9" s="95">
        <v>0.0</v>
      </c>
      <c r="BY9" s="96"/>
      <c r="BZ9" s="96"/>
      <c r="CA9" s="96"/>
      <c r="CB9" s="96"/>
      <c r="CC9" s="96"/>
      <c r="CD9" s="96"/>
      <c r="CE9" s="99"/>
      <c r="CF9" s="94"/>
      <c r="CG9" s="95"/>
      <c r="CH9" s="94" t="s">
        <v>86</v>
      </c>
      <c r="CI9" s="94" t="s">
        <v>38</v>
      </c>
      <c r="CJ9" s="95">
        <v>0.0</v>
      </c>
      <c r="CK9" s="94" t="s">
        <v>79</v>
      </c>
      <c r="CL9" s="95"/>
      <c r="CM9" s="94" t="s">
        <v>26</v>
      </c>
      <c r="CN9" s="94"/>
    </row>
    <row r="10" ht="15.75" customHeight="1">
      <c r="A10" s="5"/>
      <c r="B10" s="94" t="s">
        <v>18</v>
      </c>
      <c r="C10" s="94"/>
      <c r="D10" s="95">
        <v>0.0</v>
      </c>
      <c r="E10" s="95">
        <v>52.0</v>
      </c>
      <c r="F10" s="94"/>
      <c r="G10" s="94" t="s">
        <v>75</v>
      </c>
      <c r="H10" s="95">
        <v>0.0</v>
      </c>
      <c r="I10" s="95">
        <v>0.0</v>
      </c>
      <c r="J10" s="95"/>
      <c r="K10" s="95">
        <v>187.642961904762</v>
      </c>
      <c r="L10" s="95">
        <v>187.642961904762</v>
      </c>
      <c r="M10" s="94"/>
      <c r="N10" s="94"/>
      <c r="O10" s="96"/>
      <c r="P10" s="96"/>
      <c r="Q10" s="95"/>
      <c r="R10" s="95">
        <v>0.0</v>
      </c>
      <c r="S10" s="94"/>
      <c r="T10" s="95">
        <v>0.0</v>
      </c>
      <c r="U10" s="95">
        <v>0.0</v>
      </c>
      <c r="V10" s="94" t="s">
        <v>81</v>
      </c>
      <c r="W10" s="95"/>
      <c r="X10" s="95"/>
      <c r="Y10" s="94"/>
      <c r="Z10" s="94" t="s">
        <v>19</v>
      </c>
      <c r="AA10" s="94"/>
      <c r="AB10" s="95"/>
      <c r="AC10" s="96"/>
      <c r="AD10" s="94"/>
      <c r="AE10" s="95">
        <v>52.0</v>
      </c>
      <c r="AF10" s="97"/>
      <c r="AG10" s="97"/>
      <c r="AH10" s="94" t="s">
        <v>21</v>
      </c>
      <c r="AI10" s="95">
        <v>1.0</v>
      </c>
      <c r="AJ10" s="94" t="s">
        <v>60</v>
      </c>
      <c r="AK10" s="96"/>
      <c r="AL10" s="96"/>
      <c r="AM10" s="96"/>
      <c r="AN10" s="94"/>
      <c r="AO10" s="96"/>
      <c r="AP10" s="94"/>
      <c r="AQ10" s="94"/>
      <c r="AR10" s="94"/>
      <c r="AS10" s="95"/>
      <c r="AT10" s="98">
        <v>9757.43401904762</v>
      </c>
      <c r="AU10" s="98">
        <v>9757.43401904762</v>
      </c>
      <c r="AV10" s="99"/>
      <c r="AW10" s="95"/>
      <c r="AX10" s="95"/>
      <c r="AY10" s="94"/>
      <c r="AZ10" s="95"/>
      <c r="BA10" s="100"/>
      <c r="BB10" s="96"/>
      <c r="BC10" s="95">
        <v>0.0</v>
      </c>
      <c r="BD10" s="94"/>
      <c r="BE10" s="98">
        <v>9757.43401904762</v>
      </c>
      <c r="BF10" s="98">
        <v>9757.43401904762</v>
      </c>
      <c r="BG10" s="99"/>
      <c r="BH10" s="96"/>
      <c r="BI10" s="96"/>
      <c r="BJ10" s="95">
        <v>52.0</v>
      </c>
      <c r="BK10" s="95">
        <v>0.0</v>
      </c>
      <c r="BL10" s="94"/>
      <c r="BM10" s="94" t="s">
        <v>19</v>
      </c>
      <c r="BN10" s="99"/>
      <c r="BO10" s="94" t="s">
        <v>27</v>
      </c>
      <c r="BP10" s="95">
        <v>0.0</v>
      </c>
      <c r="BQ10" s="95">
        <v>0.0</v>
      </c>
      <c r="BR10" s="95">
        <v>0.0</v>
      </c>
      <c r="BS10" s="94" t="s">
        <v>78</v>
      </c>
      <c r="BT10" s="94" t="s">
        <v>26</v>
      </c>
      <c r="BU10" s="95">
        <v>0.0</v>
      </c>
      <c r="BV10" s="95">
        <v>0.0</v>
      </c>
      <c r="BW10" s="95">
        <v>0.0</v>
      </c>
      <c r="BX10" s="95">
        <v>0.0</v>
      </c>
      <c r="BY10" s="96"/>
      <c r="BZ10" s="96"/>
      <c r="CA10" s="96"/>
      <c r="CB10" s="96"/>
      <c r="CC10" s="96"/>
      <c r="CD10" s="96"/>
      <c r="CE10" s="99"/>
      <c r="CF10" s="94"/>
      <c r="CG10" s="95"/>
      <c r="CH10" s="94" t="s">
        <v>86</v>
      </c>
      <c r="CI10" s="94" t="s">
        <v>27</v>
      </c>
      <c r="CJ10" s="95">
        <v>0.0</v>
      </c>
      <c r="CK10" s="94" t="s">
        <v>79</v>
      </c>
      <c r="CL10" s="95"/>
      <c r="CM10" s="94" t="s">
        <v>26</v>
      </c>
      <c r="CN10" s="94"/>
    </row>
    <row r="11" ht="15.75" customHeight="1">
      <c r="A11" s="5"/>
      <c r="B11" s="94" t="s">
        <v>18</v>
      </c>
      <c r="C11" s="94"/>
      <c r="D11" s="95">
        <v>0.0</v>
      </c>
      <c r="E11" s="95">
        <v>17.16</v>
      </c>
      <c r="F11" s="94"/>
      <c r="G11" s="94" t="s">
        <v>75</v>
      </c>
      <c r="H11" s="95">
        <v>0.0</v>
      </c>
      <c r="I11" s="95">
        <v>0.0</v>
      </c>
      <c r="J11" s="95"/>
      <c r="K11" s="95">
        <v>341.169021645022</v>
      </c>
      <c r="L11" s="95">
        <v>341.169021645022</v>
      </c>
      <c r="M11" s="94"/>
      <c r="N11" s="94"/>
      <c r="O11" s="96"/>
      <c r="P11" s="96"/>
      <c r="Q11" s="95"/>
      <c r="R11" s="95">
        <v>0.0</v>
      </c>
      <c r="S11" s="94"/>
      <c r="T11" s="95">
        <v>0.0</v>
      </c>
      <c r="U11" s="95">
        <v>0.0</v>
      </c>
      <c r="V11" s="94" t="s">
        <v>82</v>
      </c>
      <c r="W11" s="95"/>
      <c r="X11" s="95"/>
      <c r="Y11" s="94"/>
      <c r="Z11" s="94" t="s">
        <v>19</v>
      </c>
      <c r="AA11" s="94"/>
      <c r="AB11" s="95"/>
      <c r="AC11" s="96"/>
      <c r="AD11" s="94"/>
      <c r="AE11" s="95">
        <v>17.16</v>
      </c>
      <c r="AF11" s="97"/>
      <c r="AG11" s="97"/>
      <c r="AH11" s="94" t="s">
        <v>21</v>
      </c>
      <c r="AI11" s="95">
        <v>1.0</v>
      </c>
      <c r="AJ11" s="94" t="s">
        <v>60</v>
      </c>
      <c r="AK11" s="96"/>
      <c r="AL11" s="96"/>
      <c r="AM11" s="96"/>
      <c r="AN11" s="94"/>
      <c r="AO11" s="94"/>
      <c r="AP11" s="94"/>
      <c r="AQ11" s="94"/>
      <c r="AR11" s="94"/>
      <c r="AS11" s="95"/>
      <c r="AT11" s="98">
        <v>5854.46041142858</v>
      </c>
      <c r="AU11" s="98">
        <v>5854.46041142858</v>
      </c>
      <c r="AV11" s="99"/>
      <c r="AW11" s="95"/>
      <c r="AX11" s="95"/>
      <c r="AY11" s="94"/>
      <c r="AZ11" s="95"/>
      <c r="BA11" s="100"/>
      <c r="BB11" s="96"/>
      <c r="BC11" s="95">
        <v>0.0</v>
      </c>
      <c r="BD11" s="94"/>
      <c r="BE11" s="98">
        <v>5854.46041142858</v>
      </c>
      <c r="BF11" s="98">
        <v>5854.46041142858</v>
      </c>
      <c r="BG11" s="99"/>
      <c r="BH11" s="96"/>
      <c r="BI11" s="96"/>
      <c r="BJ11" s="95">
        <v>17.16</v>
      </c>
      <c r="BK11" s="95">
        <v>0.0</v>
      </c>
      <c r="BL11" s="94"/>
      <c r="BM11" s="94" t="s">
        <v>19</v>
      </c>
      <c r="BN11" s="99"/>
      <c r="BO11" s="94" t="s">
        <v>27</v>
      </c>
      <c r="BP11" s="95">
        <v>0.0</v>
      </c>
      <c r="BQ11" s="95">
        <v>0.0</v>
      </c>
      <c r="BR11" s="95">
        <v>0.0</v>
      </c>
      <c r="BS11" s="94" t="s">
        <v>78</v>
      </c>
      <c r="BT11" s="94" t="s">
        <v>72</v>
      </c>
      <c r="BU11" s="95">
        <v>0.0</v>
      </c>
      <c r="BV11" s="95">
        <v>0.0</v>
      </c>
      <c r="BW11" s="95">
        <v>0.0</v>
      </c>
      <c r="BX11" s="95">
        <v>0.0</v>
      </c>
      <c r="BY11" s="96"/>
      <c r="BZ11" s="96"/>
      <c r="CA11" s="96"/>
      <c r="CB11" s="96"/>
      <c r="CC11" s="96"/>
      <c r="CD11" s="96"/>
      <c r="CE11" s="99"/>
      <c r="CF11" s="94"/>
      <c r="CG11" s="95"/>
      <c r="CH11" s="94" t="s">
        <v>86</v>
      </c>
      <c r="CI11" s="94" t="s">
        <v>27</v>
      </c>
      <c r="CJ11" s="95">
        <v>0.0</v>
      </c>
      <c r="CK11" s="94" t="s">
        <v>79</v>
      </c>
      <c r="CL11" s="95"/>
      <c r="CM11" s="94" t="s">
        <v>72</v>
      </c>
      <c r="CN11" s="94"/>
    </row>
    <row r="12" ht="15.75" customHeight="1">
      <c r="A12" s="5"/>
      <c r="B12" s="94" t="s">
        <v>87</v>
      </c>
      <c r="C12" s="94"/>
      <c r="D12" s="95">
        <v>0.0</v>
      </c>
      <c r="E12" s="95">
        <v>105.0</v>
      </c>
      <c r="F12" s="94"/>
      <c r="G12" s="94" t="s">
        <v>75</v>
      </c>
      <c r="H12" s="95">
        <v>4.0</v>
      </c>
      <c r="I12" s="95">
        <v>5.0</v>
      </c>
      <c r="J12" s="95"/>
      <c r="K12" s="95">
        <v>300.0</v>
      </c>
      <c r="L12" s="95">
        <v>300.0</v>
      </c>
      <c r="M12" s="94"/>
      <c r="N12" s="94"/>
      <c r="O12" s="94"/>
      <c r="P12" s="96"/>
      <c r="Q12" s="95"/>
      <c r="R12" s="95">
        <v>0.0</v>
      </c>
      <c r="S12" s="94"/>
      <c r="T12" s="95">
        <v>2.5</v>
      </c>
      <c r="U12" s="95">
        <v>0.0238095238095238</v>
      </c>
      <c r="V12" s="94" t="s">
        <v>81</v>
      </c>
      <c r="W12" s="95"/>
      <c r="X12" s="95"/>
      <c r="Y12" s="94"/>
      <c r="Z12" s="94" t="s">
        <v>19</v>
      </c>
      <c r="AA12" s="94"/>
      <c r="AB12" s="95"/>
      <c r="AC12" s="96"/>
      <c r="AD12" s="94"/>
      <c r="AE12" s="95">
        <v>105.0</v>
      </c>
      <c r="AF12" s="97"/>
      <c r="AG12" s="97"/>
      <c r="AH12" s="94" t="s">
        <v>21</v>
      </c>
      <c r="AI12" s="95">
        <v>1.0</v>
      </c>
      <c r="AJ12" s="94" t="s">
        <v>44</v>
      </c>
      <c r="AK12" s="96"/>
      <c r="AL12" s="96"/>
      <c r="AM12" s="96"/>
      <c r="AN12" s="94"/>
      <c r="AO12" s="96"/>
      <c r="AP12" s="94"/>
      <c r="AQ12" s="94"/>
      <c r="AR12" s="94"/>
      <c r="AS12" s="95"/>
      <c r="AT12" s="98">
        <v>31524.0176</v>
      </c>
      <c r="AU12" s="98">
        <v>31524.0176</v>
      </c>
      <c r="AV12" s="100"/>
      <c r="AW12" s="95"/>
      <c r="AX12" s="95"/>
      <c r="AY12" s="94"/>
      <c r="AZ12" s="95"/>
      <c r="BA12" s="100"/>
      <c r="BB12" s="96"/>
      <c r="BC12" s="95">
        <v>0.0</v>
      </c>
      <c r="BD12" s="94"/>
      <c r="BE12" s="98">
        <v>31500.0</v>
      </c>
      <c r="BF12" s="98">
        <v>31500.0</v>
      </c>
      <c r="BG12" s="100"/>
      <c r="BH12" s="96"/>
      <c r="BI12" s="96"/>
      <c r="BJ12" s="95">
        <v>105.0</v>
      </c>
      <c r="BK12" s="95">
        <v>0.0</v>
      </c>
      <c r="BL12" s="94"/>
      <c r="BM12" s="94" t="s">
        <v>19</v>
      </c>
      <c r="BN12" s="100"/>
      <c r="BO12" s="94" t="s">
        <v>27</v>
      </c>
      <c r="BP12" s="95">
        <v>7.5</v>
      </c>
      <c r="BQ12" s="95">
        <v>0.0714285714285714</v>
      </c>
      <c r="BR12" s="95">
        <v>0.0176</v>
      </c>
      <c r="BS12" s="94" t="s">
        <v>78</v>
      </c>
      <c r="BT12" s="94" t="s">
        <v>26</v>
      </c>
      <c r="BU12" s="95">
        <v>3.0</v>
      </c>
      <c r="BV12" s="95">
        <v>10.0</v>
      </c>
      <c r="BW12" s="95">
        <v>24.0176</v>
      </c>
      <c r="BX12" s="95">
        <v>0.0952380952380952</v>
      </c>
      <c r="BY12" s="96"/>
      <c r="BZ12" s="96"/>
      <c r="CA12" s="96"/>
      <c r="CB12" s="96"/>
      <c r="CC12" s="96"/>
      <c r="CD12" s="96"/>
      <c r="CE12" s="100"/>
      <c r="CF12" s="94"/>
      <c r="CG12" s="95"/>
      <c r="CH12" s="94" t="s">
        <v>24</v>
      </c>
      <c r="CI12" s="94" t="s">
        <v>27</v>
      </c>
      <c r="CJ12" s="95">
        <v>0.0</v>
      </c>
      <c r="CK12" s="94" t="s">
        <v>79</v>
      </c>
      <c r="CL12" s="95"/>
      <c r="CM12" s="94" t="s">
        <v>26</v>
      </c>
      <c r="CN12" s="94"/>
    </row>
    <row r="13" ht="15.75" customHeight="1">
      <c r="A13" s="5"/>
      <c r="B13" s="94" t="s">
        <v>87</v>
      </c>
      <c r="C13" s="94"/>
      <c r="D13" s="95">
        <v>0.0</v>
      </c>
      <c r="E13" s="95">
        <v>105.0</v>
      </c>
      <c r="F13" s="94"/>
      <c r="G13" s="94" t="s">
        <v>75</v>
      </c>
      <c r="H13" s="95">
        <v>4.0</v>
      </c>
      <c r="I13" s="95">
        <v>5.0</v>
      </c>
      <c r="J13" s="95"/>
      <c r="K13" s="95">
        <v>300.0</v>
      </c>
      <c r="L13" s="95">
        <v>300.0</v>
      </c>
      <c r="M13" s="94"/>
      <c r="N13" s="94"/>
      <c r="O13" s="94"/>
      <c r="P13" s="96"/>
      <c r="Q13" s="95"/>
      <c r="R13" s="95">
        <v>0.0</v>
      </c>
      <c r="S13" s="94"/>
      <c r="T13" s="95">
        <v>2.5</v>
      </c>
      <c r="U13" s="95">
        <v>0.0238095238095238</v>
      </c>
      <c r="V13" s="94" t="s">
        <v>81</v>
      </c>
      <c r="W13" s="95"/>
      <c r="X13" s="95"/>
      <c r="Y13" s="94"/>
      <c r="Z13" s="94" t="s">
        <v>19</v>
      </c>
      <c r="AA13" s="94"/>
      <c r="AB13" s="95"/>
      <c r="AC13" s="96"/>
      <c r="AD13" s="94"/>
      <c r="AE13" s="95">
        <v>105.0</v>
      </c>
      <c r="AF13" s="97"/>
      <c r="AG13" s="97"/>
      <c r="AH13" s="94" t="s">
        <v>21</v>
      </c>
      <c r="AI13" s="95">
        <v>1.0</v>
      </c>
      <c r="AJ13" s="94" t="s">
        <v>60</v>
      </c>
      <c r="AK13" s="96"/>
      <c r="AL13" s="96"/>
      <c r="AM13" s="96"/>
      <c r="AN13" s="94"/>
      <c r="AO13" s="96"/>
      <c r="AP13" s="94"/>
      <c r="AQ13" s="94"/>
      <c r="AR13" s="94"/>
      <c r="AS13" s="95"/>
      <c r="AT13" s="98">
        <v>31524.0176</v>
      </c>
      <c r="AU13" s="98">
        <v>31524.0176</v>
      </c>
      <c r="AV13" s="100"/>
      <c r="AW13" s="95"/>
      <c r="AX13" s="95"/>
      <c r="AY13" s="94"/>
      <c r="AZ13" s="95"/>
      <c r="BA13" s="100"/>
      <c r="BB13" s="96"/>
      <c r="BC13" s="95">
        <v>0.0</v>
      </c>
      <c r="BD13" s="94"/>
      <c r="BE13" s="98">
        <v>31500.0</v>
      </c>
      <c r="BF13" s="98">
        <v>31500.0</v>
      </c>
      <c r="BG13" s="100"/>
      <c r="BH13" s="96"/>
      <c r="BI13" s="96"/>
      <c r="BJ13" s="95">
        <v>105.0</v>
      </c>
      <c r="BK13" s="95">
        <v>0.0</v>
      </c>
      <c r="BL13" s="94"/>
      <c r="BM13" s="94" t="s">
        <v>19</v>
      </c>
      <c r="BN13" s="100"/>
      <c r="BO13" s="94" t="s">
        <v>27</v>
      </c>
      <c r="BP13" s="95">
        <v>7.5</v>
      </c>
      <c r="BQ13" s="95">
        <v>0.0714285714285714</v>
      </c>
      <c r="BR13" s="95">
        <v>0.0176</v>
      </c>
      <c r="BS13" s="94" t="s">
        <v>78</v>
      </c>
      <c r="BT13" s="94" t="s">
        <v>26</v>
      </c>
      <c r="BU13" s="95">
        <v>3.0</v>
      </c>
      <c r="BV13" s="95">
        <v>10.0</v>
      </c>
      <c r="BW13" s="95">
        <v>24.0176</v>
      </c>
      <c r="BX13" s="95">
        <v>0.0952380952380952</v>
      </c>
      <c r="BY13" s="96"/>
      <c r="BZ13" s="96"/>
      <c r="CA13" s="96"/>
      <c r="CB13" s="96"/>
      <c r="CC13" s="96"/>
      <c r="CD13" s="96"/>
      <c r="CE13" s="100"/>
      <c r="CF13" s="94"/>
      <c r="CG13" s="95"/>
      <c r="CH13" s="94" t="s">
        <v>24</v>
      </c>
      <c r="CI13" s="94" t="s">
        <v>27</v>
      </c>
      <c r="CJ13" s="95">
        <v>0.0</v>
      </c>
      <c r="CK13" s="94" t="s">
        <v>79</v>
      </c>
      <c r="CL13" s="95"/>
      <c r="CM13" s="94" t="s">
        <v>26</v>
      </c>
      <c r="CN13" s="94"/>
    </row>
    <row r="14" ht="15.75" customHeight="1">
      <c r="A14" s="5"/>
      <c r="B14" s="94" t="s">
        <v>87</v>
      </c>
      <c r="C14" s="94"/>
      <c r="D14" s="95">
        <v>0.0</v>
      </c>
      <c r="E14" s="95">
        <v>105.0</v>
      </c>
      <c r="F14" s="94"/>
      <c r="G14" s="94" t="s">
        <v>75</v>
      </c>
      <c r="H14" s="95">
        <v>4.0</v>
      </c>
      <c r="I14" s="95">
        <v>5.0</v>
      </c>
      <c r="J14" s="95"/>
      <c r="K14" s="98">
        <v>1315.0</v>
      </c>
      <c r="L14" s="98">
        <v>1315.0</v>
      </c>
      <c r="M14" s="94"/>
      <c r="N14" s="94"/>
      <c r="O14" s="94"/>
      <c r="P14" s="96"/>
      <c r="Q14" s="95"/>
      <c r="R14" s="95">
        <v>0.0</v>
      </c>
      <c r="S14" s="94"/>
      <c r="T14" s="95">
        <v>2.5</v>
      </c>
      <c r="U14" s="95">
        <v>0.0238095238095238</v>
      </c>
      <c r="V14" s="94" t="s">
        <v>77</v>
      </c>
      <c r="W14" s="95"/>
      <c r="X14" s="95"/>
      <c r="Y14" s="94"/>
      <c r="Z14" s="94" t="s">
        <v>19</v>
      </c>
      <c r="AA14" s="94"/>
      <c r="AB14" s="95"/>
      <c r="AC14" s="96"/>
      <c r="AD14" s="94"/>
      <c r="AE14" s="95">
        <v>105.0</v>
      </c>
      <c r="AF14" s="97"/>
      <c r="AG14" s="97"/>
      <c r="AH14" s="94" t="s">
        <v>21</v>
      </c>
      <c r="AI14" s="95">
        <v>1.0</v>
      </c>
      <c r="AJ14" s="94" t="s">
        <v>44</v>
      </c>
      <c r="AK14" s="96"/>
      <c r="AL14" s="96"/>
      <c r="AM14" s="96"/>
      <c r="AN14" s="94"/>
      <c r="AO14" s="94"/>
      <c r="AP14" s="94"/>
      <c r="AQ14" s="94"/>
      <c r="AR14" s="94"/>
      <c r="AS14" s="95"/>
      <c r="AT14" s="98">
        <v>138099.0773</v>
      </c>
      <c r="AU14" s="98">
        <v>138099.0773</v>
      </c>
      <c r="AV14" s="100"/>
      <c r="AW14" s="95"/>
      <c r="AX14" s="95"/>
      <c r="AY14" s="94"/>
      <c r="AZ14" s="95"/>
      <c r="BA14" s="100"/>
      <c r="BB14" s="96"/>
      <c r="BC14" s="95">
        <v>0.0</v>
      </c>
      <c r="BD14" s="94"/>
      <c r="BE14" s="98">
        <v>138075.0</v>
      </c>
      <c r="BF14" s="98">
        <v>138075.0</v>
      </c>
      <c r="BG14" s="100"/>
      <c r="BH14" s="96"/>
      <c r="BI14" s="96"/>
      <c r="BJ14" s="95">
        <v>105.0</v>
      </c>
      <c r="BK14" s="95">
        <v>0.0</v>
      </c>
      <c r="BL14" s="94"/>
      <c r="BM14" s="94" t="s">
        <v>19</v>
      </c>
      <c r="BN14" s="100"/>
      <c r="BO14" s="94" t="s">
        <v>27</v>
      </c>
      <c r="BP14" s="95">
        <v>7.5</v>
      </c>
      <c r="BQ14" s="95">
        <v>0.0714285714285714</v>
      </c>
      <c r="BR14" s="95">
        <v>0.0773</v>
      </c>
      <c r="BS14" s="94" t="s">
        <v>78</v>
      </c>
      <c r="BT14" s="94" t="s">
        <v>37</v>
      </c>
      <c r="BU14" s="95">
        <v>3.0</v>
      </c>
      <c r="BV14" s="95">
        <v>10.0</v>
      </c>
      <c r="BW14" s="95">
        <v>24.0773</v>
      </c>
      <c r="BX14" s="95">
        <v>0.0952380952380952</v>
      </c>
      <c r="BY14" s="96"/>
      <c r="BZ14" s="96"/>
      <c r="CA14" s="96"/>
      <c r="CB14" s="96"/>
      <c r="CC14" s="96"/>
      <c r="CD14" s="96"/>
      <c r="CE14" s="100"/>
      <c r="CF14" s="94"/>
      <c r="CG14" s="95"/>
      <c r="CH14" s="94" t="s">
        <v>24</v>
      </c>
      <c r="CI14" s="94" t="s">
        <v>27</v>
      </c>
      <c r="CJ14" s="95">
        <v>0.0</v>
      </c>
      <c r="CK14" s="94" t="s">
        <v>79</v>
      </c>
      <c r="CL14" s="95"/>
      <c r="CM14" s="94" t="s">
        <v>37</v>
      </c>
      <c r="CN14" s="94"/>
    </row>
    <row r="15" ht="15.75" customHeight="1">
      <c r="A15" s="5"/>
      <c r="B15" s="94" t="s">
        <v>87</v>
      </c>
      <c r="C15" s="94"/>
      <c r="D15" s="95">
        <v>0.0</v>
      </c>
      <c r="E15" s="95">
        <v>105.0</v>
      </c>
      <c r="F15" s="94"/>
      <c r="G15" s="94" t="s">
        <v>75</v>
      </c>
      <c r="H15" s="95">
        <v>4.0</v>
      </c>
      <c r="I15" s="95">
        <v>5.0</v>
      </c>
      <c r="J15" s="95"/>
      <c r="K15" s="95">
        <v>300.0</v>
      </c>
      <c r="L15" s="95">
        <v>300.0</v>
      </c>
      <c r="M15" s="94"/>
      <c r="N15" s="94"/>
      <c r="O15" s="94"/>
      <c r="P15" s="96"/>
      <c r="Q15" s="95"/>
      <c r="R15" s="95">
        <v>0.0</v>
      </c>
      <c r="S15" s="94"/>
      <c r="T15" s="95">
        <v>0.0</v>
      </c>
      <c r="U15" s="95">
        <v>0.0</v>
      </c>
      <c r="V15" s="94" t="s">
        <v>81</v>
      </c>
      <c r="W15" s="95"/>
      <c r="X15" s="95"/>
      <c r="Y15" s="94"/>
      <c r="Z15" s="94" t="s">
        <v>19</v>
      </c>
      <c r="AA15" s="94"/>
      <c r="AB15" s="95"/>
      <c r="AC15" s="96"/>
      <c r="AD15" s="94"/>
      <c r="AE15" s="95">
        <v>105.0</v>
      </c>
      <c r="AF15" s="97"/>
      <c r="AG15" s="97"/>
      <c r="AH15" s="94" t="s">
        <v>21</v>
      </c>
      <c r="AI15" s="95">
        <v>1.0</v>
      </c>
      <c r="AJ15" s="94" t="s">
        <v>44</v>
      </c>
      <c r="AK15" s="96"/>
      <c r="AL15" s="96"/>
      <c r="AM15" s="96"/>
      <c r="AN15" s="94"/>
      <c r="AO15" s="96"/>
      <c r="AP15" s="94"/>
      <c r="AQ15" s="94"/>
      <c r="AR15" s="94"/>
      <c r="AS15" s="95"/>
      <c r="AT15" s="98">
        <v>31485.9824</v>
      </c>
      <c r="AU15" s="98">
        <v>31485.9824</v>
      </c>
      <c r="AV15" s="100"/>
      <c r="AW15" s="95"/>
      <c r="AX15" s="95"/>
      <c r="AY15" s="94"/>
      <c r="AZ15" s="95"/>
      <c r="BA15" s="100"/>
      <c r="BB15" s="96"/>
      <c r="BC15" s="95">
        <v>0.0</v>
      </c>
      <c r="BD15" s="94"/>
      <c r="BE15" s="98">
        <v>31500.0</v>
      </c>
      <c r="BF15" s="98">
        <v>31500.0</v>
      </c>
      <c r="BG15" s="100"/>
      <c r="BH15" s="96"/>
      <c r="BI15" s="96"/>
      <c r="BJ15" s="95">
        <v>105.0</v>
      </c>
      <c r="BK15" s="95">
        <v>0.0</v>
      </c>
      <c r="BL15" s="94"/>
      <c r="BM15" s="94" t="s">
        <v>19</v>
      </c>
      <c r="BN15" s="100"/>
      <c r="BO15" s="94" t="s">
        <v>38</v>
      </c>
      <c r="BP15" s="95">
        <v>0.0</v>
      </c>
      <c r="BQ15" s="95">
        <v>0.0</v>
      </c>
      <c r="BR15" s="95">
        <v>0.0176</v>
      </c>
      <c r="BS15" s="94" t="s">
        <v>78</v>
      </c>
      <c r="BT15" s="94" t="s">
        <v>26</v>
      </c>
      <c r="BU15" s="95">
        <v>3.0</v>
      </c>
      <c r="BV15" s="95">
        <v>0.0</v>
      </c>
      <c r="BW15" s="95">
        <v>14.0176</v>
      </c>
      <c r="BX15" s="95">
        <v>0.0</v>
      </c>
      <c r="BY15" s="96"/>
      <c r="BZ15" s="96"/>
      <c r="CA15" s="96"/>
      <c r="CB15" s="96"/>
      <c r="CC15" s="96"/>
      <c r="CD15" s="96"/>
      <c r="CE15" s="100"/>
      <c r="CF15" s="94"/>
      <c r="CG15" s="95"/>
      <c r="CH15" s="94" t="s">
        <v>24</v>
      </c>
      <c r="CI15" s="94" t="s">
        <v>38</v>
      </c>
      <c r="CJ15" s="95">
        <v>0.0</v>
      </c>
      <c r="CK15" s="94" t="s">
        <v>79</v>
      </c>
      <c r="CL15" s="95"/>
      <c r="CM15" s="94" t="s">
        <v>26</v>
      </c>
      <c r="CN15" s="94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