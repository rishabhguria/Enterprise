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AuecExecutingBroker" sheetId="5" r:id="rId7"/>
    <sheet state="visible" name="SetGeneralPreference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TradePTT" sheetId="11" r:id="rId13"/>
    <sheet state="visible" name="CreateDoneAwayOrder1" sheetId="12" r:id="rId14"/>
    <sheet state="visible" name="VerifyOrder" sheetId="13" r:id="rId15"/>
    <sheet state="visible" name="SelectTradeOnOrderGrid" sheetId="14" r:id="rId16"/>
    <sheet state="visible" name="VerifySub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  <sheet state="visible" name="Copy of Data" sheetId="19" r:id="rId21"/>
  </sheets>
  <definedNames/>
  <calcPr/>
</workbook>
</file>

<file path=xl/sharedStrings.xml><?xml version="1.0" encoding="utf-8"?>
<sst xmlns="http://schemas.openxmlformats.org/spreadsheetml/2006/main" count="618" uniqueCount="78">
  <si>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</si>
  <si>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</si>
  <si>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</si>
  <si>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</si>
  <si>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</si>
  <si>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</si>
  <si>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</si>
  <si>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</si>
  <si>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</si>
  <si>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</si>
  <si>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</si>
  <si>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</si>
  <si>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</si>
  <si>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</si>
  <si>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</si>
  <si>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</si>
  <si>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</si>
  <si>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SetAuecExecutingBroker</t>
  </si>
  <si>
    <t>Allocation1</t>
  </si>
  <si>
    <t>MS</t>
  </si>
  <si>
    <t>Allocation4</t>
  </si>
  <si>
    <t>GS</t>
  </si>
  <si>
    <t>TradingTicket</t>
  </si>
  <si>
    <t>SetGeneralPreference</t>
  </si>
  <si>
    <t>CreateDoneAwayOrder</t>
  </si>
  <si>
    <t>TSLA</t>
  </si>
  <si>
    <t>Buy</t>
  </si>
  <si>
    <t>PricingInput</t>
  </si>
  <si>
    <t>DailyValuation</t>
  </si>
  <si>
    <t>GetDailyCash</t>
  </si>
  <si>
    <t>UpdateMultipleDailyCash</t>
  </si>
  <si>
    <t>USD</t>
  </si>
  <si>
    <t>Allocation2</t>
  </si>
  <si>
    <t>Allocation3</t>
  </si>
  <si>
    <t>PTT</t>
  </si>
  <si>
    <t>TradePTT</t>
  </si>
  <si>
    <t>Increase</t>
  </si>
  <si>
    <t>Percentage</t>
  </si>
  <si>
    <t>Account</t>
  </si>
  <si>
    <t>CSFB</t>
  </si>
  <si>
    <t>Blotter</t>
  </si>
  <si>
    <t>VerifyOrder</t>
  </si>
  <si>
    <t/>
  </si>
  <si>
    <t>NASDAQ</t>
  </si>
  <si>
    <t>jpearce</t>
  </si>
  <si>
    <t>US</t>
  </si>
  <si>
    <t>GCCAP1</t>
  </si>
  <si>
    <t>NONE</t>
  </si>
  <si>
    <t>NewMF1</t>
  </si>
  <si>
    <t>M</t>
  </si>
  <si>
    <t>Equity</t>
  </si>
  <si>
    <t>Filled</t>
  </si>
  <si>
    <t>Market</t>
  </si>
  <si>
    <t>Manual</t>
  </si>
  <si>
    <t>Day</t>
  </si>
  <si>
    <t>SelectTradeOnOrderGrid</t>
  </si>
  <si>
    <t>VerifySubOrder</t>
  </si>
  <si>
    <t>Strategy Unallocated</t>
  </si>
  <si>
    <t>Allocation</t>
  </si>
  <si>
    <t>GetDataAllocation</t>
  </si>
  <si>
    <t>Current</t>
  </si>
  <si>
    <t>CheckAllocatedGroups</t>
  </si>
  <si>
    <t>Actual_365</t>
  </si>
  <si>
    <t>Treasury</t>
  </si>
  <si>
    <t>Open</t>
  </si>
  <si>
    <t>TESLA MTRS INC</t>
  </si>
  <si>
    <t>None</t>
  </si>
  <si>
    <t>InternalOrder</t>
  </si>
  <si>
    <t>PortfolioManagement</t>
  </si>
  <si>
    <t>CheckPortfolioManagement</t>
  </si>
  <si>
    <t>Long</t>
  </si>
  <si>
    <t>Undefined</t>
  </si>
  <si>
    <t>User Defined</t>
  </si>
  <si>
    <t>Default</t>
  </si>
  <si>
    <t>UK</t>
  </si>
  <si>
    <t>Yes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</si>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</sst>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 t="str">
        <f>IFERROR(__xludf.DUMMYFUNCTION("""COMPUTED_VALUE"""),"Account")</f>
        <v>Account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12">
        <v>100.0</v>
      </c>
      <c r="F6" s="8"/>
      <c r="G6" s="8"/>
      <c r="H6" s="8"/>
      <c r="I6" s="8"/>
      <c r="J6" s="12">
        <v>20.0</v>
      </c>
      <c r="K6" s="8"/>
      <c r="L6" s="8"/>
      <c r="M6" s="8"/>
      <c r="N6" s="31">
        <f>today()</f>
        <v>45855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45854</v>
      </c>
      <c r="C6" s="31">
        <f>today()</f>
        <v>45855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31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 t="s">
        <v>31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33</v>
      </c>
      <c r="C8" s="12" t="s">
        <v>31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20</v>
      </c>
      <c r="C9" s="12" t="s">
        <v>31</v>
      </c>
      <c r="D9" s="12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36</v>
      </c>
      <c r="D6" s="12" t="s">
        <v>37</v>
      </c>
      <c r="E6" s="12">
        <v>10.0</v>
      </c>
      <c r="F6" s="8"/>
      <c r="G6" s="8"/>
      <c r="H6" s="12" t="s">
        <v>38</v>
      </c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12"/>
      <c r="G6" s="12" t="s">
        <v>39</v>
      </c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42</v>
      </c>
      <c r="B6" s="33"/>
      <c r="C6" s="8"/>
      <c r="D6" s="33">
        <v>20.0</v>
      </c>
      <c r="E6" s="8"/>
      <c r="F6" s="8"/>
      <c r="G6" s="8"/>
      <c r="H6" s="8" t="s">
        <v>43</v>
      </c>
      <c r="I6" s="8" t="s">
        <v>44</v>
      </c>
      <c r="J6" s="8" t="s">
        <v>25</v>
      </c>
      <c r="K6" s="8" t="s">
        <v>45</v>
      </c>
      <c r="L6" s="8" t="s">
        <v>46</v>
      </c>
      <c r="M6" s="8"/>
      <c r="N6" s="8"/>
      <c r="O6" s="8"/>
      <c r="S6">
        <v>0.0</v>
      </c>
      <c r="T6">
        <v>0.0</v>
      </c>
      <c r="U6" t="s">
        <v>31</v>
      </c>
      <c r="V6" t="s">
        <v>47</v>
      </c>
      <c r="X6">
        <v>0.0</v>
      </c>
      <c r="AA6" t="s">
        <v>48</v>
      </c>
      <c r="AD6">
        <v>1.0</v>
      </c>
      <c r="AF6" t="s">
        <v>49</v>
      </c>
      <c r="AG6">
        <v>20.0</v>
      </c>
      <c r="AH6" t="s">
        <v>50</v>
      </c>
      <c r="AI6" t="s">
        <v>25</v>
      </c>
      <c r="AJ6" t="s">
        <v>26</v>
      </c>
      <c r="AK6" t="s">
        <v>51</v>
      </c>
      <c r="AL6">
        <v>500.0</v>
      </c>
      <c r="AM6">
        <v>500.0</v>
      </c>
      <c r="AN6">
        <v>100.0</v>
      </c>
      <c r="AO6">
        <v>500.0</v>
      </c>
      <c r="AQ6">
        <v>20.0</v>
      </c>
      <c r="AR6">
        <v>20.0</v>
      </c>
      <c r="AS6" t="s">
        <v>39</v>
      </c>
      <c r="AT6" t="s">
        <v>32</v>
      </c>
      <c r="AU6" t="s">
        <v>52</v>
      </c>
      <c r="AV6">
        <v>10000.0</v>
      </c>
      <c r="AW6">
        <v>10000.0</v>
      </c>
      <c r="AX6" t="s">
        <v>53</v>
      </c>
      <c r="AY6" t="s">
        <v>42</v>
      </c>
      <c r="BA6" t="s">
        <v>44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34</v>
      </c>
      <c r="BH6" t="s">
        <v>54</v>
      </c>
      <c r="BK6" t="s">
        <v>42</v>
      </c>
      <c r="BN6">
        <v>0.0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26</v>
      </c>
      <c r="G6" s="12" t="s">
        <v>51</v>
      </c>
      <c r="H6" s="12">
        <v>500.0</v>
      </c>
      <c r="I6" s="8"/>
      <c r="J6" s="8"/>
      <c r="K6" s="8"/>
      <c r="L6" s="8"/>
      <c r="M6" s="8"/>
      <c r="N6" s="8"/>
      <c r="O6" s="8"/>
      <c r="Q6" s="9" t="s">
        <v>39</v>
      </c>
      <c r="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42</v>
      </c>
      <c r="B6" s="33"/>
      <c r="C6" s="8"/>
      <c r="D6" s="33">
        <v>20.0</v>
      </c>
      <c r="E6" s="8"/>
      <c r="F6" s="8"/>
      <c r="G6" s="8"/>
      <c r="H6" s="8" t="s">
        <v>43</v>
      </c>
      <c r="I6" s="8" t="s">
        <v>44</v>
      </c>
      <c r="J6" s="8" t="s">
        <v>25</v>
      </c>
      <c r="K6" s="8" t="s">
        <v>42</v>
      </c>
      <c r="L6" s="8" t="s">
        <v>46</v>
      </c>
      <c r="M6" s="8"/>
      <c r="N6" s="8"/>
      <c r="O6" s="8"/>
      <c r="S6">
        <v>0.0</v>
      </c>
      <c r="T6">
        <v>0.0</v>
      </c>
      <c r="U6" t="s">
        <v>31</v>
      </c>
      <c r="V6" t="s">
        <v>47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>
        <v>500.0</v>
      </c>
      <c r="AD6">
        <v>1.0</v>
      </c>
      <c r="AE6" t="s">
        <v>42</v>
      </c>
      <c r="AF6" t="s">
        <v>49</v>
      </c>
      <c r="AG6">
        <v>20.0</v>
      </c>
      <c r="AH6" t="s">
        <v>50</v>
      </c>
      <c r="AI6" t="s">
        <v>25</v>
      </c>
      <c r="AJ6" t="s">
        <v>26</v>
      </c>
      <c r="AK6" t="s">
        <v>51</v>
      </c>
      <c r="AL6">
        <v>500.0</v>
      </c>
      <c r="AM6">
        <v>500.0</v>
      </c>
      <c r="AN6">
        <v>500.0</v>
      </c>
      <c r="AO6">
        <v>20.0</v>
      </c>
      <c r="AP6">
        <v>20.0</v>
      </c>
      <c r="AQ6" t="s">
        <v>39</v>
      </c>
      <c r="AR6" t="s">
        <v>32</v>
      </c>
      <c r="AS6" t="s">
        <v>52</v>
      </c>
      <c r="AT6">
        <v>10000.0</v>
      </c>
      <c r="AU6">
        <v>10000.0</v>
      </c>
      <c r="AV6" t="s">
        <v>53</v>
      </c>
      <c r="AW6" t="s">
        <v>51</v>
      </c>
      <c r="AY6" t="s">
        <v>57</v>
      </c>
      <c r="AZ6" t="s">
        <v>44</v>
      </c>
      <c r="BA6">
        <v>100.0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42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42</v>
      </c>
      <c r="B6" s="33" t="s">
        <v>32</v>
      </c>
      <c r="C6" s="8" t="s">
        <v>62</v>
      </c>
      <c r="D6" s="33"/>
      <c r="E6" s="8">
        <v>500.0</v>
      </c>
      <c r="F6" s="8" t="s">
        <v>53</v>
      </c>
      <c r="G6" s="8" t="s">
        <v>50</v>
      </c>
      <c r="H6" s="8">
        <v>4.0</v>
      </c>
      <c r="I6" s="8">
        <v>5.0</v>
      </c>
      <c r="J6" s="8">
        <v>1.0</v>
      </c>
      <c r="K6" s="8">
        <v>20.0</v>
      </c>
      <c r="L6" s="8">
        <v>20.0</v>
      </c>
      <c r="M6" s="8"/>
      <c r="N6" s="8" t="s">
        <v>63</v>
      </c>
      <c r="O6" s="8" t="s">
        <v>39</v>
      </c>
      <c r="Q6">
        <v>3.0</v>
      </c>
      <c r="S6" t="s">
        <v>64</v>
      </c>
      <c r="V6" t="s">
        <v>65</v>
      </c>
      <c r="W6">
        <v>1.0</v>
      </c>
      <c r="Y6" t="s">
        <v>42</v>
      </c>
      <c r="Z6" t="s">
        <v>31</v>
      </c>
      <c r="AB6">
        <v>1.0</v>
      </c>
      <c r="AD6" t="s">
        <v>43</v>
      </c>
      <c r="AE6">
        <v>500.0</v>
      </c>
      <c r="AF6" t="s">
        <v>42</v>
      </c>
      <c r="AH6" t="s">
        <v>49</v>
      </c>
      <c r="AI6">
        <v>1.0</v>
      </c>
      <c r="AJ6" t="s">
        <v>66</v>
      </c>
      <c r="AN6" t="b">
        <v>0</v>
      </c>
      <c r="AP6" t="b">
        <v>1</v>
      </c>
      <c r="AQ6" t="b">
        <v>0</v>
      </c>
      <c r="AR6" t="b">
        <v>1</v>
      </c>
      <c r="AT6">
        <v>10014.0056</v>
      </c>
      <c r="AU6">
        <v>10014.0056</v>
      </c>
      <c r="AY6" t="s">
        <v>52</v>
      </c>
      <c r="BD6" t="s">
        <v>67</v>
      </c>
      <c r="BE6">
        <v>10000.0</v>
      </c>
      <c r="BF6">
        <v>10000.0</v>
      </c>
      <c r="BJ6">
        <v>500.0</v>
      </c>
      <c r="BL6" t="s">
        <v>42</v>
      </c>
      <c r="BM6" t="s">
        <v>31</v>
      </c>
      <c r="BO6" t="s">
        <v>26</v>
      </c>
      <c r="BR6">
        <v>0.0056</v>
      </c>
      <c r="BS6" t="s">
        <v>57</v>
      </c>
      <c r="BT6" t="s">
        <v>25</v>
      </c>
      <c r="BU6">
        <v>3.0</v>
      </c>
      <c r="BW6">
        <v>14.0056</v>
      </c>
      <c r="CF6" t="s">
        <v>46</v>
      </c>
      <c r="CG6">
        <v>2.0</v>
      </c>
      <c r="CH6" t="s">
        <v>34</v>
      </c>
      <c r="CI6" t="s">
        <v>26</v>
      </c>
      <c r="CK6" t="s">
        <v>45</v>
      </c>
      <c r="CL6">
        <v>1.0</v>
      </c>
      <c r="CM6" t="s">
        <v>25</v>
      </c>
      <c r="CN6" t="s">
        <v>44</v>
      </c>
      <c r="CO6" t="s">
        <v>43</v>
      </c>
      <c r="CP6" t="s">
        <v>47</v>
      </c>
      <c r="CS6" t="s">
        <v>42</v>
      </c>
      <c r="CW6">
        <v>0.0</v>
      </c>
      <c r="CX6" t="s">
        <v>48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42</v>
      </c>
      <c r="B6" s="33"/>
      <c r="C6" s="8" t="s">
        <v>25</v>
      </c>
      <c r="D6" s="33">
        <v>500.0</v>
      </c>
      <c r="E6" s="8" t="s">
        <v>32</v>
      </c>
      <c r="F6" s="8" t="s">
        <v>48</v>
      </c>
      <c r="G6" s="8">
        <v>20.0</v>
      </c>
      <c r="H6" s="8" t="s">
        <v>70</v>
      </c>
      <c r="I6" s="8">
        <v>10000.0</v>
      </c>
      <c r="J6" s="8"/>
      <c r="K6" s="8">
        <v>10000.0</v>
      </c>
      <c r="L6" s="8">
        <v>10000.0</v>
      </c>
      <c r="M6" s="8">
        <v>12000.0</v>
      </c>
      <c r="N6" s="8"/>
      <c r="O6" s="8" t="s">
        <v>65</v>
      </c>
      <c r="P6" t="s">
        <v>71</v>
      </c>
      <c r="R6" t="s">
        <v>19</v>
      </c>
      <c r="S6" t="s">
        <v>57</v>
      </c>
      <c r="T6" t="s">
        <v>50</v>
      </c>
      <c r="U6" t="s">
        <v>45</v>
      </c>
      <c r="V6" t="s">
        <v>43</v>
      </c>
      <c r="W6" t="s">
        <v>31</v>
      </c>
      <c r="X6">
        <v>1.0</v>
      </c>
      <c r="Y6">
        <v>1.0</v>
      </c>
      <c r="AD6">
        <v>10000.0</v>
      </c>
      <c r="AE6">
        <v>10000.0</v>
      </c>
      <c r="AF6">
        <v>500.0</v>
      </c>
      <c r="AG6">
        <v>10000.0</v>
      </c>
      <c r="AH6">
        <v>10000.0</v>
      </c>
      <c r="AI6">
        <v>10000.0</v>
      </c>
      <c r="AJ6">
        <v>250.0</v>
      </c>
      <c r="AL6">
        <v>1.0</v>
      </c>
      <c r="AM6">
        <v>1.0</v>
      </c>
      <c r="AN6" t="s">
        <v>26</v>
      </c>
      <c r="AP6" t="s">
        <v>70</v>
      </c>
      <c r="AQ6" t="s">
        <v>25</v>
      </c>
      <c r="AR6">
        <v>20.0</v>
      </c>
      <c r="AS6">
        <v>1.0</v>
      </c>
      <c r="AV6">
        <v>1.0</v>
      </c>
      <c r="AZ6">
        <v>10000.0</v>
      </c>
      <c r="BC6">
        <v>1.0</v>
      </c>
      <c r="BD6">
        <v>-10000.0</v>
      </c>
      <c r="BE6" t="s">
        <v>50</v>
      </c>
      <c r="BF6" t="s">
        <v>71</v>
      </c>
      <c r="BG6" t="s">
        <v>71</v>
      </c>
      <c r="BH6" t="s">
        <v>71</v>
      </c>
      <c r="BI6" t="s">
        <v>71</v>
      </c>
      <c r="BO6">
        <v>-10000.0</v>
      </c>
      <c r="BQ6" t="s">
        <v>44</v>
      </c>
      <c r="BR6" t="s">
        <v>39</v>
      </c>
      <c r="BU6" t="s">
        <v>50</v>
      </c>
      <c r="BX6">
        <v>10000.0</v>
      </c>
      <c r="BY6">
        <v>10000.0</v>
      </c>
      <c r="BZ6">
        <v>20.0</v>
      </c>
      <c r="CA6">
        <v>20.0</v>
      </c>
      <c r="CK6" t="b">
        <v>0</v>
      </c>
      <c r="CS6">
        <v>20.0</v>
      </c>
      <c r="CY6" t="s">
        <v>72</v>
      </c>
      <c r="CZ6" t="s">
        <v>73</v>
      </c>
      <c r="DA6">
        <v>10000.0</v>
      </c>
      <c r="DB6">
        <v>0.0</v>
      </c>
      <c r="DD6">
        <v>500.0</v>
      </c>
      <c r="DG6">
        <v>0.0</v>
      </c>
      <c r="DH6" t="s">
        <v>71</v>
      </c>
      <c r="DJ6" t="s">
        <v>26</v>
      </c>
      <c r="DM6">
        <v>1.0</v>
      </c>
      <c r="DN6">
        <v>20.0</v>
      </c>
      <c r="DP6" t="s">
        <v>70</v>
      </c>
      <c r="DQ6" t="s">
        <v>71</v>
      </c>
      <c r="DR6" t="s">
        <v>74</v>
      </c>
      <c r="DS6" t="s">
        <v>71</v>
      </c>
      <c r="DT6" t="s">
        <v>71</v>
      </c>
      <c r="DU6" t="s">
        <v>71</v>
      </c>
      <c r="DV6" t="s">
        <v>71</v>
      </c>
      <c r="DW6" t="s">
        <v>71</v>
      </c>
      <c r="DX6" t="s">
        <v>71</v>
      </c>
      <c r="DY6" t="s">
        <v>71</v>
      </c>
      <c r="DZ6" t="s">
        <v>65</v>
      </c>
      <c r="EA6" t="s">
        <v>75</v>
      </c>
      <c r="EB6" t="s">
        <v>71</v>
      </c>
      <c r="EC6" t="s">
        <v>71</v>
      </c>
      <c r="ED6" t="s">
        <v>31</v>
      </c>
      <c r="EE6" t="s">
        <v>75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E6" t="s">
        <v>42</v>
      </c>
      <c r="FI6" t="s">
        <v>42</v>
      </c>
      <c r="FK6" t="s">
        <v>42</v>
      </c>
      <c r="FL6" t="s">
        <v>42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42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E7" t="s">
        <v>42</v>
      </c>
      <c r="FI7" t="s">
        <v>42</v>
      </c>
      <c r="FK7" t="s">
        <v>42</v>
      </c>
      <c r="FL7" t="s">
        <v>42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76</v>
      </c>
      <c r="C6" s="8"/>
      <c r="D6" s="12" t="s">
        <v>77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