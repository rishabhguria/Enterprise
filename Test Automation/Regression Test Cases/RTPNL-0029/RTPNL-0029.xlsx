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OpenRTPNL" sheetId="5" r:id="rId7"/>
    <sheet state="visible" name="CheckFundLevelAggregation" sheetId="6" r:id="rId8"/>
    <sheet state="visible" name="SavePage" sheetId="7" r:id="rId9"/>
    <sheet state="visible" name="CloseRTPNL" sheetId="8" r:id="rId10"/>
    <sheet state="visible" name="FilterFLA" sheetId="9" r:id="rId11"/>
    <sheet state="visible" name="CheckFundLevelAggregation1" sheetId="10" r:id="rId12"/>
    <sheet state="visible" name="SortFLA" sheetId="11" r:id="rId13"/>
    <sheet state="visible" name="FilterFLA1" sheetId="12" r:id="rId14"/>
    <sheet state="visible" name="PricingInput" sheetId="13" r:id="rId15"/>
  </sheets>
  <definedNames/>
  <calcPr/>
</workbook>
</file>

<file path=xl/sharedStrings.xml><?xml version="1.0" encoding="utf-8"?>
<sst xmlns="http://schemas.openxmlformats.org/spreadsheetml/2006/main" count="102" uniqueCount="36">
  <si>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</si>
  <si>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</si>
  <si>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</si>
  <si>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</si>
  <si>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</si>
  <si>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</si>
  <si>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</si>
  <si>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</si>
  <si>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</si>
  <si>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</si>
  <si>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</si>
  <si>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</si>
  <si>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</si>
  <si>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</si>
  <si>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</si>
  <si>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</si>
  <si>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</si>
  <si>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</si>
  <si>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Yes</t>
  </si>
  <si>
    <t>RTPNL</t>
  </si>
  <si>
    <t>OpenRTPNL</t>
  </si>
  <si>
    <t>Nirvana,PM</t>
  </si>
  <si>
    <t>FundLevelAggregation</t>
  </si>
  <si>
    <t>CheckFundLevelAggregation</t>
  </si>
  <si>
    <t>NewMF</t>
  </si>
  <si>
    <t>SavePage</t>
  </si>
  <si>
    <t>Save</t>
  </si>
  <si>
    <t>CloseRTPNL</t>
  </si>
  <si>
    <t>FilterFLA</t>
  </si>
  <si>
    <t>Fund</t>
  </si>
  <si>
    <t>NEGATIVE</t>
  </si>
  <si>
    <t>NewMF1</t>
  </si>
  <si>
    <t>SortFLA</t>
  </si>
  <si>
    <t>Asc</t>
  </si>
  <si>
    <t>SORTBYCLICK</t>
  </si>
  <si>
    <t>PricingInput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</si>
</sst>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9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1" t="s">
        <v>17</v>
      </c>
      <c r="D6" s="32">
        <v>10.0</v>
      </c>
      <c r="E6" s="30"/>
      <c r="F6" s="33"/>
      <c r="G6" s="33"/>
      <c r="H6" s="33"/>
      <c r="I6" s="33"/>
      <c r="J6" s="32">
        <v>5.0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 t="s">
        <v>18</v>
      </c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21</v>
      </c>
      <c r="C6" s="34" t="s">
        <v>22</v>
      </c>
      <c r="D6" s="12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OpenRTPNL!$4:$4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IFERROR(__xludf.DUMMYFUNCTION("""COMPUTED_VALUE"""),"Fund")</f>
        <v>Fund</v>
      </c>
      <c r="C5" s="27" t="str">
        <f>IFERROR(__xludf.DUMMYFUNCTION("""COMPUTED_VALUE"""),"Market Value")</f>
        <v>Market Value</v>
      </c>
      <c r="D5" s="27" t="str">
        <f>IFERROR(__xludf.DUMMYFUNCTION("""COMPUTED_VALUE"""),"P&amp;L")</f>
        <v>P&amp;L</v>
      </c>
      <c r="E5" s="27" t="str">
        <f>IFERROR(__xludf.DUMMYFUNCTION("""COMPUTED_VALUE"""),"Day P&amp;L")</f>
        <v>Day P&amp;L</v>
      </c>
      <c r="F5" s="28" t="str">
        <f>IFERROR(__xludf.DUMMYFUNCTION("""COMPUTED_VALUE"""),"Exposure")</f>
        <v>Exposure</v>
      </c>
      <c r="G5" s="27" t="str">
        <f>IFERROR(__xludf.DUMMYFUNCTION("""COMPUTED_VALUE"""),"% Gain/Loss Day")</f>
        <v>% Gain/Loss Day</v>
      </c>
      <c r="H5" s="27" t="str">
        <f>IFERROR(__xludf.DUMMYFUNCTION("""COMPUTED_VALUE"""),"% Gain/Loss Cost")</f>
        <v>% Gain/Loss Cost</v>
      </c>
      <c r="I5" s="27" t="str">
        <f>IFERROR(__xludf.DUMMYFUNCTION("""COMPUTED_VALUE"""),"% Market Value")</f>
        <v>% Market Value</v>
      </c>
      <c r="J5" s="27" t="str">
        <f>IFERROR(__xludf.DUMMYFUNCTION("""COMPUTED_VALUE"""),"% Exposure")</f>
        <v>% Exposure</v>
      </c>
      <c r="K5" s="27" t="str">
        <f>IFERROR(__xludf.DUMMYFUNCTION("""COMPUTED_VALUE"""),"Short Exposure")</f>
        <v>Short Exposure</v>
      </c>
      <c r="L5" s="27" t="str">
        <f>IFERROR(__xludf.DUMMYFUNCTION("""COMPUTED_VALUE"""),"% Short Exposure")</f>
        <v>% Short Exposure</v>
      </c>
      <c r="M5" s="27" t="str">
        <f>IFERROR(__xludf.DUMMYFUNCTION("""COMPUTED_VALUE"""),"Long Exposure")</f>
        <v>Long Exposure</v>
      </c>
      <c r="N5" s="27" t="str">
        <f>IFERROR(__xludf.DUMMYFUNCTION("""COMPUTED_VALUE"""),"% Long Exposure")</f>
        <v>% Long Exposure</v>
      </c>
      <c r="O5" s="27" t="str">
        <f>IFERROR(__xludf.DUMMYFUNCTION("""COMPUTED_VALUE"""),"Accruals")</f>
        <v>Accruals</v>
      </c>
      <c r="P5" s="27" t="str">
        <f>IFERROR(__xludf.DUMMYFUNCTION("""COMPUTED_VALUE"""),"Cash")</f>
        <v>Cash</v>
      </c>
      <c r="Q5" s="27" t="str">
        <f>IFERROR(__xludf.DUMMYFUNCTION("""COMPUTED_VALUE"""),"NAV")</f>
        <v>NAV</v>
      </c>
      <c r="R5" s="27" t="str">
        <f>IFERROR(__xludf.DUMMYFUNCTION("""COMPUTED_VALUE"""),"Testing Type")</f>
        <v>Testing Type</v>
      </c>
      <c r="S5" s="27" t="str">
        <f>IFERROR(__xludf.DUMMYFUNCTION("""COMPUTED_VALUE"""),"Testing Column")</f>
        <v>Testing Column</v>
      </c>
      <c r="T5" s="29" t="str">
        <f>IFERROR(__xludf.DUMMYFUNCTION("""COMPUTED_VALUE"""),"Testing Col Value")</f>
        <v>Testing Col Value</v>
      </c>
      <c r="U5" s="29" t="str">
        <f>IFERROR(__xludf.DUMMYFUNCTION("""COMPUTED_VALUE"""),"DuplicateCountOnUI")</f>
        <v>DuplicateCountOnUI</v>
      </c>
      <c r="V5" s="29" t="str">
        <f>IFERROR(__xludf.DUMMYFUNCTION("""COMPUTED_VALUE"""),"DuplicateRow")</f>
        <v>DuplicateRow</v>
      </c>
      <c r="W5" s="29" t="str">
        <f>IFERROR(__xludf.DUMMYFUNCTION("""COMPUTED_VALUE"""),"TabName")</f>
        <v>TabName</v>
      </c>
      <c r="X5" s="29" t="str">
        <f>IFERROR(__xludf.DUMMYFUNCTION("""COMPUTED_VALUE"""),"GridDataWidgetName")</f>
        <v>GridDataWidgetName</v>
      </c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24</v>
      </c>
      <c r="C6" s="36">
        <v>50.0</v>
      </c>
      <c r="D6" s="32">
        <v>0.0</v>
      </c>
      <c r="E6" s="36">
        <v>0.0</v>
      </c>
      <c r="F6" s="36">
        <v>50.0</v>
      </c>
      <c r="G6" s="36">
        <v>0.0</v>
      </c>
      <c r="H6" s="36">
        <v>0.0</v>
      </c>
      <c r="I6" s="36">
        <v>0.0</v>
      </c>
      <c r="J6" s="36">
        <v>0.0</v>
      </c>
      <c r="K6" s="36">
        <v>0.0</v>
      </c>
      <c r="L6" s="36">
        <v>0.0</v>
      </c>
      <c r="M6" s="36">
        <v>50.0</v>
      </c>
      <c r="N6" s="36">
        <v>0.0</v>
      </c>
      <c r="O6" s="36">
        <v>0.0</v>
      </c>
      <c r="P6" s="37">
        <v>-50.0</v>
      </c>
      <c r="Q6" s="37">
        <v>0.0</v>
      </c>
      <c r="R6" s="33"/>
      <c r="S6" s="33"/>
      <c r="T6" s="33"/>
      <c r="U6" s="33"/>
      <c r="V6" s="33"/>
      <c r="W6" s="38"/>
      <c r="X6" s="38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12"/>
      <c r="C7" s="12"/>
      <c r="D7" s="12"/>
      <c r="E7" s="12"/>
      <c r="F7" s="12"/>
      <c r="G7" s="39"/>
      <c r="H7" s="39"/>
      <c r="I7" s="39"/>
      <c r="J7" s="39"/>
      <c r="K7" s="12"/>
      <c r="L7" s="39"/>
      <c r="M7" s="12"/>
      <c r="N7" s="39"/>
      <c r="O7" s="1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CheckFundLevelAggregation!$4:$4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IFERROR(__xludf.DUMMYFUNCTION("""COMPUTED_VALUE"""),"Action")</f>
        <v>Action</v>
      </c>
      <c r="D5" s="27" t="str">
        <f>IFERROR(__xludf.DUMMYFUNCTION("""COMPUTED_VALUE"""),"RenameTabName")</f>
        <v>RenameTabName</v>
      </c>
      <c r="E5" s="27" t="str">
        <f>IFERROR(__xludf.DUMMYFUNCTION("""COMPUTED_VALUE"""),"VerifyToast")</f>
        <v>VerifyToast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22</v>
      </c>
      <c r="C6" s="33" t="s">
        <v>26</v>
      </c>
      <c r="D6" s="12"/>
      <c r="E6" s="1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SavePage!$4:$4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21</v>
      </c>
      <c r="C6" s="8"/>
      <c r="D6" s="12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CloseRTPNL!$4:$4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IFERROR(__xludf.DUMMYFUNCTION("""COMPUTED_VALUE"""),"Column")</f>
        <v>Column</v>
      </c>
      <c r="C5" s="27" t="str">
        <f>IFERROR(__xludf.DUMMYFUNCTION("""COMPUTED_VALUE"""),"Value")</f>
        <v>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29</v>
      </c>
      <c r="C6" s="12" t="s">
        <v>24</v>
      </c>
      <c r="D6" s="12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FilterFLA!$4:$4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IFERROR(__xludf.DUMMYFUNCTION("""COMPUTED_VALUE"""),"Fund")</f>
        <v>Fund</v>
      </c>
      <c r="C5" s="27" t="str">
        <f>IFERROR(__xludf.DUMMYFUNCTION("""COMPUTED_VALUE"""),"Market Value")</f>
        <v>Market Value</v>
      </c>
      <c r="D5" s="27" t="str">
        <f>IFERROR(__xludf.DUMMYFUNCTION("""COMPUTED_VALUE"""),"P&amp;L")</f>
        <v>P&amp;L</v>
      </c>
      <c r="E5" s="27" t="str">
        <f>IFERROR(__xludf.DUMMYFUNCTION("""COMPUTED_VALUE"""),"Day P&amp;L")</f>
        <v>Day P&amp;L</v>
      </c>
      <c r="F5" s="28" t="str">
        <f>IFERROR(__xludf.DUMMYFUNCTION("""COMPUTED_VALUE"""),"Exposure")</f>
        <v>Exposure</v>
      </c>
      <c r="G5" s="27" t="str">
        <f>IFERROR(__xludf.DUMMYFUNCTION("""COMPUTED_VALUE"""),"% Gain/Loss Day")</f>
        <v>% Gain/Loss Day</v>
      </c>
      <c r="H5" s="27" t="str">
        <f>IFERROR(__xludf.DUMMYFUNCTION("""COMPUTED_VALUE"""),"% Gain/Loss Cost")</f>
        <v>% Gain/Loss Cost</v>
      </c>
      <c r="I5" s="27" t="str">
        <f>IFERROR(__xludf.DUMMYFUNCTION("""COMPUTED_VALUE"""),"% Market Value")</f>
        <v>% Market Value</v>
      </c>
      <c r="J5" s="27" t="str">
        <f>IFERROR(__xludf.DUMMYFUNCTION("""COMPUTED_VALUE"""),"% Exposure")</f>
        <v>% Exposure</v>
      </c>
      <c r="K5" s="27" t="str">
        <f>IFERROR(__xludf.DUMMYFUNCTION("""COMPUTED_VALUE"""),"Short Exposure")</f>
        <v>Short Exposure</v>
      </c>
      <c r="L5" s="27" t="str">
        <f>IFERROR(__xludf.DUMMYFUNCTION("""COMPUTED_VALUE"""),"% Short Exposure")</f>
        <v>% Short Exposure</v>
      </c>
      <c r="M5" s="27" t="str">
        <f>IFERROR(__xludf.DUMMYFUNCTION("""COMPUTED_VALUE"""),"Long Exposure")</f>
        <v>Long Exposure</v>
      </c>
      <c r="N5" s="27" t="str">
        <f>IFERROR(__xludf.DUMMYFUNCTION("""COMPUTED_VALUE"""),"% Long Exposure")</f>
        <v>% Long Exposure</v>
      </c>
      <c r="O5" s="27" t="str">
        <f>IFERROR(__xludf.DUMMYFUNCTION("""COMPUTED_VALUE"""),"Accruals")</f>
        <v>Accruals</v>
      </c>
      <c r="P5" s="27" t="str">
        <f>IFERROR(__xludf.DUMMYFUNCTION("""COMPUTED_VALUE"""),"Cash")</f>
        <v>Cash</v>
      </c>
      <c r="Q5" s="27" t="str">
        <f>IFERROR(__xludf.DUMMYFUNCTION("""COMPUTED_VALUE"""),"NAV")</f>
        <v>NAV</v>
      </c>
      <c r="R5" s="27" t="str">
        <f>IFERROR(__xludf.DUMMYFUNCTION("""COMPUTED_VALUE"""),"Testing Type")</f>
        <v>Testing Type</v>
      </c>
      <c r="S5" s="27" t="str">
        <f>IFERROR(__xludf.DUMMYFUNCTION("""COMPUTED_VALUE"""),"Testing Column")</f>
        <v>Testing Column</v>
      </c>
      <c r="T5" s="29" t="str">
        <f>IFERROR(__xludf.DUMMYFUNCTION("""COMPUTED_VALUE"""),"Testing Col Value")</f>
        <v>Testing Col Value</v>
      </c>
      <c r="U5" s="29" t="str">
        <f>IFERROR(__xludf.DUMMYFUNCTION("""COMPUTED_VALUE"""),"DuplicateCountOnUI")</f>
        <v>DuplicateCountOnUI</v>
      </c>
      <c r="V5" s="29" t="str">
        <f>IFERROR(__xludf.DUMMYFUNCTION("""COMPUTED_VALUE"""),"DuplicateRow")</f>
        <v>DuplicateRow</v>
      </c>
      <c r="W5" s="29" t="str">
        <f>IFERROR(__xludf.DUMMYFUNCTION("""COMPUTED_VALUE"""),"TabName")</f>
        <v>TabName</v>
      </c>
      <c r="X5" s="29" t="str">
        <f>IFERROR(__xludf.DUMMYFUNCTION("""COMPUTED_VALUE"""),"GridDataWidgetName")</f>
        <v>GridDataWidgetName</v>
      </c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24</v>
      </c>
      <c r="C6" s="36">
        <v>50.0</v>
      </c>
      <c r="D6" s="32">
        <v>0.0</v>
      </c>
      <c r="E6" s="36">
        <v>0.0</v>
      </c>
      <c r="F6" s="36">
        <v>50.0</v>
      </c>
      <c r="G6" s="36">
        <v>0.0</v>
      </c>
      <c r="H6" s="36">
        <v>0.0</v>
      </c>
      <c r="I6" s="36">
        <v>0.0</v>
      </c>
      <c r="J6" s="36">
        <v>0.0</v>
      </c>
      <c r="K6" s="36">
        <v>0.0</v>
      </c>
      <c r="L6" s="36">
        <v>0.0</v>
      </c>
      <c r="M6" s="36">
        <v>50.0</v>
      </c>
      <c r="N6" s="36">
        <v>0.0</v>
      </c>
      <c r="O6" s="36">
        <v>0.0</v>
      </c>
      <c r="P6" s="37">
        <v>-50.0</v>
      </c>
      <c r="Q6" s="37">
        <v>0.0</v>
      </c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R7" s="9" t="s">
        <v>30</v>
      </c>
      <c r="S7" s="9" t="s">
        <v>29</v>
      </c>
      <c r="T7" s="9" t="s">
        <v>31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U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CheckFundLevelAggregation1!$4:$4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IFERROR(__xludf.DUMMYFUNCTION("""COMPUTED_VALUE"""),"Column")</f>
        <v>Column</v>
      </c>
      <c r="C5" s="27" t="str">
        <f>IFERROR(__xludf.DUMMYFUNCTION("""COMPUTED_VALUE"""),"Value")</f>
        <v>Value</v>
      </c>
      <c r="D5" s="27" t="str">
        <f>IFERROR(__xludf.DUMMYFUNCTION("""COMPUTED_VALUE"""),"Action")</f>
        <v>Action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29</v>
      </c>
      <c r="C6" s="12" t="s">
        <v>33</v>
      </c>
      <c r="D6" s="9" t="s">
        <v>34</v>
      </c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SortFLA!$4:$4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IFERROR(__xludf.DUMMYFUNCTION("""COMPUTED_VALUE"""),"Column")</f>
        <v>Column</v>
      </c>
      <c r="C5" s="27" t="str">
        <f>IFERROR(__xludf.DUMMYFUNCTION("""COMPUTED_VALUE"""),"Value")</f>
        <v>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29</v>
      </c>
      <c r="C6" s="12" t="s">
        <v>31</v>
      </c>
      <c r="D6" s="12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FilterFLA1!$4:$4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 t="str">
        <f>IFERROR(__xludf.DUMMYFUNCTION("""COMPUTED_VALUE"""),"UpdatePricingInput")</f>
        <v>UpdatePricingInput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5.0</v>
      </c>
      <c r="D6" s="12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