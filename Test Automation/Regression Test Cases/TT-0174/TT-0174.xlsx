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GetDailyCash" sheetId="5" r:id="rId7"/>
    <sheet state="visible" name="UpdateMultipleDailyCash" sheetId="6" r:id="rId8"/>
    <sheet state="visible" name="CreateDoneAwayOrder" sheetId="7" r:id="rId9"/>
    <sheet state="visible" name="VerifyOrder" sheetId="8" r:id="rId10"/>
  </sheets>
  <definedNames/>
  <calcPr/>
</workbook>
</file>

<file path=xl/sharedStrings.xml><?xml version="1.0" encoding="utf-8"?>
<sst xmlns="http://schemas.openxmlformats.org/spreadsheetml/2006/main" count="78" uniqueCount="34">
  <si>
    <t>Modules Info</t>
  </si>
  <si>
    <t>Modules</t>
  </si>
  <si>
    <t>Settings</t>
  </si>
  <si>
    <t>Module Step Setting File</t>
  </si>
  <si>
    <t>1FGxALDJcb5ehnsyvPsvvK2RmR5w5NvwxselvS8Rk8g0</t>
  </si>
  <si>
    <t>Master Data Settings File</t>
  </si>
  <si>
    <t>1lSLsxI1ZBNjkQwgABAFqBKhaa9pxiZkc5yHFMddp-rY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</si>
  <si>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</si>
  <si>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</si>
  <si>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</si>
  <si>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</si>
  <si>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</si>
  <si>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</si>
  <si>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</si>
  <si>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</si>
  <si>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</si>
  <si>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DailyValuation</t>
  </si>
  <si>
    <t>GetDailyCash</t>
  </si>
  <si>
    <t>UpdateDailyCash</t>
  </si>
  <si>
    <t>Allocation1</t>
  </si>
  <si>
    <t>USD</t>
  </si>
  <si>
    <t>Allocation2</t>
  </si>
  <si>
    <t>TradingTicket</t>
  </si>
  <si>
    <t>CreateDoneAwayOrder</t>
  </si>
  <si>
    <t>AAPL</t>
  </si>
  <si>
    <t>Buy</t>
  </si>
  <si>
    <t>MS</t>
  </si>
  <si>
    <t>IBM</t>
  </si>
  <si>
    <t>Allocation1,Allocation2</t>
  </si>
  <si>
    <t>50,50</t>
  </si>
  <si>
    <t>Blotter</t>
  </si>
  <si>
    <t>VerifyOrder</t>
  </si>
  <si>
    <t>Filled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</si>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</sst>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&quot;Segoe UI&quot;"/>
    </font>
    <font>
      <sz val="9.0"/>
      <color rgb="FFFF8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vertical="bottom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5" fillId="0" fontId="3" numFmtId="0" xfId="0" applyAlignment="1" applyBorder="1" applyFont="1">
      <alignment vertical="bottom"/>
    </xf>
    <xf borderId="6" fillId="6" fontId="13" numFmtId="0" xfId="0" applyAlignment="1" applyBorder="1" applyFill="1" applyFont="1">
      <alignment horizontal="right" vertical="top"/>
    </xf>
    <xf borderId="6" fillId="6" fontId="14" numFmtId="0" xfId="0" applyAlignment="1" applyBorder="1" applyFont="1">
      <alignment horizontal="right" readingOrder="0" vertical="top"/>
    </xf>
    <xf borderId="7" fillId="7" fontId="13" numFmtId="0" xfId="0" applyAlignment="1" applyBorder="1" applyFill="1" applyFont="1">
      <alignment horizontal="right" vertical="top"/>
    </xf>
    <xf borderId="7" fillId="6" fontId="13" numFmtId="0" xfId="0" applyAlignment="1" applyBorder="1" applyFon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IFERROR(__xludf.DUMMYFUNCTION("""COMPUTED_VALUE"""),"FilterClosing")</f>
        <v>FilterClosing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IFERROR(__xludf.DUMMYFUNCTION("""COMPUTED_VALUE"""),"1Rt9YEiWOkpM_6xJWq_IOac461RMIte3raiLVzVKmMsQ")</f>
        <v>1Rt9YEiWOkpM_6xJWq_IOac461RMIte3raiLVzVKmMsQ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 ")</f>
        <v>FilterClosing 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</row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IFERROR(__xludf.DUMMYFUNCTION("""COMPUTED_VALUE"""),"EnableDisableModule")</f>
        <v>EnableDisableModule</v>
      </c>
      <c r="M4" s="24" t="str">
        <f>IFERROR(__xludf.DUMMYFUNCTION("""COMPUTED_VALUE"""),"IsImportOverrideOnShortLocate")</f>
        <v>IsImportOverrideOnShortLocate</v>
      </c>
      <c r="N4" s="24" t="str">
        <f>IFERROR(__xludf.DUMMYFUNCTION("""COMPUTED_VALUE"""),"SetShortLocateStructures")</f>
        <v>SetShortLocateStructures</v>
      </c>
      <c r="O4" s="24" t="str">
        <f>IFERROR(__xludf.DUMMYFUNCTION("""COMPUTED_VALUE"""),"SetComplianceAlert")</f>
        <v>SetComplianceAlert</v>
      </c>
      <c r="P4" s="25" t="str">
        <f>IFERROR(__xludf.DUMMYFUNCTION("""COMPUTED_VALUE"""),"UpdateExpirationDate")</f>
        <v>UpdateExpirationDate</v>
      </c>
      <c r="Q4" s="25" t="str">
        <f>IFERROR(__xludf.DUMMYFUNCTION("""COMPUTED_VALUE"""),"RenameMasterStrategy")</f>
        <v>RenameMasterStrategy</v>
      </c>
      <c r="R4" s="25" t="str">
        <f>IFERROR(__xludf.DUMMYFUNCTION("""COMPUTED_VALUE"""),"SetTTUIAdminPreferences")</f>
        <v>SetTTUIAdminPreferences</v>
      </c>
      <c r="S4" s="25" t="str">
        <f>IFERROR(__xludf.DUMMYFUNCTION("""COMPUTED_VALUE"""),"UpdateSecFee")</f>
        <v>UpdateSecFee</v>
      </c>
      <c r="T4" s="25" t="str">
        <f>IFERROR(__xludf.DUMMYFUNCTION("""COMPUTED_VALUE"""),"UpdateFee")</f>
        <v>UpdateFee</v>
      </c>
      <c r="U4" s="25" t="str">
        <f>IFERROR(__xludf.DUMMYFUNCTION("""COMPUTED_VALUE"""),"RevertingSMSharesOutValue")</f>
        <v>RevertingSMSharesOutValue</v>
      </c>
      <c r="V4" s="25" t="str">
        <f>IFERROR(__xludf.DUMMYFUNCTION("""COMPUTED_VALUE"""),"SetTTUIAdminPreferences")</f>
        <v>SetTTUIAdminPreferences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IFERROR(__xludf.DUMMYFUNCTION("""COMPUTED_VALUE"""),"UpdateRoundLot")</f>
        <v>UpdateRoundLot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2" t="b">
        <v>1</v>
      </c>
      <c r="E6" s="31"/>
      <c r="F6" s="31"/>
      <c r="G6" s="31"/>
      <c r="H6" s="33">
        <v>2.0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IFERROR(__xludf.DUMMYFUNCTION("""COMPUTED_VALUE"""),"UpdateMultipleDailyCash")</f>
        <v>UpdateMultipleDailyCash</v>
      </c>
      <c r="AI4" s="25" t="str">
        <f>IFERROR(__xludf.DUMMYFUNCTION("""COMPUTED_VALUE"""),"IsDefaultFilterToShowAccountWiseDataOnDailyValuation")</f>
        <v>IsDefaultFilterToShowAccountWiseDataOnDailyValuation</v>
      </c>
      <c r="AJ4" s="25" t="str">
        <f>IFERROR(__xludf.DUMMYFUNCTION("""COMPUTED_VALUE"""),"EnableBlankMarkPrices")</f>
        <v>EnableBlankMarkPrices</v>
      </c>
      <c r="AK4" s="25" t="str">
        <f>IFERROR(__xludf.DUMMYFUNCTION("""COMPUTED_VALUE"""),"EnableBlankMarkPrices")</f>
        <v>EnableBlankMarkPrices</v>
      </c>
      <c r="AL4" s="25" t="str">
        <f>IFERROR(__xludf.DUMMYFUNCTION("""COMPUTED_VALUE"""),"UpateSymbolAndMarkPrice")</f>
        <v>UpateSymbolAndMarkPrice</v>
      </c>
      <c r="AM4" s="25" t="str">
        <f>IFERROR(__xludf.DUMMYFUNCTION("""COMPUTED_VALUE"""),"UpateSymbolBlankMP")</f>
        <v>UpateSymbolBlankMP</v>
      </c>
      <c r="AN4" s="25" t="str">
        <f>IFERROR(__xludf.DUMMYFUNCTION("""COMPUTED_VALUE"""),"UpdateBlankMP")</f>
        <v>UpdateBlankMP</v>
      </c>
      <c r="AO4" s="25" t="str">
        <f>IFERROR(__xludf.DUMMYFUNCTION("""COMPUTED_VALUE"""),"FilterBlankMP")</f>
        <v>FilterBlankMP</v>
      </c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>
        <f t="shared" ref="B6:C6" si="1">today()</f>
        <v>44943</v>
      </c>
      <c r="C6" s="34">
        <f t="shared" si="1"/>
        <v>44943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IFERROR(__xludf.DUMMYFUNCTION("""COMPUTED_VALUE"""),"UpdateMultipleDailyCash")</f>
        <v>UpdateMultipleDailyCash</v>
      </c>
      <c r="AI4" s="25" t="str">
        <f>IFERROR(__xludf.DUMMYFUNCTION("""COMPUTED_VALUE"""),"IsDefaultFilterToShowAccountWiseDataOnDailyValuation")</f>
        <v>IsDefaultFilterToShowAccountWiseDataOnDailyValuation</v>
      </c>
      <c r="AJ4" s="25" t="str">
        <f>IFERROR(__xludf.DUMMYFUNCTION("""COMPUTED_VALUE"""),"EnableBlankMarkPrices")</f>
        <v>EnableBlankMarkPrices</v>
      </c>
      <c r="AK4" s="25" t="str">
        <f>IFERROR(__xludf.DUMMYFUNCTION("""COMPUTED_VALUE"""),"EnableBlankMarkPrices")</f>
        <v>EnableBlankMarkPrices</v>
      </c>
      <c r="AL4" s="25" t="str">
        <f>IFERROR(__xludf.DUMMYFUNCTION("""COMPUTED_VALUE"""),"UpateSymbolAndMarkPrice")</f>
        <v>UpateSymbolAndMarkPrice</v>
      </c>
      <c r="AM4" s="25" t="str">
        <f>IFERROR(__xludf.DUMMYFUNCTION("""COMPUTED_VALUE"""),"UpateSymbolBlankMP")</f>
        <v>UpateSymbolBlankMP</v>
      </c>
      <c r="AN4" s="25" t="str">
        <f>IFERROR(__xludf.DUMMYFUNCTION("""COMPUTED_VALUE"""),"UpdateBlankMP")</f>
        <v>UpdateBlankMP</v>
      </c>
      <c r="AO4" s="25" t="str">
        <f>IFERROR(__xludf.DUMMYFUNCTION("""COMPUTED_VALUE"""),"FilterBlankMP")</f>
        <v>FilterBlankMP</v>
      </c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19</v>
      </c>
      <c r="C6" s="31" t="s">
        <v>20</v>
      </c>
      <c r="D6" s="35">
        <v>100000.0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 t="s">
        <v>21</v>
      </c>
      <c r="C7" s="31" t="s">
        <v>20</v>
      </c>
      <c r="D7" s="33">
        <v>50000.0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 t="str">
        <f>IFERROR(__xludf.DUMMYFUNCTION("""COMPUTED_VALUE"""),"CreateReplaceLiveOrder")</f>
        <v>CreateReplaceLiveOrder</v>
      </c>
      <c r="AE4" s="25" t="str">
        <f>IFERROR(__xludf.DUMMYFUNCTION("""COMPUTED_VALUE"""),"CreateNewSubLiveOrder")</f>
        <v>CreateNewSubLiveOrder</v>
      </c>
      <c r="AF4" s="25" t="str">
        <f>IFERROR(__xludf.DUMMYFUNCTION("""COMPUTED_VALUE"""),"VerifyBasketExport")</f>
        <v>VerifyBasketExport</v>
      </c>
      <c r="AG4" s="25" t="str">
        <f>IFERROR(__xludf.DUMMYFUNCTION("""COMPUTED_VALUE"""),"CreateComplianceOrder")</f>
        <v>CreateComplianceOrder</v>
      </c>
      <c r="AH4" s="25" t="str">
        <f>IFERROR(__xludf.DUMMYFUNCTION("""COMPUTED_VALUE"""),"VerifyComplianceOrder")</f>
        <v>VerifyComplianceOrder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24</v>
      </c>
      <c r="C6" s="31" t="s">
        <v>25</v>
      </c>
      <c r="D6" s="35">
        <v>100000.0</v>
      </c>
      <c r="E6" s="33">
        <v>100000.0</v>
      </c>
      <c r="F6" s="31"/>
      <c r="G6" s="31" t="s">
        <v>26</v>
      </c>
      <c r="H6" s="31"/>
      <c r="I6" s="31"/>
      <c r="J6" s="33">
        <v>1.0</v>
      </c>
      <c r="K6" s="31"/>
      <c r="L6" s="31"/>
      <c r="M6" s="31"/>
      <c r="N6" s="34">
        <f t="shared" ref="N6:N8" si="1">today()</f>
        <v>44943</v>
      </c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 t="s">
        <v>19</v>
      </c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 t="s">
        <v>27</v>
      </c>
      <c r="C7" s="31" t="s">
        <v>25</v>
      </c>
      <c r="D7" s="33">
        <v>50000.0</v>
      </c>
      <c r="E7" s="33">
        <v>50000.0</v>
      </c>
      <c r="F7" s="31"/>
      <c r="G7" s="31" t="s">
        <v>26</v>
      </c>
      <c r="H7" s="31"/>
      <c r="I7" s="31"/>
      <c r="J7" s="33">
        <v>1.0</v>
      </c>
      <c r="K7" s="31"/>
      <c r="L7" s="31"/>
      <c r="M7" s="31"/>
      <c r="N7" s="34">
        <f t="shared" si="1"/>
        <v>44943</v>
      </c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 t="s">
        <v>21</v>
      </c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1" t="s">
        <v>24</v>
      </c>
      <c r="C8" s="31" t="s">
        <v>25</v>
      </c>
      <c r="D8" s="36">
        <v>70000.0</v>
      </c>
      <c r="E8" s="36">
        <v>70000.0</v>
      </c>
      <c r="F8" s="31"/>
      <c r="G8" s="31" t="s">
        <v>26</v>
      </c>
      <c r="H8" s="31"/>
      <c r="I8" s="31"/>
      <c r="J8" s="33">
        <v>1.0</v>
      </c>
      <c r="K8" s="31"/>
      <c r="L8" s="31"/>
      <c r="M8" s="31"/>
      <c r="N8" s="34">
        <f t="shared" si="1"/>
        <v>44943</v>
      </c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 t="s">
        <v>28</v>
      </c>
      <c r="AL8" s="31" t="s">
        <v>29</v>
      </c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IFERROR(__xludf.DUMMYFUNCTION("""COMPUTED_VALUE"""),"AllocateFromBlotter")</f>
        <v>AllocateFromBlotter</v>
      </c>
      <c r="BK4" s="25" t="str">
        <f>IFERROR(__xludf.DUMMYFUNCTION("""COMPUTED_VALUE"""),"ViewPTTAllocationDetails")</f>
        <v>ViewPTTAllocationDetails</v>
      </c>
      <c r="BL4" s="25" t="str">
        <f>IFERROR(__xludf.DUMMYFUNCTION("""COMPUTED_VALUE"""),"MergeOrder")</f>
        <v>MergeOrder</v>
      </c>
      <c r="BM4" s="25" t="str">
        <f>IFERROR(__xludf.DUMMYFUNCTION("""COMPUTED_VALUE"""),"VerifyMergeOrder")</f>
        <v>VerifyMergeOrder</v>
      </c>
      <c r="BN4" s="25" t="str">
        <f>IFERROR(__xludf.DUMMYFUNCTION("""COMPUTED_VALUE"""),"AddTabOnWatchlist")</f>
        <v>AddTabOnWatchlist</v>
      </c>
      <c r="BO4" s="25" t="str">
        <f>IFERROR(__xludf.DUMMYFUNCTION("""COMPUTED_VALUE"""),"AddTab")</f>
        <v>AddTab</v>
      </c>
      <c r="BP4" s="25" t="str">
        <f>IFERROR(__xludf.DUMMYFUNCTION("""COMPUTED_VALUE"""),"AddTabBlotter")</f>
        <v>AddTabBlotter</v>
      </c>
      <c r="BQ4" s="25" t="str">
        <f>IFERROR(__xludf.DUMMYFUNCTION("""COMPUTED_VALUE"""),"VerifyLowerStripBlotterUI")</f>
        <v>VerifyLowerStripBlotterUI</v>
      </c>
      <c r="BR4" s="25" t="str">
        <f>IFERROR(__xludf.DUMMYFUNCTION("""COMPUTED_VALUE"""),"SaveOrRemoveInSummaryTab")</f>
        <v>SaveOrRemoveInSummaryTab</v>
      </c>
      <c r="BS4" s="25" t="str">
        <f>IFERROR(__xludf.DUMMYFUNCTION("""COMPUTED_VALUE"""),"SaveOrRemoveInWorkingSubsTab")</f>
        <v>SaveOrRemoveInWorkingSubsTab</v>
      </c>
      <c r="BT4" s="25" t="str">
        <f>IFERROR(__xludf.DUMMYFUNCTION("""COMPUTED_VALUE"""),"SelectCheckBoxOnOrderGrid")</f>
        <v>SelectCheckBoxOnOrderGrid</v>
      </c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7"/>
      <c r="AI6" s="38" t="s">
        <v>24</v>
      </c>
      <c r="AJ6" s="38" t="s">
        <v>25</v>
      </c>
      <c r="AK6" s="38" t="s">
        <v>32</v>
      </c>
      <c r="AL6" s="39">
        <v>70000.0</v>
      </c>
      <c r="AM6" s="31"/>
      <c r="AN6" s="31"/>
      <c r="AO6" s="31"/>
      <c r="AP6" s="31"/>
      <c r="AQ6" s="31"/>
      <c r="AR6" s="37"/>
      <c r="AS6" s="38" t="s">
        <v>26</v>
      </c>
      <c r="AT6" s="38" t="s">
        <v>33</v>
      </c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7"/>
      <c r="AI7" s="40" t="s">
        <v>27</v>
      </c>
      <c r="AJ7" s="40" t="s">
        <v>25</v>
      </c>
      <c r="AK7" s="40" t="s">
        <v>32</v>
      </c>
      <c r="AL7" s="40">
        <v>50000.0</v>
      </c>
      <c r="AM7" s="31"/>
      <c r="AN7" s="31"/>
      <c r="AO7" s="31"/>
      <c r="AP7" s="31"/>
      <c r="AQ7" s="31"/>
      <c r="AR7" s="37"/>
      <c r="AS7" s="40" t="s">
        <v>26</v>
      </c>
      <c r="AT7" s="40" t="s">
        <v>19</v>
      </c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7"/>
      <c r="AI8" s="41" t="s">
        <v>24</v>
      </c>
      <c r="AJ8" s="41" t="s">
        <v>25</v>
      </c>
      <c r="AK8" s="41" t="s">
        <v>32</v>
      </c>
      <c r="AL8" s="41">
        <v>100000.0</v>
      </c>
      <c r="AM8" s="31"/>
      <c r="AN8" s="31"/>
      <c r="AO8" s="31"/>
      <c r="AP8" s="31"/>
      <c r="AQ8" s="31"/>
      <c r="AR8" s="37"/>
      <c r="AS8" s="41" t="s">
        <v>26</v>
      </c>
      <c r="AT8" s="41" t="s">
        <v>19</v>
      </c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