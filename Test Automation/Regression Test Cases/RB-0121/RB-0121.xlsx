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RebalancePreference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</sheets>
  <definedNames/>
  <calcPr/>
</workbook>
</file>

<file path=xl/sharedStrings.xml><?xml version="1.0" encoding="utf-8"?>
<sst xmlns="http://schemas.openxmlformats.org/spreadsheetml/2006/main" count="113" uniqueCount="46">
  <si>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</si>
  <si>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</si>
  <si>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</si>
  <si>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</si>
  <si>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</si>
  <si>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</si>
  <si>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</si>
  <si>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</si>
  <si>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</si>
  <si>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</si>
  <si>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</si>
  <si>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</si>
  <si>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</si>
  <si>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</si>
  <si>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</si>
  <si>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</si>
  <si>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</si>
  <si>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</si>
  <si>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 xml:space="preserve">Allocation1 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</si>
  <si>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</si>
  <si>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</si>
  <si>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</si>
  <si>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</si>
  <si>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</si>
  <si>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</si>
  <si>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</si>
  <si>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RebalancePreference</t>
  </si>
  <si>
    <t>Allocation1,Other Assets Market Value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</si>
  <si>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</si>
  <si>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</si>
  <si>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</si>
  <si>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</si>
  <si>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</si>
  <si>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</si>
  <si>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</si>
  <si>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</si>
  <si>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Nearest Round Off</t>
  </si>
  <si>
    <t>VerifyGridData</t>
  </si>
  <si>
    <t>Equity</t>
  </si>
  <si>
    <t>Long</t>
  </si>
  <si>
    <t>Small Cap</t>
  </si>
  <si>
    <t>Accruals</t>
  </si>
  <si>
    <t>Cash</t>
  </si>
  <si>
    <t>Short</t>
  </si>
  <si>
    <t>Other Assets Market Value</t>
  </si>
  <si>
    <t>Swap NAV adjustment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</si>
</sst>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13">
        <v>10.0</v>
      </c>
      <c r="K6" s="8"/>
      <c r="L6" s="8"/>
      <c r="M6" s="8"/>
      <c r="N6" s="31">
        <f>today()</f>
        <v>44923</v>
      </c>
      <c r="O6" s="8"/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15.0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 t="shared" ref="B6:C6" si="1">today()</f>
        <v>44923</v>
      </c>
      <c r="C6" s="31">
        <f t="shared" si="1"/>
        <v>44923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IFERROR(__xludf.DUMMYFUNCTION("""COMPUTED_VALUE"""),"RoundLotPreference")</f>
        <v>RoundLotPreference</v>
      </c>
      <c r="C5" s="28" t="str">
        <f>IFERROR(__xludf.DUMMYFUNCTION("""COMPUTED_VALUE"""),"ReinvestCash")</f>
        <v>ReinvestCash</v>
      </c>
      <c r="D5" s="28" t="str">
        <f>IFERROR(__xludf.DUMMYFUNCTION("""COMPUTED_VALUE"""),"Sell to Raise Cash")</f>
        <v>Sell to Raise Cash</v>
      </c>
      <c r="E5" s="28" t="str">
        <f>IFERROR(__xludf.DUMMYFUNCTION("""COMPUTED_VALUE"""),"No Shorting")</f>
        <v>No Shorting</v>
      </c>
      <c r="F5" s="29" t="str">
        <f>IFERROR(__xludf.DUMMYFUNCTION("""COMPUTED_VALUE"""),"Allow Negative Cash")</f>
        <v>Allow Negative Cash</v>
      </c>
      <c r="G5" s="28" t="str">
        <f>IFERROR(__xludf.DUMMYFUNCTION("""COMPUTED_VALUE"""),"Rebalance Across Securities")</f>
        <v>Rebalance Across Securities</v>
      </c>
      <c r="H5" s="28" t="str">
        <f>IFERROR(__xludf.DUMMYFUNCTION("""COMPUTED_VALUE"""),"Other Items Impacting NAV")</f>
        <v>Other Items Impacting NAV</v>
      </c>
      <c r="I5" s="28" t="str">
        <f>IFERROR(__xludf.DUMMYFUNCTION("""COMPUTED_VALUE"""),"NAV Calculation Preference")</f>
        <v>NAV Calculation Preference</v>
      </c>
      <c r="J5" s="28" t="str">
        <f>IFERROR(__xludf.DUMMYFUNCTION("""COMPUTED_VALUE"""),"Account/Groups Visibility")</f>
        <v>Account/Groups Visibility</v>
      </c>
      <c r="K5" s="28" t="str">
        <f>IFERROR(__xludf.DUMMYFUNCTION("""COMPUTED_VALUE"""),"Always Ask for Saving Orders")</f>
        <v>Always Ask for Saving Orders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13"/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23</v>
      </c>
      <c r="C6" s="36" t="s">
        <v>29</v>
      </c>
      <c r="D6" s="35" t="s">
        <v>30</v>
      </c>
      <c r="E6" s="36" t="s">
        <v>31</v>
      </c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v>10000.0</v>
      </c>
      <c r="C6" s="40" t="s">
        <v>33</v>
      </c>
      <c r="D6" s="41" t="s">
        <v>34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36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 t="str">
        <f>IFERROR(__xludf.DUMMYFUNCTION("""COMPUTED_VALUE"""),"ImportModelPortfolio")</f>
        <v>ImportModelPortfolio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3" t="s">
        <v>23</v>
      </c>
      <c r="D6" s="43" t="s">
        <v>16</v>
      </c>
      <c r="E6" s="43" t="s">
        <v>38</v>
      </c>
      <c r="F6" s="43" t="s">
        <v>39</v>
      </c>
      <c r="G6" s="44">
        <v>15.0</v>
      </c>
      <c r="H6" s="44">
        <v>15.0</v>
      </c>
      <c r="I6" s="44">
        <v>1.0</v>
      </c>
      <c r="K6" s="44">
        <v>1000.0</v>
      </c>
      <c r="L6" s="44">
        <v>15000.0</v>
      </c>
      <c r="M6" s="44">
        <v>15000.0</v>
      </c>
      <c r="N6" s="44"/>
      <c r="O6" s="44">
        <v>3000.0</v>
      </c>
      <c r="P6" s="44">
        <v>45000.0</v>
      </c>
      <c r="Q6" s="45">
        <v>45000.0</v>
      </c>
      <c r="R6" s="44">
        <v>2000.0</v>
      </c>
      <c r="S6" s="45">
        <v>30000.0</v>
      </c>
      <c r="T6" s="43" t="s">
        <v>40</v>
      </c>
    </row>
    <row r="7" ht="15.75" customHeight="1">
      <c r="A7" s="8"/>
      <c r="B7" s="8"/>
      <c r="C7" s="43" t="s">
        <v>23</v>
      </c>
      <c r="D7" s="43" t="s">
        <v>41</v>
      </c>
      <c r="E7" s="43" t="s">
        <v>41</v>
      </c>
      <c r="F7" s="43" t="s">
        <v>39</v>
      </c>
      <c r="G7" s="44">
        <v>1.0</v>
      </c>
      <c r="H7" s="44">
        <v>1.0</v>
      </c>
      <c r="I7" s="44">
        <v>1.0</v>
      </c>
      <c r="K7" s="44">
        <v>0.0</v>
      </c>
      <c r="L7" s="44">
        <v>0.0</v>
      </c>
      <c r="M7" s="44">
        <v>0.0</v>
      </c>
      <c r="N7" s="44"/>
      <c r="O7" s="44">
        <v>0.0</v>
      </c>
      <c r="P7" s="44">
        <v>0.0</v>
      </c>
      <c r="Q7" s="44">
        <v>0.0</v>
      </c>
      <c r="R7" s="44">
        <v>0.0</v>
      </c>
      <c r="S7" s="44">
        <v>0.0</v>
      </c>
      <c r="T7" s="43" t="s">
        <v>41</v>
      </c>
    </row>
    <row r="8" ht="15.75" customHeight="1">
      <c r="A8" s="8"/>
      <c r="B8" s="8"/>
      <c r="C8" s="43" t="s">
        <v>23</v>
      </c>
      <c r="D8" s="43" t="s">
        <v>42</v>
      </c>
      <c r="E8" s="43" t="s">
        <v>42</v>
      </c>
      <c r="F8" s="43" t="s">
        <v>43</v>
      </c>
      <c r="G8" s="44">
        <v>1.0</v>
      </c>
      <c r="H8" s="44">
        <v>1.0</v>
      </c>
      <c r="I8" s="44">
        <v>1.0</v>
      </c>
      <c r="K8" s="44">
        <v>10000.0</v>
      </c>
      <c r="L8" s="44">
        <v>-10000.0</v>
      </c>
      <c r="M8" s="44">
        <v>-10000.0</v>
      </c>
      <c r="N8" s="44"/>
      <c r="O8" s="44">
        <v>30000.0</v>
      </c>
      <c r="P8" s="44">
        <v>-30000.0</v>
      </c>
      <c r="Q8" s="45">
        <v>-30000.0</v>
      </c>
      <c r="R8" s="44">
        <v>20000.0</v>
      </c>
      <c r="S8" s="45">
        <v>-20000.0</v>
      </c>
      <c r="T8" s="43" t="s">
        <v>42</v>
      </c>
    </row>
    <row r="9" ht="15.75" customHeight="1">
      <c r="A9" s="8"/>
      <c r="B9" s="8"/>
      <c r="C9" s="43" t="s">
        <v>23</v>
      </c>
      <c r="D9" s="43" t="s">
        <v>44</v>
      </c>
      <c r="E9" s="43" t="s">
        <v>44</v>
      </c>
      <c r="F9" s="43" t="s">
        <v>39</v>
      </c>
      <c r="G9" s="44">
        <v>1.0</v>
      </c>
      <c r="H9" s="44">
        <v>1.0</v>
      </c>
      <c r="I9" s="44">
        <v>1.0</v>
      </c>
      <c r="K9" s="44">
        <v>0.0</v>
      </c>
      <c r="L9" s="44">
        <v>0.0</v>
      </c>
      <c r="M9" s="44">
        <v>0.0</v>
      </c>
      <c r="N9" s="44"/>
      <c r="O9" s="44">
        <v>0.0</v>
      </c>
      <c r="P9" s="44">
        <v>0.0</v>
      </c>
      <c r="Q9" s="44">
        <v>0.0</v>
      </c>
      <c r="R9" s="44">
        <v>0.0</v>
      </c>
      <c r="S9" s="44">
        <v>0.0</v>
      </c>
      <c r="T9" s="43" t="s">
        <v>44</v>
      </c>
    </row>
    <row r="10" ht="15.75" customHeight="1">
      <c r="A10" s="8"/>
      <c r="B10" s="8"/>
      <c r="C10" s="43" t="s">
        <v>23</v>
      </c>
      <c r="D10" s="43" t="s">
        <v>45</v>
      </c>
      <c r="E10" s="43" t="s">
        <v>45</v>
      </c>
      <c r="F10" s="43" t="s">
        <v>39</v>
      </c>
      <c r="G10" s="44">
        <v>1.0</v>
      </c>
      <c r="H10" s="44">
        <v>1.0</v>
      </c>
      <c r="I10" s="13">
        <v>1.0</v>
      </c>
      <c r="J10" s="8"/>
      <c r="K10" s="44">
        <v>0.0</v>
      </c>
      <c r="L10" s="44">
        <v>0.0</v>
      </c>
      <c r="M10" s="44">
        <v>0.0</v>
      </c>
      <c r="N10" s="8"/>
      <c r="O10" s="44">
        <v>0.0</v>
      </c>
      <c r="P10" s="44">
        <v>0.0</v>
      </c>
      <c r="Q10" s="44">
        <v>0.0</v>
      </c>
      <c r="R10" s="44">
        <v>0.0</v>
      </c>
      <c r="S10" s="44">
        <v>0.0</v>
      </c>
      <c r="T10" s="43" t="s">
        <v>45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