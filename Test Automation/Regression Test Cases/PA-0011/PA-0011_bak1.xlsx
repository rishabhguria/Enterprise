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efaultRule" sheetId="7" r:id="rId9"/>
    <sheet state="visible" name="SetMFPrefAccountValues" sheetId="8" r:id="rId10"/>
    <sheet state="visible" name="SetMFPrefGeneralRule" sheetId="9" r:id="rId11"/>
    <sheet state="visible" name="UpdateGRAccountValue" sheetId="10" r:id="rId12"/>
    <sheet state="visible" name="SetMFPrefGeneralRule1" sheetId="11" r:id="rId13"/>
    <sheet state="visible" name="UpdateGRDefaultRule1" sheetId="12" r:id="rId14"/>
    <sheet state="visible" name="SetMFPrefAccountValues1" sheetId="13" r:id="rId15"/>
    <sheet state="visible" name="SetMFPrefFundDefaultRule1" sheetId="14" r:id="rId16"/>
    <sheet state="visible" name="SetMFPrefGeneralRule2" sheetId="15" r:id="rId17"/>
    <sheet state="visible" name="UpdateGRAccountValue1" sheetId="16" r:id="rId18"/>
    <sheet state="visible" name="SetMFPrefGeneralRule3" sheetId="17" r:id="rId19"/>
    <sheet state="visible" name="GetDailyCash" sheetId="18" r:id="rId20"/>
    <sheet state="visible" name="UpdateDailyCash" sheetId="19" r:id="rId21"/>
    <sheet state="visible" name="CreateDoneAwayOrder" sheetId="20" r:id="rId22"/>
    <sheet state="visible" name="GetDataAllocation" sheetId="21" r:id="rId23"/>
    <sheet state="visible" name="GetDataClosing" sheetId="22" r:id="rId24"/>
    <sheet state="visible" name="CheckAllocatedGroups" sheetId="23" r:id="rId25"/>
    <sheet state="visible" name="VerifyLongPositionsGrid" sheetId="24" r:id="rId26"/>
    <sheet state="visible" name="CheckPortfolioManagement" sheetId="25" r:id="rId27"/>
    <sheet state="visible" name="GetActivityData" sheetId="26" r:id="rId28"/>
    <sheet state="visible" name="VerifyActivity" sheetId="27" r:id="rId29"/>
    <sheet state="visible" name="UpdateGRDefaultRule2" sheetId="28" r:id="rId30"/>
    <sheet state="visible" name="UpdateGRDefaultRule3" sheetId="29" r:id="rId31"/>
    <sheet state="visible" name="UpdateGRDefaultRule" sheetId="30" r:id="rId32"/>
    <sheet state="visible" name="CheckUnallocatedGroups" sheetId="31" r:id="rId33"/>
    <sheet state="visible" name="Copy of Data" sheetId="32" r:id="rId34"/>
    <sheet state="visible" name="Copy of Data 1" sheetId="33" r:id="rId35"/>
    <sheet state="visible" name="Copy of Data 2" sheetId="34" r:id="rId36"/>
    <sheet state="visible" name="Copy of Data 3" sheetId="35" r:id="rId37"/>
  </sheets>
  <definedNames/>
  <calcPr/>
</workbook>
</file>

<file path=xl/sharedStrings.xml><?xml version="1.0" encoding="utf-8"?>
<sst xmlns="http://schemas.openxmlformats.org/spreadsheetml/2006/main" count="475" uniqueCount="88">
  <si>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</si>
  <si>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</si>
  <si>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</si>
  <si>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</si>
  <si>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</si>
  <si>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</si>
  <si>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</si>
  <si>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</si>
  <si>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</si>
  <si>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</si>
  <si>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</si>
  <si>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</si>
  <si>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</si>
  <si>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</si>
  <si>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</si>
  <si>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</si>
  <si>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</si>
  <si>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SetMFPreferencesDefaultRule</t>
  </si>
  <si>
    <t>Prorata</t>
  </si>
  <si>
    <t>NewMF,NewMF1</t>
  </si>
  <si>
    <t>SetMFPrefFundDefaultRule</t>
  </si>
  <si>
    <t>NewMF</t>
  </si>
  <si>
    <t>Trade Quantity</t>
  </si>
  <si>
    <t>Current Preference</t>
  </si>
  <si>
    <t>SetMFPrefAccountValues</t>
  </si>
  <si>
    <t>Allocation3</t>
  </si>
  <si>
    <t>SetMFPrefGeneralRule</t>
  </si>
  <si>
    <t>Include</t>
  </si>
  <si>
    <t>Equity</t>
  </si>
  <si>
    <t xml:space="preserve">Include </t>
  </si>
  <si>
    <t>Buy,Sell</t>
  </si>
  <si>
    <t>UpdateGRAccountValue</t>
  </si>
  <si>
    <t xml:space="preserve">Allocation1 </t>
  </si>
  <si>
    <t>Exclude</t>
  </si>
  <si>
    <t>UpdateGRDefaultRule</t>
  </si>
  <si>
    <t>Pro-rata (NAV)</t>
  </si>
  <si>
    <t>Allocation1,Allocation3</t>
  </si>
  <si>
    <t>NewMF1</t>
  </si>
  <si>
    <t>Allocation2</t>
  </si>
  <si>
    <t>OFFSHORE</t>
  </si>
  <si>
    <t>Account Inception</t>
  </si>
  <si>
    <t>Future</t>
  </si>
  <si>
    <t>FutureOption</t>
  </si>
  <si>
    <t>DailyValuation</t>
  </si>
  <si>
    <t>GetDailyCash</t>
  </si>
  <si>
    <t>UpdateDailyCash</t>
  </si>
  <si>
    <t>USD</t>
  </si>
  <si>
    <t>Allocation1</t>
  </si>
  <si>
    <t>TradingTicket</t>
  </si>
  <si>
    <t>CreateDoneAwayOrder</t>
  </si>
  <si>
    <t>CL J9</t>
  </si>
  <si>
    <t>Buy to Open</t>
  </si>
  <si>
    <t>MSFT</t>
  </si>
  <si>
    <t>Buy</t>
  </si>
  <si>
    <t>OFFSHORE,Allocation2,Allocation1,Allocation3</t>
  </si>
  <si>
    <t>40,30,20,10</t>
  </si>
  <si>
    <t>Sell short</t>
  </si>
  <si>
    <t>Sell</t>
  </si>
  <si>
    <t>ES Z6P2200</t>
  </si>
  <si>
    <t>Sell to Close</t>
  </si>
  <si>
    <t>Allocation1,Allocation2</t>
  </si>
  <si>
    <t>55.5,44.5</t>
  </si>
  <si>
    <t>O:ABM 10D20.00</t>
  </si>
  <si>
    <t>GetDataAllocation</t>
  </si>
  <si>
    <t>Current</t>
  </si>
  <si>
    <t>Closing</t>
  </si>
  <si>
    <t>GetDataClosing</t>
  </si>
  <si>
    <t>CheckAllocatedGroups</t>
  </si>
  <si>
    <t>Manual</t>
  </si>
  <si>
    <t>Multiple</t>
  </si>
  <si>
    <t>VerifyLongPositionsGrid</t>
  </si>
  <si>
    <t>PortfolioManagement</t>
  </si>
  <si>
    <t>CheckPortfolioManagement</t>
  </si>
  <si>
    <t>GeneralLedger</t>
  </si>
  <si>
    <t>GetActivityData</t>
  </si>
  <si>
    <t>SelectAll</t>
  </si>
  <si>
    <t>Allocation1,Allocation2,Allocation3,OFFSHORE,LP C/O,rt</t>
  </si>
  <si>
    <t>No</t>
  </si>
  <si>
    <t>Yes</t>
  </si>
  <si>
    <t>VerifyActivity</t>
  </si>
  <si>
    <t>FutureL</t>
  </si>
  <si>
    <t>EquityL</t>
  </si>
  <si>
    <t>Fair Pricing</t>
  </si>
  <si>
    <t>Leveling</t>
  </si>
  <si>
    <t>Allocation2,OFFSHORE</t>
  </si>
  <si>
    <t>CheckUnallocatedGroups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</si>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</sst>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  <border>
      <right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6" fillId="0" fontId="3" numFmtId="0" xfId="0" applyAlignment="1" applyBorder="1" applyFont="1">
      <alignment readingOrder="0" shrinkToFit="0" vertical="bottom" wrapText="0"/>
    </xf>
    <xf borderId="6" fillId="6" fontId="1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5" fillId="6" fontId="1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6" fontId="1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5" numFmtId="0" xfId="0" applyAlignment="1" applyBorder="1" applyFont="1">
      <alignment horizontal="right" readingOrder="0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7" fillId="6" fontId="13" numFmtId="0" xfId="0" applyAlignment="1" applyBorder="1" applyFont="1">
      <alignment readingOrder="0" shrinkToFit="0" vertical="bottom" wrapText="0"/>
    </xf>
    <xf borderId="0" fillId="6" fontId="1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3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3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5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58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5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5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5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/>
      <c r="D6" s="33"/>
      <c r="E6" s="32"/>
      <c r="F6" s="32"/>
      <c r="G6" s="32"/>
      <c r="H6" s="32"/>
      <c r="I6" s="32"/>
      <c r="J6" s="32"/>
      <c r="K6" s="31" t="b">
        <v>0</v>
      </c>
      <c r="L6" s="32"/>
      <c r="M6" s="32"/>
      <c r="N6" s="32"/>
      <c r="O6" s="32"/>
      <c r="P6" s="32"/>
      <c r="Q6" s="32"/>
      <c r="R6" s="32"/>
      <c r="S6" s="32"/>
      <c r="T6" s="34"/>
      <c r="U6" s="34"/>
      <c r="V6" s="35" t="b">
        <v>1</v>
      </c>
      <c r="W6" s="35" t="b">
        <v>0</v>
      </c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4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tr">
        <f>"PA11-"&amp;text(TODAY(),"dd-mm-yy")</f>
        <v>PA11-19-10-21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/>
      <c r="C6" s="38" t="s">
        <v>18</v>
      </c>
      <c r="D6" s="31" t="s">
        <v>19</v>
      </c>
      <c r="E6" s="32"/>
      <c r="F6" s="39" t="str">
        <f>"PA11-"&amp;text(TODAY(),"dd-mm-yy")</f>
        <v>PA11-19-10-21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tr">
        <f>"PA11-"&amp;text(TODAY(),"dd-mm-yy")</f>
        <v>PA11-19-10-21</v>
      </c>
      <c r="C6" s="32" t="s">
        <v>21</v>
      </c>
      <c r="D6" s="31" t="s">
        <v>22</v>
      </c>
      <c r="E6" s="32"/>
      <c r="F6" s="31" t="s">
        <v>23</v>
      </c>
      <c r="G6" s="40"/>
      <c r="H6" s="32"/>
      <c r="I6" s="41" t="b">
        <v>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 t="str">
        <f>"PA11-"&amp;text(TODAY(),"dd-mm-yy")</f>
        <v>PA11-19-10-21</v>
      </c>
      <c r="C6" s="11" t="s">
        <v>21</v>
      </c>
      <c r="D6" s="11" t="s">
        <v>25</v>
      </c>
      <c r="E6" s="11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/>
      <c r="C7" s="1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IFERROR(__xludf.DUMMYFUNCTION("""COMPUTED_VALUE"""),"Exchange Selector")</f>
        <v>Exchange Selector</v>
      </c>
      <c r="E5" s="27" t="str">
        <f>IFERROR(__xludf.DUMMYFUNCTION("""COMPUTED_VALUE"""),"Exchange List")</f>
        <v>Exchange List</v>
      </c>
      <c r="F5" s="28" t="str">
        <f>IFERROR(__xludf.DUMMYFUNCTION("""COMPUTED_VALUE"""),"Asset Selector")</f>
        <v>Asset Selector</v>
      </c>
      <c r="G5" s="27" t="str">
        <f>IFERROR(__xludf.DUMMYFUNCTION("""COMPUTED_VALUE"""),"Asset List")</f>
        <v>Asset List</v>
      </c>
      <c r="H5" s="27" t="str">
        <f>IFERROR(__xludf.DUMMYFUNCTION("""COMPUTED_VALUE"""),"PR Selector")</f>
        <v>PR Selector</v>
      </c>
      <c r="I5" s="27" t="str">
        <f>IFERROR(__xludf.DUMMYFUNCTION("""COMPUTED_VALUE"""),"PR List")</f>
        <v>PR List</v>
      </c>
      <c r="J5" s="27" t="str">
        <f>IFERROR(__xludf.DUMMYFUNCTION("""COMPUTED_VALUE"""),"Order Side Selector")</f>
        <v>Order Side Selector</v>
      </c>
      <c r="K5" s="27" t="str">
        <f>IFERROR(__xludf.DUMMYFUNCTION("""COMPUTED_VALUE"""),"Order Side List")</f>
        <v>Order Side List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tr">
        <f>"PA11-"&amp;text(TODAY(),"dd-mm-yy")</f>
        <v>PA11-19-10-21</v>
      </c>
      <c r="C6" s="32" t="s">
        <v>21</v>
      </c>
      <c r="D6" s="33"/>
      <c r="E6" s="32"/>
      <c r="F6" s="32" t="s">
        <v>27</v>
      </c>
      <c r="G6" s="32" t="s">
        <v>28</v>
      </c>
      <c r="H6" s="32"/>
      <c r="I6" s="32"/>
      <c r="J6" s="32" t="s">
        <v>29</v>
      </c>
      <c r="K6" s="32" t="s">
        <v>30</v>
      </c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tr">
        <f t="shared" ref="B6:B7" si="1">"PA11-"&amp;text(TODAY(),"dd-mm-yy")</f>
        <v>PA11-19-10-21</v>
      </c>
      <c r="C6" s="32" t="s">
        <v>32</v>
      </c>
      <c r="D6" s="43">
        <v>50.0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4"/>
      <c r="B7" s="42" t="str">
        <f t="shared" si="1"/>
        <v>PA11-19-10-21</v>
      </c>
      <c r="C7" s="34" t="s">
        <v>25</v>
      </c>
      <c r="D7" s="44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IFERROR(__xludf.DUMMYFUNCTION("""COMPUTED_VALUE"""),"Exchange Selector")</f>
        <v>Exchange Selector</v>
      </c>
      <c r="E5" s="27" t="str">
        <f>IFERROR(__xludf.DUMMYFUNCTION("""COMPUTED_VALUE"""),"Exchange List")</f>
        <v>Exchange List</v>
      </c>
      <c r="F5" s="28" t="str">
        <f>IFERROR(__xludf.DUMMYFUNCTION("""COMPUTED_VALUE"""),"Asset Selector")</f>
        <v>Asset Selector</v>
      </c>
      <c r="G5" s="27" t="str">
        <f>IFERROR(__xludf.DUMMYFUNCTION("""COMPUTED_VALUE"""),"Asset List")</f>
        <v>Asset List</v>
      </c>
      <c r="H5" s="27" t="str">
        <f>IFERROR(__xludf.DUMMYFUNCTION("""COMPUTED_VALUE"""),"PR Selector")</f>
        <v>PR Selector</v>
      </c>
      <c r="I5" s="27" t="str">
        <f>IFERROR(__xludf.DUMMYFUNCTION("""COMPUTED_VALUE"""),"PR List")</f>
        <v>PR List</v>
      </c>
      <c r="J5" s="27" t="str">
        <f>IFERROR(__xludf.DUMMYFUNCTION("""COMPUTED_VALUE"""),"Order Side Selector")</f>
        <v>Order Side Selector</v>
      </c>
      <c r="K5" s="27" t="str">
        <f>IFERROR(__xludf.DUMMYFUNCTION("""COMPUTED_VALUE"""),"Order Side List")</f>
        <v>Order Side List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tr">
        <f>"PA11-"&amp;text(TODAY(),"dd-mm-yy")</f>
        <v>PA11-19-10-21</v>
      </c>
      <c r="C6" s="32" t="s">
        <v>21</v>
      </c>
      <c r="D6" s="33"/>
      <c r="E6" s="32"/>
      <c r="F6" s="32" t="s">
        <v>27</v>
      </c>
      <c r="G6" s="32" t="s">
        <v>28</v>
      </c>
      <c r="H6" s="32"/>
      <c r="I6" s="32"/>
      <c r="J6" s="32" t="s">
        <v>33</v>
      </c>
      <c r="K6" s="32" t="s">
        <v>30</v>
      </c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/>
      <c r="C6" s="32"/>
      <c r="D6" s="33" t="s">
        <v>35</v>
      </c>
      <c r="E6" s="32" t="s">
        <v>36</v>
      </c>
      <c r="F6" s="32"/>
      <c r="G6" s="32"/>
      <c r="H6" s="39" t="str">
        <f>"PA11-"&amp;text(TODAY(),"dd-mm-yy")</f>
        <v>PA11-19-10-21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tr">
        <f t="shared" ref="B6:B7" si="1">"PA11-"&amp;text(TODAY(),"dd-mm-yy")</f>
        <v>PA11-19-10-21</v>
      </c>
      <c r="C6" s="32" t="s">
        <v>37</v>
      </c>
      <c r="D6" s="33" t="s">
        <v>38</v>
      </c>
      <c r="E6" s="45">
        <v>55.5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4"/>
      <c r="B7" s="46" t="str">
        <f t="shared" si="1"/>
        <v>PA11-19-10-21</v>
      </c>
      <c r="C7" s="34" t="s">
        <v>37</v>
      </c>
      <c r="D7" s="34" t="s">
        <v>39</v>
      </c>
      <c r="E7" s="44">
        <v>44.5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4"/>
      <c r="B8" s="34"/>
      <c r="C8" s="34"/>
      <c r="D8" s="34"/>
      <c r="E8" s="34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tr">
        <f>"PA11-"&amp;text(TODAY(),"dd-mm-yy")</f>
        <v>PA11-19-10-21</v>
      </c>
      <c r="C6" s="32" t="s">
        <v>37</v>
      </c>
      <c r="D6" s="31" t="s">
        <v>22</v>
      </c>
      <c r="E6" s="32"/>
      <c r="F6" s="38" t="s">
        <v>40</v>
      </c>
      <c r="G6" s="32"/>
      <c r="H6" s="32"/>
      <c r="I6" s="31" t="b">
        <v>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IFERROR(__xludf.DUMMYFUNCTION("""COMPUTED_VALUE"""),"Exchange Selector")</f>
        <v>Exchange Selector</v>
      </c>
      <c r="E5" s="27" t="str">
        <f>IFERROR(__xludf.DUMMYFUNCTION("""COMPUTED_VALUE"""),"Exchange List")</f>
        <v>Exchange List</v>
      </c>
      <c r="F5" s="28" t="str">
        <f>IFERROR(__xludf.DUMMYFUNCTION("""COMPUTED_VALUE"""),"Asset Selector")</f>
        <v>Asset Selector</v>
      </c>
      <c r="G5" s="27" t="str">
        <f>IFERROR(__xludf.DUMMYFUNCTION("""COMPUTED_VALUE"""),"Asset List")</f>
        <v>Asset List</v>
      </c>
      <c r="H5" s="27" t="str">
        <f>IFERROR(__xludf.DUMMYFUNCTION("""COMPUTED_VALUE"""),"PR Selector")</f>
        <v>PR Selector</v>
      </c>
      <c r="I5" s="27" t="str">
        <f>IFERROR(__xludf.DUMMYFUNCTION("""COMPUTED_VALUE"""),"PR List")</f>
        <v>PR List</v>
      </c>
      <c r="J5" s="27" t="str">
        <f>IFERROR(__xludf.DUMMYFUNCTION("""COMPUTED_VALUE"""),"Order Side Selector")</f>
        <v>Order Side Selector</v>
      </c>
      <c r="K5" s="27" t="str">
        <f>IFERROR(__xludf.DUMMYFUNCTION("""COMPUTED_VALUE"""),"Order Side List")</f>
        <v>Order Side List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tr">
        <f>"PA11-"&amp;text(TODAY(),"dd-mm-yy")</f>
        <v>PA11-19-10-21</v>
      </c>
      <c r="C6" s="32" t="s">
        <v>37</v>
      </c>
      <c r="D6" s="33"/>
      <c r="E6" s="32"/>
      <c r="F6" s="32" t="s">
        <v>27</v>
      </c>
      <c r="G6" s="32" t="s">
        <v>41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tr">
        <f t="shared" ref="B6:B7" si="1">"PA11-"&amp;text(TODAY(),"dd-mm-yy")</f>
        <v>PA11-19-10-21</v>
      </c>
      <c r="C6" s="32" t="s">
        <v>38</v>
      </c>
      <c r="D6" s="43">
        <v>70.0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4"/>
      <c r="B7" s="46" t="str">
        <f t="shared" si="1"/>
        <v>PA11-19-10-21</v>
      </c>
      <c r="C7" s="34" t="s">
        <v>39</v>
      </c>
      <c r="D7" s="44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4"/>
      <c r="B8" s="34"/>
      <c r="C8" s="34"/>
      <c r="D8" s="34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IFERROR(__xludf.DUMMYFUNCTION("""COMPUTED_VALUE"""),"Exchange Selector")</f>
        <v>Exchange Selector</v>
      </c>
      <c r="E5" s="27" t="str">
        <f>IFERROR(__xludf.DUMMYFUNCTION("""COMPUTED_VALUE"""),"Exchange List")</f>
        <v>Exchange List</v>
      </c>
      <c r="F5" s="28" t="str">
        <f>IFERROR(__xludf.DUMMYFUNCTION("""COMPUTED_VALUE"""),"Asset Selector")</f>
        <v>Asset Selector</v>
      </c>
      <c r="G5" s="27" t="str">
        <f>IFERROR(__xludf.DUMMYFUNCTION("""COMPUTED_VALUE"""),"Asset List")</f>
        <v>Asset List</v>
      </c>
      <c r="H5" s="27" t="str">
        <f>IFERROR(__xludf.DUMMYFUNCTION("""COMPUTED_VALUE"""),"PR Selector")</f>
        <v>PR Selector</v>
      </c>
      <c r="I5" s="27" t="str">
        <f>IFERROR(__xludf.DUMMYFUNCTION("""COMPUTED_VALUE"""),"PR List")</f>
        <v>PR List</v>
      </c>
      <c r="J5" s="27" t="str">
        <f>IFERROR(__xludf.DUMMYFUNCTION("""COMPUTED_VALUE"""),"Order Side Selector")</f>
        <v>Order Side Selector</v>
      </c>
      <c r="K5" s="27" t="str">
        <f>IFERROR(__xludf.DUMMYFUNCTION("""COMPUTED_VALUE"""),"Order Side List")</f>
        <v>Order Side List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tr">
        <f>"PA11-"&amp;text(TODAY(),"dd-mm-yy")</f>
        <v>PA11-19-10-21</v>
      </c>
      <c r="C6" s="8"/>
      <c r="D6" s="11"/>
      <c r="E6" s="37"/>
      <c r="F6" s="11" t="s">
        <v>27</v>
      </c>
      <c r="G6" s="11" t="s">
        <v>42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>
        <f>TODAY()-1</f>
        <v>44487</v>
      </c>
      <c r="C6" s="48">
        <f>TODAY()</f>
        <v>44488</v>
      </c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25</v>
      </c>
      <c r="C6" s="32" t="s">
        <v>46</v>
      </c>
      <c r="D6" s="43">
        <v>1000.0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4"/>
      <c r="B7" s="34" t="s">
        <v>47</v>
      </c>
      <c r="C7" s="34" t="s">
        <v>46</v>
      </c>
      <c r="D7" s="44">
        <v>3000.0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4"/>
      <c r="B8" s="34"/>
      <c r="C8" s="34"/>
      <c r="D8" s="34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4.29"/>
    <col customWidth="1" min="7" max="8" width="14.43"/>
    <col customWidth="1" min="9" max="9" width="6.71"/>
    <col customWidth="1" min="10" max="11" width="17.43"/>
    <col customWidth="1" min="12" max="36" width="14.43"/>
    <col customWidth="1" min="37" max="37" width="42.86"/>
    <col customWidth="1" min="3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50</v>
      </c>
      <c r="C6" s="32" t="s">
        <v>51</v>
      </c>
      <c r="D6" s="43">
        <v>100.0</v>
      </c>
      <c r="E6" s="45">
        <v>100.0</v>
      </c>
      <c r="F6" s="32" t="s">
        <v>38</v>
      </c>
      <c r="G6" s="32"/>
      <c r="H6" s="32"/>
      <c r="I6" s="32"/>
      <c r="J6" s="49">
        <v>1.0</v>
      </c>
      <c r="K6" s="32"/>
      <c r="L6" s="32"/>
      <c r="M6" s="32"/>
      <c r="N6" s="50">
        <f t="shared" ref="N6:N15" si="1">TODAY()</f>
        <v>44488</v>
      </c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</row>
    <row r="7" ht="15.75" customHeight="1">
      <c r="A7" s="34"/>
      <c r="B7" s="51" t="s">
        <v>50</v>
      </c>
      <c r="C7" s="34" t="s">
        <v>51</v>
      </c>
      <c r="D7" s="44">
        <v>100.0</v>
      </c>
      <c r="E7" s="44">
        <v>100.0</v>
      </c>
      <c r="F7" s="34" t="s">
        <v>47</v>
      </c>
      <c r="G7" s="34"/>
      <c r="H7" s="34"/>
      <c r="I7" s="34"/>
      <c r="J7" s="52">
        <v>1.0</v>
      </c>
      <c r="K7" s="34"/>
      <c r="L7" s="34"/>
      <c r="M7" s="34"/>
      <c r="N7" s="53">
        <f t="shared" si="1"/>
        <v>44488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</row>
    <row r="8" ht="15.75" customHeight="1">
      <c r="A8" s="34"/>
      <c r="B8" s="51" t="s">
        <v>50</v>
      </c>
      <c r="C8" s="34" t="s">
        <v>51</v>
      </c>
      <c r="D8" s="44">
        <v>100.0</v>
      </c>
      <c r="E8" s="44">
        <v>100.0</v>
      </c>
      <c r="F8" s="36" t="str">
        <f>"PA11-"&amp;text(TODAY(),"dd-mm-yy")</f>
        <v>PA11-19-10-21</v>
      </c>
      <c r="G8" s="34"/>
      <c r="H8" s="34"/>
      <c r="I8" s="34"/>
      <c r="J8" s="52">
        <v>1.0</v>
      </c>
      <c r="K8" s="34"/>
      <c r="L8" s="34"/>
      <c r="M8" s="34"/>
      <c r="N8" s="53">
        <f t="shared" si="1"/>
        <v>44488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</row>
    <row r="9" ht="15.75" customHeight="1">
      <c r="A9" s="34"/>
      <c r="B9" s="34" t="s">
        <v>52</v>
      </c>
      <c r="C9" s="34" t="s">
        <v>53</v>
      </c>
      <c r="D9" s="44">
        <v>100.0</v>
      </c>
      <c r="E9" s="44">
        <v>100.0</v>
      </c>
      <c r="F9" s="54"/>
      <c r="G9" s="34"/>
      <c r="H9" s="34"/>
      <c r="I9" s="34"/>
      <c r="J9" s="52">
        <v>1.0</v>
      </c>
      <c r="K9" s="34"/>
      <c r="L9" s="34"/>
      <c r="M9" s="34"/>
      <c r="N9" s="53">
        <f t="shared" si="1"/>
        <v>44488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51" t="s">
        <v>54</v>
      </c>
      <c r="AL9" s="51" t="s">
        <v>55</v>
      </c>
      <c r="AM9" s="34"/>
      <c r="AN9" s="34"/>
      <c r="AO9" s="34"/>
      <c r="AP9" s="34"/>
      <c r="AQ9" s="34"/>
      <c r="AR9" s="34"/>
      <c r="AS9" s="34"/>
    </row>
    <row r="10" ht="15.75" customHeight="1">
      <c r="A10" s="34"/>
      <c r="B10" s="34" t="s">
        <v>52</v>
      </c>
      <c r="C10" s="34" t="s">
        <v>56</v>
      </c>
      <c r="D10" s="52">
        <v>100.0</v>
      </c>
      <c r="E10" s="52">
        <v>100.0</v>
      </c>
      <c r="F10" s="36" t="str">
        <f t="shared" ref="F10:F13" si="2">"PA11-"&amp;text(TODAY(),"dd-mm-yy")</f>
        <v>PA11-19-10-21</v>
      </c>
      <c r="G10" s="34"/>
      <c r="H10" s="34"/>
      <c r="I10" s="34"/>
      <c r="J10" s="52">
        <v>1.0</v>
      </c>
      <c r="K10" s="34"/>
      <c r="L10" s="34"/>
      <c r="M10" s="34"/>
      <c r="N10" s="55">
        <f t="shared" si="1"/>
        <v>44488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</row>
    <row r="11" ht="15.75" customHeight="1">
      <c r="A11" s="34"/>
      <c r="B11" s="51" t="s">
        <v>52</v>
      </c>
      <c r="C11" s="51" t="s">
        <v>57</v>
      </c>
      <c r="D11" s="51">
        <v>100.0</v>
      </c>
      <c r="E11" s="51">
        <v>100.0</v>
      </c>
      <c r="F11" s="36" t="str">
        <f t="shared" si="2"/>
        <v>PA11-19-10-21</v>
      </c>
      <c r="G11" s="34"/>
      <c r="H11" s="34"/>
      <c r="I11" s="34"/>
      <c r="J11" s="49">
        <v>1.0</v>
      </c>
      <c r="K11" s="34"/>
      <c r="L11" s="34"/>
      <c r="M11" s="34"/>
      <c r="N11" s="53">
        <f t="shared" si="1"/>
        <v>44488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</row>
    <row r="12" ht="15.75" customHeight="1">
      <c r="A12" s="34"/>
      <c r="B12" s="51" t="s">
        <v>52</v>
      </c>
      <c r="C12" s="51" t="s">
        <v>53</v>
      </c>
      <c r="D12" s="51">
        <v>100.0</v>
      </c>
      <c r="E12" s="51">
        <v>100.0</v>
      </c>
      <c r="F12" s="36" t="str">
        <f t="shared" si="2"/>
        <v>PA11-19-10-21</v>
      </c>
      <c r="G12" s="34"/>
      <c r="H12" s="34"/>
      <c r="I12" s="34"/>
      <c r="J12" s="52">
        <v>1.0</v>
      </c>
      <c r="K12" s="34"/>
      <c r="L12" s="34"/>
      <c r="M12" s="34"/>
      <c r="N12" s="53">
        <f t="shared" si="1"/>
        <v>44488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</row>
    <row r="13" ht="15.75" customHeight="1">
      <c r="A13" s="34"/>
      <c r="B13" s="51" t="s">
        <v>58</v>
      </c>
      <c r="C13" s="51" t="s">
        <v>59</v>
      </c>
      <c r="D13" s="51">
        <v>100.0</v>
      </c>
      <c r="E13" s="51">
        <v>100.0</v>
      </c>
      <c r="F13" s="36" t="str">
        <f t="shared" si="2"/>
        <v>PA11-19-10-21</v>
      </c>
      <c r="G13" s="34"/>
      <c r="H13" s="34"/>
      <c r="I13" s="34"/>
      <c r="J13" s="52">
        <v>1.0</v>
      </c>
      <c r="K13" s="34"/>
      <c r="L13" s="34"/>
      <c r="M13" s="34"/>
      <c r="N13" s="55">
        <f t="shared" si="1"/>
        <v>44488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</row>
    <row r="14" ht="15.75" customHeight="1">
      <c r="A14" s="34"/>
      <c r="B14" s="51" t="s">
        <v>58</v>
      </c>
      <c r="C14" s="51" t="s">
        <v>51</v>
      </c>
      <c r="D14" s="51">
        <v>100.0</v>
      </c>
      <c r="E14" s="51">
        <v>100.0</v>
      </c>
      <c r="F14" s="34"/>
      <c r="G14" s="34"/>
      <c r="H14" s="34"/>
      <c r="I14" s="34"/>
      <c r="J14" s="51">
        <v>1.0</v>
      </c>
      <c r="K14" s="34"/>
      <c r="L14" s="34"/>
      <c r="M14" s="34"/>
      <c r="N14" s="53">
        <f t="shared" si="1"/>
        <v>44488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51" t="s">
        <v>60</v>
      </c>
      <c r="AL14" s="51" t="s">
        <v>61</v>
      </c>
      <c r="AM14" s="34"/>
      <c r="AN14" s="34"/>
      <c r="AO14" s="34"/>
      <c r="AP14" s="34"/>
      <c r="AQ14" s="34"/>
      <c r="AR14" s="34"/>
      <c r="AS14" s="34"/>
    </row>
    <row r="15" ht="15.75" customHeight="1">
      <c r="A15" s="8"/>
      <c r="B15" s="11" t="s">
        <v>62</v>
      </c>
      <c r="C15" s="11" t="s">
        <v>51</v>
      </c>
      <c r="D15" s="11">
        <v>100.0</v>
      </c>
      <c r="E15" s="11">
        <v>100.0</v>
      </c>
      <c r="F15" s="36" t="str">
        <f>"PA11-"&amp;text(TODAY(),"dd-mm-yy")</f>
        <v>PA11-19-10-21</v>
      </c>
      <c r="G15" s="8"/>
      <c r="H15" s="8"/>
      <c r="I15" s="8"/>
      <c r="J15" s="11">
        <v>1.0</v>
      </c>
      <c r="K15" s="8"/>
      <c r="L15" s="8"/>
      <c r="M15" s="8"/>
      <c r="N15" s="55">
        <f t="shared" si="1"/>
        <v>44488</v>
      </c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64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64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6.86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38</v>
      </c>
      <c r="C6" s="32"/>
      <c r="D6" s="33"/>
      <c r="E6" s="32"/>
      <c r="F6" s="31" t="s">
        <v>68</v>
      </c>
      <c r="G6" s="32"/>
      <c r="H6" s="32"/>
      <c r="I6" s="32"/>
      <c r="J6" s="32"/>
      <c r="K6" s="32"/>
      <c r="L6" s="31">
        <v>1.0</v>
      </c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56">
        <v>100.0</v>
      </c>
      <c r="AF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56">
        <v>100.0</v>
      </c>
      <c r="BK6" s="34"/>
      <c r="BL6" s="34"/>
      <c r="BN6" s="34"/>
      <c r="BO6" s="34" t="s">
        <v>51</v>
      </c>
      <c r="BP6" s="34"/>
      <c r="BQ6" s="34"/>
      <c r="BR6" s="34"/>
      <c r="BS6" s="34"/>
      <c r="BT6" s="51" t="s">
        <v>50</v>
      </c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</row>
    <row r="7" ht="15.75" customHeight="1">
      <c r="A7" s="34"/>
      <c r="B7" s="34" t="s">
        <v>47</v>
      </c>
      <c r="C7" s="34"/>
      <c r="D7" s="34"/>
      <c r="E7" s="34"/>
      <c r="F7" s="51" t="s">
        <v>68</v>
      </c>
      <c r="G7" s="34"/>
      <c r="H7" s="34"/>
      <c r="I7" s="34"/>
      <c r="J7" s="34"/>
      <c r="K7" s="34"/>
      <c r="L7" s="51">
        <v>1.0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56">
        <v>100.0</v>
      </c>
      <c r="AF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56">
        <v>100.0</v>
      </c>
      <c r="BK7" s="34"/>
      <c r="BL7" s="34"/>
      <c r="BN7" s="34"/>
      <c r="BO7" s="34" t="s">
        <v>51</v>
      </c>
      <c r="BP7" s="34"/>
      <c r="BQ7" s="34"/>
      <c r="BR7" s="34"/>
      <c r="BS7" s="34"/>
      <c r="BT7" s="51" t="s">
        <v>50</v>
      </c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</row>
    <row r="8" ht="15.75" customHeight="1">
      <c r="A8" s="34"/>
      <c r="B8" s="34" t="s">
        <v>69</v>
      </c>
      <c r="C8" s="34"/>
      <c r="D8" s="34"/>
      <c r="E8" s="34"/>
      <c r="F8" s="36"/>
      <c r="G8" s="34"/>
      <c r="H8" s="34"/>
      <c r="I8" s="34"/>
      <c r="J8" s="34"/>
      <c r="K8" s="34"/>
      <c r="L8" s="51">
        <v>1.0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56">
        <v>100.0</v>
      </c>
      <c r="AF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56">
        <v>100.0</v>
      </c>
      <c r="BK8" s="34"/>
      <c r="BL8" s="34"/>
      <c r="BN8" s="34"/>
      <c r="BO8" s="51" t="s">
        <v>53</v>
      </c>
      <c r="BP8" s="34"/>
      <c r="BQ8" s="34"/>
      <c r="BR8" s="34"/>
      <c r="BS8" s="34"/>
      <c r="BT8" s="51" t="s">
        <v>52</v>
      </c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</row>
    <row r="9" ht="15.75" customHeight="1">
      <c r="A9" s="34"/>
      <c r="B9" s="34" t="s">
        <v>69</v>
      </c>
      <c r="C9" s="34"/>
      <c r="D9" s="34"/>
      <c r="E9" s="34"/>
      <c r="F9" s="36"/>
      <c r="G9" s="34"/>
      <c r="H9" s="34"/>
      <c r="I9" s="34"/>
      <c r="J9" s="34"/>
      <c r="K9" s="34"/>
      <c r="L9" s="51">
        <v>1.0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56">
        <v>100.0</v>
      </c>
      <c r="AF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56">
        <v>100.0</v>
      </c>
      <c r="BK9" s="34"/>
      <c r="BL9" s="34"/>
      <c r="BN9" s="34"/>
      <c r="BO9" s="51" t="s">
        <v>51</v>
      </c>
      <c r="BP9" s="34"/>
      <c r="BQ9" s="34"/>
      <c r="BR9" s="34"/>
      <c r="BS9" s="34"/>
      <c r="BT9" s="51" t="s">
        <v>58</v>
      </c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</row>
    <row r="10" ht="15.75" customHeight="1">
      <c r="A10" s="34"/>
      <c r="B10" s="51" t="s">
        <v>69</v>
      </c>
      <c r="C10" s="34"/>
      <c r="D10" s="34"/>
      <c r="E10" s="34"/>
      <c r="F10" s="36" t="str">
        <f t="shared" ref="F10:F11" si="1">"PA11-"&amp;text(TODAY(),"dd-mm-yy")</f>
        <v>PA11-19-10-21</v>
      </c>
      <c r="G10" s="34"/>
      <c r="H10" s="34"/>
      <c r="I10" s="34"/>
      <c r="J10" s="34"/>
      <c r="K10" s="34"/>
      <c r="L10" s="51">
        <v>1.0</v>
      </c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51">
        <v>100.0</v>
      </c>
      <c r="AF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51">
        <v>100.0</v>
      </c>
      <c r="BK10" s="34"/>
      <c r="BL10" s="34"/>
      <c r="BN10" s="34"/>
      <c r="BO10" s="51" t="s">
        <v>51</v>
      </c>
      <c r="BP10" s="34"/>
      <c r="BQ10" s="34"/>
      <c r="BR10" s="34"/>
      <c r="BS10" s="34"/>
      <c r="BT10" s="51" t="s">
        <v>50</v>
      </c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</row>
    <row r="11" ht="15.75" customHeight="1">
      <c r="A11" s="34"/>
      <c r="B11" s="51" t="s">
        <v>69</v>
      </c>
      <c r="C11" s="34"/>
      <c r="D11" s="34"/>
      <c r="E11" s="34"/>
      <c r="F11" s="36" t="str">
        <f t="shared" si="1"/>
        <v>PA11-19-10-21</v>
      </c>
      <c r="G11" s="34"/>
      <c r="H11" s="34"/>
      <c r="I11" s="34"/>
      <c r="J11" s="34"/>
      <c r="K11" s="34"/>
      <c r="L11" s="51">
        <v>1.0</v>
      </c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51">
        <v>100.0</v>
      </c>
      <c r="AF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51">
        <v>100.0</v>
      </c>
      <c r="BK11" s="34"/>
      <c r="BL11" s="34"/>
      <c r="BN11" s="34"/>
      <c r="BO11" s="51" t="s">
        <v>53</v>
      </c>
      <c r="BP11" s="34"/>
      <c r="BQ11" s="34"/>
      <c r="BR11" s="34"/>
      <c r="BS11" s="34"/>
      <c r="BT11" s="51" t="s">
        <v>52</v>
      </c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</row>
    <row r="12" ht="15.75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</row>
    <row r="13" ht="15.75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7" t="s">
        <v>47</v>
      </c>
      <c r="C6" s="57"/>
      <c r="D6" s="33"/>
      <c r="E6" s="32"/>
      <c r="F6" s="32"/>
      <c r="G6" s="32"/>
      <c r="H6" s="32"/>
      <c r="I6" s="57"/>
      <c r="J6" s="32"/>
      <c r="K6" s="32"/>
      <c r="L6" s="32"/>
      <c r="M6" s="57">
        <v>100.0</v>
      </c>
      <c r="N6" s="32"/>
      <c r="O6" s="32"/>
      <c r="P6" s="57" t="s">
        <v>51</v>
      </c>
      <c r="Q6" s="34"/>
      <c r="R6" s="51" t="s">
        <v>50</v>
      </c>
      <c r="S6" s="32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</row>
    <row r="7" ht="15.75" customHeight="1">
      <c r="A7" s="34"/>
      <c r="B7" s="57" t="s">
        <v>38</v>
      </c>
      <c r="C7" s="57"/>
      <c r="D7" s="34"/>
      <c r="E7" s="34"/>
      <c r="F7" s="34"/>
      <c r="G7" s="34"/>
      <c r="H7" s="34"/>
      <c r="I7" s="57"/>
      <c r="J7" s="34"/>
      <c r="K7" s="34"/>
      <c r="L7" s="34"/>
      <c r="M7" s="57">
        <v>100.0</v>
      </c>
      <c r="N7" s="34"/>
      <c r="O7" s="34"/>
      <c r="P7" s="57" t="s">
        <v>51</v>
      </c>
      <c r="Q7" s="34"/>
      <c r="R7" s="51" t="s">
        <v>50</v>
      </c>
      <c r="S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</row>
    <row r="8" ht="15.75" customHeight="1">
      <c r="A8" s="34"/>
      <c r="B8" s="57" t="s">
        <v>25</v>
      </c>
      <c r="C8" s="57"/>
      <c r="D8" s="34"/>
      <c r="E8" s="34"/>
      <c r="F8" s="34"/>
      <c r="G8" s="34"/>
      <c r="H8" s="34"/>
      <c r="I8" s="57"/>
      <c r="J8" s="34"/>
      <c r="K8" s="34"/>
      <c r="L8" s="34"/>
      <c r="M8" s="57">
        <v>50.0</v>
      </c>
      <c r="N8" s="34"/>
      <c r="O8" s="34"/>
      <c r="P8" s="57" t="s">
        <v>51</v>
      </c>
      <c r="Q8" s="34"/>
      <c r="R8" s="51" t="s">
        <v>50</v>
      </c>
      <c r="S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</row>
    <row r="9" ht="15.75" customHeight="1">
      <c r="A9" s="34"/>
      <c r="B9" s="57" t="s">
        <v>38</v>
      </c>
      <c r="C9" s="57"/>
      <c r="D9" s="34"/>
      <c r="E9" s="34"/>
      <c r="F9" s="34"/>
      <c r="G9" s="34"/>
      <c r="H9" s="34"/>
      <c r="I9" s="57"/>
      <c r="J9" s="34"/>
      <c r="K9" s="34"/>
      <c r="L9" s="34"/>
      <c r="M9" s="57">
        <v>35.0</v>
      </c>
      <c r="N9" s="34"/>
      <c r="O9" s="34"/>
      <c r="P9" s="57" t="s">
        <v>51</v>
      </c>
      <c r="Q9" s="34"/>
      <c r="R9" s="51" t="s">
        <v>50</v>
      </c>
      <c r="S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</row>
    <row r="10" ht="15.75" customHeight="1">
      <c r="A10" s="34"/>
      <c r="B10" s="57" t="s">
        <v>39</v>
      </c>
      <c r="C10" s="57"/>
      <c r="D10" s="34"/>
      <c r="E10" s="34"/>
      <c r="F10" s="34"/>
      <c r="G10" s="34"/>
      <c r="H10" s="34"/>
      <c r="I10" s="57"/>
      <c r="J10" s="34"/>
      <c r="K10" s="34"/>
      <c r="L10" s="34"/>
      <c r="M10" s="57">
        <v>15.0</v>
      </c>
      <c r="N10" s="34"/>
      <c r="O10" s="34"/>
      <c r="P10" s="57" t="s">
        <v>51</v>
      </c>
      <c r="Q10" s="34"/>
      <c r="R10" s="51" t="s">
        <v>50</v>
      </c>
      <c r="S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</row>
    <row r="11" ht="15.75" customHeight="1">
      <c r="A11" s="34"/>
      <c r="B11" s="57" t="s">
        <v>47</v>
      </c>
      <c r="C11" s="57"/>
      <c r="D11" s="34"/>
      <c r="E11" s="34"/>
      <c r="F11" s="34"/>
      <c r="G11" s="34"/>
      <c r="H11" s="34"/>
      <c r="I11" s="57"/>
      <c r="J11" s="34"/>
      <c r="K11" s="34"/>
      <c r="L11" s="34"/>
      <c r="M11" s="57">
        <v>55.0</v>
      </c>
      <c r="N11" s="34"/>
      <c r="O11" s="34"/>
      <c r="P11" s="57" t="s">
        <v>51</v>
      </c>
      <c r="Q11" s="34"/>
      <c r="R11" s="57" t="s">
        <v>58</v>
      </c>
      <c r="S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</row>
    <row r="12" ht="15.75" customHeight="1">
      <c r="A12" s="34"/>
      <c r="B12" s="57" t="s">
        <v>38</v>
      </c>
      <c r="C12" s="57"/>
      <c r="D12" s="34"/>
      <c r="E12" s="34"/>
      <c r="F12" s="34"/>
      <c r="G12" s="34"/>
      <c r="H12" s="34"/>
      <c r="I12" s="57"/>
      <c r="J12" s="34"/>
      <c r="K12" s="34"/>
      <c r="L12" s="34"/>
      <c r="M12" s="57">
        <v>45.0</v>
      </c>
      <c r="N12" s="34"/>
      <c r="O12" s="34"/>
      <c r="P12" s="57" t="s">
        <v>51</v>
      </c>
      <c r="Q12" s="34"/>
      <c r="R12" s="57" t="s">
        <v>58</v>
      </c>
      <c r="S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</row>
    <row r="13" ht="15.75" customHeight="1">
      <c r="A13" s="34"/>
      <c r="B13" s="57" t="s">
        <v>47</v>
      </c>
      <c r="C13" s="57"/>
      <c r="D13" s="34"/>
      <c r="E13" s="34"/>
      <c r="F13" s="34"/>
      <c r="G13" s="34"/>
      <c r="H13" s="34"/>
      <c r="I13" s="57"/>
      <c r="J13" s="34"/>
      <c r="K13" s="34"/>
      <c r="L13" s="34"/>
      <c r="M13" s="57">
        <v>20.0</v>
      </c>
      <c r="N13" s="34"/>
      <c r="O13" s="34"/>
      <c r="P13" s="57" t="s">
        <v>53</v>
      </c>
      <c r="Q13" s="34"/>
      <c r="R13" s="57" t="s">
        <v>52</v>
      </c>
      <c r="S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</row>
    <row r="14" ht="15.75" customHeight="1">
      <c r="A14" s="34"/>
      <c r="B14" s="51" t="s">
        <v>38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51">
        <v>30.0</v>
      </c>
      <c r="N14" s="34"/>
      <c r="O14" s="34"/>
      <c r="P14" s="51" t="s">
        <v>53</v>
      </c>
      <c r="Q14" s="34"/>
      <c r="R14" s="51" t="s">
        <v>52</v>
      </c>
      <c r="S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ht="15.75" customHeight="1">
      <c r="A15" s="34"/>
      <c r="B15" s="51" t="s">
        <v>25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51">
        <v>10.0</v>
      </c>
      <c r="N15" s="34"/>
      <c r="O15" s="34"/>
      <c r="P15" s="51" t="s">
        <v>53</v>
      </c>
      <c r="Q15" s="34"/>
      <c r="R15" s="51" t="s">
        <v>52</v>
      </c>
      <c r="S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</row>
    <row r="16" ht="15.75" customHeight="1">
      <c r="A16" s="34"/>
      <c r="B16" s="51" t="s">
        <v>39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51">
        <v>40.0</v>
      </c>
      <c r="N16" s="34"/>
      <c r="O16" s="34"/>
      <c r="P16" s="51" t="s">
        <v>53</v>
      </c>
      <c r="Q16" s="34"/>
      <c r="R16" s="51" t="s">
        <v>52</v>
      </c>
      <c r="S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</row>
    <row r="17" ht="15.75" customHeight="1">
      <c r="A17" s="34"/>
      <c r="B17" s="51" t="s">
        <v>47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51">
        <v>15.0</v>
      </c>
      <c r="N17" s="34"/>
      <c r="O17" s="34"/>
      <c r="P17" s="51" t="s">
        <v>53</v>
      </c>
      <c r="Q17" s="34"/>
      <c r="R17" s="51" t="s">
        <v>52</v>
      </c>
      <c r="S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</row>
    <row r="18" ht="15.75" customHeight="1">
      <c r="A18" s="8"/>
      <c r="B18" s="11" t="s">
        <v>38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11">
        <v>39.0</v>
      </c>
      <c r="N18" s="8"/>
      <c r="O18" s="8"/>
      <c r="P18" s="9" t="s">
        <v>53</v>
      </c>
      <c r="R18" s="9" t="s">
        <v>52</v>
      </c>
    </row>
    <row r="19" ht="15.75" customHeight="1">
      <c r="A19" s="8"/>
      <c r="B19" s="11" t="s">
        <v>39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11">
        <v>31.0</v>
      </c>
      <c r="N19" s="8"/>
      <c r="O19" s="8"/>
      <c r="P19" s="9" t="s">
        <v>53</v>
      </c>
      <c r="R19" s="9" t="s">
        <v>52</v>
      </c>
    </row>
    <row r="20" ht="15.75" customHeight="1">
      <c r="A20" s="8"/>
      <c r="B20" s="11" t="s">
        <v>25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11">
        <v>15.0</v>
      </c>
      <c r="N20" s="8"/>
      <c r="O20" s="8"/>
      <c r="P20" s="9" t="s">
        <v>53</v>
      </c>
      <c r="R20" s="9" t="s">
        <v>52</v>
      </c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71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</row>
    <row r="6" ht="15.75" customHeight="1">
      <c r="A6" s="11"/>
      <c r="B6" s="11"/>
      <c r="C6" s="51" t="s">
        <v>50</v>
      </c>
      <c r="D6" s="58">
        <v>100.0</v>
      </c>
      <c r="E6" s="59" t="s">
        <v>47</v>
      </c>
      <c r="F6" s="59"/>
      <c r="G6" s="58"/>
      <c r="H6" s="59"/>
      <c r="I6" s="8"/>
      <c r="J6" s="8"/>
      <c r="K6" s="8"/>
      <c r="L6" s="8"/>
      <c r="M6" s="8"/>
      <c r="N6" s="8"/>
      <c r="O6" s="8"/>
      <c r="T6" s="59"/>
      <c r="AN6" s="59" t="s">
        <v>51</v>
      </c>
    </row>
    <row r="7" ht="15.75" customHeight="1">
      <c r="A7" s="8"/>
      <c r="B7" s="8"/>
      <c r="C7" s="51" t="s">
        <v>50</v>
      </c>
      <c r="D7" s="58">
        <v>100.0</v>
      </c>
      <c r="E7" s="59" t="s">
        <v>38</v>
      </c>
      <c r="F7" s="59"/>
      <c r="G7" s="58"/>
      <c r="H7" s="59"/>
      <c r="I7" s="8"/>
      <c r="J7" s="8"/>
      <c r="K7" s="8"/>
      <c r="L7" s="8"/>
      <c r="M7" s="8"/>
      <c r="N7" s="8"/>
      <c r="O7" s="8"/>
      <c r="T7" s="59"/>
      <c r="AN7" s="59" t="s">
        <v>51</v>
      </c>
    </row>
    <row r="8" ht="15.75" customHeight="1">
      <c r="A8" s="8"/>
      <c r="B8" s="8"/>
      <c r="C8" s="51" t="s">
        <v>50</v>
      </c>
      <c r="D8" s="58">
        <v>50.0</v>
      </c>
      <c r="E8" s="59" t="s">
        <v>25</v>
      </c>
      <c r="F8" s="59"/>
      <c r="G8" s="58"/>
      <c r="H8" s="59"/>
      <c r="I8" s="8"/>
      <c r="J8" s="8"/>
      <c r="K8" s="8"/>
      <c r="L8" s="8"/>
      <c r="M8" s="8"/>
      <c r="N8" s="8"/>
      <c r="O8" s="8"/>
      <c r="T8" s="59"/>
      <c r="AN8" s="59" t="s">
        <v>51</v>
      </c>
    </row>
    <row r="9" ht="15.75" customHeight="1">
      <c r="A9" s="8"/>
      <c r="B9" s="8"/>
      <c r="C9" s="51" t="s">
        <v>50</v>
      </c>
      <c r="D9" s="58">
        <v>35.0</v>
      </c>
      <c r="E9" s="59" t="s">
        <v>38</v>
      </c>
      <c r="F9" s="59"/>
      <c r="G9" s="58"/>
      <c r="H9" s="59"/>
      <c r="I9" s="8"/>
      <c r="J9" s="8"/>
      <c r="K9" s="8"/>
      <c r="L9" s="8"/>
      <c r="M9" s="8"/>
      <c r="N9" s="8"/>
      <c r="O9" s="8"/>
      <c r="T9" s="59"/>
      <c r="AN9" s="59" t="s">
        <v>51</v>
      </c>
    </row>
    <row r="10" ht="15.75" customHeight="1">
      <c r="A10" s="8"/>
      <c r="B10" s="8"/>
      <c r="C10" s="51" t="s">
        <v>50</v>
      </c>
      <c r="D10" s="58">
        <v>15.0</v>
      </c>
      <c r="E10" s="59" t="s">
        <v>39</v>
      </c>
      <c r="F10" s="59"/>
      <c r="G10" s="58"/>
      <c r="H10" s="59"/>
      <c r="I10" s="8"/>
      <c r="J10" s="8"/>
      <c r="K10" s="8"/>
      <c r="L10" s="8"/>
      <c r="M10" s="8"/>
      <c r="N10" s="8"/>
      <c r="O10" s="8"/>
      <c r="T10" s="59"/>
      <c r="AN10" s="59" t="s">
        <v>51</v>
      </c>
    </row>
    <row r="11" ht="15.75" customHeight="1">
      <c r="A11" s="8"/>
      <c r="B11" s="8"/>
      <c r="C11" s="59" t="s">
        <v>52</v>
      </c>
      <c r="D11" s="58">
        <v>20.0</v>
      </c>
      <c r="E11" s="59" t="s">
        <v>47</v>
      </c>
      <c r="F11" s="59"/>
      <c r="G11" s="58"/>
      <c r="H11" s="59"/>
      <c r="I11" s="8"/>
      <c r="J11" s="8"/>
      <c r="K11" s="8"/>
      <c r="L11" s="8"/>
      <c r="M11" s="8"/>
      <c r="N11" s="8"/>
      <c r="O11" s="8"/>
      <c r="T11" s="59"/>
      <c r="AN11" s="59" t="s">
        <v>53</v>
      </c>
    </row>
    <row r="12" ht="15.75" customHeight="1">
      <c r="A12" s="8"/>
      <c r="B12" s="8"/>
      <c r="C12" s="59" t="s">
        <v>52</v>
      </c>
      <c r="D12" s="58">
        <v>30.0</v>
      </c>
      <c r="E12" s="59" t="s">
        <v>38</v>
      </c>
      <c r="F12" s="59"/>
      <c r="G12" s="58"/>
      <c r="H12" s="59"/>
      <c r="I12" s="8"/>
      <c r="J12" s="8"/>
      <c r="K12" s="8"/>
      <c r="L12" s="8"/>
      <c r="M12" s="8"/>
      <c r="N12" s="8"/>
      <c r="O12" s="8"/>
      <c r="T12" s="59"/>
      <c r="AN12" s="59" t="s">
        <v>53</v>
      </c>
    </row>
    <row r="13" ht="15.75" customHeight="1">
      <c r="A13" s="8"/>
      <c r="B13" s="8"/>
      <c r="C13" s="59" t="s">
        <v>52</v>
      </c>
      <c r="D13" s="58">
        <v>10.0</v>
      </c>
      <c r="E13" s="59" t="s">
        <v>25</v>
      </c>
      <c r="F13" s="59"/>
      <c r="G13" s="58"/>
      <c r="H13" s="59"/>
      <c r="I13" s="8"/>
      <c r="J13" s="8"/>
      <c r="K13" s="8"/>
      <c r="L13" s="8"/>
      <c r="M13" s="8"/>
      <c r="N13" s="8"/>
      <c r="O13" s="8"/>
      <c r="T13" s="59"/>
      <c r="AN13" s="59" t="s">
        <v>53</v>
      </c>
    </row>
    <row r="14" ht="15.75" customHeight="1">
      <c r="A14" s="8"/>
      <c r="B14" s="8"/>
      <c r="C14" s="59" t="s">
        <v>52</v>
      </c>
      <c r="D14" s="58">
        <v>40.0</v>
      </c>
      <c r="E14" s="59" t="s">
        <v>39</v>
      </c>
      <c r="F14" s="59"/>
      <c r="G14" s="58"/>
      <c r="H14" s="59"/>
      <c r="I14" s="8"/>
      <c r="J14" s="8"/>
      <c r="K14" s="8"/>
      <c r="L14" s="8"/>
      <c r="M14" s="8"/>
      <c r="N14" s="8"/>
      <c r="O14" s="8"/>
      <c r="T14" s="59"/>
      <c r="AN14" s="59" t="s">
        <v>53</v>
      </c>
    </row>
    <row r="15" ht="15.75" customHeight="1">
      <c r="A15" s="8"/>
      <c r="B15" s="8"/>
      <c r="C15" s="59" t="s">
        <v>58</v>
      </c>
      <c r="D15" s="58">
        <v>55.0</v>
      </c>
      <c r="E15" s="59" t="s">
        <v>47</v>
      </c>
      <c r="F15" s="59"/>
      <c r="G15" s="58"/>
      <c r="H15" s="59"/>
      <c r="I15" s="8"/>
      <c r="J15" s="8"/>
      <c r="K15" s="8"/>
      <c r="L15" s="8"/>
      <c r="M15" s="8"/>
      <c r="N15" s="8"/>
      <c r="O15" s="8"/>
      <c r="T15" s="59"/>
      <c r="AN15" s="59" t="s">
        <v>51</v>
      </c>
    </row>
    <row r="16" ht="15.75" customHeight="1">
      <c r="A16" s="8"/>
      <c r="B16" s="8"/>
      <c r="C16" s="59" t="s">
        <v>58</v>
      </c>
      <c r="D16" s="58">
        <v>45.0</v>
      </c>
      <c r="E16" s="59" t="s">
        <v>38</v>
      </c>
      <c r="F16" s="59"/>
      <c r="G16" s="58"/>
      <c r="H16" s="59"/>
      <c r="I16" s="8"/>
      <c r="J16" s="8"/>
      <c r="K16" s="8"/>
      <c r="L16" s="8"/>
      <c r="M16" s="8"/>
      <c r="N16" s="8"/>
      <c r="O16" s="8"/>
      <c r="T16" s="59"/>
      <c r="AN16" s="59" t="s">
        <v>51</v>
      </c>
    </row>
    <row r="17" ht="15.75" customHeight="1">
      <c r="A17" s="8"/>
      <c r="B17" s="8"/>
      <c r="C17" s="59" t="s">
        <v>58</v>
      </c>
      <c r="D17" s="58">
        <v>-100.0</v>
      </c>
      <c r="E17" s="59"/>
      <c r="F17" s="59"/>
      <c r="G17" s="58"/>
      <c r="H17" s="59"/>
      <c r="I17" s="8"/>
      <c r="J17" s="8"/>
      <c r="K17" s="8"/>
      <c r="L17" s="8"/>
      <c r="M17" s="8"/>
      <c r="N17" s="8"/>
      <c r="O17" s="8"/>
      <c r="T17" s="59"/>
      <c r="AN17" s="59" t="s">
        <v>59</v>
      </c>
    </row>
    <row r="18" ht="15.75" customHeight="1">
      <c r="A18" s="8"/>
      <c r="B18" s="8"/>
      <c r="C18" s="11" t="s">
        <v>62</v>
      </c>
      <c r="D18" s="58">
        <v>100.0</v>
      </c>
      <c r="E18" s="8"/>
      <c r="F18" s="8"/>
      <c r="G18" s="58"/>
      <c r="H18" s="59"/>
      <c r="I18" s="8"/>
      <c r="J18" s="8"/>
      <c r="K18" s="8"/>
      <c r="L18" s="8"/>
      <c r="M18" s="8"/>
      <c r="N18" s="8"/>
      <c r="O18" s="8"/>
      <c r="T18" s="59"/>
      <c r="AN18" s="59" t="s">
        <v>51</v>
      </c>
    </row>
    <row r="19" ht="15.75" customHeight="1">
      <c r="A19" s="8"/>
      <c r="B19" s="8"/>
      <c r="C19" s="59" t="s">
        <v>52</v>
      </c>
      <c r="D19" s="58">
        <v>39.0</v>
      </c>
      <c r="E19" s="11" t="s">
        <v>38</v>
      </c>
      <c r="F19" s="8"/>
      <c r="G19" s="58"/>
      <c r="H19" s="59"/>
      <c r="I19" s="8"/>
      <c r="J19" s="8"/>
      <c r="K19" s="8"/>
      <c r="L19" s="8"/>
      <c r="M19" s="8"/>
      <c r="N19" s="8"/>
      <c r="O19" s="8"/>
      <c r="T19" s="59"/>
      <c r="AN19" s="59" t="s">
        <v>53</v>
      </c>
    </row>
    <row r="20" ht="15.75" customHeight="1">
      <c r="A20" s="8"/>
      <c r="B20" s="8"/>
      <c r="C20" s="59" t="s">
        <v>52</v>
      </c>
      <c r="D20" s="58">
        <v>31.0</v>
      </c>
      <c r="E20" s="11" t="s">
        <v>39</v>
      </c>
      <c r="F20" s="8"/>
      <c r="G20" s="58"/>
      <c r="H20" s="59"/>
      <c r="I20" s="8"/>
      <c r="J20" s="8"/>
      <c r="K20" s="8"/>
      <c r="L20" s="8"/>
      <c r="M20" s="8"/>
      <c r="N20" s="8"/>
      <c r="O20" s="8"/>
      <c r="T20" s="59"/>
      <c r="AN20" s="59" t="s">
        <v>53</v>
      </c>
    </row>
    <row r="21" ht="15.75" customHeight="1">
      <c r="A21" s="8"/>
      <c r="B21" s="8"/>
      <c r="C21" s="59" t="s">
        <v>52</v>
      </c>
      <c r="D21" s="58">
        <v>15.0</v>
      </c>
      <c r="E21" s="11" t="s">
        <v>25</v>
      </c>
      <c r="F21" s="8"/>
      <c r="G21" s="58"/>
      <c r="H21" s="59"/>
      <c r="I21" s="8"/>
      <c r="J21" s="8"/>
      <c r="K21" s="8"/>
      <c r="L21" s="8"/>
      <c r="M21" s="8"/>
      <c r="N21" s="8"/>
      <c r="O21" s="8"/>
      <c r="T21" s="59"/>
      <c r="AN21" s="59" t="s">
        <v>53</v>
      </c>
    </row>
    <row r="22" ht="15.75" customHeight="1">
      <c r="A22" s="8"/>
      <c r="B22" s="8"/>
      <c r="C22" s="59" t="s">
        <v>52</v>
      </c>
      <c r="D22" s="58">
        <v>15.0</v>
      </c>
      <c r="E22" s="11" t="s">
        <v>47</v>
      </c>
      <c r="F22" s="8"/>
      <c r="G22" s="58"/>
      <c r="H22" s="59"/>
      <c r="I22" s="8"/>
      <c r="J22" s="8"/>
      <c r="K22" s="8"/>
      <c r="L22" s="8"/>
      <c r="M22" s="8"/>
      <c r="N22" s="8"/>
      <c r="O22" s="8"/>
      <c r="T22" s="59"/>
      <c r="AN22" s="59" t="s">
        <v>53</v>
      </c>
    </row>
    <row r="23" ht="15.75" customHeight="1">
      <c r="A23" s="8"/>
      <c r="B23" s="8"/>
      <c r="C23" s="59" t="s">
        <v>52</v>
      </c>
      <c r="D23" s="58">
        <v>-100.0</v>
      </c>
      <c r="E23" s="8"/>
      <c r="F23" s="8"/>
      <c r="G23" s="58"/>
      <c r="H23" s="59"/>
      <c r="I23" s="8"/>
      <c r="J23" s="8"/>
      <c r="K23" s="8"/>
      <c r="L23" s="8"/>
      <c r="M23" s="8"/>
      <c r="N23" s="8"/>
      <c r="O23" s="8"/>
      <c r="T23" s="59"/>
      <c r="AN23" s="59" t="s">
        <v>57</v>
      </c>
    </row>
    <row r="24" ht="15.75" customHeight="1">
      <c r="A24" s="8"/>
      <c r="B24" s="8"/>
      <c r="C24" s="11" t="s">
        <v>52</v>
      </c>
      <c r="D24" s="11">
        <v>-100.0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AN24" s="59" t="s">
        <v>56</v>
      </c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75</v>
      </c>
      <c r="C6" s="11" t="s">
        <v>76</v>
      </c>
      <c r="D6" s="47">
        <f t="shared" ref="D6:E6" si="1">TODAY()</f>
        <v>44488</v>
      </c>
      <c r="E6" s="47">
        <f t="shared" si="1"/>
        <v>44488</v>
      </c>
      <c r="F6" s="11" t="s">
        <v>77</v>
      </c>
      <c r="G6" s="11" t="s">
        <v>78</v>
      </c>
      <c r="H6" s="11" t="s">
        <v>77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25</v>
      </c>
      <c r="C6" s="8"/>
      <c r="D6" s="11" t="s">
        <v>80</v>
      </c>
      <c r="E6" s="37"/>
      <c r="F6" s="8"/>
      <c r="G6" s="8"/>
      <c r="H6" s="8"/>
      <c r="I6" s="8"/>
      <c r="J6" s="8"/>
      <c r="K6" s="11" t="s">
        <v>46</v>
      </c>
      <c r="L6" s="8"/>
      <c r="M6" s="8"/>
      <c r="N6" s="8"/>
      <c r="O6" s="8"/>
      <c r="V6" s="9">
        <v>50.0</v>
      </c>
      <c r="AB6" s="51" t="s">
        <v>50</v>
      </c>
    </row>
    <row r="7" ht="15.75" customHeight="1">
      <c r="A7" s="8"/>
      <c r="B7" s="11" t="s">
        <v>38</v>
      </c>
      <c r="C7" s="8"/>
      <c r="D7" s="11" t="s">
        <v>80</v>
      </c>
      <c r="E7" s="37"/>
      <c r="F7" s="8"/>
      <c r="G7" s="8"/>
      <c r="H7" s="8"/>
      <c r="I7" s="8"/>
      <c r="J7" s="8"/>
      <c r="K7" s="11" t="s">
        <v>46</v>
      </c>
      <c r="L7" s="8"/>
      <c r="M7" s="8"/>
      <c r="N7" s="8"/>
      <c r="O7" s="8"/>
      <c r="V7" s="9">
        <v>30.0</v>
      </c>
      <c r="AB7" s="51" t="s">
        <v>50</v>
      </c>
    </row>
    <row r="8" ht="15.75" customHeight="1">
      <c r="A8" s="8"/>
      <c r="B8" s="11" t="s">
        <v>39</v>
      </c>
      <c r="C8" s="8"/>
      <c r="D8" s="11" t="s">
        <v>80</v>
      </c>
      <c r="E8" s="37"/>
      <c r="F8" s="8"/>
      <c r="G8" s="8"/>
      <c r="H8" s="8"/>
      <c r="I8" s="8"/>
      <c r="J8" s="8"/>
      <c r="K8" s="11" t="s">
        <v>46</v>
      </c>
      <c r="L8" s="8"/>
      <c r="M8" s="8"/>
      <c r="N8" s="8"/>
      <c r="O8" s="8"/>
      <c r="V8" s="9">
        <v>15.0</v>
      </c>
      <c r="AB8" s="51" t="s">
        <v>50</v>
      </c>
    </row>
    <row r="9" ht="15.75" customHeight="1">
      <c r="A9" s="8"/>
      <c r="B9" s="11" t="s">
        <v>47</v>
      </c>
      <c r="C9" s="8"/>
      <c r="D9" s="11" t="s">
        <v>81</v>
      </c>
      <c r="E9" s="37"/>
      <c r="F9" s="8"/>
      <c r="G9" s="8"/>
      <c r="H9" s="8"/>
      <c r="I9" s="8"/>
      <c r="J9" s="8"/>
      <c r="K9" s="11" t="s">
        <v>46</v>
      </c>
      <c r="L9" s="8"/>
      <c r="M9" s="8"/>
      <c r="N9" s="8"/>
      <c r="O9" s="8"/>
      <c r="V9" s="9">
        <v>15.0</v>
      </c>
      <c r="AB9" s="9" t="s">
        <v>52</v>
      </c>
    </row>
    <row r="10" ht="15.75" customHeight="1">
      <c r="A10" s="8"/>
      <c r="B10" s="11" t="s">
        <v>38</v>
      </c>
      <c r="C10" s="8"/>
      <c r="D10" s="11" t="s">
        <v>81</v>
      </c>
      <c r="E10" s="37"/>
      <c r="F10" s="8"/>
      <c r="G10" s="8"/>
      <c r="H10" s="8"/>
      <c r="I10" s="8"/>
      <c r="J10" s="8"/>
      <c r="K10" s="11" t="s">
        <v>46</v>
      </c>
      <c r="L10" s="8"/>
      <c r="M10" s="8"/>
      <c r="N10" s="8"/>
      <c r="O10" s="8"/>
      <c r="V10" s="9">
        <v>39.0</v>
      </c>
      <c r="AB10" s="9" t="s">
        <v>52</v>
      </c>
    </row>
    <row r="11" ht="15.75" customHeight="1">
      <c r="A11" s="8"/>
      <c r="B11" s="11" t="s">
        <v>25</v>
      </c>
      <c r="C11" s="8"/>
      <c r="D11" s="11" t="s">
        <v>81</v>
      </c>
      <c r="E11" s="37"/>
      <c r="F11" s="8"/>
      <c r="G11" s="8"/>
      <c r="H11" s="8"/>
      <c r="I11" s="8"/>
      <c r="J11" s="8"/>
      <c r="K11" s="11" t="s">
        <v>46</v>
      </c>
      <c r="L11" s="8"/>
      <c r="M11" s="8"/>
      <c r="N11" s="8"/>
      <c r="O11" s="8"/>
      <c r="V11" s="9">
        <v>15.0</v>
      </c>
      <c r="AB11" s="9" t="s">
        <v>52</v>
      </c>
    </row>
    <row r="12" ht="15.75" customHeight="1">
      <c r="A12" s="8"/>
      <c r="B12" s="11" t="s">
        <v>39</v>
      </c>
      <c r="C12" s="8"/>
      <c r="D12" s="11" t="s">
        <v>81</v>
      </c>
      <c r="E12" s="37"/>
      <c r="F12" s="8"/>
      <c r="G12" s="8"/>
      <c r="H12" s="8"/>
      <c r="I12" s="8"/>
      <c r="J12" s="8"/>
      <c r="K12" s="11" t="s">
        <v>46</v>
      </c>
      <c r="L12" s="8"/>
      <c r="M12" s="8"/>
      <c r="N12" s="8"/>
      <c r="O12" s="8"/>
      <c r="V12" s="9">
        <v>31.0</v>
      </c>
      <c r="AB12" s="9" t="s">
        <v>52</v>
      </c>
    </row>
    <row r="13" ht="15.75" customHeight="1">
      <c r="B13" s="60"/>
      <c r="D13" s="60"/>
      <c r="E13" s="60"/>
      <c r="K13" s="60"/>
      <c r="V13" s="60"/>
      <c r="AE13" s="60"/>
    </row>
    <row r="14" ht="15.75" customHeight="1">
      <c r="B14" s="60"/>
      <c r="D14" s="60"/>
      <c r="E14" s="60"/>
      <c r="K14" s="60"/>
      <c r="V14" s="60"/>
      <c r="AE14" s="60"/>
    </row>
    <row r="15" ht="15.75" customHeight="1">
      <c r="B15" s="60"/>
      <c r="D15" s="60"/>
      <c r="E15" s="60"/>
      <c r="K15" s="60"/>
      <c r="V15" s="60"/>
      <c r="AE15" s="60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82</v>
      </c>
      <c r="C6" s="32"/>
      <c r="D6" s="33" t="s">
        <v>40</v>
      </c>
      <c r="E6" s="32"/>
      <c r="F6" s="32"/>
      <c r="G6" s="32"/>
      <c r="H6" s="39" t="str">
        <f>"PA11-"&amp;text(TODAY(),"dd-mm-yy")</f>
        <v>PA11-19-10-21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UpdateGRDefaultRule2!$4:$4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83</v>
      </c>
      <c r="E6" s="11" t="s">
        <v>84</v>
      </c>
      <c r="F6" s="8"/>
      <c r="G6" s="11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82</v>
      </c>
      <c r="C6" s="8"/>
      <c r="D6" s="11" t="s">
        <v>23</v>
      </c>
      <c r="E6" s="37"/>
      <c r="F6" s="8"/>
      <c r="G6" s="8"/>
      <c r="H6" s="36" t="str">
        <f>"PA11-"&amp;text(TODAY(),"dd-mm-yy")</f>
        <v>PA11-19-10-21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11"/>
      <c r="L6" s="8"/>
      <c r="M6" s="8"/>
      <c r="N6" s="8"/>
      <c r="O6" s="8"/>
      <c r="AE6" s="9">
        <v>100.0</v>
      </c>
      <c r="BJ6" s="9">
        <v>100.0</v>
      </c>
      <c r="BO6" s="9" t="s">
        <v>57</v>
      </c>
      <c r="BS6" s="59" t="s">
        <v>52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11"/>
      <c r="L7" s="8"/>
      <c r="M7" s="8"/>
      <c r="N7" s="8"/>
      <c r="O7" s="8"/>
      <c r="AE7" s="9">
        <v>100.0</v>
      </c>
      <c r="BJ7" s="9">
        <v>100.0</v>
      </c>
      <c r="BO7" s="9" t="s">
        <v>56</v>
      </c>
      <c r="BS7" s="59" t="s">
        <v>52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11"/>
      <c r="L8" s="8"/>
      <c r="M8" s="8"/>
      <c r="N8" s="8"/>
      <c r="O8" s="8"/>
      <c r="AE8" s="9">
        <v>100.0</v>
      </c>
      <c r="BJ8" s="9">
        <v>100.0</v>
      </c>
      <c r="BO8" s="9" t="s">
        <v>51</v>
      </c>
      <c r="BS8" s="11" t="s">
        <v>62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E9" s="9">
        <v>100.0</v>
      </c>
      <c r="BJ9" s="9">
        <v>100.0</v>
      </c>
      <c r="BO9" s="9" t="s">
        <v>59</v>
      </c>
      <c r="BS9" s="59" t="s">
        <v>58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86</v>
      </c>
      <c r="C6" s="8"/>
      <c r="D6" s="11" t="s">
        <v>87</v>
      </c>
      <c r="E6" s="37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86</v>
      </c>
      <c r="C6" s="8"/>
      <c r="D6" s="11" t="s">
        <v>87</v>
      </c>
      <c r="E6" s="37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86</v>
      </c>
      <c r="C6" s="8"/>
      <c r="D6" s="11" t="s">
        <v>87</v>
      </c>
      <c r="E6" s="37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2'!$4:$4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86</v>
      </c>
      <c r="C6" s="8"/>
      <c r="D6" s="11" t="s">
        <v>87</v>
      </c>
      <c r="E6" s="37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3'!$4:$4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