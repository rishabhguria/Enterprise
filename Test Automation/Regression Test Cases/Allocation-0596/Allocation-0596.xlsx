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UnallocatedGroups" sheetId="10" r:id="rId12"/>
    <sheet state="visible" name="SelectTradeOnOrderGrid" sheetId="11" r:id="rId13"/>
    <sheet state="visible" name="SelectTradeSubOrderBlotter" sheetId="12" r:id="rId14"/>
    <sheet state="visible" name="ReplaceSubOrder" sheetId="13" r:id="rId15"/>
    <sheet state="visible" name="CreateReplaceOrder" sheetId="14" r:id="rId16"/>
    <sheet state="visible" name="CheckUnallocatedGroups1" sheetId="15" r:id="rId17"/>
    <sheet state="visible" name="CustomOrderTT" sheetId="16" r:id="rId18"/>
  </sheets>
  <definedNames/>
  <calcPr/>
</workbook>
</file>

<file path=xl/sharedStrings.xml><?xml version="1.0" encoding="utf-8"?>
<sst xmlns="http://schemas.openxmlformats.org/spreadsheetml/2006/main" count="348" uniqueCount="56">
  <si>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</si>
  <si>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</si>
  <si>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</si>
  <si>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</si>
  <si>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</si>
  <si>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</si>
  <si>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</si>
  <si>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</si>
  <si>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</si>
  <si>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</si>
  <si>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</si>
  <si>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</si>
  <si>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</si>
  <si>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</si>
  <si>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</si>
  <si>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</si>
  <si>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</si>
  <si>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</si>
  <si>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</si>
  <si>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</si>
  <si>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Buy</t>
  </si>
  <si>
    <t>Unallocated</t>
  </si>
  <si>
    <t>MS</t>
  </si>
  <si>
    <t>Day</t>
  </si>
  <si>
    <t>Market</t>
  </si>
  <si>
    <t>Flat Amount ProRata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</si>
  <si>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</si>
  <si>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</si>
  <si>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</si>
  <si>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</si>
  <si>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</si>
  <si>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</si>
  <si>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</si>
  <si>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CheckUnallocatedGroups</t>
  </si>
  <si>
    <t/>
  </si>
  <si>
    <t>Equity</t>
  </si>
  <si>
    <t>AAPL US EQUITY</t>
  </si>
  <si>
    <t>NONE</t>
  </si>
  <si>
    <t>Open</t>
  </si>
  <si>
    <t>APPLE</t>
  </si>
  <si>
    <t>USD</t>
  </si>
  <si>
    <t>NASDAQ</t>
  </si>
  <si>
    <t>M</t>
  </si>
  <si>
    <t>None</t>
  </si>
  <si>
    <t>InternalOrder</t>
  </si>
  <si>
    <t>GCCAP1</t>
  </si>
  <si>
    <t>US</t>
  </si>
  <si>
    <t>jpearce</t>
  </si>
  <si>
    <t>Blotter</t>
  </si>
  <si>
    <t>SelectTradeOnOrderGrid</t>
  </si>
  <si>
    <t>PartiallyFilled</t>
  </si>
  <si>
    <t>SelectTradeSubOrderBlotter</t>
  </si>
  <si>
    <t>ReplaceSubOrder</t>
  </si>
  <si>
    <t>CreateReplaceOrder</t>
  </si>
  <si>
    <t>CustomOrderTT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</si>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</sst>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45336</v>
      </c>
      <c r="O6" s="8"/>
      <c r="R6" s="32" t="s">
        <v>25</v>
      </c>
      <c r="S6" s="33">
        <v>20.0</v>
      </c>
      <c r="T6" s="32" t="s">
        <v>25</v>
      </c>
      <c r="U6" s="33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31">
        <f>today()-1</f>
        <v>45335</v>
      </c>
      <c r="D6" s="34">
        <f>today()</f>
        <v>45336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34</v>
      </c>
      <c r="B6" s="35" t="s">
        <v>34</v>
      </c>
      <c r="C6" s="8">
        <v>0.0</v>
      </c>
      <c r="D6" s="35">
        <v>0.0</v>
      </c>
      <c r="E6" s="8"/>
      <c r="F6" s="8" t="s">
        <v>35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36</v>
      </c>
      <c r="M6" s="8" t="s">
        <v>34</v>
      </c>
      <c r="N6" s="8" t="s">
        <v>22</v>
      </c>
      <c r="O6" s="8"/>
      <c r="P6">
        <v>3.0</v>
      </c>
      <c r="R6" t="s">
        <v>37</v>
      </c>
      <c r="S6" t="s">
        <v>38</v>
      </c>
      <c r="T6">
        <v>2.0</v>
      </c>
      <c r="U6">
        <v>0.2</v>
      </c>
      <c r="V6" t="s">
        <v>39</v>
      </c>
      <c r="W6">
        <v>1.0</v>
      </c>
      <c r="X6" t="s">
        <v>34</v>
      </c>
      <c r="Y6" t="s">
        <v>34</v>
      </c>
      <c r="Z6" t="s">
        <v>40</v>
      </c>
      <c r="AA6" t="s">
        <v>19</v>
      </c>
      <c r="AB6">
        <v>1.0</v>
      </c>
      <c r="AD6" t="s">
        <v>41</v>
      </c>
      <c r="AE6">
        <v>10.0</v>
      </c>
      <c r="AG6" t="s">
        <v>42</v>
      </c>
      <c r="AH6">
        <v>1.0</v>
      </c>
      <c r="AI6" t="s">
        <v>43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44</v>
      </c>
      <c r="BE6">
        <v>100.0</v>
      </c>
      <c r="BF6">
        <v>100.0</v>
      </c>
      <c r="BJ6">
        <v>100.0</v>
      </c>
      <c r="BK6">
        <v>0.0</v>
      </c>
      <c r="BL6" t="s">
        <v>34</v>
      </c>
      <c r="BM6" t="s">
        <v>40</v>
      </c>
      <c r="BO6" t="s">
        <v>20</v>
      </c>
      <c r="BP6">
        <v>2.0</v>
      </c>
      <c r="BQ6">
        <v>0.2</v>
      </c>
      <c r="BR6">
        <v>1.0E-4</v>
      </c>
      <c r="BS6" t="s">
        <v>19</v>
      </c>
      <c r="BT6">
        <v>3.0</v>
      </c>
      <c r="BU6">
        <v>4.0</v>
      </c>
      <c r="BW6">
        <v>0.4</v>
      </c>
      <c r="CE6" t="s">
        <v>45</v>
      </c>
      <c r="CF6">
        <v>2.0</v>
      </c>
      <c r="CG6" s="36" t="s">
        <v>17</v>
      </c>
      <c r="CH6" t="s">
        <v>20</v>
      </c>
      <c r="CI6">
        <v>10.0</v>
      </c>
      <c r="CJ6" t="s">
        <v>46</v>
      </c>
      <c r="CK6">
        <v>1.0</v>
      </c>
      <c r="CL6" t="s">
        <v>19</v>
      </c>
      <c r="CM6" t="s">
        <v>47</v>
      </c>
      <c r="CN6" t="s">
        <v>41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50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50</v>
      </c>
      <c r="AL6" s="9">
        <v>100.0</v>
      </c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50</v>
      </c>
      <c r="AM6" s="9">
        <v>100.0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0"/>
      <c r="F6" s="8"/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  <c r="R6" s="32" t="s">
        <v>25</v>
      </c>
      <c r="S6" s="38">
        <v>30.0</v>
      </c>
      <c r="T6" s="32" t="s">
        <v>25</v>
      </c>
      <c r="U6" s="38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34</v>
      </c>
      <c r="B6" s="35" t="s">
        <v>34</v>
      </c>
      <c r="C6" s="8">
        <v>0.0</v>
      </c>
      <c r="D6" s="35">
        <v>0.0</v>
      </c>
      <c r="E6" s="8"/>
      <c r="F6" s="8" t="s">
        <v>35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36</v>
      </c>
      <c r="M6" s="8" t="s">
        <v>34</v>
      </c>
      <c r="N6" s="8" t="s">
        <v>22</v>
      </c>
      <c r="O6" s="8"/>
      <c r="P6">
        <v>3.0</v>
      </c>
      <c r="R6" t="s">
        <v>37</v>
      </c>
      <c r="S6" t="s">
        <v>38</v>
      </c>
      <c r="T6">
        <v>6.0</v>
      </c>
      <c r="U6">
        <v>0.3</v>
      </c>
      <c r="V6" t="s">
        <v>39</v>
      </c>
      <c r="W6">
        <v>1.0</v>
      </c>
      <c r="X6" t="s">
        <v>34</v>
      </c>
      <c r="Y6" t="s">
        <v>34</v>
      </c>
      <c r="Z6" t="s">
        <v>40</v>
      </c>
      <c r="AA6" t="s">
        <v>19</v>
      </c>
      <c r="AB6">
        <v>1.0</v>
      </c>
      <c r="AD6" t="s">
        <v>41</v>
      </c>
      <c r="AE6">
        <v>20.0</v>
      </c>
      <c r="AG6" t="s">
        <v>42</v>
      </c>
      <c r="AH6">
        <v>1.0</v>
      </c>
      <c r="AI6" t="s">
        <v>43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44</v>
      </c>
      <c r="BE6">
        <v>200.0</v>
      </c>
      <c r="BF6">
        <v>200.0</v>
      </c>
      <c r="BJ6">
        <v>100.0</v>
      </c>
      <c r="BK6">
        <v>0.0</v>
      </c>
      <c r="BL6" t="s">
        <v>34</v>
      </c>
      <c r="BM6" t="s">
        <v>40</v>
      </c>
      <c r="BO6" t="s">
        <v>20</v>
      </c>
      <c r="BP6">
        <v>6.0</v>
      </c>
      <c r="BQ6">
        <v>0.3</v>
      </c>
      <c r="BR6">
        <v>1.0E-4</v>
      </c>
      <c r="BS6" t="s">
        <v>19</v>
      </c>
      <c r="BT6">
        <v>3.0</v>
      </c>
      <c r="BU6">
        <v>12.0</v>
      </c>
      <c r="BW6">
        <v>0.6</v>
      </c>
      <c r="CE6" t="s">
        <v>45</v>
      </c>
      <c r="CF6">
        <v>2.0</v>
      </c>
      <c r="CG6" s="36" t="s">
        <v>17</v>
      </c>
      <c r="CH6" t="s">
        <v>20</v>
      </c>
      <c r="CI6">
        <v>20.0</v>
      </c>
      <c r="CJ6" t="s">
        <v>46</v>
      </c>
      <c r="CK6">
        <v>1.0</v>
      </c>
      <c r="CL6" t="s">
        <v>19</v>
      </c>
      <c r="CM6" t="s">
        <v>47</v>
      </c>
      <c r="CN6" t="s">
        <v>41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55</v>
      </c>
      <c r="F6" s="8"/>
      <c r="G6" s="8"/>
      <c r="H6" s="8"/>
      <c r="I6" s="8"/>
      <c r="J6" s="8"/>
      <c r="K6" s="8"/>
      <c r="L6" s="32" t="s">
        <v>25</v>
      </c>
      <c r="M6" s="38">
        <v>30.0</v>
      </c>
      <c r="N6" s="32" t="s">
        <v>25</v>
      </c>
      <c r="O6" s="38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