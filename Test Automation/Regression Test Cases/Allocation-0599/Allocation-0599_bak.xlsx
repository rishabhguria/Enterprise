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GetDataAllocation" sheetId="11" r:id="rId13"/>
    <sheet state="visible" name="CheckAllocatedGroups" sheetId="12" r:id="rId14"/>
    <sheet state="visible" name="CheckAllocatedGroups1" sheetId="13" r:id="rId15"/>
    <sheet state="visible" name="CreateDoneAwayOrder1" sheetId="14" r:id="rId16"/>
    <sheet state="visible" name="SetGeneralPreferences1" sheetId="15" r:id="rId17"/>
    <sheet state="visible" name="CreateLiveOrder1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CheckAllocatedGroups2" sheetId="20" r:id="rId22"/>
    <sheet state="visible" name="CheckAllocatedGroups3" sheetId="21" r:id="rId23"/>
    <sheet state="visible" name="RestartClient" sheetId="22" r:id="rId24"/>
    <sheet state="visible" name="Copy of Data" sheetId="23" r:id="rId25"/>
  </sheets>
  <definedNames/>
  <calcPr/>
</workbook>
</file>

<file path=xl/sharedStrings.xml><?xml version="1.0" encoding="utf-8"?>
<sst xmlns="http://schemas.openxmlformats.org/spreadsheetml/2006/main" count="627" uniqueCount="69">
  <si>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</si>
  <si>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</si>
  <si>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</si>
  <si>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</si>
  <si>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</si>
  <si>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</si>
  <si>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</si>
  <si>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</si>
  <si>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</si>
  <si>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</si>
  <si>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</si>
  <si>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</si>
  <si>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</si>
  <si>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</si>
  <si>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</si>
  <si>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</si>
  <si>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</si>
  <si>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</si>
  <si>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</si>
  <si>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</si>
  <si>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</si>
  <si>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</si>
  <si>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Allocation2</t>
  </si>
  <si>
    <t>Allocation</t>
  </si>
  <si>
    <t>SetGeneralPreferences</t>
  </si>
  <si>
    <t>Pref</t>
  </si>
  <si>
    <t>RunProrata</t>
  </si>
  <si>
    <t>CreateLiveOrder</t>
  </si>
  <si>
    <t>Sell</t>
  </si>
  <si>
    <t>Hello</t>
  </si>
  <si>
    <t>Flat Amount</t>
  </si>
  <si>
    <t>Simulator</t>
  </si>
  <si>
    <t>SelectTrade</t>
  </si>
  <si>
    <t>AcknowledgeTrade</t>
  </si>
  <si>
    <t>ExecuteTrade</t>
  </si>
  <si>
    <t>GetDataAllocation</t>
  </si>
  <si>
    <t>Historical</t>
  </si>
  <si>
    <t>CheckAllocatedGroups</t>
  </si>
  <si>
    <t/>
  </si>
  <si>
    <t>Multiple</t>
  </si>
  <si>
    <t>Actual_365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</si>
  <si>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</si>
  <si>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</si>
  <si>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</si>
  <si>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</si>
  <si>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</si>
  <si>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</si>
  <si>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</si>
  <si>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</si>
  <si>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</si>
  <si>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</si>
  <si>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Strategy Unallocated</t>
  </si>
  <si>
    <t>GCCAP1</t>
  </si>
  <si>
    <t>FIX</t>
  </si>
  <si>
    <t>US</t>
  </si>
  <si>
    <t>jpearce</t>
  </si>
  <si>
    <t>NONE</t>
  </si>
  <si>
    <t>Manual</t>
  </si>
  <si>
    <t>MSFT</t>
  </si>
  <si>
    <t>Allocation3</t>
  </si>
  <si>
    <t>Allocation4</t>
  </si>
  <si>
    <t>Pref1</t>
  </si>
  <si>
    <t>Notional BPS</t>
  </si>
  <si>
    <t>MSFT US EQUITY</t>
  </si>
  <si>
    <t>MICROSOFT INC</t>
  </si>
  <si>
    <t>PranaClient</t>
  </si>
  <si>
    <t>RestartClient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</si>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</sst>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50.0</v>
      </c>
      <c r="E6" s="34">
        <v>50.0</v>
      </c>
      <c r="F6" s="32" t="s">
        <v>18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6">
        <f t="shared" ref="N6:N7" si="1">today()</f>
        <v>45243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2" t="s">
        <v>16</v>
      </c>
      <c r="C7" s="32" t="s">
        <v>17</v>
      </c>
      <c r="D7" s="34">
        <v>50.0</v>
      </c>
      <c r="E7" s="34">
        <v>50.0</v>
      </c>
      <c r="F7" s="32" t="s">
        <v>22</v>
      </c>
      <c r="G7" s="32" t="s">
        <v>19</v>
      </c>
      <c r="H7" s="32" t="s">
        <v>20</v>
      </c>
      <c r="I7" s="32" t="s">
        <v>21</v>
      </c>
      <c r="J7" s="34">
        <v>10.0</v>
      </c>
      <c r="K7" s="35"/>
      <c r="L7" s="35"/>
      <c r="M7" s="35"/>
      <c r="N7" s="36">
        <f t="shared" si="1"/>
        <v>45243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 t="s">
        <v>25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f>today()</f>
        <v>45243</v>
      </c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28</v>
      </c>
      <c r="D6" s="33">
        <v>100.0</v>
      </c>
      <c r="E6" s="34">
        <v>100.0</v>
      </c>
      <c r="F6" s="32" t="s">
        <v>25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6">
        <f>today()</f>
        <v>45243</v>
      </c>
      <c r="O6" s="35"/>
      <c r="P6" s="37" t="s">
        <v>29</v>
      </c>
      <c r="Q6" s="35"/>
      <c r="R6" s="37" t="s">
        <v>30</v>
      </c>
      <c r="S6" s="38">
        <v>20.0</v>
      </c>
      <c r="T6" s="37" t="s">
        <v>30</v>
      </c>
      <c r="U6" s="38">
        <v>20.0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6">
        <f>TODAY()-1</f>
        <v>45242</v>
      </c>
      <c r="D6" s="36">
        <f>TODAY()</f>
        <v>45243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38</v>
      </c>
      <c r="B6" s="40" t="s">
        <v>39</v>
      </c>
      <c r="C6" s="8" t="s">
        <v>40</v>
      </c>
      <c r="D6" s="40">
        <v>0.0</v>
      </c>
      <c r="E6" s="8">
        <v>10.0</v>
      </c>
      <c r="F6" s="8" t="s">
        <v>25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42</v>
      </c>
      <c r="N6" s="8" t="s">
        <v>43</v>
      </c>
      <c r="O6" s="8" t="s">
        <v>19</v>
      </c>
      <c r="Q6">
        <v>3.0</v>
      </c>
      <c r="R6">
        <v>0.0</v>
      </c>
      <c r="S6" t="s">
        <v>44</v>
      </c>
      <c r="T6">
        <v>20.0</v>
      </c>
      <c r="U6">
        <v>2.0</v>
      </c>
      <c r="V6" t="s">
        <v>45</v>
      </c>
      <c r="W6">
        <v>1.0</v>
      </c>
      <c r="X6">
        <v>0.0</v>
      </c>
      <c r="Y6" t="s">
        <v>38</v>
      </c>
      <c r="Z6" t="s">
        <v>46</v>
      </c>
      <c r="AA6" t="s">
        <v>16</v>
      </c>
      <c r="AB6">
        <v>1.0</v>
      </c>
      <c r="AD6" t="s">
        <v>47</v>
      </c>
      <c r="AE6">
        <v>10.0</v>
      </c>
      <c r="AF6" t="s">
        <v>38</v>
      </c>
      <c r="AH6" t="s">
        <v>48</v>
      </c>
      <c r="AI6">
        <v>1.0</v>
      </c>
      <c r="AJ6" t="s">
        <v>49</v>
      </c>
      <c r="AM6" t="s">
        <v>29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45.9999</v>
      </c>
      <c r="AU6">
        <v>45.9999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50</v>
      </c>
      <c r="BE6">
        <v>100.0</v>
      </c>
      <c r="BF6">
        <v>100.0</v>
      </c>
      <c r="BJ6">
        <v>100.0</v>
      </c>
      <c r="BK6">
        <v>0.0</v>
      </c>
      <c r="BL6" t="s">
        <v>38</v>
      </c>
      <c r="BM6" t="s">
        <v>46</v>
      </c>
      <c r="BO6" t="s">
        <v>28</v>
      </c>
      <c r="BP6">
        <v>20.0</v>
      </c>
      <c r="BQ6">
        <v>2.0</v>
      </c>
      <c r="BR6">
        <v>1.0E-4</v>
      </c>
      <c r="BS6" t="s">
        <v>51</v>
      </c>
      <c r="BT6" t="s">
        <v>16</v>
      </c>
      <c r="BU6">
        <v>3.0</v>
      </c>
      <c r="BV6">
        <v>40.0</v>
      </c>
      <c r="BW6">
        <v>54.0001</v>
      </c>
      <c r="BX6">
        <v>4.0</v>
      </c>
      <c r="CF6" t="s">
        <v>52</v>
      </c>
      <c r="CG6">
        <v>2.0</v>
      </c>
      <c r="CH6" t="s">
        <v>53</v>
      </c>
      <c r="CI6" t="s">
        <v>28</v>
      </c>
      <c r="CJ6">
        <v>0.0</v>
      </c>
      <c r="CK6" t="s">
        <v>54</v>
      </c>
      <c r="CL6">
        <v>1.0</v>
      </c>
      <c r="CM6" t="s">
        <v>16</v>
      </c>
      <c r="CN6" t="s">
        <v>55</v>
      </c>
      <c r="CO6" t="s">
        <v>47</v>
      </c>
      <c r="CP6" t="s">
        <v>56</v>
      </c>
      <c r="CS6" t="s">
        <v>38</v>
      </c>
      <c r="CW6">
        <v>0.0</v>
      </c>
      <c r="CX6" t="s">
        <v>39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38</v>
      </c>
      <c r="B6" s="40" t="s">
        <v>39</v>
      </c>
      <c r="C6" s="8" t="s">
        <v>40</v>
      </c>
      <c r="D6" s="40">
        <v>0.0</v>
      </c>
      <c r="E6" s="8">
        <v>20.0</v>
      </c>
      <c r="F6" s="8" t="s">
        <v>57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42</v>
      </c>
      <c r="N6" s="8" t="s">
        <v>43</v>
      </c>
      <c r="O6" s="8" t="s">
        <v>19</v>
      </c>
      <c r="Q6">
        <v>3.0</v>
      </c>
      <c r="R6">
        <v>0.0</v>
      </c>
      <c r="S6" t="s">
        <v>44</v>
      </c>
      <c r="T6">
        <v>20.0</v>
      </c>
      <c r="U6">
        <v>1.0</v>
      </c>
      <c r="V6" t="s">
        <v>45</v>
      </c>
      <c r="W6">
        <v>1.0</v>
      </c>
      <c r="X6">
        <v>0.0</v>
      </c>
      <c r="Y6" t="s">
        <v>38</v>
      </c>
      <c r="Z6" t="s">
        <v>46</v>
      </c>
      <c r="AA6" t="s">
        <v>16</v>
      </c>
      <c r="AB6">
        <v>1.0</v>
      </c>
      <c r="AD6" t="s">
        <v>47</v>
      </c>
      <c r="AE6">
        <v>20.0</v>
      </c>
      <c r="AF6" t="s">
        <v>38</v>
      </c>
      <c r="AH6" t="s">
        <v>48</v>
      </c>
      <c r="AI6">
        <v>1.0</v>
      </c>
      <c r="AJ6" t="s">
        <v>49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145.9999</v>
      </c>
      <c r="AU6">
        <v>145.9999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50</v>
      </c>
      <c r="BE6">
        <v>200.0</v>
      </c>
      <c r="BF6">
        <v>200.0</v>
      </c>
      <c r="BJ6">
        <v>100.0</v>
      </c>
      <c r="BK6">
        <v>0.0</v>
      </c>
      <c r="BL6" t="s">
        <v>38</v>
      </c>
      <c r="BM6" t="s">
        <v>46</v>
      </c>
      <c r="BO6" t="s">
        <v>28</v>
      </c>
      <c r="BP6">
        <v>20.0</v>
      </c>
      <c r="BQ6">
        <v>1.0</v>
      </c>
      <c r="BR6">
        <v>1.0E-4</v>
      </c>
      <c r="BS6" t="s">
        <v>51</v>
      </c>
      <c r="BT6" t="s">
        <v>16</v>
      </c>
      <c r="BU6">
        <v>3.0</v>
      </c>
      <c r="BV6">
        <v>40.0</v>
      </c>
      <c r="BW6">
        <v>54.0001</v>
      </c>
      <c r="BX6">
        <v>2.0</v>
      </c>
      <c r="CF6" t="s">
        <v>52</v>
      </c>
      <c r="CG6">
        <v>2.0</v>
      </c>
      <c r="CH6" t="s">
        <v>53</v>
      </c>
      <c r="CI6" t="s">
        <v>28</v>
      </c>
      <c r="CJ6">
        <v>0.0</v>
      </c>
      <c r="CK6" t="s">
        <v>54</v>
      </c>
      <c r="CL6">
        <v>1.0</v>
      </c>
      <c r="CM6" t="s">
        <v>16</v>
      </c>
      <c r="CN6" t="s">
        <v>55</v>
      </c>
      <c r="CO6" t="s">
        <v>47</v>
      </c>
      <c r="CP6" t="s">
        <v>56</v>
      </c>
      <c r="CS6" t="s">
        <v>38</v>
      </c>
      <c r="CW6">
        <v>0.0</v>
      </c>
      <c r="CX6" t="s">
        <v>39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58</v>
      </c>
      <c r="C6" s="32" t="s">
        <v>17</v>
      </c>
      <c r="D6" s="33">
        <v>50.0</v>
      </c>
      <c r="E6" s="34">
        <v>50.0</v>
      </c>
      <c r="F6" s="42" t="s">
        <v>59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6">
        <f t="shared" ref="N6:N7" si="1">today()</f>
        <v>45243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2" t="s">
        <v>58</v>
      </c>
      <c r="C7" s="32" t="s">
        <v>17</v>
      </c>
      <c r="D7" s="34">
        <v>50.0</v>
      </c>
      <c r="E7" s="34">
        <v>50.0</v>
      </c>
      <c r="F7" s="42" t="s">
        <v>60</v>
      </c>
      <c r="G7" s="32" t="s">
        <v>19</v>
      </c>
      <c r="H7" s="32" t="s">
        <v>20</v>
      </c>
      <c r="I7" s="32" t="s">
        <v>21</v>
      </c>
      <c r="J7" s="34">
        <v>10.0</v>
      </c>
      <c r="K7" s="35"/>
      <c r="L7" s="35"/>
      <c r="M7" s="35"/>
      <c r="N7" s="36">
        <f t="shared" si="1"/>
        <v>45243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7" t="s">
        <v>61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58</v>
      </c>
      <c r="C6" s="32" t="s">
        <v>28</v>
      </c>
      <c r="D6" s="33">
        <v>100.0</v>
      </c>
      <c r="E6" s="34">
        <v>100.0</v>
      </c>
      <c r="F6" s="42" t="s">
        <v>61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6">
        <f>today()</f>
        <v>45243</v>
      </c>
      <c r="O6" s="35"/>
      <c r="P6" s="37" t="s">
        <v>29</v>
      </c>
      <c r="Q6" s="35"/>
      <c r="R6" s="37" t="s">
        <v>62</v>
      </c>
      <c r="S6" s="38">
        <v>20.0</v>
      </c>
      <c r="T6" s="37" t="s">
        <v>62</v>
      </c>
      <c r="U6" s="38">
        <v>20.0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58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58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38</v>
      </c>
      <c r="B6" s="40" t="s">
        <v>39</v>
      </c>
      <c r="C6" s="8" t="s">
        <v>40</v>
      </c>
      <c r="D6" s="40">
        <v>0.0</v>
      </c>
      <c r="E6" s="8">
        <v>10.0</v>
      </c>
      <c r="F6" s="8" t="s">
        <v>61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63</v>
      </c>
      <c r="N6" s="8" t="s">
        <v>43</v>
      </c>
      <c r="O6" s="8" t="s">
        <v>19</v>
      </c>
      <c r="Q6">
        <v>3.0</v>
      </c>
      <c r="R6">
        <v>0.0</v>
      </c>
      <c r="S6" t="s">
        <v>44</v>
      </c>
      <c r="T6">
        <v>0.2</v>
      </c>
      <c r="U6">
        <v>0.02</v>
      </c>
      <c r="V6" t="s">
        <v>64</v>
      </c>
      <c r="W6">
        <v>1.0</v>
      </c>
      <c r="X6">
        <v>0.0</v>
      </c>
      <c r="Y6" t="s">
        <v>38</v>
      </c>
      <c r="Z6" t="s">
        <v>46</v>
      </c>
      <c r="AB6">
        <v>1.0</v>
      </c>
      <c r="AD6" t="s">
        <v>47</v>
      </c>
      <c r="AE6">
        <v>10.0</v>
      </c>
      <c r="AF6" t="s">
        <v>38</v>
      </c>
      <c r="AH6" t="s">
        <v>48</v>
      </c>
      <c r="AI6">
        <v>1.0</v>
      </c>
      <c r="AJ6" t="s">
        <v>49</v>
      </c>
      <c r="AM6" s="9" t="s">
        <v>29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85.5999</v>
      </c>
      <c r="AU6">
        <v>85.5999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50</v>
      </c>
      <c r="BE6">
        <v>100.0</v>
      </c>
      <c r="BF6">
        <v>100.0</v>
      </c>
      <c r="BJ6">
        <v>100.0</v>
      </c>
      <c r="BK6">
        <v>0.0</v>
      </c>
      <c r="BL6" t="s">
        <v>38</v>
      </c>
      <c r="BM6" t="s">
        <v>46</v>
      </c>
      <c r="BO6" t="s">
        <v>28</v>
      </c>
      <c r="BP6">
        <v>0.2</v>
      </c>
      <c r="BQ6">
        <v>0.02</v>
      </c>
      <c r="BR6">
        <v>1.0E-4</v>
      </c>
      <c r="BS6" t="s">
        <v>51</v>
      </c>
      <c r="BT6" t="s">
        <v>58</v>
      </c>
      <c r="BU6">
        <v>3.0</v>
      </c>
      <c r="BV6">
        <v>0.4</v>
      </c>
      <c r="BW6">
        <v>14.4001</v>
      </c>
      <c r="BX6">
        <v>0.04</v>
      </c>
      <c r="CF6" t="s">
        <v>52</v>
      </c>
      <c r="CG6">
        <v>2.0</v>
      </c>
      <c r="CH6" t="s">
        <v>53</v>
      </c>
      <c r="CI6" t="s">
        <v>28</v>
      </c>
      <c r="CJ6">
        <v>0.0</v>
      </c>
      <c r="CK6" t="s">
        <v>54</v>
      </c>
      <c r="CL6">
        <v>1.0</v>
      </c>
      <c r="CM6" t="s">
        <v>58</v>
      </c>
      <c r="CN6" t="s">
        <v>55</v>
      </c>
      <c r="CO6" t="s">
        <v>47</v>
      </c>
      <c r="CP6" t="s">
        <v>56</v>
      </c>
      <c r="CS6" t="s">
        <v>38</v>
      </c>
      <c r="CW6">
        <v>0.0</v>
      </c>
      <c r="CX6" t="s">
        <v>39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38</v>
      </c>
      <c r="B6" s="40" t="s">
        <v>39</v>
      </c>
      <c r="C6" s="8" t="s">
        <v>40</v>
      </c>
      <c r="D6" s="40">
        <v>0.0</v>
      </c>
      <c r="E6" s="8">
        <v>20.0</v>
      </c>
      <c r="F6" s="8"/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63</v>
      </c>
      <c r="N6" s="8" t="s">
        <v>43</v>
      </c>
      <c r="O6" s="8" t="s">
        <v>19</v>
      </c>
      <c r="Q6">
        <v>3.0</v>
      </c>
      <c r="R6">
        <v>0.0</v>
      </c>
      <c r="S6" t="s">
        <v>44</v>
      </c>
      <c r="T6">
        <v>0.4</v>
      </c>
      <c r="U6">
        <v>0.02</v>
      </c>
      <c r="V6" t="s">
        <v>64</v>
      </c>
      <c r="W6">
        <v>1.0</v>
      </c>
      <c r="X6">
        <v>0.0</v>
      </c>
      <c r="Y6" t="s">
        <v>38</v>
      </c>
      <c r="Z6" t="s">
        <v>46</v>
      </c>
      <c r="AB6">
        <v>1.0</v>
      </c>
      <c r="AD6" t="s">
        <v>47</v>
      </c>
      <c r="AE6">
        <v>20.0</v>
      </c>
      <c r="AF6" t="s">
        <v>38</v>
      </c>
      <c r="AH6" t="s">
        <v>48</v>
      </c>
      <c r="AI6">
        <v>1.0</v>
      </c>
      <c r="AJ6" t="s">
        <v>49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185.1999</v>
      </c>
      <c r="AU6">
        <v>185.1999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50</v>
      </c>
      <c r="BE6">
        <v>200.0</v>
      </c>
      <c r="BF6">
        <v>200.0</v>
      </c>
      <c r="BJ6">
        <v>100.0</v>
      </c>
      <c r="BK6">
        <v>0.0</v>
      </c>
      <c r="BL6" t="s">
        <v>38</v>
      </c>
      <c r="BM6" t="s">
        <v>46</v>
      </c>
      <c r="BO6" t="s">
        <v>28</v>
      </c>
      <c r="BP6">
        <v>0.4</v>
      </c>
      <c r="BQ6">
        <v>0.02</v>
      </c>
      <c r="BR6">
        <v>1.0E-4</v>
      </c>
      <c r="BS6" t="s">
        <v>51</v>
      </c>
      <c r="BT6" t="s">
        <v>58</v>
      </c>
      <c r="BU6">
        <v>3.0</v>
      </c>
      <c r="BV6">
        <v>0.8</v>
      </c>
      <c r="BW6">
        <v>14.8001</v>
      </c>
      <c r="BX6">
        <v>0.04</v>
      </c>
      <c r="CF6" t="s">
        <v>52</v>
      </c>
      <c r="CG6">
        <v>2.0</v>
      </c>
      <c r="CH6" t="s">
        <v>53</v>
      </c>
      <c r="CI6" t="s">
        <v>28</v>
      </c>
      <c r="CJ6">
        <v>0.0</v>
      </c>
      <c r="CK6" t="s">
        <v>54</v>
      </c>
      <c r="CL6">
        <v>1.0</v>
      </c>
      <c r="CM6" t="s">
        <v>58</v>
      </c>
      <c r="CN6" t="s">
        <v>55</v>
      </c>
      <c r="CO6" t="s">
        <v>47</v>
      </c>
      <c r="CP6" t="s">
        <v>56</v>
      </c>
      <c r="CS6" t="s">
        <v>38</v>
      </c>
      <c r="CW6">
        <v>0.0</v>
      </c>
      <c r="CX6" t="s">
        <v>39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8"/>
      <c r="D6" s="12" t="s">
        <v>68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8"/>
      <c r="D6" s="12" t="s">
        <v>68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