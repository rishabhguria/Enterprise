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PortfolioManagement" sheetId="26" r:id="rId28"/>
    <sheet state="visible" name="CheckAllocatedGroups" sheetId="27" r:id="rId29"/>
  </sheets>
  <calcPr fullCalcOnLoad="1" fullPrecision="1"/>
</workbook>
</file>

<file path=xl/sharedStrings.xml><?xml version="1.0" encoding="utf-8"?>
<sst xmlns="http://schemas.openxmlformats.org/spreadsheetml/2006/main" count="376" uniqueCount="376">
  <si>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</si>
  <si>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</si>
  <si>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</si>
  <si>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</si>
  <si>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</si>
  <si>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</si>
  <si>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</si>
  <si>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</si>
  <si>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</si>
  <si>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</si>
  <si>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</si>
  <si>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</si>
  <si>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</si>
  <si>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</si>
  <si>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</si>
  <si>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</si>
  <si>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</si>
  <si>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</si>
  <si>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</si>
  <si>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</si>
  <si>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</si>
  <si>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</si>
  <si>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</si>
  <si>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</si>
  <si>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</si>
  <si>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</si>
  <si>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</si>
  <si>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</si>
  <si>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</si>
  <si>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</si>
  <si>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</si>
  <si>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</si>
  <si>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</si>
  <si>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</si>
  <si>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</si>
  <si>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</si>
  <si>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SAP</t>
  </si>
  <si>
    <t>Sell</t>
  </si>
  <si>
    <t>SellShort</t>
  </si>
  <si>
    <t>KO</t>
  </si>
  <si>
    <t>INFY</t>
  </si>
  <si>
    <t>AMZN</t>
  </si>
  <si>
    <t>BuyToClose</t>
  </si>
  <si>
    <t>912828WJ5</t>
  </si>
  <si>
    <t>GLE-LON</t>
  </si>
  <si>
    <t>0303-HKG</t>
  </si>
  <si>
    <t>Round Down</t>
  </si>
  <si>
    <t>Nearest Round Off</t>
  </si>
  <si>
    <t>TradingTicket</t>
  </si>
  <si>
    <t>CreateDoneAwayOrder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</si>
  <si>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</si>
  <si>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</si>
  <si>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</si>
  <si>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</si>
  <si>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</si>
  <si>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</si>
  <si>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</si>
  <si>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</si>
  <si>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</si>
  <si>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</si>
  <si>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</si>
  <si>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</si>
  <si>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</si>
  <si>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</si>
  <si>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</si>
  <si>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</si>
  <si>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</si>
  <si>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</si>
  <si>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</si>
  <si>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</si>
  <si>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</si>
  <si>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</si>
  <si>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</si>
  <si>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</si>
  <si>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</si>
  <si>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</si>
  <si>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</si>
  <si>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</si>
  <si>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</si>
  <si>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</si>
  <si>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</si>
  <si>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</si>
  <si>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</si>
  <si>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</si>
  <si>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</si>
  <si>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</si>
  <si>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</si>
  <si>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</si>
  <si>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</si>
  <si>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</si>
  <si>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</si>
  <si>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</si>
  <si>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</si>
  <si>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</si>
  <si>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</si>
  <si>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</si>
  <si>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</si>
  <si>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</si>
  <si>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</si>
  <si>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</si>
  <si>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</si>
  <si>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</si>
  <si>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msft</t>
  </si>
  <si>
    <t>buy</t>
  </si>
  <si>
    <t>Order Side</t>
  </si>
  <si>
    <t>Quantity</t>
  </si>
  <si>
    <t>TargetQuantityIn</t>
  </si>
  <si>
    <t>AllocationMethod</t>
  </si>
  <si>
    <t>TIF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</si>
  <si>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</si>
  <si>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</si>
  <si>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</si>
  <si>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</si>
  <si>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</si>
  <si>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</si>
  <si>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</si>
  <si>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</si>
  <si>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</si>
  <si>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</si>
  <si>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</si>
  <si>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</si>
  <si>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</si>
  <si>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</si>
  <si>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</si>
  <si>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</si>
  <si>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</si>
  <si>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</si>
  <si>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</si>
  <si>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</si>
  <si>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</si>
  <si>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</si>
  <si>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</si>
  <si>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</si>
  <si>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</si>
  <si>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</si>
  <si>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</si>
  <si>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</si>
  <si>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</si>
  <si>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</si>
  <si>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</si>
  <si>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</si>
  <si>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</si>
  <si>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AvgPrice</t>
  </si>
  <si>
    <t>Shares</t>
  </si>
  <si>
    <t>ClearAllPrice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</si>
  <si>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</si>
  <si>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</si>
  <si>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</si>
  <si>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</si>
  <si>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</si>
  <si>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</si>
  <si>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</si>
  <si>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</si>
  <si>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</si>
  <si>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</si>
  <si>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</si>
  <si>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</si>
  <si>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</si>
  <si>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</si>
  <si>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</si>
  <si>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</si>
  <si>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</si>
  <si>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</si>
  <si>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</si>
  <si>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</si>
  <si>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</si>
  <si>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</si>
  <si>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</si>
  <si>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</si>
  <si>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</si>
  <si>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</si>
  <si>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</si>
  <si>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</si>
  <si>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</si>
  <si>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</si>
  <si>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</si>
  <si>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</si>
  <si>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</si>
  <si>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</si>
  <si>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</si>
  <si>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</si>
  <si>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</si>
  <si>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</si>
  <si>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</si>
  <si>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</si>
  <si>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</si>
  <si>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</si>
  <si>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</si>
  <si>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</si>
  <si>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</si>
  <si>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</si>
  <si>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</si>
  <si>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</si>
  <si>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</si>
  <si>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</si>
  <si>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</si>
  <si>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</si>
  <si>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</si>
  <si>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</si>
  <si>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</si>
  <si>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</si>
  <si>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</si>
  <si>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</si>
  <si>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</si>
  <si>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</si>
  <si>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</si>
  <si>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</si>
  <si>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</si>
  <si>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</si>
  <si>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</si>
  <si>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</si>
  <si>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</si>
  <si>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</si>
  <si>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</si>
  <si>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</si>
  <si>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</si>
  <si>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</si>
  <si>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</si>
  <si>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</si>
  <si>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</si>
  <si>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</si>
  <si>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</si>
  <si>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</si>
  <si>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</si>
  <si>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</si>
  <si>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</si>
  <si>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</si>
  <si>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</si>
  <si>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</si>
  <si>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</si>
  <si>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</si>
  <si>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</si>
  <si>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</si>
  <si>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</si>
  <si>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</si>
  <si>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</si>
  <si>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</si>
  <si>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</si>
  <si>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</si>
  <si>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</si>
  <si>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</si>
  <si>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</si>
  <si>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</si>
  <si>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</si>
  <si>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</si>
  <si>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</si>
  <si>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</si>
  <si>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</si>
  <si>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</si>
  <si>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</si>
  <si>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</si>
  <si>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</si>
  <si>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</si>
  <si>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</si>
  <si>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</si>
  <si>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</si>
  <si>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</si>
  <si>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</si>
  <si>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</si>
  <si>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</si>
  <si>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</si>
  <si>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</si>
  <si>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</si>
  <si>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</si>
  <si>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</si>
  <si>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</si>
  <si>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</si>
  <si>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</si>
  <si>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</si>
  <si>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</si>
  <si>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</si>
  <si>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</si>
  <si>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</si>
  <si>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</si>
  <si>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</si>
  <si>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</si>
  <si>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</si>
  <si>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</si>
  <si>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</si>
  <si>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</si>
  <si>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</si>
  <si>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</si>
  <si>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</si>
  <si>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</si>
  <si>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</si>
  <si>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</si>
  <si>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</si>
  <si>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</si>
  <si>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</si>
  <si>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</si>
  <si>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</si>
  <si>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</si>
  <si>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</si>
  <si>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</si>
  <si>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</si>
  <si>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</si>
  <si>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</si>
  <si>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</si>
  <si>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</si>
  <si>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</si>
  <si>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</si>
  <si>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</si>
  <si>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</si>
  <si>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</si>
  <si>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</si>
  <si>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</si>
  <si>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</si>
  <si>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</si>
  <si>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</si>
  <si>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</si>
  <si>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</si>
  <si>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</si>
  <si>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</si>
  <si>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</si>
  <si>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</si>
  <si>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</si>
  <si>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</si>
  <si>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</si>
  <si>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</si>
  <si>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</si>
  <si>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</si>
  <si>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</si>
  <si>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</si>
  <si>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</si>
  <si>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</si>
  <si>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</si>
  <si>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</si>
  <si>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Executed Qty</t>
  </si>
  <si>
    <t>Exceution Time</t>
  </si>
  <si>
    <t>Group Status</t>
  </si>
  <si>
    <t>IDCOSymbol</t>
  </si>
  <si>
    <t>Import File Name</t>
  </si>
  <si>
    <t>IsAnotherTaxlotAttributesUpdated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</si>
  <si>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</si>
  <si>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</si>
  <si>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</si>
  <si>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</si>
  <si>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</si>
  <si>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</si>
  <si>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</si>
  <si>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</si>
  <si>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</si>
  <si>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</si>
  <si>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</si>
  <si>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</si>
  <si>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</si>
  <si>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</si>
  <si>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</si>
  <si>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</si>
  <si>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</si>
  <si>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</si>
  <si>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</si>
  <si>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</si>
  <si>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</si>
  <si>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</si>
  <si>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</si>
  <si>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</si>
  <si>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</si>
  <si>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</si>
  <si>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</si>
  <si>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</si>
  <si>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</si>
  <si>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</si>
  <si>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</si>
  <si>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</si>
  <si>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Method</t>
  </si>
  <si>
    <t>Closing Date</t>
  </si>
  <si>
    <t>GroupID</t>
  </si>
  <si>
    <t>Borrow Broker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</si>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</sst>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13" applyFont="1" fillId="0" borderId="0" xfId="0" applyAlignment="1"/>
    <xf numFmtId="0" fontId="13" applyFont="1" fillId="0" borderId="0" xfId="0" applyAlignment="1">
      <alignment horizontal="right"/>
    </xf>
    <xf numFmtId="3" applyNumberFormat="1" fontId="13" applyFont="1" fillId="0" borderId="0" xfId="0" applyAlignment="1">
      <alignment horizontal="right"/>
    </xf>
    <xf numFmtId="0" fontId="1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9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IFERROR(__xludf.DUMMYFUNCTION("""COMPUTED_VALUE"""),"1pIqb45gaTMZAVl6ZTIr9XBk4KURb-nsLncnz6oXfhbs")</f>
        <v>1pIqb45gaTMZAVl6ZTIr9XBk4KURb-nsLncnz6oXfhbs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IFERROR(__xludf.DUMMYFUNCTION("""COMPUTED_VALUE"""),"1p-jiDGPGYwCR90lkSnOJde0bJTbS9VRZ-owO733geR8")</f>
        <v>1p-jiDGPGYwCR90lkSnOJde0bJTbS9VRZ-owO733geR8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IFERROR(__xludf.DUMMYFUNCTION("""COMPUTED_VALUE"""),"1lkSiBclw-Nrw61K0j2t1vOsiLqNO8ejgCPuA23bupec")</f>
        <v>1lkSiBclw-Nrw61K0j2t1vOsiLqNO8ejgCPuA23bupec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IFERROR(__xludf.DUMMYFUNCTION("""COMPUTED_VALUE"""),"1KZmCs4XZYKInO0g2s3RZpteE670ImER8luciQluLB8Q")</f>
        <v>1KZmCs4XZYKInO0g2s3RZpteE670ImER8luciQluLB8Q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IFERROR(__xludf.DUMMYFUNCTION("""COMPUTED_VALUE"""),"1wokLkQCDTR1Moa2-CJdvv9EBpX8uIBke1ynZq7Am8Qo")</f>
        <v>1wokLkQCDTR1Moa2-CJdvv9EBpX8uIBke1ynZq7Am8Qo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IFERROR(__xludf.DUMMYFUNCTION("""COMPUTED_VALUE"""),"1pwqFJvfA5qKkD2Qmt-A4AWYNSsLomMIhtyww_eUX__s")</f>
        <v>1pwqFJvfA5qKkD2Qmt-A4AWYNSsLomMIhtyww_eUX__s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IFERROR(__xludf.DUMMYFUNCTION("""COMPUTED_VALUE"""),"RTPNL")</f>
        <v>RTPNL</v>
      </c>
      <c r="B767" s="0" t="str">
        <f>IFERROR(__xludf.DUMMYFUNCTION("""COMPUTED_VALUE"""),"RenameTabs")</f>
        <v>RenameTabs</v>
      </c>
      <c r="C767" s="0" t="str">
        <f>IFERROR(__xludf.DUMMYFUNCTION("""COMPUTED_VALUE"""),"1K7LcioEl1sTwLRhqHc9go_7jNmUIRZNy9zBQLMgtBw8")</f>
        <v>1K7LcioEl1sTwLRhqHc9go_7jNmUIRZNy9zBQLMgtBw8</v>
      </c>
    </row>
    <row r="768" ht="15.75" customHeight="1">
      <c r="A768" s="0" t="str">
        <f>IFERROR(__xludf.DUMMYFUNCTION("""COMPUTED_VALUE"""),"RTPNL")</f>
        <v>RTPNL</v>
      </c>
      <c r="B768" s="0" t="str">
        <f>IFERROR(__xludf.DUMMYFUNCTION("""COMPUTED_VALUE"""),"ResizeEnsure")</f>
        <v>ResizeEnsure</v>
      </c>
      <c r="C768" s="0" t="str">
        <f>IFERROR(__xludf.DUMMYFUNCTION("""COMPUTED_VALUE"""),"1-peVyQ_nIwd8owwmtDtNW-yx12KQx2nHeYee6duB46M")</f>
        <v>1-peVyQ_nIwd8owwmtDtNW-yx12KQx2nHeYee6duB46M</v>
      </c>
    </row>
    <row r="769" ht="15.75" customHeight="1">
      <c r="A769" s="0" t="str">
        <f>IFERROR(__xludf.DUMMYFUNCTION("""COMPUTED_VALUE"""),"Admin")</f>
        <v>Admin</v>
      </c>
      <c r="B769" s="0" t="str">
        <f>IFERROR(__xludf.DUMMYFUNCTION("""COMPUTED_VALUE"""),"ClearRTPNLtabs")</f>
        <v>ClearRTPNLtabs</v>
      </c>
      <c r="C769" s="0" t="str">
        <f>IFERROR(__xludf.DUMMYFUNCTION("""COMPUTED_VALUE"""),"Undefined")</f>
        <v>Undefined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IFERROR(__xludf.DUMMYFUNCTION("""COMPUTED_VALUE"""),"AddTabRTPNL")</f>
        <v>AddTabRTPNL</v>
      </c>
      <c r="C770" s="0" t="str">
        <f>IFERROR(__xludf.DUMMYFUNCTION("""COMPUTED_VALUE"""),"18kG7vS-CfSLW8Q-ho416lyPlP36XJPPHA0cRbCk3vjU")</f>
        <v>18kG7vS-CfSLW8Q-ho416lyPlP36XJPPHA0cRbCk3vjU</v>
      </c>
    </row>
    <row r="771" ht="15.75" customHeight="1">
      <c r="A771" s="0" t="str">
        <f>IFERROR(__xludf.DUMMYFUNCTION("""COMPUTED_VALUE"""),"PortfolioManagement")</f>
        <v>PortfolioManagement</v>
      </c>
      <c r="B771" s="0" t="str">
        <f>IFERROR(__xludf.DUMMYFUNCTION("""COMPUTED_VALUE"""),"SelectTradeOnPM")</f>
        <v>SelectTradeOnPM</v>
      </c>
      <c r="C771" s="0" t="str">
        <f>IFERROR(__xludf.DUMMYFUNCTION("""COMPUTED_VALUE"""),"1_tBJjps2mULQyHra_AnC6BBvPbOko3FAY-kc11l7eTg")</f>
        <v>1_tBJjps2mULQyHra_AnC6BBvPbOko3FAY-kc11l7eTg</v>
      </c>
    </row>
    <row r="772" ht="15.75" customHeight="1">
      <c r="A772" s="0" t="str">
        <f>IFERROR(__xludf.DUMMYFUNCTION("""COMPUTED_VALUE"""),"Unknown")</f>
        <v>Unknown</v>
      </c>
      <c r="B772" s="0" t="str">
        <f>IFERROR(__xludf.DUMMYFUNCTION("""COMPUTED_VALUE"""),"RightClickOperations")</f>
        <v>RightClickOperations</v>
      </c>
      <c r="C772" s="0" t="str">
        <f>IFERROR(__xludf.DUMMYFUNCTION("""COMPUTED_VALUE"""),"17jhCujI-0V0U3n5lzlkc-azSuwCa7rf-4KwcSInm9ts")</f>
        <v>17jhCujI-0V0U3n5lzlkc-azSuwCa7rf-4KwcSInm9ts</v>
      </c>
    </row>
    <row r="773" ht="15.75" customHeight="1">
      <c r="A773" s="0" t="str">
        <f>IFERROR(__xludf.DUMMYFUNCTION("""COMPUTED_VALUE"""),"Unknown")</f>
        <v>Unknown</v>
      </c>
      <c r="B773" s="0" t="str">
        <f>IFERROR(__xludf.DUMMYFUNCTION("""COMPUTED_VALUE"""),"RightClickAndClickOperations")</f>
        <v>RightClickAndClickOperations</v>
      </c>
      <c r="C773" s="0" t="str">
        <f>IFERROR(__xludf.DUMMYFUNCTION("""COMPUTED_VALUE"""),"1e9jtl9r57SkbYm3S4wbHtvkeG2KExZEiFSIkkRSaq-8")</f>
        <v>1e9jtl9r57SkbYm3S4wbHtvkeG2KExZEiFSIkkRSaq-8</v>
      </c>
    </row>
    <row r="774" ht="15.75" customHeight="1">
      <c r="A774" s="0" t="str">
        <f>IFERROR(__xludf.DUMMYFUNCTION("""COMPUTED_VALUE"""),"Blotter")</f>
        <v>Blotter</v>
      </c>
      <c r="B774" s="0" t="str">
        <f>IFERROR(__xludf.DUMMYFUNCTION("""COMPUTED_VALUE"""),"BlotterToolBarAction")</f>
        <v>BlotterToolBarAction</v>
      </c>
      <c r="C774" s="0" t="str">
        <f>IFERROR(__xludf.DUMMYFUNCTION("""COMPUTED_VALUE"""),"1bI1kIBxH6qy8zi5tx46rN3vNgbmxbdwtAo1inrXDALs")</f>
        <v>1bI1kIBxH6qy8zi5tx46rN3vNgbmxbdwtAo1inrXDALs</v>
      </c>
    </row>
    <row r="775" ht="15.75" customHeight="1">
      <c r="A775" s="0" t="str">
        <f>IFERROR(__xludf.DUMMYFUNCTION("""COMPUTED_VALUE"""),"TradingTicket")</f>
        <v>TradingTicket</v>
      </c>
      <c r="B775" s="0" t="str">
        <f>IFERROR(__xludf.DUMMYFUNCTION("""COMPUTED_VALUE"""),"MergeTT")</f>
        <v>MergeTT</v>
      </c>
      <c r="C775" s="0" t="str">
        <f>IFERROR(__xludf.DUMMYFUNCTION("""COMPUTED_VALUE"""),"1BEiRPdwHXsXVZ0ioude04Me5qSQ_YU6xh1ZwMWgExVU")</f>
        <v>1BEiRPdwHXsXVZ0ioude04Me5qSQ_YU6xh1ZwMWgExVU</v>
      </c>
    </row>
    <row r="776" ht="15.75" customHeight="1">
      <c r="A776" s="0" t="str">
        <f>IFERROR(__xludf.DUMMYFUNCTION("""COMPUTED_VALUE"""),"PortfolioManagement")</f>
        <v>PortfolioManagement</v>
      </c>
      <c r="B776" s="0" t="str">
        <f>IFERROR(__xludf.DUMMYFUNCTION("""COMPUTED_VALUE"""),"OperationsonPM")</f>
        <v>OperationsonPM</v>
      </c>
      <c r="C776" s="0" t="str">
        <f>IFERROR(__xludf.DUMMYFUNCTION("""COMPUTED_VALUE"""),"13hKVogBv66c752V1EGUyqXp4dGESQOZLmMqIB56fbAs")</f>
        <v>13hKVogBv66c752V1EGUyqXp4dGESQOZLmMqIB56fbAs</v>
      </c>
    </row>
    <row r="777" ht="15.75" customHeight="1">
      <c r="A777" s="0" t="str">
        <f>IFERROR(__xludf.DUMMYFUNCTION("""COMPUTED_VALUE"""),"Rebalancer")</f>
        <v>Rebalancer</v>
      </c>
      <c r="B777" s="0" t="str">
        <f>IFERROR(__xludf.DUMMYFUNCTION("""COMPUTED_VALUE"""),"CreateOrViewModelPortfolio")</f>
        <v>CreateOrViewModelPortfolio</v>
      </c>
      <c r="C777" s="0" t="str">
        <f>IFERROR(__xludf.DUMMYFUNCTION("""COMPUTED_VALUE"""),"1vejknW_QiO0r5pMzMjOGCCsgwLVes4a3Ubx1l-0Mg1k")</f>
        <v>1vejknW_QiO0r5pMzMjOGCCsgwLVes4a3Ubx1l-0Mg1k</v>
      </c>
    </row>
    <row r="778" ht="15.75" customHeight="1">
      <c r="A778" s="0" t="str">
        <f>IFERROR(__xludf.DUMMYFUNCTION("""COMPUTED_VALUE"""),"Rebalancer")</f>
        <v>Rebalancer</v>
      </c>
      <c r="B778" s="0" t="str">
        <f>IFERROR(__xludf.DUMMYFUNCTION("""COMPUTED_VALUE"""),"VerifyModelPortfolio")</f>
        <v>VerifyModelPortfolio</v>
      </c>
      <c r="C778" s="0" t="str">
        <f>IFERROR(__xludf.DUMMYFUNCTION("""COMPUTED_VALUE"""),"1Tza5cx7NJ2J8vr_f6DC-KPhnXCzf7l1m0EERc6z_T-U")</f>
        <v>1Tza5cx7NJ2J8vr_f6DC-KPhnXCzf7l1m0EERc6z_T-U</v>
      </c>
    </row>
    <row r="779" ht="15.75" customHeight="1">
      <c r="A779" s="0" t="str">
        <f>IFERROR(__xludf.DUMMYFUNCTION("""COMPUTED_VALUE"""),"Allocation")</f>
        <v>Allocation</v>
      </c>
      <c r="B779" s="0" t="str">
        <f>IFERROR(__xludf.DUMMYFUNCTION("""COMPUTED_VALUE"""),"ReviewExistingPositions")</f>
        <v>ReviewExistingPositions</v>
      </c>
      <c r="C779" s="0" t="str">
        <f>IFERROR(__xludf.DUMMYFUNCTION("""COMPUTED_VALUE"""),"1KwYoTdpeW6LDhzloVKHp5buZqc8IjXEShjwnUx45Ql8")</f>
        <v>1KwYoTdpeW6LDhzloVKHp5buZqc8IjXEShjwnUx45Ql8</v>
      </c>
    </row>
    <row r="780" ht="15.75" customHeight="1">
      <c r="A780" s="0" t="str">
        <f>IFERROR(__xludf.DUMMYFUNCTION("""COMPUTED_VALUE"""),"PTT")</f>
        <v>PTT</v>
      </c>
      <c r="B780" s="0" t="str">
        <f>IFERROR(__xludf.DUMMYFUNCTION("""COMPUTED_VALUE"""),"OperationsonPTT")</f>
        <v>OperationsonPTT</v>
      </c>
      <c r="C780" s="0" t="str">
        <f>IFERROR(__xludf.DUMMYFUNCTION("""COMPUTED_VALUE"""),"1J40rCXEDilLEF_x0Wkeeg1lwGfejucV1VSY9UcyeSlw")</f>
        <v>1J40rCXEDilLEF_x0Wkeeg1lwGfejucV1VSY9UcyeSlw</v>
      </c>
    </row>
    <row r="781" ht="15.75" customHeight="1">
      <c r="A781" s="0" t="str">
        <f>IFERROR(__xludf.DUMMYFUNCTION("""COMPUTED_VALUE"""),"PricingInput")</f>
        <v>PricingInput</v>
      </c>
      <c r="B781" s="0" t="str">
        <f>IFERROR(__xludf.DUMMYFUNCTION("""COMPUTED_VALUE"""),"UpdatePricingInput")</f>
        <v>UpdatePricingInput</v>
      </c>
      <c r="C781" s="0" t="str">
        <f>IFERROR(__xludf.DUMMYFUNCTION("""COMPUTED_VALUE"""),"1CG9iYOkRKzlGEsKh7QuEyMdGRQea_W4KDWwlnjE2BdE")</f>
        <v>1CG9iYOkRKzlGEsKh7QuEyMdGRQea_W4KDWwlnjE2BdE</v>
      </c>
    </row>
    <row r="782" ht="15.75" customHeight="1">
      <c r="A782" s="0" t="str">
        <f>IFERROR(__xludf.DUMMYFUNCTION("""COMPUTED_VALUE"""),"DailyValuation")</f>
        <v>DailyValuation</v>
      </c>
      <c r="B782" s="0" t="str">
        <f>IFERROR(__xludf.DUMMYFUNCTION("""COMPUTED_VALUE"""),"UpdateMPAndFC")</f>
        <v>UpdateMPAndFC</v>
      </c>
      <c r="C782" s="0" t="str">
        <f>IFERROR(__xludf.DUMMYFUNCTION("""COMPUTED_VALUE"""),"1UCNfZng94LprScqCmSKImRjCwiKlLQU_e1kY1tum91I")</f>
        <v>1UCNfZng94LprScqCmSKImRjCwiKlLQU_e1kY1tum91I</v>
      </c>
    </row>
    <row r="783" ht="15.75" customHeight="1">
      <c r="A783" s="0" t="str">
        <f>IFERROR(__xludf.DUMMYFUNCTION("""COMPUTED_VALUE"""),"Rebalancer")</f>
        <v>Rebalancer</v>
      </c>
      <c r="B783" s="0" t="str">
        <f>IFERROR(__xludf.DUMMYFUNCTION("""COMPUTED_VALUE"""),"SelectAndVerifyTradeList")</f>
        <v>SelectAndVerifyTradeList</v>
      </c>
      <c r="C783" s="0" t="str">
        <f>IFERROR(__xludf.DUMMYFUNCTION("""COMPUTED_VALUE"""),"1fXJG--hBH0hPvU7g5jtXyZnD1GiwJXfYX9HdEyhGyGs")</f>
        <v>1fXJG--hBH0hPvU7g5jtXyZnD1GiwJXfYX9HdEyhGyGs</v>
      </c>
    </row>
    <row r="784" ht="15.75" customHeight="1">
      <c r="A784" s="0" t="str">
        <f>IFERROR(__xludf.DUMMYFUNCTION("""COMPUTED_VALUE"""),"Rebalancer")</f>
        <v>Rebalancer</v>
      </c>
      <c r="B784" s="0" t="str">
        <f>IFERROR(__xludf.DUMMYFUNCTION("""COMPUTED_VALUE"""),"ActionOnTradeBuySellListView")</f>
        <v>ActionOnTradeBuySellListView</v>
      </c>
      <c r="C784" s="0" t="str">
        <f>IFERROR(__xludf.DUMMYFUNCTION("""COMPUTED_VALUE"""),"1xeJEpkdxtbik3vPUTkxALkXsnL-Vl5dF07PBUoheM3k")</f>
        <v>1xeJEpkdxtbik3vPUTkxALkXsnL-Vl5dF07PBUoheM3k</v>
      </c>
    </row>
    <row r="785" ht="15.75" customHeight="1">
      <c r="A785" s="0" t="str">
        <f>IFERROR(__xludf.DUMMYFUNCTION("""COMPUTED_VALUE"""),"Blotter")</f>
        <v>Blotter</v>
      </c>
      <c r="B785" s="0" t="str">
        <f>IFERROR(__xludf.DUMMYFUNCTION("""COMPUTED_VALUE"""),"AddTabToFav")</f>
        <v>AddTabToFav</v>
      </c>
      <c r="C785" s="0" t="str">
        <f>IFERROR(__xludf.DUMMYFUNCTION("""COMPUTED_VALUE"""),"1Hrblc1gk4JIYboQ1lGHgl7HatAXp5amAl9mS58vzT-0")</f>
        <v>1Hrblc1gk4JIYboQ1lGHgl7HatAXp5amAl9mS58vzT-0</v>
      </c>
    </row>
    <row r="786" ht="15.75" customHeight="1">
      <c r="A786" s="0" t="str">
        <f>IFERROR(__xludf.DUMMYFUNCTION("""COMPUTED_VALUE"""),"TradingTicket")</f>
        <v>TradingTicket</v>
      </c>
      <c r="B786" s="0" t="str">
        <f>IFERROR(__xludf.DUMMYFUNCTION("""COMPUTED_VALUE"""),"VerifyExecutionType")</f>
        <v>VerifyExecutionType</v>
      </c>
      <c r="C786" s="0" t="str">
        <f>IFERROR(__xludf.DUMMYFUNCTION("""COMPUTED_VALUE"""),"1GeLKG0YL6nDFQYX8NohWSG0yonppxuSHWgOuwLzEWwI")</f>
        <v>1GeLKG0YL6nDFQYX8NohWSG0yonppxuSHWgOuwLzEWwI</v>
      </c>
    </row>
    <row r="787" ht="15.75" customHeight="1">
      <c r="A787" s="0" t="str">
        <f>IFERROR(__xludf.DUMMYFUNCTION("""COMPUTED_VALUE"""),"OpenFin")</f>
        <v>OpenFin</v>
      </c>
      <c r="B787" s="0" t="str">
        <f>IFERROR(__xludf.DUMMYFUNCTION("""COMPUTED_VALUE"""),"VerifyNotification")</f>
        <v>VerifyNotification</v>
      </c>
      <c r="C787" s="0" t="str">
        <f>IFERROR(__xludf.DUMMYFUNCTION("""COMPUTED_VALUE"""),"1rm7dGZ4-j6MPtyiMlJDHnZgIjnFk8Hv19VRPaPCgUMY")</f>
        <v>1rm7dGZ4-j6MPtyiMlJDHnZgIjnFk8Hv19VRPaPCgUMY</v>
      </c>
    </row>
    <row r="788" ht="15.75" customHeight="1">
      <c r="A788" s="0" t="str">
        <f>IFERROR(__xludf.DUMMYFUNCTION("""COMPUTED_VALUE"""),"Blotter")</f>
        <v>Blotter</v>
      </c>
      <c r="B788" s="0" t="str">
        <f>IFERROR(__xludf.DUMMYFUNCTION("""COMPUTED_VALUE"""),"RollOverContextMenu")</f>
        <v>RollOverContextMenu</v>
      </c>
      <c r="C788" s="0" t="str">
        <f>IFERROR(__xludf.DUMMYFUNCTION("""COMPUTED_VALUE"""),"1d45ieJRLC6DQ7t19pclAZz5EI6hBsZ5_VdNJYb3VsNc")</f>
        <v>1d45ieJRLC6DQ7t19pclAZz5EI6hBsZ5_VdNJYb3VsNc</v>
      </c>
    </row>
    <row r="789" ht="15.75" customHeight="1">
      <c r="A789" s="0" t="str">
        <f>IFERROR(__xludf.DUMMYFUNCTION("""COMPUTED_VALUE"""),"PTT")</f>
        <v>PTT</v>
      </c>
      <c r="B789" s="0" t="str">
        <f>IFERROR(__xludf.DUMMYFUNCTION("""COMPUTED_VALUE"""),"RefreshCalculation")</f>
        <v>RefreshCalculation</v>
      </c>
    </row>
    <row r="790" ht="15.75" customHeight="1">
      <c r="A790" s="0" t="str">
        <f>IFERROR(__xludf.DUMMYFUNCTION("""COMPUTED_VALUE"""),"Blotter")</f>
        <v>Blotter</v>
      </c>
      <c r="B790" s="0" t="str">
        <f>IFERROR(__xludf.DUMMYFUNCTION("""COMPUTED_VALUE"""),"BookAsSwap")</f>
        <v>BookAsSwap</v>
      </c>
      <c r="C790" s="0" t="str">
        <f>IFERROR(__xludf.DUMMYFUNCTION("""COMPUTED_VALUE"""),"1tnkP5eD3WH53SXu2O-MWk6774J7b5ihwlD7r9dGtpiY")</f>
        <v>1tnkP5eD3WH53SXu2O-MWk6774J7b5ihwlD7r9dGtpiY</v>
      </c>
    </row>
    <row r="791" ht="15.75" customHeight="1">
      <c r="A791" s="0" t="str">
        <f>IFERROR(__xludf.DUMMYFUNCTION("""COMPUTED_VALUE"""),"Blotter")</f>
        <v>Blotter</v>
      </c>
      <c r="B791" s="0" t="str">
        <f>IFERROR(__xludf.DUMMYFUNCTION("""COMPUTED_VALUE"""),"ActionOnFloatingWindow")</f>
        <v>ActionOnFloatingWindow</v>
      </c>
      <c r="C791" s="0" t="str">
        <f>IFERROR(__xludf.DUMMYFUNCTION("""COMPUTED_VALUE"""),"1tFNUPT3PXgCKRnnehGwo6OF7EhLu13UJ8Elfq83HArE")</f>
        <v>1tFNUPT3PXgCKRnnehGwo6OF7EhLu13UJ8Elfq83HArE</v>
      </c>
    </row>
    <row r="792" ht="15.75" customHeight="1">
      <c r="A792" s="0" t="str">
        <f>IFERROR(__xludf.DUMMYFUNCTION("""COMPUTED_VALUE"""),"OpenFin")</f>
        <v>OpenFin</v>
      </c>
      <c r="B792" s="0" t="str">
        <f>IFERROR(__xludf.DUMMYFUNCTION("""COMPUTED_VALUE"""),"LockUnlockModule")</f>
        <v>LockUnlockModule</v>
      </c>
      <c r="C792" s="0" t="str">
        <f>IFERROR(__xludf.DUMMYFUNCTION("""COMPUTED_VALUE"""),"179D0kPRO8f_KLxd7hs6seM9XGxpL-u1rhIhNgFVePsQ")</f>
        <v>179D0kPRO8f_KLxd7hs6seM9XGxpL-u1rhIhNgFVePsQ</v>
      </c>
    </row>
    <row r="793" ht="15.75" customHeight="1">
      <c r="A793" s="0" t="str">
        <f>IFERROR(__xludf.DUMMYFUNCTION("""COMPUTED_VALUE"""),"OpenFin")</f>
        <v>OpenFin</v>
      </c>
      <c r="B793" s="0" t="str">
        <f>IFERROR(__xludf.DUMMYFUNCTION("""COMPUTED_VALUE"""),"OpenModule")</f>
        <v>OpenModule</v>
      </c>
      <c r="C793" s="0" t="str">
        <f>IFERROR(__xludf.DUMMYFUNCTION("""COMPUTED_VALUE"""),"1IdmD7l42pWNjFNVt_7UwbOO7y5tDxaXr7tE60c9ETLw")</f>
        <v>1IdmD7l42pWNjFNVt_7UwbOO7y5tDxaXr7tE60c9ETLw</v>
      </c>
    </row>
    <row r="794" ht="15.75" customHeight="1">
      <c r="A794" s="0" t="str">
        <f>IFERROR(__xludf.DUMMYFUNCTION("""COMPUTED_VALUE"""),"TradingTicket")</f>
        <v>TradingTicket</v>
      </c>
      <c r="B794" s="0" t="str">
        <f>IFERROR(__xludf.DUMMYFUNCTION("""COMPUTED_VALUE"""),"SymbolSuggestionVerify")</f>
        <v>SymbolSuggestionVerify</v>
      </c>
      <c r="C794" s="0" t="str">
        <f>IFERROR(__xludf.DUMMYFUNCTION("""COMPUTED_VALUE"""),"14aTeLjmUbS-nhaQwjtZAMGxdQ5DS6UsBjE5OTWN-LQU")</f>
        <v>14aTeLjmUbS-nhaQwjtZAMGxdQ5DS6UsBjE5OTWN-LQU</v>
      </c>
    </row>
    <row r="795" ht="15.75" customHeight="1">
      <c r="A795" s="0" t="str">
        <f>IFERROR(__xludf.DUMMYFUNCTION("""COMPUTED_VALUE"""),"Blotter")</f>
        <v>Blotter</v>
      </c>
      <c r="B795" s="0" t="str">
        <f>IFERROR(__xludf.DUMMYFUNCTION("""COMPUTED_VALUE"""),"CreateHotButtonOnBlotter")</f>
        <v>CreateHotButtonOnBlotter</v>
      </c>
      <c r="C795" s="0" t="str">
        <f>IFERROR(__xludf.DUMMYFUNCTION("""COMPUTED_VALUE"""),"1Yu7Fb6AjhUP8b-KuRJvgAwq8TykNK6BDh9F0Xpf12Ek")</f>
        <v>1Yu7Fb6AjhUP8b-KuRJvgAwq8TykNK6BDh9F0Xpf12Ek</v>
      </c>
    </row>
    <row r="796" ht="15.75" customHeight="1">
      <c r="A796" s="0" t="str">
        <f>IFERROR(__xludf.DUMMYFUNCTION("""COMPUTED_VALUE"""),"Blotter")</f>
        <v>Blotter</v>
      </c>
      <c r="B796" s="0" t="str">
        <f>IFERROR(__xludf.DUMMYFUNCTION("""COMPUTED_VALUE"""),"FillHBdetailsOnBlotter")</f>
        <v>FillHBdetailsOnBlotter</v>
      </c>
      <c r="C796" s="0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149B27-D8D2-431A-92E8-657FE6D5946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E5A8074-A69A-44F8-AB8C-5DDF2024FA97}">
          <x14:formula1>
            <xm:f>RunPortfolio!$4:$4</xm:f>
          </x14:formula1>
          <xm:sqref>E3</xm:sqref>
        </x14:dataValidation>
        <x14:dataValidation type="list" allowBlank="1" showInputMessage="1" showErrorMessage="1" prompt="Choose an available module" xr:uid="{9B461B38-367B-459F-9B43-883C54933D9C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C8BB84-8F68-4680-952D-FAD2DBBCF8A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762752D-897B-4FE2-9F4F-247F43254F2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244C1C4-7B2D-40EB-939F-14F623F7C824}">
          <x14:formula1>
            <xm:f>RebalancePreference!$4:$4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963DEF5-5953-493C-B6BF-7C4679E6D37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5111F62-0DBF-4C33-8EE3-9A0154B23D7F}">
          <x14:formula1>
            <xm:f>FetchAccountPositions!$4:$4</xm:f>
          </x14:formula1>
          <xm:sqref>E3</xm:sqref>
        </x14:dataValidation>
        <x14:dataValidation type="list" allowBlank="1" showInputMessage="1" showErrorMessage="1" prompt="Choose an available module" xr:uid="{8063DDB9-FA11-46C0-A21C-C8D926BF303B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24</v>
      </c>
      <c r="D6" s="30" t="s">
        <v>25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9F2CA08-FE80-4DBA-B149-15F9CCAAD9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82AE0E2-9A70-489A-8214-1837DF7E878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E211437-86F9-4C58-8186-71D368099F0B}">
          <x14:formula1>
            <xm:f>AddCash!$4:$4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27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A3113B-7A87-4C9F-AF08-BF633771B8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BD70BC2-B5DC-471E-8E54-72D28E4081C4}">
          <x14:formula1>
            <xm:f>RunRebalance!$4:$4</xm:f>
          </x14:formula1>
          <xm:sqref>E3</xm:sqref>
        </x14:dataValidation>
        <x14:dataValidation type="list" allowBlank="1" showInputMessage="1" showErrorMessage="1" prompt="Choose an available module" xr:uid="{FC392189-319E-49A4-8611-98CCF3EB55EF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1" t="s">
        <v>30</v>
      </c>
      <c r="D6" s="34">
        <v>1</v>
      </c>
      <c r="E6" s="35"/>
      <c r="F6" s="35"/>
      <c r="G6" s="35"/>
      <c r="H6" s="35"/>
      <c r="I6" s="35"/>
      <c r="J6" s="36">
        <v>10</v>
      </c>
      <c r="K6" s="36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49A9067-BE52-4EFA-89E4-CFFFAF6106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DA6DB5-8DEC-4B22-B0E6-34307DC759E6}">
          <x14:formula1>
            <xm:f>RebalanceAcrossSecurities!$4:$4</xm:f>
          </x14:formula1>
          <xm:sqref>E3</xm:sqref>
        </x14:dataValidation>
        <x14:dataValidation type="list" allowBlank="1" showInputMessage="1" showErrorMessage="1" prompt="Choose an available module" xr:uid="{7ACBA0DF-C711-4B41-9E14-F51732058AA0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3335E12-8F9E-4822-BB2E-98E5B82931F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03CEAE0-6AB3-4929-9093-388165EC6809}">
          <x14:formula1>
            <xm:f>ModifyRebalance!$4:$4</xm:f>
          </x14:formula1>
          <xm:sqref>E3</xm:sqref>
        </x14:dataValidation>
        <x14:dataValidation type="list" allowBlank="1" showInputMessage="1" showErrorMessage="1" prompt="Choose an available module" xr:uid="{CE504FFA-6159-4C6C-B6CA-EC461F5862AB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 t="s">
        <v>35</v>
      </c>
      <c r="E6" s="38">
        <v>400</v>
      </c>
      <c r="F6" s="38">
        <v>25</v>
      </c>
      <c r="G6" s="39">
        <v>10700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34</v>
      </c>
      <c r="D7" s="37" t="s">
        <v>36</v>
      </c>
      <c r="E7" s="38">
        <v>1500</v>
      </c>
      <c r="F7" s="38">
        <v>10</v>
      </c>
      <c r="G7" s="39">
        <v>15000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>
        <v>123456789</v>
      </c>
      <c r="E8" s="38">
        <v>12000</v>
      </c>
      <c r="F8" s="38">
        <v>25</v>
      </c>
      <c r="G8" s="39">
        <v>-3000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38</v>
      </c>
      <c r="D9" s="37" t="s">
        <v>39</v>
      </c>
      <c r="E9" s="38">
        <v>600</v>
      </c>
      <c r="F9" s="38">
        <v>20</v>
      </c>
      <c r="G9" s="39">
        <v>-12000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38</v>
      </c>
      <c r="D10" s="37" t="s">
        <v>40</v>
      </c>
      <c r="E10" s="38">
        <v>500</v>
      </c>
      <c r="F10" s="38">
        <v>10</v>
      </c>
      <c r="G10" s="39">
        <v>-5000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34</v>
      </c>
      <c r="D11" s="37" t="s">
        <v>41</v>
      </c>
      <c r="E11" s="38">
        <v>1500</v>
      </c>
      <c r="F11" s="38">
        <v>8</v>
      </c>
      <c r="G11" s="39">
        <v>12000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42</v>
      </c>
      <c r="D12" s="37" t="s">
        <v>43</v>
      </c>
      <c r="E12" s="38">
        <v>20000</v>
      </c>
      <c r="F12" s="38">
        <v>5</v>
      </c>
      <c r="G12" s="39">
        <v>1000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38</v>
      </c>
      <c r="D13" s="37" t="s">
        <v>44</v>
      </c>
      <c r="E13" s="38">
        <v>400</v>
      </c>
      <c r="F13" s="38">
        <v>30</v>
      </c>
      <c r="G13" s="39">
        <v>-14640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34</v>
      </c>
      <c r="D14" s="37" t="s">
        <v>45</v>
      </c>
      <c r="E14" s="38">
        <v>9424</v>
      </c>
      <c r="F14" s="38">
        <v>10</v>
      </c>
      <c r="G14" s="39">
        <v>12004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34</v>
      </c>
      <c r="D15" s="37" t="s">
        <v>39</v>
      </c>
      <c r="E15" s="38">
        <v>1200</v>
      </c>
      <c r="F15" s="38">
        <v>20</v>
      </c>
      <c r="G15" s="39">
        <v>24000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22</v>
      </c>
      <c r="C16" s="37" t="s">
        <v>34</v>
      </c>
      <c r="D16" s="37" t="s">
        <v>29</v>
      </c>
      <c r="E16" s="38">
        <v>288</v>
      </c>
      <c r="F16" s="38">
        <v>10</v>
      </c>
      <c r="G16" s="39">
        <v>2880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19EA6FC-C398-4E52-941E-1434A64F6C1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BB7170A-A89F-46D6-9E38-13CE6711A335}">
          <x14:formula1>
            <xm:f>SendtoStaging!$4:$4</xm:f>
          </x14:formula1>
          <xm:sqref>E3</xm:sqref>
        </x14:dataValidation>
        <x14:dataValidation type="list" allowBlank="1" showInputMessage="1" showErrorMessage="1" prompt="Choose an available module" xr:uid="{19033501-F246-4181-A90E-60819F888E36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68279E-0788-4C98-96B7-83CE5AB86DB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BE9927E-77C7-47CA-8CAC-4561A0AD8FDB}">
          <x14:formula1>
            <xm:f>RunRebalance1!$4:$4</xm:f>
          </x14:formula1>
          <xm:sqref>E3</xm:sqref>
        </x14:dataValidation>
        <x14:dataValidation type="list" allowBlank="1" showInputMessage="1" showErrorMessage="1" prompt="Choose an available module" xr:uid="{106FA550-5518-4C56-8B71-21D825522FDE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 t="s">
        <v>35</v>
      </c>
      <c r="E6" s="38">
        <v>200</v>
      </c>
      <c r="F6" s="38">
        <v>25</v>
      </c>
      <c r="G6" s="39">
        <v>5350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34</v>
      </c>
      <c r="D7" s="37" t="s">
        <v>36</v>
      </c>
      <c r="E7" s="38">
        <v>1200</v>
      </c>
      <c r="F7" s="38">
        <v>10</v>
      </c>
      <c r="G7" s="39">
        <v>12000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>
        <v>123456789</v>
      </c>
      <c r="E8" s="38">
        <v>12000</v>
      </c>
      <c r="F8" s="38">
        <v>25</v>
      </c>
      <c r="G8" s="39">
        <v>-3000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34</v>
      </c>
      <c r="D9" s="37" t="s">
        <v>41</v>
      </c>
      <c r="E9" s="38">
        <v>1400</v>
      </c>
      <c r="F9" s="38">
        <v>8</v>
      </c>
      <c r="G9" s="39">
        <v>11200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42</v>
      </c>
      <c r="D10" s="37" t="s">
        <v>43</v>
      </c>
      <c r="E10" s="38">
        <v>20000</v>
      </c>
      <c r="F10" s="38">
        <v>5</v>
      </c>
      <c r="G10" s="39">
        <v>1000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34</v>
      </c>
      <c r="D11" s="37" t="s">
        <v>45</v>
      </c>
      <c r="E11" s="38">
        <v>9423</v>
      </c>
      <c r="F11" s="38">
        <v>10</v>
      </c>
      <c r="G11" s="39">
        <v>12002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34</v>
      </c>
      <c r="D12" s="37" t="s">
        <v>39</v>
      </c>
      <c r="E12" s="38">
        <v>600</v>
      </c>
      <c r="F12" s="38">
        <v>20</v>
      </c>
      <c r="G12" s="39">
        <v>12000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34</v>
      </c>
      <c r="D13" s="37" t="s">
        <v>29</v>
      </c>
      <c r="E13" s="38">
        <v>287</v>
      </c>
      <c r="F13" s="38">
        <v>10</v>
      </c>
      <c r="G13" s="39">
        <v>2870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5492450-90A8-4B10-B56A-33B317A724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C6F5A87-6279-4C1B-98B3-2B4188ADDA95}">
          <x14:formula1>
            <xm:f>SendtoStaging1!$4:$4</xm:f>
          </x14:formula1>
          <xm:sqref>E3</xm:sqref>
        </x14:dataValidation>
        <x14:dataValidation type="list" allowBlank="1" showInputMessage="1" showErrorMessage="1" prompt="Choose an available module" xr:uid="{3E5DC68D-1AFF-4D70-B023-221643329325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4DD4BA-9338-44D7-AFEB-E5089A5BC0A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9E6ABD5-B633-4FF2-B812-839C0A736034}">
          <x14:formula1>
            <xm:f>RunRebalance2!$4:$4</xm:f>
          </x14:formula1>
          <xm:sqref>E3</xm:sqref>
        </x14:dataValidation>
        <x14:dataValidation type="list" allowBlank="1" showInputMessage="1" showErrorMessage="1" prompt="Choose an available module" xr:uid="{BAF99475-3785-40AA-9841-C5C190B556B1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34</v>
      </c>
      <c r="D6" s="37" t="s">
        <v>35</v>
      </c>
      <c r="E6" s="38">
        <v>200</v>
      </c>
      <c r="F6" s="38">
        <v>25</v>
      </c>
      <c r="G6" s="39">
        <v>5350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34</v>
      </c>
      <c r="D7" s="37" t="s">
        <v>36</v>
      </c>
      <c r="E7" s="38">
        <v>1500</v>
      </c>
      <c r="F7" s="38">
        <v>10</v>
      </c>
      <c r="G7" s="39">
        <v>15000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37</v>
      </c>
      <c r="D8" s="37">
        <v>123456789</v>
      </c>
      <c r="E8" s="38">
        <v>12000</v>
      </c>
      <c r="F8" s="38">
        <v>25</v>
      </c>
      <c r="G8" s="39">
        <v>-3000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34</v>
      </c>
      <c r="D9" s="37" t="s">
        <v>41</v>
      </c>
      <c r="E9" s="38">
        <v>1400</v>
      </c>
      <c r="F9" s="38">
        <v>8</v>
      </c>
      <c r="G9" s="39">
        <v>11200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42</v>
      </c>
      <c r="D10" s="37" t="s">
        <v>43</v>
      </c>
      <c r="E10" s="38">
        <v>20000</v>
      </c>
      <c r="F10" s="38">
        <v>5</v>
      </c>
      <c r="G10" s="39">
        <v>1000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34</v>
      </c>
      <c r="D11" s="37" t="s">
        <v>45</v>
      </c>
      <c r="E11" s="38">
        <v>9424</v>
      </c>
      <c r="F11" s="38">
        <v>10</v>
      </c>
      <c r="G11" s="39">
        <v>12004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34</v>
      </c>
      <c r="D12" s="37" t="s">
        <v>39</v>
      </c>
      <c r="E12" s="38">
        <v>600</v>
      </c>
      <c r="F12" s="38">
        <v>20</v>
      </c>
      <c r="G12" s="39">
        <v>12000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34</v>
      </c>
      <c r="D13" s="37" t="s">
        <v>29</v>
      </c>
      <c r="E13" s="38">
        <v>287</v>
      </c>
      <c r="F13" s="38">
        <v>10</v>
      </c>
      <c r="G13" s="39">
        <v>2870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40"/>
      <c r="E14" s="40"/>
      <c r="F14" s="40"/>
      <c r="G14" s="40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5FDE5EF-92E0-4277-8BA7-53806D5878D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5132402-C98E-4979-BC57-7ADE1D5CBE5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A08DD16-9994-4098-9E09-4AAB5DC110FA}">
          <x14:formula1>
            <xm:f>SendtoStaging2!$4:$4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50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 t="s">
        <v>59</v>
      </c>
      <c r="L5" s="0" t="s">
        <v>60</v>
      </c>
      <c r="M5" s="0" t="s">
        <v>61</v>
      </c>
      <c r="N5" s="0" t="s">
        <v>62</v>
      </c>
      <c r="O5" s="0" t="s">
        <v>63</v>
      </c>
      <c r="P5" s="0" t="s">
        <v>64</v>
      </c>
      <c r="Q5" s="0" t="s">
        <v>65</v>
      </c>
      <c r="R5" s="0" t="s">
        <v>66</v>
      </c>
      <c r="S5" s="0" t="s">
        <v>67</v>
      </c>
      <c r="T5" s="0" t="s">
        <v>68</v>
      </c>
      <c r="U5" s="0" t="s">
        <v>69</v>
      </c>
      <c r="V5" s="0" t="s">
        <v>70</v>
      </c>
      <c r="W5" s="0" t="s">
        <v>71</v>
      </c>
      <c r="X5" s="0" t="s">
        <v>72</v>
      </c>
      <c r="Y5" s="0" t="s">
        <v>73</v>
      </c>
      <c r="Z5" s="0" t="s">
        <v>74</v>
      </c>
      <c r="AA5" s="0" t="s">
        <v>75</v>
      </c>
      <c r="AB5" s="0" t="s">
        <v>76</v>
      </c>
      <c r="AC5" s="0" t="s">
        <v>77</v>
      </c>
      <c r="AD5" s="0" t="s">
        <v>78</v>
      </c>
      <c r="AE5" s="0" t="s">
        <v>79</v>
      </c>
      <c r="AF5" s="0" t="s">
        <v>80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E93EF0-5C9F-441D-AB89-31646E93D3B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0AF065E-9552-4853-977F-AD1C069E528C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4BD94900-6FD3-4212-9775-CF6F55F6CEEB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83</v>
      </c>
      <c r="C5" s="0" t="s">
        <v>104</v>
      </c>
      <c r="D5" s="0" t="s">
        <v>105</v>
      </c>
      <c r="E5" s="0" t="s">
        <v>106</v>
      </c>
      <c r="F5" s="0" t="s">
        <v>107</v>
      </c>
      <c r="G5" s="0" t="s">
        <v>93</v>
      </c>
      <c r="H5" s="0" t="s">
        <v>108</v>
      </c>
      <c r="I5" s="0" t="s">
        <v>95</v>
      </c>
      <c r="J5" s="0" t="s">
        <v>109</v>
      </c>
      <c r="K5" s="0" t="s">
        <v>110</v>
      </c>
      <c r="L5" s="0" t="s">
        <v>111</v>
      </c>
      <c r="M5" s="0" t="s">
        <v>112</v>
      </c>
      <c r="N5" s="0" t="s">
        <v>113</v>
      </c>
      <c r="O5" s="0" t="s">
        <v>114</v>
      </c>
      <c r="P5" s="0" t="s">
        <v>115</v>
      </c>
      <c r="Q5" s="0" t="s">
        <v>116</v>
      </c>
      <c r="R5" s="0" t="s">
        <v>117</v>
      </c>
      <c r="S5" s="0" t="s">
        <v>118</v>
      </c>
      <c r="T5" s="0" t="s">
        <v>119</v>
      </c>
      <c r="U5" s="0" t="s">
        <v>120</v>
      </c>
      <c r="V5" s="0" t="s">
        <v>121</v>
      </c>
      <c r="W5" s="0" t="s">
        <v>122</v>
      </c>
      <c r="X5" s="0" t="s">
        <v>123</v>
      </c>
      <c r="Y5" s="0" t="s">
        <v>124</v>
      </c>
      <c r="Z5" s="0" t="s">
        <v>125</v>
      </c>
      <c r="AA5" s="0" t="s">
        <v>126</v>
      </c>
      <c r="AB5" s="0" t="s">
        <v>56</v>
      </c>
      <c r="AC5" s="0" t="s">
        <v>127</v>
      </c>
      <c r="AD5" s="0" t="s">
        <v>128</v>
      </c>
      <c r="AE5" s="0" t="s">
        <v>60</v>
      </c>
      <c r="AF5" s="0" t="s">
        <v>129</v>
      </c>
      <c r="AG5" s="0" t="s">
        <v>130</v>
      </c>
      <c r="AH5" s="0" t="s">
        <v>131</v>
      </c>
      <c r="AI5" s="0" t="s">
        <v>132</v>
      </c>
      <c r="AJ5" s="0" t="s">
        <v>133</v>
      </c>
      <c r="AK5" s="0" t="s">
        <v>94</v>
      </c>
      <c r="AL5" s="0" t="s">
        <v>134</v>
      </c>
      <c r="AM5" s="0" t="s">
        <v>135</v>
      </c>
      <c r="AN5" s="0" t="s">
        <v>136</v>
      </c>
      <c r="AO5" s="0" t="s">
        <v>137</v>
      </c>
      <c r="AP5" s="0" t="s">
        <v>138</v>
      </c>
      <c r="AQ5" s="0" t="s">
        <v>139</v>
      </c>
      <c r="AR5" s="0" t="s">
        <v>140</v>
      </c>
      <c r="AS5" s="0" t="s">
        <v>141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334E125-7866-4FDD-AFFC-CD7BD3FF2EC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94D3232-8930-40BC-962D-DAB3D7977AC1}">
          <x14:formula1>
            <xm:f>CreateNewSubLiveOrder!$4:$4</xm:f>
          </x14:formula1>
          <xm:sqref>E3</xm:sqref>
        </x14:dataValidation>
        <x14:dataValidation type="list" allowBlank="1" showInputMessage="1" showErrorMessage="1" prompt="Choose an available module" xr:uid="{062A5627-5A50-4566-B534-BD0050401A2F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50</v>
      </c>
      <c r="C5" s="0" t="s">
        <v>51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 t="s">
        <v>59</v>
      </c>
      <c r="L5" s="0" t="s">
        <v>60</v>
      </c>
      <c r="M5" s="0" t="s">
        <v>61</v>
      </c>
      <c r="N5" s="0" t="s">
        <v>62</v>
      </c>
      <c r="O5" s="0" t="s">
        <v>63</v>
      </c>
      <c r="P5" s="0" t="s">
        <v>64</v>
      </c>
      <c r="Q5" s="0" t="s">
        <v>65</v>
      </c>
      <c r="R5" s="0" t="s">
        <v>66</v>
      </c>
      <c r="S5" s="0" t="s">
        <v>67</v>
      </c>
      <c r="T5" s="0" t="s">
        <v>68</v>
      </c>
      <c r="U5" s="0" t="s">
        <v>69</v>
      </c>
      <c r="V5" s="0" t="s">
        <v>70</v>
      </c>
      <c r="W5" s="0" t="s">
        <v>71</v>
      </c>
      <c r="X5" s="0" t="s">
        <v>72</v>
      </c>
      <c r="Y5" s="0" t="s">
        <v>73</v>
      </c>
      <c r="Z5" s="0" t="s">
        <v>74</v>
      </c>
      <c r="AA5" s="0" t="s">
        <v>75</v>
      </c>
      <c r="AB5" s="0" t="s">
        <v>76</v>
      </c>
      <c r="AC5" s="0" t="s">
        <v>77</v>
      </c>
      <c r="AD5" s="0" t="s">
        <v>78</v>
      </c>
      <c r="AE5" s="0" t="s">
        <v>79</v>
      </c>
      <c r="AF5" s="0" t="s">
        <v>80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64FDDFB-6991-4824-9A48-A9B33F77AE4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07D7D60-6EBF-46AC-9A00-3B0142DC9AA8}">
          <x14:formula1>
            <xm:f>TradeNewSubOrder1!$4:$4</xm:f>
          </x14:formula1>
          <xm:sqref>E3</xm:sqref>
        </x14:dataValidation>
        <x14:dataValidation type="list" allowBlank="1" showInputMessage="1" showErrorMessage="1" prompt="Choose an available module" xr:uid="{2A6F420C-007E-4D44-AA4E-ECBD68B075BD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83</v>
      </c>
      <c r="C5" s="0" t="s">
        <v>104</v>
      </c>
      <c r="D5" s="0" t="s">
        <v>105</v>
      </c>
      <c r="E5" s="0" t="s">
        <v>106</v>
      </c>
      <c r="F5" s="0" t="s">
        <v>107</v>
      </c>
      <c r="G5" s="0" t="s">
        <v>93</v>
      </c>
      <c r="H5" s="0" t="s">
        <v>108</v>
      </c>
      <c r="I5" s="0" t="s">
        <v>95</v>
      </c>
      <c r="J5" s="0" t="s">
        <v>109</v>
      </c>
      <c r="K5" s="0" t="s">
        <v>110</v>
      </c>
      <c r="L5" s="0" t="s">
        <v>111</v>
      </c>
      <c r="M5" s="0" t="s">
        <v>112</v>
      </c>
      <c r="N5" s="0" t="s">
        <v>113</v>
      </c>
      <c r="O5" s="0" t="s">
        <v>114</v>
      </c>
      <c r="P5" s="0" t="s">
        <v>115</v>
      </c>
      <c r="Q5" s="0" t="s">
        <v>116</v>
      </c>
      <c r="R5" s="0" t="s">
        <v>117</v>
      </c>
      <c r="S5" s="0" t="s">
        <v>118</v>
      </c>
      <c r="T5" s="0" t="s">
        <v>119</v>
      </c>
      <c r="U5" s="0" t="s">
        <v>120</v>
      </c>
      <c r="V5" s="0" t="s">
        <v>121</v>
      </c>
      <c r="W5" s="0" t="s">
        <v>122</v>
      </c>
      <c r="X5" s="0" t="s">
        <v>123</v>
      </c>
      <c r="Y5" s="0" t="s">
        <v>124</v>
      </c>
      <c r="Z5" s="0" t="s">
        <v>125</v>
      </c>
      <c r="AA5" s="0" t="s">
        <v>126</v>
      </c>
      <c r="AB5" s="0" t="s">
        <v>56</v>
      </c>
      <c r="AC5" s="0" t="s">
        <v>127</v>
      </c>
      <c r="AD5" s="0" t="s">
        <v>128</v>
      </c>
      <c r="AE5" s="0" t="s">
        <v>60</v>
      </c>
      <c r="AF5" s="0" t="s">
        <v>129</v>
      </c>
      <c r="AG5" s="0" t="s">
        <v>130</v>
      </c>
      <c r="AH5" s="0" t="s">
        <v>131</v>
      </c>
      <c r="AI5" s="0" t="s">
        <v>132</v>
      </c>
      <c r="AJ5" s="0" t="s">
        <v>133</v>
      </c>
      <c r="AK5" s="0" t="s">
        <v>94</v>
      </c>
      <c r="AL5" s="0" t="s">
        <v>134</v>
      </c>
      <c r="AM5" s="0" t="s">
        <v>135</v>
      </c>
      <c r="AN5" s="0" t="s">
        <v>136</v>
      </c>
      <c r="AO5" s="0" t="s">
        <v>137</v>
      </c>
      <c r="AP5" s="0" t="s">
        <v>138</v>
      </c>
      <c r="AQ5" s="0" t="s">
        <v>139</v>
      </c>
      <c r="AR5" s="0" t="s">
        <v>140</v>
      </c>
      <c r="AS5" s="0" t="s">
        <v>141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73E744F-442F-425C-B308-B698F427E08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955B1A4-5343-489A-9193-8343D387E1F7}">
          <x14:formula1>
            <xm:f>CreateNewSubLiveOrder1!$4:$4</xm:f>
          </x14:formula1>
          <xm:sqref>E3</xm:sqref>
        </x14:dataValidation>
        <x14:dataValidation type="list" allowBlank="1" showInputMessage="1" showErrorMessage="1" prompt="Choose an available module" xr:uid="{2C9DB7CC-D5BA-4847-B35E-AB3318003DC8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84</v>
      </c>
      <c r="C5" s="0" t="s">
        <v>83</v>
      </c>
      <c r="D5" s="0" t="s">
        <v>95</v>
      </c>
      <c r="E5" s="0" t="s">
        <v>109</v>
      </c>
      <c r="F5" s="0" t="s">
        <v>142</v>
      </c>
      <c r="G5" s="0" t="s">
        <v>105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B7C49E-7D9D-4E8A-9329-7291F7E5833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3E03E82-DD2F-448D-B311-D551093DDF0D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06CE00B0-916F-4813-8E76-1AE96E48C25B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84</v>
      </c>
      <c r="C5" s="0" t="s">
        <v>83</v>
      </c>
      <c r="D5" s="0" t="s">
        <v>95</v>
      </c>
      <c r="E5" s="0" t="s">
        <v>109</v>
      </c>
      <c r="F5" s="0" t="s">
        <v>142</v>
      </c>
      <c r="G5" s="0" t="s">
        <v>105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BB24D53-1C11-4514-B161-6FBDD944BC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9EC5922-BD67-4B0F-A95E-22AF687E9D2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7F0712D-20AE-4BFE-9276-61001BCA4D97}">
          <x14:formula1>
            <xm:f>AcknowledgeTrade!$4:$4</xm:f>
          </x14:formula1>
          <xm:sqref>E3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109</v>
      </c>
      <c r="C5" s="0" t="s">
        <v>143</v>
      </c>
      <c r="D5" s="0" t="s">
        <v>144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2FB620F-C91F-45E3-A210-DB4CA488A1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A568C5A-79ED-416E-AABE-B912494CE240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DDE3C474-C950-4462-B535-700BC5EE4A6C}">
          <x14:formula1>
            <xm:f>'_Modules'!$A$4:$A$1000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84</v>
      </c>
      <c r="C5" s="0" t="s">
        <v>83</v>
      </c>
      <c r="D5" s="0" t="s">
        <v>95</v>
      </c>
      <c r="E5" s="0" t="s">
        <v>109</v>
      </c>
      <c r="F5" s="0" t="s">
        <v>142</v>
      </c>
      <c r="G5" s="0" t="s">
        <v>105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9DF8C61-48B8-4E11-B434-30692A4E56B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1391905-9043-4E35-916D-52A409C6D05C}">
          <x14:formula1>
            <xm:f>SelectTrade1!$4:$4</xm:f>
          </x14:formula1>
          <xm:sqref>E3</xm:sqref>
        </x14:dataValidation>
        <x14:dataValidation type="list" allowBlank="1" showInputMessage="1" showErrorMessage="1" prompt="Choose an available module" xr:uid="{B8780F31-E18A-4C0A-8AE3-FF56CDDBF64E}">
          <x14:formula1>
            <xm:f>'_Modules'!$A$4:$A$1000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84</v>
      </c>
      <c r="C5" s="0" t="s">
        <v>83</v>
      </c>
      <c r="D5" s="0" t="s">
        <v>95</v>
      </c>
      <c r="E5" s="0" t="s">
        <v>109</v>
      </c>
      <c r="F5" s="0" t="s">
        <v>142</v>
      </c>
      <c r="G5" s="0" t="s">
        <v>105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EA883BA-632E-4F4C-A412-6F2A6224B16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6D3A079-CD74-4CBF-84C1-0C54603DF0C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5D9439B-20CE-4156-AFC2-C3BC80E7FCD8}">
          <x14:formula1>
            <xm:f>AcknowledgeTrade1!$4:$4</xm:f>
          </x14:formula1>
          <xm:sqref>E3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109</v>
      </c>
      <c r="C5" s="0" t="s">
        <v>143</v>
      </c>
      <c r="D5" s="0" t="s">
        <v>144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9443AA9-8236-4614-AB4E-D600FA19035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3E450C-1ABD-4EE1-84B9-108F6B43B8C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2D85654-CFA7-4CFA-B735-DC8852C5188C}">
          <x14:formula1>
            <xm:f>ExecuteTrade1!$4:$4</xm:f>
          </x14:formula1>
          <xm:sqref>E3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113</v>
      </c>
      <c r="C5" s="0" t="s">
        <v>83</v>
      </c>
      <c r="D5" s="0" t="s">
        <v>145</v>
      </c>
      <c r="E5" s="0" t="s">
        <v>94</v>
      </c>
      <c r="F5" s="0" t="s">
        <v>146</v>
      </c>
      <c r="G5" s="0" t="s">
        <v>147</v>
      </c>
      <c r="H5" s="0" t="s">
        <v>148</v>
      </c>
      <c r="I5" s="0" t="s">
        <v>149</v>
      </c>
      <c r="J5" s="0" t="s">
        <v>150</v>
      </c>
      <c r="K5" s="0" t="s">
        <v>151</v>
      </c>
      <c r="L5" s="0" t="s">
        <v>152</v>
      </c>
      <c r="M5" s="0" t="s">
        <v>153</v>
      </c>
      <c r="N5" s="0" t="s">
        <v>154</v>
      </c>
      <c r="O5" s="0" t="s">
        <v>155</v>
      </c>
      <c r="P5" s="0" t="s">
        <v>156</v>
      </c>
      <c r="Q5" s="0" t="s">
        <v>157</v>
      </c>
      <c r="R5" s="0" t="s">
        <v>158</v>
      </c>
      <c r="S5" s="0" t="s">
        <v>112</v>
      </c>
      <c r="T5" s="0" t="s">
        <v>82</v>
      </c>
      <c r="U5" s="0" t="s">
        <v>159</v>
      </c>
      <c r="V5" s="0" t="s">
        <v>160</v>
      </c>
      <c r="W5" s="0" t="s">
        <v>161</v>
      </c>
      <c r="X5" s="0" t="s">
        <v>162</v>
      </c>
      <c r="Y5" s="0" t="s">
        <v>78</v>
      </c>
      <c r="Z5" s="0" t="s">
        <v>163</v>
      </c>
      <c r="AA5" s="0" t="s">
        <v>164</v>
      </c>
      <c r="AB5" s="0" t="s">
        <v>165</v>
      </c>
      <c r="AC5" s="0" t="s">
        <v>166</v>
      </c>
      <c r="AD5" s="0" t="s">
        <v>167</v>
      </c>
      <c r="AE5" s="0" t="s">
        <v>168</v>
      </c>
      <c r="AF5" s="0" t="s">
        <v>169</v>
      </c>
      <c r="AG5" s="0" t="s">
        <v>170</v>
      </c>
      <c r="AH5" s="0" t="s">
        <v>171</v>
      </c>
      <c r="AI5" s="0" t="s">
        <v>172</v>
      </c>
      <c r="AJ5" s="0" t="s">
        <v>173</v>
      </c>
      <c r="AK5" s="0" t="s">
        <v>174</v>
      </c>
      <c r="AL5" s="0" t="s">
        <v>175</v>
      </c>
      <c r="AM5" s="0" t="s">
        <v>176</v>
      </c>
      <c r="AN5" s="0" t="s">
        <v>104</v>
      </c>
      <c r="AO5" s="0" t="s">
        <v>177</v>
      </c>
      <c r="AP5" s="0" t="s">
        <v>178</v>
      </c>
      <c r="AQ5" s="0" t="s">
        <v>58</v>
      </c>
      <c r="AR5" s="0" t="s">
        <v>179</v>
      </c>
      <c r="AS5" s="0" t="s">
        <v>180</v>
      </c>
      <c r="AT5" s="0" t="s">
        <v>181</v>
      </c>
      <c r="AU5" s="0" t="s">
        <v>77</v>
      </c>
      <c r="AV5" s="0" t="s">
        <v>182</v>
      </c>
      <c r="AW5" s="0" t="s">
        <v>183</v>
      </c>
      <c r="AX5" s="0" t="s">
        <v>184</v>
      </c>
      <c r="AY5" s="0" t="s">
        <v>185</v>
      </c>
      <c r="AZ5" s="0" t="s">
        <v>186</v>
      </c>
      <c r="BA5" s="0" t="s">
        <v>187</v>
      </c>
      <c r="BB5" s="0" t="s">
        <v>188</v>
      </c>
      <c r="BC5" s="0" t="s">
        <v>189</v>
      </c>
      <c r="BD5" s="0" t="s">
        <v>190</v>
      </c>
      <c r="BE5" s="0" t="s">
        <v>191</v>
      </c>
      <c r="BF5" s="0" t="s">
        <v>192</v>
      </c>
      <c r="BG5" s="0" t="s">
        <v>193</v>
      </c>
      <c r="BH5" s="0" t="s">
        <v>194</v>
      </c>
      <c r="BI5" s="0" t="s">
        <v>195</v>
      </c>
      <c r="BJ5" s="0" t="s">
        <v>196</v>
      </c>
      <c r="BK5" s="0" t="s">
        <v>197</v>
      </c>
      <c r="BL5" s="0" t="s">
        <v>198</v>
      </c>
      <c r="BM5" s="0" t="s">
        <v>199</v>
      </c>
      <c r="BN5" s="0" t="s">
        <v>200</v>
      </c>
      <c r="BO5" s="0" t="s">
        <v>201</v>
      </c>
      <c r="BP5" s="0" t="s">
        <v>202</v>
      </c>
      <c r="BQ5" s="0" t="s">
        <v>57</v>
      </c>
      <c r="BR5" s="0" t="s">
        <v>93</v>
      </c>
      <c r="BS5" s="0" t="s">
        <v>203</v>
      </c>
      <c r="BT5" s="0" t="s">
        <v>204</v>
      </c>
      <c r="BU5" s="0" t="s">
        <v>70</v>
      </c>
      <c r="BV5" s="0" t="s">
        <v>205</v>
      </c>
      <c r="BW5" s="0" t="s">
        <v>67</v>
      </c>
      <c r="BX5" s="0" t="s">
        <v>206</v>
      </c>
      <c r="BY5" s="0" t="s">
        <v>207</v>
      </c>
      <c r="BZ5" s="0" t="s">
        <v>208</v>
      </c>
      <c r="CA5" s="0" t="s">
        <v>209</v>
      </c>
      <c r="CB5" s="0" t="s">
        <v>210</v>
      </c>
      <c r="CC5" s="0" t="s">
        <v>211</v>
      </c>
      <c r="CD5" s="0" t="s">
        <v>212</v>
      </c>
      <c r="CE5" s="0" t="s">
        <v>213</v>
      </c>
      <c r="CF5" s="0" t="s">
        <v>214</v>
      </c>
      <c r="CG5" s="0" t="s">
        <v>215</v>
      </c>
      <c r="CH5" s="0" t="s">
        <v>216</v>
      </c>
      <c r="CI5" s="0" t="s">
        <v>217</v>
      </c>
      <c r="CJ5" s="0" t="s">
        <v>218</v>
      </c>
      <c r="CK5" s="0" t="s">
        <v>219</v>
      </c>
      <c r="CL5" s="0" t="s">
        <v>220</v>
      </c>
      <c r="CM5" s="0" t="s">
        <v>221</v>
      </c>
      <c r="CN5" s="0" t="s">
        <v>222</v>
      </c>
      <c r="CO5" s="0" t="s">
        <v>223</v>
      </c>
      <c r="CP5" s="0" t="s">
        <v>224</v>
      </c>
      <c r="CQ5" s="0" t="s">
        <v>225</v>
      </c>
      <c r="CR5" s="0" t="s">
        <v>226</v>
      </c>
      <c r="CS5" s="0" t="s">
        <v>227</v>
      </c>
      <c r="CT5" s="0" t="s">
        <v>64</v>
      </c>
      <c r="CU5" s="0" t="s">
        <v>63</v>
      </c>
      <c r="CV5" s="0" t="s">
        <v>62</v>
      </c>
      <c r="CW5" s="0" t="s">
        <v>61</v>
      </c>
      <c r="CX5" s="0" t="s">
        <v>228</v>
      </c>
      <c r="CY5" s="0" t="s">
        <v>229</v>
      </c>
      <c r="CZ5" s="0" t="s">
        <v>230</v>
      </c>
      <c r="DA5" s="0" t="s">
        <v>231</v>
      </c>
      <c r="DB5" s="0" t="s">
        <v>232</v>
      </c>
      <c r="DC5" s="0" t="s">
        <v>233</v>
      </c>
      <c r="DD5" s="0" t="s">
        <v>234</v>
      </c>
      <c r="DE5" s="0" t="s">
        <v>235</v>
      </c>
      <c r="DF5" s="0" t="s">
        <v>236</v>
      </c>
      <c r="DG5" s="0" t="s">
        <v>237</v>
      </c>
      <c r="DH5" s="0" t="s">
        <v>238</v>
      </c>
      <c r="DI5" s="0" t="s">
        <v>239</v>
      </c>
      <c r="DJ5" s="0" t="s">
        <v>240</v>
      </c>
      <c r="DK5" s="0" t="s">
        <v>241</v>
      </c>
      <c r="DL5" s="0" t="s">
        <v>242</v>
      </c>
      <c r="DM5" s="0" t="s">
        <v>243</v>
      </c>
      <c r="DN5" s="0" t="s">
        <v>244</v>
      </c>
      <c r="DO5" s="0" t="s">
        <v>245</v>
      </c>
      <c r="DP5" s="0" t="s">
        <v>246</v>
      </c>
      <c r="DQ5" s="0" t="s">
        <v>247</v>
      </c>
      <c r="DR5" s="0" t="s">
        <v>248</v>
      </c>
      <c r="DS5" s="0" t="s">
        <v>249</v>
      </c>
      <c r="DT5" s="0" t="s">
        <v>250</v>
      </c>
      <c r="DU5" s="0" t="s">
        <v>251</v>
      </c>
      <c r="DV5" s="0" t="s">
        <v>252</v>
      </c>
      <c r="DW5" s="0" t="s">
        <v>253</v>
      </c>
      <c r="DX5" s="0" t="s">
        <v>254</v>
      </c>
      <c r="DY5" s="0" t="s">
        <v>255</v>
      </c>
      <c r="DZ5" s="0" t="s">
        <v>256</v>
      </c>
      <c r="EA5" s="0" t="s">
        <v>257</v>
      </c>
      <c r="EB5" s="0" t="s">
        <v>258</v>
      </c>
      <c r="EC5" s="0" t="s">
        <v>259</v>
      </c>
      <c r="ED5" s="0" t="s">
        <v>260</v>
      </c>
      <c r="EE5" s="0" t="s">
        <v>261</v>
      </c>
      <c r="EF5" s="0" t="s">
        <v>262</v>
      </c>
      <c r="EG5" s="0" t="s">
        <v>263</v>
      </c>
      <c r="EH5" s="0" t="s">
        <v>264</v>
      </c>
      <c r="EI5" s="0" t="s">
        <v>265</v>
      </c>
      <c r="EJ5" s="0" t="s">
        <v>266</v>
      </c>
      <c r="EK5" s="0" t="s">
        <v>267</v>
      </c>
      <c r="EL5" s="0" t="s">
        <v>268</v>
      </c>
      <c r="EM5" s="0" t="s">
        <v>269</v>
      </c>
      <c r="EN5" s="0" t="s">
        <v>270</v>
      </c>
      <c r="EO5" s="0" t="s">
        <v>271</v>
      </c>
      <c r="EP5" s="0" t="s">
        <v>272</v>
      </c>
      <c r="EQ5" s="0" t="s">
        <v>273</v>
      </c>
      <c r="ER5" s="0" t="s">
        <v>274</v>
      </c>
      <c r="ES5" s="0" t="s">
        <v>275</v>
      </c>
      <c r="ET5" s="0" t="s">
        <v>276</v>
      </c>
      <c r="EU5" s="0" t="s">
        <v>277</v>
      </c>
      <c r="EV5" s="0" t="s">
        <v>278</v>
      </c>
      <c r="EW5" s="0" t="s">
        <v>279</v>
      </c>
      <c r="EX5" s="0" t="s">
        <v>280</v>
      </c>
      <c r="EY5" s="0" t="s">
        <v>65</v>
      </c>
      <c r="EZ5" s="0" t="s">
        <v>66</v>
      </c>
      <c r="FA5" s="0" t="s">
        <v>281</v>
      </c>
      <c r="FB5" s="0" t="s">
        <v>282</v>
      </c>
      <c r="FC5" s="0" t="s">
        <v>283</v>
      </c>
      <c r="FD5" s="0" t="s">
        <v>284</v>
      </c>
      <c r="FE5" s="0" t="s">
        <v>285</v>
      </c>
      <c r="FF5" s="0" t="s">
        <v>286</v>
      </c>
      <c r="FG5" s="0" t="s">
        <v>287</v>
      </c>
      <c r="FH5" s="0" t="s">
        <v>288</v>
      </c>
      <c r="FI5" s="0" t="s">
        <v>289</v>
      </c>
      <c r="FJ5" s="0" t="s">
        <v>290</v>
      </c>
      <c r="FK5" s="0" t="s">
        <v>291</v>
      </c>
      <c r="FL5" s="0" t="s">
        <v>292</v>
      </c>
      <c r="FM5" s="0" t="s">
        <v>293</v>
      </c>
      <c r="FN5" s="0" t="s">
        <v>294</v>
      </c>
      <c r="FO5" s="0" t="s">
        <v>295</v>
      </c>
      <c r="FP5" s="0" t="s">
        <v>296</v>
      </c>
      <c r="FQ5" s="0" t="s">
        <v>297</v>
      </c>
      <c r="FR5" s="0" t="s">
        <v>298</v>
      </c>
      <c r="FS5" s="0" t="s">
        <v>299</v>
      </c>
      <c r="FT5" s="0" t="s">
        <v>300</v>
      </c>
      <c r="FU5" s="0" t="s">
        <v>301</v>
      </c>
      <c r="FV5" s="0" t="s">
        <v>302</v>
      </c>
      <c r="FW5" s="0" t="s">
        <v>303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78D6EB1-745A-4E01-AD21-AF64D8FFD5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3E5D55B-2396-45BA-873D-F00DC4D53E8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7CB9327-2EC9-4E08-B7B5-C970904906ED}">
          <x14:formula1>
            <xm:f>CheckPortfolioManagement!$4:$4</xm:f>
          </x14:formula1>
          <xm:sqref>E3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304</v>
      </c>
      <c r="C5" s="0" t="s">
        <v>305</v>
      </c>
      <c r="D5" s="0" t="s">
        <v>306</v>
      </c>
      <c r="E5" s="0" t="s">
        <v>307</v>
      </c>
      <c r="F5" s="0" t="s">
        <v>98</v>
      </c>
      <c r="G5" s="0" t="s">
        <v>308</v>
      </c>
      <c r="H5" s="0" t="s">
        <v>309</v>
      </c>
      <c r="I5" s="0" t="s">
        <v>310</v>
      </c>
      <c r="J5" s="0" t="s">
        <v>311</v>
      </c>
      <c r="K5" s="0" t="s">
        <v>312</v>
      </c>
      <c r="L5" s="0" t="s">
        <v>313</v>
      </c>
      <c r="M5" s="0" t="s">
        <v>224</v>
      </c>
      <c r="N5" s="0" t="s">
        <v>314</v>
      </c>
      <c r="O5" s="0" t="s">
        <v>93</v>
      </c>
      <c r="P5" s="0" t="s">
        <v>315</v>
      </c>
      <c r="Q5" s="0" t="s">
        <v>316</v>
      </c>
      <c r="R5" s="0" t="s">
        <v>317</v>
      </c>
      <c r="S5" s="0" t="s">
        <v>318</v>
      </c>
      <c r="T5" s="0" t="s">
        <v>319</v>
      </c>
      <c r="U5" s="0" t="s">
        <v>320</v>
      </c>
      <c r="V5" s="0" t="s">
        <v>321</v>
      </c>
      <c r="W5" s="0" t="s">
        <v>322</v>
      </c>
      <c r="X5" s="0" t="s">
        <v>323</v>
      </c>
      <c r="Y5" s="0" t="s">
        <v>324</v>
      </c>
      <c r="Z5" s="0" t="s">
        <v>325</v>
      </c>
      <c r="AA5" s="0" t="s">
        <v>326</v>
      </c>
      <c r="AB5" s="0" t="s">
        <v>175</v>
      </c>
      <c r="AC5" s="0" t="s">
        <v>181</v>
      </c>
      <c r="AD5" s="0" t="s">
        <v>160</v>
      </c>
      <c r="AE5" s="0" t="s">
        <v>327</v>
      </c>
      <c r="AF5" s="0" t="s">
        <v>328</v>
      </c>
      <c r="AG5" s="0" t="s">
        <v>205</v>
      </c>
      <c r="AH5" s="0" t="s">
        <v>80</v>
      </c>
      <c r="AI5" s="0" t="s">
        <v>78</v>
      </c>
      <c r="AJ5" s="0" t="s">
        <v>329</v>
      </c>
      <c r="AK5" s="0" t="s">
        <v>330</v>
      </c>
      <c r="AL5" s="0" t="s">
        <v>331</v>
      </c>
      <c r="AM5" s="0" t="s">
        <v>77</v>
      </c>
      <c r="AN5" s="0" t="s">
        <v>332</v>
      </c>
      <c r="AO5" s="0" t="s">
        <v>225</v>
      </c>
      <c r="AP5" s="0" t="s">
        <v>333</v>
      </c>
      <c r="AQ5" s="0" t="s">
        <v>334</v>
      </c>
      <c r="AR5" s="0" t="s">
        <v>335</v>
      </c>
      <c r="AS5" s="0" t="s">
        <v>336</v>
      </c>
      <c r="AT5" s="0" t="s">
        <v>337</v>
      </c>
      <c r="AU5" s="0" t="s">
        <v>338</v>
      </c>
      <c r="AV5" s="0" t="s">
        <v>339</v>
      </c>
      <c r="AW5" s="0" t="s">
        <v>340</v>
      </c>
      <c r="AX5" s="0" t="s">
        <v>341</v>
      </c>
      <c r="AY5" s="0" t="s">
        <v>95</v>
      </c>
      <c r="AZ5" s="0" t="s">
        <v>342</v>
      </c>
      <c r="BA5" s="0" t="s">
        <v>343</v>
      </c>
      <c r="BB5" s="0" t="s">
        <v>344</v>
      </c>
      <c r="BC5" s="0" t="s">
        <v>345</v>
      </c>
      <c r="BD5" s="0" t="s">
        <v>346</v>
      </c>
      <c r="BE5" s="0" t="s">
        <v>347</v>
      </c>
      <c r="BF5" s="0" t="s">
        <v>348</v>
      </c>
      <c r="BG5" s="0" t="s">
        <v>71</v>
      </c>
      <c r="BH5" s="0" t="s">
        <v>228</v>
      </c>
      <c r="BI5" s="0" t="s">
        <v>349</v>
      </c>
      <c r="BJ5" s="0" t="s">
        <v>105</v>
      </c>
      <c r="BK5" s="0" t="s">
        <v>350</v>
      </c>
      <c r="BL5" s="0" t="s">
        <v>351</v>
      </c>
      <c r="BM5" s="0" t="s">
        <v>69</v>
      </c>
      <c r="BN5" s="0" t="s">
        <v>210</v>
      </c>
      <c r="BO5" s="0" t="s">
        <v>84</v>
      </c>
      <c r="BP5" s="0" t="s">
        <v>352</v>
      </c>
      <c r="BQ5" s="0" t="s">
        <v>353</v>
      </c>
      <c r="BR5" s="0" t="s">
        <v>354</v>
      </c>
      <c r="BS5" s="0" t="s">
        <v>355</v>
      </c>
      <c r="BT5" s="0" t="s">
        <v>83</v>
      </c>
      <c r="BU5" s="0" t="s">
        <v>356</v>
      </c>
      <c r="BV5" s="0" t="s">
        <v>357</v>
      </c>
      <c r="BW5" s="0" t="s">
        <v>358</v>
      </c>
      <c r="BX5" s="0" t="s">
        <v>359</v>
      </c>
      <c r="BY5" s="0" t="s">
        <v>65</v>
      </c>
      <c r="BZ5" s="0" t="s">
        <v>66</v>
      </c>
      <c r="CA5" s="0" t="s">
        <v>64</v>
      </c>
      <c r="CB5" s="0" t="s">
        <v>63</v>
      </c>
      <c r="CC5" s="0" t="s">
        <v>62</v>
      </c>
      <c r="CD5" s="0" t="s">
        <v>61</v>
      </c>
      <c r="CE5" s="0" t="s">
        <v>113</v>
      </c>
      <c r="CF5" s="0" t="s">
        <v>360</v>
      </c>
      <c r="CG5" s="0" t="s">
        <v>361</v>
      </c>
      <c r="CH5" s="0" t="s">
        <v>362</v>
      </c>
      <c r="CI5" s="0" t="s">
        <v>240</v>
      </c>
      <c r="CJ5" s="0" t="s">
        <v>363</v>
      </c>
      <c r="CK5" s="0" t="s">
        <v>159</v>
      </c>
      <c r="CL5" s="0" t="s">
        <v>364</v>
      </c>
      <c r="CM5" s="0" t="s">
        <v>58</v>
      </c>
      <c r="CN5" s="0" t="s">
        <v>57</v>
      </c>
      <c r="CO5" s="0" t="s">
        <v>56</v>
      </c>
      <c r="CP5" s="0" t="s">
        <v>365</v>
      </c>
      <c r="CQ5" s="0" t="s">
        <v>366</v>
      </c>
      <c r="CR5" s="0" t="s">
        <v>367</v>
      </c>
      <c r="CS5" s="0" t="s">
        <v>281</v>
      </c>
      <c r="CT5" s="0" t="s">
        <v>368</v>
      </c>
      <c r="CU5" s="0" t="s">
        <v>290</v>
      </c>
      <c r="CV5" s="0" t="s">
        <v>369</v>
      </c>
      <c r="CW5" s="0" t="s">
        <v>370</v>
      </c>
      <c r="CX5" s="0" t="s">
        <v>75</v>
      </c>
      <c r="CY5" s="0" t="s">
        <v>292</v>
      </c>
      <c r="CZ5" s="0" t="s">
        <v>371</v>
      </c>
      <c r="DA5" s="0" t="s">
        <v>372</v>
      </c>
      <c r="DB5" s="0" t="s">
        <v>373</v>
      </c>
      <c r="DC5" s="0" t="s">
        <v>374</v>
      </c>
      <c r="DD5" s="0" t="s">
        <v>375</v>
      </c>
    </row>
    <row r="6" ht="15.75" customHeight="1">
      <c r="A6" s="12"/>
      <c r="B6" s="12" t="s">
        <v>102</v>
      </c>
      <c r="C6" s="8"/>
      <c r="D6" s="12" t="s">
        <v>103</v>
      </c>
      <c r="E6" s="32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FBD194F-FF1F-474F-9C89-B4C0FC07335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04E9B5-5D2E-4A29-856D-F0208A3453B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A8AD04B-DD34-4AC4-8877-8301D1152796}">
          <x14:formula1>
            <xm:f>CheckAllocatedGroups!$4:$4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