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ditUnallocatedGrid" sheetId="7" r:id="rId9"/>
    <sheet state="visible" name="EnterAccountValuesToAllocate" sheetId="8" r:id="rId10"/>
    <sheet state="visible" name="CheckAllocatedGroups" sheetId="9" r:id="rId11"/>
    <sheet state="visible" name="EditUnallocatedGridWPF" sheetId="10" r:id="rId12"/>
    <sheet state="visible" name="EditUnallocatedGroupSidePanel" sheetId="11" r:id="rId13"/>
  </sheets>
  <definedNames/>
  <calcPr/>
</workbook>
</file>

<file path=xl/sharedStrings.xml><?xml version="1.0" encoding="utf-8"?>
<sst xmlns="http://schemas.openxmlformats.org/spreadsheetml/2006/main" count="180" uniqueCount="50">
  <si>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</si>
  <si>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</si>
  <si>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</si>
  <si>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</si>
  <si>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</si>
  <si>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</si>
  <si>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</si>
  <si>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</si>
  <si>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</si>
  <si>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</si>
  <si>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</si>
  <si>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</si>
  <si>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</si>
  <si>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</si>
  <si>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</si>
  <si>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</si>
  <si>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</si>
  <si>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</si>
  <si>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Unallocated</t>
  </si>
  <si>
    <t>Allocation</t>
  </si>
  <si>
    <t>GetDataAllocation</t>
  </si>
  <si>
    <t>Current</t>
  </si>
  <si>
    <t>SelectUnallocatedGroup</t>
  </si>
  <si>
    <t>EditUnallocatedGrid</t>
  </si>
  <si>
    <t>EditTrade</t>
  </si>
  <si>
    <t>EnterAccountValuesToAllocate</t>
  </si>
  <si>
    <t>Allocation2</t>
  </si>
  <si>
    <t>CheckAllocatedGroups</t>
  </si>
  <si>
    <t/>
  </si>
  <si>
    <t>Manual</t>
  </si>
  <si>
    <t>Equity</t>
  </si>
  <si>
    <t>IBM US EQUITY</t>
  </si>
  <si>
    <t>MS</t>
  </si>
  <si>
    <t>Open</t>
  </si>
  <si>
    <t>USD</t>
  </si>
  <si>
    <t>BrokerNotes</t>
  </si>
  <si>
    <t>NYSE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</si>
  <si>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</si>
  <si>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</si>
  <si>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</si>
  <si>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</si>
  <si>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</si>
  <si>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</si>
  <si>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</si>
  <si>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</si>
  <si>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</si>
  <si>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</si>
  <si>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</si>
  <si>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EditUnallocatedGridWPF</t>
  </si>
  <si>
    <t>EditUnallocatedGroupSidePanel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</si>
</sst>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16</v>
      </c>
      <c r="C6" s="35" t="s">
        <v>17</v>
      </c>
      <c r="D6" s="36">
        <v>2000.0</v>
      </c>
      <c r="E6" s="36">
        <v>2000.0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IFERROR(__xludf.DUMMYFUNCTION("""COMPUTED_VALUE"""),"Venue")</f>
        <v>Venue</v>
      </c>
      <c r="D5" s="28" t="str">
        <f>IFERROR(__xludf.DUMMYFUNCTION("""COMPUTED_VALUE"""),"Transaction Levy")</f>
        <v>Transaction Levy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IFERROR(__xludf.DUMMYFUNCTION("""COMPUTED_VALUE"""),"Process Date")</f>
        <v>Process Date</v>
      </c>
      <c r="H5" s="28" t="str">
        <f>IFERROR(__xludf.DUMMYFUNCTION("""COMPUTED_VALUE"""),"Original Purchase Date")</f>
        <v>Original Purchase Date</v>
      </c>
      <c r="I5" s="28" t="str">
        <f>IFERROR(__xludf.DUMMYFUNCTION("""COMPUTED_VALUE"""),"Settlement Date")</f>
        <v>Settlement Date</v>
      </c>
      <c r="J5" s="28" t="str">
        <f>IFERROR(__xludf.DUMMYFUNCTION("""COMPUTED_VALUE"""),"ISIN")</f>
        <v>ISIN</v>
      </c>
      <c r="K5" s="28" t="str">
        <f>IFERROR(__xludf.DUMMYFUNCTION("""COMPUTED_VALUE"""),"Internal Comments")</f>
        <v>Internal Comments</v>
      </c>
      <c r="L5" s="28" t="str">
        <f>IFERROR(__xludf.DUMMYFUNCTION("""COMPUTED_VALUE"""),"Accrued Interest")</f>
        <v>Accrued Interest</v>
      </c>
      <c r="M5" s="28" t="str">
        <f>IFERROR(__xludf.DUMMYFUNCTION("""COMPUTED_VALUE"""),"Broker")</f>
        <v>Broker</v>
      </c>
      <c r="N5" s="28" t="str">
        <f>IFERROR(__xludf.DUMMYFUNCTION("""COMPUTED_VALUE"""),"Transaction Type")</f>
        <v>Transaction Type</v>
      </c>
      <c r="O5" s="28" t="str">
        <f>IFERROR(__xludf.DUMMYFUNCTION("""COMPUTED_VALUE"""),"Trade Attribute 1")</f>
        <v>Trade Attribute 1</v>
      </c>
      <c r="P5" s="28" t="str">
        <f>IFERROR(__xludf.DUMMYFUNCTION("""COMPUTED_VALUE"""),"Trade Attribute 2")</f>
        <v>Trade Attribute 2</v>
      </c>
      <c r="Q5" s="28" t="str">
        <f>IFERROR(__xludf.DUMMYFUNCTION("""COMPUTED_VALUE"""),"Trade Attribute 3")</f>
        <v>Trade Attribute 3</v>
      </c>
      <c r="R5" s="28" t="str">
        <f>IFERROR(__xludf.DUMMYFUNCTION("""COMPUTED_VALUE"""),"Trade Attribute 4")</f>
        <v>Trade Attribute 4</v>
      </c>
      <c r="S5" s="28" t="str">
        <f>IFERROR(__xludf.DUMMYFUNCTION("""COMPUTED_VALUE"""),"Trade Attribute 5")</f>
        <v>Trade Attribute 5</v>
      </c>
      <c r="T5" s="30" t="str">
        <f>IFERROR(__xludf.DUMMYFUNCTION("""COMPUTED_VALUE"""),"Trade Attribute 6")</f>
        <v>Trade Attribute 6</v>
      </c>
      <c r="U5" s="30" t="str">
        <f>IFERROR(__xludf.DUMMYFUNCTION("""COMPUTED_VALUE"""),"Commission")</f>
        <v>Commission</v>
      </c>
      <c r="V5" s="30" t="str">
        <f>IFERROR(__xludf.DUMMYFUNCTION("""COMPUTED_VALUE"""),"Soft Commission")</f>
        <v>Soft Commission</v>
      </c>
      <c r="W5" s="30" t="str">
        <f>IFERROR(__xludf.DUMMYFUNCTION("""COMPUTED_VALUE"""),"Other Broker Fees")</f>
        <v>Other Broker Fees</v>
      </c>
      <c r="X5" s="30" t="str">
        <f>IFERROR(__xludf.DUMMYFUNCTION("""COMPUTED_VALUE"""),"Clearing Broker Fee")</f>
        <v>Clearing Broker Fee</v>
      </c>
      <c r="Y5" s="30" t="str">
        <f>IFERROR(__xludf.DUMMYFUNCTION("""COMPUTED_VALUE"""),"Stamp Duty")</f>
        <v>Stamp Duty</v>
      </c>
      <c r="Z5" s="30" t="str">
        <f>IFERROR(__xludf.DUMMYFUNCTION("""COMPUTED_VALUE"""),"AUEC Fee1")</f>
        <v>AUEC Fee1</v>
      </c>
      <c r="AA5" s="30" t="str">
        <f>IFERROR(__xludf.DUMMYFUNCTION("""COMPUTED_VALUE"""),"Tax On Commissions")</f>
        <v>Tax On Commissions</v>
      </c>
      <c r="AB5" s="30" t="str">
        <f>IFERROR(__xludf.DUMMYFUNCTION("""COMPUTED_VALUE"""),"AUEC Fee2")</f>
        <v>AUEC Fee2</v>
      </c>
      <c r="AC5" s="30" t="str">
        <f>IFERROR(__xludf.DUMMYFUNCTION("""COMPUTED_VALUE"""),"SEC Fee")</f>
        <v>SEC Fee</v>
      </c>
      <c r="AD5" s="30" t="str">
        <f>IFERROR(__xludf.DUMMYFUNCTION("""COMPUTED_VALUE"""),"OCC Fee")</f>
        <v>OCC Fee</v>
      </c>
      <c r="AE5" s="30" t="str">
        <f>IFERROR(__xludf.DUMMYFUNCTION("""COMPUTED_VALUE"""),"ORF Fee")</f>
        <v>ORF Fee</v>
      </c>
      <c r="AF5" s="30" t="str">
        <f>IFERROR(__xludf.DUMMYFUNCTION("""COMPUTED_VALUE"""),"Option Premium Adjustment")</f>
        <v>Option Premium Adjustment</v>
      </c>
      <c r="AG5" s="30" t="str">
        <f>IFERROR(__xludf.DUMMYFUNCTION("""COMPUTED_VALUE"""),"Change Comment")</f>
        <v>Change Comment</v>
      </c>
      <c r="AH5" s="30" t="str">
        <f>IFERROR(__xludf.DUMMYFUNCTION("""COMPUTED_VALUE"""),"Avg Price(Local)")</f>
        <v>Avg Price(Local)</v>
      </c>
      <c r="AI5" s="30" t="str">
        <f>IFERROR(__xludf.DUMMYFUNCTION("""COMPUTED_VALUE"""),"Nirvana Process Date")</f>
        <v>Nirvana Process Date</v>
      </c>
      <c r="AJ5" s="30" t="str">
        <f>IFERROR(__xludf.DUMMYFUNCTION("""COMPUTED_VALUE"""),"Closing Date")</f>
        <v>Closing Date</v>
      </c>
      <c r="AK5" s="30" t="str">
        <f>IFERROR(__xludf.DUMMYFUNCTION("""COMPUTED_VALUE"""),"Description")</f>
        <v>Description</v>
      </c>
      <c r="AL5" s="30" t="str">
        <f>IFERROR(__xludf.DUMMYFUNCTION("""COMPUTED_VALUE"""),"Coupon Rate")</f>
        <v>Coupon Rate</v>
      </c>
      <c r="AM5" s="30" t="str">
        <f>IFERROR(__xludf.DUMMYFUNCTION("""COMPUTED_VALUE"""),"Delta")</f>
        <v>Delta</v>
      </c>
      <c r="AN5" s="30" t="str">
        <f>IFERROR(__xludf.DUMMYFUNCTION("""COMPUTED_VALUE"""),"Symbol")</f>
        <v>Symbol</v>
      </c>
      <c r="AO5" s="30" t="str">
        <f>IFERROR(__xludf.DUMMYFUNCTION("""COMPUTED_VALUE"""),"Quantity")</f>
        <v>Quantity</v>
      </c>
      <c r="AP5" s="30" t="str">
        <f>IFERROR(__xludf.DUMMYFUNCTION("""COMPUTED_VALUE"""),"Avg Price(Base)")</f>
        <v>Avg Price(Base)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17</v>
      </c>
      <c r="C6" s="35"/>
      <c r="D6" s="33"/>
      <c r="E6" s="36">
        <v>2500.0</v>
      </c>
      <c r="F6" s="35"/>
      <c r="G6" s="35"/>
      <c r="H6" s="35"/>
      <c r="I6" s="35"/>
      <c r="J6" s="35"/>
      <c r="K6" s="35" t="s">
        <v>24</v>
      </c>
      <c r="L6" s="35"/>
      <c r="M6" s="35"/>
      <c r="N6" s="35"/>
      <c r="O6" s="35"/>
      <c r="P6" s="35"/>
      <c r="Q6" s="35"/>
      <c r="R6" s="35"/>
      <c r="S6" s="35"/>
      <c r="T6" s="35"/>
      <c r="U6" s="37">
        <v>0.0</v>
      </c>
      <c r="V6" s="37">
        <v>0.0</v>
      </c>
      <c r="W6" s="37">
        <v>0.0</v>
      </c>
      <c r="X6" s="37">
        <v>0.0</v>
      </c>
      <c r="Y6" s="37"/>
      <c r="Z6" s="38">
        <v>180.0</v>
      </c>
      <c r="AA6" s="38">
        <v>1.0</v>
      </c>
      <c r="AB6" s="38">
        <v>0.0</v>
      </c>
      <c r="AC6" s="38">
        <v>0.0</v>
      </c>
      <c r="AD6" s="37">
        <v>0.0</v>
      </c>
      <c r="AE6" s="37">
        <v>0.0</v>
      </c>
      <c r="AF6" s="37"/>
      <c r="AG6" s="35"/>
      <c r="AH6" s="35"/>
      <c r="AI6" s="35"/>
      <c r="AJ6" s="35"/>
      <c r="AK6" s="35"/>
      <c r="AL6" s="35"/>
      <c r="AM6" s="35"/>
      <c r="AN6" s="34" t="s">
        <v>16</v>
      </c>
      <c r="AO6" s="39">
        <v>2000.0</v>
      </c>
      <c r="AP6" s="35">
        <v>10.0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40"/>
      <c r="B6" s="40" t="s">
        <v>26</v>
      </c>
      <c r="C6" s="41" t="s">
        <v>28</v>
      </c>
      <c r="D6" s="42">
        <v>0.0</v>
      </c>
      <c r="E6" s="43">
        <v>2000.0</v>
      </c>
      <c r="F6" s="43" t="s">
        <v>29</v>
      </c>
      <c r="G6" s="41" t="s">
        <v>30</v>
      </c>
      <c r="H6" s="41">
        <v>180.0</v>
      </c>
      <c r="I6" s="41">
        <v>0.0</v>
      </c>
      <c r="J6" s="41">
        <v>15.0</v>
      </c>
      <c r="K6" s="41">
        <v>10.0</v>
      </c>
      <c r="L6" s="43">
        <v>10.0</v>
      </c>
      <c r="M6" s="43" t="s">
        <v>31</v>
      </c>
      <c r="N6" s="43" t="s">
        <v>28</v>
      </c>
      <c r="O6" s="43" t="s">
        <v>32</v>
      </c>
      <c r="P6" s="41"/>
      <c r="Q6" s="41">
        <v>3.0</v>
      </c>
      <c r="R6" s="43">
        <v>0.0</v>
      </c>
      <c r="S6" s="44" t="s">
        <v>33</v>
      </c>
      <c r="T6" s="44">
        <v>0.0</v>
      </c>
      <c r="U6" s="35">
        <v>0.0</v>
      </c>
      <c r="V6" s="44" t="s">
        <v>16</v>
      </c>
      <c r="W6" s="35">
        <v>1.0</v>
      </c>
      <c r="X6" s="35" t="s">
        <v>28</v>
      </c>
      <c r="Y6" s="35" t="s">
        <v>28</v>
      </c>
      <c r="Z6" s="44" t="s">
        <v>34</v>
      </c>
      <c r="AA6" s="44"/>
      <c r="AB6" s="35">
        <v>1.0</v>
      </c>
      <c r="AC6" s="35" t="s">
        <v>35</v>
      </c>
      <c r="AD6" s="44" t="s">
        <v>36</v>
      </c>
      <c r="AE6" s="35">
        <v>2000.0</v>
      </c>
      <c r="AF6" s="45" t="s">
        <v>28</v>
      </c>
      <c r="AG6" s="35"/>
      <c r="AH6" s="44" t="s">
        <v>37</v>
      </c>
      <c r="AI6" s="35">
        <v>1.0</v>
      </c>
      <c r="AJ6" s="35" t="s">
        <v>38</v>
      </c>
      <c r="AK6" s="35"/>
      <c r="AL6" s="35"/>
      <c r="AM6" s="46" t="s">
        <v>39</v>
      </c>
      <c r="AN6" s="35" t="b">
        <v>0</v>
      </c>
      <c r="AO6" s="46"/>
      <c r="AP6" s="46" t="b">
        <v>1</v>
      </c>
      <c r="AQ6" s="46" t="b">
        <v>0</v>
      </c>
      <c r="AR6" s="44"/>
      <c r="AS6" s="44">
        <v>0.0</v>
      </c>
      <c r="AT6" s="44">
        <v>20184.5</v>
      </c>
      <c r="AU6" s="47"/>
      <c r="AV6" s="44"/>
      <c r="AW6" s="44">
        <v>0.0</v>
      </c>
      <c r="AX6" s="35">
        <v>0.0</v>
      </c>
      <c r="AY6" s="44" t="s">
        <v>40</v>
      </c>
      <c r="AZ6" s="45"/>
      <c r="BA6" s="35"/>
      <c r="BB6" s="44"/>
      <c r="BC6" s="35">
        <v>0.0</v>
      </c>
      <c r="BD6" s="44" t="s">
        <v>41</v>
      </c>
      <c r="BE6" s="44">
        <v>20000.0</v>
      </c>
      <c r="BF6" s="45"/>
      <c r="BG6" s="35"/>
      <c r="BH6" s="35"/>
      <c r="BI6" s="44"/>
      <c r="BJ6" s="44">
        <v>2000.0</v>
      </c>
      <c r="BK6" s="35">
        <v>0.0</v>
      </c>
      <c r="BL6" s="35" t="s">
        <v>28</v>
      </c>
      <c r="BM6" s="45" t="s">
        <v>34</v>
      </c>
      <c r="BN6" s="35"/>
      <c r="BO6" s="44" t="s">
        <v>17</v>
      </c>
      <c r="BP6" s="44">
        <v>0.0</v>
      </c>
      <c r="BQ6" s="44">
        <v>0.0</v>
      </c>
      <c r="BR6" s="35">
        <v>3.5</v>
      </c>
      <c r="BS6" s="35" t="s">
        <v>42</v>
      </c>
      <c r="BT6" s="44" t="s">
        <v>16</v>
      </c>
      <c r="BU6" s="44">
        <v>1.0</v>
      </c>
      <c r="BV6" s="44">
        <v>0.0</v>
      </c>
      <c r="BW6" s="44">
        <v>184.5</v>
      </c>
      <c r="BX6" s="35">
        <v>0.0</v>
      </c>
      <c r="BY6" s="35"/>
      <c r="BZ6" s="35"/>
      <c r="CA6" s="35"/>
      <c r="CB6" s="35"/>
      <c r="CC6" s="35"/>
      <c r="CD6" s="45"/>
      <c r="CE6" s="35"/>
      <c r="CF6" s="44" t="s">
        <v>43</v>
      </c>
      <c r="CG6" s="35">
        <v>0.0</v>
      </c>
      <c r="CH6" s="35" t="s">
        <v>12</v>
      </c>
      <c r="CI6" s="44" t="s">
        <v>17</v>
      </c>
      <c r="CJ6" s="35">
        <v>0.0</v>
      </c>
      <c r="CK6" s="44" t="s">
        <v>44</v>
      </c>
      <c r="CL6" s="35">
        <v>1.0</v>
      </c>
      <c r="CM6" s="35" t="s">
        <v>16</v>
      </c>
      <c r="CN6" s="35" t="s">
        <v>45</v>
      </c>
      <c r="CO6" s="35" t="s">
        <v>46</v>
      </c>
      <c r="CP6" s="45" t="s">
        <v>47</v>
      </c>
      <c r="CQ6" s="44"/>
      <c r="CR6" s="35"/>
      <c r="CS6" s="35" t="s">
        <v>28</v>
      </c>
      <c r="CT6" s="35"/>
      <c r="CU6" s="35" t="s">
        <v>28</v>
      </c>
      <c r="CV6" s="35" t="s">
        <v>28</v>
      </c>
      <c r="CW6" s="35" t="s">
        <v>28</v>
      </c>
      <c r="CX6" s="35" t="s">
        <v>28</v>
      </c>
      <c r="CY6" s="35" t="s">
        <v>28</v>
      </c>
      <c r="CZ6" s="35" t="s">
        <v>28</v>
      </c>
      <c r="DA6" s="35" t="s">
        <v>28</v>
      </c>
      <c r="DB6" s="35" t="s">
        <v>28</v>
      </c>
      <c r="DC6" s="35" t="s">
        <v>28</v>
      </c>
      <c r="DD6" s="35" t="s">
        <v>28</v>
      </c>
      <c r="DE6" s="35" t="s">
        <v>28</v>
      </c>
      <c r="DF6" s="35" t="s">
        <v>28</v>
      </c>
      <c r="DG6" s="35" t="s">
        <v>28</v>
      </c>
      <c r="DH6" s="35" t="s">
        <v>28</v>
      </c>
      <c r="DI6" s="35" t="s">
        <v>28</v>
      </c>
      <c r="DJ6" s="35" t="s">
        <v>28</v>
      </c>
      <c r="DK6" s="35" t="s">
        <v>28</v>
      </c>
      <c r="DL6" s="35" t="s">
        <v>28</v>
      </c>
      <c r="DM6" s="35" t="s">
        <v>28</v>
      </c>
      <c r="DN6" s="35" t="s">
        <v>28</v>
      </c>
      <c r="DO6" s="35" t="s">
        <v>28</v>
      </c>
      <c r="DP6" s="35" t="s">
        <v>28</v>
      </c>
      <c r="DQ6" s="35" t="s">
        <v>28</v>
      </c>
      <c r="DR6" s="35" t="s">
        <v>28</v>
      </c>
      <c r="DS6" s="35" t="s">
        <v>28</v>
      </c>
      <c r="DT6" s="35" t="s">
        <v>28</v>
      </c>
      <c r="DU6" s="35" t="s">
        <v>28</v>
      </c>
      <c r="DV6" s="35" t="s">
        <v>28</v>
      </c>
      <c r="DW6" s="35" t="s">
        <v>28</v>
      </c>
      <c r="DX6" s="35" t="s">
        <v>28</v>
      </c>
      <c r="DY6" s="35" t="s">
        <v>28</v>
      </c>
      <c r="DZ6" s="35" t="s">
        <v>28</v>
      </c>
      <c r="EA6" s="35" t="s">
        <v>28</v>
      </c>
      <c r="EB6" s="35" t="s">
        <v>28</v>
      </c>
      <c r="EC6" s="35" t="s">
        <v>28</v>
      </c>
      <c r="ED6" s="35" t="s">
        <v>28</v>
      </c>
      <c r="EE6" s="35" t="s">
        <v>28</v>
      </c>
      <c r="EF6" s="35" t="s">
        <v>28</v>
      </c>
      <c r="EG6" s="35" t="s">
        <v>28</v>
      </c>
      <c r="EH6" s="35" t="s">
        <v>28</v>
      </c>
      <c r="EI6" s="35" t="s">
        <v>28</v>
      </c>
      <c r="EJ6" s="35" t="s">
        <v>28</v>
      </c>
      <c r="EK6" s="35" t="s">
        <v>28</v>
      </c>
      <c r="EL6" s="35" t="s">
        <v>28</v>
      </c>
      <c r="EM6" s="35" t="s">
        <v>28</v>
      </c>
      <c r="EN6" s="35" t="s">
        <v>28</v>
      </c>
      <c r="EO6" s="35" t="s">
        <v>28</v>
      </c>
      <c r="EP6" s="35" t="s">
        <v>28</v>
      </c>
      <c r="EQ6" s="35" t="s">
        <v>28</v>
      </c>
      <c r="ER6" s="35" t="s">
        <v>28</v>
      </c>
      <c r="ES6" s="35" t="s">
        <v>28</v>
      </c>
      <c r="ET6" s="35" t="s">
        <v>28</v>
      </c>
      <c r="EU6" s="35" t="s">
        <v>28</v>
      </c>
      <c r="EV6" s="35" t="s">
        <v>28</v>
      </c>
      <c r="EW6" s="35" t="s">
        <v>28</v>
      </c>
      <c r="EX6" s="35" t="s">
        <v>28</v>
      </c>
      <c r="EY6" s="35" t="s">
        <v>28</v>
      </c>
      <c r="EZ6" s="35" t="s">
        <v>28</v>
      </c>
      <c r="FA6" s="35" t="s">
        <v>28</v>
      </c>
      <c r="FB6" s="35" t="s">
        <v>28</v>
      </c>
      <c r="FC6" s="35" t="s">
        <v>28</v>
      </c>
      <c r="FD6" s="35" t="s">
        <v>28</v>
      </c>
      <c r="FE6" s="35" t="s">
        <v>28</v>
      </c>
      <c r="FF6" s="35" t="s">
        <v>28</v>
      </c>
      <c r="FG6" s="43" t="s">
        <v>28</v>
      </c>
      <c r="FH6" s="35" t="s">
        <v>28</v>
      </c>
      <c r="FI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IFERROR(__xludf.DUMMYFUNCTION("""COMPUTED_VALUE"""),"Venue")</f>
        <v>Venue</v>
      </c>
      <c r="D5" s="28" t="str">
        <f>IFERROR(__xludf.DUMMYFUNCTION("""COMPUTED_VALUE"""),"Transaction Levy")</f>
        <v>Transaction Levy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IFERROR(__xludf.DUMMYFUNCTION("""COMPUTED_VALUE"""),"Process Date")</f>
        <v>Process Date</v>
      </c>
      <c r="H5" s="28" t="str">
        <f>IFERROR(__xludf.DUMMYFUNCTION("""COMPUTED_VALUE"""),"Original Purchase Date")</f>
        <v>Original Purchase Date</v>
      </c>
      <c r="I5" s="28" t="str">
        <f>IFERROR(__xludf.DUMMYFUNCTION("""COMPUTED_VALUE"""),"Settlement Date")</f>
        <v>Settlement Date</v>
      </c>
      <c r="J5" s="28" t="str">
        <f>IFERROR(__xludf.DUMMYFUNCTION("""COMPUTED_VALUE"""),"ISIN")</f>
        <v>ISIN</v>
      </c>
      <c r="K5" s="28" t="str">
        <f>IFERROR(__xludf.DUMMYFUNCTION("""COMPUTED_VALUE"""),"Internal Comments")</f>
        <v>Internal Comments</v>
      </c>
      <c r="L5" s="28" t="str">
        <f>IFERROR(__xludf.DUMMYFUNCTION("""COMPUTED_VALUE"""),"Accrued Interest")</f>
        <v>Accrued Interest</v>
      </c>
      <c r="M5" s="28" t="str">
        <f>IFERROR(__xludf.DUMMYFUNCTION("""COMPUTED_VALUE"""),"Broker")</f>
        <v>Broker</v>
      </c>
      <c r="N5" s="28" t="str">
        <f>IFERROR(__xludf.DUMMYFUNCTION("""COMPUTED_VALUE"""),"Transaction Type")</f>
        <v>Transaction Type</v>
      </c>
      <c r="O5" s="28" t="str">
        <f>IFERROR(__xludf.DUMMYFUNCTION("""COMPUTED_VALUE"""),"Trade Attribute 1")</f>
        <v>Trade Attribute 1</v>
      </c>
      <c r="P5" s="28" t="str">
        <f>IFERROR(__xludf.DUMMYFUNCTION("""COMPUTED_VALUE"""),"Trade Attribute 2")</f>
        <v>Trade Attribute 2</v>
      </c>
      <c r="Q5" s="28" t="str">
        <f>IFERROR(__xludf.DUMMYFUNCTION("""COMPUTED_VALUE"""),"Trade Attribute 3")</f>
        <v>Trade Attribute 3</v>
      </c>
      <c r="R5" s="28" t="str">
        <f>IFERROR(__xludf.DUMMYFUNCTION("""COMPUTED_VALUE"""),"Trade Attribute 4")</f>
        <v>Trade Attribute 4</v>
      </c>
      <c r="S5" s="28" t="str">
        <f>IFERROR(__xludf.DUMMYFUNCTION("""COMPUTED_VALUE"""),"Trade Attribute 5")</f>
        <v>Trade Attribute 5</v>
      </c>
      <c r="T5" s="30" t="str">
        <f>IFERROR(__xludf.DUMMYFUNCTION("""COMPUTED_VALUE"""),"Trade Attribute 6")</f>
        <v>Trade Attribute 6</v>
      </c>
      <c r="U5" s="30" t="str">
        <f>IFERROR(__xludf.DUMMYFUNCTION("""COMPUTED_VALUE"""),"Commission")</f>
        <v>Commission</v>
      </c>
      <c r="V5" s="30" t="str">
        <f>IFERROR(__xludf.DUMMYFUNCTION("""COMPUTED_VALUE"""),"Soft Commission")</f>
        <v>Soft Commission</v>
      </c>
      <c r="W5" s="30" t="str">
        <f>IFERROR(__xludf.DUMMYFUNCTION("""COMPUTED_VALUE"""),"Other Broker Fees")</f>
        <v>Other Broker Fees</v>
      </c>
      <c r="X5" s="30" t="str">
        <f>IFERROR(__xludf.DUMMYFUNCTION("""COMPUTED_VALUE"""),"Clearing Broker Fee")</f>
        <v>Clearing Broker Fee</v>
      </c>
      <c r="Y5" s="30" t="str">
        <f>IFERROR(__xludf.DUMMYFUNCTION("""COMPUTED_VALUE"""),"Stamp Duty")</f>
        <v>Stamp Duty</v>
      </c>
      <c r="Z5" s="30" t="str">
        <f>IFERROR(__xludf.DUMMYFUNCTION("""COMPUTED_VALUE"""),"AUEC Fee1")</f>
        <v>AUEC Fee1</v>
      </c>
      <c r="AA5" s="30" t="str">
        <f>IFERROR(__xludf.DUMMYFUNCTION("""COMPUTED_VALUE"""),"Tax On Commissions")</f>
        <v>Tax On Commissions</v>
      </c>
      <c r="AB5" s="30" t="str">
        <f>IFERROR(__xludf.DUMMYFUNCTION("""COMPUTED_VALUE"""),"AUEC Fee2")</f>
        <v>AUEC Fee2</v>
      </c>
      <c r="AC5" s="30" t="str">
        <f>IFERROR(__xludf.DUMMYFUNCTION("""COMPUTED_VALUE"""),"Avg Price(Local)")</f>
        <v>Avg Price(Local)</v>
      </c>
      <c r="AD5" s="30" t="str">
        <f>IFERROR(__xludf.DUMMYFUNCTION("""COMPUTED_VALUE"""),"OCC Fee")</f>
        <v>OCC Fee</v>
      </c>
      <c r="AE5" s="30" t="str">
        <f>IFERROR(__xludf.DUMMYFUNCTION("""COMPUTED_VALUE"""),"ORF Fee")</f>
        <v>ORF Fee</v>
      </c>
      <c r="AF5" s="30" t="str">
        <f>IFERROR(__xludf.DUMMYFUNCTION("""COMPUTED_VALUE"""),"Option Premium Adjustment")</f>
        <v>Option Premium Adjustment</v>
      </c>
      <c r="AG5" s="30" t="str">
        <f>IFERROR(__xludf.DUMMYFUNCTION("""COMPUTED_VALUE"""),"Change Comment")</f>
        <v>Change Comment</v>
      </c>
      <c r="AH5" s="30" t="str">
        <f>IFERROR(__xludf.DUMMYFUNCTION("""COMPUTED_VALUE"""),"SEC Fee")</f>
        <v>SEC Fee</v>
      </c>
      <c r="AI5" s="30" t="str">
        <f>IFERROR(__xludf.DUMMYFUNCTION("""COMPUTED_VALUE"""),"Nirvana Process Date")</f>
        <v>Nirvana Process Date</v>
      </c>
      <c r="AJ5" s="30" t="str">
        <f>IFERROR(__xludf.DUMMYFUNCTION("""COMPUTED_VALUE"""),"Closing Date")</f>
        <v>Closing Date</v>
      </c>
      <c r="AK5" s="30" t="str">
        <f>IFERROR(__xludf.DUMMYFUNCTION("""COMPUTED_VALUE"""),"Description")</f>
        <v>Description</v>
      </c>
      <c r="AL5" s="30" t="str">
        <f>IFERROR(__xludf.DUMMYFUNCTION("""COMPUTED_VALUE"""),"Coupon Rate")</f>
        <v>Coupon Rate</v>
      </c>
      <c r="AM5" s="30" t="str">
        <f>IFERROR(__xludf.DUMMYFUNCTION("""COMPUTED_VALUE"""),"Delta")</f>
        <v>Delta</v>
      </c>
      <c r="AN5" s="30" t="str">
        <f>IFERROR(__xludf.DUMMYFUNCTION("""COMPUTED_VALUE"""),"Symbol")</f>
        <v>Symbol</v>
      </c>
      <c r="AO5" s="30" t="str">
        <f>IFERROR(__xludf.DUMMYFUNCTION("""COMPUTED_VALUE"""),"Quantity")</f>
        <v>Quantity</v>
      </c>
      <c r="AP5" s="30" t="str">
        <f>IFERROR(__xludf.DUMMYFUNCTION("""COMPUTED_VALUE"""),"Avg Price(Base)")</f>
        <v>Avg Price(Base)</v>
      </c>
      <c r="AQ5" s="30" t="str">
        <f>IFERROR(__xludf.DUMMYFUNCTION("""COMPUTED_VALUE"""),"Sedol Symbol")</f>
        <v>Sedol Symbol</v>
      </c>
      <c r="AR5" s="30" t="str">
        <f>IFERROR(__xludf.DUMMYFUNCTION("""COMPUTED_VALUE"""),"Borrow Broker")</f>
        <v>Borrow Broker</v>
      </c>
      <c r="AS5" s="30" t="str">
        <f>IFERROR(__xludf.DUMMYFUNCTION("""COMPUTED_VALUE"""),"FX Rate")</f>
        <v>FX Rate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17</v>
      </c>
      <c r="C6" s="35"/>
      <c r="D6" s="33"/>
      <c r="E6" s="36">
        <v>2500.0</v>
      </c>
      <c r="F6" s="35"/>
      <c r="G6" s="35"/>
      <c r="H6" s="35"/>
      <c r="I6" s="35"/>
      <c r="J6" s="35"/>
      <c r="K6" s="35" t="s">
        <v>24</v>
      </c>
      <c r="L6" s="35"/>
      <c r="M6" s="35"/>
      <c r="N6" s="35"/>
      <c r="O6" s="35"/>
      <c r="P6" s="35"/>
      <c r="Q6" s="35"/>
      <c r="R6" s="35"/>
      <c r="S6" s="35"/>
      <c r="T6" s="35"/>
      <c r="U6" s="37">
        <v>0.0</v>
      </c>
      <c r="V6" s="37">
        <v>0.0</v>
      </c>
      <c r="W6" s="37">
        <v>0.0</v>
      </c>
      <c r="X6" s="37">
        <v>0.0</v>
      </c>
      <c r="Y6" s="37"/>
      <c r="Z6" s="38">
        <v>180.0</v>
      </c>
      <c r="AA6" s="38">
        <v>1.0</v>
      </c>
      <c r="AB6" s="38">
        <v>0.0</v>
      </c>
      <c r="AC6" s="38">
        <v>0.0</v>
      </c>
      <c r="AD6" s="37">
        <v>0.0</v>
      </c>
      <c r="AE6" s="37">
        <v>0.0</v>
      </c>
      <c r="AF6" s="37"/>
      <c r="AG6" s="35"/>
      <c r="AH6" s="35"/>
      <c r="AI6" s="35"/>
      <c r="AJ6" s="35"/>
      <c r="AK6" s="35"/>
      <c r="AL6" s="35"/>
      <c r="AM6" s="35"/>
      <c r="AN6" s="34" t="s">
        <v>16</v>
      </c>
      <c r="AO6" s="39">
        <v>2000.0</v>
      </c>
      <c r="AP6" s="35">
        <v>10.0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>
        <v>2500.0</v>
      </c>
      <c r="C6" s="35"/>
      <c r="D6" s="33"/>
      <c r="F6" s="35"/>
      <c r="G6" s="35"/>
      <c r="H6" s="35"/>
      <c r="I6" s="34">
        <v>0.0</v>
      </c>
      <c r="J6" s="34">
        <v>0.0</v>
      </c>
      <c r="K6" s="34">
        <v>0.0</v>
      </c>
      <c r="L6" s="34">
        <v>0.0</v>
      </c>
      <c r="M6" s="34">
        <v>3.5</v>
      </c>
      <c r="N6" s="35"/>
      <c r="O6" s="34">
        <v>180.0</v>
      </c>
      <c r="P6" s="34">
        <v>1.0</v>
      </c>
      <c r="Q6" s="34">
        <v>0.0</v>
      </c>
      <c r="R6" s="34">
        <v>0.0</v>
      </c>
      <c r="S6" s="34">
        <v>0.0</v>
      </c>
      <c r="T6" s="34">
        <v>0.0</v>
      </c>
      <c r="U6" s="48"/>
      <c r="V6" s="37"/>
      <c r="W6" s="37"/>
      <c r="X6" s="37"/>
      <c r="Y6" s="37"/>
      <c r="Z6" s="38"/>
      <c r="AA6" s="38"/>
      <c r="AB6" s="38"/>
      <c r="AC6" s="38"/>
      <c r="AD6" s="37"/>
      <c r="AE6" s="37"/>
      <c r="AF6" s="37"/>
      <c r="AG6" s="35"/>
      <c r="AH6" s="35"/>
      <c r="AI6" s="35"/>
      <c r="AJ6" s="35"/>
      <c r="AK6" s="35"/>
      <c r="AL6" s="35"/>
      <c r="AM6" s="35"/>
      <c r="AN6" s="34"/>
      <c r="AO6" s="39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