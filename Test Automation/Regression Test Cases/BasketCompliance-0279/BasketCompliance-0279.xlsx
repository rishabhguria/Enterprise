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ustomOrderTT" sheetId="4" r:id="rId6"/>
    <sheet name="PricingInput" sheetId="5" r:id="rId7"/>
    <sheet name="GetForexConversion" sheetId="6" r:id="rId8"/>
    <sheet name="UpdateForexConversion" sheetId="7" r:id="rId9"/>
    <sheet name="CustomOrderTT1" sheetId="8" r:id="rId10"/>
    <sheet name="CustomOrderTT2" sheetId="9" r:id="rId11"/>
    <sheet name="CustomOrderTT3" sheetId="10" r:id="rId12"/>
    <sheet name="CustomOrderTT4" sheetId="11" r:id="rId13"/>
    <sheet name="CustomOrderTT5" sheetId="12" r:id="rId14"/>
    <sheet name="CustomOrderTT6" sheetId="13" r:id="rId15"/>
    <sheet name="CustomOrderTT7" sheetId="14" r:id="rId16"/>
    <sheet name="CustomOrderTT8" sheetId="15" r:id="rId17"/>
    <sheet name="VerifyComplianceOrder" sheetId="16" r:id="rId18"/>
    <sheet name="VerifyComplianceOrder1" sheetId="17" r:id="rId19"/>
    <sheet name="VerifyComplianceOrder2" sheetId="18" r:id="rId20"/>
    <sheet name="VerifyComplianceOrder3" sheetId="19" r:id="rId21"/>
    <sheet name="VerifyComplianceOrder4" sheetId="20" r:id="rId22"/>
    <sheet name="VerifyComplianceOrder5" sheetId="21" r:id="rId23"/>
    <sheet name="VerifyComplianceOrder6" sheetId="22" r:id="rId24"/>
    <sheet name="VerifyComplianceOrder7" sheetId="23" r:id="rId25"/>
  </sheets>
  <calcPr fullCalcOnLoad="1"/>
</workbook>
</file>

<file path=xl/sharedStrings.xml><?xml version="1.0" encoding="utf-8"?>
<sst xmlns="http://schemas.openxmlformats.org/spreadsheetml/2006/main" count="109" uniqueCount="109">
  <si>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</si>
  <si>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</si>
  <si>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</si>
  <si>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</si>
  <si>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</si>
  <si>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</si>
  <si>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</si>
  <si>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</si>
  <si>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</si>
  <si>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</si>
  <si>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</si>
  <si>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</si>
  <si>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</si>
  <si>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</si>
  <si>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</si>
  <si>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</si>
  <si>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</si>
  <si>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</si>
  <si>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</si>
  <si>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</si>
  <si>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</si>
  <si>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</si>
  <si>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</si>
  <si>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</si>
  <si>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</si>
  <si>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</si>
  <si>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</si>
  <si>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</si>
  <si>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</si>
  <si>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</si>
  <si>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</si>
  <si>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</si>
  <si>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</si>
  <si>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</si>
  <si>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</si>
  <si>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</si>
  <si>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</si>
  <si>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</si>
  <si>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</si>
  <si>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</si>
  <si>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</si>
  <si>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</si>
  <si>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</si>
  <si>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</si>
  <si>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</si>
  <si>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</si>
  <si>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</si>
  <si>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</si>
  <si>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</si>
  <si>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</si>
  <si>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</si>
  <si>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</si>
  <si>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</si>
  <si>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IBM</t>
  </si>
  <si>
    <t>DoneAway</t>
  </si>
  <si>
    <t>Allocation2</t>
  </si>
  <si>
    <t>FRU-TC</t>
  </si>
  <si>
    <t>O:AAPL 13N715.00</t>
  </si>
  <si>
    <t>ES U4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</si>
  <si>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</si>
  <si>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</si>
  <si>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</si>
  <si>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</si>
  <si>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</si>
  <si>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</si>
  <si>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</si>
  <si>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AllowTrade</t>
  </si>
  <si>
    <t>Send</t>
  </si>
  <si>
    <t>VerifyComplianceOrder</t>
  </si>
  <si>
    <t>Soft</t>
  </si>
  <si>
    <t>Global_NMV</t>
  </si>
  <si>
    <t>Enter Summary</t>
  </si>
  <si>
    <t>Global</t>
  </si>
  <si>
    <t>percentNetMarketValueGlobal: 167.3203</t>
  </si>
  <si>
    <t>Yes</t>
  </si>
  <si>
    <t>Global_NEG</t>
  </si>
  <si>
    <t>percentNetExposureGlobal: 69.281</t>
  </si>
  <si>
    <t>Global_GMV</t>
  </si>
  <si>
    <t>percentGrossMarketValueGlobal: 167.3203</t>
  </si>
  <si>
    <t>Global_GEV</t>
  </si>
  <si>
    <t>percentGrossExposureGlobal: 69.281</t>
  </si>
  <si>
    <t>percentNetMarketValueGlobal: 169.7368</t>
  </si>
  <si>
    <t>percentNetExposureGlobal: 69.7368</t>
  </si>
  <si>
    <t>percentGrossMarketValueGlobal: 168.4211</t>
  </si>
  <si>
    <t>percentGrossExposureGlobal: 69.7368</t>
  </si>
  <si>
    <t>percentNetMarketValueGlobal: 181.746</t>
  </si>
  <si>
    <t>percentNetExposureGlobal: 41.2698</t>
  </si>
  <si>
    <t>percentGrossMarketValueGlobal: 180.1587</t>
  </si>
  <si>
    <t>percentGrossExposureGlobal: 41.2698</t>
  </si>
  <si>
    <t>percentNetMarketValueGlobal: 251.4851</t>
  </si>
  <si>
    <t>percentNetExposureGlobal: 100.9901</t>
  </si>
  <si>
    <t>percentGrossMarketValueGlobal: 150.495</t>
  </si>
  <si>
    <t>percentGrossExposureGlobal: 100.9901</t>
  </si>
  <si>
    <t>percentNetMarketValueGlobal: 331.1688</t>
  </si>
  <si>
    <t>percentNetExposureGlobal: 70.1299</t>
  </si>
  <si>
    <t>percentGrossMarketValueGlobal: 167.5325</t>
  </si>
  <si>
    <t>percentGrossExposureGlobal: 70.1299</t>
  </si>
  <si>
    <t>percentNetMarketValueGlobal: 336.8421</t>
  </si>
  <si>
    <t>percentNetExposureGlobal: 71.0526</t>
  </si>
  <si>
    <t>percentGrossMarketValueGlobal: 169.7368</t>
  </si>
  <si>
    <t>percentGrossExposureGlobal: 71.0526</t>
  </si>
  <si>
    <t>percentNetMarketValueGlobal: 202.2727</t>
  </si>
  <si>
    <t>percentNetExposureGlobal: 29.5455</t>
  </si>
  <si>
    <t>percentGrossMarketValueGlobal: 185.7955</t>
  </si>
  <si>
    <t>percentGrossExposureGlobal: 29.5455</t>
  </si>
  <si>
    <t>percentNetMarketValueGlobal: 302.381</t>
  </si>
  <si>
    <t>percentNetExposureGlobal: 120.6349</t>
  </si>
  <si>
    <t>percentGrossMarketValueGlobal: 140.4762</t>
  </si>
  <si>
    <t>percentGrossExposureGlobal: 120.6349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</si>
</sst>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6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4" applyFont="1" fillId="3" applyFill="1" borderId="4" applyBorder="1" xfId="0"/>
    <xf fontId="5" applyFont="1" fillId="0" applyFill="1" borderId="0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3" applyFont="1" fillId="5" applyFill="1" borderId="0" applyBorder="1" xfId="0"/>
    <xf fontId="4" applyFont="1" fillId="5" applyFill="1" borderId="4" applyBorder="1" xfId="0"/>
    <xf fontId="13" applyFont="1" fillId="5" applyFill="1" borderId="0" applyBorder="1" xfId="0"/>
    <xf fontId="5" applyFont="1" fillId="0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957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IFERROR(__xludf.DUMMYFUNCTION("""COMPUTED_VALUE"""),"1RWrzEP7tKvSTkC1z87RsjU_EZslvD2btXJuTWRIwRLU")</f>
        <v>1RWrzEP7tKvSTkC1z87RsjU_EZslvD2btXJuTWRIwRLU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IFERROR(__xludf.DUMMYFUNCTION("""COMPUTED_VALUE"""),"1XzjmPmpB7IMcyzPSsbgmFfzjE_zIKdjrk0mUoMFhNZc")</f>
        <v>1XzjmPmpB7IMcyzPSsbgmFfzjE_zIKdjrk0mUoMFhNZc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>
      <c r="A874" s="0" t="str">
        <f>IFERROR(__xludf.DUMMYFUNCTION("""COMPUTED_VALUE"""),"Blotter")</f>
        <v>Blotter</v>
      </c>
      <c r="B874" s="0" t="str">
        <f>IFERROR(__xludf.DUMMYFUNCTION("""COMPUTED_VALUE"""),"ActionOnFloatingWindow")</f>
        <v>ActionOnFloatingWindow</v>
      </c>
      <c r="C874" s="0" t="str">
        <f>IFERROR(__xludf.DUMMYFUNCTION("""COMPUTED_VALUE"""),"1tFNUPT3PXgCKRnnehGwo6OF7EhLu13UJ8Elfq83HArE")</f>
        <v>1tFNUPT3PXgCKRnnehGwo6OF7EhLu13UJ8Elfq83HArE</v>
      </c>
    </row>
    <row r="875" ht="15.75" customHeight="1">
      <c r="A875" s="0" t="str">
        <f>IFERROR(__xludf.DUMMYFUNCTION("""COMPUTED_VALUE"""),"PTT")</f>
        <v>PTT</v>
      </c>
      <c r="B875" s="0" t="str">
        <f>IFERROR(__xludf.DUMMYFUNCTION("""COMPUTED_VALUE"""),"PTTDashBoard")</f>
        <v>PTTDashBoard</v>
      </c>
      <c r="C875" s="0" t="str">
        <f>IFERROR(__xludf.DUMMYFUNCTION("""COMPUTED_VALUE"""),"1DUwxSUq_47EK60XmK3LOdCXa1fkWqWJE9bLuGS3ccv412")</f>
        <v>1DUwxSUq_47EK60XmK3LOdCXa1fkWqWJE9bLuGS3ccv412</v>
      </c>
    </row>
    <row r="876" ht="15.75" customHeight="1">
      <c r="A876" s="0" t="str">
        <f>IFERROR(__xludf.DUMMYFUNCTION("""COMPUTED_VALUE"""),"OpenFin")</f>
        <v>OpenFin</v>
      </c>
      <c r="B876" s="0" t="str">
        <f>IFERROR(__xludf.DUMMYFUNCTION("""COMPUTED_VALUE"""),"LockUnlockModule")</f>
        <v>LockUnlockModule</v>
      </c>
      <c r="C876" s="0" t="str">
        <f>IFERROR(__xludf.DUMMYFUNCTION("""COMPUTED_VALUE"""),"179D0kPRO8f_KLxd7hs6seM9XGxpL-u1rhIhNgFVePsQ")</f>
        <v>179D0kPRO8f_KLxd7hs6seM9XGxpL-u1rhIhNgFVePsQ</v>
      </c>
    </row>
    <row r="877" ht="15.75" customHeight="1">
      <c r="A877" s="0" t="str">
        <f>IFERROR(__xludf.DUMMYFUNCTION("""COMPUTED_VALUE"""),"OpenFin")</f>
        <v>OpenFin</v>
      </c>
      <c r="B877" s="0" t="str">
        <f>IFERROR(__xludf.DUMMYFUNCTION("""COMPUTED_VALUE"""),"OpenModuleFromDock")</f>
        <v>OpenModuleFromDock</v>
      </c>
      <c r="C877" s="0" t="str">
        <f>IFERROR(__xludf.DUMMYFUNCTION("""COMPUTED_VALUE"""),"1IdmD7l42pWNjFNVt_7UwbOO7y5tDxaXr7tE60c9ETLw")</f>
        <v>1IdmD7l42pWNjFNVt_7UwbOO7y5tDxaXr7tE60c9ETLw</v>
      </c>
    </row>
    <row r="878" ht="15.75" customHeight="1">
      <c r="A878" s="0" t="str">
        <f>IFERROR(__xludf.DUMMYFUNCTION("""COMPUTED_VALUE"""),"Rebalancer")</f>
        <v>Rebalancer</v>
      </c>
      <c r="B878" s="0" t="str">
        <f>IFERROR(__xludf.DUMMYFUNCTION("""COMPUTED_VALUE"""),"VerifyCFI")</f>
        <v>VerifyCFI</v>
      </c>
      <c r="C878" s="0" t="str">
        <f>IFERROR(__xludf.DUMMYFUNCTION("""COMPUTED_VALUE"""),"1DUwxSUq_47EK60XmK3LOdCXa1fkWqWJE9bLuGS3ccv412")</f>
        <v>1DUwxSUq_47EK60XmK3LOdCXa1fkWqWJE9bLuGS3ccv412</v>
      </c>
    </row>
    <row r="879" ht="15.75" customHeight="1">
      <c r="A879" s="0" t="str">
        <f>IFERROR(__xludf.DUMMYFUNCTION("""COMPUTED_VALUE"""),"Blotter")</f>
        <v>Blotter</v>
      </c>
      <c r="B879" s="0" t="str">
        <f>IFERROR(__xludf.DUMMYFUNCTION("""COMPUTED_VALUE"""),"EnableOrVerifyHotButton")</f>
        <v>EnableOrVerifyHotButton</v>
      </c>
      <c r="C879" s="0" t="str">
        <f>IFERROR(__xludf.DUMMYFUNCTION("""COMPUTED_VALUE"""),"1wa8x9d9kPOHEp49mT2DEW0cyjjOClvAgixk1H2w-Tos")</f>
        <v>1wa8x9d9kPOHEp49mT2DEW0cyjjOClvAgixk1H2w-Tos</v>
      </c>
    </row>
    <row r="880" ht="15.75" customHeight="1">
      <c r="A880" s="0" t="str">
        <f>IFERROR(__xludf.DUMMYFUNCTION("""COMPUTED_VALUE"""),"TradeServer")</f>
        <v>TradeServer</v>
      </c>
      <c r="B880" s="0" t="str">
        <f>IFERROR(__xludf.DUMMYFUNCTION("""COMPUTED_VALUE"""),"RestartServerOnly")</f>
        <v>RestartServerOnly</v>
      </c>
      <c r="C880" s="0" t="str">
        <f>IFERROR(__xludf.DUMMYFUNCTION("""COMPUTED_VALUE"""),"Undefined")</f>
        <v>Undefined</v>
      </c>
    </row>
    <row r="881" ht="15.75" customHeight="1">
      <c r="A881" s="0" t="str">
        <f>IFERROR(__xludf.DUMMYFUNCTION("""COMPUTED_VALUE"""),"Rebalancer")</f>
        <v>Rebalancer</v>
      </c>
      <c r="B881" s="0" t="str">
        <f>IFERROR(__xludf.DUMMYFUNCTION("""COMPUTED_VALUE"""),"ActionOnCFI")</f>
        <v>ActionOnCFI</v>
      </c>
      <c r="C881" s="0" t="str">
        <f>IFERROR(__xludf.DUMMYFUNCTION("""COMPUTED_VALUE"""),"1DUwxSUq_47EK60XmK3LOdCXa1fkWqWJE9bLuGS3ccv412")</f>
        <v>1DUwxSUq_47EK60XmK3LOdCXa1fkWqWJE9bLuGS3ccv412</v>
      </c>
    </row>
    <row r="882" ht="15.75" customHeight="1">
      <c r="A882" s="0" t="str">
        <f>IFERROR(__xludf.DUMMYFUNCTION("""COMPUTED_VALUE"""),"Rebalancer")</f>
        <v>Rebalancer</v>
      </c>
      <c r="B882" s="0" t="str">
        <f>IFERROR(__xludf.DUMMYFUNCTION("""COMPUTED_VALUE"""),"VerifyCFI")</f>
        <v>VerifyCFI</v>
      </c>
      <c r="C882" s="0" t="str">
        <f>IFERROR(__xludf.DUMMYFUNCTION("""COMPUTED_VALUE"""),"1DUwxSUq_47EK60XmK3LOdCXa1fkWqWJE9bLuGS3ccv412")</f>
        <v>1DUwxSUq_47EK60XmK3LOdCXa1fkWqWJE9bLuGS3ccv412</v>
      </c>
    </row>
    <row r="883" ht="15.75" customHeight="1">
      <c r="A883" s="0" t="str">
        <f>IFERROR(__xludf.DUMMYFUNCTION("""COMPUTED_VALUE"""),"Rebalancer")</f>
        <v>Rebalancer</v>
      </c>
      <c r="B883" s="0" t="str">
        <f>IFERROR(__xludf.DUMMYFUNCTION("""COMPUTED_VALUE"""),"VerifyDelRASGrid")</f>
        <v>VerifyDelRASGrid</v>
      </c>
      <c r="C883" s="0" t="str">
        <f>IFERROR(__xludf.DUMMYFUNCTION("""COMPUTED_VALUE"""),"1DUwxSUq_47EK60XmK3LOdCXa1fkWqWJE9bLuGS3ccv412")</f>
        <v>1DUwxSUq_47EK60XmK3LOdCXa1fkWqWJE9bLuGS3ccv412</v>
      </c>
    </row>
    <row r="884" ht="15.75" customHeight="1">
      <c r="A884" s="0" t="str">
        <f>IFERROR(__xludf.DUMMYFUNCTION("""COMPUTED_VALUE"""),"Allocation")</f>
        <v>Allocation</v>
      </c>
      <c r="B884" s="0" t="str">
        <f>IFERROR(__xludf.DUMMYFUNCTION("""COMPUTED_VALUE"""),"ActionOnUPW")</f>
        <v>ActionOnUPW</v>
      </c>
      <c r="C884" s="0" t="str">
        <f>IFERROR(__xludf.DUMMYFUNCTION("""COMPUTED_VALUE"""),"1DUwxSUq_47EK60XmK3LOdCXa1fkWqWJE9bLuGS3ccv413")</f>
        <v>1DUwxSUq_47EK60XmK3LOdCXa1fkWqWJE9bLuGS3ccv413</v>
      </c>
    </row>
    <row r="885" ht="15.75" customHeight="1">
      <c r="A885" s="0" t="str">
        <f>IFERROR(__xludf.DUMMYFUNCTION("""COMPUTED_VALUE"""),"Allocation")</f>
        <v>Allocation</v>
      </c>
      <c r="B885" s="0" t="str">
        <f>IFERROR(__xludf.DUMMYFUNCTION("""COMPUTED_VALUE"""),"DefaultRuleUPW")</f>
        <v>DefaultRuleUPW</v>
      </c>
      <c r="C885" s="0" t="str">
        <f>IFERROR(__xludf.DUMMYFUNCTION("""COMPUTED_VALUE"""),"1DUwxSUq_47EK60XmK3LOdCXa1fkWqWJE9bLuGS3ccv414")</f>
        <v>1DUwxSUq_47EK60XmK3LOdCXa1fkWqWJE9bLuGS3ccv414</v>
      </c>
    </row>
    <row r="886" ht="15.75" customHeight="1">
      <c r="A886" s="0" t="str">
        <f>IFERROR(__xludf.DUMMYFUNCTION("""COMPUTED_VALUE"""),"Allocation")</f>
        <v>Allocation</v>
      </c>
      <c r="B886" s="0" t="str">
        <f>IFERROR(__xludf.DUMMYFUNCTION("""COMPUTED_VALUE"""),"AccountStrategyUPW")</f>
        <v>AccountStrategyUPW</v>
      </c>
      <c r="C886" s="0" t="str">
        <f>IFERROR(__xludf.DUMMYFUNCTION("""COMPUTED_VALUE"""),"1DUwxSUq_47EK60XmK3LOdCXa1fkWqWJE9bLuGS3ccv415")</f>
        <v>1DUwxSUq_47EK60XmK3LOdCXa1fkWqWJE9bLuGS3ccv415</v>
      </c>
    </row>
    <row r="887" ht="15.75" customHeight="1">
      <c r="A887" s="0" t="str">
        <f>IFERROR(__xludf.DUMMYFUNCTION("""COMPUTED_VALUE"""),"Allocation")</f>
        <v>Allocation</v>
      </c>
      <c r="B887" s="0" t="str">
        <f>IFERROR(__xludf.DUMMYFUNCTION("""COMPUTED_VALUE"""),"ActionOnCalPref")</f>
        <v>ActionOnCalPref</v>
      </c>
      <c r="C887" s="0" t="str">
        <f>IFERROR(__xludf.DUMMYFUNCTION("""COMPUTED_VALUE"""),"1DUwxSUq_47EK60XmK3LOdCXa1fkWqWJE9bLuGS3ccv416")</f>
        <v>1DUwxSUq_47EK60XmK3LOdCXa1fkWqWJE9bLuGS3ccv416</v>
      </c>
    </row>
    <row r="888" ht="15.75" customHeight="1">
      <c r="A888" s="0" t="str">
        <f>IFERROR(__xludf.DUMMYFUNCTION("""COMPUTED_VALUE"""),"Allocation")</f>
        <v>Allocation</v>
      </c>
      <c r="B888" s="0" t="str">
        <f>IFERROR(__xludf.DUMMYFUNCTION("""COMPUTED_VALUE"""),"SetMFDefaultRule")</f>
        <v>SetMFDefaultRule</v>
      </c>
      <c r="C888" s="0" t="str">
        <f>IFERROR(__xludf.DUMMYFUNCTION("""COMPUTED_VALUE"""),"1DUwxSUq_47EK60XmK3LOdCXa1fkWqWJE9bLuGS3ccv417")</f>
        <v>1DUwxSUq_47EK60XmK3LOdCXa1fkWqWJE9bLuGS3ccv417</v>
      </c>
    </row>
    <row r="889" ht="15.75" customHeight="1">
      <c r="A889" s="0" t="str">
        <f>IFERROR(__xludf.DUMMYFUNCTION("""COMPUTED_VALUE"""),"Allocation")</f>
        <v>Allocation</v>
      </c>
      <c r="B889" s="0" t="str">
        <f>IFERROR(__xludf.DUMMYFUNCTION("""COMPUTED_VALUE"""),"ActionOnPrefWindow")</f>
        <v>ActionOnPrefWindow</v>
      </c>
      <c r="C889" s="0" t="str">
        <f>IFERROR(__xludf.DUMMYFUNCTION("""COMPUTED_VALUE"""),"1DUwxSUq_47EK60XmK3LOdCXa1fkWqWJE9bLuGS3ccv418")</f>
        <v>1DUwxSUq_47EK60XmK3LOdCXa1fkWqWJE9bLuGS3ccv418</v>
      </c>
    </row>
    <row r="890" ht="15.75" customHeight="1">
      <c r="A890" s="0" t="str">
        <f>IFERROR(__xludf.DUMMYFUNCTION("""COMPUTED_VALUE"""),"Allocation")</f>
        <v>Allocation</v>
      </c>
      <c r="B890" s="0" t="str">
        <f>IFERROR(__xludf.DUMMYFUNCTION("""COMPUTED_VALUE"""),"GetFixedPrefScheme")</f>
        <v>GetFixedPrefScheme</v>
      </c>
      <c r="C890" s="0" t="str">
        <f>IFERROR(__xludf.DUMMYFUNCTION("""COMPUTED_VALUE"""),"1DUwxSUq_47EK60XmK3LOdCXa1fkWqWJE9bLuGS3ccv419")</f>
        <v>1DUwxSUq_47EK60XmK3LOdCXa1fkWqWJE9bLuGS3ccv419</v>
      </c>
    </row>
    <row r="891" ht="15.75" customHeight="1">
      <c r="A891" s="0" t="str">
        <f>IFERROR(__xludf.DUMMYFUNCTION("""COMPUTED_VALUE"""),"Allocation")</f>
        <v>Allocation</v>
      </c>
      <c r="B891" s="0" t="str">
        <f>IFERROR(__xludf.DUMMYFUNCTION("""COMPUTED_VALUE"""),"VerifyFixedPref")</f>
        <v>VerifyFixedPref</v>
      </c>
      <c r="C891" s="0" t="str">
        <f>IFERROR(__xludf.DUMMYFUNCTION("""COMPUTED_VALUE"""),"1DUwxSUq_47EK60XmK3LOdCXa1fkWqWJE9bLuGS3ccv420")</f>
        <v>1DUwxSUq_47EK60XmK3LOdCXa1fkWqWJE9bLuGS3ccv420</v>
      </c>
    </row>
    <row r="892" ht="15.75" customHeight="1">
      <c r="A892" s="0" t="str">
        <f>IFERROR(__xludf.DUMMYFUNCTION("""COMPUTED_VALUE"""),"Allocation")</f>
        <v>Allocation</v>
      </c>
      <c r="B892" s="0" t="str">
        <f>IFERROR(__xludf.DUMMYFUNCTION("""COMPUTED_VALUE"""),"ActionOnToolBar")</f>
        <v>ActionOnToolBar</v>
      </c>
      <c r="C892" s="0" t="str">
        <f>IFERROR(__xludf.DUMMYFUNCTION("""COMPUTED_VALUE"""),"1DUwxSUq_47EK60XmK3LOdCXa1fkWqWJE9bLuGS3ccv421")</f>
        <v>1DUwxSUq_47EK60XmK3LOdCXa1fkWqWJE9bLuGS3ccv421</v>
      </c>
    </row>
    <row r="893" ht="15.75" customHeight="1">
      <c r="A893" s="0" t="str">
        <f>IFERROR(__xludf.DUMMYFUNCTION("""COMPUTED_VALUE"""),"Rebalancer")</f>
        <v>Rebalancer</v>
      </c>
      <c r="B893" s="0" t="str">
        <f>IFERROR(__xludf.DUMMYFUNCTION("""COMPUTED_VALUE"""),"VerifyCustomGroupModel")</f>
        <v>VerifyCustomGroupModel</v>
      </c>
      <c r="C893" s="0" t="str">
        <f>IFERROR(__xludf.DUMMYFUNCTION("""COMPUTED_VALUE"""),"1DUwxSUq_47EK60XmK3LOdCXa1fkWqWJE9bLuGS3ccv422")</f>
        <v>1DUwxSUq_47EK60XmK3LOdCXa1fkWqWJE9bLuGS3ccv422</v>
      </c>
    </row>
    <row r="894" ht="15.75" customHeight="1">
      <c r="A894" s="0" t="str">
        <f>IFERROR(__xludf.DUMMYFUNCTION("""COMPUTED_VALUE"""),"Blotter")</f>
        <v>Blotter</v>
      </c>
      <c r="B894" s="0" t="str">
        <f>IFERROR(__xludf.DUMMYFUNCTION("""COMPUTED_VALUE"""),"VerifyFilterUiRC")</f>
        <v>VerifyFilterUiRC</v>
      </c>
      <c r="C894" s="0" t="str">
        <f>IFERROR(__xludf.DUMMYFUNCTION("""COMPUTED_VALUE"""),"1QQZEZqPXfPnxfNID2a3__xw8RnEAn77igg5Q32S3Sm0")</f>
        <v>1QQZEZqPXfPnxfNID2a3__xw8RnEAn77igg5Q32S3Sm0</v>
      </c>
    </row>
    <row r="895" ht="15.75" customHeight="1">
      <c r="A895" s="0" t="str">
        <f>IFERROR(__xludf.DUMMYFUNCTION("""COMPUTED_VALUE"""),"TradingTicket")</f>
        <v>TradingTicket</v>
      </c>
      <c r="B895" s="0" t="str">
        <f>IFERROR(__xludf.DUMMYFUNCTION("""COMPUTED_VALUE"""),"SymbolSuggestionVerify")</f>
        <v>SymbolSuggestionVerify</v>
      </c>
      <c r="C895" s="0" t="str">
        <f>IFERROR(__xludf.DUMMYFUNCTION("""COMPUTED_VALUE"""),"14aTeLjmUbS-nhaQwjtZAMGxdQ5DS6UsBjE5OTWN-LQU")</f>
        <v>14aTeLjmUbS-nhaQwjtZAMGxdQ5DS6UsBjE5OTWN-LQU</v>
      </c>
    </row>
    <row r="896" ht="15.75" customHeight="1">
      <c r="A896" s="0" t="str">
        <f>IFERROR(__xludf.DUMMYFUNCTION("""COMPUTED_VALUE"""),"PreferencesMain")</f>
        <v>PreferencesMain</v>
      </c>
      <c r="B896" s="0" t="str">
        <f>IFERROR(__xludf.DUMMYFUNCTION("""COMPUTED_VALUE"""),"UpdatePTTPref")</f>
        <v>UpdatePTTPref</v>
      </c>
      <c r="C896" s="0" t="str">
        <f>IFERROR(__xludf.DUMMYFUNCTION("""COMPUTED_VALUE"""),"14aTeLjmUbS-nhaQwjtZAMGxdQ5DS6UsBjE5OTWN-LQU")</f>
        <v>14aTeLjmUbS-nhaQwjtZAMGxdQ5DS6UsBjE5OTWN-LQU</v>
      </c>
    </row>
    <row r="897" ht="15.75" customHeight="1">
      <c r="A897" s="0" t="str">
        <f>IFERROR(__xludf.DUMMYFUNCTION("""COMPUTED_VALUE"""),"PreferencesMain")</f>
        <v>PreferencesMain</v>
      </c>
      <c r="B897" s="0" t="str">
        <f>IFERROR(__xludf.DUMMYFUNCTION("""COMPUTED_VALUE"""),"ActionOnPreferencesMain")</f>
        <v>ActionOnPreferencesMain</v>
      </c>
      <c r="C897" s="0" t="str">
        <f>IFERROR(__xludf.DUMMYFUNCTION("""COMPUTED_VALUE"""),"14aTeLjmUbS-nhaQwjtZAMGxdQ5DS6UsBjE5OTWN-LQU")</f>
        <v>14aTeLjmUbS-nhaQwjtZAMGxdQ5DS6UsBjE5OTWN-LQU</v>
      </c>
    </row>
    <row r="898" ht="15.75" customHeight="1">
      <c r="A898" s="0" t="str">
        <f>IFERROR(__xludf.DUMMYFUNCTION("""COMPUTED_VALUE"""),"PreferencesMain")</f>
        <v>PreferencesMain</v>
      </c>
      <c r="B898" s="0" t="str">
        <f>IFERROR(__xludf.DUMMYFUNCTION("""COMPUTED_VALUE"""),"VerifyUpdategrdAccountFactor")</f>
        <v>VerifyUpdategrdAccountFactor</v>
      </c>
      <c r="C898" s="0" t="str">
        <f>IFERROR(__xludf.DUMMYFUNCTION("""COMPUTED_VALUE"""),"14aTeLjmUbS-nhaQwjtZAMGxdQ5DS6UsBjE5OTWN-LQU")</f>
        <v>14aTeLjmUbS-nhaQwjtZAMGxdQ5DS6UsBjE5OTWN-LQU</v>
      </c>
    </row>
    <row r="899" ht="15.75" customHeight="1">
      <c r="A899" s="0" t="str">
        <f>IFERROR(__xludf.DUMMYFUNCTION("""COMPUTED_VALUE"""),"PreferencesMain")</f>
        <v>PreferencesMain</v>
      </c>
      <c r="B899" s="0" t="str">
        <f>IFERROR(__xludf.DUMMYFUNCTION("""COMPUTED_VALUE"""),"VerifyUpdategrdMFA")</f>
        <v>VerifyUpdategrdMFA</v>
      </c>
      <c r="C899" s="0" t="str">
        <f>IFERROR(__xludf.DUMMYFUNCTION("""COMPUTED_VALUE"""),"14aTeLjmUbS-nhaQwjtZAMGxdQ5DS6UsBjE5OTWN-LQU")</f>
        <v>14aTeLjmUbS-nhaQwjtZAMGxdQ5DS6UsBjE5OTWN-LQU</v>
      </c>
    </row>
    <row r="900" ht="15.75" customHeight="1">
      <c r="A900" s="0" t="str">
        <f>IFERROR(__xludf.DUMMYFUNCTION("""COMPUTED_VALUE"""),"PreferencesMain")</f>
        <v>PreferencesMain</v>
      </c>
      <c r="B900" s="0" t="str">
        <f>IFERROR(__xludf.DUMMYFUNCTION("""COMPUTED_VALUE"""),"SwitchTabMFA")</f>
        <v>SwitchTabMFA</v>
      </c>
      <c r="C900" s="0" t="str">
        <f>IFERROR(__xludf.DUMMYFUNCTION("""COMPUTED_VALUE"""),"14aTeLjmUbS-nhaQwjtZAMGxdQ5DS6UsBjE5OTWN-LQU")</f>
        <v>14aTeLjmUbS-nhaQwjtZAMGxdQ5DS6UsBjE5OTWN-LQU</v>
      </c>
    </row>
    <row r="901" ht="15.75" customHeight="1">
      <c r="A901" s="0" t="str">
        <f>IFERROR(__xludf.DUMMYFUNCTION("""COMPUTED_VALUE"""),"PreferencesMain")</f>
        <v>PreferencesMain</v>
      </c>
      <c r="B901" s="0" t="str">
        <f>IFERROR(__xludf.DUMMYFUNCTION("""COMPUTED_VALUE"""),"UpdateBlotterPref")</f>
        <v>UpdateBlotterPref</v>
      </c>
      <c r="C901" s="0" t="str">
        <f>IFERROR(__xludf.DUMMYFUNCTION("""COMPUTED_VALUE"""),"14aTeLjmUbS-nhaQwjtZAMGxdQ5DS6UsBjE5OTWN-LQU")</f>
        <v>14aTeLjmUbS-nhaQwjtZAMGxdQ5DS6UsBjE5OTWN-LQU</v>
      </c>
    </row>
    <row r="902" ht="15.75" customHeight="1">
      <c r="A902" s="0" t="str">
        <f>IFERROR(__xludf.DUMMYFUNCTION("""COMPUTED_VALUE"""),"PreferencesMain")</f>
        <v>PreferencesMain</v>
      </c>
      <c r="B902" s="0" t="str">
        <f>IFERROR(__xludf.DUMMYFUNCTION("""COMPUTED_VALUE"""),"UpdatePMPref")</f>
        <v>UpdatePMPref</v>
      </c>
      <c r="C902" s="0" t="str">
        <f>IFERROR(__xludf.DUMMYFUNCTION("""COMPUTED_VALUE"""),"14aTeLjmUbS-nhaQwjtZAMGxdQ5DS6UsBjE5OTWN-LQU")</f>
        <v>14aTeLjmUbS-nhaQwjtZAMGxdQ5DS6UsBjE5OTWN-LQU</v>
      </c>
    </row>
    <row r="903" ht="15.75" customHeight="1">
      <c r="A903" s="0" t="str">
        <f>IFERROR(__xludf.DUMMYFUNCTION("""COMPUTED_VALUE"""),"PreferencesMain")</f>
        <v>PreferencesMain</v>
      </c>
      <c r="B903" s="0" t="str">
        <f>IFERROR(__xludf.DUMMYFUNCTION("""COMPUTED_VALUE"""),"UpdateGenPref")</f>
        <v>UpdateGenPref</v>
      </c>
      <c r="C903" s="0" t="str">
        <f>IFERROR(__xludf.DUMMYFUNCTION("""COMPUTED_VALUE"""),"14aTeLjmUbS-nhaQwjtZAMGxdQ5DS6UsBjE5OTWN-LQU")</f>
        <v>14aTeLjmUbS-nhaQwjtZAMGxdQ5DS6UsBjE5OTWN-LQU</v>
      </c>
    </row>
    <row r="904" ht="15.75" customHeight="1">
      <c r="A904" s="0" t="str">
        <f>IFERROR(__xludf.DUMMYFUNCTION("""COMPUTED_VALUE"""),"PreferencesMain")</f>
        <v>PreferencesMain</v>
      </c>
      <c r="B904" s="0" t="str">
        <f>IFERROR(__xludf.DUMMYFUNCTION("""COMPUTED_VALUE"""),"VerifyUpdateAssetSide")</f>
        <v>VerifyUpdateAssetSide</v>
      </c>
      <c r="C904" s="0" t="str">
        <f>IFERROR(__xludf.DUMMYFUNCTION("""COMPUTED_VALUE"""),"14aTeLjmUbS-nhaQwjtZAMGxdQ5DS6UsBjE5OTWN-LQU")</f>
        <v>14aTeLjmUbS-nhaQwjtZAMGxdQ5DS6UsBjE5OTWN-LQU</v>
      </c>
    </row>
    <row r="905" ht="15.75" customHeight="1">
      <c r="A905" s="0" t="str">
        <f>IFERROR(__xludf.DUMMYFUNCTION("""COMPUTED_VALUE"""),"PreferencesMain")</f>
        <v>PreferencesMain</v>
      </c>
      <c r="B905" s="0" t="str">
        <f>IFERROR(__xludf.DUMMYFUNCTION("""COMPUTED_VALUE"""),"SwicthTabPref")</f>
        <v>SwicthTabPref</v>
      </c>
      <c r="C905" s="0" t="str">
        <f>IFERROR(__xludf.DUMMYFUNCTION("""COMPUTED_VALUE"""),"14aTeLjmUbS-nhaQwjtZAMGxdQ5DS6UsBjE5OTWN-LQU")</f>
        <v>14aTeLjmUbS-nhaQwjtZAMGxdQ5DS6UsBjE5OTWN-LQU</v>
      </c>
    </row>
    <row r="906" ht="15.75" customHeight="1">
      <c r="A906" s="0" t="str">
        <f>IFERROR(__xludf.DUMMYFUNCTION("""COMPUTED_VALUE"""),"PreferencesMain")</f>
        <v>PreferencesMain</v>
      </c>
      <c r="B906" s="0" t="str">
        <f>IFERROR(__xludf.DUMMYFUNCTION("""COMPUTED_VALUE"""),"TTDefaultSelection")</f>
        <v>TTDefaultSelection</v>
      </c>
      <c r="C906" s="0" t="str">
        <f>IFERROR(__xludf.DUMMYFUNCTION("""COMPUTED_VALUE"""),"14aTeLjmUbS-nhaQwjtZAMGxdQ5DS6UsBjE5OTWN-LQU")</f>
        <v>14aTeLjmUbS-nhaQwjtZAMGxdQ5DS6UsBjE5OTWN-LQU</v>
      </c>
    </row>
    <row r="907" ht="15.75" customHeight="1">
      <c r="A907" s="0" t="str">
        <f>IFERROR(__xludf.DUMMYFUNCTION("""COMPUTED_VALUE"""),"PreferencesMain")</f>
        <v>PreferencesMain</v>
      </c>
      <c r="B907" s="0" t="str">
        <f>IFERROR(__xludf.DUMMYFUNCTION("""COMPUTED_VALUE"""),"TTNumSelection")</f>
        <v>TTNumSelection</v>
      </c>
      <c r="C907" s="0" t="str">
        <f>IFERROR(__xludf.DUMMYFUNCTION("""COMPUTED_VALUE"""),"14aTeLjmUbS-nhaQwjtZAMGxdQ5DS6UsBjE5OTWN-LQU")</f>
        <v>14aTeLjmUbS-nhaQwjtZAMGxdQ5DS6UsBjE5OTWN-LQU</v>
      </c>
    </row>
    <row r="908" ht="15.75" customHeight="1">
      <c r="A908" s="0" t="str">
        <f>IFERROR(__xludf.DUMMYFUNCTION("""COMPUTED_VALUE"""),"PreferencesMain")</f>
        <v>PreferencesMain</v>
      </c>
      <c r="B908" s="0" t="str">
        <f>IFERROR(__xludf.DUMMYFUNCTION("""COMPUTED_VALUE"""),"TTConfirmationPopUps")</f>
        <v>TTConfirmationPopUps</v>
      </c>
      <c r="C908" s="0" t="str">
        <f>IFERROR(__xludf.DUMMYFUNCTION("""COMPUTED_VALUE"""),"14aTeLjmUbS-nhaQwjtZAMGxdQ5DS6UsBjE5OTWN-LQU")</f>
        <v>14aTeLjmUbS-nhaQwjtZAMGxdQ5DS6UsBjE5OTWN-LQU</v>
      </c>
    </row>
    <row r="909" ht="15.75" customHeight="1">
      <c r="A909" s="0" t="str">
        <f>IFERROR(__xludf.DUMMYFUNCTION("""COMPUTED_VALUE"""),"PreferencesMain")</f>
        <v>PreferencesMain</v>
      </c>
      <c r="B909" s="0" t="str">
        <f>IFERROR(__xludf.DUMMYFUNCTION("""COMPUTED_VALUE"""),"VerifyUpdateBrokerPref")</f>
        <v>VerifyUpdateBrokerPref</v>
      </c>
      <c r="C909" s="0" t="str">
        <f>IFERROR(__xludf.DUMMYFUNCTION("""COMPUTED_VALUE"""),"14aTeLjmUbS-nhaQwjtZAMGxdQ5DS6UsBjE5OTWN-LQU")</f>
        <v>14aTeLjmUbS-nhaQwjtZAMGxdQ5DS6UsBjE5OTWN-LQU</v>
      </c>
    </row>
    <row r="910" ht="15.75" customHeight="1">
      <c r="A910" s="0" t="str">
        <f>IFERROR(__xludf.DUMMYFUNCTION("""COMPUTED_VALUE"""),"PreferencesMain")</f>
        <v>PreferencesMain</v>
      </c>
      <c r="B910" s="0" t="str">
        <f>IFERROR(__xludf.DUMMYFUNCTION("""COMPUTED_VALUE"""),"TTGeneralPref")</f>
        <v>TTGeneralPref</v>
      </c>
      <c r="C910" s="0" t="str">
        <f>IFERROR(__xludf.DUMMYFUNCTION("""COMPUTED_VALUE"""),"14aTeLjmUbS-nhaQwjtZAMGxdQ5DS6UsBjE5OTWN-LQU")</f>
        <v>14aTeLjmUbS-nhaQwjtZAMGxdQ5DS6UsBjE5OTWN-LQU</v>
      </c>
    </row>
    <row r="911" ht="15.75" customHeight="1">
      <c r="A911" s="0" t="str">
        <f>IFERROR(__xludf.DUMMYFUNCTION("""COMPUTED_VALUE"""),"PreferencesMain")</f>
        <v>PreferencesMain</v>
      </c>
      <c r="B911" s="0" t="str">
        <f>IFERROR(__xludf.DUMMYFUNCTION("""COMPUTED_VALUE"""),"UpdateClosingPref")</f>
        <v>UpdateClosingPref</v>
      </c>
      <c r="C911" s="0" t="str">
        <f>IFERROR(__xludf.DUMMYFUNCTION("""COMPUTED_VALUE"""),"14aTeLjmUbS-nhaQwjtZAMGxdQ5DS6UsBjE5OTWN-LQU")</f>
        <v>14aTeLjmUbS-nhaQwjtZAMGxdQ5DS6UsBjE5OTWN-LQU</v>
      </c>
    </row>
    <row r="912" ht="15.75" customHeight="1">
      <c r="A912" s="0" t="str">
        <f>IFERROR(__xludf.DUMMYFUNCTION("""COMPUTED_VALUE"""),"Allocation")</f>
        <v>Allocation</v>
      </c>
      <c r="B912" s="0" t="str">
        <f>IFERROR(__xludf.DUMMYFUNCTION("""COMPUTED_VALUE"""),"VerifyEditAttRenaming")</f>
        <v>VerifyEditAttRenaming</v>
      </c>
      <c r="C912" s="0" t="str">
        <f>IFERROR(__xludf.DUMMYFUNCTION("""COMPUTED_VALUE"""),"14aTeLjmUbS-nhaQwjtZAMGxdQ5DS6UsBjE5OTWN-LQU")</f>
        <v>14aTeLjmUbS-nhaQwjtZAMGxdQ5DS6UsBjE5OTWN-LQU</v>
      </c>
    </row>
    <row r="913" ht="15.75" customHeight="1">
      <c r="A913" s="0" t="str">
        <f>IFERROR(__xludf.DUMMYFUNCTION("""COMPUTED_VALUE"""),"Rebalancer")</f>
        <v>Rebalancer</v>
      </c>
      <c r="B913" s="0" t="str">
        <f>IFERROR(__xludf.DUMMYFUNCTION("""COMPUTED_VALUE"""),"VerifyTradeList")</f>
        <v>VerifyTradeList</v>
      </c>
      <c r="C913" s="0" t="str">
        <f>IFERROR(__xludf.DUMMYFUNCTION("""COMPUTED_VALUE"""),"14aTeLjmUbS-nhaQwjtZAMGxdQ5DS6UsBjE5OTWN-LQU")</f>
        <v>14aTeLjmUbS-nhaQwjtZAMGxdQ5DS6UsBjE5OTWN-LQU</v>
      </c>
    </row>
    <row r="914" ht="15.75" customHeight="1">
      <c r="A914" s="0" t="str">
        <f>IFERROR(__xludf.DUMMYFUNCTION("""COMPUTED_VALUE"""),"TradingTicket")</f>
        <v>TradingTicket</v>
      </c>
      <c r="B914" s="0" t="str">
        <f>IFERROR(__xludf.DUMMYFUNCTION("""COMPUTED_VALUE"""),"TTMainControls")</f>
        <v>TTMainControls</v>
      </c>
      <c r="C914" s="0" t="str">
        <f>IFERROR(__xludf.DUMMYFUNCTION("""COMPUTED_VALUE"""),"1DUwxSUq_47EK60XmK3LOdCXa1fkWqWJE9bLuGS3ccv412")</f>
        <v>1DUwxSUq_47EK60XmK3LOdCXa1fkWqWJE9bLuGS3ccv412</v>
      </c>
    </row>
    <row r="915" ht="15.75" customHeight="1">
      <c r="A915" s="0" t="str">
        <f>IFERROR(__xludf.DUMMYFUNCTION("""COMPUTED_VALUE"""),"TradingTicket")</f>
        <v>TradingTicket</v>
      </c>
      <c r="B915" s="0" t="str">
        <f>IFERROR(__xludf.DUMMYFUNCTION("""COMPUTED_VALUE"""),"VerifySymStrip")</f>
        <v>VerifySymStrip</v>
      </c>
      <c r="C915" s="0" t="str">
        <f>IFERROR(__xludf.DUMMYFUNCTION("""COMPUTED_VALUE"""),"1DUwxSUq_47EK60XmK3LOdCXa1fkWqWJE9bLuGS3ccv412")</f>
        <v>1DUwxSUq_47EK60XmK3LOdCXa1fkWqWJE9bLuGS3ccv412</v>
      </c>
    </row>
    <row r="916" ht="15.75" customHeight="1">
      <c r="A916" s="0" t="str">
        <f>IFERROR(__xludf.DUMMYFUNCTION("""COMPUTED_VALUE"""),"TradingTicket")</f>
        <v>TradingTicket</v>
      </c>
      <c r="B916" s="0" t="str">
        <f>IFERROR(__xludf.DUMMYFUNCTION("""COMPUTED_VALUE"""),"TTBottomTab")</f>
        <v>TTBottomTab</v>
      </c>
      <c r="C916" s="0" t="str">
        <f>IFERROR(__xludf.DUMMYFUNCTION("""COMPUTED_VALUE"""),"1DUwxSUq_47EK60XmK3LOdCXa1fkWqWJE9bLuGS3ccv412")</f>
        <v>1DUwxSUq_47EK60XmK3LOdCXa1fkWqWJE9bLuGS3ccv412</v>
      </c>
    </row>
    <row r="917" ht="15.75" customHeight="1">
      <c r="A917" s="0" t="str">
        <f>IFERROR(__xludf.DUMMYFUNCTION("""COMPUTED_VALUE"""),"TradingTicket")</f>
        <v>TradingTicket</v>
      </c>
      <c r="B917" s="0" t="str">
        <f>IFERROR(__xludf.DUMMYFUNCTION("""COMPUTED_VALUE"""),"TTBottomSwap")</f>
        <v>TTBottomSwap</v>
      </c>
      <c r="C917" s="0" t="str">
        <f>IFERROR(__xludf.DUMMYFUNCTION("""COMPUTED_VALUE"""),"1DUwxSUq_47EK60XmK3LOdCXa1fkWqWJE9bLuGS3ccv412")</f>
        <v>1DUwxSUq_47EK60XmK3LOdCXa1fkWqWJE9bLuGS3ccv412</v>
      </c>
    </row>
    <row r="918" ht="15.75" customHeight="1">
      <c r="A918" s="0" t="str">
        <f>IFERROR(__xludf.DUMMYFUNCTION("""COMPUTED_VALUE"""),"Blotter")</f>
        <v>Blotter</v>
      </c>
      <c r="B918" s="0" t="str">
        <f>IFERROR(__xludf.DUMMYFUNCTION("""COMPUTED_VALUE"""),"CreateHotButtonOnBlotter")</f>
        <v>CreateHotButtonOnBlotter</v>
      </c>
      <c r="C918" s="0" t="str">
        <f>IFERROR(__xludf.DUMMYFUNCTION("""COMPUTED_VALUE"""),"1Yu7Fb6AjhUP8b-KuRJvgAwq8TykNK6BDh9F0Xpf12Ek")</f>
        <v>1Yu7Fb6AjhUP8b-KuRJvgAwq8TykNK6BDh9F0Xpf12Ek</v>
      </c>
    </row>
    <row r="919" ht="15.75" customHeight="1">
      <c r="A919" s="0" t="str">
        <f>IFERROR(__xludf.DUMMYFUNCTION("""COMPUTED_VALUE"""),"Blotter")</f>
        <v>Blotter</v>
      </c>
      <c r="B919" s="0" t="str">
        <f>IFERROR(__xludf.DUMMYFUNCTION("""COMPUTED_VALUE"""),"FillHBdetailsOnBlotter")</f>
        <v>FillHBdetailsOnBlotter</v>
      </c>
      <c r="C919" s="0" t="str">
        <f>IFERROR(__xludf.DUMMYFUNCTION("""COMPUTED_VALUE"""),"13Isj5c5k8kObxI-GBT6Ir9VBOz_46lzhwVxXXVP8jQU")</f>
        <v>13Isj5c5k8kObxI-GBT6Ir9VBOz_46lzhwVxXXVP8jQU</v>
      </c>
    </row>
    <row r="920" ht="15.75" customHeight="1">
      <c r="A920" s="0" t="str">
        <f>IFERROR(__xludf.DUMMYFUNCTION("""COMPUTED_VALUE"""),"TradingTicket")</f>
        <v>TradingTicket</v>
      </c>
      <c r="B920" s="0" t="str">
        <f>IFERROR(__xludf.DUMMYFUNCTION("""COMPUTED_VALUE"""),"EditAuecWindow")</f>
        <v>EditAuecWindow</v>
      </c>
      <c r="C920" s="0" t="str">
        <f>IFERROR(__xludf.DUMMYFUNCTION("""COMPUTED_VALUE"""),"1ottlNphVbp0AC-UFd-HlDpCLwOA2yWO1pN6eR3ML7vA")</f>
        <v>1ottlNphVbp0AC-UFd-HlDpCLwOA2yWO1pN6eR3ML7vA</v>
      </c>
    </row>
    <row r="921" ht="15.75" customHeight="1">
      <c r="A921" s="0" t="str">
        <f>IFERROR(__xludf.DUMMYFUNCTION("""COMPUTED_VALUE"""),"TradingTicket")</f>
        <v>TradingTicket</v>
      </c>
      <c r="B921" s="0" t="str">
        <f>IFERROR(__xludf.DUMMYFUNCTION("""COMPUTED_VALUE"""),"VerifyBrokerSummary")</f>
        <v>VerifyBrokerSummary</v>
      </c>
      <c r="C921" s="0" t="str">
        <f>IFERROR(__xludf.DUMMYFUNCTION("""COMPUTED_VALUE"""),"11hMxlfIQYwM8vPN2h--IGp7O02EDFbvJ4CSvjSfGsMY")</f>
        <v>11hMxlfIQYwM8vPN2h--IGp7O02EDFbvJ4CSvjSfGsMY</v>
      </c>
    </row>
    <row r="922" ht="15.75" customHeight="1">
      <c r="A922" s="0" t="str">
        <f>IFERROR(__xludf.DUMMYFUNCTION("""COMPUTED_VALUE"""),"QTT")</f>
        <v>QTT</v>
      </c>
      <c r="B922" s="0" t="str">
        <f>IFERROR(__xludf.DUMMYFUNCTION("""COMPUTED_VALUE"""),"EditAuecWindowQTT")</f>
        <v>EditAuecWindowQTT</v>
      </c>
      <c r="C922" s="0" t="str">
        <f>IFERROR(__xludf.DUMMYFUNCTION("""COMPUTED_VALUE"""),"1oI_WY3xKQgSjp5JN67BMHtm3zazX5ZiMATISa2ssGB0")</f>
        <v>1oI_WY3xKQgSjp5JN67BMHtm3zazX5ZiMATISa2ssGB0</v>
      </c>
    </row>
    <row r="923" ht="15.75" customHeight="1">
      <c r="A923" s="0" t="str">
        <f>IFERROR(__xludf.DUMMYFUNCTION("""COMPUTED_VALUE"""),"QTT")</f>
        <v>QTT</v>
      </c>
      <c r="B923" s="0" t="str">
        <f>IFERROR(__xludf.DUMMYFUNCTION("""COMPUTED_VALUE"""),"VerifyBrokerSummaryQTT")</f>
        <v>VerifyBrokerSummaryQTT</v>
      </c>
      <c r="C923" s="0" t="str">
        <f>IFERROR(__xludf.DUMMYFUNCTION("""COMPUTED_VALUE"""),"1O6-eqYsZqtvYR6DOH7UM2_Jwpq9pB9uyZvgh5vEhVAI")</f>
        <v>1O6-eqYsZqtvYR6DOH7UM2_Jwpq9pB9uyZvgh5vEhVAI</v>
      </c>
    </row>
    <row r="924" ht="15.75" customHeight="1">
      <c r="A924" s="0" t="str">
        <f>IFERROR(__xludf.DUMMYFUNCTION("""COMPUTED_VALUE"""),"QTT")</f>
        <v>QTT</v>
      </c>
      <c r="B924" s="0" t="str">
        <f>IFERROR(__xludf.DUMMYFUNCTION("""COMPUTED_VALUE"""),"SaveQTThotKey")</f>
        <v>SaveQTThotKey</v>
      </c>
      <c r="C924" s="0" t="str">
        <f>IFERROR(__xludf.DUMMYFUNCTION("""COMPUTED_VALUE"""),"Undefined")</f>
        <v>Undefined</v>
      </c>
    </row>
    <row r="925" ht="15.75" customHeight="1">
      <c r="A925" s="0" t="str">
        <f>IFERROR(__xludf.DUMMYFUNCTION("""COMPUTED_VALUE"""),"Blotter")</f>
        <v>Blotter</v>
      </c>
      <c r="B925" s="0" t="str">
        <f>IFERROR(__xludf.DUMMYFUNCTION("""COMPUTED_VALUE"""),"BlotterColumnChooser")</f>
        <v>BlotterColumnChooser</v>
      </c>
      <c r="C925" s="0" t="str">
        <f>IFERROR(__xludf.DUMMYFUNCTION("""COMPUTED_VALUE"""),"12428TbyucuJDD3KuN7QG-GyRYI3gcoyDNKTQ2UpgGMQ")</f>
        <v>12428TbyucuJDD3KuN7QG-GyRYI3gcoyDNKTQ2UpgGMQ</v>
      </c>
    </row>
    <row r="926" ht="15.75" customHeight="1">
      <c r="A926" s="0" t="str">
        <f>IFERROR(__xludf.DUMMYFUNCTION("""COMPUTED_VALUE"""),"RTPNL")</f>
        <v>RTPNL</v>
      </c>
      <c r="B926" s="0" t="str">
        <f>IFERROR(__xludf.DUMMYFUNCTION("""COMPUTED_VALUE"""),"CreateGroupingWidget")</f>
        <v>CreateGroupingWidget</v>
      </c>
      <c r="C926" s="0" t="str">
        <f>IFERROR(__xludf.DUMMYFUNCTION("""COMPUTED_VALUE"""),"1ctXhgvJgrqqe8ees0907Up0TKq9pCEhinMlZnRGqKdY")</f>
        <v>1ctXhgvJgrqqe8ees0907Up0TKq9pCEhinMlZnRGqKdY</v>
      </c>
    </row>
    <row r="927" ht="15.75" customHeight="1">
      <c r="A927" s="0" t="str">
        <f>IFERROR(__xludf.DUMMYFUNCTION("""COMPUTED_VALUE"""),"RTPNL")</f>
        <v>RTPNL</v>
      </c>
      <c r="B927" s="0" t="str">
        <f>IFERROR(__xludf.DUMMYFUNCTION("""COMPUTED_VALUE"""),"CheckGroupingWidget")</f>
        <v>CheckGroupingWidget</v>
      </c>
      <c r="C927" s="0" t="str">
        <f>IFERROR(__xludf.DUMMYFUNCTION("""COMPUTED_VALUE"""),"16mimyUFzQ0Ojogh0t4Evjy-tjzAJ67xgIrWeTNmBdw0")</f>
        <v>16mimyUFzQ0Ojogh0t4Evjy-tjzAJ67xgIrWeTNmBdw0</v>
      </c>
    </row>
    <row r="928" ht="15.75" customHeight="1">
      <c r="A928" s="0" t="str">
        <f>IFERROR(__xludf.DUMMYFUNCTION("""COMPUTED_VALUE"""),"TradingTicket")</f>
        <v>TradingTicket</v>
      </c>
      <c r="B928" s="0" t="str">
        <f>IFERROR(__xludf.DUMMYFUNCTION("""COMPUTED_VALUE"""),"QTTHamburg")</f>
        <v>QTTHamburg</v>
      </c>
      <c r="C928" s="0" t="str">
        <f>IFERROR(__xludf.DUMMYFUNCTION("""COMPUTED_VALUE"""),"1pdXDcLRWAl2b2L88lHCntj01OLBjVHaNAdGG8OHa4hA")</f>
        <v>1pdXDcLRWAl2b2L88lHCntj01OLBjVHaNAdGG8OHa4hA</v>
      </c>
    </row>
    <row r="929" ht="15.75" customHeight="1">
      <c r="A929" s="0" t="str">
        <f>IFERROR(__xludf.DUMMYFUNCTION("""COMPUTED_VALUE"""),"RTPNL")</f>
        <v>RTPNL</v>
      </c>
      <c r="B929" s="0" t="str">
        <f>IFERROR(__xludf.DUMMYFUNCTION("""COMPUTED_VALUE"""),"VerifyL1L2PanelRTPNL")</f>
        <v>VerifyL1L2PanelRTPNL</v>
      </c>
      <c r="C929" s="0" t="str">
        <f>IFERROR(__xludf.DUMMYFUNCTION("""COMPUTED_VALUE"""),"1cQo_rX9O9XHFILj0ICV1GAU_RdtTKYlclT20jg9G7hg")</f>
        <v>1cQo_rX9O9XHFILj0ICV1GAU_RdtTKYlclT20jg9G7hg</v>
      </c>
    </row>
    <row r="930" ht="15.75" customHeight="1">
      <c r="A930" s="0" t="str">
        <f>IFERROR(__xludf.DUMMYFUNCTION("""COMPUTED_VALUE"""),"Blotter")</f>
        <v>Blotter</v>
      </c>
      <c r="B930" s="0" t="str">
        <f>IFERROR(__xludf.DUMMYFUNCTION("""COMPUTED_VALUE"""),"CaptureHotButtonDetails")</f>
        <v>CaptureHotButtonDetails</v>
      </c>
      <c r="C930" s="0" t="str">
        <f>IFERROR(__xludf.DUMMYFUNCTION("""COMPUTED_VALUE"""),"16Dail-EoPWyIhwRzxyvr-EY1IE8jJTUQDarvGnXioxI")</f>
        <v>16Dail-EoPWyIhwRzxyvr-EY1IE8jJTUQDarvGnXioxI</v>
      </c>
    </row>
    <row r="931" ht="15.75" customHeight="1">
      <c r="A931" s="0" t="str">
        <f>IFERROR(__xludf.DUMMYFUNCTION("""COMPUTED_VALUE"""),"SymbolLookup")</f>
        <v>SymbolLookup</v>
      </c>
      <c r="B931" s="0" t="str">
        <f>IFERROR(__xludf.DUMMYFUNCTION("""COMPUTED_VALUE"""),"EditSMGrid")</f>
        <v>EditSMGrid</v>
      </c>
      <c r="C931" s="0" t="str">
        <f>IFERROR(__xludf.DUMMYFUNCTION("""COMPUTED_VALUE"""),"14aTeLjmUbS-nhaQwjtZAMGxdQ5DS6UsBjE5OTWN-LQU")</f>
        <v>14aTeLjmUbS-nhaQwjtZAMGxdQ5DS6UsBjE5OTWN-LQU</v>
      </c>
    </row>
    <row r="932" ht="15.75" customHeight="1">
      <c r="A932" s="0" t="str">
        <f>IFERROR(__xludf.DUMMYFUNCTION("""COMPUTED_VALUE"""),"QTT")</f>
        <v>QTT</v>
      </c>
      <c r="B932" s="0" t="str">
        <f>IFERROR(__xludf.DUMMYFUNCTION("""COMPUTED_VALUE"""),"EditQuickPreference")</f>
        <v>EditQuickPreference</v>
      </c>
      <c r="C932" s="0" t="str">
        <f>IFERROR(__xludf.DUMMYFUNCTION("""COMPUTED_VALUE"""),"133vNW3loXmIKhcuaiCwGIGXOULCttZuJZtPfA4s37vw")</f>
        <v>133vNW3loXmIKhcuaiCwGIGXOULCttZuJZtPfA4s37vw</v>
      </c>
    </row>
    <row r="933" ht="15.75" customHeight="1">
      <c r="A933" s="0" t="str">
        <f>IFERROR(__xludf.DUMMYFUNCTION("""COMPUTED_VALUE"""),"Blotter")</f>
        <v>Blotter</v>
      </c>
      <c r="B933" s="0" t="str">
        <f>IFERROR(__xludf.DUMMYFUNCTION("""COMPUTED_VALUE"""),"RightClickActionVerification")</f>
        <v>RightClickActionVerification</v>
      </c>
      <c r="C933" s="0" t="str">
        <f>IFERROR(__xludf.DUMMYFUNCTION("""COMPUTED_VALUE"""),"11EX1Ln-BQAtx9NTd9zfcaia52FGNdZENDW2kwMCJ8HQ")</f>
        <v>11EX1Ln-BQAtx9NTd9zfcaia52FGNdZENDW2kwMCJ8HQ</v>
      </c>
    </row>
    <row r="934" ht="15.75" customHeight="1">
      <c r="A934" s="0" t="str">
        <f>IFERROR(__xludf.DUMMYFUNCTION("""COMPUTED_VALUE"""),"SymbolLookup")</f>
        <v>SymbolLookup</v>
      </c>
      <c r="B934" s="0" t="str">
        <f>IFERROR(__xludf.DUMMYFUNCTION("""COMPUTED_VALUE"""),"PageOneDetails")</f>
        <v>PageOneDetails</v>
      </c>
      <c r="C934" s="0" t="str">
        <f>IFERROR(__xludf.DUMMYFUNCTION("""COMPUTED_VALUE"""),"11EX1Ln-BQAtx9NTd9zfcaia52FGNdZENDW2kwMCJ8HQ")</f>
        <v>11EX1Ln-BQAtx9NTd9zfcaia52FGNdZENDW2kwMCJ8HQ</v>
      </c>
    </row>
    <row r="935" ht="15.75" customHeight="1">
      <c r="A935" s="0" t="str">
        <f>IFERROR(__xludf.DUMMYFUNCTION("""COMPUTED_VALUE"""),"SymbolLookup")</f>
        <v>SymbolLookup</v>
      </c>
      <c r="B935" s="0" t="str">
        <f>IFERROR(__xludf.DUMMYFUNCTION("""COMPUTED_VALUE"""),"ActionOnSI")</f>
        <v>ActionOnSI</v>
      </c>
      <c r="C935" s="0" t="str">
        <f>IFERROR(__xludf.DUMMYFUNCTION("""COMPUTED_VALUE"""),"11EX1Ln-BQAtx9NTd9zfcaia52FGNdZENDW2kwMCJ8HQ")</f>
        <v>11EX1Ln-BQAtx9NTd9zfcaia52FGNdZENDW2kwMCJ8HQ</v>
      </c>
    </row>
    <row r="936" ht="15.75" customHeight="1">
      <c r="A936" s="0" t="str">
        <f>IFERROR(__xludf.DUMMYFUNCTION("""COMPUTED_VALUE"""),"SymbolLookup")</f>
        <v>SymbolLookup</v>
      </c>
      <c r="B936" s="0" t="str">
        <f>IFERROR(__xludf.DUMMYFUNCTION("""COMPUTED_VALUE"""),"PageTwoDetails")</f>
        <v>PageTwoDetails</v>
      </c>
      <c r="C936" s="0" t="str">
        <f>IFERROR(__xludf.DUMMYFUNCTION("""COMPUTED_VALUE"""),"11EX1Ln-BQAtx9NTd9zfcaia52FGNdZENDW2kwMCJ8HQ")</f>
        <v>11EX1Ln-BQAtx9NTd9zfcaia52FGNdZENDW2kwMCJ8HQ</v>
      </c>
    </row>
    <row r="937" ht="15.75" customHeight="1">
      <c r="A937" s="0" t="str">
        <f>IFERROR(__xludf.DUMMYFUNCTION("""COMPUTED_VALUE"""),"SymbolLookup")</f>
        <v>SymbolLookup</v>
      </c>
      <c r="B937" s="0" t="str">
        <f>IFERROR(__xludf.DUMMYFUNCTION("""COMPUTED_VALUE"""),"ActiononSMPane")</f>
        <v>ActiononSMPane</v>
      </c>
      <c r="C937" s="0" t="str">
        <f>IFERROR(__xludf.DUMMYFUNCTION("""COMPUTED_VALUE"""),"11EX1Ln-BQAtx9NTd9zfcaia52FGNdZENDW2kwMCJ8HQ")</f>
        <v>11EX1Ln-BQAtx9NTd9zfcaia52FGNdZENDW2kwMCJ8HQ</v>
      </c>
    </row>
    <row r="938" ht="15.75" customHeight="1">
      <c r="A938" s="0" t="str">
        <f>IFERROR(__xludf.DUMMYFUNCTION("""COMPUTED_VALUE"""),"SymbolLookup")</f>
        <v>SymbolLookup</v>
      </c>
      <c r="B938" s="0" t="str">
        <f>IFERROR(__xludf.DUMMYFUNCTION("""COMPUTED_VALUE"""),"PageThreeDetails")</f>
        <v>PageThreeDetails</v>
      </c>
      <c r="C938" s="0" t="str">
        <f>IFERROR(__xludf.DUMMYFUNCTION("""COMPUTED_VALUE"""),"11EX1Ln-BQAtx9NTd9zfcaia52FGNdZENDW2kwMCJ8HQ")</f>
        <v>11EX1Ln-BQAtx9NTd9zfcaia52FGNdZENDW2kwMCJ8HQ</v>
      </c>
    </row>
    <row r="939" ht="15.75" customHeight="1">
      <c r="A939" s="0" t="str">
        <f>IFERROR(__xludf.DUMMYFUNCTION("""COMPUTED_VALUE"""),"SymbolLookup")</f>
        <v>SymbolLookup</v>
      </c>
      <c r="B939" s="0" t="str">
        <f>IFERROR(__xludf.DUMMYFUNCTION("""COMPUTED_VALUE"""),"VerifySMGrid")</f>
        <v>VerifySMGrid</v>
      </c>
      <c r="C939" s="0" t="str">
        <f>IFERROR(__xludf.DUMMYFUNCTION("""COMPUTED_VALUE"""),"11EX1Ln-BQAtx9NTd9zfcaia52FGNdZENDW2kwMCJ8HQ")</f>
        <v>11EX1Ln-BQAtx9NTd9zfcaia52FGNdZENDW2kwMCJ8HQ</v>
      </c>
    </row>
    <row r="940" ht="15.75" customHeight="1">
      <c r="A940" s="0" t="str">
        <f>IFERROR(__xludf.DUMMYFUNCTION("""COMPUTED_VALUE"""),"SymbolLookup")</f>
        <v>SymbolLookup</v>
      </c>
      <c r="B940" s="0" t="str">
        <f>IFERROR(__xludf.DUMMYFUNCTION("""COMPUTED_VALUE"""),"PageFourDetails")</f>
        <v>PageFourDetails</v>
      </c>
      <c r="C940" s="0" t="str">
        <f>IFERROR(__xludf.DUMMYFUNCTION("""COMPUTED_VALUE"""),"11EX1Ln-BQAtx9NTd9zfcaia52FGNdZENDW2kwMCJ8HQ")</f>
        <v>11EX1Ln-BQAtx9NTd9zfcaia52FGNdZENDW2kwMCJ8HQ</v>
      </c>
    </row>
    <row r="941" ht="15.75" customHeight="1">
      <c r="A941" s="0" t="str">
        <f>IFERROR(__xludf.DUMMYFUNCTION("""COMPUTED_VALUE"""),"Admin")</f>
        <v>Admin</v>
      </c>
      <c r="B941" s="0" t="str">
        <f>IFERROR(__xludf.DUMMYFUNCTION("""COMPUTED_VALUE"""),"ChangeDate")</f>
        <v>ChangeDate</v>
      </c>
      <c r="C941" s="0" t="str">
        <f>IFERROR(__xludf.DUMMYFUNCTION("""COMPUTED_VALUE"""),"1P5fd0ftHTs8WR6XF70cltzN5BPur7V01OcYEMpPEMVE")</f>
        <v>1P5fd0ftHTs8WR6XF70cltzN5BPur7V01OcYEMpPEMVE</v>
      </c>
    </row>
    <row r="942" ht="15.75" customHeight="1">
      <c r="A942" s="0" t="str">
        <f>IFERROR(__xludf.DUMMYFUNCTION("""COMPUTED_VALUE"""),"Simulator")</f>
        <v>Simulator</v>
      </c>
      <c r="B942" s="0" t="str">
        <f>IFERROR(__xludf.DUMMYFUNCTION("""COMPUTED_VALUE"""),"NewAcknowledgeTrade")</f>
        <v>NewAcknowledgeTrade</v>
      </c>
      <c r="C942" s="0" t="str">
        <f>IFERROR(__xludf.DUMMYFUNCTION("""COMPUTED_VALUE"""),"1H8R-FdslnMhiBZjAanQN5V9z26E47VjoaeJWQdGZ2pU")</f>
        <v>1H8R-FdslnMhiBZjAanQN5V9z26E47VjoaeJWQdGZ2pU</v>
      </c>
    </row>
    <row r="943" ht="15.75" customHeight="1">
      <c r="A943" s="0" t="str">
        <f>IFERROR(__xludf.DUMMYFUNCTION("""COMPUTED_VALUE"""),"Allocation")</f>
        <v>Allocation</v>
      </c>
      <c r="B943" s="0" t="str">
        <f>IFERROR(__xludf.DUMMYFUNCTION("""COMPUTED_VALUE"""),"ActionOnToolBar")</f>
        <v>ActionOnToolBar</v>
      </c>
      <c r="C943" s="0" t="str">
        <f>IFERROR(__xludf.DUMMYFUNCTION("""COMPUTED_VALUE"""),"11EX1Ln-BQAtx9NTd9zfcaia52FGNdZENDW2kwMCJ8HQ")</f>
        <v>11EX1Ln-BQAtx9NTd9zfcaia52FGNdZENDW2kwMCJ8HQ</v>
      </c>
    </row>
    <row r="944" ht="15.75" customHeight="1">
      <c r="A944" s="0" t="str">
        <f>IFERROR(__xludf.DUMMYFUNCTION("""COMPUTED_VALUE"""),"Allocation")</f>
        <v>Allocation</v>
      </c>
      <c r="B944" s="0" t="str">
        <f>IFERROR(__xludf.DUMMYFUNCTION("""COMPUTED_VALUE"""),"AutoGrpRules")</f>
        <v>AutoGrpRules</v>
      </c>
      <c r="C944" s="0" t="str">
        <f>IFERROR(__xludf.DUMMYFUNCTION("""COMPUTED_VALUE"""),"11EX1Ln-BQAtx9NTd9zfcaia52FGNdZENDW2kwMCJ8HQ")</f>
        <v>11EX1Ln-BQAtx9NTd9zfcaia52FGNdZENDW2kwMCJ8HQ</v>
      </c>
    </row>
    <row r="945" ht="15.75" customHeight="1">
      <c r="A945" s="0" t="str">
        <f>IFERROR(__xludf.DUMMYFUNCTION("""COMPUTED_VALUE"""),"Allocation")</f>
        <v>Allocation</v>
      </c>
      <c r="B945" s="0" t="str">
        <f>IFERROR(__xludf.DUMMYFUNCTION("""COMPUTED_VALUE"""),"VerifyToggleStateTA")</f>
        <v>VerifyToggleStateTA</v>
      </c>
      <c r="C945" s="0" t="str">
        <f>IFERROR(__xludf.DUMMYFUNCTION("""COMPUTED_VALUE"""),"11EX1Ln-BQAtx9NTd9zfcaia52FGNdZENDW2kwMCJ8HQ")</f>
        <v>11EX1Ln-BQAtx9NTd9zfcaia52FGNdZENDW2kwMCJ8HQ</v>
      </c>
    </row>
    <row r="946" ht="15.75" customHeight="1">
      <c r="A946" s="0" t="str">
        <f>IFERROR(__xludf.DUMMYFUNCTION("""COMPUTED_VALUE"""),"Expnl")</f>
        <v>Expnl</v>
      </c>
      <c r="B946" s="0" t="str">
        <f>IFERROR(__xludf.DUMMYFUNCTION("""COMPUTED_VALUE"""),"RefreshExpnlUi")</f>
        <v>RefreshExpnlUi</v>
      </c>
      <c r="C946" s="0" t="str">
        <f>IFERROR(__xludf.DUMMYFUNCTION("""COMPUTED_VALUE"""),"Undefined")</f>
        <v>Undefined</v>
      </c>
    </row>
    <row r="947" ht="15.75" customHeight="1">
      <c r="A947" s="0" t="str">
        <f>IFERROR(__xludf.DUMMYFUNCTION("""COMPUTED_VALUE"""),"Allocation")</f>
        <v>Allocation</v>
      </c>
      <c r="B947" s="0" t="str">
        <f>IFERROR(__xludf.DUMMYFUNCTION("""COMPUTED_VALUE"""),"ActiononAGP")</f>
        <v>ActiononAGP</v>
      </c>
      <c r="C947" s="0" t="str">
        <f>IFERROR(__xludf.DUMMYFUNCTION("""COMPUTED_VALUE"""),"11EX1Ln-BQAtx9NTd9zfcaia52FGNdZENDW2kwMCJ8HQ")</f>
        <v>11EX1Ln-BQAtx9NTd9zfcaia52FGNdZENDW2kwMCJ8HQ</v>
      </c>
    </row>
    <row r="948" ht="15.75" customHeight="1">
      <c r="A948" s="0" t="str">
        <f>IFERROR(__xludf.DUMMYFUNCTION("""COMPUTED_VALUE"""),"Allocation")</f>
        <v>Allocation</v>
      </c>
      <c r="B948" s="0" t="str">
        <f>IFERROR(__xludf.DUMMYFUNCTION("""COMPUTED_VALUE"""),"AttBulkChng")</f>
        <v>AttBulkChng</v>
      </c>
      <c r="C948" s="0" t="str">
        <f>IFERROR(__xludf.DUMMYFUNCTION("""COMPUTED_VALUE"""),"11EX1Ln-BQAtx9NTd9zfcaia52FGNdZENDW2kwMCJ8HQ")</f>
        <v>11EX1Ln-BQAtx9NTd9zfcaia52FGNdZENDW2kwMCJ8HQ</v>
      </c>
    </row>
    <row r="949" ht="15.75" customHeight="1">
      <c r="A949" s="0" t="str">
        <f>IFERROR(__xludf.DUMMYFUNCTION("""COMPUTED_VALUE"""),"Allocation")</f>
        <v>Allocation</v>
      </c>
      <c r="B949" s="0" t="str">
        <f>IFERROR(__xludf.DUMMYFUNCTION("""COMPUTED_VALUE"""),"AttBulkChngTwo")</f>
        <v>AttBulkChngTwo</v>
      </c>
      <c r="C949" s="0" t="str">
        <f>IFERROR(__xludf.DUMMYFUNCTION("""COMPUTED_VALUE"""),"11EX1Ln-BQAtx9NTd9zfcaia52FGNdZENDW2kwMCJ8HQ")</f>
        <v>11EX1Ln-BQAtx9NTd9zfcaia52FGNdZENDW2kwMCJ8HQ</v>
      </c>
    </row>
    <row r="950" ht="15.75" customHeight="1">
      <c r="A950" s="0" t="str">
        <f>IFERROR(__xludf.DUMMYFUNCTION("""COMPUTED_VALUE"""),"Login")</f>
        <v>Login</v>
      </c>
      <c r="B950" s="0" t="str">
        <f>IFERROR(__xludf.DUMMYFUNCTION("""COMPUTED_VALUE"""),"Login")</f>
        <v>Login</v>
      </c>
      <c r="C950" s="0" t="str">
        <f>IFERROR(__xludf.DUMMYFUNCTION("""COMPUTED_VALUE"""),"1uy63r2XjpUIBlAUk-lXKJTr-PpvpP6wxvLlLDzoM-Ic")</f>
        <v>1uy63r2XjpUIBlAUk-lXKJTr-PpvpP6wxvLlLDzoM-Ic</v>
      </c>
    </row>
    <row r="951" ht="15.75" customHeight="1">
      <c r="A951" s="0" t="str">
        <f>IFERROR(__xludf.DUMMYFUNCTION("""COMPUTED_VALUE"""),"Simulator")</f>
        <v>Simulator</v>
      </c>
      <c r="B951" s="0" t="str">
        <f>IFERROR(__xludf.DUMMYFUNCTION("""COMPUTED_VALUE"""),"VerifyRowAllFixLogs")</f>
        <v>VerifyRowAllFixLogs</v>
      </c>
      <c r="C951" s="0" t="str">
        <f>IFERROR(__xludf.DUMMYFUNCTION("""COMPUTED_VALUE"""),"1_W_DB1rnbV-zXf1aqv8VkPNpTGPIckmD7s5z0ncm4ho")</f>
        <v>1_W_DB1rnbV-zXf1aqv8VkPNpTGPIckmD7s5z0ncm4ho</v>
      </c>
    </row>
    <row r="952" ht="15.75" customHeight="1">
      <c r="A952" s="0" t="str">
        <f>IFERROR(__xludf.DUMMYFUNCTION("""COMPUTED_VALUE"""),"Blotter")</f>
        <v>Blotter</v>
      </c>
      <c r="B952" s="0" t="str">
        <f>IFERROR(__xludf.DUMMYFUNCTION("""COMPUTED_VALUE"""),"ManageHotButton")</f>
        <v>ManageHotButton</v>
      </c>
      <c r="C952" s="0" t="str">
        <f>IFERROR(__xludf.DUMMYFUNCTION("""COMPUTED_VALUE"""),"1kQpkPRi_1u4R3VazjhiilbOI8OkiiHRY2wfgByau1YY")</f>
        <v>1kQpkPRi_1u4R3VazjhiilbOI8OkiiHRY2wfgByau1YY</v>
      </c>
    </row>
    <row r="953" ht="15.75" customHeight="1">
      <c r="A953" s="0" t="str">
        <f>IFERROR(__xludf.DUMMYFUNCTION("""COMPUTED_VALUE"""),"Simulator")</f>
        <v>Simulator</v>
      </c>
      <c r="B953" s="0" t="str">
        <f>IFERROR(__xludf.DUMMYFUNCTION("""COMPUTED_VALUE"""),"ClearAllFixLogs")</f>
        <v>ClearAllFixLogs</v>
      </c>
    </row>
    <row r="954" ht="15.75" customHeight="1">
      <c r="A954" s="0" t="str">
        <f>IFERROR(__xludf.DUMMYFUNCTION("""COMPUTED_VALUE"""),"PranaClient")</f>
        <v>PranaClient</v>
      </c>
      <c r="B954" s="0" t="str">
        <f>IFERROR(__xludf.DUMMYFUNCTION("""COMPUTED_VALUE"""),"UpdateLiveExcelSheetForRTPNL")</f>
        <v>UpdateLiveExcelSheetForRTPNL</v>
      </c>
    </row>
    <row r="955" ht="15.75" customHeight="1">
      <c r="A955" s="0" t="str">
        <f>IFERROR(__xludf.DUMMYFUNCTION("""COMPUTED_VALUE"""),"OpenFin")</f>
        <v>OpenFin</v>
      </c>
      <c r="B955" s="0" t="str">
        <f>IFERROR(__xludf.DUMMYFUNCTION("""COMPUTED_VALUE"""),"SavePageRTPNL")</f>
        <v>SavePageRTPNL</v>
      </c>
      <c r="C955" s="0" t="str">
        <f>IFERROR(__xludf.DUMMYFUNCTION("""COMPUTED_VALUE"""),"1YqhSG4yXo70SfhUq3fYD9CKf-eg44IFJ37IZh4WLI84")</f>
        <v>1YqhSG4yXo70SfhUq3fYD9CKf-eg44IFJ37IZh4WLI84</v>
      </c>
    </row>
    <row r="956" ht="15.75" customHeight="1">
      <c r="A956" s="0" t="str">
        <f>IFERROR(__xludf.DUMMYFUNCTION("""COMPUTED_VALUE"""),"RTPNL")</f>
        <v>RTPNL</v>
      </c>
      <c r="B956" s="0" t="str">
        <f>IFERROR(__xludf.DUMMYFUNCTION("""COMPUTED_VALUE"""),"VerifyGridThroughLiveExcel")</f>
        <v>VerifyGridThroughLiveExcel</v>
      </c>
      <c r="C956" s="0" t="str">
        <f>IFERROR(__xludf.DUMMYFUNCTION("""COMPUTED_VALUE"""),"1cCUw9lchUCKgHeNcwCDXybCOZXIeN4O0zRhkTZCVDUg")</f>
        <v>1cCUw9lchUCKgHeNcwCDXybCOZXIeN4O0zRhkTZCVDUg</v>
      </c>
    </row>
    <row r="957" ht="15.75" customHeight="1">
      <c r="A957" s="0" t="str">
        <f>IFERROR(__xludf.DUMMYFUNCTION("""COMPUTED_VALUE"""),"OpenFin")</f>
        <v>OpenFin</v>
      </c>
      <c r="B957" s="0" t="str">
        <f>IFERROR(__xludf.DUMMYFUNCTION("""COMPUTED_VALUE"""),"VerifyToastMessage")</f>
        <v>VerifyToastMessage</v>
      </c>
      <c r="C957" s="0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8" t="s">
        <v>49</v>
      </c>
      <c r="AJ5" s="28" t="s">
        <v>50</v>
      </c>
      <c r="AK5" s="28" t="s">
        <v>51</v>
      </c>
      <c r="AL5" s="28" t="s">
        <v>52</v>
      </c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12"/>
      <c r="B6" s="12" t="s">
        <v>53</v>
      </c>
      <c r="C6" s="12">
        <v>100</v>
      </c>
      <c r="D6" s="12">
        <v>10</v>
      </c>
      <c r="E6" s="12" t="s">
        <v>54</v>
      </c>
      <c r="F6" s="8"/>
      <c r="G6" s="8"/>
      <c r="H6" s="8"/>
      <c r="I6" s="12" t="s">
        <v>55</v>
      </c>
      <c r="J6" s="12"/>
      <c r="K6" s="8"/>
      <c r="L6" s="8"/>
      <c r="M6" s="8"/>
      <c r="N6" s="8"/>
      <c r="O6" s="8"/>
    </row>
    <row r="7" ht="15.75" customHeight="1">
      <c r="A7" s="8"/>
      <c r="B7" s="12" t="s">
        <v>56</v>
      </c>
      <c r="C7" s="12">
        <v>100</v>
      </c>
      <c r="D7" s="12">
        <v>10</v>
      </c>
      <c r="E7" s="12" t="s">
        <v>54</v>
      </c>
      <c r="F7" s="8"/>
      <c r="G7" s="8"/>
      <c r="H7" s="8"/>
      <c r="I7" s="12" t="s">
        <v>55</v>
      </c>
      <c r="J7" s="8"/>
      <c r="K7" s="8"/>
      <c r="L7" s="8"/>
      <c r="M7" s="8"/>
      <c r="N7" s="8"/>
      <c r="O7" s="8"/>
    </row>
    <row r="8" ht="15.75" customHeight="1">
      <c r="A8" s="8"/>
      <c r="B8" s="29" t="s">
        <v>57</v>
      </c>
      <c r="C8" s="12">
        <v>100</v>
      </c>
      <c r="D8" s="12">
        <v>10</v>
      </c>
      <c r="E8" s="12" t="s">
        <v>54</v>
      </c>
      <c r="F8" s="8"/>
      <c r="G8" s="8"/>
      <c r="H8" s="8"/>
      <c r="I8" s="12" t="s">
        <v>55</v>
      </c>
      <c r="J8" s="8"/>
      <c r="K8" s="8"/>
      <c r="L8" s="8"/>
      <c r="M8" s="8"/>
      <c r="N8" s="8"/>
      <c r="O8" s="8"/>
    </row>
    <row r="9" ht="15.75" customHeight="1">
      <c r="A9" s="8"/>
      <c r="B9" s="12" t="s">
        <v>58</v>
      </c>
      <c r="C9" s="12">
        <v>100</v>
      </c>
      <c r="D9" s="12">
        <v>10</v>
      </c>
      <c r="E9" s="12" t="s">
        <v>54</v>
      </c>
      <c r="F9" s="8"/>
      <c r="G9" s="8"/>
      <c r="H9" s="8"/>
      <c r="I9" s="12" t="s">
        <v>55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</c>
      <c r="B5" s="31" t="str">
        <f>IFERROR(__xludf.DUMMYFUNCTION("""COMPUTED_VALUE"""),"Symbol")</f>
        <v>Symbol</v>
      </c>
      <c r="C5" s="31" t="str">
        <f>IFERROR(__xludf.DUMMYFUNCTION("""COMPUTED_VALUE"""),"User Px")</f>
        <v>User Px</v>
      </c>
      <c r="D5" s="31" t="str">
        <f>IFERROR(__xludf.DUMMYFUNCTION("""COMPUTED_VALUE"""),"Asset Class")</f>
        <v>Asset Class</v>
      </c>
      <c r="E5" s="31" t="str">
        <f>IFERROR(__xludf.DUMMYFUNCTION("""COMPUTED_VALUE"""),"Volatility(%)")</f>
        <v>Volatility(%)</v>
      </c>
      <c r="F5" s="32" t="str">
        <f>IFERROR(__xludf.DUMMYFUNCTION("""COMPUTED_VALUE"""),"Historical Volatility")</f>
        <v>Historical Volatility</v>
      </c>
      <c r="G5" s="31" t="str">
        <f>IFERROR(__xludf.DUMMYFUNCTION("""COMPUTED_VALUE"""),"User Volatility")</f>
        <v>User Volatility</v>
      </c>
      <c r="H5" s="31" t="str">
        <f>IFERROR(__xludf.DUMMYFUNCTION("""COMPUTED_VALUE"""),"Interest Rate")</f>
        <v>Interest Rate</v>
      </c>
      <c r="I5" s="31" t="str">
        <f>IFERROR(__xludf.DUMMYFUNCTION("""COMPUTED_VALUE"""),"User Interest Rate")</f>
        <v>User Interest Rate</v>
      </c>
      <c r="J5" s="31" t="str">
        <f>IFERROR(__xludf.DUMMYFUNCTION("""COMPUTED_VALUE"""),"Dividend Yield")</f>
        <v>Dividend Yield</v>
      </c>
      <c r="K5" s="31" t="str">
        <f>IFERROR(__xludf.DUMMYFUNCTION("""COMPUTED_VALUE"""),"User Dividend Yield")</f>
        <v>User Dividend Yield</v>
      </c>
      <c r="L5" s="31" t="str">
        <f>IFERROR(__xludf.DUMMYFUNCTION("""COMPUTED_VALUE"""),"Actual Delta")</f>
        <v>Actual Delta</v>
      </c>
      <c r="M5" s="31" t="str">
        <f>IFERROR(__xludf.DUMMYFUNCTION("""COMPUTED_VALUE"""),"User Delta")</f>
        <v>User Delta</v>
      </c>
      <c r="N5" s="31" t="str">
        <f>IFERROR(__xludf.DUMMYFUNCTION("""COMPUTED_VALUE"""),"Selected Px")</f>
        <v>Selected Px</v>
      </c>
      <c r="O5" s="31" t="str">
        <f>IFERROR(__xludf.DUMMYFUNCTION("""COMPUTED_VALUE"""),"Forward Points")</f>
        <v>Forward Points</v>
      </c>
      <c r="P5" s="31" t="str">
        <f>IFERROR(__xludf.DUMMYFUNCTION("""COMPUTED_VALUE"""),"Shares Outstanding")</f>
        <v>Shares Outstanding</v>
      </c>
      <c r="Q5" s="31" t="str">
        <f>IFERROR(__xludf.DUMMYFUNCTION("""COMPUTED_VALUE"""),"User Shares Outstanding")</f>
        <v>User Shares Outstanding</v>
      </c>
      <c r="R5" s="31" t="str">
        <f>IFERROR(__xludf.DUMMYFUNCTION("""COMPUTED_VALUE"""),"LastPriceUsed")</f>
        <v>LastPriceUsed</v>
      </c>
      <c r="S5" s="31" t="str">
        <f>IFERROR(__xludf.DUMMYFUNCTION("""COMPUTED_VALUE"""),"VolatilityUsed")</f>
        <v>VolatilityUsed</v>
      </c>
      <c r="T5" s="33" t="str">
        <f>IFERROR(__xludf.DUMMYFUNCTION("""COMPUTED_VALUE"""),"IntRateUsed")</f>
        <v>IntRateUsed</v>
      </c>
      <c r="U5" s="33" t="str">
        <f>IFERROR(__xludf.DUMMYFUNCTION("""COMPUTED_VALUE"""),"SM Shares Outstanding")</f>
        <v>SM Shares Outstanding</v>
      </c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 t="s">
        <v>53</v>
      </c>
      <c r="C6" s="12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56</v>
      </c>
      <c r="C7" s="12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29" t="s">
        <v>57</v>
      </c>
      <c r="C8" s="12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58</v>
      </c>
      <c r="C9" s="12">
        <v>20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</c>
      <c r="B5" s="31" t="str">
        <f>IFERROR(__xludf.DUMMYFUNCTION("""COMPUTED_VALUE"""),"Select Date")</f>
        <v>Select Date</v>
      </c>
      <c r="C5" s="31" t="str">
        <f>IFERROR(__xludf.DUMMYFUNCTION("""COMPUTED_VALUE"""),"Copy Date")</f>
        <v>Copy Date</v>
      </c>
      <c r="D5" s="31"/>
      <c r="E5" s="31"/>
      <c r="F5" s="32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35">
        <f ref="B6:C6" t="shared" si="1">TODAY()</f>
        <v>45835</v>
      </c>
      <c r="C6" s="35">
        <f t="shared" si="1"/>
        <v>45835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</c>
      <c r="B5" s="31" t="str">
        <f>IFERROR(__xludf.DUMMYFUNCTION("""COMPUTED_VALUE"""),"From Currency")</f>
        <v>From Currency</v>
      </c>
      <c r="C5" s="31" t="str">
        <f>IFERROR(__xludf.DUMMYFUNCTION("""COMPUTED_VALUE"""),"To Currency")</f>
        <v>To Currency</v>
      </c>
      <c r="D5" s="31" t="str">
        <f>IFERROR(__xludf.DUMMYFUNCTION("""COMPUTED_VALUE"""),"Symbol")</f>
        <v>Symbol</v>
      </c>
      <c r="E5" s="31" t="str">
        <f>IFERROR(__xludf.DUMMYFUNCTION("""COMPUTED_VALUE"""),"Price")</f>
        <v>Price</v>
      </c>
      <c r="F5" s="32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 t="s">
        <v>63</v>
      </c>
      <c r="C6" s="12" t="s">
        <v>64</v>
      </c>
      <c r="D6" s="12" t="s">
        <v>65</v>
      </c>
      <c r="E6" s="12">
        <v>0.5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8" t="s">
        <v>49</v>
      </c>
      <c r="AJ5" s="28" t="s">
        <v>50</v>
      </c>
      <c r="AK5" s="28" t="s">
        <v>51</v>
      </c>
      <c r="AL5" s="28" t="s">
        <v>52</v>
      </c>
      <c r="AM5" s="31" t="s">
        <v>66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12"/>
      <c r="B6" s="12" t="s">
        <v>53</v>
      </c>
      <c r="C6" s="12">
        <v>100</v>
      </c>
      <c r="D6" s="12">
        <v>10</v>
      </c>
      <c r="E6" s="12" t="s">
        <v>54</v>
      </c>
      <c r="F6" s="8"/>
      <c r="G6" s="8"/>
      <c r="H6" s="8"/>
      <c r="I6" s="12"/>
      <c r="J6" s="12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12"/>
      <c r="J7" s="8"/>
      <c r="K7" s="8"/>
      <c r="L7" s="8"/>
      <c r="M7" s="8"/>
      <c r="N7" s="8"/>
      <c r="O7" s="8"/>
    </row>
    <row r="8" ht="15.75" customHeight="1">
      <c r="A8" s="8"/>
      <c r="B8" s="29"/>
      <c r="C8" s="12"/>
      <c r="D8" s="12"/>
      <c r="E8" s="12"/>
      <c r="F8" s="8"/>
      <c r="G8" s="8"/>
      <c r="H8" s="8"/>
      <c r="I8" s="12"/>
      <c r="J8" s="8"/>
      <c r="K8" s="8"/>
      <c r="L8" s="8"/>
      <c r="M8" s="8"/>
      <c r="N8" s="8"/>
      <c r="O8" s="8"/>
    </row>
    <row r="9" ht="15.75" customHeight="1">
      <c r="A9" s="8"/>
      <c r="B9" s="12"/>
      <c r="C9" s="12"/>
      <c r="D9" s="12"/>
      <c r="E9" s="12"/>
      <c r="F9" s="8"/>
      <c r="G9" s="8"/>
      <c r="H9" s="8"/>
      <c r="I9" s="12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8" t="s">
        <v>49</v>
      </c>
      <c r="AJ5" s="28" t="s">
        <v>50</v>
      </c>
      <c r="AK5" s="28" t="s">
        <v>51</v>
      </c>
      <c r="AL5" s="28" t="s">
        <v>52</v>
      </c>
      <c r="AM5" s="31" t="s">
        <v>66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8"/>
      <c r="B6" s="12" t="s">
        <v>56</v>
      </c>
      <c r="C6" s="12">
        <v>100</v>
      </c>
      <c r="D6" s="12">
        <v>10</v>
      </c>
      <c r="E6" s="12" t="s">
        <v>54</v>
      </c>
      <c r="F6" s="8"/>
      <c r="G6" s="8"/>
      <c r="H6" s="8"/>
      <c r="I6" s="12"/>
      <c r="J6" s="8"/>
      <c r="K6" s="8"/>
      <c r="L6" s="8"/>
      <c r="M6" s="8"/>
      <c r="N6" s="8"/>
      <c r="O6" s="8"/>
    </row>
    <row r="7" ht="15.75" customHeight="1">
      <c r="A7" s="8"/>
      <c r="B7" s="29"/>
      <c r="C7" s="12"/>
      <c r="D7" s="12"/>
      <c r="E7" s="12"/>
      <c r="F7" s="8"/>
      <c r="G7" s="8"/>
      <c r="H7" s="8"/>
      <c r="I7" s="12"/>
      <c r="J7" s="8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8"/>
      <c r="G8" s="8"/>
      <c r="H8" s="8"/>
      <c r="I8" s="12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4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8" t="s">
        <v>49</v>
      </c>
      <c r="AJ5" s="28" t="s">
        <v>50</v>
      </c>
      <c r="AK5" s="28" t="s">
        <v>51</v>
      </c>
      <c r="AL5" s="28" t="s">
        <v>52</v>
      </c>
      <c r="AM5" s="31" t="s">
        <v>66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8"/>
      <c r="B6" s="29" t="s">
        <v>57</v>
      </c>
      <c r="C6" s="12">
        <v>100</v>
      </c>
      <c r="D6" s="12">
        <v>10</v>
      </c>
      <c r="E6" s="12" t="s">
        <v>54</v>
      </c>
      <c r="F6" s="8"/>
      <c r="G6" s="8"/>
      <c r="H6" s="8"/>
      <c r="I6" s="12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12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3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8" t="s">
        <v>49</v>
      </c>
      <c r="AJ5" s="28" t="s">
        <v>50</v>
      </c>
      <c r="AK5" s="28" t="s">
        <v>51</v>
      </c>
      <c r="AL5" s="28" t="s">
        <v>52</v>
      </c>
      <c r="AM5" s="31" t="s">
        <v>66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8"/>
      <c r="B6" s="12" t="s">
        <v>58</v>
      </c>
      <c r="C6" s="12">
        <v>100</v>
      </c>
      <c r="D6" s="12">
        <v>10</v>
      </c>
      <c r="E6" s="12" t="s">
        <v>54</v>
      </c>
      <c r="F6" s="8"/>
      <c r="G6" s="8"/>
      <c r="H6" s="8"/>
      <c r="I6" s="12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CustomOrderTT4!$4:$4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8" t="s">
        <v>49</v>
      </c>
      <c r="AJ5" s="28" t="s">
        <v>50</v>
      </c>
      <c r="AK5" s="28" t="s">
        <v>51</v>
      </c>
      <c r="AL5" s="28" t="s">
        <v>52</v>
      </c>
      <c r="AM5" s="31" t="s">
        <v>66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12"/>
      <c r="B6" s="12" t="s">
        <v>53</v>
      </c>
      <c r="C6" s="12">
        <v>100</v>
      </c>
      <c r="D6" s="12">
        <v>10</v>
      </c>
      <c r="E6" s="12" t="s">
        <v>67</v>
      </c>
      <c r="F6" s="8"/>
      <c r="G6" s="8"/>
      <c r="H6" s="8"/>
      <c r="I6" s="12"/>
      <c r="J6" s="12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12"/>
      <c r="J7" s="8"/>
      <c r="K7" s="8"/>
      <c r="L7" s="8"/>
      <c r="M7" s="8"/>
      <c r="N7" s="8"/>
      <c r="O7" s="8"/>
    </row>
    <row r="8" ht="15.75" customHeight="1">
      <c r="A8" s="8"/>
      <c r="B8" s="29"/>
      <c r="C8" s="12"/>
      <c r="D8" s="12"/>
      <c r="E8" s="12"/>
      <c r="F8" s="8"/>
      <c r="G8" s="8"/>
      <c r="H8" s="8"/>
      <c r="I8" s="12"/>
      <c r="J8" s="8"/>
      <c r="K8" s="8"/>
      <c r="L8" s="8"/>
      <c r="M8" s="8"/>
      <c r="N8" s="8"/>
      <c r="O8" s="8"/>
    </row>
    <row r="9" ht="15.75" customHeight="1">
      <c r="A9" s="8"/>
      <c r="B9" s="12"/>
      <c r="C9" s="12"/>
      <c r="D9" s="12"/>
      <c r="E9" s="12"/>
      <c r="F9" s="8"/>
      <c r="G9" s="8"/>
      <c r="H9" s="8"/>
      <c r="I9" s="12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CustomOrderTT5!$4:$4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8" t="s">
        <v>49</v>
      </c>
      <c r="AJ5" s="28" t="s">
        <v>50</v>
      </c>
      <c r="AK5" s="28" t="s">
        <v>51</v>
      </c>
      <c r="AL5" s="28" t="s">
        <v>52</v>
      </c>
      <c r="AM5" s="31" t="s">
        <v>66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8"/>
      <c r="B6" s="12" t="s">
        <v>56</v>
      </c>
      <c r="C6" s="12">
        <v>100</v>
      </c>
      <c r="D6" s="12">
        <v>10</v>
      </c>
      <c r="E6" s="12" t="s">
        <v>67</v>
      </c>
      <c r="F6" s="8"/>
      <c r="G6" s="8"/>
      <c r="H6" s="8"/>
      <c r="I6" s="12"/>
      <c r="J6" s="8"/>
      <c r="K6" s="8"/>
      <c r="L6" s="8"/>
      <c r="M6" s="8"/>
      <c r="N6" s="8"/>
      <c r="O6" s="8"/>
    </row>
    <row r="7" ht="15.75" customHeight="1">
      <c r="A7" s="8"/>
      <c r="B7" s="29"/>
      <c r="C7" s="12"/>
      <c r="D7" s="12"/>
      <c r="E7" s="12"/>
      <c r="F7" s="8"/>
      <c r="G7" s="8"/>
      <c r="H7" s="8"/>
      <c r="I7" s="12"/>
      <c r="J7" s="8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8"/>
      <c r="G8" s="8"/>
      <c r="H8" s="8"/>
      <c r="I8" s="12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CustomOrderTT6!$4:$4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4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8" t="s">
        <v>49</v>
      </c>
      <c r="AJ5" s="28" t="s">
        <v>50</v>
      </c>
      <c r="AK5" s="28" t="s">
        <v>51</v>
      </c>
      <c r="AL5" s="28" t="s">
        <v>52</v>
      </c>
      <c r="AM5" s="31" t="s">
        <v>66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8"/>
      <c r="B6" s="29" t="s">
        <v>57</v>
      </c>
      <c r="C6" s="12">
        <v>100</v>
      </c>
      <c r="D6" s="12">
        <v>10</v>
      </c>
      <c r="E6" s="12" t="s">
        <v>67</v>
      </c>
      <c r="F6" s="8"/>
      <c r="G6" s="8"/>
      <c r="H6" s="8"/>
      <c r="I6" s="12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12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CustomOrderTT7!$4:$4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3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8" t="s">
        <v>49</v>
      </c>
      <c r="AJ5" s="28" t="s">
        <v>50</v>
      </c>
      <c r="AK5" s="28" t="s">
        <v>51</v>
      </c>
      <c r="AL5" s="28" t="s">
        <v>52</v>
      </c>
      <c r="AM5" s="31" t="s">
        <v>66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8"/>
      <c r="B6" s="12" t="s">
        <v>58</v>
      </c>
      <c r="C6" s="12">
        <v>100</v>
      </c>
      <c r="D6" s="12">
        <v>10</v>
      </c>
      <c r="E6" s="12" t="s">
        <v>67</v>
      </c>
      <c r="F6" s="8"/>
      <c r="G6" s="8"/>
      <c r="H6" s="8"/>
      <c r="I6" s="12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CustomOrderTT8!$4:$4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</c>
      <c r="B5" s="31" t="str">
        <f>IFERROR(__xludf.DUMMYFUNCTION("""COMPUTED_VALUE"""),"Alert Type")</f>
        <v>Alert Type</v>
      </c>
      <c r="C5" s="31" t="str">
        <f>IFERROR(__xludf.DUMMYFUNCTION("""COMPUTED_VALUE"""),"Rule Name")</f>
        <v>Rule Name</v>
      </c>
      <c r="D5" s="31" t="str">
        <f>IFERROR(__xludf.DUMMYFUNCTION("""COMPUTED_VALUE"""),"Description of Rule")</f>
        <v>Description of Rule</v>
      </c>
      <c r="E5" s="31" t="str">
        <f>IFERROR(__xludf.DUMMYFUNCTION("""COMPUTED_VALUE"""),"Dimensions")</f>
        <v>Dimensions</v>
      </c>
      <c r="F5" s="32" t="str">
        <f>IFERROR(__xludf.DUMMYFUNCTION("""COMPUTED_VALUE"""),"Threshold")</f>
        <v>Threshold</v>
      </c>
      <c r="G5" s="31" t="str">
        <f>IFERROR(__xludf.DUMMYFUNCTION("""COMPUTED_VALUE"""),"Actual Result")</f>
        <v>Actual Result</v>
      </c>
      <c r="H5" s="31" t="str">
        <f>IFERROR(__xludf.DUMMYFUNCTION("""COMPUTED_VALUE"""),"Comments")</f>
        <v>Comments</v>
      </c>
      <c r="I5" s="31" t="str">
        <f>IFERROR(__xludf.DUMMYFUNCTION("""COMPUTED_VALUE"""),"User Notes")</f>
        <v>User Notes</v>
      </c>
      <c r="J5" s="31" t="str">
        <f>IFERROR(__xludf.DUMMYFUNCTION("""COMPUTED_VALUE"""),"Write UserNote")</f>
        <v>Write UserNote</v>
      </c>
      <c r="K5" s="31" t="str">
        <f>IFERROR(__xludf.DUMMYFUNCTION("""COMPUTED_VALUE"""),"AllowTrade")</f>
        <v>AllowTrade</v>
      </c>
      <c r="L5" s="31" t="str">
        <f>IFERROR(__xludf.DUMMYFUNCTION("""COMPUTED_VALUE"""),"ClickonMultiple")</f>
        <v>ClickonMultiple</v>
      </c>
      <c r="M5" s="31" t="str">
        <f>IFERROR(__xludf.DUMMYFUNCTION("""COMPUTED_VALUE"""),"Trade")</f>
        <v>Trade</v>
      </c>
      <c r="N5" s="31" t="str">
        <f>IFERROR(__xludf.DUMMYFUNCTION("""COMPUTED_VALUE"""),"PendingApprovalPopUp")</f>
        <v>PendingApprovalPopUp</v>
      </c>
      <c r="O5" s="31" t="str">
        <f>IFERROR(__xludf.DUMMYFUNCTION("""COMPUTED_VALUE"""),"VerifyExportState")</f>
        <v>VerifyExportState</v>
      </c>
      <c r="P5" s="31"/>
      <c r="Q5" s="31"/>
      <c r="R5" s="31"/>
      <c r="S5" s="31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 t="s">
        <v>69</v>
      </c>
      <c r="C6" s="12" t="s">
        <v>70</v>
      </c>
      <c r="D6" s="12" t="s">
        <v>71</v>
      </c>
      <c r="E6" s="12" t="s">
        <v>72</v>
      </c>
      <c r="F6" s="12">
        <v>-10</v>
      </c>
      <c r="G6" s="12">
        <v>167.32</v>
      </c>
      <c r="H6" s="12" t="s">
        <v>73</v>
      </c>
      <c r="I6" s="8"/>
      <c r="J6" s="8"/>
      <c r="K6" s="12" t="s">
        <v>74</v>
      </c>
      <c r="L6" s="8"/>
      <c r="M6" s="12" t="s">
        <v>54</v>
      </c>
      <c r="N6" s="8"/>
      <c r="O6" s="8"/>
    </row>
    <row r="7" ht="15.75" customHeight="1">
      <c r="A7" s="8"/>
      <c r="B7" s="12" t="s">
        <v>69</v>
      </c>
      <c r="C7" s="12" t="s">
        <v>75</v>
      </c>
      <c r="D7" s="12" t="s">
        <v>71</v>
      </c>
      <c r="E7" s="12" t="s">
        <v>72</v>
      </c>
      <c r="F7" s="12">
        <v>-10</v>
      </c>
      <c r="G7" s="12">
        <v>69.28</v>
      </c>
      <c r="H7" s="12" t="s">
        <v>76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69</v>
      </c>
      <c r="C8" s="12" t="s">
        <v>77</v>
      </c>
      <c r="D8" s="12" t="s">
        <v>71</v>
      </c>
      <c r="E8" s="12" t="s">
        <v>72</v>
      </c>
      <c r="F8" s="12">
        <v>-10</v>
      </c>
      <c r="G8" s="12">
        <v>167.32</v>
      </c>
      <c r="H8" s="12" t="s">
        <v>78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69</v>
      </c>
      <c r="C9" s="12" t="s">
        <v>79</v>
      </c>
      <c r="D9" s="12" t="s">
        <v>71</v>
      </c>
      <c r="E9" s="12" t="s">
        <v>72</v>
      </c>
      <c r="F9" s="12">
        <v>-10</v>
      </c>
      <c r="G9" s="12">
        <v>69.28</v>
      </c>
      <c r="H9" s="12" t="s">
        <v>80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</c>
      <c r="B5" s="31" t="str">
        <f>IFERROR(__xludf.DUMMYFUNCTION("""COMPUTED_VALUE"""),"Alert Type")</f>
        <v>Alert Type</v>
      </c>
      <c r="C5" s="31" t="str">
        <f>IFERROR(__xludf.DUMMYFUNCTION("""COMPUTED_VALUE"""),"Rule Name")</f>
        <v>Rule Name</v>
      </c>
      <c r="D5" s="31" t="str">
        <f>IFERROR(__xludf.DUMMYFUNCTION("""COMPUTED_VALUE"""),"Description of Rule")</f>
        <v>Description of Rule</v>
      </c>
      <c r="E5" s="31" t="str">
        <f>IFERROR(__xludf.DUMMYFUNCTION("""COMPUTED_VALUE"""),"Dimensions")</f>
        <v>Dimensions</v>
      </c>
      <c r="F5" s="32" t="str">
        <f>IFERROR(__xludf.DUMMYFUNCTION("""COMPUTED_VALUE"""),"Threshold")</f>
        <v>Threshold</v>
      </c>
      <c r="G5" s="31" t="str">
        <f>IFERROR(__xludf.DUMMYFUNCTION("""COMPUTED_VALUE"""),"Actual Result")</f>
        <v>Actual Result</v>
      </c>
      <c r="H5" s="31" t="str">
        <f>IFERROR(__xludf.DUMMYFUNCTION("""COMPUTED_VALUE"""),"Comments")</f>
        <v>Comments</v>
      </c>
      <c r="I5" s="31" t="str">
        <f>IFERROR(__xludf.DUMMYFUNCTION("""COMPUTED_VALUE"""),"User Notes")</f>
        <v>User Notes</v>
      </c>
      <c r="J5" s="31" t="str">
        <f>IFERROR(__xludf.DUMMYFUNCTION("""COMPUTED_VALUE"""),"Write UserNote")</f>
        <v>Write UserNote</v>
      </c>
      <c r="K5" s="31" t="str">
        <f>IFERROR(__xludf.DUMMYFUNCTION("""COMPUTED_VALUE"""),"AllowTrade")</f>
        <v>AllowTrade</v>
      </c>
      <c r="L5" s="31" t="str">
        <f>IFERROR(__xludf.DUMMYFUNCTION("""COMPUTED_VALUE"""),"ClickonMultiple")</f>
        <v>ClickonMultiple</v>
      </c>
      <c r="M5" s="31" t="str">
        <f>IFERROR(__xludf.DUMMYFUNCTION("""COMPUTED_VALUE"""),"Trade")</f>
        <v>Trade</v>
      </c>
      <c r="N5" s="31" t="str">
        <f>IFERROR(__xludf.DUMMYFUNCTION("""COMPUTED_VALUE"""),"PendingApprovalPopUp")</f>
        <v>PendingApprovalPopUp</v>
      </c>
      <c r="O5" s="31" t="str">
        <f>IFERROR(__xludf.DUMMYFUNCTION("""COMPUTED_VALUE"""),"VerifyExportState")</f>
        <v>VerifyExportState</v>
      </c>
      <c r="P5" s="31"/>
      <c r="Q5" s="31"/>
      <c r="R5" s="31"/>
      <c r="S5" s="31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 t="s">
        <v>69</v>
      </c>
      <c r="C6" s="12" t="s">
        <v>70</v>
      </c>
      <c r="D6" s="12" t="s">
        <v>71</v>
      </c>
      <c r="E6" s="12" t="s">
        <v>72</v>
      </c>
      <c r="F6" s="12">
        <v>-10</v>
      </c>
      <c r="G6" s="12">
        <v>169.74</v>
      </c>
      <c r="H6" s="12" t="s">
        <v>81</v>
      </c>
      <c r="I6" s="8"/>
      <c r="J6" s="8"/>
      <c r="K6" s="12" t="s">
        <v>74</v>
      </c>
      <c r="L6" s="8"/>
      <c r="M6" s="12" t="s">
        <v>54</v>
      </c>
      <c r="N6" s="8"/>
      <c r="O6" s="8"/>
    </row>
    <row r="7" ht="15.75" customHeight="1">
      <c r="A7" s="8"/>
      <c r="B7" s="12" t="s">
        <v>69</v>
      </c>
      <c r="C7" s="12" t="s">
        <v>75</v>
      </c>
      <c r="D7" s="12" t="s">
        <v>71</v>
      </c>
      <c r="E7" s="12" t="s">
        <v>72</v>
      </c>
      <c r="F7" s="12">
        <v>-10</v>
      </c>
      <c r="G7" s="12">
        <v>69.74</v>
      </c>
      <c r="H7" s="12" t="s">
        <v>82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69</v>
      </c>
      <c r="C8" s="12" t="s">
        <v>77</v>
      </c>
      <c r="D8" s="12" t="s">
        <v>71</v>
      </c>
      <c r="E8" s="12" t="s">
        <v>72</v>
      </c>
      <c r="F8" s="12">
        <v>-10</v>
      </c>
      <c r="G8" s="12">
        <v>168.42</v>
      </c>
      <c r="H8" s="12" t="s">
        <v>83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69</v>
      </c>
      <c r="C9" s="12" t="s">
        <v>79</v>
      </c>
      <c r="D9" s="12" t="s">
        <v>71</v>
      </c>
      <c r="E9" s="12" t="s">
        <v>72</v>
      </c>
      <c r="F9" s="12">
        <v>-10</v>
      </c>
      <c r="G9" s="12">
        <v>69.74</v>
      </c>
      <c r="H9" s="12" t="s">
        <v>84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</c>
      <c r="B5" s="31" t="str">
        <f>IFERROR(__xludf.DUMMYFUNCTION("""COMPUTED_VALUE"""),"Alert Type")</f>
        <v>Alert Type</v>
      </c>
      <c r="C5" s="31" t="str">
        <f>IFERROR(__xludf.DUMMYFUNCTION("""COMPUTED_VALUE"""),"Rule Name")</f>
        <v>Rule Name</v>
      </c>
      <c r="D5" s="31" t="str">
        <f>IFERROR(__xludf.DUMMYFUNCTION("""COMPUTED_VALUE"""),"Description of Rule")</f>
        <v>Description of Rule</v>
      </c>
      <c r="E5" s="31" t="str">
        <f>IFERROR(__xludf.DUMMYFUNCTION("""COMPUTED_VALUE"""),"Dimensions")</f>
        <v>Dimensions</v>
      </c>
      <c r="F5" s="32" t="str">
        <f>IFERROR(__xludf.DUMMYFUNCTION("""COMPUTED_VALUE"""),"Threshold")</f>
        <v>Threshold</v>
      </c>
      <c r="G5" s="31" t="str">
        <f>IFERROR(__xludf.DUMMYFUNCTION("""COMPUTED_VALUE"""),"Actual Result")</f>
        <v>Actual Result</v>
      </c>
      <c r="H5" s="31" t="str">
        <f>IFERROR(__xludf.DUMMYFUNCTION("""COMPUTED_VALUE"""),"Comments")</f>
        <v>Comments</v>
      </c>
      <c r="I5" s="31" t="str">
        <f>IFERROR(__xludf.DUMMYFUNCTION("""COMPUTED_VALUE"""),"User Notes")</f>
        <v>User Notes</v>
      </c>
      <c r="J5" s="31" t="str">
        <f>IFERROR(__xludf.DUMMYFUNCTION("""COMPUTED_VALUE"""),"Write UserNote")</f>
        <v>Write UserNote</v>
      </c>
      <c r="K5" s="31" t="str">
        <f>IFERROR(__xludf.DUMMYFUNCTION("""COMPUTED_VALUE"""),"AllowTrade")</f>
        <v>AllowTrade</v>
      </c>
      <c r="L5" s="31" t="str">
        <f>IFERROR(__xludf.DUMMYFUNCTION("""COMPUTED_VALUE"""),"ClickonMultiple")</f>
        <v>ClickonMultiple</v>
      </c>
      <c r="M5" s="31" t="str">
        <f>IFERROR(__xludf.DUMMYFUNCTION("""COMPUTED_VALUE"""),"Trade")</f>
        <v>Trade</v>
      </c>
      <c r="N5" s="31" t="str">
        <f>IFERROR(__xludf.DUMMYFUNCTION("""COMPUTED_VALUE"""),"PendingApprovalPopUp")</f>
        <v>PendingApprovalPopUp</v>
      </c>
      <c r="O5" s="31" t="str">
        <f>IFERROR(__xludf.DUMMYFUNCTION("""COMPUTED_VALUE"""),"VerifyExportState")</f>
        <v>VerifyExportState</v>
      </c>
      <c r="P5" s="31"/>
      <c r="Q5" s="31"/>
      <c r="R5" s="31"/>
      <c r="S5" s="31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 t="s">
        <v>69</v>
      </c>
      <c r="C6" s="12" t="s">
        <v>70</v>
      </c>
      <c r="D6" s="12" t="s">
        <v>71</v>
      </c>
      <c r="E6" s="12" t="s">
        <v>72</v>
      </c>
      <c r="F6" s="12">
        <v>-10</v>
      </c>
      <c r="G6" s="12">
        <v>181.75</v>
      </c>
      <c r="H6" s="12" t="s">
        <v>85</v>
      </c>
      <c r="I6" s="8"/>
      <c r="J6" s="8"/>
      <c r="K6" s="12" t="s">
        <v>74</v>
      </c>
      <c r="L6" s="8"/>
      <c r="M6" s="12" t="s">
        <v>54</v>
      </c>
      <c r="N6" s="8"/>
      <c r="O6" s="8"/>
    </row>
    <row r="7" ht="15.75" customHeight="1">
      <c r="A7" s="8"/>
      <c r="B7" s="12" t="s">
        <v>69</v>
      </c>
      <c r="C7" s="12" t="s">
        <v>75</v>
      </c>
      <c r="D7" s="12" t="s">
        <v>71</v>
      </c>
      <c r="E7" s="12" t="s">
        <v>72</v>
      </c>
      <c r="F7" s="12">
        <v>-10</v>
      </c>
      <c r="G7" s="12">
        <v>41.27</v>
      </c>
      <c r="H7" s="12" t="s">
        <v>86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69</v>
      </c>
      <c r="C8" s="12" t="s">
        <v>77</v>
      </c>
      <c r="D8" s="12" t="s">
        <v>71</v>
      </c>
      <c r="E8" s="12" t="s">
        <v>72</v>
      </c>
      <c r="F8" s="12">
        <v>-10</v>
      </c>
      <c r="G8" s="12">
        <v>180.16</v>
      </c>
      <c r="H8" s="12" t="s">
        <v>87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69</v>
      </c>
      <c r="C9" s="12" t="s">
        <v>79</v>
      </c>
      <c r="D9" s="12" t="s">
        <v>71</v>
      </c>
      <c r="E9" s="12" t="s">
        <v>72</v>
      </c>
      <c r="F9" s="12">
        <v>-10</v>
      </c>
      <c r="G9" s="12">
        <v>41.27</v>
      </c>
      <c r="H9" s="12" t="s">
        <v>88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</c>
      <c r="B5" s="31" t="str">
        <f>IFERROR(__xludf.DUMMYFUNCTION("""COMPUTED_VALUE"""),"Alert Type")</f>
        <v>Alert Type</v>
      </c>
      <c r="C5" s="31" t="str">
        <f>IFERROR(__xludf.DUMMYFUNCTION("""COMPUTED_VALUE"""),"Rule Name")</f>
        <v>Rule Name</v>
      </c>
      <c r="D5" s="31" t="str">
        <f>IFERROR(__xludf.DUMMYFUNCTION("""COMPUTED_VALUE"""),"Description of Rule")</f>
        <v>Description of Rule</v>
      </c>
      <c r="E5" s="31" t="str">
        <f>IFERROR(__xludf.DUMMYFUNCTION("""COMPUTED_VALUE"""),"Dimensions")</f>
        <v>Dimensions</v>
      </c>
      <c r="F5" s="32" t="str">
        <f>IFERROR(__xludf.DUMMYFUNCTION("""COMPUTED_VALUE"""),"Threshold")</f>
        <v>Threshold</v>
      </c>
      <c r="G5" s="31" t="str">
        <f>IFERROR(__xludf.DUMMYFUNCTION("""COMPUTED_VALUE"""),"Actual Result")</f>
        <v>Actual Result</v>
      </c>
      <c r="H5" s="31" t="str">
        <f>IFERROR(__xludf.DUMMYFUNCTION("""COMPUTED_VALUE"""),"Comments")</f>
        <v>Comments</v>
      </c>
      <c r="I5" s="31" t="str">
        <f>IFERROR(__xludf.DUMMYFUNCTION("""COMPUTED_VALUE"""),"User Notes")</f>
        <v>User Notes</v>
      </c>
      <c r="J5" s="31" t="str">
        <f>IFERROR(__xludf.DUMMYFUNCTION("""COMPUTED_VALUE"""),"Write UserNote")</f>
        <v>Write UserNote</v>
      </c>
      <c r="K5" s="31" t="str">
        <f>IFERROR(__xludf.DUMMYFUNCTION("""COMPUTED_VALUE"""),"AllowTrade")</f>
        <v>AllowTrade</v>
      </c>
      <c r="L5" s="31" t="str">
        <f>IFERROR(__xludf.DUMMYFUNCTION("""COMPUTED_VALUE"""),"ClickonMultiple")</f>
        <v>ClickonMultiple</v>
      </c>
      <c r="M5" s="31" t="str">
        <f>IFERROR(__xludf.DUMMYFUNCTION("""COMPUTED_VALUE"""),"Trade")</f>
        <v>Trade</v>
      </c>
      <c r="N5" s="31" t="str">
        <f>IFERROR(__xludf.DUMMYFUNCTION("""COMPUTED_VALUE"""),"PendingApprovalPopUp")</f>
        <v>PendingApprovalPopUp</v>
      </c>
      <c r="O5" s="31" t="str">
        <f>IFERROR(__xludf.DUMMYFUNCTION("""COMPUTED_VALUE"""),"VerifyExportState")</f>
        <v>VerifyExportState</v>
      </c>
      <c r="P5" s="31"/>
      <c r="Q5" s="31"/>
      <c r="R5" s="31"/>
      <c r="S5" s="31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 t="s">
        <v>69</v>
      </c>
      <c r="C6" s="12" t="s">
        <v>70</v>
      </c>
      <c r="D6" s="12" t="s">
        <v>71</v>
      </c>
      <c r="E6" s="12" t="s">
        <v>72</v>
      </c>
      <c r="F6" s="12">
        <v>-10</v>
      </c>
      <c r="G6" s="12">
        <v>251.49</v>
      </c>
      <c r="H6" s="12" t="s">
        <v>89</v>
      </c>
      <c r="I6" s="8"/>
      <c r="J6" s="8"/>
      <c r="K6" s="12" t="s">
        <v>74</v>
      </c>
      <c r="L6" s="8"/>
      <c r="M6" s="12" t="s">
        <v>54</v>
      </c>
      <c r="N6" s="8"/>
      <c r="O6" s="8"/>
    </row>
    <row r="7" ht="15.75" customHeight="1">
      <c r="A7" s="8"/>
      <c r="B7" s="12" t="s">
        <v>69</v>
      </c>
      <c r="C7" s="12" t="s">
        <v>75</v>
      </c>
      <c r="D7" s="12" t="s">
        <v>71</v>
      </c>
      <c r="E7" s="12" t="s">
        <v>72</v>
      </c>
      <c r="F7" s="12">
        <v>-10</v>
      </c>
      <c r="G7" s="12">
        <v>100.99</v>
      </c>
      <c r="H7" s="12" t="s">
        <v>90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69</v>
      </c>
      <c r="C8" s="12" t="s">
        <v>77</v>
      </c>
      <c r="D8" s="12" t="s">
        <v>71</v>
      </c>
      <c r="E8" s="12" t="s">
        <v>72</v>
      </c>
      <c r="F8" s="12">
        <v>-10</v>
      </c>
      <c r="G8" s="12">
        <v>150.5</v>
      </c>
      <c r="H8" s="12" t="s">
        <v>91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69</v>
      </c>
      <c r="C9" s="12" t="s">
        <v>79</v>
      </c>
      <c r="D9" s="12" t="s">
        <v>71</v>
      </c>
      <c r="E9" s="12" t="s">
        <v>72</v>
      </c>
      <c r="F9" s="12">
        <v>-10</v>
      </c>
      <c r="G9" s="12">
        <v>100.99</v>
      </c>
      <c r="H9" s="12" t="s">
        <v>92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VerifyComplianceOrder3!$4:$4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</c>
      <c r="B5" s="31" t="str">
        <f>IFERROR(__xludf.DUMMYFUNCTION("""COMPUTED_VALUE"""),"Alert Type")</f>
        <v>Alert Type</v>
      </c>
      <c r="C5" s="31" t="str">
        <f>IFERROR(__xludf.DUMMYFUNCTION("""COMPUTED_VALUE"""),"Rule Name")</f>
        <v>Rule Name</v>
      </c>
      <c r="D5" s="31" t="str">
        <f>IFERROR(__xludf.DUMMYFUNCTION("""COMPUTED_VALUE"""),"Description of Rule")</f>
        <v>Description of Rule</v>
      </c>
      <c r="E5" s="31" t="str">
        <f>IFERROR(__xludf.DUMMYFUNCTION("""COMPUTED_VALUE"""),"Dimensions")</f>
        <v>Dimensions</v>
      </c>
      <c r="F5" s="32" t="str">
        <f>IFERROR(__xludf.DUMMYFUNCTION("""COMPUTED_VALUE"""),"Threshold")</f>
        <v>Threshold</v>
      </c>
      <c r="G5" s="31" t="str">
        <f>IFERROR(__xludf.DUMMYFUNCTION("""COMPUTED_VALUE"""),"Actual Result")</f>
        <v>Actual Result</v>
      </c>
      <c r="H5" s="31" t="str">
        <f>IFERROR(__xludf.DUMMYFUNCTION("""COMPUTED_VALUE"""),"Comments")</f>
        <v>Comments</v>
      </c>
      <c r="I5" s="31" t="str">
        <f>IFERROR(__xludf.DUMMYFUNCTION("""COMPUTED_VALUE"""),"User Notes")</f>
        <v>User Notes</v>
      </c>
      <c r="J5" s="31" t="str">
        <f>IFERROR(__xludf.DUMMYFUNCTION("""COMPUTED_VALUE"""),"Write UserNote")</f>
        <v>Write UserNote</v>
      </c>
      <c r="K5" s="31" t="str">
        <f>IFERROR(__xludf.DUMMYFUNCTION("""COMPUTED_VALUE"""),"AllowTrade")</f>
        <v>AllowTrade</v>
      </c>
      <c r="L5" s="31" t="str">
        <f>IFERROR(__xludf.DUMMYFUNCTION("""COMPUTED_VALUE"""),"ClickonMultiple")</f>
        <v>ClickonMultiple</v>
      </c>
      <c r="M5" s="31" t="str">
        <f>IFERROR(__xludf.DUMMYFUNCTION("""COMPUTED_VALUE"""),"Trade")</f>
        <v>Trade</v>
      </c>
      <c r="N5" s="31" t="str">
        <f>IFERROR(__xludf.DUMMYFUNCTION("""COMPUTED_VALUE"""),"PendingApprovalPopUp")</f>
        <v>PendingApprovalPopUp</v>
      </c>
      <c r="O5" s="31" t="str">
        <f>IFERROR(__xludf.DUMMYFUNCTION("""COMPUTED_VALUE"""),"VerifyExportState")</f>
        <v>VerifyExportState</v>
      </c>
      <c r="P5" s="31"/>
      <c r="Q5" s="31"/>
      <c r="R5" s="31"/>
      <c r="S5" s="31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 t="s">
        <v>69</v>
      </c>
      <c r="C6" s="12" t="s">
        <v>70</v>
      </c>
      <c r="D6" s="12" t="s">
        <v>71</v>
      </c>
      <c r="E6" s="12" t="s">
        <v>72</v>
      </c>
      <c r="F6" s="12">
        <v>-10</v>
      </c>
      <c r="G6" s="12">
        <v>331.17</v>
      </c>
      <c r="H6" s="12" t="s">
        <v>93</v>
      </c>
      <c r="I6" s="8"/>
      <c r="J6" s="8"/>
      <c r="K6" s="12" t="s">
        <v>74</v>
      </c>
      <c r="L6" s="8"/>
      <c r="M6" s="12" t="s">
        <v>67</v>
      </c>
      <c r="N6" s="8"/>
      <c r="O6" s="8"/>
    </row>
    <row r="7" ht="15.75" customHeight="1">
      <c r="A7" s="8"/>
      <c r="B7" s="12" t="s">
        <v>69</v>
      </c>
      <c r="C7" s="12" t="s">
        <v>75</v>
      </c>
      <c r="D7" s="12" t="s">
        <v>71</v>
      </c>
      <c r="E7" s="12" t="s">
        <v>72</v>
      </c>
      <c r="F7" s="12">
        <v>-10</v>
      </c>
      <c r="G7" s="12">
        <v>70.13</v>
      </c>
      <c r="H7" s="12" t="s">
        <v>94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69</v>
      </c>
      <c r="C8" s="12" t="s">
        <v>77</v>
      </c>
      <c r="D8" s="12" t="s">
        <v>71</v>
      </c>
      <c r="E8" s="12" t="s">
        <v>72</v>
      </c>
      <c r="F8" s="12">
        <v>-10</v>
      </c>
      <c r="G8" s="12">
        <v>167.53</v>
      </c>
      <c r="H8" s="12" t="s">
        <v>95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69</v>
      </c>
      <c r="C9" s="12" t="s">
        <v>79</v>
      </c>
      <c r="D9" s="12" t="s">
        <v>71</v>
      </c>
      <c r="E9" s="12" t="s">
        <v>72</v>
      </c>
      <c r="F9" s="12">
        <v>-10</v>
      </c>
      <c r="G9" s="12">
        <v>70.13</v>
      </c>
      <c r="H9" s="12" t="s">
        <v>96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</c>
      <c r="B5" s="31" t="str">
        <f>IFERROR(__xludf.DUMMYFUNCTION("""COMPUTED_VALUE"""),"Alert Type")</f>
        <v>Alert Type</v>
      </c>
      <c r="C5" s="31" t="str">
        <f>IFERROR(__xludf.DUMMYFUNCTION("""COMPUTED_VALUE"""),"Rule Name")</f>
        <v>Rule Name</v>
      </c>
      <c r="D5" s="31" t="str">
        <f>IFERROR(__xludf.DUMMYFUNCTION("""COMPUTED_VALUE"""),"Description of Rule")</f>
        <v>Description of Rule</v>
      </c>
      <c r="E5" s="31" t="str">
        <f>IFERROR(__xludf.DUMMYFUNCTION("""COMPUTED_VALUE"""),"Dimensions")</f>
        <v>Dimensions</v>
      </c>
      <c r="F5" s="32" t="str">
        <f>IFERROR(__xludf.DUMMYFUNCTION("""COMPUTED_VALUE"""),"Threshold")</f>
        <v>Threshold</v>
      </c>
      <c r="G5" s="31" t="str">
        <f>IFERROR(__xludf.DUMMYFUNCTION("""COMPUTED_VALUE"""),"Actual Result")</f>
        <v>Actual Result</v>
      </c>
      <c r="H5" s="31" t="str">
        <f>IFERROR(__xludf.DUMMYFUNCTION("""COMPUTED_VALUE"""),"Comments")</f>
        <v>Comments</v>
      </c>
      <c r="I5" s="31" t="str">
        <f>IFERROR(__xludf.DUMMYFUNCTION("""COMPUTED_VALUE"""),"User Notes")</f>
        <v>User Notes</v>
      </c>
      <c r="J5" s="31" t="str">
        <f>IFERROR(__xludf.DUMMYFUNCTION("""COMPUTED_VALUE"""),"Write UserNote")</f>
        <v>Write UserNote</v>
      </c>
      <c r="K5" s="31" t="str">
        <f>IFERROR(__xludf.DUMMYFUNCTION("""COMPUTED_VALUE"""),"AllowTrade")</f>
        <v>AllowTrade</v>
      </c>
      <c r="L5" s="31" t="str">
        <f>IFERROR(__xludf.DUMMYFUNCTION("""COMPUTED_VALUE"""),"ClickonMultiple")</f>
        <v>ClickonMultiple</v>
      </c>
      <c r="M5" s="31" t="str">
        <f>IFERROR(__xludf.DUMMYFUNCTION("""COMPUTED_VALUE"""),"Trade")</f>
        <v>Trade</v>
      </c>
      <c r="N5" s="31" t="str">
        <f>IFERROR(__xludf.DUMMYFUNCTION("""COMPUTED_VALUE"""),"PendingApprovalPopUp")</f>
        <v>PendingApprovalPopUp</v>
      </c>
      <c r="O5" s="31" t="str">
        <f>IFERROR(__xludf.DUMMYFUNCTION("""COMPUTED_VALUE"""),"VerifyExportState")</f>
        <v>VerifyExportState</v>
      </c>
      <c r="P5" s="31"/>
      <c r="Q5" s="31"/>
      <c r="R5" s="31"/>
      <c r="S5" s="31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 t="s">
        <v>69</v>
      </c>
      <c r="C6" s="12" t="s">
        <v>70</v>
      </c>
      <c r="D6" s="12" t="s">
        <v>71</v>
      </c>
      <c r="E6" s="12" t="s">
        <v>72</v>
      </c>
      <c r="F6" s="12">
        <v>-10</v>
      </c>
      <c r="G6" s="12">
        <v>336.84</v>
      </c>
      <c r="H6" s="12" t="s">
        <v>97</v>
      </c>
      <c r="I6" s="8"/>
      <c r="J6" s="8"/>
      <c r="K6" s="12" t="s">
        <v>74</v>
      </c>
      <c r="L6" s="8"/>
      <c r="M6" s="12" t="s">
        <v>67</v>
      </c>
      <c r="N6" s="8"/>
      <c r="O6" s="8"/>
    </row>
    <row r="7" ht="15.75" customHeight="1">
      <c r="A7" s="8"/>
      <c r="B7" s="12" t="s">
        <v>69</v>
      </c>
      <c r="C7" s="12" t="s">
        <v>75</v>
      </c>
      <c r="D7" s="12" t="s">
        <v>71</v>
      </c>
      <c r="E7" s="12" t="s">
        <v>72</v>
      </c>
      <c r="F7" s="12">
        <v>-10</v>
      </c>
      <c r="G7" s="12">
        <v>71.05</v>
      </c>
      <c r="H7" s="12" t="s">
        <v>98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69</v>
      </c>
      <c r="C8" s="12" t="s">
        <v>77</v>
      </c>
      <c r="D8" s="12" t="s">
        <v>71</v>
      </c>
      <c r="E8" s="12" t="s">
        <v>72</v>
      </c>
      <c r="F8" s="12">
        <v>-10</v>
      </c>
      <c r="G8" s="12">
        <v>169.74</v>
      </c>
      <c r="H8" s="12" t="s">
        <v>99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69</v>
      </c>
      <c r="C9" s="12" t="s">
        <v>79</v>
      </c>
      <c r="D9" s="12" t="s">
        <v>71</v>
      </c>
      <c r="E9" s="12" t="s">
        <v>72</v>
      </c>
      <c r="F9" s="12">
        <v>-10</v>
      </c>
      <c r="G9" s="12">
        <v>71.05</v>
      </c>
      <c r="H9" s="12" t="s">
        <v>100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</c>
      <c r="B5" s="31" t="str">
        <f>IFERROR(__xludf.DUMMYFUNCTION("""COMPUTED_VALUE"""),"Alert Type")</f>
        <v>Alert Type</v>
      </c>
      <c r="C5" s="31" t="str">
        <f>IFERROR(__xludf.DUMMYFUNCTION("""COMPUTED_VALUE"""),"Rule Name")</f>
        <v>Rule Name</v>
      </c>
      <c r="D5" s="31" t="str">
        <f>IFERROR(__xludf.DUMMYFUNCTION("""COMPUTED_VALUE"""),"Description of Rule")</f>
        <v>Description of Rule</v>
      </c>
      <c r="E5" s="31" t="str">
        <f>IFERROR(__xludf.DUMMYFUNCTION("""COMPUTED_VALUE"""),"Dimensions")</f>
        <v>Dimensions</v>
      </c>
      <c r="F5" s="32" t="str">
        <f>IFERROR(__xludf.DUMMYFUNCTION("""COMPUTED_VALUE"""),"Threshold")</f>
        <v>Threshold</v>
      </c>
      <c r="G5" s="31" t="str">
        <f>IFERROR(__xludf.DUMMYFUNCTION("""COMPUTED_VALUE"""),"Actual Result")</f>
        <v>Actual Result</v>
      </c>
      <c r="H5" s="31" t="str">
        <f>IFERROR(__xludf.DUMMYFUNCTION("""COMPUTED_VALUE"""),"Comments")</f>
        <v>Comments</v>
      </c>
      <c r="I5" s="31" t="str">
        <f>IFERROR(__xludf.DUMMYFUNCTION("""COMPUTED_VALUE"""),"User Notes")</f>
        <v>User Notes</v>
      </c>
      <c r="J5" s="31" t="str">
        <f>IFERROR(__xludf.DUMMYFUNCTION("""COMPUTED_VALUE"""),"Write UserNote")</f>
        <v>Write UserNote</v>
      </c>
      <c r="K5" s="31" t="str">
        <f>IFERROR(__xludf.DUMMYFUNCTION("""COMPUTED_VALUE"""),"AllowTrade")</f>
        <v>AllowTrade</v>
      </c>
      <c r="L5" s="31" t="str">
        <f>IFERROR(__xludf.DUMMYFUNCTION("""COMPUTED_VALUE"""),"ClickonMultiple")</f>
        <v>ClickonMultiple</v>
      </c>
      <c r="M5" s="31" t="str">
        <f>IFERROR(__xludf.DUMMYFUNCTION("""COMPUTED_VALUE"""),"Trade")</f>
        <v>Trade</v>
      </c>
      <c r="N5" s="31" t="str">
        <f>IFERROR(__xludf.DUMMYFUNCTION("""COMPUTED_VALUE"""),"PendingApprovalPopUp")</f>
        <v>PendingApprovalPopUp</v>
      </c>
      <c r="O5" s="31" t="str">
        <f>IFERROR(__xludf.DUMMYFUNCTION("""COMPUTED_VALUE"""),"VerifyExportState")</f>
        <v>VerifyExportState</v>
      </c>
      <c r="P5" s="31"/>
      <c r="Q5" s="31"/>
      <c r="R5" s="31"/>
      <c r="S5" s="31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 t="s">
        <v>69</v>
      </c>
      <c r="C6" s="12" t="s">
        <v>70</v>
      </c>
      <c r="D6" s="12" t="s">
        <v>71</v>
      </c>
      <c r="E6" s="12" t="s">
        <v>72</v>
      </c>
      <c r="F6" s="12">
        <v>-10</v>
      </c>
      <c r="G6" s="12">
        <v>202.27</v>
      </c>
      <c r="H6" s="12" t="s">
        <v>101</v>
      </c>
      <c r="I6" s="8"/>
      <c r="J6" s="8"/>
      <c r="K6" s="12" t="s">
        <v>74</v>
      </c>
      <c r="L6" s="8"/>
      <c r="M6" s="12" t="s">
        <v>67</v>
      </c>
      <c r="N6" s="8"/>
      <c r="O6" s="8"/>
    </row>
    <row r="7" ht="15.75" customHeight="1">
      <c r="A7" s="8"/>
      <c r="B7" s="12" t="s">
        <v>69</v>
      </c>
      <c r="C7" s="12" t="s">
        <v>75</v>
      </c>
      <c r="D7" s="12" t="s">
        <v>71</v>
      </c>
      <c r="E7" s="12" t="s">
        <v>72</v>
      </c>
      <c r="F7" s="12">
        <v>-10</v>
      </c>
      <c r="G7" s="12">
        <v>29.55</v>
      </c>
      <c r="H7" s="12" t="s">
        <v>102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69</v>
      </c>
      <c r="C8" s="12" t="s">
        <v>77</v>
      </c>
      <c r="D8" s="12" t="s">
        <v>71</v>
      </c>
      <c r="E8" s="12" t="s">
        <v>72</v>
      </c>
      <c r="F8" s="12">
        <v>-10</v>
      </c>
      <c r="G8" s="12">
        <v>185.8</v>
      </c>
      <c r="H8" s="12" t="s">
        <v>103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69</v>
      </c>
      <c r="C9" s="12" t="s">
        <v>79</v>
      </c>
      <c r="D9" s="12" t="s">
        <v>71</v>
      </c>
      <c r="E9" s="12" t="s">
        <v>72</v>
      </c>
      <c r="F9" s="12">
        <v>-10</v>
      </c>
      <c r="G9" s="12">
        <v>29.55</v>
      </c>
      <c r="H9" s="12" t="s">
        <v>104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VerifyComplianceOrder6!$4:$4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</c>
      <c r="B5" s="31" t="str">
        <f>IFERROR(__xludf.DUMMYFUNCTION("""COMPUTED_VALUE"""),"Alert Type")</f>
        <v>Alert Type</v>
      </c>
      <c r="C5" s="31" t="str">
        <f>IFERROR(__xludf.DUMMYFUNCTION("""COMPUTED_VALUE"""),"Rule Name")</f>
        <v>Rule Name</v>
      </c>
      <c r="D5" s="31" t="str">
        <f>IFERROR(__xludf.DUMMYFUNCTION("""COMPUTED_VALUE"""),"Description of Rule")</f>
        <v>Description of Rule</v>
      </c>
      <c r="E5" s="31" t="str">
        <f>IFERROR(__xludf.DUMMYFUNCTION("""COMPUTED_VALUE"""),"Dimensions")</f>
        <v>Dimensions</v>
      </c>
      <c r="F5" s="32" t="str">
        <f>IFERROR(__xludf.DUMMYFUNCTION("""COMPUTED_VALUE"""),"Threshold")</f>
        <v>Threshold</v>
      </c>
      <c r="G5" s="31" t="str">
        <f>IFERROR(__xludf.DUMMYFUNCTION("""COMPUTED_VALUE"""),"Actual Result")</f>
        <v>Actual Result</v>
      </c>
      <c r="H5" s="31" t="str">
        <f>IFERROR(__xludf.DUMMYFUNCTION("""COMPUTED_VALUE"""),"Comments")</f>
        <v>Comments</v>
      </c>
      <c r="I5" s="31" t="str">
        <f>IFERROR(__xludf.DUMMYFUNCTION("""COMPUTED_VALUE"""),"User Notes")</f>
        <v>User Notes</v>
      </c>
      <c r="J5" s="31" t="str">
        <f>IFERROR(__xludf.DUMMYFUNCTION("""COMPUTED_VALUE"""),"Write UserNote")</f>
        <v>Write UserNote</v>
      </c>
      <c r="K5" s="31" t="str">
        <f>IFERROR(__xludf.DUMMYFUNCTION("""COMPUTED_VALUE"""),"AllowTrade")</f>
        <v>AllowTrade</v>
      </c>
      <c r="L5" s="31" t="str">
        <f>IFERROR(__xludf.DUMMYFUNCTION("""COMPUTED_VALUE"""),"ClickonMultiple")</f>
        <v>ClickonMultiple</v>
      </c>
      <c r="M5" s="31" t="str">
        <f>IFERROR(__xludf.DUMMYFUNCTION("""COMPUTED_VALUE"""),"Trade")</f>
        <v>Trade</v>
      </c>
      <c r="N5" s="31" t="str">
        <f>IFERROR(__xludf.DUMMYFUNCTION("""COMPUTED_VALUE"""),"PendingApprovalPopUp")</f>
        <v>PendingApprovalPopUp</v>
      </c>
      <c r="O5" s="31" t="str">
        <f>IFERROR(__xludf.DUMMYFUNCTION("""COMPUTED_VALUE"""),"VerifyExportState")</f>
        <v>VerifyExportState</v>
      </c>
      <c r="P5" s="31"/>
      <c r="Q5" s="31"/>
      <c r="R5" s="31"/>
      <c r="S5" s="31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 t="s">
        <v>69</v>
      </c>
      <c r="C6" s="12" t="s">
        <v>70</v>
      </c>
      <c r="D6" s="12" t="s">
        <v>71</v>
      </c>
      <c r="E6" s="12" t="s">
        <v>72</v>
      </c>
      <c r="F6" s="12">
        <v>-10</v>
      </c>
      <c r="G6" s="12">
        <v>302.38</v>
      </c>
      <c r="H6" s="12" t="s">
        <v>105</v>
      </c>
      <c r="I6" s="8"/>
      <c r="J6" s="8"/>
      <c r="K6" s="12" t="s">
        <v>74</v>
      </c>
      <c r="L6" s="8"/>
      <c r="M6" s="12" t="s">
        <v>67</v>
      </c>
      <c r="N6" s="8"/>
      <c r="O6" s="8"/>
    </row>
    <row r="7" ht="15.75" customHeight="1">
      <c r="A7" s="8"/>
      <c r="B7" s="12" t="s">
        <v>69</v>
      </c>
      <c r="C7" s="12" t="s">
        <v>75</v>
      </c>
      <c r="D7" s="12" t="s">
        <v>71</v>
      </c>
      <c r="E7" s="12" t="s">
        <v>72</v>
      </c>
      <c r="F7" s="12">
        <v>-10</v>
      </c>
      <c r="G7" s="12">
        <v>120.63</v>
      </c>
      <c r="H7" s="12" t="s">
        <v>106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69</v>
      </c>
      <c r="C8" s="12" t="s">
        <v>77</v>
      </c>
      <c r="D8" s="12" t="s">
        <v>71</v>
      </c>
      <c r="E8" s="12" t="s">
        <v>72</v>
      </c>
      <c r="F8" s="12">
        <v>-10</v>
      </c>
      <c r="G8" s="12">
        <v>140.48</v>
      </c>
      <c r="H8" s="12" t="s">
        <v>107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69</v>
      </c>
      <c r="C9" s="12" t="s">
        <v>79</v>
      </c>
      <c r="D9" s="12" t="s">
        <v>71</v>
      </c>
      <c r="E9" s="12" t="s">
        <v>72</v>
      </c>
      <c r="F9" s="12">
        <v>-10</v>
      </c>
      <c r="G9" s="12">
        <v>120.63</v>
      </c>
      <c r="H9" s="12" t="s">
        <v>108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VerifyComplianceOrder7!$4:$4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