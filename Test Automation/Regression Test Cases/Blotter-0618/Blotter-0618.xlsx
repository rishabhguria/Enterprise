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1" sheetId="9" r:id="rId11"/>
    <sheet state="visible" name="SelectTradeUsingMTT2" sheetId="10" r:id="rId12"/>
    <sheet state="visible" name="BulkChangeCreateStageOrder" sheetId="11" r:id="rId13"/>
    <sheet state="visible" name="SelectTradeOnOrderGrid" sheetId="12" r:id="rId14"/>
    <sheet state="visible" name="VerifyViewAllocationOrder" sheetId="13" r:id="rId15"/>
    <sheet state="visible" name="Import" sheetId="14" r:id="rId16"/>
    <sheet state="visible" name="SelectAllOnImport" sheetId="15" r:id="rId17"/>
    <sheet state="visible" name="SelectTradeOnOrderGrid1" sheetId="16" r:id="rId18"/>
    <sheet state="visible" name="VerifyViewAllocationOrder1" sheetId="17" r:id="rId19"/>
    <sheet state="visible" name="AddCalculatedPreferences" sheetId="18" r:id="rId20"/>
    <sheet state="visible" name="SetAccountValueCalculatedPref" sheetId="19" r:id="rId21"/>
    <sheet state="visible" name="SetDefaultRuleCalculatedPref" sheetId="20" r:id="rId22"/>
  </sheets>
  <definedNames/>
  <calcPr/>
</workbook>
</file>

<file path=xl/sharedStrings.xml><?xml version="1.0" encoding="utf-8"?>
<sst xmlns="http://schemas.openxmlformats.org/spreadsheetml/2006/main" count="300" uniqueCount="172">
  <si>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</si>
  <si>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</si>
  <si>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</si>
  <si>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</si>
  <si>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</si>
  <si>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</si>
  <si>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</si>
  <si>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</si>
  <si>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</si>
  <si>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</si>
  <si>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</si>
  <si>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</si>
  <si>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</si>
  <si>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</si>
  <si>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</si>
  <si>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</si>
  <si>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AAPL</t>
  </si>
  <si>
    <t>MSFT</t>
  </si>
  <si>
    <t>TradeFromWatchlist</t>
  </si>
  <si>
    <t>Buy</t>
  </si>
  <si>
    <t>MultiTradingTicket</t>
  </si>
  <si>
    <t>SelectTradeUsingMTT</t>
  </si>
  <si>
    <t>EditTradeUsingMTT</t>
  </si>
  <si>
    <t>BulkChangeCreateStageOrder</t>
  </si>
  <si>
    <t>New1</t>
  </si>
  <si>
    <t>Blotter</t>
  </si>
  <si>
    <t>SelectTradeOnOrderGrid</t>
  </si>
  <si>
    <t>VerifyViewAllocationOrder</t>
  </si>
  <si>
    <t>Allocation1</t>
  </si>
  <si>
    <t>Allocation3</t>
  </si>
  <si>
    <t>Import</t>
  </si>
  <si>
    <t>\\192.168.2.108\DistributedAutomation_Master\Import Cases\Stage(Blotter-0618).csv</t>
  </si>
  <si>
    <t>ISOX</t>
  </si>
  <si>
    <t>Staged Order</t>
  </si>
  <si>
    <t>SelectAllOnImport</t>
  </si>
  <si>
    <t>SAP</t>
  </si>
  <si>
    <t>Allocation</t>
  </si>
  <si>
    <t>AddCalculatedPreferences</t>
  </si>
  <si>
    <t>SetAccountValueCalculatedPref</t>
  </si>
  <si>
    <t>SetDefaultRuleCalculatedPref</t>
  </si>
  <si>
    <t>Allocate</t>
  </si>
  <si>
    <t>CheckAllocatedGroups</t>
  </si>
  <si>
    <t>GetDataAllocation</t>
  </si>
  <si>
    <t>SelectAllocatedGroup</t>
  </si>
  <si>
    <t>EditTradesAllocated</t>
  </si>
  <si>
    <t>EditTradesUnallocated</t>
  </si>
  <si>
    <t>Reallocate</t>
  </si>
  <si>
    <t>EditUnallocatedGroupSidePanel</t>
  </si>
  <si>
    <t>TradeAttributeBulkChange</t>
  </si>
  <si>
    <t>ApplyBulkUpdateOnGroups</t>
  </si>
  <si>
    <t>ApplyPrefetchFilters</t>
  </si>
  <si>
    <t>GeneralPreferencesDefaultRule</t>
  </si>
  <si>
    <t>GeneralPrefCompanyUserWise</t>
  </si>
  <si>
    <t>RenameTradeAttributes</t>
  </si>
  <si>
    <t>SetGroupingRules</t>
  </si>
  <si>
    <t>SetMasterFundRatio</t>
  </si>
  <si>
    <t>CheckFixedPreference</t>
  </si>
  <si>
    <t>GetFixedPreference</t>
  </si>
  <si>
    <t>BulkChangeCalculatedPreferences</t>
  </si>
  <si>
    <t>DeleteCalculatedPreferences</t>
  </si>
  <si>
    <t>RenameCalculatedPreferences</t>
  </si>
  <si>
    <t>CopyCalculatedPreferences</t>
  </si>
  <si>
    <t>RunAutoGroup</t>
  </si>
  <si>
    <t>BookOrUpdateSwap</t>
  </si>
  <si>
    <t>RunProrata</t>
  </si>
  <si>
    <t>TradeAttributeBulkChangeGroups</t>
  </si>
  <si>
    <t>TradeAttributeBulkChangeTaxlots</t>
  </si>
  <si>
    <t>AddCalculatedPreferenceToolbar</t>
  </si>
  <si>
    <t>SetStrategyValueCalculatedPref</t>
  </si>
  <si>
    <t>ApplyBulkUpdateOnTaxlots</t>
  </si>
  <si>
    <t>CommissionBulkChangeOnGroups</t>
  </si>
  <si>
    <t>CommissionBulkChangeOnTaxlots</t>
  </si>
  <si>
    <t>SelectUnallocatedGroup</t>
  </si>
  <si>
    <t>EnterAccountValuesToAllocate</t>
  </si>
  <si>
    <t>EnterAllocatePreference</t>
  </si>
  <si>
    <t>EnterStrategyValuesToAllocate</t>
  </si>
  <si>
    <t>CopyCalculatedPreferenceToolbar</t>
  </si>
  <si>
    <t>SetGeneralRuleCalculatedPref</t>
  </si>
  <si>
    <t>ExportAllCalculatedPreferences</t>
  </si>
  <si>
    <t>SaveCalculatedPreferences</t>
  </si>
  <si>
    <t>CloseCalculatedPreferences</t>
  </si>
  <si>
    <t>ExportCalculatedPreference</t>
  </si>
  <si>
    <t>ImportCalculatedPreferences</t>
  </si>
  <si>
    <t>OpenAuditTrailUnallocatedGroup</t>
  </si>
  <si>
    <t>DeleteCalculatedPreferencesTool</t>
  </si>
  <si>
    <t>ImportCalculatedPreferencesTool</t>
  </si>
  <si>
    <t>ExportAllCalculatedPreferTool</t>
  </si>
  <si>
    <t>OpenAuditTrailAllocatedGroup</t>
  </si>
  <si>
    <t>OpenSymbolLookupUnallocateGroup</t>
  </si>
  <si>
    <t>OpenSymbolLookupAllocatedGroup</t>
  </si>
  <si>
    <t>DeleteFixedPreference</t>
  </si>
  <si>
    <t>EditAllocatedGroupSidePanel</t>
  </si>
  <si>
    <t>CheckUnallocatedGroups</t>
  </si>
  <si>
    <t>SetGeneralPreferences</t>
  </si>
  <si>
    <t>GroupTrades</t>
  </si>
  <si>
    <t>UngroupTrades</t>
  </si>
  <si>
    <t>DeleteGroup</t>
  </si>
  <si>
    <t>CloseOrder</t>
  </si>
  <si>
    <t>Unallocate</t>
  </si>
  <si>
    <t>CloseAllocation</t>
  </si>
  <si>
    <t>UpdateGRAccountValue</t>
  </si>
  <si>
    <t>UpdateGRStrategyValue</t>
  </si>
  <si>
    <t>UpdateGRDefaultRule</t>
  </si>
  <si>
    <t>UpdateGeneralRulePref</t>
  </si>
  <si>
    <t>ModifyGRPreferenceValues</t>
  </si>
  <si>
    <t>AddMFPreferences</t>
  </si>
  <si>
    <t>AddMFPreferenceToolbar</t>
  </si>
  <si>
    <t>DeleteMFPreferences</t>
  </si>
  <si>
    <t>DeleteMFPreferenceToolbar</t>
  </si>
  <si>
    <t>RenameMFPreferences</t>
  </si>
  <si>
    <t>SaveCloseMFPreference</t>
  </si>
  <si>
    <t>SetMFPrefAccountValues</t>
  </si>
  <si>
    <t>ModifyMFPrefGeneralRuleValues</t>
  </si>
  <si>
    <t>SetMFPrefStrategyValues</t>
  </si>
  <si>
    <t>SetMFPrefGeneralRule</t>
  </si>
  <si>
    <t>SetMFPrefFundDistribution</t>
  </si>
  <si>
    <t>SetMFPreferencesDefaultRule</t>
  </si>
  <si>
    <t>SetMFPrefFundDefaultRule</t>
  </si>
  <si>
    <t>ClearPrefetchFilters</t>
  </si>
  <si>
    <t>ExpandCollapseAllUnallocated</t>
  </si>
  <si>
    <t>ExpandCollapseAllAllocated</t>
  </si>
  <si>
    <t>GenerateCashTransaction</t>
  </si>
  <si>
    <t>SaveAllocation</t>
  </si>
  <si>
    <t>UnallocateWithOutSave</t>
  </si>
  <si>
    <t>EditUnallocatedGrid</t>
  </si>
  <si>
    <t>EditAllocatedGrid</t>
  </si>
  <si>
    <t>SaveLayoutAllocatedGrid</t>
  </si>
  <si>
    <t>SaveLayoutUnallocatedGrid</t>
  </si>
  <si>
    <t>SaveLayoutAllocationUI</t>
  </si>
  <si>
    <t>ClearFiltersAllocatedGrid</t>
  </si>
  <si>
    <t>ClearFiltersUnallocatedGrid</t>
  </si>
  <si>
    <t>VerifyLayoutAllocatedGrid</t>
  </si>
  <si>
    <t>VerifyLayoutUnallocatedGrid</t>
  </si>
  <si>
    <t>CleanUp</t>
  </si>
  <si>
    <t>CheckAllocatedTaxlots</t>
  </si>
  <si>
    <t>DisableChecksideForAsset</t>
  </si>
  <si>
    <t>DisableChecksideForAccount</t>
  </si>
  <si>
    <t>DisableChecksideForCounterParty</t>
  </si>
  <si>
    <t>DisableCheckside</t>
  </si>
  <si>
    <t>ApplyMasterFundFilter</t>
  </si>
  <si>
    <t>ShowMasterFundOnTT</t>
  </si>
  <si>
    <t>ShowMasterFundAsClient</t>
  </si>
  <si>
    <t>SetBrokerAccountMapping</t>
  </si>
  <si>
    <t>EditUnallocatedGridWPF</t>
  </si>
  <si>
    <t>EditAllocatedGridWPF</t>
  </si>
  <si>
    <t>EditAllocatedGridTaxlot</t>
  </si>
  <si>
    <t>ExpandCollapseAllocatedGrid</t>
  </si>
  <si>
    <t>ExpandCollapseUnallocatedGrid</t>
  </si>
  <si>
    <t>SetTradeAttributePreferences</t>
  </si>
  <si>
    <t>EnterCustomAllocatePreference</t>
  </si>
  <si>
    <t>SetAutoGroupingPreferences</t>
  </si>
  <si>
    <t>SetAutoGroupingAccount</t>
  </si>
  <si>
    <t>SetAvgPriceRounding</t>
  </si>
  <si>
    <t>IsAllocationOpen</t>
  </si>
  <si>
    <t>AllocationAuditTrail</t>
  </si>
  <si>
    <t>GetAuditTrailData</t>
  </si>
  <si>
    <t>CheckAuditTrailData</t>
  </si>
  <si>
    <t>DeleteGroupWithOutSave</t>
  </si>
  <si>
    <t>CheckPreferences</t>
  </si>
  <si>
    <t>AllocateWithPopUp</t>
  </si>
  <si>
    <t>SelectAllRowsAllocated</t>
  </si>
  <si>
    <t>VerifyAllocationNavLockPopup</t>
  </si>
  <si>
    <t>ReviewExistingPositions</t>
  </si>
  <si>
    <t>AllocationMethod</t>
  </si>
  <si>
    <t>RemainderAllocationTo</t>
  </si>
  <si>
    <t>Target%AsOf</t>
  </si>
  <si>
    <t>ProrataAccounts</t>
  </si>
  <si>
    <t>DateUptoDays</t>
  </si>
  <si>
    <t>MatchClosingTransactions</t>
  </si>
  <si>
    <t>PreferenceName</t>
  </si>
  <si>
    <t>Trade Quantity</t>
  </si>
  <si>
    <t>Current 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</si>
</sst>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2" fillId="2" fontId="1" numFmtId="0" xfId="0" applyAlignment="1" applyBorder="1" applyFont="1">
      <alignment horizontal="center" shrinkToFit="0" wrapText="0"/>
    </xf>
    <xf borderId="3" fillId="2" fontId="1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 shrinkToFit="0" wrapText="0"/>
    </xf>
    <xf borderId="0" fillId="4" fontId="11" numFmtId="0" xfId="0" applyAlignment="1" applyFont="1">
      <alignment readingOrder="0" shrinkToFit="0" wrapText="0"/>
    </xf>
    <xf borderId="0" fillId="4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1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1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IFERROR(__xludf.DUMMYFUNCTION("""COMPUTED_VALUE"""),"Account")</f>
        <v>Account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IFERROR(__xludf.DUMMYFUNCTION("""COMPUTED_VALUE"""),"INFORMATIONRELATEDPOPUP_YESORNO")</f>
        <v>INFORMATIONRELATEDPOPUP_YESORNO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12" t="s">
        <v>24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BulkChangeCreateStageOrder!$4:$4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IFERROR(__xludf.DUMMYFUNCTION("""COMPUTED_VALUE"""),"Allocated Quantity")</f>
        <v>Allocated Quantity</v>
      </c>
      <c r="D5" s="27" t="str">
        <f>IFERROR(__xludf.DUMMYFUNCTION("""COMPUTED_VALUE"""),"Allocation %")</f>
        <v>Allocation %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>
        <v>50.0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29</v>
      </c>
      <c r="C7" s="12">
        <v>50.0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VerifyViewAllocationOrder!$4:$4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 t="str">
        <f>IFERROR(__xludf.DUMMYFUNCTION("""COMPUTED_VALUE"""),"VerifyImportNavLockPopup")</f>
        <v>VerifyImportNavLockPopup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IFERROR(__xludf.DUMMYFUNCTION("""COMPUTED_VALUE"""),"Select Date")</f>
        <v>Select Date</v>
      </c>
      <c r="D5" s="27" t="str">
        <f>IFERROR(__xludf.DUMMYFUNCTION("""COMPUTED_VALUE"""),"Date")</f>
        <v>Date</v>
      </c>
      <c r="E5" s="27" t="str">
        <f>IFERROR(__xludf.DUMMYFUNCTION("""COMPUTED_VALUE"""),"Select File")</f>
        <v>Select File</v>
      </c>
      <c r="F5" s="28" t="str">
        <f>IFERROR(__xludf.DUMMYFUNCTION("""COMPUTED_VALUE"""),"Upload ThirdParty")</f>
        <v>Upload ThirdParty</v>
      </c>
      <c r="G5" s="27" t="str">
        <f>IFERROR(__xludf.DUMMYFUNCTION("""COMPUTED_VALUE"""),"Import Type")</f>
        <v>Import Type</v>
      </c>
      <c r="H5" s="27" t="str">
        <f>IFERROR(__xludf.DUMMYFUNCTION("""COMPUTED_VALUE"""),"Import Type Format Name")</f>
        <v>Import Type Format 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1" t="b">
        <v>0</v>
      </c>
      <c r="D6" s="32"/>
      <c r="E6" s="33" t="s">
        <v>31</v>
      </c>
      <c r="F6" s="34" t="s">
        <v>32</v>
      </c>
      <c r="G6" s="34" t="s">
        <v>33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 t="str">
        <f>IFERROR(__xludf.DUMMYFUNCTION("""COMPUTED_VALUE"""),"VerifyImportNavLockPopup")</f>
        <v>VerifyImportNavLockPopup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 Type")</f>
        <v>Import Type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33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35</v>
      </c>
      <c r="E6" s="30"/>
      <c r="F6" s="12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IFERROR(__xludf.DUMMYFUNCTION("""COMPUTED_VALUE"""),"Allocated Quantity")</f>
        <v>Allocated Quantity</v>
      </c>
      <c r="D5" s="27" t="str">
        <f>IFERROR(__xludf.DUMMYFUNCTION("""COMPUTED_VALUE"""),"Allocation %")</f>
        <v>Allocation %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>
        <v>50.0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29</v>
      </c>
      <c r="C7" s="12">
        <v>50.0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12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VerifyViewAllocationOrder1!$4:$4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28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24</v>
      </c>
      <c r="C7" s="12" t="s">
        <v>29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6"/>
      <c r="D1" s="36"/>
      <c r="E1" s="36"/>
      <c r="F1" s="36"/>
      <c r="G1" s="36"/>
      <c r="H1" s="37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38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36</v>
      </c>
      <c r="D3" s="11" t="s">
        <v>9</v>
      </c>
      <c r="E3" s="22" t="s">
        <v>39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39" t="s">
        <v>40</v>
      </c>
      <c r="C4" s="39" t="s">
        <v>41</v>
      </c>
      <c r="D4" s="39" t="s">
        <v>42</v>
      </c>
      <c r="E4" s="39" t="s">
        <v>43</v>
      </c>
      <c r="F4" s="39" t="s">
        <v>44</v>
      </c>
      <c r="G4" s="39" t="s">
        <v>45</v>
      </c>
      <c r="H4" s="39" t="s">
        <v>44</v>
      </c>
      <c r="I4" s="39" t="s">
        <v>46</v>
      </c>
      <c r="J4" s="39" t="s">
        <v>47</v>
      </c>
      <c r="K4" s="39" t="s">
        <v>48</v>
      </c>
      <c r="L4" s="39" t="s">
        <v>49</v>
      </c>
      <c r="M4" s="39" t="s">
        <v>50</v>
      </c>
      <c r="N4" s="39" t="s">
        <v>51</v>
      </c>
      <c r="O4" s="39" t="s">
        <v>52</v>
      </c>
      <c r="P4" s="40" t="s">
        <v>53</v>
      </c>
      <c r="Q4" s="40" t="s">
        <v>54</v>
      </c>
      <c r="R4" s="40" t="s">
        <v>55</v>
      </c>
      <c r="S4" s="40" t="s">
        <v>56</v>
      </c>
      <c r="T4" s="40" t="s">
        <v>57</v>
      </c>
      <c r="U4" s="40" t="s">
        <v>37</v>
      </c>
      <c r="V4" s="40" t="s">
        <v>58</v>
      </c>
      <c r="W4" s="40" t="s">
        <v>59</v>
      </c>
      <c r="X4" s="40" t="s">
        <v>60</v>
      </c>
      <c r="Y4" s="40" t="s">
        <v>61</v>
      </c>
      <c r="Z4" s="40" t="s">
        <v>62</v>
      </c>
      <c r="AA4" s="40" t="s">
        <v>63</v>
      </c>
      <c r="AB4" s="40" t="s">
        <v>64</v>
      </c>
      <c r="AC4" s="40" t="s">
        <v>39</v>
      </c>
      <c r="AD4" s="40" t="s">
        <v>38</v>
      </c>
      <c r="AE4" s="40" t="s">
        <v>65</v>
      </c>
      <c r="AF4" s="40" t="s">
        <v>66</v>
      </c>
      <c r="AG4" s="40" t="s">
        <v>67</v>
      </c>
      <c r="AH4" s="40" t="s">
        <v>68</v>
      </c>
      <c r="AI4" s="40" t="s">
        <v>69</v>
      </c>
      <c r="AJ4" s="40" t="s">
        <v>70</v>
      </c>
      <c r="AK4" s="40" t="s">
        <v>71</v>
      </c>
      <c r="AL4" s="40" t="s">
        <v>72</v>
      </c>
      <c r="AM4" s="40" t="s">
        <v>73</v>
      </c>
      <c r="AN4" s="40" t="s">
        <v>74</v>
      </c>
      <c r="AO4" s="40" t="s">
        <v>75</v>
      </c>
      <c r="AP4" s="40" t="s">
        <v>76</v>
      </c>
      <c r="AQ4" s="40" t="s">
        <v>77</v>
      </c>
      <c r="AR4" s="40" t="s">
        <v>78</v>
      </c>
      <c r="AS4" s="40" t="s">
        <v>79</v>
      </c>
      <c r="AT4" s="40" t="s">
        <v>80</v>
      </c>
      <c r="AU4" s="40" t="s">
        <v>81</v>
      </c>
      <c r="AV4" s="40" t="s">
        <v>82</v>
      </c>
      <c r="AW4" s="40" t="s">
        <v>83</v>
      </c>
      <c r="AX4" s="40" t="s">
        <v>84</v>
      </c>
      <c r="AY4" s="40" t="s">
        <v>85</v>
      </c>
      <c r="AZ4" s="40" t="s">
        <v>86</v>
      </c>
      <c r="BA4" s="40" t="s">
        <v>87</v>
      </c>
      <c r="BB4" s="40" t="s">
        <v>88</v>
      </c>
      <c r="BC4" s="40" t="s">
        <v>89</v>
      </c>
      <c r="BD4" s="40" t="s">
        <v>90</v>
      </c>
      <c r="BE4" s="40" t="s">
        <v>91</v>
      </c>
      <c r="BF4" s="40" t="s">
        <v>92</v>
      </c>
      <c r="BG4" s="40" t="s">
        <v>93</v>
      </c>
      <c r="BH4" s="40" t="s">
        <v>94</v>
      </c>
      <c r="BI4" s="40" t="s">
        <v>95</v>
      </c>
      <c r="BJ4" s="40" t="s">
        <v>96</v>
      </c>
      <c r="BK4" s="40" t="s">
        <v>97</v>
      </c>
      <c r="BL4" s="40" t="s">
        <v>98</v>
      </c>
      <c r="BM4" s="40" t="s">
        <v>99</v>
      </c>
      <c r="BN4" s="40" t="s">
        <v>100</v>
      </c>
      <c r="BO4" s="40" t="s">
        <v>101</v>
      </c>
      <c r="BP4" s="40" t="s">
        <v>102</v>
      </c>
      <c r="BQ4" s="40" t="s">
        <v>103</v>
      </c>
      <c r="BR4" s="40" t="s">
        <v>104</v>
      </c>
      <c r="BS4" s="40" t="s">
        <v>105</v>
      </c>
      <c r="BT4" s="40" t="s">
        <v>106</v>
      </c>
      <c r="BU4" s="40" t="s">
        <v>107</v>
      </c>
      <c r="BV4" s="40" t="s">
        <v>108</v>
      </c>
      <c r="BW4" s="40" t="s">
        <v>109</v>
      </c>
      <c r="BX4" s="40" t="s">
        <v>110</v>
      </c>
      <c r="BY4" s="40" t="s">
        <v>111</v>
      </c>
      <c r="BZ4" s="40" t="s">
        <v>112</v>
      </c>
      <c r="CA4" s="40" t="s">
        <v>113</v>
      </c>
      <c r="CB4" s="40" t="s">
        <v>114</v>
      </c>
      <c r="CC4" s="40" t="s">
        <v>115</v>
      </c>
      <c r="CD4" s="40" t="s">
        <v>116</v>
      </c>
      <c r="CE4" s="40" t="s">
        <v>117</v>
      </c>
      <c r="CF4" s="40" t="s">
        <v>118</v>
      </c>
      <c r="CG4" s="40" t="s">
        <v>119</v>
      </c>
      <c r="CH4" s="40" t="s">
        <v>120</v>
      </c>
      <c r="CI4" s="40" t="s">
        <v>121</v>
      </c>
      <c r="CJ4" s="40" t="s">
        <v>122</v>
      </c>
      <c r="CK4" s="40" t="s">
        <v>123</v>
      </c>
      <c r="CL4" s="40" t="s">
        <v>124</v>
      </c>
      <c r="CM4" s="40" t="s">
        <v>125</v>
      </c>
      <c r="CN4" s="40" t="s">
        <v>126</v>
      </c>
      <c r="CO4" s="40" t="s">
        <v>127</v>
      </c>
      <c r="CP4" s="40" t="s">
        <v>128</v>
      </c>
      <c r="CQ4" s="40" t="s">
        <v>129</v>
      </c>
      <c r="CR4" s="40" t="s">
        <v>130</v>
      </c>
      <c r="CS4" s="40" t="s">
        <v>131</v>
      </c>
      <c r="CT4" s="40" t="s">
        <v>132</v>
      </c>
      <c r="CU4" s="40" t="s">
        <v>133</v>
      </c>
      <c r="CV4" s="40" t="s">
        <v>134</v>
      </c>
      <c r="CW4" s="40" t="s">
        <v>135</v>
      </c>
      <c r="CX4" s="40" t="s">
        <v>136</v>
      </c>
      <c r="CY4" s="40" t="s">
        <v>137</v>
      </c>
      <c r="CZ4" s="40" t="s">
        <v>138</v>
      </c>
      <c r="DA4" s="40" t="s">
        <v>139</v>
      </c>
      <c r="DB4" s="40" t="s">
        <v>140</v>
      </c>
      <c r="DC4" s="40" t="s">
        <v>141</v>
      </c>
      <c r="DD4" s="40" t="s">
        <v>142</v>
      </c>
      <c r="DE4" s="40" t="s">
        <v>143</v>
      </c>
      <c r="DF4" s="40" t="s">
        <v>144</v>
      </c>
      <c r="DG4" s="40" t="s">
        <v>145</v>
      </c>
      <c r="DH4" s="40" t="s">
        <v>146</v>
      </c>
      <c r="DI4" s="40" t="s">
        <v>147</v>
      </c>
      <c r="DJ4" s="40" t="s">
        <v>148</v>
      </c>
      <c r="DK4" s="40" t="s">
        <v>149</v>
      </c>
      <c r="DL4" s="40" t="s">
        <v>150</v>
      </c>
      <c r="DM4" s="40" t="s">
        <v>151</v>
      </c>
      <c r="DN4" s="40" t="s">
        <v>152</v>
      </c>
      <c r="DO4" s="40" t="s">
        <v>153</v>
      </c>
      <c r="DP4" s="40" t="s">
        <v>154</v>
      </c>
      <c r="DQ4" s="40" t="s">
        <v>155</v>
      </c>
      <c r="DR4" s="40" t="s">
        <v>156</v>
      </c>
      <c r="DS4" s="40" t="s">
        <v>157</v>
      </c>
      <c r="DT4" s="40" t="s">
        <v>158</v>
      </c>
      <c r="DU4" s="40" t="s">
        <v>159</v>
      </c>
      <c r="DV4" s="40" t="s">
        <v>160</v>
      </c>
      <c r="DW4" s="40" t="s">
        <v>104</v>
      </c>
      <c r="DX4" s="40" t="s">
        <v>161</v>
      </c>
      <c r="DY4" s="40" t="s">
        <v>162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163</v>
      </c>
      <c r="C5" s="28" t="s">
        <v>164</v>
      </c>
      <c r="D5" s="28" t="s">
        <v>165</v>
      </c>
      <c r="E5" s="28" t="s">
        <v>166</v>
      </c>
      <c r="F5" s="28" t="s">
        <v>167</v>
      </c>
      <c r="G5" s="28" t="s">
        <v>168</v>
      </c>
      <c r="H5" s="28" t="s">
        <v>169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170</v>
      </c>
      <c r="C6" s="12"/>
      <c r="D6" s="12" t="s">
        <v>171</v>
      </c>
      <c r="E6" s="30"/>
      <c r="F6" s="8"/>
      <c r="G6" s="12" t="b">
        <v>0</v>
      </c>
      <c r="H6" s="12" t="s">
        <v>24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