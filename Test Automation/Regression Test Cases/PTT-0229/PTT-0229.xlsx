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CalculatePTT" sheetId="11" r:id="rId13"/>
    <sheet state="visible" name="VerifyPTT" sheetId="12" r:id="rId14"/>
    <sheet state="visible" name="EditPTTRecordAndExecuteOrder" sheetId="13" r:id="rId15"/>
    <sheet state="visible" name="VerifyPTT1" sheetId="14" r:id="rId16"/>
    <sheet state="visible" name="CalculatePTT1" sheetId="15" r:id="rId17"/>
    <sheet state="visible" name="VerifyPTT2" sheetId="16" r:id="rId18"/>
    <sheet state="visible" name="EditPTTRecordAndExecuteOrder1" sheetId="17" r:id="rId19"/>
    <sheet state="visible" name="VerifyPTT3" sheetId="18" r:id="rId20"/>
    <sheet state="visible" name="CalculatePTT2" sheetId="19" r:id="rId21"/>
    <sheet state="visible" name="VerifyPTT4" sheetId="20" r:id="rId22"/>
    <sheet state="visible" name="EditPTTRecordAndExecuteOrder2" sheetId="21" r:id="rId23"/>
    <sheet state="visible" name="VerifyPTT5" sheetId="22" r:id="rId24"/>
    <sheet state="visible" name="CalculatePTT3" sheetId="23" r:id="rId25"/>
    <sheet state="visible" name="VerifyPTT6" sheetId="24" r:id="rId26"/>
    <sheet state="visible" name="EditPTTRecordAndExecuteOrder3" sheetId="25" r:id="rId27"/>
    <sheet state="visible" name="VerifyPTT7" sheetId="26" r:id="rId28"/>
    <sheet state="visible" name="CalculatePTT4" sheetId="27" r:id="rId29"/>
    <sheet state="visible" name="VerifyPTT8" sheetId="28" r:id="rId30"/>
    <sheet state="visible" name="EditPTTRecordAndExecuteOrder4" sheetId="29" r:id="rId31"/>
    <sheet state="visible" name="VerifyPTT9" sheetId="30" r:id="rId32"/>
    <sheet state="visible" name="CalculatePTT5" sheetId="31" r:id="rId33"/>
    <sheet state="visible" name="VerifyPTT10" sheetId="32" r:id="rId34"/>
    <sheet state="visible" name="EditPTTRecordAndExecuteOrder5" sheetId="33" r:id="rId35"/>
    <sheet state="visible" name="VerifyPTT11" sheetId="34" r:id="rId36"/>
  </sheets>
  <definedNames/>
  <calcPr/>
</workbook>
</file>

<file path=xl/sharedStrings.xml><?xml version="1.0" encoding="utf-8"?>
<sst xmlns="http://schemas.openxmlformats.org/spreadsheetml/2006/main" count="423" uniqueCount="55">
  <si>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</si>
  <si>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</si>
  <si>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</si>
  <si>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</si>
  <si>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</si>
  <si>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</si>
  <si>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</si>
  <si>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</si>
  <si>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</si>
  <si>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</si>
  <si>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</si>
  <si>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</si>
  <si>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</si>
  <si>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</si>
  <si>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</si>
  <si>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</si>
  <si>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</si>
  <si>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</si>
  <si>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</si>
  <si>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</si>
  <si>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TradingTicket</t>
  </si>
  <si>
    <t>CreateDoneAwayOrder</t>
  </si>
  <si>
    <t>Buy</t>
  </si>
  <si>
    <t>Allocation1</t>
  </si>
  <si>
    <t>MS</t>
  </si>
  <si>
    <t>Day</t>
  </si>
  <si>
    <t>Market</t>
  </si>
  <si>
    <t>O:AAPL 13N715.00</t>
  </si>
  <si>
    <t>Buy to Open</t>
  </si>
  <si>
    <t>ND H9</t>
  </si>
  <si>
    <t>Allocation2</t>
  </si>
  <si>
    <t>PricingInput</t>
  </si>
  <si>
    <t>DailyValuation</t>
  </si>
  <si>
    <t>GetDailyCash</t>
  </si>
  <si>
    <t>UpdateMultipleDailyCash</t>
  </si>
  <si>
    <t>USD</t>
  </si>
  <si>
    <t>GetForexConversion</t>
  </si>
  <si>
    <t>UpdateForexConversion</t>
  </si>
  <si>
    <t>CAD</t>
  </si>
  <si>
    <t>CAD A0-FX</t>
  </si>
  <si>
    <t>PTT</t>
  </si>
  <si>
    <t>CalculatePTT</t>
  </si>
  <si>
    <t>Increase</t>
  </si>
  <si>
    <t>Percentage</t>
  </si>
  <si>
    <t>No</t>
  </si>
  <si>
    <t>Account</t>
  </si>
  <si>
    <t>Allocation1,Allocation2</t>
  </si>
  <si>
    <t>Yes</t>
  </si>
  <si>
    <t>VerifyPTT</t>
  </si>
  <si>
    <t>EditPTTRecordAndExecuteOrder</t>
  </si>
  <si>
    <t>SELECT</t>
  </si>
  <si>
    <t>EDIT</t>
  </si>
  <si>
    <t>Decrease</t>
  </si>
  <si>
    <t>Sell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</si>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</sst>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40.0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22</v>
      </c>
      <c r="D6" s="13">
        <v>1000.0</v>
      </c>
      <c r="E6" s="13">
        <v>1000.0</v>
      </c>
      <c r="F6" s="13" t="s">
        <v>23</v>
      </c>
      <c r="G6" s="13" t="s">
        <v>24</v>
      </c>
      <c r="H6" s="13" t="s">
        <v>25</v>
      </c>
      <c r="I6" s="13" t="s">
        <v>26</v>
      </c>
      <c r="J6" s="13">
        <v>2.0</v>
      </c>
      <c r="K6" s="8"/>
      <c r="L6" s="8"/>
      <c r="M6" s="8"/>
      <c r="N6" s="34">
        <f t="shared" ref="N6:N17" si="1">today()</f>
        <v>45204</v>
      </c>
      <c r="O6" s="8"/>
    </row>
    <row r="7" ht="15.75" customHeight="1">
      <c r="A7" s="8"/>
      <c r="B7" s="31" t="s">
        <v>17</v>
      </c>
      <c r="C7" s="13" t="s">
        <v>22</v>
      </c>
      <c r="D7" s="13">
        <v>1550.0</v>
      </c>
      <c r="E7" s="13">
        <v>1550.0</v>
      </c>
      <c r="F7" s="13" t="s">
        <v>23</v>
      </c>
      <c r="G7" s="13" t="s">
        <v>24</v>
      </c>
      <c r="H7" s="13" t="s">
        <v>25</v>
      </c>
      <c r="I7" s="13" t="s">
        <v>26</v>
      </c>
      <c r="J7" s="13">
        <v>2.0</v>
      </c>
      <c r="K7" s="8"/>
      <c r="L7" s="8"/>
      <c r="M7" s="8"/>
      <c r="N7" s="34">
        <f t="shared" si="1"/>
        <v>45204</v>
      </c>
      <c r="O7" s="8"/>
    </row>
    <row r="8" ht="15.75" customHeight="1">
      <c r="A8" s="8"/>
      <c r="B8" s="33" t="s">
        <v>18</v>
      </c>
      <c r="C8" s="13" t="s">
        <v>22</v>
      </c>
      <c r="D8" s="13">
        <v>250.0</v>
      </c>
      <c r="E8" s="13">
        <v>250.0</v>
      </c>
      <c r="F8" s="13" t="s">
        <v>23</v>
      </c>
      <c r="G8" s="13" t="s">
        <v>24</v>
      </c>
      <c r="H8" s="13" t="s">
        <v>25</v>
      </c>
      <c r="I8" s="13" t="s">
        <v>26</v>
      </c>
      <c r="J8" s="13">
        <v>2.0</v>
      </c>
      <c r="K8" s="8"/>
      <c r="L8" s="8"/>
      <c r="M8" s="8"/>
      <c r="N8" s="34">
        <f t="shared" si="1"/>
        <v>45204</v>
      </c>
      <c r="O8" s="8"/>
    </row>
    <row r="9" ht="15.75" customHeight="1">
      <c r="A9" s="8"/>
      <c r="B9" s="31" t="s">
        <v>27</v>
      </c>
      <c r="C9" s="13" t="s">
        <v>28</v>
      </c>
      <c r="D9" s="13">
        <v>80.0</v>
      </c>
      <c r="E9" s="13">
        <v>80.0</v>
      </c>
      <c r="F9" s="13" t="s">
        <v>23</v>
      </c>
      <c r="G9" s="13" t="s">
        <v>24</v>
      </c>
      <c r="H9" s="13" t="s">
        <v>25</v>
      </c>
      <c r="I9" s="13" t="s">
        <v>26</v>
      </c>
      <c r="J9" s="13">
        <v>2.0</v>
      </c>
      <c r="K9" s="8"/>
      <c r="L9" s="8"/>
      <c r="M9" s="8"/>
      <c r="N9" s="34">
        <f t="shared" si="1"/>
        <v>45204</v>
      </c>
      <c r="O9" s="8"/>
    </row>
    <row r="10" ht="15.75" customHeight="1">
      <c r="A10" s="8"/>
      <c r="B10" s="31">
        <v>1.23456789E8</v>
      </c>
      <c r="C10" s="13" t="s">
        <v>22</v>
      </c>
      <c r="D10" s="13">
        <v>2750.0</v>
      </c>
      <c r="E10" s="13">
        <v>2750.0</v>
      </c>
      <c r="F10" s="13" t="s">
        <v>23</v>
      </c>
      <c r="G10" s="13" t="s">
        <v>24</v>
      </c>
      <c r="H10" s="13" t="s">
        <v>25</v>
      </c>
      <c r="I10" s="13" t="s">
        <v>26</v>
      </c>
      <c r="J10" s="13">
        <v>2.0</v>
      </c>
      <c r="K10" s="8"/>
      <c r="L10" s="8"/>
      <c r="M10" s="8"/>
      <c r="N10" s="34">
        <f t="shared" si="1"/>
        <v>45204</v>
      </c>
      <c r="O10" s="8"/>
    </row>
    <row r="11" ht="15.75" customHeight="1">
      <c r="A11" s="13"/>
      <c r="B11" s="31" t="s">
        <v>29</v>
      </c>
      <c r="C11" s="13" t="s">
        <v>22</v>
      </c>
      <c r="D11" s="13">
        <v>465.0</v>
      </c>
      <c r="E11" s="13">
        <v>465.0</v>
      </c>
      <c r="F11" s="13" t="s">
        <v>23</v>
      </c>
      <c r="G11" s="13" t="s">
        <v>24</v>
      </c>
      <c r="H11" s="13" t="s">
        <v>25</v>
      </c>
      <c r="I11" s="13" t="s">
        <v>26</v>
      </c>
      <c r="J11" s="13">
        <v>2.0</v>
      </c>
      <c r="K11" s="8"/>
      <c r="L11" s="8"/>
      <c r="M11" s="8"/>
      <c r="N11" s="34">
        <f t="shared" si="1"/>
        <v>45204</v>
      </c>
      <c r="O11" s="8"/>
    </row>
    <row r="12" ht="15.75" customHeight="1">
      <c r="A12" s="8"/>
      <c r="B12" s="31" t="s">
        <v>16</v>
      </c>
      <c r="C12" s="13" t="s">
        <v>22</v>
      </c>
      <c r="D12" s="13">
        <v>1000.0</v>
      </c>
      <c r="E12" s="13">
        <v>1000.0</v>
      </c>
      <c r="F12" s="13" t="s">
        <v>30</v>
      </c>
      <c r="G12" s="13" t="s">
        <v>24</v>
      </c>
      <c r="H12" s="13" t="s">
        <v>25</v>
      </c>
      <c r="I12" s="13" t="s">
        <v>26</v>
      </c>
      <c r="J12" s="13">
        <v>2.0</v>
      </c>
      <c r="K12" s="8"/>
      <c r="L12" s="8"/>
      <c r="M12" s="8"/>
      <c r="N12" s="34">
        <f t="shared" si="1"/>
        <v>45204</v>
      </c>
      <c r="O12" s="8"/>
    </row>
    <row r="13" ht="15.75" customHeight="1">
      <c r="A13" s="8"/>
      <c r="B13" s="31" t="s">
        <v>19</v>
      </c>
      <c r="C13" s="13" t="s">
        <v>22</v>
      </c>
      <c r="D13" s="13">
        <v>1550.0</v>
      </c>
      <c r="E13" s="13">
        <v>1550.0</v>
      </c>
      <c r="F13" s="13" t="s">
        <v>30</v>
      </c>
      <c r="G13" s="13" t="s">
        <v>24</v>
      </c>
      <c r="H13" s="13" t="s">
        <v>25</v>
      </c>
      <c r="I13" s="13" t="s">
        <v>26</v>
      </c>
      <c r="J13" s="13">
        <v>2.0</v>
      </c>
      <c r="K13" s="8"/>
      <c r="L13" s="8"/>
      <c r="M13" s="8"/>
      <c r="N13" s="34">
        <f t="shared" si="1"/>
        <v>45204</v>
      </c>
      <c r="O13" s="8"/>
    </row>
    <row r="14" ht="15.75" customHeight="1">
      <c r="A14" s="8"/>
      <c r="B14" s="33" t="s">
        <v>18</v>
      </c>
      <c r="C14" s="13" t="s">
        <v>22</v>
      </c>
      <c r="D14" s="13">
        <v>250.0</v>
      </c>
      <c r="E14" s="13">
        <v>250.0</v>
      </c>
      <c r="F14" s="13" t="s">
        <v>30</v>
      </c>
      <c r="G14" s="13" t="s">
        <v>24</v>
      </c>
      <c r="H14" s="13" t="s">
        <v>25</v>
      </c>
      <c r="I14" s="13" t="s">
        <v>26</v>
      </c>
      <c r="J14" s="13">
        <v>2.0</v>
      </c>
      <c r="K14" s="8"/>
      <c r="L14" s="8"/>
      <c r="M14" s="8"/>
      <c r="N14" s="34">
        <f t="shared" si="1"/>
        <v>45204</v>
      </c>
      <c r="O14" s="8"/>
    </row>
    <row r="15" ht="15.75" customHeight="1">
      <c r="A15" s="8"/>
      <c r="B15" s="31" t="s">
        <v>27</v>
      </c>
      <c r="C15" s="13" t="s">
        <v>28</v>
      </c>
      <c r="D15" s="13">
        <v>80.0</v>
      </c>
      <c r="E15" s="13">
        <v>80.0</v>
      </c>
      <c r="F15" s="13" t="s">
        <v>30</v>
      </c>
      <c r="G15" s="13" t="s">
        <v>24</v>
      </c>
      <c r="H15" s="13" t="s">
        <v>25</v>
      </c>
      <c r="I15" s="13" t="s">
        <v>26</v>
      </c>
      <c r="J15" s="13">
        <v>2.0</v>
      </c>
      <c r="K15" s="8"/>
      <c r="L15" s="8"/>
      <c r="M15" s="8"/>
      <c r="N15" s="34">
        <f t="shared" si="1"/>
        <v>45204</v>
      </c>
      <c r="O15" s="8"/>
    </row>
    <row r="16" ht="15.75" customHeight="1">
      <c r="A16" s="8"/>
      <c r="B16" s="31">
        <v>1.23456789E8</v>
      </c>
      <c r="C16" s="13" t="s">
        <v>22</v>
      </c>
      <c r="D16" s="13">
        <v>2750.0</v>
      </c>
      <c r="E16" s="13">
        <v>2750.0</v>
      </c>
      <c r="F16" s="13" t="s">
        <v>30</v>
      </c>
      <c r="G16" s="13" t="s">
        <v>24</v>
      </c>
      <c r="H16" s="13" t="s">
        <v>25</v>
      </c>
      <c r="I16" s="13" t="s">
        <v>26</v>
      </c>
      <c r="J16" s="13">
        <v>2.0</v>
      </c>
      <c r="K16" s="8"/>
      <c r="L16" s="8"/>
      <c r="M16" s="8"/>
      <c r="N16" s="34">
        <f t="shared" si="1"/>
        <v>45204</v>
      </c>
      <c r="O16" s="8"/>
    </row>
    <row r="17" ht="15.75" customHeight="1">
      <c r="A17" s="8"/>
      <c r="B17" s="31" t="s">
        <v>29</v>
      </c>
      <c r="C17" s="13" t="s">
        <v>22</v>
      </c>
      <c r="D17" s="13">
        <v>465.0</v>
      </c>
      <c r="E17" s="13">
        <v>465.0</v>
      </c>
      <c r="F17" s="13" t="s">
        <v>30</v>
      </c>
      <c r="G17" s="13" t="s">
        <v>24</v>
      </c>
      <c r="H17" s="13" t="s">
        <v>25</v>
      </c>
      <c r="I17" s="13" t="s">
        <v>26</v>
      </c>
      <c r="J17" s="13">
        <v>2.0</v>
      </c>
      <c r="K17" s="8"/>
      <c r="L17" s="8"/>
      <c r="M17" s="8"/>
      <c r="N17" s="34">
        <f t="shared" si="1"/>
        <v>45204</v>
      </c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85.0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13">
        <v>123.0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67.0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27</v>
      </c>
      <c r="C9" s="13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>
        <v>1.23456789E8</v>
      </c>
      <c r="C10" s="13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29</v>
      </c>
      <c r="C11" s="1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19</v>
      </c>
      <c r="C12" s="13">
        <v>127.0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45203</v>
      </c>
      <c r="C6" s="34">
        <f>today()</f>
        <v>45204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35</v>
      </c>
      <c r="D6" s="13">
        <v>2.07889652E8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35</v>
      </c>
      <c r="D7" s="13">
        <v>2.07961602E8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</f>
        <v>45204</v>
      </c>
      <c r="C6" s="34">
        <f t="shared" si="1"/>
        <v>45204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35</v>
      </c>
      <c r="C6" s="36" t="s">
        <v>38</v>
      </c>
      <c r="D6" s="36" t="s">
        <v>39</v>
      </c>
      <c r="E6" s="37">
        <v>1.25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42</v>
      </c>
      <c r="D6" s="13" t="s">
        <v>43</v>
      </c>
      <c r="E6" s="13">
        <v>10.0</v>
      </c>
      <c r="F6" s="8"/>
      <c r="G6" s="13" t="s">
        <v>44</v>
      </c>
      <c r="H6" s="13" t="s">
        <v>45</v>
      </c>
      <c r="I6" s="13" t="s">
        <v>46</v>
      </c>
      <c r="J6" s="8"/>
      <c r="K6" s="13" t="s">
        <v>47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1000.0</v>
      </c>
      <c r="E6" s="39">
        <v>85000.0</v>
      </c>
      <c r="F6" s="8"/>
      <c r="G6" s="8"/>
      <c r="H6" s="8"/>
      <c r="I6" s="39">
        <v>245640.0</v>
      </c>
      <c r="J6" s="39">
        <v>246640.0</v>
      </c>
      <c r="K6" s="39">
        <v>2.09644E7</v>
      </c>
      <c r="L6" s="39"/>
      <c r="M6" s="39">
        <v>1.0</v>
      </c>
      <c r="N6" s="8"/>
      <c r="O6" s="8"/>
      <c r="R6" s="38" t="s">
        <v>22</v>
      </c>
    </row>
    <row r="7" ht="15.75" customHeight="1">
      <c r="A7" s="8"/>
      <c r="B7" s="38" t="s">
        <v>30</v>
      </c>
      <c r="C7" s="39">
        <v>2.08905087E8</v>
      </c>
      <c r="D7" s="39">
        <v>1000.0</v>
      </c>
      <c r="E7" s="39">
        <v>85000.0</v>
      </c>
      <c r="F7" s="8"/>
      <c r="G7" s="8"/>
      <c r="H7" s="8"/>
      <c r="I7" s="39">
        <v>245760.0</v>
      </c>
      <c r="J7" s="39">
        <v>246760.0</v>
      </c>
      <c r="K7" s="39">
        <v>2.09746E7</v>
      </c>
      <c r="L7" s="39"/>
      <c r="M7" s="39">
        <v>1.0</v>
      </c>
      <c r="N7" s="8"/>
      <c r="O7" s="8"/>
      <c r="R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50</v>
      </c>
    </row>
    <row r="7" ht="15.75" customHeight="1">
      <c r="A7" s="8"/>
      <c r="B7" s="8"/>
      <c r="C7" s="8"/>
      <c r="D7" s="8"/>
      <c r="E7" s="8"/>
      <c r="F7" s="8"/>
      <c r="G7" s="13">
        <v>5.0</v>
      </c>
      <c r="H7" s="8"/>
      <c r="I7" s="8"/>
      <c r="J7" s="8"/>
      <c r="K7" s="8"/>
      <c r="L7" s="8"/>
      <c r="M7" s="8"/>
      <c r="N7" s="8"/>
      <c r="O7" s="8"/>
      <c r="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1000.0</v>
      </c>
      <c r="E6" s="39">
        <v>85000.0</v>
      </c>
      <c r="F6" s="8"/>
      <c r="G6" s="8"/>
      <c r="H6" s="8"/>
      <c r="I6" s="39">
        <v>122800.0</v>
      </c>
      <c r="J6" s="39">
        <v>123800.0</v>
      </c>
      <c r="K6" s="39">
        <v>1.0523E7</v>
      </c>
      <c r="L6" s="39"/>
      <c r="M6" s="39">
        <v>1.0</v>
      </c>
      <c r="N6" s="8"/>
      <c r="O6" s="8"/>
      <c r="R6" s="38" t="s">
        <v>22</v>
      </c>
    </row>
    <row r="7" ht="15.75" customHeight="1">
      <c r="A7" s="8"/>
      <c r="B7" s="38" t="s">
        <v>30</v>
      </c>
      <c r="C7" s="39">
        <v>2.08905087E8</v>
      </c>
      <c r="D7" s="39">
        <v>1000.0</v>
      </c>
      <c r="E7" s="39">
        <v>85000.0</v>
      </c>
      <c r="F7" s="8"/>
      <c r="G7" s="8"/>
      <c r="H7" s="8"/>
      <c r="I7" s="39">
        <v>245760.0</v>
      </c>
      <c r="J7" s="39">
        <v>246760.0</v>
      </c>
      <c r="K7" s="39">
        <v>2.09746E7</v>
      </c>
      <c r="L7" s="39"/>
      <c r="M7" s="39">
        <v>1.0</v>
      </c>
      <c r="N7" s="8"/>
      <c r="O7" s="8"/>
      <c r="R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42</v>
      </c>
      <c r="D6" s="13" t="s">
        <v>43</v>
      </c>
      <c r="E6" s="13">
        <v>10.0</v>
      </c>
      <c r="F6" s="8"/>
      <c r="G6" s="13" t="s">
        <v>44</v>
      </c>
      <c r="H6" s="13" t="s">
        <v>45</v>
      </c>
      <c r="I6" s="13" t="s">
        <v>46</v>
      </c>
      <c r="J6" s="8"/>
      <c r="K6" s="13" t="s">
        <v>47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250.0</v>
      </c>
      <c r="E6" s="39">
        <v>13400.0</v>
      </c>
      <c r="F6" s="8"/>
      <c r="G6" s="8"/>
      <c r="H6" s="8"/>
      <c r="I6" s="39">
        <v>389520.0</v>
      </c>
      <c r="J6" s="39">
        <v>389770.0</v>
      </c>
      <c r="K6" s="39">
        <v>2.0891672E7</v>
      </c>
      <c r="L6" s="39"/>
      <c r="M6" s="39">
        <v>0.8</v>
      </c>
      <c r="N6" s="8"/>
      <c r="O6" s="8"/>
      <c r="R6" s="9" t="s">
        <v>22</v>
      </c>
    </row>
    <row r="7" ht="15.75" customHeight="1">
      <c r="A7" s="8"/>
      <c r="B7" s="38" t="s">
        <v>30</v>
      </c>
      <c r="C7" s="39">
        <v>2.08905087E8</v>
      </c>
      <c r="D7" s="39">
        <v>250.0</v>
      </c>
      <c r="E7" s="39">
        <v>13400.0</v>
      </c>
      <c r="F7" s="8"/>
      <c r="G7" s="8"/>
      <c r="H7" s="8"/>
      <c r="I7" s="39">
        <v>389640.0</v>
      </c>
      <c r="J7" s="39">
        <v>389890.0</v>
      </c>
      <c r="K7" s="39">
        <v>2.0898104E7</v>
      </c>
      <c r="L7" s="39"/>
      <c r="M7" s="39">
        <v>0.8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50</v>
      </c>
    </row>
    <row r="7" ht="15.75" customHeight="1">
      <c r="A7" s="8"/>
      <c r="B7" s="8"/>
      <c r="C7" s="8"/>
      <c r="D7" s="8"/>
      <c r="E7" s="8"/>
      <c r="F7" s="8"/>
      <c r="G7" s="13">
        <v>5.0</v>
      </c>
      <c r="H7" s="8"/>
      <c r="I7" s="8"/>
      <c r="J7" s="8"/>
      <c r="K7" s="8"/>
      <c r="L7" s="8"/>
      <c r="M7" s="8"/>
      <c r="N7" s="8"/>
      <c r="O7" s="8"/>
      <c r="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250.0</v>
      </c>
      <c r="E6" s="39">
        <v>13400.0</v>
      </c>
      <c r="F6" s="8"/>
      <c r="G6" s="8"/>
      <c r="H6" s="8"/>
      <c r="I6" s="39">
        <v>194760.0</v>
      </c>
      <c r="J6" s="39">
        <v>195010.0</v>
      </c>
      <c r="K6" s="39">
        <v>1.0452536E7</v>
      </c>
      <c r="L6" s="39"/>
      <c r="M6" s="39">
        <v>0.8</v>
      </c>
      <c r="N6" s="8"/>
      <c r="O6" s="8"/>
      <c r="R6" s="9" t="s">
        <v>22</v>
      </c>
    </row>
    <row r="7" ht="15.75" customHeight="1">
      <c r="A7" s="8"/>
      <c r="B7" s="38" t="s">
        <v>30</v>
      </c>
      <c r="C7" s="39">
        <v>2.08905087E8</v>
      </c>
      <c r="D7" s="39">
        <v>250.0</v>
      </c>
      <c r="E7" s="39">
        <v>13400.0</v>
      </c>
      <c r="F7" s="8"/>
      <c r="G7" s="8"/>
      <c r="H7" s="8"/>
      <c r="I7" s="39">
        <v>389640.0</v>
      </c>
      <c r="J7" s="39">
        <v>389890.0</v>
      </c>
      <c r="K7" s="39">
        <v>2.0898104E7</v>
      </c>
      <c r="L7" s="39"/>
      <c r="M7" s="39">
        <v>0.8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52</v>
      </c>
      <c r="D6" s="13" t="s">
        <v>43</v>
      </c>
      <c r="E6" s="13">
        <v>0.025</v>
      </c>
      <c r="F6" s="8"/>
      <c r="G6" s="13" t="s">
        <v>44</v>
      </c>
      <c r="H6" s="13" t="s">
        <v>45</v>
      </c>
      <c r="I6" s="13" t="s">
        <v>46</v>
      </c>
      <c r="J6" s="8"/>
      <c r="K6" s="13" t="s">
        <v>47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1000.0</v>
      </c>
      <c r="E6" s="39">
        <v>85000.0</v>
      </c>
      <c r="F6" s="8"/>
      <c r="G6" s="8"/>
      <c r="H6" s="8"/>
      <c r="I6" s="39">
        <v>600.0</v>
      </c>
      <c r="J6" s="39">
        <v>400.0</v>
      </c>
      <c r="K6" s="39">
        <v>34000.0</v>
      </c>
      <c r="L6" s="39">
        <v>50.0</v>
      </c>
      <c r="M6" s="39">
        <v>1.0</v>
      </c>
      <c r="N6" s="8"/>
      <c r="O6" s="8"/>
      <c r="R6" s="38" t="s">
        <v>53</v>
      </c>
    </row>
    <row r="7" ht="15.75" customHeight="1">
      <c r="A7" s="8"/>
      <c r="B7" s="38" t="s">
        <v>30</v>
      </c>
      <c r="C7" s="39">
        <v>2.08905087E8</v>
      </c>
      <c r="D7" s="39">
        <v>1000.0</v>
      </c>
      <c r="E7" s="39">
        <v>85000.0</v>
      </c>
      <c r="F7" s="8"/>
      <c r="G7" s="8"/>
      <c r="H7" s="8"/>
      <c r="I7" s="39">
        <v>600.0</v>
      </c>
      <c r="J7" s="39">
        <v>400.0</v>
      </c>
      <c r="K7" s="39">
        <v>34000.0</v>
      </c>
      <c r="L7" s="39">
        <v>50.0</v>
      </c>
      <c r="M7" s="39">
        <v>1.0</v>
      </c>
      <c r="N7" s="8"/>
      <c r="O7" s="8"/>
      <c r="R7" s="38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50</v>
      </c>
    </row>
    <row r="7" ht="15.75" customHeight="1">
      <c r="A7" s="8"/>
      <c r="B7" s="8"/>
      <c r="C7" s="8"/>
      <c r="D7" s="8"/>
      <c r="E7" s="8"/>
      <c r="F7" s="8"/>
      <c r="G7" s="13">
        <v>0.02</v>
      </c>
      <c r="H7" s="8"/>
      <c r="I7" s="8"/>
      <c r="J7" s="8"/>
      <c r="K7" s="8"/>
      <c r="L7" s="8"/>
      <c r="M7" s="8"/>
      <c r="N7" s="8"/>
      <c r="O7" s="8"/>
      <c r="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1000.0</v>
      </c>
      <c r="E6" s="39">
        <v>85000.0</v>
      </c>
      <c r="F6" s="8"/>
      <c r="G6" s="8"/>
      <c r="H6" s="8"/>
      <c r="I6" s="39">
        <v>480.0</v>
      </c>
      <c r="J6" s="39">
        <v>520.0</v>
      </c>
      <c r="K6" s="39">
        <v>44200.0</v>
      </c>
      <c r="L6" s="39"/>
      <c r="M6" s="39">
        <v>1.0</v>
      </c>
      <c r="N6" s="8"/>
      <c r="O6" s="8"/>
      <c r="R6" s="38" t="s">
        <v>53</v>
      </c>
    </row>
    <row r="7" ht="15.75" customHeight="1">
      <c r="A7" s="8"/>
      <c r="B7" s="38" t="s">
        <v>30</v>
      </c>
      <c r="C7" s="39">
        <v>2.08905087E8</v>
      </c>
      <c r="D7" s="39">
        <v>1000.0</v>
      </c>
      <c r="E7" s="39">
        <v>85000.0</v>
      </c>
      <c r="F7" s="8"/>
      <c r="G7" s="8"/>
      <c r="H7" s="8"/>
      <c r="I7" s="39">
        <v>600.0</v>
      </c>
      <c r="J7" s="39">
        <v>400.0</v>
      </c>
      <c r="K7" s="39">
        <v>34000.0</v>
      </c>
      <c r="L7" s="39"/>
      <c r="M7" s="39">
        <v>1.0</v>
      </c>
      <c r="N7" s="8"/>
      <c r="O7" s="8"/>
      <c r="R7" s="38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52</v>
      </c>
      <c r="D6" s="13" t="s">
        <v>43</v>
      </c>
      <c r="E6" s="13">
        <v>0.025</v>
      </c>
      <c r="F6" s="8"/>
      <c r="G6" s="13" t="s">
        <v>44</v>
      </c>
      <c r="H6" s="13" t="s">
        <v>45</v>
      </c>
      <c r="I6" s="13" t="s">
        <v>46</v>
      </c>
      <c r="J6" s="8"/>
      <c r="K6" s="13" t="s">
        <v>47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250.0</v>
      </c>
      <c r="E6" s="39">
        <v>13400.0</v>
      </c>
      <c r="F6" s="8"/>
      <c r="G6" s="8"/>
      <c r="H6" s="8"/>
      <c r="I6" s="39">
        <v>240.0</v>
      </c>
      <c r="J6" s="39">
        <v>10.0</v>
      </c>
      <c r="K6" s="39">
        <v>536.0</v>
      </c>
      <c r="L6" s="39">
        <v>50.0</v>
      </c>
      <c r="M6" s="39">
        <v>0.8</v>
      </c>
      <c r="N6" s="8"/>
      <c r="O6" s="8"/>
      <c r="R6" s="38" t="s">
        <v>53</v>
      </c>
    </row>
    <row r="7" ht="15.75" customHeight="1">
      <c r="A7" s="8"/>
      <c r="B7" s="38" t="s">
        <v>30</v>
      </c>
      <c r="C7" s="39">
        <v>2.08905087E8</v>
      </c>
      <c r="D7" s="39">
        <v>250.0</v>
      </c>
      <c r="E7" s="39">
        <v>13400.0</v>
      </c>
      <c r="F7" s="8"/>
      <c r="G7" s="8"/>
      <c r="H7" s="8"/>
      <c r="I7" s="39">
        <v>240.0</v>
      </c>
      <c r="J7" s="39">
        <v>10.0</v>
      </c>
      <c r="K7" s="39">
        <v>536.0</v>
      </c>
      <c r="L7" s="39">
        <v>50.0</v>
      </c>
      <c r="M7" s="39">
        <v>0.8</v>
      </c>
      <c r="N7" s="8"/>
      <c r="O7" s="8"/>
      <c r="R7" s="38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50</v>
      </c>
    </row>
    <row r="7" ht="15.75" customHeight="1">
      <c r="A7" s="8"/>
      <c r="B7" s="8"/>
      <c r="C7" s="8"/>
      <c r="D7" s="8"/>
      <c r="E7" s="8"/>
      <c r="F7" s="8"/>
      <c r="G7" s="13">
        <v>0.02</v>
      </c>
      <c r="H7" s="8"/>
      <c r="I7" s="8"/>
      <c r="J7" s="8"/>
      <c r="K7" s="8"/>
      <c r="L7" s="8"/>
      <c r="M7" s="8"/>
      <c r="N7" s="8"/>
      <c r="O7" s="8"/>
      <c r="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250.0</v>
      </c>
      <c r="E6" s="39">
        <v>13400.0</v>
      </c>
      <c r="F6" s="8"/>
      <c r="G6" s="8"/>
      <c r="H6" s="8"/>
      <c r="I6" s="39">
        <v>240.0</v>
      </c>
      <c r="J6" s="39">
        <v>10.0</v>
      </c>
      <c r="K6" s="39">
        <v>536.0</v>
      </c>
      <c r="L6" s="39">
        <v>50.0</v>
      </c>
      <c r="M6" s="39">
        <v>0.8</v>
      </c>
      <c r="N6" s="8"/>
      <c r="O6" s="8"/>
      <c r="R6" s="38" t="s">
        <v>53</v>
      </c>
    </row>
    <row r="7" ht="15.75" customHeight="1">
      <c r="A7" s="8"/>
      <c r="B7" s="38" t="s">
        <v>30</v>
      </c>
      <c r="C7" s="39">
        <v>2.08905087E8</v>
      </c>
      <c r="D7" s="39">
        <v>250.0</v>
      </c>
      <c r="E7" s="39">
        <v>13400.0</v>
      </c>
      <c r="F7" s="8"/>
      <c r="G7" s="8"/>
      <c r="H7" s="8"/>
      <c r="I7" s="39">
        <v>240.0</v>
      </c>
      <c r="J7" s="39">
        <v>10.0</v>
      </c>
      <c r="K7" s="39">
        <v>536.0</v>
      </c>
      <c r="L7" s="39">
        <v>50.0</v>
      </c>
      <c r="M7" s="39">
        <v>0.8</v>
      </c>
      <c r="N7" s="8"/>
      <c r="O7" s="8"/>
      <c r="R7" s="38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VerifyPTT7!$4:$4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54</v>
      </c>
      <c r="D6" s="13" t="s">
        <v>43</v>
      </c>
      <c r="E6" s="13">
        <v>10.0</v>
      </c>
      <c r="F6" s="8"/>
      <c r="G6" s="13" t="s">
        <v>44</v>
      </c>
      <c r="H6" s="13" t="s">
        <v>45</v>
      </c>
      <c r="I6" s="13" t="s">
        <v>46</v>
      </c>
      <c r="J6" s="8"/>
      <c r="K6" s="13" t="s">
        <v>47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1000.0</v>
      </c>
      <c r="E6" s="39">
        <v>85000.0</v>
      </c>
      <c r="F6" s="8"/>
      <c r="G6" s="8"/>
      <c r="H6" s="8"/>
      <c r="I6" s="39">
        <v>244640.0</v>
      </c>
      <c r="J6" s="39">
        <v>245640.0</v>
      </c>
      <c r="K6" s="39">
        <v>2.08794E7</v>
      </c>
      <c r="L6" s="39"/>
      <c r="M6" s="39">
        <v>1.0</v>
      </c>
      <c r="N6" s="8"/>
      <c r="O6" s="8"/>
      <c r="R6" s="38" t="s">
        <v>22</v>
      </c>
    </row>
    <row r="7" ht="15.75" customHeight="1">
      <c r="A7" s="8"/>
      <c r="B7" s="38" t="s">
        <v>30</v>
      </c>
      <c r="C7" s="39">
        <v>2.08905087E8</v>
      </c>
      <c r="D7" s="39">
        <v>1000.0</v>
      </c>
      <c r="E7" s="39">
        <v>85000.0</v>
      </c>
      <c r="F7" s="8"/>
      <c r="G7" s="8"/>
      <c r="H7" s="8"/>
      <c r="I7" s="39">
        <v>244760.0</v>
      </c>
      <c r="J7" s="39">
        <v>245760.0</v>
      </c>
      <c r="K7" s="39">
        <v>2.08896E7</v>
      </c>
      <c r="L7" s="39"/>
      <c r="M7" s="39">
        <v>1.0</v>
      </c>
      <c r="N7" s="8"/>
      <c r="O7" s="8"/>
      <c r="R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VerifyPTT8!$4:$4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50</v>
      </c>
    </row>
    <row r="7" ht="15.75" customHeight="1">
      <c r="A7" s="8"/>
      <c r="B7" s="8"/>
      <c r="C7" s="8"/>
      <c r="D7" s="8"/>
      <c r="E7" s="8"/>
      <c r="F7" s="8"/>
      <c r="H7" s="13">
        <v>5.0</v>
      </c>
      <c r="I7" s="8"/>
      <c r="J7" s="8"/>
      <c r="K7" s="8"/>
      <c r="L7" s="8"/>
      <c r="M7" s="8"/>
      <c r="N7" s="8"/>
      <c r="O7" s="8"/>
      <c r="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1000.0</v>
      </c>
      <c r="E6" s="39">
        <v>85000.0</v>
      </c>
      <c r="F6" s="8"/>
      <c r="G6" s="8"/>
      <c r="H6" s="8"/>
      <c r="I6" s="39">
        <v>121839.0</v>
      </c>
      <c r="J6" s="39">
        <v>122839.0</v>
      </c>
      <c r="K6" s="39">
        <v>1.0441315E7</v>
      </c>
      <c r="L6" s="39"/>
      <c r="M6" s="39">
        <v>1.0</v>
      </c>
      <c r="N6" s="8"/>
      <c r="O6" s="8"/>
      <c r="R6" s="38" t="s">
        <v>22</v>
      </c>
    </row>
    <row r="7" ht="15.75" customHeight="1">
      <c r="A7" s="8"/>
      <c r="B7" s="38" t="s">
        <v>30</v>
      </c>
      <c r="C7" s="39">
        <v>2.08905087E8</v>
      </c>
      <c r="D7" s="39">
        <v>1000.0</v>
      </c>
      <c r="E7" s="39">
        <v>85000.0</v>
      </c>
      <c r="F7" s="8"/>
      <c r="G7" s="8"/>
      <c r="H7" s="8"/>
      <c r="I7" s="39">
        <v>244760.0</v>
      </c>
      <c r="J7" s="39">
        <v>245760.0</v>
      </c>
      <c r="K7" s="39">
        <v>2.08896E7</v>
      </c>
      <c r="L7" s="39"/>
      <c r="M7" s="39">
        <v>1.0</v>
      </c>
      <c r="N7" s="8"/>
      <c r="O7" s="8"/>
      <c r="R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VerifyPTT9!$4:$4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54</v>
      </c>
      <c r="D6" s="13" t="s">
        <v>43</v>
      </c>
      <c r="E6" s="13">
        <v>10.0</v>
      </c>
      <c r="F6" s="8"/>
      <c r="G6" s="13" t="s">
        <v>44</v>
      </c>
      <c r="H6" s="13" t="s">
        <v>45</v>
      </c>
      <c r="I6" s="13" t="s">
        <v>46</v>
      </c>
      <c r="J6" s="8"/>
      <c r="K6" s="13" t="s">
        <v>47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250.0</v>
      </c>
      <c r="E6" s="39">
        <v>13400.0</v>
      </c>
      <c r="F6" s="8"/>
      <c r="G6" s="8"/>
      <c r="H6" s="8"/>
      <c r="I6" s="39">
        <v>389280.0</v>
      </c>
      <c r="J6" s="39">
        <v>389530.0</v>
      </c>
      <c r="K6" s="39">
        <v>2.0878808E7</v>
      </c>
      <c r="L6" s="39"/>
      <c r="M6" s="39">
        <v>0.8</v>
      </c>
      <c r="N6" s="8"/>
      <c r="O6" s="8"/>
      <c r="R6" s="38" t="s">
        <v>22</v>
      </c>
    </row>
    <row r="7" ht="15.75" customHeight="1">
      <c r="A7" s="8"/>
      <c r="B7" s="38" t="s">
        <v>30</v>
      </c>
      <c r="C7" s="39">
        <v>2.08905087E8</v>
      </c>
      <c r="D7" s="39">
        <v>250.0</v>
      </c>
      <c r="E7" s="39">
        <v>13400.0</v>
      </c>
      <c r="F7" s="8"/>
      <c r="G7" s="8"/>
      <c r="H7" s="8"/>
      <c r="I7" s="39">
        <v>389400.0</v>
      </c>
      <c r="J7" s="39">
        <v>389650.0</v>
      </c>
      <c r="K7" s="39">
        <v>2.088524E7</v>
      </c>
      <c r="L7" s="39"/>
      <c r="M7" s="39">
        <v>0.8</v>
      </c>
      <c r="N7" s="8"/>
      <c r="O7" s="8"/>
      <c r="R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VerifyPTT10!$4:$4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50</v>
      </c>
    </row>
    <row r="7" ht="15.75" customHeight="1">
      <c r="A7" s="8"/>
      <c r="B7" s="8"/>
      <c r="C7" s="8"/>
      <c r="D7" s="8"/>
      <c r="E7" s="8"/>
      <c r="F7" s="8"/>
      <c r="H7" s="13">
        <v>5.0</v>
      </c>
      <c r="I7" s="8"/>
      <c r="J7" s="8"/>
      <c r="K7" s="8"/>
      <c r="L7" s="8"/>
      <c r="M7" s="8"/>
      <c r="N7" s="8"/>
      <c r="O7" s="8"/>
      <c r="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EditPTTRecordAndExecuteOrder5!$4:$4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9">
        <v>2.08826937E8</v>
      </c>
      <c r="D6" s="39">
        <v>250.0</v>
      </c>
      <c r="E6" s="39">
        <v>13400.0</v>
      </c>
      <c r="F6" s="8"/>
      <c r="G6" s="8"/>
      <c r="H6" s="8"/>
      <c r="I6" s="39">
        <v>194551.0</v>
      </c>
      <c r="J6" s="39">
        <v>194801.0</v>
      </c>
      <c r="K6" s="39">
        <v>1.04413336E7</v>
      </c>
      <c r="L6" s="39"/>
      <c r="M6" s="39">
        <v>0.8</v>
      </c>
      <c r="N6" s="8"/>
      <c r="O6" s="8"/>
      <c r="R6" s="38" t="s">
        <v>22</v>
      </c>
    </row>
    <row r="7" ht="15.75" customHeight="1">
      <c r="A7" s="8"/>
      <c r="B7" s="38" t="s">
        <v>30</v>
      </c>
      <c r="C7" s="39">
        <v>2.08905087E8</v>
      </c>
      <c r="D7" s="39">
        <v>250.0</v>
      </c>
      <c r="E7" s="39">
        <v>13400.0</v>
      </c>
      <c r="F7" s="8"/>
      <c r="G7" s="8"/>
      <c r="H7" s="8"/>
      <c r="I7" s="39">
        <v>389400.0</v>
      </c>
      <c r="J7" s="39">
        <v>389650.0</v>
      </c>
      <c r="K7" s="39">
        <v>2.088524E7</v>
      </c>
      <c r="L7" s="39"/>
      <c r="M7" s="39">
        <v>0.8</v>
      </c>
      <c r="N7" s="8"/>
      <c r="O7" s="8"/>
      <c r="R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VerifyPTT11!$4:$4</formula1>
    </dataValidation>
  </dataValidations>
  <drawing r:id="rId1"/>
</worksheet>
</file>