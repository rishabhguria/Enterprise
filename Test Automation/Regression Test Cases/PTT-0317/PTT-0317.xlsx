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TradePTT" sheetId="8" r:id="rId10"/>
    <sheet state="visible" name="CustomOrderTT1" sheetId="9" r:id="rId11"/>
    <sheet state="visible" name="VerifyTradeSummary" sheetId="10" r:id="rId12"/>
    <sheet state="visible" name="SelectTradeOnOrderGrid" sheetId="11" r:id="rId13"/>
    <sheet state="visible" name="ReplaceSubOrder" sheetId="12" r:id="rId14"/>
    <sheet state="visible" name="CheckOpenFinWindowName" sheetId="13" r:id="rId15"/>
    <sheet state="visible" name="VerifySubOrder" sheetId="14" r:id="rId16"/>
  </sheets>
  <definedNames/>
  <calcPr/>
</workbook>
</file>

<file path=xl/sharedStrings.xml><?xml version="1.0" encoding="utf-8"?>
<sst xmlns="http://schemas.openxmlformats.org/spreadsheetml/2006/main" count="125" uniqueCount="48">
  <si>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</si>
  <si>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</si>
  <si>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</si>
  <si>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</si>
  <si>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</si>
  <si>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</si>
  <si>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</si>
  <si>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</si>
  <si>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</si>
  <si>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</si>
  <si>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</si>
  <si>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</si>
  <si>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</si>
  <si>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</si>
  <si>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</si>
  <si>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</si>
  <si>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</si>
  <si>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</si>
  <si>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Allocation1</t>
  </si>
  <si>
    <t>Buy</t>
  </si>
  <si>
    <t>Allocation2</t>
  </si>
  <si>
    <t>PricingInput</t>
  </si>
  <si>
    <t>DailyValuation</t>
  </si>
  <si>
    <t>GetDailyCash</t>
  </si>
  <si>
    <t>UpdateMultipleDailyCash</t>
  </si>
  <si>
    <t>USD</t>
  </si>
  <si>
    <t>PTT</t>
  </si>
  <si>
    <t>TradePTT</t>
  </si>
  <si>
    <t>Increase</t>
  </si>
  <si>
    <t>Percentage</t>
  </si>
  <si>
    <t>No</t>
  </si>
  <si>
    <t>Account</t>
  </si>
  <si>
    <t>Allocation1,Allocation2</t>
  </si>
  <si>
    <t>MS</t>
  </si>
  <si>
    <t>Market</t>
  </si>
  <si>
    <t>Send</t>
  </si>
  <si>
    <t>VerifyTradeSummary</t>
  </si>
  <si>
    <t>Yes</t>
  </si>
  <si>
    <t>Blotter</t>
  </si>
  <si>
    <t>SelectTradeOnOrderGrid</t>
  </si>
  <si>
    <t>New</t>
  </si>
  <si>
    <t>ReplaceSubOrder</t>
  </si>
  <si>
    <t>OpenFin</t>
  </si>
  <si>
    <t>CheckOpenFinWindowName</t>
  </si>
  <si>
    <t>Trading Ticket</t>
  </si>
  <si>
    <t>CreateDoneAwayOrder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</si>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</sst>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100.0</v>
      </c>
      <c r="D6" s="34">
        <v>1.0</v>
      </c>
      <c r="E6" s="35" t="s">
        <v>17</v>
      </c>
      <c r="F6" s="36"/>
      <c r="G6" s="36"/>
      <c r="H6" s="36"/>
      <c r="I6" s="35" t="s">
        <v>18</v>
      </c>
      <c r="J6" s="35" t="s">
        <v>19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5" t="s">
        <v>16</v>
      </c>
      <c r="C7" s="33">
        <v>100.0</v>
      </c>
      <c r="D7" s="34">
        <v>1.0</v>
      </c>
      <c r="E7" s="35" t="s">
        <v>17</v>
      </c>
      <c r="F7" s="36"/>
      <c r="G7" s="36"/>
      <c r="H7" s="36"/>
      <c r="I7" s="35" t="s">
        <v>20</v>
      </c>
      <c r="J7" s="35" t="s">
        <v>19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16</v>
      </c>
      <c r="C6" s="33">
        <v>10.0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>
        <f>today()-1</f>
        <v>45802</v>
      </c>
      <c r="C6" s="38">
        <f>today()</f>
        <v>45803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18</v>
      </c>
      <c r="C6" s="35" t="s">
        <v>25</v>
      </c>
      <c r="D6" s="39">
        <v>1000.0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20</v>
      </c>
      <c r="C7" s="35" t="s">
        <v>25</v>
      </c>
      <c r="D7" s="33">
        <v>1000.0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 t="str">
        <f>IFERROR(__xludf.DUMMYFUNCTION("""COMPUTED_VALUE"""),"Use Custodian Broker")</f>
        <v>Use Custodian Broker</v>
      </c>
      <c r="L5" s="28" t="str">
        <f>IFERROR(__xludf.DUMMYFUNCTION("""COMPUTED_VALUE"""),"Round Lots")</f>
        <v>Round Lots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5" t="s">
        <v>28</v>
      </c>
      <c r="D6" s="32" t="s">
        <v>29</v>
      </c>
      <c r="E6" s="33">
        <v>10.0</v>
      </c>
      <c r="F6" s="33">
        <v>20.0</v>
      </c>
      <c r="G6" s="35" t="s">
        <v>30</v>
      </c>
      <c r="H6" s="35" t="s">
        <v>31</v>
      </c>
      <c r="I6" s="35" t="s">
        <v>32</v>
      </c>
      <c r="J6" s="36"/>
      <c r="K6" s="36"/>
      <c r="L6" s="36"/>
      <c r="M6" s="35" t="s">
        <v>33</v>
      </c>
      <c r="N6" s="36"/>
      <c r="O6" s="36"/>
      <c r="P6" s="36" t="s">
        <v>34</v>
      </c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>
        <v>20.0</v>
      </c>
      <c r="E6" s="13" t="s">
        <v>35</v>
      </c>
      <c r="F6" s="8"/>
      <c r="G6" s="8"/>
      <c r="H6" s="8"/>
      <c r="I6" s="8"/>
      <c r="J6" s="13" t="s">
        <v>19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IFERROR(__xludf.DUMMYFUNCTION("""COMPUTED_VALUE"""),"Quantity")</f>
        <v>Quantity</v>
      </c>
      <c r="D5" s="28" t="str">
        <f>IFERROR(__xludf.DUMMYFUNCTION("""COMPUTED_VALUE"""),"OrderSide")</f>
        <v>OrderSide</v>
      </c>
      <c r="E5" s="28" t="str">
        <f>IFERROR(__xludf.DUMMYFUNCTION("""COMPUTED_VALUE"""),"AllowTrade")</f>
        <v>AllowTrade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 t="s">
        <v>19</v>
      </c>
      <c r="E6" s="13" t="s">
        <v>37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20</v>
      </c>
      <c r="C7" s="8"/>
      <c r="D7" s="13" t="s">
        <v>19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VerifyTradeSummary!$4:$4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IFERROR(__xludf.DUMMYFUNCTION("TRANSPOSE(IMPORTRANGE(VLOOKUP($E$3,IMPORTRANGE('_Settings'!$B$3,$C$3&amp;""!A4:B1000""),2,FALSE),$G$3&amp;""!A4:A1000""))"),"#REF!")</f>
        <v>#REF!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7"/>
      <c r="F6" s="13" t="s">
        <v>19</v>
      </c>
      <c r="G6" s="13" t="s">
        <v>40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IFERROR(__xludf.DUMMYFUNCTION("IF(C3="""","""",Transpose(IMPORTRANGE('_Settings'!$B$3,C3&amp;""!A4:A1000"")))"),"CheckOpenFinWindowName")</f>
        <v>CheckOpenFinWindowName</v>
      </c>
      <c r="C4" s="25" t="str">
        <f>IFERROR(__xludf.DUMMYFUNCTION("""COMPUTED_VALUE"""),"OpenWindowFromSearch")</f>
        <v>OpenWindowFromSearch</v>
      </c>
      <c r="D4" s="25" t="str">
        <f>IFERROR(__xludf.DUMMYFUNCTION("""COMPUTED_VALUE"""),"VerifyColour")</f>
        <v>VerifyColour</v>
      </c>
      <c r="E4" s="25" t="str">
        <f>IFERROR(__xludf.DUMMYFUNCTION("""COMPUTED_VALUE"""),"OpenReleaseClient")</f>
        <v>OpenReleaseClient</v>
      </c>
      <c r="F4" s="25" t="str">
        <f>IFERROR(__xludf.DUMMYFUNCTION("""COMPUTED_VALUE"""),"ActionOnPageFromSearch")</f>
        <v>ActionOnPageFromSearch</v>
      </c>
      <c r="G4" s="25" t="str">
        <f>IFERROR(__xludf.DUMMYFUNCTION("""COMPUTED_VALUE"""),"SavePageView")</f>
        <v>SavePageView</v>
      </c>
      <c r="H4" s="25" t="str">
        <f>IFERROR(__xludf.DUMMYFUNCTION("""COMPUTED_VALUE"""),"ChangeThemeOnModule")</f>
        <v>ChangeThemeOnModule</v>
      </c>
      <c r="I4" s="25" t="str">
        <f>IFERROR(__xludf.DUMMYFUNCTION("""COMPUTED_VALUE"""),"CloseService")</f>
        <v>CloseService</v>
      </c>
      <c r="J4" s="25" t="str">
        <f>IFERROR(__xludf.DUMMYFUNCTION("""COMPUTED_VALUE"""),"LogOutSamsara")</f>
        <v>LogOutSamsara</v>
      </c>
      <c r="K4" s="25" t="str">
        <f>IFERROR(__xludf.DUMMYFUNCTION("""COMPUTED_VALUE"""),"ResizeEnsure")</f>
        <v>ResizeEnsure</v>
      </c>
      <c r="L4" s="25" t="str">
        <f>IFERROR(__xludf.DUMMYFUNCTION("""COMPUTED_VALUE"""),"VerifyNotification")</f>
        <v>VerifyNotification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IFERROR(__xludf.DUMMYFUNCTION("""COMPUTED_VALUE"""),"WindowName")</f>
        <v>WindowName</v>
      </c>
      <c r="C5" s="28" t="str">
        <f>IFERROR(__xludf.DUMMYFUNCTION("""COMPUTED_VALUE"""),"WindowPresentOrNot")</f>
        <v>WindowPresentOrNot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44</v>
      </c>
      <c r="C6" s="40" t="b">
        <v>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CheckOpenFinWindowName!$4:$4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IFERROR(__xludf.DUMMYFUNCTION("TRANSPOSE(IMPORTRANGE(VLOOKUP($E$3,IMPORTRANGE('_Settings'!$B$3,$C$3&amp;""!A4:B1000""),2,FALSE),$G$3&amp;""!A4:A1000""))"),"#REF!")</f>
        <v>#REF!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46</v>
      </c>
      <c r="C6" s="8"/>
      <c r="D6" s="13" t="s">
        <v>47</v>
      </c>
      <c r="E6" s="37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