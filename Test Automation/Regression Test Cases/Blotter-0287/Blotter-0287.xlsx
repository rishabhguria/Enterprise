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oToAllocation" sheetId="8" r:id="rId10"/>
    <sheet state="visible" name="CheckAllocatedGroups" sheetId="9" r:id="rId11"/>
    <sheet state="visible" name="CheckPortfolioManagement" sheetId="10" r:id="rId12"/>
    <sheet state="visible" name="SelectTradeOnOrderGrid" sheetId="11" r:id="rId13"/>
  </sheets>
  <definedNames/>
  <calcPr/>
</workbook>
</file>

<file path=xl/sharedStrings.xml><?xml version="1.0" encoding="utf-8"?>
<sst xmlns="http://schemas.openxmlformats.org/spreadsheetml/2006/main" count="156" uniqueCount="54">
  <si>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</si>
  <si>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</si>
  <si>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</si>
  <si>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</si>
  <si>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</si>
  <si>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</si>
  <si>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</si>
  <si>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</si>
  <si>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</si>
  <si>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</si>
  <si>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</si>
  <si>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</si>
  <si>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</si>
  <si>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</si>
  <si>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</si>
  <si>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</si>
  <si>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\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</si>
  <si>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</si>
  <si>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</si>
  <si>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</si>
  <si>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</si>
  <si>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</si>
  <si>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</si>
  <si>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</si>
  <si>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</si>
  <si>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GoToAllocation</t>
  </si>
  <si>
    <t>NASDAQ</t>
  </si>
  <si>
    <t>US</t>
  </si>
  <si>
    <t/>
  </si>
  <si>
    <t>USD</t>
  </si>
  <si>
    <t>NewMF</t>
  </si>
  <si>
    <t>Equity</t>
  </si>
  <si>
    <t>Filled</t>
  </si>
  <si>
    <t>Allocation</t>
  </si>
  <si>
    <t>CheckAllocatedGroups</t>
  </si>
  <si>
    <t>AAPL US EQUITY</t>
  </si>
  <si>
    <t>MS</t>
  </si>
  <si>
    <t>Open</t>
  </si>
  <si>
    <t>APPLE</t>
  </si>
  <si>
    <t>M</t>
  </si>
  <si>
    <t>Market</t>
  </si>
  <si>
    <t>InternalOrder</t>
  </si>
  <si>
    <t>Strategy Unallocated</t>
  </si>
  <si>
    <t>PortfolioManagement</t>
  </si>
  <si>
    <t>CheckPortfolioManagement</t>
  </si>
  <si>
    <t>Long</t>
  </si>
  <si>
    <t>FIMAT</t>
  </si>
  <si>
    <t>New Hedge</t>
  </si>
  <si>
    <t>Small Cap</t>
  </si>
  <si>
    <t>test1</t>
  </si>
  <si>
    <t>india</t>
  </si>
  <si>
    <t>test 1</t>
  </si>
  <si>
    <t>Yes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</si>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</sst>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2" numFmtId="0" xfId="0" applyAlignment="1" applyFont="1">
      <alignment readingOrder="0"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3" numFmtId="4" xfId="0" applyAlignment="1" applyBorder="1" applyFont="1" applyNumberFormat="1">
      <alignment vertical="top"/>
    </xf>
    <xf borderId="6" fillId="6" fontId="14" numFmtId="164" xfId="0" applyAlignment="1" applyBorder="1" applyFont="1" applyNumberForma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3" xfId="0" applyAlignment="1" applyBorder="1" applyFont="1" applyNumberFormat="1">
      <alignment horizontal="right" vertical="top"/>
    </xf>
    <xf borderId="6" fillId="6" fontId="15" numFmtId="3" xfId="0" applyAlignment="1" applyBorder="1" applyFont="1" applyNumberFormat="1">
      <alignment horizontal="right" vertical="top"/>
    </xf>
    <xf borderId="6" fillId="6" fontId="3" numFmtId="3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6" t="s">
        <v>16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 t="str">
        <f>IFERROR(__xludf.DUMMYFUNCTION("""COMPUTED_VALUE"""),"OrderPendingNewPopup")</f>
        <v>OrderPendingNewPopup</v>
      </c>
      <c r="AV5" s="31" t="str">
        <f>IFERROR(__xludf.DUMMYFUNCTION("""COMPUTED_VALUE"""),"Master Funds")</f>
        <v>Master Funds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17</v>
      </c>
      <c r="C6" s="13" t="s">
        <v>18</v>
      </c>
      <c r="D6" s="13">
        <v>100.0</v>
      </c>
      <c r="E6" s="32"/>
      <c r="F6" s="13" t="s">
        <v>19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13" t="s">
        <v>17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13" t="s">
        <v>17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2.0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7" t="str">
        <f>IFERROR(__xludf.DUMMYFUNCTION("""COMPUTED_VALUE"""),"ReloadOrderFromWorkingSubs")</f>
        <v>ReloadOrderFromWorkingSubs</v>
      </c>
      <c r="Q4" s="27" t="str">
        <f>IFERROR(__xludf.DUMMYFUNCTION("""COMPUTED_VALUE"""),"ReloadOrderFromSubOrder")</f>
        <v>ReloadOrderFromSubOrder</v>
      </c>
      <c r="R4" s="27" t="str">
        <f>IFERROR(__xludf.DUMMYFUNCTION("""COMPUTED_VALUE"""),"ReloadOrderFromBlotter")</f>
        <v>ReloadOrderFromBlotter</v>
      </c>
      <c r="S4" s="27" t="str">
        <f>IFERROR(__xludf.DUMMYFUNCTION("""COMPUTED_VALUE"""),"MultipleTradeTransferToUser")</f>
        <v>MultipleTradeTransferToUser</v>
      </c>
      <c r="T4" s="27" t="str">
        <f>IFERROR(__xludf.DUMMYFUNCTION("""COMPUTED_VALUE"""),"BlotterExecutionReportSnapshot")</f>
        <v>BlotterExecutionReportSnapshot</v>
      </c>
      <c r="U4" s="27" t="str">
        <f>IFERROR(__xludf.DUMMYFUNCTION("""COMPUTED_VALUE"""),"VerifyExecutionReport")</f>
        <v>VerifyExecutionReport</v>
      </c>
      <c r="V4" s="27" t="str">
        <f>IFERROR(__xludf.DUMMYFUNCTION("""COMPUTED_VALUE"""),"ExportExecutionReportData")</f>
        <v>ExportExecutionReportData</v>
      </c>
      <c r="W4" s="27" t="str">
        <f>IFERROR(__xludf.DUMMYFUNCTION("""COMPUTED_VALUE"""),"GetExecutionReportDetails")</f>
        <v>GetExecutionReportDetails</v>
      </c>
      <c r="X4" s="27" t="str">
        <f>IFERROR(__xludf.DUMMYFUNCTION("""COMPUTED_VALUE"""),"GetExecutionReportOrders")</f>
        <v>GetExecutionReportOrders</v>
      </c>
      <c r="Y4" s="27" t="str">
        <f>IFERROR(__xludf.DUMMYFUNCTION("""COMPUTED_VALUE"""),"RemoveExecutionWorkingSubs")</f>
        <v>RemoveExecutionWorkingSubs</v>
      </c>
      <c r="Z4" s="27" t="str">
        <f>IFERROR(__xludf.DUMMYFUNCTION("""COMPUTED_VALUE"""),"RemoveManualExecution")</f>
        <v>RemoveManualExecution</v>
      </c>
      <c r="AA4" s="27" t="str">
        <f>IFERROR(__xludf.DUMMYFUNCTION("""COMPUTED_VALUE"""),"TransferToUserWorkingSubs")</f>
        <v>TransferToUserWorkingSubs</v>
      </c>
      <c r="AB4" s="27" t="str">
        <f>IFERROR(__xludf.DUMMYFUNCTION("""COMPUTED_VALUE"""),"OpenBlotter")</f>
        <v>OpenBlotter</v>
      </c>
      <c r="AC4" s="27" t="str">
        <f>IFERROR(__xludf.DUMMYFUNCTION("""COMPUTED_VALUE"""),"CancelWorkingSubs")</f>
        <v>CancelWorkingSubs</v>
      </c>
      <c r="AD4" s="27" t="str">
        <f>IFERROR(__xludf.DUMMYFUNCTION("""COMPUTED_VALUE"""),"ReplaceWorkingSubs")</f>
        <v>ReplaceWorkingSubs</v>
      </c>
      <c r="AE4" s="27" t="str">
        <f>IFERROR(__xludf.DUMMYFUNCTION("""COMPUTED_VALUE"""),"ViewAllocationDetailsWorkingSub")</f>
        <v>ViewAllocationDetailsWorkingSub</v>
      </c>
      <c r="AF4" s="27" t="str">
        <f>IFERROR(__xludf.DUMMYFUNCTION("""COMPUTED_VALUE"""),"OpenBlotter")</f>
        <v>OpenBlotter</v>
      </c>
      <c r="AG4" s="27" t="str">
        <f>IFERROR(__xludf.DUMMYFUNCTION("""COMPUTED_VALUE"""),"SelectTradeOnOrderGrid")</f>
        <v>SelectTradeOnOrderGrid</v>
      </c>
      <c r="AH4" s="27" t="str">
        <f>IFERROR(__xludf.DUMMYFUNCTION("""COMPUTED_VALUE"""),"ShowDetailsForAlgoTradeSubOrder")</f>
        <v>ShowDetailsForAlgoTradeSubOrder</v>
      </c>
      <c r="AI4" s="27" t="str">
        <f>IFERROR(__xludf.DUMMYFUNCTION("""COMPUTED_VALUE"""),"SelectTradeOrderBlotter")</f>
        <v>SelectTradeOrderBlotter</v>
      </c>
      <c r="AJ4" s="27" t="str">
        <f>IFERROR(__xludf.DUMMYFUNCTION("""COMPUTED_VALUE"""),"AddFillsWorkingSubs")</f>
        <v>AddFillsWorkingSubs</v>
      </c>
      <c r="AK4" s="27" t="str">
        <f>IFERROR(__xludf.DUMMYFUNCTION("""COMPUTED_VALUE"""),"EditAddFillsDetails")</f>
        <v>EditAddFillsDetails</v>
      </c>
      <c r="AL4" s="27" t="str">
        <f>IFERROR(__xludf.DUMMYFUNCTION("""COMPUTED_VALUE"""),"ShowDetailsForAlgoTradeWorkingSubs")</f>
        <v>ShowDetailsForAlgoTradeWorkingSubs</v>
      </c>
      <c r="AM4" s="27" t="str">
        <f>IFERROR(__xludf.DUMMYFUNCTION("""COMPUTED_VALUE"""),"VerifyWorkingSubs")</f>
        <v>VerifyWorkingSubs</v>
      </c>
      <c r="AN4" s="27" t="str">
        <f>IFERROR(__xludf.DUMMYFUNCTION("""COMPUTED_VALUE"""),"TransferToUserOrder")</f>
        <v>TransferToUserOrder</v>
      </c>
      <c r="AO4" s="27" t="str">
        <f>IFERROR(__xludf.DUMMYFUNCTION("""COMPUTED_VALUE"""),"EditOrder")</f>
        <v>EditOrder</v>
      </c>
      <c r="AP4" s="27" t="str">
        <f>IFERROR(__xludf.DUMMYFUNCTION("""COMPUTED_VALUE"""),"SelectTradeSubOrderBlotter")</f>
        <v>SelectTradeSubOrderBlotter</v>
      </c>
      <c r="AQ4" s="27" t="str">
        <f>IFERROR(__xludf.DUMMYFUNCTION("""COMPUTED_VALUE"""),"VerifyOrder")</f>
        <v>VerifyOrder</v>
      </c>
      <c r="AR4" s="27" t="str">
        <f>IFERROR(__xludf.DUMMYFUNCTION("""COMPUTED_VALUE"""),"VerifySubOrder")</f>
        <v>VerifySubOrder</v>
      </c>
      <c r="AS4" s="27" t="str">
        <f>IFERROR(__xludf.DUMMYFUNCTION("""COMPUTED_VALUE"""),"RemoveSelectedOrders")</f>
        <v>RemoveSelectedOrders</v>
      </c>
      <c r="AT4" s="27" t="str">
        <f>IFERROR(__xludf.DUMMYFUNCTION("""COMPUTED_VALUE"""),"CancelAllSelectedSubs")</f>
        <v>CancelAllSelectedSubs</v>
      </c>
      <c r="AU4" s="27" t="str">
        <f>IFERROR(__xludf.DUMMYFUNCTION("""COMPUTED_VALUE"""),"MultiTradingTicket")</f>
        <v>MultiTradingTicket</v>
      </c>
      <c r="AV4" s="27" t="str">
        <f>IFERROR(__xludf.DUMMYFUNCTION("""COMPUTED_VALUE"""),"AuditTrailOrderBlotter")</f>
        <v>AuditTrailOrderBlotter</v>
      </c>
      <c r="AW4" s="27" t="str">
        <f>IFERROR(__xludf.DUMMYFUNCTION("""COMPUTED_VALUE"""),"TradeNewSubOrder")</f>
        <v>TradeNewSubOrder</v>
      </c>
      <c r="AX4" s="27" t="str">
        <f>IFERROR(__xludf.DUMMYFUNCTION("""COMPUTED_VALUE"""),"RemoveStageOrder")</f>
        <v>RemoveStageOrder</v>
      </c>
      <c r="AY4" s="27" t="str">
        <f>IFERROR(__xludf.DUMMYFUNCTION("""COMPUTED_VALUE"""),"TransferToUserSubOrder")</f>
        <v>TransferToUserSubOrder</v>
      </c>
      <c r="AZ4" s="27" t="str">
        <f>IFERROR(__xludf.DUMMYFUNCTION("""COMPUTED_VALUE"""),"DetailsForAlgoTradeOrder")</f>
        <v>DetailsForAlgoTradeOrder</v>
      </c>
      <c r="BA4" s="27" t="str">
        <f>IFERROR(__xludf.DUMMYFUNCTION("""COMPUTED_VALUE"""),"AddFillsSubOrder")</f>
        <v>AddFillsSubOrder</v>
      </c>
      <c r="BB4" s="27" t="str">
        <f>IFERROR(__xludf.DUMMYFUNCTION("""COMPUTED_VALUE"""),"ViewAllocationDetailsSubOrder")</f>
        <v>ViewAllocationDetailsSubOrder</v>
      </c>
      <c r="BC4" s="27" t="str">
        <f>IFERROR(__xludf.DUMMYFUNCTION("""COMPUTED_VALUE"""),"VerifySubOrderAfterRollover")</f>
        <v>VerifySubOrderAfterRollover</v>
      </c>
      <c r="BD4" s="27" t="str">
        <f>IFERROR(__xludf.DUMMYFUNCTION("""COMPUTED_VALUE"""),"VerifyRollover")</f>
        <v>VerifyRollover</v>
      </c>
      <c r="BE4" s="27" t="str">
        <f>IFERROR(__xludf.DUMMYFUNCTION("""COMPUTED_VALUE"""),"CancelAllSubs")</f>
        <v>CancelAllSubs</v>
      </c>
      <c r="BF4" s="27" t="str">
        <f>IFERROR(__xludf.DUMMYFUNCTION("""COMPUTED_VALUE"""),"CancelSubOrder")</f>
        <v>CancelSubOrder</v>
      </c>
      <c r="BG4" s="27" t="str">
        <f>IFERROR(__xludf.DUMMYFUNCTION("""COMPUTED_VALUE"""),"EditStageOrder")</f>
        <v>EditStageOrder</v>
      </c>
      <c r="BH4" s="27" t="str">
        <f>IFERROR(__xludf.DUMMYFUNCTION("""COMPUTED_VALUE"""),"ReplaceSubOrder")</f>
        <v>ReplaceSubOrder</v>
      </c>
      <c r="BI4" s="27" t="str">
        <f>IFERROR(__xludf.DUMMYFUNCTION("""COMPUTED_VALUE"""),"SelectTradeWorkingSubsBlotter")</f>
        <v>SelectTradeWorkingSubsBlotter</v>
      </c>
      <c r="BJ4" s="27" t="str">
        <f>IFERROR(__xludf.DUMMYFUNCTION("""COMPUTED_VALUE"""),"GoToAllocation")</f>
        <v>GoToAllocation</v>
      </c>
      <c r="BK4" s="27" t="str">
        <f>IFERROR(__xludf.DUMMYFUNCTION("""COMPUTED_VALUE"""),"VerifyAlgoDetails")</f>
        <v>VerifyAlgoDetails</v>
      </c>
      <c r="BL4" s="27" t="str">
        <f>IFERROR(__xludf.DUMMYFUNCTION("""COMPUTED_VALUE"""),"VerifyTransferToUserOrder")</f>
        <v>VerifyTransferToUserOrder</v>
      </c>
      <c r="BM4" s="27" t="str">
        <f>IFERROR(__xludf.DUMMYFUNCTION("""COMPUTED_VALUE"""),"VerifyTransferToUserSubOdr")</f>
        <v>VerifyTransferToUserSubOdr</v>
      </c>
      <c r="BN4" s="27" t="str">
        <f>IFERROR(__xludf.DUMMYFUNCTION("""COMPUTED_VALUE"""),"VerifyTransferToUserWorkSub")</f>
        <v>VerifyTransferToUserWorkSub</v>
      </c>
      <c r="BO4" s="27" t="str">
        <f>IFERROR(__xludf.DUMMYFUNCTION("""COMPUTED_VALUE"""),"VerifyViewAllocationDetails")</f>
        <v>VerifyViewAllocationDetails</v>
      </c>
      <c r="BP4" s="27" t="str">
        <f>IFERROR(__xludf.DUMMYFUNCTION("""COMPUTED_VALUE"""),"SaveLayoutOrderGrid")</f>
        <v>SaveLayoutOrderGrid</v>
      </c>
      <c r="BQ4" s="27" t="str">
        <f>IFERROR(__xludf.DUMMYFUNCTION("""COMPUTED_VALUE"""),"ReplaceStageOrder")</f>
        <v>ReplaceStageOrder</v>
      </c>
      <c r="BR4" s="27" t="str">
        <f>IFERROR(__xludf.DUMMYFUNCTION("""COMPUTED_VALUE"""),"MultiTradingTicketFromBlotter")</f>
        <v>MultiTradingTicketFromBlotter</v>
      </c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3"/>
      <c r="C6" s="34"/>
      <c r="D6" s="35">
        <v>2.0</v>
      </c>
      <c r="E6" s="34"/>
      <c r="F6" s="34"/>
      <c r="G6" s="34"/>
      <c r="H6" s="34" t="s">
        <v>26</v>
      </c>
      <c r="I6" s="34"/>
      <c r="J6" s="34" t="s">
        <v>17</v>
      </c>
      <c r="K6" s="34" t="s">
        <v>27</v>
      </c>
      <c r="L6" s="34"/>
      <c r="M6" s="34"/>
      <c r="N6" s="34"/>
      <c r="O6" s="34"/>
      <c r="P6" s="34"/>
      <c r="Q6" s="34"/>
      <c r="R6" s="34"/>
      <c r="S6" s="34"/>
      <c r="T6" s="34"/>
      <c r="U6" s="34" t="s">
        <v>28</v>
      </c>
      <c r="V6" s="34" t="s">
        <v>29</v>
      </c>
      <c r="W6" s="34"/>
      <c r="X6" s="34"/>
      <c r="Y6" s="34"/>
      <c r="Z6" s="34"/>
      <c r="AA6" s="34"/>
      <c r="AB6" s="34" t="s">
        <v>30</v>
      </c>
      <c r="AC6" s="34"/>
      <c r="AD6" s="34"/>
      <c r="AE6" s="34"/>
      <c r="AF6" s="34"/>
      <c r="AG6" s="34"/>
      <c r="AH6" s="34"/>
      <c r="AI6" s="34" t="s">
        <v>31</v>
      </c>
      <c r="AJ6" s="34" t="s">
        <v>17</v>
      </c>
      <c r="AK6" s="34" t="s">
        <v>18</v>
      </c>
      <c r="AL6" s="34" t="s">
        <v>32</v>
      </c>
      <c r="AM6" s="36">
        <v>100.0</v>
      </c>
      <c r="AN6" s="34" t="s">
        <v>28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7" t="str">
        <f>IFERROR(__xludf.DUMMYFUNCTION("""COMPUTED_VALUE"""),"ApplyPrefetchFilters")</f>
        <v>ApplyPrefetchFilters</v>
      </c>
      <c r="Q4" s="27" t="str">
        <f>IFERROR(__xludf.DUMMYFUNCTION("""COMPUTED_VALUE"""),"GeneralPreferencesDefaultRule")</f>
        <v>GeneralPreferencesDefaultRule</v>
      </c>
      <c r="R4" s="27" t="str">
        <f>IFERROR(__xludf.DUMMYFUNCTION("""COMPUTED_VALUE"""),"GeneralPrefCompanyUserWise")</f>
        <v>GeneralPrefCompanyUserWise</v>
      </c>
      <c r="S4" s="27" t="str">
        <f>IFERROR(__xludf.DUMMYFUNCTION("""COMPUTED_VALUE"""),"RenameTradeAttributes")</f>
        <v>RenameTradeAttributes</v>
      </c>
      <c r="T4" s="27" t="str">
        <f>IFERROR(__xludf.DUMMYFUNCTION("""COMPUTED_VALUE"""),"SetGroupingRules")</f>
        <v>SetGroupingRules</v>
      </c>
      <c r="U4" s="27" t="str">
        <f>IFERROR(__xludf.DUMMYFUNCTION("""COMPUTED_VALUE"""),"SetMasterFundRatio")</f>
        <v>SetMasterFundRatio</v>
      </c>
      <c r="V4" s="27" t="str">
        <f>IFERROR(__xludf.DUMMYFUNCTION("""COMPUTED_VALUE"""),"CheckFixedPreference")</f>
        <v>CheckFixedPreference</v>
      </c>
      <c r="W4" s="27" t="str">
        <f>IFERROR(__xludf.DUMMYFUNCTION("""COMPUTED_VALUE"""),"GetFixedPreference")</f>
        <v>GetFixedPreference</v>
      </c>
      <c r="X4" s="27" t="str">
        <f>IFERROR(__xludf.DUMMYFUNCTION("""COMPUTED_VALUE"""),"AddCalculatedPreferences")</f>
        <v>AddCalculatedPreferences</v>
      </c>
      <c r="Y4" s="27" t="str">
        <f>IFERROR(__xludf.DUMMYFUNCTION("""COMPUTED_VALUE"""),"BulkChangeCalculatedPreferences")</f>
        <v>BulkChangeCalculatedPreferences</v>
      </c>
      <c r="Z4" s="27" t="str">
        <f>IFERROR(__xludf.DUMMYFUNCTION("""COMPUTED_VALUE"""),"CheckAuditTrailData")</f>
        <v>CheckAuditTrailData</v>
      </c>
      <c r="AA4" s="27" t="str">
        <f>IFERROR(__xludf.DUMMYFUNCTION("""COMPUTED_VALUE"""),"DeleteCalculatedPreferences")</f>
        <v>DeleteCalculatedPreferences</v>
      </c>
      <c r="AB4" s="27" t="str">
        <f>IFERROR(__xludf.DUMMYFUNCTION("""COMPUTED_VALUE"""),"GetAuditTrailData")</f>
        <v>GetAuditTrailData</v>
      </c>
      <c r="AC4" s="27" t="str">
        <f>IFERROR(__xludf.DUMMYFUNCTION("""COMPUTED_VALUE"""),"RenameCalculatedPreferences")</f>
        <v>RenameCalculatedPreferences</v>
      </c>
      <c r="AD4" s="27" t="str">
        <f>IFERROR(__xludf.DUMMYFUNCTION("""COMPUTED_VALUE"""),"AllocationAuditTrail")</f>
        <v>AllocationAuditTrail</v>
      </c>
      <c r="AE4" s="27" t="str">
        <f>IFERROR(__xludf.DUMMYFUNCTION("""COMPUTED_VALUE"""),"CopyCalculatedPreferences")</f>
        <v>CopyCalculatedPreferences</v>
      </c>
      <c r="AF4" s="27" t="str">
        <f>IFERROR(__xludf.DUMMYFUNCTION("""COMPUTED_VALUE"""),"RunAutoGroup")</f>
        <v>RunAutoGroup</v>
      </c>
      <c r="AG4" s="27" t="str">
        <f>IFERROR(__xludf.DUMMYFUNCTION("""COMPUTED_VALUE"""),"BookOrUpdateSwap")</f>
        <v>BookOrUpdateSwap</v>
      </c>
      <c r="AH4" s="27" t="str">
        <f>IFERROR(__xludf.DUMMYFUNCTION("""COMPUTED_VALUE"""),"SetDefaultRuleCalculatedPref")</f>
        <v>SetDefaultRuleCalculatedPref</v>
      </c>
      <c r="AI4" s="27" t="str">
        <f>IFERROR(__xludf.DUMMYFUNCTION("""COMPUTED_VALUE"""),"RunProrata")</f>
        <v>RunProrata</v>
      </c>
      <c r="AJ4" s="27" t="str">
        <f>IFERROR(__xludf.DUMMYFUNCTION("""COMPUTED_VALUE"""),"SetAccountValueCalculatedPref")</f>
        <v>SetAccountValueCalculatedPref</v>
      </c>
      <c r="AK4" s="27" t="str">
        <f>IFERROR(__xludf.DUMMYFUNCTION("""COMPUTED_VALUE"""),"TradeAttributeBulkChangeGroups")</f>
        <v>TradeAttributeBulkChangeGroups</v>
      </c>
      <c r="AL4" s="27" t="str">
        <f>IFERROR(__xludf.DUMMYFUNCTION("""COMPUTED_VALUE"""),"TradeAttributeBulkChangeTaxlots")</f>
        <v>TradeAttributeBulkChangeTaxlots</v>
      </c>
      <c r="AM4" s="27" t="str">
        <f>IFERROR(__xludf.DUMMYFUNCTION("""COMPUTED_VALUE"""),"AddCalculatedPreferenceToolbar")</f>
        <v>AddCalculatedPreferenceToolbar</v>
      </c>
      <c r="AN4" s="27" t="str">
        <f>IFERROR(__xludf.DUMMYFUNCTION("""COMPUTED_VALUE"""),"SetStrategyValueCalculatedPref")</f>
        <v>SetStrategyValueCalculatedPref</v>
      </c>
      <c r="AO4" s="27" t="str">
        <f>IFERROR(__xludf.DUMMYFUNCTION("""COMPUTED_VALUE"""),"ApplyBulkUpdateOnTaxlots")</f>
        <v>ApplyBulkUpdateOnTaxlots</v>
      </c>
      <c r="AP4" s="27" t="str">
        <f>IFERROR(__xludf.DUMMYFUNCTION("""COMPUTED_VALUE"""),"CommissionBulkChangeOnGroups")</f>
        <v>CommissionBulkChangeOnGroups</v>
      </c>
      <c r="AQ4" s="27" t="str">
        <f>IFERROR(__xludf.DUMMYFUNCTION("""COMPUTED_VALUE"""),"CommissionBulkChangeOnTaxlots")</f>
        <v>CommissionBulkChangeOnTaxlots</v>
      </c>
      <c r="AR4" s="27" t="str">
        <f>IFERROR(__xludf.DUMMYFUNCTION("""COMPUTED_VALUE"""),"SelectUnallocatedGroup")</f>
        <v>SelectUnallocatedGroup</v>
      </c>
      <c r="AS4" s="27" t="str">
        <f>IFERROR(__xludf.DUMMYFUNCTION("""COMPUTED_VALUE"""),"EnterAccountValuesToAllocate")</f>
        <v>EnterAccountValuesToAllocate</v>
      </c>
      <c r="AT4" s="27" t="str">
        <f>IFERROR(__xludf.DUMMYFUNCTION("""COMPUTED_VALUE"""),"EnterAllocatePreference")</f>
        <v>EnterAllocatePreference</v>
      </c>
      <c r="AU4" s="27" t="str">
        <f>IFERROR(__xludf.DUMMYFUNCTION("""COMPUTED_VALUE"""),"EnterStrategyValuesToAllocate")</f>
        <v>EnterStrategyValuesToAllocate</v>
      </c>
      <c r="AV4" s="27" t="str">
        <f>IFERROR(__xludf.DUMMYFUNCTION("""COMPUTED_VALUE"""),"CopyCalculatedPreferenceToolbar")</f>
        <v>CopyCalculatedPreferenceToolbar</v>
      </c>
      <c r="AW4" s="27" t="str">
        <f>IFERROR(__xludf.DUMMYFUNCTION("""COMPUTED_VALUE"""),"SetGeneralRuleCalculatedPref")</f>
        <v>SetGeneralRuleCalculatedPref</v>
      </c>
      <c r="AX4" s="27" t="str">
        <f>IFERROR(__xludf.DUMMYFUNCTION("""COMPUTED_VALUE"""),"ExportAllCalculatedPreferences")</f>
        <v>ExportAllCalculatedPreferences</v>
      </c>
      <c r="AY4" s="27" t="str">
        <f>IFERROR(__xludf.DUMMYFUNCTION("""COMPUTED_VALUE"""),"SaveCalculatedPreferences")</f>
        <v>SaveCalculatedPreferences</v>
      </c>
      <c r="AZ4" s="27" t="str">
        <f>IFERROR(__xludf.DUMMYFUNCTION("""COMPUTED_VALUE"""),"CloseCalculatedPreferences")</f>
        <v>CloseCalculatedPreferences</v>
      </c>
      <c r="BA4" s="27" t="str">
        <f>IFERROR(__xludf.DUMMYFUNCTION("""COMPUTED_VALUE"""),"ExportCalculatedPreference")</f>
        <v>ExportCalculatedPreference</v>
      </c>
      <c r="BB4" s="27" t="str">
        <f>IFERROR(__xludf.DUMMYFUNCTION("""COMPUTED_VALUE"""),"ImportCalculatedPreferences")</f>
        <v>ImportCalculatedPreferences</v>
      </c>
      <c r="BC4" s="27" t="str">
        <f>IFERROR(__xludf.DUMMYFUNCTION("""COMPUTED_VALUE"""),"IsAllocationOpen")</f>
        <v>IsAllocationOpen</v>
      </c>
      <c r="BD4" s="27" t="str">
        <f>IFERROR(__xludf.DUMMYFUNCTION("""COMPUTED_VALUE"""),"OpenAuditTrailUnallocatedGroup")</f>
        <v>OpenAuditTrailUnallocatedGroup</v>
      </c>
      <c r="BE4" s="27" t="str">
        <f>IFERROR(__xludf.DUMMYFUNCTION("""COMPUTED_VALUE"""),"DeleteCalculatedPreferencesTool")</f>
        <v>DeleteCalculatedPreferencesTool</v>
      </c>
      <c r="BF4" s="27" t="str">
        <f>IFERROR(__xludf.DUMMYFUNCTION("""COMPUTED_VALUE"""),"ImportCalculatedPreferencesTool")</f>
        <v>ImportCalculatedPreferencesTool</v>
      </c>
      <c r="BG4" s="27" t="str">
        <f>IFERROR(__xludf.DUMMYFUNCTION("""COMPUTED_VALUE"""),"SetAvgPriceRounding")</f>
        <v>SetAvgPriceRounding</v>
      </c>
      <c r="BH4" s="27" t="str">
        <f>IFERROR(__xludf.DUMMYFUNCTION("""COMPUTED_VALUE"""),"SetAutoGroupingAccount")</f>
        <v>SetAutoGroupingAccount</v>
      </c>
      <c r="BI4" s="27" t="str">
        <f>IFERROR(__xludf.DUMMYFUNCTION("""COMPUTED_VALUE"""),"SetAutoGroupingPreferences")</f>
        <v>SetAutoGroupingPreferences</v>
      </c>
      <c r="BJ4" s="27" t="str">
        <f>IFERROR(__xludf.DUMMYFUNCTION("""COMPUTED_VALUE"""),"ExportAllCalculatedPreferTool")</f>
        <v>ExportAllCalculatedPreferTool</v>
      </c>
      <c r="BK4" s="27" t="str">
        <f>IFERROR(__xludf.DUMMYFUNCTION("""COMPUTED_VALUE"""),"EnterCustomAllocatePreference")</f>
        <v>EnterCustomAllocatePreference</v>
      </c>
      <c r="BL4" s="27" t="str">
        <f>IFERROR(__xludf.DUMMYFUNCTION("""COMPUTED_VALUE"""),"OpenSymbolLookupUnallocateGroup")</f>
        <v>OpenSymbolLookupUnallocateGroup</v>
      </c>
      <c r="BM4" s="27" t="str">
        <f>IFERROR(__xludf.DUMMYFUNCTION("""COMPUTED_VALUE"""),"OpenAuditTrailAllocatedGroup")</f>
        <v>OpenAuditTrailAllocatedGroup</v>
      </c>
      <c r="BN4" s="27" t="str">
        <f>IFERROR(__xludf.DUMMYFUNCTION("""COMPUTED_VALUE"""),"OpenSymbolLookupAllocatedGroup")</f>
        <v>OpenSymbolLookupAllocatedGroup</v>
      </c>
      <c r="BO4" s="27" t="str">
        <f>IFERROR(__xludf.DUMMYFUNCTION("""COMPUTED_VALUE"""),"DeleteFixedPreference")</f>
        <v>DeleteFixedPreference</v>
      </c>
      <c r="BP4" s="27" t="str">
        <f>IFERROR(__xludf.DUMMYFUNCTION("""COMPUTED_VALUE"""),"SetTradeAttributePreferences")</f>
        <v>SetTradeAttributePreferences</v>
      </c>
      <c r="BQ4" s="27" t="str">
        <f>IFERROR(__xludf.DUMMYFUNCTION("""COMPUTED_VALUE"""),"EditAllocatedGroupSidePanel")</f>
        <v>EditAllocatedGroupSidePanel</v>
      </c>
      <c r="BR4" s="27" t="str">
        <f>IFERROR(__xludf.DUMMYFUNCTION("""COMPUTED_VALUE"""),"ExpandCollapseAllocatedGrid")</f>
        <v>ExpandCollapseAllocatedGrid</v>
      </c>
      <c r="BS4" s="27" t="str">
        <f>IFERROR(__xludf.DUMMYFUNCTION("""COMPUTED_VALUE"""),"ExpandCollapseUnallocatedGrid")</f>
        <v>ExpandCollapseUnallocatedGrid</v>
      </c>
      <c r="BT4" s="27" t="str">
        <f>IFERROR(__xludf.DUMMYFUNCTION("""COMPUTED_VALUE"""),"EditAllocatedGridTaxlot")</f>
        <v>EditAllocatedGridTaxlot</v>
      </c>
      <c r="BU4" s="27" t="str">
        <f>IFERROR(__xludf.DUMMYFUNCTION("""COMPUTED_VALUE"""),"CheckUnallocatedGroups")</f>
        <v>CheckUnallocatedGroups</v>
      </c>
      <c r="BV4" s="27" t="str">
        <f>IFERROR(__xludf.DUMMYFUNCTION("""COMPUTED_VALUE"""),"EditAllocatedGridWPF")</f>
        <v>EditAllocatedGridWPF</v>
      </c>
      <c r="BW4" s="27" t="str">
        <f>IFERROR(__xludf.DUMMYFUNCTION("""COMPUTED_VALUE"""),"SetGeneralPreferences")</f>
        <v>SetGeneralPreferences</v>
      </c>
      <c r="BX4" s="27" t="str">
        <f>IFERROR(__xludf.DUMMYFUNCTION("""COMPUTED_VALUE"""),"EditUnallocatedGridWPF")</f>
        <v>EditUnallocatedGridWPF</v>
      </c>
      <c r="BY4" s="27" t="str">
        <f>IFERROR(__xludf.DUMMYFUNCTION("""COMPUTED_VALUE"""),"SetBrokerAccountMapping")</f>
        <v>SetBrokerAccountMapping</v>
      </c>
      <c r="BZ4" s="27" t="str">
        <f>IFERROR(__xludf.DUMMYFUNCTION("""COMPUTED_VALUE"""),"ShowMasterFundAsClient")</f>
        <v>ShowMasterFundAsClient</v>
      </c>
      <c r="CA4" s="27" t="str">
        <f>IFERROR(__xludf.DUMMYFUNCTION("""COMPUTED_VALUE"""),"ShowMasterFundOnTT")</f>
        <v>ShowMasterFundOnTT</v>
      </c>
      <c r="CB4" s="27" t="str">
        <f>IFERROR(__xludf.DUMMYFUNCTION("""COMPUTED_VALUE"""),"ApplyMasterFundFilter")</f>
        <v>ApplyMasterFundFilter</v>
      </c>
      <c r="CC4" s="27" t="str">
        <f>IFERROR(__xludf.DUMMYFUNCTION("""COMPUTED_VALUE"""),"GroupTrades")</f>
        <v>GroupTrades</v>
      </c>
      <c r="CD4" s="27" t="str">
        <f>IFERROR(__xludf.DUMMYFUNCTION("""COMPUTED_VALUE"""),"DisableCheckside")</f>
        <v>DisableCheckside</v>
      </c>
      <c r="CE4" s="27" t="str">
        <f>IFERROR(__xludf.DUMMYFUNCTION("""COMPUTED_VALUE"""),"UngroupTrades")</f>
        <v>UngroupTrades</v>
      </c>
      <c r="CF4" s="27" t="str">
        <f>IFERROR(__xludf.DUMMYFUNCTION("""COMPUTED_VALUE"""),"DisableChecksideForCounterParty")</f>
        <v>DisableChecksideForCounterParty</v>
      </c>
      <c r="CG4" s="27" t="str">
        <f>IFERROR(__xludf.DUMMYFUNCTION("""COMPUTED_VALUE"""),"DisableChecksideForAccount")</f>
        <v>DisableChecksideForAccount</v>
      </c>
      <c r="CH4" s="27" t="str">
        <f>IFERROR(__xludf.DUMMYFUNCTION("""COMPUTED_VALUE"""),"DeleteGroup")</f>
        <v>DeleteGroup</v>
      </c>
      <c r="CI4" s="27" t="str">
        <f>IFERROR(__xludf.DUMMYFUNCTION("""COMPUTED_VALUE"""),"DisableChecksideForAsset")</f>
        <v>DisableChecksideForAsset</v>
      </c>
      <c r="CJ4" s="27" t="str">
        <f>IFERROR(__xludf.DUMMYFUNCTION("""COMPUTED_VALUE"""),"CloseOrder")</f>
        <v>CloseOrder</v>
      </c>
      <c r="CK4" s="27" t="str">
        <f>IFERROR(__xludf.DUMMYFUNCTION("""COMPUTED_VALUE"""),"Unallocate")</f>
        <v>Unallocate</v>
      </c>
      <c r="CL4" s="27" t="str">
        <f>IFERROR(__xludf.DUMMYFUNCTION("""COMPUTED_VALUE"""),"CloseAllocation")</f>
        <v>CloseAllocation</v>
      </c>
      <c r="CM4" s="27" t="str">
        <f>IFERROR(__xludf.DUMMYFUNCTION("""COMPUTED_VALUE"""),"CheckAllocatedTaxlots")</f>
        <v>CheckAllocatedTaxlots</v>
      </c>
      <c r="CN4" s="27" t="str">
        <f>IFERROR(__xludf.DUMMYFUNCTION("""COMPUTED_VALUE"""),"CleanUp")</f>
        <v>CleanUp</v>
      </c>
      <c r="CO4" s="27" t="str">
        <f>IFERROR(__xludf.DUMMYFUNCTION("""COMPUTED_VALUE"""),"VerifyLayoutAllocatedGrid")</f>
        <v>VerifyLayoutAllocatedGrid</v>
      </c>
      <c r="CP4" s="27" t="str">
        <f>IFERROR(__xludf.DUMMYFUNCTION("""COMPUTED_VALUE"""),"VerifyLayoutUnallocatedGrid")</f>
        <v>VerifyLayoutUnallocatedGrid</v>
      </c>
      <c r="CQ4" s="27" t="str">
        <f>IFERROR(__xludf.DUMMYFUNCTION("""COMPUTED_VALUE"""),"ClearFiltersUnallocatedGrid")</f>
        <v>ClearFiltersUnallocatedGrid</v>
      </c>
      <c r="CR4" s="27" t="str">
        <f>IFERROR(__xludf.DUMMYFUNCTION("""COMPUTED_VALUE"""),"ClearFiltersAllocatedGrid")</f>
        <v>ClearFiltersAllocatedGrid</v>
      </c>
      <c r="CS4" s="27" t="str">
        <f>IFERROR(__xludf.DUMMYFUNCTION("""COMPUTED_VALUE"""),"UpdateGRAccountValue")</f>
        <v>UpdateGRAccountValue</v>
      </c>
      <c r="CT4" s="27" t="str">
        <f>IFERROR(__xludf.DUMMYFUNCTION("""COMPUTED_VALUE"""),"UpdateGRStrategyValue")</f>
        <v>UpdateGRStrategyValue</v>
      </c>
      <c r="CU4" s="27" t="str">
        <f>IFERROR(__xludf.DUMMYFUNCTION("""COMPUTED_VALUE"""),"UpdateGRDefaultRule")</f>
        <v>UpdateGRDefaultRule</v>
      </c>
      <c r="CV4" s="27" t="str">
        <f>IFERROR(__xludf.DUMMYFUNCTION("""COMPUTED_VALUE"""),"UpdateGeneralRulePref")</f>
        <v>UpdateGeneralRulePref</v>
      </c>
      <c r="CW4" s="27" t="str">
        <f>IFERROR(__xludf.DUMMYFUNCTION("""COMPUTED_VALUE"""),"AddMFPreferences")</f>
        <v>AddMFPreferences</v>
      </c>
      <c r="CX4" s="27" t="str">
        <f>IFERROR(__xludf.DUMMYFUNCTION("""COMPUTED_VALUE"""),"ModifyGRPreferenceValues")</f>
        <v>ModifyGRPreferenceValues</v>
      </c>
      <c r="CY4" s="27" t="str">
        <f>IFERROR(__xludf.DUMMYFUNCTION("""COMPUTED_VALUE"""),"AddMFPreferenceToolbar")</f>
        <v>AddMFPreferenceToolbar</v>
      </c>
      <c r="CZ4" s="27" t="str">
        <f>IFERROR(__xludf.DUMMYFUNCTION("""COMPUTED_VALUE"""),"DeleteMFPreferences")</f>
        <v>DeleteMFPreferences</v>
      </c>
      <c r="DA4" s="27" t="str">
        <f>IFERROR(__xludf.DUMMYFUNCTION("""COMPUTED_VALUE"""),"SaveLayoutAllocationUI")</f>
        <v>SaveLayoutAllocationUI</v>
      </c>
      <c r="DB4" s="27" t="str">
        <f>IFERROR(__xludf.DUMMYFUNCTION("""COMPUTED_VALUE"""),"DeleteMFPreferenceToolbar")</f>
        <v>DeleteMFPreferenceToolbar</v>
      </c>
      <c r="DC4" s="27" t="str">
        <f>IFERROR(__xludf.DUMMYFUNCTION("""COMPUTED_VALUE"""),"SaveLayoutUnallocatedGrid")</f>
        <v>SaveLayoutUnallocatedGrid</v>
      </c>
      <c r="DD4" s="27" t="str">
        <f>IFERROR(__xludf.DUMMYFUNCTION("""COMPUTED_VALUE"""),"SaveLayoutAllocatedGrid")</f>
        <v>SaveLayoutAllocatedGrid</v>
      </c>
      <c r="DE4" s="27" t="str">
        <f>IFERROR(__xludf.DUMMYFUNCTION("""COMPUTED_VALUE"""),"EditAllocatedGrid")</f>
        <v>EditAllocatedGrid</v>
      </c>
      <c r="DF4" s="27" t="str">
        <f>IFERROR(__xludf.DUMMYFUNCTION("""COMPUTED_VALUE"""),"EditUnallocatedGrid")</f>
        <v>EditUnallocatedGrid</v>
      </c>
      <c r="DG4" s="27" t="str">
        <f>IFERROR(__xludf.DUMMYFUNCTION("""COMPUTED_VALUE"""),"UnallocateWithOutSave")</f>
        <v>UnallocateWithOutSave</v>
      </c>
      <c r="DH4" s="27" t="str">
        <f>IFERROR(__xludf.DUMMYFUNCTION("""COMPUTED_VALUE"""),"SaveAllocation")</f>
        <v>SaveAllocation</v>
      </c>
      <c r="DI4" s="27" t="str">
        <f>IFERROR(__xludf.DUMMYFUNCTION("""COMPUTED_VALUE"""),"GenerateCashTransaction")</f>
        <v>GenerateCashTransaction</v>
      </c>
      <c r="DJ4" s="27" t="str">
        <f>IFERROR(__xludf.DUMMYFUNCTION("""COMPUTED_VALUE"""),"ExpandCollapseAllAllocated")</f>
        <v>ExpandCollapseAllAllocated</v>
      </c>
      <c r="DK4" s="27" t="str">
        <f>IFERROR(__xludf.DUMMYFUNCTION("""COMPUTED_VALUE"""),"ExpandCollapseAllUnallocated")</f>
        <v>ExpandCollapseAllUnallocated</v>
      </c>
      <c r="DL4" s="27" t="str">
        <f>IFERROR(__xludf.DUMMYFUNCTION("""COMPUTED_VALUE"""),"ClearPrefetchFilters")</f>
        <v>ClearPrefetchFilters</v>
      </c>
      <c r="DM4" s="27" t="str">
        <f>IFERROR(__xludf.DUMMYFUNCTION("""COMPUTED_VALUE"""),"RenameMFPreferences")</f>
        <v>RenameMFPreferences</v>
      </c>
      <c r="DN4" s="27" t="str">
        <f>IFERROR(__xludf.DUMMYFUNCTION("""COMPUTED_VALUE"""),"SetMFPrefFundDefaultRule")</f>
        <v>SetMFPrefFundDefaultRule</v>
      </c>
      <c r="DO4" s="27" t="str">
        <f>IFERROR(__xludf.DUMMYFUNCTION("""COMPUTED_VALUE"""),"SaveCloseMFPreference")</f>
        <v>SaveCloseMFPreference</v>
      </c>
      <c r="DP4" s="27" t="str">
        <f>IFERROR(__xludf.DUMMYFUNCTION("""COMPUTED_VALUE"""),"SetMFPrefAccountValues")</f>
        <v>SetMFPrefAccountValues</v>
      </c>
      <c r="DQ4" s="27" t="str">
        <f>IFERROR(__xludf.DUMMYFUNCTION("""COMPUTED_VALUE"""),"SetMFPreferencesDefaultRule")</f>
        <v>SetMFPreferencesDefaultRule</v>
      </c>
      <c r="DR4" s="27" t="str">
        <f>IFERROR(__xludf.DUMMYFUNCTION("""COMPUTED_VALUE"""),"SetMFPrefFundDistribution")</f>
        <v>SetMFPrefFundDistribution</v>
      </c>
      <c r="DS4" s="27" t="str">
        <f>IFERROR(__xludf.DUMMYFUNCTION("""COMPUTED_VALUE"""),"SetMFPrefGeneralRule")</f>
        <v>SetMFPrefGeneralRule</v>
      </c>
      <c r="DT4" s="27" t="str">
        <f>IFERROR(__xludf.DUMMYFUNCTION("""COMPUTED_VALUE"""),"ModifyMFPrefGeneralRuleValues")</f>
        <v>ModifyMFPrefGeneralRuleValues</v>
      </c>
      <c r="DU4" s="27" t="str">
        <f>IFERROR(__xludf.DUMMYFUNCTION("""COMPUTED_VALUE"""),"SetMFPrefStrategyValues")</f>
        <v>SetMFPrefStrategyValues</v>
      </c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7" t="s">
        <v>19</v>
      </c>
      <c r="C6" s="34" t="s">
        <v>28</v>
      </c>
      <c r="D6" s="37"/>
      <c r="E6" s="38">
        <v>100.0</v>
      </c>
      <c r="F6" s="34"/>
      <c r="G6" s="34" t="s">
        <v>31</v>
      </c>
      <c r="H6" s="38">
        <v>4.0</v>
      </c>
      <c r="I6" s="38">
        <v>5.0</v>
      </c>
      <c r="J6" s="38">
        <v>1.0</v>
      </c>
      <c r="K6" s="38">
        <v>2.0</v>
      </c>
      <c r="L6" s="38">
        <v>2.0</v>
      </c>
      <c r="M6" s="34" t="s">
        <v>35</v>
      </c>
      <c r="N6" s="34" t="s">
        <v>28</v>
      </c>
      <c r="O6" s="34" t="s">
        <v>36</v>
      </c>
      <c r="P6" s="34"/>
      <c r="Q6" s="36">
        <v>3.0</v>
      </c>
      <c r="R6" s="36">
        <v>0.0</v>
      </c>
      <c r="S6" s="34" t="s">
        <v>37</v>
      </c>
      <c r="T6" s="36">
        <v>0.0</v>
      </c>
      <c r="U6" s="36">
        <v>0.0</v>
      </c>
      <c r="V6" s="34" t="s">
        <v>38</v>
      </c>
      <c r="W6" s="36">
        <v>1.0</v>
      </c>
      <c r="X6" s="34" t="s">
        <v>28</v>
      </c>
      <c r="Y6" s="34" t="s">
        <v>28</v>
      </c>
      <c r="Z6" s="34" t="s">
        <v>29</v>
      </c>
      <c r="AA6" s="34" t="s">
        <v>17</v>
      </c>
      <c r="AB6" s="36">
        <v>1.0</v>
      </c>
      <c r="AC6" s="34"/>
      <c r="AD6" s="34" t="s">
        <v>26</v>
      </c>
      <c r="AE6" s="36">
        <v>100.0</v>
      </c>
      <c r="AF6" s="34" t="s">
        <v>28</v>
      </c>
      <c r="AG6" s="34"/>
      <c r="AH6" s="34" t="s">
        <v>39</v>
      </c>
      <c r="AI6" s="36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6">
        <v>0.0</v>
      </c>
      <c r="AT6" s="36">
        <v>214.0001</v>
      </c>
      <c r="AU6" s="36">
        <v>214.0001</v>
      </c>
      <c r="AV6" s="34"/>
      <c r="AW6" s="36">
        <v>0.0</v>
      </c>
      <c r="AX6" s="36">
        <v>0.0</v>
      </c>
      <c r="AY6" s="34" t="s">
        <v>40</v>
      </c>
      <c r="AZ6" s="36">
        <v>0.0</v>
      </c>
      <c r="BA6" s="34"/>
      <c r="BB6" s="34"/>
      <c r="BC6" s="36">
        <v>0.0</v>
      </c>
      <c r="BD6" s="34" t="s">
        <v>41</v>
      </c>
      <c r="BE6" s="36">
        <v>200.0</v>
      </c>
      <c r="BF6" s="36">
        <v>200.0</v>
      </c>
      <c r="BG6" s="34"/>
      <c r="BH6" s="34"/>
      <c r="BI6" s="34"/>
      <c r="BJ6" s="36">
        <v>100.0</v>
      </c>
      <c r="BK6" s="36">
        <v>0.0</v>
      </c>
      <c r="BL6" s="34" t="s">
        <v>28</v>
      </c>
      <c r="BM6" s="34" t="s">
        <v>29</v>
      </c>
      <c r="BN6" s="34"/>
      <c r="BO6" s="34" t="s">
        <v>18</v>
      </c>
      <c r="BP6" s="36">
        <v>0.0</v>
      </c>
      <c r="BQ6" s="36">
        <v>0.0</v>
      </c>
      <c r="BR6" s="36">
        <v>1.0E-4</v>
      </c>
      <c r="BS6" s="34" t="s">
        <v>42</v>
      </c>
      <c r="BT6" s="34" t="s">
        <v>17</v>
      </c>
      <c r="BU6" s="36">
        <v>3.0</v>
      </c>
      <c r="BV6" s="36">
        <v>0.0</v>
      </c>
      <c r="BW6" s="36">
        <v>14.0001</v>
      </c>
      <c r="BX6" s="36">
        <v>0.0</v>
      </c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7" t="str">
        <f>IFERROR(__xludf.DUMMYFUNCTION("""COMPUTED_VALUE"""),"DeleteCustomViewPM")</f>
        <v>DeleteCustomViewPM</v>
      </c>
      <c r="Q4" s="27" t="str">
        <f>IFERROR(__xludf.DUMMYFUNCTION("""COMPUTED_VALUE"""),"RenameCustomViewPM")</f>
        <v>RenameCustomViewPM</v>
      </c>
      <c r="R4" s="27" t="str">
        <f>IFERROR(__xludf.DUMMYFUNCTION("""COMPUTED_VALUE"""),"AddCustomViewRightClickPM")</f>
        <v>AddCustomViewRightClickPM</v>
      </c>
      <c r="S4" s="27" t="str">
        <f>IFERROR(__xludf.DUMMYFUNCTION("""COMPUTED_VALUE"""),"AddCustomViewPM")</f>
        <v>AddCustomViewPM</v>
      </c>
      <c r="T4" s="27" t="str">
        <f>IFERROR(__xludf.DUMMYFUNCTION("""COMPUTED_VALUE"""),"ExpandCollapsePM")</f>
        <v>ExpandCollapsePM</v>
      </c>
      <c r="U4" s="27" t="str">
        <f>IFERROR(__xludf.DUMMYFUNCTION("""COMPUTED_VALUE"""),"CloseSelectedTaxlotsFromPM")</f>
        <v>CloseSelectedTaxlotsFromPM</v>
      </c>
      <c r="V4" s="27" t="str">
        <f>IFERROR(__xludf.DUMMYFUNCTION("""COMPUTED_VALUE"""),"CloseAccountPositionFromPM")</f>
        <v>CloseAccountPositionFromPM</v>
      </c>
      <c r="W4" s="27" t="str">
        <f>IFERROR(__xludf.DUMMYFUNCTION("""COMPUTED_VALUE"""),"HideSummaryToolFromPM")</f>
        <v>HideSummaryToolFromPM</v>
      </c>
      <c r="X4" s="27" t="str">
        <f>IFERROR(__xludf.DUMMYFUNCTION("""COMPUTED_VALUE"""),"ShowSummaryToolFromPM")</f>
        <v>ShowSummaryToolFromPM</v>
      </c>
      <c r="Y4" s="27" t="str">
        <f>IFERROR(__xludf.DUMMYFUNCTION("""COMPUTED_VALUE"""),"ClosePositionFromPM")</f>
        <v>ClosePositionFromPM</v>
      </c>
      <c r="Z4" s="27" t="str">
        <f>IFERROR(__xludf.DUMMYFUNCTION("""COMPUTED_VALUE"""),"OpenDailyValuationFromPM")</f>
        <v>OpenDailyValuationFromPM</v>
      </c>
      <c r="AA4" s="27" t="str">
        <f>IFERROR(__xludf.DUMMYFUNCTION("""COMPUTED_VALUE"""),"OpenCorporateActionFromPM")</f>
        <v>OpenCorporateActionFromPM</v>
      </c>
      <c r="AB4" s="27" t="str">
        <f>IFERROR(__xludf.DUMMYFUNCTION("""COMPUTED_VALUE"""),"OpenClosingFromPM")</f>
        <v>OpenClosingFromPM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 t="str">
        <f>IFERROR(__xludf.DUMMYFUNCTION("""COMPUTED_VALUE"""),"ACTIV Symbol")</f>
        <v>ACTIV Symbol</v>
      </c>
      <c r="FK5" s="31"/>
      <c r="FL5" s="31"/>
      <c r="FM5" s="31"/>
      <c r="FN5" s="31"/>
      <c r="FO5" s="31"/>
      <c r="FP5" s="31"/>
      <c r="FQ5" s="31"/>
      <c r="FR5" s="31"/>
      <c r="FS5" s="31"/>
      <c r="FT5" s="31"/>
    </row>
    <row r="6" ht="15.75" customHeight="1">
      <c r="A6" s="33"/>
      <c r="B6" s="33"/>
      <c r="C6" s="39" t="s">
        <v>17</v>
      </c>
      <c r="D6" s="35">
        <v>100.0</v>
      </c>
      <c r="E6" s="39" t="s">
        <v>19</v>
      </c>
      <c r="F6" s="39" t="s">
        <v>30</v>
      </c>
      <c r="G6" s="38">
        <v>2.0</v>
      </c>
      <c r="H6" s="39" t="s">
        <v>45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-200.0</v>
      </c>
      <c r="O6" s="39" t="s">
        <v>38</v>
      </c>
      <c r="P6" s="34"/>
      <c r="Q6" s="36">
        <v>-200.0</v>
      </c>
      <c r="R6" s="34" t="s">
        <v>46</v>
      </c>
      <c r="S6" s="34" t="s">
        <v>42</v>
      </c>
      <c r="T6" s="34" t="s">
        <v>31</v>
      </c>
      <c r="U6" s="34" t="s">
        <v>27</v>
      </c>
      <c r="V6" s="34" t="s">
        <v>26</v>
      </c>
      <c r="W6" s="34" t="s">
        <v>29</v>
      </c>
      <c r="X6" s="36">
        <v>1.0</v>
      </c>
      <c r="Y6" s="36">
        <v>1.0</v>
      </c>
      <c r="Z6" s="34"/>
      <c r="AA6" s="34"/>
      <c r="AB6" s="36">
        <v>0.0</v>
      </c>
      <c r="AC6" s="36">
        <v>0.0</v>
      </c>
      <c r="AD6" s="36">
        <v>0.0</v>
      </c>
      <c r="AE6" s="36">
        <v>0.0</v>
      </c>
      <c r="AF6" s="36">
        <v>100.0</v>
      </c>
      <c r="AG6" s="36">
        <v>0.0</v>
      </c>
      <c r="AH6" s="36">
        <v>0.0</v>
      </c>
      <c r="AI6" s="36">
        <v>0.0</v>
      </c>
      <c r="AJ6" s="36">
        <v>0.0</v>
      </c>
      <c r="AK6" s="36">
        <v>-200.0</v>
      </c>
      <c r="AL6" s="34"/>
      <c r="AM6" s="36">
        <v>1.0</v>
      </c>
      <c r="AN6" s="34" t="s">
        <v>18</v>
      </c>
      <c r="AO6" s="34"/>
      <c r="AP6" s="34" t="s">
        <v>45</v>
      </c>
      <c r="AQ6" s="34" t="s">
        <v>17</v>
      </c>
      <c r="AR6" s="36">
        <v>0.0</v>
      </c>
      <c r="AS6" s="36">
        <v>1.0</v>
      </c>
      <c r="AT6" s="34"/>
      <c r="AU6" s="34"/>
      <c r="AV6" s="36">
        <v>1.0</v>
      </c>
      <c r="AW6" s="36">
        <v>-200.0</v>
      </c>
      <c r="AX6" s="36">
        <v>0.0</v>
      </c>
      <c r="AY6" s="36">
        <v>0.0</v>
      </c>
      <c r="AZ6" s="36">
        <v>0.0</v>
      </c>
      <c r="BA6" s="36">
        <v>-100.0</v>
      </c>
      <c r="BB6" s="34"/>
      <c r="BC6" s="36">
        <v>1.0</v>
      </c>
      <c r="BD6" s="36">
        <v>-200.0</v>
      </c>
      <c r="BE6" s="34" t="s">
        <v>31</v>
      </c>
      <c r="BF6" s="34" t="s">
        <v>47</v>
      </c>
      <c r="BG6" s="34" t="s">
        <v>48</v>
      </c>
      <c r="BH6" s="34"/>
      <c r="BI6" s="36">
        <v>5.0</v>
      </c>
      <c r="BJ6" s="36">
        <v>0.0</v>
      </c>
      <c r="BK6" s="36">
        <v>0.0</v>
      </c>
      <c r="BL6" s="36">
        <v>0.0</v>
      </c>
      <c r="BM6" s="36">
        <v>0.0</v>
      </c>
      <c r="BN6" s="34"/>
      <c r="BO6" s="36">
        <v>-200.0</v>
      </c>
      <c r="BP6" s="36">
        <v>0.0</v>
      </c>
      <c r="BQ6" s="34"/>
      <c r="BR6" s="34" t="s">
        <v>36</v>
      </c>
      <c r="BS6" s="36">
        <v>0.0</v>
      </c>
      <c r="BT6" s="36">
        <v>0.0</v>
      </c>
      <c r="BU6" s="34" t="s">
        <v>31</v>
      </c>
      <c r="BV6" s="34"/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B6" s="34"/>
      <c r="CC6" s="36">
        <v>0.0</v>
      </c>
      <c r="CD6" s="36">
        <v>-200.0</v>
      </c>
      <c r="CE6" s="36">
        <v>0.0</v>
      </c>
      <c r="CF6" s="36">
        <v>0.0</v>
      </c>
      <c r="CG6" s="36">
        <v>-200.0</v>
      </c>
      <c r="CH6" s="36">
        <v>-100.0</v>
      </c>
      <c r="CI6" s="36">
        <v>0.0</v>
      </c>
      <c r="CJ6" s="36">
        <v>0.0</v>
      </c>
      <c r="CK6" s="40" t="b">
        <v>0</v>
      </c>
      <c r="CL6" s="34"/>
      <c r="CM6" s="34"/>
      <c r="CN6" s="34" t="s">
        <v>17</v>
      </c>
      <c r="CO6" s="34" t="s">
        <v>17</v>
      </c>
      <c r="CP6" s="41" t="s">
        <v>35</v>
      </c>
      <c r="CQ6" s="34"/>
      <c r="CR6" s="34"/>
      <c r="CS6" s="36">
        <v>2.0</v>
      </c>
      <c r="CT6" s="34"/>
      <c r="CU6" s="34"/>
      <c r="CV6" s="34"/>
      <c r="CW6" s="34"/>
      <c r="CX6" s="34"/>
      <c r="CY6" s="34"/>
      <c r="CZ6" s="34"/>
      <c r="DA6" s="36">
        <v>0.0</v>
      </c>
      <c r="DB6" s="36">
        <v>0.0</v>
      </c>
      <c r="DC6" s="34"/>
      <c r="DD6" s="36">
        <v>100.0</v>
      </c>
      <c r="DE6" s="36">
        <v>0.0</v>
      </c>
      <c r="DF6" s="36">
        <v>0.0</v>
      </c>
      <c r="DG6" s="36">
        <v>0.0</v>
      </c>
      <c r="DH6" s="34"/>
      <c r="DI6" s="36">
        <v>0.0</v>
      </c>
      <c r="DJ6" s="34"/>
      <c r="DK6" s="36">
        <v>0.0</v>
      </c>
      <c r="DL6" s="36">
        <v>0.0</v>
      </c>
      <c r="DM6" s="36">
        <v>1.0</v>
      </c>
      <c r="DN6" s="36">
        <v>0.0</v>
      </c>
      <c r="DO6" s="34"/>
      <c r="DP6" s="34" t="s">
        <v>45</v>
      </c>
      <c r="DQ6" s="34" t="s">
        <v>49</v>
      </c>
      <c r="DR6" s="34" t="s">
        <v>50</v>
      </c>
      <c r="DS6" s="34" t="s">
        <v>49</v>
      </c>
      <c r="DT6" s="34" t="s">
        <v>49</v>
      </c>
      <c r="DU6" s="34" t="s">
        <v>51</v>
      </c>
      <c r="DV6" s="34" t="s">
        <v>49</v>
      </c>
      <c r="DW6" s="34" t="s">
        <v>49</v>
      </c>
      <c r="DX6" s="34" t="s">
        <v>49</v>
      </c>
      <c r="DY6" s="34" t="s">
        <v>49</v>
      </c>
      <c r="DZ6" s="34" t="s">
        <v>38</v>
      </c>
      <c r="EA6" s="34" t="s">
        <v>51</v>
      </c>
      <c r="EB6" s="34" t="s">
        <v>49</v>
      </c>
      <c r="EC6" s="34" t="s">
        <v>49</v>
      </c>
      <c r="ED6" s="34" t="s">
        <v>29</v>
      </c>
      <c r="EE6" s="34" t="s">
        <v>52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4" t="s">
        <v>45</v>
      </c>
      <c r="EM6" s="36">
        <v>0.0</v>
      </c>
      <c r="EN6" s="36">
        <v>0.0</v>
      </c>
      <c r="EO6" s="36">
        <v>0.0</v>
      </c>
      <c r="EP6" s="36">
        <v>0.0</v>
      </c>
      <c r="EQ6" s="36">
        <v>0.0</v>
      </c>
      <c r="ER6" s="36">
        <v>0.0</v>
      </c>
      <c r="ES6" s="36">
        <v>-200.0</v>
      </c>
      <c r="ET6" s="36">
        <v>0.0</v>
      </c>
      <c r="EU6" s="36">
        <v>0.0</v>
      </c>
      <c r="EV6" s="34" t="s">
        <v>45</v>
      </c>
      <c r="EW6" s="36">
        <v>-200.0</v>
      </c>
      <c r="EX6" s="34"/>
      <c r="EY6" s="34"/>
      <c r="EZ6" s="34"/>
      <c r="FA6" s="34" t="s">
        <v>28</v>
      </c>
      <c r="FB6" s="34" t="s">
        <v>28</v>
      </c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7" t="str">
        <f>IFERROR(__xludf.DUMMYFUNCTION("""COMPUTED_VALUE"""),"ReloadOrderFromWorkingSubs")</f>
        <v>ReloadOrderFromWorkingSubs</v>
      </c>
      <c r="Q4" s="27" t="str">
        <f>IFERROR(__xludf.DUMMYFUNCTION("""COMPUTED_VALUE"""),"ReloadOrderFromSubOrder")</f>
        <v>ReloadOrderFromSubOrder</v>
      </c>
      <c r="R4" s="27" t="str">
        <f>IFERROR(__xludf.DUMMYFUNCTION("""COMPUTED_VALUE"""),"ReloadOrderFromBlotter")</f>
        <v>ReloadOrderFromBlotter</v>
      </c>
      <c r="S4" s="27" t="str">
        <f>IFERROR(__xludf.DUMMYFUNCTION("""COMPUTED_VALUE"""),"MultipleTradeTransferToUser")</f>
        <v>MultipleTradeTransferToUser</v>
      </c>
      <c r="T4" s="27" t="str">
        <f>IFERROR(__xludf.DUMMYFUNCTION("""COMPUTED_VALUE"""),"BlotterExecutionReportSnapshot")</f>
        <v>BlotterExecutionReportSnapshot</v>
      </c>
      <c r="U4" s="27" t="str">
        <f>IFERROR(__xludf.DUMMYFUNCTION("""COMPUTED_VALUE"""),"VerifyExecutionReport")</f>
        <v>VerifyExecutionReport</v>
      </c>
      <c r="V4" s="27" t="str">
        <f>IFERROR(__xludf.DUMMYFUNCTION("""COMPUTED_VALUE"""),"ExportExecutionReportData")</f>
        <v>ExportExecutionReportData</v>
      </c>
      <c r="W4" s="27" t="str">
        <f>IFERROR(__xludf.DUMMYFUNCTION("""COMPUTED_VALUE"""),"GetExecutionReportDetails")</f>
        <v>GetExecutionReportDetails</v>
      </c>
      <c r="X4" s="27" t="str">
        <f>IFERROR(__xludf.DUMMYFUNCTION("""COMPUTED_VALUE"""),"GetExecutionReportOrders")</f>
        <v>GetExecutionReportOrders</v>
      </c>
      <c r="Y4" s="27" t="str">
        <f>IFERROR(__xludf.DUMMYFUNCTION("""COMPUTED_VALUE"""),"RemoveExecutionWorkingSubs")</f>
        <v>RemoveExecutionWorkingSubs</v>
      </c>
      <c r="Z4" s="27" t="str">
        <f>IFERROR(__xludf.DUMMYFUNCTION("""COMPUTED_VALUE"""),"RemoveManualExecution")</f>
        <v>RemoveManualExecution</v>
      </c>
      <c r="AA4" s="27" t="str">
        <f>IFERROR(__xludf.DUMMYFUNCTION("""COMPUTED_VALUE"""),"TransferToUserWorkingSubs")</f>
        <v>TransferToUserWorkingSubs</v>
      </c>
      <c r="AB4" s="27" t="str">
        <f>IFERROR(__xludf.DUMMYFUNCTION("""COMPUTED_VALUE"""),"OpenBlotter")</f>
        <v>OpenBlotter</v>
      </c>
      <c r="AC4" s="27" t="str">
        <f>IFERROR(__xludf.DUMMYFUNCTION("""COMPUTED_VALUE"""),"CancelWorkingSubs")</f>
        <v>CancelWorkingSubs</v>
      </c>
      <c r="AD4" s="27" t="str">
        <f>IFERROR(__xludf.DUMMYFUNCTION("""COMPUTED_VALUE"""),"ReplaceWorkingSubs")</f>
        <v>ReplaceWorkingSubs</v>
      </c>
      <c r="AE4" s="27" t="str">
        <f>IFERROR(__xludf.DUMMYFUNCTION("""COMPUTED_VALUE"""),"ViewAllocationDetailsWorkingSub")</f>
        <v>ViewAllocationDetailsWorkingSub</v>
      </c>
      <c r="AF4" s="27" t="str">
        <f>IFERROR(__xludf.DUMMYFUNCTION("""COMPUTED_VALUE"""),"OpenBlotter")</f>
        <v>OpenBlotter</v>
      </c>
      <c r="AG4" s="27" t="str">
        <f>IFERROR(__xludf.DUMMYFUNCTION("""COMPUTED_VALUE"""),"SelectTradeOnOrderGrid")</f>
        <v>SelectTradeOnOrderGrid</v>
      </c>
      <c r="AH4" s="27" t="str">
        <f>IFERROR(__xludf.DUMMYFUNCTION("""COMPUTED_VALUE"""),"ShowDetailsForAlgoTradeSubOrder")</f>
        <v>ShowDetailsForAlgoTradeSubOrder</v>
      </c>
      <c r="AI4" s="27" t="str">
        <f>IFERROR(__xludf.DUMMYFUNCTION("""COMPUTED_VALUE"""),"SelectTradeOrderBlotter")</f>
        <v>SelectTradeOrderBlotter</v>
      </c>
      <c r="AJ4" s="27" t="str">
        <f>IFERROR(__xludf.DUMMYFUNCTION("""COMPUTED_VALUE"""),"AddFillsWorkingSubs")</f>
        <v>AddFillsWorkingSubs</v>
      </c>
      <c r="AK4" s="27" t="str">
        <f>IFERROR(__xludf.DUMMYFUNCTION("""COMPUTED_VALUE"""),"EditAddFillsDetails")</f>
        <v>EditAddFillsDetails</v>
      </c>
      <c r="AL4" s="27" t="str">
        <f>IFERROR(__xludf.DUMMYFUNCTION("""COMPUTED_VALUE"""),"ShowDetailsForAlgoTradeWorkingSubs")</f>
        <v>ShowDetailsForAlgoTradeWorkingSubs</v>
      </c>
      <c r="AM4" s="27" t="str">
        <f>IFERROR(__xludf.DUMMYFUNCTION("""COMPUTED_VALUE"""),"VerifyWorkingSubs")</f>
        <v>VerifyWorkingSubs</v>
      </c>
      <c r="AN4" s="27" t="str">
        <f>IFERROR(__xludf.DUMMYFUNCTION("""COMPUTED_VALUE"""),"TransferToUserOrder")</f>
        <v>TransferToUserOrder</v>
      </c>
      <c r="AO4" s="27" t="str">
        <f>IFERROR(__xludf.DUMMYFUNCTION("""COMPUTED_VALUE"""),"EditOrder")</f>
        <v>EditOrder</v>
      </c>
      <c r="AP4" s="27" t="str">
        <f>IFERROR(__xludf.DUMMYFUNCTION("""COMPUTED_VALUE"""),"SelectTradeSubOrderBlotter")</f>
        <v>SelectTradeSubOrderBlotter</v>
      </c>
      <c r="AQ4" s="27" t="str">
        <f>IFERROR(__xludf.DUMMYFUNCTION("""COMPUTED_VALUE"""),"VerifyOrder")</f>
        <v>VerifyOrder</v>
      </c>
      <c r="AR4" s="27" t="str">
        <f>IFERROR(__xludf.DUMMYFUNCTION("""COMPUTED_VALUE"""),"VerifySubOrder")</f>
        <v>VerifySubOrder</v>
      </c>
      <c r="AS4" s="27" t="str">
        <f>IFERROR(__xludf.DUMMYFUNCTION("""COMPUTED_VALUE"""),"RemoveSelectedOrders")</f>
        <v>RemoveSelectedOrders</v>
      </c>
      <c r="AT4" s="27" t="str">
        <f>IFERROR(__xludf.DUMMYFUNCTION("""COMPUTED_VALUE"""),"CancelAllSelectedSubs")</f>
        <v>CancelAllSelectedSubs</v>
      </c>
      <c r="AU4" s="27" t="str">
        <f>IFERROR(__xludf.DUMMYFUNCTION("""COMPUTED_VALUE"""),"MultiTradingTicket")</f>
        <v>MultiTradingTicket</v>
      </c>
      <c r="AV4" s="27" t="str">
        <f>IFERROR(__xludf.DUMMYFUNCTION("""COMPUTED_VALUE"""),"AuditTrailOrderBlotter")</f>
        <v>AuditTrailOrderBlotter</v>
      </c>
      <c r="AW4" s="27" t="str">
        <f>IFERROR(__xludf.DUMMYFUNCTION("""COMPUTED_VALUE"""),"TradeNewSubOrder")</f>
        <v>TradeNewSubOrder</v>
      </c>
      <c r="AX4" s="27" t="str">
        <f>IFERROR(__xludf.DUMMYFUNCTION("""COMPUTED_VALUE"""),"RemoveStageOrder")</f>
        <v>RemoveStageOrder</v>
      </c>
      <c r="AY4" s="27" t="str">
        <f>IFERROR(__xludf.DUMMYFUNCTION("""COMPUTED_VALUE"""),"TransferToUserSubOrder")</f>
        <v>TransferToUserSubOrder</v>
      </c>
      <c r="AZ4" s="27" t="str">
        <f>IFERROR(__xludf.DUMMYFUNCTION("""COMPUTED_VALUE"""),"DetailsForAlgoTradeOrder")</f>
        <v>DetailsForAlgoTradeOrder</v>
      </c>
      <c r="BA4" s="27" t="str">
        <f>IFERROR(__xludf.DUMMYFUNCTION("""COMPUTED_VALUE"""),"AddFillsSubOrder")</f>
        <v>AddFillsSubOrder</v>
      </c>
      <c r="BB4" s="27" t="str">
        <f>IFERROR(__xludf.DUMMYFUNCTION("""COMPUTED_VALUE"""),"ViewAllocationDetailsSubOrder")</f>
        <v>ViewAllocationDetailsSubOrder</v>
      </c>
      <c r="BC4" s="27" t="str">
        <f>IFERROR(__xludf.DUMMYFUNCTION("""COMPUTED_VALUE"""),"VerifySubOrderAfterRollover")</f>
        <v>VerifySubOrderAfterRollover</v>
      </c>
      <c r="BD4" s="27" t="str">
        <f>IFERROR(__xludf.DUMMYFUNCTION("""COMPUTED_VALUE"""),"VerifyRollover")</f>
        <v>VerifyRollover</v>
      </c>
      <c r="BE4" s="27" t="str">
        <f>IFERROR(__xludf.DUMMYFUNCTION("""COMPUTED_VALUE"""),"CancelAllSubs")</f>
        <v>CancelAllSubs</v>
      </c>
      <c r="BF4" s="27" t="str">
        <f>IFERROR(__xludf.DUMMYFUNCTION("""COMPUTED_VALUE"""),"CancelSubOrder")</f>
        <v>CancelSubOrder</v>
      </c>
      <c r="BG4" s="27" t="str">
        <f>IFERROR(__xludf.DUMMYFUNCTION("""COMPUTED_VALUE"""),"EditStageOrder")</f>
        <v>EditStageOrder</v>
      </c>
      <c r="BH4" s="27" t="str">
        <f>IFERROR(__xludf.DUMMYFUNCTION("""COMPUTED_VALUE"""),"ReplaceSubOrder")</f>
        <v>ReplaceSubOrder</v>
      </c>
      <c r="BI4" s="27" t="str">
        <f>IFERROR(__xludf.DUMMYFUNCTION("""COMPUTED_VALUE"""),"SelectTradeWorkingSubsBlotter")</f>
        <v>SelectTradeWorkingSubsBlotter</v>
      </c>
      <c r="BJ4" s="27" t="str">
        <f>IFERROR(__xludf.DUMMYFUNCTION("""COMPUTED_VALUE"""),"GoToAllocation")</f>
        <v>GoToAllocation</v>
      </c>
      <c r="BK4" s="27" t="str">
        <f>IFERROR(__xludf.DUMMYFUNCTION("""COMPUTED_VALUE"""),"VerifyAlgoDetails")</f>
        <v>VerifyAlgoDetails</v>
      </c>
      <c r="BL4" s="27" t="str">
        <f>IFERROR(__xludf.DUMMYFUNCTION("""COMPUTED_VALUE"""),"VerifyTransferToUserOrder")</f>
        <v>VerifyTransferToUserOrder</v>
      </c>
      <c r="BM4" s="27" t="str">
        <f>IFERROR(__xludf.DUMMYFUNCTION("""COMPUTED_VALUE"""),"VerifyTransferToUserSubOdr")</f>
        <v>VerifyTransferToUserSubOdr</v>
      </c>
      <c r="BN4" s="27" t="str">
        <f>IFERROR(__xludf.DUMMYFUNCTION("""COMPUTED_VALUE"""),"VerifyTransferToUserWorkSub")</f>
        <v>VerifyTransferToUserWorkSub</v>
      </c>
      <c r="BO4" s="27" t="str">
        <f>IFERROR(__xludf.DUMMYFUNCTION("""COMPUTED_VALUE"""),"VerifyViewAllocationDetails")</f>
        <v>VerifyViewAllocationDetails</v>
      </c>
      <c r="BP4" s="27" t="str">
        <f>IFERROR(__xludf.DUMMYFUNCTION("""COMPUTED_VALUE"""),"SaveLayoutOrderGrid")</f>
        <v>SaveLayoutOrderGrid</v>
      </c>
      <c r="BQ4" s="27" t="str">
        <f>IFERROR(__xludf.DUMMYFUNCTION("""COMPUTED_VALUE"""),"ReplaceStageOrder")</f>
        <v>ReplaceStageOrder</v>
      </c>
      <c r="BR4" s="27" t="str">
        <f>IFERROR(__xludf.DUMMYFUNCTION("""COMPUTED_VALUE"""),"MultiTradingTicketFromBlotter")</f>
        <v>MultiTradingTicketFromBlotter</v>
      </c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3">
        <v>2.0</v>
      </c>
      <c r="C6" s="44"/>
      <c r="D6" s="45" t="s">
        <v>17</v>
      </c>
      <c r="E6" s="44"/>
      <c r="F6" s="44" t="s">
        <v>18</v>
      </c>
      <c r="G6" s="44" t="s">
        <v>32</v>
      </c>
      <c r="H6" s="46">
        <v>100.0</v>
      </c>
      <c r="I6" s="47">
        <v>100.0</v>
      </c>
      <c r="J6" s="44">
        <v>100.0</v>
      </c>
      <c r="K6" s="44">
        <v>100.0</v>
      </c>
      <c r="L6" s="44"/>
      <c r="M6" s="44"/>
      <c r="N6" s="47"/>
      <c r="O6" s="47"/>
      <c r="P6" s="47">
        <v>2.0</v>
      </c>
      <c r="Q6" s="47" t="s">
        <v>36</v>
      </c>
      <c r="R6" s="47" t="s">
        <v>19</v>
      </c>
      <c r="S6" s="47"/>
      <c r="T6" s="47" t="s">
        <v>40</v>
      </c>
      <c r="U6" s="47">
        <v>200.0</v>
      </c>
      <c r="V6" s="48">
        <v>200.0</v>
      </c>
      <c r="W6" s="44"/>
      <c r="X6" s="46"/>
      <c r="Y6" s="47"/>
      <c r="Z6" s="47"/>
      <c r="AA6" s="47"/>
      <c r="AB6" s="47"/>
      <c r="AC6" s="49"/>
      <c r="AD6" s="49"/>
      <c r="AE6" s="46"/>
      <c r="AF6" s="47"/>
      <c r="AG6" s="47"/>
      <c r="AH6" s="47"/>
      <c r="AI6" s="49"/>
      <c r="AJ6" s="47"/>
      <c r="AK6" s="49"/>
      <c r="AL6" s="47"/>
      <c r="AM6" s="47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