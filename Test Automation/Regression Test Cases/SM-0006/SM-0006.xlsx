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" sheetId="4" r:id="rId6"/>
    <sheet state="visible" name="GetDataSymbolLookup" sheetId="5" r:id="rId7"/>
    <sheet state="visible" name="TradeSymbolFromSM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  <sheet state="visible" name="UpdateUDA" sheetId="11" r:id="rId13"/>
    <sheet state="visible" name="CheckPortfolioManagement1" sheetId="12" r:id="rId14"/>
    <sheet state="visible" name="Unallocate" sheetId="13" r:id="rId15"/>
    <sheet state="visible" name="DeleteGroup" sheetId="14" r:id="rId16"/>
    <sheet state="visible" name="CheckPortfolioManagement2" sheetId="15" r:id="rId17"/>
  </sheets>
  <definedNames/>
  <calcPr/>
</workbook>
</file>

<file path=xl/sharedStrings.xml><?xml version="1.0" encoding="utf-8"?>
<sst xmlns="http://schemas.openxmlformats.org/spreadsheetml/2006/main" count="248" uniqueCount="68">
  <si>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</si>
  <si>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</si>
  <si>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</si>
  <si>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</si>
  <si>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</si>
  <si>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</si>
  <si>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</si>
  <si>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</si>
  <si>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</si>
  <si>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</si>
  <si>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</si>
  <si>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</si>
  <si>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</si>
  <si>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AddSymbol</t>
  </si>
  <si>
    <t>Data Format</t>
  </si>
  <si>
    <t>Input Format</t>
  </si>
  <si>
    <t>OTC-FixedIncome</t>
  </si>
  <si>
    <t>00176LDN8</t>
  </si>
  <si>
    <t>MM105668 CORP</t>
  </si>
  <si>
    <t>AMR CORP DEL MEDTERM NTS BE FR 9.2%013012</t>
  </si>
  <si>
    <t>Actual_Actual</t>
  </si>
  <si>
    <t>Semi Annually</t>
  </si>
  <si>
    <t>Treasury</t>
  </si>
  <si>
    <t>Undefined</t>
  </si>
  <si>
    <t>GetDataSymbolLookup</t>
  </si>
  <si>
    <t>Exact</t>
  </si>
  <si>
    <t>TradeSymbolFromSM</t>
  </si>
  <si>
    <t>unique</t>
  </si>
  <si>
    <t>FixedIncome</t>
  </si>
  <si>
    <t>EmergingDebt</t>
  </si>
  <si>
    <t>OTC</t>
  </si>
  <si>
    <t>MUL</t>
  </si>
  <si>
    <t>1/1/1800 12:00:00 PM</t>
  </si>
  <si>
    <t>NONE</t>
  </si>
  <si>
    <t>SemiAnnually</t>
  </si>
  <si>
    <t>TradingTicket</t>
  </si>
  <si>
    <t>CreateDoneAwayOrder</t>
  </si>
  <si>
    <t>Buy</t>
  </si>
  <si>
    <t>MS</t>
  </si>
  <si>
    <t>Allocation</t>
  </si>
  <si>
    <t>GetDataAllocation</t>
  </si>
  <si>
    <t>Current</t>
  </si>
  <si>
    <t>CheckAllocatedGroups</t>
  </si>
  <si>
    <t>Allocation1</t>
  </si>
  <si>
    <t>Manual</t>
  </si>
  <si>
    <t>Open</t>
  </si>
  <si>
    <t>BrokerNotes</t>
  </si>
  <si>
    <t>D</t>
  </si>
  <si>
    <t>None</t>
  </si>
  <si>
    <t>DefaultNotes</t>
  </si>
  <si>
    <t>Market</t>
  </si>
  <si>
    <t>InternalOrder</t>
  </si>
  <si>
    <t>Strategy Unallocated</t>
  </si>
  <si>
    <t>GCCAP1</t>
  </si>
  <si>
    <t>jpearce</t>
  </si>
  <si>
    <t>NASDAQ</t>
  </si>
  <si>
    <t>PortfolioManagement</t>
  </si>
  <si>
    <t>CheckPortfolioManagement</t>
  </si>
  <si>
    <t>NewMF</t>
  </si>
  <si>
    <t>Long</t>
  </si>
  <si>
    <t>FIMAT</t>
  </si>
  <si>
    <t>Default</t>
  </si>
  <si>
    <t>UpdateUDA</t>
  </si>
  <si>
    <t>US</t>
  </si>
  <si>
    <t>Small Cap</t>
  </si>
  <si>
    <t>Software</t>
  </si>
  <si>
    <t>Unallocate</t>
  </si>
  <si>
    <t>DeleteGroup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</si>
</sst>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:ss am/pm"/>
    <numFmt numFmtId="167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  <font>
      <sz val="11.0"/>
      <color rgb="FF000000"/>
      <name val="Calibri"/>
    </font>
    <font>
      <sz val="9.0"/>
      <color rgb="FF000000"/>
      <name val="&quot;Segoe UI&quot;"/>
    </font>
    <font>
      <sz val="9.0"/>
      <color rgb="FF000000"/>
      <name val="Verdana"/>
    </font>
    <font>
      <u/>
      <color rgb="FFD9D9D9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horizontal="left" readingOrder="0"/>
    </xf>
    <xf borderId="0" fillId="6" fontId="14" numFmtId="164" xfId="0" applyAlignment="1" applyFont="1" applyNumberFormat="1">
      <alignment horizontal="left" readingOrder="0"/>
    </xf>
    <xf borderId="0" fillId="0" fontId="5" numFmtId="0" xfId="0" applyAlignment="1" applyFont="1">
      <alignment readingOrder="0" shrinkToFit="0" wrapText="0"/>
    </xf>
    <xf borderId="0" fillId="7" fontId="15" numFmtId="0" xfId="0" applyAlignment="1" applyFill="1" applyFont="1">
      <alignment horizontal="right" readingOrder="0" shrinkToFit="0" wrapText="0"/>
    </xf>
    <xf borderId="0" fillId="7" fontId="16" numFmtId="0" xfId="0" applyAlignment="1" applyFont="1">
      <alignment horizontal="right" readingOrder="0" shrinkToFit="0" wrapText="0"/>
    </xf>
    <xf borderId="0" fillId="7" fontId="15" numFmtId="0" xfId="0" applyAlignment="1" applyFont="1">
      <alignment horizontal="right" shrinkToFit="0" wrapText="0"/>
    </xf>
    <xf borderId="0" fillId="7" fontId="15" numFmtId="165" xfId="0" applyAlignment="1" applyFont="1" applyNumberFormat="1">
      <alignment horizontal="right" readingOrder="0" shrinkToFit="0" wrapText="0"/>
    </xf>
    <xf borderId="0" fillId="7" fontId="15" numFmtId="166" xfId="0" applyAlignment="1" applyFont="1" applyNumberFormat="1">
      <alignment horizontal="right" readingOrder="0" shrinkToFit="0" wrapText="0"/>
    </xf>
    <xf borderId="0" fillId="7" fontId="15" numFmtId="167" xfId="0" applyAlignment="1" applyFont="1" applyNumberFormat="1">
      <alignment horizontal="right" readingOrder="0" shrinkToFit="0" wrapText="0"/>
    </xf>
    <xf borderId="0" fillId="0" fontId="3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4" fontId="17" numFmtId="0" xfId="0" applyFont="1"/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6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167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3" numFmtId="166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5" fillId="0" fontId="3" numFmtId="167" xfId="0" applyAlignment="1" applyBorder="1" applyFont="1" applyNumberFormat="1">
      <alignment vertical="bottom"/>
    </xf>
    <xf borderId="5" fillId="0" fontId="14" numFmtId="0" xfId="0" applyAlignment="1" applyBorder="1" applyFont="1">
      <alignment horizontal="right" vertical="bottom"/>
    </xf>
    <xf borderId="5" fillId="0" fontId="14" numFmtId="3" xfId="0" applyAlignment="1" applyBorder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18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IFERROR(__xludf.DUMMYFUNCTION("""COMPUTED_VALUE"""),"ExchangeIdentifier")</f>
        <v>ExchangeIdentifier</v>
      </c>
      <c r="C5" s="28" t="str">
        <f>IFERROR(__xludf.DUMMYFUNCTION("""COMPUTED_VALUE"""),"Symbol")</f>
        <v>Symbol</v>
      </c>
      <c r="D5" s="28" t="str">
        <f>IFERROR(__xludf.DUMMYFUNCTION("""COMPUTED_VALUE"""),"Currency")</f>
        <v>Currency</v>
      </c>
      <c r="E5" s="28" t="str">
        <f>IFERROR(__xludf.DUMMYFUNCTION("""COMPUTED_VALUE"""),"Multiplier")</f>
        <v>Multiplier</v>
      </c>
      <c r="F5" s="29" t="str">
        <f>IFERROR(__xludf.DUMMYFUNCTION("""COMPUTED_VALUE"""),"UnderLyingName")</f>
        <v>UnderLyingName</v>
      </c>
      <c r="G5" s="28" t="str">
        <f>IFERROR(__xludf.DUMMYFUNCTION("""COMPUTED_VALUE"""),"Bloomberg Symbol")</f>
        <v>Bloomberg Symbol</v>
      </c>
      <c r="H5" s="28" t="str">
        <f>IFERROR(__xludf.DUMMYFUNCTION("""COMPUTED_VALUE"""),"Description")</f>
        <v>Description</v>
      </c>
      <c r="I5" s="28" t="str">
        <f>IFERROR(__xludf.DUMMYFUNCTION("""COMPUTED_VALUE"""),"Expiration Date")</f>
        <v>Expiration Date</v>
      </c>
      <c r="J5" s="28" t="str">
        <f>IFERROR(__xludf.DUMMYFUNCTION("""COMPUTED_VALUE"""),"Put/Call")</f>
        <v>Put/Call</v>
      </c>
      <c r="K5" s="28" t="str">
        <f>IFERROR(__xludf.DUMMYFUNCTION("""COMPUTED_VALUE"""),"Strike Price")</f>
        <v>Strike Price</v>
      </c>
      <c r="L5" s="28" t="str">
        <f>IFERROR(__xludf.DUMMYFUNCTION("""COMPUTED_VALUE"""),"Issue Date")</f>
        <v>Issue Date</v>
      </c>
      <c r="M5" s="28" t="str">
        <f>IFERROR(__xludf.DUMMYFUNCTION("""COMPUTED_VALUE"""),"Accrual Basis")</f>
        <v>Accrual Basis</v>
      </c>
      <c r="N5" s="28" t="str">
        <f>IFERROR(__xludf.DUMMYFUNCTION("""COMPUTED_VALUE"""),"Coupon Frequency")</f>
        <v>Coupon Frequency</v>
      </c>
      <c r="O5" s="28" t="str">
        <f>IFERROR(__xludf.DUMMYFUNCTION("""COMPUTED_VALUE"""),"Coupon")</f>
        <v>Coupon</v>
      </c>
      <c r="P5" s="28" t="str">
        <f>IFERROR(__xludf.DUMMYFUNCTION("""COMPUTED_VALUE"""),"Bond Type")</f>
        <v>Bond Type</v>
      </c>
      <c r="Q5" s="28" t="str">
        <f>IFERROR(__xludf.DUMMYFUNCTION("""COMPUTED_VALUE"""),"First Coupan Date")</f>
        <v>First Coupan Date</v>
      </c>
      <c r="R5" s="28" t="str">
        <f>IFERROR(__xludf.DUMMYFUNCTION("""COMPUTED_VALUE"""),"Days To Settlement")</f>
        <v>Days To Settlement</v>
      </c>
      <c r="S5" s="28" t="str">
        <f>IFERROR(__xludf.DUMMYFUNCTION("""COMPUTED_VALUE"""),"IsZero")</f>
        <v>IsZero</v>
      </c>
      <c r="T5" s="30" t="str">
        <f>IFERROR(__xludf.DUMMYFUNCTION("""COMPUTED_VALUE"""),"Collateral Type")</f>
        <v>Collateral Type</v>
      </c>
      <c r="U5" s="30" t="str">
        <f>IFERROR(__xludf.DUMMYFUNCTION("""COMPUTED_VALUE"""),"RoundLots")</f>
        <v>RoundLots</v>
      </c>
      <c r="V5" s="30" t="str">
        <f>IFERROR(__xludf.DUMMYFUNCTION("""COMPUTED_VALUE"""),"LeveragedFactor")</f>
        <v>LeveragedFactor</v>
      </c>
      <c r="W5" s="30" t="str">
        <f>IFERROR(__xludf.DUMMYFUNCTION("""COMPUTED_VALUE"""),"Strike Price Multiplier")</f>
        <v>Strike Price Multiplier</v>
      </c>
      <c r="X5" s="30" t="str">
        <f>IFERROR(__xludf.DUMMYFUNCTION("""COMPUTED_VALUE"""),"Sedol Symbol")</f>
        <v>Sedol Symbol</v>
      </c>
      <c r="Y5" s="30" t="str">
        <f>IFERROR(__xludf.DUMMYFUNCTION("""COMPUTED_VALUE"""),"Cusip Symbol")</f>
        <v>Cusip Symbol</v>
      </c>
      <c r="Z5" s="30" t="str">
        <f>IFERROR(__xludf.DUMMYFUNCTION("""COMPUTED_VALUE"""),"ISIN Symbol")</f>
        <v>ISIN Symbol</v>
      </c>
      <c r="AA5" s="30" t="str">
        <f>IFERROR(__xludf.DUMMYFUNCTION("""COMPUTED_VALUE"""),"IDCOOption-22")</f>
        <v>IDCOOption-22</v>
      </c>
      <c r="AB5" s="30" t="str">
        <f>IFERROR(__xludf.DUMMYFUNCTION("""COMPUTED_VALUE"""),"OSIOption-21")</f>
        <v>OSIOption-21</v>
      </c>
      <c r="AC5" s="30" t="str">
        <f>IFERROR(__xludf.DUMMYFUNCTION("""COMPUTED_VALUE"""),"Comments")</f>
        <v>Comments</v>
      </c>
      <c r="AD5" s="30" t="str">
        <f>IFERROR(__xludf.DUMMYFUNCTION("""COMPUTED_VALUE"""),"Shares Outstanding")</f>
        <v>Shares Outstanding</v>
      </c>
      <c r="AE5" s="30" t="str">
        <f>IFERROR(__xludf.DUMMYFUNCTION("""COMPUTED_VALUE"""),"FactSet Symbol")</f>
        <v>FactSet Symbol</v>
      </c>
      <c r="AF5" s="30" t="str">
        <f>IFERROR(__xludf.DUMMYFUNCTION("""COMPUTED_VALUE"""),"ACTIV Symbol")</f>
        <v>ACTIV Symbol</v>
      </c>
      <c r="AG5" s="30" t="str">
        <f>IFERROR(__xludf.DUMMYFUNCTION("""COMPUTED_VALUE"""),"UDA Security Type")</f>
        <v>UDA Security Type</v>
      </c>
      <c r="AH5" s="30" t="str">
        <f>IFERROR(__xludf.DUMMYFUNCTION("""COMPUTED_VALUE"""),"UDA Country")</f>
        <v>UDA Country</v>
      </c>
      <c r="AI5" s="30" t="str">
        <f>IFERROR(__xludf.DUMMYFUNCTION("""COMPUTED_VALUE"""),"UDA Asset Class")</f>
        <v>UDA Asset Class</v>
      </c>
      <c r="AJ5" s="30" t="str">
        <f>IFERROR(__xludf.DUMMYFUNCTION("""COMPUTED_VALUE"""),"UDA Sector")</f>
        <v>UDA Sector</v>
      </c>
      <c r="AK5" s="30" t="str">
        <f>IFERROR(__xludf.DUMMYFUNCTION("""COMPUTED_VALUE"""),"UDA Sub Sector")</f>
        <v>UDA Sub Sector</v>
      </c>
      <c r="AL5" s="30" t="str">
        <f>IFERROR(__xludf.DUMMYFUNCTION("""COMPUTED_VALUE"""),"Proxy Symbol")</f>
        <v>Proxy Symbol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17</v>
      </c>
      <c r="D6" s="13"/>
      <c r="E6" s="31">
        <v>0.01</v>
      </c>
      <c r="F6" s="31" t="s">
        <v>17</v>
      </c>
      <c r="G6" s="31" t="s">
        <v>18</v>
      </c>
      <c r="H6" s="31" t="s">
        <v>19</v>
      </c>
      <c r="I6" s="32">
        <v>41304.0</v>
      </c>
      <c r="J6" s="8"/>
      <c r="K6" s="8"/>
      <c r="L6" s="32">
        <v>33618.0</v>
      </c>
      <c r="M6" s="31" t="s">
        <v>20</v>
      </c>
      <c r="N6" s="31" t="s">
        <v>21</v>
      </c>
      <c r="O6" s="31">
        <v>9.2</v>
      </c>
      <c r="P6" s="31" t="s">
        <v>22</v>
      </c>
      <c r="Q6" s="32">
        <v>33739.0</v>
      </c>
      <c r="R6" s="9">
        <v>3.0</v>
      </c>
      <c r="AH6" s="31" t="s">
        <v>23</v>
      </c>
      <c r="AJ6" s="31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1" t="s">
        <v>17</v>
      </c>
      <c r="D6" s="13" t="s">
        <v>25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GetDataSymbolLookup!$4:$4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IFERROR(__xludf.DUMMYFUNCTION("""COMPUTED_VALUE"""),"Analyst")</f>
        <v>Analyst</v>
      </c>
      <c r="C5" s="28" t="str">
        <f>IFERROR(__xludf.DUMMYFUNCTION("""COMPUTED_VALUE"""),"Asset Class")</f>
        <v>Asset Class</v>
      </c>
      <c r="D5" s="28" t="str">
        <f>IFERROR(__xludf.DUMMYFUNCTION("""COMPUTED_VALUE"""),"Underlying")</f>
        <v>Underlying</v>
      </c>
      <c r="E5" s="28" t="str">
        <f>IFERROR(__xludf.DUMMYFUNCTION("""COMPUTED_VALUE"""),"Exchange")</f>
        <v>Exchange</v>
      </c>
      <c r="F5" s="29" t="str">
        <f>IFERROR(__xludf.DUMMYFUNCTION("""COMPUTED_VALUE"""),"Currency")</f>
        <v>Currency</v>
      </c>
      <c r="G5" s="28" t="str">
        <f>IFERROR(__xludf.DUMMYFUNCTION("""COMPUTED_VALUE"""),"Ticker")</f>
        <v>Ticker</v>
      </c>
      <c r="H5" s="28" t="str">
        <f>IFERROR(__xludf.DUMMYFUNCTION("""COMPUTED_VALUE"""),"Description")</f>
        <v>Description</v>
      </c>
      <c r="I5" s="28" t="str">
        <f>IFERROR(__xludf.DUMMYFUNCTION("""COMPUTED_VALUE"""),"Proxy Symbol")</f>
        <v>Proxy Symbol</v>
      </c>
      <c r="J5" s="28" t="str">
        <f>IFERROR(__xludf.DUMMYFUNCTION("""COMPUTED_VALUE"""),"RIC")</f>
        <v>RIC</v>
      </c>
      <c r="K5" s="28" t="str">
        <f>IFERROR(__xludf.DUMMYFUNCTION("""COMPUTED_VALUE"""),"BB Code")</f>
        <v>BB Code</v>
      </c>
      <c r="L5" s="28" t="str">
        <f>IFERROR(__xludf.DUMMYFUNCTION("""COMPUTED_VALUE"""),"CUSIP")</f>
        <v>CUSIP</v>
      </c>
      <c r="M5" s="28" t="str">
        <f>IFERROR(__xludf.DUMMYFUNCTION("""COMPUTED_VALUE"""),"ISIN")</f>
        <v>ISIN</v>
      </c>
      <c r="N5" s="28" t="str">
        <f>IFERROR(__xludf.DUMMYFUNCTION("""COMPUTED_VALUE"""),"SEDOL")</f>
        <v>SEDOL</v>
      </c>
      <c r="O5" s="28" t="str">
        <f>IFERROR(__xludf.DUMMYFUNCTION("""COMPUTED_VALUE"""),"OSI-21")</f>
        <v>OSI-21</v>
      </c>
      <c r="P5" s="28" t="str">
        <f>IFERROR(__xludf.DUMMYFUNCTION("""COMPUTED_VALUE"""),"IDCO-22")</f>
        <v>IDCO-22</v>
      </c>
      <c r="Q5" s="28" t="str">
        <f>IFERROR(__xludf.DUMMYFUNCTION("""COMPUTED_VALUE"""),"Country Of Risk")</f>
        <v>Country Of Risk</v>
      </c>
      <c r="R5" s="28" t="str">
        <f>IFERROR(__xludf.DUMMYFUNCTION("""COMPUTED_VALUE"""),"Multiplier")</f>
        <v>Multiplier</v>
      </c>
      <c r="S5" s="28" t="str">
        <f>IFERROR(__xludf.DUMMYFUNCTION("""COMPUTED_VALUE"""),"IssueDate")</f>
        <v>IssueDate</v>
      </c>
      <c r="T5" s="30" t="str">
        <f>IFERROR(__xludf.DUMMYFUNCTION("""COMPUTED_VALUE"""),"FirstCouponDate")</f>
        <v>FirstCouponDate</v>
      </c>
      <c r="U5" s="30" t="str">
        <f>IFERROR(__xludf.DUMMYFUNCTION("""COMPUTED_VALUE"""),"Expiration Date")</f>
        <v>Expiration Date</v>
      </c>
      <c r="V5" s="30" t="str">
        <f>IFERROR(__xludf.DUMMYFUNCTION("""COMPUTED_VALUE"""),"Fixing Date")</f>
        <v>Fixing Date</v>
      </c>
      <c r="W5" s="30" t="str">
        <f>IFERROR(__xludf.DUMMYFUNCTION("""COMPUTED_VALUE"""),"Is NDF")</f>
        <v>Is NDF</v>
      </c>
      <c r="X5" s="30" t="str">
        <f>IFERROR(__xludf.DUMMYFUNCTION("""COMPUTED_VALUE"""),"Underlying Symbol")</f>
        <v>Underlying Symbol</v>
      </c>
      <c r="Y5" s="30" t="str">
        <f>IFERROR(__xludf.DUMMYFUNCTION("""COMPUTED_VALUE"""),"Put/Call")</f>
        <v>Put/Call</v>
      </c>
      <c r="Z5" s="30" t="str">
        <f>IFERROR(__xludf.DUMMYFUNCTION("""COMPUTED_VALUE"""),"Strike Price")</f>
        <v>Strike Price</v>
      </c>
      <c r="AA5" s="30" t="str">
        <f>IFERROR(__xludf.DUMMYFUNCTION("""COMPUTED_VALUE"""),"Leveraged Factor")</f>
        <v>Leveraged Factor</v>
      </c>
      <c r="AB5" s="30" t="str">
        <f>IFERROR(__xludf.DUMMYFUNCTION("""COMPUTED_VALUE"""),"Bond Type")</f>
        <v>Bond Type</v>
      </c>
      <c r="AC5" s="30" t="str">
        <f>IFERROR(__xludf.DUMMYFUNCTION("""COMPUTED_VALUE"""),"Accrual Basis")</f>
        <v>Accrual Basis</v>
      </c>
      <c r="AD5" s="30" t="str">
        <f>IFERROR(__xludf.DUMMYFUNCTION("""COMPUTED_VALUE"""),"Coupon Frequency")</f>
        <v>Coupon Frequency</v>
      </c>
      <c r="AE5" s="30" t="str">
        <f>IFERROR(__xludf.DUMMYFUNCTION("""COMPUTED_VALUE"""),"Issuer")</f>
        <v>Issuer</v>
      </c>
      <c r="AF5" s="30" t="str">
        <f>IFERROR(__xludf.DUMMYFUNCTION("""COMPUTED_VALUE"""),"Currency Future")</f>
        <v>Currency Future</v>
      </c>
      <c r="AG5" s="30" t="str">
        <f>IFERROR(__xludf.DUMMYFUNCTION("""COMPUTED_VALUE"""),"Custom UDA4")</f>
        <v>Custom UDA4</v>
      </c>
      <c r="AH5" s="30" t="str">
        <f>IFERROR(__xludf.DUMMYFUNCTION("""COMPUTED_VALUE"""),"Custom UDA5")</f>
        <v>Custom UDA5</v>
      </c>
      <c r="AI5" s="30" t="str">
        <f>IFERROR(__xludf.DUMMYFUNCTION("""COMPUTED_VALUE"""),"Custom UDA6")</f>
        <v>Custom UDA6</v>
      </c>
      <c r="AJ5" s="30" t="str">
        <f>IFERROR(__xludf.DUMMYFUNCTION("""COMPUTED_VALUE"""),"Custom UDA7")</f>
        <v>Custom UDA7</v>
      </c>
      <c r="AK5" s="30" t="str">
        <f>IFERROR(__xludf.DUMMYFUNCTION("""COMPUTED_VALUE"""),"Liquid Tag")</f>
        <v>Liquid Tag</v>
      </c>
      <c r="AL5" s="30" t="str">
        <f>IFERROR(__xludf.DUMMYFUNCTION("""COMPUTED_VALUE"""),"Region")</f>
        <v>Region</v>
      </c>
      <c r="AM5" s="30" t="str">
        <f>IFERROR(__xludf.DUMMYFUNCTION("""COMPUTED_VALUE"""),"OPRAOptionSymbol")</f>
        <v>OPRAOptionSymbol</v>
      </c>
      <c r="AN5" s="30" t="str">
        <f>IFERROR(__xludf.DUMMYFUNCTION("""COMPUTED_VALUE"""),"Risk Currency")</f>
        <v>Risk Currency</v>
      </c>
      <c r="AO5" s="30" t="str">
        <f>IFERROR(__xludf.DUMMYFUNCTION("""COMPUTED_VALUE"""),"RequestedSymbology")</f>
        <v>RequestedSymbology</v>
      </c>
      <c r="AP5" s="30" t="str">
        <f>IFERROR(__xludf.DUMMYFUNCTION("""COMPUTED_VALUE"""),"RequestedSymbol")</f>
        <v>RequestedSymbol</v>
      </c>
      <c r="AQ5" s="30" t="str">
        <f>IFERROR(__xludf.DUMMYFUNCTION("""COMPUTED_VALUE"""),"Coupon (%)")</f>
        <v>Coupon (%)</v>
      </c>
      <c r="AR5" s="30" t="str">
        <f>IFERROR(__xludf.DUMMYFUNCTION("""COMPUTED_VALUE"""),"IsZero")</f>
        <v>IsZero</v>
      </c>
      <c r="AS5" s="30" t="str">
        <f>IFERROR(__xludf.DUMMYFUNCTION("""COMPUTED_VALUE"""),"CountryCode")</f>
        <v>CountryCode</v>
      </c>
      <c r="AT5" s="30" t="str">
        <f>IFERROR(__xludf.DUMMYFUNCTION("""COMPUTED_VALUE"""),"DaysToSettlement")</f>
        <v>DaysToSettlement</v>
      </c>
      <c r="AU5" s="30" t="str">
        <f>IFERROR(__xludf.DUMMYFUNCTION("""COMPUTED_VALUE"""),"CutOffTime")</f>
        <v>CutOffTime</v>
      </c>
      <c r="AV5" s="30" t="str">
        <f>IFERROR(__xludf.DUMMYFUNCTION("""COMPUTED_VALUE"""),"Creation Date")</f>
        <v>Creation Date</v>
      </c>
      <c r="AW5" s="30" t="str">
        <f>IFERROR(__xludf.DUMMYFUNCTION("""COMPUTED_VALUE"""),"Modified Date")</f>
        <v>Modified Date</v>
      </c>
      <c r="AX5" s="30" t="str">
        <f>IFERROR(__xludf.DUMMYFUNCTION("""COMPUTED_VALUE"""),"RoundLots")</f>
        <v>RoundLots</v>
      </c>
      <c r="AY5" s="30" t="str">
        <f>IFERROR(__xludf.DUMMYFUNCTION("""COMPUTED_VALUE"""),"Sector")</f>
        <v>Sector</v>
      </c>
      <c r="AZ5" s="30" t="str">
        <f>IFERROR(__xludf.DUMMYFUNCTION("""COMPUTED_VALUE"""),"UCITS Eligible Tag")</f>
        <v>UCITS Eligible Tag</v>
      </c>
      <c r="BA5" s="30" t="str">
        <f>IFERROR(__xludf.DUMMYFUNCTION("""COMPUTED_VALUE"""),"DataSource")</f>
        <v>DataSource</v>
      </c>
      <c r="BB5" s="30" t="str">
        <f>IFERROR(__xludf.DUMMYFUNCTION("""COMPUTED_VALUE"""),"IsSecApproved")</f>
        <v>IsSecApproved</v>
      </c>
      <c r="BC5" s="30" t="str">
        <f>IFERROR(__xludf.DUMMYFUNCTION("""COMPUTED_VALUE"""),"Approval Status")</f>
        <v>Approval Status</v>
      </c>
      <c r="BD5" s="30" t="str">
        <f>IFERROR(__xludf.DUMMYFUNCTION("""COMPUTED_VALUE"""),"Last Approved By")</f>
        <v>Last Approved By</v>
      </c>
      <c r="BE5" s="30" t="str">
        <f>IFERROR(__xludf.DUMMYFUNCTION("""COMPUTED_VALUE"""),"CreatedBy")</f>
        <v>CreatedBy</v>
      </c>
      <c r="BF5" s="30" t="str">
        <f>IFERROR(__xludf.DUMMYFUNCTION("""COMPUTED_VALUE"""),"ModifiedBy")</f>
        <v>ModifiedBy</v>
      </c>
      <c r="BG5" s="30" t="str">
        <f>IFERROR(__xludf.DUMMYFUNCTION("""COMPUTED_VALUE"""),"BBGID")</f>
        <v>BBGID</v>
      </c>
      <c r="BH5" s="30" t="str">
        <f>IFERROR(__xludf.DUMMYFUNCTION("""COMPUTED_VALUE"""),"PrimarySymbology")</f>
        <v>PrimarySymbology</v>
      </c>
      <c r="BI5" s="30" t="str">
        <f>IFERROR(__xludf.DUMMYFUNCTION("""COMPUTED_VALUE"""),"ApprovalDate")</f>
        <v>ApprovalDate</v>
      </c>
      <c r="BJ5" s="30" t="str">
        <f>IFERROR(__xludf.DUMMYFUNCTION("""COMPUTED_VALUE"""),"Comments")</f>
        <v>Comments</v>
      </c>
      <c r="BK5" s="30" t="str">
        <f>IFERROR(__xludf.DUMMYFUNCTION("""COMPUTED_VALUE"""),"Strike Price Multiplier")</f>
        <v>Strike Price Multiplier</v>
      </c>
      <c r="BL5" s="30" t="str">
        <f>IFERROR(__xludf.DUMMYFUNCTION("""COMPUTED_VALUE"""),"Esignal Option Root")</f>
        <v>Esignal Option Root</v>
      </c>
      <c r="BM5" s="30" t="str">
        <f>IFERROR(__xludf.DUMMYFUNCTION("""COMPUTED_VALUE"""),"Bloomberg Option Root")</f>
        <v>Bloomberg Option Root</v>
      </c>
      <c r="BN5" s="30" t="str">
        <f>IFERROR(__xludf.DUMMYFUNCTION("""COMPUTED_VALUE"""),"UDA Asset")</f>
        <v>UDA Asset</v>
      </c>
      <c r="BO5" s="30" t="str">
        <f>IFERROR(__xludf.DUMMYFUNCTION("""COMPUTED_VALUE"""),"UDA Security")</f>
        <v>UDA Security</v>
      </c>
      <c r="BP5" s="30" t="str">
        <f>IFERROR(__xludf.DUMMYFUNCTION("""COMPUTED_VALUE"""),"UDA Sector")</f>
        <v>UDA Sector</v>
      </c>
      <c r="BQ5" s="30" t="str">
        <f>IFERROR(__xludf.DUMMYFUNCTION("""COMPUTED_VALUE"""),"UDA SubSector")</f>
        <v>UDA SubSector</v>
      </c>
      <c r="BR5" s="30" t="str">
        <f>IFERROR(__xludf.DUMMYFUNCTION("""COMPUTED_VALUE"""),"UDA Country")</f>
        <v>UDA Country</v>
      </c>
      <c r="BS5" s="30" t="str">
        <f>IFERROR(__xludf.DUMMYFUNCTION("""COMPUTED_VALUE"""),"UseUDAFromUnderlyingOrRoot")</f>
        <v>UseUDAFromUnderlyingOrRoot</v>
      </c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27</v>
      </c>
      <c r="C6" s="35" t="s">
        <v>28</v>
      </c>
      <c r="D6" s="35" t="s">
        <v>29</v>
      </c>
      <c r="E6" s="35" t="s">
        <v>30</v>
      </c>
      <c r="F6" s="35" t="s">
        <v>31</v>
      </c>
      <c r="G6" s="34" t="s">
        <v>17</v>
      </c>
      <c r="H6" s="34" t="s">
        <v>19</v>
      </c>
      <c r="I6" s="36"/>
      <c r="J6" s="36"/>
      <c r="K6" s="34" t="s">
        <v>18</v>
      </c>
      <c r="L6" s="36"/>
      <c r="M6" s="36"/>
      <c r="N6" s="36"/>
      <c r="O6" s="36"/>
      <c r="P6" s="36"/>
      <c r="R6" s="34">
        <v>0.01</v>
      </c>
      <c r="S6" s="37">
        <v>33618.0</v>
      </c>
      <c r="T6" s="37">
        <v>33739.0</v>
      </c>
      <c r="U6" s="37">
        <v>41304.0</v>
      </c>
      <c r="V6" s="38" t="s">
        <v>32</v>
      </c>
      <c r="W6" s="34" t="b">
        <v>0</v>
      </c>
      <c r="X6" s="34" t="s">
        <v>17</v>
      </c>
      <c r="Y6" s="35" t="s">
        <v>33</v>
      </c>
      <c r="Z6" s="34">
        <v>0.0</v>
      </c>
      <c r="AA6" s="34">
        <v>1.0</v>
      </c>
      <c r="AB6" s="35" t="s">
        <v>22</v>
      </c>
      <c r="AC6" s="35" t="s">
        <v>20</v>
      </c>
      <c r="AD6" s="35" t="s">
        <v>34</v>
      </c>
      <c r="AF6" s="35"/>
      <c r="AG6" s="35"/>
      <c r="AH6" s="34"/>
      <c r="AI6" s="35"/>
      <c r="AJ6" s="35"/>
      <c r="AK6" s="35"/>
      <c r="AL6" s="35"/>
      <c r="AM6" s="35"/>
      <c r="AN6" s="35"/>
      <c r="AO6" s="35"/>
      <c r="AP6" s="34"/>
      <c r="AQ6" s="35"/>
      <c r="AR6" s="35"/>
      <c r="AS6" s="35"/>
      <c r="AT6" s="34"/>
      <c r="AU6" s="36"/>
      <c r="AV6" s="35"/>
      <c r="AW6" s="35"/>
      <c r="AX6" s="36"/>
      <c r="AY6" s="35"/>
      <c r="AZ6" s="35"/>
      <c r="BA6" s="35"/>
      <c r="BB6" s="35"/>
      <c r="BC6" s="34"/>
      <c r="BD6" s="34"/>
      <c r="BE6" s="36"/>
      <c r="BF6" s="34"/>
      <c r="BG6" s="36"/>
      <c r="BH6" s="39"/>
      <c r="BI6" s="39"/>
      <c r="BJ6" s="34"/>
      <c r="BK6" s="34"/>
      <c r="BL6" s="34"/>
      <c r="BM6" s="34"/>
      <c r="BN6" s="34"/>
      <c r="BO6" s="34"/>
      <c r="BP6" s="34"/>
      <c r="BQ6" s="34"/>
      <c r="BR6" s="36"/>
      <c r="BS6" s="36"/>
      <c r="BT6" s="34"/>
      <c r="BU6" s="39"/>
      <c r="BV6" s="36"/>
      <c r="BW6" s="34"/>
      <c r="BX6" s="34"/>
      <c r="BY6" s="36"/>
      <c r="BZ6" s="36"/>
      <c r="CA6" s="35"/>
      <c r="CB6" s="35"/>
      <c r="CC6" s="35"/>
      <c r="CD6" s="35"/>
      <c r="CE6" s="35"/>
      <c r="CF6" s="34"/>
      <c r="CG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TradeSymbolFromSM!$4:$4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17</v>
      </c>
      <c r="C6" s="13" t="s">
        <v>37</v>
      </c>
      <c r="D6" s="13">
        <v>100.0</v>
      </c>
      <c r="E6" s="33"/>
      <c r="F6" s="8"/>
      <c r="G6" s="13" t="s">
        <v>38</v>
      </c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40"/>
      <c r="B7" s="41"/>
      <c r="C7" s="42"/>
      <c r="D7" s="43"/>
      <c r="E7" s="42"/>
      <c r="F7" s="44"/>
      <c r="G7" s="42"/>
      <c r="H7" s="44"/>
      <c r="I7" s="42"/>
      <c r="J7" s="43"/>
      <c r="K7" s="44"/>
      <c r="L7" s="44"/>
      <c r="M7" s="44"/>
      <c r="N7" s="44"/>
      <c r="O7" s="44"/>
      <c r="P7" s="44"/>
      <c r="Q7" s="44"/>
      <c r="R7" s="44"/>
      <c r="S7" s="44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 t="s">
        <v>43</v>
      </c>
      <c r="C6" s="46"/>
      <c r="D6" s="47"/>
      <c r="E6" s="47">
        <v>100.0</v>
      </c>
      <c r="F6" s="46" t="s">
        <v>44</v>
      </c>
      <c r="G6" s="46" t="s">
        <v>28</v>
      </c>
      <c r="H6" s="47">
        <v>0.0</v>
      </c>
      <c r="I6" s="47">
        <v>0.0</v>
      </c>
      <c r="J6" s="47">
        <v>80.0</v>
      </c>
      <c r="K6" s="47">
        <v>0.0</v>
      </c>
      <c r="L6" s="47">
        <v>1.0</v>
      </c>
      <c r="M6" s="46"/>
      <c r="N6" s="46"/>
      <c r="O6" s="46" t="s">
        <v>38</v>
      </c>
      <c r="P6" s="48"/>
      <c r="Q6" s="47">
        <v>3.0</v>
      </c>
      <c r="R6" s="47">
        <v>0.0</v>
      </c>
      <c r="S6" s="46" t="s">
        <v>45</v>
      </c>
      <c r="T6" s="47">
        <v>0.0</v>
      </c>
      <c r="U6" s="47">
        <v>0.0</v>
      </c>
      <c r="V6" s="46"/>
      <c r="W6" s="47">
        <v>0.01</v>
      </c>
      <c r="X6" s="47"/>
      <c r="Y6" s="48"/>
      <c r="Z6" s="46" t="s">
        <v>31</v>
      </c>
      <c r="AA6" s="48"/>
      <c r="AB6" s="47">
        <v>1.0</v>
      </c>
      <c r="AC6" s="46" t="s">
        <v>46</v>
      </c>
      <c r="AD6" s="46" t="s">
        <v>30</v>
      </c>
      <c r="AE6" s="47">
        <v>100.0</v>
      </c>
      <c r="AF6" s="49"/>
      <c r="AG6" s="50"/>
      <c r="AH6" s="46" t="s">
        <v>47</v>
      </c>
      <c r="AI6" s="47">
        <v>0.0</v>
      </c>
      <c r="AJ6" s="46" t="s">
        <v>48</v>
      </c>
      <c r="AK6" s="48"/>
      <c r="AL6" s="48"/>
      <c r="AM6" s="46" t="s">
        <v>49</v>
      </c>
      <c r="AN6" s="46" t="b">
        <v>0</v>
      </c>
      <c r="AO6" s="48"/>
      <c r="AP6" s="46" t="b">
        <v>1</v>
      </c>
      <c r="AQ6" s="46" t="b">
        <v>0</v>
      </c>
      <c r="AR6" s="46" t="b">
        <v>1</v>
      </c>
      <c r="AS6" s="47"/>
      <c r="AT6" s="47">
        <v>0.0</v>
      </c>
      <c r="AU6" s="47">
        <v>1.0</v>
      </c>
      <c r="AV6" s="51"/>
      <c r="AW6" s="47">
        <v>0.0</v>
      </c>
      <c r="AX6" s="47">
        <v>0.0</v>
      </c>
      <c r="AY6" s="46" t="s">
        <v>50</v>
      </c>
      <c r="AZ6" s="47">
        <v>0.0</v>
      </c>
      <c r="BA6" s="51"/>
      <c r="BB6" s="48"/>
      <c r="BC6" s="47">
        <v>0.0</v>
      </c>
      <c r="BD6" s="46" t="s">
        <v>51</v>
      </c>
      <c r="BE6" s="47">
        <v>0.0</v>
      </c>
      <c r="BF6" s="47">
        <v>1.0</v>
      </c>
      <c r="BG6" s="51"/>
      <c r="BH6" s="48"/>
      <c r="BI6" s="48"/>
      <c r="BJ6" s="47">
        <v>100.0</v>
      </c>
      <c r="BK6" s="47">
        <v>0.0</v>
      </c>
      <c r="BL6" s="48"/>
      <c r="BM6" s="46" t="s">
        <v>31</v>
      </c>
      <c r="BN6" s="51"/>
      <c r="BO6" s="46" t="s">
        <v>37</v>
      </c>
      <c r="BP6" s="47">
        <v>0.0</v>
      </c>
      <c r="BQ6" s="47">
        <v>0.0</v>
      </c>
      <c r="BR6" s="47">
        <v>0.0</v>
      </c>
      <c r="BS6" s="46" t="s">
        <v>52</v>
      </c>
      <c r="BT6" s="46" t="s">
        <v>17</v>
      </c>
      <c r="BU6" s="47">
        <v>0.0</v>
      </c>
      <c r="BV6" s="47">
        <v>0.0</v>
      </c>
      <c r="BW6" s="47">
        <v>0.0</v>
      </c>
      <c r="BX6" s="47">
        <v>0.0</v>
      </c>
      <c r="CF6" s="46" t="s">
        <v>53</v>
      </c>
      <c r="CG6" s="47">
        <v>0.0</v>
      </c>
      <c r="CH6" s="46" t="s">
        <v>35</v>
      </c>
      <c r="CI6" s="46" t="s">
        <v>37</v>
      </c>
      <c r="CJ6" s="47">
        <v>0.0</v>
      </c>
      <c r="CK6" s="46" t="s">
        <v>29</v>
      </c>
      <c r="CL6" s="47">
        <v>1.0</v>
      </c>
      <c r="CM6" s="46" t="s">
        <v>17</v>
      </c>
      <c r="CN6" s="46" t="s">
        <v>54</v>
      </c>
      <c r="CO6" s="46" t="s">
        <v>55</v>
      </c>
      <c r="CP6" s="46" t="s">
        <v>33</v>
      </c>
      <c r="CQ6" s="48"/>
      <c r="CR6" s="47"/>
      <c r="CS6" s="48"/>
      <c r="CT6" s="48"/>
      <c r="CU6" s="51"/>
      <c r="CV6" s="49"/>
      <c r="CW6" s="48"/>
      <c r="CX6" s="48"/>
      <c r="CY6" s="47"/>
      <c r="CZ6" s="48"/>
      <c r="DA6" s="47"/>
      <c r="DB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0"/>
      <c r="B8" s="41"/>
      <c r="C8" s="41"/>
      <c r="D8" s="44"/>
      <c r="E8" s="44"/>
      <c r="F8" s="41"/>
      <c r="G8" s="41"/>
      <c r="H8" s="44"/>
      <c r="I8" s="44"/>
      <c r="J8" s="44"/>
      <c r="K8" s="44"/>
      <c r="L8" s="44"/>
      <c r="M8" s="44"/>
      <c r="N8" s="41"/>
      <c r="O8" s="41"/>
      <c r="P8" s="44"/>
      <c r="Q8" s="44"/>
      <c r="R8" s="44"/>
      <c r="S8" s="41"/>
      <c r="T8" s="40"/>
      <c r="U8" s="40"/>
      <c r="V8" s="52"/>
      <c r="W8" s="40"/>
      <c r="X8" s="40"/>
      <c r="Y8" s="40"/>
      <c r="Z8" s="52"/>
      <c r="AA8" s="40"/>
      <c r="AB8" s="40"/>
      <c r="AC8" s="52"/>
      <c r="AD8" s="52"/>
      <c r="AE8" s="40"/>
      <c r="AF8" s="53"/>
      <c r="AG8" s="54"/>
      <c r="AH8" s="52"/>
      <c r="AI8" s="40"/>
      <c r="AJ8" s="52"/>
      <c r="AK8" s="40"/>
      <c r="AL8" s="40"/>
      <c r="AM8" s="52"/>
      <c r="AN8" s="55"/>
      <c r="AO8" s="40"/>
      <c r="AP8" s="55"/>
      <c r="AQ8" s="55"/>
      <c r="AR8" s="55"/>
      <c r="AS8" s="40"/>
      <c r="AT8" s="56"/>
      <c r="AU8" s="56"/>
      <c r="AV8" s="54"/>
      <c r="AW8" s="40"/>
      <c r="AX8" s="40"/>
      <c r="AY8" s="52"/>
      <c r="AZ8" s="40"/>
      <c r="BA8" s="54"/>
      <c r="BB8" s="40"/>
      <c r="BC8" s="40"/>
      <c r="BD8" s="52"/>
      <c r="BE8" s="56"/>
      <c r="BF8" s="56"/>
      <c r="BG8" s="54"/>
      <c r="BH8" s="40"/>
      <c r="BI8" s="40"/>
      <c r="BJ8" s="40"/>
      <c r="BK8" s="40"/>
      <c r="BL8" s="40"/>
      <c r="BM8" s="52"/>
      <c r="BN8" s="54"/>
      <c r="BO8" s="52"/>
      <c r="BP8" s="40"/>
      <c r="BQ8" s="40"/>
      <c r="BR8" s="40"/>
      <c r="BS8" s="52"/>
      <c r="BT8" s="52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52"/>
      <c r="CG8" s="40"/>
      <c r="CH8" s="52"/>
      <c r="CI8" s="52"/>
      <c r="CJ8" s="40"/>
      <c r="CK8" s="52"/>
      <c r="CL8" s="40"/>
      <c r="CM8" s="52"/>
      <c r="CN8" s="52"/>
      <c r="CO8" s="52"/>
      <c r="CP8" s="52"/>
      <c r="CQ8" s="40"/>
      <c r="CR8" s="40"/>
      <c r="CS8" s="40"/>
      <c r="CT8" s="40"/>
      <c r="CU8" s="54"/>
      <c r="CV8" s="53"/>
      <c r="CW8" s="40"/>
      <c r="CX8" s="40"/>
      <c r="CY8" s="40"/>
      <c r="CZ8" s="40"/>
      <c r="DA8" s="40"/>
      <c r="DB8" s="52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51"/>
      <c r="C6" s="46" t="s">
        <v>17</v>
      </c>
      <c r="D6" s="47">
        <v>100.0</v>
      </c>
      <c r="E6" s="46" t="s">
        <v>43</v>
      </c>
      <c r="F6" s="46" t="s">
        <v>58</v>
      </c>
      <c r="G6" s="47">
        <v>1.0</v>
      </c>
      <c r="H6" s="46" t="s">
        <v>59</v>
      </c>
      <c r="I6" s="47">
        <v>0.0</v>
      </c>
      <c r="J6" s="47">
        <v>0.0</v>
      </c>
      <c r="K6" s="47">
        <v>0.0</v>
      </c>
      <c r="L6" s="47">
        <v>0.0</v>
      </c>
      <c r="M6" s="47">
        <v>0.0</v>
      </c>
      <c r="N6" s="47">
        <v>0.0</v>
      </c>
      <c r="O6" s="46" t="s">
        <v>19</v>
      </c>
      <c r="P6" s="46"/>
      <c r="Q6" s="47">
        <v>0.0</v>
      </c>
      <c r="R6" s="46" t="s">
        <v>60</v>
      </c>
      <c r="S6" s="46" t="s">
        <v>52</v>
      </c>
      <c r="T6" s="46" t="s">
        <v>28</v>
      </c>
      <c r="U6" s="46" t="s">
        <v>29</v>
      </c>
      <c r="V6" s="46" t="s">
        <v>30</v>
      </c>
      <c r="W6" s="46" t="s">
        <v>31</v>
      </c>
      <c r="X6" s="47">
        <v>0.01</v>
      </c>
      <c r="Y6" s="47">
        <v>0.0</v>
      </c>
      <c r="Z6" s="48"/>
      <c r="AA6" s="48"/>
      <c r="AB6" s="47">
        <v>0.0</v>
      </c>
      <c r="AC6" s="47">
        <v>0.0</v>
      </c>
      <c r="AD6" s="47">
        <v>0.0</v>
      </c>
      <c r="AE6" s="47">
        <v>0.0</v>
      </c>
      <c r="AF6" s="47">
        <v>1.0</v>
      </c>
      <c r="AG6" s="47">
        <v>0.0</v>
      </c>
      <c r="AH6" s="47">
        <v>0.0</v>
      </c>
      <c r="AI6" s="47">
        <v>0.0</v>
      </c>
      <c r="AJ6" s="47">
        <v>0.0</v>
      </c>
      <c r="AK6" s="47">
        <v>-1.0</v>
      </c>
      <c r="AL6" s="47">
        <v>1.0</v>
      </c>
      <c r="AM6" s="47">
        <v>1.0</v>
      </c>
      <c r="AN6" s="46" t="s">
        <v>37</v>
      </c>
      <c r="AO6" s="48"/>
      <c r="AP6" s="46" t="s">
        <v>59</v>
      </c>
      <c r="AQ6" s="46" t="s">
        <v>17</v>
      </c>
      <c r="AR6" s="47">
        <v>0.0</v>
      </c>
      <c r="AS6" s="47">
        <v>1.0</v>
      </c>
      <c r="AT6" s="46" t="s">
        <v>46</v>
      </c>
      <c r="AU6" s="46" t="s">
        <v>49</v>
      </c>
      <c r="AV6" s="46"/>
      <c r="AW6" s="47">
        <v>-1.0</v>
      </c>
      <c r="AX6" s="47">
        <v>0.0</v>
      </c>
      <c r="AY6" s="47">
        <v>0.0</v>
      </c>
      <c r="AZ6" s="47">
        <v>0.0</v>
      </c>
      <c r="BA6" s="47">
        <v>0.0</v>
      </c>
      <c r="BB6" s="49"/>
      <c r="BC6" s="47">
        <v>1.0</v>
      </c>
      <c r="BD6" s="47">
        <v>-1.0</v>
      </c>
      <c r="BE6" s="46" t="s">
        <v>28</v>
      </c>
      <c r="BF6" s="46" t="s">
        <v>23</v>
      </c>
      <c r="BG6" s="46" t="s">
        <v>23</v>
      </c>
      <c r="BH6" s="46" t="s">
        <v>23</v>
      </c>
      <c r="BI6" s="46" t="s">
        <v>23</v>
      </c>
      <c r="BJ6" s="47">
        <v>0.0</v>
      </c>
      <c r="BK6" s="47"/>
      <c r="BL6" s="47">
        <v>0.0</v>
      </c>
      <c r="BM6" s="47">
        <v>0.0</v>
      </c>
      <c r="BN6" s="49"/>
      <c r="BO6" s="47">
        <v>0.0</v>
      </c>
      <c r="BP6" s="47">
        <v>0.0</v>
      </c>
      <c r="BQ6" s="46" t="s">
        <v>54</v>
      </c>
      <c r="BR6" s="46" t="s">
        <v>38</v>
      </c>
      <c r="BS6" s="47">
        <v>0.0</v>
      </c>
      <c r="BT6" s="47">
        <v>0.0</v>
      </c>
      <c r="BU6" s="46" t="s">
        <v>28</v>
      </c>
      <c r="BV6" s="50"/>
      <c r="BW6" s="47">
        <v>0.0</v>
      </c>
      <c r="BX6" s="47">
        <v>0.0</v>
      </c>
      <c r="BY6" s="47">
        <v>0.0</v>
      </c>
      <c r="BZ6" s="47">
        <v>0.0</v>
      </c>
      <c r="CA6" s="47">
        <v>0.0</v>
      </c>
      <c r="CB6" s="51"/>
      <c r="CC6" s="47">
        <v>0.0</v>
      </c>
      <c r="CD6" s="47">
        <v>0.0</v>
      </c>
      <c r="CE6" s="47">
        <v>0.0</v>
      </c>
      <c r="CF6" s="47">
        <v>0.0</v>
      </c>
      <c r="CG6" s="47">
        <v>0.0</v>
      </c>
      <c r="CH6" s="47">
        <v>0.0</v>
      </c>
      <c r="CI6" s="47">
        <v>0.0</v>
      </c>
      <c r="CJ6" s="47">
        <v>0.0</v>
      </c>
      <c r="CK6" s="46" t="b">
        <v>0</v>
      </c>
      <c r="CL6" s="48"/>
      <c r="CM6" s="48"/>
      <c r="CN6" s="48"/>
      <c r="CO6" s="48"/>
      <c r="CP6" s="46"/>
      <c r="CQ6" s="48"/>
      <c r="CR6" s="51"/>
      <c r="CS6" s="47">
        <v>1.0</v>
      </c>
      <c r="CT6" s="48"/>
      <c r="CU6" s="48"/>
      <c r="CV6" s="48"/>
      <c r="CW6" s="48"/>
      <c r="CX6" s="48"/>
      <c r="CY6" s="46" t="s">
        <v>48</v>
      </c>
      <c r="CZ6" s="46" t="s">
        <v>61</v>
      </c>
      <c r="DA6" s="47">
        <v>0.0</v>
      </c>
      <c r="DB6" s="47">
        <v>0.0</v>
      </c>
      <c r="DC6" s="50"/>
      <c r="DD6" s="47">
        <v>1.0</v>
      </c>
      <c r="DE6" s="47">
        <v>0.0</v>
      </c>
      <c r="DF6" s="47">
        <v>0.0</v>
      </c>
      <c r="DG6" s="47">
        <v>0.0</v>
      </c>
      <c r="DH6" s="46"/>
      <c r="DI6" s="47">
        <v>0.0</v>
      </c>
      <c r="DJ6" s="46" t="s">
        <v>37</v>
      </c>
      <c r="DK6" s="47">
        <v>0.0</v>
      </c>
      <c r="DL6" s="47">
        <v>0.0</v>
      </c>
      <c r="DM6" s="47">
        <v>0.0</v>
      </c>
      <c r="DN6" s="47">
        <v>0.0</v>
      </c>
      <c r="DO6" s="48"/>
      <c r="DP6" s="46" t="s">
        <v>59</v>
      </c>
      <c r="DQ6" s="46" t="s">
        <v>27</v>
      </c>
      <c r="DR6" s="46" t="s">
        <v>27</v>
      </c>
      <c r="DS6" s="46" t="s">
        <v>27</v>
      </c>
      <c r="DT6" s="46" t="s">
        <v>27</v>
      </c>
      <c r="DU6" s="46" t="s">
        <v>27</v>
      </c>
      <c r="DV6" s="46" t="s">
        <v>27</v>
      </c>
      <c r="DW6" s="46" t="s">
        <v>27</v>
      </c>
      <c r="DX6" s="46" t="s">
        <v>27</v>
      </c>
      <c r="DY6" s="46" t="s">
        <v>27</v>
      </c>
      <c r="DZ6" s="46" t="s">
        <v>19</v>
      </c>
      <c r="EA6" s="46" t="s">
        <v>27</v>
      </c>
      <c r="EB6" s="46" t="s">
        <v>27</v>
      </c>
      <c r="EC6" s="46" t="s">
        <v>27</v>
      </c>
      <c r="ED6" s="46" t="s">
        <v>31</v>
      </c>
      <c r="EE6" s="46" t="s">
        <v>27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6" t="s">
        <v>59</v>
      </c>
      <c r="EM6" s="47">
        <v>0.0</v>
      </c>
      <c r="EN6" s="47">
        <v>0.0</v>
      </c>
      <c r="EO6" s="47">
        <v>0.0</v>
      </c>
      <c r="EP6" s="47">
        <v>0.0</v>
      </c>
      <c r="EQ6" s="47">
        <v>0.0</v>
      </c>
      <c r="ER6" s="47">
        <v>0.0</v>
      </c>
      <c r="ES6" s="47">
        <v>0.0</v>
      </c>
      <c r="ET6" s="47">
        <v>0.0</v>
      </c>
      <c r="EU6" s="47">
        <v>0.0</v>
      </c>
      <c r="EV6" s="46" t="s">
        <v>59</v>
      </c>
      <c r="EW6" s="47">
        <v>0.0</v>
      </c>
      <c r="EX6" s="46" t="b">
        <v>0</v>
      </c>
      <c r="EY6" s="46"/>
      <c r="EZ6" s="47"/>
      <c r="FA6" s="47"/>
      <c r="FB6" s="47"/>
      <c r="FC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0"/>
      <c r="B8" s="57"/>
      <c r="C8" s="41"/>
      <c r="D8" s="58"/>
      <c r="E8" s="41"/>
      <c r="F8" s="41"/>
      <c r="G8" s="58"/>
      <c r="H8" s="41"/>
      <c r="I8" s="59"/>
      <c r="J8" s="58"/>
      <c r="K8" s="58"/>
      <c r="L8" s="58"/>
      <c r="M8" s="58"/>
      <c r="N8" s="59"/>
      <c r="O8" s="41"/>
      <c r="P8" s="41"/>
      <c r="Q8" s="59"/>
      <c r="R8" s="41"/>
      <c r="S8" s="41"/>
      <c r="T8" s="52"/>
      <c r="U8" s="52"/>
      <c r="V8" s="52"/>
      <c r="W8" s="52"/>
      <c r="X8" s="60"/>
      <c r="Y8" s="60"/>
      <c r="Z8" s="40"/>
      <c r="AA8" s="40"/>
      <c r="AB8" s="60"/>
      <c r="AC8" s="60"/>
      <c r="AD8" s="60"/>
      <c r="AE8" s="61"/>
      <c r="AF8" s="60"/>
      <c r="AG8" s="60"/>
      <c r="AH8" s="60"/>
      <c r="AI8" s="60"/>
      <c r="AJ8" s="60"/>
      <c r="AK8" s="61"/>
      <c r="AL8" s="60"/>
      <c r="AM8" s="60"/>
      <c r="AN8" s="52"/>
      <c r="AO8" s="40"/>
      <c r="AP8" s="52"/>
      <c r="AQ8" s="52"/>
      <c r="AR8" s="60"/>
      <c r="AS8" s="60"/>
      <c r="AT8" s="52"/>
      <c r="AU8" s="52"/>
      <c r="AV8" s="60"/>
      <c r="AW8" s="61"/>
      <c r="AX8" s="60"/>
      <c r="AY8" s="60"/>
      <c r="AZ8" s="61"/>
      <c r="BA8" s="60"/>
      <c r="BB8" s="53"/>
      <c r="BC8" s="60"/>
      <c r="BD8" s="60"/>
      <c r="BE8" s="52"/>
      <c r="BF8" s="52"/>
      <c r="BG8" s="52"/>
      <c r="BH8" s="52"/>
      <c r="BI8" s="52"/>
      <c r="BJ8" s="60"/>
      <c r="BK8" s="60"/>
      <c r="BL8" s="60"/>
      <c r="BM8" s="60"/>
      <c r="BN8" s="53"/>
      <c r="BO8" s="60"/>
      <c r="BP8" s="60"/>
      <c r="BQ8" s="52"/>
      <c r="BR8" s="52"/>
      <c r="BS8" s="60"/>
      <c r="BT8" s="60"/>
      <c r="BU8" s="52"/>
      <c r="BV8" s="62"/>
      <c r="BW8" s="60"/>
      <c r="BX8" s="60"/>
      <c r="BY8" s="61"/>
      <c r="BZ8" s="60"/>
      <c r="CA8" s="60"/>
      <c r="CB8" s="54"/>
      <c r="CC8" s="60"/>
      <c r="CD8" s="61"/>
      <c r="CE8" s="60"/>
      <c r="CF8" s="60"/>
      <c r="CG8" s="61"/>
      <c r="CH8" s="60"/>
      <c r="CI8" s="60"/>
      <c r="CJ8" s="60"/>
      <c r="CK8" s="55"/>
      <c r="CL8" s="40"/>
      <c r="CM8" s="40"/>
      <c r="CN8" s="40"/>
      <c r="CO8" s="40"/>
      <c r="CP8" s="40"/>
      <c r="CQ8" s="40"/>
      <c r="CR8" s="54"/>
      <c r="CS8" s="60"/>
      <c r="CT8" s="40"/>
      <c r="CU8" s="40"/>
      <c r="CV8" s="40"/>
      <c r="CW8" s="40"/>
      <c r="CX8" s="40"/>
      <c r="CY8" s="52"/>
      <c r="CZ8" s="52"/>
      <c r="DA8" s="60"/>
      <c r="DB8" s="60"/>
      <c r="DC8" s="62"/>
      <c r="DD8" s="60"/>
      <c r="DE8" s="60"/>
      <c r="DF8" s="60"/>
      <c r="DG8" s="60"/>
      <c r="DH8" s="52"/>
      <c r="DI8" s="60"/>
      <c r="DJ8" s="52"/>
      <c r="DK8" s="60"/>
      <c r="DL8" s="60"/>
      <c r="DM8" s="60"/>
      <c r="DN8" s="60"/>
      <c r="DO8" s="40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60"/>
      <c r="EG8" s="60"/>
      <c r="EH8" s="60"/>
      <c r="EI8" s="60"/>
      <c r="EJ8" s="60"/>
      <c r="EK8" s="60"/>
      <c r="EL8" s="52"/>
      <c r="EM8" s="60"/>
      <c r="EN8" s="60"/>
      <c r="EO8" s="60"/>
      <c r="EP8" s="60"/>
      <c r="EQ8" s="60"/>
      <c r="ER8" s="60"/>
      <c r="ES8" s="61"/>
      <c r="ET8" s="60"/>
      <c r="EU8" s="60"/>
      <c r="EV8" s="52"/>
      <c r="EW8" s="61"/>
      <c r="EX8" s="52"/>
      <c r="EY8" s="52"/>
      <c r="EZ8" s="60"/>
      <c r="FA8" s="60"/>
      <c r="FB8" s="60"/>
      <c r="FC8" s="6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IFERROR(__xludf.DUMMYFUNCTION("""COMPUTED_VALUE"""),"UDA Security Type")</f>
        <v>UDA Security Type</v>
      </c>
      <c r="C5" s="28" t="str">
        <f>IFERROR(__xludf.DUMMYFUNCTION("""COMPUTED_VALUE"""),"UDA Country")</f>
        <v>UDA Country</v>
      </c>
      <c r="D5" s="28" t="str">
        <f>IFERROR(__xludf.DUMMYFUNCTION("""COMPUTED_VALUE"""),"UDA Asset Class")</f>
        <v>UDA Asset Class</v>
      </c>
      <c r="E5" s="28" t="str">
        <f>IFERROR(__xludf.DUMMYFUNCTION("""COMPUTED_VALUE"""),"UDA Sector")</f>
        <v>UDA Sector</v>
      </c>
      <c r="F5" s="29" t="str">
        <f>IFERROR(__xludf.DUMMYFUNCTION("""COMPUTED_VALUE"""),"UDA Sub Sector")</f>
        <v>UDA Sub Sector</v>
      </c>
      <c r="G5" s="28" t="str">
        <f>IFERROR(__xludf.DUMMYFUNCTION("""COMPUTED_VALUE"""),"Bloomberg Symbol")</f>
        <v>Bloomberg Symbol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3"/>
      <c r="B6" s="64"/>
      <c r="C6" s="41" t="s">
        <v>63</v>
      </c>
      <c r="D6" s="65"/>
      <c r="E6" s="41" t="s">
        <v>64</v>
      </c>
      <c r="F6" s="41" t="s">
        <v>65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UpdateUDA!$4:$4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51"/>
      <c r="C6" s="46" t="s">
        <v>17</v>
      </c>
      <c r="D6" s="47">
        <v>100.0</v>
      </c>
      <c r="E6" s="46" t="s">
        <v>43</v>
      </c>
      <c r="F6" s="46" t="s">
        <v>58</v>
      </c>
      <c r="G6" s="47">
        <v>1.0</v>
      </c>
      <c r="H6" s="46" t="s">
        <v>59</v>
      </c>
      <c r="I6" s="47">
        <v>0.0</v>
      </c>
      <c r="J6" s="47">
        <v>0.0</v>
      </c>
      <c r="K6" s="47">
        <v>0.0</v>
      </c>
      <c r="L6" s="47">
        <v>0.0</v>
      </c>
      <c r="M6" s="47">
        <v>0.0</v>
      </c>
      <c r="N6" s="47">
        <v>0.0</v>
      </c>
      <c r="O6" s="46" t="s">
        <v>19</v>
      </c>
      <c r="P6" s="46"/>
      <c r="Q6" s="47">
        <v>0.0</v>
      </c>
      <c r="R6" s="46" t="s">
        <v>60</v>
      </c>
      <c r="S6" s="46" t="s">
        <v>52</v>
      </c>
      <c r="T6" s="46" t="s">
        <v>28</v>
      </c>
      <c r="U6" s="46" t="s">
        <v>29</v>
      </c>
      <c r="V6" s="46" t="s">
        <v>30</v>
      </c>
      <c r="W6" s="46" t="s">
        <v>31</v>
      </c>
      <c r="X6" s="47">
        <v>0.01</v>
      </c>
      <c r="Y6" s="47">
        <v>0.0</v>
      </c>
      <c r="Z6" s="48"/>
      <c r="AA6" s="48"/>
      <c r="AB6" s="47">
        <v>0.0</v>
      </c>
      <c r="AC6" s="47">
        <v>0.0</v>
      </c>
      <c r="AD6" s="47">
        <v>0.0</v>
      </c>
      <c r="AE6" s="47">
        <v>0.0</v>
      </c>
      <c r="AF6" s="47">
        <v>1.0</v>
      </c>
      <c r="AG6" s="47">
        <v>0.0</v>
      </c>
      <c r="AH6" s="47">
        <v>0.0</v>
      </c>
      <c r="AI6" s="47">
        <v>0.0</v>
      </c>
      <c r="AJ6" s="47">
        <v>0.0</v>
      </c>
      <c r="AK6" s="47">
        <v>-1.0</v>
      </c>
      <c r="AL6" s="47">
        <v>1.0</v>
      </c>
      <c r="AM6" s="47">
        <v>1.0</v>
      </c>
      <c r="AN6" s="46" t="s">
        <v>37</v>
      </c>
      <c r="AO6" s="48"/>
      <c r="AP6" s="46" t="s">
        <v>59</v>
      </c>
      <c r="AQ6" s="46" t="s">
        <v>17</v>
      </c>
      <c r="AR6" s="47">
        <v>0.0</v>
      </c>
      <c r="AS6" s="47">
        <v>1.0</v>
      </c>
      <c r="AT6" s="46" t="s">
        <v>46</v>
      </c>
      <c r="AU6" s="46" t="s">
        <v>49</v>
      </c>
      <c r="AV6" s="46"/>
      <c r="AW6" s="47">
        <v>-1.0</v>
      </c>
      <c r="AX6" s="47">
        <v>0.0</v>
      </c>
      <c r="AY6" s="47">
        <v>0.0</v>
      </c>
      <c r="AZ6" s="47">
        <v>0.0</v>
      </c>
      <c r="BA6" s="47">
        <v>0.0</v>
      </c>
      <c r="BB6" s="49"/>
      <c r="BC6" s="47">
        <v>1.0</v>
      </c>
      <c r="BD6" s="47">
        <v>-1.0</v>
      </c>
      <c r="BE6" s="46" t="s">
        <v>28</v>
      </c>
      <c r="BF6" s="46" t="s">
        <v>23</v>
      </c>
      <c r="BG6" s="46" t="s">
        <v>64</v>
      </c>
      <c r="BH6" s="46" t="s">
        <v>65</v>
      </c>
      <c r="BI6" s="46" t="s">
        <v>63</v>
      </c>
      <c r="BJ6" s="47">
        <v>0.0</v>
      </c>
      <c r="BK6" s="47">
        <v>0.0</v>
      </c>
      <c r="BL6" s="47">
        <v>0.0</v>
      </c>
      <c r="BM6" s="47">
        <v>0.0</v>
      </c>
      <c r="BN6" s="49"/>
      <c r="BO6" s="47">
        <v>0.0</v>
      </c>
      <c r="BP6" s="47">
        <v>0.0</v>
      </c>
      <c r="BQ6" s="46" t="s">
        <v>54</v>
      </c>
      <c r="BR6" s="46" t="s">
        <v>38</v>
      </c>
      <c r="BS6" s="47">
        <v>0.0</v>
      </c>
      <c r="BT6" s="47">
        <v>0.0</v>
      </c>
      <c r="BU6" s="46" t="s">
        <v>28</v>
      </c>
      <c r="BV6" s="50"/>
      <c r="BW6" s="47">
        <v>0.0</v>
      </c>
      <c r="BX6" s="47">
        <v>0.0</v>
      </c>
      <c r="BY6" s="47">
        <v>0.0</v>
      </c>
      <c r="BZ6" s="47">
        <v>0.0</v>
      </c>
      <c r="CA6" s="47">
        <v>0.0</v>
      </c>
      <c r="CB6" s="51"/>
      <c r="CC6" s="47">
        <v>0.0</v>
      </c>
      <c r="CD6" s="47">
        <v>0.0</v>
      </c>
      <c r="CE6" s="47">
        <v>0.0</v>
      </c>
      <c r="CF6" s="47">
        <v>0.0</v>
      </c>
      <c r="CG6" s="47">
        <v>0.0</v>
      </c>
      <c r="CH6" s="47">
        <v>0.0</v>
      </c>
      <c r="CI6" s="47">
        <v>0.0</v>
      </c>
      <c r="CJ6" s="47">
        <v>0.0</v>
      </c>
      <c r="CK6" s="46" t="b">
        <v>0</v>
      </c>
      <c r="CL6" s="48"/>
      <c r="CM6" s="48"/>
      <c r="CN6" s="48"/>
      <c r="CO6" s="48"/>
      <c r="CP6" s="46"/>
      <c r="CQ6" s="48"/>
      <c r="CR6" s="51"/>
      <c r="CS6" s="47">
        <v>1.0</v>
      </c>
      <c r="CT6" s="48"/>
      <c r="CU6" s="48"/>
      <c r="CV6" s="48"/>
      <c r="CW6" s="48"/>
      <c r="CX6" s="48"/>
      <c r="CY6" s="46" t="s">
        <v>48</v>
      </c>
      <c r="CZ6" s="46" t="s">
        <v>61</v>
      </c>
      <c r="DA6" s="47">
        <v>0.0</v>
      </c>
      <c r="DB6" s="47">
        <v>0.0</v>
      </c>
      <c r="DC6" s="50"/>
      <c r="DD6" s="47">
        <v>1.0</v>
      </c>
      <c r="DE6" s="47">
        <v>0.0</v>
      </c>
      <c r="DF6" s="47">
        <v>0.0</v>
      </c>
      <c r="DG6" s="47">
        <v>0.0</v>
      </c>
      <c r="DH6" s="46"/>
      <c r="DI6" s="47">
        <v>0.0</v>
      </c>
      <c r="DJ6" s="46" t="s">
        <v>37</v>
      </c>
      <c r="DK6" s="47">
        <v>0.0</v>
      </c>
      <c r="DL6" s="47">
        <v>0.0</v>
      </c>
      <c r="DM6" s="47">
        <v>0.0</v>
      </c>
      <c r="DN6" s="47">
        <v>0.0</v>
      </c>
      <c r="DO6" s="48"/>
      <c r="DP6" s="46" t="s">
        <v>59</v>
      </c>
      <c r="DQ6" s="46" t="s">
        <v>27</v>
      </c>
      <c r="DR6" s="46" t="s">
        <v>27</v>
      </c>
      <c r="DS6" s="46" t="s">
        <v>27</v>
      </c>
      <c r="DT6" s="46" t="s">
        <v>27</v>
      </c>
      <c r="DU6" s="46" t="s">
        <v>27</v>
      </c>
      <c r="DV6" s="46" t="s">
        <v>27</v>
      </c>
      <c r="DW6" s="46" t="s">
        <v>27</v>
      </c>
      <c r="DX6" s="46" t="s">
        <v>27</v>
      </c>
      <c r="DY6" s="46" t="s">
        <v>27</v>
      </c>
      <c r="DZ6" s="46" t="s">
        <v>19</v>
      </c>
      <c r="EA6" s="46" t="s">
        <v>27</v>
      </c>
      <c r="EB6" s="46" t="s">
        <v>27</v>
      </c>
      <c r="EC6" s="46" t="s">
        <v>27</v>
      </c>
      <c r="ED6" s="46" t="s">
        <v>31</v>
      </c>
      <c r="EE6" s="46" t="s">
        <v>27</v>
      </c>
      <c r="EF6" s="47">
        <v>0.0</v>
      </c>
      <c r="EG6" s="47">
        <v>0.0</v>
      </c>
      <c r="EH6" s="47">
        <v>0.0</v>
      </c>
      <c r="EI6" s="47">
        <v>0.0</v>
      </c>
      <c r="EJ6" s="47">
        <v>0.0</v>
      </c>
      <c r="EK6" s="47">
        <v>0.0</v>
      </c>
      <c r="EL6" s="46" t="s">
        <v>59</v>
      </c>
      <c r="EM6" s="47">
        <v>0.0</v>
      </c>
      <c r="EN6" s="47">
        <v>0.0</v>
      </c>
      <c r="EO6" s="47">
        <v>0.0</v>
      </c>
      <c r="EP6" s="47">
        <v>0.0</v>
      </c>
      <c r="EQ6" s="47">
        <v>0.0</v>
      </c>
      <c r="ER6" s="47">
        <v>0.0</v>
      </c>
      <c r="ES6" s="47">
        <v>0.0</v>
      </c>
      <c r="ET6" s="47">
        <v>0.0</v>
      </c>
      <c r="EU6" s="47">
        <v>0.0</v>
      </c>
      <c r="EV6" s="46" t="s">
        <v>59</v>
      </c>
      <c r="EW6" s="47">
        <v>0.0</v>
      </c>
      <c r="EX6" s="46"/>
      <c r="EY6" s="46"/>
      <c r="EZ6" s="47"/>
      <c r="FA6" s="47"/>
      <c r="FB6" s="47"/>
      <c r="FC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0"/>
      <c r="B8" s="57"/>
      <c r="C8" s="41"/>
      <c r="D8" s="58"/>
      <c r="E8" s="41"/>
      <c r="F8" s="41"/>
      <c r="G8" s="58"/>
      <c r="H8" s="41"/>
      <c r="I8" s="59"/>
      <c r="J8" s="58"/>
      <c r="K8" s="58"/>
      <c r="L8" s="58"/>
      <c r="M8" s="58"/>
      <c r="N8" s="59"/>
      <c r="O8" s="41"/>
      <c r="P8" s="41"/>
      <c r="Q8" s="59"/>
      <c r="R8" s="41"/>
      <c r="S8" s="41"/>
      <c r="T8" s="52"/>
      <c r="U8" s="52"/>
      <c r="V8" s="52"/>
      <c r="W8" s="52"/>
      <c r="X8" s="60"/>
      <c r="Y8" s="60"/>
      <c r="Z8" s="40"/>
      <c r="AA8" s="40"/>
      <c r="AB8" s="60"/>
      <c r="AC8" s="60"/>
      <c r="AD8" s="60"/>
      <c r="AE8" s="61"/>
      <c r="AF8" s="60"/>
      <c r="AG8" s="60"/>
      <c r="AH8" s="60"/>
      <c r="AI8" s="60"/>
      <c r="AJ8" s="60"/>
      <c r="AK8" s="61"/>
      <c r="AL8" s="60"/>
      <c r="AM8" s="60"/>
      <c r="AN8" s="52"/>
      <c r="AO8" s="40"/>
      <c r="AP8" s="52"/>
      <c r="AQ8" s="52"/>
      <c r="AR8" s="60"/>
      <c r="AS8" s="60"/>
      <c r="AT8" s="52"/>
      <c r="AU8" s="52"/>
      <c r="AV8" s="60"/>
      <c r="AW8" s="61"/>
      <c r="AX8" s="60"/>
      <c r="AY8" s="60"/>
      <c r="AZ8" s="61"/>
      <c r="BA8" s="60"/>
      <c r="BB8" s="53"/>
      <c r="BC8" s="60"/>
      <c r="BD8" s="60"/>
      <c r="BE8" s="52"/>
      <c r="BF8" s="52"/>
      <c r="BG8" s="52"/>
      <c r="BH8" s="52"/>
      <c r="BI8" s="52"/>
      <c r="BJ8" s="60"/>
      <c r="BK8" s="60"/>
      <c r="BL8" s="60"/>
      <c r="BM8" s="60"/>
      <c r="BN8" s="53"/>
      <c r="BO8" s="60"/>
      <c r="BP8" s="60"/>
      <c r="BQ8" s="52"/>
      <c r="BR8" s="52"/>
      <c r="BS8" s="60"/>
      <c r="BT8" s="60"/>
      <c r="BU8" s="52"/>
      <c r="BV8" s="62"/>
      <c r="BW8" s="60"/>
      <c r="BX8" s="60"/>
      <c r="BY8" s="61"/>
      <c r="BZ8" s="60"/>
      <c r="CA8" s="60"/>
      <c r="CB8" s="54"/>
      <c r="CC8" s="60"/>
      <c r="CD8" s="61"/>
      <c r="CE8" s="60"/>
      <c r="CF8" s="60"/>
      <c r="CG8" s="61"/>
      <c r="CH8" s="60"/>
      <c r="CI8" s="60"/>
      <c r="CJ8" s="60"/>
      <c r="CK8" s="55"/>
      <c r="CL8" s="40"/>
      <c r="CM8" s="40"/>
      <c r="CN8" s="40"/>
      <c r="CO8" s="40"/>
      <c r="CP8" s="40"/>
      <c r="CQ8" s="40"/>
      <c r="CR8" s="54"/>
      <c r="CS8" s="60"/>
      <c r="CT8" s="40"/>
      <c r="CU8" s="40"/>
      <c r="CV8" s="40"/>
      <c r="CW8" s="40"/>
      <c r="CX8" s="40"/>
      <c r="CY8" s="52"/>
      <c r="CZ8" s="52"/>
      <c r="DA8" s="60"/>
      <c r="DB8" s="60"/>
      <c r="DC8" s="62"/>
      <c r="DD8" s="60"/>
      <c r="DE8" s="60"/>
      <c r="DF8" s="60"/>
      <c r="DG8" s="60"/>
      <c r="DH8" s="52"/>
      <c r="DI8" s="60"/>
      <c r="DJ8" s="52"/>
      <c r="DK8" s="60"/>
      <c r="DL8" s="60"/>
      <c r="DM8" s="60"/>
      <c r="DN8" s="60"/>
      <c r="DO8" s="40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60"/>
      <c r="EG8" s="60"/>
      <c r="EH8" s="60"/>
      <c r="EI8" s="60"/>
      <c r="EJ8" s="60"/>
      <c r="EK8" s="60"/>
      <c r="EL8" s="52"/>
      <c r="EM8" s="60"/>
      <c r="EN8" s="60"/>
      <c r="EO8" s="60"/>
      <c r="EP8" s="60"/>
      <c r="EQ8" s="60"/>
      <c r="ER8" s="60"/>
      <c r="ES8" s="61"/>
      <c r="ET8" s="60"/>
      <c r="EU8" s="60"/>
      <c r="EV8" s="52"/>
      <c r="EW8" s="61"/>
      <c r="EX8" s="52"/>
      <c r="EY8" s="52"/>
      <c r="EZ8" s="60"/>
      <c r="FA8" s="60"/>
      <c r="FB8" s="60"/>
      <c r="FC8" s="6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13">
        <v>100.0</v>
      </c>
      <c r="D6" s="13"/>
      <c r="E6" s="13" t="s">
        <v>43</v>
      </c>
      <c r="F6" s="13" t="s">
        <v>37</v>
      </c>
      <c r="G6" s="8"/>
      <c r="H6" s="13">
        <v>0.0</v>
      </c>
      <c r="I6" s="8"/>
      <c r="J6" s="8"/>
      <c r="K6" s="13">
        <v>1.0</v>
      </c>
      <c r="L6" s="8"/>
      <c r="M6" s="8"/>
      <c r="N6" s="8"/>
      <c r="O6" s="8"/>
    </row>
    <row r="7" ht="15.75" customHeight="1">
      <c r="A7" s="8"/>
      <c r="B7" s="31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</row>
    <row r="15" ht="15.75" customHeight="1">
      <c r="A15" s="8"/>
      <c r="B15" s="47"/>
      <c r="C15" s="47"/>
      <c r="D15" s="47"/>
      <c r="E15" s="47"/>
      <c r="F15" s="48"/>
      <c r="G15" s="48"/>
      <c r="H15" s="49"/>
      <c r="I15" s="48"/>
      <c r="J15" s="48"/>
      <c r="K15" s="46"/>
      <c r="L15" s="48"/>
      <c r="M15" s="46"/>
      <c r="N15" s="46"/>
      <c r="O15" s="48"/>
      <c r="P15" s="48"/>
      <c r="Q15" s="48"/>
      <c r="R15" s="48"/>
      <c r="S15" s="48"/>
      <c r="T15" s="48"/>
      <c r="U15" s="46"/>
      <c r="V15" s="46"/>
      <c r="W15" s="46"/>
      <c r="X15" s="46"/>
      <c r="Y15" s="46"/>
      <c r="Z15" s="47"/>
      <c r="AA15" s="47"/>
      <c r="AB15" s="48"/>
      <c r="AC15" s="46"/>
      <c r="AD15" s="47"/>
      <c r="AE15" s="48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6"/>
      <c r="AV15" s="47"/>
      <c r="AW15" s="47"/>
      <c r="AX15" s="47"/>
      <c r="AY15" s="47"/>
      <c r="AZ15" s="46"/>
      <c r="BA15" s="46"/>
      <c r="BB15" s="46"/>
      <c r="BC15" s="48"/>
      <c r="BD15" s="46"/>
      <c r="BE15" s="46"/>
      <c r="BF15" s="46"/>
      <c r="BG15" s="47"/>
      <c r="BH15" s="47"/>
      <c r="BI15" s="47"/>
      <c r="BJ15" s="46"/>
      <c r="BK15" s="46"/>
      <c r="BL15" s="46"/>
      <c r="BM15" s="47"/>
      <c r="BN15" s="46"/>
      <c r="BO15" s="46"/>
      <c r="BP15" s="48"/>
      <c r="BQ15" s="46"/>
      <c r="BR15" s="47"/>
      <c r="BS15" s="47"/>
      <c r="BT15" s="46"/>
      <c r="BU15" s="51"/>
      <c r="BV15" s="51"/>
      <c r="BW15" s="51"/>
      <c r="BX15" s="51"/>
      <c r="BY15" s="49"/>
      <c r="BZ15" s="51"/>
      <c r="CA15" s="50"/>
      <c r="CB15" s="46"/>
      <c r="CC15" s="46"/>
      <c r="CD15" s="47"/>
      <c r="CE15" s="47"/>
      <c r="CF15" s="47"/>
      <c r="CG15" s="46"/>
      <c r="CH15" s="48"/>
      <c r="CI15" s="48"/>
      <c r="CJ15" s="48"/>
      <c r="CK15" s="48"/>
      <c r="CL15" s="48"/>
      <c r="CM15" s="47"/>
      <c r="CN15" s="46"/>
      <c r="CO15" s="48"/>
      <c r="CP15" s="46"/>
      <c r="CQ15" s="47"/>
      <c r="CR15" s="47"/>
      <c r="CS15" s="48"/>
      <c r="CT15" s="47"/>
      <c r="CU15" s="46"/>
      <c r="CV15" s="48"/>
      <c r="CW15" s="46"/>
      <c r="CX15" s="46"/>
      <c r="CY15" s="4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9" t="s">
        <v>37</v>
      </c>
      <c r="D6" s="13">
        <v>100.0</v>
      </c>
      <c r="E6" s="9">
        <v>100.0</v>
      </c>
      <c r="F6" s="13"/>
      <c r="G6" s="8"/>
      <c r="H6" s="13"/>
      <c r="I6" s="8"/>
      <c r="J6" s="8"/>
      <c r="K6" s="13"/>
      <c r="L6" s="8"/>
      <c r="M6" s="13"/>
      <c r="N6" s="13">
        <v>1.0</v>
      </c>
      <c r="O6" s="13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