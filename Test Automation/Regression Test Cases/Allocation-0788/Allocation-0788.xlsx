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SetGeneralRuleCalculatedPref" sheetId="9" r:id="rId11"/>
    <sheet state="visible" name="UpdateGRAccountValue" sheetId="10" r:id="rId12"/>
    <sheet state="visible" name="UpdateGRDefaultRule" sheetId="11" r:id="rId13"/>
    <sheet state="visible" name="CreateDoneAwayOrder" sheetId="12" r:id="rId14"/>
    <sheet state="visible" name="CheckAllocatedGroups" sheetId="13" r:id="rId15"/>
    <sheet state="visible" name="AddCalculatedPreferences1" sheetId="14" r:id="rId16"/>
    <sheet state="visible" name="SetAccountValueCalculatedPref1" sheetId="15" r:id="rId17"/>
    <sheet state="visible" name="SetDefaultRuleCalculatedPref1" sheetId="16" r:id="rId18"/>
    <sheet state="visible" name="UpdateGRAccountValue1" sheetId="17" r:id="rId19"/>
    <sheet state="visible" name="SetGeneralRuleCalculatedPref1" sheetId="18" r:id="rId20"/>
    <sheet state="visible" name="UpdateGRDefaultRule1" sheetId="19" r:id="rId21"/>
    <sheet state="visible" name="CheckAllocatedTaxlots" sheetId="20" r:id="rId22"/>
  </sheets>
  <definedNames/>
  <calcPr/>
</workbook>
</file>

<file path=xl/sharedStrings.xml><?xml version="1.0" encoding="utf-8"?>
<sst xmlns="http://schemas.openxmlformats.org/spreadsheetml/2006/main" count="202" uniqueCount="47">
  <si>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</si>
  <si>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</si>
  <si>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</si>
  <si>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</si>
  <si>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</si>
  <si>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</si>
  <si>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</si>
  <si>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</si>
  <si>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</si>
  <si>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</si>
  <si>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</si>
  <si>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</si>
  <si>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</si>
  <si>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</si>
  <si>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</si>
  <si>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</si>
  <si>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</si>
  <si>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</si>
  <si>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</si>
  <si>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</si>
  <si>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</si>
  <si>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</t>
  </si>
  <si>
    <t>AddCalculatedPreferences</t>
  </si>
  <si>
    <t>Test</t>
  </si>
  <si>
    <t>SetAccountValueCalculatedPref</t>
  </si>
  <si>
    <t>Allocation4</t>
  </si>
  <si>
    <t>SetDefaultRuleCalculatedPref</t>
  </si>
  <si>
    <t>Prorata</t>
  </si>
  <si>
    <t>Allocation1,Allocation4</t>
  </si>
  <si>
    <t>SetGeneralRuleCalculatedPref</t>
  </si>
  <si>
    <t>Include</t>
  </si>
  <si>
    <t>Buy</t>
  </si>
  <si>
    <t>UpdateGRAccountValue</t>
  </si>
  <si>
    <t>UpdateGRDefaultRule</t>
  </si>
  <si>
    <t>Pro-rata (NAV)</t>
  </si>
  <si>
    <t>Allocation1,Allocation2,Allocation3</t>
  </si>
  <si>
    <t>TradingTicket</t>
  </si>
  <si>
    <t>CreateDoneAwayOrder</t>
  </si>
  <si>
    <t>AAPL</t>
  </si>
  <si>
    <t>IBM</t>
  </si>
  <si>
    <t>Sell short</t>
  </si>
  <si>
    <t>Test1</t>
  </si>
  <si>
    <t>CheckAllocatedGroups</t>
  </si>
  <si>
    <t>Exclude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</si>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</sst>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45726</v>
      </c>
      <c r="C6" s="30">
        <f>TODAY()</f>
        <v>45727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4500.0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18</v>
      </c>
      <c r="D7" s="12">
        <v>3500.0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18</v>
      </c>
      <c r="D8" s="12">
        <v>2000.0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23</v>
      </c>
      <c r="C6" s="34" t="s">
        <v>17</v>
      </c>
      <c r="D6" s="35">
        <v>70.0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23</v>
      </c>
      <c r="C7" s="37" t="s">
        <v>25</v>
      </c>
      <c r="D7" s="35">
        <v>30.0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/>
      <c r="C6" s="36"/>
      <c r="D6" s="37" t="s">
        <v>27</v>
      </c>
      <c r="E6" s="38" t="s">
        <v>28</v>
      </c>
      <c r="F6" s="36"/>
      <c r="G6" s="36"/>
      <c r="H6" s="39" t="s">
        <v>23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2"/>
      <c r="E6" s="36"/>
      <c r="F6" s="36"/>
      <c r="G6" s="36"/>
      <c r="H6" s="34" t="s">
        <v>30</v>
      </c>
      <c r="I6" s="37" t="s">
        <v>31</v>
      </c>
      <c r="J6" s="39" t="s">
        <v>23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17</v>
      </c>
      <c r="D6" s="12">
        <v>70.0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23</v>
      </c>
      <c r="C7" s="12" t="s">
        <v>25</v>
      </c>
      <c r="D7" s="12">
        <v>30.0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8" t="s">
        <v>34</v>
      </c>
      <c r="E6" s="38" t="s">
        <v>35</v>
      </c>
      <c r="F6" s="36"/>
      <c r="G6" s="36"/>
      <c r="H6" s="34" t="s">
        <v>23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31</v>
      </c>
      <c r="D6" s="12">
        <v>100.0</v>
      </c>
      <c r="E6" s="31"/>
      <c r="F6" s="12" t="s">
        <v>23</v>
      </c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12"/>
      <c r="B7" s="12" t="s">
        <v>39</v>
      </c>
      <c r="C7" s="12" t="s">
        <v>40</v>
      </c>
      <c r="D7" s="12">
        <v>100.0</v>
      </c>
      <c r="E7" s="31"/>
      <c r="F7" s="12" t="s">
        <v>41</v>
      </c>
      <c r="G7" s="8"/>
      <c r="H7" s="8"/>
      <c r="I7" s="8"/>
      <c r="J7" s="12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41</v>
      </c>
      <c r="C6" s="34" t="s">
        <v>17</v>
      </c>
      <c r="D6" s="35">
        <v>70.0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41</v>
      </c>
      <c r="C7" s="37" t="s">
        <v>25</v>
      </c>
      <c r="D7" s="35">
        <v>30.0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/>
      <c r="C6" s="36"/>
      <c r="D6" s="37" t="s">
        <v>27</v>
      </c>
      <c r="E6" s="38" t="s">
        <v>28</v>
      </c>
      <c r="F6" s="36"/>
      <c r="G6" s="36"/>
      <c r="H6" s="40" t="s">
        <v>41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17</v>
      </c>
      <c r="D6" s="12">
        <v>70.0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41</v>
      </c>
      <c r="C7" s="12" t="s">
        <v>25</v>
      </c>
      <c r="D7" s="12">
        <v>30.0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 Selector")</f>
        <v>Exchange Selector</v>
      </c>
      <c r="C5" s="27" t="str">
        <f>IFERROR(__xludf.DUMMYFUNCTION("""COMPUTED_VALUE"""),"Exchange List")</f>
        <v>Exchange List</v>
      </c>
      <c r="D5" s="27" t="str">
        <f>IFERROR(__xludf.DUMMYFUNCTION("""COMPUTED_VALUE"""),"Asset Selector")</f>
        <v>Asset Selector</v>
      </c>
      <c r="E5" s="27" t="str">
        <f>IFERROR(__xludf.DUMMYFUNCTION("""COMPUTED_VALUE"""),"Asset List")</f>
        <v>Asset List</v>
      </c>
      <c r="F5" s="28" t="str">
        <f>IFERROR(__xludf.DUMMYFUNCTION("""COMPUTED_VALUE"""),"PR Selector")</f>
        <v>PR Selector</v>
      </c>
      <c r="G5" s="27" t="str">
        <f>IFERROR(__xludf.DUMMYFUNCTION("""COMPUTED_VALUE"""),"PR List")</f>
        <v>PR List</v>
      </c>
      <c r="H5" s="27" t="str">
        <f>IFERROR(__xludf.DUMMYFUNCTION("""COMPUTED_VALUE"""),"Order Side Selector")</f>
        <v>Order Side Selector</v>
      </c>
      <c r="I5" s="27" t="str">
        <f>IFERROR(__xludf.DUMMYFUNCTION("""COMPUTED_VALUE"""),"Order Side List")</f>
        <v>Order Side List</v>
      </c>
      <c r="J5" s="27" t="str">
        <f>IFERROR(__xludf.DUMMYFUNCTION("""COMPUTED_VALUE"""),"PreferenceName")</f>
        <v>PreferenceName</v>
      </c>
      <c r="K5" s="27" t="str">
        <f>IFERROR(__xludf.DUMMYFUNCTION("""COMPUTED_VALUE"""),"Update Preference")</f>
        <v>Update Preference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2"/>
      <c r="E6" s="36"/>
      <c r="F6" s="36"/>
      <c r="G6" s="36"/>
      <c r="H6" s="37" t="s">
        <v>43</v>
      </c>
      <c r="I6" s="37" t="s">
        <v>31</v>
      </c>
      <c r="J6" s="40" t="s">
        <v>41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8" t="s">
        <v>34</v>
      </c>
      <c r="E6" s="38" t="s">
        <v>35</v>
      </c>
      <c r="F6" s="36"/>
      <c r="G6" s="38" t="b">
        <v>0</v>
      </c>
      <c r="H6" s="37" t="s">
        <v>41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1">
        <v>420.0</v>
      </c>
      <c r="E6" s="41">
        <v>420.0</v>
      </c>
      <c r="F6" s="42" t="s">
        <v>45</v>
      </c>
      <c r="G6" s="8"/>
      <c r="H6" s="42" t="s">
        <v>18</v>
      </c>
      <c r="I6" s="8"/>
      <c r="J6" s="8"/>
      <c r="K6" s="8"/>
      <c r="L6" s="8"/>
      <c r="M6" s="8"/>
      <c r="N6" s="8"/>
      <c r="O6" s="42" t="s">
        <v>19</v>
      </c>
      <c r="P6" s="42" t="s">
        <v>46</v>
      </c>
      <c r="Q6" s="41">
        <v>35.0</v>
      </c>
      <c r="R6" s="41">
        <v>35.0</v>
      </c>
    </row>
    <row r="7" ht="15.75" customHeight="1">
      <c r="A7" s="8"/>
      <c r="B7" s="8"/>
      <c r="C7" s="8"/>
      <c r="D7" s="41">
        <v>240.0</v>
      </c>
      <c r="E7" s="41">
        <v>240.0</v>
      </c>
      <c r="F7" s="42" t="s">
        <v>45</v>
      </c>
      <c r="G7" s="8"/>
      <c r="H7" s="42" t="s">
        <v>18</v>
      </c>
      <c r="I7" s="8"/>
      <c r="J7" s="8"/>
      <c r="K7" s="8"/>
      <c r="L7" s="8"/>
      <c r="M7" s="8"/>
      <c r="N7" s="8"/>
      <c r="O7" s="42" t="s">
        <v>20</v>
      </c>
      <c r="P7" s="42" t="s">
        <v>46</v>
      </c>
      <c r="Q7" s="41">
        <v>20.0</v>
      </c>
      <c r="R7" s="41">
        <v>20.0</v>
      </c>
    </row>
    <row r="8" ht="15.75" customHeight="1">
      <c r="A8" s="8"/>
      <c r="B8" s="8"/>
      <c r="C8" s="8"/>
      <c r="D8" s="41">
        <v>540.0</v>
      </c>
      <c r="E8" s="41">
        <v>540.0</v>
      </c>
      <c r="F8" s="42" t="s">
        <v>45</v>
      </c>
      <c r="G8" s="8"/>
      <c r="H8" s="42" t="s">
        <v>18</v>
      </c>
      <c r="I8" s="8"/>
      <c r="J8" s="8"/>
      <c r="K8" s="8"/>
      <c r="L8" s="8"/>
      <c r="M8" s="8"/>
      <c r="N8" s="8"/>
      <c r="O8" s="42" t="s">
        <v>17</v>
      </c>
      <c r="P8" s="42" t="s">
        <v>46</v>
      </c>
      <c r="Q8" s="41">
        <v>45.0</v>
      </c>
      <c r="R8" s="41">
        <v>45.0</v>
      </c>
    </row>
    <row r="9" ht="15.75" customHeight="1">
      <c r="A9" s="12"/>
      <c r="B9" s="12"/>
      <c r="C9" s="8"/>
      <c r="D9" s="41">
        <v>420.0</v>
      </c>
      <c r="E9" s="41">
        <v>420.0</v>
      </c>
      <c r="F9" s="42" t="s">
        <v>45</v>
      </c>
      <c r="G9" s="8"/>
      <c r="H9" s="42" t="s">
        <v>18</v>
      </c>
      <c r="I9" s="8"/>
      <c r="J9" s="8"/>
      <c r="K9" s="8"/>
      <c r="L9" s="8"/>
      <c r="M9" s="8"/>
      <c r="N9" s="8"/>
      <c r="O9" s="42" t="s">
        <v>19</v>
      </c>
      <c r="P9" s="42" t="s">
        <v>46</v>
      </c>
      <c r="Q9" s="41">
        <v>35.0</v>
      </c>
      <c r="R9" s="41">
        <v>35.0</v>
      </c>
    </row>
    <row r="10" ht="15.75" customHeight="1">
      <c r="A10" s="8"/>
      <c r="B10" s="8"/>
      <c r="C10" s="8"/>
      <c r="D10" s="41">
        <v>240.0</v>
      </c>
      <c r="E10" s="41">
        <v>240.0</v>
      </c>
      <c r="F10" s="42" t="s">
        <v>45</v>
      </c>
      <c r="G10" s="8"/>
      <c r="H10" s="42" t="s">
        <v>18</v>
      </c>
      <c r="I10" s="8"/>
      <c r="J10" s="8"/>
      <c r="K10" s="8"/>
      <c r="L10" s="8"/>
      <c r="M10" s="8"/>
      <c r="N10" s="8"/>
      <c r="O10" s="42" t="s">
        <v>20</v>
      </c>
      <c r="P10" s="42" t="s">
        <v>46</v>
      </c>
      <c r="Q10" s="41">
        <v>20.0</v>
      </c>
      <c r="R10" s="41">
        <v>20.0</v>
      </c>
    </row>
    <row r="11" ht="15.75" customHeight="1">
      <c r="A11" s="8"/>
      <c r="B11" s="8"/>
      <c r="C11" s="8"/>
      <c r="D11" s="41">
        <v>540.0</v>
      </c>
      <c r="E11" s="41">
        <v>540.0</v>
      </c>
      <c r="F11" s="42" t="s">
        <v>45</v>
      </c>
      <c r="G11" s="8"/>
      <c r="H11" s="42" t="s">
        <v>18</v>
      </c>
      <c r="I11" s="8"/>
      <c r="J11" s="8"/>
      <c r="K11" s="8"/>
      <c r="L11" s="8"/>
      <c r="M11" s="8"/>
      <c r="N11" s="8"/>
      <c r="O11" s="42" t="s">
        <v>17</v>
      </c>
      <c r="P11" s="42" t="s">
        <v>46</v>
      </c>
      <c r="Q11" s="41">
        <v>45.0</v>
      </c>
      <c r="R11" s="41">
        <v>45.0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