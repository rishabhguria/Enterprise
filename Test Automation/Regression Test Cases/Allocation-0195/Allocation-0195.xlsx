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11" activeTab="15"/>
  </bookViews>
  <sheets>
    <sheet name="_Modules" sheetId="1" r:id="rId1"/>
    <sheet name="_Settings" sheetId="2" r:id="rId2"/>
    <sheet name="_MasterData" sheetId="3" r:id="rId3"/>
    <sheet name="SetAutoGroupingPreferences" sheetId="4" r:id="rId4"/>
    <sheet name="SetAutoGroupingAccount" sheetId="5" r:id="rId5"/>
    <sheet name="CreateLiveOrder" sheetId="6" r:id="rId6"/>
    <sheet name="AcknowledgeTrade" sheetId="7" r:id="rId7"/>
    <sheet name="SelectTrade" sheetId="8" r:id="rId8"/>
    <sheet name="ExecuteTrade" sheetId="9" r:id="rId9"/>
    <sheet name="SelectTrade1" sheetId="10" r:id="rId10"/>
    <sheet name="AcknowledgeTrade1" sheetId="11" r:id="rId11"/>
    <sheet name="ExecuteTrade1" sheetId="12" r:id="rId12"/>
    <sheet name="VerifyOrder" sheetId="13" r:id="rId13"/>
    <sheet name="GetDataAllocation" sheetId="14" r:id="rId14"/>
    <sheet name="CheckAllocatedGroups" sheetId="15" r:id="rId15"/>
    <sheet name="CheckPortfolioManagement" sheetId="16" r:id="rId16"/>
  </sheets>
  <calcPr calcId="145621"/>
</workbook>
</file>

<file path=xl/calcChain.xml><?xml version="1.0" encoding="utf-8"?>
<calcChain xmlns="http://schemas.openxmlformats.org/spreadsheetml/2006/main">
  <c r="J2" i="16" l="1"/>
  <c r="J2" i="15"/>
  <c r="J2" i="14"/>
  <c r="J2" i="13"/>
  <c r="J2" i="12"/>
  <c r="J2" i="11"/>
  <c r="J2" i="10"/>
  <c r="J2" i="9"/>
  <c r="J2" i="8"/>
  <c r="J2" i="7"/>
  <c r="J2" i="6"/>
  <c r="J2" i="5"/>
  <c r="J2" i="4"/>
  <c r="FA5" i="16"/>
  <c r="ES5" i="16"/>
  <c r="EK5" i="16"/>
  <c r="EC5" i="16"/>
  <c r="DU5" i="16"/>
  <c r="DM5" i="16"/>
  <c r="DE5" i="16"/>
  <c r="CW5" i="16"/>
  <c r="CO5" i="16"/>
  <c r="CG5" i="16"/>
  <c r="BY5" i="16"/>
  <c r="BQ5" i="16"/>
  <c r="BI5" i="16"/>
  <c r="BA5" i="16"/>
  <c r="AS5" i="16"/>
  <c r="AK5" i="16"/>
  <c r="AC5" i="16"/>
  <c r="U5" i="16"/>
  <c r="M5" i="16"/>
  <c r="E5" i="16"/>
  <c r="V4" i="16"/>
  <c r="N4" i="16"/>
  <c r="F4" i="16"/>
  <c r="CQ5" i="15"/>
  <c r="CI5" i="15"/>
  <c r="CA5" i="15"/>
  <c r="BS5" i="15"/>
  <c r="BK5" i="15"/>
  <c r="BC5" i="15"/>
  <c r="AU5" i="15"/>
  <c r="AM5" i="15"/>
  <c r="AE5" i="15"/>
  <c r="W5" i="15"/>
  <c r="O5" i="15"/>
  <c r="G5" i="15"/>
  <c r="DO4" i="15"/>
  <c r="DG4" i="15"/>
  <c r="CY4" i="15"/>
  <c r="CQ4" i="15"/>
  <c r="CI4" i="15"/>
  <c r="CA4" i="15"/>
  <c r="BS4" i="15"/>
  <c r="BK4" i="15"/>
  <c r="BC4" i="15"/>
  <c r="AU4" i="15"/>
  <c r="AM4" i="15"/>
  <c r="AE4" i="15"/>
  <c r="W4" i="15"/>
  <c r="O4" i="15"/>
  <c r="G4" i="15"/>
  <c r="Q5" i="14"/>
  <c r="I5" i="14"/>
  <c r="A5" i="14"/>
  <c r="DI4" i="14"/>
  <c r="DA4" i="14"/>
  <c r="CS4" i="14"/>
  <c r="CK4" i="14"/>
  <c r="CC4" i="14"/>
  <c r="BU4" i="14"/>
  <c r="BM4" i="14"/>
  <c r="BE4" i="14"/>
  <c r="AW4" i="14"/>
  <c r="AO4" i="14"/>
  <c r="AG4" i="14"/>
  <c r="Y4" i="14"/>
  <c r="Q4" i="14"/>
  <c r="I4" i="14"/>
  <c r="AS5" i="13"/>
  <c r="AK5" i="13"/>
  <c r="AC5" i="13"/>
  <c r="U5" i="13"/>
  <c r="M5" i="13"/>
  <c r="E5" i="13"/>
  <c r="AQ4" i="13"/>
  <c r="AI4" i="13"/>
  <c r="AA4" i="13"/>
  <c r="S4" i="13"/>
  <c r="K4" i="13"/>
  <c r="C4" i="13"/>
  <c r="H4" i="12"/>
  <c r="G5" i="11"/>
  <c r="I4" i="11"/>
  <c r="J4" i="10"/>
  <c r="B4" i="10"/>
  <c r="G4" i="9"/>
  <c r="F5" i="8"/>
  <c r="H4" i="8"/>
  <c r="G5" i="7"/>
  <c r="I4" i="7"/>
  <c r="EZ5" i="16"/>
  <c r="ER5" i="16"/>
  <c r="EJ5" i="16"/>
  <c r="EB5" i="16"/>
  <c r="DT5" i="16"/>
  <c r="DL5" i="16"/>
  <c r="DD5" i="16"/>
  <c r="CV5" i="16"/>
  <c r="CN5" i="16"/>
  <c r="CF5" i="16"/>
  <c r="BX5" i="16"/>
  <c r="BP5" i="16"/>
  <c r="BH5" i="16"/>
  <c r="AZ5" i="16"/>
  <c r="AR5" i="16"/>
  <c r="AJ5" i="16"/>
  <c r="AB5" i="16"/>
  <c r="T5" i="16"/>
  <c r="L5" i="16"/>
  <c r="D5" i="16"/>
  <c r="U4" i="16"/>
  <c r="M4" i="16"/>
  <c r="E4" i="16"/>
  <c r="CP5" i="15"/>
  <c r="CH5" i="15"/>
  <c r="BZ5" i="15"/>
  <c r="BR5" i="15"/>
  <c r="BJ5" i="15"/>
  <c r="BB5" i="15"/>
  <c r="AT5" i="15"/>
  <c r="AL5" i="15"/>
  <c r="AD5" i="15"/>
  <c r="V5" i="15"/>
  <c r="N5" i="15"/>
  <c r="F5" i="15"/>
  <c r="DN4" i="15"/>
  <c r="DF4" i="15"/>
  <c r="CX4" i="15"/>
  <c r="CP4" i="15"/>
  <c r="CH4" i="15"/>
  <c r="BZ4" i="15"/>
  <c r="BR4" i="15"/>
  <c r="BJ4" i="15"/>
  <c r="BB4" i="15"/>
  <c r="AT4" i="15"/>
  <c r="AL4" i="15"/>
  <c r="AD4" i="15"/>
  <c r="V4" i="15"/>
  <c r="N4" i="15"/>
  <c r="F4" i="15"/>
  <c r="P5" i="14"/>
  <c r="H5" i="14"/>
  <c r="DP4" i="14"/>
  <c r="DH4" i="14"/>
  <c r="CZ4" i="14"/>
  <c r="CR4" i="14"/>
  <c r="CJ4" i="14"/>
  <c r="CB4" i="14"/>
  <c r="BT4" i="14"/>
  <c r="BL4" i="14"/>
  <c r="BD4" i="14"/>
  <c r="AV4" i="14"/>
  <c r="AN4" i="14"/>
  <c r="AF4" i="14"/>
  <c r="X4" i="14"/>
  <c r="P4" i="14"/>
  <c r="H4" i="14"/>
  <c r="AZ5" i="13"/>
  <c r="AR5" i="13"/>
  <c r="AJ5" i="13"/>
  <c r="AB5" i="13"/>
  <c r="T5" i="13"/>
  <c r="L5" i="13"/>
  <c r="D5" i="13"/>
  <c r="AP4" i="13"/>
  <c r="AH4" i="13"/>
  <c r="Z4" i="13"/>
  <c r="R4" i="13"/>
  <c r="J4" i="13"/>
  <c r="B4" i="13"/>
  <c r="G4" i="12"/>
  <c r="F5" i="11"/>
  <c r="H4" i="11"/>
  <c r="G5" i="10"/>
  <c r="I4" i="10"/>
  <c r="F4" i="9"/>
  <c r="E5" i="8"/>
  <c r="G4" i="8"/>
  <c r="F5" i="7"/>
  <c r="H4" i="7"/>
  <c r="AO5" i="6"/>
  <c r="AG5" i="6"/>
  <c r="Y5" i="6"/>
  <c r="Q5" i="6"/>
  <c r="I5" i="6"/>
  <c r="A5" i="6"/>
  <c r="M4" i="6"/>
  <c r="E4" i="6"/>
  <c r="DO4" i="5"/>
  <c r="DG4" i="5"/>
  <c r="CY4" i="5"/>
  <c r="CQ4" i="5"/>
  <c r="CI4" i="5"/>
  <c r="CA4" i="5"/>
  <c r="BS4" i="5"/>
  <c r="BK4" i="5"/>
  <c r="BC4" i="5"/>
  <c r="AU4" i="5"/>
  <c r="AM4" i="5"/>
  <c r="AE4" i="5"/>
  <c r="W4" i="5"/>
  <c r="O4" i="5"/>
  <c r="G4" i="5"/>
  <c r="L5" i="4"/>
  <c r="D5" i="4"/>
  <c r="DL4" i="4"/>
  <c r="DD4" i="4"/>
  <c r="CV4" i="4"/>
  <c r="CN4" i="4"/>
  <c r="CF4" i="4"/>
  <c r="BX4" i="4"/>
  <c r="BP4" i="4"/>
  <c r="BH4" i="4"/>
  <c r="AZ4" i="4"/>
  <c r="EY5" i="16"/>
  <c r="EQ5" i="16"/>
  <c r="EI5" i="16"/>
  <c r="EA5" i="16"/>
  <c r="DS5" i="16"/>
  <c r="DK5" i="16"/>
  <c r="DC5" i="16"/>
  <c r="CU5" i="16"/>
  <c r="CM5" i="16"/>
  <c r="CE5" i="16"/>
  <c r="BW5" i="16"/>
  <c r="BO5" i="16"/>
  <c r="BG5" i="16"/>
  <c r="AY5" i="16"/>
  <c r="AQ5" i="16"/>
  <c r="AI5" i="16"/>
  <c r="AA5" i="16"/>
  <c r="S5" i="16"/>
  <c r="K5" i="16"/>
  <c r="C5" i="16"/>
  <c r="T4" i="16"/>
  <c r="L4" i="16"/>
  <c r="D4" i="16"/>
  <c r="CO5" i="15"/>
  <c r="CG5" i="15"/>
  <c r="BY5" i="15"/>
  <c r="BQ5" i="15"/>
  <c r="BI5" i="15"/>
  <c r="BA5" i="15"/>
  <c r="AS5" i="15"/>
  <c r="AK5" i="15"/>
  <c r="AC5" i="15"/>
  <c r="U5" i="15"/>
  <c r="M5" i="15"/>
  <c r="E5" i="15"/>
  <c r="DM4" i="15"/>
  <c r="DE4" i="15"/>
  <c r="CW4" i="15"/>
  <c r="CO4" i="15"/>
  <c r="CG4" i="15"/>
  <c r="BY4" i="15"/>
  <c r="BQ4" i="15"/>
  <c r="BI4" i="15"/>
  <c r="BA4" i="15"/>
  <c r="AS4" i="15"/>
  <c r="AK4" i="15"/>
  <c r="AC4" i="15"/>
  <c r="U4" i="15"/>
  <c r="M4" i="15"/>
  <c r="E4" i="15"/>
  <c r="O5" i="14"/>
  <c r="G5" i="14"/>
  <c r="DO4" i="14"/>
  <c r="DG4" i="14"/>
  <c r="CY4" i="14"/>
  <c r="CQ4" i="14"/>
  <c r="CI4" i="14"/>
  <c r="CA4" i="14"/>
  <c r="BS4" i="14"/>
  <c r="BK4" i="14"/>
  <c r="BC4" i="14"/>
  <c r="AU4" i="14"/>
  <c r="AM4" i="14"/>
  <c r="AE4" i="14"/>
  <c r="W4" i="14"/>
  <c r="O4" i="14"/>
  <c r="G4" i="14"/>
  <c r="AY5" i="13"/>
  <c r="AQ5" i="13"/>
  <c r="AI5" i="13"/>
  <c r="AA5" i="13"/>
  <c r="S5" i="13"/>
  <c r="K5" i="13"/>
  <c r="C5" i="13"/>
  <c r="AO4" i="13"/>
  <c r="AG4" i="13"/>
  <c r="Y4" i="13"/>
  <c r="Q4" i="13"/>
  <c r="I4" i="13"/>
  <c r="F4" i="12"/>
  <c r="E5" i="11"/>
  <c r="G4" i="11"/>
  <c r="F5" i="10"/>
  <c r="H4" i="10"/>
  <c r="C5" i="9"/>
  <c r="E4" i="9"/>
  <c r="D5" i="8"/>
  <c r="F4" i="8"/>
  <c r="E5" i="7"/>
  <c r="G4" i="7"/>
  <c r="AN5" i="6"/>
  <c r="AF5" i="6"/>
  <c r="EX5" i="16"/>
  <c r="EP5" i="16"/>
  <c r="EH5" i="16"/>
  <c r="DZ5" i="16"/>
  <c r="DR5" i="16"/>
  <c r="DJ5" i="16"/>
  <c r="DB5" i="16"/>
  <c r="CT5" i="16"/>
  <c r="CL5" i="16"/>
  <c r="CD5" i="16"/>
  <c r="BV5" i="16"/>
  <c r="BN5" i="16"/>
  <c r="BF5" i="16"/>
  <c r="AX5" i="16"/>
  <c r="AP5" i="16"/>
  <c r="AH5" i="16"/>
  <c r="Z5" i="16"/>
  <c r="R5" i="16"/>
  <c r="J5" i="16"/>
  <c r="B5" i="16"/>
  <c r="S4" i="16"/>
  <c r="K4" i="16"/>
  <c r="C4" i="16"/>
  <c r="CN5" i="15"/>
  <c r="CF5" i="15"/>
  <c r="BX5" i="15"/>
  <c r="BP5" i="15"/>
  <c r="BH5" i="15"/>
  <c r="AZ5" i="15"/>
  <c r="AR5" i="15"/>
  <c r="AJ5" i="15"/>
  <c r="AB5" i="15"/>
  <c r="T5" i="15"/>
  <c r="L5" i="15"/>
  <c r="D5" i="15"/>
  <c r="DL4" i="15"/>
  <c r="DD4" i="15"/>
  <c r="CV4" i="15"/>
  <c r="CN4" i="15"/>
  <c r="CF4" i="15"/>
  <c r="BX4" i="15"/>
  <c r="BP4" i="15"/>
  <c r="BH4" i="15"/>
  <c r="AZ4" i="15"/>
  <c r="AR4" i="15"/>
  <c r="AJ4" i="15"/>
  <c r="AB4" i="15"/>
  <c r="T4" i="15"/>
  <c r="L4" i="15"/>
  <c r="D4" i="15"/>
  <c r="N5" i="14"/>
  <c r="F5" i="14"/>
  <c r="DN4" i="14"/>
  <c r="DF4" i="14"/>
  <c r="CX4" i="14"/>
  <c r="CP4" i="14"/>
  <c r="CH4" i="14"/>
  <c r="BZ4" i="14"/>
  <c r="BR4" i="14"/>
  <c r="BJ4" i="14"/>
  <c r="BB4" i="14"/>
  <c r="AT4" i="14"/>
  <c r="AL4" i="14"/>
  <c r="AD4" i="14"/>
  <c r="V4" i="14"/>
  <c r="N4" i="14"/>
  <c r="F4" i="14"/>
  <c r="AX5" i="13"/>
  <c r="AP5" i="13"/>
  <c r="AH5" i="13"/>
  <c r="Z5" i="13"/>
  <c r="R5" i="13"/>
  <c r="J5" i="13"/>
  <c r="B5" i="13"/>
  <c r="AN4" i="13"/>
  <c r="AF4" i="13"/>
  <c r="X4" i="13"/>
  <c r="P4" i="13"/>
  <c r="H4" i="13"/>
  <c r="C5" i="12"/>
  <c r="E4" i="12"/>
  <c r="D5" i="11"/>
  <c r="F4" i="11"/>
  <c r="E5" i="10"/>
  <c r="G4" i="10"/>
  <c r="B5" i="9"/>
  <c r="D4" i="9"/>
  <c r="C5" i="8"/>
  <c r="E4" i="8"/>
  <c r="D5" i="7"/>
  <c r="F4" i="7"/>
  <c r="AM5" i="6"/>
  <c r="AE5" i="6"/>
  <c r="W5" i="6"/>
  <c r="O5" i="6"/>
  <c r="G5" i="6"/>
  <c r="S4" i="6"/>
  <c r="K4" i="6"/>
  <c r="C4" i="6"/>
  <c r="DM4" i="5"/>
  <c r="DE4" i="5"/>
  <c r="CW4" i="5"/>
  <c r="CO4" i="5"/>
  <c r="CG4" i="5"/>
  <c r="BY4" i="5"/>
  <c r="BQ4" i="5"/>
  <c r="BI4" i="5"/>
  <c r="BA4" i="5"/>
  <c r="AS4" i="5"/>
  <c r="AK4" i="5"/>
  <c r="AC4" i="5"/>
  <c r="U4" i="5"/>
  <c r="M4" i="5"/>
  <c r="E4" i="5"/>
  <c r="J5" i="4"/>
  <c r="B5" i="4"/>
  <c r="DJ4" i="4"/>
  <c r="DB4" i="4"/>
  <c r="CT4" i="4"/>
  <c r="CL4" i="4"/>
  <c r="CD4" i="4"/>
  <c r="BV4" i="4"/>
  <c r="BN4" i="4"/>
  <c r="BF4" i="4"/>
  <c r="AX4" i="4"/>
  <c r="AP4" i="4"/>
  <c r="EW5" i="16"/>
  <c r="EO5" i="16"/>
  <c r="EG5" i="16"/>
  <c r="DY5" i="16"/>
  <c r="DQ5" i="16"/>
  <c r="DI5" i="16"/>
  <c r="DA5" i="16"/>
  <c r="CS5" i="16"/>
  <c r="CK5" i="16"/>
  <c r="CC5" i="16"/>
  <c r="BU5" i="16"/>
  <c r="BM5" i="16"/>
  <c r="BE5" i="16"/>
  <c r="AW5" i="16"/>
  <c r="AO5" i="16"/>
  <c r="AG5" i="16"/>
  <c r="Y5" i="16"/>
  <c r="Q5" i="16"/>
  <c r="I5" i="16"/>
  <c r="A5" i="16"/>
  <c r="R4" i="16"/>
  <c r="J4" i="16"/>
  <c r="B4" i="16"/>
  <c r="CM5" i="15"/>
  <c r="CE5" i="15"/>
  <c r="BW5" i="15"/>
  <c r="BO5" i="15"/>
  <c r="BG5" i="15"/>
  <c r="AY5" i="15"/>
  <c r="AQ5" i="15"/>
  <c r="AI5" i="15"/>
  <c r="AA5" i="15"/>
  <c r="S5" i="15"/>
  <c r="K5" i="15"/>
  <c r="C5" i="15"/>
  <c r="DK4" i="15"/>
  <c r="DC4" i="15"/>
  <c r="CU4" i="15"/>
  <c r="CM4" i="15"/>
  <c r="CE4" i="15"/>
  <c r="BW4" i="15"/>
  <c r="BO4" i="15"/>
  <c r="BG4" i="15"/>
  <c r="AY4" i="15"/>
  <c r="AQ4" i="15"/>
  <c r="AI4" i="15"/>
  <c r="AA4" i="15"/>
  <c r="S4" i="15"/>
  <c r="K4" i="15"/>
  <c r="C4" i="15"/>
  <c r="M5" i="14"/>
  <c r="E5" i="14"/>
  <c r="DM4" i="14"/>
  <c r="DE4" i="14"/>
  <c r="CW4" i="14"/>
  <c r="CO4" i="14"/>
  <c r="CG4" i="14"/>
  <c r="BY4" i="14"/>
  <c r="BQ4" i="14"/>
  <c r="BI4" i="14"/>
  <c r="BA4" i="14"/>
  <c r="AS4" i="14"/>
  <c r="AK4" i="14"/>
  <c r="AC4" i="14"/>
  <c r="U4" i="14"/>
  <c r="M4" i="14"/>
  <c r="E4" i="14"/>
  <c r="AW5" i="13"/>
  <c r="AO5" i="13"/>
  <c r="AG5" i="13"/>
  <c r="Y5" i="13"/>
  <c r="Q5" i="13"/>
  <c r="I5" i="13"/>
  <c r="A5" i="13"/>
  <c r="AM4" i="13"/>
  <c r="AE4" i="13"/>
  <c r="W4" i="13"/>
  <c r="O4" i="13"/>
  <c r="G4" i="13"/>
  <c r="B5" i="12"/>
  <c r="D4" i="12"/>
  <c r="C5" i="11"/>
  <c r="E4" i="11"/>
  <c r="D5" i="10"/>
  <c r="F4" i="10"/>
  <c r="A5" i="9"/>
  <c r="C4" i="9"/>
  <c r="B5" i="8"/>
  <c r="D4" i="8"/>
  <c r="C5" i="7"/>
  <c r="E4" i="7"/>
  <c r="AL5" i="6"/>
  <c r="AD5" i="6"/>
  <c r="V5" i="6"/>
  <c r="N5" i="6"/>
  <c r="F5" i="6"/>
  <c r="R4" i="6"/>
  <c r="J4" i="6"/>
  <c r="B4" i="6"/>
  <c r="DL4" i="5"/>
  <c r="DD4" i="5"/>
  <c r="CV4" i="5"/>
  <c r="CN4" i="5"/>
  <c r="CF4" i="5"/>
  <c r="BX4" i="5"/>
  <c r="BP4" i="5"/>
  <c r="BH4" i="5"/>
  <c r="AZ4" i="5"/>
  <c r="AR4" i="5"/>
  <c r="AJ4" i="5"/>
  <c r="AB4" i="5"/>
  <c r="T4" i="5"/>
  <c r="L4" i="5"/>
  <c r="D4" i="5"/>
  <c r="I5" i="4"/>
  <c r="A5" i="4"/>
  <c r="DI4" i="4"/>
  <c r="DA4" i="4"/>
  <c r="CS4" i="4"/>
  <c r="CK4" i="4"/>
  <c r="CC4" i="4"/>
  <c r="BU4" i="4"/>
  <c r="BM4" i="4"/>
  <c r="BE4" i="4"/>
  <c r="AW4" i="4"/>
  <c r="AO4" i="4"/>
  <c r="AG4" i="4"/>
  <c r="EV5" i="16"/>
  <c r="EN5" i="16"/>
  <c r="EF5" i="16"/>
  <c r="DX5" i="16"/>
  <c r="DP5" i="16"/>
  <c r="DH5" i="16"/>
  <c r="CZ5" i="16"/>
  <c r="CR5" i="16"/>
  <c r="CJ5" i="16"/>
  <c r="CB5" i="16"/>
  <c r="BT5" i="16"/>
  <c r="BL5" i="16"/>
  <c r="BD5" i="16"/>
  <c r="AV5" i="16"/>
  <c r="AN5" i="16"/>
  <c r="AF5" i="16"/>
  <c r="X5" i="16"/>
  <c r="P5" i="16"/>
  <c r="H5" i="16"/>
  <c r="Y4" i="16"/>
  <c r="Q4" i="16"/>
  <c r="I4" i="16"/>
  <c r="CL5" i="15"/>
  <c r="CD5" i="15"/>
  <c r="BV5" i="15"/>
  <c r="BN5" i="15"/>
  <c r="BF5" i="15"/>
  <c r="AX5" i="15"/>
  <c r="AP5" i="15"/>
  <c r="AH5" i="15"/>
  <c r="Z5" i="15"/>
  <c r="R5" i="15"/>
  <c r="J5" i="15"/>
  <c r="B5" i="15"/>
  <c r="DJ4" i="15"/>
  <c r="DB4" i="15"/>
  <c r="CT4" i="15"/>
  <c r="CL4" i="15"/>
  <c r="CD4" i="15"/>
  <c r="BV4" i="15"/>
  <c r="BN4" i="15"/>
  <c r="BF4" i="15"/>
  <c r="AX4" i="15"/>
  <c r="AP4" i="15"/>
  <c r="AH4" i="15"/>
  <c r="Z4" i="15"/>
  <c r="R4" i="15"/>
  <c r="J4" i="15"/>
  <c r="B4" i="15"/>
  <c r="L5" i="14"/>
  <c r="D5" i="14"/>
  <c r="DL4" i="14"/>
  <c r="DD4" i="14"/>
  <c r="CV4" i="14"/>
  <c r="CN4" i="14"/>
  <c r="CF4" i="14"/>
  <c r="BX4" i="14"/>
  <c r="BP4" i="14"/>
  <c r="BH4" i="14"/>
  <c r="AZ4" i="14"/>
  <c r="AR4" i="14"/>
  <c r="AJ4" i="14"/>
  <c r="AB4" i="14"/>
  <c r="T4" i="14"/>
  <c r="L4" i="14"/>
  <c r="D4" i="14"/>
  <c r="AV5" i="13"/>
  <c r="AN5" i="13"/>
  <c r="AF5" i="13"/>
  <c r="X5" i="13"/>
  <c r="P5" i="13"/>
  <c r="EU5" i="16"/>
  <c r="EM5" i="16"/>
  <c r="EE5" i="16"/>
  <c r="DW5" i="16"/>
  <c r="DO5" i="16"/>
  <c r="DG5" i="16"/>
  <c r="CY5" i="16"/>
  <c r="CQ5" i="16"/>
  <c r="CI5" i="16"/>
  <c r="CA5" i="16"/>
  <c r="BS5" i="16"/>
  <c r="BC5" i="16"/>
  <c r="AU5" i="16"/>
  <c r="AM5" i="16"/>
  <c r="AE5" i="16"/>
  <c r="W5" i="16"/>
  <c r="O5" i="16"/>
  <c r="G5" i="16"/>
  <c r="X4" i="16"/>
  <c r="P4" i="16"/>
  <c r="H4" i="16"/>
  <c r="CS5" i="15"/>
  <c r="CK5" i="15"/>
  <c r="CC5" i="15"/>
  <c r="BU5" i="15"/>
  <c r="BM5" i="15"/>
  <c r="BE5" i="15"/>
  <c r="AW5" i="15"/>
  <c r="AO5" i="15"/>
  <c r="AG5" i="15"/>
  <c r="Y5" i="15"/>
  <c r="Q5" i="15"/>
  <c r="I5" i="15"/>
  <c r="A5" i="15"/>
  <c r="DI4" i="15"/>
  <c r="DA4" i="15"/>
  <c r="CS4" i="15"/>
  <c r="CK4" i="15"/>
  <c r="CC4" i="15"/>
  <c r="BU4" i="15"/>
  <c r="BM4" i="15"/>
  <c r="BE4" i="15"/>
  <c r="AW4" i="15"/>
  <c r="AO4" i="15"/>
  <c r="AG4" i="15"/>
  <c r="Y4" i="15"/>
  <c r="Q4" i="15"/>
  <c r="I4" i="15"/>
  <c r="K5" i="14"/>
  <c r="C5" i="14"/>
  <c r="DK4" i="14"/>
  <c r="DC4" i="14"/>
  <c r="CU4" i="14"/>
  <c r="CM4" i="14"/>
  <c r="CE4" i="14"/>
  <c r="BW4" i="14"/>
  <c r="BO4" i="14"/>
  <c r="BG4" i="14"/>
  <c r="AY4" i="14"/>
  <c r="AQ4" i="14"/>
  <c r="AI4" i="14"/>
  <c r="AA4" i="14"/>
  <c r="S4" i="14"/>
  <c r="K4" i="14"/>
  <c r="C4" i="14"/>
  <c r="AU5" i="13"/>
  <c r="AM5" i="13"/>
  <c r="AE5" i="13"/>
  <c r="W5" i="13"/>
  <c r="O5" i="13"/>
  <c r="G5" i="13"/>
  <c r="AS4" i="13"/>
  <c r="AK4" i="13"/>
  <c r="AC4" i="13"/>
  <c r="U4" i="13"/>
  <c r="M4" i="13"/>
  <c r="E4" i="13"/>
  <c r="J4" i="12"/>
  <c r="B4" i="12"/>
  <c r="A5" i="11"/>
  <c r="C4" i="11"/>
  <c r="B5" i="10"/>
  <c r="D4" i="10"/>
  <c r="I4" i="9"/>
  <c r="J4" i="8"/>
  <c r="B4" i="8"/>
  <c r="A5" i="7"/>
  <c r="ET5" i="16"/>
  <c r="EL5" i="16"/>
  <c r="ED5" i="16"/>
  <c r="DV5" i="16"/>
  <c r="DN5" i="16"/>
  <c r="DF5" i="16"/>
  <c r="CX5" i="16"/>
  <c r="CP5" i="16"/>
  <c r="CH5" i="16"/>
  <c r="BZ5" i="16"/>
  <c r="BR5" i="16"/>
  <c r="BJ5" i="16"/>
  <c r="BB5" i="16"/>
  <c r="AT5" i="16"/>
  <c r="AL5" i="16"/>
  <c r="AD5" i="16"/>
  <c r="V5" i="16"/>
  <c r="N5" i="16"/>
  <c r="F5" i="16"/>
  <c r="W4" i="16"/>
  <c r="O4" i="16"/>
  <c r="G4" i="16"/>
  <c r="CR5" i="15"/>
  <c r="CJ5" i="15"/>
  <c r="CB5" i="15"/>
  <c r="BT5" i="15"/>
  <c r="BL5" i="15"/>
  <c r="BD5" i="15"/>
  <c r="AV5" i="15"/>
  <c r="AN5" i="15"/>
  <c r="AF5" i="15"/>
  <c r="X5" i="15"/>
  <c r="P5" i="15"/>
  <c r="H5" i="15"/>
  <c r="DP4" i="15"/>
  <c r="DH4" i="15"/>
  <c r="CZ4" i="15"/>
  <c r="CR4" i="15"/>
  <c r="CJ4" i="15"/>
  <c r="CB4" i="15"/>
  <c r="BT4" i="15"/>
  <c r="BL4" i="15"/>
  <c r="BD4" i="15"/>
  <c r="AV4" i="15"/>
  <c r="AN4" i="15"/>
  <c r="AF4" i="15"/>
  <c r="X4" i="15"/>
  <c r="P4" i="15"/>
  <c r="H4" i="15"/>
  <c r="R5" i="14"/>
  <c r="J5" i="14"/>
  <c r="B5" i="14"/>
  <c r="DJ4" i="14"/>
  <c r="DB4" i="14"/>
  <c r="CT4" i="14"/>
  <c r="CL4" i="14"/>
  <c r="CD4" i="14"/>
  <c r="BV4" i="14"/>
  <c r="BN4" i="14"/>
  <c r="BF4" i="14"/>
  <c r="AX4" i="14"/>
  <c r="AP4" i="14"/>
  <c r="AH4" i="14"/>
  <c r="Z4" i="14"/>
  <c r="R4" i="14"/>
  <c r="J4" i="14"/>
  <c r="B4" i="14"/>
  <c r="AT5" i="13"/>
  <c r="AL5" i="13"/>
  <c r="AD5" i="13"/>
  <c r="V5" i="13"/>
  <c r="N5" i="13"/>
  <c r="F5" i="13"/>
  <c r="AR4" i="13"/>
  <c r="AJ4" i="13"/>
  <c r="AB4" i="13"/>
  <c r="T4" i="13"/>
  <c r="L4" i="13"/>
  <c r="D4" i="13"/>
  <c r="I4" i="12"/>
  <c r="J4" i="11"/>
  <c r="B4" i="11"/>
  <c r="A5" i="10"/>
  <c r="C4" i="10"/>
  <c r="H4" i="9"/>
  <c r="G5" i="8"/>
  <c r="I4" i="8"/>
  <c r="J4" i="7"/>
  <c r="B4" i="7"/>
  <c r="AI5" i="6"/>
  <c r="AA5" i="6"/>
  <c r="S5" i="6"/>
  <c r="K5" i="6"/>
  <c r="C5" i="6"/>
  <c r="O4" i="6"/>
  <c r="G4" i="6"/>
  <c r="A5" i="5"/>
  <c r="DI4" i="5"/>
  <c r="DA4" i="5"/>
  <c r="CS4" i="5"/>
  <c r="CK4" i="5"/>
  <c r="CC4" i="5"/>
  <c r="BU4" i="5"/>
  <c r="BM4" i="5"/>
  <c r="BE4" i="5"/>
  <c r="AW4" i="5"/>
  <c r="AO4" i="5"/>
  <c r="H5" i="13"/>
  <c r="A5" i="12"/>
  <c r="D4" i="7"/>
  <c r="Z5" i="6"/>
  <c r="J5" i="6"/>
  <c r="N4" i="6"/>
  <c r="DP4" i="5"/>
  <c r="CZ4" i="5"/>
  <c r="CJ4" i="5"/>
  <c r="BT4" i="5"/>
  <c r="BD4" i="5"/>
  <c r="AN4" i="5"/>
  <c r="Z4" i="5"/>
  <c r="N4" i="5"/>
  <c r="DP4" i="4"/>
  <c r="DE4" i="4"/>
  <c r="CQ4" i="4"/>
  <c r="CE4" i="4"/>
  <c r="BR4" i="4"/>
  <c r="BD4" i="4"/>
  <c r="AS4" i="4"/>
  <c r="AI4" i="4"/>
  <c r="Z4" i="4"/>
  <c r="R4" i="4"/>
  <c r="J4" i="4"/>
  <c r="B4" i="4"/>
  <c r="A457" i="1"/>
  <c r="B454" i="1"/>
  <c r="C451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AT4" i="13"/>
  <c r="C4" i="12"/>
  <c r="J4" i="9"/>
  <c r="C4" i="7"/>
  <c r="X5" i="6"/>
  <c r="H5" i="6"/>
  <c r="L4" i="6"/>
  <c r="DN4" i="5"/>
  <c r="CX4" i="5"/>
  <c r="CH4" i="5"/>
  <c r="BR4" i="5"/>
  <c r="BB4" i="5"/>
  <c r="AL4" i="5"/>
  <c r="Y4" i="5"/>
  <c r="K4" i="5"/>
  <c r="M5" i="4"/>
  <c r="DO4" i="4"/>
  <c r="DC4" i="4"/>
  <c r="CP4" i="4"/>
  <c r="CB4" i="4"/>
  <c r="BQ4" i="4"/>
  <c r="BC4" i="4"/>
  <c r="AR4" i="4"/>
  <c r="AH4" i="4"/>
  <c r="Y4" i="4"/>
  <c r="Q4" i="4"/>
  <c r="I4" i="4"/>
  <c r="C456" i="1"/>
  <c r="A454" i="1"/>
  <c r="B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L4" i="13"/>
  <c r="B4" i="9"/>
  <c r="U5" i="6"/>
  <c r="E5" i="6"/>
  <c r="I4" i="6"/>
  <c r="DK4" i="5"/>
  <c r="CU4" i="5"/>
  <c r="CE4" i="5"/>
  <c r="BO4" i="5"/>
  <c r="AY4" i="5"/>
  <c r="AI4" i="5"/>
  <c r="X4" i="5"/>
  <c r="J4" i="5"/>
  <c r="K5" i="4"/>
  <c r="DN4" i="4"/>
  <c r="CZ4" i="4"/>
  <c r="CO4" i="4"/>
  <c r="CA4" i="4"/>
  <c r="BO4" i="4"/>
  <c r="BB4" i="4"/>
  <c r="AQ4" i="4"/>
  <c r="AF4" i="4"/>
  <c r="X4" i="4"/>
  <c r="P4" i="4"/>
  <c r="H4" i="4"/>
  <c r="A4" i="3"/>
  <c r="B456" i="1"/>
  <c r="C453" i="1"/>
  <c r="A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D4" i="13"/>
  <c r="B5" i="11"/>
  <c r="AK5" i="6"/>
  <c r="T5" i="6"/>
  <c r="D5" i="6"/>
  <c r="H4" i="6"/>
  <c r="DJ4" i="5"/>
  <c r="CT4" i="5"/>
  <c r="CD4" i="5"/>
  <c r="BN4" i="5"/>
  <c r="AX4" i="5"/>
  <c r="AH4" i="5"/>
  <c r="V4" i="5"/>
  <c r="I4" i="5"/>
  <c r="H5" i="4"/>
  <c r="DM4" i="4"/>
  <c r="CY4" i="4"/>
  <c r="CM4" i="4"/>
  <c r="BZ4" i="4"/>
  <c r="BL4" i="4"/>
  <c r="BA4" i="4"/>
  <c r="AN4" i="4"/>
  <c r="AE4" i="4"/>
  <c r="W4" i="4"/>
  <c r="O4" i="4"/>
  <c r="G4" i="4"/>
  <c r="C458" i="1"/>
  <c r="A456" i="1"/>
  <c r="B453" i="1"/>
  <c r="C450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B253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V4" i="13"/>
  <c r="D4" i="11"/>
  <c r="A5" i="8"/>
  <c r="AJ5" i="6"/>
  <c r="R5" i="6"/>
  <c r="B5" i="6"/>
  <c r="F4" i="6"/>
  <c r="DH4" i="5"/>
  <c r="CR4" i="5"/>
  <c r="CB4" i="5"/>
  <c r="BL4" i="5"/>
  <c r="AV4" i="5"/>
  <c r="AG4" i="5"/>
  <c r="S4" i="5"/>
  <c r="H4" i="5"/>
  <c r="G5" i="4"/>
  <c r="DK4" i="4"/>
  <c r="CX4" i="4"/>
  <c r="CJ4" i="4"/>
  <c r="BY4" i="4"/>
  <c r="BK4" i="4"/>
  <c r="AY4" i="4"/>
  <c r="AM4" i="4"/>
  <c r="AD4" i="4"/>
  <c r="V4" i="4"/>
  <c r="N4" i="4"/>
  <c r="F4" i="4"/>
  <c r="B458" i="1"/>
  <c r="C455" i="1"/>
  <c r="A453" i="1"/>
  <c r="B450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N4" i="13"/>
  <c r="C4" i="8"/>
  <c r="AH5" i="6"/>
  <c r="P5" i="6"/>
  <c r="T4" i="6"/>
  <c r="D4" i="6"/>
  <c r="DF4" i="5"/>
  <c r="CP4" i="5"/>
  <c r="BZ4" i="5"/>
  <c r="BJ4" i="5"/>
  <c r="AT4" i="5"/>
  <c r="AF4" i="5"/>
  <c r="R4" i="5"/>
  <c r="F4" i="5"/>
  <c r="F5" i="4"/>
  <c r="DH4" i="4"/>
  <c r="CW4" i="4"/>
  <c r="CI4" i="4"/>
  <c r="BW4" i="4"/>
  <c r="BJ4" i="4"/>
  <c r="AV4" i="4"/>
  <c r="AL4" i="4"/>
  <c r="AC4" i="4"/>
  <c r="U4" i="4"/>
  <c r="M4" i="4"/>
  <c r="E4" i="4"/>
  <c r="A458" i="1"/>
  <c r="B455" i="1"/>
  <c r="C452" i="1"/>
  <c r="A450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F4" i="13"/>
  <c r="C5" i="10"/>
  <c r="AC5" i="6"/>
  <c r="M5" i="6"/>
  <c r="Q4" i="6"/>
  <c r="DC4" i="5"/>
  <c r="CM4" i="5"/>
  <c r="BW4" i="5"/>
  <c r="BG4" i="5"/>
  <c r="AQ4" i="5"/>
  <c r="AD4" i="5"/>
  <c r="Q4" i="5"/>
  <c r="C4" i="5"/>
  <c r="E5" i="4"/>
  <c r="DG4" i="4"/>
  <c r="CU4" i="4"/>
  <c r="CH4" i="4"/>
  <c r="BT4" i="4"/>
  <c r="BI4" i="4"/>
  <c r="AU4" i="4"/>
  <c r="AK4" i="4"/>
  <c r="AB4" i="4"/>
  <c r="T4" i="4"/>
  <c r="L4" i="4"/>
  <c r="D4" i="4"/>
  <c r="C457" i="1"/>
  <c r="A455" i="1"/>
  <c r="B452" i="1"/>
  <c r="C449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E4" i="10"/>
  <c r="B5" i="7"/>
  <c r="AB5" i="6"/>
  <c r="L5" i="6"/>
  <c r="P4" i="6"/>
  <c r="B5" i="5"/>
  <c r="DB4" i="5"/>
  <c r="CL4" i="5"/>
  <c r="BV4" i="5"/>
  <c r="BF4" i="5"/>
  <c r="AP4" i="5"/>
  <c r="AA4" i="5"/>
  <c r="P4" i="5"/>
  <c r="B4" i="5"/>
  <c r="C5" i="4"/>
  <c r="DF4" i="4"/>
  <c r="CR4" i="4"/>
  <c r="CG4" i="4"/>
  <c r="BS4" i="4"/>
  <c r="BG4" i="4"/>
  <c r="AT4" i="4"/>
  <c r="AJ4" i="4"/>
  <c r="AA4" i="4"/>
  <c r="S4" i="4"/>
  <c r="K4" i="4"/>
  <c r="C4" i="4"/>
  <c r="B457" i="1"/>
  <c r="C454" i="1"/>
  <c r="A452" i="1"/>
  <c r="B449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B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A190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C5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B5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4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4" i="1"/>
</calcChain>
</file>

<file path=xl/sharedStrings.xml><?xml version="1.0" encoding="utf-8"?>
<sst xmlns="http://schemas.openxmlformats.org/spreadsheetml/2006/main" count="212" uniqueCount="47">
  <si>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</si>
  <si>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</si>
  <si>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</si>
  <si>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</si>
  <si>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</si>
  <si>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</si>
  <si>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</si>
  <si>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</si>
  <si>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</si>
  <si>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</si>
  <si>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</si>
  <si>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</si>
  <si>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Allocation</t>
  </si>
  <si>
    <t>SetAutoGroupingPreferences</t>
  </si>
  <si>
    <t>Data Format</t>
  </si>
  <si>
    <t>Input Format</t>
  </si>
  <si>
    <t>SetAutoGroupingAccount</t>
  </si>
  <si>
    <t>Allocation1</t>
  </si>
  <si>
    <t>Allocation3</t>
  </si>
  <si>
    <t>TradingTicket</t>
  </si>
  <si>
    <t>CreateDoneAwayOrder</t>
  </si>
  <si>
    <t>MSFT</t>
  </si>
  <si>
    <t>Buy</t>
  </si>
  <si>
    <t>Allocation1,Allocation3</t>
  </si>
  <si>
    <t>50,50</t>
  </si>
  <si>
    <t>Simulator</t>
  </si>
  <si>
    <t>AcknowledgeTrade</t>
  </si>
  <si>
    <t>SelectTrade</t>
  </si>
  <si>
    <t>ExecuteTrade</t>
  </si>
  <si>
    <t>Blotter</t>
  </si>
  <si>
    <t>VerifyOrder</t>
  </si>
  <si>
    <t>Equity</t>
  </si>
  <si>
    <t>PartiallyFilled</t>
  </si>
  <si>
    <t>MS</t>
  </si>
  <si>
    <t>Multiple</t>
  </si>
  <si>
    <t>Market</t>
  </si>
  <si>
    <t>GetDataAllocation</t>
  </si>
  <si>
    <t>Current</t>
  </si>
  <si>
    <t>CheckAllocatedGroups</t>
  </si>
  <si>
    <t>Open</t>
  </si>
  <si>
    <t>USD</t>
  </si>
  <si>
    <t>NASDAQ</t>
  </si>
  <si>
    <t>PortfolioManagement</t>
  </si>
  <si>
    <t>CheckPortfolioManagement</t>
  </si>
  <si>
    <t>Long</t>
  </si>
  <si>
    <t>US</t>
  </si>
  <si>
    <t>Shares Outstanding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</si>
</sst>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#,###,###,###,##0.00#############"/>
  </numFmts>
  <fonts count="14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5" fillId="0" borderId="0" xfId="0" applyFont="1" applyAlignment="1"/>
    <xf numFmtId="0" fontId="3" fillId="0" borderId="0" xfId="0" applyFont="1" applyAlignment="1"/>
    <xf numFmtId="0" fontId="3" fillId="0" borderId="5" xfId="0" applyFont="1" applyBorder="1" applyAlignment="1"/>
    <xf numFmtId="0" fontId="3" fillId="0" borderId="5" xfId="0" applyFont="1" applyBorder="1" applyAlignment="1"/>
    <xf numFmtId="0" fontId="5" fillId="0" borderId="5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3" fillId="0" borderId="0" xfId="0" applyFont="1" applyAlignment="1"/>
    <xf numFmtId="0" fontId="3" fillId="0" borderId="0" xfId="0" applyFont="1" applyAlignment="1"/>
    <xf numFmtId="0" fontId="5" fillId="0" borderId="0" xfId="0" applyFont="1" applyAlignment="1">
      <alignment horizontal="right"/>
    </xf>
    <xf numFmtId="3" fontId="2" fillId="0" borderId="0" xfId="0" applyNumberFormat="1" applyFont="1" applyAlignment="1"/>
    <xf numFmtId="0" fontId="13" fillId="0" borderId="0" xfId="0" applyFont="1" applyAlignment="1"/>
    <xf numFmtId="164" fontId="13" fillId="0" borderId="5" xfId="0" applyNumberFormat="1" applyFont="1" applyBorder="1" applyAlignment="1">
      <alignment horizontal="right"/>
    </xf>
    <xf numFmtId="164" fontId="13" fillId="0" borderId="0" xfId="0" applyNumberFormat="1" applyFont="1" applyAlignment="1">
      <alignment horizontal="right"/>
    </xf>
    <xf numFmtId="0" fontId="5" fillId="0" borderId="5" xfId="0" applyFont="1" applyBorder="1" applyAlignment="1"/>
    <xf numFmtId="0" fontId="13" fillId="0" borderId="0" xfId="0" applyFont="1" applyAlignment="1"/>
    <xf numFmtId="0" fontId="3" fillId="0" borderId="0" xfId="0" applyFont="1" applyAlignment="1">
      <alignment horizontal="right"/>
    </xf>
    <xf numFmtId="0" fontId="5" fillId="0" borderId="0" xfId="0" applyFont="1" applyAlignment="1"/>
    <xf numFmtId="0" fontId="3" fillId="0" borderId="5" xfId="0" applyFont="1" applyBorder="1" applyAlignment="1"/>
    <xf numFmtId="0" fontId="5" fillId="0" borderId="5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3" fontId="5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48" t="s">
        <v>0</v>
      </c>
      <c r="B1" s="49"/>
      <c r="C1" s="49"/>
      <c r="D1" s="49"/>
      <c r="E1" s="49"/>
      <c r="F1" s="50"/>
    </row>
    <row r="2" spans="1:6" ht="15.75" customHeight="1">
      <c r="A2" s="1"/>
      <c r="B2" s="1"/>
      <c r="C2" s="1"/>
      <c r="D2" s="1"/>
      <c r="E2" s="1"/>
      <c r="F2" s="1"/>
    </row>
    <row r="3" spans="1:6" ht="15.75" customHeight="1">
      <c r="A3" s="2" t="s">
        <v>1</v>
      </c>
      <c r="B3" s="3"/>
      <c r="C3" s="4"/>
      <c r="D3" s="4"/>
      <c r="E3" s="4"/>
      <c r="F3" s="4"/>
    </row>
    <row r="4" spans="1:6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/>
      <c r="E4" s="1"/>
      <c r="F4" s="1"/>
    </row>
    <row r="5" spans="1:6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</row>
    <row r="43" spans="1:6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</row>
    <row r="50" spans="1:3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</row>
    <row r="51" spans="1:3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</row>
    <row r="52" spans="1:3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</row>
    <row r="53" spans="1:3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</row>
    <row r="55" spans="1:3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</row>
    <row r="56" spans="1:3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</row>
    <row r="58" spans="1:3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IFERROR(__xludf.DUMMYFUNCTION("""COMPUTED_VALUE"""),"undefined")</f>
        <v>undefined</v>
      </c>
    </row>
    <row r="326" spans="1:3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/>
    <row r="460" spans="1:3" ht="15.75" customHeight="1"/>
    <row r="461" spans="1:3" ht="15.75" customHeight="1"/>
    <row r="462" spans="1:3" ht="15.75" customHeight="1"/>
    <row r="463" spans="1:3" ht="15.75" customHeight="1"/>
    <row r="464" spans="1:3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51" t="s">
        <v>2</v>
      </c>
      <c r="B1" s="49"/>
      <c r="C1" s="50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7" t="s">
        <v>6</v>
      </c>
      <c r="C4" s="5"/>
    </row>
    <row r="5" spans="1:3" ht="15.75" customHeight="1">
      <c r="A5" s="9"/>
      <c r="B5" s="5"/>
      <c r="C5" s="5"/>
    </row>
    <row r="6" spans="1:3" ht="15.75" customHeight="1">
      <c r="A6" s="9"/>
      <c r="B6" s="5"/>
      <c r="C6" s="5"/>
    </row>
    <row r="7" spans="1:3" ht="15.75" customHeight="1">
      <c r="A7" s="9"/>
      <c r="B7" s="5"/>
      <c r="C7" s="5"/>
    </row>
    <row r="8" spans="1:3" ht="15.75" customHeight="1">
      <c r="A8" s="9"/>
      <c r="B8" s="5"/>
      <c r="C8" s="5"/>
    </row>
    <row r="9" spans="1:3" ht="15.75" customHeight="1">
      <c r="A9" s="9"/>
      <c r="B9" s="5"/>
      <c r="C9" s="5"/>
    </row>
    <row r="10" spans="1:3" ht="15.75" customHeight="1">
      <c r="A10" s="9"/>
      <c r="B10" s="5"/>
      <c r="C10" s="5"/>
    </row>
    <row r="11" spans="1:3" ht="15.75" customHeight="1">
      <c r="A11" s="9"/>
      <c r="B11" s="5"/>
      <c r="C11" s="5"/>
    </row>
    <row r="12" spans="1:3" ht="15.75" customHeight="1">
      <c r="A12" s="9"/>
      <c r="B12" s="5"/>
      <c r="C12" s="5"/>
    </row>
    <row r="13" spans="1:3" ht="15.75" customHeight="1">
      <c r="A13" s="9"/>
      <c r="B13" s="5"/>
      <c r="C13" s="5"/>
    </row>
    <row r="14" spans="1:3" ht="15.75" customHeight="1">
      <c r="A14" s="9"/>
      <c r="B14" s="5"/>
      <c r="C14" s="5"/>
    </row>
    <row r="15" spans="1:3" ht="15.75" customHeight="1">
      <c r="A15" s="9"/>
      <c r="B15" s="5"/>
      <c r="C15" s="5"/>
    </row>
    <row r="16" spans="1:3" ht="15.75" customHeight="1">
      <c r="A16" s="9"/>
      <c r="B16" s="5"/>
      <c r="C16" s="5"/>
    </row>
    <row r="17" spans="1:3" ht="15.75" customHeight="1">
      <c r="A17" s="9"/>
      <c r="B17" s="5"/>
      <c r="C17" s="5"/>
    </row>
    <row r="18" spans="1:3" ht="15.75" customHeight="1">
      <c r="A18" s="9"/>
      <c r="B18" s="5"/>
      <c r="C18" s="5"/>
    </row>
    <row r="19" spans="1:3" ht="15.75" customHeight="1">
      <c r="A19" s="9"/>
      <c r="B19" s="5"/>
      <c r="C19" s="5"/>
    </row>
    <row r="20" spans="1:3" ht="15.75" customHeight="1">
      <c r="A20" s="9"/>
      <c r="B20" s="5"/>
      <c r="C20" s="5"/>
    </row>
    <row r="21" spans="1:3" ht="15.75" customHeight="1">
      <c r="A21" s="9"/>
      <c r="B21" s="5"/>
      <c r="C21" s="5"/>
    </row>
    <row r="22" spans="1:3" ht="15.75" customHeight="1">
      <c r="A22" s="9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48" t="s">
        <v>7</v>
      </c>
      <c r="B1" s="49"/>
      <c r="C1" s="49"/>
      <c r="D1" s="49"/>
      <c r="E1" s="49"/>
      <c r="F1" s="50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IFERROR(__xludf.DUMMYFUNCTION("""COMPUTED_VALUE"""),"AutoGroup")</f>
        <v>AutoGroup</v>
      </c>
      <c r="C5" s="22" t="str">
        <f ca="1">IFERROR(__xludf.DUMMYFUNCTION("""COMPUTED_VALUE"""),"TradeAttribute1")</f>
        <v>TradeAttribute1</v>
      </c>
      <c r="D5" s="22" t="str">
        <f ca="1">IFERROR(__xludf.DUMMYFUNCTION("""COMPUTED_VALUE"""),"TradeAttribute2")</f>
        <v>TradeAttribute2</v>
      </c>
      <c r="E5" s="22" t="str">
        <f ca="1">IFERROR(__xludf.DUMMYFUNCTION("""COMPUTED_VALUE"""),"TradeAttribute3")</f>
        <v>TradeAttribute3</v>
      </c>
      <c r="F5" s="23" t="str">
        <f ca="1">IFERROR(__xludf.DUMMYFUNCTION("""COMPUTED_VALUE"""),"TradeAttribute4")</f>
        <v>TradeAttribute4</v>
      </c>
      <c r="G5" s="22" t="str">
        <f ca="1">IFERROR(__xludf.DUMMYFUNCTION("""COMPUTED_VALUE"""),"TradeAttribute5")</f>
        <v>TradeAttribute5</v>
      </c>
      <c r="H5" s="22" t="str">
        <f ca="1">IFERROR(__xludf.DUMMYFUNCTION("""COMPUTED_VALUE"""),"TradeAttribute6")</f>
        <v>TradeAttribute6</v>
      </c>
      <c r="I5" s="22" t="str">
        <f ca="1">IFERROR(__xludf.DUMMYFUNCTION("""COMPUTED_VALUE"""),"Broker")</f>
        <v>Broker</v>
      </c>
      <c r="J5" s="22" t="str">
        <f ca="1">IFERROR(__xludf.DUMMYFUNCTION("""COMPUTED_VALUE"""),"Venue")</f>
        <v>Venue</v>
      </c>
      <c r="K5" s="22" t="str">
        <f ca="1">IFERROR(__xludf.DUMMYFUNCTION("""COMPUTED_VALUE"""),"TradingAC")</f>
        <v>TradingAC</v>
      </c>
      <c r="L5" s="22" t="str">
        <f ca="1">IFERROR(__xludf.DUMMYFUNCTION("""COMPUTED_VALUE"""),"TradeDate")</f>
        <v>TradeDate</v>
      </c>
      <c r="M5" s="22" t="str">
        <f ca="1">IFERROR(__xludf.DUMMYFUNCTION("""COMPUTED_VALUE"""),"ProcessDate")</f>
        <v>ProcessDate</v>
      </c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b">
        <v>1</v>
      </c>
      <c r="C6" s="5"/>
      <c r="D6" s="7"/>
      <c r="E6" s="25"/>
      <c r="F6" s="5"/>
      <c r="G6" s="5"/>
      <c r="H6" s="5"/>
      <c r="I6" s="5"/>
      <c r="J6" s="5"/>
      <c r="K6" s="7" t="b">
        <v>1</v>
      </c>
      <c r="L6" s="7" t="b">
        <v>1</v>
      </c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IFERROR(__xludf.DUMMYFUNCTION("""COMPUTED_VALUE"""),"FundName")</f>
        <v>FundName</v>
      </c>
      <c r="C5" s="22"/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17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7" t="s">
        <v>18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36" width="14.42578125" customWidth="1"/>
    <col min="37" max="37" width="24.5703125" customWidth="1"/>
    <col min="38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19</v>
      </c>
      <c r="D3" s="2" t="s">
        <v>9</v>
      </c>
      <c r="E3" s="17" t="s">
        <v>20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6"/>
      <c r="B6" s="27" t="s">
        <v>21</v>
      </c>
      <c r="C6" s="28" t="s">
        <v>22</v>
      </c>
      <c r="D6" s="29">
        <v>100</v>
      </c>
      <c r="E6" s="30">
        <v>100</v>
      </c>
      <c r="F6" s="28"/>
      <c r="G6" s="28"/>
      <c r="H6" s="28"/>
      <c r="I6" s="28"/>
      <c r="J6" s="30">
        <v>10</v>
      </c>
      <c r="K6" s="28"/>
      <c r="L6" s="28"/>
      <c r="M6" s="28"/>
      <c r="N6" s="28"/>
      <c r="O6" s="28"/>
      <c r="P6" s="28"/>
      <c r="Q6" s="28"/>
      <c r="R6" s="28"/>
      <c r="S6" s="28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2" t="s">
        <v>23</v>
      </c>
      <c r="AL6" s="32" t="s">
        <v>24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31"/>
      <c r="B7" s="31" t="s">
        <v>21</v>
      </c>
      <c r="C7" s="31" t="s">
        <v>22</v>
      </c>
      <c r="D7" s="33">
        <v>200</v>
      </c>
      <c r="E7" s="33">
        <v>200</v>
      </c>
      <c r="F7" s="31"/>
      <c r="G7" s="31"/>
      <c r="H7" s="31"/>
      <c r="I7" s="31"/>
      <c r="J7" s="33">
        <v>20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2" t="s">
        <v>23</v>
      </c>
      <c r="AL7" s="32" t="s">
        <v>24</v>
      </c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25</v>
      </c>
      <c r="D3" s="2" t="s">
        <v>9</v>
      </c>
      <c r="E3" s="17" t="s">
        <v>26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6"/>
      <c r="B6" s="27" t="s">
        <v>22</v>
      </c>
      <c r="C6" s="28" t="s">
        <v>21</v>
      </c>
      <c r="D6" s="27"/>
      <c r="E6" s="28"/>
      <c r="F6" s="28"/>
      <c r="G6" s="30">
        <v>100</v>
      </c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25</v>
      </c>
      <c r="D3" s="2" t="s">
        <v>9</v>
      </c>
      <c r="E3" s="17" t="s">
        <v>27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6"/>
      <c r="B6" s="27" t="s">
        <v>22</v>
      </c>
      <c r="C6" s="28" t="s">
        <v>21</v>
      </c>
      <c r="D6" s="27"/>
      <c r="E6" s="28"/>
      <c r="F6" s="28"/>
      <c r="G6" s="30">
        <v>100</v>
      </c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25</v>
      </c>
      <c r="D3" s="2" t="s">
        <v>9</v>
      </c>
      <c r="E3" s="17" t="s">
        <v>28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IFERROR(__xludf.DUMMYFUNCTION("""COMPUTED_VALUE"""),"Price")</f>
        <v>Price</v>
      </c>
      <c r="C5" s="22" t="str">
        <f ca="1">IFERROR(__xludf.DUMMYFUNCTION("""COMPUTED_VALUE"""),"Shares")</f>
        <v>Shares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6"/>
      <c r="B6" s="29">
        <v>5</v>
      </c>
      <c r="C6" s="30">
        <v>50</v>
      </c>
      <c r="D6" s="27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25</v>
      </c>
      <c r="D3" s="2" t="s">
        <v>9</v>
      </c>
      <c r="E3" s="17" t="s">
        <v>27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6"/>
      <c r="B6" s="27" t="s">
        <v>22</v>
      </c>
      <c r="C6" s="28" t="s">
        <v>21</v>
      </c>
      <c r="D6" s="27"/>
      <c r="E6" s="28"/>
      <c r="F6" s="28"/>
      <c r="G6" s="30">
        <v>200</v>
      </c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25</v>
      </c>
      <c r="D3" s="2" t="s">
        <v>9</v>
      </c>
      <c r="E3" s="17" t="s">
        <v>26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6"/>
      <c r="B6" s="27" t="s">
        <v>22</v>
      </c>
      <c r="C6" s="28" t="s">
        <v>21</v>
      </c>
      <c r="D6" s="27"/>
      <c r="E6" s="28"/>
      <c r="F6" s="28"/>
      <c r="G6" s="30">
        <v>200</v>
      </c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25</v>
      </c>
      <c r="D3" s="2" t="s">
        <v>9</v>
      </c>
      <c r="E3" s="17" t="s">
        <v>28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IFERROR(__xludf.DUMMYFUNCTION("""COMPUTED_VALUE"""),"Price")</f>
        <v>Price</v>
      </c>
      <c r="C5" s="22" t="str">
        <f ca="1">IFERROR(__xludf.DUMMYFUNCTION("""COMPUTED_VALUE"""),"Shares")</f>
        <v>Shares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6"/>
      <c r="B6" s="29">
        <v>10</v>
      </c>
      <c r="C6" s="30">
        <v>100</v>
      </c>
      <c r="D6" s="27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29</v>
      </c>
      <c r="D3" s="2" t="s">
        <v>9</v>
      </c>
      <c r="E3" s="17" t="s">
        <v>30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/>
      <c r="C6" s="5"/>
      <c r="D6" s="7">
        <v>5</v>
      </c>
      <c r="E6" s="25"/>
      <c r="F6" s="5"/>
      <c r="G6" s="7">
        <v>50</v>
      </c>
      <c r="H6" s="5"/>
      <c r="I6" s="5"/>
      <c r="J6" s="5"/>
      <c r="K6" s="5"/>
      <c r="L6" s="5"/>
      <c r="M6" s="5"/>
      <c r="N6" s="5"/>
      <c r="O6" s="5"/>
      <c r="AD6" s="6">
        <v>1</v>
      </c>
      <c r="AH6" s="6" t="s">
        <v>31</v>
      </c>
      <c r="AI6" s="6" t="s">
        <v>21</v>
      </c>
      <c r="AJ6" s="6" t="s">
        <v>22</v>
      </c>
      <c r="AK6" s="6" t="s">
        <v>32</v>
      </c>
      <c r="AL6" s="6">
        <v>100</v>
      </c>
      <c r="AM6" s="6">
        <v>50</v>
      </c>
      <c r="AN6" s="6">
        <v>50</v>
      </c>
      <c r="AO6" s="6">
        <v>50</v>
      </c>
      <c r="AQ6" s="6">
        <v>5</v>
      </c>
      <c r="AR6" s="6">
        <v>5</v>
      </c>
      <c r="AS6" s="6" t="s">
        <v>33</v>
      </c>
      <c r="AT6" s="6" t="s">
        <v>34</v>
      </c>
      <c r="AU6" s="6" t="s">
        <v>35</v>
      </c>
      <c r="AV6" s="6">
        <v>250</v>
      </c>
      <c r="AW6" s="6">
        <v>250</v>
      </c>
      <c r="AY6" s="6">
        <v>100</v>
      </c>
      <c r="AZ6" s="6">
        <v>50</v>
      </c>
    </row>
    <row r="7" spans="1:154" ht="15.75" customHeight="1">
      <c r="A7" s="5"/>
      <c r="B7" s="5"/>
      <c r="C7" s="5"/>
      <c r="D7" s="7">
        <v>10</v>
      </c>
      <c r="E7" s="5"/>
      <c r="F7" s="5"/>
      <c r="G7" s="7">
        <v>100</v>
      </c>
      <c r="H7" s="5"/>
      <c r="I7" s="5"/>
      <c r="J7" s="5"/>
      <c r="K7" s="5"/>
      <c r="L7" s="5"/>
      <c r="M7" s="5"/>
      <c r="N7" s="5"/>
      <c r="O7" s="5"/>
      <c r="AD7" s="6">
        <v>1</v>
      </c>
      <c r="AH7" s="6" t="s">
        <v>31</v>
      </c>
      <c r="AI7" s="6" t="s">
        <v>21</v>
      </c>
      <c r="AJ7" s="6" t="s">
        <v>22</v>
      </c>
      <c r="AK7" s="6" t="s">
        <v>32</v>
      </c>
      <c r="AL7" s="6">
        <v>200</v>
      </c>
      <c r="AM7" s="6">
        <v>100</v>
      </c>
      <c r="AN7" s="6">
        <v>50</v>
      </c>
      <c r="AO7" s="6">
        <v>100</v>
      </c>
      <c r="AQ7" s="6">
        <v>10</v>
      </c>
      <c r="AR7" s="6">
        <v>10</v>
      </c>
      <c r="AS7" s="6" t="s">
        <v>33</v>
      </c>
      <c r="AT7" s="6" t="s">
        <v>34</v>
      </c>
      <c r="AU7" s="6" t="s">
        <v>35</v>
      </c>
      <c r="AV7" s="34">
        <v>1000</v>
      </c>
      <c r="AW7" s="34">
        <v>1000</v>
      </c>
      <c r="AY7" s="6">
        <v>200</v>
      </c>
      <c r="AZ7" s="6">
        <v>100</v>
      </c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36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37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38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35" t="s">
        <v>34</v>
      </c>
      <c r="C6" s="5"/>
      <c r="D6" s="36">
        <v>0</v>
      </c>
      <c r="E6" s="37">
        <v>50</v>
      </c>
      <c r="F6" s="5"/>
      <c r="G6" s="38" t="s">
        <v>31</v>
      </c>
      <c r="H6" s="36">
        <v>4</v>
      </c>
      <c r="I6" s="36">
        <v>5</v>
      </c>
      <c r="J6" s="5"/>
      <c r="K6" s="36">
        <v>5</v>
      </c>
      <c r="L6" s="36">
        <v>5</v>
      </c>
      <c r="M6" s="28"/>
      <c r="N6" s="28"/>
      <c r="O6" s="38" t="s">
        <v>33</v>
      </c>
      <c r="Q6" s="36">
        <v>3</v>
      </c>
      <c r="R6" s="36">
        <v>0</v>
      </c>
      <c r="S6" s="28" t="s">
        <v>39</v>
      </c>
      <c r="T6" s="37">
        <v>0</v>
      </c>
      <c r="U6" s="37">
        <v>0</v>
      </c>
      <c r="V6" s="31"/>
      <c r="Z6" s="39" t="s">
        <v>40</v>
      </c>
      <c r="AA6" s="31"/>
      <c r="AB6" s="31"/>
      <c r="AC6" s="31"/>
      <c r="AD6" s="39" t="s">
        <v>41</v>
      </c>
      <c r="AE6" s="37">
        <v>50</v>
      </c>
      <c r="AI6" s="6">
        <v>1</v>
      </c>
      <c r="AT6" s="37">
        <v>264.00009999999997</v>
      </c>
      <c r="AU6" s="37">
        <v>264.00009999999997</v>
      </c>
      <c r="AW6" s="37">
        <v>0</v>
      </c>
      <c r="AX6" s="37">
        <v>0</v>
      </c>
      <c r="AY6" s="31" t="s">
        <v>35</v>
      </c>
      <c r="AZ6" s="37">
        <v>0</v>
      </c>
      <c r="BA6" s="31"/>
      <c r="BC6" s="37">
        <v>0</v>
      </c>
      <c r="BE6" s="37">
        <v>250</v>
      </c>
      <c r="BF6" s="37">
        <v>250</v>
      </c>
      <c r="BJ6" s="40">
        <v>100</v>
      </c>
      <c r="BK6" s="37">
        <v>0</v>
      </c>
      <c r="BL6" s="31"/>
      <c r="BM6" s="31"/>
      <c r="BN6" s="31"/>
      <c r="BO6" s="31" t="s">
        <v>22</v>
      </c>
      <c r="BP6" s="37">
        <v>0</v>
      </c>
      <c r="BQ6" s="37">
        <v>0</v>
      </c>
      <c r="BT6" s="6" t="s">
        <v>21</v>
      </c>
      <c r="BU6" s="37">
        <v>3</v>
      </c>
      <c r="BV6" s="37">
        <v>0</v>
      </c>
      <c r="BW6" s="37">
        <v>14.0001</v>
      </c>
      <c r="BX6" s="37">
        <v>0</v>
      </c>
      <c r="BY6" s="31"/>
      <c r="CI6" s="31" t="s">
        <v>22</v>
      </c>
      <c r="CJ6" s="37">
        <v>0</v>
      </c>
    </row>
    <row r="7" spans="1:154" ht="15.75" customHeight="1">
      <c r="A7" s="5"/>
      <c r="B7" s="39" t="s">
        <v>34</v>
      </c>
      <c r="C7" s="5"/>
      <c r="D7" s="37">
        <v>0</v>
      </c>
      <c r="E7" s="37">
        <v>100</v>
      </c>
      <c r="F7" s="5"/>
      <c r="G7" s="41" t="s">
        <v>31</v>
      </c>
      <c r="H7" s="37">
        <v>4</v>
      </c>
      <c r="I7" s="37">
        <v>5</v>
      </c>
      <c r="J7" s="5"/>
      <c r="K7" s="37">
        <v>10</v>
      </c>
      <c r="L7" s="37">
        <v>10</v>
      </c>
      <c r="M7" s="31"/>
      <c r="N7" s="31"/>
      <c r="O7" s="41" t="s">
        <v>33</v>
      </c>
      <c r="Q7" s="37">
        <v>3</v>
      </c>
      <c r="R7" s="37">
        <v>0</v>
      </c>
      <c r="S7" s="31" t="s">
        <v>39</v>
      </c>
      <c r="T7" s="37">
        <v>0</v>
      </c>
      <c r="U7" s="37">
        <v>0</v>
      </c>
      <c r="V7" s="31"/>
      <c r="Z7" s="39" t="s">
        <v>40</v>
      </c>
      <c r="AA7" s="31"/>
      <c r="AB7" s="31"/>
      <c r="AC7" s="31"/>
      <c r="AD7" s="39" t="s">
        <v>41</v>
      </c>
      <c r="AE7" s="37">
        <v>100</v>
      </c>
      <c r="AI7" s="6">
        <v>1</v>
      </c>
      <c r="AT7" s="37">
        <v>1014.0006</v>
      </c>
      <c r="AU7" s="37">
        <v>1014.0006</v>
      </c>
      <c r="AW7" s="37">
        <v>0</v>
      </c>
      <c r="AX7" s="37">
        <v>0</v>
      </c>
      <c r="AY7" s="31" t="s">
        <v>35</v>
      </c>
      <c r="AZ7" s="37">
        <v>0</v>
      </c>
      <c r="BA7" s="31"/>
      <c r="BC7" s="37">
        <v>0</v>
      </c>
      <c r="BE7" s="37">
        <v>1000</v>
      </c>
      <c r="BF7" s="37">
        <v>1000</v>
      </c>
      <c r="BJ7" s="40">
        <v>200</v>
      </c>
      <c r="BK7" s="37">
        <v>0</v>
      </c>
      <c r="BL7" s="31"/>
      <c r="BM7" s="31"/>
      <c r="BN7" s="31"/>
      <c r="BO7" s="31" t="s">
        <v>22</v>
      </c>
      <c r="BP7" s="37">
        <v>0</v>
      </c>
      <c r="BQ7" s="37">
        <v>0</v>
      </c>
      <c r="BT7" s="6" t="s">
        <v>21</v>
      </c>
      <c r="BU7" s="37">
        <v>3</v>
      </c>
      <c r="BV7" s="37">
        <v>0</v>
      </c>
      <c r="BW7" s="37">
        <v>14.0006</v>
      </c>
      <c r="BX7" s="37">
        <v>0</v>
      </c>
      <c r="BY7" s="31"/>
      <c r="CI7" s="31" t="s">
        <v>22</v>
      </c>
      <c r="CJ7" s="37">
        <v>0</v>
      </c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Z8" s="31"/>
      <c r="AA8" s="31"/>
      <c r="AB8" s="31"/>
      <c r="AC8" s="31"/>
      <c r="AD8" s="31"/>
      <c r="AE8" s="31"/>
      <c r="AT8" s="39"/>
      <c r="AU8" s="39"/>
      <c r="AW8" s="31"/>
      <c r="AX8" s="31"/>
      <c r="AY8" s="31"/>
      <c r="AZ8" s="31"/>
      <c r="BA8" s="31"/>
      <c r="BJ8" s="31"/>
      <c r="BK8" s="31"/>
      <c r="BL8" s="31"/>
      <c r="BM8" s="31"/>
      <c r="BN8" s="31"/>
      <c r="BO8" s="31"/>
      <c r="BP8" s="31"/>
      <c r="BQ8" s="31"/>
      <c r="BU8" s="31"/>
      <c r="BV8" s="31"/>
      <c r="BW8" s="31"/>
      <c r="BX8" s="31"/>
      <c r="BY8" s="31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K100"/>
  <sheetViews>
    <sheetView tabSelected="1" topLeftCell="AY1" workbookViewId="0">
      <selection activeCell="BK5" sqref="BK5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7" width="14.42578125" customWidth="1"/>
  </cols>
  <sheetData>
    <row r="1" spans="1:167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</row>
    <row r="2" spans="1:167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67" ht="15.75" customHeight="1">
      <c r="A3" s="16"/>
      <c r="B3" s="2" t="s">
        <v>8</v>
      </c>
      <c r="C3" s="17" t="s">
        <v>42</v>
      </c>
      <c r="D3" s="2" t="s">
        <v>9</v>
      </c>
      <c r="E3" s="17" t="s">
        <v>43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</row>
    <row r="4" spans="1:167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</row>
    <row r="5" spans="1:167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">
        <v>46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/>
      <c r="FC5" s="24"/>
      <c r="FD5" s="24"/>
      <c r="FE5" s="24"/>
      <c r="FF5" s="24"/>
      <c r="FG5" s="24"/>
      <c r="FH5" s="24"/>
      <c r="FI5" s="24"/>
      <c r="FJ5" s="24"/>
      <c r="FK5" s="24"/>
    </row>
    <row r="6" spans="1:167" ht="15.75" customHeight="1">
      <c r="A6" s="26"/>
      <c r="B6" s="27"/>
      <c r="C6" s="42" t="s">
        <v>21</v>
      </c>
      <c r="D6" s="43">
        <v>25</v>
      </c>
      <c r="E6" s="42" t="s">
        <v>18</v>
      </c>
      <c r="F6" s="28"/>
      <c r="G6" s="43">
        <v>5</v>
      </c>
      <c r="H6" s="42" t="s">
        <v>44</v>
      </c>
      <c r="I6" s="43">
        <v>0</v>
      </c>
      <c r="J6" s="28"/>
      <c r="K6" s="43">
        <v>0</v>
      </c>
      <c r="L6" s="28"/>
      <c r="M6" s="28"/>
      <c r="N6" s="43">
        <v>-125</v>
      </c>
      <c r="O6" s="28"/>
      <c r="P6" s="28"/>
      <c r="Q6" s="43">
        <v>-125</v>
      </c>
      <c r="R6" s="28"/>
      <c r="S6" s="28"/>
      <c r="T6" s="31" t="s">
        <v>31</v>
      </c>
      <c r="U6" s="31" t="s">
        <v>45</v>
      </c>
      <c r="V6" s="31"/>
      <c r="W6" s="31" t="s">
        <v>40</v>
      </c>
      <c r="X6" s="31"/>
      <c r="Y6" s="40">
        <v>1</v>
      </c>
      <c r="Z6" s="31"/>
      <c r="AA6" s="31"/>
      <c r="AB6" s="40">
        <v>0</v>
      </c>
      <c r="AC6" s="40">
        <v>0</v>
      </c>
      <c r="AD6" s="40">
        <v>0</v>
      </c>
      <c r="AE6" s="40">
        <v>0</v>
      </c>
      <c r="AF6" s="44">
        <v>25</v>
      </c>
      <c r="AG6" s="40">
        <v>0</v>
      </c>
      <c r="AH6" s="40">
        <v>0</v>
      </c>
      <c r="AI6" s="40">
        <v>0</v>
      </c>
      <c r="AJ6" s="40">
        <v>0</v>
      </c>
      <c r="AK6" s="43">
        <v>-125</v>
      </c>
      <c r="AL6" s="40">
        <v>1</v>
      </c>
      <c r="AM6" s="40">
        <v>1</v>
      </c>
      <c r="AN6" s="32" t="s">
        <v>22</v>
      </c>
      <c r="AO6" s="31"/>
      <c r="AP6" s="31" t="s">
        <v>44</v>
      </c>
      <c r="AQ6" s="31" t="s">
        <v>21</v>
      </c>
      <c r="AR6" s="40">
        <v>0</v>
      </c>
      <c r="AS6" s="44">
        <v>1</v>
      </c>
      <c r="AT6" s="31"/>
      <c r="AU6" s="31"/>
      <c r="AV6" s="44">
        <v>1</v>
      </c>
      <c r="AW6" s="43">
        <v>-125</v>
      </c>
      <c r="AX6" s="33">
        <v>0</v>
      </c>
      <c r="AY6" s="40">
        <v>0</v>
      </c>
      <c r="AZ6" s="40">
        <v>0</v>
      </c>
      <c r="BA6" s="40">
        <v>-100</v>
      </c>
      <c r="BB6" s="31"/>
      <c r="BC6" s="44">
        <v>1</v>
      </c>
      <c r="BD6" s="43">
        <v>-125</v>
      </c>
      <c r="BE6" s="31" t="s">
        <v>31</v>
      </c>
      <c r="BF6" s="31"/>
      <c r="BG6" s="31"/>
      <c r="BH6" s="31"/>
      <c r="BI6" s="31"/>
      <c r="BJ6" s="40">
        <v>0</v>
      </c>
      <c r="BK6" s="40">
        <v>0</v>
      </c>
      <c r="BL6" s="40">
        <v>0</v>
      </c>
      <c r="BM6" s="40">
        <v>0</v>
      </c>
      <c r="BN6" s="31"/>
      <c r="BO6" s="43">
        <v>-125</v>
      </c>
      <c r="BP6" s="44">
        <v>0</v>
      </c>
      <c r="BQ6" s="31"/>
      <c r="BR6" s="31" t="s">
        <v>33</v>
      </c>
      <c r="BS6" s="40">
        <v>0</v>
      </c>
      <c r="BT6" s="40">
        <v>0</v>
      </c>
      <c r="BU6" s="31" t="s">
        <v>31</v>
      </c>
      <c r="BV6" s="31"/>
      <c r="BW6" s="40">
        <v>0</v>
      </c>
      <c r="BX6" s="40">
        <v>0</v>
      </c>
      <c r="BY6" s="40">
        <v>0</v>
      </c>
      <c r="BZ6" s="40">
        <v>0</v>
      </c>
      <c r="CA6" s="40">
        <v>0</v>
      </c>
      <c r="CB6" s="31"/>
      <c r="CC6" s="40">
        <v>0</v>
      </c>
      <c r="CD6" s="43">
        <v>-125</v>
      </c>
      <c r="CE6" s="44">
        <v>0</v>
      </c>
      <c r="CF6" s="44">
        <v>0</v>
      </c>
      <c r="CG6" s="43">
        <v>-125</v>
      </c>
      <c r="CH6" s="40">
        <v>-100</v>
      </c>
      <c r="CI6" s="40">
        <v>0</v>
      </c>
      <c r="CJ6" s="40">
        <v>0</v>
      </c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40">
        <v>0</v>
      </c>
      <c r="DB6" s="40">
        <v>0</v>
      </c>
      <c r="DC6" s="31"/>
      <c r="DD6" s="31"/>
      <c r="DE6" s="40">
        <v>0</v>
      </c>
      <c r="DF6" s="40">
        <v>0</v>
      </c>
      <c r="DG6" s="40">
        <v>0</v>
      </c>
      <c r="DH6" s="31"/>
      <c r="DI6" s="40">
        <v>0</v>
      </c>
      <c r="DJ6" s="31" t="s">
        <v>22</v>
      </c>
      <c r="DK6" s="40">
        <v>0</v>
      </c>
      <c r="DL6" s="40">
        <v>0</v>
      </c>
      <c r="DM6" s="40">
        <v>1</v>
      </c>
      <c r="DN6" s="40">
        <v>0</v>
      </c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40">
        <v>0</v>
      </c>
      <c r="EH6" s="40">
        <v>0</v>
      </c>
      <c r="EI6" s="40">
        <v>0</v>
      </c>
      <c r="EJ6" s="40">
        <v>0</v>
      </c>
      <c r="EK6" s="40">
        <v>0</v>
      </c>
      <c r="EL6" s="31" t="s">
        <v>44</v>
      </c>
      <c r="EM6" s="40">
        <v>0</v>
      </c>
      <c r="EN6" s="40">
        <v>0</v>
      </c>
      <c r="EO6" s="40">
        <v>0</v>
      </c>
      <c r="EP6" s="31"/>
      <c r="EQ6" s="40">
        <v>0</v>
      </c>
      <c r="ER6" s="40">
        <v>0</v>
      </c>
      <c r="ES6" s="31"/>
      <c r="ET6" s="31"/>
      <c r="EU6" s="31"/>
      <c r="EV6" s="31"/>
      <c r="EW6" s="31"/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</row>
    <row r="7" spans="1:167" ht="15.75" customHeight="1">
      <c r="A7" s="31"/>
      <c r="B7" s="31"/>
      <c r="C7" s="32" t="s">
        <v>21</v>
      </c>
      <c r="D7" s="45">
        <v>50</v>
      </c>
      <c r="E7" s="42" t="s">
        <v>18</v>
      </c>
      <c r="F7" s="31"/>
      <c r="G7" s="45">
        <v>10</v>
      </c>
      <c r="H7" s="32" t="s">
        <v>44</v>
      </c>
      <c r="I7" s="45">
        <v>0</v>
      </c>
      <c r="J7" s="31"/>
      <c r="K7" s="45">
        <v>0</v>
      </c>
      <c r="L7" s="31"/>
      <c r="M7" s="31"/>
      <c r="N7" s="46">
        <v>-500</v>
      </c>
      <c r="O7" s="31"/>
      <c r="P7" s="31"/>
      <c r="Q7" s="46">
        <v>-500</v>
      </c>
      <c r="R7" s="31"/>
      <c r="S7" s="31"/>
      <c r="T7" s="31" t="s">
        <v>31</v>
      </c>
      <c r="U7" s="31" t="s">
        <v>45</v>
      </c>
      <c r="V7" s="31"/>
      <c r="W7" s="31" t="s">
        <v>40</v>
      </c>
      <c r="X7" s="31"/>
      <c r="Y7" s="40">
        <v>1</v>
      </c>
      <c r="Z7" s="31"/>
      <c r="AA7" s="31"/>
      <c r="AB7" s="40">
        <v>0</v>
      </c>
      <c r="AC7" s="40">
        <v>0</v>
      </c>
      <c r="AD7" s="40">
        <v>0</v>
      </c>
      <c r="AE7" s="40">
        <v>0</v>
      </c>
      <c r="AF7" s="44">
        <v>50</v>
      </c>
      <c r="AG7" s="40">
        <v>0</v>
      </c>
      <c r="AH7" s="40">
        <v>0</v>
      </c>
      <c r="AI7" s="40">
        <v>0</v>
      </c>
      <c r="AJ7" s="40">
        <v>0</v>
      </c>
      <c r="AK7" s="46">
        <v>-500</v>
      </c>
      <c r="AL7" s="40">
        <v>1</v>
      </c>
      <c r="AM7" s="40">
        <v>1</v>
      </c>
      <c r="AN7" s="32" t="s">
        <v>22</v>
      </c>
      <c r="AO7" s="31"/>
      <c r="AP7" s="31" t="s">
        <v>44</v>
      </c>
      <c r="AQ7" s="31" t="s">
        <v>21</v>
      </c>
      <c r="AR7" s="40">
        <v>0</v>
      </c>
      <c r="AS7" s="44">
        <v>1</v>
      </c>
      <c r="AT7" s="31"/>
      <c r="AU7" s="31"/>
      <c r="AV7" s="44">
        <v>1</v>
      </c>
      <c r="AW7" s="46">
        <v>-500</v>
      </c>
      <c r="AX7" s="47">
        <v>0</v>
      </c>
      <c r="AY7" s="40">
        <v>0</v>
      </c>
      <c r="AZ7" s="40">
        <v>0</v>
      </c>
      <c r="BA7" s="40">
        <v>-100</v>
      </c>
      <c r="BB7" s="31"/>
      <c r="BC7" s="44">
        <v>1</v>
      </c>
      <c r="BD7" s="46">
        <v>-500</v>
      </c>
      <c r="BE7" s="31" t="s">
        <v>31</v>
      </c>
      <c r="BF7" s="31"/>
      <c r="BG7" s="31"/>
      <c r="BH7" s="31"/>
      <c r="BI7" s="31"/>
      <c r="BJ7" s="40">
        <v>0</v>
      </c>
      <c r="BK7" s="40">
        <v>0</v>
      </c>
      <c r="BL7" s="40">
        <v>0</v>
      </c>
      <c r="BM7" s="40">
        <v>0</v>
      </c>
      <c r="BN7" s="31"/>
      <c r="BO7" s="46">
        <v>-500</v>
      </c>
      <c r="BP7" s="44">
        <v>0</v>
      </c>
      <c r="BQ7" s="31"/>
      <c r="BR7" s="31" t="s">
        <v>33</v>
      </c>
      <c r="BS7" s="40">
        <v>0</v>
      </c>
      <c r="BT7" s="40">
        <v>0</v>
      </c>
      <c r="BU7" s="31" t="s">
        <v>31</v>
      </c>
      <c r="BV7" s="31"/>
      <c r="BW7" s="40">
        <v>0</v>
      </c>
      <c r="BX7" s="40">
        <v>0</v>
      </c>
      <c r="BY7" s="40">
        <v>0</v>
      </c>
      <c r="BZ7" s="40">
        <v>0</v>
      </c>
      <c r="CA7" s="40">
        <v>0</v>
      </c>
      <c r="CB7" s="31"/>
      <c r="CC7" s="40">
        <v>0</v>
      </c>
      <c r="CD7" s="46">
        <v>-500</v>
      </c>
      <c r="CE7" s="44">
        <v>0</v>
      </c>
      <c r="CF7" s="44">
        <v>0</v>
      </c>
      <c r="CG7" s="46">
        <v>-500</v>
      </c>
      <c r="CH7" s="40">
        <v>-100</v>
      </c>
      <c r="CI7" s="40">
        <v>0</v>
      </c>
      <c r="CJ7" s="40">
        <v>0</v>
      </c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40">
        <v>0</v>
      </c>
      <c r="DB7" s="40">
        <v>0</v>
      </c>
      <c r="DC7" s="31"/>
      <c r="DD7" s="31"/>
      <c r="DE7" s="40">
        <v>0</v>
      </c>
      <c r="DF7" s="40">
        <v>0</v>
      </c>
      <c r="DG7" s="40">
        <v>0</v>
      </c>
      <c r="DH7" s="31"/>
      <c r="DI7" s="40">
        <v>0</v>
      </c>
      <c r="DJ7" s="31" t="s">
        <v>22</v>
      </c>
      <c r="DK7" s="40">
        <v>0</v>
      </c>
      <c r="DL7" s="40">
        <v>0</v>
      </c>
      <c r="DM7" s="40">
        <v>1</v>
      </c>
      <c r="DN7" s="40">
        <v>0</v>
      </c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40">
        <v>0</v>
      </c>
      <c r="EH7" s="40">
        <v>0</v>
      </c>
      <c r="EI7" s="40">
        <v>0</v>
      </c>
      <c r="EJ7" s="40">
        <v>0</v>
      </c>
      <c r="EK7" s="40">
        <v>0</v>
      </c>
      <c r="EL7" s="31" t="s">
        <v>44</v>
      </c>
      <c r="EM7" s="40">
        <v>0</v>
      </c>
      <c r="EN7" s="40">
        <v>0</v>
      </c>
      <c r="EO7" s="40">
        <v>0</v>
      </c>
      <c r="EP7" s="31"/>
      <c r="EQ7" s="40">
        <v>0</v>
      </c>
      <c r="ER7" s="40">
        <v>0</v>
      </c>
      <c r="ES7" s="31"/>
      <c r="ET7" s="31"/>
      <c r="EU7" s="31"/>
      <c r="EV7" s="31"/>
      <c r="EW7" s="31"/>
      <c r="EX7" s="31"/>
      <c r="EY7" s="31"/>
      <c r="EZ7" s="31"/>
      <c r="FA7" s="31"/>
      <c r="FB7" s="31"/>
      <c r="FC7" s="31"/>
      <c r="FD7" s="31"/>
      <c r="FE7" s="31"/>
      <c r="FF7" s="31"/>
      <c r="FG7" s="31"/>
      <c r="FH7" s="31"/>
      <c r="FI7" s="31"/>
      <c r="FJ7" s="31"/>
      <c r="FK7" s="31"/>
    </row>
    <row r="8" spans="1:167" ht="15.75" customHeight="1">
      <c r="A8" s="5"/>
      <c r="B8" s="5"/>
      <c r="C8" s="7" t="s">
        <v>21</v>
      </c>
      <c r="D8" s="7">
        <v>25</v>
      </c>
      <c r="E8" s="42" t="s">
        <v>17</v>
      </c>
      <c r="F8" s="5"/>
      <c r="G8" s="7">
        <v>5</v>
      </c>
      <c r="H8" s="42" t="s">
        <v>44</v>
      </c>
      <c r="I8" s="7">
        <v>0</v>
      </c>
      <c r="J8" s="5"/>
      <c r="K8" s="7">
        <v>0</v>
      </c>
      <c r="L8" s="5"/>
      <c r="M8" s="5"/>
      <c r="N8" s="7">
        <v>-125</v>
      </c>
      <c r="O8" s="5"/>
      <c r="Q8" s="7">
        <v>-125</v>
      </c>
      <c r="T8" s="31" t="s">
        <v>31</v>
      </c>
      <c r="U8" s="31" t="s">
        <v>45</v>
      </c>
      <c r="W8" s="31" t="s">
        <v>40</v>
      </c>
      <c r="X8" s="31"/>
      <c r="Y8" s="40">
        <v>1</v>
      </c>
      <c r="AB8" s="40">
        <v>0</v>
      </c>
      <c r="AC8" s="40">
        <v>0</v>
      </c>
      <c r="AD8" s="40">
        <v>0</v>
      </c>
      <c r="AE8" s="40">
        <v>0</v>
      </c>
      <c r="AF8" s="6">
        <v>25</v>
      </c>
      <c r="AG8" s="40">
        <v>0</v>
      </c>
      <c r="AH8" s="40">
        <v>0</v>
      </c>
      <c r="AI8" s="40">
        <v>0</v>
      </c>
      <c r="AJ8" s="40">
        <v>0</v>
      </c>
      <c r="AK8" s="7">
        <v>-125</v>
      </c>
      <c r="AL8" s="40">
        <v>1</v>
      </c>
      <c r="AM8" s="40">
        <v>1</v>
      </c>
      <c r="AN8" s="6" t="s">
        <v>22</v>
      </c>
      <c r="AP8" s="31" t="s">
        <v>44</v>
      </c>
      <c r="AQ8" s="31" t="s">
        <v>21</v>
      </c>
      <c r="AR8" s="40">
        <v>0</v>
      </c>
      <c r="AS8" s="6">
        <v>1</v>
      </c>
      <c r="AV8" s="6">
        <v>1</v>
      </c>
      <c r="AW8" s="7">
        <v>-125</v>
      </c>
      <c r="AX8" s="33">
        <v>0</v>
      </c>
      <c r="AY8" s="40">
        <v>0</v>
      </c>
      <c r="AZ8" s="40">
        <v>0</v>
      </c>
      <c r="BA8" s="40">
        <v>-100</v>
      </c>
      <c r="BC8" s="6">
        <v>1</v>
      </c>
      <c r="BD8" s="7">
        <v>-125</v>
      </c>
      <c r="BE8" s="31" t="s">
        <v>31</v>
      </c>
      <c r="BJ8" s="40">
        <v>0</v>
      </c>
      <c r="BK8" s="40">
        <v>0</v>
      </c>
      <c r="BL8" s="40">
        <v>0</v>
      </c>
      <c r="BM8" s="40">
        <v>0</v>
      </c>
      <c r="BO8" s="7">
        <v>-125</v>
      </c>
      <c r="BP8" s="6">
        <v>0</v>
      </c>
      <c r="BR8" s="31" t="s">
        <v>33</v>
      </c>
      <c r="BS8" s="40">
        <v>0</v>
      </c>
      <c r="BT8" s="40">
        <v>0</v>
      </c>
      <c r="BU8" s="31" t="s">
        <v>31</v>
      </c>
      <c r="BW8" s="40">
        <v>0</v>
      </c>
      <c r="BX8" s="40">
        <v>0</v>
      </c>
      <c r="BY8" s="40">
        <v>0</v>
      </c>
      <c r="BZ8" s="40">
        <v>0</v>
      </c>
      <c r="CA8" s="40">
        <v>0</v>
      </c>
      <c r="CB8" s="31"/>
      <c r="CC8" s="40">
        <v>0</v>
      </c>
      <c r="CD8" s="7">
        <v>-125</v>
      </c>
      <c r="CE8" s="6">
        <v>0</v>
      </c>
      <c r="CF8" s="6">
        <v>0</v>
      </c>
      <c r="CG8" s="7">
        <v>-125</v>
      </c>
      <c r="CH8" s="40">
        <v>-100</v>
      </c>
      <c r="CI8" s="40">
        <v>0</v>
      </c>
      <c r="CJ8" s="40">
        <v>0</v>
      </c>
      <c r="DA8" s="40">
        <v>0</v>
      </c>
      <c r="DB8" s="40">
        <v>0</v>
      </c>
      <c r="DC8" s="31"/>
      <c r="DD8" s="31"/>
      <c r="DE8" s="40">
        <v>0</v>
      </c>
      <c r="DF8" s="40">
        <v>0</v>
      </c>
      <c r="DG8" s="40">
        <v>0</v>
      </c>
      <c r="DH8" s="31"/>
      <c r="DI8" s="40">
        <v>0</v>
      </c>
      <c r="DJ8" s="31" t="s">
        <v>22</v>
      </c>
      <c r="DK8" s="40">
        <v>0</v>
      </c>
      <c r="DL8" s="40">
        <v>0</v>
      </c>
      <c r="DM8" s="40">
        <v>1</v>
      </c>
      <c r="DN8" s="40">
        <v>0</v>
      </c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40">
        <v>0</v>
      </c>
      <c r="EH8" s="40">
        <v>0</v>
      </c>
      <c r="EI8" s="40">
        <v>0</v>
      </c>
      <c r="EJ8" s="40">
        <v>0</v>
      </c>
      <c r="EK8" s="40">
        <v>0</v>
      </c>
      <c r="EL8" s="31" t="s">
        <v>44</v>
      </c>
      <c r="EM8" s="40">
        <v>0</v>
      </c>
      <c r="EN8" s="40">
        <v>0</v>
      </c>
      <c r="EO8" s="40">
        <v>0</v>
      </c>
      <c r="EP8" s="31"/>
      <c r="EQ8" s="40">
        <v>0</v>
      </c>
      <c r="ER8" s="40">
        <v>0</v>
      </c>
      <c r="ES8" s="31"/>
      <c r="ET8" s="31"/>
      <c r="EU8" s="31"/>
      <c r="EV8" s="31"/>
      <c r="EW8" s="31"/>
      <c r="EX8" s="31"/>
      <c r="EY8" s="31"/>
      <c r="EZ8" s="31"/>
      <c r="FA8" s="31"/>
      <c r="FB8" s="31"/>
    </row>
    <row r="9" spans="1:167" ht="15.75" customHeight="1">
      <c r="A9" s="5"/>
      <c r="B9" s="5"/>
      <c r="C9" s="7" t="s">
        <v>21</v>
      </c>
      <c r="D9" s="7">
        <v>50</v>
      </c>
      <c r="E9" s="42" t="s">
        <v>17</v>
      </c>
      <c r="F9" s="5"/>
      <c r="G9" s="7">
        <v>10</v>
      </c>
      <c r="H9" s="42" t="s">
        <v>44</v>
      </c>
      <c r="I9" s="7">
        <v>0</v>
      </c>
      <c r="J9" s="5"/>
      <c r="K9" s="7">
        <v>0</v>
      </c>
      <c r="L9" s="5"/>
      <c r="M9" s="5"/>
      <c r="N9" s="7">
        <v>-500</v>
      </c>
      <c r="O9" s="5"/>
      <c r="Q9" s="7">
        <v>-500</v>
      </c>
      <c r="T9" s="31" t="s">
        <v>31</v>
      </c>
      <c r="U9" s="31" t="s">
        <v>45</v>
      </c>
      <c r="W9" s="31" t="s">
        <v>40</v>
      </c>
      <c r="X9" s="31"/>
      <c r="Y9" s="40">
        <v>1</v>
      </c>
      <c r="AB9" s="40">
        <v>0</v>
      </c>
      <c r="AC9" s="40">
        <v>0</v>
      </c>
      <c r="AD9" s="40">
        <v>0</v>
      </c>
      <c r="AE9" s="40">
        <v>0</v>
      </c>
      <c r="AF9" s="6">
        <v>50</v>
      </c>
      <c r="AG9" s="40">
        <v>0</v>
      </c>
      <c r="AH9" s="40">
        <v>0</v>
      </c>
      <c r="AI9" s="40">
        <v>0</v>
      </c>
      <c r="AJ9" s="40">
        <v>0</v>
      </c>
      <c r="AK9" s="7">
        <v>-500</v>
      </c>
      <c r="AL9" s="40">
        <v>1</v>
      </c>
      <c r="AM9" s="40">
        <v>1</v>
      </c>
      <c r="AN9" s="6" t="s">
        <v>22</v>
      </c>
      <c r="AP9" s="31" t="s">
        <v>44</v>
      </c>
      <c r="AQ9" s="31" t="s">
        <v>21</v>
      </c>
      <c r="AR9" s="40">
        <v>0</v>
      </c>
      <c r="AS9" s="6">
        <v>1</v>
      </c>
      <c r="AV9" s="6">
        <v>1</v>
      </c>
      <c r="AW9" s="7">
        <v>-500</v>
      </c>
      <c r="AX9" s="47">
        <v>0</v>
      </c>
      <c r="AY9" s="40">
        <v>0</v>
      </c>
      <c r="AZ9" s="40">
        <v>0</v>
      </c>
      <c r="BA9" s="40">
        <v>-100</v>
      </c>
      <c r="BC9" s="6">
        <v>1</v>
      </c>
      <c r="BD9" s="7">
        <v>-500</v>
      </c>
      <c r="BE9" s="31" t="s">
        <v>31</v>
      </c>
      <c r="BJ9" s="40">
        <v>0</v>
      </c>
      <c r="BK9" s="40">
        <v>0</v>
      </c>
      <c r="BL9" s="40">
        <v>0</v>
      </c>
      <c r="BM9" s="40">
        <v>0</v>
      </c>
      <c r="BO9" s="7">
        <v>-500</v>
      </c>
      <c r="BP9" s="6">
        <v>0</v>
      </c>
      <c r="BR9" s="31" t="s">
        <v>33</v>
      </c>
      <c r="BS9" s="40">
        <v>0</v>
      </c>
      <c r="BT9" s="40">
        <v>0</v>
      </c>
      <c r="BU9" s="31" t="s">
        <v>31</v>
      </c>
      <c r="BW9" s="40">
        <v>0</v>
      </c>
      <c r="BX9" s="40">
        <v>0</v>
      </c>
      <c r="BY9" s="40">
        <v>0</v>
      </c>
      <c r="BZ9" s="40">
        <v>0</v>
      </c>
      <c r="CA9" s="40">
        <v>0</v>
      </c>
      <c r="CB9" s="31"/>
      <c r="CC9" s="40">
        <v>0</v>
      </c>
      <c r="CD9" s="7">
        <v>-500</v>
      </c>
      <c r="CE9" s="6">
        <v>0</v>
      </c>
      <c r="CF9" s="6">
        <v>0</v>
      </c>
      <c r="CG9" s="7">
        <v>-500</v>
      </c>
      <c r="CH9" s="40">
        <v>-100</v>
      </c>
      <c r="CI9" s="40">
        <v>0</v>
      </c>
      <c r="CJ9" s="40">
        <v>0</v>
      </c>
      <c r="DA9" s="40">
        <v>0</v>
      </c>
      <c r="DB9" s="40">
        <v>0</v>
      </c>
      <c r="DC9" s="31"/>
      <c r="DD9" s="31"/>
      <c r="DE9" s="40">
        <v>0</v>
      </c>
      <c r="DF9" s="40">
        <v>0</v>
      </c>
      <c r="DG9" s="40">
        <v>0</v>
      </c>
      <c r="DH9" s="31"/>
      <c r="DI9" s="40">
        <v>0</v>
      </c>
      <c r="DJ9" s="31" t="s">
        <v>22</v>
      </c>
      <c r="DK9" s="40">
        <v>0</v>
      </c>
      <c r="DL9" s="40">
        <v>0</v>
      </c>
      <c r="DM9" s="40">
        <v>1</v>
      </c>
      <c r="DN9" s="40">
        <v>0</v>
      </c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40">
        <v>0</v>
      </c>
      <c r="EH9" s="40">
        <v>0</v>
      </c>
      <c r="EI9" s="40">
        <v>0</v>
      </c>
      <c r="EJ9" s="40">
        <v>0</v>
      </c>
      <c r="EK9" s="40">
        <v>0</v>
      </c>
      <c r="EL9" s="31" t="s">
        <v>44</v>
      </c>
      <c r="EM9" s="40">
        <v>0</v>
      </c>
      <c r="EN9" s="40">
        <v>0</v>
      </c>
      <c r="EO9" s="40">
        <v>0</v>
      </c>
      <c r="EP9" s="31"/>
      <c r="EQ9" s="40">
        <v>0</v>
      </c>
      <c r="ER9" s="40">
        <v>0</v>
      </c>
      <c r="ES9" s="31"/>
      <c r="ET9" s="31"/>
      <c r="EU9" s="31"/>
      <c r="EV9" s="31"/>
      <c r="EW9" s="31"/>
      <c r="EX9" s="31"/>
      <c r="EY9" s="31"/>
      <c r="EZ9" s="31"/>
      <c r="FA9" s="31"/>
      <c r="FB9" s="31"/>
    </row>
    <row r="10" spans="1:167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W10" s="31"/>
      <c r="X10" s="31"/>
      <c r="Y10" s="31"/>
      <c r="AP10" s="31"/>
      <c r="AQ10" s="31"/>
      <c r="AR10" s="31"/>
      <c r="BW10" s="31"/>
      <c r="BX10" s="31"/>
      <c r="BY10" s="31"/>
      <c r="BZ10" s="31"/>
      <c r="CA10" s="31"/>
      <c r="CB10" s="31"/>
      <c r="CC10" s="31"/>
    </row>
    <row r="11" spans="1:167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7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7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7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7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7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_Modules</vt:lpstr>
      <vt:lpstr>_Settings</vt:lpstr>
      <vt:lpstr>_MasterData</vt:lpstr>
      <vt:lpstr>SetAutoGroupingPreferences</vt:lpstr>
      <vt:lpstr>SetAutoGroupingAccount</vt:lpstr>
      <vt:lpstr>CreateLiveOrder</vt:lpstr>
      <vt:lpstr>AcknowledgeTrade</vt:lpstr>
      <vt:lpstr>SelectTrade</vt:lpstr>
      <vt:lpstr>ExecuteTrade</vt:lpstr>
      <vt:lpstr>SelectTrade1</vt:lpstr>
      <vt:lpstr>AcknowledgeTrade1</vt:lpstr>
      <vt:lpstr>ExecuteTrade1</vt:lpstr>
      <vt:lpstr>VerifyOrder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2021-08-04T10:07:04Z</dcterms:modified>
</cp:coreProperties>
</file>