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alculatePTT" sheetId="1" r:id="rId3"/>
    <sheet state="visible" name="VerifyPTT" sheetId="2" r:id="rId4"/>
    <sheet state="visible" name="GetDailyCash" sheetId="3" r:id="rId5"/>
    <sheet state="visible" name="UpdateDailyCash" sheetId="4" r:id="rId6"/>
    <sheet state="visible" name="CreateDoneAwayOrder" sheetId="5" r:id="rId7"/>
    <sheet state="visible" name="PricingInput" sheetId="6" r:id="rId8"/>
  </sheets>
  <definedNames/>
  <calcPr/>
</workbook>
</file>

<file path=xl/sharedStrings.xml><?xml version="1.0" encoding="utf-8"?>
<sst xmlns="http://schemas.openxmlformats.org/spreadsheetml/2006/main" count="271" uniqueCount="166">
  <si>
    <t>Data</t>
  </si>
  <si>
    <t>Module</t>
  </si>
  <si>
    <t>PTT</t>
  </si>
  <si>
    <t>Step</t>
  </si>
  <si>
    <t>CalculatePTT</t>
  </si>
  <si>
    <t>Data Format</t>
  </si>
  <si>
    <t>Input Format</t>
  </si>
  <si>
    <t>DailyValuation</t>
  </si>
  <si>
    <t>VerifyPTT</t>
  </si>
  <si>
    <t>GetDailyCash</t>
  </si>
  <si>
    <t>TradeUsingPTT</t>
  </si>
  <si>
    <t>StageOrderUsingPTT</t>
  </si>
  <si>
    <t>CreateStagePTT</t>
  </si>
  <si>
    <t>TradePTT</t>
  </si>
  <si>
    <t>CreateOrderPTT</t>
  </si>
  <si>
    <t>OpenPTTFromPM</t>
  </si>
  <si>
    <t>UpdateDailyCash</t>
  </si>
  <si>
    <t>MultiTTFromPTT</t>
  </si>
  <si>
    <t>SelectMultiTT</t>
  </si>
  <si>
    <t>EditMultiPTT</t>
  </si>
  <si>
    <t>SelectMultiPTT</t>
  </si>
  <si>
    <t>MultiTTFromTT</t>
  </si>
  <si>
    <t>EditMultiTT</t>
  </si>
  <si>
    <t>UpdateForexConversion</t>
  </si>
  <si>
    <t>CleanUp</t>
  </si>
  <si>
    <t>GetMarkPriceData</t>
  </si>
  <si>
    <t>GetForwardPoints</t>
  </si>
  <si>
    <t>GetForexConversion</t>
  </si>
  <si>
    <t>AddForexConversion</t>
  </si>
  <si>
    <t>GetNAV</t>
  </si>
  <si>
    <t>AddNAV</t>
  </si>
  <si>
    <t>DeleteNAV</t>
  </si>
  <si>
    <t>AddDailyCash</t>
  </si>
  <si>
    <t>GetDailyBeta</t>
  </si>
  <si>
    <t>GetDailyVolatility</t>
  </si>
  <si>
    <t>OpenMultiTTFromPTT</t>
  </si>
  <si>
    <t>SetAccountFactor</t>
  </si>
  <si>
    <t>1DsXZtIVe8QPH2PNtUCnKQjKSBU1s_Ayixo-1WyyUJVw</t>
  </si>
  <si>
    <t>GetDailyDividendYield</t>
  </si>
  <si>
    <t>GetDailyTradingVolume</t>
  </si>
  <si>
    <t>GetDailyOutstandings</t>
  </si>
  <si>
    <t>GetDailyDelta</t>
  </si>
  <si>
    <t>UpdateDailyVolatility</t>
  </si>
  <si>
    <t>UpdateDividendYield</t>
  </si>
  <si>
    <t>DataManagement.Click(MouseButtons.Left);</t>
  </si>
  <si>
    <t>UpdateTradingVolume</t>
  </si>
  <si>
    <t>UpdateDailyDelta</t>
  </si>
  <si>
    <t>UpdateDailyOutstandings</t>
  </si>
  <si>
    <t>UpdateBeta</t>
  </si>
  <si>
    <t>UpdateNAV</t>
  </si>
  <si>
    <t>UpdateCreditLimt</t>
  </si>
  <si>
    <t>UpdateDailyCreditLimt</t>
  </si>
  <si>
    <t>AddDailyCreditLimit</t>
  </si>
  <si>
    <t>RemoveDailyCreditLimt</t>
  </si>
  <si>
    <t>RemoveDailyCreditLimit</t>
  </si>
  <si>
    <t>RemoveDailyCash</t>
  </si>
  <si>
    <t>RemoveNAV</t>
  </si>
  <si>
    <t>UpdateMarkPrice</t>
  </si>
  <si>
    <t>UpdateForwardPoints</t>
  </si>
  <si>
    <t>Ticker</t>
  </si>
  <si>
    <t>Account Name</t>
  </si>
  <si>
    <t>Select Date</t>
  </si>
  <si>
    <t>Account NAV</t>
  </si>
  <si>
    <t>Add/Set</t>
  </si>
  <si>
    <t>Starting Position</t>
  </si>
  <si>
    <t>Copy From</t>
  </si>
  <si>
    <t>Type</t>
  </si>
  <si>
    <t>Starting Value</t>
  </si>
  <si>
    <t>Target</t>
  </si>
  <si>
    <t>Starting %</t>
  </si>
  <si>
    <t>Price</t>
  </si>
  <si>
    <t>% Change</t>
  </si>
  <si>
    <t>Combined Account Total</t>
  </si>
  <si>
    <t>Ending %</t>
  </si>
  <si>
    <t>MasterFund/Account</t>
  </si>
  <si>
    <t>Accounts</t>
  </si>
  <si>
    <t>Trade Quantity</t>
  </si>
  <si>
    <t>Ending Position</t>
  </si>
  <si>
    <t>Ending Value</t>
  </si>
  <si>
    <t>% Allocation</t>
  </si>
  <si>
    <t>Fx Rate</t>
  </si>
  <si>
    <t>AAPL</t>
  </si>
  <si>
    <t>Allocation2</t>
  </si>
  <si>
    <t>Decrease</t>
  </si>
  <si>
    <t>Percentage</t>
  </si>
  <si>
    <t>Allocation1</t>
  </si>
  <si>
    <t>No</t>
  </si>
  <si>
    <t>Account</t>
  </si>
  <si>
    <t>Allocation1,Allocation2</t>
  </si>
  <si>
    <t>Local Currency</t>
  </si>
  <si>
    <t>Cash Value Local</t>
  </si>
  <si>
    <t>USD</t>
  </si>
  <si>
    <t>TradingTicket</t>
  </si>
  <si>
    <t>CreateDoneAwayOrder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</si>
  <si>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</si>
  <si>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</si>
  <si>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</si>
  <si>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</si>
  <si>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</si>
  <si>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</si>
  <si>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CreateStageOrder</t>
  </si>
  <si>
    <t>CreateReplaceOrder</t>
  </si>
  <si>
    <t>SetGeneralPreference</t>
  </si>
  <si>
    <t>CreateNewSubOrder</t>
  </si>
  <si>
    <t>TradeBloomberg</t>
  </si>
  <si>
    <t>ClickSymbolLookup</t>
  </si>
  <si>
    <t>CheckedUncheckedMTT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</si>
  <si>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</si>
  <si>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</si>
  <si>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</si>
  <si>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</si>
  <si>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</si>
  <si>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</si>
  <si>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</si>
  <si>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</si>
  <si>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</si>
  <si>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</si>
  <si>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</si>
  <si>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</si>
  <si>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</si>
  <si>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</si>
  <si>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</si>
  <si>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</si>
  <si>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</si>
  <si>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</si>
  <si>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</si>
  <si>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</si>
  <si>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</si>
  <si>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</si>
  <si>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</si>
  <si>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</si>
  <si>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</si>
  <si>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</si>
  <si>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</si>
  <si>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</si>
  <si>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</si>
  <si>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</si>
  <si>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</si>
  <si>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</si>
  <si>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</si>
  <si>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</si>
  <si>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</si>
  <si>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</si>
  <si>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</si>
  <si>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PricingInput</t>
  </si>
  <si>
    <t>UpdateSharesOutstanding</t>
  </si>
  <si>
    <t>EODTPreferences</t>
  </si>
  <si>
    <t>LiveData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</si>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</sst>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b/>
      <sz val="14.0"/>
      <color rgb="FFFFFFFF"/>
      <name val="Calibri"/>
    </font>
    <font/>
    <font>
      <sz val="10.0"/>
      <name val="Arial"/>
    </font>
    <font>
      <sz val="10.0"/>
      <name val="Calibri"/>
    </font>
    <font>
      <sz val="10.0"/>
      <color rgb="FFFFFFFF"/>
      <name val="Calibri"/>
    </font>
    <font>
      <b/>
      <sz val="10.0"/>
      <color rgb="FFFFFFFF"/>
      <name val="Calibri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/>
    </xf>
    <xf borderId="0" fillId="2" fontId="1" numFmtId="0" xfId="0" applyAlignment="1" applyBorder="1" applyFill="1" applyFont="1">
      <alignment horizontal="center"/>
    </xf>
    <xf borderId="0" fillId="2" fontId="1" numFmtId="0" xfId="0" applyAlignment="1" applyBorder="1" applyFont="1">
      <alignment horizontal="center"/>
    </xf>
    <xf borderId="0" fillId="0" fontId="2" numFmtId="0" xfId="0" applyBorder="1" applyFont="1"/>
    <xf borderId="0" fillId="0" fontId="2" numFmtId="0" xfId="0" applyBorder="1" applyFont="1"/>
    <xf borderId="0" fillId="2" fontId="3" numFmtId="0" xfId="0" applyBorder="1" applyFont="1"/>
    <xf borderId="0" fillId="0" fontId="4" numFmtId="0" xfId="0" applyFont="1"/>
    <xf borderId="0" fillId="0" fontId="5" numFmtId="0" xfId="0" applyFont="1"/>
    <xf borderId="0" fillId="0" fontId="0" numFmtId="0" xfId="0" applyFont="1"/>
    <xf borderId="0" fillId="3" fontId="6" numFmtId="0" xfId="0" applyBorder="1" applyFill="1" applyFont="1"/>
    <xf borderId="0" fillId="3" fontId="5" numFmtId="0" xfId="0" applyBorder="1" applyFont="1"/>
    <xf borderId="0" fillId="3" fontId="7" numFmtId="0" xfId="0" applyBorder="1" applyFont="1"/>
    <xf borderId="0" fillId="4" fontId="8" numFmtId="0" xfId="0" applyBorder="1" applyFill="1" applyFont="1"/>
    <xf borderId="0" fillId="4" fontId="9" numFmtId="0" xfId="0" applyBorder="1" applyFont="1"/>
    <xf borderId="0" fillId="5" fontId="6" numFmtId="0" xfId="0" applyBorder="1" applyFill="1" applyFont="1"/>
    <xf borderId="0" fillId="5" fontId="7" numFmtId="0" xfId="0" applyBorder="1" applyFont="1"/>
    <xf borderId="0" fillId="0" fontId="10" numFmtId="0" xfId="0" applyFont="1"/>
    <xf borderId="0" fillId="0" fontId="0" numFmtId="0" xfId="0" applyAlignment="1" applyFont="1">
      <alignment horizontal="right"/>
    </xf>
    <xf borderId="0" fillId="0" fontId="3" numFmtId="0" xfId="0" applyFont="1"/>
    <xf borderId="0" fillId="0" fontId="4" numFmtId="164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4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371600" cy="276225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21.71"/>
    <col customWidth="1" min="10" max="11" width="17.43"/>
    <col customWidth="1" min="12" max="30" width="14.4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VLOOKUP($E$3,#REF!,3,FALSE)</f>
        <v>#REF!</v>
      </c>
      <c r="K2" s="7"/>
      <c r="L2" s="6"/>
      <c r="M2" s="6"/>
      <c r="N2" s="6"/>
      <c r="O2" s="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9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0" t="s">
        <v>6</v>
      </c>
      <c r="H3" s="9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15.75" customHeight="1">
      <c r="A4" s="12"/>
      <c r="B4" s="12" t="str">
        <f>IFERROR(__xludf.DUMMYFUNCTION("IF(C3="""","""",Transpose(IMPORTRANGE('_Settings'!$B$3,C3&amp;""!A4:A1000"")))"),"#REF!")</f>
        <v>#REF!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8</v>
      </c>
      <c r="I4" s="12" t="s">
        <v>15</v>
      </c>
      <c r="J4" s="12" t="s">
        <v>17</v>
      </c>
      <c r="K4" s="12" t="s">
        <v>18</v>
      </c>
      <c r="L4" s="12" t="s">
        <v>19</v>
      </c>
      <c r="M4" s="12" t="s">
        <v>20</v>
      </c>
      <c r="N4" s="12" t="s">
        <v>21</v>
      </c>
      <c r="O4" s="12" t="s">
        <v>18</v>
      </c>
      <c r="P4" s="13" t="s">
        <v>22</v>
      </c>
      <c r="Q4" s="13" t="s">
        <v>35</v>
      </c>
      <c r="R4" s="13" t="s">
        <v>36</v>
      </c>
      <c r="S4" s="13" t="s">
        <v>37</v>
      </c>
      <c r="T4" s="13" t="s">
        <v>36</v>
      </c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A5" s="14" t="str">
        <f>IFERROR(__xludf.DUMMYFUNCTION("TRANSPOSE(IMPORTRANGE(VLOOKUP($E$3,IMPORTRANGE('_Settings'!$B$3,$C$3&amp;""!A4:B1000""),2,FALSE),$G$3&amp;""!A4:A1000""))"),"#REF!")</f>
        <v>#REF!</v>
      </c>
      <c r="B5" s="14" t="s">
        <v>59</v>
      </c>
      <c r="C5" s="14" t="s">
        <v>63</v>
      </c>
      <c r="D5" s="14" t="s">
        <v>66</v>
      </c>
      <c r="E5" s="14" t="s">
        <v>68</v>
      </c>
      <c r="F5" s="14" t="s">
        <v>70</v>
      </c>
      <c r="G5" s="14" t="s">
        <v>72</v>
      </c>
      <c r="H5" s="14" t="s">
        <v>74</v>
      </c>
      <c r="I5" s="14" t="s">
        <v>75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15.75" customHeight="1">
      <c r="A6" s="8"/>
      <c r="B6" s="8" t="s">
        <v>81</v>
      </c>
      <c r="C6" s="8" t="s">
        <v>83</v>
      </c>
      <c r="D6" s="8" t="s">
        <v>84</v>
      </c>
      <c r="E6" s="17">
        <v>30.0</v>
      </c>
      <c r="F6" s="17">
        <v>20.0</v>
      </c>
      <c r="G6" s="8" t="s">
        <v>86</v>
      </c>
      <c r="H6" s="8" t="s">
        <v>87</v>
      </c>
      <c r="I6" s="8" t="s">
        <v>88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ErrorMessage="1" sqref="G3">
      <formula1>"Input Format,Output Format"</formula1>
    </dataValidation>
    <dataValidation type="list" allowBlank="1" showInputMessage="1" showErrorMessage="1" prompt="¿䀀Āࢭ_x0003_" sqref="C3">
      <formula1>#REF!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VLOOKUP($E$3,#REF!,3,FALSE)</f>
        <v>#REF!</v>
      </c>
      <c r="K2" s="7"/>
      <c r="L2" s="6"/>
      <c r="M2" s="6"/>
      <c r="N2" s="6"/>
      <c r="O2" s="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9"/>
      <c r="B3" s="9" t="s">
        <v>1</v>
      </c>
      <c r="C3" s="10" t="s">
        <v>2</v>
      </c>
      <c r="D3" s="9" t="s">
        <v>3</v>
      </c>
      <c r="E3" s="10" t="s">
        <v>8</v>
      </c>
      <c r="F3" s="9" t="s">
        <v>5</v>
      </c>
      <c r="G3" s="10" t="s">
        <v>6</v>
      </c>
      <c r="H3" s="9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15.75" customHeight="1">
      <c r="A4" s="12"/>
      <c r="B4" s="12" t="str">
        <f>IFERROR(__xludf.DUMMYFUNCTION("IF(C3="""","""",Transpose(IMPORTRANGE('_Settings'!$B$3,C3&amp;""!A4:A1000"")))"),"#REF!")</f>
        <v>#REF!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8</v>
      </c>
      <c r="I4" s="12" t="s">
        <v>15</v>
      </c>
      <c r="J4" s="12" t="s">
        <v>17</v>
      </c>
      <c r="K4" s="12" t="s">
        <v>18</v>
      </c>
      <c r="L4" s="12" t="s">
        <v>19</v>
      </c>
      <c r="M4" s="12" t="s">
        <v>20</v>
      </c>
      <c r="N4" s="12" t="s">
        <v>21</v>
      </c>
      <c r="O4" s="12" t="s">
        <v>18</v>
      </c>
      <c r="P4" s="13" t="s">
        <v>22</v>
      </c>
      <c r="Q4" s="13" t="s">
        <v>35</v>
      </c>
      <c r="R4" s="13" t="s">
        <v>36</v>
      </c>
      <c r="S4" s="13" t="s">
        <v>37</v>
      </c>
      <c r="T4" s="13" t="s">
        <v>36</v>
      </c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A5" s="14" t="str">
        <f>IFERROR(__xludf.DUMMYFUNCTION("TRANSPOSE(IMPORTRANGE(VLOOKUP($E$3,IMPORTRANGE('_Settings'!$B$3,$C$3&amp;""!A4:B1000""),2,FALSE),$G$3&amp;""!A4:A1000""))"),"#REF!")</f>
        <v>#REF!</v>
      </c>
      <c r="B5" s="14" t="s">
        <v>60</v>
      </c>
      <c r="C5" s="14" t="s">
        <v>62</v>
      </c>
      <c r="D5" s="14" t="s">
        <v>64</v>
      </c>
      <c r="E5" s="14" t="s">
        <v>67</v>
      </c>
      <c r="F5" s="14" t="s">
        <v>69</v>
      </c>
      <c r="G5" s="14" t="s">
        <v>71</v>
      </c>
      <c r="H5" s="14" t="s">
        <v>73</v>
      </c>
      <c r="I5" s="14" t="s">
        <v>76</v>
      </c>
      <c r="J5" s="14" t="s">
        <v>77</v>
      </c>
      <c r="K5" s="14" t="s">
        <v>78</v>
      </c>
      <c r="L5" s="14" t="s">
        <v>79</v>
      </c>
      <c r="M5" s="14" t="s">
        <v>80</v>
      </c>
      <c r="N5" s="14"/>
      <c r="O5" s="14"/>
      <c r="P5" s="14"/>
      <c r="Q5" s="14"/>
      <c r="R5" s="14"/>
      <c r="S5" s="14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15.75" customHeight="1">
      <c r="A6" s="8"/>
      <c r="B6" s="16" t="s">
        <v>82</v>
      </c>
      <c r="C6" s="16">
        <v>20000.0</v>
      </c>
      <c r="D6" s="16">
        <v>50.0</v>
      </c>
      <c r="E6" s="16">
        <v>1000.0</v>
      </c>
      <c r="F6" s="16">
        <v>5.0</v>
      </c>
      <c r="G6" s="16">
        <v>-5.0</v>
      </c>
      <c r="H6" s="16">
        <v>0.0</v>
      </c>
      <c r="I6" s="16">
        <v>50.0</v>
      </c>
      <c r="J6" s="16">
        <v>0.0</v>
      </c>
      <c r="K6" s="16">
        <v>0.0</v>
      </c>
      <c r="L6" s="16">
        <v>33.33</v>
      </c>
      <c r="M6" s="16">
        <v>1.0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8"/>
      <c r="B7" s="16" t="s">
        <v>85</v>
      </c>
      <c r="C7" s="16">
        <v>10000.0</v>
      </c>
      <c r="D7" s="16">
        <v>100.0</v>
      </c>
      <c r="E7" s="16">
        <v>2000.0</v>
      </c>
      <c r="F7" s="16">
        <v>20.0</v>
      </c>
      <c r="G7" s="16">
        <v>-20.0</v>
      </c>
      <c r="H7" s="16">
        <v>0.0</v>
      </c>
      <c r="I7" s="16">
        <v>100.0</v>
      </c>
      <c r="J7" s="16">
        <v>0.0</v>
      </c>
      <c r="K7" s="16">
        <v>0.0</v>
      </c>
      <c r="L7" s="16">
        <v>66.67</v>
      </c>
      <c r="M7" s="16">
        <v>1.0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#REF!</formula1>
    </dataValidation>
    <dataValidation type="list" allowBlank="1" showErrorMessage="1" sqref="E3">
      <formula1>VerifyPTT!$4:$4</formula1>
    </dataValidation>
    <dataValidation type="list" allowBlank="1" showErrorMessage="1" sqref="G3">
      <formula1>"Input Format,Output Format"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VLOOKUP($E$3,#REF!,3,FALSE)</f>
        <v>#REF!</v>
      </c>
      <c r="K2" s="7"/>
      <c r="L2" s="6"/>
      <c r="M2" s="6"/>
      <c r="N2" s="6"/>
      <c r="O2" s="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ht="15.75" customHeight="1">
      <c r="A3" s="9"/>
      <c r="B3" s="9" t="s">
        <v>1</v>
      </c>
      <c r="C3" s="10" t="s">
        <v>7</v>
      </c>
      <c r="D3" s="9" t="s">
        <v>3</v>
      </c>
      <c r="E3" s="10" t="s">
        <v>9</v>
      </c>
      <c r="F3" s="9" t="s">
        <v>5</v>
      </c>
      <c r="G3" s="10" t="s">
        <v>6</v>
      </c>
      <c r="H3" s="9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ht="15.75" customHeight="1">
      <c r="A4" s="12"/>
      <c r="B4" s="12" t="str">
        <f>IFERROR(__xludf.DUMMYFUNCTION("IF(C3="""","""",Transpose(IMPORTRANGE('_Settings'!$B$3,C3&amp;""!A4:A1000"")))"),"#REF!")</f>
        <v>#REF!</v>
      </c>
      <c r="C4" s="12" t="s">
        <v>16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  <c r="I4" s="12" t="s">
        <v>28</v>
      </c>
      <c r="J4" s="12" t="s">
        <v>29</v>
      </c>
      <c r="K4" s="12" t="s">
        <v>30</v>
      </c>
      <c r="L4" s="12" t="s">
        <v>31</v>
      </c>
      <c r="M4" s="12" t="s">
        <v>9</v>
      </c>
      <c r="N4" s="12" t="s">
        <v>32</v>
      </c>
      <c r="O4" s="12" t="s">
        <v>33</v>
      </c>
      <c r="P4" s="13" t="s">
        <v>34</v>
      </c>
      <c r="Q4" s="13" t="s">
        <v>38</v>
      </c>
      <c r="R4" s="13" t="s">
        <v>39</v>
      </c>
      <c r="S4" s="13" t="s">
        <v>40</v>
      </c>
      <c r="T4" s="13" t="s">
        <v>41</v>
      </c>
      <c r="U4" s="13" t="s">
        <v>42</v>
      </c>
      <c r="V4" s="13" t="s">
        <v>43</v>
      </c>
      <c r="W4" s="13" t="s">
        <v>44</v>
      </c>
      <c r="X4" s="13" t="s">
        <v>45</v>
      </c>
      <c r="Y4" s="13" t="s">
        <v>46</v>
      </c>
      <c r="Z4" s="13" t="s">
        <v>47</v>
      </c>
      <c r="AA4" s="13" t="s">
        <v>28</v>
      </c>
      <c r="AB4" s="13" t="s">
        <v>48</v>
      </c>
      <c r="AC4" s="13" t="s">
        <v>49</v>
      </c>
      <c r="AD4" s="13" t="s">
        <v>16</v>
      </c>
      <c r="AE4" s="13" t="s">
        <v>50</v>
      </c>
      <c r="AF4" s="13" t="s">
        <v>51</v>
      </c>
      <c r="AG4" s="13" t="s">
        <v>52</v>
      </c>
      <c r="AH4" s="13" t="s">
        <v>53</v>
      </c>
      <c r="AI4" s="13" t="s">
        <v>54</v>
      </c>
      <c r="AJ4" s="13" t="s">
        <v>55</v>
      </c>
      <c r="AK4" s="13" t="s">
        <v>56</v>
      </c>
      <c r="AL4" s="13" t="s">
        <v>57</v>
      </c>
      <c r="AM4" s="13" t="s">
        <v>58</v>
      </c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ht="15.75" customHeight="1">
      <c r="A5" s="14" t="str">
        <f>IFERROR(__xludf.DUMMYFUNCTION("TRANSPOSE(IMPORTRANGE(VLOOKUP($E$3,IMPORTRANGE('_Settings'!$B$3,$C$3&amp;""!A4:B1000""),2,FALSE),$G$3&amp;""!A4:A1000""))"),"#REF!")</f>
        <v>#REF!</v>
      </c>
      <c r="B5" s="14" t="s">
        <v>61</v>
      </c>
      <c r="C5" s="14" t="s">
        <v>65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ht="15.75" customHeight="1">
      <c r="A6" s="18"/>
      <c r="B6" s="19">
        <f t="shared" ref="B6:C6" si="1">TODAY()-1</f>
        <v>42992</v>
      </c>
      <c r="C6" s="19">
        <f t="shared" si="1"/>
        <v>42992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</row>
  </sheetData>
  <mergeCells count="1">
    <mergeCell ref="B1:H1"/>
  </mergeCells>
  <dataValidations>
    <dataValidation type="list" allowBlank="1" showInputMessage="1" showErrorMessage="1" prompt="Ú䀀Āࣰ_x0005_" sqref="C3">
      <formula1>#REF!</formula1>
    </dataValidation>
    <dataValidation type="list" allowBlank="1" showErrorMessage="1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VLOOKUP($E$3,#REF!,3,FALSE)</f>
        <v>#REF!</v>
      </c>
      <c r="K2" s="7"/>
      <c r="L2" s="6"/>
      <c r="M2" s="6"/>
      <c r="N2" s="6"/>
      <c r="O2" s="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ht="15.75" customHeight="1">
      <c r="A3" s="9"/>
      <c r="B3" s="9" t="s">
        <v>1</v>
      </c>
      <c r="C3" s="10" t="s">
        <v>7</v>
      </c>
      <c r="D3" s="9" t="s">
        <v>3</v>
      </c>
      <c r="E3" s="10" t="s">
        <v>16</v>
      </c>
      <c r="F3" s="9" t="s">
        <v>5</v>
      </c>
      <c r="G3" s="10" t="s">
        <v>6</v>
      </c>
      <c r="H3" s="9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ht="15.75" customHeight="1">
      <c r="A4" s="12"/>
      <c r="B4" s="12" t="str">
        <f>IFERROR(__xludf.DUMMYFUNCTION("IF(C3="""","""",Transpose(IMPORTRANGE('_Settings'!$B$3,C3&amp;""!A4:A1000"")))"),"#REF!")</f>
        <v>#REF!</v>
      </c>
      <c r="C4" s="12" t="s">
        <v>16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  <c r="I4" s="12" t="s">
        <v>28</v>
      </c>
      <c r="J4" s="12" t="s">
        <v>29</v>
      </c>
      <c r="K4" s="12" t="s">
        <v>30</v>
      </c>
      <c r="L4" s="12" t="s">
        <v>31</v>
      </c>
      <c r="M4" s="12" t="s">
        <v>9</v>
      </c>
      <c r="N4" s="12" t="s">
        <v>32</v>
      </c>
      <c r="O4" s="12" t="s">
        <v>33</v>
      </c>
      <c r="P4" s="13" t="s">
        <v>34</v>
      </c>
      <c r="Q4" s="13" t="s">
        <v>38</v>
      </c>
      <c r="R4" s="13" t="s">
        <v>39</v>
      </c>
      <c r="S4" s="13" t="s">
        <v>40</v>
      </c>
      <c r="T4" s="13" t="s">
        <v>41</v>
      </c>
      <c r="U4" s="13" t="s">
        <v>42</v>
      </c>
      <c r="V4" s="13" t="s">
        <v>43</v>
      </c>
      <c r="W4" s="13" t="s">
        <v>44</v>
      </c>
      <c r="X4" s="13" t="s">
        <v>45</v>
      </c>
      <c r="Y4" s="13" t="s">
        <v>46</v>
      </c>
      <c r="Z4" s="13" t="s">
        <v>47</v>
      </c>
      <c r="AA4" s="13" t="s">
        <v>28</v>
      </c>
      <c r="AB4" s="13" t="s">
        <v>48</v>
      </c>
      <c r="AC4" s="13" t="s">
        <v>49</v>
      </c>
      <c r="AD4" s="13" t="s">
        <v>16</v>
      </c>
      <c r="AE4" s="13" t="s">
        <v>50</v>
      </c>
      <c r="AF4" s="13" t="s">
        <v>51</v>
      </c>
      <c r="AG4" s="13" t="s">
        <v>52</v>
      </c>
      <c r="AH4" s="13" t="s">
        <v>53</v>
      </c>
      <c r="AI4" s="13" t="s">
        <v>54</v>
      </c>
      <c r="AJ4" s="13" t="s">
        <v>55</v>
      </c>
      <c r="AK4" s="13" t="s">
        <v>56</v>
      </c>
      <c r="AL4" s="13" t="s">
        <v>57</v>
      </c>
      <c r="AM4" s="13" t="s">
        <v>58</v>
      </c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ht="15.75" customHeight="1">
      <c r="A5" s="14" t="str">
        <f>IFERROR(__xludf.DUMMYFUNCTION("TRANSPOSE(IMPORTRANGE(VLOOKUP($E$3,IMPORTRANGE('_Settings'!$B$3,$C$3&amp;""!A4:B1000""),2,FALSE),$G$3&amp;""!A4:A1000""))"),"#REF!")</f>
        <v>#REF!</v>
      </c>
      <c r="B5" s="14" t="s">
        <v>87</v>
      </c>
      <c r="C5" s="14" t="s">
        <v>89</v>
      </c>
      <c r="D5" s="14" t="s">
        <v>90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ht="15.75" customHeight="1">
      <c r="A6" s="18"/>
      <c r="B6" s="6" t="s">
        <v>85</v>
      </c>
      <c r="C6" s="6" t="s">
        <v>91</v>
      </c>
      <c r="D6" s="20">
        <v>10000.0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</row>
    <row r="7" ht="15.75" customHeight="1">
      <c r="A7" s="18"/>
      <c r="B7" s="6" t="s">
        <v>82</v>
      </c>
      <c r="C7" s="6" t="s">
        <v>91</v>
      </c>
      <c r="D7" s="20">
        <v>20000.0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#REF!</formula1>
    </dataValidation>
    <dataValidation type="list" allowBlank="1" showErrorMessage="1" sqref="E3">
      <formula1>UpdateDailyCash!$4:$4</formula1>
    </dataValidation>
    <dataValidation type="list" allowBlank="1" showErrorMessage="1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VLOOKUP($E$3,#REF!,3,FALSE)</f>
        <v>#REF!</v>
      </c>
      <c r="K2" s="7"/>
      <c r="L2" s="6"/>
      <c r="M2" s="6"/>
      <c r="N2" s="6"/>
      <c r="O2" s="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ht="15.75" customHeight="1">
      <c r="A3" s="9"/>
      <c r="B3" s="9" t="s">
        <v>1</v>
      </c>
      <c r="C3" s="10" t="s">
        <v>92</v>
      </c>
      <c r="D3" s="9" t="s">
        <v>3</v>
      </c>
      <c r="E3" s="10" t="s">
        <v>93</v>
      </c>
      <c r="F3" s="9" t="s">
        <v>5</v>
      </c>
      <c r="G3" s="10" t="s">
        <v>6</v>
      </c>
      <c r="H3" s="9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ht="15.75" customHeight="1">
      <c r="A4" s="12"/>
      <c r="B4" s="12" t="str">
        <f>IFERROR(__xludf.DUMMYFUNCTION("IF(C3="""","""",Transpose(IMPORTRANGE('_Settings'!$B$3,C3&amp;""!A4:A1000"")))"),"#REF!")</f>
        <v>#REF!</v>
      </c>
      <c r="C4" s="12" t="s">
        <v>94</v>
      </c>
      <c r="D4" s="12" t="s">
        <v>95</v>
      </c>
      <c r="E4" s="12" t="s">
        <v>96</v>
      </c>
      <c r="F4" s="12" t="s">
        <v>97</v>
      </c>
      <c r="G4" s="12" t="s">
        <v>98</v>
      </c>
      <c r="H4" s="12" t="s">
        <v>99</v>
      </c>
      <c r="I4" s="12" t="s">
        <v>100</v>
      </c>
      <c r="J4" s="12" t="s">
        <v>101</v>
      </c>
      <c r="K4" s="12" t="s">
        <v>101</v>
      </c>
      <c r="L4" s="12" t="s">
        <v>102</v>
      </c>
      <c r="M4" s="12" t="s">
        <v>93</v>
      </c>
      <c r="N4" s="12" t="s">
        <v>103</v>
      </c>
      <c r="O4" s="12" t="s">
        <v>104</v>
      </c>
      <c r="P4" s="13" t="s">
        <v>105</v>
      </c>
      <c r="Q4" s="13" t="s">
        <v>106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ht="15.75" customHeight="1">
      <c r="A5" s="14" t="str">
        <f>IFERROR(__xludf.DUMMYFUNCTION("TRANSPOSE(IMPORTRANGE(VLOOKUP($E$3,IMPORTRANGE('_Settings'!$B$3,$C$3&amp;""!A4:B1000""),2,FALSE),$G$3&amp;""!A4:A1000""))"),"#REF!")</f>
        <v>#REF!</v>
      </c>
      <c r="B5" s="14" t="s">
        <v>107</v>
      </c>
      <c r="C5" s="14" t="s">
        <v>108</v>
      </c>
      <c r="D5" s="14" t="s">
        <v>109</v>
      </c>
      <c r="E5" s="14" t="s">
        <v>110</v>
      </c>
      <c r="F5" s="14" t="s">
        <v>111</v>
      </c>
      <c r="G5" s="14" t="s">
        <v>112</v>
      </c>
      <c r="H5" s="14" t="s">
        <v>113</v>
      </c>
      <c r="I5" s="14" t="s">
        <v>114</v>
      </c>
      <c r="J5" s="14" t="s">
        <v>70</v>
      </c>
      <c r="K5" s="14" t="s">
        <v>115</v>
      </c>
      <c r="L5" s="14" t="s">
        <v>116</v>
      </c>
      <c r="M5" s="14" t="s">
        <v>117</v>
      </c>
      <c r="N5" s="14" t="s">
        <v>118</v>
      </c>
      <c r="O5" s="14" t="s">
        <v>119</v>
      </c>
      <c r="P5" s="14" t="s">
        <v>120</v>
      </c>
      <c r="Q5" s="14" t="s">
        <v>121</v>
      </c>
      <c r="R5" s="14" t="s">
        <v>122</v>
      </c>
      <c r="S5" s="14" t="s">
        <v>123</v>
      </c>
      <c r="T5" s="15" t="s">
        <v>124</v>
      </c>
      <c r="U5" s="15" t="s">
        <v>125</v>
      </c>
      <c r="V5" s="15" t="s">
        <v>126</v>
      </c>
      <c r="W5" s="15" t="s">
        <v>127</v>
      </c>
      <c r="X5" s="15" t="s">
        <v>128</v>
      </c>
      <c r="Y5" s="15" t="s">
        <v>129</v>
      </c>
      <c r="Z5" s="15" t="s">
        <v>130</v>
      </c>
      <c r="AA5" s="15" t="s">
        <v>131</v>
      </c>
      <c r="AB5" s="15" t="s">
        <v>132</v>
      </c>
      <c r="AC5" s="15" t="s">
        <v>133</v>
      </c>
      <c r="AD5" s="15" t="s">
        <v>134</v>
      </c>
      <c r="AE5" s="15" t="s">
        <v>135</v>
      </c>
      <c r="AF5" s="15" t="s">
        <v>136</v>
      </c>
      <c r="AG5" s="15" t="s">
        <v>137</v>
      </c>
      <c r="AH5" s="15" t="s">
        <v>138</v>
      </c>
      <c r="AI5" s="15" t="s">
        <v>139</v>
      </c>
      <c r="AJ5" s="15" t="s">
        <v>140</v>
      </c>
      <c r="AK5" s="15" t="s">
        <v>87</v>
      </c>
      <c r="AL5" s="15" t="s">
        <v>141</v>
      </c>
      <c r="AM5" s="15" t="s">
        <v>142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ht="15.75" customHeight="1">
      <c r="A6" s="18"/>
      <c r="B6" s="6" t="s">
        <v>81</v>
      </c>
      <c r="C6" s="6" t="s">
        <v>143</v>
      </c>
      <c r="D6" s="20">
        <v>100.0</v>
      </c>
      <c r="E6" s="20">
        <v>100.0</v>
      </c>
      <c r="F6" s="6" t="s">
        <v>85</v>
      </c>
      <c r="G6" s="18"/>
      <c r="H6" s="18"/>
      <c r="I6" s="18"/>
      <c r="J6" s="20">
        <v>20.0</v>
      </c>
      <c r="K6" s="18"/>
      <c r="L6" s="18"/>
      <c r="M6" s="18"/>
      <c r="N6" s="21">
        <f t="shared" ref="N6:N7" si="1">TODAY()</f>
        <v>42993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</row>
    <row r="7" ht="15.75" customHeight="1">
      <c r="A7" s="18"/>
      <c r="B7" s="6" t="s">
        <v>81</v>
      </c>
      <c r="C7" s="6" t="s">
        <v>143</v>
      </c>
      <c r="D7" s="20">
        <v>50.0</v>
      </c>
      <c r="E7" s="20">
        <v>50.0</v>
      </c>
      <c r="F7" s="6" t="s">
        <v>82</v>
      </c>
      <c r="G7" s="18"/>
      <c r="H7" s="18"/>
      <c r="I7" s="18"/>
      <c r="J7" s="20">
        <v>20.0</v>
      </c>
      <c r="K7" s="18"/>
      <c r="L7" s="18"/>
      <c r="M7" s="18"/>
      <c r="N7" s="21">
        <f t="shared" si="1"/>
        <v>42993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#REF!</formula1>
    </dataValidation>
    <dataValidation type="list" allowBlank="1" showErrorMessage="1" sqref="G3">
      <formula1>"Input Format,Output Format"</formula1>
    </dataValidation>
    <dataValidation type="list" allowBlank="1" showErrorMessage="1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VLOOKUP($E$3,#REF!,3,FALSE)</f>
        <v>#REF!</v>
      </c>
      <c r="K2" s="7"/>
      <c r="L2" s="6"/>
      <c r="M2" s="6"/>
      <c r="N2" s="6"/>
      <c r="O2" s="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9"/>
      <c r="B3" s="9" t="s">
        <v>1</v>
      </c>
      <c r="C3" s="10" t="s">
        <v>144</v>
      </c>
      <c r="D3" s="9" t="s">
        <v>3</v>
      </c>
      <c r="E3" s="10" t="s">
        <v>144</v>
      </c>
      <c r="F3" s="9" t="s">
        <v>5</v>
      </c>
      <c r="G3" s="10" t="s">
        <v>6</v>
      </c>
      <c r="H3" s="9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15.75" customHeight="1">
      <c r="A4" s="12"/>
      <c r="B4" s="12" t="str">
        <f>IFERROR(__xludf.DUMMYFUNCTION("IF(C3="""","""",Transpose(IMPORTRANGE('_Settings'!$B$3,C3&amp;""!A4:A1000"")))"),"#REF!")</f>
        <v>#REF!</v>
      </c>
      <c r="C4" s="12" t="s">
        <v>145</v>
      </c>
      <c r="D4" s="12" t="s">
        <v>146</v>
      </c>
      <c r="E4" s="12" t="s">
        <v>147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A5" s="14" t="str">
        <f>IFERROR(__xludf.DUMMYFUNCTION("TRANSPOSE(IMPORTRANGE(VLOOKUP($E$3,IMPORTRANGE('_Settings'!$B$3,$C$3&amp;""!A4:B1000""),2,FALSE),$G$3&amp;""!A4:A1000""))"),"#REF!")</f>
        <v>#REF!</v>
      </c>
      <c r="B5" s="14" t="s">
        <v>107</v>
      </c>
      <c r="C5" s="14" t="s">
        <v>148</v>
      </c>
      <c r="D5" s="14" t="s">
        <v>149</v>
      </c>
      <c r="E5" s="14" t="s">
        <v>150</v>
      </c>
      <c r="F5" s="14" t="s">
        <v>151</v>
      </c>
      <c r="G5" s="14" t="s">
        <v>152</v>
      </c>
      <c r="H5" s="14" t="s">
        <v>153</v>
      </c>
      <c r="I5" s="14" t="s">
        <v>154</v>
      </c>
      <c r="J5" s="14" t="s">
        <v>155</v>
      </c>
      <c r="K5" s="14" t="s">
        <v>156</v>
      </c>
      <c r="L5" s="14" t="s">
        <v>157</v>
      </c>
      <c r="M5" s="14" t="s">
        <v>158</v>
      </c>
      <c r="N5" s="14" t="s">
        <v>159</v>
      </c>
      <c r="O5" s="14" t="s">
        <v>160</v>
      </c>
      <c r="P5" s="14" t="s">
        <v>161</v>
      </c>
      <c r="Q5" s="14" t="s">
        <v>162</v>
      </c>
      <c r="R5" s="14" t="s">
        <v>163</v>
      </c>
      <c r="S5" s="14" t="s">
        <v>164</v>
      </c>
      <c r="T5" s="15" t="s">
        <v>165</v>
      </c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15.75" customHeight="1">
      <c r="A6" s="18"/>
      <c r="B6" s="6" t="s">
        <v>81</v>
      </c>
      <c r="C6" s="20">
        <v>20.0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#REF!</formula1>
    </dataValidation>
    <dataValidation type="list" allowBlank="1" showErrorMessage="1" sqref="E3">
      <formula1>PricingInput!$4:$4</formula1>
    </dataValidation>
    <dataValidation type="list" allowBlank="1" showErrorMessage="1" sqref="G3">
      <formula1>"Input Format,Output Format"</formula1>
    </dataValidation>
  </dataValidations>
  <drawing r:id="rId1"/>
</worksheet>
</file>