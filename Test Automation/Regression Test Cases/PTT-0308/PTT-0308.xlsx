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ctionOnPageFromSearch" sheetId="8" r:id="rId10"/>
    <sheet state="visible" name="CalculatePTT" sheetId="9" r:id="rId11"/>
    <sheet state="visible" name="EditPTTRecordAndExecuteOrder" sheetId="10" r:id="rId12"/>
    <sheet state="visible" name="VerifyPTT" sheetId="11" r:id="rId13"/>
    <sheet state="visible" name="CalculatePTT1" sheetId="12" r:id="rId14"/>
    <sheet state="visible" name="EditPTTRecordAndExecuteOrder1" sheetId="13" r:id="rId15"/>
    <sheet state="visible" name="VerifyPTT1" sheetId="14" r:id="rId16"/>
    <sheet state="visible" name="CalculatePTT2" sheetId="15" r:id="rId17"/>
    <sheet state="visible" name="EditPTTRecordAndExecuteOrder2" sheetId="16" r:id="rId18"/>
    <sheet state="visible" name="VerifyPTT2" sheetId="17" r:id="rId19"/>
  </sheets>
  <definedNames/>
  <calcPr/>
</workbook>
</file>

<file path=xl/sharedStrings.xml><?xml version="1.0" encoding="utf-8"?>
<sst xmlns="http://schemas.openxmlformats.org/spreadsheetml/2006/main" count="150" uniqueCount="46">
  <si>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</si>
  <si>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</si>
  <si>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</si>
  <si>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</si>
  <si>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</si>
  <si>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</si>
  <si>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</si>
  <si>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</si>
  <si>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</si>
  <si>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</si>
  <si>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</si>
  <si>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</si>
  <si>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</si>
  <si>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</si>
  <si>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</si>
  <si>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</si>
  <si>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</si>
  <si>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</si>
  <si>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DailyValuation</t>
  </si>
  <si>
    <t>GetDailyCash</t>
  </si>
  <si>
    <t>Select Date</t>
  </si>
  <si>
    <t>Copy From</t>
  </si>
  <si>
    <t>UpdateMultipleDailyCash</t>
  </si>
  <si>
    <t>Account</t>
  </si>
  <si>
    <t>Local Currency</t>
  </si>
  <si>
    <t>Cash Value Local</t>
  </si>
  <si>
    <t>Allocation1</t>
  </si>
  <si>
    <t>USD</t>
  </si>
  <si>
    <t>TradingTicket</t>
  </si>
  <si>
    <t>CreateDoneAwayOrder</t>
  </si>
  <si>
    <t>AAPL</t>
  </si>
  <si>
    <t>Sell</t>
  </si>
  <si>
    <t>FRU-TC</t>
  </si>
  <si>
    <t>ActionOnPageFromSearch</t>
  </si>
  <si>
    <t>PTT</t>
  </si>
  <si>
    <t>CalculatePTT</t>
  </si>
  <si>
    <t>Set</t>
  </si>
  <si>
    <t>Basis Point</t>
  </si>
  <si>
    <t>Custom Group</t>
  </si>
  <si>
    <t>NewMF3</t>
  </si>
  <si>
    <t>EditPTTRecordAndExecuteOrder</t>
  </si>
  <si>
    <t>Select</t>
  </si>
  <si>
    <t>Edit</t>
  </si>
  <si>
    <t>VerifyPTT</t>
  </si>
  <si>
    <t>Buy to CoverBuy</t>
  </si>
  <si>
    <t>Allocation1,Allocation3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</si>
</sst>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vertical="bottom"/>
    </xf>
    <xf borderId="0" fillId="0" fontId="5" numFmtId="1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4" t="s">
        <v>20</v>
      </c>
      <c r="C5" s="34" t="s">
        <v>21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45929</v>
      </c>
      <c r="C6" s="35">
        <f>TODAY()</f>
        <v>45930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34" t="s">
        <v>23</v>
      </c>
      <c r="C5" s="34" t="s">
        <v>24</v>
      </c>
      <c r="D5" s="34" t="s">
        <v>25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26</v>
      </c>
      <c r="C6" s="36" t="s">
        <v>27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7"/>
      <c r="B6" s="31" t="s">
        <v>30</v>
      </c>
      <c r="C6" s="36" t="s">
        <v>31</v>
      </c>
      <c r="D6" s="38">
        <v>100.0</v>
      </c>
      <c r="E6" s="39"/>
      <c r="F6" s="39"/>
      <c r="G6" s="39"/>
      <c r="H6" s="39"/>
      <c r="I6" s="39"/>
      <c r="J6" s="40">
        <v>10.0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2" t="s">
        <v>32</v>
      </c>
      <c r="C7" s="36" t="s">
        <v>31</v>
      </c>
      <c r="D7" s="40">
        <v>100.0</v>
      </c>
      <c r="E7" s="39"/>
      <c r="F7" s="39"/>
      <c r="G7" s="39"/>
      <c r="H7" s="39"/>
      <c r="I7" s="39"/>
      <c r="J7" s="40">
        <v>10.0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IFERROR(__xludf.DUMMYFUNCTION("""COMPUTED_VALUE"""),"Action")</f>
        <v>Action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17</v>
      </c>
      <c r="C6" s="39"/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30</v>
      </c>
      <c r="C6" s="36" t="s">
        <v>36</v>
      </c>
      <c r="D6" s="37" t="s">
        <v>37</v>
      </c>
      <c r="E6" s="41">
        <v>-1000.0</v>
      </c>
      <c r="F6" s="40">
        <v>10.0</v>
      </c>
      <c r="H6" s="42" t="s">
        <v>38</v>
      </c>
      <c r="I6" s="36" t="s">
        <v>39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26</v>
      </c>
      <c r="C6" s="39"/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 t="s">
        <v>41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9"/>
      <c r="I7" s="40">
        <v>100.0</v>
      </c>
      <c r="J7" s="39"/>
      <c r="K7" s="39"/>
      <c r="L7" s="39"/>
      <c r="M7" s="39"/>
      <c r="N7" s="39"/>
      <c r="P7" s="43">
        <v>20.0</v>
      </c>
      <c r="Q7" s="39"/>
      <c r="R7" s="39"/>
      <c r="S7" s="39"/>
      <c r="T7" s="39" t="s">
        <v>42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43">
        <v>10.0</v>
      </c>
      <c r="T8" s="39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44">
        <v>10000.0</v>
      </c>
      <c r="D6" s="44">
        <v>-100.0</v>
      </c>
      <c r="E6" s="33"/>
      <c r="F6" s="8"/>
      <c r="G6" s="8"/>
      <c r="H6" s="8"/>
      <c r="I6" s="44">
        <v>1002.0</v>
      </c>
      <c r="J6" s="8"/>
      <c r="K6" s="8"/>
      <c r="L6" s="8"/>
      <c r="M6" s="8"/>
      <c r="N6" s="8"/>
      <c r="O6" s="44">
        <v>31.0</v>
      </c>
      <c r="P6" s="44">
        <v>20.0</v>
      </c>
      <c r="R6" s="44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30</v>
      </c>
      <c r="C6" s="36" t="s">
        <v>36</v>
      </c>
      <c r="D6" s="37"/>
      <c r="E6" s="41">
        <v>-10.0</v>
      </c>
      <c r="F6" s="40">
        <v>10.0</v>
      </c>
      <c r="H6" s="42"/>
      <c r="J6" s="36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6" t="s">
        <v>26</v>
      </c>
      <c r="C6" s="39"/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2"/>
      <c r="R6" s="39"/>
      <c r="S6" s="39"/>
      <c r="T6" s="39" t="s">
        <v>41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9"/>
      <c r="H7" s="43">
        <v>20.0</v>
      </c>
      <c r="J7" s="39"/>
      <c r="K7" s="39"/>
      <c r="L7" s="39"/>
      <c r="M7" s="39"/>
      <c r="N7" s="39"/>
      <c r="Q7" s="39"/>
      <c r="R7" s="39"/>
      <c r="S7" s="39"/>
      <c r="T7" s="39" t="s">
        <v>42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43"/>
      <c r="H8" s="8"/>
      <c r="I8" s="40"/>
      <c r="J8" s="8"/>
      <c r="K8" s="8"/>
      <c r="L8" s="8"/>
      <c r="M8" s="8"/>
      <c r="N8" s="8"/>
      <c r="O8" s="8"/>
      <c r="T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44">
        <v>10000.0</v>
      </c>
      <c r="D6" s="44">
        <v>-100.0</v>
      </c>
      <c r="F6" s="8"/>
      <c r="G6" s="44">
        <v>30.0</v>
      </c>
      <c r="H6" s="13">
        <v>20.0</v>
      </c>
      <c r="I6" s="44">
        <v>100200.0</v>
      </c>
      <c r="K6" s="8"/>
      <c r="L6" s="8"/>
      <c r="M6" s="8"/>
      <c r="N6" s="8"/>
      <c r="O6" s="8"/>
      <c r="R6" s="44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30</v>
      </c>
      <c r="C6" s="36" t="s">
        <v>36</v>
      </c>
      <c r="D6" s="37" t="s">
        <v>37</v>
      </c>
      <c r="E6" s="41">
        <v>1000.0</v>
      </c>
      <c r="F6" s="40">
        <v>10.0</v>
      </c>
      <c r="H6" s="42"/>
      <c r="I6" s="36" t="s">
        <v>45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IFERROR(__xludf.DUMMYFUNCTION("""COMPUTED_VALUE"""),"Action")</f>
        <v>Action</v>
      </c>
      <c r="U5" s="30" t="str">
        <f>IFERROR(__xludf.DUMMYFUNCTION("""COMPUTED_VALUE"""),"OrderButtonType")</f>
        <v>OrderButtonType</v>
      </c>
      <c r="V5" s="30" t="str">
        <f>IFERROR(__xludf.DUMMYFUNCTION("""COMPUTED_VALUE"""),"Change Amt")</f>
        <v>Change Amt</v>
      </c>
      <c r="W5" s="30" t="str">
        <f>IFERROR(__xludf.DUMMYFUNCTION("""COMPUTED_VALUE"""),"Group")</f>
        <v>Group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6" t="s">
        <v>26</v>
      </c>
      <c r="C6" s="39"/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2"/>
      <c r="R6" s="39"/>
      <c r="S6" s="39"/>
      <c r="T6" s="39" t="s">
        <v>41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9"/>
      <c r="C7" s="39"/>
      <c r="D7" s="39"/>
      <c r="E7" s="39"/>
      <c r="F7" s="39"/>
      <c r="I7" s="41">
        <v>100100.0</v>
      </c>
      <c r="J7" s="39"/>
      <c r="K7" s="39"/>
      <c r="L7" s="39"/>
      <c r="M7" s="39"/>
      <c r="N7" s="39"/>
      <c r="P7" s="43">
        <v>20.0</v>
      </c>
      <c r="Q7" s="39"/>
      <c r="R7" s="39"/>
      <c r="S7" s="39"/>
      <c r="T7" s="39" t="s">
        <v>42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H8" s="8"/>
      <c r="J8" s="8"/>
      <c r="K8" s="8"/>
      <c r="L8" s="8"/>
      <c r="M8" s="8"/>
      <c r="N8" s="8"/>
      <c r="O8" s="43">
        <v>10.0</v>
      </c>
      <c r="T8" s="39" t="s">
        <v>42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44">
        <v>10000.0</v>
      </c>
      <c r="D6" s="44">
        <v>-100.0</v>
      </c>
      <c r="F6" s="8"/>
      <c r="G6" s="8"/>
      <c r="H6" s="8"/>
      <c r="I6" s="44">
        <v>100100.0</v>
      </c>
      <c r="J6" s="8"/>
      <c r="K6" s="8"/>
      <c r="L6" s="8"/>
      <c r="M6" s="8"/>
      <c r="N6" s="8"/>
      <c r="O6" s="44">
        <v>2000.0</v>
      </c>
      <c r="P6" s="9">
        <v>1000.0</v>
      </c>
      <c r="R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