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ManageHotButton" sheetId="8" r:id="rId10"/>
    <sheet state="visible" name="EditCloneButton" sheetId="9" r:id="rId11"/>
  </sheets>
  <definedNames/>
  <calcPr/>
</workbook>
</file>

<file path=xl/sharedStrings.xml><?xml version="1.0" encoding="utf-8"?>
<sst xmlns="http://schemas.openxmlformats.org/spreadsheetml/2006/main" count="80" uniqueCount="35">
  <si>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</si>
  <si>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</si>
  <si>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</si>
  <si>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</si>
  <si>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</si>
  <si>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</si>
  <si>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</si>
  <si>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</si>
  <si>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</si>
  <si>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</si>
  <si>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</si>
  <si>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</si>
  <si>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</si>
  <si>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</si>
  <si>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</si>
  <si>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</si>
  <si>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</si>
  <si>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New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</si>
  <si>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</si>
  <si>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</si>
  <si>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</si>
  <si>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</si>
  <si>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</si>
  <si>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</si>
  <si>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</si>
  <si>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</si>
  <si>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</si>
  <si>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</si>
  <si>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Buy</t>
  </si>
  <si>
    <t>Stage</t>
  </si>
  <si>
    <t>Favorite</t>
  </si>
  <si>
    <t>ManageHotButton</t>
  </si>
  <si>
    <t>EditCloneButton</t>
  </si>
  <si>
    <t>NewClone</t>
  </si>
  <si>
    <t>Save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</si>
</sst>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2" t="s">
        <v>19</v>
      </c>
      <c r="E6" s="34"/>
      <c r="F6" s="33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  <c r="K6" s="12" t="b">
        <v>1</v>
      </c>
      <c r="L6" s="12" t="s">
        <v>20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2" t="s">
        <v>17</v>
      </c>
      <c r="E6" s="12" t="b">
        <v>1</v>
      </c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IFERROR(__xludf.DUMMYFUNCTION("""COMPUTED_VALUE"""),"VerifyHotButtonNames")</f>
        <v>VerifyHotButtonNames</v>
      </c>
      <c r="C5" s="27" t="str">
        <f>IFERROR(__xludf.DUMMYFUNCTION("""COMPUTED_VALUE"""),"MarkFav")</f>
        <v>MarkFav</v>
      </c>
      <c r="D5" s="27" t="str">
        <f>IFERROR(__xludf.DUMMYFUNCTION("""COMPUTED_VALUE"""),"DeleteHotButton")</f>
        <v>DeleteHotButton</v>
      </c>
      <c r="E5" s="27" t="str">
        <f>IFERROR(__xludf.DUMMYFUNCTION("""COMPUTED_VALUE"""),"CloneHotButton")</f>
        <v>CloneHotButton</v>
      </c>
      <c r="F5" s="28" t="str">
        <f>IFERROR(__xludf.DUMMYFUNCTION("""COMPUTED_VALUE"""),"EditHotButton")</f>
        <v>EditHotButton</v>
      </c>
      <c r="G5" s="27" t="str">
        <f>IFERROR(__xludf.DUMMYFUNCTION("""COMPUTED_VALUE"""),"ConfirmDeletePopUp")</f>
        <v>ConfirmDeletePopUp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ManageHotButton!$4:$4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IFERROR(__xludf.DUMMYFUNCTION("""COMPUTED_VALUE"""),"Order Side")</f>
        <v>Order Side</v>
      </c>
      <c r="K5" s="27" t="str">
        <f>IFERROR(__xludf.DUMMYFUNCTION("""COMPUTED_VALUE"""),"Execution Type")</f>
        <v>Execution Type</v>
      </c>
      <c r="L5" s="27" t="str">
        <f>IFERROR(__xludf.DUMMYFUNCTION("""COMPUTED_VALUE"""),"Button Color")</f>
        <v>Button Color</v>
      </c>
      <c r="M5" s="27" t="str">
        <f>IFERROR(__xludf.DUMMYFUNCTION("""COMPUTED_VALUE"""),"Transmission preferences")</f>
        <v>Transmission preferences</v>
      </c>
      <c r="N5" s="27" t="str">
        <f>IFERROR(__xludf.DUMMYFUNCTION("""COMPUTED_VALUE"""),"Add to Favourite")</f>
        <v>Add to Favourite</v>
      </c>
      <c r="O5" s="27" t="str">
        <f>IFERROR(__xludf.DUMMYFUNCTION("""COMPUTED_VALUE"""),"Action")</f>
        <v>Action</v>
      </c>
      <c r="P5" s="27" t="str">
        <f>IFERROR(__xludf.DUMMYFUNCTION("""COMPUTED_VALUE"""),"Calculation Basis Type")</f>
        <v>Calculation Basis Type</v>
      </c>
      <c r="Q5" s="27" t="str">
        <f>IFERROR(__xludf.DUMMYFUNCTION("""COMPUTED_VALUE"""),"Calculation Basis Amount")</f>
        <v>Calculation Basis Amount</v>
      </c>
      <c r="R5" s="27" t="str">
        <f>IFERROR(__xludf.DUMMYFUNCTION("""COMPUTED_VALUE"""),"Calculation ON")</f>
        <v>Calculation ON</v>
      </c>
      <c r="S5" s="27" t="str">
        <f>IFERROR(__xludf.DUMMYFUNCTION("""COMPUTED_VALUE"""),"Cent/BPS")</f>
        <v>Cent/BPS</v>
      </c>
      <c r="T5" s="29" t="str">
        <f>IFERROR(__xludf.DUMMYFUNCTION("""COMPUTED_VALUE"""),"Ask/Bid/Last/Mid")</f>
        <v>Ask/Bid/Last/Mid</v>
      </c>
      <c r="U5" s="29" t="str">
        <f>IFERROR(__xludf.DUMMYFUNCTION("""COMPUTED_VALUE"""),"Limit Price")</f>
        <v>Limit Price</v>
      </c>
      <c r="V5" s="29" t="str">
        <f>IFERROR(__xludf.DUMMYFUNCTION("""COMPUTED_VALUE"""),"Expiration Date")</f>
        <v>Expiration Date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22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12" t="s">
        <v>29</v>
      </c>
      <c r="M6" s="8"/>
      <c r="N6" s="12" t="b">
        <v>1</v>
      </c>
      <c r="O6" s="12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EditCloneButton!$4:$4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