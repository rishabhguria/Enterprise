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SetGeneralPreferences" sheetId="8" r:id="rId10"/>
    <sheet name="AddMFPreferences" sheetId="9" r:id="rId11"/>
    <sheet name="SetMFPreferencesDefaultRule" sheetId="10" r:id="rId12"/>
    <sheet name="SetMFPrefAccountValues" sheetId="11" r:id="rId13"/>
    <sheet name="SetMFPrefFundDefaultRule" sheetId="12" r:id="rId14"/>
    <sheet name="SetMFPrefAccountValues1" sheetId="13" r:id="rId15"/>
    <sheet name="SetMFPrefFundDefaultRule1" sheetId="14" r:id="rId16"/>
    <sheet name="CreateDoneAwayOrder1" sheetId="15" r:id="rId17"/>
    <sheet name="GetDataAllocation" sheetId="16" r:id="rId18"/>
    <sheet name="SelectUnallocatedGroup" sheetId="17" r:id="rId19"/>
    <sheet name="EnterAllocatePreference" sheetId="18" r:id="rId20"/>
    <sheet name="CheckAllocatedTaxlots" sheetId="19" r:id="rId21"/>
  </sheets>
  <calcPr fullCalcOnLoad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<sst xmlns="http://schemas.openxmlformats.org/spreadsheetml/2006/main" count="50" uniqueCount="50">
  <si>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</si>
  <si>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</si>
  <si>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</si>
  <si>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</si>
  <si>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</si>
  <si>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</si>
  <si>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</si>
  <si>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</si>
  <si>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</si>
  <si>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</si>
  <si>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</si>
  <si>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</si>
  <si>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</si>
  <si>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</si>
  <si>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</si>
  <si>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</si>
  <si>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</si>
  <si>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</si>
  <si>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</si>
  <si>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</si>
  <si>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</si>
  <si>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</si>
  <si>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</si>
  <si>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</si>
  <si>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</si>
  <si>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</si>
  <si>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</si>
  <si>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</si>
  <si>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</si>
  <si>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</si>
  <si>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</si>
  <si>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</si>
  <si>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</si>
  <si>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</si>
  <si>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</si>
  <si>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</si>
  <si>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</si>
  <si>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Trade Quantity</t>
  </si>
  <si>
    <t>Account Inception</t>
  </si>
  <si>
    <t>NewMF1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</si>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</sst>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</v>
      </c>
      <c r="E6" s="34"/>
      <c r="F6" s="34" t="s">
        <v>18</v>
      </c>
      <c r="G6" s="34"/>
      <c r="H6" s="34"/>
      <c r="I6" s="34"/>
      <c r="J6" s="35">
        <v>1</v>
      </c>
      <c r="K6" s="34"/>
      <c r="L6" s="34"/>
      <c r="M6" s="34"/>
      <c r="N6" s="36">
        <f ref="N6:N9" t="shared" si="1">TODAY()-1</f>
        <v>45067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2" t="s">
        <v>17</v>
      </c>
      <c r="D7" s="35">
        <v>800</v>
      </c>
      <c r="E7" s="34"/>
      <c r="F7" s="34" t="s">
        <v>19</v>
      </c>
      <c r="G7" s="34"/>
      <c r="H7" s="34"/>
      <c r="I7" s="34"/>
      <c r="J7" s="35">
        <v>1</v>
      </c>
      <c r="K7" s="34"/>
      <c r="L7" s="34"/>
      <c r="M7" s="34"/>
      <c r="N7" s="36">
        <f t="shared" si="1"/>
        <v>45067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2" t="s">
        <v>17</v>
      </c>
      <c r="D8" s="35">
        <v>600</v>
      </c>
      <c r="E8" s="34"/>
      <c r="F8" s="34" t="s">
        <v>20</v>
      </c>
      <c r="G8" s="34"/>
      <c r="H8" s="34"/>
      <c r="I8" s="34"/>
      <c r="J8" s="35">
        <v>1</v>
      </c>
      <c r="K8" s="34"/>
      <c r="L8" s="34"/>
      <c r="M8" s="34"/>
      <c r="N8" s="36">
        <f t="shared" si="1"/>
        <v>45067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16</v>
      </c>
      <c r="C9" s="32" t="s">
        <v>17</v>
      </c>
      <c r="D9" s="35">
        <v>1400</v>
      </c>
      <c r="E9" s="34"/>
      <c r="F9" s="34" t="s">
        <v>21</v>
      </c>
      <c r="G9" s="34"/>
      <c r="H9" s="34"/>
      <c r="I9" s="34"/>
      <c r="J9" s="35">
        <v>1</v>
      </c>
      <c r="K9" s="34"/>
      <c r="L9" s="34"/>
      <c r="M9" s="34"/>
      <c r="N9" s="36">
        <f t="shared" si="1"/>
        <v>45067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45067</v>
      </c>
      <c r="C6" s="36">
        <f>TODAY()</f>
        <v>45068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26</v>
      </c>
      <c r="D6" s="38">
        <v>9600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26</v>
      </c>
      <c r="D7" s="38">
        <v>14200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20</v>
      </c>
      <c r="C8" s="34" t="s">
        <v>26</v>
      </c>
      <c r="D8" s="38">
        <v>7400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21</v>
      </c>
      <c r="C9" s="34" t="s">
        <v>26</v>
      </c>
      <c r="D9" s="38">
        <v>10600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40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32</v>
      </c>
      <c r="D6" s="41" t="s">
        <v>33</v>
      </c>
      <c r="E6" s="34"/>
      <c r="F6" s="34" t="s">
        <v>30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35</v>
      </c>
      <c r="D6" s="31" t="s">
        <v>18</v>
      </c>
      <c r="E6" s="35">
        <v>50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30</v>
      </c>
      <c r="C7" s="34" t="s">
        <v>35</v>
      </c>
      <c r="D7" s="34" t="s">
        <v>19</v>
      </c>
      <c r="E7" s="35">
        <v>50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35</v>
      </c>
      <c r="D6" s="31" t="s">
        <v>37</v>
      </c>
      <c r="E6" s="32" t="s">
        <v>18</v>
      </c>
      <c r="F6" s="42" t="s">
        <v>38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 t="s">
        <v>39</v>
      </c>
      <c r="D6" s="31" t="s">
        <v>20</v>
      </c>
      <c r="E6" s="35">
        <v>50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30</v>
      </c>
      <c r="C7" s="34" t="s">
        <v>39</v>
      </c>
      <c r="D7" s="34" t="s">
        <v>21</v>
      </c>
      <c r="E7" s="35">
        <v>50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39</v>
      </c>
      <c r="D6" s="31" t="s">
        <v>37</v>
      </c>
      <c r="E6" s="32" t="s">
        <v>20</v>
      </c>
      <c r="F6" s="42" t="s">
        <v>38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125</v>
      </c>
      <c r="E6" s="34"/>
      <c r="F6" s="34" t="s">
        <v>40</v>
      </c>
      <c r="G6" s="34"/>
      <c r="H6" s="34"/>
      <c r="I6" s="34"/>
      <c r="J6" s="35">
        <v>11</v>
      </c>
      <c r="K6" s="34"/>
      <c r="L6" s="34"/>
      <c r="M6" s="34"/>
      <c r="N6" s="36">
        <f>TODAY()</f>
        <v>45068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30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46</v>
      </c>
      <c r="B6" s="43">
        <v>1389.0008</v>
      </c>
      <c r="C6" s="8">
        <v>1389.0008</v>
      </c>
      <c r="D6" s="43">
        <v>1375</v>
      </c>
      <c r="E6" s="8">
        <v>1375</v>
      </c>
      <c r="F6" s="8" t="s">
        <v>47</v>
      </c>
      <c r="G6" s="8"/>
      <c r="H6" s="8" t="s">
        <v>26</v>
      </c>
      <c r="I6" s="8"/>
      <c r="J6" s="8"/>
      <c r="K6" s="8"/>
      <c r="L6" s="8"/>
      <c r="M6" s="8"/>
      <c r="N6" s="8"/>
      <c r="O6" s="8" t="s">
        <v>18</v>
      </c>
      <c r="P6" s="0" t="s">
        <v>48</v>
      </c>
      <c r="Q6" s="0">
        <v>100</v>
      </c>
      <c r="R6" s="0">
        <v>125</v>
      </c>
      <c r="X6" s="0">
        <v>2</v>
      </c>
      <c r="Y6" s="0">
        <v>4</v>
      </c>
      <c r="Z6" s="0">
        <v>3</v>
      </c>
      <c r="AA6" s="0">
        <v>5</v>
      </c>
      <c r="AF6" s="0" t="s">
        <v>49</v>
      </c>
      <c r="AI6" s="0">
        <v>11</v>
      </c>
      <c r="AK6" s="0">
        <v>1</v>
      </c>
      <c r="AL6" s="0">
        <v>3</v>
      </c>
      <c r="AM6" s="0" t="s">
        <v>46</v>
      </c>
      <c r="AN6" s="0" t="s">
        <v>46</v>
      </c>
      <c r="AO6" s="0" t="s">
        <v>46</v>
      </c>
      <c r="AP6" s="0" t="s">
        <v>46</v>
      </c>
      <c r="AQ6" s="0" t="s">
        <v>46</v>
      </c>
      <c r="AR6" s="0" t="s">
        <v>46</v>
      </c>
      <c r="AS6" s="0" t="s">
        <v>46</v>
      </c>
      <c r="AT6" s="0" t="s">
        <v>46</v>
      </c>
      <c r="AU6" s="0" t="s">
        <v>46</v>
      </c>
      <c r="AV6" s="0" t="s">
        <v>46</v>
      </c>
      <c r="AW6" s="0" t="s">
        <v>46</v>
      </c>
      <c r="AX6" s="0" t="s">
        <v>46</v>
      </c>
      <c r="AY6" s="0" t="s">
        <v>46</v>
      </c>
      <c r="AZ6" s="0" t="s">
        <v>46</v>
      </c>
      <c r="BA6" s="0" t="s">
        <v>46</v>
      </c>
      <c r="BB6" s="0" t="s">
        <v>46</v>
      </c>
      <c r="BC6" s="0" t="s">
        <v>46</v>
      </c>
      <c r="BD6" s="0" t="s">
        <v>46</v>
      </c>
      <c r="BE6" s="0" t="s">
        <v>46</v>
      </c>
      <c r="BF6" s="0" t="s">
        <v>46</v>
      </c>
      <c r="BG6" s="0" t="s">
        <v>46</v>
      </c>
      <c r="BH6" s="0" t="s">
        <v>46</v>
      </c>
      <c r="BI6" s="0" t="s">
        <v>46</v>
      </c>
      <c r="BJ6" s="0" t="s">
        <v>46</v>
      </c>
      <c r="BK6" s="0" t="s">
        <v>46</v>
      </c>
      <c r="BL6" s="0" t="s">
        <v>46</v>
      </c>
      <c r="BM6" s="0" t="s">
        <v>46</v>
      </c>
      <c r="BN6" s="0" t="s">
        <v>46</v>
      </c>
      <c r="BO6" s="0" t="s">
        <v>46</v>
      </c>
      <c r="BP6" s="0" t="s">
        <v>46</v>
      </c>
      <c r="BQ6" s="0" t="s">
        <v>46</v>
      </c>
      <c r="BR6" s="0" t="s">
        <v>46</v>
      </c>
      <c r="BS6" s="0" t="s">
        <v>46</v>
      </c>
      <c r="BT6" s="0" t="s">
        <v>46</v>
      </c>
      <c r="BU6" s="0" t="s">
        <v>46</v>
      </c>
      <c r="BV6" s="0" t="s">
        <v>46</v>
      </c>
      <c r="BW6" s="0" t="s">
        <v>46</v>
      </c>
      <c r="BX6" s="0" t="s">
        <v>46</v>
      </c>
      <c r="BY6" s="0" t="s">
        <v>46</v>
      </c>
      <c r="BZ6" s="0" t="s">
        <v>46</v>
      </c>
      <c r="CA6" s="0" t="s">
        <v>46</v>
      </c>
      <c r="CB6" s="0" t="s">
        <v>46</v>
      </c>
      <c r="CC6" s="0" t="s">
        <v>46</v>
      </c>
      <c r="CD6" s="0" t="s">
        <v>46</v>
      </c>
      <c r="CE6" s="0" t="s">
        <v>46</v>
      </c>
      <c r="CF6" s="0" t="s">
        <v>46</v>
      </c>
      <c r="CG6" s="0" t="s">
        <v>46</v>
      </c>
      <c r="CH6" s="0" t="s">
        <v>46</v>
      </c>
      <c r="CI6" s="0" t="s">
        <v>46</v>
      </c>
      <c r="CJ6" s="0" t="s">
        <v>46</v>
      </c>
      <c r="CK6" s="0" t="s">
        <v>46</v>
      </c>
      <c r="CL6" s="0" t="s">
        <v>46</v>
      </c>
      <c r="CM6" s="0" t="s">
        <v>46</v>
      </c>
      <c r="CN6" s="0" t="s">
        <v>46</v>
      </c>
      <c r="CO6" s="0" t="s">
        <v>46</v>
      </c>
      <c r="CP6" s="0" t="s">
        <v>46</v>
      </c>
      <c r="CQ6" s="0" t="s">
        <v>46</v>
      </c>
      <c r="CR6" s="0" t="s">
        <v>46</v>
      </c>
      <c r="CS6" s="0" t="s">
        <v>46</v>
      </c>
      <c r="CT6" s="0" t="s">
        <v>46</v>
      </c>
      <c r="CU6" s="0" t="s">
        <v>46</v>
      </c>
      <c r="CV6" s="0" t="s">
        <v>46</v>
      </c>
      <c r="CW6" s="0" t="s">
        <v>46</v>
      </c>
      <c r="CX6" s="0" t="s">
        <v>46</v>
      </c>
      <c r="CY6" s="0" t="s">
        <v>46</v>
      </c>
      <c r="CZ6" s="0" t="s">
        <v>46</v>
      </c>
      <c r="DA6" s="0" t="s">
        <v>46</v>
      </c>
      <c r="DB6" s="0" t="s">
        <v>46</v>
      </c>
      <c r="DC6" s="0" t="s">
        <v>46</v>
      </c>
      <c r="DD6" s="0" t="s">
        <v>46</v>
      </c>
      <c r="DE6" s="0" t="s">
        <v>46</v>
      </c>
      <c r="DF6" s="0" t="s">
        <v>46</v>
      </c>
      <c r="DG6" s="0" t="s">
        <v>46</v>
      </c>
      <c r="DH6" s="0" t="s">
        <v>46</v>
      </c>
      <c r="DI6" s="0" t="s">
        <v>46</v>
      </c>
      <c r="DJ6" s="0" t="s">
        <v>46</v>
      </c>
      <c r="DK6" s="0" t="s">
        <v>46</v>
      </c>
      <c r="DL6" s="0" t="s">
        <v>46</v>
      </c>
      <c r="DM6" s="0" t="s">
        <v>46</v>
      </c>
      <c r="DN6" s="0" t="s">
        <v>46</v>
      </c>
      <c r="DO6" s="0" t="s">
        <v>46</v>
      </c>
      <c r="DP6" s="0" t="s">
        <v>46</v>
      </c>
      <c r="DQ6" s="0" t="s">
        <v>46</v>
      </c>
      <c r="DR6" s="0" t="s">
        <v>46</v>
      </c>
      <c r="DS6" s="0" t="s">
        <v>46</v>
      </c>
      <c r="DT6" s="0" t="s">
        <v>46</v>
      </c>
      <c r="DU6" s="0" t="s">
        <v>46</v>
      </c>
      <c r="DV6" s="0" t="s">
        <v>46</v>
      </c>
      <c r="DW6" s="0" t="s">
        <v>46</v>
      </c>
      <c r="DX6" s="0" t="s">
        <v>46</v>
      </c>
      <c r="DY6" s="0" t="s">
        <v>46</v>
      </c>
      <c r="DZ6" s="0" t="s">
        <v>46</v>
      </c>
      <c r="EA6" s="0" t="s">
        <v>46</v>
      </c>
      <c r="EB6" s="0" t="s">
        <v>46</v>
      </c>
      <c r="EC6" s="0" t="s">
        <v>46</v>
      </c>
      <c r="ED6" s="0" t="s">
        <v>46</v>
      </c>
      <c r="EE6" s="0" t="s">
        <v>46</v>
      </c>
      <c r="EF6" s="0" t="s">
        <v>46</v>
      </c>
      <c r="EG6" s="0" t="s">
        <v>46</v>
      </c>
      <c r="EH6" s="0" t="s">
        <v>46</v>
      </c>
      <c r="EI6" s="0" t="s">
        <v>46</v>
      </c>
      <c r="EJ6" s="0" t="s">
        <v>46</v>
      </c>
      <c r="EK6" s="0" t="s">
        <v>46</v>
      </c>
      <c r="EL6" s="0" t="s">
        <v>46</v>
      </c>
      <c r="EM6" s="0" t="s">
        <v>46</v>
      </c>
      <c r="EN6" s="0" t="s">
        <v>46</v>
      </c>
      <c r="EO6" s="0" t="s">
        <v>46</v>
      </c>
      <c r="EP6" s="0" t="s">
        <v>46</v>
      </c>
      <c r="EQ6" s="0" t="s">
        <v>46</v>
      </c>
      <c r="ER6" s="0" t="s">
        <v>46</v>
      </c>
      <c r="ES6" s="0" t="s">
        <v>46</v>
      </c>
      <c r="ET6" s="0" t="s">
        <v>46</v>
      </c>
      <c r="EU6" s="0" t="s">
        <v>46</v>
      </c>
      <c r="EV6" s="0" t="s">
        <v>46</v>
      </c>
      <c r="EW6" s="0" t="s">
        <v>46</v>
      </c>
      <c r="EX6" s="0" t="s">
        <v>46</v>
      </c>
      <c r="EY6" s="0" t="s">
        <v>46</v>
      </c>
      <c r="EZ6" s="0" t="s">
        <v>46</v>
      </c>
      <c r="FA6" s="0" t="s">
        <v>46</v>
      </c>
      <c r="FB6" s="0" t="s">
        <v>46</v>
      </c>
      <c r="FC6" s="0" t="s">
        <v>46</v>
      </c>
      <c r="FD6" s="0" t="s">
        <v>46</v>
      </c>
      <c r="FE6" s="0" t="s">
        <v>46</v>
      </c>
      <c r="FF6" s="0" t="s">
        <v>46</v>
      </c>
      <c r="FG6" s="0" t="s">
        <v>46</v>
      </c>
      <c r="FH6" s="0" t="s">
        <v>46</v>
      </c>
      <c r="FI6" s="0" t="s">
        <v>46</v>
      </c>
      <c r="FJ6" s="0" t="s">
        <v>46</v>
      </c>
      <c r="FK6" s="0" t="s">
        <v>46</v>
      </c>
      <c r="FL6" s="0" t="s">
        <v>46</v>
      </c>
      <c r="FM6" s="0" t="s">
        <v>46</v>
      </c>
      <c r="FN6" s="0" t="s">
        <v>46</v>
      </c>
      <c r="FO6" s="0" t="s">
        <v>46</v>
      </c>
      <c r="FP6" s="0" t="s">
        <v>46</v>
      </c>
      <c r="FQ6" s="0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