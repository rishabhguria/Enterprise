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CreateDoneAwayOrder" sheetId="5" r:id="rId7"/>
    <sheet state="visible" name="CreateLiveOrder" sheetId="6" r:id="rId8"/>
    <sheet state="visible" name="SelectTrade" sheetId="7" r:id="rId9"/>
    <sheet state="visible" name="AcknowledgeTrade" sheetId="8" r:id="rId10"/>
    <sheet state="visible" name="CreateDoneAwayOrder1" sheetId="9" r:id="rId11"/>
    <sheet state="visible" name="SelectTradeOnOrderGrid" sheetId="10" r:id="rId12"/>
    <sheet state="visible" name="ReplaceSubOrder" sheetId="11" r:id="rId13"/>
    <sheet state="visible" name="CreateReplaceOrder" sheetId="12" r:id="rId14"/>
    <sheet state="visible" name="CreateComplianceOrder" sheetId="13" r:id="rId15"/>
    <sheet state="visible" name="VerifyComplianceOrder" sheetId="14" r:id="rId16"/>
    <sheet state="visible" name="GetForexConversion" sheetId="15" r:id="rId17"/>
    <sheet state="visible" name="UpdateForexConversion" sheetId="16" r:id="rId18"/>
    <sheet state="visible" name="SelectTrade1" sheetId="17" r:id="rId19"/>
    <sheet state="visible" name="AcknowledgeTrade1" sheetId="18" r:id="rId20"/>
    <sheet state="visible" name="PricingInput" sheetId="19" r:id="rId21"/>
    <sheet state="visible" name="EditInterceptorFile" sheetId="20" r:id="rId22"/>
  </sheets>
  <definedNames/>
  <calcPr/>
</workbook>
</file>

<file path=xl/sharedStrings.xml><?xml version="1.0" encoding="utf-8"?>
<sst xmlns="http://schemas.openxmlformats.org/spreadsheetml/2006/main" count="212" uniqueCount="68">
  <si>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</si>
  <si>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</si>
  <si>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</si>
  <si>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</si>
  <si>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</si>
  <si>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</si>
  <si>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</si>
  <si>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</si>
  <si>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</si>
  <si>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</si>
  <si>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</si>
  <si>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</si>
  <si>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</si>
  <si>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</si>
  <si>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</si>
  <si>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</si>
  <si>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TradingTicket</t>
  </si>
  <si>
    <t>CreateDoneAwayOrder</t>
  </si>
  <si>
    <t>FRU-TC</t>
  </si>
  <si>
    <t>Buy</t>
  </si>
  <si>
    <t>Allocation1</t>
  </si>
  <si>
    <t>Yes</t>
  </si>
  <si>
    <t>CreateLiveOrder</t>
  </si>
  <si>
    <t>Simulator</t>
  </si>
  <si>
    <t>SelectTrade</t>
  </si>
  <si>
    <t>AcknowledgeTrade</t>
  </si>
  <si>
    <t>Sell</t>
  </si>
  <si>
    <t>Blotter</t>
  </si>
  <si>
    <t>SelectTradeOnOrderGrid</t>
  </si>
  <si>
    <t>New</t>
  </si>
  <si>
    <t>ReplaceSubOrder</t>
  </si>
  <si>
    <t>CreateReplaceOrder</t>
  </si>
  <si>
    <t>CreateComplianceOrder</t>
  </si>
  <si>
    <t>DoneAway</t>
  </si>
  <si>
    <t>VerifyComplianceOrder</t>
  </si>
  <si>
    <t>Soft</t>
  </si>
  <si>
    <t>Order Side Check</t>
  </si>
  <si>
    <t>The Order Side Sell is invalid for this trade</t>
  </si>
  <si>
    <t>Allocation1-FRU-TC</t>
  </si>
  <si>
    <t>Order Side: Sell, Symbol: FRU-TC, Account: Allocation1, Quantity before trade: 200.00, Order quantity: -201.00, Quantity if trade is executed: -1.00</t>
  </si>
  <si>
    <t>Account-sym-AJ</t>
  </si>
  <si>
    <t>If Quantity not equals to -100, Selected Feed Price not equals to -100, Day PnL Base not equals to -100, Day PnL Local not equals to -100, Cost Basis PnL Base not equals to -100, Cost Basis PnL Local not equals to -100, Net Market Value Base not equals to -100, Net Market Value Local not equals to -100, Gross Exposure Base not equals to -100, Gross Exposure Local not equals to -100, Then block the trade.</t>
  </si>
  <si>
    <t>Multiple</t>
  </si>
  <si>
    <t>Shareoutstanding-mf-Aj</t>
  </si>
  <si>
    <t>If Master Fund Name matches " NewMF", Quantity greater than ( 0.015*n.shares Outstanding ) or quantity less than ( -0.015*n.shares Outstanding ) or shares Outstanding not equals to ( 0 ), Then block the trade.</t>
  </si>
  <si>
    <t>NewMF-FRU-TC</t>
  </si>
  <si>
    <t>masterFundName: NewMF, quantity: -1.00, sharesOutstanding: 10,000,000.00, Symbol: FRU-TC</t>
  </si>
  <si>
    <t>MasterFund-Aj</t>
  </si>
  <si>
    <t>If Quantity not equals to -100, Selected Feed Price not equals to -100, Day PnL Base not equals to -100, Day PnL Local not equals to -100, Cost Basis PnL Base not equals to -100, Cost Basis PnL Local not equals to -100, Net Market Value Base not equals to -100, Net Market Value Local not equals to -100, Gross Market Value Base not equals to -100, Gross Market Value Local not equals to -100, Then block the trade.</t>
  </si>
  <si>
    <t>quantity: -1.00, selectedFeedPrice: 20.00, dayPnLBase: -2,172.00, dayPnLLocal: -3,258.00, costBasisPnLBase: -2,172.00, costBasisPnLLocal: -3,258.00, netMarketValueBase: -13.3333, netMarketValueLocal: -20.00, grossMarketValueBase: 13.3333, grossMarketValueLocal: 20.00, MasterFundName: NewMF, Symbol: FRU-TC</t>
  </si>
  <si>
    <t>Restricted List-Aj</t>
  </si>
  <si>
    <t>If Symbol equals to "A" or symbol equals to "EC" or symbol equals to "AAPL" or symbol equals to "ZVZZT" or symbol equals to "FRU-TC" or symbol equals to "XYZ", Then block the trade.</t>
  </si>
  <si>
    <t>symbol: FRU-TC</t>
  </si>
  <si>
    <t>Trade level-AJ</t>
  </si>
  <si>
    <t>If Quantity not equals to -100, Avg Price not equals to -100, Selected Feed Price not equals to -100, Day PnL Base not equals to -100, Day PnL Local not equals to -100, Cost Basis PnL Base not equals to -100, Cost Basis PnL Local not equals to -100, Net Market Value Base not equals to -100, Net Market Value Local not equals to -100, Gross Exposure Base not equals to -100, Gross Exposure Local not equals to -100, Then block the trade.</t>
  </si>
  <si>
    <t>quantity: 201.00, avgPrice: 2.00, selectedFeedPrice: 20.00, dayPnLBase: -2,412.00, dayPnLLocal: -3,618.00, costBasisPnLBase: -2,412.00, costBasisPnLLocal: -3,618.00, netMarketValueBase: -2,680.00, netMarketValueLocal: -4,020.00, grossExposureBase: 2,680.00, grossExposureLocal: 4,020.00, Symbol: FRU-TC</t>
  </si>
  <si>
    <t>Symbol-Aj</t>
  </si>
  <si>
    <t>quantity: -1.00, selectedFeedPrice: 20.00, dayPnLBase: -2,172.00, dayPnLLocal: -3,258.00, costBasisPnLBase: -2,172.00, costBasisPnLLocal: -3,258.00, netMarketValueBase: -13.3333, netMarketValueLocal: -20.00, grossMarketValueBase: 13.3333, grossMarketValueLocal: 20.00, Symbol: FRU-TC</t>
  </si>
  <si>
    <t>DailyValuation</t>
  </si>
  <si>
    <t>GetForexConversion</t>
  </si>
  <si>
    <t>UpdateForexConversion</t>
  </si>
  <si>
    <t>USD</t>
  </si>
  <si>
    <t>CAD</t>
  </si>
  <si>
    <t>CAD AO-FX</t>
  </si>
  <si>
    <t>PricingInput</t>
  </si>
  <si>
    <t>Compliance</t>
  </si>
  <si>
    <t>EditInterceptorFile</t>
  </si>
  <si>
    <t>FRU-TC,,,,,,,,,,,,,,,,,10000000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</si>
</sst>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1155CC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6" fontId="13" numFmtId="14" xfId="0" applyAlignment="1" applyFill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IFERROR(__xludf.DUMMYFUNCTION("""COMPUTED_VALUE"""),"ImportExportPath")</f>
        <v>ImportExportPath</v>
      </c>
      <c r="C5" s="28" t="str">
        <f>IFERROR(__xludf.DUMMYFUNCTION("""COMPUTED_VALUE"""),"PrePostCrossImport")</f>
        <v>PrePostCrossImport</v>
      </c>
      <c r="D5" s="28" t="str">
        <f>IFERROR(__xludf.DUMMYFUNCTION("""COMPUTED_VALUE"""),"InMarket")</f>
        <v>InMarket</v>
      </c>
      <c r="E5" s="28" t="str">
        <f>IFERROR(__xludf.DUMMYFUNCTION("""COMPUTED_VALUE"""),"InStage")</f>
        <v>InStage</v>
      </c>
      <c r="F5" s="29" t="str">
        <f>IFERROR(__xludf.DUMMYFUNCTION("""COMPUTED_VALUE"""),"PostInMarket")</f>
        <v>PostInMarket</v>
      </c>
      <c r="G5" s="28" t="str">
        <f>IFERROR(__xludf.DUMMYFUNCTION("""COMPUTED_VALUE"""),"PostInStage")</f>
        <v>PostInStage</v>
      </c>
      <c r="H5" s="28" t="str">
        <f>IFERROR(__xludf.DUMMYFUNCTION("""COMPUTED_VALUE"""),"BlockTradeOnComplianceFaliure")</f>
        <v>BlockTradeOnComplianceFaliure</v>
      </c>
      <c r="I5" s="28" t="str">
        <f>IFERROR(__xludf.DUMMYFUNCTION("""COMPUTED_VALUE"""),"StageValueFromField")</f>
        <v>StageValueFromField</v>
      </c>
      <c r="J5" s="28" t="str">
        <f>IFERROR(__xludf.DUMMYFUNCTION("""COMPUTED_VALUE"""),"StageValueFromFieldString")</f>
        <v>StageValueFromFieldString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31" t="b">
        <v>1</v>
      </c>
      <c r="E6" s="31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SetComplianceAlert!$4:$4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18</v>
      </c>
      <c r="C6" s="33" t="s">
        <v>19</v>
      </c>
      <c r="D6" s="34">
        <v>100.0</v>
      </c>
      <c r="E6" s="35">
        <v>20.0</v>
      </c>
      <c r="F6" s="33" t="s">
        <v>20</v>
      </c>
      <c r="G6" s="32"/>
      <c r="H6" s="32"/>
      <c r="I6" s="32"/>
      <c r="J6" s="36">
        <v>2.0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 t="s">
        <v>21</v>
      </c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18</v>
      </c>
      <c r="C6" s="33" t="s">
        <v>19</v>
      </c>
      <c r="D6" s="36">
        <v>100.0</v>
      </c>
      <c r="E6" s="36"/>
      <c r="F6" s="33" t="s">
        <v>20</v>
      </c>
      <c r="G6" s="32"/>
      <c r="H6" s="32"/>
      <c r="I6" s="32"/>
      <c r="J6" s="36">
        <v>2.0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 t="s">
        <v>21</v>
      </c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3" t="s">
        <v>19</v>
      </c>
      <c r="C6" s="33" t="s">
        <v>18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3" t="s">
        <v>19</v>
      </c>
      <c r="C6" s="33" t="s">
        <v>18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18</v>
      </c>
      <c r="C6" s="33" t="s">
        <v>26</v>
      </c>
      <c r="D6" s="34">
        <v>201.0</v>
      </c>
      <c r="E6" s="32"/>
      <c r="F6" s="33" t="s">
        <v>20</v>
      </c>
      <c r="G6" s="32"/>
      <c r="H6" s="32"/>
      <c r="I6" s="32"/>
      <c r="J6" s="36">
        <v>2.0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 t="s">
        <v>21</v>
      </c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33" t="s">
        <v>18</v>
      </c>
      <c r="E6" s="8"/>
      <c r="F6" s="37" t="s">
        <v>19</v>
      </c>
      <c r="G6" s="13" t="s">
        <v>29</v>
      </c>
      <c r="H6" s="13">
        <v>100.0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J6" s="33" t="s">
        <v>18</v>
      </c>
      <c r="AK6" s="9" t="s">
        <v>19</v>
      </c>
      <c r="AL6" s="9" t="s">
        <v>29</v>
      </c>
      <c r="AM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3" t="s">
        <v>18</v>
      </c>
      <c r="D6" s="9">
        <v>200.0</v>
      </c>
      <c r="E6" s="8"/>
      <c r="F6" s="33"/>
      <c r="G6" s="8"/>
      <c r="H6" s="8"/>
      <c r="I6" s="8"/>
      <c r="J6" s="13">
        <v>2.0</v>
      </c>
      <c r="K6" s="8"/>
      <c r="L6" s="8"/>
      <c r="M6" s="8"/>
      <c r="N6" s="8"/>
      <c r="O6" s="8"/>
      <c r="AO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18</v>
      </c>
      <c r="C6" s="35" t="s">
        <v>26</v>
      </c>
      <c r="D6" s="34">
        <v>201.0</v>
      </c>
      <c r="E6" s="32"/>
      <c r="F6" s="33" t="s">
        <v>20</v>
      </c>
      <c r="G6" s="32"/>
      <c r="H6" s="32"/>
      <c r="I6" s="32"/>
      <c r="J6" s="34">
        <v>2.0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 t="s">
        <v>21</v>
      </c>
      <c r="AR6" s="32"/>
      <c r="AS6" s="32"/>
      <c r="AT6" s="32"/>
      <c r="AU6" s="32"/>
      <c r="AV6" s="32"/>
      <c r="AW6" s="32"/>
      <c r="AX6" s="35" t="s">
        <v>33</v>
      </c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35</v>
      </c>
      <c r="C6" s="13" t="s">
        <v>36</v>
      </c>
      <c r="D6" s="13" t="s">
        <v>37</v>
      </c>
      <c r="E6" s="13" t="s">
        <v>38</v>
      </c>
      <c r="F6" s="13">
        <v>200.0</v>
      </c>
      <c r="G6" s="13">
        <v>-1.0</v>
      </c>
      <c r="H6" s="13" t="s">
        <v>39</v>
      </c>
      <c r="I6" s="8"/>
      <c r="J6" s="8"/>
      <c r="K6" s="13" t="s">
        <v>21</v>
      </c>
      <c r="L6" s="8"/>
      <c r="M6" s="13" t="s">
        <v>33</v>
      </c>
      <c r="N6" s="8"/>
      <c r="O6" s="8"/>
    </row>
    <row r="7" ht="15.75" customHeight="1">
      <c r="A7" s="8"/>
      <c r="B7" s="13" t="s">
        <v>35</v>
      </c>
      <c r="C7" s="13" t="s">
        <v>40</v>
      </c>
      <c r="D7" s="13" t="s">
        <v>41</v>
      </c>
      <c r="E7" s="13" t="s">
        <v>38</v>
      </c>
      <c r="F7" s="13" t="s">
        <v>42</v>
      </c>
      <c r="G7" s="13" t="s">
        <v>42</v>
      </c>
      <c r="H7" s="13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35</v>
      </c>
      <c r="C8" s="13" t="s">
        <v>43</v>
      </c>
      <c r="D8" s="9" t="s">
        <v>44</v>
      </c>
      <c r="E8" s="13" t="s">
        <v>45</v>
      </c>
      <c r="F8" s="13">
        <v>0.0</v>
      </c>
      <c r="G8" s="13">
        <v>1.0E7</v>
      </c>
      <c r="H8" s="13" t="s">
        <v>46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35</v>
      </c>
      <c r="C9" s="13" t="s">
        <v>47</v>
      </c>
      <c r="D9" s="13" t="s">
        <v>48</v>
      </c>
      <c r="E9" s="13" t="s">
        <v>45</v>
      </c>
      <c r="F9" s="13" t="s">
        <v>42</v>
      </c>
      <c r="G9" s="13" t="s">
        <v>42</v>
      </c>
      <c r="H9" s="13" t="s">
        <v>49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35</v>
      </c>
      <c r="C10" s="13" t="s">
        <v>50</v>
      </c>
      <c r="D10" s="13" t="s">
        <v>51</v>
      </c>
      <c r="E10" s="13" t="s">
        <v>18</v>
      </c>
      <c r="F10" s="13"/>
      <c r="G10" s="13"/>
      <c r="H10" s="13" t="s">
        <v>52</v>
      </c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 t="s">
        <v>35</v>
      </c>
      <c r="C11" s="13" t="s">
        <v>53</v>
      </c>
      <c r="D11" s="13" t="s">
        <v>54</v>
      </c>
      <c r="E11" s="13" t="s">
        <v>18</v>
      </c>
      <c r="F11" s="13" t="s">
        <v>42</v>
      </c>
      <c r="G11" s="13" t="s">
        <v>42</v>
      </c>
      <c r="H11" s="13" t="s">
        <v>55</v>
      </c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 t="s">
        <v>35</v>
      </c>
      <c r="C12" s="13" t="s">
        <v>56</v>
      </c>
      <c r="D12" s="13" t="s">
        <v>48</v>
      </c>
      <c r="E12" s="13" t="s">
        <v>18</v>
      </c>
      <c r="F12" s="13" t="s">
        <v>42</v>
      </c>
      <c r="G12" s="13" t="s">
        <v>42</v>
      </c>
      <c r="H12" s="13" t="s">
        <v>57</v>
      </c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8">
        <f t="shared" ref="B6:C6" si="1">TODAY()-1</f>
        <v>44907</v>
      </c>
      <c r="C6" s="38">
        <f t="shared" si="1"/>
        <v>44907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3" t="s">
        <v>61</v>
      </c>
      <c r="C6" s="39" t="s">
        <v>62</v>
      </c>
      <c r="D6" s="40" t="s">
        <v>63</v>
      </c>
      <c r="E6" s="36">
        <v>1.5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1" t="s">
        <v>19</v>
      </c>
      <c r="C6" s="33" t="s">
        <v>18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3" t="s">
        <v>19</v>
      </c>
      <c r="C6" s="33" t="s">
        <v>18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64</v>
      </c>
      <c r="D3" s="5" t="s">
        <v>9</v>
      </c>
      <c r="E3" s="23" t="s">
        <v>64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18</v>
      </c>
      <c r="C6" s="36">
        <v>20.0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42">
        <v>1.0E7</v>
      </c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65</v>
      </c>
      <c r="D3" s="5" t="s">
        <v>9</v>
      </c>
      <c r="E3" s="23" t="s">
        <v>66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IFERROR(__xludf.DUMMYFUNCTION("""COMPUTED_VALUE"""),"SetComplianceAlert")</f>
        <v>SetComplianceAlert</v>
      </c>
      <c r="AN4" s="26" t="str">
        <f>IFERROR(__xludf.DUMMYFUNCTION("""COMPUTED_VALUE"""),"Approvependingapproval")</f>
        <v>Approvependingapproval</v>
      </c>
      <c r="AO4" s="26" t="str">
        <f>IFERROR(__xludf.DUMMYFUNCTION("""COMPUTED_VALUE"""),"VerifyAlertHistory")</f>
        <v>VerifyAlertHistory</v>
      </c>
      <c r="AP4" s="26" t="str">
        <f>IFERROR(__xludf.DUMMYFUNCTION("""COMPUTED_VALUE"""),"ApproveorRejectpendingapproval")</f>
        <v>ApproveorRejectpendingapproval</v>
      </c>
      <c r="AQ4" s="26" t="str">
        <f>IFERROR(__xludf.DUMMYFUNCTION("""COMPUTED_VALUE"""),"EditInterceptorFile")</f>
        <v>EditInterceptorFile</v>
      </c>
      <c r="AR4" s="26" t="str">
        <f>IFERROR(__xludf.DUMMYFUNCTION("""COMPUTED_VALUE"""),"ReplaceInterceptorFile")</f>
        <v>ReplaceInterceptorFile</v>
      </c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IFERROR(__xludf.DUMMYFUNCTION("""COMPUTED_VALUE"""),"Interceptor Symbol Data")</f>
        <v>Interceptor Symbol Data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67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EditInterceptorFile!$4:$4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