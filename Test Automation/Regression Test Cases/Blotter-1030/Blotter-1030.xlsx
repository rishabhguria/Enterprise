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1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angeDate" sheetId="9" r:id="rId11"/>
    <sheet state="visible" name="RestartReleasesAndServices" sheetId="10" r:id="rId12"/>
    <sheet state="visible" name="ChangeDate1" sheetId="11" r:id="rId13"/>
    <sheet state="visible" name="ExecuteTrade1" sheetId="12" r:id="rId14"/>
    <sheet state="visible" name="SelectTradeOnOrderGrid" sheetId="13" r:id="rId15"/>
    <sheet state="visible" name="ReplaceSubOrder" sheetId="14" r:id="rId16"/>
    <sheet state="visible" name="CustomOrderTT" sheetId="15" r:id="rId17"/>
    <sheet state="visible" name="CancelSubOrder" sheetId="16" r:id="rId18"/>
    <sheet state="visible" name="RejectTrade" sheetId="17" r:id="rId19"/>
    <sheet state="visible" name="GetExecutionReportDetails" sheetId="18" r:id="rId20"/>
    <sheet state="visible" name="VerifyExecutionReport" sheetId="19" r:id="rId21"/>
  </sheets>
  <definedNames/>
  <calcPr/>
</workbook>
</file>

<file path=xl/sharedStrings.xml><?xml version="1.0" encoding="utf-8"?>
<sst xmlns="http://schemas.openxmlformats.org/spreadsheetml/2006/main" count="151" uniqueCount="47">
  <si>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</si>
  <si>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</si>
  <si>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</si>
  <si>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</si>
  <si>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</si>
  <si>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</si>
  <si>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</si>
  <si>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</si>
  <si>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</si>
  <si>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</si>
  <si>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</si>
  <si>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</si>
  <si>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</si>
  <si>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</si>
  <si>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</si>
  <si>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</si>
  <si>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</si>
  <si>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</si>
  <si>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</si>
  <si>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</si>
  <si>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</si>
  <si>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</si>
  <si>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 xml:space="preserve">GTC 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</si>
  <si>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</si>
  <si>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</si>
  <si>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</si>
  <si>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</si>
  <si>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</si>
  <si>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</si>
  <si>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</si>
  <si>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</si>
  <si>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</si>
  <si>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</si>
  <si>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Today()+2</t>
  </si>
  <si>
    <t>Blotter</t>
  </si>
  <si>
    <t>SelectTradeOnOrderGrid</t>
  </si>
  <si>
    <t>ReplaceSubOrder</t>
  </si>
  <si>
    <t>PartiallyFilled</t>
  </si>
  <si>
    <t>Replace</t>
  </si>
  <si>
    <t>CancelSubOrder</t>
  </si>
  <si>
    <t>RejectTrade</t>
  </si>
  <si>
    <t>GetExecutionReportDetails</t>
  </si>
  <si>
    <t>VerifyExecutionReport</t>
  </si>
  <si>
    <t>jpearce</t>
  </si>
  <si>
    <t>GCCAP1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</si>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</sst>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5000.0</v>
      </c>
      <c r="E6" s="12" t="s">
        <v>20</v>
      </c>
      <c r="F6" s="8"/>
      <c r="G6" s="8"/>
      <c r="J6" s="12" t="s">
        <v>21</v>
      </c>
      <c r="K6" s="8"/>
      <c r="M6" s="8"/>
      <c r="N6" s="8"/>
      <c r="O6" s="8"/>
      <c r="U6" s="12" t="s">
        <v>22</v>
      </c>
      <c r="V6" s="12" t="s">
        <v>23</v>
      </c>
      <c r="X6" s="12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122.0</v>
      </c>
      <c r="C6" s="12">
        <v>1000.0</v>
      </c>
      <c r="D6" s="12" t="b">
        <v>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111.0</v>
      </c>
      <c r="C6" s="12">
        <v>1000.0</v>
      </c>
      <c r="D6" s="12" t="b">
        <v>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21</v>
      </c>
      <c r="AL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5">
        <v>8000.0</v>
      </c>
      <c r="D6" s="30"/>
      <c r="E6" s="36" t="s">
        <v>38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2"/>
      <c r="Y6" s="37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19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TODAY()-5</f>
        <v>45947</v>
      </c>
      <c r="C6" s="38">
        <f>TODAY()+5</f>
        <v>45957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IFERROR(__xludf.DUMMYFUNCTION("""COMPUTED_VALUE"""),"Order Type")</f>
        <v>Order Type</v>
      </c>
      <c r="E5" s="27" t="str">
        <f>IFERROR(__xludf.DUMMYFUNCTION("""COMPUTED_VALUE"""),"Target Quantity")</f>
        <v>Target Quantity</v>
      </c>
      <c r="F5" s="28" t="str">
        <f>IFERROR(__xludf.DUMMYFUNCTION("""COMPUTED_VALUE"""),"Executed Qty")</f>
        <v>Executed Qty</v>
      </c>
      <c r="G5" s="27" t="str">
        <f>IFERROR(__xludf.DUMMYFUNCTION("""COMPUTED_VALUE"""),"Avg Price")</f>
        <v>Avg Price</v>
      </c>
      <c r="H5" s="27" t="str">
        <f>IFERROR(__xludf.DUMMYFUNCTION("""COMPUTED_VALUE"""),"Status")</f>
        <v>Status</v>
      </c>
      <c r="I5" s="27" t="str">
        <f>IFERROR(__xludf.DUMMYFUNCTION("""COMPUTED_VALUE"""),"Price")</f>
        <v>Price</v>
      </c>
      <c r="J5" s="27" t="str">
        <f>IFERROR(__xludf.DUMMYFUNCTION("""COMPUTED_VALUE"""),"OrderID")</f>
        <v>OrderID</v>
      </c>
      <c r="K5" s="27" t="str">
        <f>IFERROR(__xludf.DUMMYFUNCTION("""COMPUTED_VALUE"""),"CIOrderID")</f>
        <v>CIOrderID</v>
      </c>
      <c r="L5" s="27" t="str">
        <f>IFERROR(__xludf.DUMMYFUNCTION("""COMPUTED_VALUE"""),"Actual User")</f>
        <v>Actual User</v>
      </c>
      <c r="M5" s="27" t="str">
        <f>IFERROR(__xludf.DUMMYFUNCTION("""COMPUTED_VALUE"""),"Trader")</f>
        <v>Trader</v>
      </c>
      <c r="N5" s="27" t="str">
        <f>IFERROR(__xludf.DUMMYFUNCTION("""COMPUTED_VALUE"""),"Broker")</f>
        <v>Broker</v>
      </c>
      <c r="O5" s="27" t="str">
        <f>IFERROR(__xludf.DUMMYFUNCTION("""COMPUTED_VALUE"""),"Modified User")</f>
        <v>Modified User</v>
      </c>
      <c r="P5" s="27" t="str">
        <f>IFERROR(__xludf.DUMMYFUNCTION("""COMPUTED_VALUE"""),"Current User")</f>
        <v>Current User</v>
      </c>
      <c r="Q5" s="27" t="str">
        <f>IFERROR(__xludf.DUMMYFUNCTION("""COMPUTED_VALUE"""),"Avg Fx Rate")</f>
        <v>Avg Fx Rate</v>
      </c>
      <c r="R5" s="27" t="str">
        <f>IFERROR(__xludf.DUMMYFUNCTION("""COMPUTED_VALUE"""),"Account")</f>
        <v>Account</v>
      </c>
      <c r="S5" s="27" t="str">
        <f>IFERROR(__xludf.DUMMYFUNCTION("""COMPUTED_VALUE"""),"Process Date")</f>
        <v>Process Date</v>
      </c>
      <c r="T5" s="29" t="str">
        <f>IFERROR(__xludf.DUMMYFUNCTION("""COMPUTED_VALUE"""),"Last Shares")</f>
        <v>Last Shares</v>
      </c>
      <c r="U5" s="29" t="str">
        <f>IFERROR(__xludf.DUMMYFUNCTION("""COMPUTED_VALUE"""),"Last Price")</f>
        <v>Last Price</v>
      </c>
      <c r="V5" s="29" t="str">
        <f>IFERROR(__xludf.DUMMYFUNCTION("""COMPUTED_VALUE"""),"Exchange")</f>
        <v>Exchange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 t="s">
        <v>23</v>
      </c>
      <c r="E6" s="12">
        <v>8000.0</v>
      </c>
      <c r="F6" s="8"/>
      <c r="G6" s="12"/>
      <c r="H6" s="8"/>
      <c r="I6" s="8"/>
      <c r="J6" s="8"/>
      <c r="K6" s="8"/>
      <c r="L6" s="12" t="s">
        <v>43</v>
      </c>
      <c r="M6" s="12" t="s">
        <v>44</v>
      </c>
      <c r="N6" s="12" t="s">
        <v>45</v>
      </c>
      <c r="O6" s="12" t="s">
        <v>43</v>
      </c>
      <c r="P6" s="9" t="s">
        <v>43</v>
      </c>
      <c r="Q6" s="9">
        <v>1.0</v>
      </c>
      <c r="R6" s="9" t="s">
        <v>46</v>
      </c>
      <c r="AI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