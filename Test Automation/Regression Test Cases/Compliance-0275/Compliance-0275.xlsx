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TabBlotter" sheetId="4" r:id="rId6"/>
    <sheet state="visible" name="SetCompliancePermission" sheetId="5" r:id="rId7"/>
    <sheet state="visible" name="CreateLiveOrder" sheetId="6" r:id="rId8"/>
    <sheet state="visible" name="SelectTrade" sheetId="7" r:id="rId9"/>
    <sheet state="visible" name="AcknowledgeTrade" sheetId="8" r:id="rId10"/>
    <sheet state="visible" name="ExecuteTrade" sheetId="9" r:id="rId11"/>
    <sheet state="visible" name="SelectTradeOnOrderGrid" sheetId="10" r:id="rId12"/>
    <sheet state="visible" name="ReplaceSubOrder" sheetId="11" r:id="rId13"/>
    <sheet state="visible" name="CreateNewSubLiveOrder" sheetId="12" r:id="rId14"/>
    <sheet state="visible" name="CreateReplaceLiveOrder" sheetId="13" r:id="rId15"/>
    <sheet state="visible" name="SelectCheckBoxOnOrderGrid" sheetId="14" r:id="rId16"/>
    <sheet state="visible" name="CancelAllSubs" sheetId="15" r:id="rId17"/>
    <sheet state="visible" name="RejectTrade" sheetId="16" r:id="rId18"/>
    <sheet state="visible" name="CancelAllSubs1" sheetId="17" r:id="rId19"/>
    <sheet state="visible" name="VerifyOrder" sheetId="18" r:id="rId20"/>
    <sheet state="visible" name="SelectTradeOnOrderGrid1" sheetId="19" r:id="rId21"/>
    <sheet state="visible" name="VerifySubOrder" sheetId="20" r:id="rId22"/>
  </sheets>
  <definedNames/>
  <calcPr/>
</workbook>
</file>

<file path=xl/sharedStrings.xml><?xml version="1.0" encoding="utf-8"?>
<sst xmlns="http://schemas.openxmlformats.org/spreadsheetml/2006/main" count="192" uniqueCount="45">
  <si>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</si>
  <si>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</si>
  <si>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</si>
  <si>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</si>
  <si>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</si>
  <si>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</si>
  <si>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</si>
  <si>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</si>
  <si>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</si>
  <si>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</si>
  <si>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</si>
  <si>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</si>
  <si>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Blotter</t>
  </si>
  <si>
    <t>AddTabBlotter</t>
  </si>
  <si>
    <t>Data Format</t>
  </si>
  <si>
    <t>Input Format</t>
  </si>
  <si>
    <t>Add Tab(Order)</t>
  </si>
  <si>
    <t>ABC</t>
  </si>
  <si>
    <t>Admin</t>
  </si>
  <si>
    <t>SetCompliancePermission</t>
  </si>
  <si>
    <t>TradeQuantity100</t>
  </si>
  <si>
    <t>REQUIRES APPROVAL</t>
  </si>
  <si>
    <t>TradingTicket</t>
  </si>
  <si>
    <t>CreateLiveOrder</t>
  </si>
  <si>
    <t>IBM</t>
  </si>
  <si>
    <t>Buy</t>
  </si>
  <si>
    <t>Allocation1</t>
  </si>
  <si>
    <t>MS</t>
  </si>
  <si>
    <t>Yes</t>
  </si>
  <si>
    <t>No</t>
  </si>
  <si>
    <t>Simulator</t>
  </si>
  <si>
    <t>SelectTrade</t>
  </si>
  <si>
    <t>AcknowledgeTrade</t>
  </si>
  <si>
    <t>ExecuteTrade</t>
  </si>
  <si>
    <t>SelectTradeOnOrderGrid</t>
  </si>
  <si>
    <t>PartiallyFilled</t>
  </si>
  <si>
    <t>ReplaceSubOrder</t>
  </si>
  <si>
    <t>CreateNewSubLiveOrder</t>
  </si>
  <si>
    <t>CreateReplaceLiveOrder</t>
  </si>
  <si>
    <t>SelectCheckBoxOnOrderGrid</t>
  </si>
  <si>
    <t>CancelAllSubs</t>
  </si>
  <si>
    <t>RejectTrade</t>
  </si>
  <si>
    <t>VerifyOrder</t>
  </si>
  <si>
    <t>VerifySubOrder</t>
  </si>
  <si>
    <t>Cancelled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</si>
</sst>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7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7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IFERROR(__xludf.DUMMYFUNCTION("""COMPUTED_VALUE"""),"TabName")</f>
        <v>TabName</v>
      </c>
      <c r="C5" s="27" t="str">
        <f>IFERROR(__xludf.DUMMYFUNCTION("""COMPUTED_VALUE"""),"Button Name")</f>
        <v>Button 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AddTabBlotter!$4:$4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9.25"/>
    <col customWidth="1" min="3" max="3" width="22.25"/>
    <col customWidth="1" min="4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IFERROR(__xludf.DUMMYFUNCTION("""COMPUTED_VALUE"""),"Rule Name")</f>
        <v>Rule Name</v>
      </c>
      <c r="C5" s="27" t="str">
        <f>IFERROR(__xludf.DUMMYFUNCTION("""COMPUTED_VALUE"""),"Alert Type Permission")</f>
        <v>Alert Type Permission</v>
      </c>
      <c r="D5" s="27" t="str">
        <f>IFERROR(__xludf.DUMMYFUNCTION("""COMPUTED_VALUE"""),"UserID")</f>
        <v>UserID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9" t="s">
        <v>20</v>
      </c>
      <c r="C6" s="31" t="s">
        <v>21</v>
      </c>
      <c r="D6" s="32">
        <v>17.0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SetCompliancePermission!$4:$4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4" t="s">
        <v>24</v>
      </c>
      <c r="C6" s="35" t="s">
        <v>25</v>
      </c>
      <c r="D6" s="32">
        <v>100.0</v>
      </c>
      <c r="E6" s="36">
        <v>100.0</v>
      </c>
      <c r="F6" s="35" t="s">
        <v>26</v>
      </c>
      <c r="G6" s="35" t="s">
        <v>27</v>
      </c>
      <c r="H6" s="37"/>
      <c r="I6" s="37"/>
      <c r="J6" s="36">
        <v>2.0</v>
      </c>
      <c r="K6" s="37"/>
      <c r="L6" s="37"/>
      <c r="M6" s="37"/>
      <c r="N6" s="38">
        <f>today()</f>
        <v>45284</v>
      </c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 t="s">
        <v>28</v>
      </c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9" t="s">
        <v>29</v>
      </c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24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24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2.0</v>
      </c>
      <c r="C6" s="12">
        <v>10.0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24</v>
      </c>
      <c r="E6" s="30"/>
      <c r="F6" s="12" t="s">
        <v>25</v>
      </c>
      <c r="G6" s="12" t="s">
        <v>35</v>
      </c>
      <c r="H6" s="8"/>
      <c r="I6" s="8"/>
      <c r="J6" s="8"/>
      <c r="K6" s="8"/>
      <c r="L6" s="8"/>
      <c r="M6" s="8"/>
      <c r="N6" s="8"/>
      <c r="O6" s="8"/>
      <c r="Q6" s="9" t="s">
        <v>27</v>
      </c>
      <c r="R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24</v>
      </c>
      <c r="AK6" s="9" t="s">
        <v>25</v>
      </c>
      <c r="AL6" s="9" t="s">
        <v>35</v>
      </c>
      <c r="AT6" s="9" t="s">
        <v>27</v>
      </c>
      <c r="AU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/>
      <c r="D6" s="12">
        <v>1000.0</v>
      </c>
      <c r="E6" s="30"/>
      <c r="F6" s="8"/>
      <c r="G6" s="8"/>
      <c r="H6" s="8"/>
      <c r="I6" s="8"/>
      <c r="J6" s="12">
        <v>2.0</v>
      </c>
      <c r="K6" s="8"/>
      <c r="L6" s="8"/>
      <c r="M6" s="8"/>
      <c r="N6" s="8"/>
      <c r="O6" s="8"/>
      <c r="AS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CreateNewSubLiveOrder!$4:$4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IFERROR(__xludf.DUMMYFUNCTION("""COMPUTED_VALUE"""),"TRVAccountName")</f>
        <v>TRVAccountName</v>
      </c>
      <c r="AR5" s="29" t="str">
        <f>IFERROR(__xludf.DUMMYFUNCTION("""COMPUTED_VALUE"""),"TRVTradeQuantity")</f>
        <v>TRVTradeQuantity</v>
      </c>
      <c r="AS5" s="29" t="str">
        <f>IFERROR(__xludf.DUMMYFUNCTION("""COMPUTED_VALUE"""),"TRVCurrentPosition")</f>
        <v>TRVCurrentPosition</v>
      </c>
      <c r="AT5" s="29" t="str">
        <f>IFERROR(__xludf.DUMMYFUNCTION("""COMPUTED_VALUE"""),"TRVNav")</f>
        <v>TRVNav</v>
      </c>
      <c r="AU5" s="29" t="str">
        <f>IFERROR(__xludf.DUMMYFUNCTION("""COMPUTED_VALUE"""),"PendingApprovalPopUp")</f>
        <v>PendingApprovalPopUp</v>
      </c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12" t="s">
        <v>25</v>
      </c>
      <c r="D6" s="12">
        <v>1000.0</v>
      </c>
      <c r="E6" s="30"/>
      <c r="F6" s="8"/>
      <c r="G6" s="8"/>
      <c r="H6" s="8"/>
      <c r="I6" s="8"/>
      <c r="J6" s="12">
        <v>2.0</v>
      </c>
      <c r="K6" s="8"/>
      <c r="L6" s="8"/>
      <c r="M6" s="8"/>
      <c r="N6" s="8"/>
      <c r="O6" s="8"/>
      <c r="AO6" s="9" t="s">
        <v>28</v>
      </c>
      <c r="AU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24</v>
      </c>
      <c r="E6" s="30"/>
      <c r="F6" s="12" t="s">
        <v>25</v>
      </c>
      <c r="G6" s="12" t="s">
        <v>35</v>
      </c>
      <c r="H6" s="8"/>
      <c r="I6" s="8"/>
      <c r="J6" s="8"/>
      <c r="K6" s="8"/>
      <c r="L6" s="8"/>
      <c r="M6" s="8"/>
      <c r="N6" s="8"/>
      <c r="O6" s="8"/>
      <c r="Q6" s="9" t="s">
        <v>27</v>
      </c>
      <c r="R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SelectCheckBoxOnOrderGrid!$4:$4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IFERROR(__xludf.DUMMYFUNCTION("""COMPUTED_VALUE"""),"CustomTabName")</f>
        <v>CustomTabName</v>
      </c>
      <c r="BA5" s="29" t="str">
        <f>IFERROR(__xludf.DUMMYFUNCTION("""COMPUTED_VALUE"""),"CancelAllSubsOnHeader")</f>
        <v>CancelAllSubsOnHeader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24</v>
      </c>
      <c r="AJ6" s="9" t="s">
        <v>25</v>
      </c>
      <c r="AK6" s="9" t="s">
        <v>35</v>
      </c>
      <c r="AS6" s="9" t="s">
        <v>27</v>
      </c>
      <c r="AT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CancelAllSubs!$4:$4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24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RejectTrade!$4:$4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IFERROR(__xludf.DUMMYFUNCTION("""COMPUTED_VALUE"""),"CustomTabName")</f>
        <v>CustomTabName</v>
      </c>
      <c r="BA5" s="29" t="str">
        <f>IFERROR(__xludf.DUMMYFUNCTION("""COMPUTED_VALUE"""),"CancelAllSubsOnHeader")</f>
        <v>CancelAllSubsOnHeader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24</v>
      </c>
      <c r="AJ6" s="9" t="s">
        <v>25</v>
      </c>
      <c r="AK6" s="9" t="s">
        <v>35</v>
      </c>
      <c r="AS6" s="9" t="s">
        <v>27</v>
      </c>
      <c r="AT6" s="9" t="s">
        <v>26</v>
      </c>
      <c r="BA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CancelAllSubs1!$4:$4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3"/>
      <c r="C6" s="37"/>
      <c r="D6" s="33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 t="s">
        <v>24</v>
      </c>
      <c r="AJ6" s="37" t="s">
        <v>25</v>
      </c>
      <c r="AK6" s="37" t="s">
        <v>35</v>
      </c>
      <c r="AL6" s="40">
        <v>100.0</v>
      </c>
      <c r="AM6" s="37"/>
      <c r="AN6" s="37"/>
      <c r="AO6" s="37"/>
      <c r="AP6" s="37"/>
      <c r="AQ6" s="37"/>
      <c r="AR6" s="37"/>
      <c r="AS6" s="37" t="s">
        <v>27</v>
      </c>
      <c r="AT6" s="37" t="s">
        <v>26</v>
      </c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3"/>
      <c r="C6" s="37"/>
      <c r="D6" s="34" t="s">
        <v>24</v>
      </c>
      <c r="E6" s="37"/>
      <c r="F6" s="35" t="s">
        <v>25</v>
      </c>
      <c r="G6" s="35" t="s">
        <v>35</v>
      </c>
      <c r="H6" s="36">
        <v>100.0</v>
      </c>
      <c r="I6" s="37"/>
      <c r="J6" s="37"/>
      <c r="K6" s="37"/>
      <c r="L6" s="37"/>
      <c r="M6" s="37"/>
      <c r="N6" s="37"/>
      <c r="O6" s="37"/>
      <c r="P6" s="37"/>
      <c r="Q6" s="37" t="s">
        <v>27</v>
      </c>
      <c r="R6" s="37" t="s">
        <v>26</v>
      </c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3"/>
      <c r="C6" s="37"/>
      <c r="D6" s="33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 t="s">
        <v>24</v>
      </c>
      <c r="AJ6" s="37" t="s">
        <v>25</v>
      </c>
      <c r="AK6" s="37" t="s">
        <v>44</v>
      </c>
      <c r="AL6" s="41">
        <v>100.0</v>
      </c>
      <c r="AM6" s="37"/>
      <c r="AN6" s="37"/>
      <c r="AO6" s="37"/>
      <c r="AP6" s="37"/>
      <c r="AQ6" s="37" t="s">
        <v>27</v>
      </c>
      <c r="AR6" s="37" t="s">
        <v>26</v>
      </c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