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OnOrderGrid" sheetId="9" r:id="rId11"/>
    <sheet state="visible" name="ReplaceSubOrder" sheetId="10" r:id="rId12"/>
    <sheet state="visible" name="CreateReplaceOrder" sheetId="11" r:id="rId13"/>
    <sheet state="visible" name="SelectTrade1" sheetId="12" r:id="rId14"/>
    <sheet state="visible" name="AcknowledgeTrade1" sheetId="13" r:id="rId15"/>
    <sheet state="visible" name="ExecuteTrade1" sheetId="14" r:id="rId16"/>
    <sheet state="visible" name="SelectTradeOnOrderGrid1" sheetId="15" r:id="rId17"/>
    <sheet state="visible" name="VerifySubOrder1" sheetId="16" r:id="rId18"/>
    <sheet state="visible" name="CheckAllocatedGroups" sheetId="17" r:id="rId19"/>
    <sheet state="visible" name="CheckPortfolioManagement" sheetId="18" r:id="rId20"/>
    <sheet state="visible" name="CreateLiveOrder1" sheetId="19" r:id="rId21"/>
    <sheet state="visible" name="SelectTrade2" sheetId="20" r:id="rId22"/>
    <sheet state="visible" name="AcknowledgeTrade2" sheetId="21" r:id="rId23"/>
    <sheet state="visible" name="ExecuteTrade2" sheetId="22" r:id="rId24"/>
    <sheet state="visible" name="SelectTradeOnOrderGrid2" sheetId="23" r:id="rId25"/>
    <sheet state="visible" name="CancelSubOrder" sheetId="24" r:id="rId26"/>
    <sheet state="visible" name="SelectTrade3" sheetId="25" r:id="rId27"/>
    <sheet state="visible" name="AcknowledgeTrade3" sheetId="26" r:id="rId28"/>
    <sheet state="visible" name="TradeNewSubOrder" sheetId="27" r:id="rId29"/>
    <sheet state="visible" name="CreateNewSubLiveOrder" sheetId="28" r:id="rId30"/>
    <sheet state="visible" name="SelectTrade4" sheetId="29" r:id="rId31"/>
    <sheet state="visible" name="AcknowledgeTrade4" sheetId="30" r:id="rId32"/>
    <sheet state="visible" name="ExecuteTrade4" sheetId="31" r:id="rId33"/>
    <sheet state="visible" name="CreateNewSubOrder" sheetId="32" r:id="rId34"/>
    <sheet state="visible" name="SelectTradeOnOrderGrid3" sheetId="33" r:id="rId35"/>
    <sheet state="visible" name="VerifySubOrder2" sheetId="34" r:id="rId36"/>
    <sheet state="visible" name="CheckAllocatedGroups1" sheetId="35" r:id="rId37"/>
    <sheet state="visible" name="CheckPortfolioManagement1" sheetId="36" r:id="rId38"/>
    <sheet state="visible" name="CustomOrderTT" sheetId="37" r:id="rId39"/>
  </sheets>
  <definedNames/>
  <calcPr/>
</workbook>
</file>

<file path=xl/sharedStrings.xml><?xml version="1.0" encoding="utf-8"?>
<sst xmlns="http://schemas.openxmlformats.org/spreadsheetml/2006/main" count="1092" uniqueCount="85">
  <si>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</si>
  <si>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</si>
  <si>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</si>
  <si>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</si>
  <si>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</si>
  <si>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</si>
  <si>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</si>
  <si>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</si>
  <si>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</si>
  <si>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</si>
  <si>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</si>
  <si>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</si>
  <si>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</si>
  <si>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</si>
  <si>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</si>
  <si>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</si>
  <si>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</si>
  <si>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</si>
  <si>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</si>
  <si>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MS</t>
  </si>
  <si>
    <t>Day</t>
  </si>
  <si>
    <t>Market</t>
  </si>
  <si>
    <t>CreateLiveOrder</t>
  </si>
  <si>
    <t>GTC</t>
  </si>
  <si>
    <t>Simulator</t>
  </si>
  <si>
    <t>SelectTrade</t>
  </si>
  <si>
    <t>AcknowledgeTrade</t>
  </si>
  <si>
    <t>ExecuteTrade</t>
  </si>
  <si>
    <t>Blotter</t>
  </si>
  <si>
    <t>SelectTradeOnOrderGrid</t>
  </si>
  <si>
    <t>PartiallyFilled</t>
  </si>
  <si>
    <t>ReplaceSubOrder</t>
  </si>
  <si>
    <t>CreateReplaceOrder</t>
  </si>
  <si>
    <t>MSFt</t>
  </si>
  <si>
    <t>VerifySubOrder</t>
  </si>
  <si>
    <t/>
  </si>
  <si>
    <t>MSFT US EQUITY</t>
  </si>
  <si>
    <t>NASDAQ</t>
  </si>
  <si>
    <t>US</t>
  </si>
  <si>
    <t>GCCAP1</t>
  </si>
  <si>
    <t>USD</t>
  </si>
  <si>
    <t>NewMF</t>
  </si>
  <si>
    <t>DefaultNotes</t>
  </si>
  <si>
    <t>M</t>
  </si>
  <si>
    <t>Limit</t>
  </si>
  <si>
    <t>Allocation</t>
  </si>
  <si>
    <t>CheckAllocatedGroups</t>
  </si>
  <si>
    <t>Actual_365</t>
  </si>
  <si>
    <t>Manual</t>
  </si>
  <si>
    <t>Equity</t>
  </si>
  <si>
    <t>Treasury</t>
  </si>
  <si>
    <t>Open</t>
  </si>
  <si>
    <t>MICROSOFT INC</t>
  </si>
  <si>
    <t>None</t>
  </si>
  <si>
    <t>InternalOrder</t>
  </si>
  <si>
    <t>Strategy Unallocated</t>
  </si>
  <si>
    <t>jpearce</t>
  </si>
  <si>
    <t>NONE</t>
  </si>
  <si>
    <t>PortfolioManagement</t>
  </si>
  <si>
    <t>CheckPortfolioManagement</t>
  </si>
  <si>
    <t>Long</t>
  </si>
  <si>
    <t>FIMAT</t>
  </si>
  <si>
    <t>Equity General</t>
  </si>
  <si>
    <t>Information Technology</t>
  </si>
  <si>
    <t>Default</t>
  </si>
  <si>
    <t>Undefined</t>
  </si>
  <si>
    <t>UNITED STATES</t>
  </si>
  <si>
    <t>Yes</t>
  </si>
  <si>
    <t>NA</t>
  </si>
  <si>
    <t>AAPL</t>
  </si>
  <si>
    <t>CancelSubOrder</t>
  </si>
  <si>
    <t>TradeNewSubOrder</t>
  </si>
  <si>
    <t>CreateNewSubLiveOrder</t>
  </si>
  <si>
    <t>CreateNewSubOrder</t>
  </si>
  <si>
    <t>Cancelled</t>
  </si>
  <si>
    <t>PendingNew</t>
  </si>
  <si>
    <t>AAPL US EQUITY</t>
  </si>
  <si>
    <t>APPLE</t>
  </si>
  <si>
    <t>New Hedge</t>
  </si>
  <si>
    <t>Small Cap</t>
  </si>
  <si>
    <t>test1</t>
  </si>
  <si>
    <t>india</t>
  </si>
  <si>
    <t>test 1</t>
  </si>
  <si>
    <t>CustomOrderTT</t>
  </si>
  <si>
    <t>Send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</si>
</sst>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10.0</v>
      </c>
      <c r="E6" s="12">
        <v>10.0</v>
      </c>
      <c r="F6" s="12" t="s">
        <v>18</v>
      </c>
      <c r="G6" s="12" t="s">
        <v>19</v>
      </c>
      <c r="H6" s="12" t="s">
        <v>20</v>
      </c>
      <c r="I6" s="12" t="s">
        <v>21</v>
      </c>
      <c r="J6" s="12">
        <v>15.0</v>
      </c>
      <c r="K6" s="8"/>
      <c r="L6" s="8"/>
      <c r="M6" s="8"/>
      <c r="N6" s="30">
        <f>today()-1</f>
        <v>45854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50.0</v>
      </c>
      <c r="E6" s="12">
        <v>50.0</v>
      </c>
      <c r="F6" s="12" t="s">
        <v>18</v>
      </c>
      <c r="G6" s="12" t="s">
        <v>19</v>
      </c>
      <c r="H6" s="12" t="s">
        <v>23</v>
      </c>
      <c r="I6" s="8"/>
      <c r="J6" s="12">
        <v>50.0</v>
      </c>
      <c r="K6" s="8"/>
      <c r="L6" s="12">
        <v>50.0</v>
      </c>
      <c r="M6" s="8"/>
      <c r="N6" s="30">
        <f>today()</f>
        <v>45855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16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16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15.0</v>
      </c>
      <c r="C6" s="12">
        <v>10.0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1"/>
      <c r="F6" s="12" t="s">
        <v>17</v>
      </c>
      <c r="G6" s="12" t="s">
        <v>30</v>
      </c>
      <c r="H6" s="12">
        <v>50.0</v>
      </c>
      <c r="I6" s="12">
        <v>10.0</v>
      </c>
      <c r="J6" s="8"/>
      <c r="K6" s="8"/>
      <c r="L6" s="8"/>
      <c r="M6" s="8"/>
      <c r="N6" s="8"/>
      <c r="O6" s="8"/>
      <c r="Q6" s="9" t="s">
        <v>19</v>
      </c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  <c r="AL6" s="9" t="s">
        <v>30</v>
      </c>
      <c r="AM6" s="9">
        <v>50.0</v>
      </c>
      <c r="AN6" s="9">
        <v>10.0</v>
      </c>
      <c r="AT6" s="9" t="s">
        <v>19</v>
      </c>
      <c r="AU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200.0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16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16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15.0</v>
      </c>
      <c r="C6" s="12">
        <v>10.0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33</v>
      </c>
      <c r="E6" s="31"/>
      <c r="F6" s="12" t="s">
        <v>17</v>
      </c>
      <c r="G6" s="12" t="s">
        <v>30</v>
      </c>
      <c r="H6" s="12">
        <v>200.0</v>
      </c>
      <c r="I6" s="12">
        <v>20.0</v>
      </c>
      <c r="J6" s="8"/>
      <c r="K6" s="8"/>
      <c r="L6" s="8"/>
      <c r="M6" s="8"/>
      <c r="N6" s="8"/>
      <c r="O6" s="8"/>
      <c r="Q6" s="9" t="s">
        <v>19</v>
      </c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2" t="s">
        <v>35</v>
      </c>
      <c r="B6" s="32"/>
      <c r="C6" s="33"/>
      <c r="D6" s="34">
        <v>15.0</v>
      </c>
      <c r="E6" s="35" t="s">
        <v>36</v>
      </c>
      <c r="F6" s="33"/>
      <c r="G6" s="36"/>
      <c r="H6" s="35" t="s">
        <v>37</v>
      </c>
      <c r="I6" s="33"/>
      <c r="J6" s="35" t="s">
        <v>16</v>
      </c>
      <c r="K6" s="35" t="s">
        <v>38</v>
      </c>
      <c r="L6" s="35" t="s">
        <v>39</v>
      </c>
      <c r="M6" s="33"/>
      <c r="N6" s="33"/>
      <c r="O6" s="33"/>
      <c r="P6" s="33"/>
      <c r="Q6" s="33"/>
      <c r="R6" s="33"/>
      <c r="S6" s="33"/>
      <c r="T6" s="33"/>
      <c r="U6" s="33" t="s">
        <v>40</v>
      </c>
      <c r="V6" s="33"/>
      <c r="W6" s="33"/>
      <c r="X6" s="33"/>
      <c r="Y6" s="33"/>
      <c r="Z6" s="33"/>
      <c r="AA6" s="33" t="s">
        <v>41</v>
      </c>
      <c r="AB6" s="33"/>
      <c r="AC6" s="33" t="s">
        <v>42</v>
      </c>
      <c r="AD6" s="37">
        <v>1.0</v>
      </c>
      <c r="AE6" s="33"/>
      <c r="AF6" s="33" t="s">
        <v>43</v>
      </c>
      <c r="AG6" s="33"/>
      <c r="AH6" s="33"/>
      <c r="AI6" s="33" t="s">
        <v>16</v>
      </c>
      <c r="AJ6" s="33" t="s">
        <v>17</v>
      </c>
      <c r="AK6" s="33"/>
      <c r="AL6" s="37">
        <v>200.0</v>
      </c>
      <c r="AM6" s="37">
        <v>20.0</v>
      </c>
      <c r="AN6" s="33"/>
      <c r="AO6" s="33"/>
      <c r="AP6" s="33"/>
      <c r="AQ6" s="33" t="s">
        <v>19</v>
      </c>
      <c r="AR6" s="33" t="s">
        <v>18</v>
      </c>
      <c r="AS6" s="33" t="s">
        <v>44</v>
      </c>
      <c r="AT6" s="37">
        <v>300.0</v>
      </c>
      <c r="AU6" s="37">
        <v>300.0</v>
      </c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 t="s">
        <v>35</v>
      </c>
      <c r="BJ6" s="33" t="s">
        <v>35</v>
      </c>
      <c r="BK6" s="33" t="s">
        <v>35</v>
      </c>
      <c r="BL6" s="33" t="s">
        <v>35</v>
      </c>
      <c r="BM6" s="33" t="s">
        <v>35</v>
      </c>
      <c r="BN6" s="33" t="s">
        <v>35</v>
      </c>
      <c r="BO6" s="33" t="s">
        <v>35</v>
      </c>
      <c r="BP6" s="33" t="s">
        <v>35</v>
      </c>
      <c r="BQ6" s="33" t="s">
        <v>35</v>
      </c>
      <c r="BR6" s="33" t="s">
        <v>35</v>
      </c>
      <c r="BS6" s="33" t="s">
        <v>35</v>
      </c>
      <c r="BT6" s="33" t="s">
        <v>35</v>
      </c>
      <c r="BU6" s="33" t="s">
        <v>35</v>
      </c>
      <c r="BV6" s="33" t="s">
        <v>35</v>
      </c>
      <c r="BW6" s="33" t="s">
        <v>35</v>
      </c>
      <c r="BX6" s="33" t="s">
        <v>35</v>
      </c>
      <c r="BY6" s="33" t="s">
        <v>35</v>
      </c>
      <c r="BZ6" s="33" t="s">
        <v>35</v>
      </c>
      <c r="CA6" s="33" t="s">
        <v>35</v>
      </c>
      <c r="CB6" s="33" t="s">
        <v>35</v>
      </c>
      <c r="CC6" s="33" t="s">
        <v>35</v>
      </c>
      <c r="CD6" s="33" t="s">
        <v>35</v>
      </c>
      <c r="CE6" s="33" t="s">
        <v>35</v>
      </c>
      <c r="CF6" s="33" t="s">
        <v>35</v>
      </c>
      <c r="CG6" s="33" t="s">
        <v>35</v>
      </c>
      <c r="CH6" s="33" t="s">
        <v>35</v>
      </c>
      <c r="CI6" s="33" t="s">
        <v>35</v>
      </c>
      <c r="CJ6" s="33" t="s">
        <v>35</v>
      </c>
      <c r="CK6" s="33" t="s">
        <v>35</v>
      </c>
      <c r="CL6" s="33" t="s">
        <v>35</v>
      </c>
      <c r="CM6" s="33" t="s">
        <v>35</v>
      </c>
      <c r="CN6" s="33" t="s">
        <v>35</v>
      </c>
      <c r="CO6" s="33" t="s">
        <v>35</v>
      </c>
      <c r="CP6" s="33" t="s">
        <v>35</v>
      </c>
      <c r="CQ6" s="33" t="s">
        <v>35</v>
      </c>
      <c r="CR6" s="33" t="s">
        <v>35</v>
      </c>
      <c r="CS6" s="33" t="s">
        <v>35</v>
      </c>
      <c r="CT6" s="33" t="s">
        <v>35</v>
      </c>
      <c r="CU6" s="33" t="s">
        <v>35</v>
      </c>
      <c r="CV6" s="33" t="s">
        <v>35</v>
      </c>
      <c r="CW6" s="33" t="s">
        <v>35</v>
      </c>
      <c r="CX6" s="33" t="s">
        <v>35</v>
      </c>
      <c r="CY6" s="33" t="s">
        <v>35</v>
      </c>
      <c r="CZ6" s="33" t="s">
        <v>35</v>
      </c>
      <c r="DA6" s="33" t="s">
        <v>35</v>
      </c>
      <c r="DB6" s="33" t="s">
        <v>35</v>
      </c>
      <c r="DC6" s="33" t="s">
        <v>35</v>
      </c>
      <c r="DD6" s="33" t="s">
        <v>35</v>
      </c>
      <c r="DE6" s="33" t="s">
        <v>35</v>
      </c>
      <c r="DF6" s="33" t="s">
        <v>35</v>
      </c>
      <c r="DG6" s="33" t="s">
        <v>35</v>
      </c>
      <c r="DH6" s="33" t="s">
        <v>35</v>
      </c>
      <c r="DI6" s="33" t="s">
        <v>35</v>
      </c>
      <c r="DJ6" s="33" t="s">
        <v>35</v>
      </c>
      <c r="DK6" s="33" t="s">
        <v>35</v>
      </c>
      <c r="DL6" s="33" t="s">
        <v>35</v>
      </c>
      <c r="DM6" s="33" t="s">
        <v>35</v>
      </c>
      <c r="DN6" s="33" t="s">
        <v>35</v>
      </c>
      <c r="DO6" s="33" t="s">
        <v>35</v>
      </c>
      <c r="DP6" s="33" t="s">
        <v>35</v>
      </c>
      <c r="DQ6" s="33" t="s">
        <v>35</v>
      </c>
      <c r="DR6" s="33" t="s">
        <v>35</v>
      </c>
      <c r="DS6" s="33" t="s">
        <v>35</v>
      </c>
      <c r="DT6" s="33" t="s">
        <v>35</v>
      </c>
      <c r="DU6" s="33" t="s">
        <v>35</v>
      </c>
      <c r="DV6" s="33" t="s">
        <v>35</v>
      </c>
      <c r="DW6" s="33" t="s">
        <v>35</v>
      </c>
      <c r="DX6" s="33" t="s">
        <v>35</v>
      </c>
      <c r="DY6" s="33" t="s">
        <v>35</v>
      </c>
      <c r="DZ6" s="33" t="s">
        <v>35</v>
      </c>
      <c r="EA6" s="33" t="s">
        <v>35</v>
      </c>
      <c r="EB6" s="33" t="s">
        <v>35</v>
      </c>
      <c r="EC6" s="33" t="s">
        <v>35</v>
      </c>
      <c r="ED6" s="33" t="s">
        <v>35</v>
      </c>
      <c r="EE6" s="33" t="s">
        <v>35</v>
      </c>
      <c r="EF6" s="33" t="s">
        <v>35</v>
      </c>
      <c r="EG6" s="33" t="s">
        <v>35</v>
      </c>
      <c r="EH6" s="33" t="s">
        <v>35</v>
      </c>
      <c r="EI6" s="33" t="s">
        <v>35</v>
      </c>
      <c r="EJ6" s="33" t="s">
        <v>35</v>
      </c>
      <c r="EK6" s="33" t="s">
        <v>35</v>
      </c>
      <c r="EL6" s="33" t="s">
        <v>35</v>
      </c>
      <c r="EM6" s="33" t="s">
        <v>35</v>
      </c>
      <c r="EN6" s="33" t="s">
        <v>35</v>
      </c>
      <c r="EO6" s="33" t="s">
        <v>35</v>
      </c>
      <c r="EP6" s="33" t="s">
        <v>35</v>
      </c>
      <c r="EQ6" s="33" t="s">
        <v>35</v>
      </c>
      <c r="ER6" s="33" t="s">
        <v>35</v>
      </c>
      <c r="ES6" s="33" t="s">
        <v>35</v>
      </c>
      <c r="ET6" s="33" t="s">
        <v>35</v>
      </c>
      <c r="EU6" s="33" t="s">
        <v>35</v>
      </c>
      <c r="EV6" s="33" t="s">
        <v>35</v>
      </c>
      <c r="EW6" s="33" t="s">
        <v>35</v>
      </c>
      <c r="EX6" s="33" t="s">
        <v>35</v>
      </c>
      <c r="EY6" s="33" t="s">
        <v>35</v>
      </c>
      <c r="EZ6" s="33" t="s">
        <v>35</v>
      </c>
      <c r="FA6" s="33" t="s">
        <v>35</v>
      </c>
      <c r="FB6" s="33" t="s">
        <v>35</v>
      </c>
      <c r="FC6" s="33" t="s">
        <v>35</v>
      </c>
      <c r="FD6" s="33" t="s">
        <v>35</v>
      </c>
      <c r="FE6" s="33" t="s">
        <v>35</v>
      </c>
      <c r="FF6" s="33" t="s">
        <v>35</v>
      </c>
      <c r="FG6" s="33" t="s">
        <v>35</v>
      </c>
      <c r="FH6" s="33" t="s">
        <v>35</v>
      </c>
      <c r="FI6" s="33" t="s">
        <v>35</v>
      </c>
      <c r="FJ6" s="33" t="s">
        <v>35</v>
      </c>
      <c r="FK6" s="33" t="s">
        <v>35</v>
      </c>
      <c r="FL6" s="33" t="s">
        <v>35</v>
      </c>
      <c r="FM6" s="33" t="s">
        <v>35</v>
      </c>
      <c r="FN6" s="33" t="s">
        <v>35</v>
      </c>
      <c r="FO6" s="33" t="s">
        <v>35</v>
      </c>
      <c r="FP6" s="33" t="s">
        <v>35</v>
      </c>
      <c r="FQ6" s="33" t="s">
        <v>35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2" t="s">
        <v>35</v>
      </c>
      <c r="B6" s="39" t="s">
        <v>18</v>
      </c>
      <c r="C6" s="35" t="s">
        <v>47</v>
      </c>
      <c r="D6" s="34">
        <v>0.0</v>
      </c>
      <c r="E6" s="36">
        <v>20.0</v>
      </c>
      <c r="F6" s="35" t="s">
        <v>48</v>
      </c>
      <c r="G6" s="35" t="s">
        <v>49</v>
      </c>
      <c r="H6" s="36">
        <v>4.0</v>
      </c>
      <c r="I6" s="36">
        <v>5.0</v>
      </c>
      <c r="J6" s="36">
        <v>1.0</v>
      </c>
      <c r="K6" s="36">
        <v>15.0</v>
      </c>
      <c r="L6" s="36">
        <v>15.0</v>
      </c>
      <c r="M6" s="35" t="s">
        <v>36</v>
      </c>
      <c r="N6" s="35" t="s">
        <v>50</v>
      </c>
      <c r="O6" s="35" t="s">
        <v>19</v>
      </c>
      <c r="P6" s="33"/>
      <c r="Q6" s="37">
        <v>3.0</v>
      </c>
      <c r="R6" s="37">
        <v>0.0</v>
      </c>
      <c r="S6" s="33" t="s">
        <v>51</v>
      </c>
      <c r="T6" s="37">
        <v>0.0</v>
      </c>
      <c r="U6" s="37">
        <v>0.0</v>
      </c>
      <c r="V6" s="33" t="s">
        <v>52</v>
      </c>
      <c r="W6" s="37">
        <v>1.0</v>
      </c>
      <c r="X6" s="37">
        <v>0.0</v>
      </c>
      <c r="Y6" s="33" t="s">
        <v>35</v>
      </c>
      <c r="Z6" s="33" t="s">
        <v>40</v>
      </c>
      <c r="AA6" s="37">
        <v>5.94918104E8</v>
      </c>
      <c r="AB6" s="37">
        <v>1.0</v>
      </c>
      <c r="AC6" s="33"/>
      <c r="AD6" s="33" t="s">
        <v>37</v>
      </c>
      <c r="AE6" s="37">
        <v>20.0</v>
      </c>
      <c r="AF6" s="33" t="s">
        <v>35</v>
      </c>
      <c r="AG6" s="33"/>
      <c r="AH6" s="33" t="s">
        <v>43</v>
      </c>
      <c r="AI6" s="37">
        <v>1.0</v>
      </c>
      <c r="AJ6" s="33" t="s">
        <v>53</v>
      </c>
      <c r="AK6" s="33"/>
      <c r="AL6" s="33"/>
      <c r="AM6" s="33" t="s">
        <v>42</v>
      </c>
      <c r="AN6" s="40" t="b">
        <v>0</v>
      </c>
      <c r="AO6" s="33"/>
      <c r="AP6" s="40" t="b">
        <v>0</v>
      </c>
      <c r="AQ6" s="40" t="b">
        <v>0</v>
      </c>
      <c r="AR6" s="40" t="b">
        <v>1</v>
      </c>
      <c r="AS6" s="37">
        <v>0.0</v>
      </c>
      <c r="AT6" s="37">
        <v>314.0002</v>
      </c>
      <c r="AU6" s="37">
        <v>314.0002</v>
      </c>
      <c r="AV6" s="33"/>
      <c r="AW6" s="37">
        <v>0.0</v>
      </c>
      <c r="AX6" s="37">
        <v>0.0</v>
      </c>
      <c r="AY6" s="33" t="s">
        <v>44</v>
      </c>
      <c r="AZ6" s="37">
        <v>0.0</v>
      </c>
      <c r="BA6" s="33"/>
      <c r="BB6" s="33"/>
      <c r="BC6" s="37">
        <v>0.0</v>
      </c>
      <c r="BD6" s="33" t="s">
        <v>54</v>
      </c>
      <c r="BE6" s="37">
        <v>300.0</v>
      </c>
      <c r="BF6" s="37">
        <v>300.0</v>
      </c>
      <c r="BG6" s="33"/>
      <c r="BH6" s="33"/>
      <c r="BI6" s="33"/>
      <c r="BJ6" s="37">
        <v>200.0</v>
      </c>
      <c r="BK6" s="37">
        <v>0.0</v>
      </c>
      <c r="BL6" s="33" t="s">
        <v>35</v>
      </c>
      <c r="BM6" s="33" t="s">
        <v>40</v>
      </c>
      <c r="BN6" s="33"/>
      <c r="BO6" s="33" t="s">
        <v>17</v>
      </c>
      <c r="BP6" s="37">
        <v>0.0</v>
      </c>
      <c r="BQ6" s="37">
        <v>0.0</v>
      </c>
      <c r="BR6" s="37">
        <v>2.0E-4</v>
      </c>
      <c r="BS6" s="33" t="s">
        <v>55</v>
      </c>
      <c r="BT6" s="33" t="s">
        <v>16</v>
      </c>
      <c r="BU6" s="37">
        <v>3.0</v>
      </c>
      <c r="BV6" s="37">
        <v>0.0</v>
      </c>
      <c r="BW6" s="37">
        <v>14.0002</v>
      </c>
      <c r="BX6" s="37">
        <v>0.0</v>
      </c>
      <c r="BY6" s="33"/>
      <c r="BZ6" s="33"/>
      <c r="CA6" s="33"/>
      <c r="CB6" s="33"/>
      <c r="CC6" s="33"/>
      <c r="CD6" s="33"/>
      <c r="CE6" s="33"/>
      <c r="CF6" s="33" t="s">
        <v>39</v>
      </c>
      <c r="CG6" s="37">
        <v>2.0</v>
      </c>
      <c r="CH6" s="41" t="s">
        <v>12</v>
      </c>
      <c r="CI6" s="33" t="s">
        <v>17</v>
      </c>
      <c r="CJ6" s="37">
        <v>0.0</v>
      </c>
      <c r="CK6" s="33" t="s">
        <v>38</v>
      </c>
      <c r="CL6" s="37">
        <v>1.0</v>
      </c>
      <c r="CM6" s="33" t="s">
        <v>16</v>
      </c>
      <c r="CN6" s="33" t="s">
        <v>56</v>
      </c>
      <c r="CO6" s="33" t="s">
        <v>37</v>
      </c>
      <c r="CP6" s="33" t="s">
        <v>57</v>
      </c>
      <c r="CQ6" s="33"/>
      <c r="CR6" s="33"/>
      <c r="CS6" s="33" t="s">
        <v>35</v>
      </c>
      <c r="CT6" s="33"/>
      <c r="CU6" s="33"/>
      <c r="CV6" s="33"/>
      <c r="CW6" s="37">
        <v>0.0</v>
      </c>
      <c r="CX6" s="33" t="s">
        <v>41</v>
      </c>
      <c r="CY6" s="33" t="s">
        <v>35</v>
      </c>
      <c r="CZ6" s="33" t="s">
        <v>35</v>
      </c>
      <c r="DA6" s="33" t="s">
        <v>35</v>
      </c>
      <c r="DB6" s="33" t="s">
        <v>35</v>
      </c>
      <c r="DC6" s="33" t="s">
        <v>35</v>
      </c>
      <c r="DD6" s="33" t="s">
        <v>35</v>
      </c>
      <c r="DE6" s="33" t="s">
        <v>35</v>
      </c>
      <c r="DF6" s="33" t="s">
        <v>35</v>
      </c>
      <c r="DG6" s="33" t="s">
        <v>35</v>
      </c>
      <c r="DH6" s="33" t="s">
        <v>35</v>
      </c>
      <c r="DI6" s="33" t="s">
        <v>35</v>
      </c>
      <c r="DJ6" s="33" t="s">
        <v>35</v>
      </c>
      <c r="DK6" s="33" t="s">
        <v>35</v>
      </c>
      <c r="DL6" s="33" t="s">
        <v>35</v>
      </c>
      <c r="DM6" s="33" t="s">
        <v>35</v>
      </c>
      <c r="DN6" s="33" t="s">
        <v>35</v>
      </c>
      <c r="DO6" s="33" t="s">
        <v>35</v>
      </c>
      <c r="DP6" s="33" t="s">
        <v>35</v>
      </c>
      <c r="DQ6" s="33" t="s">
        <v>35</v>
      </c>
      <c r="DR6" s="33" t="s">
        <v>35</v>
      </c>
      <c r="DS6" s="33" t="s">
        <v>35</v>
      </c>
      <c r="DT6" s="33" t="s">
        <v>35</v>
      </c>
      <c r="DU6" s="33" t="s">
        <v>35</v>
      </c>
      <c r="DV6" s="33" t="s">
        <v>35</v>
      </c>
      <c r="DW6" s="33" t="s">
        <v>35</v>
      </c>
      <c r="DX6" s="33" t="s">
        <v>35</v>
      </c>
      <c r="DY6" s="33" t="s">
        <v>35</v>
      </c>
      <c r="DZ6" s="33" t="s">
        <v>35</v>
      </c>
      <c r="EA6" s="33" t="s">
        <v>35</v>
      </c>
      <c r="EB6" s="33" t="s">
        <v>35</v>
      </c>
      <c r="EC6" s="33" t="s">
        <v>35</v>
      </c>
      <c r="ED6" s="33" t="s">
        <v>35</v>
      </c>
      <c r="EE6" s="33" t="s">
        <v>35</v>
      </c>
      <c r="EF6" s="33" t="s">
        <v>35</v>
      </c>
      <c r="EG6" s="33" t="s">
        <v>35</v>
      </c>
      <c r="EH6" s="33" t="s">
        <v>35</v>
      </c>
      <c r="EI6" s="33" t="s">
        <v>35</v>
      </c>
      <c r="EJ6" s="33" t="s">
        <v>35</v>
      </c>
      <c r="EK6" s="33" t="s">
        <v>35</v>
      </c>
      <c r="EL6" s="33" t="s">
        <v>35</v>
      </c>
      <c r="EM6" s="33" t="s">
        <v>35</v>
      </c>
      <c r="EN6" s="33" t="s">
        <v>35</v>
      </c>
      <c r="EO6" s="33" t="s">
        <v>35</v>
      </c>
      <c r="EP6" s="33" t="s">
        <v>35</v>
      </c>
      <c r="EQ6" s="33" t="s">
        <v>35</v>
      </c>
      <c r="ER6" s="33" t="s">
        <v>35</v>
      </c>
      <c r="ES6" s="33" t="s">
        <v>35</v>
      </c>
      <c r="ET6" s="33" t="s">
        <v>35</v>
      </c>
      <c r="EU6" s="33" t="s">
        <v>35</v>
      </c>
      <c r="EV6" s="33" t="s">
        <v>35</v>
      </c>
      <c r="EW6" s="33" t="s">
        <v>35</v>
      </c>
      <c r="EX6" s="33" t="s">
        <v>35</v>
      </c>
      <c r="EY6" s="33" t="s">
        <v>35</v>
      </c>
      <c r="EZ6" s="33" t="s">
        <v>35</v>
      </c>
      <c r="FA6" s="33" t="s">
        <v>35</v>
      </c>
      <c r="FB6" s="33" t="s">
        <v>35</v>
      </c>
      <c r="FC6" s="33" t="s">
        <v>35</v>
      </c>
      <c r="FD6" s="33" t="s">
        <v>35</v>
      </c>
      <c r="FE6" s="33" t="s">
        <v>35</v>
      </c>
      <c r="FF6" s="33" t="s">
        <v>35</v>
      </c>
      <c r="FG6" s="33" t="s">
        <v>35</v>
      </c>
      <c r="FH6" s="33" t="s">
        <v>35</v>
      </c>
      <c r="FI6" s="33" t="s">
        <v>35</v>
      </c>
      <c r="FJ6" s="33" t="s">
        <v>35</v>
      </c>
      <c r="FK6" s="33" t="s">
        <v>35</v>
      </c>
      <c r="FL6" s="33" t="s">
        <v>35</v>
      </c>
      <c r="FM6" s="33" t="s">
        <v>35</v>
      </c>
      <c r="FN6" s="33" t="s">
        <v>35</v>
      </c>
      <c r="FO6" s="33" t="s">
        <v>35</v>
      </c>
      <c r="FP6" s="33" t="s">
        <v>35</v>
      </c>
      <c r="FQ6" s="33" t="s">
        <v>35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IFERROR(__xludf.DUMMYFUNCTION("""COMPUTED_VALUE"""),"OpenCustomView")</f>
        <v>OpenCustomView</v>
      </c>
      <c r="AH4" s="25" t="str">
        <f>IFERROR(__xludf.DUMMYFUNCTION("""COMPUTED_VALUE"""),"CheckCustomViewRowSummary")</f>
        <v>CheckCustomViewRowSummary</v>
      </c>
      <c r="AI4" s="25" t="str">
        <f>IFERROR(__xludf.DUMMYFUNCTION("""COMPUTED_VALUE"""),"OpenTaxlotDetails")</f>
        <v>OpenTaxlotDetails</v>
      </c>
      <c r="AJ4" s="25" t="str">
        <f>IFERROR(__xludf.DUMMYFUNCTION("""COMPUTED_VALUE"""),"CheckTaxlotDetails")</f>
        <v>CheckTaxlotDetails</v>
      </c>
      <c r="AK4" s="25" t="str">
        <f>IFERROR(__xludf.DUMMYFUNCTION("""COMPUTED_VALUE"""),"SelectTradeOnPM")</f>
        <v>SelectTradeOnPM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2" t="s">
        <v>35</v>
      </c>
      <c r="B6" s="32"/>
      <c r="C6" s="35" t="s">
        <v>16</v>
      </c>
      <c r="D6" s="34">
        <v>20.0</v>
      </c>
      <c r="E6" s="35" t="s">
        <v>18</v>
      </c>
      <c r="F6" s="35" t="s">
        <v>41</v>
      </c>
      <c r="G6" s="36">
        <v>15.0</v>
      </c>
      <c r="H6" s="35" t="s">
        <v>60</v>
      </c>
      <c r="I6" s="33"/>
      <c r="J6" s="33"/>
      <c r="K6" s="33"/>
      <c r="L6" s="33"/>
      <c r="M6" s="33"/>
      <c r="N6" s="36">
        <v>-300.0</v>
      </c>
      <c r="O6" s="35" t="s">
        <v>52</v>
      </c>
      <c r="P6" s="33"/>
      <c r="Q6" s="37">
        <v>-300.0</v>
      </c>
      <c r="R6" s="33" t="s">
        <v>61</v>
      </c>
      <c r="S6" s="33" t="s">
        <v>55</v>
      </c>
      <c r="T6" s="33" t="s">
        <v>49</v>
      </c>
      <c r="U6" s="33" t="s">
        <v>38</v>
      </c>
      <c r="V6" s="33" t="s">
        <v>37</v>
      </c>
      <c r="W6" s="33" t="s">
        <v>40</v>
      </c>
      <c r="X6" s="37">
        <v>1.0</v>
      </c>
      <c r="Y6" s="37">
        <v>1.0</v>
      </c>
      <c r="Z6" s="33"/>
      <c r="AA6" s="33"/>
      <c r="AB6" s="33"/>
      <c r="AC6" s="33"/>
      <c r="AD6" s="33"/>
      <c r="AE6" s="33"/>
      <c r="AF6" s="37">
        <v>20.0</v>
      </c>
      <c r="AG6" s="33"/>
      <c r="AH6" s="33"/>
      <c r="AI6" s="33"/>
      <c r="AJ6" s="33"/>
      <c r="AK6" s="37">
        <v>-300.0</v>
      </c>
      <c r="AL6" s="37">
        <v>1.0</v>
      </c>
      <c r="AM6" s="37">
        <v>1.0</v>
      </c>
      <c r="AN6" s="33" t="s">
        <v>17</v>
      </c>
      <c r="AO6" s="33"/>
      <c r="AP6" s="33" t="s">
        <v>60</v>
      </c>
      <c r="AQ6" s="33" t="s">
        <v>16</v>
      </c>
      <c r="AR6" s="37">
        <v>0.0</v>
      </c>
      <c r="AS6" s="37">
        <v>1.0</v>
      </c>
      <c r="AT6" s="33"/>
      <c r="AU6" s="33" t="s">
        <v>42</v>
      </c>
      <c r="AV6" s="37">
        <v>1.0</v>
      </c>
      <c r="AW6" s="37">
        <v>-300.0</v>
      </c>
      <c r="AX6" s="33"/>
      <c r="AY6" s="33"/>
      <c r="AZ6" s="33"/>
      <c r="BA6" s="33"/>
      <c r="BB6" s="33"/>
      <c r="BC6" s="37">
        <v>1.0</v>
      </c>
      <c r="BD6" s="37">
        <v>-300.0</v>
      </c>
      <c r="BE6" s="33" t="s">
        <v>49</v>
      </c>
      <c r="BF6" s="33" t="s">
        <v>62</v>
      </c>
      <c r="BG6" s="42" t="s">
        <v>63</v>
      </c>
      <c r="BH6" s="33"/>
      <c r="BI6" s="33"/>
      <c r="BJ6" s="33"/>
      <c r="BK6" s="33"/>
      <c r="BL6" s="33"/>
      <c r="BM6" s="33"/>
      <c r="BN6" s="33"/>
      <c r="BO6" s="37">
        <v>-300.0</v>
      </c>
      <c r="BP6" s="37">
        <v>0.0</v>
      </c>
      <c r="BQ6" s="33" t="s">
        <v>56</v>
      </c>
      <c r="BR6" s="33" t="s">
        <v>19</v>
      </c>
      <c r="BS6" s="33"/>
      <c r="BT6" s="33"/>
      <c r="BU6" s="33" t="s">
        <v>49</v>
      </c>
      <c r="BV6" s="33"/>
      <c r="BW6" s="33"/>
      <c r="BX6" s="33"/>
      <c r="BY6" s="33"/>
      <c r="BZ6" s="33"/>
      <c r="CA6" s="33"/>
      <c r="CB6" s="33"/>
      <c r="CC6" s="33"/>
      <c r="CD6" s="37">
        <v>-300.0</v>
      </c>
      <c r="CE6" s="33"/>
      <c r="CF6" s="33"/>
      <c r="CG6" s="37">
        <v>-300.0</v>
      </c>
      <c r="CH6" s="37">
        <v>-100.0</v>
      </c>
      <c r="CI6" s="33"/>
      <c r="CJ6" s="33"/>
      <c r="CK6" s="40" t="b">
        <v>0</v>
      </c>
      <c r="CL6" s="33"/>
      <c r="CM6" s="33"/>
      <c r="CN6" s="37">
        <v>2588173.0</v>
      </c>
      <c r="CO6" s="37">
        <v>5.94918104E8</v>
      </c>
      <c r="CP6" s="42" t="s">
        <v>36</v>
      </c>
      <c r="CQ6" s="33"/>
      <c r="CR6" s="33"/>
      <c r="CS6" s="37">
        <v>15.0</v>
      </c>
      <c r="CT6" s="33"/>
      <c r="CU6" s="33"/>
      <c r="CV6" s="33"/>
      <c r="CW6" s="33"/>
      <c r="CX6" s="33"/>
      <c r="CY6" s="33" t="s">
        <v>53</v>
      </c>
      <c r="CZ6" s="33" t="s">
        <v>64</v>
      </c>
      <c r="DA6" s="33"/>
      <c r="DB6" s="33"/>
      <c r="DC6" s="33"/>
      <c r="DD6" s="37">
        <v>20.0</v>
      </c>
      <c r="DE6" s="33"/>
      <c r="DF6" s="33"/>
      <c r="DG6" s="33"/>
      <c r="DH6" s="33"/>
      <c r="DI6" s="33"/>
      <c r="DJ6" s="33" t="s">
        <v>17</v>
      </c>
      <c r="DK6" s="33"/>
      <c r="DL6" s="33"/>
      <c r="DM6" s="37">
        <v>1.0</v>
      </c>
      <c r="DN6" s="37">
        <v>0.0</v>
      </c>
      <c r="DO6" s="33"/>
      <c r="DP6" s="33" t="s">
        <v>60</v>
      </c>
      <c r="DQ6" s="33" t="s">
        <v>65</v>
      </c>
      <c r="DR6" s="42" t="s">
        <v>66</v>
      </c>
      <c r="DS6" s="33"/>
      <c r="DT6" s="33"/>
      <c r="DU6" s="33"/>
      <c r="DV6" s="33"/>
      <c r="DW6" s="33"/>
      <c r="DX6" s="33"/>
      <c r="DY6" s="33"/>
      <c r="DZ6" s="33" t="s">
        <v>52</v>
      </c>
      <c r="EA6" s="33" t="s">
        <v>67</v>
      </c>
      <c r="EB6" s="33"/>
      <c r="EC6" s="33"/>
      <c r="ED6" s="33" t="s">
        <v>40</v>
      </c>
      <c r="EE6" s="33" t="s">
        <v>67</v>
      </c>
      <c r="EF6" s="33"/>
      <c r="EG6" s="33"/>
      <c r="EH6" s="33"/>
      <c r="EI6" s="33"/>
      <c r="EJ6" s="33"/>
      <c r="EK6" s="33" t="s">
        <v>35</v>
      </c>
      <c r="EL6" s="33" t="s">
        <v>35</v>
      </c>
      <c r="EM6" s="33" t="s">
        <v>35</v>
      </c>
      <c r="EN6" s="33" t="s">
        <v>35</v>
      </c>
      <c r="EO6" s="33" t="s">
        <v>35</v>
      </c>
      <c r="EP6" s="33" t="s">
        <v>35</v>
      </c>
      <c r="EQ6" s="33" t="s">
        <v>35</v>
      </c>
      <c r="ER6" s="33" t="s">
        <v>35</v>
      </c>
      <c r="ES6" s="33" t="s">
        <v>35</v>
      </c>
      <c r="ET6" s="33" t="s">
        <v>35</v>
      </c>
      <c r="EU6" s="33" t="s">
        <v>35</v>
      </c>
      <c r="EV6" s="33" t="s">
        <v>35</v>
      </c>
      <c r="EW6" s="33" t="s">
        <v>35</v>
      </c>
      <c r="EX6" s="33" t="s">
        <v>35</v>
      </c>
      <c r="EY6" s="33" t="s">
        <v>35</v>
      </c>
      <c r="EZ6" s="33" t="s">
        <v>35</v>
      </c>
      <c r="FA6" s="33" t="s">
        <v>35</v>
      </c>
      <c r="FB6" s="33" t="s">
        <v>35</v>
      </c>
      <c r="FC6" s="33" t="s">
        <v>68</v>
      </c>
      <c r="FD6" s="33"/>
      <c r="FE6" s="33"/>
      <c r="FF6" s="33"/>
      <c r="FG6" s="33"/>
      <c r="FH6" s="37">
        <v>20.0</v>
      </c>
      <c r="FI6" s="33" t="s">
        <v>35</v>
      </c>
      <c r="FJ6" s="33"/>
      <c r="FK6" s="33" t="s">
        <v>35</v>
      </c>
      <c r="FL6" s="33" t="s">
        <v>35</v>
      </c>
      <c r="FM6" s="37">
        <v>0.0</v>
      </c>
      <c r="FN6" s="37">
        <v>0.0</v>
      </c>
      <c r="FO6" s="37">
        <v>0.0</v>
      </c>
      <c r="FP6" s="37">
        <v>0.0</v>
      </c>
      <c r="FQ6" s="37">
        <v>0.0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69</v>
      </c>
      <c r="C6" s="12" t="s">
        <v>17</v>
      </c>
      <c r="D6" s="12">
        <v>50.0</v>
      </c>
      <c r="E6" s="12">
        <v>50.0</v>
      </c>
      <c r="F6" s="12" t="s">
        <v>18</v>
      </c>
      <c r="G6" s="12" t="s">
        <v>19</v>
      </c>
      <c r="H6" s="12" t="s">
        <v>23</v>
      </c>
      <c r="I6" s="8"/>
      <c r="J6" s="12">
        <v>15.0</v>
      </c>
      <c r="K6" s="8"/>
      <c r="L6" s="12">
        <v>50.0</v>
      </c>
      <c r="N6" s="30">
        <f>today()</f>
        <v>45855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69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69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15.0</v>
      </c>
      <c r="C6" s="12">
        <v>10.0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69</v>
      </c>
      <c r="E6" s="31"/>
      <c r="F6" s="12" t="s">
        <v>17</v>
      </c>
      <c r="G6" s="12" t="s">
        <v>30</v>
      </c>
      <c r="H6" s="12">
        <v>50.0</v>
      </c>
      <c r="I6" s="8"/>
      <c r="J6" s="8"/>
      <c r="K6" s="8"/>
      <c r="L6" s="8"/>
      <c r="M6" s="8"/>
      <c r="N6" s="8"/>
      <c r="O6" s="8"/>
      <c r="Q6" s="9" t="s">
        <v>19</v>
      </c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69</v>
      </c>
      <c r="AJ6" s="9" t="s">
        <v>17</v>
      </c>
      <c r="AK6" s="9" t="s">
        <v>30</v>
      </c>
      <c r="AL6" s="9">
        <v>50.0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69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69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69</v>
      </c>
      <c r="AJ6" s="9" t="s">
        <v>17</v>
      </c>
      <c r="AK6" s="9" t="s">
        <v>30</v>
      </c>
      <c r="AL6" s="9">
        <v>50.0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69</v>
      </c>
      <c r="C6" s="12" t="s">
        <v>17</v>
      </c>
      <c r="D6" s="12"/>
      <c r="E6" s="12"/>
      <c r="F6" s="8"/>
      <c r="G6" s="12" t="s">
        <v>19</v>
      </c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69</v>
      </c>
      <c r="D6" s="12"/>
      <c r="E6" s="12"/>
      <c r="F6" s="8"/>
      <c r="G6" s="12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SelectTrade4!$4:$4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69</v>
      </c>
      <c r="D6" s="12"/>
      <c r="E6" s="12"/>
      <c r="F6" s="8"/>
      <c r="G6" s="12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15.0</v>
      </c>
      <c r="C6" s="12">
        <v>40.0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 t="str">
        <f>IFERROR(__xludf.DUMMYFUNCTION("""COMPUTED_VALUE"""),"ClearOldCA")</f>
        <v>ClearOldCA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69</v>
      </c>
      <c r="C6" s="12" t="s">
        <v>17</v>
      </c>
      <c r="D6" s="12"/>
      <c r="E6" s="12"/>
      <c r="F6" s="8"/>
      <c r="G6" s="12" t="s">
        <v>19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69</v>
      </c>
      <c r="E6" s="31"/>
      <c r="F6" s="12" t="s">
        <v>17</v>
      </c>
      <c r="G6" s="12" t="s">
        <v>30</v>
      </c>
      <c r="H6" s="12">
        <v>50.0</v>
      </c>
      <c r="I6" s="12"/>
      <c r="J6" s="8"/>
      <c r="K6" s="8"/>
      <c r="L6" s="8"/>
      <c r="M6" s="8"/>
      <c r="N6" s="8"/>
      <c r="O6" s="8"/>
      <c r="Q6" s="9" t="s">
        <v>19</v>
      </c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2" t="s">
        <v>35</v>
      </c>
      <c r="B6" s="32"/>
      <c r="C6" s="33" t="s">
        <v>35</v>
      </c>
      <c r="D6" s="34">
        <v>15.0</v>
      </c>
      <c r="E6" s="33" t="s">
        <v>35</v>
      </c>
      <c r="F6" s="33" t="s">
        <v>35</v>
      </c>
      <c r="G6" s="33"/>
      <c r="H6" s="33" t="s">
        <v>35</v>
      </c>
      <c r="I6" s="33" t="s">
        <v>35</v>
      </c>
      <c r="J6" s="35" t="s">
        <v>69</v>
      </c>
      <c r="K6" s="33" t="s">
        <v>35</v>
      </c>
      <c r="L6" s="33" t="s">
        <v>35</v>
      </c>
      <c r="M6" s="33"/>
      <c r="N6" s="33"/>
      <c r="O6" s="33"/>
      <c r="P6" s="33"/>
      <c r="Q6" s="33" t="s">
        <v>35</v>
      </c>
      <c r="R6" s="33" t="s">
        <v>35</v>
      </c>
      <c r="S6" s="33"/>
      <c r="T6" s="33" t="s">
        <v>35</v>
      </c>
      <c r="U6" s="33" t="s">
        <v>40</v>
      </c>
      <c r="V6" s="33"/>
      <c r="W6" s="33" t="s">
        <v>35</v>
      </c>
      <c r="X6" s="33" t="s">
        <v>35</v>
      </c>
      <c r="Y6" s="33" t="s">
        <v>35</v>
      </c>
      <c r="Z6" s="33" t="s">
        <v>35</v>
      </c>
      <c r="AA6" s="33" t="s">
        <v>35</v>
      </c>
      <c r="AB6" s="33" t="s">
        <v>35</v>
      </c>
      <c r="AC6" s="33" t="s">
        <v>42</v>
      </c>
      <c r="AD6" s="33" t="s">
        <v>35</v>
      </c>
      <c r="AE6" s="33" t="s">
        <v>35</v>
      </c>
      <c r="AF6" s="33" t="s">
        <v>35</v>
      </c>
      <c r="AG6" s="37">
        <v>15.0</v>
      </c>
      <c r="AH6" s="33" t="s">
        <v>35</v>
      </c>
      <c r="AI6" s="33" t="s">
        <v>69</v>
      </c>
      <c r="AJ6" s="33" t="s">
        <v>17</v>
      </c>
      <c r="AK6" s="33" t="s">
        <v>74</v>
      </c>
      <c r="AL6" s="37">
        <v>50.0</v>
      </c>
      <c r="AM6" s="33"/>
      <c r="AN6" s="33"/>
      <c r="AO6" s="33"/>
      <c r="AP6" s="33"/>
      <c r="AQ6" s="33" t="s">
        <v>19</v>
      </c>
      <c r="AR6" s="33" t="s">
        <v>18</v>
      </c>
      <c r="AS6" s="33" t="s">
        <v>44</v>
      </c>
      <c r="AT6" s="37">
        <v>150.0</v>
      </c>
      <c r="AU6" s="37">
        <v>150.0</v>
      </c>
      <c r="AV6" s="33" t="s">
        <v>48</v>
      </c>
      <c r="AW6" s="33" t="s">
        <v>35</v>
      </c>
      <c r="AX6" s="33" t="s">
        <v>35</v>
      </c>
      <c r="AY6" s="33" t="s">
        <v>35</v>
      </c>
      <c r="AZ6" s="33" t="s">
        <v>56</v>
      </c>
      <c r="BA6" s="37">
        <v>100.0</v>
      </c>
      <c r="BB6" s="33" t="s">
        <v>35</v>
      </c>
      <c r="BC6" s="33" t="s">
        <v>35</v>
      </c>
      <c r="BD6" s="33" t="s">
        <v>35</v>
      </c>
      <c r="BE6" s="33" t="s">
        <v>35</v>
      </c>
      <c r="BF6" s="33" t="s">
        <v>35</v>
      </c>
      <c r="BG6" s="33" t="s">
        <v>35</v>
      </c>
      <c r="BH6" s="33" t="s">
        <v>35</v>
      </c>
      <c r="BI6" s="33" t="s">
        <v>35</v>
      </c>
      <c r="BJ6" s="33" t="s">
        <v>35</v>
      </c>
      <c r="BK6" s="33" t="s">
        <v>35</v>
      </c>
      <c r="BL6" s="33" t="s">
        <v>35</v>
      </c>
      <c r="BM6" s="33" t="s">
        <v>35</v>
      </c>
      <c r="BN6" s="33" t="s">
        <v>35</v>
      </c>
      <c r="BO6" s="33" t="s">
        <v>35</v>
      </c>
      <c r="BP6" s="33" t="s">
        <v>35</v>
      </c>
      <c r="BQ6" s="33" t="s">
        <v>35</v>
      </c>
      <c r="BR6" s="33" t="s">
        <v>35</v>
      </c>
      <c r="BS6" s="33" t="s">
        <v>35</v>
      </c>
      <c r="BT6" s="33" t="s">
        <v>35</v>
      </c>
      <c r="BU6" s="33" t="s">
        <v>35</v>
      </c>
      <c r="BV6" s="33" t="s">
        <v>35</v>
      </c>
      <c r="BW6" s="33" t="s">
        <v>35</v>
      </c>
      <c r="BX6" s="33" t="s">
        <v>35</v>
      </c>
      <c r="BY6" s="33" t="s">
        <v>35</v>
      </c>
      <c r="BZ6" s="33" t="s">
        <v>35</v>
      </c>
      <c r="CA6" s="33" t="s">
        <v>35</v>
      </c>
      <c r="CB6" s="33" t="s">
        <v>35</v>
      </c>
      <c r="CC6" s="33" t="s">
        <v>35</v>
      </c>
      <c r="CD6" s="33" t="s">
        <v>35</v>
      </c>
      <c r="CE6" s="33" t="s">
        <v>35</v>
      </c>
      <c r="CF6" s="33" t="s">
        <v>35</v>
      </c>
      <c r="CG6" s="33" t="s">
        <v>35</v>
      </c>
      <c r="CH6" s="33" t="s">
        <v>35</v>
      </c>
      <c r="CI6" s="33" t="s">
        <v>35</v>
      </c>
      <c r="CJ6" s="33" t="s">
        <v>35</v>
      </c>
      <c r="CK6" s="33" t="s">
        <v>35</v>
      </c>
      <c r="CL6" s="33" t="s">
        <v>35</v>
      </c>
      <c r="CM6" s="33" t="s">
        <v>35</v>
      </c>
      <c r="CN6" s="33" t="s">
        <v>35</v>
      </c>
      <c r="CO6" s="33" t="s">
        <v>35</v>
      </c>
      <c r="CP6" s="33" t="s">
        <v>35</v>
      </c>
      <c r="CQ6" s="33" t="s">
        <v>35</v>
      </c>
      <c r="CR6" s="33" t="s">
        <v>35</v>
      </c>
      <c r="CS6" s="33" t="s">
        <v>35</v>
      </c>
      <c r="CT6" s="33" t="s">
        <v>35</v>
      </c>
      <c r="CU6" s="33" t="s">
        <v>35</v>
      </c>
      <c r="CV6" s="33" t="s">
        <v>35</v>
      </c>
      <c r="CW6" s="33" t="s">
        <v>35</v>
      </c>
      <c r="CX6" s="33" t="s">
        <v>35</v>
      </c>
      <c r="CY6" s="33" t="s">
        <v>35</v>
      </c>
      <c r="CZ6" s="33" t="s">
        <v>35</v>
      </c>
      <c r="DA6" s="33" t="s">
        <v>35</v>
      </c>
      <c r="DB6" s="33" t="s">
        <v>35</v>
      </c>
      <c r="DC6" s="33" t="s">
        <v>35</v>
      </c>
      <c r="DD6" s="33" t="s">
        <v>35</v>
      </c>
      <c r="DE6" s="33" t="s">
        <v>35</v>
      </c>
      <c r="DF6" s="33" t="s">
        <v>35</v>
      </c>
      <c r="DG6" s="33" t="s">
        <v>35</v>
      </c>
      <c r="DH6" s="33" t="s">
        <v>35</v>
      </c>
      <c r="DI6" s="33" t="s">
        <v>35</v>
      </c>
      <c r="DJ6" s="33" t="s">
        <v>35</v>
      </c>
      <c r="DK6" s="33" t="s">
        <v>35</v>
      </c>
      <c r="DL6" s="33" t="s">
        <v>35</v>
      </c>
      <c r="DM6" s="33" t="s">
        <v>35</v>
      </c>
      <c r="DN6" s="33" t="s">
        <v>35</v>
      </c>
      <c r="DO6" s="33" t="s">
        <v>35</v>
      </c>
      <c r="DP6" s="33" t="s">
        <v>35</v>
      </c>
      <c r="DQ6" s="33" t="s">
        <v>35</v>
      </c>
      <c r="DR6" s="33" t="s">
        <v>35</v>
      </c>
      <c r="DS6" s="33" t="s">
        <v>35</v>
      </c>
      <c r="DT6" s="33" t="s">
        <v>35</v>
      </c>
      <c r="DU6" s="33" t="s">
        <v>35</v>
      </c>
      <c r="DV6" s="33" t="s">
        <v>35</v>
      </c>
      <c r="DW6" s="33" t="s">
        <v>35</v>
      </c>
      <c r="DX6" s="33" t="s">
        <v>35</v>
      </c>
      <c r="DY6" s="33" t="s">
        <v>35</v>
      </c>
      <c r="DZ6" s="33" t="s">
        <v>35</v>
      </c>
      <c r="EA6" s="33" t="s">
        <v>35</v>
      </c>
      <c r="EB6" s="33" t="s">
        <v>35</v>
      </c>
      <c r="EC6" s="33" t="s">
        <v>35</v>
      </c>
      <c r="ED6" s="33" t="s">
        <v>35</v>
      </c>
      <c r="EE6" s="33" t="s">
        <v>35</v>
      </c>
      <c r="EF6" s="33" t="s">
        <v>35</v>
      </c>
      <c r="EG6" s="33" t="s">
        <v>35</v>
      </c>
      <c r="EH6" s="33" t="s">
        <v>35</v>
      </c>
      <c r="EI6" s="33" t="s">
        <v>35</v>
      </c>
      <c r="EJ6" s="33" t="s">
        <v>35</v>
      </c>
      <c r="EK6" s="33" t="s">
        <v>35</v>
      </c>
      <c r="EL6" s="33" t="s">
        <v>35</v>
      </c>
      <c r="EM6" s="33" t="s">
        <v>35</v>
      </c>
      <c r="EN6" s="33" t="s">
        <v>35</v>
      </c>
      <c r="EO6" s="33" t="s">
        <v>35</v>
      </c>
      <c r="EP6" s="33" t="s">
        <v>35</v>
      </c>
      <c r="EQ6" s="33" t="s">
        <v>35</v>
      </c>
      <c r="ER6" s="33" t="s">
        <v>35</v>
      </c>
      <c r="ES6" s="33" t="s">
        <v>35</v>
      </c>
      <c r="ET6" s="33" t="s">
        <v>35</v>
      </c>
      <c r="EU6" s="33" t="s">
        <v>35</v>
      </c>
      <c r="EV6" s="33" t="s">
        <v>35</v>
      </c>
      <c r="EW6" s="33" t="s">
        <v>35</v>
      </c>
      <c r="EX6" s="33" t="s">
        <v>35</v>
      </c>
      <c r="EY6" s="33" t="s">
        <v>35</v>
      </c>
      <c r="EZ6" s="33" t="s">
        <v>35</v>
      </c>
      <c r="FA6" s="33" t="s">
        <v>35</v>
      </c>
      <c r="FB6" s="33" t="s">
        <v>35</v>
      </c>
      <c r="FC6" s="33" t="s">
        <v>35</v>
      </c>
      <c r="FD6" s="33" t="s">
        <v>35</v>
      </c>
      <c r="FE6" s="33" t="s">
        <v>35</v>
      </c>
      <c r="FF6" s="33" t="s">
        <v>35</v>
      </c>
      <c r="FG6" s="33" t="s">
        <v>35</v>
      </c>
      <c r="FH6" s="33" t="s">
        <v>35</v>
      </c>
      <c r="FI6" s="33" t="s">
        <v>35</v>
      </c>
      <c r="FJ6" s="33"/>
      <c r="FK6" s="33" t="s">
        <v>35</v>
      </c>
      <c r="FL6" s="33" t="s">
        <v>35</v>
      </c>
      <c r="FM6" s="33" t="s">
        <v>35</v>
      </c>
      <c r="FN6" s="33" t="s">
        <v>35</v>
      </c>
      <c r="FO6" s="33" t="s">
        <v>35</v>
      </c>
      <c r="FP6" s="33" t="s">
        <v>35</v>
      </c>
      <c r="FQ6" s="33" t="s">
        <v>35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33" t="s">
        <v>35</v>
      </c>
      <c r="B7" s="33"/>
      <c r="C7" s="33" t="s">
        <v>35</v>
      </c>
      <c r="D7" s="33"/>
      <c r="E7" s="33" t="s">
        <v>35</v>
      </c>
      <c r="F7" s="33" t="s">
        <v>35</v>
      </c>
      <c r="G7" s="36">
        <v>40.0</v>
      </c>
      <c r="H7" s="33" t="s">
        <v>35</v>
      </c>
      <c r="I7" s="33" t="s">
        <v>35</v>
      </c>
      <c r="J7" s="35" t="s">
        <v>69</v>
      </c>
      <c r="K7" s="33" t="s">
        <v>35</v>
      </c>
      <c r="L7" s="33" t="s">
        <v>35</v>
      </c>
      <c r="M7" s="33"/>
      <c r="N7" s="33"/>
      <c r="O7" s="33"/>
      <c r="P7" s="33"/>
      <c r="Q7" s="33" t="s">
        <v>35</v>
      </c>
      <c r="R7" s="33" t="s">
        <v>35</v>
      </c>
      <c r="S7" s="33"/>
      <c r="T7" s="33" t="s">
        <v>35</v>
      </c>
      <c r="U7" s="33" t="s">
        <v>40</v>
      </c>
      <c r="V7" s="33"/>
      <c r="W7" s="33" t="s">
        <v>35</v>
      </c>
      <c r="X7" s="33" t="s">
        <v>35</v>
      </c>
      <c r="Y7" s="33" t="s">
        <v>35</v>
      </c>
      <c r="Z7" s="33" t="s">
        <v>35</v>
      </c>
      <c r="AA7" s="33" t="s">
        <v>35</v>
      </c>
      <c r="AB7" s="33" t="s">
        <v>35</v>
      </c>
      <c r="AC7" s="33" t="s">
        <v>42</v>
      </c>
      <c r="AD7" s="33" t="s">
        <v>35</v>
      </c>
      <c r="AE7" s="33" t="s">
        <v>35</v>
      </c>
      <c r="AF7" s="33" t="s">
        <v>35</v>
      </c>
      <c r="AG7" s="33"/>
      <c r="AH7" s="33" t="s">
        <v>35</v>
      </c>
      <c r="AI7" s="33" t="s">
        <v>69</v>
      </c>
      <c r="AJ7" s="33" t="s">
        <v>17</v>
      </c>
      <c r="AK7" s="33" t="s">
        <v>75</v>
      </c>
      <c r="AL7" s="37">
        <v>40.0</v>
      </c>
      <c r="AM7" s="33"/>
      <c r="AN7" s="33"/>
      <c r="AO7" s="33"/>
      <c r="AP7" s="33"/>
      <c r="AQ7" s="33" t="s">
        <v>19</v>
      </c>
      <c r="AR7" s="33"/>
      <c r="AS7" s="33" t="s">
        <v>44</v>
      </c>
      <c r="AT7" s="33"/>
      <c r="AU7" s="33"/>
      <c r="AV7" s="33"/>
      <c r="AW7" s="33" t="s">
        <v>35</v>
      </c>
      <c r="AX7" s="33" t="s">
        <v>35</v>
      </c>
      <c r="AY7" s="33" t="s">
        <v>35</v>
      </c>
      <c r="AZ7" s="33" t="s">
        <v>56</v>
      </c>
      <c r="BA7" s="33"/>
      <c r="BB7" s="33" t="s">
        <v>35</v>
      </c>
      <c r="BC7" s="33" t="s">
        <v>35</v>
      </c>
      <c r="BD7" s="33" t="s">
        <v>35</v>
      </c>
      <c r="BE7" s="33" t="s">
        <v>35</v>
      </c>
      <c r="BF7" s="33" t="s">
        <v>35</v>
      </c>
      <c r="BG7" s="33" t="s">
        <v>35</v>
      </c>
      <c r="BH7" s="33" t="s">
        <v>35</v>
      </c>
      <c r="BI7" s="33" t="s">
        <v>35</v>
      </c>
      <c r="BJ7" s="33" t="s">
        <v>35</v>
      </c>
      <c r="BK7" s="33" t="s">
        <v>35</v>
      </c>
      <c r="BL7" s="33" t="s">
        <v>35</v>
      </c>
      <c r="BM7" s="33" t="s">
        <v>35</v>
      </c>
      <c r="BN7" s="33" t="s">
        <v>35</v>
      </c>
      <c r="BO7" s="33" t="s">
        <v>35</v>
      </c>
      <c r="BP7" s="33" t="s">
        <v>35</v>
      </c>
      <c r="BQ7" s="33" t="s">
        <v>35</v>
      </c>
      <c r="BR7" s="33" t="s">
        <v>35</v>
      </c>
      <c r="BS7" s="33" t="s">
        <v>35</v>
      </c>
      <c r="BT7" s="33" t="s">
        <v>35</v>
      </c>
      <c r="BU7" s="33" t="s">
        <v>35</v>
      </c>
      <c r="BV7" s="33" t="s">
        <v>35</v>
      </c>
      <c r="BW7" s="33" t="s">
        <v>35</v>
      </c>
      <c r="BX7" s="33" t="s">
        <v>35</v>
      </c>
      <c r="BY7" s="33" t="s">
        <v>35</v>
      </c>
      <c r="BZ7" s="33" t="s">
        <v>35</v>
      </c>
      <c r="CA7" s="33" t="s">
        <v>35</v>
      </c>
      <c r="CB7" s="33" t="s">
        <v>35</v>
      </c>
      <c r="CC7" s="33" t="s">
        <v>35</v>
      </c>
      <c r="CD7" s="33" t="s">
        <v>35</v>
      </c>
      <c r="CE7" s="33" t="s">
        <v>35</v>
      </c>
      <c r="CF7" s="33" t="s">
        <v>35</v>
      </c>
      <c r="CG7" s="33" t="s">
        <v>35</v>
      </c>
      <c r="CH7" s="33" t="s">
        <v>35</v>
      </c>
      <c r="CI7" s="33" t="s">
        <v>35</v>
      </c>
      <c r="CJ7" s="33" t="s">
        <v>35</v>
      </c>
      <c r="CK7" s="33" t="s">
        <v>35</v>
      </c>
      <c r="CL7" s="33" t="s">
        <v>35</v>
      </c>
      <c r="CM7" s="33" t="s">
        <v>35</v>
      </c>
      <c r="CN7" s="33" t="s">
        <v>35</v>
      </c>
      <c r="CO7" s="33" t="s">
        <v>35</v>
      </c>
      <c r="CP7" s="33" t="s">
        <v>35</v>
      </c>
      <c r="CQ7" s="33" t="s">
        <v>35</v>
      </c>
      <c r="CR7" s="33" t="s">
        <v>35</v>
      </c>
      <c r="CS7" s="33" t="s">
        <v>35</v>
      </c>
      <c r="CT7" s="33" t="s">
        <v>35</v>
      </c>
      <c r="CU7" s="33" t="s">
        <v>35</v>
      </c>
      <c r="CV7" s="33" t="s">
        <v>35</v>
      </c>
      <c r="CW7" s="33" t="s">
        <v>35</v>
      </c>
      <c r="CX7" s="33" t="s">
        <v>35</v>
      </c>
      <c r="CY7" s="33" t="s">
        <v>35</v>
      </c>
      <c r="CZ7" s="33" t="s">
        <v>35</v>
      </c>
      <c r="DA7" s="33" t="s">
        <v>35</v>
      </c>
      <c r="DB7" s="33" t="s">
        <v>35</v>
      </c>
      <c r="DC7" s="33" t="s">
        <v>35</v>
      </c>
      <c r="DD7" s="33" t="s">
        <v>35</v>
      </c>
      <c r="DE7" s="33" t="s">
        <v>35</v>
      </c>
      <c r="DF7" s="33" t="s">
        <v>35</v>
      </c>
      <c r="DG7" s="33" t="s">
        <v>35</v>
      </c>
      <c r="DH7" s="33" t="s">
        <v>35</v>
      </c>
      <c r="DI7" s="33" t="s">
        <v>35</v>
      </c>
      <c r="DJ7" s="33" t="s">
        <v>35</v>
      </c>
      <c r="DK7" s="33" t="s">
        <v>35</v>
      </c>
      <c r="DL7" s="33" t="s">
        <v>35</v>
      </c>
      <c r="DM7" s="33" t="s">
        <v>35</v>
      </c>
      <c r="DN7" s="33" t="s">
        <v>35</v>
      </c>
      <c r="DO7" s="33" t="s">
        <v>35</v>
      </c>
      <c r="DP7" s="33" t="s">
        <v>35</v>
      </c>
      <c r="DQ7" s="33" t="s">
        <v>35</v>
      </c>
      <c r="DR7" s="33" t="s">
        <v>35</v>
      </c>
      <c r="DS7" s="33" t="s">
        <v>35</v>
      </c>
      <c r="DT7" s="33" t="s">
        <v>35</v>
      </c>
      <c r="DU7" s="33" t="s">
        <v>35</v>
      </c>
      <c r="DV7" s="33" t="s">
        <v>35</v>
      </c>
      <c r="DW7" s="33" t="s">
        <v>35</v>
      </c>
      <c r="DX7" s="33" t="s">
        <v>35</v>
      </c>
      <c r="DY7" s="33" t="s">
        <v>35</v>
      </c>
      <c r="DZ7" s="33" t="s">
        <v>35</v>
      </c>
      <c r="EA7" s="33" t="s">
        <v>35</v>
      </c>
      <c r="EB7" s="33" t="s">
        <v>35</v>
      </c>
      <c r="EC7" s="33" t="s">
        <v>35</v>
      </c>
      <c r="ED7" s="33" t="s">
        <v>35</v>
      </c>
      <c r="EE7" s="33" t="s">
        <v>35</v>
      </c>
      <c r="EF7" s="33" t="s">
        <v>35</v>
      </c>
      <c r="EG7" s="33" t="s">
        <v>35</v>
      </c>
      <c r="EH7" s="33" t="s">
        <v>35</v>
      </c>
      <c r="EI7" s="33" t="s">
        <v>35</v>
      </c>
      <c r="EJ7" s="33" t="s">
        <v>35</v>
      </c>
      <c r="EK7" s="33" t="s">
        <v>35</v>
      </c>
      <c r="EL7" s="33" t="s">
        <v>35</v>
      </c>
      <c r="EM7" s="33" t="s">
        <v>35</v>
      </c>
      <c r="EN7" s="33" t="s">
        <v>35</v>
      </c>
      <c r="EO7" s="33" t="s">
        <v>35</v>
      </c>
      <c r="EP7" s="33" t="s">
        <v>35</v>
      </c>
      <c r="EQ7" s="33" t="s">
        <v>35</v>
      </c>
      <c r="ER7" s="33" t="s">
        <v>35</v>
      </c>
      <c r="ES7" s="33" t="s">
        <v>35</v>
      </c>
      <c r="ET7" s="33" t="s">
        <v>35</v>
      </c>
      <c r="EU7" s="33" t="s">
        <v>35</v>
      </c>
      <c r="EV7" s="33" t="s">
        <v>35</v>
      </c>
      <c r="EW7" s="33" t="s">
        <v>35</v>
      </c>
      <c r="EX7" s="33" t="s">
        <v>35</v>
      </c>
      <c r="EY7" s="33" t="s">
        <v>35</v>
      </c>
      <c r="EZ7" s="33" t="s">
        <v>35</v>
      </c>
      <c r="FA7" s="33" t="s">
        <v>35</v>
      </c>
      <c r="FB7" s="33" t="s">
        <v>35</v>
      </c>
      <c r="FC7" s="33" t="s">
        <v>35</v>
      </c>
      <c r="FD7" s="33" t="s">
        <v>35</v>
      </c>
      <c r="FE7" s="33" t="s">
        <v>35</v>
      </c>
      <c r="FF7" s="33" t="s">
        <v>35</v>
      </c>
      <c r="FG7" s="33" t="s">
        <v>35</v>
      </c>
      <c r="FH7" s="33" t="s">
        <v>35</v>
      </c>
      <c r="FI7" s="33" t="s">
        <v>35</v>
      </c>
      <c r="FJ7" s="33"/>
      <c r="FK7" s="33" t="s">
        <v>35</v>
      </c>
      <c r="FL7" s="33" t="s">
        <v>35</v>
      </c>
      <c r="FM7" s="33" t="s">
        <v>35</v>
      </c>
      <c r="FN7" s="33" t="s">
        <v>35</v>
      </c>
      <c r="FO7" s="33" t="s">
        <v>35</v>
      </c>
      <c r="FP7" s="33" t="s">
        <v>35</v>
      </c>
      <c r="FQ7" s="33" t="s">
        <v>35</v>
      </c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38"/>
      <c r="ACJ7" s="38"/>
      <c r="ACK7" s="38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38"/>
      <c r="AFZ7" s="38"/>
      <c r="AGA7" s="38"/>
      <c r="AGB7" s="38"/>
      <c r="AGC7" s="38"/>
      <c r="AGD7" s="38"/>
      <c r="AGE7" s="38"/>
      <c r="AGF7" s="38"/>
      <c r="AGG7" s="38"/>
      <c r="AGH7" s="38"/>
      <c r="AGI7" s="38"/>
      <c r="AGJ7" s="38"/>
      <c r="AGK7" s="38"/>
      <c r="AGL7" s="38"/>
      <c r="AGM7" s="38"/>
      <c r="AGN7" s="38"/>
      <c r="AGO7" s="38"/>
      <c r="AGP7" s="38"/>
      <c r="AGQ7" s="38"/>
      <c r="AGR7" s="38"/>
      <c r="AGS7" s="38"/>
      <c r="AGT7" s="38"/>
      <c r="AGU7" s="38"/>
      <c r="AGV7" s="38"/>
      <c r="AGW7" s="38"/>
      <c r="AGX7" s="38"/>
      <c r="AGY7" s="38"/>
      <c r="AGZ7" s="38"/>
      <c r="AHA7" s="38"/>
      <c r="AHB7" s="38"/>
      <c r="AHC7" s="38"/>
      <c r="AHD7" s="38"/>
      <c r="AHE7" s="38"/>
      <c r="AHF7" s="38"/>
      <c r="AHG7" s="38"/>
      <c r="AHH7" s="38"/>
      <c r="AHI7" s="38"/>
      <c r="AHJ7" s="38"/>
      <c r="AHK7" s="38"/>
      <c r="AHL7" s="38"/>
      <c r="AHM7" s="38"/>
      <c r="AHN7" s="38"/>
      <c r="AHO7" s="38"/>
      <c r="AHP7" s="38"/>
      <c r="AHQ7" s="38"/>
      <c r="AHR7" s="38"/>
      <c r="AHS7" s="38"/>
      <c r="AHT7" s="38"/>
      <c r="AHU7" s="38"/>
      <c r="AHV7" s="38"/>
      <c r="AHW7" s="38"/>
      <c r="AHX7" s="38"/>
      <c r="AHY7" s="38"/>
      <c r="AHZ7" s="38"/>
      <c r="AIA7" s="38"/>
      <c r="AIB7" s="38"/>
      <c r="AIC7" s="38"/>
      <c r="AID7" s="38"/>
      <c r="AIE7" s="38"/>
      <c r="AIF7" s="38"/>
      <c r="AIG7" s="38"/>
      <c r="AIH7" s="38"/>
      <c r="AII7" s="38"/>
      <c r="AIJ7" s="38"/>
      <c r="AIK7" s="38"/>
      <c r="AIL7" s="38"/>
      <c r="AIM7" s="38"/>
      <c r="AIN7" s="38"/>
      <c r="AIO7" s="38"/>
      <c r="AIP7" s="38"/>
      <c r="AIQ7" s="38"/>
      <c r="AIR7" s="38"/>
      <c r="AIS7" s="38"/>
      <c r="AIT7" s="38"/>
      <c r="AIU7" s="38"/>
      <c r="AIV7" s="38"/>
      <c r="AIW7" s="38"/>
      <c r="AIX7" s="38"/>
      <c r="AIY7" s="38"/>
      <c r="AIZ7" s="38"/>
      <c r="AJA7" s="38"/>
      <c r="AJB7" s="38"/>
      <c r="AJC7" s="38"/>
      <c r="AJD7" s="38"/>
      <c r="AJE7" s="38"/>
      <c r="AJF7" s="38"/>
      <c r="AJG7" s="38"/>
      <c r="AJH7" s="38"/>
      <c r="AJI7" s="38"/>
      <c r="AJJ7" s="38"/>
      <c r="AJK7" s="38"/>
      <c r="AJL7" s="38"/>
      <c r="AJM7" s="38"/>
      <c r="AJN7" s="38"/>
      <c r="AJO7" s="38"/>
      <c r="AJP7" s="38"/>
      <c r="AJQ7" s="38"/>
      <c r="AJR7" s="38"/>
      <c r="AJS7" s="38"/>
      <c r="AJT7" s="38"/>
      <c r="AJU7" s="38"/>
      <c r="AJV7" s="38"/>
      <c r="AJW7" s="38"/>
      <c r="AJX7" s="38"/>
      <c r="AJY7" s="38"/>
      <c r="AJZ7" s="38"/>
      <c r="AKA7" s="38"/>
      <c r="AKB7" s="38"/>
      <c r="AKC7" s="38"/>
      <c r="AKD7" s="38"/>
      <c r="AKE7" s="38"/>
      <c r="AKF7" s="38"/>
      <c r="AKG7" s="38"/>
      <c r="AKH7" s="38"/>
      <c r="AKI7" s="38"/>
      <c r="AKJ7" s="38"/>
      <c r="AKK7" s="38"/>
      <c r="AKL7" s="38"/>
      <c r="AKM7" s="38"/>
      <c r="AKN7" s="38"/>
      <c r="AKO7" s="38"/>
      <c r="AKP7" s="38"/>
      <c r="AKQ7" s="38"/>
      <c r="AKR7" s="38"/>
      <c r="AKS7" s="38"/>
      <c r="AKT7" s="38"/>
      <c r="AKU7" s="38"/>
      <c r="AKV7" s="38"/>
      <c r="AKW7" s="38"/>
      <c r="AKX7" s="38"/>
      <c r="AKY7" s="38"/>
      <c r="AKZ7" s="38"/>
      <c r="ALA7" s="38"/>
      <c r="ALB7" s="38"/>
      <c r="ALC7" s="38"/>
      <c r="ALD7" s="38"/>
      <c r="ALE7" s="38"/>
      <c r="ALF7" s="38"/>
      <c r="ALG7" s="38"/>
      <c r="ALH7" s="38"/>
      <c r="ALI7" s="38"/>
      <c r="ALJ7" s="38"/>
      <c r="ALK7" s="38"/>
      <c r="ALL7" s="38"/>
      <c r="ALM7" s="38"/>
      <c r="ALN7" s="38"/>
      <c r="ALO7" s="38"/>
      <c r="ALP7" s="38"/>
      <c r="ALQ7" s="38"/>
      <c r="ALR7" s="38"/>
      <c r="ALS7" s="38"/>
      <c r="ALT7" s="38"/>
      <c r="ALU7" s="38"/>
      <c r="ALV7" s="38"/>
      <c r="ALW7" s="38"/>
      <c r="ALX7" s="38"/>
      <c r="ALY7" s="38"/>
      <c r="ALZ7" s="38"/>
      <c r="AMA7" s="38"/>
      <c r="AMB7" s="38"/>
      <c r="AMC7" s="38"/>
      <c r="AMD7" s="38"/>
      <c r="AME7" s="38"/>
      <c r="AMF7" s="38"/>
      <c r="AMG7" s="38"/>
      <c r="AMH7" s="38"/>
      <c r="AMI7" s="38"/>
      <c r="AMJ7" s="38"/>
      <c r="AMK7" s="38"/>
      <c r="AML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VerifySubOrder2!$4:$4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2" t="s">
        <v>35</v>
      </c>
      <c r="B6" s="39" t="s">
        <v>18</v>
      </c>
      <c r="C6" s="35" t="s">
        <v>47</v>
      </c>
      <c r="D6" s="34">
        <v>0.0</v>
      </c>
      <c r="E6" s="36">
        <v>10.0</v>
      </c>
      <c r="F6" s="35" t="s">
        <v>48</v>
      </c>
      <c r="G6" s="35" t="s">
        <v>49</v>
      </c>
      <c r="H6" s="36">
        <v>4.0</v>
      </c>
      <c r="I6" s="36">
        <v>5.0</v>
      </c>
      <c r="J6" s="36">
        <v>1.0</v>
      </c>
      <c r="K6" s="36">
        <v>15.0</v>
      </c>
      <c r="L6" s="36">
        <v>15.0</v>
      </c>
      <c r="M6" s="35" t="s">
        <v>76</v>
      </c>
      <c r="N6" s="35" t="s">
        <v>50</v>
      </c>
      <c r="O6" s="35" t="s">
        <v>19</v>
      </c>
      <c r="P6" s="33"/>
      <c r="Q6" s="37">
        <v>3.0</v>
      </c>
      <c r="R6" s="37">
        <v>0.0</v>
      </c>
      <c r="S6" s="33" t="s">
        <v>51</v>
      </c>
      <c r="T6" s="37">
        <v>0.0</v>
      </c>
      <c r="U6" s="37">
        <v>0.0</v>
      </c>
      <c r="V6" s="33" t="s">
        <v>77</v>
      </c>
      <c r="W6" s="37">
        <v>1.0</v>
      </c>
      <c r="X6" s="37">
        <v>0.0</v>
      </c>
      <c r="Y6" s="33" t="s">
        <v>35</v>
      </c>
      <c r="Z6" s="33" t="s">
        <v>40</v>
      </c>
      <c r="AA6" s="33" t="s">
        <v>69</v>
      </c>
      <c r="AB6" s="37">
        <v>1.0</v>
      </c>
      <c r="AC6" s="33"/>
      <c r="AD6" s="33" t="s">
        <v>37</v>
      </c>
      <c r="AE6" s="37">
        <v>10.0</v>
      </c>
      <c r="AF6" s="33" t="s">
        <v>35</v>
      </c>
      <c r="AG6" s="33"/>
      <c r="AH6" s="33" t="s">
        <v>43</v>
      </c>
      <c r="AI6" s="37">
        <v>1.0</v>
      </c>
      <c r="AJ6" s="33" t="s">
        <v>53</v>
      </c>
      <c r="AK6" s="33"/>
      <c r="AL6" s="33"/>
      <c r="AM6" s="33" t="s">
        <v>42</v>
      </c>
      <c r="AN6" s="40" t="b">
        <v>0</v>
      </c>
      <c r="AO6" s="33"/>
      <c r="AP6" s="40" t="b">
        <v>0</v>
      </c>
      <c r="AQ6" s="40" t="b">
        <v>0</v>
      </c>
      <c r="AR6" s="40" t="b">
        <v>1</v>
      </c>
      <c r="AS6" s="37">
        <v>0.0</v>
      </c>
      <c r="AT6" s="37">
        <v>164.0001</v>
      </c>
      <c r="AU6" s="37">
        <v>164.0001</v>
      </c>
      <c r="AV6" s="33"/>
      <c r="AW6" s="37">
        <v>0.0</v>
      </c>
      <c r="AX6" s="37">
        <v>0.0</v>
      </c>
      <c r="AY6" s="33" t="s">
        <v>44</v>
      </c>
      <c r="AZ6" s="37">
        <v>0.0</v>
      </c>
      <c r="BA6" s="33"/>
      <c r="BB6" s="33"/>
      <c r="BC6" s="37">
        <v>0.0</v>
      </c>
      <c r="BD6" s="33" t="s">
        <v>54</v>
      </c>
      <c r="BE6" s="37">
        <v>150.0</v>
      </c>
      <c r="BF6" s="37">
        <v>150.0</v>
      </c>
      <c r="BG6" s="33"/>
      <c r="BH6" s="33"/>
      <c r="BI6" s="33"/>
      <c r="BJ6" s="37">
        <v>50.0</v>
      </c>
      <c r="BK6" s="37">
        <v>0.0</v>
      </c>
      <c r="BL6" s="33" t="s">
        <v>35</v>
      </c>
      <c r="BM6" s="33" t="s">
        <v>40</v>
      </c>
      <c r="BN6" s="33"/>
      <c r="BO6" s="33" t="s">
        <v>17</v>
      </c>
      <c r="BP6" s="37">
        <v>0.0</v>
      </c>
      <c r="BQ6" s="37">
        <v>0.0</v>
      </c>
      <c r="BR6" s="37">
        <v>1.0E-4</v>
      </c>
      <c r="BS6" s="33" t="s">
        <v>55</v>
      </c>
      <c r="BT6" s="33" t="s">
        <v>69</v>
      </c>
      <c r="BU6" s="37">
        <v>3.0</v>
      </c>
      <c r="BV6" s="37">
        <v>0.0</v>
      </c>
      <c r="BW6" s="37">
        <v>14.0001</v>
      </c>
      <c r="BX6" s="37">
        <v>0.0</v>
      </c>
      <c r="BY6" s="33"/>
      <c r="BZ6" s="33"/>
      <c r="CA6" s="33"/>
      <c r="CB6" s="33"/>
      <c r="CC6" s="33"/>
      <c r="CD6" s="33"/>
      <c r="CE6" s="33"/>
      <c r="CF6" s="33" t="s">
        <v>39</v>
      </c>
      <c r="CG6" s="37">
        <v>2.0</v>
      </c>
      <c r="CH6" s="41" t="s">
        <v>12</v>
      </c>
      <c r="CI6" s="33" t="s">
        <v>17</v>
      </c>
      <c r="CJ6" s="37">
        <v>0.0</v>
      </c>
      <c r="CK6" s="33" t="s">
        <v>38</v>
      </c>
      <c r="CL6" s="37">
        <v>1.0</v>
      </c>
      <c r="CM6" s="33" t="s">
        <v>69</v>
      </c>
      <c r="CN6" s="33" t="s">
        <v>56</v>
      </c>
      <c r="CO6" s="33" t="s">
        <v>37</v>
      </c>
      <c r="CP6" s="33" t="s">
        <v>57</v>
      </c>
      <c r="CQ6" s="33"/>
      <c r="CR6" s="33"/>
      <c r="CS6" s="33" t="s">
        <v>35</v>
      </c>
      <c r="CT6" s="33"/>
      <c r="CU6" s="33"/>
      <c r="CV6" s="33"/>
      <c r="CW6" s="37">
        <v>0.0</v>
      </c>
      <c r="CX6" s="33" t="s">
        <v>41</v>
      </c>
      <c r="CY6" s="40" t="b">
        <v>1</v>
      </c>
      <c r="CZ6" s="33" t="s">
        <v>35</v>
      </c>
      <c r="DA6" s="33" t="s">
        <v>35</v>
      </c>
      <c r="DB6" s="33" t="s">
        <v>35</v>
      </c>
      <c r="DC6" s="33" t="s">
        <v>35</v>
      </c>
      <c r="DD6" s="33" t="s">
        <v>35</v>
      </c>
      <c r="DE6" s="33" t="s">
        <v>35</v>
      </c>
      <c r="DF6" s="33" t="s">
        <v>35</v>
      </c>
      <c r="DG6" s="33" t="s">
        <v>35</v>
      </c>
      <c r="DH6" s="33" t="s">
        <v>35</v>
      </c>
      <c r="DI6" s="33" t="s">
        <v>35</v>
      </c>
      <c r="DJ6" s="33" t="s">
        <v>35</v>
      </c>
      <c r="DK6" s="33" t="s">
        <v>35</v>
      </c>
      <c r="DL6" s="33" t="s">
        <v>35</v>
      </c>
      <c r="DM6" s="33" t="s">
        <v>35</v>
      </c>
      <c r="DN6" s="33" t="s">
        <v>35</v>
      </c>
      <c r="DO6" s="33" t="s">
        <v>35</v>
      </c>
      <c r="DP6" s="33" t="s">
        <v>35</v>
      </c>
      <c r="DQ6" s="33" t="s">
        <v>35</v>
      </c>
      <c r="DR6" s="33" t="s">
        <v>35</v>
      </c>
      <c r="DS6" s="33" t="s">
        <v>35</v>
      </c>
      <c r="DT6" s="33" t="s">
        <v>35</v>
      </c>
      <c r="DU6" s="33" t="s">
        <v>35</v>
      </c>
      <c r="DV6" s="33" t="s">
        <v>35</v>
      </c>
      <c r="DW6" s="33" t="s">
        <v>35</v>
      </c>
      <c r="DX6" s="33" t="s">
        <v>35</v>
      </c>
      <c r="DY6" s="33" t="s">
        <v>35</v>
      </c>
      <c r="DZ6" s="33" t="s">
        <v>35</v>
      </c>
      <c r="EA6" s="33" t="s">
        <v>35</v>
      </c>
      <c r="EB6" s="33" t="s">
        <v>35</v>
      </c>
      <c r="EC6" s="33" t="s">
        <v>35</v>
      </c>
      <c r="ED6" s="33" t="s">
        <v>35</v>
      </c>
      <c r="EE6" s="33" t="s">
        <v>35</v>
      </c>
      <c r="EF6" s="33" t="s">
        <v>35</v>
      </c>
      <c r="EG6" s="33" t="s">
        <v>35</v>
      </c>
      <c r="EH6" s="33" t="s">
        <v>35</v>
      </c>
      <c r="EI6" s="33" t="s">
        <v>35</v>
      </c>
      <c r="EJ6" s="33" t="s">
        <v>35</v>
      </c>
      <c r="EK6" s="33" t="s">
        <v>35</v>
      </c>
      <c r="EL6" s="33" t="s">
        <v>35</v>
      </c>
      <c r="EM6" s="33" t="s">
        <v>35</v>
      </c>
      <c r="EN6" s="33" t="s">
        <v>35</v>
      </c>
      <c r="EO6" s="33" t="s">
        <v>35</v>
      </c>
      <c r="EP6" s="33" t="s">
        <v>35</v>
      </c>
      <c r="EQ6" s="33" t="s">
        <v>35</v>
      </c>
      <c r="ER6" s="33" t="s">
        <v>35</v>
      </c>
      <c r="ES6" s="33" t="s">
        <v>35</v>
      </c>
      <c r="ET6" s="33" t="s">
        <v>35</v>
      </c>
      <c r="EU6" s="33" t="s">
        <v>35</v>
      </c>
      <c r="EV6" s="33" t="s">
        <v>35</v>
      </c>
      <c r="EW6" s="33" t="s">
        <v>35</v>
      </c>
      <c r="EX6" s="33" t="s">
        <v>35</v>
      </c>
      <c r="EY6" s="33"/>
      <c r="EZ6" s="33"/>
      <c r="FA6" s="33" t="s">
        <v>35</v>
      </c>
      <c r="FB6" s="33" t="s">
        <v>35</v>
      </c>
      <c r="FC6" s="33" t="s">
        <v>35</v>
      </c>
      <c r="FD6" s="33" t="s">
        <v>35</v>
      </c>
      <c r="FE6" s="33" t="s">
        <v>35</v>
      </c>
      <c r="FF6" s="33" t="s">
        <v>35</v>
      </c>
      <c r="FG6" s="33" t="s">
        <v>35</v>
      </c>
      <c r="FH6" s="33" t="s">
        <v>35</v>
      </c>
      <c r="FI6" s="33" t="s">
        <v>35</v>
      </c>
      <c r="FJ6" s="33"/>
      <c r="FK6" s="33" t="s">
        <v>35</v>
      </c>
      <c r="FL6" s="33" t="s">
        <v>35</v>
      </c>
      <c r="FM6" s="33" t="s">
        <v>35</v>
      </c>
      <c r="FN6" s="33" t="s">
        <v>35</v>
      </c>
      <c r="FO6" s="33" t="s">
        <v>35</v>
      </c>
      <c r="FP6" s="33" t="s">
        <v>35</v>
      </c>
      <c r="FQ6" s="33" t="s">
        <v>35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IFERROR(__xludf.DUMMYFUNCTION("""COMPUTED_VALUE"""),"OpenCustomView")</f>
        <v>OpenCustomView</v>
      </c>
      <c r="AH4" s="25" t="str">
        <f>IFERROR(__xludf.DUMMYFUNCTION("""COMPUTED_VALUE"""),"CheckCustomViewRowSummary")</f>
        <v>CheckCustomViewRowSummary</v>
      </c>
      <c r="AI4" s="25" t="str">
        <f>IFERROR(__xludf.DUMMYFUNCTION("""COMPUTED_VALUE"""),"OpenTaxlotDetails")</f>
        <v>OpenTaxlotDetails</v>
      </c>
      <c r="AJ4" s="25" t="str">
        <f>IFERROR(__xludf.DUMMYFUNCTION("""COMPUTED_VALUE"""),"CheckTaxlotDetails")</f>
        <v>CheckTaxlotDetails</v>
      </c>
      <c r="AK4" s="25" t="str">
        <f>IFERROR(__xludf.DUMMYFUNCTION("""COMPUTED_VALUE"""),"SelectTradeOnPM")</f>
        <v>SelectTradeOnPM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2" t="s">
        <v>35</v>
      </c>
      <c r="B6" s="32"/>
      <c r="C6" s="33" t="s">
        <v>69</v>
      </c>
      <c r="D6" s="43">
        <v>10.0</v>
      </c>
      <c r="E6" s="33" t="s">
        <v>18</v>
      </c>
      <c r="F6" s="33" t="s">
        <v>41</v>
      </c>
      <c r="G6" s="37">
        <v>15.0</v>
      </c>
      <c r="H6" s="33" t="s">
        <v>60</v>
      </c>
      <c r="I6" s="33"/>
      <c r="J6" s="33"/>
      <c r="K6" s="33"/>
      <c r="L6" s="33"/>
      <c r="M6" s="33"/>
      <c r="N6" s="37">
        <v>-150.0</v>
      </c>
      <c r="O6" s="33" t="s">
        <v>77</v>
      </c>
      <c r="P6" s="33"/>
      <c r="Q6" s="37">
        <v>-150.0</v>
      </c>
      <c r="R6" s="33" t="s">
        <v>61</v>
      </c>
      <c r="S6" s="33" t="s">
        <v>55</v>
      </c>
      <c r="T6" s="33" t="s">
        <v>49</v>
      </c>
      <c r="U6" s="33" t="s">
        <v>38</v>
      </c>
      <c r="V6" s="33" t="s">
        <v>37</v>
      </c>
      <c r="W6" s="33" t="s">
        <v>40</v>
      </c>
      <c r="X6" s="37">
        <v>1.0</v>
      </c>
      <c r="Y6" s="37">
        <v>1.0</v>
      </c>
      <c r="Z6" s="33"/>
      <c r="AA6" s="33"/>
      <c r="AB6" s="33"/>
      <c r="AC6" s="33"/>
      <c r="AD6" s="33"/>
      <c r="AE6" s="33"/>
      <c r="AF6" s="37">
        <v>10.0</v>
      </c>
      <c r="AG6" s="33"/>
      <c r="AH6" s="33"/>
      <c r="AI6" s="33"/>
      <c r="AJ6" s="33"/>
      <c r="AK6" s="37">
        <v>-150.0</v>
      </c>
      <c r="AL6" s="37">
        <v>1.0</v>
      </c>
      <c r="AM6" s="37">
        <v>1.0</v>
      </c>
      <c r="AN6" s="33" t="s">
        <v>17</v>
      </c>
      <c r="AO6" s="33"/>
      <c r="AP6" s="33" t="s">
        <v>60</v>
      </c>
      <c r="AQ6" s="33" t="s">
        <v>69</v>
      </c>
      <c r="AR6" s="37">
        <v>0.0</v>
      </c>
      <c r="AS6" s="37">
        <v>1.0</v>
      </c>
      <c r="AT6" s="33"/>
      <c r="AU6" s="33" t="s">
        <v>42</v>
      </c>
      <c r="AV6" s="37">
        <v>1.0</v>
      </c>
      <c r="AW6" s="37">
        <v>-150.0</v>
      </c>
      <c r="AX6" s="33"/>
      <c r="AY6" s="33"/>
      <c r="AZ6" s="33"/>
      <c r="BA6" s="33"/>
      <c r="BB6" s="33"/>
      <c r="BC6" s="37">
        <v>1.0</v>
      </c>
      <c r="BD6" s="37">
        <v>-150.0</v>
      </c>
      <c r="BE6" s="33" t="s">
        <v>49</v>
      </c>
      <c r="BF6" s="33" t="s">
        <v>78</v>
      </c>
      <c r="BG6" s="33" t="s">
        <v>79</v>
      </c>
      <c r="BH6" s="33"/>
      <c r="BI6" s="37">
        <v>5.0</v>
      </c>
      <c r="BJ6" s="33"/>
      <c r="BK6" s="33"/>
      <c r="BL6" s="33"/>
      <c r="BM6" s="33"/>
      <c r="BN6" s="33"/>
      <c r="BO6" s="37">
        <v>-150.0</v>
      </c>
      <c r="BP6" s="37">
        <v>0.0</v>
      </c>
      <c r="BQ6" s="33" t="s">
        <v>56</v>
      </c>
      <c r="BR6" s="33" t="s">
        <v>19</v>
      </c>
      <c r="BS6" s="33"/>
      <c r="BT6" s="33"/>
      <c r="BU6" s="33" t="s">
        <v>49</v>
      </c>
      <c r="BV6" s="33"/>
      <c r="BW6" s="33"/>
      <c r="BX6" s="33"/>
      <c r="BY6" s="33"/>
      <c r="BZ6" s="33"/>
      <c r="CA6" s="33"/>
      <c r="CB6" s="33"/>
      <c r="CC6" s="33"/>
      <c r="CD6" s="37">
        <v>-150.0</v>
      </c>
      <c r="CE6" s="33"/>
      <c r="CF6" s="33"/>
      <c r="CG6" s="37">
        <v>-150.0</v>
      </c>
      <c r="CH6" s="37">
        <v>-100.0</v>
      </c>
      <c r="CI6" s="33"/>
      <c r="CJ6" s="33"/>
      <c r="CK6" s="40" t="b">
        <v>0</v>
      </c>
      <c r="CL6" s="33"/>
      <c r="CM6" s="33"/>
      <c r="CN6" s="33" t="s">
        <v>69</v>
      </c>
      <c r="CO6" s="33" t="s">
        <v>69</v>
      </c>
      <c r="CP6" s="42" t="s">
        <v>76</v>
      </c>
      <c r="CQ6" s="33"/>
      <c r="CR6" s="33"/>
      <c r="CS6" s="37">
        <v>15.0</v>
      </c>
      <c r="CT6" s="33"/>
      <c r="CU6" s="33"/>
      <c r="CV6" s="33"/>
      <c r="CW6" s="33"/>
      <c r="CX6" s="33"/>
      <c r="CY6" s="33" t="s">
        <v>53</v>
      </c>
      <c r="CZ6" s="33" t="s">
        <v>64</v>
      </c>
      <c r="DA6" s="33"/>
      <c r="DB6" s="33"/>
      <c r="DC6" s="33"/>
      <c r="DD6" s="37">
        <v>10.0</v>
      </c>
      <c r="DE6" s="33"/>
      <c r="DF6" s="33"/>
      <c r="DG6" s="33"/>
      <c r="DH6" s="33" t="s">
        <v>65</v>
      </c>
      <c r="DI6" s="37">
        <v>0.0</v>
      </c>
      <c r="DJ6" s="33" t="s">
        <v>17</v>
      </c>
      <c r="DK6" s="33"/>
      <c r="DL6" s="33"/>
      <c r="DM6" s="37">
        <v>1.0</v>
      </c>
      <c r="DN6" s="37">
        <v>0.0</v>
      </c>
      <c r="DO6" s="33"/>
      <c r="DP6" s="33" t="s">
        <v>60</v>
      </c>
      <c r="DQ6" s="33" t="s">
        <v>80</v>
      </c>
      <c r="DR6" s="33" t="s">
        <v>81</v>
      </c>
      <c r="DS6" s="33" t="s">
        <v>80</v>
      </c>
      <c r="DT6" s="33" t="s">
        <v>80</v>
      </c>
      <c r="DU6" s="33" t="s">
        <v>82</v>
      </c>
      <c r="DV6" s="33" t="s">
        <v>80</v>
      </c>
      <c r="DW6" s="33" t="s">
        <v>80</v>
      </c>
      <c r="DX6" s="33" t="s">
        <v>80</v>
      </c>
      <c r="DY6" s="33" t="s">
        <v>80</v>
      </c>
      <c r="DZ6" s="33" t="s">
        <v>77</v>
      </c>
      <c r="EA6" s="33" t="s">
        <v>82</v>
      </c>
      <c r="EB6" s="33" t="s">
        <v>80</v>
      </c>
      <c r="EC6" s="33" t="s">
        <v>80</v>
      </c>
      <c r="ED6" s="33" t="s">
        <v>40</v>
      </c>
      <c r="EE6" s="33" t="s">
        <v>67</v>
      </c>
      <c r="EF6" s="33"/>
      <c r="EG6" s="33"/>
      <c r="EH6" s="33"/>
      <c r="EI6" s="33"/>
      <c r="EJ6" s="33" t="s">
        <v>35</v>
      </c>
      <c r="EK6" s="33" t="s">
        <v>35</v>
      </c>
      <c r="EL6" s="33" t="s">
        <v>35</v>
      </c>
      <c r="EM6" s="33" t="s">
        <v>35</v>
      </c>
      <c r="EN6" s="33" t="s">
        <v>35</v>
      </c>
      <c r="EO6" s="33" t="s">
        <v>35</v>
      </c>
      <c r="EP6" s="33" t="s">
        <v>35</v>
      </c>
      <c r="EQ6" s="33" t="s">
        <v>35</v>
      </c>
      <c r="ER6" s="33" t="s">
        <v>35</v>
      </c>
      <c r="ES6" s="33" t="s">
        <v>35</v>
      </c>
      <c r="ET6" s="33" t="s">
        <v>35</v>
      </c>
      <c r="EU6" s="33" t="s">
        <v>35</v>
      </c>
      <c r="EV6" s="33" t="s">
        <v>35</v>
      </c>
      <c r="EW6" s="33" t="s">
        <v>35</v>
      </c>
      <c r="EX6" s="33" t="s">
        <v>35</v>
      </c>
      <c r="EY6" s="33" t="s">
        <v>35</v>
      </c>
      <c r="EZ6" s="33" t="s">
        <v>35</v>
      </c>
      <c r="FA6" s="33" t="s">
        <v>35</v>
      </c>
      <c r="FB6" s="33" t="s">
        <v>35</v>
      </c>
      <c r="FC6" s="33"/>
      <c r="FD6" s="33"/>
      <c r="FE6" s="33"/>
      <c r="FF6" s="33"/>
      <c r="FG6" s="33"/>
      <c r="FH6" s="37">
        <v>10.0</v>
      </c>
      <c r="FI6" s="33" t="s">
        <v>35</v>
      </c>
      <c r="FJ6" s="33"/>
      <c r="FK6" s="33" t="s">
        <v>35</v>
      </c>
      <c r="FL6" s="33" t="s">
        <v>35</v>
      </c>
      <c r="FM6" s="37">
        <v>0.0</v>
      </c>
      <c r="FN6" s="37">
        <v>0.0</v>
      </c>
      <c r="FO6" s="37">
        <v>0.0</v>
      </c>
      <c r="FP6" s="37">
        <v>0.0</v>
      </c>
      <c r="FQ6" s="37">
        <v>0.0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 t="s">
        <v>84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