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9" activeTab="12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StageOrder" sheetId="7" r:id="rId7"/>
    <sheet name="MultiTradingTicketFromBlotter" sheetId="8" r:id="rId8"/>
    <sheet name="SelectTradeUsingMTT" sheetId="9" r:id="rId9"/>
    <sheet name="EditTradeUsingMTT" sheetId="10" r:id="rId10"/>
    <sheet name="SelectTradeUsingMTT1" sheetId="11" r:id="rId11"/>
    <sheet name="EditTradeUsingMTT1" sheetId="12" r:id="rId12"/>
    <sheet name="DoneAwayUsingMTT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C6" i="5" l="1"/>
  <c r="B6" i="5"/>
  <c r="FG5" i="1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BH4" i="14"/>
  <c r="AZ4" i="14"/>
  <c r="AR4" i="14"/>
  <c r="AJ4" i="14"/>
  <c r="AB4" i="14"/>
  <c r="T4" i="14"/>
  <c r="L4" i="14"/>
  <c r="D4" i="14"/>
  <c r="AF5" i="13"/>
  <c r="X5" i="13"/>
  <c r="P5" i="13"/>
  <c r="FF5" i="17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BG4" i="14"/>
  <c r="AY4" i="14"/>
  <c r="AQ4" i="14"/>
  <c r="AI4" i="14"/>
  <c r="AA4" i="14"/>
  <c r="S4" i="14"/>
  <c r="K4" i="14"/>
  <c r="C4" i="14"/>
  <c r="AE5" i="13"/>
  <c r="W5" i="13"/>
  <c r="O5" i="13"/>
  <c r="G5" i="13"/>
  <c r="F4" i="13"/>
  <c r="AH5" i="12"/>
  <c r="Z5" i="12"/>
  <c r="R5" i="12"/>
  <c r="J5" i="12"/>
  <c r="B5" i="12"/>
  <c r="AC5" i="11"/>
  <c r="U5" i="11"/>
  <c r="M5" i="11"/>
  <c r="E5" i="11"/>
  <c r="D4" i="11"/>
  <c r="AF5" i="10"/>
  <c r="X5" i="10"/>
  <c r="P5" i="10"/>
  <c r="H5" i="10"/>
  <c r="G4" i="10"/>
  <c r="AI5" i="9"/>
  <c r="AA5" i="9"/>
  <c r="S5" i="9"/>
  <c r="K5" i="9"/>
  <c r="C5" i="9"/>
  <c r="B4" i="9"/>
  <c r="AQ5" i="8"/>
  <c r="AI5" i="8"/>
  <c r="AA5" i="8"/>
  <c r="S5" i="8"/>
  <c r="K5" i="8"/>
  <c r="C5" i="8"/>
  <c r="BC4" i="8"/>
  <c r="AU4" i="8"/>
  <c r="AM4" i="8"/>
  <c r="AE4" i="8"/>
  <c r="W4" i="8"/>
  <c r="O4" i="8"/>
  <c r="G4" i="8"/>
  <c r="AN5" i="7"/>
  <c r="AF5" i="7"/>
  <c r="X5" i="7"/>
  <c r="P5" i="7"/>
  <c r="FE5" i="17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BF4" i="14"/>
  <c r="AX4" i="14"/>
  <c r="AP4" i="14"/>
  <c r="AH4" i="14"/>
  <c r="Z4" i="14"/>
  <c r="R4" i="14"/>
  <c r="J4" i="14"/>
  <c r="B4" i="14"/>
  <c r="AD5" i="13"/>
  <c r="V5" i="13"/>
  <c r="N5" i="13"/>
  <c r="F5" i="13"/>
  <c r="E4" i="13"/>
  <c r="AG5" i="12"/>
  <c r="Y5" i="12"/>
  <c r="Q5" i="12"/>
  <c r="I5" i="12"/>
  <c r="A5" i="12"/>
  <c r="AJ5" i="11"/>
  <c r="AB5" i="11"/>
  <c r="T5" i="11"/>
  <c r="L5" i="11"/>
  <c r="D5" i="11"/>
  <c r="C4" i="11"/>
  <c r="AE5" i="10"/>
  <c r="W5" i="10"/>
  <c r="O5" i="10"/>
  <c r="G5" i="10"/>
  <c r="F4" i="10"/>
  <c r="AH5" i="9"/>
  <c r="Z5" i="9"/>
  <c r="R5" i="9"/>
  <c r="J5" i="9"/>
  <c r="B5" i="9"/>
  <c r="AP5" i="8"/>
  <c r="AH5" i="8"/>
  <c r="Z5" i="8"/>
  <c r="R5" i="8"/>
  <c r="J5" i="8"/>
  <c r="B5" i="8"/>
  <c r="BB4" i="8"/>
  <c r="AT4" i="8"/>
  <c r="AL4" i="8"/>
  <c r="AD4" i="8"/>
  <c r="V4" i="8"/>
  <c r="N4" i="8"/>
  <c r="FD5" i="17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AA4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BE4" i="14"/>
  <c r="AW4" i="14"/>
  <c r="AO4" i="14"/>
  <c r="AG4" i="14"/>
  <c r="Y4" i="14"/>
  <c r="Q4" i="14"/>
  <c r="I4" i="14"/>
  <c r="AC5" i="13"/>
  <c r="U5" i="13"/>
  <c r="M5" i="13"/>
  <c r="E5" i="13"/>
  <c r="D4" i="13"/>
  <c r="AF5" i="12"/>
  <c r="X5" i="12"/>
  <c r="P5" i="12"/>
  <c r="H5" i="12"/>
  <c r="G4" i="12"/>
  <c r="AI5" i="11"/>
  <c r="AA5" i="11"/>
  <c r="S5" i="11"/>
  <c r="K5" i="11"/>
  <c r="C5" i="11"/>
  <c r="B4" i="11"/>
  <c r="AD5" i="10"/>
  <c r="V5" i="10"/>
  <c r="N5" i="10"/>
  <c r="F5" i="10"/>
  <c r="E4" i="10"/>
  <c r="AG5" i="9"/>
  <c r="FC5" i="17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G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BD4" i="14"/>
  <c r="AV4" i="14"/>
  <c r="AN4" i="14"/>
  <c r="AF4" i="14"/>
  <c r="X4" i="14"/>
  <c r="P4" i="14"/>
  <c r="H4" i="14"/>
  <c r="AJ5" i="13"/>
  <c r="AB5" i="13"/>
  <c r="T5" i="13"/>
  <c r="L5" i="13"/>
  <c r="D5" i="13"/>
  <c r="C4" i="13"/>
  <c r="AE5" i="12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BC4" i="14"/>
  <c r="AU4" i="14"/>
  <c r="AM4" i="14"/>
  <c r="AE4" i="14"/>
  <c r="W4" i="14"/>
  <c r="O4" i="14"/>
  <c r="G4" i="14"/>
  <c r="AI5" i="13"/>
  <c r="AA5" i="13"/>
  <c r="S5" i="13"/>
  <c r="K5" i="13"/>
  <c r="C5" i="13"/>
  <c r="B4" i="13"/>
  <c r="AD5" i="12"/>
  <c r="V5" i="12"/>
  <c r="N5" i="12"/>
  <c r="F5" i="12"/>
  <c r="E4" i="12"/>
  <c r="AG5" i="11"/>
  <c r="Y5" i="11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BA4" i="14"/>
  <c r="AS4" i="14"/>
  <c r="AK4" i="14"/>
  <c r="AC4" i="14"/>
  <c r="U4" i="14"/>
  <c r="M4" i="14"/>
  <c r="E4" i="14"/>
  <c r="AG5" i="13"/>
  <c r="Y5" i="13"/>
  <c r="Q5" i="13"/>
  <c r="I5" i="13"/>
  <c r="A5" i="13"/>
  <c r="AJ5" i="12"/>
  <c r="AB5" i="12"/>
  <c r="T5" i="12"/>
  <c r="L5" i="12"/>
  <c r="D5" i="12"/>
  <c r="C4" i="12"/>
  <c r="AE5" i="11"/>
  <c r="W5" i="11"/>
  <c r="O5" i="11"/>
  <c r="G5" i="11"/>
  <c r="F4" i="11"/>
  <c r="AH5" i="10"/>
  <c r="Z5" i="10"/>
  <c r="R5" i="10"/>
  <c r="J5" i="10"/>
  <c r="B5" i="10"/>
  <c r="E4" i="15"/>
  <c r="BB4" i="14"/>
  <c r="Z5" i="13"/>
  <c r="AC5" i="12"/>
  <c r="G5" i="12"/>
  <c r="AD5" i="11"/>
  <c r="J5" i="11"/>
  <c r="U5" i="10"/>
  <c r="E5" i="10"/>
  <c r="AF5" i="9"/>
  <c r="V5" i="9"/>
  <c r="L5" i="9"/>
  <c r="G4" i="9"/>
  <c r="AT5" i="8"/>
  <c r="AJ5" i="8"/>
  <c r="X5" i="8"/>
  <c r="N5" i="8"/>
  <c r="D5" i="8"/>
  <c r="AZ4" i="8"/>
  <c r="AP4" i="8"/>
  <c r="AF4" i="8"/>
  <c r="T4" i="8"/>
  <c r="J4" i="8"/>
  <c r="AG5" i="7"/>
  <c r="W5" i="7"/>
  <c r="N5" i="7"/>
  <c r="F5" i="7"/>
  <c r="AB4" i="7"/>
  <c r="T4" i="7"/>
  <c r="L4" i="7"/>
  <c r="D4" i="7"/>
  <c r="AG4" i="6"/>
  <c r="Y4" i="6"/>
  <c r="Q4" i="6"/>
  <c r="I4" i="6"/>
  <c r="AE4" i="5"/>
  <c r="W4" i="5"/>
  <c r="O4" i="5"/>
  <c r="G4" i="5"/>
  <c r="K5" i="4"/>
  <c r="C5" i="4"/>
  <c r="L4" i="4"/>
  <c r="D4" i="4"/>
  <c r="D19" i="3"/>
  <c r="D17" i="3"/>
  <c r="D15" i="3"/>
  <c r="D13" i="3"/>
  <c r="D11" i="3"/>
  <c r="D9" i="3"/>
  <c r="D7" i="3"/>
  <c r="D5" i="3"/>
  <c r="C525" i="1"/>
  <c r="A523" i="1"/>
  <c r="B520" i="1"/>
  <c r="C517" i="1"/>
  <c r="A515" i="1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AX5" i="14"/>
  <c r="AT4" i="14"/>
  <c r="R5" i="13"/>
  <c r="AA5" i="12"/>
  <c r="E5" i="12"/>
  <c r="Z5" i="11"/>
  <c r="I5" i="11"/>
  <c r="AJ5" i="10"/>
  <c r="T5" i="10"/>
  <c r="D5" i="10"/>
  <c r="AE5" i="9"/>
  <c r="U5" i="9"/>
  <c r="I5" i="9"/>
  <c r="F4" i="9"/>
  <c r="AS5" i="8"/>
  <c r="AG5" i="8"/>
  <c r="W5" i="8"/>
  <c r="M5" i="8"/>
  <c r="A5" i="8"/>
  <c r="AY4" i="8"/>
  <c r="AO4" i="8"/>
  <c r="AC4" i="8"/>
  <c r="S4" i="8"/>
  <c r="I4" i="8"/>
  <c r="AO5" i="7"/>
  <c r="AE5" i="7"/>
  <c r="V5" i="7"/>
  <c r="M5" i="7"/>
  <c r="E5" i="7"/>
  <c r="AA4" i="7"/>
  <c r="S4" i="7"/>
  <c r="K4" i="7"/>
  <c r="C4" i="7"/>
  <c r="AF4" i="6"/>
  <c r="X4" i="6"/>
  <c r="P4" i="6"/>
  <c r="H4" i="6"/>
  <c r="AD4" i="5"/>
  <c r="V4" i="5"/>
  <c r="N4" i="5"/>
  <c r="F4" i="5"/>
  <c r="J5" i="4"/>
  <c r="B5" i="4"/>
  <c r="K4" i="4"/>
  <c r="C4" i="4"/>
  <c r="C19" i="3"/>
  <c r="C17" i="3"/>
  <c r="C15" i="3"/>
  <c r="C13" i="3"/>
  <c r="C11" i="3"/>
  <c r="C9" i="3"/>
  <c r="C7" i="3"/>
  <c r="C5" i="3"/>
  <c r="B525" i="1"/>
  <c r="C522" i="1"/>
  <c r="A520" i="1"/>
  <c r="B517" i="1"/>
  <c r="C514" i="1"/>
  <c r="A512" i="1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AP5" i="14"/>
  <c r="AL4" i="14"/>
  <c r="J5" i="13"/>
  <c r="W5" i="12"/>
  <c r="C5" i="12"/>
  <c r="X5" i="11"/>
  <c r="H5" i="11"/>
  <c r="AI5" i="10"/>
  <c r="S5" i="10"/>
  <c r="C5" i="10"/>
  <c r="AD5" i="9"/>
  <c r="T5" i="9"/>
  <c r="H5" i="9"/>
  <c r="E4" i="9"/>
  <c r="AR5" i="8"/>
  <c r="AF5" i="8"/>
  <c r="V5" i="8"/>
  <c r="L5" i="8"/>
  <c r="BH4" i="8"/>
  <c r="AX4" i="8"/>
  <c r="AN4" i="8"/>
  <c r="AB4" i="8"/>
  <c r="R4" i="8"/>
  <c r="H4" i="8"/>
  <c r="AM5" i="7"/>
  <c r="AD5" i="7"/>
  <c r="U5" i="7"/>
  <c r="L5" i="7"/>
  <c r="D5" i="7"/>
  <c r="Z4" i="7"/>
  <c r="R4" i="7"/>
  <c r="J4" i="7"/>
  <c r="B4" i="7"/>
  <c r="AE4" i="6"/>
  <c r="W4" i="6"/>
  <c r="O4" i="6"/>
  <c r="G4" i="6"/>
  <c r="AC4" i="5"/>
  <c r="U4" i="5"/>
  <c r="M4" i="5"/>
  <c r="E4" i="5"/>
  <c r="I5" i="4"/>
  <c r="A5" i="4"/>
  <c r="J4" i="4"/>
  <c r="B4" i="4"/>
  <c r="B19" i="3"/>
  <c r="B17" i="3"/>
  <c r="B15" i="3"/>
  <c r="B13" i="3"/>
  <c r="B11" i="3"/>
  <c r="B9" i="3"/>
  <c r="B7" i="3"/>
  <c r="B5" i="3"/>
  <c r="A525" i="1"/>
  <c r="B522" i="1"/>
  <c r="C519" i="1"/>
  <c r="A517" i="1"/>
  <c r="B514" i="1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AH5" i="14"/>
  <c r="AD4" i="14"/>
  <c r="H5" i="13"/>
  <c r="U5" i="12"/>
  <c r="F4" i="12"/>
  <c r="V5" i="11"/>
  <c r="F5" i="11"/>
  <c r="AG5" i="10"/>
  <c r="Q5" i="10"/>
  <c r="A5" i="10"/>
  <c r="AC5" i="9"/>
  <c r="Q5" i="9"/>
  <c r="G5" i="9"/>
  <c r="D4" i="9"/>
  <c r="AO5" i="8"/>
  <c r="AE5" i="8"/>
  <c r="U5" i="8"/>
  <c r="I5" i="8"/>
  <c r="BG4" i="8"/>
  <c r="AW4" i="8"/>
  <c r="AK4" i="8"/>
  <c r="AA4" i="8"/>
  <c r="Q4" i="8"/>
  <c r="F4" i="8"/>
  <c r="AL5" i="7"/>
  <c r="AC5" i="7"/>
  <c r="T5" i="7"/>
  <c r="K5" i="7"/>
  <c r="C5" i="7"/>
  <c r="Y4" i="7"/>
  <c r="Q4" i="7"/>
  <c r="I4" i="7"/>
  <c r="AD4" i="6"/>
  <c r="V4" i="6"/>
  <c r="N4" i="6"/>
  <c r="F4" i="6"/>
  <c r="C5" i="5"/>
  <c r="AB4" i="5"/>
  <c r="T4" i="5"/>
  <c r="L4" i="5"/>
  <c r="D4" i="5"/>
  <c r="H5" i="4"/>
  <c r="Q4" i="4"/>
  <c r="I4" i="4"/>
  <c r="A19" i="3"/>
  <c r="A17" i="3"/>
  <c r="A15" i="3"/>
  <c r="A13" i="3"/>
  <c r="A11" i="3"/>
  <c r="A9" i="3"/>
  <c r="A7" i="3"/>
  <c r="A5" i="3"/>
  <c r="C524" i="1"/>
  <c r="A522" i="1"/>
  <c r="B519" i="1"/>
  <c r="C516" i="1"/>
  <c r="A514" i="1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Z5" i="14"/>
  <c r="V4" i="14"/>
  <c r="B5" i="13"/>
  <c r="S5" i="12"/>
  <c r="D4" i="12"/>
  <c r="R5" i="11"/>
  <c r="B5" i="11"/>
  <c r="AC5" i="10"/>
  <c r="M5" i="10"/>
  <c r="D4" i="10"/>
  <c r="AB5" i="9"/>
  <c r="P5" i="9"/>
  <c r="F5" i="9"/>
  <c r="C4" i="9"/>
  <c r="AN5" i="8"/>
  <c r="AD5" i="8"/>
  <c r="T5" i="8"/>
  <c r="H5" i="8"/>
  <c r="BF4" i="8"/>
  <c r="AV4" i="8"/>
  <c r="AJ4" i="8"/>
  <c r="Z4" i="8"/>
  <c r="P4" i="8"/>
  <c r="E4" i="8"/>
  <c r="AK5" i="7"/>
  <c r="AB5" i="7"/>
  <c r="S5" i="7"/>
  <c r="J5" i="7"/>
  <c r="B5" i="7"/>
  <c r="X4" i="7"/>
  <c r="P4" i="7"/>
  <c r="H4" i="7"/>
  <c r="D5" i="6"/>
  <c r="AC4" i="6"/>
  <c r="U4" i="6"/>
  <c r="M4" i="6"/>
  <c r="E4" i="6"/>
  <c r="B5" i="5"/>
  <c r="AA4" i="5"/>
  <c r="S4" i="5"/>
  <c r="K4" i="5"/>
  <c r="C4" i="5"/>
  <c r="G5" i="4"/>
  <c r="P4" i="4"/>
  <c r="H4" i="4"/>
  <c r="D20" i="3"/>
  <c r="D18" i="3"/>
  <c r="D16" i="3"/>
  <c r="D14" i="3"/>
  <c r="D12" i="3"/>
  <c r="D10" i="3"/>
  <c r="D8" i="3"/>
  <c r="D6" i="3"/>
  <c r="D4" i="3"/>
  <c r="B524" i="1"/>
  <c r="C521" i="1"/>
  <c r="A519" i="1"/>
  <c r="B516" i="1"/>
  <c r="C513" i="1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R5" i="14"/>
  <c r="N4" i="14"/>
  <c r="G4" i="13"/>
  <c r="O5" i="12"/>
  <c r="B4" i="12"/>
  <c r="Q5" i="11"/>
  <c r="A5" i="11"/>
  <c r="AB5" i="10"/>
  <c r="L5" i="10"/>
  <c r="C4" i="10"/>
  <c r="Y5" i="9"/>
  <c r="O5" i="9"/>
  <c r="E5" i="9"/>
  <c r="AW5" i="8"/>
  <c r="AM5" i="8"/>
  <c r="AC5" i="8"/>
  <c r="Q5" i="8"/>
  <c r="G5" i="8"/>
  <c r="BE4" i="8"/>
  <c r="AS4" i="8"/>
  <c r="AI4" i="8"/>
  <c r="Y4" i="8"/>
  <c r="M4" i="8"/>
  <c r="D4" i="8"/>
  <c r="AJ5" i="7"/>
  <c r="AA5" i="7"/>
  <c r="R5" i="7"/>
  <c r="I5" i="7"/>
  <c r="A5" i="7"/>
  <c r="W4" i="7"/>
  <c r="O4" i="7"/>
  <c r="G4" i="7"/>
  <c r="C5" i="6"/>
  <c r="AB4" i="6"/>
  <c r="T4" i="6"/>
  <c r="L4" i="6"/>
  <c r="D4" i="6"/>
  <c r="A5" i="5"/>
  <c r="Z4" i="5"/>
  <c r="R4" i="5"/>
  <c r="J4" i="5"/>
  <c r="B4" i="5"/>
  <c r="F5" i="4"/>
  <c r="O4" i="4"/>
  <c r="G4" i="4"/>
  <c r="C20" i="3"/>
  <c r="C18" i="3"/>
  <c r="C16" i="3"/>
  <c r="C14" i="3"/>
  <c r="C12" i="3"/>
  <c r="C10" i="3"/>
  <c r="C8" i="3"/>
  <c r="C6" i="3"/>
  <c r="C4" i="3"/>
  <c r="A524" i="1"/>
  <c r="B521" i="1"/>
  <c r="C518" i="1"/>
  <c r="A516" i="1"/>
  <c r="B513" i="1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J5" i="14"/>
  <c r="F4" i="14"/>
  <c r="M5" i="12"/>
  <c r="AH5" i="11"/>
  <c r="P5" i="11"/>
  <c r="G4" i="11"/>
  <c r="AA5" i="10"/>
  <c r="K5" i="10"/>
  <c r="B4" i="10"/>
  <c r="X5" i="9"/>
  <c r="N5" i="9"/>
  <c r="D5" i="9"/>
  <c r="AV5" i="8"/>
  <c r="AL5" i="8"/>
  <c r="AB5" i="8"/>
  <c r="P5" i="8"/>
  <c r="F5" i="8"/>
  <c r="BD4" i="8"/>
  <c r="AR4" i="8"/>
  <c r="AH4" i="8"/>
  <c r="X4" i="8"/>
  <c r="L4" i="8"/>
  <c r="C4" i="8"/>
  <c r="AI5" i="7"/>
  <c r="Z5" i="7"/>
  <c r="Q5" i="7"/>
  <c r="H5" i="7"/>
  <c r="AD4" i="7"/>
  <c r="V4" i="7"/>
  <c r="N4" i="7"/>
  <c r="F4" i="7"/>
  <c r="B5" i="6"/>
  <c r="AA4" i="6"/>
  <c r="S4" i="6"/>
  <c r="K4" i="6"/>
  <c r="C4" i="6"/>
  <c r="AG4" i="5"/>
  <c r="Y4" i="5"/>
  <c r="Q4" i="5"/>
  <c r="I4" i="5"/>
  <c r="E5" i="4"/>
  <c r="N4" i="4"/>
  <c r="F4" i="4"/>
  <c r="B20" i="3"/>
  <c r="B18" i="3"/>
  <c r="B16" i="3"/>
  <c r="B14" i="3"/>
  <c r="B12" i="3"/>
  <c r="B10" i="3"/>
  <c r="B8" i="3"/>
  <c r="B6" i="3"/>
  <c r="B4" i="3"/>
  <c r="C523" i="1"/>
  <c r="A521" i="1"/>
  <c r="B518" i="1"/>
  <c r="C515" i="1"/>
  <c r="A513" i="1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B5" i="14"/>
  <c r="AH5" i="13"/>
  <c r="AI5" i="12"/>
  <c r="K5" i="12"/>
  <c r="AF5" i="11"/>
  <c r="N5" i="11"/>
  <c r="E4" i="11"/>
  <c r="Y5" i="10"/>
  <c r="I5" i="10"/>
  <c r="AJ5" i="9"/>
  <c r="W5" i="9"/>
  <c r="M5" i="9"/>
  <c r="A5" i="9"/>
  <c r="AU5" i="8"/>
  <c r="AK5" i="8"/>
  <c r="Y5" i="8"/>
  <c r="O5" i="8"/>
  <c r="E5" i="8"/>
  <c r="BA4" i="8"/>
  <c r="AQ4" i="8"/>
  <c r="AG4" i="8"/>
  <c r="U4" i="8"/>
  <c r="K4" i="8"/>
  <c r="B4" i="8"/>
  <c r="AH5" i="7"/>
  <c r="Y5" i="7"/>
  <c r="O5" i="7"/>
  <c r="G5" i="7"/>
  <c r="AC4" i="7"/>
  <c r="U4" i="7"/>
  <c r="M4" i="7"/>
  <c r="E4" i="7"/>
  <c r="A5" i="6"/>
  <c r="Z4" i="6"/>
  <c r="R4" i="6"/>
  <c r="J4" i="6"/>
  <c r="B4" i="6"/>
  <c r="AF4" i="5"/>
  <c r="X4" i="5"/>
  <c r="P4" i="5"/>
  <c r="H4" i="5"/>
  <c r="L5" i="4"/>
  <c r="D5" i="4"/>
  <c r="M4" i="4"/>
  <c r="E4" i="4"/>
  <c r="A20" i="3"/>
  <c r="A18" i="3"/>
  <c r="A16" i="3"/>
  <c r="A14" i="3"/>
  <c r="A12" i="3"/>
  <c r="A10" i="3"/>
  <c r="A8" i="3"/>
  <c r="A6" i="3"/>
  <c r="A4" i="3"/>
  <c r="B523" i="1"/>
  <c r="C520" i="1"/>
  <c r="A518" i="1"/>
  <c r="B515" i="1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458" i="1"/>
  <c r="C439" i="1"/>
  <c r="B429" i="1"/>
  <c r="B423" i="1"/>
  <c r="A418" i="1"/>
  <c r="C412" i="1"/>
  <c r="B407" i="1"/>
  <c r="A402" i="1"/>
  <c r="C396" i="1"/>
  <c r="B391" i="1"/>
  <c r="A386" i="1"/>
  <c r="C380" i="1"/>
  <c r="B375" i="1"/>
  <c r="A370" i="1"/>
  <c r="C364" i="1"/>
  <c r="B359" i="1"/>
  <c r="A354" i="1"/>
  <c r="A349" i="1"/>
  <c r="B345" i="1"/>
  <c r="A342" i="1"/>
  <c r="B338" i="1"/>
  <c r="C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B455" i="1"/>
  <c r="B439" i="1"/>
  <c r="A429" i="1"/>
  <c r="C422" i="1"/>
  <c r="B417" i="1"/>
  <c r="A412" i="1"/>
  <c r="C406" i="1"/>
  <c r="B401" i="1"/>
  <c r="A396" i="1"/>
  <c r="C390" i="1"/>
  <c r="B385" i="1"/>
  <c r="A380" i="1"/>
  <c r="C374" i="1"/>
  <c r="B369" i="1"/>
  <c r="A364" i="1"/>
  <c r="C358" i="1"/>
  <c r="B353" i="1"/>
  <c r="C348" i="1"/>
  <c r="A345" i="1"/>
  <c r="B341" i="1"/>
  <c r="A338" i="1"/>
  <c r="B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474" i="1"/>
  <c r="C452" i="1"/>
  <c r="A437" i="1"/>
  <c r="C428" i="1"/>
  <c r="B421" i="1"/>
  <c r="A416" i="1"/>
  <c r="C410" i="1"/>
  <c r="B405" i="1"/>
  <c r="A400" i="1"/>
  <c r="C394" i="1"/>
  <c r="B389" i="1"/>
  <c r="A384" i="1"/>
  <c r="C378" i="1"/>
  <c r="B373" i="1"/>
  <c r="A368" i="1"/>
  <c r="C362" i="1"/>
  <c r="B357" i="1"/>
  <c r="A352" i="1"/>
  <c r="A348" i="1"/>
  <c r="C344" i="1"/>
  <c r="A341" i="1"/>
  <c r="B337" i="1"/>
  <c r="A334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B471" i="1"/>
  <c r="A450" i="1"/>
  <c r="C436" i="1"/>
  <c r="C426" i="1"/>
  <c r="A421" i="1"/>
  <c r="C415" i="1"/>
  <c r="B410" i="1"/>
  <c r="A405" i="1"/>
  <c r="C399" i="1"/>
  <c r="B394" i="1"/>
  <c r="A389" i="1"/>
  <c r="C383" i="1"/>
  <c r="B378" i="1"/>
  <c r="A373" i="1"/>
  <c r="C367" i="1"/>
  <c r="B362" i="1"/>
  <c r="A357" i="1"/>
  <c r="C351" i="1"/>
  <c r="C347" i="1"/>
  <c r="A344" i="1"/>
  <c r="C340" i="1"/>
  <c r="A337" i="1"/>
  <c r="C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C468" i="1"/>
  <c r="B447" i="1"/>
  <c r="B434" i="1"/>
  <c r="B426" i="1"/>
  <c r="C420" i="1"/>
  <c r="B415" i="1"/>
  <c r="A410" i="1"/>
  <c r="C404" i="1"/>
  <c r="B399" i="1"/>
  <c r="A394" i="1"/>
  <c r="C388" i="1"/>
  <c r="B383" i="1"/>
  <c r="A378" i="1"/>
  <c r="C372" i="1"/>
  <c r="B367" i="1"/>
  <c r="A362" i="1"/>
  <c r="C356" i="1"/>
  <c r="B351" i="1"/>
  <c r="B347" i="1"/>
  <c r="C343" i="1"/>
  <c r="A340" i="1"/>
  <c r="C336" i="1"/>
  <c r="B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A466" i="1"/>
  <c r="C444" i="1"/>
  <c r="A434" i="1"/>
  <c r="A426" i="1"/>
  <c r="A420" i="1"/>
  <c r="C414" i="1"/>
  <c r="B409" i="1"/>
  <c r="A404" i="1"/>
  <c r="C398" i="1"/>
  <c r="B393" i="1"/>
  <c r="A388" i="1"/>
  <c r="C382" i="1"/>
  <c r="B377" i="1"/>
  <c r="A372" i="1"/>
  <c r="C366" i="1"/>
  <c r="B361" i="1"/>
  <c r="A356" i="1"/>
  <c r="C350" i="1"/>
  <c r="C346" i="1"/>
  <c r="B343" i="1"/>
  <c r="C339" i="1"/>
  <c r="A336" i="1"/>
  <c r="A333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B463" i="1"/>
  <c r="B442" i="1"/>
  <c r="C431" i="1"/>
  <c r="A424" i="1"/>
  <c r="C418" i="1"/>
  <c r="B413" i="1"/>
  <c r="A408" i="1"/>
  <c r="C402" i="1"/>
  <c r="B397" i="1"/>
  <c r="A392" i="1"/>
  <c r="C386" i="1"/>
  <c r="B381" i="1"/>
  <c r="A376" i="1"/>
  <c r="C370" i="1"/>
  <c r="B365" i="1"/>
  <c r="A360" i="1"/>
  <c r="C354" i="1"/>
  <c r="A350" i="1"/>
  <c r="B346" i="1"/>
  <c r="C342" i="1"/>
  <c r="B339" i="1"/>
  <c r="C335" i="1"/>
  <c r="C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C460" i="1"/>
  <c r="A442" i="1"/>
  <c r="B431" i="1"/>
  <c r="C423" i="1"/>
  <c r="B418" i="1"/>
  <c r="A413" i="1"/>
  <c r="C407" i="1"/>
  <c r="B402" i="1"/>
  <c r="A397" i="1"/>
  <c r="C391" i="1"/>
  <c r="B386" i="1"/>
  <c r="A381" i="1"/>
  <c r="C375" i="1"/>
  <c r="B370" i="1"/>
  <c r="A365" i="1"/>
  <c r="C359" i="1"/>
  <c r="B354" i="1"/>
  <c r="B349" i="1"/>
  <c r="A346" i="1"/>
  <c r="B342" i="1"/>
  <c r="C338" i="1"/>
  <c r="B335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4" i="1"/>
  <c r="C8" i="1"/>
  <c r="A55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C16" i="1"/>
  <c r="B7" i="1"/>
  <c r="C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11" i="1"/>
  <c r="C4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A14" i="1"/>
  <c r="A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8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B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J2" i="12" l="1"/>
  <c r="J2" i="15"/>
  <c r="J2" i="9"/>
  <c r="J2" i="14"/>
  <c r="J2" i="17"/>
  <c r="J2" i="16"/>
  <c r="J2" i="10"/>
  <c r="J2" i="11"/>
  <c r="J2" i="8"/>
  <c r="J2" i="6"/>
  <c r="J2" i="7"/>
  <c r="J2" i="4"/>
  <c r="J2" i="13"/>
  <c r="J2" i="5"/>
</calcChain>
</file>

<file path=xl/sharedStrings.xml><?xml version="1.0" encoding="utf-8"?>
<sst xmlns="http://schemas.openxmlformats.org/spreadsheetml/2006/main" count="339" uniqueCount="86">
  <si>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</si>
  <si>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</si>
  <si>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</si>
  <si>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</si>
  <si>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</si>
  <si>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</si>
  <si>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</si>
  <si>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</si>
  <si>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</si>
  <si>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</si>
  <si>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</si>
  <si>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</si>
  <si>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</si>
  <si>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</si>
  <si>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</si>
  <si>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</si>
  <si>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</si>
  <si>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DefinePercent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</si>
  <si>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</si>
  <si>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</si>
  <si>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</si>
  <si>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</si>
  <si>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</si>
  <si>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</si>
  <si>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</si>
  <si>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CreateStageOrder</t>
  </si>
  <si>
    <t>AAPL</t>
  </si>
  <si>
    <t>Buy</t>
  </si>
  <si>
    <t>MSFT</t>
  </si>
  <si>
    <t>Sell</t>
  </si>
  <si>
    <t>Blotter</t>
  </si>
  <si>
    <t>MultiTradingTicketFromBlotter</t>
  </si>
  <si>
    <t>NASDAQ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</si>
  <si>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</si>
  <si>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</si>
  <si>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</si>
  <si>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</si>
  <si>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</si>
  <si>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</si>
  <si>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</si>
  <si>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</si>
  <si>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DoneAwayUsingMTT</t>
  </si>
  <si>
    <t>VerifyOrder</t>
  </si>
  <si>
    <t>jpearce</t>
  </si>
  <si>
    <t>US</t>
  </si>
  <si>
    <t>M</t>
  </si>
  <si>
    <t>Filled</t>
  </si>
  <si>
    <t>Allocation</t>
  </si>
  <si>
    <t>GetDataAllocation</t>
  </si>
  <si>
    <t>Current</t>
  </si>
  <si>
    <t>CheckAllocatedGroups</t>
  </si>
  <si>
    <t>Open</t>
  </si>
  <si>
    <t>APPLE</t>
  </si>
  <si>
    <t>False</t>
  </si>
  <si>
    <t>True</t>
  </si>
  <si>
    <t>MICROSOFT INC</t>
  </si>
  <si>
    <t>PortfolioManagement</t>
  </si>
  <si>
    <t>CheckPortfolioManagement</t>
  </si>
  <si>
    <t>NewMF</t>
  </si>
  <si>
    <t>Long</t>
  </si>
  <si>
    <t>0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</si>
  <si>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</si>
  <si>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</si>
  <si>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</si>
  <si>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</si>
  <si>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</si>
  <si>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</si>
  <si>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</si>
  <si>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</si>
  <si>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</si>
  <si>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</si>
  <si>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</si>
  <si>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</si>
  <si>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</si>
  <si>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</si>
  <si>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</si>
  <si>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</si>
  <si>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NewMF1</t>
  </si>
  <si>
    <t>Short</t>
  </si>
  <si>
    <t>Equity General</t>
  </si>
  <si>
    <t>Information Technology</t>
  </si>
  <si>
    <t>Copper</t>
  </si>
  <si>
    <t>MSFT US EQUITY</t>
  </si>
  <si>
    <t>UNITED STATES</t>
  </si>
  <si>
    <t>MSFT UDA1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</si>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</sst>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14" fontId="3" fillId="0" borderId="5" xfId="0" applyNumberFormat="1" applyFont="1" applyBorder="1" applyAlignment="1"/>
    <xf numFmtId="3" fontId="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4" t="s">
        <v>0</v>
      </c>
      <c r="B1" s="45"/>
      <c r="C1" s="45"/>
      <c r="D1" s="45"/>
      <c r="E1" s="45"/>
      <c r="F1" s="4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IFERROR(__xludf.DUMMYFUNCTION("""COMPUTED_VALUE"""),"1jtd0OYtnm21_vMCd-CSKixcC_TN7ginWcJ7PR714zDw")</f>
        <v>1jtd0OYtnm21_vMCd-CSKixcC_TN7ginWcJ7PR714zDw</v>
      </c>
    </row>
    <row r="513" spans="1:3" ht="15.75" customHeight="1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IFERROR(__xludf.DUMMYFUNCTION("""COMPUTED_VALUE"""),"1l9IRaSGDow3z943y-v24KT4bLSa2nLFzzrJx6XQozpY")</f>
        <v>1l9IRaSGDow3z943y-v24KT4bLSa2nLFzzrJx6XQozpY</v>
      </c>
    </row>
    <row r="514" spans="1:3" ht="15.75" customHeight="1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IFERROR(__xludf.DUMMYFUNCTION("""COMPUTED_VALUE"""),"18SVZSt8o151Ibqp7S3Ge-27pHb5fW7wNT71WgA_kP_8")</f>
        <v>18SVZSt8o151Ibqp7S3Ge-27pHb5fW7wNT71WgA_kP_8</v>
      </c>
    </row>
    <row r="515" spans="1:3" ht="15.75" customHeight="1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IFERROR(__xludf.DUMMYFUNCTION("""COMPUTED_VALUE"""),"1yORtQDYWOiS9sGzwmSy3jeH1KeWbwIscJSVtvVljcqk")</f>
        <v>1yORtQDYWOiS9sGzwmSy3jeH1KeWbwIscJSVtvVljcqk</v>
      </c>
    </row>
    <row r="516" spans="1:3" ht="15.75" customHeight="1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IFERROR(__xludf.DUMMYFUNCTION("""COMPUTED_VALUE"""),"1tHcWqzzT9x7_tjIYlb_jsMu7VunfhVIyqGIWGIXOrQE")</f>
        <v>1tHcWqzzT9x7_tjIYlb_jsMu7VunfhVIyqGIWGIXOrQE</v>
      </c>
    </row>
    <row r="517" spans="1:3" ht="15.75" customHeight="1">
      <c r="A517" t="str">
        <f ca="1">IFERROR(__xludf.DUMMYFUNCTION("""COMPUTED_VALUE"""),"PortfolioManagement")</f>
        <v>PortfolioManagement</v>
      </c>
      <c r="B517" t="str">
        <f ca="1">IFERROR(__xludf.DUMMYFUNCTION("""COMPUTED_VALUE"""),"IncreasePositionFromPM")</f>
        <v>IncreasePositionFromPM</v>
      </c>
      <c r="C517" t="str">
        <f ca="1">IFERROR(__xludf.DUMMYFUNCTION("""COMPUTED_VALUE"""),"1eE569Brgsjqyathy0MKO50Wmj5QCDLuax0S-29Hix4A")</f>
        <v>1eE569Brgsjqyathy0MKO50Wmj5QCDLuax0S-29Hix4A</v>
      </c>
    </row>
    <row r="518" spans="1:3" ht="15.75" customHeight="1">
      <c r="A518" t="str">
        <f ca="1">IFERROR(__xludf.DUMMYFUNCTION("""COMPUTED_VALUE"""),"TradingTicket")</f>
        <v>TradingTicket</v>
      </c>
      <c r="B518" t="str">
        <f ca="1">IFERROR(__xludf.DUMMYFUNCTION("""COMPUTED_VALUE"""),"SendLiveBloomberg")</f>
        <v>SendLiveBloomberg</v>
      </c>
      <c r="C518" t="str">
        <f ca="1">IFERROR(__xludf.DUMMYFUNCTION("""COMPUTED_VALUE"""),"1jm-Rrun0S1nkf5N9L0XR0cK07laQ4i2IyhTZ_88GUUQ")</f>
        <v>1jm-Rrun0S1nkf5N9L0XR0cK07laQ4i2IyhTZ_88GUUQ</v>
      </c>
    </row>
    <row r="519" spans="1:3" ht="15.75" customHeight="1">
      <c r="A519" t="str">
        <f ca="1">IFERROR(__xludf.DUMMYFUNCTION("""COMPUTED_VALUE"""),"Blotter")</f>
        <v>Blotter</v>
      </c>
      <c r="B519" t="str">
        <f ca="1">IFERROR(__xludf.DUMMYFUNCTION("""COMPUTED_VALUE"""),"ReloadOrderFromBlotter")</f>
        <v>ReloadOrderFromBlotter</v>
      </c>
      <c r="C519" t="str">
        <f ca="1">IFERROR(__xludf.DUMMYFUNCTION("""COMPUTED_VALUE"""),"1GnRgq3n2FmksmM-vQvyFRWFLBbtVf3YzhzcYjkk8r48")</f>
        <v>1GnRgq3n2FmksmM-vQvyFRWFLBbtVf3YzhzcYjkk8r48</v>
      </c>
    </row>
    <row r="520" spans="1:3" ht="15.75" customHeight="1">
      <c r="A520" t="str">
        <f ca="1">IFERROR(__xludf.DUMMYFUNCTION("""COMPUTED_VALUE"""),"TradingTicket")</f>
        <v>TradingTicket</v>
      </c>
      <c r="B520" t="str">
        <f ca="1">IFERROR(__xludf.DUMMYFUNCTION("""COMPUTED_VALUE"""),"AddOptionTrade")</f>
        <v>AddOptionTrade</v>
      </c>
      <c r="C520" t="str">
        <f ca="1">IFERROR(__xludf.DUMMYFUNCTION("""COMPUTED_VALUE"""),"1S77RUpuNPEdRdFAsltgJ4BQ2n1UATWQLWerXZ4PXTkk")</f>
        <v>1S77RUpuNPEdRdFAsltgJ4BQ2n1UATWQLWerXZ4PXTkk</v>
      </c>
    </row>
    <row r="521" spans="1:3" ht="15.75" customHeight="1">
      <c r="A521" t="str">
        <f ca="1">IFERROR(__xludf.DUMMYFUNCTION("""COMPUTED_VALUE"""),"Closing")</f>
        <v>Closing</v>
      </c>
      <c r="B521" t="str">
        <f ca="1">IFERROR(__xludf.DUMMYFUNCTION("""COMPUTED_VALUE"""),"AutoExercise")</f>
        <v>AutoExercise</v>
      </c>
      <c r="C521" t="str">
        <f ca="1">IFERROR(__xludf.DUMMYFUNCTION("""COMPUTED_VALUE"""),"1hfy0JEIqBV_drZcgmDPPTyHwSQxbE1sD97UL33FyUKI")</f>
        <v>1hfy0JEIqBV_drZcgmDPPTyHwSQxbE1sD97UL33FyUKI</v>
      </c>
    </row>
    <row r="522" spans="1:3" ht="15.75" customHeight="1">
      <c r="A522" t="str">
        <f ca="1">IFERROR(__xludf.DUMMYFUNCTION("""COMPUTED_VALUE"""),"Admin")</f>
        <v>Admin</v>
      </c>
      <c r="B522" t="str">
        <f ca="1">IFERROR(__xludf.DUMMYFUNCTION("""COMPUTED_VALUE"""),"UpdateExpirationDate")</f>
        <v>UpdateExpirationDate</v>
      </c>
      <c r="C522" t="str">
        <f ca="1">IFERROR(__xludf.DUMMYFUNCTION("""COMPUTED_VALUE"""),"1dylWul81BFmbZVj_Z-Xiz11zLj_QrhKk5QXK_mf_uUE")</f>
        <v>1dylWul81BFmbZVj_Z-Xiz11zLj_QrhKk5QXK_mf_uUE</v>
      </c>
    </row>
    <row r="523" spans="1:3" ht="15.75" customHeight="1">
      <c r="A523" t="str">
        <f ca="1">IFERROR(__xludf.DUMMYFUNCTION("""COMPUTED_VALUE"""),"Blotter")</f>
        <v>Blotter</v>
      </c>
      <c r="B523" t="str">
        <f ca="1">IFERROR(__xludf.DUMMYFUNCTION("""COMPUTED_VALUE"""),"ReloadOrderFromSubOrder")</f>
        <v>ReloadOrderFromSubOrder</v>
      </c>
      <c r="C523" t="str">
        <f ca="1">IFERROR(__xludf.DUMMYFUNCTION("""COMPUTED_VALUE"""),"1HCRddvgPCwJLqnfI7ts10VrFX5EFtgDXaYOCFKQa5Hw")</f>
        <v>1HCRddvgPCwJLqnfI7ts10VrFX5EFtgDXaYOCFKQa5Hw</v>
      </c>
    </row>
    <row r="524" spans="1:3" ht="15.75" customHeight="1">
      <c r="A524" t="str">
        <f ca="1">IFERROR(__xludf.DUMMYFUNCTION("""COMPUTED_VALUE"""),"Blotter")</f>
        <v>Blotter</v>
      </c>
      <c r="B524" t="str">
        <f ca="1">IFERROR(__xludf.DUMMYFUNCTION("""COMPUTED_VALUE"""),"ReloadOrderFromWorkingSubs")</f>
        <v>ReloadOrderFromWorkingSubs</v>
      </c>
      <c r="C524" t="str">
        <f ca="1">IFERROR(__xludf.DUMMYFUNCTION("""COMPUTED_VALUE"""),"1-0deCunA0B5gH5_QgjFRQJkWoWhaKLyiNrCl5nK7g5k")</f>
        <v>1-0deCunA0B5gH5_QgjFRQJkWoWhaKLyiNrCl5nK7g5k</v>
      </c>
    </row>
    <row r="525" spans="1:3" ht="15.75" customHeight="1">
      <c r="A525" t="str">
        <f ca="1">IFERROR(__xludf.DUMMYFUNCTION("""COMPUTED_VALUE"""),"Blotter")</f>
        <v>Blotter</v>
      </c>
      <c r="B525" t="str">
        <f ca="1">IFERROR(__xludf.DUMMYFUNCTION("""COMPUTED_VALUE"""),"SelectFills")</f>
        <v>SelectFills</v>
      </c>
      <c r="C525" t="str">
        <f ca="1">IFERROR(__xludf.DUMMYFUNCTION("""COMPUTED_VALUE"""),"1Z7QxmNsys5SzZV3G-2XqSn0OdEXfUG5t0ZPmwtyFCL8")</f>
        <v>1Z7QxmNsys5SzZV3G-2XqSn0OdEXfUG5t0ZPmwtyFCL8</v>
      </c>
    </row>
    <row r="526" spans="1:3" ht="15.75" customHeight="1"/>
    <row r="527" spans="1:3" ht="15.75" customHeight="1"/>
    <row r="528" spans="1: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7" t="s">
        <v>2</v>
      </c>
      <c r="B1" s="45"/>
      <c r="C1" s="4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4" t="s">
        <v>7</v>
      </c>
      <c r="B1" s="45"/>
      <c r="C1" s="45"/>
      <c r="D1" s="45"/>
      <c r="E1" s="45"/>
      <c r="F1" s="4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 t="str">
        <f ca="1">IFERROR(__xludf.DUMMYFUNCTION("""COMPUTED_VALUE"""),"UpdateExpirationDate")</f>
        <v>UpdateExpirationDate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8" t="b">
        <v>1</v>
      </c>
      <c r="E6" s="27"/>
      <c r="F6" s="27"/>
      <c r="G6" s="27"/>
      <c r="H6" s="29">
        <v>10</v>
      </c>
      <c r="I6" s="27"/>
      <c r="J6" s="27"/>
      <c r="K6" s="27" t="s">
        <v>16</v>
      </c>
      <c r="L6" s="27" t="s">
        <v>17</v>
      </c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1">
        <f t="shared" ref="B6:C6" ca="1" si="0">TODAY()-1</f>
        <v>44458</v>
      </c>
      <c r="C6" s="32">
        <f t="shared" ca="1" si="0"/>
        <v>44458</v>
      </c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21</v>
      </c>
      <c r="C6" s="7" t="s">
        <v>22</v>
      </c>
      <c r="D6" s="7">
        <v>100000</v>
      </c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6" t="s">
        <v>23</v>
      </c>
      <c r="C7" s="7" t="s">
        <v>22</v>
      </c>
      <c r="D7" s="7">
        <v>100000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 t="str">
        <f ca="1">IFERROR(__xludf.DUMMYFUNCTION("""COMPUTED_VALUE"""),"AddOptionTrade")</f>
        <v>AddOptionTrade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 t="str">
        <f ca="1">IFERROR(__xludf.DUMMYFUNCTION("""COMPUTED_VALUE"""),"ShortLocate")</f>
        <v>ShortLocate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27</v>
      </c>
      <c r="D6" s="7">
        <v>100</v>
      </c>
      <c r="E6" s="7">
        <v>100</v>
      </c>
      <c r="F6" s="7" t="s">
        <v>21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28</v>
      </c>
      <c r="C7" s="7" t="s">
        <v>29</v>
      </c>
      <c r="D7" s="7">
        <v>10000</v>
      </c>
      <c r="E7" s="7">
        <v>10000</v>
      </c>
      <c r="F7" s="7" t="s">
        <v>23</v>
      </c>
      <c r="G7" s="5"/>
      <c r="H7" s="5"/>
      <c r="I7" s="5"/>
      <c r="J7" s="7">
        <v>100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0</v>
      </c>
      <c r="E6" s="33"/>
      <c r="F6" s="5"/>
      <c r="G6" s="5"/>
      <c r="H6" s="7" t="s">
        <v>32</v>
      </c>
      <c r="I6" s="5"/>
      <c r="J6" s="5"/>
      <c r="K6" s="5"/>
      <c r="L6" s="5"/>
      <c r="M6" s="5"/>
      <c r="N6" s="5"/>
      <c r="O6" s="5"/>
      <c r="AD6" s="6">
        <v>1</v>
      </c>
      <c r="AH6" s="6" t="s">
        <v>33</v>
      </c>
      <c r="AI6" s="6" t="s">
        <v>26</v>
      </c>
      <c r="AJ6" s="6" t="s">
        <v>27</v>
      </c>
      <c r="AK6" s="6" t="s">
        <v>34</v>
      </c>
      <c r="AL6" s="6">
        <v>100</v>
      </c>
      <c r="AP6" s="6">
        <v>100</v>
      </c>
      <c r="AS6" s="6" t="s">
        <v>35</v>
      </c>
      <c r="AT6" s="6" t="s">
        <v>21</v>
      </c>
      <c r="AU6" s="6" t="s">
        <v>36</v>
      </c>
    </row>
    <row r="7" spans="1:154" ht="15.75" customHeight="1">
      <c r="A7" s="5"/>
      <c r="B7" s="5"/>
      <c r="C7" s="5"/>
      <c r="D7" s="7">
        <v>0</v>
      </c>
      <c r="E7" s="5"/>
      <c r="F7" s="5"/>
      <c r="G7" s="5"/>
      <c r="H7" s="7" t="s">
        <v>32</v>
      </c>
      <c r="I7" s="5"/>
      <c r="J7" s="5"/>
      <c r="K7" s="5"/>
      <c r="L7" s="5"/>
      <c r="M7" s="5"/>
      <c r="N7" s="5"/>
      <c r="O7" s="5"/>
      <c r="AD7" s="6">
        <v>1</v>
      </c>
      <c r="AH7" s="6" t="s">
        <v>33</v>
      </c>
      <c r="AI7" s="6" t="s">
        <v>28</v>
      </c>
      <c r="AJ7" s="6" t="s">
        <v>29</v>
      </c>
      <c r="AK7" s="6" t="s">
        <v>34</v>
      </c>
      <c r="AL7" s="6">
        <v>10000</v>
      </c>
      <c r="AP7" s="6">
        <v>10000</v>
      </c>
      <c r="AS7" s="6" t="s">
        <v>35</v>
      </c>
      <c r="AT7" s="6" t="s">
        <v>23</v>
      </c>
      <c r="AU7" s="6" t="s">
        <v>36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27</v>
      </c>
      <c r="D6" s="7">
        <v>100</v>
      </c>
      <c r="E6" s="7">
        <v>100</v>
      </c>
      <c r="F6" s="7" t="s">
        <v>21</v>
      </c>
      <c r="G6" s="7" t="s">
        <v>35</v>
      </c>
      <c r="H6" s="5"/>
      <c r="I6" s="7" t="s">
        <v>36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4" t="s">
        <v>40</v>
      </c>
      <c r="C6" s="35" t="s">
        <v>40</v>
      </c>
      <c r="D6" s="35" t="s">
        <v>40</v>
      </c>
      <c r="E6" s="35" t="s">
        <v>40</v>
      </c>
      <c r="F6" s="35"/>
      <c r="G6" s="27"/>
      <c r="H6" s="35"/>
      <c r="I6" s="35"/>
      <c r="J6" s="36">
        <v>10</v>
      </c>
      <c r="K6" s="35" t="s">
        <v>40</v>
      </c>
      <c r="L6" s="35" t="s">
        <v>40</v>
      </c>
      <c r="M6" s="35" t="s">
        <v>40</v>
      </c>
      <c r="N6" s="37"/>
      <c r="O6" s="29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28</v>
      </c>
      <c r="C6" s="7" t="s">
        <v>29</v>
      </c>
      <c r="D6" s="7">
        <v>10000</v>
      </c>
      <c r="E6" s="7">
        <v>10000</v>
      </c>
      <c r="F6" s="7" t="s">
        <v>23</v>
      </c>
      <c r="G6" s="6" t="s">
        <v>35</v>
      </c>
      <c r="H6" s="5"/>
      <c r="I6" s="7" t="s">
        <v>36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4" t="s">
        <v>40</v>
      </c>
      <c r="C6" s="35" t="s">
        <v>40</v>
      </c>
      <c r="D6" s="35" t="s">
        <v>40</v>
      </c>
      <c r="E6" s="35" t="s">
        <v>40</v>
      </c>
      <c r="F6" s="35"/>
      <c r="G6" s="27"/>
      <c r="H6" s="35"/>
      <c r="I6" s="35"/>
      <c r="J6" s="36">
        <v>100</v>
      </c>
      <c r="K6" s="35" t="s">
        <v>40</v>
      </c>
      <c r="L6" s="35" t="s">
        <v>40</v>
      </c>
      <c r="M6" s="35" t="s">
        <v>40</v>
      </c>
      <c r="N6" s="37"/>
      <c r="O6" s="29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B1" workbookViewId="0">
      <selection activeCell="AK5" sqref="A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85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27</v>
      </c>
      <c r="D6" s="7">
        <v>100</v>
      </c>
      <c r="E6" s="7">
        <v>100</v>
      </c>
      <c r="F6" s="7" t="s">
        <v>21</v>
      </c>
      <c r="G6" s="7" t="s">
        <v>35</v>
      </c>
      <c r="H6" s="5"/>
      <c r="I6" s="7" t="s">
        <v>36</v>
      </c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28</v>
      </c>
      <c r="C7" s="7" t="s">
        <v>29</v>
      </c>
      <c r="D7" s="7">
        <v>10000</v>
      </c>
      <c r="E7" s="7">
        <v>10000</v>
      </c>
      <c r="F7" s="7" t="s">
        <v>23</v>
      </c>
      <c r="G7" s="7" t="s">
        <v>35</v>
      </c>
      <c r="H7" s="5"/>
      <c r="I7" s="7" t="s">
        <v>36</v>
      </c>
      <c r="J7" s="7">
        <v>100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10</v>
      </c>
      <c r="E6" s="33"/>
      <c r="F6" s="7">
        <v>0</v>
      </c>
      <c r="G6" s="5"/>
      <c r="H6" s="7" t="s">
        <v>32</v>
      </c>
      <c r="I6" s="7" t="s">
        <v>43</v>
      </c>
      <c r="J6" s="7" t="s">
        <v>26</v>
      </c>
      <c r="K6" s="7" t="s">
        <v>44</v>
      </c>
      <c r="L6" s="5"/>
      <c r="M6" s="5"/>
      <c r="N6" s="5"/>
      <c r="O6" s="5"/>
      <c r="S6" s="6">
        <v>0</v>
      </c>
      <c r="T6" s="6">
        <v>0</v>
      </c>
      <c r="U6" s="6" t="s">
        <v>22</v>
      </c>
      <c r="AD6" s="6">
        <v>1</v>
      </c>
      <c r="AF6" s="6" t="s">
        <v>45</v>
      </c>
      <c r="AG6" s="6">
        <v>10</v>
      </c>
      <c r="AH6" s="6" t="s">
        <v>33</v>
      </c>
      <c r="AI6" s="6" t="s">
        <v>26</v>
      </c>
      <c r="AJ6" s="6" t="s">
        <v>27</v>
      </c>
      <c r="AK6" s="6" t="s">
        <v>46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35</v>
      </c>
      <c r="AT6" s="6" t="s">
        <v>21</v>
      </c>
      <c r="AU6" s="6" t="s">
        <v>36</v>
      </c>
      <c r="AV6" s="38">
        <v>1000</v>
      </c>
      <c r="AW6" s="38">
        <v>1000</v>
      </c>
      <c r="AY6" s="6">
        <v>100</v>
      </c>
      <c r="AZ6" s="6">
        <v>0</v>
      </c>
      <c r="BA6" s="6" t="s">
        <v>43</v>
      </c>
    </row>
    <row r="7" spans="1:154" ht="15.75" customHeight="1">
      <c r="A7" s="5"/>
      <c r="B7" s="5"/>
      <c r="C7" s="5"/>
      <c r="D7" s="7">
        <v>100</v>
      </c>
      <c r="E7" s="5"/>
      <c r="F7" s="7">
        <v>0</v>
      </c>
      <c r="G7" s="5"/>
      <c r="H7" s="7" t="s">
        <v>32</v>
      </c>
      <c r="I7" s="7" t="s">
        <v>43</v>
      </c>
      <c r="J7" s="7" t="s">
        <v>28</v>
      </c>
      <c r="K7" s="7" t="s">
        <v>44</v>
      </c>
      <c r="L7" s="5"/>
      <c r="M7" s="5"/>
      <c r="N7" s="5"/>
      <c r="O7" s="5"/>
      <c r="S7" s="6">
        <v>0</v>
      </c>
      <c r="T7" s="6">
        <v>0</v>
      </c>
      <c r="U7" s="6" t="s">
        <v>22</v>
      </c>
      <c r="AD7" s="6">
        <v>1</v>
      </c>
      <c r="AF7" s="6" t="s">
        <v>45</v>
      </c>
      <c r="AG7" s="6">
        <v>100</v>
      </c>
      <c r="AH7" s="6" t="s">
        <v>33</v>
      </c>
      <c r="AI7" s="6" t="s">
        <v>28</v>
      </c>
      <c r="AJ7" s="6" t="s">
        <v>29</v>
      </c>
      <c r="AK7" s="6" t="s">
        <v>46</v>
      </c>
      <c r="AL7" s="6">
        <v>10000</v>
      </c>
      <c r="AM7" s="6">
        <v>10000</v>
      </c>
      <c r="AN7" s="6">
        <v>100</v>
      </c>
      <c r="AO7" s="6">
        <v>10000</v>
      </c>
      <c r="AQ7" s="6">
        <v>100</v>
      </c>
      <c r="AR7" s="6">
        <v>100</v>
      </c>
      <c r="AS7" s="6" t="s">
        <v>35</v>
      </c>
      <c r="AT7" s="6" t="s">
        <v>23</v>
      </c>
      <c r="AU7" s="6" t="s">
        <v>36</v>
      </c>
      <c r="AV7" s="6">
        <v>-1000000</v>
      </c>
      <c r="AW7" s="6">
        <v>-1000000</v>
      </c>
      <c r="AY7" s="6">
        <v>10000</v>
      </c>
      <c r="AZ7" s="6">
        <v>0</v>
      </c>
      <c r="BA7" s="6" t="s">
        <v>43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47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49</v>
      </c>
      <c r="C6" s="5"/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47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9" t="s">
        <v>21</v>
      </c>
      <c r="C6" s="5"/>
      <c r="D6" s="40">
        <v>0</v>
      </c>
      <c r="E6" s="40">
        <v>100</v>
      </c>
      <c r="F6" s="5"/>
      <c r="G6" s="7" t="s">
        <v>33</v>
      </c>
      <c r="H6" s="40">
        <v>4</v>
      </c>
      <c r="I6" s="40">
        <v>5</v>
      </c>
      <c r="J6" s="5"/>
      <c r="K6" s="40">
        <v>10</v>
      </c>
      <c r="L6" s="40">
        <v>10</v>
      </c>
      <c r="M6" s="5"/>
      <c r="N6" s="5"/>
      <c r="O6" s="7" t="s">
        <v>35</v>
      </c>
      <c r="Q6" s="40">
        <v>3</v>
      </c>
      <c r="R6" s="40">
        <v>0</v>
      </c>
      <c r="S6" s="41" t="s">
        <v>51</v>
      </c>
      <c r="T6" s="40">
        <v>0</v>
      </c>
      <c r="U6" s="40">
        <v>0</v>
      </c>
      <c r="V6" s="41" t="s">
        <v>52</v>
      </c>
      <c r="Z6" s="41" t="s">
        <v>22</v>
      </c>
      <c r="AB6" s="40">
        <v>1</v>
      </c>
      <c r="AD6" s="41" t="s">
        <v>32</v>
      </c>
      <c r="AE6" s="40">
        <v>100</v>
      </c>
      <c r="AH6" s="6" t="s">
        <v>45</v>
      </c>
      <c r="AI6" s="6">
        <v>1</v>
      </c>
      <c r="AN6" s="41" t="s">
        <v>53</v>
      </c>
      <c r="AP6" s="41" t="s">
        <v>54</v>
      </c>
      <c r="AQ6" s="41" t="s">
        <v>53</v>
      </c>
      <c r="AR6" s="41" t="s">
        <v>54</v>
      </c>
      <c r="AT6" s="40">
        <v>1014.0006</v>
      </c>
      <c r="AU6" s="40">
        <v>1014.0006</v>
      </c>
      <c r="AW6" s="40">
        <v>0</v>
      </c>
      <c r="AX6" s="40">
        <v>0</v>
      </c>
      <c r="AY6" s="6" t="s">
        <v>36</v>
      </c>
      <c r="AZ6" s="40">
        <v>0</v>
      </c>
      <c r="BC6" s="40">
        <v>0</v>
      </c>
      <c r="BE6" s="40">
        <v>1000</v>
      </c>
      <c r="BF6" s="40">
        <v>1000</v>
      </c>
      <c r="BJ6" s="40">
        <v>100</v>
      </c>
      <c r="BK6" s="40">
        <v>0</v>
      </c>
      <c r="BM6" s="41" t="s">
        <v>22</v>
      </c>
      <c r="BO6" s="41" t="s">
        <v>27</v>
      </c>
      <c r="BP6" s="40">
        <v>0</v>
      </c>
      <c r="BQ6" s="40">
        <v>0</v>
      </c>
      <c r="BT6" s="6" t="s">
        <v>26</v>
      </c>
      <c r="BU6" s="40">
        <v>3</v>
      </c>
      <c r="BV6" s="40">
        <v>0</v>
      </c>
      <c r="BW6" s="40">
        <v>14.0006</v>
      </c>
      <c r="BX6" s="40">
        <v>0</v>
      </c>
      <c r="CG6" s="40">
        <v>2</v>
      </c>
      <c r="CH6" s="41" t="s">
        <v>24</v>
      </c>
      <c r="CI6" s="41" t="s">
        <v>27</v>
      </c>
      <c r="CJ6" s="40">
        <v>0</v>
      </c>
      <c r="CK6" s="41" t="s">
        <v>44</v>
      </c>
      <c r="CM6" s="41" t="s">
        <v>26</v>
      </c>
      <c r="CN6" s="41" t="s">
        <v>43</v>
      </c>
      <c r="CO6" s="41" t="s">
        <v>32</v>
      </c>
    </row>
    <row r="7" spans="1:154" ht="15.75" customHeight="1">
      <c r="A7" s="5"/>
      <c r="B7" s="41" t="s">
        <v>23</v>
      </c>
      <c r="C7" s="5"/>
      <c r="D7" s="40">
        <v>0</v>
      </c>
      <c r="E7" s="40">
        <v>10000</v>
      </c>
      <c r="F7" s="5"/>
      <c r="G7" s="7" t="s">
        <v>33</v>
      </c>
      <c r="H7" s="40">
        <v>4</v>
      </c>
      <c r="I7" s="40">
        <v>5</v>
      </c>
      <c r="J7" s="5"/>
      <c r="K7" s="40">
        <v>100</v>
      </c>
      <c r="L7" s="40">
        <v>100</v>
      </c>
      <c r="M7" s="5"/>
      <c r="N7" s="5"/>
      <c r="O7" s="7" t="s">
        <v>35</v>
      </c>
      <c r="Q7" s="40">
        <v>3</v>
      </c>
      <c r="R7" s="40">
        <v>0</v>
      </c>
      <c r="S7" s="41" t="s">
        <v>51</v>
      </c>
      <c r="T7" s="40">
        <v>0</v>
      </c>
      <c r="U7" s="40">
        <v>0</v>
      </c>
      <c r="V7" s="41" t="s">
        <v>55</v>
      </c>
      <c r="Z7" s="41" t="s">
        <v>22</v>
      </c>
      <c r="AB7" s="40">
        <v>1</v>
      </c>
      <c r="AD7" s="41" t="s">
        <v>32</v>
      </c>
      <c r="AE7" s="40">
        <v>10000</v>
      </c>
      <c r="AH7" s="6" t="s">
        <v>45</v>
      </c>
      <c r="AI7" s="6">
        <v>1</v>
      </c>
      <c r="AN7" s="41" t="s">
        <v>53</v>
      </c>
      <c r="AP7" s="41" t="s">
        <v>54</v>
      </c>
      <c r="AQ7" s="41" t="s">
        <v>53</v>
      </c>
      <c r="AR7" s="41" t="s">
        <v>54</v>
      </c>
      <c r="AT7" s="40">
        <v>999985.44</v>
      </c>
      <c r="AU7" s="40">
        <v>999985.44</v>
      </c>
      <c r="AW7" s="40">
        <v>0</v>
      </c>
      <c r="AX7" s="40">
        <v>0</v>
      </c>
      <c r="AY7" s="6" t="s">
        <v>36</v>
      </c>
      <c r="AZ7" s="40">
        <v>0</v>
      </c>
      <c r="BC7" s="40">
        <v>0</v>
      </c>
      <c r="BE7" s="40">
        <v>1000000</v>
      </c>
      <c r="BF7" s="40">
        <v>1000000</v>
      </c>
      <c r="BJ7" s="40">
        <v>10000</v>
      </c>
      <c r="BK7" s="40">
        <v>0</v>
      </c>
      <c r="BM7" s="41" t="s">
        <v>22</v>
      </c>
      <c r="BO7" s="41" t="s">
        <v>29</v>
      </c>
      <c r="BP7" s="40">
        <v>0</v>
      </c>
      <c r="BQ7" s="40">
        <v>0</v>
      </c>
      <c r="BT7" s="6" t="s">
        <v>28</v>
      </c>
      <c r="BU7" s="40">
        <v>3</v>
      </c>
      <c r="BV7" s="40">
        <v>0</v>
      </c>
      <c r="BW7" s="40">
        <v>14.56</v>
      </c>
      <c r="BX7" s="40">
        <v>0</v>
      </c>
      <c r="CG7" s="40">
        <v>2</v>
      </c>
      <c r="CH7" s="41" t="s">
        <v>24</v>
      </c>
      <c r="CI7" s="41" t="s">
        <v>29</v>
      </c>
      <c r="CJ7" s="40">
        <v>0</v>
      </c>
      <c r="CK7" s="41" t="s">
        <v>44</v>
      </c>
      <c r="CM7" s="41" t="s">
        <v>28</v>
      </c>
      <c r="CN7" s="41" t="s">
        <v>43</v>
      </c>
      <c r="CO7" s="41" t="s">
        <v>32</v>
      </c>
    </row>
    <row r="8" spans="1:154" ht="15.75" customHeight="1">
      <c r="A8" s="5"/>
      <c r="B8" s="5"/>
      <c r="C8" s="5"/>
      <c r="D8" s="41"/>
      <c r="E8" s="5"/>
      <c r="F8" s="5"/>
      <c r="G8" s="5"/>
      <c r="H8" s="41"/>
      <c r="I8" s="41"/>
      <c r="J8" s="5"/>
      <c r="K8" s="5"/>
      <c r="L8" s="5"/>
      <c r="M8" s="5"/>
      <c r="N8" s="5"/>
      <c r="O8" s="5"/>
      <c r="R8" s="41"/>
      <c r="V8" s="41"/>
      <c r="AB8" s="41"/>
      <c r="AN8" s="41"/>
      <c r="AT8" s="41"/>
      <c r="AU8" s="41"/>
      <c r="BE8" s="41"/>
      <c r="BF8" s="41"/>
      <c r="BK8" s="41"/>
      <c r="BM8" s="41"/>
      <c r="BU8" s="41"/>
      <c r="CO8" s="41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BE9" s="41"/>
      <c r="BF9" s="41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Q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73" width="14.42578125" customWidth="1"/>
  </cols>
  <sheetData>
    <row r="1" spans="1:173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</row>
    <row r="2" spans="1:173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73" ht="15.75" customHeight="1">
      <c r="A3" s="16"/>
      <c r="B3" s="2" t="s">
        <v>8</v>
      </c>
      <c r="C3" s="17" t="s">
        <v>56</v>
      </c>
      <c r="D3" s="2" t="s">
        <v>9</v>
      </c>
      <c r="E3" s="17" t="s">
        <v>57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</row>
    <row r="4" spans="1:173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</row>
    <row r="5" spans="1:17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 t="str">
        <f ca="1">IFERROR(__xludf.DUMMYFUNCTION("""COMPUTED_VALUE"""),"ITM/OTM")</f>
        <v>ITM/OTM</v>
      </c>
      <c r="FD5" s="24" t="str">
        <f ca="1">IFERROR(__xludf.DUMMYFUNCTION("""COMPUTED_VALUE"""),"Days to Expiry")</f>
        <v>Days to Expiry</v>
      </c>
      <c r="FE5" s="24" t="str">
        <f ca="1">IFERROR(__xludf.DUMMYFUNCTION("""COMPUTED_VALUE"""),"% of Underlying Price")</f>
        <v>% of Underlying Price</v>
      </c>
      <c r="FF5" s="24" t="str">
        <f ca="1">IFERROR(__xludf.DUMMYFUNCTION("""COMPUTED_VALUE"""),"Intrinsic value")</f>
        <v>Intrinsic value</v>
      </c>
      <c r="FG5" s="24" t="str">
        <f ca="1">IFERROR(__xludf.DUMMYFUNCTION("""COMPUTED_VALUE"""),"Gain/Loss if Ex./Assign")</f>
        <v>Gain/Loss if Ex./Assign</v>
      </c>
      <c r="FH5" s="24"/>
      <c r="FI5" s="24"/>
      <c r="FJ5" s="24"/>
      <c r="FK5" s="24"/>
      <c r="FL5" s="24"/>
      <c r="FM5" s="24"/>
      <c r="FN5" s="24"/>
      <c r="FO5" s="24"/>
      <c r="FP5" s="24"/>
      <c r="FQ5" s="24"/>
    </row>
    <row r="6" spans="1:173" ht="15.75" customHeight="1">
      <c r="A6" s="7"/>
      <c r="B6" s="7"/>
      <c r="C6" s="41" t="s">
        <v>26</v>
      </c>
      <c r="D6" s="42">
        <v>100</v>
      </c>
      <c r="E6" s="41" t="s">
        <v>21</v>
      </c>
      <c r="F6" s="41" t="s">
        <v>58</v>
      </c>
      <c r="G6" s="42">
        <v>10</v>
      </c>
      <c r="H6" s="41" t="s">
        <v>59</v>
      </c>
      <c r="I6" s="42">
        <v>0</v>
      </c>
      <c r="J6" s="5"/>
      <c r="K6" s="42">
        <v>0</v>
      </c>
      <c r="L6" s="5"/>
      <c r="M6" s="5"/>
      <c r="N6" s="42">
        <v>-1000</v>
      </c>
      <c r="O6" s="41" t="s">
        <v>52</v>
      </c>
      <c r="P6" s="42" t="s">
        <v>60</v>
      </c>
      <c r="Q6" s="42">
        <v>-1000</v>
      </c>
      <c r="R6" s="41" t="s">
        <v>61</v>
      </c>
      <c r="S6" s="41" t="s">
        <v>62</v>
      </c>
      <c r="T6" s="41" t="s">
        <v>33</v>
      </c>
      <c r="U6" s="41" t="s">
        <v>44</v>
      </c>
      <c r="V6" s="41" t="s">
        <v>32</v>
      </c>
      <c r="W6" s="41" t="s">
        <v>22</v>
      </c>
      <c r="X6" s="6">
        <v>1</v>
      </c>
      <c r="Y6" s="42">
        <v>1</v>
      </c>
      <c r="AB6" s="42">
        <v>0</v>
      </c>
      <c r="AC6" s="42">
        <v>0</v>
      </c>
      <c r="AD6" s="42">
        <v>0</v>
      </c>
      <c r="AE6" s="42">
        <v>0</v>
      </c>
      <c r="AF6" s="42">
        <v>100</v>
      </c>
      <c r="AG6" s="42">
        <v>0</v>
      </c>
      <c r="AH6" s="42">
        <v>0</v>
      </c>
      <c r="AI6" s="42">
        <v>0</v>
      </c>
      <c r="AJ6" s="42">
        <v>0</v>
      </c>
      <c r="AK6" s="42">
        <v>-1000</v>
      </c>
      <c r="AL6" s="42">
        <v>1</v>
      </c>
      <c r="AM6" s="42">
        <v>1</v>
      </c>
      <c r="AN6" s="6" t="s">
        <v>27</v>
      </c>
      <c r="AP6" s="41" t="s">
        <v>59</v>
      </c>
      <c r="AQ6" s="41" t="s">
        <v>26</v>
      </c>
      <c r="AR6" s="42">
        <v>0</v>
      </c>
      <c r="AS6" s="42">
        <v>1</v>
      </c>
      <c r="AT6" s="41" t="s">
        <v>63</v>
      </c>
      <c r="AU6" s="41" t="s">
        <v>64</v>
      </c>
      <c r="AV6" s="42" t="s">
        <v>65</v>
      </c>
      <c r="AW6" s="42">
        <v>-1000</v>
      </c>
      <c r="AX6" s="42">
        <v>0</v>
      </c>
      <c r="AY6" s="42">
        <v>0</v>
      </c>
      <c r="AZ6" s="42">
        <v>0</v>
      </c>
      <c r="BA6" s="42">
        <v>-100</v>
      </c>
      <c r="BC6" s="42">
        <v>1</v>
      </c>
      <c r="BD6" s="42">
        <v>-1000</v>
      </c>
      <c r="BE6" s="41" t="s">
        <v>33</v>
      </c>
      <c r="BF6" s="41" t="s">
        <v>66</v>
      </c>
      <c r="BG6" s="41" t="s">
        <v>67</v>
      </c>
      <c r="BH6" s="41" t="s">
        <v>68</v>
      </c>
      <c r="BI6" s="42" t="s">
        <v>69</v>
      </c>
      <c r="BJ6" s="42">
        <v>0</v>
      </c>
      <c r="BK6" s="42">
        <v>0</v>
      </c>
      <c r="BL6" s="42">
        <v>0</v>
      </c>
      <c r="BM6" s="42">
        <v>0</v>
      </c>
      <c r="BO6" s="42">
        <v>-1000</v>
      </c>
      <c r="BP6" s="42">
        <v>0</v>
      </c>
      <c r="BQ6" s="41" t="s">
        <v>43</v>
      </c>
      <c r="BR6" s="41" t="s">
        <v>35</v>
      </c>
      <c r="BS6" s="42">
        <v>0</v>
      </c>
      <c r="BT6" s="42">
        <v>0</v>
      </c>
      <c r="BU6" s="41" t="s">
        <v>33</v>
      </c>
      <c r="BW6" s="42">
        <v>0</v>
      </c>
      <c r="BX6" s="42">
        <v>0</v>
      </c>
      <c r="BY6" s="42">
        <v>0</v>
      </c>
      <c r="BZ6" s="42">
        <v>0</v>
      </c>
      <c r="CA6" s="42">
        <v>0</v>
      </c>
      <c r="CB6" s="42"/>
      <c r="CC6" s="42">
        <v>0</v>
      </c>
      <c r="CD6" s="42">
        <v>-1000</v>
      </c>
      <c r="CE6" s="42">
        <v>0</v>
      </c>
      <c r="CF6" s="42">
        <v>0</v>
      </c>
      <c r="CG6" s="42">
        <v>-1000</v>
      </c>
      <c r="CH6" s="42">
        <v>-100</v>
      </c>
      <c r="CI6" s="42">
        <v>0</v>
      </c>
      <c r="CJ6" s="42">
        <v>0</v>
      </c>
      <c r="CK6" s="43" t="b">
        <v>0</v>
      </c>
      <c r="CP6" s="41" t="s">
        <v>70</v>
      </c>
      <c r="CS6" s="42">
        <v>10</v>
      </c>
      <c r="CY6" s="41" t="s">
        <v>71</v>
      </c>
      <c r="CZ6" s="41" t="s">
        <v>72</v>
      </c>
      <c r="DA6" s="42">
        <v>0</v>
      </c>
      <c r="DB6" s="42">
        <v>0</v>
      </c>
      <c r="DC6" s="42"/>
      <c r="DD6" s="42">
        <v>100</v>
      </c>
      <c r="DE6" s="42">
        <v>0</v>
      </c>
      <c r="DF6" s="42">
        <v>0</v>
      </c>
      <c r="DG6" s="42">
        <v>0</v>
      </c>
      <c r="DH6" s="42" t="s">
        <v>60</v>
      </c>
      <c r="DI6" s="42">
        <v>0</v>
      </c>
      <c r="DJ6" s="41" t="s">
        <v>27</v>
      </c>
      <c r="DK6" s="42">
        <v>0</v>
      </c>
      <c r="DL6" s="42">
        <v>0</v>
      </c>
      <c r="DM6" s="42">
        <v>1</v>
      </c>
      <c r="DN6" s="42">
        <v>0</v>
      </c>
      <c r="DP6" s="41" t="s">
        <v>59</v>
      </c>
      <c r="DQ6" s="41" t="s">
        <v>73</v>
      </c>
      <c r="DR6" s="41" t="s">
        <v>74</v>
      </c>
      <c r="DS6" s="41" t="s">
        <v>73</v>
      </c>
      <c r="DT6" s="41" t="s">
        <v>73</v>
      </c>
      <c r="DU6" s="41" t="s">
        <v>75</v>
      </c>
      <c r="DV6" s="41" t="s">
        <v>73</v>
      </c>
      <c r="DY6" s="41" t="s">
        <v>73</v>
      </c>
      <c r="DZ6" s="41" t="s">
        <v>52</v>
      </c>
      <c r="EA6" s="41" t="s">
        <v>75</v>
      </c>
      <c r="EB6" s="41" t="s">
        <v>73</v>
      </c>
      <c r="EC6" s="41" t="s">
        <v>73</v>
      </c>
      <c r="ED6" s="41" t="s">
        <v>22</v>
      </c>
      <c r="EE6" s="41" t="s">
        <v>76</v>
      </c>
      <c r="EF6" s="42">
        <v>0</v>
      </c>
      <c r="EG6" s="42">
        <v>0</v>
      </c>
      <c r="EH6" s="42">
        <v>0</v>
      </c>
      <c r="EI6" s="42">
        <v>0</v>
      </c>
      <c r="EJ6" s="42">
        <v>0</v>
      </c>
      <c r="EK6" s="42">
        <v>0</v>
      </c>
      <c r="EL6" s="41" t="s">
        <v>59</v>
      </c>
      <c r="EM6" s="42">
        <v>0</v>
      </c>
      <c r="EN6" s="42">
        <v>0</v>
      </c>
      <c r="EO6" s="42"/>
      <c r="EP6" s="42"/>
      <c r="EQ6" s="42">
        <v>0</v>
      </c>
      <c r="ER6" s="42">
        <v>0</v>
      </c>
      <c r="ES6" s="42">
        <v>1199000</v>
      </c>
      <c r="ET6" s="42"/>
      <c r="EU6" s="42">
        <v>0</v>
      </c>
      <c r="EV6" s="41" t="s">
        <v>59</v>
      </c>
      <c r="EW6" s="42">
        <v>99000</v>
      </c>
    </row>
    <row r="7" spans="1:173" ht="15.75" customHeight="1">
      <c r="A7" s="5"/>
      <c r="B7" s="5"/>
      <c r="C7" s="41" t="s">
        <v>28</v>
      </c>
      <c r="D7" s="42">
        <v>-10000</v>
      </c>
      <c r="E7" s="41" t="s">
        <v>23</v>
      </c>
      <c r="F7" s="41" t="s">
        <v>77</v>
      </c>
      <c r="G7" s="42">
        <v>100</v>
      </c>
      <c r="H7" s="41" t="s">
        <v>78</v>
      </c>
      <c r="I7" s="42">
        <v>0</v>
      </c>
      <c r="J7" s="5"/>
      <c r="K7" s="42">
        <v>0</v>
      </c>
      <c r="L7" s="5"/>
      <c r="M7" s="5"/>
      <c r="N7" s="42">
        <v>1000000</v>
      </c>
      <c r="O7" s="41" t="s">
        <v>55</v>
      </c>
      <c r="P7" s="42" t="s">
        <v>60</v>
      </c>
      <c r="Q7" s="42">
        <v>1000000</v>
      </c>
      <c r="R7" s="41" t="s">
        <v>35</v>
      </c>
      <c r="S7" s="41" t="s">
        <v>62</v>
      </c>
      <c r="T7" s="41" t="s">
        <v>33</v>
      </c>
      <c r="U7" s="41" t="s">
        <v>44</v>
      </c>
      <c r="V7" s="41" t="s">
        <v>32</v>
      </c>
      <c r="W7" s="41" t="s">
        <v>22</v>
      </c>
      <c r="X7" s="6">
        <v>1</v>
      </c>
      <c r="Y7" s="42">
        <v>1</v>
      </c>
      <c r="AB7" s="42">
        <v>0</v>
      </c>
      <c r="AC7" s="42">
        <v>0</v>
      </c>
      <c r="AD7" s="42">
        <v>0</v>
      </c>
      <c r="AE7" s="42">
        <v>0</v>
      </c>
      <c r="AF7" s="42">
        <v>-10000</v>
      </c>
      <c r="AG7" s="42">
        <v>0</v>
      </c>
      <c r="AH7" s="42">
        <v>0</v>
      </c>
      <c r="AI7" s="42">
        <v>0</v>
      </c>
      <c r="AJ7" s="42">
        <v>0</v>
      </c>
      <c r="AK7" s="42">
        <v>1000000</v>
      </c>
      <c r="AL7" s="42">
        <v>1</v>
      </c>
      <c r="AM7" s="42">
        <v>1</v>
      </c>
      <c r="AN7" s="6" t="s">
        <v>29</v>
      </c>
      <c r="AP7" s="41" t="s">
        <v>59</v>
      </c>
      <c r="AQ7" s="41" t="s">
        <v>28</v>
      </c>
      <c r="AR7" s="42">
        <v>0</v>
      </c>
      <c r="AS7" s="42">
        <v>-1</v>
      </c>
      <c r="AT7" s="41" t="s">
        <v>63</v>
      </c>
      <c r="AU7" s="41" t="s">
        <v>64</v>
      </c>
      <c r="AV7" s="42" t="s">
        <v>65</v>
      </c>
      <c r="AW7" s="42">
        <v>1000000</v>
      </c>
      <c r="AX7" s="42">
        <v>0</v>
      </c>
      <c r="AY7" s="42">
        <v>0</v>
      </c>
      <c r="AZ7" s="42">
        <v>0</v>
      </c>
      <c r="BA7" s="42">
        <v>100</v>
      </c>
      <c r="BC7" s="42">
        <v>1</v>
      </c>
      <c r="BD7" s="42">
        <v>1000000</v>
      </c>
      <c r="BE7" s="41" t="s">
        <v>33</v>
      </c>
      <c r="BF7" s="41" t="s">
        <v>79</v>
      </c>
      <c r="BG7" s="41" t="s">
        <v>80</v>
      </c>
      <c r="BH7" s="41" t="s">
        <v>81</v>
      </c>
      <c r="BI7" s="41" t="s">
        <v>68</v>
      </c>
      <c r="BJ7" s="42">
        <v>0</v>
      </c>
      <c r="BK7" s="42">
        <v>0</v>
      </c>
      <c r="BL7" s="42">
        <v>0</v>
      </c>
      <c r="BM7" s="42">
        <v>0</v>
      </c>
      <c r="BO7" s="42">
        <v>1000000</v>
      </c>
      <c r="BP7" s="42">
        <v>0</v>
      </c>
      <c r="BQ7" s="41" t="s">
        <v>43</v>
      </c>
      <c r="BR7" s="41" t="s">
        <v>35</v>
      </c>
      <c r="BS7" s="42">
        <v>0</v>
      </c>
      <c r="BT7" s="42">
        <v>0</v>
      </c>
      <c r="BU7" s="41" t="s">
        <v>33</v>
      </c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42"/>
      <c r="CC7" s="42">
        <v>0</v>
      </c>
      <c r="CD7" s="42">
        <v>1000000</v>
      </c>
      <c r="CE7" s="42">
        <v>0</v>
      </c>
      <c r="CF7" s="42">
        <v>0</v>
      </c>
      <c r="CG7" s="42">
        <v>1000000</v>
      </c>
      <c r="CH7" s="42">
        <v>100</v>
      </c>
      <c r="CI7" s="42">
        <v>0</v>
      </c>
      <c r="CJ7" s="42">
        <v>0</v>
      </c>
      <c r="CK7" s="43" t="b">
        <v>0</v>
      </c>
      <c r="CP7" s="41" t="s">
        <v>82</v>
      </c>
      <c r="CS7" s="42">
        <v>100</v>
      </c>
      <c r="CY7" s="41" t="s">
        <v>71</v>
      </c>
      <c r="CZ7" s="41" t="s">
        <v>72</v>
      </c>
      <c r="DA7" s="42">
        <v>0</v>
      </c>
      <c r="DB7" s="42">
        <v>0</v>
      </c>
      <c r="DC7" s="42"/>
      <c r="DD7" s="42">
        <v>-10000</v>
      </c>
      <c r="DE7" s="42">
        <v>0</v>
      </c>
      <c r="DF7" s="42">
        <v>0</v>
      </c>
      <c r="DG7" s="42">
        <v>0</v>
      </c>
      <c r="DH7" s="42" t="s">
        <v>60</v>
      </c>
      <c r="DI7" s="42">
        <v>0</v>
      </c>
      <c r="DJ7" s="41" t="s">
        <v>29</v>
      </c>
      <c r="DK7" s="42">
        <v>0</v>
      </c>
      <c r="DL7" s="42">
        <v>0</v>
      </c>
      <c r="DM7" s="42">
        <v>1</v>
      </c>
      <c r="DN7" s="42">
        <v>0</v>
      </c>
      <c r="DP7" s="41" t="s">
        <v>59</v>
      </c>
      <c r="DQ7" s="41" t="s">
        <v>68</v>
      </c>
      <c r="DR7" s="41" t="s">
        <v>83</v>
      </c>
      <c r="DS7" s="41" t="s">
        <v>84</v>
      </c>
      <c r="DT7" s="41" t="s">
        <v>68</v>
      </c>
      <c r="DU7" s="41" t="s">
        <v>68</v>
      </c>
      <c r="DV7" s="41" t="s">
        <v>68</v>
      </c>
      <c r="DY7" s="41" t="s">
        <v>68</v>
      </c>
      <c r="DZ7" s="41" t="s">
        <v>55</v>
      </c>
      <c r="EA7" s="41" t="s">
        <v>76</v>
      </c>
      <c r="EB7" s="41" t="s">
        <v>68</v>
      </c>
      <c r="EC7" s="41" t="s">
        <v>68</v>
      </c>
      <c r="ED7" s="41" t="s">
        <v>22</v>
      </c>
      <c r="EE7" s="41" t="s">
        <v>76</v>
      </c>
      <c r="EF7" s="42">
        <v>0</v>
      </c>
      <c r="EG7" s="42">
        <v>0</v>
      </c>
      <c r="EH7" s="42">
        <v>0</v>
      </c>
      <c r="EI7" s="42">
        <v>0</v>
      </c>
      <c r="EJ7" s="42">
        <v>0</v>
      </c>
      <c r="EK7" s="42">
        <v>0</v>
      </c>
      <c r="EL7" s="41" t="s">
        <v>59</v>
      </c>
      <c r="EM7" s="42">
        <v>0</v>
      </c>
      <c r="EN7" s="42">
        <v>0</v>
      </c>
      <c r="EO7" s="42"/>
      <c r="EP7" s="42"/>
      <c r="EQ7" s="42">
        <v>0</v>
      </c>
      <c r="ER7" s="42">
        <v>0</v>
      </c>
      <c r="ES7" s="42">
        <v>1199000</v>
      </c>
      <c r="ET7" s="42"/>
      <c r="EU7" s="42">
        <v>0</v>
      </c>
      <c r="EV7" s="41" t="s">
        <v>59</v>
      </c>
      <c r="EW7" s="42">
        <v>1100000</v>
      </c>
    </row>
    <row r="8" spans="1:173" ht="15.75" customHeight="1">
      <c r="A8" s="5"/>
      <c r="B8" s="5"/>
      <c r="C8" s="41"/>
      <c r="D8" s="41"/>
      <c r="E8" s="41"/>
      <c r="G8" s="41"/>
      <c r="H8" s="41"/>
      <c r="I8" s="41"/>
      <c r="J8" s="5"/>
      <c r="K8" s="5"/>
      <c r="L8" s="5"/>
      <c r="M8" s="5"/>
      <c r="N8" s="41"/>
      <c r="O8" s="41"/>
      <c r="P8" s="41"/>
      <c r="Q8" s="41"/>
      <c r="R8" s="41"/>
      <c r="S8" s="41"/>
      <c r="T8" s="41"/>
      <c r="U8" s="41"/>
      <c r="V8" s="41"/>
      <c r="W8" s="41"/>
      <c r="Y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O8" s="41"/>
      <c r="BP8" s="41"/>
      <c r="BQ8" s="41"/>
      <c r="BR8" s="41"/>
      <c r="BS8" s="41"/>
      <c r="BT8" s="41"/>
      <c r="BU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T8" s="41"/>
      <c r="EU8" s="41"/>
      <c r="EV8" s="41"/>
      <c r="EW8" s="41"/>
    </row>
    <row r="9" spans="1:17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41"/>
      <c r="O9" s="41"/>
      <c r="P9" s="41"/>
      <c r="Q9" s="41"/>
      <c r="R9" s="41"/>
      <c r="S9" s="41"/>
      <c r="T9" s="41"/>
      <c r="U9" s="41"/>
      <c r="V9" s="41"/>
      <c r="W9" s="41"/>
      <c r="Y9" s="41"/>
      <c r="AB9" s="41"/>
      <c r="AC9" s="41"/>
      <c r="AD9" s="41"/>
      <c r="AE9" s="41"/>
      <c r="AF9" s="41"/>
      <c r="AG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W9" s="41"/>
      <c r="BX9" s="41"/>
      <c r="BY9" s="41"/>
      <c r="BZ9" s="41"/>
      <c r="CA9" s="41"/>
      <c r="CB9" s="41"/>
      <c r="CI9" s="41"/>
      <c r="CJ9" s="41"/>
      <c r="CK9" s="41"/>
      <c r="CY9" s="41"/>
      <c r="CZ9" s="41"/>
      <c r="DA9" s="41"/>
      <c r="DB9" s="41"/>
      <c r="DC9" s="41"/>
      <c r="DJ9" s="41"/>
      <c r="DK9" s="41"/>
      <c r="DL9" s="41"/>
      <c r="DM9" s="41"/>
      <c r="DN9" s="41"/>
      <c r="DZ9" s="41"/>
      <c r="EA9" s="41"/>
      <c r="EB9" s="41"/>
      <c r="EI9" s="41"/>
      <c r="EJ9" s="41"/>
      <c r="EK9" s="41"/>
      <c r="EL9" s="41"/>
      <c r="EM9" s="41"/>
      <c r="ET9" s="41"/>
      <c r="EU9" s="41"/>
      <c r="EV9" s="41"/>
    </row>
    <row r="10" spans="1:17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CI10" s="41"/>
      <c r="CJ10" s="41"/>
      <c r="CK10" s="41"/>
      <c r="ET10" s="41"/>
      <c r="EU10" s="41"/>
      <c r="EV10" s="41"/>
    </row>
    <row r="11" spans="1:17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</row>
    <row r="12" spans="1:17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BI12" s="41"/>
      <c r="BJ12" s="41"/>
      <c r="BK12" s="41"/>
      <c r="BL12" s="41"/>
      <c r="BM12" s="41"/>
    </row>
    <row r="13" spans="1:17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7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7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7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CreateStageOrder</vt:lpstr>
      <vt:lpstr>MultiTradingTicketFromBlotter</vt:lpstr>
      <vt:lpstr>SelectTradeUsingMTT</vt:lpstr>
      <vt:lpstr>EditTradeUsingMTT</vt:lpstr>
      <vt:lpstr>SelectTradeUsingMTT1</vt:lpstr>
      <vt:lpstr>EditTradeUsingMTT1</vt:lpstr>
      <vt:lpstr>DoneAwayUsingMTT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2021-09-20T13:00:55Z</dcterms:modified>
</cp:coreProperties>
</file>