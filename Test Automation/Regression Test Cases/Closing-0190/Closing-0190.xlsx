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ditTradeUnexpiredUnsettled" sheetId="11" r:id="rId13"/>
    <sheet state="visible" name="ExerciseAssignment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<sst xmlns="http://schemas.openxmlformats.org/spreadsheetml/2006/main" count="268" uniqueCount="57">
  <si>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</si>
  <si>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</si>
  <si>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</si>
  <si>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</si>
  <si>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</si>
  <si>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</si>
  <si>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</si>
  <si>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</si>
  <si>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</si>
  <si>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</si>
  <si>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</si>
  <si>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</si>
  <si>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</si>
  <si>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</si>
  <si>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</si>
  <si>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</si>
  <si>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11S62.50</t>
  </si>
  <si>
    <t>Closing</t>
  </si>
  <si>
    <t>SetClosingPreference</t>
  </si>
  <si>
    <t>TradingTicket</t>
  </si>
  <si>
    <t>CreateDoneAwayOrder</t>
  </si>
  <si>
    <t>RIG</t>
  </si>
  <si>
    <t>Buy</t>
  </si>
  <si>
    <t>Allocation1</t>
  </si>
  <si>
    <t>Buy to Close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</si>
  <si>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</si>
  <si>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</si>
  <si>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</si>
  <si>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</si>
  <si>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</si>
  <si>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</si>
  <si>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</si>
  <si>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</si>
  <si>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</si>
  <si>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EditTradeUnexpiredUnsettled</t>
  </si>
  <si>
    <t>ExerciseAssignment</t>
  </si>
  <si>
    <t>Allocation</t>
  </si>
  <si>
    <t>GetDataAllocation</t>
  </si>
  <si>
    <t>CheckAllocatedGroups</t>
  </si>
  <si>
    <t/>
  </si>
  <si>
    <t>Equity</t>
  </si>
  <si>
    <t>MS</t>
  </si>
  <si>
    <t>Market</t>
  </si>
  <si>
    <t>USD</t>
  </si>
  <si>
    <t>US</t>
  </si>
  <si>
    <t>PortfolioManagement</t>
  </si>
  <si>
    <t>CheckPortfolioManagement</t>
  </si>
  <si>
    <t>NewMF</t>
  </si>
  <si>
    <t>Long</t>
  </si>
  <si>
    <t>FIMAT</t>
  </si>
  <si>
    <t>NYSE</t>
  </si>
  <si>
    <t>jpearce</t>
  </si>
  <si>
    <t>Short</t>
  </si>
  <si>
    <t>OPTS</t>
  </si>
  <si>
    <t>Equity Put</t>
  </si>
  <si>
    <t>PUT</t>
  </si>
  <si>
    <t>Assignment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</si>
</sst>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6" fontId="14" numFmtId="14" xfId="0" applyAlignment="1" applyFill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6" fillId="0" fontId="5" numFmtId="164" xfId="0" applyAlignment="1" applyBorder="1" applyFont="1" applyNumberFormat="1">
      <alignment horizontal="right" vertical="bottom"/>
    </xf>
    <xf borderId="7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>
        <f>today()-1</f>
        <v>45008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/>
      <c r="C6" s="34"/>
      <c r="D6" s="34"/>
      <c r="E6" s="35" t="b">
        <v>1</v>
      </c>
      <c r="F6" s="34"/>
      <c r="G6" s="34"/>
      <c r="H6" s="34"/>
      <c r="I6" s="34"/>
      <c r="J6" s="35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6" t="s">
        <v>22</v>
      </c>
      <c r="D6" s="37">
        <v>100.0</v>
      </c>
      <c r="E6" s="37">
        <v>100.0</v>
      </c>
      <c r="F6" s="31" t="s">
        <v>23</v>
      </c>
      <c r="G6" s="31"/>
      <c r="H6" s="31"/>
      <c r="I6" s="31"/>
      <c r="J6" s="37">
        <v>1.0</v>
      </c>
      <c r="K6" s="31"/>
      <c r="L6" s="31"/>
      <c r="M6" s="31"/>
      <c r="N6" s="38">
        <f t="shared" ref="N6:N8" si="1">today()-1</f>
        <v>45008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31" t="s">
        <v>21</v>
      </c>
      <c r="C7" s="13" t="s">
        <v>24</v>
      </c>
      <c r="D7" s="39">
        <v>50.0</v>
      </c>
      <c r="E7" s="39">
        <v>50.0</v>
      </c>
      <c r="F7" s="31" t="s">
        <v>23</v>
      </c>
      <c r="G7" s="31"/>
      <c r="H7" s="31"/>
      <c r="I7" s="31"/>
      <c r="J7" s="37">
        <v>1.0</v>
      </c>
      <c r="K7" s="31"/>
      <c r="L7" s="31"/>
      <c r="M7" s="31"/>
      <c r="N7" s="38">
        <f t="shared" si="1"/>
        <v>45008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</row>
    <row r="8" ht="15.75" customHeight="1">
      <c r="A8" s="8"/>
      <c r="B8" s="31" t="s">
        <v>16</v>
      </c>
      <c r="C8" s="36" t="s">
        <v>25</v>
      </c>
      <c r="D8" s="37">
        <v>10.0</v>
      </c>
      <c r="E8" s="37">
        <v>10.0</v>
      </c>
      <c r="F8" s="31" t="s">
        <v>23</v>
      </c>
      <c r="G8" s="31"/>
      <c r="H8" s="31"/>
      <c r="I8" s="31"/>
      <c r="J8" s="37">
        <v>10.0</v>
      </c>
      <c r="K8" s="31"/>
      <c r="L8" s="31"/>
      <c r="M8" s="31"/>
      <c r="N8" s="38">
        <f t="shared" si="1"/>
        <v>45008</v>
      </c>
      <c r="O8" s="31"/>
      <c r="P8" s="31"/>
      <c r="Q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0">
        <f>TODAY()-1</f>
        <v>45008</v>
      </c>
      <c r="C6" s="40">
        <f>TODAY()</f>
        <v>45009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1" t="s">
        <v>21</v>
      </c>
      <c r="C6" s="42">
        <v>120.0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30</v>
      </c>
      <c r="C6" s="43" t="s">
        <v>31</v>
      </c>
      <c r="D6" s="38">
        <f>today()</f>
        <v>45009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44"/>
      <c r="B6" s="34" t="s">
        <v>23</v>
      </c>
      <c r="C6" s="34"/>
      <c r="D6" s="34"/>
      <c r="E6" s="34" t="s">
        <v>33</v>
      </c>
      <c r="F6" s="34"/>
      <c r="G6" s="34"/>
      <c r="H6" s="34"/>
      <c r="I6" s="45">
        <v>10.0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46">
        <v>10.0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6" t="s">
        <v>25</v>
      </c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46">
        <v>10.0</v>
      </c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 t="s">
        <v>16</v>
      </c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IFERROR(__xludf.DUMMYFUNCTION("""COMPUTED_VALUE"""),"Original Side")</f>
        <v>Original Side</v>
      </c>
      <c r="D5" s="28" t="str">
        <f>IFERROR(__xludf.DUMMYFUNCTION("""COMPUTED_VALUE"""),"Symbol")</f>
        <v>Symbol</v>
      </c>
      <c r="E5" s="28" t="str">
        <f>IFERROR(__xludf.DUMMYFUNCTION("""COMPUTED_VALUE"""),"Settlement Qty")</f>
        <v>Settlement Qty</v>
      </c>
      <c r="F5" s="29" t="str">
        <f>IFERROR(__xludf.DUMMYFUNCTION("""COMPUTED_VALUE"""),"Quantity")</f>
        <v>Quantity</v>
      </c>
      <c r="G5" s="28" t="str">
        <f>IFERROR(__xludf.DUMMYFUNCTION("""COMPUTED_VALUE"""),"TotalCommission&amp;Fees")</f>
        <v>TotalCommission&amp;Fees</v>
      </c>
      <c r="H5" s="28" t="str">
        <f>IFERROR(__xludf.DUMMYFUNCTION("""COMPUTED_VALUE"""),"Net Notional")</f>
        <v>Net Notional</v>
      </c>
      <c r="I5" s="28" t="str">
        <f>IFERROR(__xludf.DUMMYFUNCTION("""COMPUTED_VALUE"""),"Average Price")</f>
        <v>Average Price</v>
      </c>
      <c r="J5" s="28" t="str">
        <f>IFERROR(__xludf.DUMMYFUNCTION("""COMPUTED_VALUE"""),"UnderlyingName")</f>
        <v>UnderlyingName</v>
      </c>
      <c r="K5" s="28" t="str">
        <f>IFERROR(__xludf.DUMMYFUNCTION("""COMPUTED_VALUE"""),"UnitCost")</f>
        <v>UnitCost</v>
      </c>
      <c r="L5" s="28" t="str">
        <f>IFERROR(__xludf.DUMMYFUNCTION("""COMPUTED_VALUE"""),"PositionTag")</f>
        <v>PositionTag</v>
      </c>
      <c r="M5" s="28" t="str">
        <f>IFERROR(__xludf.DUMMYFUNCTION("""COMPUTED_VALUE"""),"Strategy")</f>
        <v>Strategy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1"/>
      <c r="E6" s="13">
        <v>5.0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EditTradeUnexpiredUnsettled!$4:$4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37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30</v>
      </c>
      <c r="C6" s="43" t="s">
        <v>31</v>
      </c>
      <c r="D6" s="38">
        <f>today()</f>
        <v>45009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</row>
    <row r="6" ht="15.75" customHeight="1">
      <c r="B6" t="s">
        <v>23</v>
      </c>
      <c r="C6" t="s">
        <v>39</v>
      </c>
      <c r="E6" s="9">
        <v>100.0</v>
      </c>
      <c r="G6" s="9" t="s">
        <v>40</v>
      </c>
      <c r="K6" s="9">
        <v>1.0</v>
      </c>
      <c r="L6" s="9">
        <v>1.0</v>
      </c>
      <c r="O6" t="s">
        <v>41</v>
      </c>
      <c r="AE6" s="9">
        <v>100.0</v>
      </c>
      <c r="AF6" t="s">
        <v>39</v>
      </c>
      <c r="AI6">
        <v>1.0</v>
      </c>
      <c r="AY6" t="s">
        <v>42</v>
      </c>
      <c r="BE6" s="9">
        <v>100.0</v>
      </c>
      <c r="BJ6" s="9">
        <v>100.0</v>
      </c>
      <c r="BM6" t="s">
        <v>43</v>
      </c>
      <c r="BO6" s="9" t="s">
        <v>22</v>
      </c>
      <c r="BT6" s="9" t="s">
        <v>21</v>
      </c>
      <c r="CK6" t="s">
        <v>44</v>
      </c>
      <c r="CL6">
        <v>1.0</v>
      </c>
      <c r="CM6" t="s">
        <v>21</v>
      </c>
      <c r="FE6" t="s">
        <v>39</v>
      </c>
      <c r="FF6" t="s">
        <v>39</v>
      </c>
      <c r="FI6" t="s">
        <v>39</v>
      </c>
      <c r="FK6" t="s">
        <v>39</v>
      </c>
    </row>
    <row r="7" ht="15.75" customHeight="1">
      <c r="B7" t="s">
        <v>23</v>
      </c>
      <c r="C7" t="s">
        <v>39</v>
      </c>
      <c r="E7" s="9">
        <v>50.0</v>
      </c>
      <c r="G7" s="9" t="s">
        <v>40</v>
      </c>
      <c r="K7" s="9">
        <v>1.0</v>
      </c>
      <c r="L7" s="9">
        <v>1.0</v>
      </c>
      <c r="O7" t="s">
        <v>41</v>
      </c>
      <c r="AE7" s="9">
        <v>50.0</v>
      </c>
      <c r="AF7" t="s">
        <v>39</v>
      </c>
      <c r="AI7">
        <v>1.0</v>
      </c>
      <c r="AY7" t="s">
        <v>42</v>
      </c>
      <c r="BE7" s="9">
        <v>50.0</v>
      </c>
      <c r="BJ7" s="9">
        <v>50.0</v>
      </c>
      <c r="BM7" t="s">
        <v>43</v>
      </c>
      <c r="BO7" s="9" t="s">
        <v>24</v>
      </c>
      <c r="BT7" s="9" t="s">
        <v>21</v>
      </c>
      <c r="CK7" t="s">
        <v>44</v>
      </c>
      <c r="CL7">
        <v>1.0</v>
      </c>
      <c r="CM7" t="s">
        <v>21</v>
      </c>
      <c r="FE7" t="s">
        <v>39</v>
      </c>
      <c r="FF7" t="s">
        <v>39</v>
      </c>
      <c r="FI7" t="s">
        <v>39</v>
      </c>
      <c r="FK7" t="s">
        <v>39</v>
      </c>
    </row>
    <row r="8" ht="15.75" customHeight="1">
      <c r="B8" t="s">
        <v>23</v>
      </c>
      <c r="C8" t="s">
        <v>39</v>
      </c>
      <c r="E8" s="9">
        <v>10.0</v>
      </c>
      <c r="G8" s="9" t="s">
        <v>33</v>
      </c>
      <c r="K8" s="9">
        <v>10.0</v>
      </c>
      <c r="L8" s="9">
        <v>10.0</v>
      </c>
      <c r="O8" t="s">
        <v>41</v>
      </c>
      <c r="AE8" s="9">
        <v>10.0</v>
      </c>
      <c r="AF8" t="s">
        <v>39</v>
      </c>
      <c r="AI8">
        <v>1.0</v>
      </c>
      <c r="BE8" s="47">
        <v>10000.0</v>
      </c>
      <c r="BJ8" s="9">
        <v>10.0</v>
      </c>
      <c r="BM8" t="s">
        <v>43</v>
      </c>
      <c r="BO8" s="9" t="s">
        <v>25</v>
      </c>
      <c r="BT8" s="9" t="s">
        <v>16</v>
      </c>
      <c r="CK8" t="s">
        <v>44</v>
      </c>
      <c r="CL8">
        <v>1.0</v>
      </c>
      <c r="CM8" t="s">
        <v>21</v>
      </c>
      <c r="FE8" t="s">
        <v>39</v>
      </c>
      <c r="FF8" t="s">
        <v>39</v>
      </c>
      <c r="FI8" t="s">
        <v>39</v>
      </c>
      <c r="FK8" t="s">
        <v>39</v>
      </c>
    </row>
    <row r="9" ht="15.75" customHeight="1">
      <c r="B9" t="s">
        <v>23</v>
      </c>
      <c r="C9" t="s">
        <v>39</v>
      </c>
      <c r="E9" s="9">
        <v>5.0</v>
      </c>
      <c r="G9" s="9" t="s">
        <v>33</v>
      </c>
      <c r="O9" t="s">
        <v>41</v>
      </c>
      <c r="AE9" s="9">
        <v>5.0</v>
      </c>
      <c r="AF9" t="s">
        <v>39</v>
      </c>
      <c r="AI9">
        <v>1.0</v>
      </c>
      <c r="BJ9" s="9">
        <v>5.0</v>
      </c>
      <c r="BM9" t="s">
        <v>43</v>
      </c>
      <c r="BO9" s="9" t="s">
        <v>24</v>
      </c>
      <c r="BT9" s="9" t="s">
        <v>16</v>
      </c>
      <c r="CK9" t="s">
        <v>44</v>
      </c>
      <c r="CL9">
        <v>1.0</v>
      </c>
      <c r="CM9" t="s">
        <v>21</v>
      </c>
      <c r="FE9" t="s">
        <v>39</v>
      </c>
      <c r="FF9" t="s">
        <v>39</v>
      </c>
      <c r="FI9" t="s">
        <v>39</v>
      </c>
      <c r="FK9" t="s">
        <v>39</v>
      </c>
    </row>
    <row r="10" ht="15.75" customHeight="1">
      <c r="B10" t="s">
        <v>23</v>
      </c>
      <c r="E10" s="9">
        <v>500.0</v>
      </c>
      <c r="G10" s="9" t="s">
        <v>40</v>
      </c>
      <c r="K10" s="9">
        <v>100.0</v>
      </c>
      <c r="L10" s="9">
        <v>100.0</v>
      </c>
      <c r="AE10" s="9">
        <v>500.0</v>
      </c>
      <c r="BE10" s="47">
        <v>50000.0</v>
      </c>
      <c r="BJ10" s="9">
        <v>500.0</v>
      </c>
      <c r="BO10" s="9" t="s">
        <v>22</v>
      </c>
      <c r="BT10" s="9" t="s">
        <v>21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0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</row>
    <row r="6" ht="15.75" customHeight="1">
      <c r="A6" s="8"/>
      <c r="B6" s="8"/>
      <c r="C6" s="8" t="s">
        <v>21</v>
      </c>
      <c r="D6" s="8">
        <v>100.0</v>
      </c>
      <c r="E6" s="8" t="s">
        <v>23</v>
      </c>
      <c r="F6" s="8" t="s">
        <v>47</v>
      </c>
      <c r="G6" s="8">
        <v>1.0</v>
      </c>
      <c r="H6" s="8" t="s">
        <v>48</v>
      </c>
      <c r="I6" s="8"/>
      <c r="J6" s="8"/>
      <c r="K6" s="8"/>
      <c r="L6" s="8"/>
      <c r="M6" s="8"/>
      <c r="N6" s="8"/>
      <c r="O6" s="8"/>
      <c r="R6" t="s">
        <v>49</v>
      </c>
      <c r="T6" t="s">
        <v>40</v>
      </c>
      <c r="U6" t="s">
        <v>44</v>
      </c>
      <c r="V6" t="s">
        <v>50</v>
      </c>
      <c r="W6" t="s">
        <v>43</v>
      </c>
      <c r="Y6">
        <v>1.0</v>
      </c>
      <c r="AN6" t="s">
        <v>22</v>
      </c>
      <c r="AP6" t="s">
        <v>48</v>
      </c>
      <c r="AQ6" t="s">
        <v>21</v>
      </c>
      <c r="BE6" t="s">
        <v>40</v>
      </c>
      <c r="BQ6" t="s">
        <v>51</v>
      </c>
      <c r="BR6" t="s">
        <v>41</v>
      </c>
      <c r="BU6" t="s">
        <v>40</v>
      </c>
      <c r="DJ6" t="s">
        <v>22</v>
      </c>
      <c r="DP6" t="s">
        <v>48</v>
      </c>
      <c r="EL6" t="s">
        <v>48</v>
      </c>
      <c r="FN6" t="s">
        <v>39</v>
      </c>
      <c r="FO6" t="s">
        <v>39</v>
      </c>
      <c r="FP6" t="s">
        <v>39</v>
      </c>
      <c r="FQ6" t="s">
        <v>39</v>
      </c>
    </row>
    <row r="7" ht="15.75" customHeight="1">
      <c r="A7" s="8"/>
      <c r="B7" s="8"/>
      <c r="C7" s="8" t="s">
        <v>21</v>
      </c>
      <c r="D7" s="8">
        <v>50.0</v>
      </c>
      <c r="E7" s="8" t="s">
        <v>23</v>
      </c>
      <c r="F7" s="8" t="s">
        <v>47</v>
      </c>
      <c r="G7" s="8">
        <v>1.0</v>
      </c>
      <c r="H7" s="8" t="s">
        <v>48</v>
      </c>
      <c r="I7" s="8"/>
      <c r="J7" s="8"/>
      <c r="K7" s="8"/>
      <c r="L7" s="8"/>
      <c r="M7" s="8"/>
      <c r="N7" s="8"/>
      <c r="O7" s="8"/>
      <c r="R7" t="s">
        <v>49</v>
      </c>
      <c r="T7" t="s">
        <v>40</v>
      </c>
      <c r="U7" t="s">
        <v>44</v>
      </c>
      <c r="V7" t="s">
        <v>50</v>
      </c>
      <c r="W7" t="s">
        <v>43</v>
      </c>
      <c r="Y7">
        <v>1.0</v>
      </c>
      <c r="AN7" t="s">
        <v>24</v>
      </c>
      <c r="AP7" t="s">
        <v>52</v>
      </c>
      <c r="AQ7" t="s">
        <v>21</v>
      </c>
      <c r="BE7" t="s">
        <v>40</v>
      </c>
      <c r="BQ7" t="s">
        <v>51</v>
      </c>
      <c r="BR7" t="s">
        <v>41</v>
      </c>
      <c r="BU7" t="s">
        <v>40</v>
      </c>
      <c r="DJ7" t="s">
        <v>24</v>
      </c>
      <c r="DP7" t="s">
        <v>52</v>
      </c>
      <c r="EL7" t="s">
        <v>48</v>
      </c>
      <c r="FN7" t="s">
        <v>39</v>
      </c>
      <c r="FO7" t="s">
        <v>39</v>
      </c>
      <c r="FP7" t="s">
        <v>39</v>
      </c>
      <c r="FQ7" t="s">
        <v>39</v>
      </c>
    </row>
    <row r="8" ht="15.75" customHeight="1">
      <c r="A8" s="8"/>
      <c r="B8" s="8"/>
      <c r="C8" s="8" t="s">
        <v>16</v>
      </c>
      <c r="D8" s="8">
        <v>-5.0</v>
      </c>
      <c r="E8" s="8" t="s">
        <v>23</v>
      </c>
      <c r="F8" s="8" t="s">
        <v>47</v>
      </c>
      <c r="G8" s="8">
        <v>10.0</v>
      </c>
      <c r="H8" s="8" t="s">
        <v>52</v>
      </c>
      <c r="I8" s="8"/>
      <c r="J8" s="8"/>
      <c r="K8" s="8"/>
      <c r="L8" s="8"/>
      <c r="M8" s="8"/>
      <c r="N8" s="8"/>
      <c r="O8" s="8"/>
      <c r="R8" t="s">
        <v>49</v>
      </c>
      <c r="T8" t="s">
        <v>33</v>
      </c>
      <c r="U8" t="s">
        <v>44</v>
      </c>
      <c r="V8" t="s">
        <v>53</v>
      </c>
      <c r="W8" t="s">
        <v>43</v>
      </c>
      <c r="Y8">
        <v>1.0</v>
      </c>
      <c r="AN8" t="s">
        <v>25</v>
      </c>
      <c r="AP8" t="s">
        <v>48</v>
      </c>
      <c r="AQ8" t="s">
        <v>21</v>
      </c>
      <c r="BE8" t="s">
        <v>54</v>
      </c>
      <c r="BQ8" t="s">
        <v>51</v>
      </c>
      <c r="BR8" t="s">
        <v>41</v>
      </c>
      <c r="BU8" t="s">
        <v>55</v>
      </c>
      <c r="DJ8" t="s">
        <v>56</v>
      </c>
      <c r="DP8" t="s">
        <v>48</v>
      </c>
      <c r="EL8" t="s">
        <v>48</v>
      </c>
      <c r="FN8" t="s">
        <v>39</v>
      </c>
      <c r="FO8" t="s">
        <v>39</v>
      </c>
      <c r="FP8" t="s">
        <v>39</v>
      </c>
      <c r="FQ8" t="s">
        <v>39</v>
      </c>
    </row>
    <row r="9" ht="15.75" customHeight="1">
      <c r="A9" s="8"/>
      <c r="B9" s="8"/>
      <c r="C9" s="8" t="s">
        <v>21</v>
      </c>
      <c r="D9" s="8">
        <v>500.0</v>
      </c>
      <c r="E9" s="8" t="s">
        <v>23</v>
      </c>
      <c r="F9" s="8" t="s">
        <v>47</v>
      </c>
      <c r="G9" s="8">
        <v>100.0</v>
      </c>
      <c r="H9" s="8" t="s">
        <v>48</v>
      </c>
      <c r="I9" s="8"/>
      <c r="J9" s="8"/>
      <c r="K9" s="8"/>
      <c r="L9" s="8"/>
      <c r="M9" s="8"/>
      <c r="N9" s="8"/>
      <c r="O9" s="8"/>
      <c r="R9" t="s">
        <v>49</v>
      </c>
      <c r="T9" t="s">
        <v>40</v>
      </c>
      <c r="U9" t="s">
        <v>44</v>
      </c>
      <c r="V9" t="s">
        <v>50</v>
      </c>
      <c r="W9" t="s">
        <v>43</v>
      </c>
      <c r="Y9">
        <v>1.0</v>
      </c>
      <c r="AN9" t="s">
        <v>22</v>
      </c>
      <c r="AP9" t="s">
        <v>48</v>
      </c>
      <c r="AQ9" t="s">
        <v>21</v>
      </c>
      <c r="BE9" t="s">
        <v>40</v>
      </c>
      <c r="BQ9" t="s">
        <v>51</v>
      </c>
      <c r="BR9" t="s">
        <v>41</v>
      </c>
      <c r="BU9" t="s">
        <v>40</v>
      </c>
      <c r="DJ9" t="s">
        <v>56</v>
      </c>
      <c r="DP9" t="s">
        <v>48</v>
      </c>
      <c r="EL9" t="s">
        <v>48</v>
      </c>
      <c r="FN9" t="s">
        <v>39</v>
      </c>
      <c r="FO9" t="s">
        <v>39</v>
      </c>
      <c r="FP9" t="s">
        <v>39</v>
      </c>
      <c r="FQ9" t="s">
        <v>39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