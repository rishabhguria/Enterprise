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GetDataAllocation" sheetId="5" r:id="rId7"/>
    <sheet state="visible" name="SelectAllocatedGroup" sheetId="6" r:id="rId8"/>
    <sheet state="visible" name="EditAllocatedGroupSidePanel" sheetId="7" r:id="rId9"/>
    <sheet state="visible" name="CheckAllocatedGroups" sheetId="8" r:id="rId10"/>
  </sheets>
  <definedNames/>
  <calcPr/>
</workbook>
</file>

<file path=xl/sharedStrings.xml><?xml version="1.0" encoding="utf-8"?>
<sst xmlns="http://schemas.openxmlformats.org/spreadsheetml/2006/main" count="75" uniqueCount="40">
  <si>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</si>
  <si>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</si>
  <si>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</si>
  <si>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</si>
  <si>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</si>
  <si>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</si>
  <si>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</si>
  <si>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</si>
  <si>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</si>
  <si>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</si>
  <si>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</si>
  <si>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</si>
  <si>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</si>
  <si>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</si>
  <si>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</si>
  <si>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</si>
  <si>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MSFT</t>
  </si>
  <si>
    <t>Buy</t>
  </si>
  <si>
    <t>Allocation2</t>
  </si>
  <si>
    <t>Allocation</t>
  </si>
  <si>
    <t>GetDataAllocation</t>
  </si>
  <si>
    <t>Current</t>
  </si>
  <si>
    <t>SelectAllocatedGroup</t>
  </si>
  <si>
    <t>EditAllocatedGroupSidePanel</t>
  </si>
  <si>
    <t>GS</t>
  </si>
  <si>
    <t>NYSE</t>
  </si>
  <si>
    <t>CheckAllocatedGroups</t>
  </si>
  <si>
    <t>Manual</t>
  </si>
  <si>
    <t>Equity</t>
  </si>
  <si>
    <t>Open</t>
  </si>
  <si>
    <t>MICROSOFT INC</t>
  </si>
  <si>
    <t>USD</t>
  </si>
  <si>
    <t>BrokerNotes</t>
  </si>
  <si>
    <t>NASDAQ</t>
  </si>
  <si>
    <t>M</t>
  </si>
  <si>
    <t>None</t>
  </si>
  <si>
    <t>Market</t>
  </si>
  <si>
    <t>Strategy Unallocated</t>
  </si>
  <si>
    <t>US</t>
  </si>
  <si>
    <t>jpearce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</si>
</sst>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  <color rgb="FF1F1F1F"/>
      <name val="&quot;Google Sans&quot;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4" fontId="7" numFmtId="0" xfId="0" applyAlignment="1" applyFill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5" fontId="12" numFmtId="0" xfId="0" applyAlignment="1" applyFill="1" applyFont="1">
      <alignment shrinkToFit="0" wrapText="0"/>
    </xf>
    <xf borderId="0" fillId="5" fontId="13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4" fillId="6" fontId="4" numFmtId="0" xfId="0" applyAlignment="1" applyBorder="1" applyFont="1">
      <alignment readingOrder="0" shrinkToFit="0" wrapText="0"/>
    </xf>
    <xf borderId="0" fillId="6" fontId="11" numFmtId="0" xfId="0" applyFont="1"/>
    <xf borderId="0" fillId="0" fontId="5" numFmtId="0" xfId="0" applyAlignment="1" applyFont="1">
      <alignment readingOrder="0" shrinkToFit="0" wrapText="0"/>
    </xf>
    <xf borderId="0" fillId="0" fontId="14" numFmtId="0" xfId="0" applyAlignment="1" applyFont="1">
      <alignment readingOrder="0" shrinkToFit="0" vertical="bottom" wrapText="0"/>
    </xf>
    <xf borderId="0" fillId="0" fontId="2" numFmtId="3" xfId="0" applyAlignment="1" applyFont="1" applyNumberFormat="1">
      <alignment readingOrder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4" xfId="0" applyAlignment="1" applyFont="1" applyNumberFormat="1">
      <alignment horizontal="right" readingOrder="0" shrinkToFit="0" vertical="bottom" wrapText="0"/>
    </xf>
    <xf borderId="0" fillId="0" fontId="14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IFERROR(__xludf.DUMMYFUNCTION("""COMPUTED_VALUE"""),"16vGHPpbvjKADI0ELsUMnsil9L4zXpQewyXXpGOR50e4")</f>
        <v>16vGHPpbvjKADI0ELsUMnsil9L4zXpQewyXXpGOR50e4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IFERROR(__xludf.DUMMYFUNCTION("""COMPUTED_VALUE"""),"1wm4OFdbzRVpfMu1QiZ75_PnC_AYuu9gYEOCRj5nxWrM")</f>
        <v>1wm4OFdbzRVpfMu1QiZ75_PnC_AYuu9gYEOCRj5nxWrM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IFERROR(__xludf.DUMMYFUNCTION("""COMPUTED_VALUE"""),"Closing")</f>
        <v>Closing</v>
      </c>
      <c r="B642" t="str">
        <f>IFERROR(__xludf.DUMMYFUNCTION("""COMPUTED_VALUE"""),"SelectCreateTransactions")</f>
        <v>SelectCreateTransactions</v>
      </c>
      <c r="C642" t="str">
        <f>IFERROR(__xludf.DUMMYFUNCTION("""COMPUTED_VALUE"""),"1H_lhrQblpnlyHkVDOXbhIVIhZoC9lIB9uTE29zuQhrM")</f>
        <v>1H_lhrQblpnlyHkVDOXbhIVIhZoC9lIB9uTE29zuQhrM</v>
      </c>
    </row>
    <row r="643" ht="15.75" customHeight="1">
      <c r="A643" t="str">
        <f>IFERROR(__xludf.DUMMYFUNCTION("""COMPUTED_VALUE"""),"Closing")</f>
        <v>Closing</v>
      </c>
      <c r="B643" t="str">
        <f>IFERROR(__xludf.DUMMYFUNCTION("""COMPUTED_VALUE"""),"EditClosingTransactions")</f>
        <v>EditClosingTransactions</v>
      </c>
      <c r="C643" t="str">
        <f>IFERROR(__xludf.DUMMYFUNCTION("""COMPUTED_VALUE"""),"15009hbvBY1YaqNloK72CjyPdL0kMpnEYl2EFB4TUG6g")</f>
        <v>15009hbvBY1YaqNloK72CjyPdL0kMpnEYl2EFB4TUG6g</v>
      </c>
    </row>
    <row r="644" ht="15.75" customHeight="1">
      <c r="A644" t="str">
        <f>IFERROR(__xludf.DUMMYFUNCTION("""COMPUTED_VALUE"""),"Admin")</f>
        <v>Admin</v>
      </c>
      <c r="B644" t="str">
        <f>IFERROR(__xludf.DUMMYFUNCTION("""COMPUTED_VALUE"""),"SetAllocationPreferences")</f>
        <v>SetAllocationPreferences</v>
      </c>
      <c r="C644" t="str">
        <f>IFERROR(__xludf.DUMMYFUNCTION("""COMPUTED_VALUE"""),"16PO4KGgITIDM3iQzFlyKHfXPBXba023pXOJQCBN_Elc")</f>
        <v>16PO4KGgITIDM3iQzFlyKHfXPBXba023pXOJQCBN_Elc</v>
      </c>
    </row>
    <row r="645" ht="15.75" customHeight="1">
      <c r="A645" t="str">
        <f>IFERROR(__xludf.DUMMYFUNCTION("""COMPUTED_VALUE"""),"Closing")</f>
        <v>Closing</v>
      </c>
      <c r="B645" t="str">
        <f>IFERROR(__xludf.DUMMYFUNCTION("""COMPUTED_VALUE"""),"AddDuplicateRow")</f>
        <v>AddDuplicateRow</v>
      </c>
      <c r="C645" t="str">
        <f>IFERROR(__xludf.DUMMYFUNCTION("""COMPUTED_VALUE"""),"Undefined")</f>
        <v>Undefined</v>
      </c>
    </row>
    <row r="646" ht="15.75" customHeight="1">
      <c r="A646" t="str">
        <f>IFERROR(__xludf.DUMMYFUNCTION("""COMPUTED_VALUE"""),"TradeServer")</f>
        <v>TradeServer</v>
      </c>
      <c r="B646" t="str">
        <f>IFERROR(__xludf.DUMMYFUNCTION("""COMPUTED_VALUE"""),"ConnectToSimAutoMan")</f>
        <v>ConnectToSimAutoMan</v>
      </c>
      <c r="C646" t="str">
        <f>IFERROR(__xludf.DUMMYFUNCTION("""COMPUTED_VALUE"""),"13IX3MrLRTuTJsyg3JaQ71o5MoHPrX4JeQ5EXnHjhkH8")</f>
        <v>13IX3MrLRTuTJsyg3JaQ71o5MoHPrX4JeQ5EXnHjhkH8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IFERROR(__xludf.DUMMYFUNCTION("""COMPUTED_VALUE"""),"NavImpactingComponent")</f>
        <v>NavImpactingComponent</v>
      </c>
      <c r="C647" t="str">
        <f>IFERROR(__xludf.DUMMYFUNCTION("""COMPUTED_VALUE"""),"1h8uyOI4WaUZMlwJvQlp6cezgxjyJ2SLa2OEiG81xpGE")</f>
        <v>1h8uyOI4WaUZMlwJvQlp6cezgxjyJ2SLa2OEiG81xpGE</v>
      </c>
    </row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1000.0</v>
      </c>
      <c r="E6" s="31"/>
      <c r="F6" s="13" t="s">
        <v>18</v>
      </c>
      <c r="G6" s="8"/>
      <c r="H6" s="8"/>
      <c r="I6" s="8"/>
      <c r="J6" s="13">
        <v>1.0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21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IFERROR(__xludf.DUMMYFUNCTION("""COMPUTED_VALUE"""),"Trade Date")</f>
        <v>Trade Date</v>
      </c>
      <c r="E5" s="28" t="str">
        <f>IFERROR(__xludf.DUMMYFUNCTION("""COMPUTED_VALUE"""),"Account Name")</f>
        <v>Account Name</v>
      </c>
      <c r="F5" s="29" t="str">
        <f>IFERROR(__xludf.DUMMYFUNCTION("""COMPUTED_VALUE"""),"Side")</f>
        <v>Side</v>
      </c>
      <c r="G5" s="28" t="str">
        <f>IFERROR(__xludf.DUMMYFUNCTION("""COMPUTED_VALUE"""),"Group Status")</f>
        <v>Group Status</v>
      </c>
      <c r="H5" s="28" t="str">
        <f>IFERROR(__xludf.DUMMYFUNCTION("""COMPUTED_VALUE"""),"Avg Price(Base)")</f>
        <v>Avg Price(Base)</v>
      </c>
      <c r="I5" s="28" t="str">
        <f>IFERROR(__xludf.DUMMYFUNCTION("""COMPUTED_VALUE"""),"Execution Time")</f>
        <v>Execution Time</v>
      </c>
      <c r="J5" s="28" t="str">
        <f>IFERROR(__xludf.DUMMYFUNCTION("""COMPUTED_VALUE"""),"Trade Attribute 1")</f>
        <v>Trade Attribute 1</v>
      </c>
      <c r="K5" s="28" t="str">
        <f>IFERROR(__xludf.DUMMYFUNCTION("""COMPUTED_VALUE"""),"Avg Price(Local)")</f>
        <v>Avg Price(Local)</v>
      </c>
      <c r="L5" s="28" t="str">
        <f>IFERROR(__xludf.DUMMYFUNCTION("""COMPUTED_VALUE"""),"Trade Attribute 2")</f>
        <v>Trade Attribute 2</v>
      </c>
      <c r="M5" s="28" t="str">
        <f>IFERROR(__xludf.DUMMYFUNCTION("""COMPUTED_VALUE"""),"Accrued Interest")</f>
        <v>Accrued Interest</v>
      </c>
      <c r="N5" s="28" t="str">
        <f>IFERROR(__xludf.DUMMYFUNCTION("""COMPUTED_VALUE"""),"Commission")</f>
        <v>Commission</v>
      </c>
      <c r="O5" s="28" t="str">
        <f>IFERROR(__xludf.DUMMYFUNCTION("""COMPUTED_VALUE"""),"Soft Commission")</f>
        <v>Soft Commission</v>
      </c>
      <c r="P5" s="28" t="str">
        <f>IFERROR(__xludf.DUMMYFUNCTION("""COMPUTED_VALUE"""),"Broker")</f>
        <v>Broker</v>
      </c>
      <c r="Q5" s="28" t="str">
        <f>IFERROR(__xludf.DUMMYFUNCTION("""COMPUTED_VALUE"""),"Transaction Type")</f>
        <v>Transaction Type</v>
      </c>
      <c r="R5" s="28" t="str">
        <f>IFERROR(__xludf.DUMMYFUNCTION("""COMPUTED_VALUE"""),"AUEC Fee1")</f>
        <v>AUEC Fee1</v>
      </c>
      <c r="S5" s="28" t="str">
        <f>IFERROR(__xludf.DUMMYFUNCTION("""COMPUTED_VALUE"""),"AUEC Fee2")</f>
        <v>AUEC Fee2</v>
      </c>
      <c r="T5" s="30" t="str">
        <f>IFERROR(__xludf.DUMMYFUNCTION("""COMPUTED_VALUE"""),"Clearing Broker Fee")</f>
        <v>Clearing Broker Fee</v>
      </c>
      <c r="U5" s="30" t="str">
        <f>IFERROR(__xludf.DUMMYFUNCTION("""COMPUTED_VALUE"""),"Other Broker Fees")</f>
        <v>Other Broker Fees</v>
      </c>
      <c r="V5" s="30" t="str">
        <f>IFERROR(__xludf.DUMMYFUNCTION("""COMPUTED_VALUE"""),"OCC Fee")</f>
        <v>OCC Fee</v>
      </c>
      <c r="W5" s="30" t="str">
        <f>IFERROR(__xludf.DUMMYFUNCTION("""COMPUTED_VALUE"""),"SEC Fee")</f>
        <v>SEC Fee</v>
      </c>
      <c r="X5" s="30" t="str">
        <f>IFERROR(__xludf.DUMMYFUNCTION("""COMPUTED_VALUE"""),"ORF Fee")</f>
        <v>ORF Fee</v>
      </c>
      <c r="Y5" s="30" t="str">
        <f>IFERROR(__xludf.DUMMYFUNCTION("""COMPUTED_VALUE"""),"IsPreAllocated")</f>
        <v>IsPreAllocated</v>
      </c>
      <c r="Z5" s="30" t="str">
        <f>IFERROR(__xludf.DUMMYFUNCTION("""COMPUTED_VALUE"""),"Stamp Duty")</f>
        <v>Stamp Duty</v>
      </c>
      <c r="AA5" s="30" t="str">
        <f>IFERROR(__xludf.DUMMYFUNCTION("""COMPUTED_VALUE"""),"IsManual Group")</f>
        <v>IsManual Group</v>
      </c>
      <c r="AB5" s="30" t="str">
        <f>IFERROR(__xludf.DUMMYFUNCTION("""COMPUTED_VALUE"""),"Tax On Commissions")</f>
        <v>Tax On Commissions</v>
      </c>
      <c r="AC5" s="30" t="str">
        <f>IFERROR(__xludf.DUMMYFUNCTION("""COMPUTED_VALUE"""),"IsAnotherTaxlotAttributesUpdated")</f>
        <v>IsAnotherTaxlotAttributesUpdated</v>
      </c>
      <c r="AD5" s="30" t="str">
        <f>IFERROR(__xludf.DUMMYFUNCTION("""COMPUTED_VALUE"""),"ISNDF")</f>
        <v>ISNDF</v>
      </c>
      <c r="AE5" s="30" t="str">
        <f>IFERROR(__xludf.DUMMYFUNCTION("""COMPUTED_VALUE"""),"Transaction Levy")</f>
        <v>Transaction Levy</v>
      </c>
      <c r="AF5" s="30" t="str">
        <f>IFERROR(__xludf.DUMMYFUNCTION("""COMPUTED_VALUE"""),"Description")</f>
        <v>Description</v>
      </c>
      <c r="AG5" s="30" t="str">
        <f>IFERROR(__xludf.DUMMYFUNCTION("""COMPUTED_VALUE"""),"GroupID")</f>
        <v>GroupID</v>
      </c>
      <c r="AH5" s="30" t="str">
        <f>IFERROR(__xludf.DUMMYFUNCTION("""COMPUTED_VALUE"""),"Internal Comments")</f>
        <v>Internal Comments</v>
      </c>
      <c r="AI5" s="30" t="str">
        <f>IFERROR(__xludf.DUMMYFUNCTION("""COMPUTED_VALUE"""),"M2MProfitLoss")</f>
        <v>M2MProfitLoss</v>
      </c>
      <c r="AJ5" s="30" t="str">
        <f>IFERROR(__xludf.DUMMYFUNCTION("""COMPUTED_VALUE"""),"FX Rate")</f>
        <v>FX Rate</v>
      </c>
      <c r="AK5" s="30" t="str">
        <f>IFERROR(__xludf.DUMMYFUNCTION("""COMPUTED_VALUE"""),"FX Conversion Operator")</f>
        <v>FX Conversion Operator</v>
      </c>
      <c r="AL5" s="30" t="str">
        <f>IFERROR(__xludf.DUMMYFUNCTION("""COMPUTED_VALUE"""),"Trade Attribute 3")</f>
        <v>Trade Attribute 3</v>
      </c>
      <c r="AM5" s="30" t="str">
        <f>IFERROR(__xludf.DUMMYFUNCTION("""COMPUTED_VALUE"""),"Trade Attribute 4")</f>
        <v>Trade Attribute 4</v>
      </c>
      <c r="AN5" s="30" t="str">
        <f>IFERROR(__xludf.DUMMYFUNCTION("""COMPUTED_VALUE"""),"Trade Attribute 5")</f>
        <v>Trade Attribute 5</v>
      </c>
      <c r="AO5" s="30" t="str">
        <f>IFERROR(__xludf.DUMMYFUNCTION("""COMPUTED_VALUE"""),"Trade Attribute 6")</f>
        <v>Trade Attribute 6</v>
      </c>
      <c r="AP5" s="30" t="str">
        <f>IFERROR(__xludf.DUMMYFUNCTION("""COMPUTED_VALUE"""),"Put Or Call")</f>
        <v>Put Or Call</v>
      </c>
      <c r="AQ5" s="30" t="str">
        <f>IFERROR(__xludf.DUMMYFUNCTION("""COMPUTED_VALUE"""),"Allocated Qty")</f>
        <v>Allocated Qty</v>
      </c>
      <c r="AR5" s="30" t="str">
        <f>IFERROR(__xludf.DUMMYFUNCTION("""COMPUTED_VALUE"""),"Total Commission And Fee")</f>
        <v>Total Commission And Fee</v>
      </c>
      <c r="AS5" s="30" t="str">
        <f>IFERROR(__xludf.DUMMYFUNCTION("""COMPUTED_VALUE"""),"Executed Qty")</f>
        <v>Executed Qty</v>
      </c>
      <c r="AT5" s="30" t="str">
        <f>IFERROR(__xludf.DUMMYFUNCTION("""COMPUTED_VALUE"""),"Net Amount( Local)")</f>
        <v>Net Amount( Local)</v>
      </c>
      <c r="AU5" s="30" t="str">
        <f>IFERROR(__xludf.DUMMYFUNCTION("""COMPUTED_VALUE"""),"Net Amount( Base)")</f>
        <v>Net Amount( Base)</v>
      </c>
      <c r="AV5" s="30" t="str">
        <f>IFERROR(__xludf.DUMMYFUNCTION("""COMPUTED_VALUE"""),"UnAllocatedQty")</f>
        <v>UnAllocatedQty</v>
      </c>
      <c r="AW5" s="30" t="str">
        <f>IFERROR(__xludf.DUMMYFUNCTION("""COMPUTED_VALUE"""),"Option Premium Adjustment")</f>
        <v>Option Premium Adjustment</v>
      </c>
      <c r="AX5" s="30" t="str">
        <f>IFERROR(__xludf.DUMMYFUNCTION("""COMPUTED_VALUE"""),"Principal Amount( Local)")</f>
        <v>Principal Amount( Local)</v>
      </c>
      <c r="AY5" s="30" t="str">
        <f>IFERROR(__xludf.DUMMYFUNCTION("""COMPUTED_VALUE"""),"Principal Amount( Base)")</f>
        <v>Principal Amount( Base)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IFERROR(__xludf.DUMMYFUNCTION("""COMPUTED_VALUE"""),"User")</f>
        <v>User</v>
      </c>
      <c r="BB5" s="30" t="str">
        <f>IFERROR(__xludf.DUMMYFUNCTION("""COMPUTED_VALUE"""),"Asset Category")</f>
        <v>Asset Category</v>
      </c>
      <c r="BC5" s="30" t="str">
        <f>IFERROR(__xludf.DUMMYFUNCTION("""COMPUTED_VALUE"""),"Change Type")</f>
        <v>Change Type</v>
      </c>
      <c r="BD5" s="30" t="str">
        <f>IFERROR(__xludf.DUMMYFUNCTION("""COMPUTED_VALUE"""),"Strategy Name")</f>
        <v>Strategy Name</v>
      </c>
      <c r="BE5" s="30" t="str">
        <f>IFERROR(__xludf.DUMMYFUNCTION("""COMPUTED_VALUE"""),"Prana Msg Type")</f>
        <v>Prana Msg Type</v>
      </c>
      <c r="BF5" s="30" t="str">
        <f>IFERROR(__xludf.DUMMYFUNCTION("""COMPUTED_VALUE"""),"Total Commission")</f>
        <v>Total Commission</v>
      </c>
      <c r="BG5" s="30" t="str">
        <f>IFERROR(__xludf.DUMMYFUNCTION("""COMPUTED_VALUE"""),"Commission Per Share")</f>
        <v>Commission Per Share</v>
      </c>
      <c r="BH5" s="30" t="str">
        <f>IFERROR(__xludf.DUMMYFUNCTION("""COMPUTED_VALUE"""),"Soft Commission Per Share")</f>
        <v>Soft Commission Per Share</v>
      </c>
      <c r="BI5" s="30" t="str">
        <f>IFERROR(__xludf.DUMMYFUNCTION("""COMPUTED_VALUE"""),"Total Commission Per Share")</f>
        <v>Total Commission Per Share</v>
      </c>
      <c r="BJ5" s="30" t="str">
        <f>IFERROR(__xludf.DUMMYFUNCTION("""COMPUTED_VALUE"""),"Closing Status")</f>
        <v>Closing Status</v>
      </c>
      <c r="BK5" s="30" t="str">
        <f>IFERROR(__xludf.DUMMYFUNCTION("""COMPUTED_VALUE"""),"Closing Method")</f>
        <v>Closing Method</v>
      </c>
      <c r="BL5" s="30" t="str">
        <f>IFERROR(__xludf.DUMMYFUNCTION("""COMPUTED_VALUE"""),"Allocation Scheme Name")</f>
        <v>Allocation Scheme Name</v>
      </c>
      <c r="BM5" s="30" t="str">
        <f>IFERROR(__xludf.DUMMYFUNCTION("""COMPUTED_VALUE"""),"Change Comment")</f>
        <v>Change Comment</v>
      </c>
      <c r="BN5" s="30" t="str">
        <f>IFERROR(__xludf.DUMMYFUNCTION("""COMPUTED_VALUE"""),"Order Type")</f>
        <v>Order Type</v>
      </c>
      <c r="BO5" s="30" t="str">
        <f>IFERROR(__xludf.DUMMYFUNCTION("""COMPUTED_VALUE"""),"Underlying")</f>
        <v>Underlying</v>
      </c>
      <c r="BP5" s="30" t="str">
        <f>IFERROR(__xludf.DUMMYFUNCTION("""COMPUTED_VALUE"""),"Exchange")</f>
        <v>Exchange</v>
      </c>
      <c r="BQ5" s="30" t="str">
        <f>IFERROR(__xludf.DUMMYFUNCTION("""COMPUTED_VALUE"""),"Currency")</f>
        <v>Currency</v>
      </c>
      <c r="BR5" s="30" t="str">
        <f>IFERROR(__xludf.DUMMYFUNCTION("""COMPUTED_VALUE"""),"AUECID")</f>
        <v>AUECID</v>
      </c>
      <c r="BS5" s="30" t="str">
        <f>IFERROR(__xludf.DUMMYFUNCTION("""COMPUTED_VALUE"""),"Trading Account")</f>
        <v>Trading Account</v>
      </c>
      <c r="BT5" s="30" t="str">
        <f>IFERROR(__xludf.DUMMYFUNCTION("""COMPUTED_VALUE"""),"Venue")</f>
        <v>Venue</v>
      </c>
      <c r="BU5" s="30" t="str">
        <f>IFERROR(__xludf.DUMMYFUNCTION("""COMPUTED_VALUE"""),"Cum Qty For Sub Order")</f>
        <v>Cum Qty For Sub Order</v>
      </c>
      <c r="BV5" s="30" t="str">
        <f>IFERROR(__xludf.DUMMYFUNCTION("""COMPUTED_VALUE"""),"Contract Multiplier")</f>
        <v>Contract Multiplier</v>
      </c>
      <c r="BW5" s="30" t="str">
        <f>IFERROR(__xludf.DUMMYFUNCTION("""COMPUTED_VALUE"""),"Company")</f>
        <v>Company</v>
      </c>
      <c r="BX5" s="30" t="str">
        <f>IFERROR(__xludf.DUMMYFUNCTION("""COMPUTED_VALUE"""),"Nirvana Process Date")</f>
        <v>Nirvana Process Date</v>
      </c>
      <c r="BY5" s="30" t="str">
        <f>IFERROR(__xludf.DUMMYFUNCTION("""COMPUTED_VALUE"""),"Process Date")</f>
        <v>Process Date</v>
      </c>
      <c r="BZ5" s="30" t="str">
        <f>IFERROR(__xludf.DUMMYFUNCTION("""COMPUTED_VALUE"""),"Original Purchase Date")</f>
        <v>Original Purchase Date</v>
      </c>
      <c r="CA5" s="30" t="str">
        <f>IFERROR(__xludf.DUMMYFUNCTION("""COMPUTED_VALUE"""),"Closing Date")</f>
        <v>Closing Date</v>
      </c>
      <c r="CB5" s="30" t="str">
        <f>IFERROR(__xludf.DUMMYFUNCTION("""COMPUTED_VALUE"""),"Settlement Date")</f>
        <v>Settlement Date</v>
      </c>
      <c r="CC5" s="30" t="str">
        <f>IFERROR(__xludf.DUMMYFUNCTION("""COMPUTED_VALUE"""),"Expiration Date")</f>
        <v>Expiration Date</v>
      </c>
      <c r="CD5" s="30" t="str">
        <f>IFERROR(__xludf.DUMMYFUNCTION("""COMPUTED_VALUE"""),"Underlying Symbol")</f>
        <v>Underlying Symbol</v>
      </c>
      <c r="CE5" s="30" t="str">
        <f>IFERROR(__xludf.DUMMYFUNCTION("""COMPUTED_VALUE"""),"Accrual Basis")</f>
        <v>Accrual Basis</v>
      </c>
      <c r="CF5" s="30" t="str">
        <f>IFERROR(__xludf.DUMMYFUNCTION("""COMPUTED_VALUE"""),"Bond Type")</f>
        <v>Bond Type</v>
      </c>
      <c r="CG5" s="30" t="str">
        <f>IFERROR(__xludf.DUMMYFUNCTION("""COMPUTED_VALUE"""),"Coupon Rate")</f>
        <v>Coupon Rate</v>
      </c>
      <c r="CH5" s="30" t="str">
        <f>IFERROR(__xludf.DUMMYFUNCTION("""COMPUTED_VALUE"""),"Delta")</f>
        <v>Delta</v>
      </c>
      <c r="CI5" s="30" t="str">
        <f>IFERROR(__xludf.DUMMYFUNCTION("""COMPUTED_VALUE"""),"Bloomberg")</f>
        <v>Bloomberg</v>
      </c>
      <c r="CJ5" s="30" t="str">
        <f>IFERROR(__xludf.DUMMYFUNCTION("""COMPUTED_VALUE"""),"Sedol Symbol")</f>
        <v>Sedol Symbol</v>
      </c>
      <c r="CK5" s="30" t="str">
        <f>IFERROR(__xludf.DUMMYFUNCTION("""COMPUTED_VALUE"""),"Cusip Symbol")</f>
        <v>Cusip Symbol</v>
      </c>
      <c r="CL5" s="30" t="str">
        <f>IFERROR(__xludf.DUMMYFUNCTION("""COMPUTED_VALUE"""),"ISIN")</f>
        <v>ISIN</v>
      </c>
      <c r="CM5" s="30" t="str">
        <f>IFERROR(__xludf.DUMMYFUNCTION("""COMPUTED_VALUE"""),"OSISSymbol")</f>
        <v>OSISSymbol</v>
      </c>
      <c r="CN5" s="30" t="str">
        <f>IFERROR(__xludf.DUMMYFUNCTION("""COMPUTED_VALUE"""),"IDCOSymbol")</f>
        <v>IDCOSymbol</v>
      </c>
      <c r="CO5" s="30" t="str">
        <f>IFERROR(__xludf.DUMMYFUNCTION("""COMPUTED_VALUE"""),"Underlying Delta")</f>
        <v>Underlying Delta</v>
      </c>
      <c r="CP5" s="30" t="str">
        <f>IFERROR(__xludf.DUMMYFUNCTION("""COMPUTED_VALUE"""),"Proxy Symbol")</f>
        <v>Proxy Symbol</v>
      </c>
      <c r="CQ5" s="30" t="str">
        <f>IFERROR(__xludf.DUMMYFUNCTION("""COMPUTED_VALUE"""),"Transaction Source")</f>
        <v>Transaction Source</v>
      </c>
      <c r="CR5" s="30" t="str">
        <f>IFERROR(__xludf.DUMMYFUNCTION("""COMPUTED_VALUE"""),"Import File Name")</f>
        <v>Import File Name</v>
      </c>
      <c r="CS5" s="30" t="str">
        <f>IFERROR(__xludf.DUMMYFUNCTION("""COMPUTED_VALUE"""),"MasterFund")</f>
        <v>MasterFund</v>
      </c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>
        <v>1000.0</v>
      </c>
      <c r="D6" s="13"/>
      <c r="E6" s="31"/>
      <c r="F6" s="13" t="s">
        <v>17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SelectAllocatedGroup!$4:$4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7.2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IFERROR(__xludf.DUMMYFUNCTION("""COMPUTED_VALUE"""),"AvgPrice")</f>
        <v>AvgPrice</v>
      </c>
      <c r="C5" s="28" t="str">
        <f>IFERROR(__xludf.DUMMYFUNCTION("""COMPUTED_VALUE"""),"Commission")</f>
        <v>Commission</v>
      </c>
      <c r="D5" s="28" t="str">
        <f>IFERROR(__xludf.DUMMYFUNCTION("""COMPUTED_VALUE"""),"SoftCommission")</f>
        <v>SoftCommission</v>
      </c>
      <c r="E5" s="28" t="str">
        <f>IFERROR(__xludf.DUMMYFUNCTION("""COMPUTED_VALUE"""),"OtherBrokerFees")</f>
        <v>OtherBrokerFees</v>
      </c>
      <c r="F5" s="29" t="str">
        <f>IFERROR(__xludf.DUMMYFUNCTION("""COMPUTED_VALUE"""),"ClearingBrokerFees")</f>
        <v>ClearingBrokerFees</v>
      </c>
      <c r="G5" s="28" t="str">
        <f>IFERROR(__xludf.DUMMYFUNCTION("""COMPUTED_VALUE"""),"StampDuty")</f>
        <v>StampDuty</v>
      </c>
      <c r="H5" s="28" t="str">
        <f>IFERROR(__xludf.DUMMYFUNCTION("""COMPUTED_VALUE"""),"TransactionLevy")</f>
        <v>TransactionLevy</v>
      </c>
      <c r="I5" s="28" t="str">
        <f>IFERROR(__xludf.DUMMYFUNCTION("""COMPUTED_VALUE"""),"AUECFee1")</f>
        <v>AUECFee1</v>
      </c>
      <c r="J5" s="28" t="str">
        <f>IFERROR(__xludf.DUMMYFUNCTION("""COMPUTED_VALUE"""),"TaxOnCommissions")</f>
        <v>TaxOnCommissions</v>
      </c>
      <c r="K5" s="28" t="str">
        <f>IFERROR(__xludf.DUMMYFUNCTION("""COMPUTED_VALUE"""),"AUECFee2")</f>
        <v>AUECFee2</v>
      </c>
      <c r="L5" s="28" t="str">
        <f>IFERROR(__xludf.DUMMYFUNCTION("""COMPUTED_VALUE"""),"SecFee")</f>
        <v>SecFee</v>
      </c>
      <c r="M5" s="28" t="str">
        <f>IFERROR(__xludf.DUMMYFUNCTION("""COMPUTED_VALUE"""),"OccFee")</f>
        <v>OccFee</v>
      </c>
      <c r="N5" s="28" t="str">
        <f>IFERROR(__xludf.DUMMYFUNCTION("""COMPUTED_VALUE"""),"OrfFee")</f>
        <v>OrfFee</v>
      </c>
      <c r="O5" s="28" t="str">
        <f>IFERROR(__xludf.DUMMYFUNCTION("""COMPUTED_VALUE"""),"Broker")</f>
        <v>Broker</v>
      </c>
      <c r="P5" s="28" t="str">
        <f>IFERROR(__xludf.DUMMYFUNCTION("""COMPUTED_VALUE"""),"Venue")</f>
        <v>Venue</v>
      </c>
      <c r="Q5" s="28" t="str">
        <f>IFERROR(__xludf.DUMMYFUNCTION("""COMPUTED_VALUE"""),"Description")</f>
        <v>Description</v>
      </c>
      <c r="R5" s="28" t="str">
        <f>IFERROR(__xludf.DUMMYFUNCTION("""COMPUTED_VALUE"""),"InternalComments")</f>
        <v>InternalComments</v>
      </c>
      <c r="S5" s="28" t="str">
        <f>IFERROR(__xludf.DUMMYFUNCTION("""COMPUTED_VALUE"""),"FXRate")</f>
        <v>FXRate</v>
      </c>
      <c r="T5" s="30" t="str">
        <f>IFERROR(__xludf.DUMMYFUNCTION("""COMPUTED_VALUE"""),"FxConvOperator")</f>
        <v>FxConvOperator</v>
      </c>
      <c r="U5" s="30" t="str">
        <f>IFERROR(__xludf.DUMMYFUNCTION("""COMPUTED_VALUE"""),"AccruedInterest")</f>
        <v>AccruedInterest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IFERROR(__xludf.DUMMYFUNCTION("""COMPUTED_VALUE"""),"SettlementCurrency")</f>
        <v>SettlementCurrency</v>
      </c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100.0</v>
      </c>
      <c r="C6" s="13">
        <v>1.0</v>
      </c>
      <c r="D6" s="13">
        <v>1.0</v>
      </c>
      <c r="E6" s="13">
        <v>1.0</v>
      </c>
      <c r="F6" s="13">
        <v>1.0</v>
      </c>
      <c r="G6" s="8"/>
      <c r="H6" s="13">
        <v>3.0</v>
      </c>
      <c r="I6" s="13">
        <v>5.0</v>
      </c>
      <c r="J6" s="13">
        <v>4.0</v>
      </c>
      <c r="K6" s="13">
        <v>6.0</v>
      </c>
      <c r="L6" s="13">
        <v>1.0</v>
      </c>
      <c r="M6" s="13">
        <v>1.0</v>
      </c>
      <c r="N6" s="13">
        <v>1.0</v>
      </c>
      <c r="O6" s="13" t="s">
        <v>24</v>
      </c>
      <c r="P6" s="9" t="s">
        <v>25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EditAllocatedGroupSidePanel!$4:$4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 t="s">
        <v>18</v>
      </c>
      <c r="C6" s="8"/>
      <c r="D6" s="13">
        <v>0.0</v>
      </c>
      <c r="E6" s="13">
        <v>1000.0</v>
      </c>
      <c r="F6" s="13" t="s">
        <v>27</v>
      </c>
      <c r="G6" s="13" t="s">
        <v>28</v>
      </c>
      <c r="H6" s="13">
        <v>5.0</v>
      </c>
      <c r="I6" s="13">
        <v>6.0</v>
      </c>
      <c r="J6" s="13">
        <v>1.0</v>
      </c>
      <c r="K6" s="13">
        <v>100.0</v>
      </c>
      <c r="L6" s="13">
        <v>100.0</v>
      </c>
      <c r="M6" s="8"/>
      <c r="N6" s="8"/>
      <c r="O6" s="13" t="s">
        <v>24</v>
      </c>
      <c r="Q6" s="9">
        <v>3.0</v>
      </c>
      <c r="R6" s="9">
        <v>1.0</v>
      </c>
      <c r="S6" s="9" t="s">
        <v>29</v>
      </c>
      <c r="T6" s="9">
        <v>1.0</v>
      </c>
      <c r="U6" s="33"/>
      <c r="V6" s="32" t="s">
        <v>30</v>
      </c>
      <c r="W6" s="34">
        <v>1.0</v>
      </c>
      <c r="X6" s="34">
        <v>0.0</v>
      </c>
      <c r="Z6" s="32" t="s">
        <v>31</v>
      </c>
      <c r="AB6" s="34">
        <v>1.0</v>
      </c>
      <c r="AC6" s="32" t="s">
        <v>32</v>
      </c>
      <c r="AD6" s="32" t="s">
        <v>33</v>
      </c>
      <c r="AE6" s="9">
        <v>1000.0</v>
      </c>
      <c r="AH6" s="32" t="s">
        <v>34</v>
      </c>
      <c r="AI6" s="34">
        <v>1.0</v>
      </c>
      <c r="AJ6" s="32" t="s">
        <v>35</v>
      </c>
      <c r="AT6" s="35">
        <v>100025.0006</v>
      </c>
      <c r="AU6" s="35">
        <v>100025.0006</v>
      </c>
      <c r="AW6" s="9">
        <v>1.0</v>
      </c>
      <c r="AY6" s="32" t="s">
        <v>36</v>
      </c>
      <c r="AZ6" s="34">
        <v>1.0</v>
      </c>
      <c r="BC6" s="34">
        <v>1.0</v>
      </c>
      <c r="BE6" s="35">
        <v>100000.0</v>
      </c>
      <c r="BF6" s="35">
        <v>100000.0</v>
      </c>
      <c r="BJ6" s="35">
        <v>1000.0</v>
      </c>
      <c r="BK6" s="34">
        <v>1.0</v>
      </c>
      <c r="BM6" s="32" t="s">
        <v>31</v>
      </c>
      <c r="BO6" s="32" t="s">
        <v>17</v>
      </c>
      <c r="BP6" s="9">
        <v>1.0</v>
      </c>
      <c r="BS6" s="32" t="s">
        <v>37</v>
      </c>
      <c r="BT6" s="32" t="s">
        <v>16</v>
      </c>
      <c r="BU6" s="34">
        <v>4.0</v>
      </c>
      <c r="BV6" s="34">
        <v>2.0</v>
      </c>
      <c r="BW6" s="34">
        <v>25.0006</v>
      </c>
      <c r="CG6" s="9">
        <v>3.0</v>
      </c>
      <c r="CI6" s="9" t="s">
        <v>17</v>
      </c>
      <c r="CJ6" s="9">
        <v>0.0</v>
      </c>
      <c r="CK6" s="9" t="s">
        <v>38</v>
      </c>
      <c r="CL6" s="9">
        <v>1.0</v>
      </c>
      <c r="CM6" s="9" t="s">
        <v>16</v>
      </c>
      <c r="CN6" s="9" t="s">
        <v>39</v>
      </c>
      <c r="CO6" s="32" t="s">
        <v>25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B7" s="36"/>
      <c r="AC7" s="36"/>
      <c r="AD7" s="36"/>
      <c r="AT7" s="36"/>
      <c r="AU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