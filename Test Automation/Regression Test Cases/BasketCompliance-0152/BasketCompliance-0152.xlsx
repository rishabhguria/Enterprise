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CheckBasketCompliance" sheetId="12" r:id="rId14"/>
    <sheet state="visible" name="SendToStagingExport" sheetId="13" r:id="rId15"/>
    <sheet state="visible" name="SendToStagingExport1" sheetId="14" r:id="rId16"/>
    <sheet state="visible" name="LoginClient" sheetId="15" r:id="rId17"/>
    <sheet state="visible" name="ApproveorRejectpendingapproval" sheetId="16" r:id="rId18"/>
    <sheet state="visible" name="VerifyAlertHistory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<sst xmlns="http://schemas.openxmlformats.org/spreadsheetml/2006/main" count="188" uniqueCount="74">
  <si>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</si>
  <si>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</si>
  <si>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</si>
  <si>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</si>
  <si>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</si>
  <si>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</si>
  <si>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</si>
  <si>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</si>
  <si>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</si>
  <si>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</si>
  <si>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</si>
  <si>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</si>
  <si>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</si>
  <si>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</si>
  <si>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</si>
  <si>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</si>
  <si>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</t>
  </si>
  <si>
    <t>Soft</t>
  </si>
  <si>
    <t>Account_Symbol</t>
  </si>
  <si>
    <t>SOFT WITH NOTES</t>
  </si>
  <si>
    <t>Symbol</t>
  </si>
  <si>
    <t>REQUIRES APPROVAL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</si>
  <si>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</si>
  <si>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</si>
  <si>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</si>
  <si>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</si>
  <si>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</si>
  <si>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</si>
  <si>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</si>
  <si>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GOOG</t>
  </si>
  <si>
    <t>Buy</t>
  </si>
  <si>
    <t>Yes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</si>
  <si>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</si>
  <si>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</si>
  <si>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</si>
  <si>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</si>
  <si>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</si>
  <si>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</si>
  <si>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</si>
  <si>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</si>
  <si>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</si>
  <si>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</si>
  <si>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</si>
  <si>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Round Up</t>
  </si>
  <si>
    <t>CheckBasketCompliance</t>
  </si>
  <si>
    <t>Requires Approval</t>
  </si>
  <si>
    <t>If Quantity not equals to -123466, Symbol equals to "GOOG", Then block the trade.</t>
  </si>
  <si>
    <t>quantity: 200.00, symbol: GOOG</t>
  </si>
  <si>
    <t>Compliance Officer - Please Approve</t>
  </si>
  <si>
    <t>Soft with Notes</t>
  </si>
  <si>
    <t>If Quantity not equals to -1234, Symbol equals to "GOOG", Then block the trade.</t>
  </si>
  <si>
    <t>Allocation1-GOOG</t>
  </si>
  <si>
    <t>quantity: 200.00, symbol: GOOG, AccountShortName: Allocation1</t>
  </si>
  <si>
    <t>quantity: 100.00, symbol: GOOG</t>
  </si>
  <si>
    <t>SendToStagingExport</t>
  </si>
  <si>
    <t>No</t>
  </si>
  <si>
    <t>PranaClient</t>
  </si>
  <si>
    <t>LoginClient</t>
  </si>
  <si>
    <t>Support2</t>
  </si>
  <si>
    <t>Nirvana@1</t>
  </si>
  <si>
    <t>Compliance</t>
  </si>
  <si>
    <t>ApproveorRejectpendingapproval</t>
  </si>
  <si>
    <t>jgulbrandsen</t>
  </si>
  <si>
    <t>Pending Approval</t>
  </si>
  <si>
    <t>Approve</t>
  </si>
  <si>
    <t>VerifyAlertHistory</t>
  </si>
  <si>
    <t>PreTrade</t>
  </si>
  <si>
    <t>Trade passed as rule is overriden by user (jpearce</t>
  </si>
  <si>
    <t>Stage</t>
  </si>
  <si>
    <t>Blotter</t>
  </si>
  <si>
    <t>VerifyOrder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</si>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</sst>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6" fontId="14" numFmtId="14" xfId="0" applyAlignment="1" applyBorder="1" applyFill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18.0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44966</v>
      </c>
      <c r="C6" s="32">
        <f t="shared" si="1"/>
        <v>44966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25</v>
      </c>
      <c r="C6" s="33" t="s">
        <v>26</v>
      </c>
      <c r="D6" s="34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29</v>
      </c>
      <c r="C6" s="37" t="s">
        <v>30</v>
      </c>
      <c r="D6" s="38">
        <v>100.0</v>
      </c>
      <c r="E6" s="37"/>
      <c r="F6" s="37" t="s">
        <v>25</v>
      </c>
      <c r="G6" s="37"/>
      <c r="H6" s="37"/>
      <c r="I6" s="37"/>
      <c r="J6" s="38">
        <v>2.0</v>
      </c>
      <c r="K6" s="37"/>
      <c r="L6" s="37"/>
      <c r="M6" s="37"/>
      <c r="N6" s="39">
        <f>TODAY()-1</f>
        <v>44966</v>
      </c>
      <c r="O6" s="37"/>
      <c r="P6" s="37"/>
      <c r="Q6" s="37"/>
      <c r="R6" s="37"/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31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29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7" t="s">
        <v>35</v>
      </c>
      <c r="C6" s="37" t="s">
        <v>36</v>
      </c>
      <c r="D6" s="37" t="s">
        <v>37</v>
      </c>
      <c r="E6" s="37" t="s">
        <v>38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>
        <v>100000.0</v>
      </c>
      <c r="C6" s="33" t="s">
        <v>40</v>
      </c>
      <c r="D6" s="37" t="s">
        <v>41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7" t="s">
        <v>43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45</v>
      </c>
      <c r="C6" s="13" t="s">
        <v>20</v>
      </c>
      <c r="D6" s="13" t="s">
        <v>46</v>
      </c>
      <c r="E6" s="13" t="s">
        <v>29</v>
      </c>
      <c r="F6" s="13">
        <v>-123466.0</v>
      </c>
      <c r="G6" s="13">
        <v>200.0</v>
      </c>
      <c r="H6" s="13" t="s">
        <v>47</v>
      </c>
      <c r="I6" s="13" t="s">
        <v>48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49</v>
      </c>
      <c r="C7" s="13" t="s">
        <v>18</v>
      </c>
      <c r="D7" s="13" t="s">
        <v>50</v>
      </c>
      <c r="E7" s="13" t="s">
        <v>51</v>
      </c>
      <c r="F7" s="13">
        <v>-1234.0</v>
      </c>
      <c r="G7" s="13">
        <v>200.0</v>
      </c>
      <c r="H7" s="13" t="s">
        <v>52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17</v>
      </c>
      <c r="C8" s="13" t="s">
        <v>16</v>
      </c>
      <c r="D8" s="13" t="s">
        <v>50</v>
      </c>
      <c r="E8" s="13" t="s">
        <v>29</v>
      </c>
      <c r="F8" s="13">
        <v>-1234.0</v>
      </c>
      <c r="G8" s="13">
        <v>100.0</v>
      </c>
      <c r="H8" s="13" t="s">
        <v>53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30</v>
      </c>
      <c r="D6" s="13" t="s">
        <v>29</v>
      </c>
      <c r="E6" s="13">
        <v>100.0</v>
      </c>
      <c r="F6" s="13">
        <v>10.0</v>
      </c>
      <c r="G6" s="13">
        <v>1000.0</v>
      </c>
      <c r="H6" s="8"/>
      <c r="I6" s="13" t="s">
        <v>55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30</v>
      </c>
      <c r="D6" s="13" t="s">
        <v>29</v>
      </c>
      <c r="E6" s="13">
        <v>100.0</v>
      </c>
      <c r="F6" s="13">
        <v>10.0</v>
      </c>
      <c r="G6" s="13">
        <v>1000.0</v>
      </c>
      <c r="H6" s="8"/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58</v>
      </c>
      <c r="C6" s="13" t="s">
        <v>59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29</v>
      </c>
      <c r="D6" s="8"/>
      <c r="E6" s="8"/>
      <c r="F6" s="8"/>
      <c r="G6" s="8"/>
      <c r="H6" s="8"/>
      <c r="I6" s="13" t="s">
        <v>62</v>
      </c>
      <c r="J6" s="13">
        <v>10.0</v>
      </c>
      <c r="K6" s="8"/>
      <c r="L6" s="13">
        <v>100.0</v>
      </c>
      <c r="M6" s="8"/>
      <c r="N6" s="13" t="s">
        <v>63</v>
      </c>
      <c r="O6" s="13" t="s">
        <v>30</v>
      </c>
      <c r="P6" s="41" t="s">
        <v>64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16</v>
      </c>
      <c r="C6" s="13" t="s">
        <v>58</v>
      </c>
      <c r="D6" s="13" t="s">
        <v>66</v>
      </c>
      <c r="E6" s="8"/>
      <c r="F6" s="8"/>
      <c r="G6" s="8"/>
      <c r="H6" s="8"/>
      <c r="I6" s="8"/>
      <c r="J6" s="13" t="s">
        <v>67</v>
      </c>
      <c r="K6" s="8"/>
      <c r="L6" s="8"/>
      <c r="M6" s="8"/>
      <c r="N6" s="13" t="s">
        <v>68</v>
      </c>
      <c r="O6" s="8"/>
    </row>
    <row r="7" ht="15.75" customHeight="1">
      <c r="A7" s="8"/>
      <c r="B7" s="42" t="s">
        <v>18</v>
      </c>
      <c r="C7" s="13" t="s">
        <v>58</v>
      </c>
      <c r="D7" s="13" t="s">
        <v>66</v>
      </c>
      <c r="E7" s="8"/>
      <c r="F7" s="8"/>
      <c r="G7" s="8"/>
      <c r="H7" s="8"/>
      <c r="I7" s="8"/>
      <c r="J7" s="13" t="s">
        <v>67</v>
      </c>
      <c r="K7" s="8"/>
      <c r="L7" s="8"/>
      <c r="M7" s="8"/>
      <c r="N7" s="13" t="s">
        <v>68</v>
      </c>
      <c r="O7" s="8"/>
    </row>
    <row r="8" ht="15.75" customHeight="1">
      <c r="A8" s="8"/>
      <c r="B8" s="33" t="s">
        <v>20</v>
      </c>
      <c r="C8" s="13" t="s">
        <v>58</v>
      </c>
      <c r="D8" s="13" t="s">
        <v>66</v>
      </c>
      <c r="E8" s="8"/>
      <c r="F8" s="8"/>
      <c r="G8" s="8"/>
      <c r="H8" s="8"/>
      <c r="I8" s="8"/>
      <c r="J8" s="13" t="s">
        <v>67</v>
      </c>
      <c r="K8" s="8"/>
      <c r="L8" s="8"/>
      <c r="M8" s="8"/>
      <c r="N8" s="13" t="s">
        <v>68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29</v>
      </c>
      <c r="AJ6" s="9" t="s">
        <v>30</v>
      </c>
      <c r="AK6" s="9" t="s">
        <v>71</v>
      </c>
      <c r="AL6" s="9">
        <v>100.0</v>
      </c>
      <c r="AS6" s="9" t="s">
        <v>72</v>
      </c>
      <c r="AT6" s="9" t="s">
        <v>25</v>
      </c>
      <c r="AU6" s="9" t="s">
        <v>73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