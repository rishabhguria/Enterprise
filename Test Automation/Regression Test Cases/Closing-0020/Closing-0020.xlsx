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SelectTradeUnexpiredUnsettled" sheetId="6" r:id="rId8"/>
    <sheet state="visible" name="Expire" sheetId="7" r:id="rId9"/>
    <sheet state="visible" name="UnWindTradeSettlement" sheetId="8" r:id="rId10"/>
    <sheet state="visible" name="VerifyExpiredSettledGrid" sheetId="9" r:id="rId11"/>
    <sheet state="visible" name="CheckAllocatedGroups" sheetId="10" r:id="rId12"/>
    <sheet state="visible" name="GetDataAllocation" sheetId="11" r:id="rId13"/>
    <sheet state="visible" name="VerifyLongPositionsGrid" sheetId="12" r:id="rId14"/>
  </sheets>
  <definedNames/>
  <calcPr/>
</workbook>
</file>

<file path=xl/sharedStrings.xml><?xml version="1.0" encoding="utf-8"?>
<sst xmlns="http://schemas.openxmlformats.org/spreadsheetml/2006/main" count="105" uniqueCount="36">
  <si>
    <t>Modules Info</t>
  </si>
  <si>
    <t>Modules</t>
  </si>
  <si>
    <t>Settings</t>
  </si>
  <si>
    <t>Module Step Setting File</t>
  </si>
  <si>
    <t>1ME5nnmNmgGcG-gtQosTv7DydLzJUA3iWN2GBgspatg8</t>
  </si>
  <si>
    <t>Master Data Settings File</t>
  </si>
  <si>
    <t>1Nt_rf5DtgjbN9Ag4AMMlUkZYROxKZLH5m54YOl7tRT0</t>
  </si>
  <si>
    <t>Data</t>
  </si>
  <si>
    <t>Module</t>
  </si>
  <si>
    <t>TradingTicket</t>
  </si>
  <si>
    <t>Step</t>
  </si>
  <si>
    <t>CreateDoneAwayOrder</t>
  </si>
  <si>
    <t>Data Format</t>
  </si>
  <si>
    <t>Input Format</t>
  </si>
  <si>
    <t>Master Data Info</t>
  </si>
  <si>
    <t>Master Data Sheet</t>
  </si>
  <si>
    <t>CL H9</t>
  </si>
  <si>
    <t>Buy</t>
  </si>
  <si>
    <t>Allocation1</t>
  </si>
  <si>
    <t>Closing</t>
  </si>
  <si>
    <t>GetDataClosing</t>
  </si>
  <si>
    <t>Current</t>
  </si>
  <si>
    <t>SelectTradeUnexpiredUnsettled</t>
  </si>
  <si>
    <t>Future</t>
  </si>
  <si>
    <t>Expire</t>
  </si>
  <si>
    <t>UnWindTradeSettlement</t>
  </si>
  <si>
    <t>NONE</t>
  </si>
  <si>
    <t>Long</t>
  </si>
  <si>
    <t>VerifyExpiredSettledGrid</t>
  </si>
  <si>
    <t>Allocation</t>
  </si>
  <si>
    <t>CheckAllocatedGroups</t>
  </si>
  <si>
    <t>Closed</t>
  </si>
  <si>
    <t xml:space="preserve">Buy </t>
  </si>
  <si>
    <t>Sell</t>
  </si>
  <si>
    <t>GetDataAllocation</t>
  </si>
  <si>
    <t>VerifyLongPositionsGrid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</si>
</sst>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b/>
      <color rgb="FFFFFFFF"/>
      <name val="Arial"/>
    </font>
    <font>
      <b/>
      <color rgb="FFFFFFFF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8" numFmtId="0" xfId="0" applyFont="1"/>
    <xf borderId="0" fillId="4" fontId="9" numFmtId="0" xfId="0" applyAlignment="1" applyFill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0" fillId="4" fontId="10" numFmtId="0" xfId="0" applyFont="1"/>
    <xf borderId="4" fillId="3" fontId="11" numFmtId="0" xfId="0" applyAlignment="1" applyBorder="1" applyFont="1">
      <alignment readingOrder="0" shrinkToFit="0" wrapText="0"/>
    </xf>
    <xf borderId="4" fillId="3" fontId="11" numFmtId="0" xfId="0" applyAlignment="1" applyBorder="1" applyFont="1">
      <alignment shrinkToFit="0" wrapText="0"/>
    </xf>
    <xf borderId="0" fillId="0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8" numFmtId="0" xfId="0" applyFont="1"/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shrinkToFit="0" vertical="bottom" wrapText="0"/>
    </xf>
    <xf borderId="0" fillId="0" fontId="2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horizontal="right" shrinkToFit="0" vertical="bottom" wrapText="0"/>
    </xf>
    <xf borderId="0" fillId="0" fontId="3" numFmtId="16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4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9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0" t="s">
        <v>4</v>
      </c>
      <c r="C3" s="8"/>
    </row>
    <row r="4" ht="15.75" customHeight="1">
      <c r="A4" s="11" t="s">
        <v>5</v>
      </c>
      <c r="B4" s="10" t="s">
        <v>6</v>
      </c>
      <c r="C4" s="8"/>
    </row>
    <row r="5" ht="15.75" customHeight="1">
      <c r="A5" s="12"/>
      <c r="B5" s="8"/>
      <c r="C5" s="8"/>
    </row>
    <row r="6" ht="15.75" customHeight="1">
      <c r="A6" s="12"/>
      <c r="B6" s="8"/>
      <c r="C6" s="8"/>
    </row>
    <row r="7" ht="15.75" customHeight="1">
      <c r="A7" s="12"/>
      <c r="B7" s="8"/>
      <c r="C7" s="8"/>
    </row>
    <row r="8" ht="15.75" customHeight="1">
      <c r="A8" s="12"/>
      <c r="B8" s="8"/>
      <c r="C8" s="8"/>
    </row>
    <row r="9" ht="15.75" customHeight="1">
      <c r="A9" s="12"/>
      <c r="B9" s="8"/>
      <c r="C9" s="8"/>
    </row>
    <row r="10" ht="15.75" customHeight="1">
      <c r="A10" s="12"/>
      <c r="B10" s="8"/>
      <c r="C10" s="8"/>
    </row>
    <row r="11" ht="15.75" customHeight="1">
      <c r="A11" s="12"/>
      <c r="B11" s="8"/>
      <c r="C11" s="8"/>
    </row>
    <row r="12" ht="15.75" customHeight="1">
      <c r="A12" s="12"/>
      <c r="B12" s="8"/>
      <c r="C12" s="8"/>
    </row>
    <row r="13" ht="15.75" customHeight="1">
      <c r="A13" s="12"/>
      <c r="B13" s="8"/>
      <c r="C13" s="8"/>
    </row>
    <row r="14" ht="15.75" customHeight="1">
      <c r="A14" s="12"/>
      <c r="B14" s="8"/>
      <c r="C14" s="8"/>
    </row>
    <row r="15" ht="15.75" customHeight="1">
      <c r="A15" s="12"/>
      <c r="B15" s="8"/>
      <c r="C15" s="8"/>
    </row>
    <row r="16" ht="15.75" customHeight="1">
      <c r="A16" s="12"/>
      <c r="B16" s="8"/>
      <c r="C16" s="8"/>
    </row>
    <row r="17" ht="15.75" customHeight="1">
      <c r="A17" s="12"/>
      <c r="B17" s="8"/>
      <c r="C17" s="8"/>
    </row>
    <row r="18" ht="15.75" customHeight="1">
      <c r="A18" s="12"/>
      <c r="B18" s="8"/>
      <c r="C18" s="8"/>
    </row>
    <row r="19" ht="15.75" customHeight="1">
      <c r="A19" s="12"/>
      <c r="B19" s="8"/>
      <c r="C19" s="8"/>
    </row>
    <row r="20" ht="15.75" customHeight="1">
      <c r="A20" s="12"/>
      <c r="B20" s="8"/>
      <c r="C20" s="8"/>
    </row>
    <row r="21" ht="15.75" customHeight="1">
      <c r="A21" s="12"/>
      <c r="B21" s="8"/>
      <c r="C21" s="8"/>
    </row>
    <row r="22" ht="15.75" customHeight="1">
      <c r="A22" s="12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0" t="s">
        <v>14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22" t="s">
        <v>10</v>
      </c>
      <c r="C3" s="22" t="s">
        <v>15</v>
      </c>
      <c r="D3" s="23"/>
      <c r="E3" s="23"/>
      <c r="F3" s="23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1" t="s">
        <v>7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5" t="str">
        <f> VLOOKUP($E$3,'_MasterData'!B4:D1000,3,FALSE)</f>
        <v>1b5S4Xpp4fgZ1ez6cK92QFnVBylqz8jhwxdAyEvwDqUI</v>
      </c>
      <c r="K2" s="15"/>
      <c r="L2" s="8"/>
      <c r="M2" s="8"/>
      <c r="N2" s="8"/>
      <c r="O2" s="8"/>
    </row>
    <row r="3" ht="15.75" customHeight="1">
      <c r="A3" s="16"/>
      <c r="B3" s="5" t="s">
        <v>8</v>
      </c>
      <c r="C3" s="17" t="s">
        <v>9</v>
      </c>
      <c r="D3" s="5" t="s">
        <v>10</v>
      </c>
      <c r="E3" s="17" t="s">
        <v>11</v>
      </c>
      <c r="F3" s="5" t="s">
        <v>12</v>
      </c>
      <c r="G3" s="12" t="s">
        <v>13</v>
      </c>
      <c r="H3" s="5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tr">
        <f>IFERROR(__xludf.DUMMYFUNCTION("""COMPUTED_VALUE"""),"EnterDetailsOnTT")</f>
        <v>EnterDetailsOnTT</v>
      </c>
      <c r="D4" s="19" t="str">
        <f>IFERROR(__xludf.DUMMYFUNCTION("""COMPUTED_VALUE"""),"ValidateSymbolTT")</f>
        <v>ValidateSymbolTT</v>
      </c>
      <c r="E4" s="19" t="str">
        <f>IFERROR(__xludf.DUMMYFUNCTION("""COMPUTED_VALUE"""),"VerifyDataTT")</f>
        <v>VerifyDataTT</v>
      </c>
      <c r="F4" s="19" t="str">
        <f>IFERROR(__xludf.DUMMYFUNCTION("""COMPUTED_VALUE"""),"SetUIPreferencesTT")</f>
        <v>SetUIPreferencesTT</v>
      </c>
      <c r="G4" s="19" t="str">
        <f>IFERROR(__xludf.DUMMYFUNCTION("""COMPUTED_VALUE"""),"SetBrokerWisePreferencesTT")</f>
        <v>SetBrokerWisePreferencesTT</v>
      </c>
      <c r="H4" s="19" t="str">
        <f>IFERROR(__xludf.DUMMYFUNCTION("""COMPUTED_VALUE"""),"TradeNewSub")</f>
        <v>TradeNewSub</v>
      </c>
      <c r="I4" s="19" t="str">
        <f>IFERROR(__xludf.DUMMYFUNCTION("""COMPUTED_VALUE"""),"CreateStageOrder")</f>
        <v>CreateStageOrder</v>
      </c>
      <c r="J4" s="19" t="str">
        <f>IFERROR(__xludf.DUMMYFUNCTION("""COMPUTED_VALUE"""),"CreateReplaceOrder")</f>
        <v>CreateReplaceOrder</v>
      </c>
      <c r="K4" s="19" t="str">
        <f>IFERROR(__xludf.DUMMYFUNCTION("""COMPUTED_VALUE"""),"SetGeneralPreference")</f>
        <v>SetGeneralPreference</v>
      </c>
      <c r="L4" s="19" t="str">
        <f>IFERROR(__xludf.DUMMYFUNCTION("""COMPUTED_VALUE"""),"CreateDoneAwayOrder")</f>
        <v>CreateDoneAwayOrder</v>
      </c>
      <c r="M4" s="19" t="str">
        <f>IFERROR(__xludf.DUMMYFUNCTION("""COMPUTED_VALUE"""),"CreateNewSubOrder")</f>
        <v>CreateNewSubOrder</v>
      </c>
      <c r="N4" s="19" t="str">
        <f>IFERROR(__xludf.DUMMYFUNCTION("""COMPUTED_VALUE"""),"TradeBloomberg")</f>
        <v>TradeBloomberg</v>
      </c>
      <c r="O4" s="19" t="str">
        <f>IFERROR(__xludf.DUMMYFUNCTION("""COMPUTED_VALUE"""),"ClickSymbolLookup")</f>
        <v>ClickSymbolLookup</v>
      </c>
      <c r="P4" s="21" t="str">
        <f>IFERROR(__xludf.DUMMYFUNCTION("""COMPUTED_VALUE"""),"VerifyTT")</f>
        <v>VerifyTT</v>
      </c>
      <c r="Q4" s="21" t="str">
        <f>IFERROR(__xludf.DUMMYFUNCTION("""COMPUTED_VALUE"""),"")</f>
        <v/>
      </c>
      <c r="R4" s="21" t="str">
        <f>IFERROR(__xludf.DUMMYFUNCTION("""COMPUTED_VALUE"""),"")</f>
        <v/>
      </c>
      <c r="S4" s="21" t="str">
        <f>IFERROR(__xludf.DUMMYFUNCTION("""COMPUTED_VALUE"""),"")</f>
        <v/>
      </c>
      <c r="T4" s="21" t="str">
        <f>IFERROR(__xludf.DUMMYFUNCTION("""COMPUTED_VALUE"""),"")</f>
        <v/>
      </c>
      <c r="U4" s="21" t="str">
        <f>IFERROR(__xludf.DUMMYFUNCTION("""COMPUTED_VALUE"""),"")</f>
        <v/>
      </c>
      <c r="V4" s="21" t="str">
        <f>IFERROR(__xludf.DUMMYFUNCTION("""COMPUTED_VALUE"""),"")</f>
        <v/>
      </c>
      <c r="W4" s="21" t="str">
        <f>IFERROR(__xludf.DUMMYFUNCTION("""COMPUTED_VALUE"""),"")</f>
        <v/>
      </c>
      <c r="X4" s="21" t="str">
        <f>IFERROR(__xludf.DUMMYFUNCTION("""COMPUTED_VALUE"""),"")</f>
        <v/>
      </c>
      <c r="Y4" s="21" t="str">
        <f>IFERROR(__xludf.DUMMYFUNCTION("""COMPUTED_VALUE"""),"")</f>
        <v/>
      </c>
      <c r="Z4" s="21" t="str">
        <f>IFERROR(__xludf.DUMMYFUNCTION("""COMPUTED_VALUE"""),"")</f>
        <v/>
      </c>
      <c r="AA4" s="21" t="str">
        <f>IFERROR(__xludf.DUMMYFUNCTION("""COMPUTED_VALUE"""),"")</f>
        <v/>
      </c>
      <c r="AB4" s="21" t="str">
        <f>IFERROR(__xludf.DUMMYFUNCTION("""COMPUTED_VALUE"""),"")</f>
        <v/>
      </c>
      <c r="AC4" s="21" t="str">
        <f>IFERROR(__xludf.DUMMYFUNCTION("""COMPUTED_VALUE"""),"")</f>
        <v/>
      </c>
      <c r="AD4" s="21" t="str">
        <f>IFERROR(__xludf.DUMMYFUNCTION("""COMPUTED_VALUE"""),"")</f>
        <v/>
      </c>
      <c r="AE4" s="21" t="str">
        <f>IFERROR(__xludf.DUMMYFUNCTION("""COMPUTED_VALUE"""),"")</f>
        <v/>
      </c>
      <c r="AF4" s="21" t="str">
        <f>IFERROR(__xludf.DUMMYFUNCTION("""COMPUTED_VALUE"""),"")</f>
        <v/>
      </c>
      <c r="AG4" s="21" t="str">
        <f>IFERROR(__xludf.DUMMYFUNCTION("""COMPUTED_VALUE"""),"")</f>
        <v/>
      </c>
      <c r="AH4" s="21" t="str">
        <f>IFERROR(__xludf.DUMMYFUNCTION("""COMPUTED_VALUE"""),"")</f>
        <v/>
      </c>
      <c r="AI4" s="21" t="str">
        <f>IFERROR(__xludf.DUMMYFUNCTION("""COMPUTED_VALUE"""),"")</f>
        <v/>
      </c>
      <c r="AJ4" s="21" t="str">
        <f>IFERROR(__xludf.DUMMYFUNCTION("""COMPUTED_VALUE"""),"")</f>
        <v/>
      </c>
      <c r="AK4" s="21" t="str">
        <f>IFERROR(__xludf.DUMMYFUNCTION("""COMPUTED_VALUE"""),"")</f>
        <v/>
      </c>
      <c r="AL4" s="21" t="str">
        <f>IFERROR(__xludf.DUMMYFUNCTION("""COMPUTED_VALUE"""),"")</f>
        <v/>
      </c>
      <c r="AM4" s="21" t="str">
        <f>IFERROR(__xludf.DUMMYFUNCTION("""COMPUTED_VALUE"""),"")</f>
        <v/>
      </c>
      <c r="AN4" s="21" t="str">
        <f>IFERROR(__xludf.DUMMYFUNCTION("""COMPUTED_VALUE"""),"")</f>
        <v/>
      </c>
      <c r="AO4" s="21" t="str">
        <f>IFERROR(__xludf.DUMMYFUNCTION("""COMPUTED_VALUE"""),"")</f>
        <v/>
      </c>
      <c r="AP4" s="21" t="str">
        <f>IFERROR(__xludf.DUMMYFUNCTION("""COMPUTED_VALUE"""),"")</f>
        <v/>
      </c>
      <c r="AQ4" s="21" t="str">
        <f>IFERROR(__xludf.DUMMYFUNCTION("""COMPUTED_VALUE"""),"")</f>
        <v/>
      </c>
      <c r="AR4" s="21" t="str">
        <f>IFERROR(__xludf.DUMMYFUNCTION("""COMPUTED_VALUE"""),"")</f>
        <v/>
      </c>
      <c r="AS4" s="21" t="str">
        <f>IFERROR(__xludf.DUMMYFUNCTION("""COMPUTED_VALUE"""),"")</f>
        <v/>
      </c>
      <c r="AT4" s="21" t="str">
        <f>IFERROR(__xludf.DUMMYFUNCTION("""COMPUTED_VALUE"""),"")</f>
        <v/>
      </c>
      <c r="AU4" s="21" t="str">
        <f>IFERROR(__xludf.DUMMYFUNCTION("""COMPUTED_VALUE"""),"")</f>
        <v/>
      </c>
      <c r="AV4" s="21" t="str">
        <f>IFERROR(__xludf.DUMMYFUNCTION("""COMPUTED_VALUE"""),"")</f>
        <v/>
      </c>
      <c r="AW4" s="21" t="str">
        <f>IFERROR(__xludf.DUMMYFUNCTION("""COMPUTED_VALUE"""),"")</f>
        <v/>
      </c>
      <c r="AX4" s="21" t="str">
        <f>IFERROR(__xludf.DUMMYFUNCTION("""COMPUTED_VALUE"""),"")</f>
        <v/>
      </c>
      <c r="AY4" s="21" t="str">
        <f>IFERROR(__xludf.DUMMYFUNCTION("""COMPUTED_VALUE"""),"")</f>
        <v/>
      </c>
      <c r="AZ4" s="21" t="str">
        <f>IFERROR(__xludf.DUMMYFUNCTION("""COMPUTED_VALUE"""),"")</f>
        <v/>
      </c>
      <c r="BA4" s="21" t="str">
        <f>IFERROR(__xludf.DUMMYFUNCTION("""COMPUTED_VALUE"""),"")</f>
        <v/>
      </c>
      <c r="BB4" s="21" t="str">
        <f>IFERROR(__xludf.DUMMYFUNCTION("""COMPUTED_VALUE"""),"")</f>
        <v/>
      </c>
      <c r="BC4" s="21" t="str">
        <f>IFERROR(__xludf.DUMMYFUNCTION("""COMPUTED_VALUE"""),"")</f>
        <v/>
      </c>
      <c r="BD4" s="21" t="str">
        <f>IFERROR(__xludf.DUMMYFUNCTION("""COMPUTED_VALUE"""),"")</f>
        <v/>
      </c>
      <c r="BE4" s="21" t="str">
        <f>IFERROR(__xludf.DUMMYFUNCTION("""COMPUTED_VALUE"""),"")</f>
        <v/>
      </c>
      <c r="BF4" s="21" t="str">
        <f>IFERROR(__xludf.DUMMYFUNCTION("""COMPUTED_VALUE"""),"")</f>
        <v/>
      </c>
      <c r="BG4" s="21" t="str">
        <f>IFERROR(__xludf.DUMMYFUNCTION("""COMPUTED_VALUE"""),"")</f>
        <v/>
      </c>
      <c r="BH4" s="21" t="str">
        <f>IFERROR(__xludf.DUMMYFUNCTION("""COMPUTED_VALUE"""),"")</f>
        <v/>
      </c>
      <c r="BI4" s="21" t="str">
        <f>IFERROR(__xludf.DUMMYFUNCTION("""COMPUTED_VALUE"""),"")</f>
        <v/>
      </c>
      <c r="BJ4" s="21" t="str">
        <f>IFERROR(__xludf.DUMMYFUNCTION("""COMPUTED_VALUE"""),"")</f>
        <v/>
      </c>
      <c r="BK4" s="21" t="str">
        <f>IFERROR(__xludf.DUMMYFUNCTION("""COMPUTED_VALUE"""),"")</f>
        <v/>
      </c>
      <c r="BL4" s="21" t="str">
        <f>IFERROR(__xludf.DUMMYFUNCTION("""COMPUTED_VALUE"""),"")</f>
        <v/>
      </c>
      <c r="BM4" s="21" t="str">
        <f>IFERROR(__xludf.DUMMYFUNCTION("""COMPUTED_VALUE"""),"")</f>
        <v/>
      </c>
      <c r="BN4" s="21" t="str">
        <f>IFERROR(__xludf.DUMMYFUNCTION("""COMPUTED_VALUE"""),"")</f>
        <v/>
      </c>
      <c r="BO4" s="21" t="str">
        <f>IFERROR(__xludf.DUMMYFUNCTION("""COMPUTED_VALUE"""),"")</f>
        <v/>
      </c>
      <c r="BP4" s="21" t="str">
        <f>IFERROR(__xludf.DUMMYFUNCTION("""COMPUTED_VALUE"""),"")</f>
        <v/>
      </c>
      <c r="BQ4" s="21" t="str">
        <f>IFERROR(__xludf.DUMMYFUNCTION("""COMPUTED_VALUE"""),"")</f>
        <v/>
      </c>
      <c r="BR4" s="21" t="str">
        <f>IFERROR(__xludf.DUMMYFUNCTION("""COMPUTED_VALUE"""),"")</f>
        <v/>
      </c>
      <c r="BS4" s="21" t="str">
        <f>IFERROR(__xludf.DUMMYFUNCTION("""COMPUTED_VALUE"""),"")</f>
        <v/>
      </c>
      <c r="BT4" s="21" t="str">
        <f>IFERROR(__xludf.DUMMYFUNCTION("""COMPUTED_VALUE"""),"")</f>
        <v/>
      </c>
      <c r="BU4" s="21" t="str">
        <f>IFERROR(__xludf.DUMMYFUNCTION("""COMPUTED_VALUE"""),"")</f>
        <v/>
      </c>
      <c r="BV4" s="21" t="str">
        <f>IFERROR(__xludf.DUMMYFUNCTION("""COMPUTED_VALUE"""),"")</f>
        <v/>
      </c>
      <c r="BW4" s="21" t="str">
        <f>IFERROR(__xludf.DUMMYFUNCTION("""COMPUTED_VALUE"""),"")</f>
        <v/>
      </c>
      <c r="BX4" s="21" t="str">
        <f>IFERROR(__xludf.DUMMYFUNCTION("""COMPUTED_VALUE"""),"")</f>
        <v/>
      </c>
      <c r="BY4" s="21" t="str">
        <f>IFERROR(__xludf.DUMMYFUNCTION("""COMPUTED_VALUE"""),"")</f>
        <v/>
      </c>
      <c r="BZ4" s="21" t="str">
        <f>IFERROR(__xludf.DUMMYFUNCTION("""COMPUTED_VALUE"""),"")</f>
        <v/>
      </c>
      <c r="CA4" s="21" t="str">
        <f>IFERROR(__xludf.DUMMYFUNCTION("""COMPUTED_VALUE"""),"")</f>
        <v/>
      </c>
      <c r="CB4" s="21" t="str">
        <f>IFERROR(__xludf.DUMMYFUNCTION("""COMPUTED_VALUE"""),"")</f>
        <v/>
      </c>
      <c r="CC4" s="21" t="str">
        <f>IFERROR(__xludf.DUMMYFUNCTION("""COMPUTED_VALUE"""),"")</f>
        <v/>
      </c>
      <c r="CD4" s="21" t="str">
        <f>IFERROR(__xludf.DUMMYFUNCTION("""COMPUTED_VALUE"""),"")</f>
        <v/>
      </c>
      <c r="CE4" s="21" t="str">
        <f>IFERROR(__xludf.DUMMYFUNCTION("""COMPUTED_VALUE"""),"")</f>
        <v/>
      </c>
      <c r="CF4" s="21" t="str">
        <f>IFERROR(__xludf.DUMMYFUNCTION("""COMPUTED_VALUE"""),"")</f>
        <v/>
      </c>
      <c r="CG4" s="21" t="str">
        <f>IFERROR(__xludf.DUMMYFUNCTION("""COMPUTED_VALUE"""),"")</f>
        <v/>
      </c>
      <c r="CH4" s="21" t="str">
        <f>IFERROR(__xludf.DUMMYFUNCTION("""COMPUTED_VALUE"""),"")</f>
        <v/>
      </c>
      <c r="CI4" s="21" t="str">
        <f>IFERROR(__xludf.DUMMYFUNCTION("""COMPUTED_VALUE"""),"")</f>
        <v/>
      </c>
      <c r="CJ4" s="21" t="str">
        <f>IFERROR(__xludf.DUMMYFUNCTION("""COMPUTED_VALUE"""),"")</f>
        <v/>
      </c>
      <c r="CK4" s="21" t="str">
        <f>IFERROR(__xludf.DUMMYFUNCTION("""COMPUTED_VALUE"""),"")</f>
        <v/>
      </c>
      <c r="CL4" s="21" t="str">
        <f>IFERROR(__xludf.DUMMYFUNCTION("""COMPUTED_VALUE"""),"")</f>
        <v/>
      </c>
      <c r="CM4" s="21" t="str">
        <f>IFERROR(__xludf.DUMMYFUNCTION("""COMPUTED_VALUE"""),"")</f>
        <v/>
      </c>
      <c r="CN4" s="21" t="str">
        <f>IFERROR(__xludf.DUMMYFUNCTION("""COMPUTED_VALUE"""),"")</f>
        <v/>
      </c>
      <c r="CO4" s="21" t="str">
        <f>IFERROR(__xludf.DUMMYFUNCTION("""COMPUTED_VALUE"""),"")</f>
        <v/>
      </c>
      <c r="CP4" s="21" t="str">
        <f>IFERROR(__xludf.DUMMYFUNCTION("""COMPUTED_VALUE"""),"")</f>
        <v/>
      </c>
      <c r="CQ4" s="21" t="str">
        <f>IFERROR(__xludf.DUMMYFUNCTION("""COMPUTED_VALUE"""),"")</f>
        <v/>
      </c>
      <c r="CR4" s="21" t="str">
        <f>IFERROR(__xludf.DUMMYFUNCTION("""COMPUTED_VALUE"""),"")</f>
        <v/>
      </c>
      <c r="CS4" s="21" t="str">
        <f>IFERROR(__xludf.DUMMYFUNCTION("""COMPUTED_VALUE"""),"")</f>
        <v/>
      </c>
      <c r="CT4" s="21" t="str">
        <f>IFERROR(__xludf.DUMMYFUNCTION("""COMPUTED_VALUE"""),"")</f>
        <v/>
      </c>
      <c r="CU4" s="21" t="str">
        <f>IFERROR(__xludf.DUMMYFUNCTION("""COMPUTED_VALUE"""),"")</f>
        <v/>
      </c>
      <c r="CV4" s="21" t="str">
        <f>IFERROR(__xludf.DUMMYFUNCTION("""COMPUTED_VALUE"""),"")</f>
        <v/>
      </c>
      <c r="CW4" s="21" t="str">
        <f>IFERROR(__xludf.DUMMYFUNCTION("""COMPUTED_VALUE"""),"")</f>
        <v/>
      </c>
      <c r="CX4" s="21" t="str">
        <f>IFERROR(__xludf.DUMMYFUNCTION("""COMPUTED_VALUE"""),"")</f>
        <v/>
      </c>
      <c r="CY4" s="21" t="str">
        <f>IFERROR(__xludf.DUMMYFUNCTION("""COMPUTED_VALUE"""),"")</f>
        <v/>
      </c>
      <c r="CZ4" s="21" t="str">
        <f>IFERROR(__xludf.DUMMYFUNCTION("""COMPUTED_VALUE"""),"")</f>
        <v/>
      </c>
      <c r="DA4" s="21" t="str">
        <f>IFERROR(__xludf.DUMMYFUNCTION("""COMPUTED_VALUE"""),"")</f>
        <v/>
      </c>
      <c r="DB4" s="21" t="str">
        <f>IFERROR(__xludf.DUMMYFUNCTION("""COMPUTED_VALUE"""),"")</f>
        <v/>
      </c>
      <c r="DC4" s="21" t="str">
        <f>IFERROR(__xludf.DUMMYFUNCTION("""COMPUTED_VALUE"""),"")</f>
        <v/>
      </c>
      <c r="DD4" s="21" t="str">
        <f>IFERROR(__xludf.DUMMYFUNCTION("""COMPUTED_VALUE"""),"")</f>
        <v/>
      </c>
      <c r="DE4" s="21" t="str">
        <f>IFERROR(__xludf.DUMMYFUNCTION("""COMPUTED_VALUE"""),"")</f>
        <v/>
      </c>
      <c r="DF4" s="21" t="str">
        <f>IFERROR(__xludf.DUMMYFUNCTION("""COMPUTED_VALUE"""),"")</f>
        <v/>
      </c>
      <c r="DG4" s="21" t="str">
        <f>IFERROR(__xludf.DUMMYFUNCTION("""COMPUTED_VALUE"""),"")</f>
        <v/>
      </c>
      <c r="DH4" s="21" t="str">
        <f>IFERROR(__xludf.DUMMYFUNCTION("""COMPUTED_VALUE"""),"")</f>
        <v/>
      </c>
      <c r="DI4" s="21" t="str">
        <f>IFERROR(__xludf.DUMMYFUNCTION("""COMPUTED_VALUE"""),"")</f>
        <v/>
      </c>
      <c r="DJ4" s="21" t="str">
        <f>IFERROR(__xludf.DUMMYFUNCTION("""COMPUTED_VALUE"""),"")</f>
        <v/>
      </c>
      <c r="DK4" s="21" t="str">
        <f>IFERROR(__xludf.DUMMYFUNCTION("""COMPUTED_VALUE"""),"")</f>
        <v/>
      </c>
      <c r="DL4" s="21" t="str">
        <f>IFERROR(__xludf.DUMMYFUNCTION("""COMPUTED_VALUE"""),"")</f>
        <v/>
      </c>
      <c r="DM4" s="21" t="str">
        <f>IFERROR(__xludf.DUMMYFUNCTION("""COMPUTED_VALUE"""),"")</f>
        <v/>
      </c>
      <c r="DN4" s="21" t="str">
        <f>IFERROR(__xludf.DUMMYFUNCTION("""COMPUTED_VALUE"""),"")</f>
        <v/>
      </c>
      <c r="DO4" s="21" t="str">
        <f>IFERROR(__xludf.DUMMYFUNCTION("""COMPUTED_VALUE"""),"")</f>
        <v/>
      </c>
      <c r="DP4" s="21" t="str">
        <f>IFERROR(__xludf.DUMMYFUNCTION("""COMPUTED_VALUE"""),"")</f>
        <v/>
      </c>
      <c r="DQ4" s="21" t="str">
        <f>IFERROR(__xludf.DUMMYFUNCTION("""COMPUTED_VALUE"""),"")</f>
        <v/>
      </c>
      <c r="DR4" s="21" t="str">
        <f>IFERROR(__xludf.DUMMYFUNCTION("""COMPUTED_VALUE"""),"")</f>
        <v/>
      </c>
      <c r="DS4" s="21" t="str">
        <f>IFERROR(__xludf.DUMMYFUNCTION("""COMPUTED_VALUE"""),"")</f>
        <v/>
      </c>
      <c r="DT4" s="21" t="str">
        <f>IFERROR(__xludf.DUMMYFUNCTION("""COMPUTED_VALUE"""),"")</f>
        <v/>
      </c>
      <c r="DU4" s="21" t="str">
        <f>IFERROR(__xludf.DUMMYFUNCTION("""COMPUTED_VALUE"""),"")</f>
        <v/>
      </c>
      <c r="DV4" s="21" t="str">
        <f>IFERROR(__xludf.DUMMYFUNCTION("""COMPUTED_VALUE"""),"")</f>
        <v/>
      </c>
      <c r="DW4" s="21" t="str">
        <f>IFERROR(__xludf.DUMMYFUNCTION("""COMPUTED_VALUE"""),"")</f>
        <v/>
      </c>
      <c r="DX4" s="21" t="str">
        <f>IFERROR(__xludf.DUMMYFUNCTION("""COMPUTED_VALUE"""),"")</f>
        <v/>
      </c>
      <c r="DY4" s="21" t="str">
        <f>IFERROR(__xludf.DUMMYFUNCTION("""COMPUTED_VALUE"""),"")</f>
        <v/>
      </c>
      <c r="DZ4" s="21" t="str">
        <f>IFERROR(__xludf.DUMMYFUNCTION("""COMPUTED_VALUE"""),"")</f>
        <v/>
      </c>
      <c r="EA4" s="21" t="str">
        <f>IFERROR(__xludf.DUMMYFUNCTION("""COMPUTED_VALUE"""),"")</f>
        <v/>
      </c>
      <c r="EB4" s="21" t="str">
        <f>IFERROR(__xludf.DUMMYFUNCTION("""COMPUTED_VALUE"""),"")</f>
        <v/>
      </c>
      <c r="EC4" s="21" t="str">
        <f>IFERROR(__xludf.DUMMYFUNCTION("""COMPUTED_VALUE"""),"")</f>
        <v/>
      </c>
      <c r="ED4" s="21" t="str">
        <f>IFERROR(__xludf.DUMMYFUNCTION("""COMPUTED_VALUE"""),"")</f>
        <v/>
      </c>
      <c r="EE4" s="21" t="str">
        <f>IFERROR(__xludf.DUMMYFUNCTION("""COMPUTED_VALUE"""),"")</f>
        <v/>
      </c>
      <c r="EF4" s="21" t="str">
        <f>IFERROR(__xludf.DUMMYFUNCTION("""COMPUTED_VALUE"""),"")</f>
        <v/>
      </c>
      <c r="EG4" s="21" t="str">
        <f>IFERROR(__xludf.DUMMYFUNCTION("""COMPUTED_VALUE"""),"")</f>
        <v/>
      </c>
      <c r="EH4" s="21" t="str">
        <f>IFERROR(__xludf.DUMMYFUNCTION("""COMPUTED_VALUE"""),"")</f>
        <v/>
      </c>
      <c r="EI4" s="21" t="str">
        <f>IFERROR(__xludf.DUMMYFUNCTION("""COMPUTED_VALUE"""),"")</f>
        <v/>
      </c>
      <c r="EJ4" s="21" t="str">
        <f>IFERROR(__xludf.DUMMYFUNCTION("""COMPUTED_VALUE"""),"")</f>
        <v/>
      </c>
      <c r="EK4" s="21" t="str">
        <f>IFERROR(__xludf.DUMMYFUNCTION("""COMPUTED_VALUE"""),"")</f>
        <v/>
      </c>
      <c r="EL4" s="21" t="str">
        <f>IFERROR(__xludf.DUMMYFUNCTION("""COMPUTED_VALUE"""),"")</f>
        <v/>
      </c>
      <c r="EM4" s="21" t="str">
        <f>IFERROR(__xludf.DUMMYFUNCTION("""COMPUTED_VALUE"""),"")</f>
        <v/>
      </c>
      <c r="EN4" s="21" t="str">
        <f>IFERROR(__xludf.DUMMYFUNCTION("""COMPUTED_VALUE"""),"")</f>
        <v/>
      </c>
      <c r="EO4" s="21" t="str">
        <f>IFERROR(__xludf.DUMMYFUNCTION("""COMPUTED_VALUE"""),"")</f>
        <v/>
      </c>
      <c r="EP4" s="21" t="str">
        <f>IFERROR(__xludf.DUMMYFUNCTION("""COMPUTED_VALUE"""),"")</f>
        <v/>
      </c>
      <c r="EQ4" s="21" t="str">
        <f>IFERROR(__xludf.DUMMYFUNCTION("""COMPUTED_VALUE"""),"")</f>
        <v/>
      </c>
      <c r="ER4" s="21" t="str">
        <f>IFERROR(__xludf.DUMMYFUNCTION("""COMPUTED_VALUE"""),"")</f>
        <v/>
      </c>
      <c r="ES4" s="21" t="str">
        <f>IFERROR(__xludf.DUMMYFUNCTION("""COMPUTED_VALUE"""),"")</f>
        <v/>
      </c>
      <c r="ET4" s="21" t="str">
        <f>IFERROR(__xludf.DUMMYFUNCTION("""COMPUTED_VALUE"""),"")</f>
        <v/>
      </c>
      <c r="EU4" s="21" t="str">
        <f>IFERROR(__xludf.DUMMYFUNCTION("""COMPUTED_VALUE"""),"")</f>
        <v/>
      </c>
      <c r="EV4" s="21" t="str">
        <f>IFERROR(__xludf.DUMMYFUNCTION("""COMPUTED_VALUE"""),"")</f>
        <v/>
      </c>
      <c r="EW4" s="21" t="str">
        <f>IFERROR(__xludf.DUMMYFUNCTION("""COMPUTED_VALUE"""),"")</f>
        <v/>
      </c>
      <c r="EX4" s="21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29" t="s">
        <v>16</v>
      </c>
      <c r="C6" s="30" t="s">
        <v>17</v>
      </c>
      <c r="D6" s="31">
        <v>1050.0</v>
      </c>
      <c r="E6" s="32"/>
      <c r="F6" s="30" t="s">
        <v>18</v>
      </c>
      <c r="G6" s="32"/>
      <c r="H6" s="32"/>
      <c r="I6" s="32"/>
      <c r="J6" s="31">
        <v>36.0</v>
      </c>
      <c r="K6" s="32"/>
      <c r="L6" s="32"/>
      <c r="M6" s="32"/>
      <c r="N6" s="33">
        <f>TODAY()</f>
        <v>43627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1" t="s">
        <v>7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5" t="str">
        <f> VLOOKUP($E$3,'_MasterData'!B4:D1000,3,FALSE)</f>
        <v>#N/A</v>
      </c>
      <c r="K2" s="15"/>
      <c r="L2" s="8"/>
      <c r="M2" s="8"/>
      <c r="N2" s="8"/>
      <c r="O2" s="8"/>
    </row>
    <row r="3" ht="15.75" customHeight="1">
      <c r="A3" s="16"/>
      <c r="B3" s="5" t="s">
        <v>8</v>
      </c>
      <c r="C3" s="17" t="s">
        <v>19</v>
      </c>
      <c r="D3" s="5" t="s">
        <v>10</v>
      </c>
      <c r="E3" s="17" t="s">
        <v>20</v>
      </c>
      <c r="F3" s="5" t="s">
        <v>12</v>
      </c>
      <c r="G3" s="12" t="s">
        <v>13</v>
      </c>
      <c r="H3" s="5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IFERROR(__xludf.DUMMYFUNCTION("IF(C3="""","""",Transpose(IMPORTRANGE('_Settings'!$B$3,C3&amp;""!A4:A1000"")))"),"SwapExpire")</f>
        <v>SwapExpire</v>
      </c>
      <c r="C4" s="19" t="str">
        <f>IFERROR(__xludf.DUMMYFUNCTION("""COMPUTED_VALUE"""),"GetDataClosing")</f>
        <v>GetDataClosing</v>
      </c>
      <c r="D4" s="19" t="str">
        <f>IFERROR(__xludf.DUMMYFUNCTION("""COMPUTED_VALUE"""),"ManualClosing")</f>
        <v>ManualClosing</v>
      </c>
      <c r="E4" s="19" t="str">
        <f>IFERROR(__xludf.DUMMYFUNCTION("""COMPUTED_VALUE"""),"AutomaticClosing")</f>
        <v>AutomaticClosing</v>
      </c>
      <c r="F4" s="19" t="str">
        <f>IFERROR(__xludf.DUMMYFUNCTION("""COMPUTED_VALUE"""),"UnwindClosing")</f>
        <v>UnwindClosing</v>
      </c>
      <c r="G4" s="19" t="str">
        <f>IFERROR(__xludf.DUMMYFUNCTION("""COMPUTED_VALUE"""),"VerifyClosedTrades")</f>
        <v>VerifyClosedTrades</v>
      </c>
      <c r="H4" s="19" t="str">
        <f>IFERROR(__xludf.DUMMYFUNCTION("""COMPUTED_VALUE"""),"VerifyLongPositionsGrid")</f>
        <v>VerifyLongPositionsGrid</v>
      </c>
      <c r="I4" s="19" t="str">
        <f>IFERROR(__xludf.DUMMYFUNCTION("""COMPUTED_VALUE"""),"VerifyShortPositionsGrid")</f>
        <v>VerifyShortPositionsGrid</v>
      </c>
      <c r="J4" s="19" t="str">
        <f>IFERROR(__xludf.DUMMYFUNCTION("""COMPUTED_VALUE"""),"SelectTradeUnexpiredUnsettled")</f>
        <v>SelectTradeUnexpiredUnsettled</v>
      </c>
      <c r="K4" s="19" t="str">
        <f>IFERROR(__xludf.DUMMYFUNCTION("""COMPUTED_VALUE"""),"CashSettlementAtCost")</f>
        <v>CashSettlementAtCost</v>
      </c>
      <c r="L4" s="19" t="str">
        <f>IFERROR(__xludf.DUMMYFUNCTION("""COMPUTED_VALUE"""),"CashSettlementAtZeroPrice")</f>
        <v>CashSettlementAtZeroPrice</v>
      </c>
      <c r="M4" s="19" t="str">
        <f>IFERROR(__xludf.DUMMYFUNCTION("""COMPUTED_VALUE"""),"CashSettlementAtClosingDtSpotPx")</f>
        <v>CashSettlementAtClosingDtSpotPx</v>
      </c>
      <c r="N4" s="19" t="str">
        <f>IFERROR(__xludf.DUMMYFUNCTION("""COMPUTED_VALUE"""),"PhysicalSettlement")</f>
        <v>PhysicalSettlement</v>
      </c>
      <c r="O4" s="19" t="str">
        <f>IFERROR(__xludf.DUMMYFUNCTION("""COMPUTED_VALUE"""),"Expire")</f>
        <v>Expire</v>
      </c>
      <c r="P4" s="21" t="str">
        <f>IFERROR(__xludf.DUMMYFUNCTION("""COMPUTED_VALUE"""),"ExerciseAssignment")</f>
        <v>ExerciseAssignment</v>
      </c>
      <c r="Q4" s="21" t="str">
        <f>IFERROR(__xludf.DUMMYFUNCTION("""COMPUTED_VALUE"""),"ExerciseAssignmentAtZero")</f>
        <v>ExerciseAssignmentAtZero</v>
      </c>
      <c r="R4" s="21" t="str">
        <f>IFERROR(__xludf.DUMMYFUNCTION("""COMPUTED_VALUE"""),"SwapExpireAndRollover")</f>
        <v>SwapExpireAndRollover</v>
      </c>
      <c r="S4" s="21" t="str">
        <f>IFERROR(__xludf.DUMMYFUNCTION("""COMPUTED_VALUE"""),"SwapExpire")</f>
        <v>SwapExpire</v>
      </c>
      <c r="T4" s="21" t="str">
        <f>IFERROR(__xludf.DUMMYFUNCTION("""COMPUTED_VALUE"""),"VerifyExpiredSettledGrid")</f>
        <v>VerifyExpiredSettledGrid</v>
      </c>
      <c r="U4" s="21" t="str">
        <f>IFERROR(__xludf.DUMMYFUNCTION("""COMPUTED_VALUE"""),"VerifyUnExpiredUnSettledGrid")</f>
        <v>VerifyUnExpiredUnSettledGrid</v>
      </c>
      <c r="V4" s="21" t="str">
        <f>IFERROR(__xludf.DUMMYFUNCTION("""COMPUTED_VALUE"""),"UnWindTradeSettlement")</f>
        <v>UnWindTradeSettlement</v>
      </c>
      <c r="W4" s="21" t="str">
        <f>IFERROR(__xludf.DUMMYFUNCTION("""COMPUTED_VALUE"""),"CloseOrder")</f>
        <v>CloseOrder</v>
      </c>
      <c r="X4" s="21" t="str">
        <f>IFERROR(__xludf.DUMMYFUNCTION("""COMPUTED_VALUE"""),"VerifyCloseOrder")</f>
        <v>VerifyCloseOrder</v>
      </c>
      <c r="Y4" s="21" t="str">
        <f>IFERROR(__xludf.DUMMYFUNCTION("""COMPUTED_VALUE"""),"UnWindCloseOrder")</f>
        <v>UnWindCloseOrder</v>
      </c>
      <c r="Z4" s="21" t="str">
        <f>IFERROR(__xludf.DUMMYFUNCTION("""COMPUTED_VALUE"""),"ClosingCleanUp")</f>
        <v>ClosingCleanUp</v>
      </c>
      <c r="AA4" s="21" t="str">
        <f>IFERROR(__xludf.DUMMYFUNCTION("""COMPUTED_VALUE"""),"CloseClosingUI")</f>
        <v>CloseClosingUI</v>
      </c>
      <c r="AB4" s="21" t="str">
        <f>IFERROR(__xludf.DUMMYFUNCTION("""COMPUTED_VALUE"""),"SetClosingPreference")</f>
        <v>SetClosingPreference</v>
      </c>
      <c r="AC4" s="21" t="str">
        <f>IFERROR(__xludf.DUMMYFUNCTION("""COMPUTED_VALUE"""),"EditTradeUnexpiredUnsettled")</f>
        <v>EditTradeUnexpiredUnsettled</v>
      </c>
      <c r="AD4" s="21" t="str">
        <f>IFERROR(__xludf.DUMMYFUNCTION("""COMPUTED_VALUE"""),"")</f>
        <v/>
      </c>
      <c r="AE4" s="21" t="str">
        <f>IFERROR(__xludf.DUMMYFUNCTION("""COMPUTED_VALUE"""),"")</f>
        <v/>
      </c>
      <c r="AF4" s="21" t="str">
        <f>IFERROR(__xludf.DUMMYFUNCTION("""COMPUTED_VALUE"""),"")</f>
        <v/>
      </c>
      <c r="AG4" s="21" t="str">
        <f>IFERROR(__xludf.DUMMYFUNCTION("""COMPUTED_VALUE"""),"")</f>
        <v/>
      </c>
      <c r="AH4" s="21" t="str">
        <f>IFERROR(__xludf.DUMMYFUNCTION("""COMPUTED_VALUE"""),"")</f>
        <v/>
      </c>
      <c r="AI4" s="21" t="str">
        <f>IFERROR(__xludf.DUMMYFUNCTION("""COMPUTED_VALUE"""),"")</f>
        <v/>
      </c>
      <c r="AJ4" s="21" t="str">
        <f>IFERROR(__xludf.DUMMYFUNCTION("""COMPUTED_VALUE"""),"")</f>
        <v/>
      </c>
      <c r="AK4" s="21" t="str">
        <f>IFERROR(__xludf.DUMMYFUNCTION("""COMPUTED_VALUE"""),"")</f>
        <v/>
      </c>
      <c r="AL4" s="21" t="str">
        <f>IFERROR(__xludf.DUMMYFUNCTION("""COMPUTED_VALUE"""),"")</f>
        <v/>
      </c>
      <c r="AM4" s="21" t="str">
        <f>IFERROR(__xludf.DUMMYFUNCTION("""COMPUTED_VALUE"""),"")</f>
        <v/>
      </c>
      <c r="AN4" s="21" t="str">
        <f>IFERROR(__xludf.DUMMYFUNCTION("""COMPUTED_VALUE"""),"")</f>
        <v/>
      </c>
      <c r="AO4" s="21" t="str">
        <f>IFERROR(__xludf.DUMMYFUNCTION("""COMPUTED_VALUE"""),"")</f>
        <v/>
      </c>
      <c r="AP4" s="21" t="str">
        <f>IFERROR(__xludf.DUMMYFUNCTION("""COMPUTED_VALUE"""),"")</f>
        <v/>
      </c>
      <c r="AQ4" s="21" t="str">
        <f>IFERROR(__xludf.DUMMYFUNCTION("""COMPUTED_VALUE"""),"")</f>
        <v/>
      </c>
      <c r="AR4" s="21" t="str">
        <f>IFERROR(__xludf.DUMMYFUNCTION("""COMPUTED_VALUE"""),"")</f>
        <v/>
      </c>
      <c r="AS4" s="21" t="str">
        <f>IFERROR(__xludf.DUMMYFUNCTION("""COMPUTED_VALUE"""),"")</f>
        <v/>
      </c>
      <c r="AT4" s="21" t="str">
        <f>IFERROR(__xludf.DUMMYFUNCTION("""COMPUTED_VALUE"""),"")</f>
        <v/>
      </c>
      <c r="AU4" s="21" t="str">
        <f>IFERROR(__xludf.DUMMYFUNCTION("""COMPUTED_VALUE"""),"")</f>
        <v/>
      </c>
      <c r="AV4" s="21" t="str">
        <f>IFERROR(__xludf.DUMMYFUNCTION("""COMPUTED_VALUE"""),"")</f>
        <v/>
      </c>
      <c r="AW4" s="21" t="str">
        <f>IFERROR(__xludf.DUMMYFUNCTION("""COMPUTED_VALUE"""),"")</f>
        <v/>
      </c>
      <c r="AX4" s="21" t="str">
        <f>IFERROR(__xludf.DUMMYFUNCTION("""COMPUTED_VALUE"""),"")</f>
        <v/>
      </c>
      <c r="AY4" s="21" t="str">
        <f>IFERROR(__xludf.DUMMYFUNCTION("""COMPUTED_VALUE"""),"")</f>
        <v/>
      </c>
      <c r="AZ4" s="21" t="str">
        <f>IFERROR(__xludf.DUMMYFUNCTION("""COMPUTED_VALUE"""),"")</f>
        <v/>
      </c>
      <c r="BA4" s="21" t="str">
        <f>IFERROR(__xludf.DUMMYFUNCTION("""COMPUTED_VALUE"""),"")</f>
        <v/>
      </c>
      <c r="BB4" s="21" t="str">
        <f>IFERROR(__xludf.DUMMYFUNCTION("""COMPUTED_VALUE"""),"")</f>
        <v/>
      </c>
      <c r="BC4" s="21" t="str">
        <f>IFERROR(__xludf.DUMMYFUNCTION("""COMPUTED_VALUE"""),"")</f>
        <v/>
      </c>
      <c r="BD4" s="21" t="str">
        <f>IFERROR(__xludf.DUMMYFUNCTION("""COMPUTED_VALUE"""),"")</f>
        <v/>
      </c>
      <c r="BE4" s="21" t="str">
        <f>IFERROR(__xludf.DUMMYFUNCTION("""COMPUTED_VALUE"""),"")</f>
        <v/>
      </c>
      <c r="BF4" s="21" t="str">
        <f>IFERROR(__xludf.DUMMYFUNCTION("""COMPUTED_VALUE"""),"")</f>
        <v/>
      </c>
      <c r="BG4" s="21" t="str">
        <f>IFERROR(__xludf.DUMMYFUNCTION("""COMPUTED_VALUE"""),"")</f>
        <v/>
      </c>
      <c r="BH4" s="21" t="str">
        <f>IFERROR(__xludf.DUMMYFUNCTION("""COMPUTED_VALUE"""),"")</f>
        <v/>
      </c>
      <c r="BI4" s="21" t="str">
        <f>IFERROR(__xludf.DUMMYFUNCTION("""COMPUTED_VALUE"""),"")</f>
        <v/>
      </c>
      <c r="BJ4" s="21" t="str">
        <f>IFERROR(__xludf.DUMMYFUNCTION("""COMPUTED_VALUE"""),"")</f>
        <v/>
      </c>
      <c r="BK4" s="21" t="str">
        <f>IFERROR(__xludf.DUMMYFUNCTION("""COMPUTED_VALUE"""),"")</f>
        <v/>
      </c>
      <c r="BL4" s="21" t="str">
        <f>IFERROR(__xludf.DUMMYFUNCTION("""COMPUTED_VALUE"""),"")</f>
        <v/>
      </c>
      <c r="BM4" s="21" t="str">
        <f>IFERROR(__xludf.DUMMYFUNCTION("""COMPUTED_VALUE"""),"")</f>
        <v/>
      </c>
      <c r="BN4" s="21" t="str">
        <f>IFERROR(__xludf.DUMMYFUNCTION("""COMPUTED_VALUE"""),"")</f>
        <v/>
      </c>
      <c r="BO4" s="21" t="str">
        <f>IFERROR(__xludf.DUMMYFUNCTION("""COMPUTED_VALUE"""),"")</f>
        <v/>
      </c>
      <c r="BP4" s="21" t="str">
        <f>IFERROR(__xludf.DUMMYFUNCTION("""COMPUTED_VALUE"""),"")</f>
        <v/>
      </c>
      <c r="BQ4" s="21" t="str">
        <f>IFERROR(__xludf.DUMMYFUNCTION("""COMPUTED_VALUE"""),"")</f>
        <v/>
      </c>
      <c r="BR4" s="21" t="str">
        <f>IFERROR(__xludf.DUMMYFUNCTION("""COMPUTED_VALUE"""),"")</f>
        <v/>
      </c>
      <c r="BS4" s="21" t="str">
        <f>IFERROR(__xludf.DUMMYFUNCTION("""COMPUTED_VALUE"""),"")</f>
        <v/>
      </c>
      <c r="BT4" s="21" t="str">
        <f>IFERROR(__xludf.DUMMYFUNCTION("""COMPUTED_VALUE"""),"")</f>
        <v/>
      </c>
      <c r="BU4" s="21" t="str">
        <f>IFERROR(__xludf.DUMMYFUNCTION("""COMPUTED_VALUE"""),"")</f>
        <v/>
      </c>
      <c r="BV4" s="21" t="str">
        <f>IFERROR(__xludf.DUMMYFUNCTION("""COMPUTED_VALUE"""),"")</f>
        <v/>
      </c>
      <c r="BW4" s="21" t="str">
        <f>IFERROR(__xludf.DUMMYFUNCTION("""COMPUTED_VALUE"""),"")</f>
        <v/>
      </c>
      <c r="BX4" s="21" t="str">
        <f>IFERROR(__xludf.DUMMYFUNCTION("""COMPUTED_VALUE"""),"")</f>
        <v/>
      </c>
      <c r="BY4" s="21" t="str">
        <f>IFERROR(__xludf.DUMMYFUNCTION("""COMPUTED_VALUE"""),"")</f>
        <v/>
      </c>
      <c r="BZ4" s="21" t="str">
        <f>IFERROR(__xludf.DUMMYFUNCTION("""COMPUTED_VALUE"""),"")</f>
        <v/>
      </c>
      <c r="CA4" s="21" t="str">
        <f>IFERROR(__xludf.DUMMYFUNCTION("""COMPUTED_VALUE"""),"")</f>
        <v/>
      </c>
      <c r="CB4" s="21" t="str">
        <f>IFERROR(__xludf.DUMMYFUNCTION("""COMPUTED_VALUE"""),"")</f>
        <v/>
      </c>
      <c r="CC4" s="21" t="str">
        <f>IFERROR(__xludf.DUMMYFUNCTION("""COMPUTED_VALUE"""),"")</f>
        <v/>
      </c>
      <c r="CD4" s="21" t="str">
        <f>IFERROR(__xludf.DUMMYFUNCTION("""COMPUTED_VALUE"""),"")</f>
        <v/>
      </c>
      <c r="CE4" s="21" t="str">
        <f>IFERROR(__xludf.DUMMYFUNCTION("""COMPUTED_VALUE"""),"")</f>
        <v/>
      </c>
      <c r="CF4" s="21" t="str">
        <f>IFERROR(__xludf.DUMMYFUNCTION("""COMPUTED_VALUE"""),"")</f>
        <v/>
      </c>
      <c r="CG4" s="21" t="str">
        <f>IFERROR(__xludf.DUMMYFUNCTION("""COMPUTED_VALUE"""),"")</f>
        <v/>
      </c>
      <c r="CH4" s="21" t="str">
        <f>IFERROR(__xludf.DUMMYFUNCTION("""COMPUTED_VALUE"""),"")</f>
        <v/>
      </c>
      <c r="CI4" s="21" t="str">
        <f>IFERROR(__xludf.DUMMYFUNCTION("""COMPUTED_VALUE"""),"")</f>
        <v/>
      </c>
      <c r="CJ4" s="21" t="str">
        <f>IFERROR(__xludf.DUMMYFUNCTION("""COMPUTED_VALUE"""),"")</f>
        <v/>
      </c>
      <c r="CK4" s="21" t="str">
        <f>IFERROR(__xludf.DUMMYFUNCTION("""COMPUTED_VALUE"""),"")</f>
        <v/>
      </c>
      <c r="CL4" s="21" t="str">
        <f>IFERROR(__xludf.DUMMYFUNCTION("""COMPUTED_VALUE"""),"")</f>
        <v/>
      </c>
      <c r="CM4" s="21" t="str">
        <f>IFERROR(__xludf.DUMMYFUNCTION("""COMPUTED_VALUE"""),"")</f>
        <v/>
      </c>
      <c r="CN4" s="21" t="str">
        <f>IFERROR(__xludf.DUMMYFUNCTION("""COMPUTED_VALUE"""),"")</f>
        <v/>
      </c>
      <c r="CO4" s="21" t="str">
        <f>IFERROR(__xludf.DUMMYFUNCTION("""COMPUTED_VALUE"""),"")</f>
        <v/>
      </c>
      <c r="CP4" s="21" t="str">
        <f>IFERROR(__xludf.DUMMYFUNCTION("""COMPUTED_VALUE"""),"")</f>
        <v/>
      </c>
      <c r="CQ4" s="21" t="str">
        <f>IFERROR(__xludf.DUMMYFUNCTION("""COMPUTED_VALUE"""),"")</f>
        <v/>
      </c>
      <c r="CR4" s="21" t="str">
        <f>IFERROR(__xludf.DUMMYFUNCTION("""COMPUTED_VALUE"""),"")</f>
        <v/>
      </c>
      <c r="CS4" s="21" t="str">
        <f>IFERROR(__xludf.DUMMYFUNCTION("""COMPUTED_VALUE"""),"")</f>
        <v/>
      </c>
      <c r="CT4" s="21" t="str">
        <f>IFERROR(__xludf.DUMMYFUNCTION("""COMPUTED_VALUE"""),"")</f>
        <v/>
      </c>
      <c r="CU4" s="21" t="str">
        <f>IFERROR(__xludf.DUMMYFUNCTION("""COMPUTED_VALUE"""),"")</f>
        <v/>
      </c>
      <c r="CV4" s="21" t="str">
        <f>IFERROR(__xludf.DUMMYFUNCTION("""COMPUTED_VALUE"""),"")</f>
        <v/>
      </c>
      <c r="CW4" s="21" t="str">
        <f>IFERROR(__xludf.DUMMYFUNCTION("""COMPUTED_VALUE"""),"")</f>
        <v/>
      </c>
      <c r="CX4" s="21" t="str">
        <f>IFERROR(__xludf.DUMMYFUNCTION("""COMPUTED_VALUE"""),"")</f>
        <v/>
      </c>
      <c r="CY4" s="21" t="str">
        <f>IFERROR(__xludf.DUMMYFUNCTION("""COMPUTED_VALUE"""),"")</f>
        <v/>
      </c>
      <c r="CZ4" s="21" t="str">
        <f>IFERROR(__xludf.DUMMYFUNCTION("""COMPUTED_VALUE"""),"")</f>
        <v/>
      </c>
      <c r="DA4" s="21" t="str">
        <f>IFERROR(__xludf.DUMMYFUNCTION("""COMPUTED_VALUE"""),"")</f>
        <v/>
      </c>
      <c r="DB4" s="21" t="str">
        <f>IFERROR(__xludf.DUMMYFUNCTION("""COMPUTED_VALUE"""),"")</f>
        <v/>
      </c>
      <c r="DC4" s="21" t="str">
        <f>IFERROR(__xludf.DUMMYFUNCTION("""COMPUTED_VALUE"""),"")</f>
        <v/>
      </c>
      <c r="DD4" s="21" t="str">
        <f>IFERROR(__xludf.DUMMYFUNCTION("""COMPUTED_VALUE"""),"")</f>
        <v/>
      </c>
      <c r="DE4" s="21" t="str">
        <f>IFERROR(__xludf.DUMMYFUNCTION("""COMPUTED_VALUE"""),"")</f>
        <v/>
      </c>
      <c r="DF4" s="21" t="str">
        <f>IFERROR(__xludf.DUMMYFUNCTION("""COMPUTED_VALUE"""),"")</f>
        <v/>
      </c>
      <c r="DG4" s="21" t="str">
        <f>IFERROR(__xludf.DUMMYFUNCTION("""COMPUTED_VALUE"""),"")</f>
        <v/>
      </c>
      <c r="DH4" s="21" t="str">
        <f>IFERROR(__xludf.DUMMYFUNCTION("""COMPUTED_VALUE"""),"")</f>
        <v/>
      </c>
      <c r="DI4" s="21" t="str">
        <f>IFERROR(__xludf.DUMMYFUNCTION("""COMPUTED_VALUE"""),"")</f>
        <v/>
      </c>
      <c r="DJ4" s="21" t="str">
        <f>IFERROR(__xludf.DUMMYFUNCTION("""COMPUTED_VALUE"""),"")</f>
        <v/>
      </c>
      <c r="DK4" s="21" t="str">
        <f>IFERROR(__xludf.DUMMYFUNCTION("""COMPUTED_VALUE"""),"")</f>
        <v/>
      </c>
      <c r="DL4" s="21" t="str">
        <f>IFERROR(__xludf.DUMMYFUNCTION("""COMPUTED_VALUE"""),"")</f>
        <v/>
      </c>
      <c r="DM4" s="21" t="str">
        <f>IFERROR(__xludf.DUMMYFUNCTION("""COMPUTED_VALUE"""),"")</f>
        <v/>
      </c>
      <c r="DN4" s="21" t="str">
        <f>IFERROR(__xludf.DUMMYFUNCTION("""COMPUTED_VALUE"""),"")</f>
        <v/>
      </c>
      <c r="DO4" s="21" t="str">
        <f>IFERROR(__xludf.DUMMYFUNCTION("""COMPUTED_VALUE"""),"")</f>
        <v/>
      </c>
      <c r="DP4" s="21" t="str">
        <f>IFERROR(__xludf.DUMMYFUNCTION("""COMPUTED_VALUE"""),"")</f>
        <v/>
      </c>
      <c r="DQ4" s="21" t="str">
        <f>IFERROR(__xludf.DUMMYFUNCTION("""COMPUTED_VALUE"""),"")</f>
        <v/>
      </c>
      <c r="DR4" s="21" t="str">
        <f>IFERROR(__xludf.DUMMYFUNCTION("""COMPUTED_VALUE"""),"")</f>
        <v/>
      </c>
      <c r="DS4" s="21" t="str">
        <f>IFERROR(__xludf.DUMMYFUNCTION("""COMPUTED_VALUE"""),"")</f>
        <v/>
      </c>
      <c r="DT4" s="21" t="str">
        <f>IFERROR(__xludf.DUMMYFUNCTION("""COMPUTED_VALUE"""),"")</f>
        <v/>
      </c>
      <c r="DU4" s="21" t="str">
        <f>IFERROR(__xludf.DUMMYFUNCTION("""COMPUTED_VALUE"""),"")</f>
        <v/>
      </c>
      <c r="DV4" s="21" t="str">
        <f>IFERROR(__xludf.DUMMYFUNCTION("""COMPUTED_VALUE"""),"")</f>
        <v/>
      </c>
      <c r="DW4" s="21" t="str">
        <f>IFERROR(__xludf.DUMMYFUNCTION("""COMPUTED_VALUE"""),"")</f>
        <v/>
      </c>
      <c r="DX4" s="21" t="str">
        <f>IFERROR(__xludf.DUMMYFUNCTION("""COMPUTED_VALUE"""),"")</f>
        <v/>
      </c>
      <c r="DY4" s="21" t="str">
        <f>IFERROR(__xludf.DUMMYFUNCTION("""COMPUTED_VALUE"""),"")</f>
        <v/>
      </c>
      <c r="DZ4" s="21" t="str">
        <f>IFERROR(__xludf.DUMMYFUNCTION("""COMPUTED_VALUE"""),"")</f>
        <v/>
      </c>
      <c r="EA4" s="21" t="str">
        <f>IFERROR(__xludf.DUMMYFUNCTION("""COMPUTED_VALUE"""),"")</f>
        <v/>
      </c>
      <c r="EB4" s="21" t="str">
        <f>IFERROR(__xludf.DUMMYFUNCTION("""COMPUTED_VALUE"""),"")</f>
        <v/>
      </c>
      <c r="EC4" s="21" t="str">
        <f>IFERROR(__xludf.DUMMYFUNCTION("""COMPUTED_VALUE"""),"")</f>
        <v/>
      </c>
      <c r="ED4" s="21" t="str">
        <f>IFERROR(__xludf.DUMMYFUNCTION("""COMPUTED_VALUE"""),"")</f>
        <v/>
      </c>
      <c r="EE4" s="21" t="str">
        <f>IFERROR(__xludf.DUMMYFUNCTION("""COMPUTED_VALUE"""),"")</f>
        <v/>
      </c>
      <c r="EF4" s="21" t="str">
        <f>IFERROR(__xludf.DUMMYFUNCTION("""COMPUTED_VALUE"""),"")</f>
        <v/>
      </c>
      <c r="EG4" s="21" t="str">
        <f>IFERROR(__xludf.DUMMYFUNCTION("""COMPUTED_VALUE"""),"")</f>
        <v/>
      </c>
      <c r="EH4" s="21" t="str">
        <f>IFERROR(__xludf.DUMMYFUNCTION("""COMPUTED_VALUE"""),"")</f>
        <v/>
      </c>
      <c r="EI4" s="21" t="str">
        <f>IFERROR(__xludf.DUMMYFUNCTION("""COMPUTED_VALUE"""),"")</f>
        <v/>
      </c>
      <c r="EJ4" s="21" t="str">
        <f>IFERROR(__xludf.DUMMYFUNCTION("""COMPUTED_VALUE"""),"")</f>
        <v/>
      </c>
      <c r="EK4" s="21" t="str">
        <f>IFERROR(__xludf.DUMMYFUNCTION("""COMPUTED_VALUE"""),"")</f>
        <v/>
      </c>
      <c r="EL4" s="21" t="str">
        <f>IFERROR(__xludf.DUMMYFUNCTION("""COMPUTED_VALUE"""),"")</f>
        <v/>
      </c>
      <c r="EM4" s="21" t="str">
        <f>IFERROR(__xludf.DUMMYFUNCTION("""COMPUTED_VALUE"""),"")</f>
        <v/>
      </c>
      <c r="EN4" s="21" t="str">
        <f>IFERROR(__xludf.DUMMYFUNCTION("""COMPUTED_VALUE"""),"")</f>
        <v/>
      </c>
      <c r="EO4" s="21" t="str">
        <f>IFERROR(__xludf.DUMMYFUNCTION("""COMPUTED_VALUE"""),"")</f>
        <v/>
      </c>
      <c r="EP4" s="21" t="str">
        <f>IFERROR(__xludf.DUMMYFUNCTION("""COMPUTED_VALUE"""),"")</f>
        <v/>
      </c>
      <c r="EQ4" s="21" t="str">
        <f>IFERROR(__xludf.DUMMYFUNCTION("""COMPUTED_VALUE"""),"")</f>
        <v/>
      </c>
      <c r="ER4" s="21" t="str">
        <f>IFERROR(__xludf.DUMMYFUNCTION("""COMPUTED_VALUE"""),"")</f>
        <v/>
      </c>
      <c r="ES4" s="21" t="str">
        <f>IFERROR(__xludf.DUMMYFUNCTION("""COMPUTED_VALUE"""),"")</f>
        <v/>
      </c>
      <c r="ET4" s="21" t="str">
        <f>IFERROR(__xludf.DUMMYFUNCTION("""COMPUTED_VALUE"""),"")</f>
        <v/>
      </c>
      <c r="EU4" s="21" t="str">
        <f>IFERROR(__xludf.DUMMYFUNCTION("""COMPUTED_VALUE"""),"")</f>
        <v/>
      </c>
      <c r="EV4" s="21" t="str">
        <f>IFERROR(__xludf.DUMMYFUNCTION("""COMPUTED_VALUE"""),"")</f>
        <v/>
      </c>
      <c r="EW4" s="21" t="str">
        <f>IFERROR(__xludf.DUMMYFUNCTION("""COMPUTED_VALUE"""),"")</f>
        <v/>
      </c>
      <c r="EX4" s="21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29" t="s">
        <v>21</v>
      </c>
      <c r="C6" s="33"/>
      <c r="D6" s="33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1" t="s">
        <v>7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5" t="str">
        <f> VLOOKUP($E$3,'_MasterData'!B4:D1000,3,FALSE)</f>
        <v>#N/A</v>
      </c>
      <c r="K2" s="15"/>
      <c r="L2" s="8"/>
      <c r="M2" s="8"/>
      <c r="N2" s="8"/>
      <c r="O2" s="8"/>
    </row>
    <row r="3" ht="15.75" customHeight="1">
      <c r="A3" s="16"/>
      <c r="B3" s="5" t="s">
        <v>8</v>
      </c>
      <c r="C3" s="17" t="s">
        <v>19</v>
      </c>
      <c r="D3" s="5" t="s">
        <v>10</v>
      </c>
      <c r="E3" s="17" t="s">
        <v>22</v>
      </c>
      <c r="F3" s="5" t="s">
        <v>12</v>
      </c>
      <c r="G3" s="12" t="s">
        <v>13</v>
      </c>
      <c r="H3" s="5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IFERROR(__xludf.DUMMYFUNCTION("IF(C3="""","""",Transpose(IMPORTRANGE('_Settings'!$B$3,C3&amp;""!A4:A1000"")))"),"SwapExpire")</f>
        <v>SwapExpire</v>
      </c>
      <c r="C4" s="19" t="str">
        <f>IFERROR(__xludf.DUMMYFUNCTION("""COMPUTED_VALUE"""),"GetDataClosing")</f>
        <v>GetDataClosing</v>
      </c>
      <c r="D4" s="19" t="str">
        <f>IFERROR(__xludf.DUMMYFUNCTION("""COMPUTED_VALUE"""),"ManualClosing")</f>
        <v>ManualClosing</v>
      </c>
      <c r="E4" s="19" t="str">
        <f>IFERROR(__xludf.DUMMYFUNCTION("""COMPUTED_VALUE"""),"AutomaticClosing")</f>
        <v>AutomaticClosing</v>
      </c>
      <c r="F4" s="19" t="str">
        <f>IFERROR(__xludf.DUMMYFUNCTION("""COMPUTED_VALUE"""),"UnwindClosing")</f>
        <v>UnwindClosing</v>
      </c>
      <c r="G4" s="19" t="str">
        <f>IFERROR(__xludf.DUMMYFUNCTION("""COMPUTED_VALUE"""),"VerifyClosedTrades")</f>
        <v>VerifyClosedTrades</v>
      </c>
      <c r="H4" s="19" t="str">
        <f>IFERROR(__xludf.DUMMYFUNCTION("""COMPUTED_VALUE"""),"VerifyLongPositionsGrid")</f>
        <v>VerifyLongPositionsGrid</v>
      </c>
      <c r="I4" s="19" t="str">
        <f>IFERROR(__xludf.DUMMYFUNCTION("""COMPUTED_VALUE"""),"VerifyShortPositionsGrid")</f>
        <v>VerifyShortPositionsGrid</v>
      </c>
      <c r="J4" s="19" t="str">
        <f>IFERROR(__xludf.DUMMYFUNCTION("""COMPUTED_VALUE"""),"SelectTradeUnexpiredUnsettled")</f>
        <v>SelectTradeUnexpiredUnsettled</v>
      </c>
      <c r="K4" s="19" t="str">
        <f>IFERROR(__xludf.DUMMYFUNCTION("""COMPUTED_VALUE"""),"CashSettlementAtCost")</f>
        <v>CashSettlementAtCost</v>
      </c>
      <c r="L4" s="19" t="str">
        <f>IFERROR(__xludf.DUMMYFUNCTION("""COMPUTED_VALUE"""),"CashSettlementAtZeroPrice")</f>
        <v>CashSettlementAtZeroPrice</v>
      </c>
      <c r="M4" s="19" t="str">
        <f>IFERROR(__xludf.DUMMYFUNCTION("""COMPUTED_VALUE"""),"CashSettlementAtClosingDtSpotPx")</f>
        <v>CashSettlementAtClosingDtSpotPx</v>
      </c>
      <c r="N4" s="19" t="str">
        <f>IFERROR(__xludf.DUMMYFUNCTION("""COMPUTED_VALUE"""),"PhysicalSettlement")</f>
        <v>PhysicalSettlement</v>
      </c>
      <c r="O4" s="19" t="str">
        <f>IFERROR(__xludf.DUMMYFUNCTION("""COMPUTED_VALUE"""),"Expire")</f>
        <v>Expire</v>
      </c>
      <c r="P4" s="21" t="str">
        <f>IFERROR(__xludf.DUMMYFUNCTION("""COMPUTED_VALUE"""),"ExerciseAssignment")</f>
        <v>ExerciseAssignment</v>
      </c>
      <c r="Q4" s="21" t="str">
        <f>IFERROR(__xludf.DUMMYFUNCTION("""COMPUTED_VALUE"""),"ExerciseAssignmentAtZero")</f>
        <v>ExerciseAssignmentAtZero</v>
      </c>
      <c r="R4" s="21" t="str">
        <f>IFERROR(__xludf.DUMMYFUNCTION("""COMPUTED_VALUE"""),"SwapExpireAndRollover")</f>
        <v>SwapExpireAndRollover</v>
      </c>
      <c r="S4" s="21" t="str">
        <f>IFERROR(__xludf.DUMMYFUNCTION("""COMPUTED_VALUE"""),"SwapExpire")</f>
        <v>SwapExpire</v>
      </c>
      <c r="T4" s="21" t="str">
        <f>IFERROR(__xludf.DUMMYFUNCTION("""COMPUTED_VALUE"""),"VerifyExpiredSettledGrid")</f>
        <v>VerifyExpiredSettledGrid</v>
      </c>
      <c r="U4" s="21" t="str">
        <f>IFERROR(__xludf.DUMMYFUNCTION("""COMPUTED_VALUE"""),"VerifyUnExpiredUnSettledGrid")</f>
        <v>VerifyUnExpiredUnSettledGrid</v>
      </c>
      <c r="V4" s="21" t="str">
        <f>IFERROR(__xludf.DUMMYFUNCTION("""COMPUTED_VALUE"""),"UnWindTradeSettlement")</f>
        <v>UnWindTradeSettlement</v>
      </c>
      <c r="W4" s="21" t="str">
        <f>IFERROR(__xludf.DUMMYFUNCTION("""COMPUTED_VALUE"""),"CloseOrder")</f>
        <v>CloseOrder</v>
      </c>
      <c r="X4" s="21" t="str">
        <f>IFERROR(__xludf.DUMMYFUNCTION("""COMPUTED_VALUE"""),"VerifyCloseOrder")</f>
        <v>VerifyCloseOrder</v>
      </c>
      <c r="Y4" s="21" t="str">
        <f>IFERROR(__xludf.DUMMYFUNCTION("""COMPUTED_VALUE"""),"UnWindCloseOrder")</f>
        <v>UnWindCloseOrder</v>
      </c>
      <c r="Z4" s="21" t="str">
        <f>IFERROR(__xludf.DUMMYFUNCTION("""COMPUTED_VALUE"""),"ClosingCleanUp")</f>
        <v>ClosingCleanUp</v>
      </c>
      <c r="AA4" s="21" t="str">
        <f>IFERROR(__xludf.DUMMYFUNCTION("""COMPUTED_VALUE"""),"CloseClosingUI")</f>
        <v>CloseClosingUI</v>
      </c>
      <c r="AB4" s="21" t="str">
        <f>IFERROR(__xludf.DUMMYFUNCTION("""COMPUTED_VALUE"""),"SetClosingPreference")</f>
        <v>SetClosingPreference</v>
      </c>
      <c r="AC4" s="21" t="str">
        <f>IFERROR(__xludf.DUMMYFUNCTION("""COMPUTED_VALUE"""),"EditTradeUnexpiredUnsettled")</f>
        <v>EditTradeUnexpiredUnsettled</v>
      </c>
      <c r="AD4" s="21" t="str">
        <f>IFERROR(__xludf.DUMMYFUNCTION("""COMPUTED_VALUE"""),"")</f>
        <v/>
      </c>
      <c r="AE4" s="21" t="str">
        <f>IFERROR(__xludf.DUMMYFUNCTION("""COMPUTED_VALUE"""),"")</f>
        <v/>
      </c>
      <c r="AF4" s="21" t="str">
        <f>IFERROR(__xludf.DUMMYFUNCTION("""COMPUTED_VALUE"""),"")</f>
        <v/>
      </c>
      <c r="AG4" s="21" t="str">
        <f>IFERROR(__xludf.DUMMYFUNCTION("""COMPUTED_VALUE"""),"")</f>
        <v/>
      </c>
      <c r="AH4" s="21" t="str">
        <f>IFERROR(__xludf.DUMMYFUNCTION("""COMPUTED_VALUE"""),"")</f>
        <v/>
      </c>
      <c r="AI4" s="21" t="str">
        <f>IFERROR(__xludf.DUMMYFUNCTION("""COMPUTED_VALUE"""),"")</f>
        <v/>
      </c>
      <c r="AJ4" s="21" t="str">
        <f>IFERROR(__xludf.DUMMYFUNCTION("""COMPUTED_VALUE"""),"")</f>
        <v/>
      </c>
      <c r="AK4" s="21" t="str">
        <f>IFERROR(__xludf.DUMMYFUNCTION("""COMPUTED_VALUE"""),"")</f>
        <v/>
      </c>
      <c r="AL4" s="21" t="str">
        <f>IFERROR(__xludf.DUMMYFUNCTION("""COMPUTED_VALUE"""),"")</f>
        <v/>
      </c>
      <c r="AM4" s="21" t="str">
        <f>IFERROR(__xludf.DUMMYFUNCTION("""COMPUTED_VALUE"""),"")</f>
        <v/>
      </c>
      <c r="AN4" s="21" t="str">
        <f>IFERROR(__xludf.DUMMYFUNCTION("""COMPUTED_VALUE"""),"")</f>
        <v/>
      </c>
      <c r="AO4" s="21" t="str">
        <f>IFERROR(__xludf.DUMMYFUNCTION("""COMPUTED_VALUE"""),"")</f>
        <v/>
      </c>
      <c r="AP4" s="21" t="str">
        <f>IFERROR(__xludf.DUMMYFUNCTION("""COMPUTED_VALUE"""),"")</f>
        <v/>
      </c>
      <c r="AQ4" s="21" t="str">
        <f>IFERROR(__xludf.DUMMYFUNCTION("""COMPUTED_VALUE"""),"")</f>
        <v/>
      </c>
      <c r="AR4" s="21" t="str">
        <f>IFERROR(__xludf.DUMMYFUNCTION("""COMPUTED_VALUE"""),"")</f>
        <v/>
      </c>
      <c r="AS4" s="21" t="str">
        <f>IFERROR(__xludf.DUMMYFUNCTION("""COMPUTED_VALUE"""),"")</f>
        <v/>
      </c>
      <c r="AT4" s="21" t="str">
        <f>IFERROR(__xludf.DUMMYFUNCTION("""COMPUTED_VALUE"""),"")</f>
        <v/>
      </c>
      <c r="AU4" s="21" t="str">
        <f>IFERROR(__xludf.DUMMYFUNCTION("""COMPUTED_VALUE"""),"")</f>
        <v/>
      </c>
      <c r="AV4" s="21" t="str">
        <f>IFERROR(__xludf.DUMMYFUNCTION("""COMPUTED_VALUE"""),"")</f>
        <v/>
      </c>
      <c r="AW4" s="21" t="str">
        <f>IFERROR(__xludf.DUMMYFUNCTION("""COMPUTED_VALUE"""),"")</f>
        <v/>
      </c>
      <c r="AX4" s="21" t="str">
        <f>IFERROR(__xludf.DUMMYFUNCTION("""COMPUTED_VALUE"""),"")</f>
        <v/>
      </c>
      <c r="AY4" s="21" t="str">
        <f>IFERROR(__xludf.DUMMYFUNCTION("""COMPUTED_VALUE"""),"")</f>
        <v/>
      </c>
      <c r="AZ4" s="21" t="str">
        <f>IFERROR(__xludf.DUMMYFUNCTION("""COMPUTED_VALUE"""),"")</f>
        <v/>
      </c>
      <c r="BA4" s="21" t="str">
        <f>IFERROR(__xludf.DUMMYFUNCTION("""COMPUTED_VALUE"""),"")</f>
        <v/>
      </c>
      <c r="BB4" s="21" t="str">
        <f>IFERROR(__xludf.DUMMYFUNCTION("""COMPUTED_VALUE"""),"")</f>
        <v/>
      </c>
      <c r="BC4" s="21" t="str">
        <f>IFERROR(__xludf.DUMMYFUNCTION("""COMPUTED_VALUE"""),"")</f>
        <v/>
      </c>
      <c r="BD4" s="21" t="str">
        <f>IFERROR(__xludf.DUMMYFUNCTION("""COMPUTED_VALUE"""),"")</f>
        <v/>
      </c>
      <c r="BE4" s="21" t="str">
        <f>IFERROR(__xludf.DUMMYFUNCTION("""COMPUTED_VALUE"""),"")</f>
        <v/>
      </c>
      <c r="BF4" s="21" t="str">
        <f>IFERROR(__xludf.DUMMYFUNCTION("""COMPUTED_VALUE"""),"")</f>
        <v/>
      </c>
      <c r="BG4" s="21" t="str">
        <f>IFERROR(__xludf.DUMMYFUNCTION("""COMPUTED_VALUE"""),"")</f>
        <v/>
      </c>
      <c r="BH4" s="21" t="str">
        <f>IFERROR(__xludf.DUMMYFUNCTION("""COMPUTED_VALUE"""),"")</f>
        <v/>
      </c>
      <c r="BI4" s="21" t="str">
        <f>IFERROR(__xludf.DUMMYFUNCTION("""COMPUTED_VALUE"""),"")</f>
        <v/>
      </c>
      <c r="BJ4" s="21" t="str">
        <f>IFERROR(__xludf.DUMMYFUNCTION("""COMPUTED_VALUE"""),"")</f>
        <v/>
      </c>
      <c r="BK4" s="21" t="str">
        <f>IFERROR(__xludf.DUMMYFUNCTION("""COMPUTED_VALUE"""),"")</f>
        <v/>
      </c>
      <c r="BL4" s="21" t="str">
        <f>IFERROR(__xludf.DUMMYFUNCTION("""COMPUTED_VALUE"""),"")</f>
        <v/>
      </c>
      <c r="BM4" s="21" t="str">
        <f>IFERROR(__xludf.DUMMYFUNCTION("""COMPUTED_VALUE"""),"")</f>
        <v/>
      </c>
      <c r="BN4" s="21" t="str">
        <f>IFERROR(__xludf.DUMMYFUNCTION("""COMPUTED_VALUE"""),"")</f>
        <v/>
      </c>
      <c r="BO4" s="21" t="str">
        <f>IFERROR(__xludf.DUMMYFUNCTION("""COMPUTED_VALUE"""),"")</f>
        <v/>
      </c>
      <c r="BP4" s="21" t="str">
        <f>IFERROR(__xludf.DUMMYFUNCTION("""COMPUTED_VALUE"""),"")</f>
        <v/>
      </c>
      <c r="BQ4" s="21" t="str">
        <f>IFERROR(__xludf.DUMMYFUNCTION("""COMPUTED_VALUE"""),"")</f>
        <v/>
      </c>
      <c r="BR4" s="21" t="str">
        <f>IFERROR(__xludf.DUMMYFUNCTION("""COMPUTED_VALUE"""),"")</f>
        <v/>
      </c>
      <c r="BS4" s="21" t="str">
        <f>IFERROR(__xludf.DUMMYFUNCTION("""COMPUTED_VALUE"""),"")</f>
        <v/>
      </c>
      <c r="BT4" s="21" t="str">
        <f>IFERROR(__xludf.DUMMYFUNCTION("""COMPUTED_VALUE"""),"")</f>
        <v/>
      </c>
      <c r="BU4" s="21" t="str">
        <f>IFERROR(__xludf.DUMMYFUNCTION("""COMPUTED_VALUE"""),"")</f>
        <v/>
      </c>
      <c r="BV4" s="21" t="str">
        <f>IFERROR(__xludf.DUMMYFUNCTION("""COMPUTED_VALUE"""),"")</f>
        <v/>
      </c>
      <c r="BW4" s="21" t="str">
        <f>IFERROR(__xludf.DUMMYFUNCTION("""COMPUTED_VALUE"""),"")</f>
        <v/>
      </c>
      <c r="BX4" s="21" t="str">
        <f>IFERROR(__xludf.DUMMYFUNCTION("""COMPUTED_VALUE"""),"")</f>
        <v/>
      </c>
      <c r="BY4" s="21" t="str">
        <f>IFERROR(__xludf.DUMMYFUNCTION("""COMPUTED_VALUE"""),"")</f>
        <v/>
      </c>
      <c r="BZ4" s="21" t="str">
        <f>IFERROR(__xludf.DUMMYFUNCTION("""COMPUTED_VALUE"""),"")</f>
        <v/>
      </c>
      <c r="CA4" s="21" t="str">
        <f>IFERROR(__xludf.DUMMYFUNCTION("""COMPUTED_VALUE"""),"")</f>
        <v/>
      </c>
      <c r="CB4" s="21" t="str">
        <f>IFERROR(__xludf.DUMMYFUNCTION("""COMPUTED_VALUE"""),"")</f>
        <v/>
      </c>
      <c r="CC4" s="21" t="str">
        <f>IFERROR(__xludf.DUMMYFUNCTION("""COMPUTED_VALUE"""),"")</f>
        <v/>
      </c>
      <c r="CD4" s="21" t="str">
        <f>IFERROR(__xludf.DUMMYFUNCTION("""COMPUTED_VALUE"""),"")</f>
        <v/>
      </c>
      <c r="CE4" s="21" t="str">
        <f>IFERROR(__xludf.DUMMYFUNCTION("""COMPUTED_VALUE"""),"")</f>
        <v/>
      </c>
      <c r="CF4" s="21" t="str">
        <f>IFERROR(__xludf.DUMMYFUNCTION("""COMPUTED_VALUE"""),"")</f>
        <v/>
      </c>
      <c r="CG4" s="21" t="str">
        <f>IFERROR(__xludf.DUMMYFUNCTION("""COMPUTED_VALUE"""),"")</f>
        <v/>
      </c>
      <c r="CH4" s="21" t="str">
        <f>IFERROR(__xludf.DUMMYFUNCTION("""COMPUTED_VALUE"""),"")</f>
        <v/>
      </c>
      <c r="CI4" s="21" t="str">
        <f>IFERROR(__xludf.DUMMYFUNCTION("""COMPUTED_VALUE"""),"")</f>
        <v/>
      </c>
      <c r="CJ4" s="21" t="str">
        <f>IFERROR(__xludf.DUMMYFUNCTION("""COMPUTED_VALUE"""),"")</f>
        <v/>
      </c>
      <c r="CK4" s="21" t="str">
        <f>IFERROR(__xludf.DUMMYFUNCTION("""COMPUTED_VALUE"""),"")</f>
        <v/>
      </c>
      <c r="CL4" s="21" t="str">
        <f>IFERROR(__xludf.DUMMYFUNCTION("""COMPUTED_VALUE"""),"")</f>
        <v/>
      </c>
      <c r="CM4" s="21" t="str">
        <f>IFERROR(__xludf.DUMMYFUNCTION("""COMPUTED_VALUE"""),"")</f>
        <v/>
      </c>
      <c r="CN4" s="21" t="str">
        <f>IFERROR(__xludf.DUMMYFUNCTION("""COMPUTED_VALUE"""),"")</f>
        <v/>
      </c>
      <c r="CO4" s="21" t="str">
        <f>IFERROR(__xludf.DUMMYFUNCTION("""COMPUTED_VALUE"""),"")</f>
        <v/>
      </c>
      <c r="CP4" s="21" t="str">
        <f>IFERROR(__xludf.DUMMYFUNCTION("""COMPUTED_VALUE"""),"")</f>
        <v/>
      </c>
      <c r="CQ4" s="21" t="str">
        <f>IFERROR(__xludf.DUMMYFUNCTION("""COMPUTED_VALUE"""),"")</f>
        <v/>
      </c>
      <c r="CR4" s="21" t="str">
        <f>IFERROR(__xludf.DUMMYFUNCTION("""COMPUTED_VALUE"""),"")</f>
        <v/>
      </c>
      <c r="CS4" s="21" t="str">
        <f>IFERROR(__xludf.DUMMYFUNCTION("""COMPUTED_VALUE"""),"")</f>
        <v/>
      </c>
      <c r="CT4" s="21" t="str">
        <f>IFERROR(__xludf.DUMMYFUNCTION("""COMPUTED_VALUE"""),"")</f>
        <v/>
      </c>
      <c r="CU4" s="21" t="str">
        <f>IFERROR(__xludf.DUMMYFUNCTION("""COMPUTED_VALUE"""),"")</f>
        <v/>
      </c>
      <c r="CV4" s="21" t="str">
        <f>IFERROR(__xludf.DUMMYFUNCTION("""COMPUTED_VALUE"""),"")</f>
        <v/>
      </c>
      <c r="CW4" s="21" t="str">
        <f>IFERROR(__xludf.DUMMYFUNCTION("""COMPUTED_VALUE"""),"")</f>
        <v/>
      </c>
      <c r="CX4" s="21" t="str">
        <f>IFERROR(__xludf.DUMMYFUNCTION("""COMPUTED_VALUE"""),"")</f>
        <v/>
      </c>
      <c r="CY4" s="21" t="str">
        <f>IFERROR(__xludf.DUMMYFUNCTION("""COMPUTED_VALUE"""),"")</f>
        <v/>
      </c>
      <c r="CZ4" s="21" t="str">
        <f>IFERROR(__xludf.DUMMYFUNCTION("""COMPUTED_VALUE"""),"")</f>
        <v/>
      </c>
      <c r="DA4" s="21" t="str">
        <f>IFERROR(__xludf.DUMMYFUNCTION("""COMPUTED_VALUE"""),"")</f>
        <v/>
      </c>
      <c r="DB4" s="21" t="str">
        <f>IFERROR(__xludf.DUMMYFUNCTION("""COMPUTED_VALUE"""),"")</f>
        <v/>
      </c>
      <c r="DC4" s="21" t="str">
        <f>IFERROR(__xludf.DUMMYFUNCTION("""COMPUTED_VALUE"""),"")</f>
        <v/>
      </c>
      <c r="DD4" s="21" t="str">
        <f>IFERROR(__xludf.DUMMYFUNCTION("""COMPUTED_VALUE"""),"")</f>
        <v/>
      </c>
      <c r="DE4" s="21" t="str">
        <f>IFERROR(__xludf.DUMMYFUNCTION("""COMPUTED_VALUE"""),"")</f>
        <v/>
      </c>
      <c r="DF4" s="21" t="str">
        <f>IFERROR(__xludf.DUMMYFUNCTION("""COMPUTED_VALUE"""),"")</f>
        <v/>
      </c>
      <c r="DG4" s="21" t="str">
        <f>IFERROR(__xludf.DUMMYFUNCTION("""COMPUTED_VALUE"""),"")</f>
        <v/>
      </c>
      <c r="DH4" s="21" t="str">
        <f>IFERROR(__xludf.DUMMYFUNCTION("""COMPUTED_VALUE"""),"")</f>
        <v/>
      </c>
      <c r="DI4" s="21" t="str">
        <f>IFERROR(__xludf.DUMMYFUNCTION("""COMPUTED_VALUE"""),"")</f>
        <v/>
      </c>
      <c r="DJ4" s="21" t="str">
        <f>IFERROR(__xludf.DUMMYFUNCTION("""COMPUTED_VALUE"""),"")</f>
        <v/>
      </c>
      <c r="DK4" s="21" t="str">
        <f>IFERROR(__xludf.DUMMYFUNCTION("""COMPUTED_VALUE"""),"")</f>
        <v/>
      </c>
      <c r="DL4" s="21" t="str">
        <f>IFERROR(__xludf.DUMMYFUNCTION("""COMPUTED_VALUE"""),"")</f>
        <v/>
      </c>
      <c r="DM4" s="21" t="str">
        <f>IFERROR(__xludf.DUMMYFUNCTION("""COMPUTED_VALUE"""),"")</f>
        <v/>
      </c>
      <c r="DN4" s="21" t="str">
        <f>IFERROR(__xludf.DUMMYFUNCTION("""COMPUTED_VALUE"""),"")</f>
        <v/>
      </c>
      <c r="DO4" s="21" t="str">
        <f>IFERROR(__xludf.DUMMYFUNCTION("""COMPUTED_VALUE"""),"")</f>
        <v/>
      </c>
      <c r="DP4" s="21" t="str">
        <f>IFERROR(__xludf.DUMMYFUNCTION("""COMPUTED_VALUE"""),"")</f>
        <v/>
      </c>
      <c r="DQ4" s="21" t="str">
        <f>IFERROR(__xludf.DUMMYFUNCTION("""COMPUTED_VALUE"""),"")</f>
        <v/>
      </c>
      <c r="DR4" s="21" t="str">
        <f>IFERROR(__xludf.DUMMYFUNCTION("""COMPUTED_VALUE"""),"")</f>
        <v/>
      </c>
      <c r="DS4" s="21" t="str">
        <f>IFERROR(__xludf.DUMMYFUNCTION("""COMPUTED_VALUE"""),"")</f>
        <v/>
      </c>
      <c r="DT4" s="21" t="str">
        <f>IFERROR(__xludf.DUMMYFUNCTION("""COMPUTED_VALUE"""),"")</f>
        <v/>
      </c>
      <c r="DU4" s="21" t="str">
        <f>IFERROR(__xludf.DUMMYFUNCTION("""COMPUTED_VALUE"""),"")</f>
        <v/>
      </c>
      <c r="DV4" s="21" t="str">
        <f>IFERROR(__xludf.DUMMYFUNCTION("""COMPUTED_VALUE"""),"")</f>
        <v/>
      </c>
      <c r="DW4" s="21" t="str">
        <f>IFERROR(__xludf.DUMMYFUNCTION("""COMPUTED_VALUE"""),"")</f>
        <v/>
      </c>
      <c r="DX4" s="21" t="str">
        <f>IFERROR(__xludf.DUMMYFUNCTION("""COMPUTED_VALUE"""),"")</f>
        <v/>
      </c>
      <c r="DY4" s="21" t="str">
        <f>IFERROR(__xludf.DUMMYFUNCTION("""COMPUTED_VALUE"""),"")</f>
        <v/>
      </c>
      <c r="DZ4" s="21" t="str">
        <f>IFERROR(__xludf.DUMMYFUNCTION("""COMPUTED_VALUE"""),"")</f>
        <v/>
      </c>
      <c r="EA4" s="21" t="str">
        <f>IFERROR(__xludf.DUMMYFUNCTION("""COMPUTED_VALUE"""),"")</f>
        <v/>
      </c>
      <c r="EB4" s="21" t="str">
        <f>IFERROR(__xludf.DUMMYFUNCTION("""COMPUTED_VALUE"""),"")</f>
        <v/>
      </c>
      <c r="EC4" s="21" t="str">
        <f>IFERROR(__xludf.DUMMYFUNCTION("""COMPUTED_VALUE"""),"")</f>
        <v/>
      </c>
      <c r="ED4" s="21" t="str">
        <f>IFERROR(__xludf.DUMMYFUNCTION("""COMPUTED_VALUE"""),"")</f>
        <v/>
      </c>
      <c r="EE4" s="21" t="str">
        <f>IFERROR(__xludf.DUMMYFUNCTION("""COMPUTED_VALUE"""),"")</f>
        <v/>
      </c>
      <c r="EF4" s="21" t="str">
        <f>IFERROR(__xludf.DUMMYFUNCTION("""COMPUTED_VALUE"""),"")</f>
        <v/>
      </c>
      <c r="EG4" s="21" t="str">
        <f>IFERROR(__xludf.DUMMYFUNCTION("""COMPUTED_VALUE"""),"")</f>
        <v/>
      </c>
      <c r="EH4" s="21" t="str">
        <f>IFERROR(__xludf.DUMMYFUNCTION("""COMPUTED_VALUE"""),"")</f>
        <v/>
      </c>
      <c r="EI4" s="21" t="str">
        <f>IFERROR(__xludf.DUMMYFUNCTION("""COMPUTED_VALUE"""),"")</f>
        <v/>
      </c>
      <c r="EJ4" s="21" t="str">
        <f>IFERROR(__xludf.DUMMYFUNCTION("""COMPUTED_VALUE"""),"")</f>
        <v/>
      </c>
      <c r="EK4" s="21" t="str">
        <f>IFERROR(__xludf.DUMMYFUNCTION("""COMPUTED_VALUE"""),"")</f>
        <v/>
      </c>
      <c r="EL4" s="21" t="str">
        <f>IFERROR(__xludf.DUMMYFUNCTION("""COMPUTED_VALUE"""),"")</f>
        <v/>
      </c>
      <c r="EM4" s="21" t="str">
        <f>IFERROR(__xludf.DUMMYFUNCTION("""COMPUTED_VALUE"""),"")</f>
        <v/>
      </c>
      <c r="EN4" s="21" t="str">
        <f>IFERROR(__xludf.DUMMYFUNCTION("""COMPUTED_VALUE"""),"")</f>
        <v/>
      </c>
      <c r="EO4" s="21" t="str">
        <f>IFERROR(__xludf.DUMMYFUNCTION("""COMPUTED_VALUE"""),"")</f>
        <v/>
      </c>
      <c r="EP4" s="21" t="str">
        <f>IFERROR(__xludf.DUMMYFUNCTION("""COMPUTED_VALUE"""),"")</f>
        <v/>
      </c>
      <c r="EQ4" s="21" t="str">
        <f>IFERROR(__xludf.DUMMYFUNCTION("""COMPUTED_VALUE"""),"")</f>
        <v/>
      </c>
      <c r="ER4" s="21" t="str">
        <f>IFERROR(__xludf.DUMMYFUNCTION("""COMPUTED_VALUE"""),"")</f>
        <v/>
      </c>
      <c r="ES4" s="21" t="str">
        <f>IFERROR(__xludf.DUMMYFUNCTION("""COMPUTED_VALUE"""),"")</f>
        <v/>
      </c>
      <c r="ET4" s="21" t="str">
        <f>IFERROR(__xludf.DUMMYFUNCTION("""COMPUTED_VALUE"""),"")</f>
        <v/>
      </c>
      <c r="EU4" s="21" t="str">
        <f>IFERROR(__xludf.DUMMYFUNCTION("""COMPUTED_VALUE"""),"")</f>
        <v/>
      </c>
      <c r="EV4" s="21" t="str">
        <f>IFERROR(__xludf.DUMMYFUNCTION("""COMPUTED_VALUE"""),"")</f>
        <v/>
      </c>
      <c r="EW4" s="21" t="str">
        <f>IFERROR(__xludf.DUMMYFUNCTION("""COMPUTED_VALUE"""),"")</f>
        <v/>
      </c>
      <c r="EX4" s="21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IFERROR(__xludf.DUMMYFUNCTION("""COMPUTED_VALUE"""),"AccruedInterest")</f>
        <v>AccruedInterest</v>
      </c>
      <c r="D5" s="26" t="str">
        <f>IFERROR(__xludf.DUMMYFUNCTION("""COMPUTED_VALUE"""),"Analyst")</f>
        <v>Analyst</v>
      </c>
      <c r="E5" s="26" t="str">
        <f>IFERROR(__xludf.DUMMYFUNCTION("""COMPUTED_VALUE"""),"Asset Class")</f>
        <v>Asset Class</v>
      </c>
      <c r="F5" s="27" t="str">
        <f>IFERROR(__xludf.DUMMYFUNCTION("""COMPUTED_VALUE"""),"Asset Derivative")</f>
        <v>Asset Derivative</v>
      </c>
      <c r="G5" s="26" t="str">
        <f>IFERROR(__xludf.DUMMYFUNCTION("""COMPUTED_VALUE"""),"AUCID")</f>
        <v>AUCID</v>
      </c>
      <c r="H5" s="26" t="str">
        <f>IFERROR(__xludf.DUMMYFUNCTION("""COMPUTED_VALUE"""),"AUECModifiedDate")</f>
        <v>AUECModifiedDate</v>
      </c>
      <c r="I5" s="26" t="str">
        <f>IFERROR(__xludf.DUMMYFUNCTION("""COMPUTED_VALUE"""),"Average Price")</f>
        <v>Average Price</v>
      </c>
      <c r="J5" s="26" t="str">
        <f>IFERROR(__xludf.DUMMYFUNCTION("""COMPUTED_VALUE"""),"BloombergSymbol")</f>
        <v>BloombergSymbol</v>
      </c>
      <c r="K5" s="26" t="str">
        <f>IFERROR(__xludf.DUMMYFUNCTION("""COMPUTED_VALUE"""),"Broker")</f>
        <v>Broker</v>
      </c>
      <c r="L5" s="26" t="str">
        <f>IFERROR(__xludf.DUMMYFUNCTION("""COMPUTED_VALUE"""),"CalcBasis")</f>
        <v>CalcBasis</v>
      </c>
      <c r="M5" s="26" t="str">
        <f>IFERROR(__xludf.DUMMYFUNCTION("""COMPUTED_VALUE"""),"CashSettledPrice")</f>
        <v>CashSettledPrice</v>
      </c>
      <c r="N5" s="26" t="str">
        <f>IFERROR(__xludf.DUMMYFUNCTION("""COMPUTED_VALUE"""),"ChangeComment")</f>
        <v>ChangeComment</v>
      </c>
      <c r="O5" s="26" t="str">
        <f>IFERROR(__xludf.DUMMYFUNCTION("""COMPUTED_VALUE"""),"ChangeType")</f>
        <v>ChangeType</v>
      </c>
      <c r="P5" s="26" t="str">
        <f>IFERROR(__xludf.DUMMYFUNCTION("""COMPUTED_VALUE"""),"ClearingBrokerFee")</f>
        <v>ClearingBrokerFee</v>
      </c>
      <c r="Q5" s="26" t="str">
        <f>IFERROR(__xludf.DUMMYFUNCTION("""COMPUTED_VALUE"""),"ClearingFee")</f>
        <v>ClearingFee</v>
      </c>
      <c r="R5" s="26" t="str">
        <f>IFERROR(__xludf.DUMMYFUNCTION("""COMPUTED_VALUE"""),"ClosedTotalCommissionandFees")</f>
        <v>ClosedTotalCommissionandFees</v>
      </c>
      <c r="S5" s="26" t="str">
        <f>IFERROR(__xludf.DUMMYFUNCTION("""COMPUTED_VALUE"""),"ClosingAlgo")</f>
        <v>ClosingAlgo</v>
      </c>
      <c r="T5" s="28" t="str">
        <f>IFERROR(__xludf.DUMMYFUNCTION("""COMPUTED_VALUE"""),"ClosingDate")</f>
        <v>ClosingDate</v>
      </c>
      <c r="U5" s="28" t="str">
        <f>IFERROR(__xludf.DUMMYFUNCTION("""COMPUTED_VALUE"""),"ClosingStatus")</f>
        <v>ClosingStatus</v>
      </c>
      <c r="V5" s="28" t="str">
        <f>IFERROR(__xludf.DUMMYFUNCTION("""COMPUTED_VALUE"""),"Commission")</f>
        <v>Commission</v>
      </c>
      <c r="W5" s="28" t="str">
        <f>IFERROR(__xludf.DUMMYFUNCTION("""COMPUTED_VALUE"""),"CommissionAmt")</f>
        <v>CommissionAmt</v>
      </c>
      <c r="X5" s="28" t="str">
        <f>IFERROR(__xludf.DUMMYFUNCTION("""COMPUTED_VALUE"""),"CommissionRate")</f>
        <v>CommissionRate</v>
      </c>
      <c r="Y5" s="28" t="str">
        <f>IFERROR(__xludf.DUMMYFUNCTION("""COMPUTED_VALUE"""),"CompanyUserName")</f>
        <v>CompanyUserName</v>
      </c>
      <c r="Z5" s="28" t="str">
        <f>IFERROR(__xludf.DUMMYFUNCTION("""COMPUTED_VALUE"""),"ContractMultiplier")</f>
        <v>ContractMultiplier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IFERROR(__xludf.DUMMYFUNCTION("""COMPUTED_VALUE"""),"ExpirationDate")</f>
        <v>ExpirationDate</v>
      </c>
      <c r="AS5" s="28" t="str">
        <f>IFERROR(__xludf.DUMMYFUNCTION("""COMPUTED_VALUE"""),"ExternalTransID")</f>
        <v>ExternalTransID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IFERROR(__xludf.DUMMYFUNCTION("""COMPUTED_VALUE"""),"IsExerciseAtZero")</f>
        <v>IsExerciseAtZero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IFERROR(__xludf.DUMMYFUNCTION("""COMPUTED_VALUE"""),"IsSwapped")</f>
        <v>IsSwapped</v>
      </c>
      <c r="BF5" s="28" t="str">
        <f>IFERROR(__xludf.DUMMYFUNCTION("""COMPUTED_VALUE"""),"LeadCurrencyID")</f>
        <v>LeadCurrencyID</v>
      </c>
      <c r="BG5" s="28" t="str">
        <f>IFERROR(__xludf.DUMMYFUNCTION("""COMPUTED_VALUE"""),"LiquidTag")</f>
        <v>LiquidTag</v>
      </c>
      <c r="BH5" s="28" t="str">
        <f>IFERROR(__xludf.DUMMYFUNCTION("""COMPUTED_VALUE"""),"LongOrShort")</f>
        <v>LongOrShort</v>
      </c>
      <c r="BI5" s="28" t="str">
        <f>IFERROR(__xludf.DUMMYFUNCTION("""COMPUTED_VALUE"""),"LotId")</f>
        <v>LotId</v>
      </c>
      <c r="BJ5" s="28" t="str">
        <f>IFERROR(__xludf.DUMMYFUNCTION("""COMPUTED_VALUE"""),"M2MProfitLoss")</f>
        <v>M2MProfitLoss</v>
      </c>
      <c r="BK5" s="28" t="str">
        <f>IFERROR(__xludf.DUMMYFUNCTION("""COMPUTED_VALUE"""),"MarkPrice")</f>
        <v>MarkPrice</v>
      </c>
      <c r="BL5" s="28" t="str">
        <f>IFERROR(__xludf.DUMMYFUNCTION("""COMPUTED_VALUE"""),"MasterFund")</f>
        <v>MasterFund</v>
      </c>
      <c r="BM5" s="28" t="str">
        <f>IFERROR(__xludf.DUMMYFUNCTION("""COMPUTED_VALUE"""),"MiscFees")</f>
        <v>MiscFees</v>
      </c>
      <c r="BN5" s="28" t="str">
        <f>IFERROR(__xludf.DUMMYFUNCTION("""COMPUTED_VALUE"""),"NavLockStatus")</f>
        <v>NavLockStatus</v>
      </c>
      <c r="BO5" s="28" t="str">
        <f>IFERROR(__xludf.DUMMYFUNCTION("""COMPUTED_VALUE"""),"Net Notional")</f>
        <v>Net Notional</v>
      </c>
      <c r="BP5" s="28" t="str">
        <f>IFERROR(__xludf.DUMMYFUNCTION("""COMPUTED_VALUE"""),"NirvanaProcessDate")</f>
        <v>NirvanaProcessDate</v>
      </c>
      <c r="BQ5" s="28" t="str">
        <f>IFERROR(__xludf.DUMMYFUNCTION("""COMPUTED_VALUE"""),"OccFee")</f>
        <v>OccFee</v>
      </c>
      <c r="BR5" s="28" t="str">
        <f>IFERROR(__xludf.DUMMYFUNCTION("""COMPUTED_VALUE"""),"OptionPremiumAdjustment")</f>
        <v>OptionPremiumAdjustment</v>
      </c>
      <c r="BS5" s="28" t="str">
        <f>IFERROR(__xludf.DUMMYFUNCTION("""COMPUTED_VALUE"""),"OrderSideTagValue")</f>
        <v>OrderSideTagValue</v>
      </c>
      <c r="BT5" s="28" t="str">
        <f>IFERROR(__xludf.DUMMYFUNCTION("""COMPUTED_VALUE"""),"OrderType")</f>
        <v>OrderType</v>
      </c>
      <c r="BU5" s="28" t="str">
        <f>IFERROR(__xludf.DUMMYFUNCTION("""COMPUTED_VALUE"""),"OrfFee")</f>
        <v>OrfFee</v>
      </c>
      <c r="BV5" s="28" t="str">
        <f>IFERROR(__xludf.DUMMYFUNCTION("""COMPUTED_VALUE"""),"Original Side")</f>
        <v>Original Side</v>
      </c>
      <c r="BW5" s="28" t="str">
        <f>IFERROR(__xludf.DUMMYFUNCTION("""COMPUTED_VALUE"""),"OriginalPurchase Date")</f>
        <v>OriginalPurchase Date</v>
      </c>
      <c r="BX5" s="28" t="str">
        <f>IFERROR(__xludf.DUMMYFUNCTION("""COMPUTED_VALUE"""),"OSISymbol")</f>
        <v>OSISymbol</v>
      </c>
      <c r="BY5" s="28" t="str">
        <f>IFERROR(__xludf.DUMMYFUNCTION("""COMPUTED_VALUE"""),"OtherBrokerFees")</f>
        <v>OtherBrokerFees</v>
      </c>
      <c r="BZ5" s="28" t="str">
        <f>IFERROR(__xludf.DUMMYFUNCTION("""COMPUTED_VALUE"""),"ParentRowPK")</f>
        <v>ParentRowPK</v>
      </c>
      <c r="CA5" s="28" t="str">
        <f>IFERROR(__xludf.DUMMYFUNCTION("""COMPUTED_VALUE"""),"Percentage")</f>
        <v>Percentage</v>
      </c>
      <c r="CB5" s="28" t="str">
        <f>IFERROR(__xludf.DUMMYFUNCTION("""COMPUTED_VALUE"""),"PositionTag")</f>
        <v>PositionTag</v>
      </c>
      <c r="CC5" s="28" t="str">
        <f>IFERROR(__xludf.DUMMYFUNCTION("""COMPUTED_VALUE"""),"PositionType")</f>
        <v>PositionType</v>
      </c>
      <c r="CD5" s="28" t="str">
        <f>IFERROR(__xludf.DUMMYFUNCTION("""COMPUTED_VALUE"""),"Process Date")</f>
        <v>Process Date</v>
      </c>
      <c r="CE5" s="28" t="str">
        <f>IFERROR(__xludf.DUMMYFUNCTION("""COMPUTED_VALUE"""),"ProxySymbol")</f>
        <v>ProxySymbol</v>
      </c>
      <c r="CF5" s="28" t="str">
        <f>IFERROR(__xludf.DUMMYFUNCTION("""COMPUTED_VALUE"""),"PutOrCall")</f>
        <v>PutOrCall</v>
      </c>
      <c r="CG5" s="28" t="str">
        <f>IFERROR(__xludf.DUMMYFUNCTION("""COMPUTED_VALUE"""),"Quantity")</f>
        <v>Quantity</v>
      </c>
      <c r="CH5" s="28" t="str">
        <f>IFERROR(__xludf.DUMMYFUNCTION("""COMPUTED_VALUE"""),"Region")</f>
        <v>Region</v>
      </c>
      <c r="CI5" s="28" t="str">
        <f>IFERROR(__xludf.DUMMYFUNCTION("""COMPUTED_VALUE"""),"ReutersSymbol")</f>
        <v>ReutersSymbol</v>
      </c>
      <c r="CJ5" s="28" t="str">
        <f>IFERROR(__xludf.DUMMYFUNCTION("""COMPUTED_VALUE"""),"RiskCurrency")</f>
        <v>RiskCurrency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 Name")</f>
        <v>Security Name</v>
      </c>
      <c r="CN5" s="28" t="str">
        <f>IFERROR(__xludf.DUMMYFUNCTION("""COMPUTED_VALUE"""),"SecurityTypeName")</f>
        <v>SecurityTypeName</v>
      </c>
      <c r="CO5" s="28" t="str">
        <f>IFERROR(__xludf.DUMMYFUNCTION("""COMPUTED_VALUE"""),"SedolSymbol")</f>
        <v>SedolSymbol</v>
      </c>
      <c r="CP5" s="28" t="str">
        <f>IFERROR(__xludf.DUMMYFUNCTION("""COMPUTED_VALUE"""),"SettlCurrAmt")</f>
        <v>SettlCurrAmt</v>
      </c>
      <c r="CQ5" s="28" t="str">
        <f>IFERROR(__xludf.DUMMYFUNCTION("""COMPUTED_VALUE"""),"SettlCurrFxRate")</f>
        <v>SettlCurrFxRate</v>
      </c>
      <c r="CR5" s="28" t="str">
        <f>IFERROR(__xludf.DUMMYFUNCTION("""COMPUTED_VALUE"""),"SettlCurrFxRateCalc")</f>
        <v>SettlCurrFxRateCalc</v>
      </c>
      <c r="CS5" s="28" t="str">
        <f>IFERROR(__xludf.DUMMYFUNCTION("""COMPUTED_VALUE"""),"SettlCurrUnitCost")</f>
        <v>SettlCurrUnitCost</v>
      </c>
      <c r="CT5" s="28" t="str">
        <f>IFERROR(__xludf.DUMMYFUNCTION("""COMPUTED_VALUE"""),"Settlement Mode")</f>
        <v>Settlement Mode</v>
      </c>
      <c r="CU5" s="28" t="str">
        <f>IFERROR(__xludf.DUMMYFUNCTION("""COMPUTED_VALUE"""),"Settlement Qty")</f>
        <v>Settlement Qty</v>
      </c>
      <c r="CV5" s="28" t="str">
        <f>IFERROR(__xludf.DUMMYFUNCTION("""COMPUTED_VALUE"""),"SettlementCurrencyID")</f>
        <v>SettlementCurrencyID</v>
      </c>
      <c r="CW5" s="28" t="str">
        <f>IFERROR(__xludf.DUMMYFUNCTION("""COMPUTED_VALUE"""),"SettlementDate")</f>
        <v>SettlementDate</v>
      </c>
      <c r="CX5" s="28" t="str">
        <f>IFERROR(__xludf.DUMMYFUNCTION("""COMPUTED_VALUE"""),"SideMultiplier")</f>
        <v>SideMultiplier</v>
      </c>
      <c r="CY5" s="28" t="str">
        <f>IFERROR(__xludf.DUMMYFUNCTION("""COMPUTED_VALUE"""),"SoftCommission")</f>
        <v>SoftCommission</v>
      </c>
      <c r="CZ5" s="28" t="str">
        <f>IFERROR(__xludf.DUMMYFUNCTION("""COMPUTED_VALUE"""),"SoftCommissionAmt")</f>
        <v>SoftCommissionAmt</v>
      </c>
      <c r="DA5" s="28" t="str">
        <f>IFERROR(__xludf.DUMMYFUNCTION("""COMPUTED_VALUE"""),"SoftCommissionCalcBasis")</f>
        <v>SoftCommissionCalcBasis</v>
      </c>
      <c r="DB5" s="28" t="str">
        <f>IFERROR(__xludf.DUMMYFUNCTION("""COMPUTED_VALUE"""),"SoftCommissionRate")</f>
        <v>SoftCommissionRate</v>
      </c>
      <c r="DC5" s="28" t="str">
        <f>IFERROR(__xludf.DUMMYFUNCTION("""COMPUTED_VALUE"""),"StampDuty")</f>
        <v>StampDuty</v>
      </c>
      <c r="DD5" s="28" t="str">
        <f>IFERROR(__xludf.DUMMYFUNCTION("""COMPUTED_VALUE"""),"Strategy")</f>
        <v>Strategy</v>
      </c>
      <c r="DE5" s="28" t="str">
        <f>IFERROR(__xludf.DUMMYFUNCTION("""COMPUTED_VALUE"""),"StrikePrice")</f>
        <v>StrikePrice</v>
      </c>
      <c r="DF5" s="28" t="str">
        <f>IFERROR(__xludf.DUMMYFUNCTION("""COMPUTED_VALUE"""),"SubSectorName")</f>
        <v>SubSectorName</v>
      </c>
      <c r="DG5" s="28" t="str">
        <f>IFERROR(__xludf.DUMMYFUNCTION("""COMPUTED_VALUE"""),"SwapParameters")</f>
        <v>SwapParameters</v>
      </c>
      <c r="DH5" s="28" t="str">
        <f>IFERROR(__xludf.DUMMYFUNCTION("""COMPUTED_VALUE"""),"Symbol")</f>
        <v>Symbol</v>
      </c>
      <c r="DI5" s="28" t="str">
        <f>IFERROR(__xludf.DUMMYFUNCTION("""COMPUTED_VALUE"""),"TaxlotClosingId")</f>
        <v>TaxlotClosingId</v>
      </c>
      <c r="DJ5" s="28" t="str">
        <f>IFERROR(__xludf.DUMMYFUNCTION("""COMPUTED_VALUE"""),"TaxLotID")</f>
        <v>TaxLotID</v>
      </c>
      <c r="DK5" s="28" t="str">
        <f>IFERROR(__xludf.DUMMYFUNCTION("""COMPUTED_VALUE"""),"TaxlotPk")</f>
        <v>TaxlotPk</v>
      </c>
      <c r="DL5" s="28" t="str">
        <f>IFERROR(__xludf.DUMMYFUNCTION("""COMPUTED_VALUE"""),"TaxLotQtyToClose")</f>
        <v>TaxLotQtyToClose</v>
      </c>
      <c r="DM5" s="28" t="str">
        <f>IFERROR(__xludf.DUMMYFUNCTION("""COMPUTED_VALUE"""),"TaxonCommissions")</f>
        <v>TaxonCommissions</v>
      </c>
      <c r="DN5" s="28" t="str">
        <f>IFERROR(__xludf.DUMMYFUNCTION("""COMPUTED_VALUE"""),"TimeOfSaveUTC")</f>
        <v>TimeOfSaveUTC</v>
      </c>
      <c r="DO5" s="28" t="str">
        <f>IFERROR(__xludf.DUMMYFUNCTION("""COMPUTED_VALUE"""),"TotalCommission&amp;Fees")</f>
        <v>TotalCommission&amp;Fees</v>
      </c>
      <c r="DP5" s="28" t="str">
        <f>IFERROR(__xludf.DUMMYFUNCTION("""COMPUTED_VALUE"""),"TotalCommissionandFees")</f>
        <v>TotalCommissionandFees</v>
      </c>
      <c r="DQ5" s="28" t="str">
        <f>IFERROR(__xludf.DUMMYFUNCTION("""COMPUTED_VALUE"""),"Tradedate")</f>
        <v>Tradedate</v>
      </c>
      <c r="DR5" s="28" t="str">
        <f>IFERROR(__xludf.DUMMYFUNCTION("""COMPUTED_VALUE"""),"TradeAttribute1")</f>
        <v>TradeAttribute1</v>
      </c>
      <c r="DS5" s="28" t="str">
        <f>IFERROR(__xludf.DUMMYFUNCTION("""COMPUTED_VALUE"""),"TradeAttribute2")</f>
        <v>TradeAttribute2</v>
      </c>
      <c r="DT5" s="28" t="str">
        <f>IFERROR(__xludf.DUMMYFUNCTION("""COMPUTED_VALUE"""),"TradeAttribute3")</f>
        <v>TradeAttribute3</v>
      </c>
      <c r="DU5" s="28" t="str">
        <f>IFERROR(__xludf.DUMMYFUNCTION("""COMPUTED_VALUE"""),"TradeAttribute4")</f>
        <v>TradeAttribute4</v>
      </c>
      <c r="DV5" s="28" t="str">
        <f>IFERROR(__xludf.DUMMYFUNCTION("""COMPUTED_VALUE"""),"TradeAttribute5")</f>
        <v>TradeAttribute5</v>
      </c>
      <c r="DW5" s="28" t="str">
        <f>IFERROR(__xludf.DUMMYFUNCTION("""COMPUTED_VALUE"""),"TradeAttribute6")</f>
        <v>TradeAttribute6</v>
      </c>
      <c r="DX5" s="28" t="str">
        <f>IFERROR(__xludf.DUMMYFUNCTION("""COMPUTED_VALUE"""),"TradingAccountName")</f>
        <v>TradingAccountName</v>
      </c>
      <c r="DY5" s="28" t="str">
        <f>IFERROR(__xludf.DUMMYFUNCTION("""COMPUTED_VALUE"""),"TransactionLevy")</f>
        <v>TransactionLevy</v>
      </c>
      <c r="DZ5" s="28" t="str">
        <f>IFERROR(__xludf.DUMMYFUNCTION("""COMPUTED_VALUE"""),"TransactionType")</f>
        <v>TransactionType</v>
      </c>
      <c r="EA5" s="28" t="str">
        <f>IFERROR(__xludf.DUMMYFUNCTION("""COMPUTED_VALUE"""),"UcitsEligibleTag")</f>
        <v>UcitsEligibleTag</v>
      </c>
      <c r="EB5" s="28" t="str">
        <f>IFERROR(__xludf.DUMMYFUNCTION("""COMPUTED_VALUE"""),"UDAAsset")</f>
        <v>UDAAsset</v>
      </c>
      <c r="EC5" s="28" t="str">
        <f>IFERROR(__xludf.DUMMYFUNCTION("""COMPUTED_VALUE"""),"UnderlyingDelta")</f>
        <v>UnderlyingDelta</v>
      </c>
      <c r="ED5" s="28" t="str">
        <f>IFERROR(__xludf.DUMMYFUNCTION("""COMPUTED_VALUE"""),"UnderlyingName")</f>
        <v>UnderlyingName</v>
      </c>
      <c r="EE5" s="28" t="str">
        <f>IFERROR(__xludf.DUMMYFUNCTION("""COMPUTED_VALUE"""),"UnderlyingSymbol")</f>
        <v>UnderlyingSymbol</v>
      </c>
      <c r="EF5" s="28" t="str">
        <f>IFERROR(__xludf.DUMMYFUNCTION("""COMPUTED_VALUE"""),"UnitCost")</f>
        <v>UnitCost</v>
      </c>
      <c r="EG5" s="28" t="str">
        <f>IFERROR(__xludf.DUMMYFUNCTION("""COMPUTED_VALUE"""),"UnRealizedPNL")</f>
        <v>UnRealizedPNL</v>
      </c>
      <c r="EH5" s="28" t="str">
        <f>IFERROR(__xludf.DUMMYFUNCTION("""COMPUTED_VALUE"""),"Venue")</f>
        <v>Venue</v>
      </c>
      <c r="EI5" s="28" t="str">
        <f>IFERROR(__xludf.DUMMYFUNCTION("""COMPUTED_VALUE"""),"VsCurrencyID")</f>
        <v>VsCurrencyID</v>
      </c>
      <c r="EJ5" s="28" t="str">
        <f>IFERROR(__xludf.DUMMYFUNCTION("""COMPUTED_VALUE"""),"WorkflowState")</f>
        <v>WorkflowState</v>
      </c>
      <c r="EK5" s="28" t="str">
        <f>IFERROR(__xludf.DUMMYFUNCTION("""COMPUTED_VALUE"""),"AvgPriceBase")</f>
        <v>AvgPriceBase</v>
      </c>
      <c r="EL5" s="28" t="str">
        <f>IFERROR(__xludf.DUMMYFUNCTION("""COMPUTED_VALUE"""),"MarketCap")</f>
        <v>MarketCap</v>
      </c>
      <c r="EM5" s="28" t="str">
        <f>IFERROR(__xludf.DUMMYFUNCTION("""COMPUTED_VALUE"""),"UnitCostBase")</f>
        <v>UnitCostBase</v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5" t="s">
        <v>18</v>
      </c>
      <c r="C6" s="32"/>
      <c r="D6" s="36"/>
      <c r="E6" s="30" t="s">
        <v>23</v>
      </c>
      <c r="F6" s="32"/>
      <c r="G6" s="32"/>
      <c r="H6" s="32"/>
      <c r="I6" s="31">
        <v>36.0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7">
        <v>1050.0</v>
      </c>
      <c r="AR6" s="32"/>
      <c r="AS6" s="32"/>
      <c r="CG6" s="37">
        <v>1050.0</v>
      </c>
      <c r="DH6" s="34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1" t="s">
        <v>7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5" t="str">
        <f> VLOOKUP($E$3,'_MasterData'!B4:D1000,3,FALSE)</f>
        <v>#N/A</v>
      </c>
      <c r="K2" s="15"/>
      <c r="L2" s="8"/>
      <c r="M2" s="8"/>
      <c r="N2" s="8"/>
      <c r="O2" s="8"/>
    </row>
    <row r="3" ht="15.75" customHeight="1">
      <c r="A3" s="16"/>
      <c r="B3" s="5" t="s">
        <v>8</v>
      </c>
      <c r="C3" s="17" t="s">
        <v>19</v>
      </c>
      <c r="D3" s="5" t="s">
        <v>10</v>
      </c>
      <c r="E3" s="17" t="s">
        <v>24</v>
      </c>
      <c r="F3" s="5" t="s">
        <v>12</v>
      </c>
      <c r="G3" s="12" t="s">
        <v>13</v>
      </c>
      <c r="H3" s="5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IFERROR(__xludf.DUMMYFUNCTION("IF(C3="""","""",Transpose(IMPORTRANGE('_Settings'!$B$3,C3&amp;""!A4:A1000"")))"),"SwapExpire")</f>
        <v>SwapExpire</v>
      </c>
      <c r="C4" s="19" t="str">
        <f>IFERROR(__xludf.DUMMYFUNCTION("""COMPUTED_VALUE"""),"GetDataClosing")</f>
        <v>GetDataClosing</v>
      </c>
      <c r="D4" s="19" t="str">
        <f>IFERROR(__xludf.DUMMYFUNCTION("""COMPUTED_VALUE"""),"ManualClosing")</f>
        <v>ManualClosing</v>
      </c>
      <c r="E4" s="19" t="str">
        <f>IFERROR(__xludf.DUMMYFUNCTION("""COMPUTED_VALUE"""),"AutomaticClosing")</f>
        <v>AutomaticClosing</v>
      </c>
      <c r="F4" s="19" t="str">
        <f>IFERROR(__xludf.DUMMYFUNCTION("""COMPUTED_VALUE"""),"UnwindClosing")</f>
        <v>UnwindClosing</v>
      </c>
      <c r="G4" s="19" t="str">
        <f>IFERROR(__xludf.DUMMYFUNCTION("""COMPUTED_VALUE"""),"VerifyClosedTrades")</f>
        <v>VerifyClosedTrades</v>
      </c>
      <c r="H4" s="19" t="str">
        <f>IFERROR(__xludf.DUMMYFUNCTION("""COMPUTED_VALUE"""),"VerifyLongPositionsGrid")</f>
        <v>VerifyLongPositionsGrid</v>
      </c>
      <c r="I4" s="19" t="str">
        <f>IFERROR(__xludf.DUMMYFUNCTION("""COMPUTED_VALUE"""),"VerifyShortPositionsGrid")</f>
        <v>VerifyShortPositionsGrid</v>
      </c>
      <c r="J4" s="19" t="str">
        <f>IFERROR(__xludf.DUMMYFUNCTION("""COMPUTED_VALUE"""),"SelectTradeUnexpiredUnsettled")</f>
        <v>SelectTradeUnexpiredUnsettled</v>
      </c>
      <c r="K4" s="19" t="str">
        <f>IFERROR(__xludf.DUMMYFUNCTION("""COMPUTED_VALUE"""),"CashSettlementAtCost")</f>
        <v>CashSettlementAtCost</v>
      </c>
      <c r="L4" s="19" t="str">
        <f>IFERROR(__xludf.DUMMYFUNCTION("""COMPUTED_VALUE"""),"CashSettlementAtZeroPrice")</f>
        <v>CashSettlementAtZeroPrice</v>
      </c>
      <c r="M4" s="19" t="str">
        <f>IFERROR(__xludf.DUMMYFUNCTION("""COMPUTED_VALUE"""),"CashSettlementAtClosingDtSpotPx")</f>
        <v>CashSettlementAtClosingDtSpotPx</v>
      </c>
      <c r="N4" s="19" t="str">
        <f>IFERROR(__xludf.DUMMYFUNCTION("""COMPUTED_VALUE"""),"PhysicalSettlement")</f>
        <v>PhysicalSettlement</v>
      </c>
      <c r="O4" s="19" t="str">
        <f>IFERROR(__xludf.DUMMYFUNCTION("""COMPUTED_VALUE"""),"Expire")</f>
        <v>Expire</v>
      </c>
      <c r="P4" s="21" t="str">
        <f>IFERROR(__xludf.DUMMYFUNCTION("""COMPUTED_VALUE"""),"ExerciseAssignment")</f>
        <v>ExerciseAssignment</v>
      </c>
      <c r="Q4" s="21" t="str">
        <f>IFERROR(__xludf.DUMMYFUNCTION("""COMPUTED_VALUE"""),"ExerciseAssignmentAtZero")</f>
        <v>ExerciseAssignmentAtZero</v>
      </c>
      <c r="R4" s="21" t="str">
        <f>IFERROR(__xludf.DUMMYFUNCTION("""COMPUTED_VALUE"""),"SwapExpireAndRollover")</f>
        <v>SwapExpireAndRollover</v>
      </c>
      <c r="S4" s="21" t="str">
        <f>IFERROR(__xludf.DUMMYFUNCTION("""COMPUTED_VALUE"""),"SwapExpire")</f>
        <v>SwapExpire</v>
      </c>
      <c r="T4" s="21" t="str">
        <f>IFERROR(__xludf.DUMMYFUNCTION("""COMPUTED_VALUE"""),"VerifyExpiredSettledGrid")</f>
        <v>VerifyExpiredSettledGrid</v>
      </c>
      <c r="U4" s="21" t="str">
        <f>IFERROR(__xludf.DUMMYFUNCTION("""COMPUTED_VALUE"""),"VerifyUnExpiredUnSettledGrid")</f>
        <v>VerifyUnExpiredUnSettledGrid</v>
      </c>
      <c r="V4" s="21" t="str">
        <f>IFERROR(__xludf.DUMMYFUNCTION("""COMPUTED_VALUE"""),"UnWindTradeSettlement")</f>
        <v>UnWindTradeSettlement</v>
      </c>
      <c r="W4" s="21" t="str">
        <f>IFERROR(__xludf.DUMMYFUNCTION("""COMPUTED_VALUE"""),"CloseOrder")</f>
        <v>CloseOrder</v>
      </c>
      <c r="X4" s="21" t="str">
        <f>IFERROR(__xludf.DUMMYFUNCTION("""COMPUTED_VALUE"""),"VerifyCloseOrder")</f>
        <v>VerifyCloseOrder</v>
      </c>
      <c r="Y4" s="21" t="str">
        <f>IFERROR(__xludf.DUMMYFUNCTION("""COMPUTED_VALUE"""),"UnWindCloseOrder")</f>
        <v>UnWindCloseOrder</v>
      </c>
      <c r="Z4" s="21" t="str">
        <f>IFERROR(__xludf.DUMMYFUNCTION("""COMPUTED_VALUE"""),"ClosingCleanUp")</f>
        <v>ClosingCleanUp</v>
      </c>
      <c r="AA4" s="21" t="str">
        <f>IFERROR(__xludf.DUMMYFUNCTION("""COMPUTED_VALUE"""),"CloseClosingUI")</f>
        <v>CloseClosingUI</v>
      </c>
      <c r="AB4" s="21" t="str">
        <f>IFERROR(__xludf.DUMMYFUNCTION("""COMPUTED_VALUE"""),"SetClosingPreference")</f>
        <v>SetClosingPreference</v>
      </c>
      <c r="AC4" s="21" t="str">
        <f>IFERROR(__xludf.DUMMYFUNCTION("""COMPUTED_VALUE"""),"EditTradeUnexpiredUnsettled")</f>
        <v>EditTradeUnexpiredUnsettled</v>
      </c>
      <c r="AD4" s="21" t="str">
        <f>IFERROR(__xludf.DUMMYFUNCTION("""COMPUTED_VALUE"""),"")</f>
        <v/>
      </c>
      <c r="AE4" s="21" t="str">
        <f>IFERROR(__xludf.DUMMYFUNCTION("""COMPUTED_VALUE"""),"")</f>
        <v/>
      </c>
      <c r="AF4" s="21" t="str">
        <f>IFERROR(__xludf.DUMMYFUNCTION("""COMPUTED_VALUE"""),"")</f>
        <v/>
      </c>
      <c r="AG4" s="21" t="str">
        <f>IFERROR(__xludf.DUMMYFUNCTION("""COMPUTED_VALUE"""),"")</f>
        <v/>
      </c>
      <c r="AH4" s="21" t="str">
        <f>IFERROR(__xludf.DUMMYFUNCTION("""COMPUTED_VALUE"""),"")</f>
        <v/>
      </c>
      <c r="AI4" s="21" t="str">
        <f>IFERROR(__xludf.DUMMYFUNCTION("""COMPUTED_VALUE"""),"")</f>
        <v/>
      </c>
      <c r="AJ4" s="21" t="str">
        <f>IFERROR(__xludf.DUMMYFUNCTION("""COMPUTED_VALUE"""),"")</f>
        <v/>
      </c>
      <c r="AK4" s="21" t="str">
        <f>IFERROR(__xludf.DUMMYFUNCTION("""COMPUTED_VALUE"""),"")</f>
        <v/>
      </c>
      <c r="AL4" s="21" t="str">
        <f>IFERROR(__xludf.DUMMYFUNCTION("""COMPUTED_VALUE"""),"")</f>
        <v/>
      </c>
      <c r="AM4" s="21" t="str">
        <f>IFERROR(__xludf.DUMMYFUNCTION("""COMPUTED_VALUE"""),"")</f>
        <v/>
      </c>
      <c r="AN4" s="21" t="str">
        <f>IFERROR(__xludf.DUMMYFUNCTION("""COMPUTED_VALUE"""),"")</f>
        <v/>
      </c>
      <c r="AO4" s="21" t="str">
        <f>IFERROR(__xludf.DUMMYFUNCTION("""COMPUTED_VALUE"""),"")</f>
        <v/>
      </c>
      <c r="AP4" s="21" t="str">
        <f>IFERROR(__xludf.DUMMYFUNCTION("""COMPUTED_VALUE"""),"")</f>
        <v/>
      </c>
      <c r="AQ4" s="21" t="str">
        <f>IFERROR(__xludf.DUMMYFUNCTION("""COMPUTED_VALUE"""),"")</f>
        <v/>
      </c>
      <c r="AR4" s="21" t="str">
        <f>IFERROR(__xludf.DUMMYFUNCTION("""COMPUTED_VALUE"""),"")</f>
        <v/>
      </c>
      <c r="AS4" s="21" t="str">
        <f>IFERROR(__xludf.DUMMYFUNCTION("""COMPUTED_VALUE"""),"")</f>
        <v/>
      </c>
      <c r="AT4" s="21" t="str">
        <f>IFERROR(__xludf.DUMMYFUNCTION("""COMPUTED_VALUE"""),"")</f>
        <v/>
      </c>
      <c r="AU4" s="21" t="str">
        <f>IFERROR(__xludf.DUMMYFUNCTION("""COMPUTED_VALUE"""),"")</f>
        <v/>
      </c>
      <c r="AV4" s="21" t="str">
        <f>IFERROR(__xludf.DUMMYFUNCTION("""COMPUTED_VALUE"""),"")</f>
        <v/>
      </c>
      <c r="AW4" s="21" t="str">
        <f>IFERROR(__xludf.DUMMYFUNCTION("""COMPUTED_VALUE"""),"")</f>
        <v/>
      </c>
      <c r="AX4" s="21" t="str">
        <f>IFERROR(__xludf.DUMMYFUNCTION("""COMPUTED_VALUE"""),"")</f>
        <v/>
      </c>
      <c r="AY4" s="21" t="str">
        <f>IFERROR(__xludf.DUMMYFUNCTION("""COMPUTED_VALUE"""),"")</f>
        <v/>
      </c>
      <c r="AZ4" s="21" t="str">
        <f>IFERROR(__xludf.DUMMYFUNCTION("""COMPUTED_VALUE"""),"")</f>
        <v/>
      </c>
      <c r="BA4" s="21" t="str">
        <f>IFERROR(__xludf.DUMMYFUNCTION("""COMPUTED_VALUE"""),"")</f>
        <v/>
      </c>
      <c r="BB4" s="21" t="str">
        <f>IFERROR(__xludf.DUMMYFUNCTION("""COMPUTED_VALUE"""),"")</f>
        <v/>
      </c>
      <c r="BC4" s="21" t="str">
        <f>IFERROR(__xludf.DUMMYFUNCTION("""COMPUTED_VALUE"""),"")</f>
        <v/>
      </c>
      <c r="BD4" s="21" t="str">
        <f>IFERROR(__xludf.DUMMYFUNCTION("""COMPUTED_VALUE"""),"")</f>
        <v/>
      </c>
      <c r="BE4" s="21" t="str">
        <f>IFERROR(__xludf.DUMMYFUNCTION("""COMPUTED_VALUE"""),"")</f>
        <v/>
      </c>
      <c r="BF4" s="21" t="str">
        <f>IFERROR(__xludf.DUMMYFUNCTION("""COMPUTED_VALUE"""),"")</f>
        <v/>
      </c>
      <c r="BG4" s="21" t="str">
        <f>IFERROR(__xludf.DUMMYFUNCTION("""COMPUTED_VALUE"""),"")</f>
        <v/>
      </c>
      <c r="BH4" s="21" t="str">
        <f>IFERROR(__xludf.DUMMYFUNCTION("""COMPUTED_VALUE"""),"")</f>
        <v/>
      </c>
      <c r="BI4" s="21" t="str">
        <f>IFERROR(__xludf.DUMMYFUNCTION("""COMPUTED_VALUE"""),"")</f>
        <v/>
      </c>
      <c r="BJ4" s="21" t="str">
        <f>IFERROR(__xludf.DUMMYFUNCTION("""COMPUTED_VALUE"""),"")</f>
        <v/>
      </c>
      <c r="BK4" s="21" t="str">
        <f>IFERROR(__xludf.DUMMYFUNCTION("""COMPUTED_VALUE"""),"")</f>
        <v/>
      </c>
      <c r="BL4" s="21" t="str">
        <f>IFERROR(__xludf.DUMMYFUNCTION("""COMPUTED_VALUE"""),"")</f>
        <v/>
      </c>
      <c r="BM4" s="21" t="str">
        <f>IFERROR(__xludf.DUMMYFUNCTION("""COMPUTED_VALUE"""),"")</f>
        <v/>
      </c>
      <c r="BN4" s="21" t="str">
        <f>IFERROR(__xludf.DUMMYFUNCTION("""COMPUTED_VALUE"""),"")</f>
        <v/>
      </c>
      <c r="BO4" s="21" t="str">
        <f>IFERROR(__xludf.DUMMYFUNCTION("""COMPUTED_VALUE"""),"")</f>
        <v/>
      </c>
      <c r="BP4" s="21" t="str">
        <f>IFERROR(__xludf.DUMMYFUNCTION("""COMPUTED_VALUE"""),"")</f>
        <v/>
      </c>
      <c r="BQ4" s="21" t="str">
        <f>IFERROR(__xludf.DUMMYFUNCTION("""COMPUTED_VALUE"""),"")</f>
        <v/>
      </c>
      <c r="BR4" s="21" t="str">
        <f>IFERROR(__xludf.DUMMYFUNCTION("""COMPUTED_VALUE"""),"")</f>
        <v/>
      </c>
      <c r="BS4" s="21" t="str">
        <f>IFERROR(__xludf.DUMMYFUNCTION("""COMPUTED_VALUE"""),"")</f>
        <v/>
      </c>
      <c r="BT4" s="21" t="str">
        <f>IFERROR(__xludf.DUMMYFUNCTION("""COMPUTED_VALUE"""),"")</f>
        <v/>
      </c>
      <c r="BU4" s="21" t="str">
        <f>IFERROR(__xludf.DUMMYFUNCTION("""COMPUTED_VALUE"""),"")</f>
        <v/>
      </c>
      <c r="BV4" s="21" t="str">
        <f>IFERROR(__xludf.DUMMYFUNCTION("""COMPUTED_VALUE"""),"")</f>
        <v/>
      </c>
      <c r="BW4" s="21" t="str">
        <f>IFERROR(__xludf.DUMMYFUNCTION("""COMPUTED_VALUE"""),"")</f>
        <v/>
      </c>
      <c r="BX4" s="21" t="str">
        <f>IFERROR(__xludf.DUMMYFUNCTION("""COMPUTED_VALUE"""),"")</f>
        <v/>
      </c>
      <c r="BY4" s="21" t="str">
        <f>IFERROR(__xludf.DUMMYFUNCTION("""COMPUTED_VALUE"""),"")</f>
        <v/>
      </c>
      <c r="BZ4" s="21" t="str">
        <f>IFERROR(__xludf.DUMMYFUNCTION("""COMPUTED_VALUE"""),"")</f>
        <v/>
      </c>
      <c r="CA4" s="21" t="str">
        <f>IFERROR(__xludf.DUMMYFUNCTION("""COMPUTED_VALUE"""),"")</f>
        <v/>
      </c>
      <c r="CB4" s="21" t="str">
        <f>IFERROR(__xludf.DUMMYFUNCTION("""COMPUTED_VALUE"""),"")</f>
        <v/>
      </c>
      <c r="CC4" s="21" t="str">
        <f>IFERROR(__xludf.DUMMYFUNCTION("""COMPUTED_VALUE"""),"")</f>
        <v/>
      </c>
      <c r="CD4" s="21" t="str">
        <f>IFERROR(__xludf.DUMMYFUNCTION("""COMPUTED_VALUE"""),"")</f>
        <v/>
      </c>
      <c r="CE4" s="21" t="str">
        <f>IFERROR(__xludf.DUMMYFUNCTION("""COMPUTED_VALUE"""),"")</f>
        <v/>
      </c>
      <c r="CF4" s="21" t="str">
        <f>IFERROR(__xludf.DUMMYFUNCTION("""COMPUTED_VALUE"""),"")</f>
        <v/>
      </c>
      <c r="CG4" s="21" t="str">
        <f>IFERROR(__xludf.DUMMYFUNCTION("""COMPUTED_VALUE"""),"")</f>
        <v/>
      </c>
      <c r="CH4" s="21" t="str">
        <f>IFERROR(__xludf.DUMMYFUNCTION("""COMPUTED_VALUE"""),"")</f>
        <v/>
      </c>
      <c r="CI4" s="21" t="str">
        <f>IFERROR(__xludf.DUMMYFUNCTION("""COMPUTED_VALUE"""),"")</f>
        <v/>
      </c>
      <c r="CJ4" s="21" t="str">
        <f>IFERROR(__xludf.DUMMYFUNCTION("""COMPUTED_VALUE"""),"")</f>
        <v/>
      </c>
      <c r="CK4" s="21" t="str">
        <f>IFERROR(__xludf.DUMMYFUNCTION("""COMPUTED_VALUE"""),"")</f>
        <v/>
      </c>
      <c r="CL4" s="21" t="str">
        <f>IFERROR(__xludf.DUMMYFUNCTION("""COMPUTED_VALUE"""),"")</f>
        <v/>
      </c>
      <c r="CM4" s="21" t="str">
        <f>IFERROR(__xludf.DUMMYFUNCTION("""COMPUTED_VALUE"""),"")</f>
        <v/>
      </c>
      <c r="CN4" s="21" t="str">
        <f>IFERROR(__xludf.DUMMYFUNCTION("""COMPUTED_VALUE"""),"")</f>
        <v/>
      </c>
      <c r="CO4" s="21" t="str">
        <f>IFERROR(__xludf.DUMMYFUNCTION("""COMPUTED_VALUE"""),"")</f>
        <v/>
      </c>
      <c r="CP4" s="21" t="str">
        <f>IFERROR(__xludf.DUMMYFUNCTION("""COMPUTED_VALUE"""),"")</f>
        <v/>
      </c>
      <c r="CQ4" s="21" t="str">
        <f>IFERROR(__xludf.DUMMYFUNCTION("""COMPUTED_VALUE"""),"")</f>
        <v/>
      </c>
      <c r="CR4" s="21" t="str">
        <f>IFERROR(__xludf.DUMMYFUNCTION("""COMPUTED_VALUE"""),"")</f>
        <v/>
      </c>
      <c r="CS4" s="21" t="str">
        <f>IFERROR(__xludf.DUMMYFUNCTION("""COMPUTED_VALUE"""),"")</f>
        <v/>
      </c>
      <c r="CT4" s="21" t="str">
        <f>IFERROR(__xludf.DUMMYFUNCTION("""COMPUTED_VALUE"""),"")</f>
        <v/>
      </c>
      <c r="CU4" s="21" t="str">
        <f>IFERROR(__xludf.DUMMYFUNCTION("""COMPUTED_VALUE"""),"")</f>
        <v/>
      </c>
      <c r="CV4" s="21" t="str">
        <f>IFERROR(__xludf.DUMMYFUNCTION("""COMPUTED_VALUE"""),"")</f>
        <v/>
      </c>
      <c r="CW4" s="21" t="str">
        <f>IFERROR(__xludf.DUMMYFUNCTION("""COMPUTED_VALUE"""),"")</f>
        <v/>
      </c>
      <c r="CX4" s="21" t="str">
        <f>IFERROR(__xludf.DUMMYFUNCTION("""COMPUTED_VALUE"""),"")</f>
        <v/>
      </c>
      <c r="CY4" s="21" t="str">
        <f>IFERROR(__xludf.DUMMYFUNCTION("""COMPUTED_VALUE"""),"")</f>
        <v/>
      </c>
      <c r="CZ4" s="21" t="str">
        <f>IFERROR(__xludf.DUMMYFUNCTION("""COMPUTED_VALUE"""),"")</f>
        <v/>
      </c>
      <c r="DA4" s="21" t="str">
        <f>IFERROR(__xludf.DUMMYFUNCTION("""COMPUTED_VALUE"""),"")</f>
        <v/>
      </c>
      <c r="DB4" s="21" t="str">
        <f>IFERROR(__xludf.DUMMYFUNCTION("""COMPUTED_VALUE"""),"")</f>
        <v/>
      </c>
      <c r="DC4" s="21" t="str">
        <f>IFERROR(__xludf.DUMMYFUNCTION("""COMPUTED_VALUE"""),"")</f>
        <v/>
      </c>
      <c r="DD4" s="21" t="str">
        <f>IFERROR(__xludf.DUMMYFUNCTION("""COMPUTED_VALUE"""),"")</f>
        <v/>
      </c>
      <c r="DE4" s="21" t="str">
        <f>IFERROR(__xludf.DUMMYFUNCTION("""COMPUTED_VALUE"""),"")</f>
        <v/>
      </c>
      <c r="DF4" s="21" t="str">
        <f>IFERROR(__xludf.DUMMYFUNCTION("""COMPUTED_VALUE"""),"")</f>
        <v/>
      </c>
      <c r="DG4" s="21" t="str">
        <f>IFERROR(__xludf.DUMMYFUNCTION("""COMPUTED_VALUE"""),"")</f>
        <v/>
      </c>
      <c r="DH4" s="21" t="str">
        <f>IFERROR(__xludf.DUMMYFUNCTION("""COMPUTED_VALUE"""),"")</f>
        <v/>
      </c>
      <c r="DI4" s="21" t="str">
        <f>IFERROR(__xludf.DUMMYFUNCTION("""COMPUTED_VALUE"""),"")</f>
        <v/>
      </c>
      <c r="DJ4" s="21" t="str">
        <f>IFERROR(__xludf.DUMMYFUNCTION("""COMPUTED_VALUE"""),"")</f>
        <v/>
      </c>
      <c r="DK4" s="21" t="str">
        <f>IFERROR(__xludf.DUMMYFUNCTION("""COMPUTED_VALUE"""),"")</f>
        <v/>
      </c>
      <c r="DL4" s="21" t="str">
        <f>IFERROR(__xludf.DUMMYFUNCTION("""COMPUTED_VALUE"""),"")</f>
        <v/>
      </c>
      <c r="DM4" s="21" t="str">
        <f>IFERROR(__xludf.DUMMYFUNCTION("""COMPUTED_VALUE"""),"")</f>
        <v/>
      </c>
      <c r="DN4" s="21" t="str">
        <f>IFERROR(__xludf.DUMMYFUNCTION("""COMPUTED_VALUE"""),"")</f>
        <v/>
      </c>
      <c r="DO4" s="21" t="str">
        <f>IFERROR(__xludf.DUMMYFUNCTION("""COMPUTED_VALUE"""),"")</f>
        <v/>
      </c>
      <c r="DP4" s="21" t="str">
        <f>IFERROR(__xludf.DUMMYFUNCTION("""COMPUTED_VALUE"""),"")</f>
        <v/>
      </c>
      <c r="DQ4" s="21" t="str">
        <f>IFERROR(__xludf.DUMMYFUNCTION("""COMPUTED_VALUE"""),"")</f>
        <v/>
      </c>
      <c r="DR4" s="21" t="str">
        <f>IFERROR(__xludf.DUMMYFUNCTION("""COMPUTED_VALUE"""),"")</f>
        <v/>
      </c>
      <c r="DS4" s="21" t="str">
        <f>IFERROR(__xludf.DUMMYFUNCTION("""COMPUTED_VALUE"""),"")</f>
        <v/>
      </c>
      <c r="DT4" s="21" t="str">
        <f>IFERROR(__xludf.DUMMYFUNCTION("""COMPUTED_VALUE"""),"")</f>
        <v/>
      </c>
      <c r="DU4" s="21" t="str">
        <f>IFERROR(__xludf.DUMMYFUNCTION("""COMPUTED_VALUE"""),"")</f>
        <v/>
      </c>
      <c r="DV4" s="21" t="str">
        <f>IFERROR(__xludf.DUMMYFUNCTION("""COMPUTED_VALUE"""),"")</f>
        <v/>
      </c>
      <c r="DW4" s="21" t="str">
        <f>IFERROR(__xludf.DUMMYFUNCTION("""COMPUTED_VALUE"""),"")</f>
        <v/>
      </c>
      <c r="DX4" s="21" t="str">
        <f>IFERROR(__xludf.DUMMYFUNCTION("""COMPUTED_VALUE"""),"")</f>
        <v/>
      </c>
      <c r="DY4" s="21" t="str">
        <f>IFERROR(__xludf.DUMMYFUNCTION("""COMPUTED_VALUE"""),"")</f>
        <v/>
      </c>
      <c r="DZ4" s="21" t="str">
        <f>IFERROR(__xludf.DUMMYFUNCTION("""COMPUTED_VALUE"""),"")</f>
        <v/>
      </c>
      <c r="EA4" s="21" t="str">
        <f>IFERROR(__xludf.DUMMYFUNCTION("""COMPUTED_VALUE"""),"")</f>
        <v/>
      </c>
      <c r="EB4" s="21" t="str">
        <f>IFERROR(__xludf.DUMMYFUNCTION("""COMPUTED_VALUE"""),"")</f>
        <v/>
      </c>
      <c r="EC4" s="21" t="str">
        <f>IFERROR(__xludf.DUMMYFUNCTION("""COMPUTED_VALUE"""),"")</f>
        <v/>
      </c>
      <c r="ED4" s="21" t="str">
        <f>IFERROR(__xludf.DUMMYFUNCTION("""COMPUTED_VALUE"""),"")</f>
        <v/>
      </c>
      <c r="EE4" s="21" t="str">
        <f>IFERROR(__xludf.DUMMYFUNCTION("""COMPUTED_VALUE"""),"")</f>
        <v/>
      </c>
      <c r="EF4" s="21" t="str">
        <f>IFERROR(__xludf.DUMMYFUNCTION("""COMPUTED_VALUE"""),"")</f>
        <v/>
      </c>
      <c r="EG4" s="21" t="str">
        <f>IFERROR(__xludf.DUMMYFUNCTION("""COMPUTED_VALUE"""),"")</f>
        <v/>
      </c>
      <c r="EH4" s="21" t="str">
        <f>IFERROR(__xludf.DUMMYFUNCTION("""COMPUTED_VALUE"""),"")</f>
        <v/>
      </c>
      <c r="EI4" s="21" t="str">
        <f>IFERROR(__xludf.DUMMYFUNCTION("""COMPUTED_VALUE"""),"")</f>
        <v/>
      </c>
      <c r="EJ4" s="21" t="str">
        <f>IFERROR(__xludf.DUMMYFUNCTION("""COMPUTED_VALUE"""),"")</f>
        <v/>
      </c>
      <c r="EK4" s="21" t="str">
        <f>IFERROR(__xludf.DUMMYFUNCTION("""COMPUTED_VALUE"""),"")</f>
        <v/>
      </c>
      <c r="EL4" s="21" t="str">
        <f>IFERROR(__xludf.DUMMYFUNCTION("""COMPUTED_VALUE"""),"")</f>
        <v/>
      </c>
      <c r="EM4" s="21" t="str">
        <f>IFERROR(__xludf.DUMMYFUNCTION("""COMPUTED_VALUE"""),"")</f>
        <v/>
      </c>
      <c r="EN4" s="21" t="str">
        <f>IFERROR(__xludf.DUMMYFUNCTION("""COMPUTED_VALUE"""),"")</f>
        <v/>
      </c>
      <c r="EO4" s="21" t="str">
        <f>IFERROR(__xludf.DUMMYFUNCTION("""COMPUTED_VALUE"""),"")</f>
        <v/>
      </c>
      <c r="EP4" s="21" t="str">
        <f>IFERROR(__xludf.DUMMYFUNCTION("""COMPUTED_VALUE"""),"")</f>
        <v/>
      </c>
      <c r="EQ4" s="21" t="str">
        <f>IFERROR(__xludf.DUMMYFUNCTION("""COMPUTED_VALUE"""),"")</f>
        <v/>
      </c>
      <c r="ER4" s="21" t="str">
        <f>IFERROR(__xludf.DUMMYFUNCTION("""COMPUTED_VALUE"""),"")</f>
        <v/>
      </c>
      <c r="ES4" s="21" t="str">
        <f>IFERROR(__xludf.DUMMYFUNCTION("""COMPUTED_VALUE"""),"")</f>
        <v/>
      </c>
      <c r="ET4" s="21" t="str">
        <f>IFERROR(__xludf.DUMMYFUNCTION("""COMPUTED_VALUE"""),"")</f>
        <v/>
      </c>
      <c r="EU4" s="21" t="str">
        <f>IFERROR(__xludf.DUMMYFUNCTION("""COMPUTED_VALUE"""),"")</f>
        <v/>
      </c>
      <c r="EV4" s="21" t="str">
        <f>IFERROR(__xludf.DUMMYFUNCTION("""COMPUTED_VALUE"""),"")</f>
        <v/>
      </c>
      <c r="EW4" s="21" t="str">
        <f>IFERROR(__xludf.DUMMYFUNCTION("""COMPUTED_VALUE"""),"")</f>
        <v/>
      </c>
      <c r="EX4" s="21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IFERROR(__xludf.DUMMYFUNCTION("""COMPUTED_VALUE"""),"AccrudInterest")</f>
        <v>AccrudInterest</v>
      </c>
      <c r="C5" s="26" t="str">
        <f>IFERROR(__xludf.DUMMYFUNCTION("""COMPUTED_VALUE"""),"Analyst")</f>
        <v>Analyst</v>
      </c>
      <c r="D5" s="26" t="str">
        <f>IFERROR(__xludf.DUMMYFUNCTION("""COMPUTED_VALUE"""),"Asset Class")</f>
        <v>Asset Class</v>
      </c>
      <c r="E5" s="26" t="str">
        <f>IFERROR(__xludf.DUMMYFUNCTION("""COMPUTED_VALUE"""),"AUECID")</f>
        <v>AUECID</v>
      </c>
      <c r="F5" s="27" t="str">
        <f>IFERROR(__xludf.DUMMYFUNCTION("""COMPUTED_VALUE"""),"AUECModifiedDate")</f>
        <v>AUECModifiedDate</v>
      </c>
      <c r="G5" s="26" t="str">
        <f>IFERROR(__xludf.DUMMYFUNCTION("""COMPUTED_VALUE"""),"Average Price")</f>
        <v>Average Price</v>
      </c>
      <c r="H5" s="26" t="str">
        <f>IFERROR(__xludf.DUMMYFUNCTION("""COMPUTED_VALUE"""),"BloombergSymbol")</f>
        <v>BloombergSymbol</v>
      </c>
      <c r="I5" s="26" t="str">
        <f>IFERROR(__xludf.DUMMYFUNCTION("""COMPUTED_VALUE"""),"CalcBasis")</f>
        <v>CalcBasis</v>
      </c>
      <c r="J5" s="26" t="str">
        <f>IFERROR(__xludf.DUMMYFUNCTION("""COMPUTED_VALUE"""),"CashSettledPrice")</f>
        <v>CashSettledPrice</v>
      </c>
      <c r="K5" s="26" t="str">
        <f>IFERROR(__xludf.DUMMYFUNCTION("""COMPUTED_VALUE"""),"ChangeComment")</f>
        <v>ChangeComment</v>
      </c>
      <c r="L5" s="26" t="str">
        <f>IFERROR(__xludf.DUMMYFUNCTION("""COMPUTED_VALUE"""),"ChangeType")</f>
        <v>ChangeType</v>
      </c>
      <c r="M5" s="26" t="str">
        <f>IFERROR(__xludf.DUMMYFUNCTION("""COMPUTED_VALUE"""),"ChangeBrokerFee")</f>
        <v>ChangeBrokerFee</v>
      </c>
      <c r="N5" s="26" t="str">
        <f>IFERROR(__xludf.DUMMYFUNCTION("""COMPUTED_VALUE"""),"ClearingFee")</f>
        <v>ClearingFee</v>
      </c>
      <c r="O5" s="26" t="str">
        <f>IFERROR(__xludf.DUMMYFUNCTION("""COMPUTED_VALUE"""),"Close Date")</f>
        <v>Close Date</v>
      </c>
      <c r="P5" s="26" t="str">
        <f>IFERROR(__xludf.DUMMYFUNCTION("""COMPUTED_VALUE"""),"ClosedTotalCommissionandFees")</f>
        <v>ClosedTotalCommissionandFees</v>
      </c>
      <c r="Q5" s="26" t="str">
        <f>IFERROR(__xludf.DUMMYFUNCTION("""COMPUTED_VALUE"""),"ClosingAlgo")</f>
        <v>ClosingAlgo</v>
      </c>
      <c r="R5" s="26" t="str">
        <f>IFERROR(__xludf.DUMMYFUNCTION("""COMPUTED_VALUE"""),"ClosingDate")</f>
        <v>ClosingDate</v>
      </c>
      <c r="S5" s="26" t="str">
        <f>IFERROR(__xludf.DUMMYFUNCTION("""COMPUTED_VALUE"""),"ClosingMode")</f>
        <v>ClosingMode</v>
      </c>
      <c r="T5" s="28" t="str">
        <f>IFERROR(__xludf.DUMMYFUNCTION("""COMPUTED_VALUE"""),"ClosingStatus")</f>
        <v>ClosingStatus</v>
      </c>
      <c r="U5" s="28" t="str">
        <f>IFERROR(__xludf.DUMMYFUNCTION("""COMPUTED_VALUE"""),"CommissionAmt")</f>
        <v>CommissionAmt</v>
      </c>
      <c r="V5" s="28" t="str">
        <f>IFERROR(__xludf.DUMMYFUNCTION("""COMPUTED_VALUE"""),"CommissionRate")</f>
        <v>CommissionRate</v>
      </c>
      <c r="W5" s="28" t="str">
        <f>IFERROR(__xludf.DUMMYFUNCTION("""COMPUTED_VALUE"""),"CompanyName")</f>
        <v>CompanyName</v>
      </c>
      <c r="X5" s="28" t="str">
        <f>IFERROR(__xludf.DUMMYFUNCTION("""COMPUTED_VALUE"""),"CompanyuserName")</f>
        <v>CompanyuserName</v>
      </c>
      <c r="Y5" s="28" t="str">
        <f>IFERROR(__xludf.DUMMYFUNCTION("""COMPUTED_VALUE"""),"ContractMultiplier")</f>
        <v>ContractMultiplier</v>
      </c>
      <c r="Z5" s="28" t="str">
        <f>IFERROR(__xludf.DUMMYFUNCTION("""COMPUTED_VALUE"""),"CounterPartyName")</f>
        <v>CounterPartyName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IFERROR(__xludf.DUMMYFUNCTION("""COMPUTED_VALUE"""),"ExternalTransId")</f>
        <v>ExternalTransId</v>
      </c>
      <c r="AS5" s="28" t="str">
        <f>IFERROR(__xludf.DUMMYFUNCTION("""COMPUTED_VALUE"""),"ForexReq")</f>
        <v>ForexReq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IFERROR(__xludf.DUMMYFUNCTION("""COMPUTED_VALUE"""),"IsExcerciseAtZero")</f>
        <v>IsExcerciseAtZero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IFERROR(__xludf.DUMMYFUNCTION("""COMPUTED_VALUE"""),"ISSwap")</f>
        <v>ISSwap</v>
      </c>
      <c r="BF5" s="28" t="str">
        <f>IFERROR(__xludf.DUMMYFUNCTION("""COMPUTED_VALUE"""),"LeadCurrencyID")</f>
        <v>LeadCurrencyID</v>
      </c>
      <c r="BG5" s="28" t="str">
        <f>IFERROR(__xludf.DUMMYFUNCTION("""COMPUTED_VALUE"""),"Level1Name")</f>
        <v>Level1Name</v>
      </c>
      <c r="BH5" s="28" t="str">
        <f>IFERROR(__xludf.DUMMYFUNCTION("""COMPUTED_VALUE"""),"LevelName2")</f>
        <v>LevelName2</v>
      </c>
      <c r="BI5" s="28" t="str">
        <f>IFERROR(__xludf.DUMMYFUNCTION("""COMPUTED_VALUE"""),"LiquidTag")</f>
        <v>LiquidTag</v>
      </c>
      <c r="BJ5" s="28" t="str">
        <f>IFERROR(__xludf.DUMMYFUNCTION("""COMPUTED_VALUE"""),"LongOrShort")</f>
        <v>LongOrShort</v>
      </c>
      <c r="BK5" s="28" t="str">
        <f>IFERROR(__xludf.DUMMYFUNCTION("""COMPUTED_VALUE"""),"LotId")</f>
        <v>LotId</v>
      </c>
      <c r="BL5" s="28" t="str">
        <f>IFERROR(__xludf.DUMMYFUNCTION("""COMPUTED_VALUE"""),"M2MProfitLoss")</f>
        <v>M2MProfitLoss</v>
      </c>
      <c r="BM5" s="28" t="str">
        <f>IFERROR(__xludf.DUMMYFUNCTION("""COMPUTED_VALUE"""),"MarketCap")</f>
        <v>MarketCap</v>
      </c>
      <c r="BN5" s="28" t="str">
        <f>IFERROR(__xludf.DUMMYFUNCTION("""COMPUTED_VALUE"""),"MarkPrice")</f>
        <v>MarkPrice</v>
      </c>
      <c r="BO5" s="28" t="str">
        <f>IFERROR(__xludf.DUMMYFUNCTION("""COMPUTED_VALUE"""),"MasterFund")</f>
        <v>MasterFund</v>
      </c>
      <c r="BP5" s="28" t="str">
        <f>IFERROR(__xludf.DUMMYFUNCTION("""COMPUTED_VALUE"""),"MiscFees")</f>
        <v>MiscFees</v>
      </c>
      <c r="BQ5" s="28" t="str">
        <f>IFERROR(__xludf.DUMMYFUNCTION("""COMPUTED_VALUE"""),"NavLockStatus")</f>
        <v>NavLockStatus</v>
      </c>
      <c r="BR5" s="28" t="str">
        <f>IFERROR(__xludf.DUMMYFUNCTION("""COMPUTED_VALUE"""),"NetNotionalValue")</f>
        <v>NetNotionalValue</v>
      </c>
      <c r="BS5" s="28" t="str">
        <f>IFERROR(__xludf.DUMMYFUNCTION("""COMPUTED_VALUE"""),"NirvanaProcessDate")</f>
        <v>NirvanaProcessDate</v>
      </c>
      <c r="BT5" s="28" t="str">
        <f>IFERROR(__xludf.DUMMYFUNCTION("""COMPUTED_VALUE"""),"OCC Fee")</f>
        <v>OCC Fee</v>
      </c>
      <c r="BU5" s="28" t="str">
        <f>IFERROR(__xludf.DUMMYFUNCTION("""COMPUTED_VALUE"""),"OpenQty")</f>
        <v>OpenQty</v>
      </c>
      <c r="BV5" s="28" t="str">
        <f>IFERROR(__xludf.DUMMYFUNCTION("""COMPUTED_VALUE"""),"OpenTotalCommissionFees")</f>
        <v>OpenTotalCommissionFees</v>
      </c>
      <c r="BW5" s="28" t="str">
        <f>IFERROR(__xludf.DUMMYFUNCTION("""COMPUTED_VALUE"""),"OptionPremiumAdjustment")</f>
        <v>OptionPremiumAdjustment</v>
      </c>
      <c r="BX5" s="28" t="str">
        <f>IFERROR(__xludf.DUMMYFUNCTION("""COMPUTED_VALUE"""),"OrderSideTagValue")</f>
        <v>OrderSideTagValue</v>
      </c>
      <c r="BY5" s="28" t="str">
        <f>IFERROR(__xludf.DUMMYFUNCTION("""COMPUTED_VALUE"""),"orderType")</f>
        <v>orderType</v>
      </c>
      <c r="BZ5" s="28" t="str">
        <f>IFERROR(__xludf.DUMMYFUNCTION("""COMPUTED_VALUE"""),"OrfFee")</f>
        <v>OrfFee</v>
      </c>
      <c r="CA5" s="28" t="str">
        <f>IFERROR(__xludf.DUMMYFUNCTION("""COMPUTED_VALUE"""),"Original Side")</f>
        <v>Original Side</v>
      </c>
      <c r="CB5" s="28" t="str">
        <f>IFERROR(__xludf.DUMMYFUNCTION("""COMPUTED_VALUE"""),"OriginalPurchaseDate")</f>
        <v>OriginalPurchaseDate</v>
      </c>
      <c r="CC5" s="28" t="str">
        <f>IFERROR(__xludf.DUMMYFUNCTION("""COMPUTED_VALUE"""),"OSISymbol")</f>
        <v>OSISymbol</v>
      </c>
      <c r="CD5" s="28" t="str">
        <f>IFERROR(__xludf.DUMMYFUNCTION("""COMPUTED_VALUE"""),"OtherBrokerFees")</f>
        <v>OtherBrokerFees</v>
      </c>
      <c r="CE5" s="28" t="str">
        <f>IFERROR(__xludf.DUMMYFUNCTION("""COMPUTED_VALUE"""),"ParentRowPk")</f>
        <v>ParentRowPk</v>
      </c>
      <c r="CF5" s="28" t="str">
        <f>IFERROR(__xludf.DUMMYFUNCTION("""COMPUTED_VALUE"""),"Percentage")</f>
        <v>Percentage</v>
      </c>
      <c r="CG5" s="28" t="str">
        <f>IFERROR(__xludf.DUMMYFUNCTION("""COMPUTED_VALUE"""),"PositionTag")</f>
        <v>PositionTag</v>
      </c>
      <c r="CH5" s="28" t="str">
        <f>IFERROR(__xludf.DUMMYFUNCTION("""COMPUTED_VALUE"""),"PositionType")</f>
        <v>PositionType</v>
      </c>
      <c r="CI5" s="28" t="str">
        <f>IFERROR(__xludf.DUMMYFUNCTION("""COMPUTED_VALUE"""),"ProcessDate")</f>
        <v>ProcessDate</v>
      </c>
      <c r="CJ5" s="28" t="str">
        <f>IFERROR(__xludf.DUMMYFUNCTION("""COMPUTED_VALUE"""),"ProxySymbol")</f>
        <v>ProxySymbol</v>
      </c>
      <c r="CK5" s="28" t="str">
        <f>IFERROR(__xludf.DUMMYFUNCTION("""COMPUTED_VALUE"""),"Symbol")</f>
        <v>Symbol</v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8"/>
      <c r="D6" s="10"/>
      <c r="E6" s="38"/>
      <c r="F6" s="8"/>
      <c r="G6" s="8"/>
      <c r="H6" s="8"/>
      <c r="I6" s="8"/>
      <c r="J6" s="8"/>
      <c r="K6" s="8"/>
      <c r="L6" s="8"/>
      <c r="M6" s="8"/>
      <c r="N6" s="8"/>
      <c r="O6" s="39">
        <f>TODAY()</f>
        <v>43627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Expire!$4:$4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1" t="s">
        <v>7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5" t="str">
        <f> VLOOKUP($E$3,'_MasterData'!B4:D1000,3,FALSE)</f>
        <v>#N/A</v>
      </c>
      <c r="K2" s="15"/>
      <c r="L2" s="8"/>
      <c r="M2" s="8"/>
      <c r="N2" s="8"/>
      <c r="O2" s="8"/>
    </row>
    <row r="3" ht="15.75" customHeight="1">
      <c r="A3" s="16"/>
      <c r="B3" s="5" t="s">
        <v>8</v>
      </c>
      <c r="C3" s="17" t="s">
        <v>19</v>
      </c>
      <c r="D3" s="5" t="s">
        <v>10</v>
      </c>
      <c r="E3" s="17" t="s">
        <v>25</v>
      </c>
      <c r="F3" s="5" t="s">
        <v>12</v>
      </c>
      <c r="G3" s="12" t="s">
        <v>13</v>
      </c>
      <c r="H3" s="5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IFERROR(__xludf.DUMMYFUNCTION("IF(C3="""","""",Transpose(IMPORTRANGE('_Settings'!$B$3,C3&amp;""!A4:A1000"")))"),"SwapExpire")</f>
        <v>SwapExpire</v>
      </c>
      <c r="C4" s="19" t="str">
        <f>IFERROR(__xludf.DUMMYFUNCTION("""COMPUTED_VALUE"""),"GetDataClosing")</f>
        <v>GetDataClosing</v>
      </c>
      <c r="D4" s="19" t="str">
        <f>IFERROR(__xludf.DUMMYFUNCTION("""COMPUTED_VALUE"""),"ManualClosing")</f>
        <v>ManualClosing</v>
      </c>
      <c r="E4" s="19" t="str">
        <f>IFERROR(__xludf.DUMMYFUNCTION("""COMPUTED_VALUE"""),"AutomaticClosing")</f>
        <v>AutomaticClosing</v>
      </c>
      <c r="F4" s="19" t="str">
        <f>IFERROR(__xludf.DUMMYFUNCTION("""COMPUTED_VALUE"""),"UnwindClosing")</f>
        <v>UnwindClosing</v>
      </c>
      <c r="G4" s="19" t="str">
        <f>IFERROR(__xludf.DUMMYFUNCTION("""COMPUTED_VALUE"""),"VerifyClosedTrades")</f>
        <v>VerifyClosedTrades</v>
      </c>
      <c r="H4" s="19" t="str">
        <f>IFERROR(__xludf.DUMMYFUNCTION("""COMPUTED_VALUE"""),"VerifyLongPositionsGrid")</f>
        <v>VerifyLongPositionsGrid</v>
      </c>
      <c r="I4" s="19" t="str">
        <f>IFERROR(__xludf.DUMMYFUNCTION("""COMPUTED_VALUE"""),"VerifyShortPositionsGrid")</f>
        <v>VerifyShortPositionsGrid</v>
      </c>
      <c r="J4" s="19" t="str">
        <f>IFERROR(__xludf.DUMMYFUNCTION("""COMPUTED_VALUE"""),"SelectTradeUnexpiredUnsettled")</f>
        <v>SelectTradeUnexpiredUnsettled</v>
      </c>
      <c r="K4" s="19" t="str">
        <f>IFERROR(__xludf.DUMMYFUNCTION("""COMPUTED_VALUE"""),"CashSettlementAtCost")</f>
        <v>CashSettlementAtCost</v>
      </c>
      <c r="L4" s="19" t="str">
        <f>IFERROR(__xludf.DUMMYFUNCTION("""COMPUTED_VALUE"""),"CashSettlementAtZeroPrice")</f>
        <v>CashSettlementAtZeroPrice</v>
      </c>
      <c r="M4" s="19" t="str">
        <f>IFERROR(__xludf.DUMMYFUNCTION("""COMPUTED_VALUE"""),"CashSettlementAtClosingDtSpotPx")</f>
        <v>CashSettlementAtClosingDtSpotPx</v>
      </c>
      <c r="N4" s="19" t="str">
        <f>IFERROR(__xludf.DUMMYFUNCTION("""COMPUTED_VALUE"""),"PhysicalSettlement")</f>
        <v>PhysicalSettlement</v>
      </c>
      <c r="O4" s="19" t="str">
        <f>IFERROR(__xludf.DUMMYFUNCTION("""COMPUTED_VALUE"""),"Expire")</f>
        <v>Expire</v>
      </c>
      <c r="P4" s="21" t="str">
        <f>IFERROR(__xludf.DUMMYFUNCTION("""COMPUTED_VALUE"""),"ExerciseAssignment")</f>
        <v>ExerciseAssignment</v>
      </c>
      <c r="Q4" s="21" t="str">
        <f>IFERROR(__xludf.DUMMYFUNCTION("""COMPUTED_VALUE"""),"ExerciseAssignmentAtZero")</f>
        <v>ExerciseAssignmentAtZero</v>
      </c>
      <c r="R4" s="21" t="str">
        <f>IFERROR(__xludf.DUMMYFUNCTION("""COMPUTED_VALUE"""),"SwapExpireAndRollover")</f>
        <v>SwapExpireAndRollover</v>
      </c>
      <c r="S4" s="21" t="str">
        <f>IFERROR(__xludf.DUMMYFUNCTION("""COMPUTED_VALUE"""),"SwapExpire")</f>
        <v>SwapExpire</v>
      </c>
      <c r="T4" s="21" t="str">
        <f>IFERROR(__xludf.DUMMYFUNCTION("""COMPUTED_VALUE"""),"VerifyExpiredSettledGrid")</f>
        <v>VerifyExpiredSettledGrid</v>
      </c>
      <c r="U4" s="21" t="str">
        <f>IFERROR(__xludf.DUMMYFUNCTION("""COMPUTED_VALUE"""),"VerifyUnExpiredUnSettledGrid")</f>
        <v>VerifyUnExpiredUnSettledGrid</v>
      </c>
      <c r="V4" s="21" t="str">
        <f>IFERROR(__xludf.DUMMYFUNCTION("""COMPUTED_VALUE"""),"UnWindTradeSettlement")</f>
        <v>UnWindTradeSettlement</v>
      </c>
      <c r="W4" s="21" t="str">
        <f>IFERROR(__xludf.DUMMYFUNCTION("""COMPUTED_VALUE"""),"CloseOrder")</f>
        <v>CloseOrder</v>
      </c>
      <c r="X4" s="21" t="str">
        <f>IFERROR(__xludf.DUMMYFUNCTION("""COMPUTED_VALUE"""),"VerifyCloseOrder")</f>
        <v>VerifyCloseOrder</v>
      </c>
      <c r="Y4" s="21" t="str">
        <f>IFERROR(__xludf.DUMMYFUNCTION("""COMPUTED_VALUE"""),"UnWindCloseOrder")</f>
        <v>UnWindCloseOrder</v>
      </c>
      <c r="Z4" s="21" t="str">
        <f>IFERROR(__xludf.DUMMYFUNCTION("""COMPUTED_VALUE"""),"ClosingCleanUp")</f>
        <v>ClosingCleanUp</v>
      </c>
      <c r="AA4" s="21" t="str">
        <f>IFERROR(__xludf.DUMMYFUNCTION("""COMPUTED_VALUE"""),"CloseClosingUI")</f>
        <v>CloseClosingUI</v>
      </c>
      <c r="AB4" s="21" t="str">
        <f>IFERROR(__xludf.DUMMYFUNCTION("""COMPUTED_VALUE"""),"SetClosingPreference")</f>
        <v>SetClosingPreference</v>
      </c>
      <c r="AC4" s="21" t="str">
        <f>IFERROR(__xludf.DUMMYFUNCTION("""COMPUTED_VALUE"""),"EditTradeUnexpiredUnsettled")</f>
        <v>EditTradeUnexpiredUnsettled</v>
      </c>
      <c r="AD4" s="21" t="str">
        <f>IFERROR(__xludf.DUMMYFUNCTION("""COMPUTED_VALUE"""),"")</f>
        <v/>
      </c>
      <c r="AE4" s="21" t="str">
        <f>IFERROR(__xludf.DUMMYFUNCTION("""COMPUTED_VALUE"""),"")</f>
        <v/>
      </c>
      <c r="AF4" s="21" t="str">
        <f>IFERROR(__xludf.DUMMYFUNCTION("""COMPUTED_VALUE"""),"")</f>
        <v/>
      </c>
      <c r="AG4" s="21" t="str">
        <f>IFERROR(__xludf.DUMMYFUNCTION("""COMPUTED_VALUE"""),"")</f>
        <v/>
      </c>
      <c r="AH4" s="21" t="str">
        <f>IFERROR(__xludf.DUMMYFUNCTION("""COMPUTED_VALUE"""),"")</f>
        <v/>
      </c>
      <c r="AI4" s="21" t="str">
        <f>IFERROR(__xludf.DUMMYFUNCTION("""COMPUTED_VALUE"""),"")</f>
        <v/>
      </c>
      <c r="AJ4" s="21" t="str">
        <f>IFERROR(__xludf.DUMMYFUNCTION("""COMPUTED_VALUE"""),"")</f>
        <v/>
      </c>
      <c r="AK4" s="21" t="str">
        <f>IFERROR(__xludf.DUMMYFUNCTION("""COMPUTED_VALUE"""),"")</f>
        <v/>
      </c>
      <c r="AL4" s="21" t="str">
        <f>IFERROR(__xludf.DUMMYFUNCTION("""COMPUTED_VALUE"""),"")</f>
        <v/>
      </c>
      <c r="AM4" s="21" t="str">
        <f>IFERROR(__xludf.DUMMYFUNCTION("""COMPUTED_VALUE"""),"")</f>
        <v/>
      </c>
      <c r="AN4" s="21" t="str">
        <f>IFERROR(__xludf.DUMMYFUNCTION("""COMPUTED_VALUE"""),"")</f>
        <v/>
      </c>
      <c r="AO4" s="21" t="str">
        <f>IFERROR(__xludf.DUMMYFUNCTION("""COMPUTED_VALUE"""),"")</f>
        <v/>
      </c>
      <c r="AP4" s="21" t="str">
        <f>IFERROR(__xludf.DUMMYFUNCTION("""COMPUTED_VALUE"""),"")</f>
        <v/>
      </c>
      <c r="AQ4" s="21" t="str">
        <f>IFERROR(__xludf.DUMMYFUNCTION("""COMPUTED_VALUE"""),"")</f>
        <v/>
      </c>
      <c r="AR4" s="21" t="str">
        <f>IFERROR(__xludf.DUMMYFUNCTION("""COMPUTED_VALUE"""),"")</f>
        <v/>
      </c>
      <c r="AS4" s="21" t="str">
        <f>IFERROR(__xludf.DUMMYFUNCTION("""COMPUTED_VALUE"""),"")</f>
        <v/>
      </c>
      <c r="AT4" s="21" t="str">
        <f>IFERROR(__xludf.DUMMYFUNCTION("""COMPUTED_VALUE"""),"")</f>
        <v/>
      </c>
      <c r="AU4" s="21" t="str">
        <f>IFERROR(__xludf.DUMMYFUNCTION("""COMPUTED_VALUE"""),"")</f>
        <v/>
      </c>
      <c r="AV4" s="21" t="str">
        <f>IFERROR(__xludf.DUMMYFUNCTION("""COMPUTED_VALUE"""),"")</f>
        <v/>
      </c>
      <c r="AW4" s="21" t="str">
        <f>IFERROR(__xludf.DUMMYFUNCTION("""COMPUTED_VALUE"""),"")</f>
        <v/>
      </c>
      <c r="AX4" s="21" t="str">
        <f>IFERROR(__xludf.DUMMYFUNCTION("""COMPUTED_VALUE"""),"")</f>
        <v/>
      </c>
      <c r="AY4" s="21" t="str">
        <f>IFERROR(__xludf.DUMMYFUNCTION("""COMPUTED_VALUE"""),"")</f>
        <v/>
      </c>
      <c r="AZ4" s="21" t="str">
        <f>IFERROR(__xludf.DUMMYFUNCTION("""COMPUTED_VALUE"""),"")</f>
        <v/>
      </c>
      <c r="BA4" s="21" t="str">
        <f>IFERROR(__xludf.DUMMYFUNCTION("""COMPUTED_VALUE"""),"")</f>
        <v/>
      </c>
      <c r="BB4" s="21" t="str">
        <f>IFERROR(__xludf.DUMMYFUNCTION("""COMPUTED_VALUE"""),"")</f>
        <v/>
      </c>
      <c r="BC4" s="21" t="str">
        <f>IFERROR(__xludf.DUMMYFUNCTION("""COMPUTED_VALUE"""),"")</f>
        <v/>
      </c>
      <c r="BD4" s="21" t="str">
        <f>IFERROR(__xludf.DUMMYFUNCTION("""COMPUTED_VALUE"""),"")</f>
        <v/>
      </c>
      <c r="BE4" s="21" t="str">
        <f>IFERROR(__xludf.DUMMYFUNCTION("""COMPUTED_VALUE"""),"")</f>
        <v/>
      </c>
      <c r="BF4" s="21" t="str">
        <f>IFERROR(__xludf.DUMMYFUNCTION("""COMPUTED_VALUE"""),"")</f>
        <v/>
      </c>
      <c r="BG4" s="21" t="str">
        <f>IFERROR(__xludf.DUMMYFUNCTION("""COMPUTED_VALUE"""),"")</f>
        <v/>
      </c>
      <c r="BH4" s="21" t="str">
        <f>IFERROR(__xludf.DUMMYFUNCTION("""COMPUTED_VALUE"""),"")</f>
        <v/>
      </c>
      <c r="BI4" s="21" t="str">
        <f>IFERROR(__xludf.DUMMYFUNCTION("""COMPUTED_VALUE"""),"")</f>
        <v/>
      </c>
      <c r="BJ4" s="21" t="str">
        <f>IFERROR(__xludf.DUMMYFUNCTION("""COMPUTED_VALUE"""),"")</f>
        <v/>
      </c>
      <c r="BK4" s="21" t="str">
        <f>IFERROR(__xludf.DUMMYFUNCTION("""COMPUTED_VALUE"""),"")</f>
        <v/>
      </c>
      <c r="BL4" s="21" t="str">
        <f>IFERROR(__xludf.DUMMYFUNCTION("""COMPUTED_VALUE"""),"")</f>
        <v/>
      </c>
      <c r="BM4" s="21" t="str">
        <f>IFERROR(__xludf.DUMMYFUNCTION("""COMPUTED_VALUE"""),"")</f>
        <v/>
      </c>
      <c r="BN4" s="21" t="str">
        <f>IFERROR(__xludf.DUMMYFUNCTION("""COMPUTED_VALUE"""),"")</f>
        <v/>
      </c>
      <c r="BO4" s="21" t="str">
        <f>IFERROR(__xludf.DUMMYFUNCTION("""COMPUTED_VALUE"""),"")</f>
        <v/>
      </c>
      <c r="BP4" s="21" t="str">
        <f>IFERROR(__xludf.DUMMYFUNCTION("""COMPUTED_VALUE"""),"")</f>
        <v/>
      </c>
      <c r="BQ4" s="21" t="str">
        <f>IFERROR(__xludf.DUMMYFUNCTION("""COMPUTED_VALUE"""),"")</f>
        <v/>
      </c>
      <c r="BR4" s="21" t="str">
        <f>IFERROR(__xludf.DUMMYFUNCTION("""COMPUTED_VALUE"""),"")</f>
        <v/>
      </c>
      <c r="BS4" s="21" t="str">
        <f>IFERROR(__xludf.DUMMYFUNCTION("""COMPUTED_VALUE"""),"")</f>
        <v/>
      </c>
      <c r="BT4" s="21" t="str">
        <f>IFERROR(__xludf.DUMMYFUNCTION("""COMPUTED_VALUE"""),"")</f>
        <v/>
      </c>
      <c r="BU4" s="21" t="str">
        <f>IFERROR(__xludf.DUMMYFUNCTION("""COMPUTED_VALUE"""),"")</f>
        <v/>
      </c>
      <c r="BV4" s="21" t="str">
        <f>IFERROR(__xludf.DUMMYFUNCTION("""COMPUTED_VALUE"""),"")</f>
        <v/>
      </c>
      <c r="BW4" s="21" t="str">
        <f>IFERROR(__xludf.DUMMYFUNCTION("""COMPUTED_VALUE"""),"")</f>
        <v/>
      </c>
      <c r="BX4" s="21" t="str">
        <f>IFERROR(__xludf.DUMMYFUNCTION("""COMPUTED_VALUE"""),"")</f>
        <v/>
      </c>
      <c r="BY4" s="21" t="str">
        <f>IFERROR(__xludf.DUMMYFUNCTION("""COMPUTED_VALUE"""),"")</f>
        <v/>
      </c>
      <c r="BZ4" s="21" t="str">
        <f>IFERROR(__xludf.DUMMYFUNCTION("""COMPUTED_VALUE"""),"")</f>
        <v/>
      </c>
      <c r="CA4" s="21" t="str">
        <f>IFERROR(__xludf.DUMMYFUNCTION("""COMPUTED_VALUE"""),"")</f>
        <v/>
      </c>
      <c r="CB4" s="21" t="str">
        <f>IFERROR(__xludf.DUMMYFUNCTION("""COMPUTED_VALUE"""),"")</f>
        <v/>
      </c>
      <c r="CC4" s="21" t="str">
        <f>IFERROR(__xludf.DUMMYFUNCTION("""COMPUTED_VALUE"""),"")</f>
        <v/>
      </c>
      <c r="CD4" s="21" t="str">
        <f>IFERROR(__xludf.DUMMYFUNCTION("""COMPUTED_VALUE"""),"")</f>
        <v/>
      </c>
      <c r="CE4" s="21" t="str">
        <f>IFERROR(__xludf.DUMMYFUNCTION("""COMPUTED_VALUE"""),"")</f>
        <v/>
      </c>
      <c r="CF4" s="21" t="str">
        <f>IFERROR(__xludf.DUMMYFUNCTION("""COMPUTED_VALUE"""),"")</f>
        <v/>
      </c>
      <c r="CG4" s="21" t="str">
        <f>IFERROR(__xludf.DUMMYFUNCTION("""COMPUTED_VALUE"""),"")</f>
        <v/>
      </c>
      <c r="CH4" s="21" t="str">
        <f>IFERROR(__xludf.DUMMYFUNCTION("""COMPUTED_VALUE"""),"")</f>
        <v/>
      </c>
      <c r="CI4" s="21" t="str">
        <f>IFERROR(__xludf.DUMMYFUNCTION("""COMPUTED_VALUE"""),"")</f>
        <v/>
      </c>
      <c r="CJ4" s="21" t="str">
        <f>IFERROR(__xludf.DUMMYFUNCTION("""COMPUTED_VALUE"""),"")</f>
        <v/>
      </c>
      <c r="CK4" s="21" t="str">
        <f>IFERROR(__xludf.DUMMYFUNCTION("""COMPUTED_VALUE"""),"")</f>
        <v/>
      </c>
      <c r="CL4" s="21" t="str">
        <f>IFERROR(__xludf.DUMMYFUNCTION("""COMPUTED_VALUE"""),"")</f>
        <v/>
      </c>
      <c r="CM4" s="21" t="str">
        <f>IFERROR(__xludf.DUMMYFUNCTION("""COMPUTED_VALUE"""),"")</f>
        <v/>
      </c>
      <c r="CN4" s="21" t="str">
        <f>IFERROR(__xludf.DUMMYFUNCTION("""COMPUTED_VALUE"""),"")</f>
        <v/>
      </c>
      <c r="CO4" s="21" t="str">
        <f>IFERROR(__xludf.DUMMYFUNCTION("""COMPUTED_VALUE"""),"")</f>
        <v/>
      </c>
      <c r="CP4" s="21" t="str">
        <f>IFERROR(__xludf.DUMMYFUNCTION("""COMPUTED_VALUE"""),"")</f>
        <v/>
      </c>
      <c r="CQ4" s="21" t="str">
        <f>IFERROR(__xludf.DUMMYFUNCTION("""COMPUTED_VALUE"""),"")</f>
        <v/>
      </c>
      <c r="CR4" s="21" t="str">
        <f>IFERROR(__xludf.DUMMYFUNCTION("""COMPUTED_VALUE"""),"")</f>
        <v/>
      </c>
      <c r="CS4" s="21" t="str">
        <f>IFERROR(__xludf.DUMMYFUNCTION("""COMPUTED_VALUE"""),"")</f>
        <v/>
      </c>
      <c r="CT4" s="21" t="str">
        <f>IFERROR(__xludf.DUMMYFUNCTION("""COMPUTED_VALUE"""),"")</f>
        <v/>
      </c>
      <c r="CU4" s="21" t="str">
        <f>IFERROR(__xludf.DUMMYFUNCTION("""COMPUTED_VALUE"""),"")</f>
        <v/>
      </c>
      <c r="CV4" s="21" t="str">
        <f>IFERROR(__xludf.DUMMYFUNCTION("""COMPUTED_VALUE"""),"")</f>
        <v/>
      </c>
      <c r="CW4" s="21" t="str">
        <f>IFERROR(__xludf.DUMMYFUNCTION("""COMPUTED_VALUE"""),"")</f>
        <v/>
      </c>
      <c r="CX4" s="21" t="str">
        <f>IFERROR(__xludf.DUMMYFUNCTION("""COMPUTED_VALUE"""),"")</f>
        <v/>
      </c>
      <c r="CY4" s="21" t="str">
        <f>IFERROR(__xludf.DUMMYFUNCTION("""COMPUTED_VALUE"""),"")</f>
        <v/>
      </c>
      <c r="CZ4" s="21" t="str">
        <f>IFERROR(__xludf.DUMMYFUNCTION("""COMPUTED_VALUE"""),"")</f>
        <v/>
      </c>
      <c r="DA4" s="21" t="str">
        <f>IFERROR(__xludf.DUMMYFUNCTION("""COMPUTED_VALUE"""),"")</f>
        <v/>
      </c>
      <c r="DB4" s="21" t="str">
        <f>IFERROR(__xludf.DUMMYFUNCTION("""COMPUTED_VALUE"""),"")</f>
        <v/>
      </c>
      <c r="DC4" s="21" t="str">
        <f>IFERROR(__xludf.DUMMYFUNCTION("""COMPUTED_VALUE"""),"")</f>
        <v/>
      </c>
      <c r="DD4" s="21" t="str">
        <f>IFERROR(__xludf.DUMMYFUNCTION("""COMPUTED_VALUE"""),"")</f>
        <v/>
      </c>
      <c r="DE4" s="21" t="str">
        <f>IFERROR(__xludf.DUMMYFUNCTION("""COMPUTED_VALUE"""),"")</f>
        <v/>
      </c>
      <c r="DF4" s="21" t="str">
        <f>IFERROR(__xludf.DUMMYFUNCTION("""COMPUTED_VALUE"""),"")</f>
        <v/>
      </c>
      <c r="DG4" s="21" t="str">
        <f>IFERROR(__xludf.DUMMYFUNCTION("""COMPUTED_VALUE"""),"")</f>
        <v/>
      </c>
      <c r="DH4" s="21" t="str">
        <f>IFERROR(__xludf.DUMMYFUNCTION("""COMPUTED_VALUE"""),"")</f>
        <v/>
      </c>
      <c r="DI4" s="21" t="str">
        <f>IFERROR(__xludf.DUMMYFUNCTION("""COMPUTED_VALUE"""),"")</f>
        <v/>
      </c>
      <c r="DJ4" s="21" t="str">
        <f>IFERROR(__xludf.DUMMYFUNCTION("""COMPUTED_VALUE"""),"")</f>
        <v/>
      </c>
      <c r="DK4" s="21" t="str">
        <f>IFERROR(__xludf.DUMMYFUNCTION("""COMPUTED_VALUE"""),"")</f>
        <v/>
      </c>
      <c r="DL4" s="21" t="str">
        <f>IFERROR(__xludf.DUMMYFUNCTION("""COMPUTED_VALUE"""),"")</f>
        <v/>
      </c>
      <c r="DM4" s="21" t="str">
        <f>IFERROR(__xludf.DUMMYFUNCTION("""COMPUTED_VALUE"""),"")</f>
        <v/>
      </c>
      <c r="DN4" s="21" t="str">
        <f>IFERROR(__xludf.DUMMYFUNCTION("""COMPUTED_VALUE"""),"")</f>
        <v/>
      </c>
      <c r="DO4" s="21" t="str">
        <f>IFERROR(__xludf.DUMMYFUNCTION("""COMPUTED_VALUE"""),"")</f>
        <v/>
      </c>
      <c r="DP4" s="21" t="str">
        <f>IFERROR(__xludf.DUMMYFUNCTION("""COMPUTED_VALUE"""),"")</f>
        <v/>
      </c>
      <c r="DQ4" s="21" t="str">
        <f>IFERROR(__xludf.DUMMYFUNCTION("""COMPUTED_VALUE"""),"")</f>
        <v/>
      </c>
      <c r="DR4" s="21" t="str">
        <f>IFERROR(__xludf.DUMMYFUNCTION("""COMPUTED_VALUE"""),"")</f>
        <v/>
      </c>
      <c r="DS4" s="21" t="str">
        <f>IFERROR(__xludf.DUMMYFUNCTION("""COMPUTED_VALUE"""),"")</f>
        <v/>
      </c>
      <c r="DT4" s="21" t="str">
        <f>IFERROR(__xludf.DUMMYFUNCTION("""COMPUTED_VALUE"""),"")</f>
        <v/>
      </c>
      <c r="DU4" s="21" t="str">
        <f>IFERROR(__xludf.DUMMYFUNCTION("""COMPUTED_VALUE"""),"")</f>
        <v/>
      </c>
      <c r="DV4" s="21" t="str">
        <f>IFERROR(__xludf.DUMMYFUNCTION("""COMPUTED_VALUE"""),"")</f>
        <v/>
      </c>
      <c r="DW4" s="21" t="str">
        <f>IFERROR(__xludf.DUMMYFUNCTION("""COMPUTED_VALUE"""),"")</f>
        <v/>
      </c>
      <c r="DX4" s="21" t="str">
        <f>IFERROR(__xludf.DUMMYFUNCTION("""COMPUTED_VALUE"""),"")</f>
        <v/>
      </c>
      <c r="DY4" s="21" t="str">
        <f>IFERROR(__xludf.DUMMYFUNCTION("""COMPUTED_VALUE"""),"")</f>
        <v/>
      </c>
      <c r="DZ4" s="21" t="str">
        <f>IFERROR(__xludf.DUMMYFUNCTION("""COMPUTED_VALUE"""),"")</f>
        <v/>
      </c>
      <c r="EA4" s="21" t="str">
        <f>IFERROR(__xludf.DUMMYFUNCTION("""COMPUTED_VALUE"""),"")</f>
        <v/>
      </c>
      <c r="EB4" s="21" t="str">
        <f>IFERROR(__xludf.DUMMYFUNCTION("""COMPUTED_VALUE"""),"")</f>
        <v/>
      </c>
      <c r="EC4" s="21" t="str">
        <f>IFERROR(__xludf.DUMMYFUNCTION("""COMPUTED_VALUE"""),"")</f>
        <v/>
      </c>
      <c r="ED4" s="21" t="str">
        <f>IFERROR(__xludf.DUMMYFUNCTION("""COMPUTED_VALUE"""),"")</f>
        <v/>
      </c>
      <c r="EE4" s="21" t="str">
        <f>IFERROR(__xludf.DUMMYFUNCTION("""COMPUTED_VALUE"""),"")</f>
        <v/>
      </c>
      <c r="EF4" s="21" t="str">
        <f>IFERROR(__xludf.DUMMYFUNCTION("""COMPUTED_VALUE"""),"")</f>
        <v/>
      </c>
      <c r="EG4" s="21" t="str">
        <f>IFERROR(__xludf.DUMMYFUNCTION("""COMPUTED_VALUE"""),"")</f>
        <v/>
      </c>
      <c r="EH4" s="21" t="str">
        <f>IFERROR(__xludf.DUMMYFUNCTION("""COMPUTED_VALUE"""),"")</f>
        <v/>
      </c>
      <c r="EI4" s="21" t="str">
        <f>IFERROR(__xludf.DUMMYFUNCTION("""COMPUTED_VALUE"""),"")</f>
        <v/>
      </c>
      <c r="EJ4" s="21" t="str">
        <f>IFERROR(__xludf.DUMMYFUNCTION("""COMPUTED_VALUE"""),"")</f>
        <v/>
      </c>
      <c r="EK4" s="21" t="str">
        <f>IFERROR(__xludf.DUMMYFUNCTION("""COMPUTED_VALUE"""),"")</f>
        <v/>
      </c>
      <c r="EL4" s="21" t="str">
        <f>IFERROR(__xludf.DUMMYFUNCTION("""COMPUTED_VALUE"""),"")</f>
        <v/>
      </c>
      <c r="EM4" s="21" t="str">
        <f>IFERROR(__xludf.DUMMYFUNCTION("""COMPUTED_VALUE"""),"")</f>
        <v/>
      </c>
      <c r="EN4" s="21" t="str">
        <f>IFERROR(__xludf.DUMMYFUNCTION("""COMPUTED_VALUE"""),"")</f>
        <v/>
      </c>
      <c r="EO4" s="21" t="str">
        <f>IFERROR(__xludf.DUMMYFUNCTION("""COMPUTED_VALUE"""),"")</f>
        <v/>
      </c>
      <c r="EP4" s="21" t="str">
        <f>IFERROR(__xludf.DUMMYFUNCTION("""COMPUTED_VALUE"""),"")</f>
        <v/>
      </c>
      <c r="EQ4" s="21" t="str">
        <f>IFERROR(__xludf.DUMMYFUNCTION("""COMPUTED_VALUE"""),"")</f>
        <v/>
      </c>
      <c r="ER4" s="21" t="str">
        <f>IFERROR(__xludf.DUMMYFUNCTION("""COMPUTED_VALUE"""),"")</f>
        <v/>
      </c>
      <c r="ES4" s="21" t="str">
        <f>IFERROR(__xludf.DUMMYFUNCTION("""COMPUTED_VALUE"""),"")</f>
        <v/>
      </c>
      <c r="ET4" s="21" t="str">
        <f>IFERROR(__xludf.DUMMYFUNCTION("""COMPUTED_VALUE"""),"")</f>
        <v/>
      </c>
      <c r="EU4" s="21" t="str">
        <f>IFERROR(__xludf.DUMMYFUNCTION("""COMPUTED_VALUE"""),"")</f>
        <v/>
      </c>
      <c r="EV4" s="21" t="str">
        <f>IFERROR(__xludf.DUMMYFUNCTION("""COMPUTED_VALUE"""),"")</f>
        <v/>
      </c>
      <c r="EW4" s="21" t="str">
        <f>IFERROR(__xludf.DUMMYFUNCTION("""COMPUTED_VALUE"""),"")</f>
        <v/>
      </c>
      <c r="EX4" s="21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IFERROR(__xludf.DUMMYFUNCTION("""COMPUTED_VALUE"""),"CostBasisGrossPNL")</f>
        <v>CostBasisGrossPNL</v>
      </c>
      <c r="O5" s="26" t="str">
        <f>IFERROR(__xludf.DUMMYFUNCTION("""COMPUTED_VALUE"""),"Currency")</f>
        <v>Currency</v>
      </c>
      <c r="P5" s="26" t="str">
        <f>IFERROR(__xludf.DUMMYFUNCTION("""COMPUTED_VALUE"""),"CurrencyID")</f>
        <v>CurrencyID</v>
      </c>
      <c r="Q5" s="26" t="str">
        <f>IFERROR(__xludf.DUMMYFUNCTION("""COMPUTED_VALUE"""),"Exchange")</f>
        <v>Exchange</v>
      </c>
      <c r="R5" s="26" t="str">
        <f>IFERROR(__xludf.DUMMYFUNCTION("""COMPUTED_VALUE"""),"NotionalChange")</f>
        <v>NotionalChange</v>
      </c>
      <c r="S5" s="26" t="str">
        <f>IFERROR(__xludf.DUMMYFUNCTION("""COMPUTED_VALUE"""),"OpenAveragePrice")</f>
        <v>OpenAveragePrice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IFERROR(__xludf.DUMMYFUNCTION("""COMPUTED_VALUE"""),"Position Type")</f>
        <v>Position Type</v>
      </c>
      <c r="V5" s="28" t="str">
        <f>IFERROR(__xludf.DUMMYFUNCTION("""COMPUTED_VALUE"""),"PositionSide")</f>
        <v>PositionSide</v>
      </c>
      <c r="W5" s="28" t="str">
        <f>IFERROR(__xludf.DUMMYFUNCTION("""COMPUTED_VALUE"""),"PositionTotalCommissionandFees")</f>
        <v>PositionTotalCommissionandFees</v>
      </c>
      <c r="X5" s="28" t="str">
        <f>IFERROR(__xludf.DUMMYFUNCTION("""COMPUTED_VALUE"""),"Realized PNL(C.B.)")</f>
        <v>Realized PNL(C.B.)</v>
      </c>
      <c r="Y5" s="28" t="str">
        <f>IFERROR(__xludf.DUMMYFUNCTION("""COMPUTED_VALUE"""),"Side")</f>
        <v>Side</v>
      </c>
      <c r="Z5" s="28" t="str">
        <f>IFERROR(__xludf.DUMMYFUNCTION("""COMPUTED_VALUE"""),"Strategy")</f>
        <v>Strategy</v>
      </c>
      <c r="AA5" s="28" t="str">
        <f>IFERROR(__xludf.DUMMYFUNCTION("""COMPUTED_VALUE"""),"Symbol")</f>
        <v>Symbol</v>
      </c>
      <c r="AB5" s="28" t="str">
        <f>IFERROR(__xludf.DUMMYFUNCTION("""COMPUTED_VALUE"""),"Taxlot ID")</f>
        <v>Taxlot ID</v>
      </c>
      <c r="AC5" s="28" t="str">
        <f>IFERROR(__xludf.DUMMYFUNCTION("""COMPUTED_VALUE"""),"UnderlyingName")</f>
        <v>UnderlyingName</v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5" t="s">
        <v>18</v>
      </c>
      <c r="C6" s="30" t="s">
        <v>23</v>
      </c>
      <c r="D6" s="36"/>
      <c r="E6" s="33"/>
      <c r="F6" s="40"/>
      <c r="G6" s="31">
        <v>1050.0</v>
      </c>
      <c r="H6" s="30" t="s">
        <v>26</v>
      </c>
      <c r="I6" s="32"/>
      <c r="J6" s="30"/>
      <c r="K6" s="32"/>
      <c r="L6" s="32"/>
      <c r="M6" s="32"/>
      <c r="N6" s="32"/>
      <c r="O6" s="32"/>
      <c r="P6" s="32"/>
      <c r="Q6" s="32"/>
      <c r="R6" s="32"/>
      <c r="S6" s="32"/>
      <c r="T6" s="41"/>
      <c r="U6" s="32"/>
      <c r="V6" s="32" t="s">
        <v>27</v>
      </c>
      <c r="W6" s="32"/>
      <c r="X6" s="32"/>
      <c r="Y6" s="32" t="s">
        <v>17</v>
      </c>
      <c r="Z6" s="32"/>
      <c r="AA6" s="37" t="s">
        <v>16</v>
      </c>
      <c r="AC6" s="32"/>
      <c r="AD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UnWindTradeSettlement!$4:$4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1" t="s">
        <v>7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5" t="str">
        <f> VLOOKUP($E$3,'_MasterData'!B4:D1000,3,FALSE)</f>
        <v>#N/A</v>
      </c>
      <c r="K2" s="15"/>
      <c r="L2" s="8"/>
      <c r="M2" s="8"/>
      <c r="N2" s="8"/>
      <c r="O2" s="8"/>
    </row>
    <row r="3" ht="15.75" customHeight="1">
      <c r="A3" s="16"/>
      <c r="B3" s="5" t="s">
        <v>8</v>
      </c>
      <c r="C3" s="17" t="s">
        <v>19</v>
      </c>
      <c r="D3" s="5" t="s">
        <v>10</v>
      </c>
      <c r="E3" s="17" t="s">
        <v>28</v>
      </c>
      <c r="F3" s="5" t="s">
        <v>12</v>
      </c>
      <c r="G3" s="12" t="s">
        <v>13</v>
      </c>
      <c r="H3" s="5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IFERROR(__xludf.DUMMYFUNCTION("IF(C3="""","""",Transpose(IMPORTRANGE('_Settings'!$B$3,C3&amp;""!A4:A1000"")))"),"SwapExpire")</f>
        <v>SwapExpire</v>
      </c>
      <c r="C4" s="19" t="str">
        <f>IFERROR(__xludf.DUMMYFUNCTION("""COMPUTED_VALUE"""),"GetDataClosing")</f>
        <v>GetDataClosing</v>
      </c>
      <c r="D4" s="19" t="str">
        <f>IFERROR(__xludf.DUMMYFUNCTION("""COMPUTED_VALUE"""),"ManualClosing")</f>
        <v>ManualClosing</v>
      </c>
      <c r="E4" s="19" t="str">
        <f>IFERROR(__xludf.DUMMYFUNCTION("""COMPUTED_VALUE"""),"AutomaticClosing")</f>
        <v>AutomaticClosing</v>
      </c>
      <c r="F4" s="19" t="str">
        <f>IFERROR(__xludf.DUMMYFUNCTION("""COMPUTED_VALUE"""),"UnwindClosing")</f>
        <v>UnwindClosing</v>
      </c>
      <c r="G4" s="19" t="str">
        <f>IFERROR(__xludf.DUMMYFUNCTION("""COMPUTED_VALUE"""),"VerifyClosedTrades")</f>
        <v>VerifyClosedTrades</v>
      </c>
      <c r="H4" s="19" t="str">
        <f>IFERROR(__xludf.DUMMYFUNCTION("""COMPUTED_VALUE"""),"VerifyLongPositionsGrid")</f>
        <v>VerifyLongPositionsGrid</v>
      </c>
      <c r="I4" s="19" t="str">
        <f>IFERROR(__xludf.DUMMYFUNCTION("""COMPUTED_VALUE"""),"VerifyShortPositionsGrid")</f>
        <v>VerifyShortPositionsGrid</v>
      </c>
      <c r="J4" s="19" t="str">
        <f>IFERROR(__xludf.DUMMYFUNCTION("""COMPUTED_VALUE"""),"SelectTradeUnexpiredUnsettled")</f>
        <v>SelectTradeUnexpiredUnsettled</v>
      </c>
      <c r="K4" s="19" t="str">
        <f>IFERROR(__xludf.DUMMYFUNCTION("""COMPUTED_VALUE"""),"CashSettlementAtCost")</f>
        <v>CashSettlementAtCost</v>
      </c>
      <c r="L4" s="19" t="str">
        <f>IFERROR(__xludf.DUMMYFUNCTION("""COMPUTED_VALUE"""),"CashSettlementAtZeroPrice")</f>
        <v>CashSettlementAtZeroPrice</v>
      </c>
      <c r="M4" s="19" t="str">
        <f>IFERROR(__xludf.DUMMYFUNCTION("""COMPUTED_VALUE"""),"CashSettlementAtClosingDtSpotPx")</f>
        <v>CashSettlementAtClosingDtSpotPx</v>
      </c>
      <c r="N4" s="19" t="str">
        <f>IFERROR(__xludf.DUMMYFUNCTION("""COMPUTED_VALUE"""),"PhysicalSettlement")</f>
        <v>PhysicalSettlement</v>
      </c>
      <c r="O4" s="19" t="str">
        <f>IFERROR(__xludf.DUMMYFUNCTION("""COMPUTED_VALUE"""),"Expire")</f>
        <v>Expire</v>
      </c>
      <c r="P4" s="21" t="str">
        <f>IFERROR(__xludf.DUMMYFUNCTION("""COMPUTED_VALUE"""),"ExerciseAssignment")</f>
        <v>ExerciseAssignment</v>
      </c>
      <c r="Q4" s="21" t="str">
        <f>IFERROR(__xludf.DUMMYFUNCTION("""COMPUTED_VALUE"""),"ExerciseAssignmentAtZero")</f>
        <v>ExerciseAssignmentAtZero</v>
      </c>
      <c r="R4" s="21" t="str">
        <f>IFERROR(__xludf.DUMMYFUNCTION("""COMPUTED_VALUE"""),"SwapExpireAndRollover")</f>
        <v>SwapExpireAndRollover</v>
      </c>
      <c r="S4" s="21" t="str">
        <f>IFERROR(__xludf.DUMMYFUNCTION("""COMPUTED_VALUE"""),"SwapExpire")</f>
        <v>SwapExpire</v>
      </c>
      <c r="T4" s="21" t="str">
        <f>IFERROR(__xludf.DUMMYFUNCTION("""COMPUTED_VALUE"""),"VerifyExpiredSettledGrid")</f>
        <v>VerifyExpiredSettledGrid</v>
      </c>
      <c r="U4" s="21" t="str">
        <f>IFERROR(__xludf.DUMMYFUNCTION("""COMPUTED_VALUE"""),"VerifyUnExpiredUnSettledGrid")</f>
        <v>VerifyUnExpiredUnSettledGrid</v>
      </c>
      <c r="V4" s="21" t="str">
        <f>IFERROR(__xludf.DUMMYFUNCTION("""COMPUTED_VALUE"""),"UnWindTradeSettlement")</f>
        <v>UnWindTradeSettlement</v>
      </c>
      <c r="W4" s="21" t="str">
        <f>IFERROR(__xludf.DUMMYFUNCTION("""COMPUTED_VALUE"""),"CloseOrder")</f>
        <v>CloseOrder</v>
      </c>
      <c r="X4" s="21" t="str">
        <f>IFERROR(__xludf.DUMMYFUNCTION("""COMPUTED_VALUE"""),"VerifyCloseOrder")</f>
        <v>VerifyCloseOrder</v>
      </c>
      <c r="Y4" s="21" t="str">
        <f>IFERROR(__xludf.DUMMYFUNCTION("""COMPUTED_VALUE"""),"UnWindCloseOrder")</f>
        <v>UnWindCloseOrder</v>
      </c>
      <c r="Z4" s="21" t="str">
        <f>IFERROR(__xludf.DUMMYFUNCTION("""COMPUTED_VALUE"""),"ClosingCleanUp")</f>
        <v>ClosingCleanUp</v>
      </c>
      <c r="AA4" s="21" t="str">
        <f>IFERROR(__xludf.DUMMYFUNCTION("""COMPUTED_VALUE"""),"CloseClosingUI")</f>
        <v>CloseClosingUI</v>
      </c>
      <c r="AB4" s="21" t="str">
        <f>IFERROR(__xludf.DUMMYFUNCTION("""COMPUTED_VALUE"""),"SetClosingPreference")</f>
        <v>SetClosingPreference</v>
      </c>
      <c r="AC4" s="21" t="str">
        <f>IFERROR(__xludf.DUMMYFUNCTION("""COMPUTED_VALUE"""),"EditTradeUnexpiredUnsettled")</f>
        <v>EditTradeUnexpiredUnsettled</v>
      </c>
      <c r="AD4" s="21" t="str">
        <f>IFERROR(__xludf.DUMMYFUNCTION("""COMPUTED_VALUE"""),"")</f>
        <v/>
      </c>
      <c r="AE4" s="21" t="str">
        <f>IFERROR(__xludf.DUMMYFUNCTION("""COMPUTED_VALUE"""),"")</f>
        <v/>
      </c>
      <c r="AF4" s="21" t="str">
        <f>IFERROR(__xludf.DUMMYFUNCTION("""COMPUTED_VALUE"""),"")</f>
        <v/>
      </c>
      <c r="AG4" s="21" t="str">
        <f>IFERROR(__xludf.DUMMYFUNCTION("""COMPUTED_VALUE"""),"")</f>
        <v/>
      </c>
      <c r="AH4" s="21" t="str">
        <f>IFERROR(__xludf.DUMMYFUNCTION("""COMPUTED_VALUE"""),"")</f>
        <v/>
      </c>
      <c r="AI4" s="21" t="str">
        <f>IFERROR(__xludf.DUMMYFUNCTION("""COMPUTED_VALUE"""),"")</f>
        <v/>
      </c>
      <c r="AJ4" s="21" t="str">
        <f>IFERROR(__xludf.DUMMYFUNCTION("""COMPUTED_VALUE"""),"")</f>
        <v/>
      </c>
      <c r="AK4" s="21" t="str">
        <f>IFERROR(__xludf.DUMMYFUNCTION("""COMPUTED_VALUE"""),"")</f>
        <v/>
      </c>
      <c r="AL4" s="21" t="str">
        <f>IFERROR(__xludf.DUMMYFUNCTION("""COMPUTED_VALUE"""),"")</f>
        <v/>
      </c>
      <c r="AM4" s="21" t="str">
        <f>IFERROR(__xludf.DUMMYFUNCTION("""COMPUTED_VALUE"""),"")</f>
        <v/>
      </c>
      <c r="AN4" s="21" t="str">
        <f>IFERROR(__xludf.DUMMYFUNCTION("""COMPUTED_VALUE"""),"")</f>
        <v/>
      </c>
      <c r="AO4" s="21" t="str">
        <f>IFERROR(__xludf.DUMMYFUNCTION("""COMPUTED_VALUE"""),"")</f>
        <v/>
      </c>
      <c r="AP4" s="21" t="str">
        <f>IFERROR(__xludf.DUMMYFUNCTION("""COMPUTED_VALUE"""),"")</f>
        <v/>
      </c>
      <c r="AQ4" s="21" t="str">
        <f>IFERROR(__xludf.DUMMYFUNCTION("""COMPUTED_VALUE"""),"")</f>
        <v/>
      </c>
      <c r="AR4" s="21" t="str">
        <f>IFERROR(__xludf.DUMMYFUNCTION("""COMPUTED_VALUE"""),"")</f>
        <v/>
      </c>
      <c r="AS4" s="21" t="str">
        <f>IFERROR(__xludf.DUMMYFUNCTION("""COMPUTED_VALUE"""),"")</f>
        <v/>
      </c>
      <c r="AT4" s="21" t="str">
        <f>IFERROR(__xludf.DUMMYFUNCTION("""COMPUTED_VALUE"""),"")</f>
        <v/>
      </c>
      <c r="AU4" s="21" t="str">
        <f>IFERROR(__xludf.DUMMYFUNCTION("""COMPUTED_VALUE"""),"")</f>
        <v/>
      </c>
      <c r="AV4" s="21" t="str">
        <f>IFERROR(__xludf.DUMMYFUNCTION("""COMPUTED_VALUE"""),"")</f>
        <v/>
      </c>
      <c r="AW4" s="21" t="str">
        <f>IFERROR(__xludf.DUMMYFUNCTION("""COMPUTED_VALUE"""),"")</f>
        <v/>
      </c>
      <c r="AX4" s="21" t="str">
        <f>IFERROR(__xludf.DUMMYFUNCTION("""COMPUTED_VALUE"""),"")</f>
        <v/>
      </c>
      <c r="AY4" s="21" t="str">
        <f>IFERROR(__xludf.DUMMYFUNCTION("""COMPUTED_VALUE"""),"")</f>
        <v/>
      </c>
      <c r="AZ4" s="21" t="str">
        <f>IFERROR(__xludf.DUMMYFUNCTION("""COMPUTED_VALUE"""),"")</f>
        <v/>
      </c>
      <c r="BA4" s="21" t="str">
        <f>IFERROR(__xludf.DUMMYFUNCTION("""COMPUTED_VALUE"""),"")</f>
        <v/>
      </c>
      <c r="BB4" s="21" t="str">
        <f>IFERROR(__xludf.DUMMYFUNCTION("""COMPUTED_VALUE"""),"")</f>
        <v/>
      </c>
      <c r="BC4" s="21" t="str">
        <f>IFERROR(__xludf.DUMMYFUNCTION("""COMPUTED_VALUE"""),"")</f>
        <v/>
      </c>
      <c r="BD4" s="21" t="str">
        <f>IFERROR(__xludf.DUMMYFUNCTION("""COMPUTED_VALUE"""),"")</f>
        <v/>
      </c>
      <c r="BE4" s="21" t="str">
        <f>IFERROR(__xludf.DUMMYFUNCTION("""COMPUTED_VALUE"""),"")</f>
        <v/>
      </c>
      <c r="BF4" s="21" t="str">
        <f>IFERROR(__xludf.DUMMYFUNCTION("""COMPUTED_VALUE"""),"")</f>
        <v/>
      </c>
      <c r="BG4" s="21" t="str">
        <f>IFERROR(__xludf.DUMMYFUNCTION("""COMPUTED_VALUE"""),"")</f>
        <v/>
      </c>
      <c r="BH4" s="21" t="str">
        <f>IFERROR(__xludf.DUMMYFUNCTION("""COMPUTED_VALUE"""),"")</f>
        <v/>
      </c>
      <c r="BI4" s="21" t="str">
        <f>IFERROR(__xludf.DUMMYFUNCTION("""COMPUTED_VALUE"""),"")</f>
        <v/>
      </c>
      <c r="BJ4" s="21" t="str">
        <f>IFERROR(__xludf.DUMMYFUNCTION("""COMPUTED_VALUE"""),"")</f>
        <v/>
      </c>
      <c r="BK4" s="21" t="str">
        <f>IFERROR(__xludf.DUMMYFUNCTION("""COMPUTED_VALUE"""),"")</f>
        <v/>
      </c>
      <c r="BL4" s="21" t="str">
        <f>IFERROR(__xludf.DUMMYFUNCTION("""COMPUTED_VALUE"""),"")</f>
        <v/>
      </c>
      <c r="BM4" s="21" t="str">
        <f>IFERROR(__xludf.DUMMYFUNCTION("""COMPUTED_VALUE"""),"")</f>
        <v/>
      </c>
      <c r="BN4" s="21" t="str">
        <f>IFERROR(__xludf.DUMMYFUNCTION("""COMPUTED_VALUE"""),"")</f>
        <v/>
      </c>
      <c r="BO4" s="21" t="str">
        <f>IFERROR(__xludf.DUMMYFUNCTION("""COMPUTED_VALUE"""),"")</f>
        <v/>
      </c>
      <c r="BP4" s="21" t="str">
        <f>IFERROR(__xludf.DUMMYFUNCTION("""COMPUTED_VALUE"""),"")</f>
        <v/>
      </c>
      <c r="BQ4" s="21" t="str">
        <f>IFERROR(__xludf.DUMMYFUNCTION("""COMPUTED_VALUE"""),"")</f>
        <v/>
      </c>
      <c r="BR4" s="21" t="str">
        <f>IFERROR(__xludf.DUMMYFUNCTION("""COMPUTED_VALUE"""),"")</f>
        <v/>
      </c>
      <c r="BS4" s="21" t="str">
        <f>IFERROR(__xludf.DUMMYFUNCTION("""COMPUTED_VALUE"""),"")</f>
        <v/>
      </c>
      <c r="BT4" s="21" t="str">
        <f>IFERROR(__xludf.DUMMYFUNCTION("""COMPUTED_VALUE"""),"")</f>
        <v/>
      </c>
      <c r="BU4" s="21" t="str">
        <f>IFERROR(__xludf.DUMMYFUNCTION("""COMPUTED_VALUE"""),"")</f>
        <v/>
      </c>
      <c r="BV4" s="21" t="str">
        <f>IFERROR(__xludf.DUMMYFUNCTION("""COMPUTED_VALUE"""),"")</f>
        <v/>
      </c>
      <c r="BW4" s="21" t="str">
        <f>IFERROR(__xludf.DUMMYFUNCTION("""COMPUTED_VALUE"""),"")</f>
        <v/>
      </c>
      <c r="BX4" s="21" t="str">
        <f>IFERROR(__xludf.DUMMYFUNCTION("""COMPUTED_VALUE"""),"")</f>
        <v/>
      </c>
      <c r="BY4" s="21" t="str">
        <f>IFERROR(__xludf.DUMMYFUNCTION("""COMPUTED_VALUE"""),"")</f>
        <v/>
      </c>
      <c r="BZ4" s="21" t="str">
        <f>IFERROR(__xludf.DUMMYFUNCTION("""COMPUTED_VALUE"""),"")</f>
        <v/>
      </c>
      <c r="CA4" s="21" t="str">
        <f>IFERROR(__xludf.DUMMYFUNCTION("""COMPUTED_VALUE"""),"")</f>
        <v/>
      </c>
      <c r="CB4" s="21" t="str">
        <f>IFERROR(__xludf.DUMMYFUNCTION("""COMPUTED_VALUE"""),"")</f>
        <v/>
      </c>
      <c r="CC4" s="21" t="str">
        <f>IFERROR(__xludf.DUMMYFUNCTION("""COMPUTED_VALUE"""),"")</f>
        <v/>
      </c>
      <c r="CD4" s="21" t="str">
        <f>IFERROR(__xludf.DUMMYFUNCTION("""COMPUTED_VALUE"""),"")</f>
        <v/>
      </c>
      <c r="CE4" s="21" t="str">
        <f>IFERROR(__xludf.DUMMYFUNCTION("""COMPUTED_VALUE"""),"")</f>
        <v/>
      </c>
      <c r="CF4" s="21" t="str">
        <f>IFERROR(__xludf.DUMMYFUNCTION("""COMPUTED_VALUE"""),"")</f>
        <v/>
      </c>
      <c r="CG4" s="21" t="str">
        <f>IFERROR(__xludf.DUMMYFUNCTION("""COMPUTED_VALUE"""),"")</f>
        <v/>
      </c>
      <c r="CH4" s="21" t="str">
        <f>IFERROR(__xludf.DUMMYFUNCTION("""COMPUTED_VALUE"""),"")</f>
        <v/>
      </c>
      <c r="CI4" s="21" t="str">
        <f>IFERROR(__xludf.DUMMYFUNCTION("""COMPUTED_VALUE"""),"")</f>
        <v/>
      </c>
      <c r="CJ4" s="21" t="str">
        <f>IFERROR(__xludf.DUMMYFUNCTION("""COMPUTED_VALUE"""),"")</f>
        <v/>
      </c>
      <c r="CK4" s="21" t="str">
        <f>IFERROR(__xludf.DUMMYFUNCTION("""COMPUTED_VALUE"""),"")</f>
        <v/>
      </c>
      <c r="CL4" s="21" t="str">
        <f>IFERROR(__xludf.DUMMYFUNCTION("""COMPUTED_VALUE"""),"")</f>
        <v/>
      </c>
      <c r="CM4" s="21" t="str">
        <f>IFERROR(__xludf.DUMMYFUNCTION("""COMPUTED_VALUE"""),"")</f>
        <v/>
      </c>
      <c r="CN4" s="21" t="str">
        <f>IFERROR(__xludf.DUMMYFUNCTION("""COMPUTED_VALUE"""),"")</f>
        <v/>
      </c>
      <c r="CO4" s="21" t="str">
        <f>IFERROR(__xludf.DUMMYFUNCTION("""COMPUTED_VALUE"""),"")</f>
        <v/>
      </c>
      <c r="CP4" s="21" t="str">
        <f>IFERROR(__xludf.DUMMYFUNCTION("""COMPUTED_VALUE"""),"")</f>
        <v/>
      </c>
      <c r="CQ4" s="21" t="str">
        <f>IFERROR(__xludf.DUMMYFUNCTION("""COMPUTED_VALUE"""),"")</f>
        <v/>
      </c>
      <c r="CR4" s="21" t="str">
        <f>IFERROR(__xludf.DUMMYFUNCTION("""COMPUTED_VALUE"""),"")</f>
        <v/>
      </c>
      <c r="CS4" s="21" t="str">
        <f>IFERROR(__xludf.DUMMYFUNCTION("""COMPUTED_VALUE"""),"")</f>
        <v/>
      </c>
      <c r="CT4" s="21" t="str">
        <f>IFERROR(__xludf.DUMMYFUNCTION("""COMPUTED_VALUE"""),"")</f>
        <v/>
      </c>
      <c r="CU4" s="21" t="str">
        <f>IFERROR(__xludf.DUMMYFUNCTION("""COMPUTED_VALUE"""),"")</f>
        <v/>
      </c>
      <c r="CV4" s="21" t="str">
        <f>IFERROR(__xludf.DUMMYFUNCTION("""COMPUTED_VALUE"""),"")</f>
        <v/>
      </c>
      <c r="CW4" s="21" t="str">
        <f>IFERROR(__xludf.DUMMYFUNCTION("""COMPUTED_VALUE"""),"")</f>
        <v/>
      </c>
      <c r="CX4" s="21" t="str">
        <f>IFERROR(__xludf.DUMMYFUNCTION("""COMPUTED_VALUE"""),"")</f>
        <v/>
      </c>
      <c r="CY4" s="21" t="str">
        <f>IFERROR(__xludf.DUMMYFUNCTION("""COMPUTED_VALUE"""),"")</f>
        <v/>
      </c>
      <c r="CZ4" s="21" t="str">
        <f>IFERROR(__xludf.DUMMYFUNCTION("""COMPUTED_VALUE"""),"")</f>
        <v/>
      </c>
      <c r="DA4" s="21" t="str">
        <f>IFERROR(__xludf.DUMMYFUNCTION("""COMPUTED_VALUE"""),"")</f>
        <v/>
      </c>
      <c r="DB4" s="21" t="str">
        <f>IFERROR(__xludf.DUMMYFUNCTION("""COMPUTED_VALUE"""),"")</f>
        <v/>
      </c>
      <c r="DC4" s="21" t="str">
        <f>IFERROR(__xludf.DUMMYFUNCTION("""COMPUTED_VALUE"""),"")</f>
        <v/>
      </c>
      <c r="DD4" s="21" t="str">
        <f>IFERROR(__xludf.DUMMYFUNCTION("""COMPUTED_VALUE"""),"")</f>
        <v/>
      </c>
      <c r="DE4" s="21" t="str">
        <f>IFERROR(__xludf.DUMMYFUNCTION("""COMPUTED_VALUE"""),"")</f>
        <v/>
      </c>
      <c r="DF4" s="21" t="str">
        <f>IFERROR(__xludf.DUMMYFUNCTION("""COMPUTED_VALUE"""),"")</f>
        <v/>
      </c>
      <c r="DG4" s="21" t="str">
        <f>IFERROR(__xludf.DUMMYFUNCTION("""COMPUTED_VALUE"""),"")</f>
        <v/>
      </c>
      <c r="DH4" s="21" t="str">
        <f>IFERROR(__xludf.DUMMYFUNCTION("""COMPUTED_VALUE"""),"")</f>
        <v/>
      </c>
      <c r="DI4" s="21" t="str">
        <f>IFERROR(__xludf.DUMMYFUNCTION("""COMPUTED_VALUE"""),"")</f>
        <v/>
      </c>
      <c r="DJ4" s="21" t="str">
        <f>IFERROR(__xludf.DUMMYFUNCTION("""COMPUTED_VALUE"""),"")</f>
        <v/>
      </c>
      <c r="DK4" s="21" t="str">
        <f>IFERROR(__xludf.DUMMYFUNCTION("""COMPUTED_VALUE"""),"")</f>
        <v/>
      </c>
      <c r="DL4" s="21" t="str">
        <f>IFERROR(__xludf.DUMMYFUNCTION("""COMPUTED_VALUE"""),"")</f>
        <v/>
      </c>
      <c r="DM4" s="21" t="str">
        <f>IFERROR(__xludf.DUMMYFUNCTION("""COMPUTED_VALUE"""),"")</f>
        <v/>
      </c>
      <c r="DN4" s="21" t="str">
        <f>IFERROR(__xludf.DUMMYFUNCTION("""COMPUTED_VALUE"""),"")</f>
        <v/>
      </c>
      <c r="DO4" s="21" t="str">
        <f>IFERROR(__xludf.DUMMYFUNCTION("""COMPUTED_VALUE"""),"")</f>
        <v/>
      </c>
      <c r="DP4" s="21" t="str">
        <f>IFERROR(__xludf.DUMMYFUNCTION("""COMPUTED_VALUE"""),"")</f>
        <v/>
      </c>
      <c r="DQ4" s="21" t="str">
        <f>IFERROR(__xludf.DUMMYFUNCTION("""COMPUTED_VALUE"""),"")</f>
        <v/>
      </c>
      <c r="DR4" s="21" t="str">
        <f>IFERROR(__xludf.DUMMYFUNCTION("""COMPUTED_VALUE"""),"")</f>
        <v/>
      </c>
      <c r="DS4" s="21" t="str">
        <f>IFERROR(__xludf.DUMMYFUNCTION("""COMPUTED_VALUE"""),"")</f>
        <v/>
      </c>
      <c r="DT4" s="21" t="str">
        <f>IFERROR(__xludf.DUMMYFUNCTION("""COMPUTED_VALUE"""),"")</f>
        <v/>
      </c>
      <c r="DU4" s="21" t="str">
        <f>IFERROR(__xludf.DUMMYFUNCTION("""COMPUTED_VALUE"""),"")</f>
        <v/>
      </c>
      <c r="DV4" s="21" t="str">
        <f>IFERROR(__xludf.DUMMYFUNCTION("""COMPUTED_VALUE"""),"")</f>
        <v/>
      </c>
      <c r="DW4" s="21" t="str">
        <f>IFERROR(__xludf.DUMMYFUNCTION("""COMPUTED_VALUE"""),"")</f>
        <v/>
      </c>
      <c r="DX4" s="21" t="str">
        <f>IFERROR(__xludf.DUMMYFUNCTION("""COMPUTED_VALUE"""),"")</f>
        <v/>
      </c>
      <c r="DY4" s="21" t="str">
        <f>IFERROR(__xludf.DUMMYFUNCTION("""COMPUTED_VALUE"""),"")</f>
        <v/>
      </c>
      <c r="DZ4" s="21" t="str">
        <f>IFERROR(__xludf.DUMMYFUNCTION("""COMPUTED_VALUE"""),"")</f>
        <v/>
      </c>
      <c r="EA4" s="21" t="str">
        <f>IFERROR(__xludf.DUMMYFUNCTION("""COMPUTED_VALUE"""),"")</f>
        <v/>
      </c>
      <c r="EB4" s="21" t="str">
        <f>IFERROR(__xludf.DUMMYFUNCTION("""COMPUTED_VALUE"""),"")</f>
        <v/>
      </c>
      <c r="EC4" s="21" t="str">
        <f>IFERROR(__xludf.DUMMYFUNCTION("""COMPUTED_VALUE"""),"")</f>
        <v/>
      </c>
      <c r="ED4" s="21" t="str">
        <f>IFERROR(__xludf.DUMMYFUNCTION("""COMPUTED_VALUE"""),"")</f>
        <v/>
      </c>
      <c r="EE4" s="21" t="str">
        <f>IFERROR(__xludf.DUMMYFUNCTION("""COMPUTED_VALUE"""),"")</f>
        <v/>
      </c>
      <c r="EF4" s="21" t="str">
        <f>IFERROR(__xludf.DUMMYFUNCTION("""COMPUTED_VALUE"""),"")</f>
        <v/>
      </c>
      <c r="EG4" s="21" t="str">
        <f>IFERROR(__xludf.DUMMYFUNCTION("""COMPUTED_VALUE"""),"")</f>
        <v/>
      </c>
      <c r="EH4" s="21" t="str">
        <f>IFERROR(__xludf.DUMMYFUNCTION("""COMPUTED_VALUE"""),"")</f>
        <v/>
      </c>
      <c r="EI4" s="21" t="str">
        <f>IFERROR(__xludf.DUMMYFUNCTION("""COMPUTED_VALUE"""),"")</f>
        <v/>
      </c>
      <c r="EJ4" s="21" t="str">
        <f>IFERROR(__xludf.DUMMYFUNCTION("""COMPUTED_VALUE"""),"")</f>
        <v/>
      </c>
      <c r="EK4" s="21" t="str">
        <f>IFERROR(__xludf.DUMMYFUNCTION("""COMPUTED_VALUE"""),"")</f>
        <v/>
      </c>
      <c r="EL4" s="21" t="str">
        <f>IFERROR(__xludf.DUMMYFUNCTION("""COMPUTED_VALUE"""),"")</f>
        <v/>
      </c>
      <c r="EM4" s="21" t="str">
        <f>IFERROR(__xludf.DUMMYFUNCTION("""COMPUTED_VALUE"""),"")</f>
        <v/>
      </c>
      <c r="EN4" s="21" t="str">
        <f>IFERROR(__xludf.DUMMYFUNCTION("""COMPUTED_VALUE"""),"")</f>
        <v/>
      </c>
      <c r="EO4" s="21" t="str">
        <f>IFERROR(__xludf.DUMMYFUNCTION("""COMPUTED_VALUE"""),"")</f>
        <v/>
      </c>
      <c r="EP4" s="21" t="str">
        <f>IFERROR(__xludf.DUMMYFUNCTION("""COMPUTED_VALUE"""),"")</f>
        <v/>
      </c>
      <c r="EQ4" s="21" t="str">
        <f>IFERROR(__xludf.DUMMYFUNCTION("""COMPUTED_VALUE"""),"")</f>
        <v/>
      </c>
      <c r="ER4" s="21" t="str">
        <f>IFERROR(__xludf.DUMMYFUNCTION("""COMPUTED_VALUE"""),"")</f>
        <v/>
      </c>
      <c r="ES4" s="21" t="str">
        <f>IFERROR(__xludf.DUMMYFUNCTION("""COMPUTED_VALUE"""),"")</f>
        <v/>
      </c>
      <c r="ET4" s="21" t="str">
        <f>IFERROR(__xludf.DUMMYFUNCTION("""COMPUTED_VALUE"""),"")</f>
        <v/>
      </c>
      <c r="EU4" s="21" t="str">
        <f>IFERROR(__xludf.DUMMYFUNCTION("""COMPUTED_VALUE"""),"")</f>
        <v/>
      </c>
      <c r="EV4" s="21" t="str">
        <f>IFERROR(__xludf.DUMMYFUNCTION("""COMPUTED_VALUE"""),"")</f>
        <v/>
      </c>
      <c r="EW4" s="21" t="str">
        <f>IFERROR(__xludf.DUMMYFUNCTION("""COMPUTED_VALUE"""),"")</f>
        <v/>
      </c>
      <c r="EX4" s="21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IFERROR(__xludf.DUMMYFUNCTION("""COMPUTED_VALUE"""),"Column1")</f>
        <v>Column1</v>
      </c>
      <c r="O5" s="26" t="str">
        <f>IFERROR(__xludf.DUMMYFUNCTION("""COMPUTED_VALUE"""),"CostBasisGrossPNL")</f>
        <v>CostBasisGrossPNL</v>
      </c>
      <c r="P5" s="26" t="str">
        <f>IFERROR(__xludf.DUMMYFUNCTION("""COMPUTED_VALUE"""),"Currency")</f>
        <v>Currency</v>
      </c>
      <c r="Q5" s="26" t="str">
        <f>IFERROR(__xludf.DUMMYFUNCTION("""COMPUTED_VALUE"""),"CurrencyID")</f>
        <v>CurrencyID</v>
      </c>
      <c r="R5" s="26" t="str">
        <f>IFERROR(__xludf.DUMMYFUNCTION("""COMPUTED_VALUE"""),"Exchange")</f>
        <v>Exchange</v>
      </c>
      <c r="S5" s="26" t="str">
        <f>IFERROR(__xludf.DUMMYFUNCTION("""COMPUTED_VALUE"""),"NotionalChange")</f>
        <v>NotionalChange</v>
      </c>
      <c r="T5" s="28" t="str">
        <f>IFERROR(__xludf.DUMMYFUNCTION("""COMPUTED_VALUE"""),"OpenAveragePrice")</f>
        <v>OpenAveragePrice</v>
      </c>
      <c r="U5" s="28" t="str">
        <f>IFERROR(__xludf.DUMMYFUNCTION("""COMPUTED_VALUE"""),"Original Purchase Date")</f>
        <v>Original Purchase Date</v>
      </c>
      <c r="V5" s="28" t="str">
        <f>IFERROR(__xludf.DUMMYFUNCTION("""COMPUTED_VALUE"""),"Position Type")</f>
        <v>Position Type</v>
      </c>
      <c r="W5" s="28" t="str">
        <f>IFERROR(__xludf.DUMMYFUNCTION("""COMPUTED_VALUE"""),"PositionSide")</f>
        <v>PositionSide</v>
      </c>
      <c r="X5" s="28" t="str">
        <f>IFERROR(__xludf.DUMMYFUNCTION("""COMPUTED_VALUE"""),"PositionTotalCommissionandFees")</f>
        <v>PositionTotalCommissionandFees</v>
      </c>
      <c r="Y5" s="28" t="str">
        <f>IFERROR(__xludf.DUMMYFUNCTION("""COMPUTED_VALUE"""),"Realized PNL(C.B.)")</f>
        <v>Realized PNL(C.B.)</v>
      </c>
      <c r="Z5" s="28" t="str">
        <f>IFERROR(__xludf.DUMMYFUNCTION("""COMPUTED_VALUE"""),"Side")</f>
        <v>Side</v>
      </c>
      <c r="AA5" s="28" t="str">
        <f>IFERROR(__xludf.DUMMYFUNCTION("""COMPUTED_VALUE"""),"Strategy")</f>
        <v>Strategy</v>
      </c>
      <c r="AB5" s="28" t="str">
        <f>IFERROR(__xludf.DUMMYFUNCTION("""COMPUTED_VALUE"""),"Symbol")</f>
        <v>Symbol</v>
      </c>
      <c r="AC5" s="28" t="str">
        <f>IFERROR(__xludf.DUMMYFUNCTION("""COMPUTED_VALUE"""),"Taxlot ID")</f>
        <v>Taxlot ID</v>
      </c>
      <c r="AD5" s="28" t="str">
        <f>IFERROR(__xludf.DUMMYFUNCTION("""COMPUTED_VALUE"""),"UnderlyingName")</f>
        <v>UnderlyingName</v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5" t="s">
        <v>18</v>
      </c>
      <c r="C6" s="30" t="s">
        <v>23</v>
      </c>
      <c r="D6" s="36"/>
      <c r="E6" s="33">
        <f>TODAY()</f>
        <v>43627</v>
      </c>
      <c r="F6" s="31">
        <v>0.0</v>
      </c>
      <c r="G6" s="31">
        <v>1050.0</v>
      </c>
      <c r="H6" s="30" t="s">
        <v>26</v>
      </c>
      <c r="I6" s="32"/>
      <c r="J6" s="30"/>
      <c r="K6" s="32"/>
      <c r="L6" s="32"/>
      <c r="M6" s="32"/>
      <c r="N6" s="32"/>
      <c r="O6" s="32"/>
      <c r="P6" s="32"/>
      <c r="Q6" s="32"/>
      <c r="R6" s="32"/>
      <c r="S6" s="32"/>
      <c r="T6" s="32"/>
      <c r="U6" s="41">
        <f>TODAY()</f>
        <v>43627</v>
      </c>
      <c r="V6" s="32"/>
      <c r="W6" s="32" t="s">
        <v>27</v>
      </c>
      <c r="X6" s="32"/>
      <c r="Y6" s="32"/>
      <c r="Z6" s="32" t="s">
        <v>17</v>
      </c>
      <c r="AA6" s="32"/>
      <c r="AB6" s="37" t="s">
        <v>16</v>
      </c>
      <c r="AC6" s="32"/>
      <c r="AD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1" t="s">
        <v>7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5" t="str">
        <f> VLOOKUP($E$3,'_MasterData'!B4:D1000,3,FALSE)</f>
        <v>#N/A</v>
      </c>
      <c r="K2" s="15"/>
      <c r="L2" s="8"/>
      <c r="M2" s="8"/>
      <c r="N2" s="8"/>
      <c r="O2" s="8"/>
    </row>
    <row r="3" ht="15.75" customHeight="1">
      <c r="A3" s="16"/>
      <c r="B3" s="5" t="s">
        <v>8</v>
      </c>
      <c r="C3" s="17" t="s">
        <v>29</v>
      </c>
      <c r="D3" s="5" t="s">
        <v>10</v>
      </c>
      <c r="E3" s="17" t="s">
        <v>30</v>
      </c>
      <c r="F3" s="5" t="s">
        <v>12</v>
      </c>
      <c r="G3" s="12" t="s">
        <v>13</v>
      </c>
      <c r="H3" s="5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IFERROR(__xludf.DUMMYFUNCTION("IF(C3="""","""",Transpose(IMPORTRANGE('_Settings'!$B$3,C3&amp;""!A4:A1000"")))"),"Allocate")</f>
        <v>Allocate</v>
      </c>
      <c r="C4" s="19" t="str">
        <f>IFERROR(__xludf.DUMMYFUNCTION("""COMPUTED_VALUE"""),"CheckAllocatedGroups")</f>
        <v>CheckAllocatedGroups</v>
      </c>
      <c r="D4" s="19" t="str">
        <f>IFERROR(__xludf.DUMMYFUNCTION("""COMPUTED_VALUE"""),"Unallocate")</f>
        <v>Unallocate</v>
      </c>
      <c r="E4" s="19" t="str">
        <f>IFERROR(__xludf.DUMMYFUNCTION("""COMPUTED_VALUE"""),"GetDataAllocation")</f>
        <v>GetDataAllocation</v>
      </c>
      <c r="F4" s="19" t="str">
        <f>IFERROR(__xludf.DUMMYFUNCTION("""COMPUTED_VALUE"""),"SelectAllocatedGroup")</f>
        <v>SelectAllocatedGroup</v>
      </c>
      <c r="G4" s="19" t="str">
        <f>IFERROR(__xludf.DUMMYFUNCTION("""COMPUTED_VALUE"""),"EditTradesAllocated")</f>
        <v>EditTradesAllocated</v>
      </c>
      <c r="H4" s="19" t="str">
        <f>IFERROR(__xludf.DUMMYFUNCTION("""COMPUTED_VALUE"""),"EditTradesUnallocated")</f>
        <v>EditTradesUnallocated</v>
      </c>
      <c r="I4" s="19" t="str">
        <f>IFERROR(__xludf.DUMMYFUNCTION("""COMPUTED_VALUE"""),"Reallocate")</f>
        <v>Reallocate</v>
      </c>
      <c r="J4" s="19" t="str">
        <f>IFERROR(__xludf.DUMMYFUNCTION("""COMPUTED_VALUE"""),"EditUnallocatedGroupSidePanel")</f>
        <v>EditUnallocatedGroupSidePanel</v>
      </c>
      <c r="K4" s="19" t="str">
        <f>IFERROR(__xludf.DUMMYFUNCTION("""COMPUTED_VALUE"""),"TradeAttributeBulkChange")</f>
        <v>TradeAttributeBulkChange</v>
      </c>
      <c r="L4" s="19" t="str">
        <f>IFERROR(__xludf.DUMMYFUNCTION("""COMPUTED_VALUE"""),"ApplyBulkUpdateOnGroups")</f>
        <v>ApplyBulkUpdateOnGroups</v>
      </c>
      <c r="M4" s="19" t="str">
        <f>IFERROR(__xludf.DUMMYFUNCTION("""COMPUTED_VALUE"""),"ApplyPrefetchFilters")</f>
        <v>ApplyPrefetchFilters</v>
      </c>
      <c r="N4" s="19" t="str">
        <f>IFERROR(__xludf.DUMMYFUNCTION("""COMPUTED_VALUE"""),"GeneralPreferencesDefaultRule")</f>
        <v>GeneralPreferencesDefaultRule</v>
      </c>
      <c r="O4" s="19" t="str">
        <f>IFERROR(__xludf.DUMMYFUNCTION("""COMPUTED_VALUE"""),"GeneralPrefCompanyUserWise")</f>
        <v>GeneralPrefCompanyUserWise</v>
      </c>
      <c r="P4" s="21" t="str">
        <f>IFERROR(__xludf.DUMMYFUNCTION("""COMPUTED_VALUE"""),"RenameTradeAttributes")</f>
        <v>RenameTradeAttributes</v>
      </c>
      <c r="Q4" s="21" t="str">
        <f>IFERROR(__xludf.DUMMYFUNCTION("""COMPUTED_VALUE"""),"SetGroupingRules")</f>
        <v>SetGroupingRules</v>
      </c>
      <c r="R4" s="21" t="str">
        <f>IFERROR(__xludf.DUMMYFUNCTION("""COMPUTED_VALUE"""),"SetMasterFundRatio")</f>
        <v>SetMasterFundRatio</v>
      </c>
      <c r="S4" s="21" t="str">
        <f>IFERROR(__xludf.DUMMYFUNCTION("""COMPUTED_VALUE"""),"CheckFixedPreference")</f>
        <v>CheckFixedPreference</v>
      </c>
      <c r="T4" s="21" t="str">
        <f>IFERROR(__xludf.DUMMYFUNCTION("""COMPUTED_VALUE"""),"GetFixedPreference")</f>
        <v>GetFixedPreference</v>
      </c>
      <c r="U4" s="21" t="str">
        <f>IFERROR(__xludf.DUMMYFUNCTION("""COMPUTED_VALUE"""),"AddCalculatedPreferences")</f>
        <v>AddCalculatedPreferences</v>
      </c>
      <c r="V4" s="21" t="str">
        <f>IFERROR(__xludf.DUMMYFUNCTION("""COMPUTED_VALUE"""),"BulkChangeCalculatedPreferences")</f>
        <v>BulkChangeCalculatedPreferences</v>
      </c>
      <c r="W4" s="21" t="str">
        <f>IFERROR(__xludf.DUMMYFUNCTION("""COMPUTED_VALUE"""),"DeleteCalculatedPreferences")</f>
        <v>DeleteCalculatedPreferences</v>
      </c>
      <c r="X4" s="21" t="str">
        <f>IFERROR(__xludf.DUMMYFUNCTION("""COMPUTED_VALUE"""),"RenameCalculatedPreferences")</f>
        <v>RenameCalculatedPreferences</v>
      </c>
      <c r="Y4" s="21" t="str">
        <f>IFERROR(__xludf.DUMMYFUNCTION("""COMPUTED_VALUE"""),"CopyCalculatedPreferences")</f>
        <v>CopyCalculatedPreferences</v>
      </c>
      <c r="Z4" s="21" t="str">
        <f>IFERROR(__xludf.DUMMYFUNCTION("""COMPUTED_VALUE"""),"RunAutoGroup")</f>
        <v>RunAutoGroup</v>
      </c>
      <c r="AA4" s="21" t="str">
        <f>IFERROR(__xludf.DUMMYFUNCTION("""COMPUTED_VALUE"""),"BookOrUpdateSwap")</f>
        <v>BookOrUpdateSwap</v>
      </c>
      <c r="AB4" s="21" t="str">
        <f>IFERROR(__xludf.DUMMYFUNCTION("""COMPUTED_VALUE"""),"RunProrata")</f>
        <v>RunProrata</v>
      </c>
      <c r="AC4" s="21" t="str">
        <f>IFERROR(__xludf.DUMMYFUNCTION("""COMPUTED_VALUE"""),"SetDefaultRuleCalculatedPref")</f>
        <v>SetDefaultRuleCalculatedPref</v>
      </c>
      <c r="AD4" s="21" t="str">
        <f>IFERROR(__xludf.DUMMYFUNCTION("""COMPUTED_VALUE"""),"SetAccountValueCalculatedPref")</f>
        <v>SetAccountValueCalculatedPref</v>
      </c>
      <c r="AE4" s="21" t="str">
        <f>IFERROR(__xludf.DUMMYFUNCTION("""COMPUTED_VALUE"""),"TradeAttributeBulkChangeGroups")</f>
        <v>TradeAttributeBulkChangeGroups</v>
      </c>
      <c r="AF4" s="21" t="str">
        <f>IFERROR(__xludf.DUMMYFUNCTION("""COMPUTED_VALUE"""),"TradeAttributeBulkChangeTaxlots")</f>
        <v>TradeAttributeBulkChangeTaxlots</v>
      </c>
      <c r="AG4" s="21" t="str">
        <f>IFERROR(__xludf.DUMMYFUNCTION("""COMPUTED_VALUE"""),"AddCalculatedPreferenceToolbar")</f>
        <v>AddCalculatedPreferenceToolbar</v>
      </c>
      <c r="AH4" s="21" t="str">
        <f>IFERROR(__xludf.DUMMYFUNCTION("""COMPUTED_VALUE"""),"SetStrategyValueCalculatedPref")</f>
        <v>SetStrategyValueCalculatedPref</v>
      </c>
      <c r="AI4" s="21" t="str">
        <f>IFERROR(__xludf.DUMMYFUNCTION("""COMPUTED_VALUE"""),"ApplyBulkUpdateOnTaxlots")</f>
        <v>ApplyBulkUpdateOnTaxlots</v>
      </c>
      <c r="AJ4" s="21" t="str">
        <f>IFERROR(__xludf.DUMMYFUNCTION("""COMPUTED_VALUE"""),"CommissionBulkChangeOnGroups")</f>
        <v>CommissionBulkChangeOnGroups</v>
      </c>
      <c r="AK4" s="21" t="str">
        <f>IFERROR(__xludf.DUMMYFUNCTION("""COMPUTED_VALUE"""),"CommissionBulkChangeOnTaxlots")</f>
        <v>CommissionBulkChangeOnTaxlots</v>
      </c>
      <c r="AL4" s="21" t="str">
        <f>IFERROR(__xludf.DUMMYFUNCTION("""COMPUTED_VALUE"""),"SelectUnallocatedGroup")</f>
        <v>SelectUnallocatedGroup</v>
      </c>
      <c r="AM4" s="21" t="str">
        <f>IFERROR(__xludf.DUMMYFUNCTION("""COMPUTED_VALUE"""),"EnterAccountValuesToAllocate")</f>
        <v>EnterAccountValuesToAllocate</v>
      </c>
      <c r="AN4" s="21" t="str">
        <f>IFERROR(__xludf.DUMMYFUNCTION("""COMPUTED_VALUE"""),"EnterAllocatePreference")</f>
        <v>EnterAllocatePreference</v>
      </c>
      <c r="AO4" s="21" t="str">
        <f>IFERROR(__xludf.DUMMYFUNCTION("""COMPUTED_VALUE"""),"EnterStrategyValuesToAllocate")</f>
        <v>EnterStrategyValuesToAllocate</v>
      </c>
      <c r="AP4" s="21" t="str">
        <f>IFERROR(__xludf.DUMMYFUNCTION("""COMPUTED_VALUE"""),"CopyCalculatedPreferenceToolbar")</f>
        <v>CopyCalculatedPreferenceToolbar</v>
      </c>
      <c r="AQ4" s="21" t="str">
        <f>IFERROR(__xludf.DUMMYFUNCTION("""COMPUTED_VALUE"""),"SetGeneralRuleCalculatedPref")</f>
        <v>SetGeneralRuleCalculatedPref</v>
      </c>
      <c r="AR4" s="21" t="str">
        <f>IFERROR(__xludf.DUMMYFUNCTION("""COMPUTED_VALUE"""),"ExportAllCalculatedPreferences")</f>
        <v>ExportAllCalculatedPreferences</v>
      </c>
      <c r="AS4" s="21" t="str">
        <f>IFERROR(__xludf.DUMMYFUNCTION("""COMPUTED_VALUE"""),"SaveCalculatedPreferences")</f>
        <v>SaveCalculatedPreferences</v>
      </c>
      <c r="AT4" s="21" t="str">
        <f>IFERROR(__xludf.DUMMYFUNCTION("""COMPUTED_VALUE"""),"CloseCalculatedPreferences")</f>
        <v>CloseCalculatedPreferences</v>
      </c>
      <c r="AU4" s="21" t="str">
        <f>IFERROR(__xludf.DUMMYFUNCTION("""COMPUTED_VALUE"""),"ExportCalculatedPreference")</f>
        <v>ExportCalculatedPreference</v>
      </c>
      <c r="AV4" s="21" t="str">
        <f>IFERROR(__xludf.DUMMYFUNCTION("""COMPUTED_VALUE"""),"ImportCalculatedPreferences")</f>
        <v>ImportCalculatedPreferences</v>
      </c>
      <c r="AW4" s="21" t="str">
        <f>IFERROR(__xludf.DUMMYFUNCTION("""COMPUTED_VALUE"""),"OpenAuditTrailUnallocatedGroup")</f>
        <v>OpenAuditTrailUnallocatedGroup</v>
      </c>
      <c r="AX4" s="21" t="str">
        <f>IFERROR(__xludf.DUMMYFUNCTION("""COMPUTED_VALUE"""),"DeleteCalculatedPreferencesTool")</f>
        <v>DeleteCalculatedPreferencesTool</v>
      </c>
      <c r="AY4" s="21" t="str">
        <f>IFERROR(__xludf.DUMMYFUNCTION("""COMPUTED_VALUE"""),"ImportCalculatedPreferencesTool")</f>
        <v>ImportCalculatedPreferencesTool</v>
      </c>
      <c r="AZ4" s="21" t="str">
        <f>IFERROR(__xludf.DUMMYFUNCTION("""COMPUTED_VALUE"""),"ExportAllCalculatedPreferTool")</f>
        <v>ExportAllCalculatedPreferTool</v>
      </c>
      <c r="BA4" s="21" t="str">
        <f>IFERROR(__xludf.DUMMYFUNCTION("""COMPUTED_VALUE"""),"OpenAuditTrailAllocatedGroup")</f>
        <v>OpenAuditTrailAllocatedGroup</v>
      </c>
      <c r="BB4" s="21" t="str">
        <f>IFERROR(__xludf.DUMMYFUNCTION("""COMPUTED_VALUE"""),"OpenSymbolLookupUnallocateGroup")</f>
        <v>OpenSymbolLookupUnallocateGroup</v>
      </c>
      <c r="BC4" s="21" t="str">
        <f>IFERROR(__xludf.DUMMYFUNCTION("""COMPUTED_VALUE"""),"OpenSymbolLookupAllocatedGroup")</f>
        <v>OpenSymbolLookupAllocatedGroup</v>
      </c>
      <c r="BD4" s="21" t="str">
        <f>IFERROR(__xludf.DUMMYFUNCTION("""COMPUTED_VALUE"""),"DeleteFixedPreference")</f>
        <v>DeleteFixedPreference</v>
      </c>
      <c r="BE4" s="21" t="str">
        <f>IFERROR(__xludf.DUMMYFUNCTION("""COMPUTED_VALUE"""),"EditAllocatedGroupSidePanel")</f>
        <v>EditAllocatedGroupSidePanel</v>
      </c>
      <c r="BF4" s="21" t="str">
        <f>IFERROR(__xludf.DUMMYFUNCTION("""COMPUTED_VALUE"""),"CheckUnallocatedGroups")</f>
        <v>CheckUnallocatedGroups</v>
      </c>
      <c r="BG4" s="21" t="str">
        <f>IFERROR(__xludf.DUMMYFUNCTION("""COMPUTED_VALUE"""),"SetGeneralPreferences")</f>
        <v>SetGeneralPreferences</v>
      </c>
      <c r="BH4" s="21" t="str">
        <f>IFERROR(__xludf.DUMMYFUNCTION("""COMPUTED_VALUE"""),"GroupTrades")</f>
        <v>GroupTrades</v>
      </c>
      <c r="BI4" s="21" t="str">
        <f>IFERROR(__xludf.DUMMYFUNCTION("""COMPUTED_VALUE"""),"UngroupTrades")</f>
        <v>UngroupTrades</v>
      </c>
      <c r="BJ4" s="21" t="str">
        <f>IFERROR(__xludf.DUMMYFUNCTION("""COMPUTED_VALUE"""),"DeleteGroup")</f>
        <v>DeleteGroup</v>
      </c>
      <c r="BK4" s="21" t="str">
        <f>IFERROR(__xludf.DUMMYFUNCTION("""COMPUTED_VALUE"""),"CloseOrder")</f>
        <v>CloseOrder</v>
      </c>
      <c r="BL4" s="21" t="str">
        <f>IFERROR(__xludf.DUMMYFUNCTION("""COMPUTED_VALUE"""),"Unallocate")</f>
        <v>Unallocate</v>
      </c>
      <c r="BM4" s="21" t="str">
        <f>IFERROR(__xludf.DUMMYFUNCTION("""COMPUTED_VALUE"""),"CloseAllocation")</f>
        <v>CloseAllocation</v>
      </c>
      <c r="BN4" s="21" t="str">
        <f>IFERROR(__xludf.DUMMYFUNCTION("""COMPUTED_VALUE"""),"UpdateGRAccountValue")</f>
        <v>UpdateGRAccountValue</v>
      </c>
      <c r="BO4" s="21" t="str">
        <f>IFERROR(__xludf.DUMMYFUNCTION("""COMPUTED_VALUE"""),"UpdateGRStrategyValue")</f>
        <v>UpdateGRStrategyValue</v>
      </c>
      <c r="BP4" s="21" t="str">
        <f>IFERROR(__xludf.DUMMYFUNCTION("""COMPUTED_VALUE"""),"UpdateGRDefaultRule")</f>
        <v>UpdateGRDefaultRule</v>
      </c>
      <c r="BQ4" s="21" t="str">
        <f>IFERROR(__xludf.DUMMYFUNCTION("""COMPUTED_VALUE"""),"UpdateGeneralRulePref")</f>
        <v>UpdateGeneralRulePref</v>
      </c>
      <c r="BR4" s="21" t="str">
        <f>IFERROR(__xludf.DUMMYFUNCTION("""COMPUTED_VALUE"""),"ModifyGRPreferenceValues")</f>
        <v>ModifyGRPreferenceValues</v>
      </c>
      <c r="BS4" s="21" t="str">
        <f>IFERROR(__xludf.DUMMYFUNCTION("""COMPUTED_VALUE"""),"AddMFPreferences")</f>
        <v>AddMFPreferences</v>
      </c>
      <c r="BT4" s="21" t="str">
        <f>IFERROR(__xludf.DUMMYFUNCTION("""COMPUTED_VALUE"""),"AddMFPreferenceToolbar")</f>
        <v>AddMFPreferenceToolbar</v>
      </c>
      <c r="BU4" s="21" t="str">
        <f>IFERROR(__xludf.DUMMYFUNCTION("""COMPUTED_VALUE"""),"DeleteMFPreferences")</f>
        <v>DeleteMFPreferences</v>
      </c>
      <c r="BV4" s="21" t="str">
        <f>IFERROR(__xludf.DUMMYFUNCTION("""COMPUTED_VALUE"""),"DeleteMFPreferenceToolbar")</f>
        <v>DeleteMFPreferenceToolbar</v>
      </c>
      <c r="BW4" s="21" t="str">
        <f>IFERROR(__xludf.DUMMYFUNCTION("""COMPUTED_VALUE"""),"RenameMFPreferences")</f>
        <v>RenameMFPreferences</v>
      </c>
      <c r="BX4" s="21" t="str">
        <f>IFERROR(__xludf.DUMMYFUNCTION("""COMPUTED_VALUE"""),"SaveCloseMFPreference")</f>
        <v>SaveCloseMFPreference</v>
      </c>
      <c r="BY4" s="21" t="str">
        <f>IFERROR(__xludf.DUMMYFUNCTION("""COMPUTED_VALUE"""),"SetMFPrefAccountValues")</f>
        <v>SetMFPrefAccountValues</v>
      </c>
      <c r="BZ4" s="21" t="str">
        <f>IFERROR(__xludf.DUMMYFUNCTION("""COMPUTED_VALUE"""),"ModifyMFPrefGeneralRuleValues")</f>
        <v>ModifyMFPrefGeneralRuleValues</v>
      </c>
      <c r="CA4" s="21" t="str">
        <f>IFERROR(__xludf.DUMMYFUNCTION("""COMPUTED_VALUE"""),"SetMFPrefStrategyValues")</f>
        <v>SetMFPrefStrategyValues</v>
      </c>
      <c r="CB4" s="21" t="str">
        <f>IFERROR(__xludf.DUMMYFUNCTION("""COMPUTED_VALUE"""),"SetMFPrefGeneralRule")</f>
        <v>SetMFPrefGeneralRule</v>
      </c>
      <c r="CC4" s="21" t="str">
        <f>IFERROR(__xludf.DUMMYFUNCTION("""COMPUTED_VALUE"""),"SetMFPrefFundDistribution")</f>
        <v>SetMFPrefFundDistribution</v>
      </c>
      <c r="CD4" s="21" t="str">
        <f>IFERROR(__xludf.DUMMYFUNCTION("""COMPUTED_VALUE"""),"SetMFPreferencesDefaultRule")</f>
        <v>SetMFPreferencesDefaultRule</v>
      </c>
      <c r="CE4" s="21" t="str">
        <f>IFERROR(__xludf.DUMMYFUNCTION("""COMPUTED_VALUE"""),"SetMFPrefFundDefaultRule")</f>
        <v>SetMFPrefFundDefaultRule</v>
      </c>
      <c r="CF4" s="21" t="str">
        <f>IFERROR(__xludf.DUMMYFUNCTION("""COMPUTED_VALUE"""),"ClearPrefetchFilters")</f>
        <v>ClearPrefetchFilters</v>
      </c>
      <c r="CG4" s="21" t="str">
        <f>IFERROR(__xludf.DUMMYFUNCTION("""COMPUTED_VALUE"""),"ExpandCollapseAllUnallocated")</f>
        <v>ExpandCollapseAllUnallocated</v>
      </c>
      <c r="CH4" s="21" t="str">
        <f>IFERROR(__xludf.DUMMYFUNCTION("""COMPUTED_VALUE"""),"ExpandCollapseAllAllocated")</f>
        <v>ExpandCollapseAllAllocated</v>
      </c>
      <c r="CI4" s="21" t="str">
        <f>IFERROR(__xludf.DUMMYFUNCTION("""COMPUTED_VALUE"""),"GenerateCashTransaction")</f>
        <v>GenerateCashTransaction</v>
      </c>
      <c r="CJ4" s="21" t="str">
        <f>IFERROR(__xludf.DUMMYFUNCTION("""COMPUTED_VALUE"""),"SaveAllocation")</f>
        <v>SaveAllocation</v>
      </c>
      <c r="CK4" s="21" t="str">
        <f>IFERROR(__xludf.DUMMYFUNCTION("""COMPUTED_VALUE"""),"UnallocateWithOutSave")</f>
        <v>UnallocateWithOutSave</v>
      </c>
      <c r="CL4" s="21" t="str">
        <f>IFERROR(__xludf.DUMMYFUNCTION("""COMPUTED_VALUE"""),"EditUnallocatedGrid")</f>
        <v>EditUnallocatedGrid</v>
      </c>
      <c r="CM4" s="21" t="str">
        <f>IFERROR(__xludf.DUMMYFUNCTION("""COMPUTED_VALUE"""),"EditAllocatedGrid")</f>
        <v>EditAllocatedGrid</v>
      </c>
      <c r="CN4" s="21" t="str">
        <f>IFERROR(__xludf.DUMMYFUNCTION("""COMPUTED_VALUE"""),"SaveLayoutAllocatedGrid")</f>
        <v>SaveLayoutAllocatedGrid</v>
      </c>
      <c r="CO4" s="21" t="str">
        <f>IFERROR(__xludf.DUMMYFUNCTION("""COMPUTED_VALUE"""),"SaveLayoutUnallocatedGrid")</f>
        <v>SaveLayoutUnallocatedGrid</v>
      </c>
      <c r="CP4" s="21" t="str">
        <f>IFERROR(__xludf.DUMMYFUNCTION("""COMPUTED_VALUE"""),"SaveLayoutAllocationUI")</f>
        <v>SaveLayoutAllocationUI</v>
      </c>
      <c r="CQ4" s="21" t="str">
        <f>IFERROR(__xludf.DUMMYFUNCTION("""COMPUTED_VALUE"""),"ClearFiltersAllocatedGrid")</f>
        <v>ClearFiltersAllocatedGrid</v>
      </c>
      <c r="CR4" s="21" t="str">
        <f>IFERROR(__xludf.DUMMYFUNCTION("""COMPUTED_VALUE"""),"ClearFiltersUnallocatedGrid")</f>
        <v>ClearFiltersUnallocatedGrid</v>
      </c>
      <c r="CS4" s="21" t="str">
        <f>IFERROR(__xludf.DUMMYFUNCTION("""COMPUTED_VALUE"""),"VerifyLayoutAllocatedGrid")</f>
        <v>VerifyLayoutAllocatedGrid</v>
      </c>
      <c r="CT4" s="21" t="str">
        <f>IFERROR(__xludf.DUMMYFUNCTION("""COMPUTED_VALUE"""),"VerifyLayoutUnallocatedGrid")</f>
        <v>VerifyLayoutUnallocatedGrid</v>
      </c>
      <c r="CU4" s="21" t="str">
        <f>IFERROR(__xludf.DUMMYFUNCTION("""COMPUTED_VALUE"""),"CleanUp")</f>
        <v>CleanUp</v>
      </c>
      <c r="CV4" s="21" t="str">
        <f>IFERROR(__xludf.DUMMYFUNCTION("""COMPUTED_VALUE"""),"CheckAllocatedTaxlots")</f>
        <v>CheckAllocatedTaxlots</v>
      </c>
      <c r="CW4" s="21" t="str">
        <f>IFERROR(__xludf.DUMMYFUNCTION("""COMPUTED_VALUE"""),"")</f>
        <v/>
      </c>
      <c r="CX4" s="21" t="str">
        <f>IFERROR(__xludf.DUMMYFUNCTION("""COMPUTED_VALUE"""),"")</f>
        <v/>
      </c>
      <c r="CY4" s="21" t="str">
        <f>IFERROR(__xludf.DUMMYFUNCTION("""COMPUTED_VALUE"""),"")</f>
        <v/>
      </c>
      <c r="CZ4" s="21" t="str">
        <f>IFERROR(__xludf.DUMMYFUNCTION("""COMPUTED_VALUE"""),"")</f>
        <v/>
      </c>
      <c r="DA4" s="21" t="str">
        <f>IFERROR(__xludf.DUMMYFUNCTION("""COMPUTED_VALUE"""),"")</f>
        <v/>
      </c>
      <c r="DB4" s="21" t="str">
        <f>IFERROR(__xludf.DUMMYFUNCTION("""COMPUTED_VALUE"""),"")</f>
        <v/>
      </c>
      <c r="DC4" s="21" t="str">
        <f>IFERROR(__xludf.DUMMYFUNCTION("""COMPUTED_VALUE"""),"")</f>
        <v/>
      </c>
      <c r="DD4" s="21" t="str">
        <f>IFERROR(__xludf.DUMMYFUNCTION("""COMPUTED_VALUE"""),"")</f>
        <v/>
      </c>
      <c r="DE4" s="21" t="str">
        <f>IFERROR(__xludf.DUMMYFUNCTION("""COMPUTED_VALUE"""),"")</f>
        <v/>
      </c>
      <c r="DF4" s="21" t="str">
        <f>IFERROR(__xludf.DUMMYFUNCTION("""COMPUTED_VALUE"""),"")</f>
        <v/>
      </c>
      <c r="DG4" s="21" t="str">
        <f>IFERROR(__xludf.DUMMYFUNCTION("""COMPUTED_VALUE"""),"")</f>
        <v/>
      </c>
      <c r="DH4" s="21" t="str">
        <f>IFERROR(__xludf.DUMMYFUNCTION("""COMPUTED_VALUE"""),"")</f>
        <v/>
      </c>
      <c r="DI4" s="21" t="str">
        <f>IFERROR(__xludf.DUMMYFUNCTION("""COMPUTED_VALUE"""),"")</f>
        <v/>
      </c>
      <c r="DJ4" s="21" t="str">
        <f>IFERROR(__xludf.DUMMYFUNCTION("""COMPUTED_VALUE"""),"")</f>
        <v/>
      </c>
      <c r="DK4" s="21" t="str">
        <f>IFERROR(__xludf.DUMMYFUNCTION("""COMPUTED_VALUE"""),"")</f>
        <v/>
      </c>
      <c r="DL4" s="21" t="str">
        <f>IFERROR(__xludf.DUMMYFUNCTION("""COMPUTED_VALUE"""),"")</f>
        <v/>
      </c>
      <c r="DM4" s="21" t="str">
        <f>IFERROR(__xludf.DUMMYFUNCTION("""COMPUTED_VALUE"""),"")</f>
        <v/>
      </c>
      <c r="DN4" s="21" t="str">
        <f>IFERROR(__xludf.DUMMYFUNCTION("""COMPUTED_VALUE"""),"")</f>
        <v/>
      </c>
      <c r="DO4" s="21" t="str">
        <f>IFERROR(__xludf.DUMMYFUNCTION("""COMPUTED_VALUE"""),"")</f>
        <v/>
      </c>
      <c r="DP4" s="21" t="str">
        <f>IFERROR(__xludf.DUMMYFUNCTION("""COMPUTED_VALUE"""),"")</f>
        <v/>
      </c>
      <c r="DQ4" s="21" t="str">
        <f>IFERROR(__xludf.DUMMYFUNCTION("""COMPUTED_VALUE"""),"")</f>
        <v/>
      </c>
      <c r="DR4" s="21" t="str">
        <f>IFERROR(__xludf.DUMMYFUNCTION("""COMPUTED_VALUE"""),"")</f>
        <v/>
      </c>
      <c r="DS4" s="21" t="str">
        <f>IFERROR(__xludf.DUMMYFUNCTION("""COMPUTED_VALUE"""),"")</f>
        <v/>
      </c>
      <c r="DT4" s="21" t="str">
        <f>IFERROR(__xludf.DUMMYFUNCTION("""COMPUTED_VALUE"""),"")</f>
        <v/>
      </c>
      <c r="DU4" s="21" t="str">
        <f>IFERROR(__xludf.DUMMYFUNCTION("""COMPUTED_VALUE"""),"")</f>
        <v/>
      </c>
      <c r="DV4" s="21" t="str">
        <f>IFERROR(__xludf.DUMMYFUNCTION("""COMPUTED_VALUE"""),"")</f>
        <v/>
      </c>
      <c r="DW4" s="21" t="str">
        <f>IFERROR(__xludf.DUMMYFUNCTION("""COMPUTED_VALUE"""),"")</f>
        <v/>
      </c>
      <c r="DX4" s="21" t="str">
        <f>IFERROR(__xludf.DUMMYFUNCTION("""COMPUTED_VALUE"""),"")</f>
        <v/>
      </c>
      <c r="DY4" s="21" t="str">
        <f>IFERROR(__xludf.DUMMYFUNCTION("""COMPUTED_VALUE"""),"")</f>
        <v/>
      </c>
      <c r="DZ4" s="21" t="str">
        <f>IFERROR(__xludf.DUMMYFUNCTION("""COMPUTED_VALUE"""),"")</f>
        <v/>
      </c>
      <c r="EA4" s="21" t="str">
        <f>IFERROR(__xludf.DUMMYFUNCTION("""COMPUTED_VALUE"""),"")</f>
        <v/>
      </c>
      <c r="EB4" s="21" t="str">
        <f>IFERROR(__xludf.DUMMYFUNCTION("""COMPUTED_VALUE"""),"")</f>
        <v/>
      </c>
      <c r="EC4" s="21" t="str">
        <f>IFERROR(__xludf.DUMMYFUNCTION("""COMPUTED_VALUE"""),"")</f>
        <v/>
      </c>
      <c r="ED4" s="21" t="str">
        <f>IFERROR(__xludf.DUMMYFUNCTION("""COMPUTED_VALUE"""),"")</f>
        <v/>
      </c>
      <c r="EE4" s="21" t="str">
        <f>IFERROR(__xludf.DUMMYFUNCTION("""COMPUTED_VALUE"""),"")</f>
        <v/>
      </c>
      <c r="EF4" s="21" t="str">
        <f>IFERROR(__xludf.DUMMYFUNCTION("""COMPUTED_VALUE"""),"")</f>
        <v/>
      </c>
      <c r="EG4" s="21" t="str">
        <f>IFERROR(__xludf.DUMMYFUNCTION("""COMPUTED_VALUE"""),"")</f>
        <v/>
      </c>
      <c r="EH4" s="21" t="str">
        <f>IFERROR(__xludf.DUMMYFUNCTION("""COMPUTED_VALUE"""),"")</f>
        <v/>
      </c>
      <c r="EI4" s="21" t="str">
        <f>IFERROR(__xludf.DUMMYFUNCTION("""COMPUTED_VALUE"""),"")</f>
        <v/>
      </c>
      <c r="EJ4" s="21" t="str">
        <f>IFERROR(__xludf.DUMMYFUNCTION("""COMPUTED_VALUE"""),"")</f>
        <v/>
      </c>
      <c r="EK4" s="21" t="str">
        <f>IFERROR(__xludf.DUMMYFUNCTION("""COMPUTED_VALUE"""),"")</f>
        <v/>
      </c>
      <c r="EL4" s="21" t="str">
        <f>IFERROR(__xludf.DUMMYFUNCTION("""COMPUTED_VALUE"""),"")</f>
        <v/>
      </c>
      <c r="EM4" s="21" t="str">
        <f>IFERROR(__xludf.DUMMYFUNCTION("""COMPUTED_VALUE"""),"")</f>
        <v/>
      </c>
      <c r="EN4" s="21" t="str">
        <f>IFERROR(__xludf.DUMMYFUNCTION("""COMPUTED_VALUE"""),"")</f>
        <v/>
      </c>
      <c r="EO4" s="21" t="str">
        <f>IFERROR(__xludf.DUMMYFUNCTION("""COMPUTED_VALUE"""),"")</f>
        <v/>
      </c>
      <c r="EP4" s="21" t="str">
        <f>IFERROR(__xludf.DUMMYFUNCTION("""COMPUTED_VALUE"""),"")</f>
        <v/>
      </c>
      <c r="EQ4" s="21" t="str">
        <f>IFERROR(__xludf.DUMMYFUNCTION("""COMPUTED_VALUE"""),"")</f>
        <v/>
      </c>
      <c r="ER4" s="21" t="str">
        <f>IFERROR(__xludf.DUMMYFUNCTION("""COMPUTED_VALUE"""),"")</f>
        <v/>
      </c>
      <c r="ES4" s="21" t="str">
        <f>IFERROR(__xludf.DUMMYFUNCTION("""COMPUTED_VALUE"""),"")</f>
        <v/>
      </c>
      <c r="ET4" s="21" t="str">
        <f>IFERROR(__xludf.DUMMYFUNCTION("""COMPUTED_VALUE"""),"")</f>
        <v/>
      </c>
      <c r="EU4" s="21" t="str">
        <f>IFERROR(__xludf.DUMMYFUNCTION("""COMPUTED_VALUE"""),"")</f>
        <v/>
      </c>
      <c r="EV4" s="21" t="str">
        <f>IFERROR(__xludf.DUMMYFUNCTION("""COMPUTED_VALUE"""),"")</f>
        <v/>
      </c>
      <c r="EW4" s="21" t="str">
        <f>IFERROR(__xludf.DUMMYFUNCTION("""COMPUTED_VALUE"""),"")</f>
        <v/>
      </c>
      <c r="EX4" s="21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5" t="s">
        <v>18</v>
      </c>
      <c r="C6" s="32"/>
      <c r="D6" s="36"/>
      <c r="E6" s="31">
        <v>1050.0</v>
      </c>
      <c r="F6" s="32"/>
      <c r="G6" s="32"/>
      <c r="H6" s="32"/>
      <c r="I6" s="42"/>
      <c r="J6" s="32"/>
      <c r="K6" s="37">
        <v>36.0</v>
      </c>
      <c r="L6" s="37">
        <v>36.0</v>
      </c>
      <c r="M6" s="32"/>
      <c r="N6" s="32"/>
      <c r="O6" s="32"/>
      <c r="P6" s="32"/>
      <c r="Q6" s="32"/>
      <c r="R6" s="32"/>
      <c r="S6" s="32" t="s">
        <v>31</v>
      </c>
      <c r="T6" s="32"/>
      <c r="V6" s="32"/>
      <c r="W6" s="32"/>
      <c r="X6" s="32"/>
      <c r="Y6" s="32"/>
      <c r="Z6" s="32"/>
      <c r="AA6" s="32"/>
      <c r="AB6" s="32"/>
      <c r="AC6" s="32"/>
      <c r="AD6" s="32"/>
      <c r="AE6" s="43">
        <v>1050.0</v>
      </c>
      <c r="AF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43">
        <v>1050.0</v>
      </c>
      <c r="BK6" s="32"/>
      <c r="BL6" s="32"/>
      <c r="BN6" s="32"/>
      <c r="BO6" s="32" t="s">
        <v>32</v>
      </c>
      <c r="BP6" s="32"/>
      <c r="BQ6" s="32"/>
      <c r="BR6" s="32"/>
      <c r="BS6" s="32"/>
      <c r="BT6" s="37" t="s">
        <v>16</v>
      </c>
      <c r="BV6" s="32"/>
      <c r="BW6" s="32"/>
      <c r="BX6" s="32"/>
      <c r="BY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</row>
    <row r="7" ht="15.75" customHeight="1">
      <c r="A7" s="8"/>
      <c r="B7" s="30" t="s">
        <v>18</v>
      </c>
      <c r="C7" s="32"/>
      <c r="D7" s="32"/>
      <c r="E7" s="31">
        <v>1050.0</v>
      </c>
      <c r="F7" s="32"/>
      <c r="G7" s="32"/>
      <c r="H7" s="32"/>
      <c r="I7" s="42"/>
      <c r="J7" s="32"/>
      <c r="K7" s="37">
        <v>0.0</v>
      </c>
      <c r="L7" s="37">
        <v>0.0</v>
      </c>
      <c r="M7" s="32"/>
      <c r="N7" s="32"/>
      <c r="O7" s="32"/>
      <c r="P7" s="32"/>
      <c r="Q7" s="32"/>
      <c r="R7" s="32"/>
      <c r="S7" s="37" t="s">
        <v>31</v>
      </c>
      <c r="T7" s="32"/>
      <c r="V7" s="32"/>
      <c r="W7" s="32"/>
      <c r="X7" s="32"/>
      <c r="Y7" s="32"/>
      <c r="Z7" s="32"/>
      <c r="AA7" s="32"/>
      <c r="AB7" s="32"/>
      <c r="AC7" s="32"/>
      <c r="AD7" s="32"/>
      <c r="AE7" s="43">
        <v>1050.0</v>
      </c>
      <c r="AF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43">
        <v>1050.0</v>
      </c>
      <c r="BK7" s="32"/>
      <c r="BL7" s="32"/>
      <c r="BN7" s="32"/>
      <c r="BO7" s="32" t="s">
        <v>33</v>
      </c>
      <c r="BP7" s="32"/>
      <c r="BQ7" s="32"/>
      <c r="BR7" s="32"/>
      <c r="BS7" s="32"/>
      <c r="BT7" s="37" t="s">
        <v>16</v>
      </c>
      <c r="BV7" s="32"/>
      <c r="BW7" s="32"/>
      <c r="BX7" s="32"/>
      <c r="BY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1" t="s">
        <v>7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5" t="str">
        <f> VLOOKUP($E$3,'_MasterData'!B4:D1000,3,FALSE)</f>
        <v>#N/A</v>
      </c>
      <c r="K2" s="15"/>
      <c r="L2" s="8"/>
      <c r="M2" s="8"/>
      <c r="N2" s="8"/>
      <c r="O2" s="8"/>
    </row>
    <row r="3" ht="15.75" customHeight="1">
      <c r="A3" s="16"/>
      <c r="B3" s="5" t="s">
        <v>8</v>
      </c>
      <c r="C3" s="17" t="s">
        <v>29</v>
      </c>
      <c r="D3" s="5" t="s">
        <v>10</v>
      </c>
      <c r="E3" s="17" t="s">
        <v>34</v>
      </c>
      <c r="F3" s="5" t="s">
        <v>12</v>
      </c>
      <c r="G3" s="12" t="s">
        <v>13</v>
      </c>
      <c r="H3" s="5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IFERROR(__xludf.DUMMYFUNCTION("IF(C3="""","""",Transpose(IMPORTRANGE('_Settings'!$B$3,C3&amp;""!A4:A1000"")))"),"Allocate")</f>
        <v>Allocate</v>
      </c>
      <c r="C4" s="19" t="str">
        <f>IFERROR(__xludf.DUMMYFUNCTION("""COMPUTED_VALUE"""),"CheckAllocatedGroups")</f>
        <v>CheckAllocatedGroups</v>
      </c>
      <c r="D4" s="19" t="str">
        <f>IFERROR(__xludf.DUMMYFUNCTION("""COMPUTED_VALUE"""),"Unallocate")</f>
        <v>Unallocate</v>
      </c>
      <c r="E4" s="19" t="str">
        <f>IFERROR(__xludf.DUMMYFUNCTION("""COMPUTED_VALUE"""),"GetDataAllocation")</f>
        <v>GetDataAllocation</v>
      </c>
      <c r="F4" s="19" t="str">
        <f>IFERROR(__xludf.DUMMYFUNCTION("""COMPUTED_VALUE"""),"SelectAllocatedGroup")</f>
        <v>SelectAllocatedGroup</v>
      </c>
      <c r="G4" s="19" t="str">
        <f>IFERROR(__xludf.DUMMYFUNCTION("""COMPUTED_VALUE"""),"EditTradesAllocated")</f>
        <v>EditTradesAllocated</v>
      </c>
      <c r="H4" s="19" t="str">
        <f>IFERROR(__xludf.DUMMYFUNCTION("""COMPUTED_VALUE"""),"EditTradesUnallocated")</f>
        <v>EditTradesUnallocated</v>
      </c>
      <c r="I4" s="19" t="str">
        <f>IFERROR(__xludf.DUMMYFUNCTION("""COMPUTED_VALUE"""),"Reallocate")</f>
        <v>Reallocate</v>
      </c>
      <c r="J4" s="19" t="str">
        <f>IFERROR(__xludf.DUMMYFUNCTION("""COMPUTED_VALUE"""),"EditUnallocatedGroupSidePanel")</f>
        <v>EditUnallocatedGroupSidePanel</v>
      </c>
      <c r="K4" s="19" t="str">
        <f>IFERROR(__xludf.DUMMYFUNCTION("""COMPUTED_VALUE"""),"TradeAttributeBulkChange")</f>
        <v>TradeAttributeBulkChange</v>
      </c>
      <c r="L4" s="19" t="str">
        <f>IFERROR(__xludf.DUMMYFUNCTION("""COMPUTED_VALUE"""),"ApplyBulkUpdateOnGroups")</f>
        <v>ApplyBulkUpdateOnGroups</v>
      </c>
      <c r="M4" s="19" t="str">
        <f>IFERROR(__xludf.DUMMYFUNCTION("""COMPUTED_VALUE"""),"ApplyPrefetchFilters")</f>
        <v>ApplyPrefetchFilters</v>
      </c>
      <c r="N4" s="19" t="str">
        <f>IFERROR(__xludf.DUMMYFUNCTION("""COMPUTED_VALUE"""),"GeneralPreferencesDefaultRule")</f>
        <v>GeneralPreferencesDefaultRule</v>
      </c>
      <c r="O4" s="19" t="str">
        <f>IFERROR(__xludf.DUMMYFUNCTION("""COMPUTED_VALUE"""),"GeneralPrefCompanyUserWise")</f>
        <v>GeneralPrefCompanyUserWise</v>
      </c>
      <c r="P4" s="21" t="str">
        <f>IFERROR(__xludf.DUMMYFUNCTION("""COMPUTED_VALUE"""),"RenameTradeAttributes")</f>
        <v>RenameTradeAttributes</v>
      </c>
      <c r="Q4" s="21" t="str">
        <f>IFERROR(__xludf.DUMMYFUNCTION("""COMPUTED_VALUE"""),"SetGroupingRules")</f>
        <v>SetGroupingRules</v>
      </c>
      <c r="R4" s="21" t="str">
        <f>IFERROR(__xludf.DUMMYFUNCTION("""COMPUTED_VALUE"""),"SetMasterFundRatio")</f>
        <v>SetMasterFundRatio</v>
      </c>
      <c r="S4" s="21" t="str">
        <f>IFERROR(__xludf.DUMMYFUNCTION("""COMPUTED_VALUE"""),"CheckFixedPreference")</f>
        <v>CheckFixedPreference</v>
      </c>
      <c r="T4" s="21" t="str">
        <f>IFERROR(__xludf.DUMMYFUNCTION("""COMPUTED_VALUE"""),"GetFixedPreference")</f>
        <v>GetFixedPreference</v>
      </c>
      <c r="U4" s="21" t="str">
        <f>IFERROR(__xludf.DUMMYFUNCTION("""COMPUTED_VALUE"""),"AddCalculatedPreferences")</f>
        <v>AddCalculatedPreferences</v>
      </c>
      <c r="V4" s="21" t="str">
        <f>IFERROR(__xludf.DUMMYFUNCTION("""COMPUTED_VALUE"""),"BulkChangeCalculatedPreferences")</f>
        <v>BulkChangeCalculatedPreferences</v>
      </c>
      <c r="W4" s="21" t="str">
        <f>IFERROR(__xludf.DUMMYFUNCTION("""COMPUTED_VALUE"""),"DeleteCalculatedPreferences")</f>
        <v>DeleteCalculatedPreferences</v>
      </c>
      <c r="X4" s="21" t="str">
        <f>IFERROR(__xludf.DUMMYFUNCTION("""COMPUTED_VALUE"""),"RenameCalculatedPreferences")</f>
        <v>RenameCalculatedPreferences</v>
      </c>
      <c r="Y4" s="21" t="str">
        <f>IFERROR(__xludf.DUMMYFUNCTION("""COMPUTED_VALUE"""),"CopyCalculatedPreferences")</f>
        <v>CopyCalculatedPreferences</v>
      </c>
      <c r="Z4" s="21" t="str">
        <f>IFERROR(__xludf.DUMMYFUNCTION("""COMPUTED_VALUE"""),"RunAutoGroup")</f>
        <v>RunAutoGroup</v>
      </c>
      <c r="AA4" s="21" t="str">
        <f>IFERROR(__xludf.DUMMYFUNCTION("""COMPUTED_VALUE"""),"BookOrUpdateSwap")</f>
        <v>BookOrUpdateSwap</v>
      </c>
      <c r="AB4" s="21" t="str">
        <f>IFERROR(__xludf.DUMMYFUNCTION("""COMPUTED_VALUE"""),"RunProrata")</f>
        <v>RunProrata</v>
      </c>
      <c r="AC4" s="21" t="str">
        <f>IFERROR(__xludf.DUMMYFUNCTION("""COMPUTED_VALUE"""),"SetDefaultRuleCalculatedPref")</f>
        <v>SetDefaultRuleCalculatedPref</v>
      </c>
      <c r="AD4" s="21" t="str">
        <f>IFERROR(__xludf.DUMMYFUNCTION("""COMPUTED_VALUE"""),"SetAccountValueCalculatedPref")</f>
        <v>SetAccountValueCalculatedPref</v>
      </c>
      <c r="AE4" s="21" t="str">
        <f>IFERROR(__xludf.DUMMYFUNCTION("""COMPUTED_VALUE"""),"TradeAttributeBulkChangeGroups")</f>
        <v>TradeAttributeBulkChangeGroups</v>
      </c>
      <c r="AF4" s="21" t="str">
        <f>IFERROR(__xludf.DUMMYFUNCTION("""COMPUTED_VALUE"""),"TradeAttributeBulkChangeTaxlots")</f>
        <v>TradeAttributeBulkChangeTaxlots</v>
      </c>
      <c r="AG4" s="21" t="str">
        <f>IFERROR(__xludf.DUMMYFUNCTION("""COMPUTED_VALUE"""),"AddCalculatedPreferenceToolbar")</f>
        <v>AddCalculatedPreferenceToolbar</v>
      </c>
      <c r="AH4" s="21" t="str">
        <f>IFERROR(__xludf.DUMMYFUNCTION("""COMPUTED_VALUE"""),"SetStrategyValueCalculatedPref")</f>
        <v>SetStrategyValueCalculatedPref</v>
      </c>
      <c r="AI4" s="21" t="str">
        <f>IFERROR(__xludf.DUMMYFUNCTION("""COMPUTED_VALUE"""),"ApplyBulkUpdateOnTaxlots")</f>
        <v>ApplyBulkUpdateOnTaxlots</v>
      </c>
      <c r="AJ4" s="21" t="str">
        <f>IFERROR(__xludf.DUMMYFUNCTION("""COMPUTED_VALUE"""),"CommissionBulkChangeOnGroups")</f>
        <v>CommissionBulkChangeOnGroups</v>
      </c>
      <c r="AK4" s="21" t="str">
        <f>IFERROR(__xludf.DUMMYFUNCTION("""COMPUTED_VALUE"""),"CommissionBulkChangeOnTaxlots")</f>
        <v>CommissionBulkChangeOnTaxlots</v>
      </c>
      <c r="AL4" s="21" t="str">
        <f>IFERROR(__xludf.DUMMYFUNCTION("""COMPUTED_VALUE"""),"SelectUnallocatedGroup")</f>
        <v>SelectUnallocatedGroup</v>
      </c>
      <c r="AM4" s="21" t="str">
        <f>IFERROR(__xludf.DUMMYFUNCTION("""COMPUTED_VALUE"""),"EnterAccountValuesToAllocate")</f>
        <v>EnterAccountValuesToAllocate</v>
      </c>
      <c r="AN4" s="21" t="str">
        <f>IFERROR(__xludf.DUMMYFUNCTION("""COMPUTED_VALUE"""),"EnterAllocatePreference")</f>
        <v>EnterAllocatePreference</v>
      </c>
      <c r="AO4" s="21" t="str">
        <f>IFERROR(__xludf.DUMMYFUNCTION("""COMPUTED_VALUE"""),"EnterStrategyValuesToAllocate")</f>
        <v>EnterStrategyValuesToAllocate</v>
      </c>
      <c r="AP4" s="21" t="str">
        <f>IFERROR(__xludf.DUMMYFUNCTION("""COMPUTED_VALUE"""),"CopyCalculatedPreferenceToolbar")</f>
        <v>CopyCalculatedPreferenceToolbar</v>
      </c>
      <c r="AQ4" s="21" t="str">
        <f>IFERROR(__xludf.DUMMYFUNCTION("""COMPUTED_VALUE"""),"SetGeneralRuleCalculatedPref")</f>
        <v>SetGeneralRuleCalculatedPref</v>
      </c>
      <c r="AR4" s="21" t="str">
        <f>IFERROR(__xludf.DUMMYFUNCTION("""COMPUTED_VALUE"""),"ExportAllCalculatedPreferences")</f>
        <v>ExportAllCalculatedPreferences</v>
      </c>
      <c r="AS4" s="21" t="str">
        <f>IFERROR(__xludf.DUMMYFUNCTION("""COMPUTED_VALUE"""),"SaveCalculatedPreferences")</f>
        <v>SaveCalculatedPreferences</v>
      </c>
      <c r="AT4" s="21" t="str">
        <f>IFERROR(__xludf.DUMMYFUNCTION("""COMPUTED_VALUE"""),"CloseCalculatedPreferences")</f>
        <v>CloseCalculatedPreferences</v>
      </c>
      <c r="AU4" s="21" t="str">
        <f>IFERROR(__xludf.DUMMYFUNCTION("""COMPUTED_VALUE"""),"ExportCalculatedPreference")</f>
        <v>ExportCalculatedPreference</v>
      </c>
      <c r="AV4" s="21" t="str">
        <f>IFERROR(__xludf.DUMMYFUNCTION("""COMPUTED_VALUE"""),"ImportCalculatedPreferences")</f>
        <v>ImportCalculatedPreferences</v>
      </c>
      <c r="AW4" s="21" t="str">
        <f>IFERROR(__xludf.DUMMYFUNCTION("""COMPUTED_VALUE"""),"OpenAuditTrailUnallocatedGroup")</f>
        <v>OpenAuditTrailUnallocatedGroup</v>
      </c>
      <c r="AX4" s="21" t="str">
        <f>IFERROR(__xludf.DUMMYFUNCTION("""COMPUTED_VALUE"""),"DeleteCalculatedPreferencesTool")</f>
        <v>DeleteCalculatedPreferencesTool</v>
      </c>
      <c r="AY4" s="21" t="str">
        <f>IFERROR(__xludf.DUMMYFUNCTION("""COMPUTED_VALUE"""),"ImportCalculatedPreferencesTool")</f>
        <v>ImportCalculatedPreferencesTool</v>
      </c>
      <c r="AZ4" s="21" t="str">
        <f>IFERROR(__xludf.DUMMYFUNCTION("""COMPUTED_VALUE"""),"ExportAllCalculatedPreferTool")</f>
        <v>ExportAllCalculatedPreferTool</v>
      </c>
      <c r="BA4" s="21" t="str">
        <f>IFERROR(__xludf.DUMMYFUNCTION("""COMPUTED_VALUE"""),"OpenAuditTrailAllocatedGroup")</f>
        <v>OpenAuditTrailAllocatedGroup</v>
      </c>
      <c r="BB4" s="21" t="str">
        <f>IFERROR(__xludf.DUMMYFUNCTION("""COMPUTED_VALUE"""),"OpenSymbolLookupUnallocateGroup")</f>
        <v>OpenSymbolLookupUnallocateGroup</v>
      </c>
      <c r="BC4" s="21" t="str">
        <f>IFERROR(__xludf.DUMMYFUNCTION("""COMPUTED_VALUE"""),"OpenSymbolLookupAllocatedGroup")</f>
        <v>OpenSymbolLookupAllocatedGroup</v>
      </c>
      <c r="BD4" s="21" t="str">
        <f>IFERROR(__xludf.DUMMYFUNCTION("""COMPUTED_VALUE"""),"DeleteFixedPreference")</f>
        <v>DeleteFixedPreference</v>
      </c>
      <c r="BE4" s="21" t="str">
        <f>IFERROR(__xludf.DUMMYFUNCTION("""COMPUTED_VALUE"""),"EditAllocatedGroupSidePanel")</f>
        <v>EditAllocatedGroupSidePanel</v>
      </c>
      <c r="BF4" s="21" t="str">
        <f>IFERROR(__xludf.DUMMYFUNCTION("""COMPUTED_VALUE"""),"CheckUnallocatedGroups")</f>
        <v>CheckUnallocatedGroups</v>
      </c>
      <c r="BG4" s="21" t="str">
        <f>IFERROR(__xludf.DUMMYFUNCTION("""COMPUTED_VALUE"""),"SetGeneralPreferences")</f>
        <v>SetGeneralPreferences</v>
      </c>
      <c r="BH4" s="21" t="str">
        <f>IFERROR(__xludf.DUMMYFUNCTION("""COMPUTED_VALUE"""),"GroupTrades")</f>
        <v>GroupTrades</v>
      </c>
      <c r="BI4" s="21" t="str">
        <f>IFERROR(__xludf.DUMMYFUNCTION("""COMPUTED_VALUE"""),"UngroupTrades")</f>
        <v>UngroupTrades</v>
      </c>
      <c r="BJ4" s="21" t="str">
        <f>IFERROR(__xludf.DUMMYFUNCTION("""COMPUTED_VALUE"""),"DeleteGroup")</f>
        <v>DeleteGroup</v>
      </c>
      <c r="BK4" s="21" t="str">
        <f>IFERROR(__xludf.DUMMYFUNCTION("""COMPUTED_VALUE"""),"CloseOrder")</f>
        <v>CloseOrder</v>
      </c>
      <c r="BL4" s="21" t="str">
        <f>IFERROR(__xludf.DUMMYFUNCTION("""COMPUTED_VALUE"""),"Unallocate")</f>
        <v>Unallocate</v>
      </c>
      <c r="BM4" s="21" t="str">
        <f>IFERROR(__xludf.DUMMYFUNCTION("""COMPUTED_VALUE"""),"CloseAllocation")</f>
        <v>CloseAllocation</v>
      </c>
      <c r="BN4" s="21" t="str">
        <f>IFERROR(__xludf.DUMMYFUNCTION("""COMPUTED_VALUE"""),"UpdateGRAccountValue")</f>
        <v>UpdateGRAccountValue</v>
      </c>
      <c r="BO4" s="21" t="str">
        <f>IFERROR(__xludf.DUMMYFUNCTION("""COMPUTED_VALUE"""),"UpdateGRStrategyValue")</f>
        <v>UpdateGRStrategyValue</v>
      </c>
      <c r="BP4" s="21" t="str">
        <f>IFERROR(__xludf.DUMMYFUNCTION("""COMPUTED_VALUE"""),"UpdateGRDefaultRule")</f>
        <v>UpdateGRDefaultRule</v>
      </c>
      <c r="BQ4" s="21" t="str">
        <f>IFERROR(__xludf.DUMMYFUNCTION("""COMPUTED_VALUE"""),"UpdateGeneralRulePref")</f>
        <v>UpdateGeneralRulePref</v>
      </c>
      <c r="BR4" s="21" t="str">
        <f>IFERROR(__xludf.DUMMYFUNCTION("""COMPUTED_VALUE"""),"ModifyGRPreferenceValues")</f>
        <v>ModifyGRPreferenceValues</v>
      </c>
      <c r="BS4" s="21" t="str">
        <f>IFERROR(__xludf.DUMMYFUNCTION("""COMPUTED_VALUE"""),"AddMFPreferences")</f>
        <v>AddMFPreferences</v>
      </c>
      <c r="BT4" s="21" t="str">
        <f>IFERROR(__xludf.DUMMYFUNCTION("""COMPUTED_VALUE"""),"AddMFPreferenceToolbar")</f>
        <v>AddMFPreferenceToolbar</v>
      </c>
      <c r="BU4" s="21" t="str">
        <f>IFERROR(__xludf.DUMMYFUNCTION("""COMPUTED_VALUE"""),"DeleteMFPreferences")</f>
        <v>DeleteMFPreferences</v>
      </c>
      <c r="BV4" s="21" t="str">
        <f>IFERROR(__xludf.DUMMYFUNCTION("""COMPUTED_VALUE"""),"DeleteMFPreferenceToolbar")</f>
        <v>DeleteMFPreferenceToolbar</v>
      </c>
      <c r="BW4" s="21" t="str">
        <f>IFERROR(__xludf.DUMMYFUNCTION("""COMPUTED_VALUE"""),"RenameMFPreferences")</f>
        <v>RenameMFPreferences</v>
      </c>
      <c r="BX4" s="21" t="str">
        <f>IFERROR(__xludf.DUMMYFUNCTION("""COMPUTED_VALUE"""),"SaveCloseMFPreference")</f>
        <v>SaveCloseMFPreference</v>
      </c>
      <c r="BY4" s="21" t="str">
        <f>IFERROR(__xludf.DUMMYFUNCTION("""COMPUTED_VALUE"""),"SetMFPrefAccountValues")</f>
        <v>SetMFPrefAccountValues</v>
      </c>
      <c r="BZ4" s="21" t="str">
        <f>IFERROR(__xludf.DUMMYFUNCTION("""COMPUTED_VALUE"""),"ModifyMFPrefGeneralRuleValues")</f>
        <v>ModifyMFPrefGeneralRuleValues</v>
      </c>
      <c r="CA4" s="21" t="str">
        <f>IFERROR(__xludf.DUMMYFUNCTION("""COMPUTED_VALUE"""),"SetMFPrefStrategyValues")</f>
        <v>SetMFPrefStrategyValues</v>
      </c>
      <c r="CB4" s="21" t="str">
        <f>IFERROR(__xludf.DUMMYFUNCTION("""COMPUTED_VALUE"""),"SetMFPrefGeneralRule")</f>
        <v>SetMFPrefGeneralRule</v>
      </c>
      <c r="CC4" s="21" t="str">
        <f>IFERROR(__xludf.DUMMYFUNCTION("""COMPUTED_VALUE"""),"SetMFPrefFundDistribution")</f>
        <v>SetMFPrefFundDistribution</v>
      </c>
      <c r="CD4" s="21" t="str">
        <f>IFERROR(__xludf.DUMMYFUNCTION("""COMPUTED_VALUE"""),"SetMFPreferencesDefaultRule")</f>
        <v>SetMFPreferencesDefaultRule</v>
      </c>
      <c r="CE4" s="21" t="str">
        <f>IFERROR(__xludf.DUMMYFUNCTION("""COMPUTED_VALUE"""),"SetMFPrefFundDefaultRule")</f>
        <v>SetMFPrefFundDefaultRule</v>
      </c>
      <c r="CF4" s="21" t="str">
        <f>IFERROR(__xludf.DUMMYFUNCTION("""COMPUTED_VALUE"""),"ClearPrefetchFilters")</f>
        <v>ClearPrefetchFilters</v>
      </c>
      <c r="CG4" s="21" t="str">
        <f>IFERROR(__xludf.DUMMYFUNCTION("""COMPUTED_VALUE"""),"ExpandCollapseAllUnallocated")</f>
        <v>ExpandCollapseAllUnallocated</v>
      </c>
      <c r="CH4" s="21" t="str">
        <f>IFERROR(__xludf.DUMMYFUNCTION("""COMPUTED_VALUE"""),"ExpandCollapseAllAllocated")</f>
        <v>ExpandCollapseAllAllocated</v>
      </c>
      <c r="CI4" s="21" t="str">
        <f>IFERROR(__xludf.DUMMYFUNCTION("""COMPUTED_VALUE"""),"GenerateCashTransaction")</f>
        <v>GenerateCashTransaction</v>
      </c>
      <c r="CJ4" s="21" t="str">
        <f>IFERROR(__xludf.DUMMYFUNCTION("""COMPUTED_VALUE"""),"SaveAllocation")</f>
        <v>SaveAllocation</v>
      </c>
      <c r="CK4" s="21" t="str">
        <f>IFERROR(__xludf.DUMMYFUNCTION("""COMPUTED_VALUE"""),"UnallocateWithOutSave")</f>
        <v>UnallocateWithOutSave</v>
      </c>
      <c r="CL4" s="21" t="str">
        <f>IFERROR(__xludf.DUMMYFUNCTION("""COMPUTED_VALUE"""),"EditUnallocatedGrid")</f>
        <v>EditUnallocatedGrid</v>
      </c>
      <c r="CM4" s="21" t="str">
        <f>IFERROR(__xludf.DUMMYFUNCTION("""COMPUTED_VALUE"""),"EditAllocatedGrid")</f>
        <v>EditAllocatedGrid</v>
      </c>
      <c r="CN4" s="21" t="str">
        <f>IFERROR(__xludf.DUMMYFUNCTION("""COMPUTED_VALUE"""),"SaveLayoutAllocatedGrid")</f>
        <v>SaveLayoutAllocatedGrid</v>
      </c>
      <c r="CO4" s="21" t="str">
        <f>IFERROR(__xludf.DUMMYFUNCTION("""COMPUTED_VALUE"""),"SaveLayoutUnallocatedGrid")</f>
        <v>SaveLayoutUnallocatedGrid</v>
      </c>
      <c r="CP4" s="21" t="str">
        <f>IFERROR(__xludf.DUMMYFUNCTION("""COMPUTED_VALUE"""),"SaveLayoutAllocationUI")</f>
        <v>SaveLayoutAllocationUI</v>
      </c>
      <c r="CQ4" s="21" t="str">
        <f>IFERROR(__xludf.DUMMYFUNCTION("""COMPUTED_VALUE"""),"ClearFiltersAllocatedGrid")</f>
        <v>ClearFiltersAllocatedGrid</v>
      </c>
      <c r="CR4" s="21" t="str">
        <f>IFERROR(__xludf.DUMMYFUNCTION("""COMPUTED_VALUE"""),"ClearFiltersUnallocatedGrid")</f>
        <v>ClearFiltersUnallocatedGrid</v>
      </c>
      <c r="CS4" s="21" t="str">
        <f>IFERROR(__xludf.DUMMYFUNCTION("""COMPUTED_VALUE"""),"VerifyLayoutAllocatedGrid")</f>
        <v>VerifyLayoutAllocatedGrid</v>
      </c>
      <c r="CT4" s="21" t="str">
        <f>IFERROR(__xludf.DUMMYFUNCTION("""COMPUTED_VALUE"""),"VerifyLayoutUnallocatedGrid")</f>
        <v>VerifyLayoutUnallocatedGrid</v>
      </c>
      <c r="CU4" s="21" t="str">
        <f>IFERROR(__xludf.DUMMYFUNCTION("""COMPUTED_VALUE"""),"CleanUp")</f>
        <v>CleanUp</v>
      </c>
      <c r="CV4" s="21" t="str">
        <f>IFERROR(__xludf.DUMMYFUNCTION("""COMPUTED_VALUE"""),"CheckAllocatedTaxlots")</f>
        <v>CheckAllocatedTaxlots</v>
      </c>
      <c r="CW4" s="21" t="str">
        <f>IFERROR(__xludf.DUMMYFUNCTION("""COMPUTED_VALUE"""),"")</f>
        <v/>
      </c>
      <c r="CX4" s="21" t="str">
        <f>IFERROR(__xludf.DUMMYFUNCTION("""COMPUTED_VALUE"""),"")</f>
        <v/>
      </c>
      <c r="CY4" s="21" t="str">
        <f>IFERROR(__xludf.DUMMYFUNCTION("""COMPUTED_VALUE"""),"")</f>
        <v/>
      </c>
      <c r="CZ4" s="21" t="str">
        <f>IFERROR(__xludf.DUMMYFUNCTION("""COMPUTED_VALUE"""),"")</f>
        <v/>
      </c>
      <c r="DA4" s="21" t="str">
        <f>IFERROR(__xludf.DUMMYFUNCTION("""COMPUTED_VALUE"""),"")</f>
        <v/>
      </c>
      <c r="DB4" s="21" t="str">
        <f>IFERROR(__xludf.DUMMYFUNCTION("""COMPUTED_VALUE"""),"")</f>
        <v/>
      </c>
      <c r="DC4" s="21" t="str">
        <f>IFERROR(__xludf.DUMMYFUNCTION("""COMPUTED_VALUE"""),"")</f>
        <v/>
      </c>
      <c r="DD4" s="21" t="str">
        <f>IFERROR(__xludf.DUMMYFUNCTION("""COMPUTED_VALUE"""),"")</f>
        <v/>
      </c>
      <c r="DE4" s="21" t="str">
        <f>IFERROR(__xludf.DUMMYFUNCTION("""COMPUTED_VALUE"""),"")</f>
        <v/>
      </c>
      <c r="DF4" s="21" t="str">
        <f>IFERROR(__xludf.DUMMYFUNCTION("""COMPUTED_VALUE"""),"")</f>
        <v/>
      </c>
      <c r="DG4" s="21" t="str">
        <f>IFERROR(__xludf.DUMMYFUNCTION("""COMPUTED_VALUE"""),"")</f>
        <v/>
      </c>
      <c r="DH4" s="21" t="str">
        <f>IFERROR(__xludf.DUMMYFUNCTION("""COMPUTED_VALUE"""),"")</f>
        <v/>
      </c>
      <c r="DI4" s="21" t="str">
        <f>IFERROR(__xludf.DUMMYFUNCTION("""COMPUTED_VALUE"""),"")</f>
        <v/>
      </c>
      <c r="DJ4" s="21" t="str">
        <f>IFERROR(__xludf.DUMMYFUNCTION("""COMPUTED_VALUE"""),"")</f>
        <v/>
      </c>
      <c r="DK4" s="21" t="str">
        <f>IFERROR(__xludf.DUMMYFUNCTION("""COMPUTED_VALUE"""),"")</f>
        <v/>
      </c>
      <c r="DL4" s="21" t="str">
        <f>IFERROR(__xludf.DUMMYFUNCTION("""COMPUTED_VALUE"""),"")</f>
        <v/>
      </c>
      <c r="DM4" s="21" t="str">
        <f>IFERROR(__xludf.DUMMYFUNCTION("""COMPUTED_VALUE"""),"")</f>
        <v/>
      </c>
      <c r="DN4" s="21" t="str">
        <f>IFERROR(__xludf.DUMMYFUNCTION("""COMPUTED_VALUE"""),"")</f>
        <v/>
      </c>
      <c r="DO4" s="21" t="str">
        <f>IFERROR(__xludf.DUMMYFUNCTION("""COMPUTED_VALUE"""),"")</f>
        <v/>
      </c>
      <c r="DP4" s="21" t="str">
        <f>IFERROR(__xludf.DUMMYFUNCTION("""COMPUTED_VALUE"""),"")</f>
        <v/>
      </c>
      <c r="DQ4" s="21" t="str">
        <f>IFERROR(__xludf.DUMMYFUNCTION("""COMPUTED_VALUE"""),"")</f>
        <v/>
      </c>
      <c r="DR4" s="21" t="str">
        <f>IFERROR(__xludf.DUMMYFUNCTION("""COMPUTED_VALUE"""),"")</f>
        <v/>
      </c>
      <c r="DS4" s="21" t="str">
        <f>IFERROR(__xludf.DUMMYFUNCTION("""COMPUTED_VALUE"""),"")</f>
        <v/>
      </c>
      <c r="DT4" s="21" t="str">
        <f>IFERROR(__xludf.DUMMYFUNCTION("""COMPUTED_VALUE"""),"")</f>
        <v/>
      </c>
      <c r="DU4" s="21" t="str">
        <f>IFERROR(__xludf.DUMMYFUNCTION("""COMPUTED_VALUE"""),"")</f>
        <v/>
      </c>
      <c r="DV4" s="21" t="str">
        <f>IFERROR(__xludf.DUMMYFUNCTION("""COMPUTED_VALUE"""),"")</f>
        <v/>
      </c>
      <c r="DW4" s="21" t="str">
        <f>IFERROR(__xludf.DUMMYFUNCTION("""COMPUTED_VALUE"""),"")</f>
        <v/>
      </c>
      <c r="DX4" s="21" t="str">
        <f>IFERROR(__xludf.DUMMYFUNCTION("""COMPUTED_VALUE"""),"")</f>
        <v/>
      </c>
      <c r="DY4" s="21" t="str">
        <f>IFERROR(__xludf.DUMMYFUNCTION("""COMPUTED_VALUE"""),"")</f>
        <v/>
      </c>
      <c r="DZ4" s="21" t="str">
        <f>IFERROR(__xludf.DUMMYFUNCTION("""COMPUTED_VALUE"""),"")</f>
        <v/>
      </c>
      <c r="EA4" s="21" t="str">
        <f>IFERROR(__xludf.DUMMYFUNCTION("""COMPUTED_VALUE"""),"")</f>
        <v/>
      </c>
      <c r="EB4" s="21" t="str">
        <f>IFERROR(__xludf.DUMMYFUNCTION("""COMPUTED_VALUE"""),"")</f>
        <v/>
      </c>
      <c r="EC4" s="21" t="str">
        <f>IFERROR(__xludf.DUMMYFUNCTION("""COMPUTED_VALUE"""),"")</f>
        <v/>
      </c>
      <c r="ED4" s="21" t="str">
        <f>IFERROR(__xludf.DUMMYFUNCTION("""COMPUTED_VALUE"""),"")</f>
        <v/>
      </c>
      <c r="EE4" s="21" t="str">
        <f>IFERROR(__xludf.DUMMYFUNCTION("""COMPUTED_VALUE"""),"")</f>
        <v/>
      </c>
      <c r="EF4" s="21" t="str">
        <f>IFERROR(__xludf.DUMMYFUNCTION("""COMPUTED_VALUE"""),"")</f>
        <v/>
      </c>
      <c r="EG4" s="21" t="str">
        <f>IFERROR(__xludf.DUMMYFUNCTION("""COMPUTED_VALUE"""),"")</f>
        <v/>
      </c>
      <c r="EH4" s="21" t="str">
        <f>IFERROR(__xludf.DUMMYFUNCTION("""COMPUTED_VALUE"""),"")</f>
        <v/>
      </c>
      <c r="EI4" s="21" t="str">
        <f>IFERROR(__xludf.DUMMYFUNCTION("""COMPUTED_VALUE"""),"")</f>
        <v/>
      </c>
      <c r="EJ4" s="21" t="str">
        <f>IFERROR(__xludf.DUMMYFUNCTION("""COMPUTED_VALUE"""),"")</f>
        <v/>
      </c>
      <c r="EK4" s="21" t="str">
        <f>IFERROR(__xludf.DUMMYFUNCTION("""COMPUTED_VALUE"""),"")</f>
        <v/>
      </c>
      <c r="EL4" s="21" t="str">
        <f>IFERROR(__xludf.DUMMYFUNCTION("""COMPUTED_VALUE"""),"")</f>
        <v/>
      </c>
      <c r="EM4" s="21" t="str">
        <f>IFERROR(__xludf.DUMMYFUNCTION("""COMPUTED_VALUE"""),"")</f>
        <v/>
      </c>
      <c r="EN4" s="21" t="str">
        <f>IFERROR(__xludf.DUMMYFUNCTION("""COMPUTED_VALUE"""),"")</f>
        <v/>
      </c>
      <c r="EO4" s="21" t="str">
        <f>IFERROR(__xludf.DUMMYFUNCTION("""COMPUTED_VALUE"""),"")</f>
        <v/>
      </c>
      <c r="EP4" s="21" t="str">
        <f>IFERROR(__xludf.DUMMYFUNCTION("""COMPUTED_VALUE"""),"")</f>
        <v/>
      </c>
      <c r="EQ4" s="21" t="str">
        <f>IFERROR(__xludf.DUMMYFUNCTION("""COMPUTED_VALUE"""),"")</f>
        <v/>
      </c>
      <c r="ER4" s="21" t="str">
        <f>IFERROR(__xludf.DUMMYFUNCTION("""COMPUTED_VALUE"""),"")</f>
        <v/>
      </c>
      <c r="ES4" s="21" t="str">
        <f>IFERROR(__xludf.DUMMYFUNCTION("""COMPUTED_VALUE"""),"")</f>
        <v/>
      </c>
      <c r="ET4" s="21" t="str">
        <f>IFERROR(__xludf.DUMMYFUNCTION("""COMPUTED_VALUE"""),"")</f>
        <v/>
      </c>
      <c r="EU4" s="21" t="str">
        <f>IFERROR(__xludf.DUMMYFUNCTION("""COMPUTED_VALUE"""),"")</f>
        <v/>
      </c>
      <c r="EV4" s="21" t="str">
        <f>IFERROR(__xludf.DUMMYFUNCTION("""COMPUTED_VALUE"""),"")</f>
        <v/>
      </c>
      <c r="EW4" s="21" t="str">
        <f>IFERROR(__xludf.DUMMYFUNCTION("""COMPUTED_VALUE"""),"")</f>
        <v/>
      </c>
      <c r="EX4" s="21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29" t="s">
        <v>21</v>
      </c>
      <c r="C6" s="33"/>
      <c r="D6" s="3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1" t="s">
        <v>7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5" t="str">
        <f> VLOOKUP($E$3,'_MasterData'!B4:D1000,3,FALSE)</f>
        <v>#N/A</v>
      </c>
      <c r="K2" s="15"/>
      <c r="L2" s="8"/>
      <c r="M2" s="8"/>
      <c r="N2" s="8"/>
      <c r="O2" s="8"/>
    </row>
    <row r="3" ht="15.75" customHeight="1">
      <c r="A3" s="16"/>
      <c r="B3" s="5" t="s">
        <v>8</v>
      </c>
      <c r="C3" s="17" t="s">
        <v>19</v>
      </c>
      <c r="D3" s="5" t="s">
        <v>10</v>
      </c>
      <c r="E3" s="17" t="s">
        <v>35</v>
      </c>
      <c r="F3" s="5" t="s">
        <v>12</v>
      </c>
      <c r="G3" s="12" t="s">
        <v>13</v>
      </c>
      <c r="H3" s="5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IFERROR(__xludf.DUMMYFUNCTION("IF(C3="""","""",Transpose(IMPORTRANGE('_Settings'!$B$3,C3&amp;""!A4:A1000"")))"),"SwapExpire")</f>
        <v>SwapExpire</v>
      </c>
      <c r="C4" s="19" t="str">
        <f>IFERROR(__xludf.DUMMYFUNCTION("""COMPUTED_VALUE"""),"GetDataClosing")</f>
        <v>GetDataClosing</v>
      </c>
      <c r="D4" s="19" t="str">
        <f>IFERROR(__xludf.DUMMYFUNCTION("""COMPUTED_VALUE"""),"ManualClosing")</f>
        <v>ManualClosing</v>
      </c>
      <c r="E4" s="19" t="str">
        <f>IFERROR(__xludf.DUMMYFUNCTION("""COMPUTED_VALUE"""),"AutomaticClosing")</f>
        <v>AutomaticClosing</v>
      </c>
      <c r="F4" s="19" t="str">
        <f>IFERROR(__xludf.DUMMYFUNCTION("""COMPUTED_VALUE"""),"UnwindClosing")</f>
        <v>UnwindClosing</v>
      </c>
      <c r="G4" s="19" t="str">
        <f>IFERROR(__xludf.DUMMYFUNCTION("""COMPUTED_VALUE"""),"VerifyClosedTrades")</f>
        <v>VerifyClosedTrades</v>
      </c>
      <c r="H4" s="19" t="str">
        <f>IFERROR(__xludf.DUMMYFUNCTION("""COMPUTED_VALUE"""),"VerifyLongPositionsGrid")</f>
        <v>VerifyLongPositionsGrid</v>
      </c>
      <c r="I4" s="19" t="str">
        <f>IFERROR(__xludf.DUMMYFUNCTION("""COMPUTED_VALUE"""),"VerifyShortPositionsGrid")</f>
        <v>VerifyShortPositionsGrid</v>
      </c>
      <c r="J4" s="19" t="str">
        <f>IFERROR(__xludf.DUMMYFUNCTION("""COMPUTED_VALUE"""),"SelectTradeUnexpiredUnsettled")</f>
        <v>SelectTradeUnexpiredUnsettled</v>
      </c>
      <c r="K4" s="19" t="str">
        <f>IFERROR(__xludf.DUMMYFUNCTION("""COMPUTED_VALUE"""),"CashSettlementAtCost")</f>
        <v>CashSettlementAtCost</v>
      </c>
      <c r="L4" s="19" t="str">
        <f>IFERROR(__xludf.DUMMYFUNCTION("""COMPUTED_VALUE"""),"CashSettlementAtZeroPrice")</f>
        <v>CashSettlementAtZeroPrice</v>
      </c>
      <c r="M4" s="19" t="str">
        <f>IFERROR(__xludf.DUMMYFUNCTION("""COMPUTED_VALUE"""),"CashSettlementAtClosingDtSpotPx")</f>
        <v>CashSettlementAtClosingDtSpotPx</v>
      </c>
      <c r="N4" s="19" t="str">
        <f>IFERROR(__xludf.DUMMYFUNCTION("""COMPUTED_VALUE"""),"PhysicalSettlement")</f>
        <v>PhysicalSettlement</v>
      </c>
      <c r="O4" s="19" t="str">
        <f>IFERROR(__xludf.DUMMYFUNCTION("""COMPUTED_VALUE"""),"Expire")</f>
        <v>Expire</v>
      </c>
      <c r="P4" s="21" t="str">
        <f>IFERROR(__xludf.DUMMYFUNCTION("""COMPUTED_VALUE"""),"ExerciseAssignment")</f>
        <v>ExerciseAssignment</v>
      </c>
      <c r="Q4" s="21" t="str">
        <f>IFERROR(__xludf.DUMMYFUNCTION("""COMPUTED_VALUE"""),"ExerciseAssignmentAtZero")</f>
        <v>ExerciseAssignmentAtZero</v>
      </c>
      <c r="R4" s="21" t="str">
        <f>IFERROR(__xludf.DUMMYFUNCTION("""COMPUTED_VALUE"""),"SwapExpireAndRollover")</f>
        <v>SwapExpireAndRollover</v>
      </c>
      <c r="S4" s="21" t="str">
        <f>IFERROR(__xludf.DUMMYFUNCTION("""COMPUTED_VALUE"""),"SwapExpire")</f>
        <v>SwapExpire</v>
      </c>
      <c r="T4" s="21" t="str">
        <f>IFERROR(__xludf.DUMMYFUNCTION("""COMPUTED_VALUE"""),"VerifyExpiredSettledGrid")</f>
        <v>VerifyExpiredSettledGrid</v>
      </c>
      <c r="U4" s="21" t="str">
        <f>IFERROR(__xludf.DUMMYFUNCTION("""COMPUTED_VALUE"""),"VerifyUnExpiredUnSettledGrid")</f>
        <v>VerifyUnExpiredUnSettledGrid</v>
      </c>
      <c r="V4" s="21" t="str">
        <f>IFERROR(__xludf.DUMMYFUNCTION("""COMPUTED_VALUE"""),"UnWindTradeSettlement")</f>
        <v>UnWindTradeSettlement</v>
      </c>
      <c r="W4" s="21" t="str">
        <f>IFERROR(__xludf.DUMMYFUNCTION("""COMPUTED_VALUE"""),"CloseOrder")</f>
        <v>CloseOrder</v>
      </c>
      <c r="X4" s="21" t="str">
        <f>IFERROR(__xludf.DUMMYFUNCTION("""COMPUTED_VALUE"""),"VerifyCloseOrder")</f>
        <v>VerifyCloseOrder</v>
      </c>
      <c r="Y4" s="21" t="str">
        <f>IFERROR(__xludf.DUMMYFUNCTION("""COMPUTED_VALUE"""),"UnWindCloseOrder")</f>
        <v>UnWindCloseOrder</v>
      </c>
      <c r="Z4" s="21" t="str">
        <f>IFERROR(__xludf.DUMMYFUNCTION("""COMPUTED_VALUE"""),"ClosingCleanUp")</f>
        <v>ClosingCleanUp</v>
      </c>
      <c r="AA4" s="21" t="str">
        <f>IFERROR(__xludf.DUMMYFUNCTION("""COMPUTED_VALUE"""),"CloseClosingUI")</f>
        <v>CloseClosingUI</v>
      </c>
      <c r="AB4" s="21" t="str">
        <f>IFERROR(__xludf.DUMMYFUNCTION("""COMPUTED_VALUE"""),"SetClosingPreference")</f>
        <v>SetClosingPreference</v>
      </c>
      <c r="AC4" s="21" t="str">
        <f>IFERROR(__xludf.DUMMYFUNCTION("""COMPUTED_VALUE"""),"EditTradeUnexpiredUnsettled")</f>
        <v>EditTradeUnexpiredUnsettled</v>
      </c>
      <c r="AD4" s="21" t="str">
        <f>IFERROR(__xludf.DUMMYFUNCTION("""COMPUTED_VALUE"""),"")</f>
        <v/>
      </c>
      <c r="AE4" s="21" t="str">
        <f>IFERROR(__xludf.DUMMYFUNCTION("""COMPUTED_VALUE"""),"")</f>
        <v/>
      </c>
      <c r="AF4" s="21" t="str">
        <f>IFERROR(__xludf.DUMMYFUNCTION("""COMPUTED_VALUE"""),"")</f>
        <v/>
      </c>
      <c r="AG4" s="21" t="str">
        <f>IFERROR(__xludf.DUMMYFUNCTION("""COMPUTED_VALUE"""),"")</f>
        <v/>
      </c>
      <c r="AH4" s="21" t="str">
        <f>IFERROR(__xludf.DUMMYFUNCTION("""COMPUTED_VALUE"""),"")</f>
        <v/>
      </c>
      <c r="AI4" s="21" t="str">
        <f>IFERROR(__xludf.DUMMYFUNCTION("""COMPUTED_VALUE"""),"")</f>
        <v/>
      </c>
      <c r="AJ4" s="21" t="str">
        <f>IFERROR(__xludf.DUMMYFUNCTION("""COMPUTED_VALUE"""),"")</f>
        <v/>
      </c>
      <c r="AK4" s="21" t="str">
        <f>IFERROR(__xludf.DUMMYFUNCTION("""COMPUTED_VALUE"""),"")</f>
        <v/>
      </c>
      <c r="AL4" s="21" t="str">
        <f>IFERROR(__xludf.DUMMYFUNCTION("""COMPUTED_VALUE"""),"")</f>
        <v/>
      </c>
      <c r="AM4" s="21" t="str">
        <f>IFERROR(__xludf.DUMMYFUNCTION("""COMPUTED_VALUE"""),"")</f>
        <v/>
      </c>
      <c r="AN4" s="21" t="str">
        <f>IFERROR(__xludf.DUMMYFUNCTION("""COMPUTED_VALUE"""),"")</f>
        <v/>
      </c>
      <c r="AO4" s="21" t="str">
        <f>IFERROR(__xludf.DUMMYFUNCTION("""COMPUTED_VALUE"""),"")</f>
        <v/>
      </c>
      <c r="AP4" s="21" t="str">
        <f>IFERROR(__xludf.DUMMYFUNCTION("""COMPUTED_VALUE"""),"")</f>
        <v/>
      </c>
      <c r="AQ4" s="21" t="str">
        <f>IFERROR(__xludf.DUMMYFUNCTION("""COMPUTED_VALUE"""),"")</f>
        <v/>
      </c>
      <c r="AR4" s="21" t="str">
        <f>IFERROR(__xludf.DUMMYFUNCTION("""COMPUTED_VALUE"""),"")</f>
        <v/>
      </c>
      <c r="AS4" s="21" t="str">
        <f>IFERROR(__xludf.DUMMYFUNCTION("""COMPUTED_VALUE"""),"")</f>
        <v/>
      </c>
      <c r="AT4" s="21" t="str">
        <f>IFERROR(__xludf.DUMMYFUNCTION("""COMPUTED_VALUE"""),"")</f>
        <v/>
      </c>
      <c r="AU4" s="21" t="str">
        <f>IFERROR(__xludf.DUMMYFUNCTION("""COMPUTED_VALUE"""),"")</f>
        <v/>
      </c>
      <c r="AV4" s="21" t="str">
        <f>IFERROR(__xludf.DUMMYFUNCTION("""COMPUTED_VALUE"""),"")</f>
        <v/>
      </c>
      <c r="AW4" s="21" t="str">
        <f>IFERROR(__xludf.DUMMYFUNCTION("""COMPUTED_VALUE"""),"")</f>
        <v/>
      </c>
      <c r="AX4" s="21" t="str">
        <f>IFERROR(__xludf.DUMMYFUNCTION("""COMPUTED_VALUE"""),"")</f>
        <v/>
      </c>
      <c r="AY4" s="21" t="str">
        <f>IFERROR(__xludf.DUMMYFUNCTION("""COMPUTED_VALUE"""),"")</f>
        <v/>
      </c>
      <c r="AZ4" s="21" t="str">
        <f>IFERROR(__xludf.DUMMYFUNCTION("""COMPUTED_VALUE"""),"")</f>
        <v/>
      </c>
      <c r="BA4" s="21" t="str">
        <f>IFERROR(__xludf.DUMMYFUNCTION("""COMPUTED_VALUE"""),"")</f>
        <v/>
      </c>
      <c r="BB4" s="21" t="str">
        <f>IFERROR(__xludf.DUMMYFUNCTION("""COMPUTED_VALUE"""),"")</f>
        <v/>
      </c>
      <c r="BC4" s="21" t="str">
        <f>IFERROR(__xludf.DUMMYFUNCTION("""COMPUTED_VALUE"""),"")</f>
        <v/>
      </c>
      <c r="BD4" s="21" t="str">
        <f>IFERROR(__xludf.DUMMYFUNCTION("""COMPUTED_VALUE"""),"")</f>
        <v/>
      </c>
      <c r="BE4" s="21" t="str">
        <f>IFERROR(__xludf.DUMMYFUNCTION("""COMPUTED_VALUE"""),"")</f>
        <v/>
      </c>
      <c r="BF4" s="21" t="str">
        <f>IFERROR(__xludf.DUMMYFUNCTION("""COMPUTED_VALUE"""),"")</f>
        <v/>
      </c>
      <c r="BG4" s="21" t="str">
        <f>IFERROR(__xludf.DUMMYFUNCTION("""COMPUTED_VALUE"""),"")</f>
        <v/>
      </c>
      <c r="BH4" s="21" t="str">
        <f>IFERROR(__xludf.DUMMYFUNCTION("""COMPUTED_VALUE"""),"")</f>
        <v/>
      </c>
      <c r="BI4" s="21" t="str">
        <f>IFERROR(__xludf.DUMMYFUNCTION("""COMPUTED_VALUE"""),"")</f>
        <v/>
      </c>
      <c r="BJ4" s="21" t="str">
        <f>IFERROR(__xludf.DUMMYFUNCTION("""COMPUTED_VALUE"""),"")</f>
        <v/>
      </c>
      <c r="BK4" s="21" t="str">
        <f>IFERROR(__xludf.DUMMYFUNCTION("""COMPUTED_VALUE"""),"")</f>
        <v/>
      </c>
      <c r="BL4" s="21" t="str">
        <f>IFERROR(__xludf.DUMMYFUNCTION("""COMPUTED_VALUE"""),"")</f>
        <v/>
      </c>
      <c r="BM4" s="21" t="str">
        <f>IFERROR(__xludf.DUMMYFUNCTION("""COMPUTED_VALUE"""),"")</f>
        <v/>
      </c>
      <c r="BN4" s="21" t="str">
        <f>IFERROR(__xludf.DUMMYFUNCTION("""COMPUTED_VALUE"""),"")</f>
        <v/>
      </c>
      <c r="BO4" s="21" t="str">
        <f>IFERROR(__xludf.DUMMYFUNCTION("""COMPUTED_VALUE"""),"")</f>
        <v/>
      </c>
      <c r="BP4" s="21" t="str">
        <f>IFERROR(__xludf.DUMMYFUNCTION("""COMPUTED_VALUE"""),"")</f>
        <v/>
      </c>
      <c r="BQ4" s="21" t="str">
        <f>IFERROR(__xludf.DUMMYFUNCTION("""COMPUTED_VALUE"""),"")</f>
        <v/>
      </c>
      <c r="BR4" s="21" t="str">
        <f>IFERROR(__xludf.DUMMYFUNCTION("""COMPUTED_VALUE"""),"")</f>
        <v/>
      </c>
      <c r="BS4" s="21" t="str">
        <f>IFERROR(__xludf.DUMMYFUNCTION("""COMPUTED_VALUE"""),"")</f>
        <v/>
      </c>
      <c r="BT4" s="21" t="str">
        <f>IFERROR(__xludf.DUMMYFUNCTION("""COMPUTED_VALUE"""),"")</f>
        <v/>
      </c>
      <c r="BU4" s="21" t="str">
        <f>IFERROR(__xludf.DUMMYFUNCTION("""COMPUTED_VALUE"""),"")</f>
        <v/>
      </c>
      <c r="BV4" s="21" t="str">
        <f>IFERROR(__xludf.DUMMYFUNCTION("""COMPUTED_VALUE"""),"")</f>
        <v/>
      </c>
      <c r="BW4" s="21" t="str">
        <f>IFERROR(__xludf.DUMMYFUNCTION("""COMPUTED_VALUE"""),"")</f>
        <v/>
      </c>
      <c r="BX4" s="21" t="str">
        <f>IFERROR(__xludf.DUMMYFUNCTION("""COMPUTED_VALUE"""),"")</f>
        <v/>
      </c>
      <c r="BY4" s="21" t="str">
        <f>IFERROR(__xludf.DUMMYFUNCTION("""COMPUTED_VALUE"""),"")</f>
        <v/>
      </c>
      <c r="BZ4" s="21" t="str">
        <f>IFERROR(__xludf.DUMMYFUNCTION("""COMPUTED_VALUE"""),"")</f>
        <v/>
      </c>
      <c r="CA4" s="21" t="str">
        <f>IFERROR(__xludf.DUMMYFUNCTION("""COMPUTED_VALUE"""),"")</f>
        <v/>
      </c>
      <c r="CB4" s="21" t="str">
        <f>IFERROR(__xludf.DUMMYFUNCTION("""COMPUTED_VALUE"""),"")</f>
        <v/>
      </c>
      <c r="CC4" s="21" t="str">
        <f>IFERROR(__xludf.DUMMYFUNCTION("""COMPUTED_VALUE"""),"")</f>
        <v/>
      </c>
      <c r="CD4" s="21" t="str">
        <f>IFERROR(__xludf.DUMMYFUNCTION("""COMPUTED_VALUE"""),"")</f>
        <v/>
      </c>
      <c r="CE4" s="21" t="str">
        <f>IFERROR(__xludf.DUMMYFUNCTION("""COMPUTED_VALUE"""),"")</f>
        <v/>
      </c>
      <c r="CF4" s="21" t="str">
        <f>IFERROR(__xludf.DUMMYFUNCTION("""COMPUTED_VALUE"""),"")</f>
        <v/>
      </c>
      <c r="CG4" s="21" t="str">
        <f>IFERROR(__xludf.DUMMYFUNCTION("""COMPUTED_VALUE"""),"")</f>
        <v/>
      </c>
      <c r="CH4" s="21" t="str">
        <f>IFERROR(__xludf.DUMMYFUNCTION("""COMPUTED_VALUE"""),"")</f>
        <v/>
      </c>
      <c r="CI4" s="21" t="str">
        <f>IFERROR(__xludf.DUMMYFUNCTION("""COMPUTED_VALUE"""),"")</f>
        <v/>
      </c>
      <c r="CJ4" s="21" t="str">
        <f>IFERROR(__xludf.DUMMYFUNCTION("""COMPUTED_VALUE"""),"")</f>
        <v/>
      </c>
      <c r="CK4" s="21" t="str">
        <f>IFERROR(__xludf.DUMMYFUNCTION("""COMPUTED_VALUE"""),"")</f>
        <v/>
      </c>
      <c r="CL4" s="21" t="str">
        <f>IFERROR(__xludf.DUMMYFUNCTION("""COMPUTED_VALUE"""),"")</f>
        <v/>
      </c>
      <c r="CM4" s="21" t="str">
        <f>IFERROR(__xludf.DUMMYFUNCTION("""COMPUTED_VALUE"""),"")</f>
        <v/>
      </c>
      <c r="CN4" s="21" t="str">
        <f>IFERROR(__xludf.DUMMYFUNCTION("""COMPUTED_VALUE"""),"")</f>
        <v/>
      </c>
      <c r="CO4" s="21" t="str">
        <f>IFERROR(__xludf.DUMMYFUNCTION("""COMPUTED_VALUE"""),"")</f>
        <v/>
      </c>
      <c r="CP4" s="21" t="str">
        <f>IFERROR(__xludf.DUMMYFUNCTION("""COMPUTED_VALUE"""),"")</f>
        <v/>
      </c>
      <c r="CQ4" s="21" t="str">
        <f>IFERROR(__xludf.DUMMYFUNCTION("""COMPUTED_VALUE"""),"")</f>
        <v/>
      </c>
      <c r="CR4" s="21" t="str">
        <f>IFERROR(__xludf.DUMMYFUNCTION("""COMPUTED_VALUE"""),"")</f>
        <v/>
      </c>
      <c r="CS4" s="21" t="str">
        <f>IFERROR(__xludf.DUMMYFUNCTION("""COMPUTED_VALUE"""),"")</f>
        <v/>
      </c>
      <c r="CT4" s="21" t="str">
        <f>IFERROR(__xludf.DUMMYFUNCTION("""COMPUTED_VALUE"""),"")</f>
        <v/>
      </c>
      <c r="CU4" s="21" t="str">
        <f>IFERROR(__xludf.DUMMYFUNCTION("""COMPUTED_VALUE"""),"")</f>
        <v/>
      </c>
      <c r="CV4" s="21" t="str">
        <f>IFERROR(__xludf.DUMMYFUNCTION("""COMPUTED_VALUE"""),"")</f>
        <v/>
      </c>
      <c r="CW4" s="21" t="str">
        <f>IFERROR(__xludf.DUMMYFUNCTION("""COMPUTED_VALUE"""),"")</f>
        <v/>
      </c>
      <c r="CX4" s="21" t="str">
        <f>IFERROR(__xludf.DUMMYFUNCTION("""COMPUTED_VALUE"""),"")</f>
        <v/>
      </c>
      <c r="CY4" s="21" t="str">
        <f>IFERROR(__xludf.DUMMYFUNCTION("""COMPUTED_VALUE"""),"")</f>
        <v/>
      </c>
      <c r="CZ4" s="21" t="str">
        <f>IFERROR(__xludf.DUMMYFUNCTION("""COMPUTED_VALUE"""),"")</f>
        <v/>
      </c>
      <c r="DA4" s="21" t="str">
        <f>IFERROR(__xludf.DUMMYFUNCTION("""COMPUTED_VALUE"""),"")</f>
        <v/>
      </c>
      <c r="DB4" s="21" t="str">
        <f>IFERROR(__xludf.DUMMYFUNCTION("""COMPUTED_VALUE"""),"")</f>
        <v/>
      </c>
      <c r="DC4" s="21" t="str">
        <f>IFERROR(__xludf.DUMMYFUNCTION("""COMPUTED_VALUE"""),"")</f>
        <v/>
      </c>
      <c r="DD4" s="21" t="str">
        <f>IFERROR(__xludf.DUMMYFUNCTION("""COMPUTED_VALUE"""),"")</f>
        <v/>
      </c>
      <c r="DE4" s="21" t="str">
        <f>IFERROR(__xludf.DUMMYFUNCTION("""COMPUTED_VALUE"""),"")</f>
        <v/>
      </c>
      <c r="DF4" s="21" t="str">
        <f>IFERROR(__xludf.DUMMYFUNCTION("""COMPUTED_VALUE"""),"")</f>
        <v/>
      </c>
      <c r="DG4" s="21" t="str">
        <f>IFERROR(__xludf.DUMMYFUNCTION("""COMPUTED_VALUE"""),"")</f>
        <v/>
      </c>
      <c r="DH4" s="21" t="str">
        <f>IFERROR(__xludf.DUMMYFUNCTION("""COMPUTED_VALUE"""),"")</f>
        <v/>
      </c>
      <c r="DI4" s="21" t="str">
        <f>IFERROR(__xludf.DUMMYFUNCTION("""COMPUTED_VALUE"""),"")</f>
        <v/>
      </c>
      <c r="DJ4" s="21" t="str">
        <f>IFERROR(__xludf.DUMMYFUNCTION("""COMPUTED_VALUE"""),"")</f>
        <v/>
      </c>
      <c r="DK4" s="21" t="str">
        <f>IFERROR(__xludf.DUMMYFUNCTION("""COMPUTED_VALUE"""),"")</f>
        <v/>
      </c>
      <c r="DL4" s="21" t="str">
        <f>IFERROR(__xludf.DUMMYFUNCTION("""COMPUTED_VALUE"""),"")</f>
        <v/>
      </c>
      <c r="DM4" s="21" t="str">
        <f>IFERROR(__xludf.DUMMYFUNCTION("""COMPUTED_VALUE"""),"")</f>
        <v/>
      </c>
      <c r="DN4" s="21" t="str">
        <f>IFERROR(__xludf.DUMMYFUNCTION("""COMPUTED_VALUE"""),"")</f>
        <v/>
      </c>
      <c r="DO4" s="21" t="str">
        <f>IFERROR(__xludf.DUMMYFUNCTION("""COMPUTED_VALUE"""),"")</f>
        <v/>
      </c>
      <c r="DP4" s="21" t="str">
        <f>IFERROR(__xludf.DUMMYFUNCTION("""COMPUTED_VALUE"""),"")</f>
        <v/>
      </c>
      <c r="DQ4" s="21" t="str">
        <f>IFERROR(__xludf.DUMMYFUNCTION("""COMPUTED_VALUE"""),"")</f>
        <v/>
      </c>
      <c r="DR4" s="21" t="str">
        <f>IFERROR(__xludf.DUMMYFUNCTION("""COMPUTED_VALUE"""),"")</f>
        <v/>
      </c>
      <c r="DS4" s="21" t="str">
        <f>IFERROR(__xludf.DUMMYFUNCTION("""COMPUTED_VALUE"""),"")</f>
        <v/>
      </c>
      <c r="DT4" s="21" t="str">
        <f>IFERROR(__xludf.DUMMYFUNCTION("""COMPUTED_VALUE"""),"")</f>
        <v/>
      </c>
      <c r="DU4" s="21" t="str">
        <f>IFERROR(__xludf.DUMMYFUNCTION("""COMPUTED_VALUE"""),"")</f>
        <v/>
      </c>
      <c r="DV4" s="21" t="str">
        <f>IFERROR(__xludf.DUMMYFUNCTION("""COMPUTED_VALUE"""),"")</f>
        <v/>
      </c>
      <c r="DW4" s="21" t="str">
        <f>IFERROR(__xludf.DUMMYFUNCTION("""COMPUTED_VALUE"""),"")</f>
        <v/>
      </c>
      <c r="DX4" s="21" t="str">
        <f>IFERROR(__xludf.DUMMYFUNCTION("""COMPUTED_VALUE"""),"")</f>
        <v/>
      </c>
      <c r="DY4" s="21" t="str">
        <f>IFERROR(__xludf.DUMMYFUNCTION("""COMPUTED_VALUE"""),"")</f>
        <v/>
      </c>
      <c r="DZ4" s="21" t="str">
        <f>IFERROR(__xludf.DUMMYFUNCTION("""COMPUTED_VALUE"""),"")</f>
        <v/>
      </c>
      <c r="EA4" s="21" t="str">
        <f>IFERROR(__xludf.DUMMYFUNCTION("""COMPUTED_VALUE"""),"")</f>
        <v/>
      </c>
      <c r="EB4" s="21" t="str">
        <f>IFERROR(__xludf.DUMMYFUNCTION("""COMPUTED_VALUE"""),"")</f>
        <v/>
      </c>
      <c r="EC4" s="21" t="str">
        <f>IFERROR(__xludf.DUMMYFUNCTION("""COMPUTED_VALUE"""),"")</f>
        <v/>
      </c>
      <c r="ED4" s="21" t="str">
        <f>IFERROR(__xludf.DUMMYFUNCTION("""COMPUTED_VALUE"""),"")</f>
        <v/>
      </c>
      <c r="EE4" s="21" t="str">
        <f>IFERROR(__xludf.DUMMYFUNCTION("""COMPUTED_VALUE"""),"")</f>
        <v/>
      </c>
      <c r="EF4" s="21" t="str">
        <f>IFERROR(__xludf.DUMMYFUNCTION("""COMPUTED_VALUE"""),"")</f>
        <v/>
      </c>
      <c r="EG4" s="21" t="str">
        <f>IFERROR(__xludf.DUMMYFUNCTION("""COMPUTED_VALUE"""),"")</f>
        <v/>
      </c>
      <c r="EH4" s="21" t="str">
        <f>IFERROR(__xludf.DUMMYFUNCTION("""COMPUTED_VALUE"""),"")</f>
        <v/>
      </c>
      <c r="EI4" s="21" t="str">
        <f>IFERROR(__xludf.DUMMYFUNCTION("""COMPUTED_VALUE"""),"")</f>
        <v/>
      </c>
      <c r="EJ4" s="21" t="str">
        <f>IFERROR(__xludf.DUMMYFUNCTION("""COMPUTED_VALUE"""),"")</f>
        <v/>
      </c>
      <c r="EK4" s="21" t="str">
        <f>IFERROR(__xludf.DUMMYFUNCTION("""COMPUTED_VALUE"""),"")</f>
        <v/>
      </c>
      <c r="EL4" s="21" t="str">
        <f>IFERROR(__xludf.DUMMYFUNCTION("""COMPUTED_VALUE"""),"")</f>
        <v/>
      </c>
      <c r="EM4" s="21" t="str">
        <f>IFERROR(__xludf.DUMMYFUNCTION("""COMPUTED_VALUE"""),"")</f>
        <v/>
      </c>
      <c r="EN4" s="21" t="str">
        <f>IFERROR(__xludf.DUMMYFUNCTION("""COMPUTED_VALUE"""),"")</f>
        <v/>
      </c>
      <c r="EO4" s="21" t="str">
        <f>IFERROR(__xludf.DUMMYFUNCTION("""COMPUTED_VALUE"""),"")</f>
        <v/>
      </c>
      <c r="EP4" s="21" t="str">
        <f>IFERROR(__xludf.DUMMYFUNCTION("""COMPUTED_VALUE"""),"")</f>
        <v/>
      </c>
      <c r="EQ4" s="21" t="str">
        <f>IFERROR(__xludf.DUMMYFUNCTION("""COMPUTED_VALUE"""),"")</f>
        <v/>
      </c>
      <c r="ER4" s="21" t="str">
        <f>IFERROR(__xludf.DUMMYFUNCTION("""COMPUTED_VALUE"""),"")</f>
        <v/>
      </c>
      <c r="ES4" s="21" t="str">
        <f>IFERROR(__xludf.DUMMYFUNCTION("""COMPUTED_VALUE"""),"")</f>
        <v/>
      </c>
      <c r="ET4" s="21" t="str">
        <f>IFERROR(__xludf.DUMMYFUNCTION("""COMPUTED_VALUE"""),"")</f>
        <v/>
      </c>
      <c r="EU4" s="21" t="str">
        <f>IFERROR(__xludf.DUMMYFUNCTION("""COMPUTED_VALUE"""),"")</f>
        <v/>
      </c>
      <c r="EV4" s="21" t="str">
        <f>IFERROR(__xludf.DUMMYFUNCTION("""COMPUTED_VALUE"""),"")</f>
        <v/>
      </c>
      <c r="EW4" s="21" t="str">
        <f>IFERROR(__xludf.DUMMYFUNCTION("""COMPUTED_VALUE"""),"")</f>
        <v/>
      </c>
      <c r="EX4" s="21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18</v>
      </c>
      <c r="C6" s="8"/>
      <c r="D6" s="10"/>
      <c r="E6" s="38"/>
      <c r="F6" s="8"/>
      <c r="G6" s="8"/>
      <c r="H6" s="8"/>
      <c r="I6" s="10">
        <v>36.0</v>
      </c>
      <c r="J6" s="8"/>
      <c r="K6" s="8"/>
      <c r="L6" s="8"/>
      <c r="M6" s="10">
        <v>1050.0</v>
      </c>
      <c r="N6" s="8"/>
      <c r="O6" s="8"/>
      <c r="P6" s="34" t="s">
        <v>17</v>
      </c>
      <c r="R6" s="2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