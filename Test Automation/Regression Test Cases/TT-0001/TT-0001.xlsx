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VerifyWorkingSubs" sheetId="3" r:id="rId5"/>
    <sheet state="visible" name="VerifySubOrder" sheetId="4" r:id="rId6"/>
    <sheet state="visible" name="CreateDoneAwayOrder" sheetId="5" r:id="rId7"/>
    <sheet state="visible" name="VerifyOrder" sheetId="6" r:id="rId8"/>
    <sheet state="visible" name="CheckUnallocatedGroups" sheetId="7" r:id="rId9"/>
    <sheet state="visible" name="CheckAllocatedGroups" sheetId="8" r:id="rId10"/>
    <sheet state="visible" name="CheckPortfolioManagement" sheetId="9" r:id="rId11"/>
    <sheet state="visible" name="GetDataClosing" sheetId="10" r:id="rId12"/>
    <sheet state="visible" name="VerifyLongPositionsGrid" sheetId="11" r:id="rId13"/>
    <sheet state="visible" name="VerifyShortPositionsGrid" sheetId="12" r:id="rId14"/>
    <sheet state="visible" name="VerifyActivity" sheetId="13" r:id="rId15"/>
    <sheet state="visible" name="GetActivityData" sheetId="14" r:id="rId16"/>
    <sheet state="visible" name="GetDataAllocation" sheetId="15" r:id="rId17"/>
    <sheet state="visible" name="CheckBlotter" sheetId="16" r:id="rId18"/>
  </sheets>
  <definedNames/>
  <calcPr/>
</workbook>
</file>

<file path=xl/sharedStrings.xml><?xml version="1.0" encoding="utf-8"?>
<sst xmlns="http://schemas.openxmlformats.org/spreadsheetml/2006/main" count="445" uniqueCount="59">
  <si>
    <t>Modules Info</t>
  </si>
  <si>
    <t>Modules</t>
  </si>
  <si>
    <t>Settings</t>
  </si>
  <si>
    <t>Module Step Setting File</t>
  </si>
  <si>
    <t>15Il9KeswuJGgf6kL64q0xt7c_sevGOAe7T20r5WsNa0</t>
  </si>
  <si>
    <t>1Nt_rf5DtgjbN9Ag4AMMlUkZYROxKZLH5m54YOl7tRT0</t>
  </si>
  <si>
    <t>Data</t>
  </si>
  <si>
    <t>Module</t>
  </si>
  <si>
    <t>Blotter</t>
  </si>
  <si>
    <t>Step</t>
  </si>
  <si>
    <t>VerifyWorkingSubs</t>
  </si>
  <si>
    <t>Data Format</t>
  </si>
  <si>
    <t>Input Format</t>
  </si>
  <si>
    <t>APPL</t>
  </si>
  <si>
    <t>Sell</t>
  </si>
  <si>
    <t>PartiallyFilled</t>
  </si>
  <si>
    <t>-</t>
  </si>
  <si>
    <t>Market</t>
  </si>
  <si>
    <t>Sell short</t>
  </si>
  <si>
    <t>Filled</t>
  </si>
  <si>
    <t>Stop Limit</t>
  </si>
  <si>
    <t>Buy to Close</t>
  </si>
  <si>
    <t>Stop</t>
  </si>
  <si>
    <t>Allocation1</t>
  </si>
  <si>
    <t>Buy</t>
  </si>
  <si>
    <t>Limit</t>
  </si>
  <si>
    <t>VerifySubOrder</t>
  </si>
  <si>
    <t>TradingTicket</t>
  </si>
  <si>
    <t>CreateDoneAwayOrder</t>
  </si>
  <si>
    <t>Unallocated</t>
  </si>
  <si>
    <t>Notional BPS</t>
  </si>
  <si>
    <t>Shares/Contracts</t>
  </si>
  <si>
    <t>Flat Amount</t>
  </si>
  <si>
    <t>VerifyOrder</t>
  </si>
  <si>
    <t>Allocation</t>
  </si>
  <si>
    <t>CheckUnallocatedGroups</t>
  </si>
  <si>
    <t>CheckAllocatedGroups</t>
  </si>
  <si>
    <t>Manual</t>
  </si>
  <si>
    <t>PortfolioManagement</t>
  </si>
  <si>
    <t>CheckPortfolioManagement</t>
  </si>
  <si>
    <t>Long</t>
  </si>
  <si>
    <t>Short</t>
  </si>
  <si>
    <t>NewMF</t>
  </si>
  <si>
    <t>Closing</t>
  </si>
  <si>
    <t>GetDataClosing</t>
  </si>
  <si>
    <t>Current</t>
  </si>
  <si>
    <t>VerifyLongPositionsGrid</t>
  </si>
  <si>
    <t>VerifyShortPositionsGrid</t>
  </si>
  <si>
    <t>GeneralLedger</t>
  </si>
  <si>
    <t>VerifyActivity</t>
  </si>
  <si>
    <t>EquityL</t>
  </si>
  <si>
    <t>USD</t>
  </si>
  <si>
    <t>GetActivityData</t>
  </si>
  <si>
    <t>SelectAll</t>
  </si>
  <si>
    <t>No</t>
  </si>
  <si>
    <t>Yes</t>
  </si>
  <si>
    <t>GetDataAllocation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</si>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</sst>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name val="Arial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5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3" fontId="9" numFmtId="0" xfId="0" applyFont="1"/>
    <xf borderId="0" fillId="4" fontId="10" numFmtId="0" xfId="0" applyAlignment="1" applyFill="1" applyFont="1">
      <alignment shrinkToFit="0" wrapText="0"/>
    </xf>
    <xf borderId="0" fillId="4" fontId="11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9" numFmtId="0" xfId="0" applyFont="1"/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6" fontId="12" numFmtId="0" xfId="0" applyAlignment="1" applyFill="1" applyFont="1">
      <alignment vertical="bottom"/>
    </xf>
    <xf borderId="0" fillId="0" fontId="8" numFmtId="0" xfId="0" applyAlignment="1" applyFont="1">
      <alignment shrinkToFit="0" wrapText="0"/>
    </xf>
    <xf borderId="0" fillId="6" fontId="13" numFmtId="0" xfId="0" applyAlignment="1" applyFont="1">
      <alignment readingOrder="0"/>
    </xf>
    <xf borderId="0" fillId="0" fontId="5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38.88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/>
      <c r="B4" s="13" t="s">
        <v>5</v>
      </c>
      <c r="C4" s="8"/>
    </row>
    <row r="5" ht="15.75" customHeight="1">
      <c r="A5" s="12"/>
      <c r="B5" s="8"/>
      <c r="C5" s="8"/>
    </row>
    <row r="6" ht="15.75" customHeight="1">
      <c r="A6" s="12"/>
      <c r="B6" s="8"/>
      <c r="C6" s="8"/>
    </row>
    <row r="7" ht="15.75" customHeight="1">
      <c r="A7" s="12"/>
      <c r="B7" s="8"/>
      <c r="C7" s="8"/>
    </row>
    <row r="8" ht="15.75" customHeight="1">
      <c r="A8" s="12"/>
      <c r="B8" s="8"/>
      <c r="C8" s="8"/>
    </row>
    <row r="9" ht="15.75" customHeight="1">
      <c r="A9" s="12"/>
      <c r="B9" s="8"/>
      <c r="C9" s="8"/>
    </row>
    <row r="10" ht="15.75" customHeight="1">
      <c r="A10" s="12"/>
      <c r="B10" s="8"/>
      <c r="C10" s="8"/>
    </row>
    <row r="11" ht="15.75" customHeight="1">
      <c r="A11" s="12"/>
      <c r="B11" s="8"/>
      <c r="C11" s="8"/>
    </row>
    <row r="12" ht="15.75" customHeight="1">
      <c r="A12" s="12"/>
      <c r="B12" s="8"/>
      <c r="C12" s="8"/>
    </row>
    <row r="13" ht="15.75" customHeight="1">
      <c r="A13" s="12"/>
      <c r="B13" s="8"/>
      <c r="C13" s="8"/>
    </row>
    <row r="14" ht="15.75" customHeight="1">
      <c r="A14" s="12"/>
      <c r="B14" s="8"/>
      <c r="C14" s="8"/>
    </row>
    <row r="15" ht="15.75" customHeight="1">
      <c r="A15" s="12"/>
      <c r="B15" s="8"/>
      <c r="C15" s="8"/>
    </row>
    <row r="16" ht="15.75" customHeight="1">
      <c r="A16" s="12"/>
      <c r="B16" s="8"/>
      <c r="C16" s="8"/>
    </row>
    <row r="17" ht="15.75" customHeight="1">
      <c r="A17" s="12"/>
      <c r="B17" s="8"/>
      <c r="C17" s="8"/>
    </row>
    <row r="18" ht="15.75" customHeight="1">
      <c r="A18" s="12"/>
      <c r="B18" s="8"/>
      <c r="C18" s="8"/>
    </row>
    <row r="19" ht="15.75" customHeight="1">
      <c r="A19" s="12"/>
      <c r="B19" s="8"/>
      <c r="C19" s="8"/>
    </row>
    <row r="20" ht="15.75" customHeight="1">
      <c r="A20" s="12"/>
      <c r="B20" s="8"/>
      <c r="C20" s="8"/>
    </row>
    <row r="21" ht="15.75" customHeight="1">
      <c r="A21" s="12"/>
      <c r="B21" s="8"/>
      <c r="C21" s="8"/>
    </row>
    <row r="22" ht="15.75" customHeight="1">
      <c r="A22" s="12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25"/>
    <col customWidth="1" min="3" max="3" width="16.13"/>
    <col customWidth="1" min="4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4"/>
      <c r="B1" s="1" t="s">
        <v>6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ht="15.75" customHeight="1">
      <c r="A3" s="16"/>
      <c r="B3" s="5" t="s">
        <v>7</v>
      </c>
      <c r="C3" s="17" t="s">
        <v>8</v>
      </c>
      <c r="D3" s="5" t="s">
        <v>9</v>
      </c>
      <c r="E3" s="17" t="s">
        <v>10</v>
      </c>
      <c r="F3" s="5" t="s">
        <v>11</v>
      </c>
      <c r="G3" s="18" t="s">
        <v>12</v>
      </c>
      <c r="H3" s="5"/>
      <c r="I3" s="16"/>
      <c r="J3" s="16"/>
      <c r="K3" s="16"/>
      <c r="L3" s="16"/>
      <c r="M3" s="16"/>
      <c r="N3" s="16"/>
      <c r="O3" s="1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</row>
    <row r="4" ht="15.75" customHeight="1">
      <c r="A4" s="20"/>
      <c r="B4" s="20" t="str">
        <f>IFERROR(__xludf.DUMMYFUNCTION("IF(C3="""","""",Transpose(IMPORTRANGE('_Settings'!$B$3,C3&amp;""!A4:A1000"")))"),"ReplaceFillsOnBlotter")</f>
        <v>ReplaceFillsOnBlotter</v>
      </c>
      <c r="C4" s="20" t="str">
        <f>IFERROR(__xludf.DUMMYFUNCTION("""COMPUTED_VALUE"""),"CheckBlotter")</f>
        <v>CheckBlotter</v>
      </c>
      <c r="D4" s="20" t="str">
        <f>IFERROR(__xludf.DUMMYFUNCTION("""COMPUTED_VALUE"""),"BlotterFunctionalities")</f>
        <v>BlotterFunctionalities</v>
      </c>
      <c r="E4" s="20" t="str">
        <f>IFERROR(__xludf.DUMMYFUNCTION("""COMPUTED_VALUE"""),"TransferToUserWorkingSubs")</f>
        <v>TransferToUserWorkingSubs</v>
      </c>
      <c r="F4" s="20" t="str">
        <f>IFERROR(__xludf.DUMMYFUNCTION("""COMPUTED_VALUE"""),"CancelWorkingSubs")</f>
        <v>CancelWorkingSubs</v>
      </c>
      <c r="G4" s="20" t="str">
        <f>IFERROR(__xludf.DUMMYFUNCTION("""COMPUTED_VALUE"""),"ReplaceWorkingSubs")</f>
        <v>ReplaceWorkingSubs</v>
      </c>
      <c r="H4" s="20" t="str">
        <f>IFERROR(__xludf.DUMMYFUNCTION("""COMPUTED_VALUE"""),"ViewAllocationDetailsWorkingSub")</f>
        <v>ViewAllocationDetailsWorkingSub</v>
      </c>
      <c r="I4" s="20" t="str">
        <f>IFERROR(__xludf.DUMMYFUNCTION("""COMPUTED_VALUE"""),"SelectTradeOnOrderGrid")</f>
        <v>SelectTradeOnOrderGrid</v>
      </c>
      <c r="J4" s="20" t="str">
        <f>IFERROR(__xludf.DUMMYFUNCTION("""COMPUTED_VALUE"""),"ShowDetailsForAlgoTradeSubOrder")</f>
        <v>ShowDetailsForAlgoTradeSubOrder</v>
      </c>
      <c r="K4" s="20" t="str">
        <f>IFERROR(__xludf.DUMMYFUNCTION("""COMPUTED_VALUE"""),"SelectTradeOrderBlotter")</f>
        <v>SelectTradeOrderBlotter</v>
      </c>
      <c r="L4" s="20" t="str">
        <f>IFERROR(__xludf.DUMMYFUNCTION("""COMPUTED_VALUE"""),"AddFillsWorkingSubs")</f>
        <v>AddFillsWorkingSubs</v>
      </c>
      <c r="M4" s="20" t="str">
        <f>IFERROR(__xludf.DUMMYFUNCTION("""COMPUTED_VALUE"""),"EditAddFillsDetails")</f>
        <v>EditAddFillsDetails</v>
      </c>
      <c r="N4" s="20" t="str">
        <f>IFERROR(__xludf.DUMMYFUNCTION("""COMPUTED_VALUE"""),"ShowDetailsForAlgoTradeWorkingSubs")</f>
        <v>ShowDetailsForAlgoTradeWorkingSubs</v>
      </c>
      <c r="O4" s="20" t="str">
        <f>IFERROR(__xludf.DUMMYFUNCTION("""COMPUTED_VALUE"""),"VerifyWorkingSubs")</f>
        <v>VerifyWorkingSubs</v>
      </c>
      <c r="P4" s="21" t="str">
        <f>IFERROR(__xludf.DUMMYFUNCTION("""COMPUTED_VALUE"""),"TransferToUserOrder")</f>
        <v>TransferToUserOrder</v>
      </c>
      <c r="Q4" s="21" t="str">
        <f>IFERROR(__xludf.DUMMYFUNCTION("""COMPUTED_VALUE"""),"EditOrder")</f>
        <v>EditOrder</v>
      </c>
      <c r="R4" s="21" t="str">
        <f>IFERROR(__xludf.DUMMYFUNCTION("""COMPUTED_VALUE"""),"SelectTradeSubOrderBlotter")</f>
        <v>SelectTradeSubOrderBlotter</v>
      </c>
      <c r="S4" s="21" t="str">
        <f>IFERROR(__xludf.DUMMYFUNCTION("""COMPUTED_VALUE"""),"VerifyOrder")</f>
        <v>VerifyOrder</v>
      </c>
      <c r="T4" s="21" t="str">
        <f>IFERROR(__xludf.DUMMYFUNCTION("""COMPUTED_VALUE"""),"VerifySubOrder")</f>
        <v>VerifySubOrder</v>
      </c>
      <c r="U4" s="21" t="str">
        <f>IFERROR(__xludf.DUMMYFUNCTION("""COMPUTED_VALUE"""),"RemoveSelectedOrders")</f>
        <v>RemoveSelectedOrders</v>
      </c>
      <c r="V4" s="21" t="str">
        <f>IFERROR(__xludf.DUMMYFUNCTION("""COMPUTED_VALUE"""),"CancelAllSelectedSubs")</f>
        <v>CancelAllSelectedSubs</v>
      </c>
      <c r="W4" s="21" t="str">
        <f>IFERROR(__xludf.DUMMYFUNCTION("""COMPUTED_VALUE"""),"MultiTradingTicket")</f>
        <v>MultiTradingTicket</v>
      </c>
      <c r="X4" s="21" t="str">
        <f>IFERROR(__xludf.DUMMYFUNCTION("""COMPUTED_VALUE"""),"AuditTrailOrderBlotter")</f>
        <v>AuditTrailOrderBlotter</v>
      </c>
      <c r="Y4" s="21" t="str">
        <f>IFERROR(__xludf.DUMMYFUNCTION("""COMPUTED_VALUE"""),"TradeNewSubOrder")</f>
        <v>TradeNewSubOrder</v>
      </c>
      <c r="Z4" s="21" t="str">
        <f>IFERROR(__xludf.DUMMYFUNCTION("""COMPUTED_VALUE"""),"RemoveStageOrder")</f>
        <v>RemoveStageOrder</v>
      </c>
      <c r="AA4" s="21" t="str">
        <f>IFERROR(__xludf.DUMMYFUNCTION("""COMPUTED_VALUE"""),"TransferToUserSubOrder")</f>
        <v>TransferToUserSubOrder</v>
      </c>
      <c r="AB4" s="21" t="str">
        <f>IFERROR(__xludf.DUMMYFUNCTION("""COMPUTED_VALUE"""),"DetailsForAlgoTradeOrder")</f>
        <v>DetailsForAlgoTradeOrder</v>
      </c>
      <c r="AC4" s="21" t="str">
        <f>IFERROR(__xludf.DUMMYFUNCTION("""COMPUTED_VALUE"""),"AddFillsSubOrder")</f>
        <v>AddFillsSubOrder</v>
      </c>
      <c r="AD4" s="21" t="str">
        <f>IFERROR(__xludf.DUMMYFUNCTION("""COMPUTED_VALUE"""),"ViewAllocationDetailsSubOrder")</f>
        <v>ViewAllocationDetailsSubOrder</v>
      </c>
      <c r="AE4" s="21" t="str">
        <f>IFERROR(__xludf.DUMMYFUNCTION("""COMPUTED_VALUE"""),"CancelAllSubs")</f>
        <v>CancelAllSubs</v>
      </c>
      <c r="AF4" s="21" t="str">
        <f>IFERROR(__xludf.DUMMYFUNCTION("""COMPUTED_VALUE"""),"CancelSubOrder")</f>
        <v>CancelSubOrder</v>
      </c>
      <c r="AG4" s="21" t="str">
        <f>IFERROR(__xludf.DUMMYFUNCTION("""COMPUTED_VALUE"""),"EditStageOrder")</f>
        <v>EditStageOrder</v>
      </c>
      <c r="AH4" s="21" t="str">
        <f>IFERROR(__xludf.DUMMYFUNCTION("""COMPUTED_VALUE"""),"ReplaceSubOrder")</f>
        <v>ReplaceSubOrder</v>
      </c>
      <c r="AI4" s="21" t="str">
        <f>IFERROR(__xludf.DUMMYFUNCTION("""COMPUTED_VALUE"""),"SelectTradeWorkingSubsBlotter")</f>
        <v>SelectTradeWorkingSubsBlotter</v>
      </c>
      <c r="AJ4" s="21" t="str">
        <f>IFERROR(__xludf.DUMMYFUNCTION("""COMPUTED_VALUE"""),"VerifyAlgoDetails")</f>
        <v>VerifyAlgoDetails</v>
      </c>
      <c r="AK4" s="21" t="str">
        <f>IFERROR(__xludf.DUMMYFUNCTION("""COMPUTED_VALUE"""),"VerifyTransferToUserOrder")</f>
        <v>VerifyTransferToUserOrder</v>
      </c>
      <c r="AL4" s="21" t="str">
        <f>IFERROR(__xludf.DUMMYFUNCTION("""COMPUTED_VALUE"""),"VerifyTransferToUserSubOdr")</f>
        <v>VerifyTransferToUserSubOdr</v>
      </c>
      <c r="AM4" s="21" t="str">
        <f>IFERROR(__xludf.DUMMYFUNCTION("""COMPUTED_VALUE"""),"VerifyTransferToUserWorkSub")</f>
        <v>VerifyTransferToUserWorkSub</v>
      </c>
      <c r="AN4" s="21" t="str">
        <f>IFERROR(__xludf.DUMMYFUNCTION("""COMPUTED_VALUE"""),"SaveLayoutOrderGrid")</f>
        <v>SaveLayoutOrderGrid</v>
      </c>
      <c r="AO4" s="21" t="str">
        <f>IFERROR(__xludf.DUMMYFUNCTION("""COMPUTED_VALUE"""),"ReplaceStageOrder")</f>
        <v>ReplaceStageOrder</v>
      </c>
      <c r="AP4" s="21" t="str">
        <f>IFERROR(__xludf.DUMMYFUNCTION("""COMPUTED_VALUE"""),"MultiTradingTicketFromBlotter")</f>
        <v>MultiTradingTicketFromBlotter</v>
      </c>
      <c r="AQ4" s="21" t="str">
        <f>IFERROR(__xludf.DUMMYFUNCTION("""COMPUTED_VALUE"""),"VerifyViewAllocationDetails")</f>
        <v>VerifyViewAllocationDetails</v>
      </c>
      <c r="AR4" s="21" t="str">
        <f>IFERROR(__xludf.DUMMYFUNCTION("""COMPUTED_VALUE"""),"GoToAllocation")</f>
        <v>GoToAllocation</v>
      </c>
      <c r="AS4" s="21" t="str">
        <f>IFERROR(__xludf.DUMMYFUNCTION("""COMPUTED_VALUE"""),"VerifyRollover")</f>
        <v>VerifyRollover</v>
      </c>
      <c r="AT4" s="21" t="str">
        <f>IFERROR(__xludf.DUMMYFUNCTION("""COMPUTED_VALUE"""),"VerifySubOrderAfterRollover")</f>
        <v>VerifySubOrderAfterRollover</v>
      </c>
      <c r="AU4" s="21" t="str">
        <f>IFERROR(__xludf.DUMMYFUNCTION("""COMPUTED_VALUE"""),"OpenBlotter")</f>
        <v>OpenBlotter</v>
      </c>
      <c r="AV4" s="21" t="str">
        <f>IFERROR(__xludf.DUMMYFUNCTION("""COMPUTED_VALUE"""),"OpenBlotter")</f>
        <v>OpenBlotter</v>
      </c>
      <c r="AW4" s="21" t="str">
        <f>IFERROR(__xludf.DUMMYFUNCTION("""COMPUTED_VALUE"""),"RemoveManualExecution")</f>
        <v>RemoveManualExecution</v>
      </c>
      <c r="AX4" s="21" t="str">
        <f>IFERROR(__xludf.DUMMYFUNCTION("""COMPUTED_VALUE"""),"RemoveExecutionWorkingSubs")</f>
        <v>RemoveExecutionWorkingSubs</v>
      </c>
      <c r="AY4" s="21" t="str">
        <f>IFERROR(__xludf.DUMMYFUNCTION("""COMPUTED_VALUE"""),"GetExecutionReportOrders")</f>
        <v>GetExecutionReportOrders</v>
      </c>
      <c r="AZ4" s="21" t="str">
        <f>IFERROR(__xludf.DUMMYFUNCTION("""COMPUTED_VALUE"""),"GetExecutionReportDetails")</f>
        <v>GetExecutionReportDetails</v>
      </c>
      <c r="BA4" s="21" t="str">
        <f>IFERROR(__xludf.DUMMYFUNCTION("""COMPUTED_VALUE"""),"ExportExecutionReportData")</f>
        <v>ExportExecutionReportData</v>
      </c>
      <c r="BB4" s="21" t="str">
        <f>IFERROR(__xludf.DUMMYFUNCTION("""COMPUTED_VALUE"""),"VerifyExecutionReport")</f>
        <v>VerifyExecutionReport</v>
      </c>
      <c r="BC4" s="21" t="str">
        <f>IFERROR(__xludf.DUMMYFUNCTION("""COMPUTED_VALUE"""),"BlotterExecutionReportSnapshot")</f>
        <v>BlotterExecutionReportSnapshot</v>
      </c>
      <c r="BD4" s="21" t="str">
        <f>IFERROR(__xludf.DUMMYFUNCTION("""COMPUTED_VALUE"""),"MultipleTradeTransferToUser")</f>
        <v>MultipleTradeTransferToUser</v>
      </c>
      <c r="BE4" s="21" t="str">
        <f>IFERROR(__xludf.DUMMYFUNCTION("""COMPUTED_VALUE"""),"ReloadOrderFromBlotter")</f>
        <v>ReloadOrderFromBlotter</v>
      </c>
      <c r="BF4" s="21" t="str">
        <f>IFERROR(__xludf.DUMMYFUNCTION("""COMPUTED_VALUE"""),"ReloadOrderFromSubOrder")</f>
        <v>ReloadOrderFromSubOrder</v>
      </c>
      <c r="BG4" s="21" t="str">
        <f>IFERROR(__xludf.DUMMYFUNCTION("""COMPUTED_VALUE"""),"ReloadOrderFromWorkingSubs")</f>
        <v>ReloadOrderFromWorkingSubs</v>
      </c>
      <c r="BH4" s="21" t="str">
        <f>IFERROR(__xludf.DUMMYFUNCTION("""COMPUTED_VALUE"""),"SelectFills")</f>
        <v>SelectFills</v>
      </c>
      <c r="BI4" s="21" t="str">
        <f>IFERROR(__xludf.DUMMYFUNCTION("""COMPUTED_VALUE"""),"ModifyFills")</f>
        <v>ModifyFills</v>
      </c>
      <c r="BJ4" s="21" t="str">
        <f>IFERROR(__xludf.DUMMYFUNCTION("""COMPUTED_VALUE"""),"AddTab")</f>
        <v>AddTab</v>
      </c>
      <c r="BK4" s="21" t="str">
        <f>IFERROR(__xludf.DUMMYFUNCTION("""COMPUTED_VALUE"""),"RemoveTab")</f>
        <v>RemoveTab</v>
      </c>
      <c r="BL4" s="21" t="str">
        <f>IFERROR(__xludf.DUMMYFUNCTION("""COMPUTED_VALUE"""),"SelectCustomTab")</f>
        <v>SelectCustomTab</v>
      </c>
      <c r="BM4" s="21" t="str">
        <f>IFERROR(__xludf.DUMMYFUNCTION("""COMPUTED_VALUE"""),"VerifyOrderCustomTab")</f>
        <v>VerifyOrderCustomTab</v>
      </c>
      <c r="BN4" s="21" t="str">
        <f>IFERROR(__xludf.DUMMYFUNCTION("""COMPUTED_VALUE"""),"VerifySubOrderCustomTab")</f>
        <v>VerifySubOrderCustomTab</v>
      </c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IFERROR(__xludf.DUMMYFUNCTION("""COMPUTED_VALUE"""),"Symbol")</f>
        <v>Symbol</v>
      </c>
      <c r="C5" s="23" t="str">
        <f>IFERROR(__xludf.DUMMYFUNCTION("""COMPUTED_VALUE"""),"Side")</f>
        <v>Side</v>
      </c>
      <c r="D5" s="23" t="str">
        <f>IFERROR(__xludf.DUMMYFUNCTION("""COMPUTED_VALUE"""),"Quantity")</f>
        <v>Quantity</v>
      </c>
      <c r="E5" s="23" t="str">
        <f>IFERROR(__xludf.DUMMYFUNCTION("""COMPUTED_VALUE"""),"Executed Qty")</f>
        <v>Executed Qty</v>
      </c>
      <c r="F5" s="24" t="str">
        <f>IFERROR(__xludf.DUMMYFUNCTION("""COMPUTED_VALUE"""),"Unexecuted Qty")</f>
        <v>Unexecuted Qty</v>
      </c>
      <c r="G5" s="24" t="str">
        <f>IFERROR(__xludf.DUMMYFUNCTION("""COMPUTED_VALUE"""),"Status")</f>
        <v>Status</v>
      </c>
      <c r="H5" s="23" t="str">
        <f>IFERROR(__xludf.DUMMYFUNCTION("""COMPUTED_VALUE"""),"Last Shares")</f>
        <v>Last Shares</v>
      </c>
      <c r="I5" s="23" t="str">
        <f>IFERROR(__xludf.DUMMYFUNCTION("""COMPUTED_VALUE"""),"Last Fill Price (Local)")</f>
        <v>Last Fill Price (Local)</v>
      </c>
      <c r="J5" s="23" t="str">
        <f>IFERROR(__xludf.DUMMYFUNCTION("""COMPUTED_VALUE"""),"Avg Fill Price (Local)")</f>
        <v>Avg Fill Price (Local)</v>
      </c>
      <c r="K5" s="23" t="str">
        <f>IFERROR(__xludf.DUMMYFUNCTION("""COMPUTED_VALUE"""),"Broker")</f>
        <v>Broker</v>
      </c>
      <c r="L5" s="23" t="str">
        <f>IFERROR(__xludf.DUMMYFUNCTION("""COMPUTED_VALUE"""),"Account")</f>
        <v>Account</v>
      </c>
      <c r="M5" s="23" t="str">
        <f>IFERROR(__xludf.DUMMYFUNCTION("""COMPUTED_VALUE"""),"Order Type")</f>
        <v>Order Type</v>
      </c>
      <c r="N5" s="23" t="str">
        <f>IFERROR(__xludf.DUMMYFUNCTION("""COMPUTED_VALUE"""),"OrderStatus")</f>
        <v>OrderStatus</v>
      </c>
      <c r="O5" s="23" t="str">
        <f>IFERROR(__xludf.DUMMYFUNCTION("""COMPUTED_VALUE"""),"Avg Fill Price (Base)")</f>
        <v>Avg Fill Price (Base)</v>
      </c>
      <c r="P5" s="23" t="str">
        <f>IFERROR(__xludf.DUMMYFUNCTION("""COMPUTED_VALUE"""),"Limit Price")</f>
        <v>Limit Price</v>
      </c>
      <c r="Q5" s="23" t="str">
        <f>IFERROR(__xludf.DUMMYFUNCTION("""COMPUTED_VALUE"""),"Stop Price")</f>
        <v>Stop Price</v>
      </c>
      <c r="R5" s="23" t="str">
        <f>IFERROR(__xludf.DUMMYFUNCTION("""COMPUTED_VALUE"""),"Actual User")</f>
        <v>Actual User</v>
      </c>
      <c r="S5" s="23" t="str">
        <f>IFERROR(__xludf.DUMMYFUNCTION("""COMPUTED_VALUE"""),"Bloomberg Symbol")</f>
        <v>Bloomberg Symbol</v>
      </c>
      <c r="T5" s="25" t="str">
        <f>IFERROR(__xludf.DUMMYFUNCTION("""COMPUTED_VALUE"""),"Algo")</f>
        <v>Algo</v>
      </c>
      <c r="U5" s="25" t="str">
        <f>IFERROR(__xludf.DUMMYFUNCTION("""COMPUTED_VALUE"""),"Allocation Scheme Name")</f>
        <v>Allocation Scheme Name</v>
      </c>
      <c r="V5" s="25" t="str">
        <f>IFERROR(__xludf.DUMMYFUNCTION("""COMPUTED_VALUE"""),"Allocation Status")</f>
        <v>Allocation Status</v>
      </c>
      <c r="W5" s="25" t="str">
        <f>IFERROR(__xludf.DUMMYFUNCTION("""COMPUTED_VALUE"""),"Asset Class")</f>
        <v>Asset Class</v>
      </c>
      <c r="X5" s="25" t="str">
        <f>IFERROR(__xludf.DUMMYFUNCTION("""COMPUTED_VALUE"""),"FX Conversion Operator")</f>
        <v>FX Conversion Operator</v>
      </c>
      <c r="Y5" s="25" t="str">
        <f>IFERROR(__xludf.DUMMYFUNCTION("""COMPUTED_VALUE"""),"FX Rate")</f>
        <v>FX Rate</v>
      </c>
      <c r="Z5" s="25" t="str">
        <f>IFERROR(__xludf.DUMMYFUNCTION("""COMPUTED_VALUE"""),"Imported File Name")</f>
        <v>Imported File Name</v>
      </c>
      <c r="AA5" s="25" t="str">
        <f>IFERROR(__xludf.DUMMYFUNCTION("""COMPUTED_VALUE"""),"Internal Comments")</f>
        <v>Internal Comments</v>
      </c>
      <c r="AB5" s="25" t="str">
        <f>IFERROR(__xludf.DUMMYFUNCTION("""COMPUTED_VALUE"""),"Peg")</f>
        <v>Peg</v>
      </c>
      <c r="AC5" s="25" t="str">
        <f>IFERROR(__xludf.DUMMYFUNCTION("""COMPUTED_VALUE"""),"Principal Amount (Base)")</f>
        <v>Principal Amount (Base)</v>
      </c>
      <c r="AD5" s="25" t="str">
        <f>IFERROR(__xludf.DUMMYFUNCTION("""COMPUTED_VALUE"""),"Principal Amount (Local)")</f>
        <v>Principal Amount (Local)</v>
      </c>
      <c r="AE5" s="25" t="str">
        <f>IFERROR(__xludf.DUMMYFUNCTION("""COMPUTED_VALUE"""),"Process Date")</f>
        <v>Process Date</v>
      </c>
      <c r="AF5" s="25" t="str">
        <f>IFERROR(__xludf.DUMMYFUNCTION("""COMPUTED_VALUE"""),"Put/Call")</f>
        <v>Put/Call</v>
      </c>
      <c r="AG5" s="25" t="str">
        <f>IFERROR(__xludf.DUMMYFUNCTION("""COMPUTED_VALUE"""),"Settlement Currency")</f>
        <v>Settlement Currency</v>
      </c>
      <c r="AH5" s="25" t="str">
        <f>IFERROR(__xludf.DUMMYFUNCTION("""COMPUTED_VALUE"""),"Source")</f>
        <v>Source</v>
      </c>
      <c r="AI5" s="25" t="str">
        <f>IFERROR(__xludf.DUMMYFUNCTION("""COMPUTED_VALUE"""),"Status (With Rollover)")</f>
        <v>Status (With Rollover)</v>
      </c>
      <c r="AJ5" s="25" t="str">
        <f>IFERROR(__xludf.DUMMYFUNCTION("""COMPUTED_VALUE"""),"Strategy")</f>
        <v>Strategy</v>
      </c>
      <c r="AK5" s="25" t="str">
        <f>IFERROR(__xludf.DUMMYFUNCTION("""COMPUTED_VALUE"""),"Strike Price")</f>
        <v>Strike Price</v>
      </c>
      <c r="AL5" s="25" t="str">
        <f>IFERROR(__xludf.DUMMYFUNCTION("""COMPUTED_VALUE"""),"Trade Attribute 1")</f>
        <v>Trade Attribute 1</v>
      </c>
      <c r="AM5" s="25" t="str">
        <f>IFERROR(__xludf.DUMMYFUNCTION("""COMPUTED_VALUE"""),"Trade Attribute 2")</f>
        <v>Trade Attribute 2</v>
      </c>
      <c r="AN5" s="25" t="str">
        <f>IFERROR(__xludf.DUMMYFUNCTION("""COMPUTED_VALUE"""),"Trade Attribute 3")</f>
        <v>Trade Attribute 3</v>
      </c>
      <c r="AO5" s="25" t="str">
        <f>IFERROR(__xludf.DUMMYFUNCTION("""COMPUTED_VALUE"""),"Trade Attribute 4")</f>
        <v>Trade Attribute 4</v>
      </c>
      <c r="AP5" s="25" t="str">
        <f>IFERROR(__xludf.DUMMYFUNCTION("""COMPUTED_VALUE"""),"Trade Attribute 5")</f>
        <v>Trade Attribute 5</v>
      </c>
      <c r="AQ5" s="25" t="str">
        <f>IFERROR(__xludf.DUMMYFUNCTION("""COMPUTED_VALUE"""),"Trade Attribute 6")</f>
        <v>Trade Attribute 6</v>
      </c>
      <c r="AR5" s="25" t="str">
        <f>IFERROR(__xludf.DUMMYFUNCTION("""COMPUTED_VALUE"""),"Trader")</f>
        <v>Trader</v>
      </c>
      <c r="AS5" s="25" t="str">
        <f>IFERROR(__xludf.DUMMYFUNCTION("""COMPUTED_VALUE"""),"Transaction Time")</f>
        <v>Transaction Time</v>
      </c>
      <c r="AT5" s="25" t="str">
        <f>IFERROR(__xludf.DUMMYFUNCTION("""COMPUTED_VALUE"""),"Underlying Country")</f>
        <v>Underlying Country</v>
      </c>
      <c r="AU5" s="25" t="str">
        <f>IFERROR(__xludf.DUMMYFUNCTION("""COMPUTED_VALUE"""),"Underlying Symbol")</f>
        <v>Underlying Symbol</v>
      </c>
      <c r="AV5" s="25" t="str">
        <f>IFERROR(__xludf.DUMMYFUNCTION("""COMPUTED_VALUE"""),"Venue")</f>
        <v>Venue</v>
      </c>
      <c r="AW5" s="25" t="str">
        <f>IFERROR(__xludf.DUMMYFUNCTION("""COMPUTED_VALUE"""),"Working Qty")</f>
        <v>Working Qty</v>
      </c>
      <c r="AX5" s="25" t="str">
        <f>IFERROR(__xludf.DUMMYFUNCTION("""COMPUTED_VALUE"""),"Client")</f>
        <v>Client</v>
      </c>
      <c r="AY5" s="25" t="str">
        <f>IFERROR(__xludf.DUMMYFUNCTION("""COMPUTED_VALUE"""),"OrderID")</f>
        <v>OrderID</v>
      </c>
      <c r="AZ5" s="25" t="str">
        <f>IFERROR(__xludf.DUMMYFUNCTION("""COMPUTED_VALUE"""),"ParentClOrderID")</f>
        <v>ParentClOrderID</v>
      </c>
      <c r="BA5" s="25" t="str">
        <f>IFERROR(__xludf.DUMMYFUNCTION("""COMPUTED_VALUE"""),"Master Fund")</f>
        <v>Master Fund</v>
      </c>
      <c r="BB5" s="25" t="str">
        <f>IFERROR(__xludf.DUMMYFUNCTION("""COMPUTED_VALUE"""),"Current User")</f>
        <v>Current User</v>
      </c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</row>
    <row r="6" ht="15.75" customHeight="1">
      <c r="A6" s="8"/>
      <c r="B6" s="9" t="s">
        <v>13</v>
      </c>
      <c r="C6" s="9" t="s">
        <v>14</v>
      </c>
      <c r="D6" s="9">
        <v>1000.0</v>
      </c>
      <c r="E6" s="9">
        <v>100.0</v>
      </c>
      <c r="F6" s="9">
        <v>900.0</v>
      </c>
      <c r="G6" s="9" t="s">
        <v>15</v>
      </c>
      <c r="J6" s="9"/>
      <c r="L6" s="9" t="s">
        <v>16</v>
      </c>
      <c r="M6" s="9" t="s">
        <v>17</v>
      </c>
      <c r="O6" s="26"/>
      <c r="S6" s="9"/>
    </row>
    <row r="7" ht="15.75" customHeight="1">
      <c r="A7" s="8"/>
      <c r="B7" s="13" t="s">
        <v>13</v>
      </c>
      <c r="C7" s="13" t="s">
        <v>18</v>
      </c>
      <c r="D7" s="13">
        <v>100.0</v>
      </c>
      <c r="E7" s="13">
        <v>100.0</v>
      </c>
      <c r="F7" s="13"/>
      <c r="G7" s="13" t="s">
        <v>19</v>
      </c>
      <c r="H7" s="8"/>
      <c r="I7" s="8"/>
      <c r="J7" s="13"/>
      <c r="K7" s="8"/>
      <c r="L7" s="9" t="s">
        <v>16</v>
      </c>
      <c r="M7" s="13" t="s">
        <v>20</v>
      </c>
      <c r="N7" s="8"/>
      <c r="O7" s="27"/>
      <c r="P7" s="13">
        <v>500.0</v>
      </c>
      <c r="Q7" s="13"/>
    </row>
    <row r="8" ht="15.75" customHeight="1">
      <c r="A8" s="8"/>
      <c r="B8" s="13" t="s">
        <v>13</v>
      </c>
      <c r="C8" s="13" t="s">
        <v>21</v>
      </c>
      <c r="D8" s="13">
        <v>100.0</v>
      </c>
      <c r="E8" s="13">
        <v>100.0</v>
      </c>
      <c r="F8" s="13"/>
      <c r="G8" s="13" t="s">
        <v>19</v>
      </c>
      <c r="H8" s="8"/>
      <c r="I8" s="8"/>
      <c r="J8" s="13"/>
      <c r="K8" s="8"/>
      <c r="L8" s="9" t="s">
        <v>16</v>
      </c>
      <c r="M8" s="13" t="s">
        <v>22</v>
      </c>
      <c r="N8" s="8"/>
      <c r="O8" s="27"/>
      <c r="P8" s="8"/>
      <c r="Q8" s="13">
        <v>500.0</v>
      </c>
    </row>
    <row r="9" ht="15.75" customHeight="1">
      <c r="A9" s="8"/>
      <c r="B9" s="28" t="s">
        <v>13</v>
      </c>
      <c r="C9" s="28" t="s">
        <v>14</v>
      </c>
      <c r="D9" s="27">
        <v>1000.0</v>
      </c>
      <c r="E9" s="27">
        <v>100.0</v>
      </c>
      <c r="F9" s="13">
        <v>900.0</v>
      </c>
      <c r="G9" s="13" t="s">
        <v>15</v>
      </c>
      <c r="H9" s="8"/>
      <c r="I9" s="8"/>
      <c r="J9" s="27"/>
      <c r="K9" s="8"/>
      <c r="L9" s="29" t="s">
        <v>23</v>
      </c>
      <c r="M9" s="28" t="s">
        <v>17</v>
      </c>
      <c r="N9" s="8"/>
      <c r="O9" s="27"/>
      <c r="P9" s="30"/>
      <c r="Q9" s="30"/>
    </row>
    <row r="10" ht="15.75" customHeight="1">
      <c r="A10" s="8"/>
      <c r="B10" s="28" t="s">
        <v>13</v>
      </c>
      <c r="C10" s="28" t="s">
        <v>24</v>
      </c>
      <c r="D10" s="27">
        <v>100.0</v>
      </c>
      <c r="E10" s="27">
        <v>100.0</v>
      </c>
      <c r="F10" s="13"/>
      <c r="G10" s="13" t="s">
        <v>19</v>
      </c>
      <c r="H10" s="8"/>
      <c r="I10" s="8"/>
      <c r="J10" s="27"/>
      <c r="K10" s="8"/>
      <c r="L10" s="29" t="s">
        <v>23</v>
      </c>
      <c r="M10" s="28" t="s">
        <v>25</v>
      </c>
      <c r="N10" s="8"/>
      <c r="O10" s="27"/>
      <c r="P10" s="27">
        <v>500.0</v>
      </c>
      <c r="Q10" s="30"/>
    </row>
    <row r="11" ht="15.75" customHeight="1">
      <c r="A11" s="8"/>
      <c r="B11" s="28" t="s">
        <v>13</v>
      </c>
      <c r="C11" s="28" t="s">
        <v>24</v>
      </c>
      <c r="D11" s="27">
        <v>1000.0</v>
      </c>
      <c r="E11" s="27">
        <v>1000.0</v>
      </c>
      <c r="F11" s="13"/>
      <c r="G11" s="13" t="s">
        <v>19</v>
      </c>
      <c r="H11" s="8"/>
      <c r="I11" s="8"/>
      <c r="J11" s="27"/>
      <c r="K11" s="8"/>
      <c r="L11" s="29" t="s">
        <v>23</v>
      </c>
      <c r="M11" s="28" t="s">
        <v>17</v>
      </c>
      <c r="N11" s="8"/>
      <c r="O11" s="27"/>
      <c r="P11" s="30"/>
      <c r="Q11" s="30"/>
    </row>
    <row r="12" ht="15.75" customHeight="1">
      <c r="A12" s="8"/>
      <c r="B12" s="28" t="s">
        <v>13</v>
      </c>
      <c r="C12" s="28" t="s">
        <v>24</v>
      </c>
      <c r="D12" s="27">
        <v>1000.0</v>
      </c>
      <c r="E12" s="27">
        <v>1000.0</v>
      </c>
      <c r="F12" s="13"/>
      <c r="G12" s="13" t="s">
        <v>19</v>
      </c>
      <c r="H12" s="8"/>
      <c r="I12" s="8"/>
      <c r="J12" s="27"/>
      <c r="K12" s="8"/>
      <c r="L12" s="29" t="s">
        <v>23</v>
      </c>
      <c r="M12" s="28" t="s">
        <v>17</v>
      </c>
      <c r="N12" s="8"/>
      <c r="O12" s="27"/>
      <c r="P12" s="30"/>
      <c r="Q12" s="30"/>
    </row>
    <row r="13" ht="15.75" customHeight="1">
      <c r="A13" s="8"/>
      <c r="B13" s="28" t="s">
        <v>13</v>
      </c>
      <c r="C13" s="28" t="s">
        <v>24</v>
      </c>
      <c r="D13" s="27">
        <v>1000.0</v>
      </c>
      <c r="E13" s="27">
        <v>1000.0</v>
      </c>
      <c r="F13" s="13"/>
      <c r="G13" s="13" t="s">
        <v>19</v>
      </c>
      <c r="H13" s="8"/>
      <c r="I13" s="8"/>
      <c r="J13" s="27"/>
      <c r="K13" s="8"/>
      <c r="L13" s="29" t="s">
        <v>23</v>
      </c>
      <c r="M13" s="28" t="s">
        <v>17</v>
      </c>
      <c r="N13" s="8"/>
      <c r="O13" s="31"/>
      <c r="P13" s="30"/>
      <c r="Q13" s="32"/>
    </row>
    <row r="14" ht="15.75" customHeight="1">
      <c r="A14" s="8"/>
      <c r="B14" s="28" t="s">
        <v>13</v>
      </c>
      <c r="C14" s="28" t="s">
        <v>24</v>
      </c>
      <c r="D14" s="27">
        <v>1000.0</v>
      </c>
      <c r="E14" s="27">
        <v>1000.0</v>
      </c>
      <c r="F14" s="13"/>
      <c r="G14" s="13" t="s">
        <v>19</v>
      </c>
      <c r="H14" s="8"/>
      <c r="I14" s="8"/>
      <c r="J14" s="27"/>
      <c r="K14" s="8"/>
      <c r="L14" s="29" t="s">
        <v>23</v>
      </c>
      <c r="M14" s="28" t="s">
        <v>17</v>
      </c>
      <c r="N14" s="8"/>
      <c r="O14" s="31"/>
      <c r="P14" s="30"/>
      <c r="Q14" s="30"/>
    </row>
    <row r="15" ht="15.75" customHeight="1">
      <c r="A15" s="8"/>
      <c r="B15" s="28" t="s">
        <v>13</v>
      </c>
      <c r="C15" s="28" t="s">
        <v>24</v>
      </c>
      <c r="D15" s="27">
        <v>1000.0</v>
      </c>
      <c r="E15" s="27">
        <v>1000.0</v>
      </c>
      <c r="F15" s="13"/>
      <c r="G15" s="13" t="s">
        <v>19</v>
      </c>
      <c r="H15" s="8"/>
      <c r="I15" s="8"/>
      <c r="J15" s="27"/>
      <c r="K15" s="8"/>
      <c r="L15" s="29" t="s">
        <v>23</v>
      </c>
      <c r="M15" s="28" t="s">
        <v>17</v>
      </c>
      <c r="N15" s="8"/>
      <c r="O15" s="31"/>
      <c r="P15" s="30"/>
      <c r="Q15" s="30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4"/>
      <c r="B1" s="1" t="s">
        <v>6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33" t="str">
        <f> VLOOKUP($E$3,'_MasterData'!B4:D1000,3,FALSE)</f>
        <v>#REF!</v>
      </c>
      <c r="K2" s="33"/>
      <c r="L2" s="8"/>
      <c r="M2" s="8"/>
      <c r="N2" s="8"/>
      <c r="O2" s="8"/>
    </row>
    <row r="3" ht="15.75" customHeight="1">
      <c r="A3" s="16"/>
      <c r="B3" s="5" t="s">
        <v>7</v>
      </c>
      <c r="C3" s="17" t="s">
        <v>8</v>
      </c>
      <c r="D3" s="5" t="s">
        <v>9</v>
      </c>
      <c r="E3" s="17" t="s">
        <v>26</v>
      </c>
      <c r="F3" s="5" t="s">
        <v>11</v>
      </c>
      <c r="G3" s="18" t="s">
        <v>12</v>
      </c>
      <c r="H3" s="5"/>
      <c r="I3" s="16"/>
      <c r="J3" s="16"/>
      <c r="K3" s="16"/>
      <c r="L3" s="16"/>
      <c r="M3" s="16"/>
      <c r="N3" s="16"/>
      <c r="O3" s="1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IFERROR(__xludf.DUMMYFUNCTION("IF(C3="""","""",Transpose(IMPORTRANGE('_Settings'!$B$3,C3&amp;""!A4:A1000"")))"),"ReplaceFillsOnBlotter")</f>
        <v>ReplaceFillsOnBlotter</v>
      </c>
      <c r="C4" s="20" t="str">
        <f>IFERROR(__xludf.DUMMYFUNCTION("""COMPUTED_VALUE"""),"CheckBlotter")</f>
        <v>CheckBlotter</v>
      </c>
      <c r="D4" s="20" t="str">
        <f>IFERROR(__xludf.DUMMYFUNCTION("""COMPUTED_VALUE"""),"BlotterFunctionalities")</f>
        <v>BlotterFunctionalities</v>
      </c>
      <c r="E4" s="20" t="str">
        <f>IFERROR(__xludf.DUMMYFUNCTION("""COMPUTED_VALUE"""),"TransferToUserWorkingSubs")</f>
        <v>TransferToUserWorkingSubs</v>
      </c>
      <c r="F4" s="20" t="str">
        <f>IFERROR(__xludf.DUMMYFUNCTION("""COMPUTED_VALUE"""),"CancelWorkingSubs")</f>
        <v>CancelWorkingSubs</v>
      </c>
      <c r="G4" s="20" t="str">
        <f>IFERROR(__xludf.DUMMYFUNCTION("""COMPUTED_VALUE"""),"ReplaceWorkingSubs")</f>
        <v>ReplaceWorkingSubs</v>
      </c>
      <c r="H4" s="20" t="str">
        <f>IFERROR(__xludf.DUMMYFUNCTION("""COMPUTED_VALUE"""),"ViewAllocationDetailsWorkingSub")</f>
        <v>ViewAllocationDetailsWorkingSub</v>
      </c>
      <c r="I4" s="20" t="str">
        <f>IFERROR(__xludf.DUMMYFUNCTION("""COMPUTED_VALUE"""),"SelectTradeOnOrderGrid")</f>
        <v>SelectTradeOnOrderGrid</v>
      </c>
      <c r="J4" s="20" t="str">
        <f>IFERROR(__xludf.DUMMYFUNCTION("""COMPUTED_VALUE"""),"ShowDetailsForAlgoTradeSubOrder")</f>
        <v>ShowDetailsForAlgoTradeSubOrder</v>
      </c>
      <c r="K4" s="20" t="str">
        <f>IFERROR(__xludf.DUMMYFUNCTION("""COMPUTED_VALUE"""),"SelectTradeOrderBlotter")</f>
        <v>SelectTradeOrderBlotter</v>
      </c>
      <c r="L4" s="20" t="str">
        <f>IFERROR(__xludf.DUMMYFUNCTION("""COMPUTED_VALUE"""),"AddFillsWorkingSubs")</f>
        <v>AddFillsWorkingSubs</v>
      </c>
      <c r="M4" s="20" t="str">
        <f>IFERROR(__xludf.DUMMYFUNCTION("""COMPUTED_VALUE"""),"EditAddFillsDetails")</f>
        <v>EditAddFillsDetails</v>
      </c>
      <c r="N4" s="20" t="str">
        <f>IFERROR(__xludf.DUMMYFUNCTION("""COMPUTED_VALUE"""),"ShowDetailsForAlgoTradeWorkingSubs")</f>
        <v>ShowDetailsForAlgoTradeWorkingSubs</v>
      </c>
      <c r="O4" s="20" t="str">
        <f>IFERROR(__xludf.DUMMYFUNCTION("""COMPUTED_VALUE"""),"VerifyWorkingSubs")</f>
        <v>VerifyWorkingSubs</v>
      </c>
      <c r="P4" s="21" t="str">
        <f>IFERROR(__xludf.DUMMYFUNCTION("""COMPUTED_VALUE"""),"TransferToUserOrder")</f>
        <v>TransferToUserOrder</v>
      </c>
      <c r="Q4" s="21" t="str">
        <f>IFERROR(__xludf.DUMMYFUNCTION("""COMPUTED_VALUE"""),"EditOrder")</f>
        <v>EditOrder</v>
      </c>
      <c r="R4" s="21" t="str">
        <f>IFERROR(__xludf.DUMMYFUNCTION("""COMPUTED_VALUE"""),"SelectTradeSubOrderBlotter")</f>
        <v>SelectTradeSubOrderBlotter</v>
      </c>
      <c r="S4" s="21" t="str">
        <f>IFERROR(__xludf.DUMMYFUNCTION("""COMPUTED_VALUE"""),"VerifyOrder")</f>
        <v>VerifyOrder</v>
      </c>
      <c r="T4" s="21" t="str">
        <f>IFERROR(__xludf.DUMMYFUNCTION("""COMPUTED_VALUE"""),"VerifySubOrder")</f>
        <v>VerifySubOrder</v>
      </c>
      <c r="U4" s="21" t="str">
        <f>IFERROR(__xludf.DUMMYFUNCTION("""COMPUTED_VALUE"""),"RemoveSelectedOrders")</f>
        <v>RemoveSelectedOrders</v>
      </c>
      <c r="V4" s="21" t="str">
        <f>IFERROR(__xludf.DUMMYFUNCTION("""COMPUTED_VALUE"""),"CancelAllSelectedSubs")</f>
        <v>CancelAllSelectedSubs</v>
      </c>
      <c r="W4" s="21" t="str">
        <f>IFERROR(__xludf.DUMMYFUNCTION("""COMPUTED_VALUE"""),"MultiTradingTicket")</f>
        <v>MultiTradingTicket</v>
      </c>
      <c r="X4" s="21" t="str">
        <f>IFERROR(__xludf.DUMMYFUNCTION("""COMPUTED_VALUE"""),"AuditTrailOrderBlotter")</f>
        <v>AuditTrailOrderBlotter</v>
      </c>
      <c r="Y4" s="21" t="str">
        <f>IFERROR(__xludf.DUMMYFUNCTION("""COMPUTED_VALUE"""),"TradeNewSubOrder")</f>
        <v>TradeNewSubOrder</v>
      </c>
      <c r="Z4" s="21" t="str">
        <f>IFERROR(__xludf.DUMMYFUNCTION("""COMPUTED_VALUE"""),"RemoveStageOrder")</f>
        <v>RemoveStageOrder</v>
      </c>
      <c r="AA4" s="21" t="str">
        <f>IFERROR(__xludf.DUMMYFUNCTION("""COMPUTED_VALUE"""),"TransferToUserSubOrder")</f>
        <v>TransferToUserSubOrder</v>
      </c>
      <c r="AB4" s="21" t="str">
        <f>IFERROR(__xludf.DUMMYFUNCTION("""COMPUTED_VALUE"""),"DetailsForAlgoTradeOrder")</f>
        <v>DetailsForAlgoTradeOrder</v>
      </c>
      <c r="AC4" s="21" t="str">
        <f>IFERROR(__xludf.DUMMYFUNCTION("""COMPUTED_VALUE"""),"AddFillsSubOrder")</f>
        <v>AddFillsSubOrder</v>
      </c>
      <c r="AD4" s="21" t="str">
        <f>IFERROR(__xludf.DUMMYFUNCTION("""COMPUTED_VALUE"""),"ViewAllocationDetailsSubOrder")</f>
        <v>ViewAllocationDetailsSubOrder</v>
      </c>
      <c r="AE4" s="21" t="str">
        <f>IFERROR(__xludf.DUMMYFUNCTION("""COMPUTED_VALUE"""),"CancelAllSubs")</f>
        <v>CancelAllSubs</v>
      </c>
      <c r="AF4" s="21" t="str">
        <f>IFERROR(__xludf.DUMMYFUNCTION("""COMPUTED_VALUE"""),"CancelSubOrder")</f>
        <v>CancelSubOrder</v>
      </c>
      <c r="AG4" s="21" t="str">
        <f>IFERROR(__xludf.DUMMYFUNCTION("""COMPUTED_VALUE"""),"EditStageOrder")</f>
        <v>EditStageOrder</v>
      </c>
      <c r="AH4" s="21" t="str">
        <f>IFERROR(__xludf.DUMMYFUNCTION("""COMPUTED_VALUE"""),"ReplaceSubOrder")</f>
        <v>ReplaceSubOrder</v>
      </c>
      <c r="AI4" s="21" t="str">
        <f>IFERROR(__xludf.DUMMYFUNCTION("""COMPUTED_VALUE"""),"SelectTradeWorkingSubsBlotter")</f>
        <v>SelectTradeWorkingSubsBlotter</v>
      </c>
      <c r="AJ4" s="21" t="str">
        <f>IFERROR(__xludf.DUMMYFUNCTION("""COMPUTED_VALUE"""),"VerifyAlgoDetails")</f>
        <v>VerifyAlgoDetails</v>
      </c>
      <c r="AK4" s="21" t="str">
        <f>IFERROR(__xludf.DUMMYFUNCTION("""COMPUTED_VALUE"""),"VerifyTransferToUserOrder")</f>
        <v>VerifyTransferToUserOrder</v>
      </c>
      <c r="AL4" s="21" t="str">
        <f>IFERROR(__xludf.DUMMYFUNCTION("""COMPUTED_VALUE"""),"VerifyTransferToUserSubOdr")</f>
        <v>VerifyTransferToUserSubOdr</v>
      </c>
      <c r="AM4" s="21" t="str">
        <f>IFERROR(__xludf.DUMMYFUNCTION("""COMPUTED_VALUE"""),"VerifyTransferToUserWorkSub")</f>
        <v>VerifyTransferToUserWorkSub</v>
      </c>
      <c r="AN4" s="21" t="str">
        <f>IFERROR(__xludf.DUMMYFUNCTION("""COMPUTED_VALUE"""),"SaveLayoutOrderGrid")</f>
        <v>SaveLayoutOrderGrid</v>
      </c>
      <c r="AO4" s="21" t="str">
        <f>IFERROR(__xludf.DUMMYFUNCTION("""COMPUTED_VALUE"""),"ReplaceStageOrder")</f>
        <v>ReplaceStageOrder</v>
      </c>
      <c r="AP4" s="21" t="str">
        <f>IFERROR(__xludf.DUMMYFUNCTION("""COMPUTED_VALUE"""),"MultiTradingTicketFromBlotter")</f>
        <v>MultiTradingTicketFromBlotter</v>
      </c>
      <c r="AQ4" s="21" t="str">
        <f>IFERROR(__xludf.DUMMYFUNCTION("""COMPUTED_VALUE"""),"VerifyViewAllocationDetails")</f>
        <v>VerifyViewAllocationDetails</v>
      </c>
      <c r="AR4" s="21" t="str">
        <f>IFERROR(__xludf.DUMMYFUNCTION("""COMPUTED_VALUE"""),"GoToAllocation")</f>
        <v>GoToAllocation</v>
      </c>
      <c r="AS4" s="21" t="str">
        <f>IFERROR(__xludf.DUMMYFUNCTION("""COMPUTED_VALUE"""),"VerifyRollover")</f>
        <v>VerifyRollover</v>
      </c>
      <c r="AT4" s="21" t="str">
        <f>IFERROR(__xludf.DUMMYFUNCTION("""COMPUTED_VALUE"""),"VerifySubOrderAfterRollover")</f>
        <v>VerifySubOrderAfterRollover</v>
      </c>
      <c r="AU4" s="21" t="str">
        <f>IFERROR(__xludf.DUMMYFUNCTION("""COMPUTED_VALUE"""),"OpenBlotter")</f>
        <v>OpenBlotter</v>
      </c>
      <c r="AV4" s="21" t="str">
        <f>IFERROR(__xludf.DUMMYFUNCTION("""COMPUTED_VALUE"""),"OpenBlotter")</f>
        <v>OpenBlotter</v>
      </c>
      <c r="AW4" s="21" t="str">
        <f>IFERROR(__xludf.DUMMYFUNCTION("""COMPUTED_VALUE"""),"RemoveManualExecution")</f>
        <v>RemoveManualExecution</v>
      </c>
      <c r="AX4" s="21" t="str">
        <f>IFERROR(__xludf.DUMMYFUNCTION("""COMPUTED_VALUE"""),"RemoveExecutionWorkingSubs")</f>
        <v>RemoveExecutionWorkingSubs</v>
      </c>
      <c r="AY4" s="21" t="str">
        <f>IFERROR(__xludf.DUMMYFUNCTION("""COMPUTED_VALUE"""),"GetExecutionReportOrders")</f>
        <v>GetExecutionReportOrders</v>
      </c>
      <c r="AZ4" s="21" t="str">
        <f>IFERROR(__xludf.DUMMYFUNCTION("""COMPUTED_VALUE"""),"GetExecutionReportDetails")</f>
        <v>GetExecutionReportDetails</v>
      </c>
      <c r="BA4" s="21" t="str">
        <f>IFERROR(__xludf.DUMMYFUNCTION("""COMPUTED_VALUE"""),"ExportExecutionReportData")</f>
        <v>ExportExecutionReportData</v>
      </c>
      <c r="BB4" s="21" t="str">
        <f>IFERROR(__xludf.DUMMYFUNCTION("""COMPUTED_VALUE"""),"VerifyExecutionReport")</f>
        <v>VerifyExecutionReport</v>
      </c>
      <c r="BC4" s="21" t="str">
        <f>IFERROR(__xludf.DUMMYFUNCTION("""COMPUTED_VALUE"""),"BlotterExecutionReportSnapshot")</f>
        <v>BlotterExecutionReportSnapshot</v>
      </c>
      <c r="BD4" s="21" t="str">
        <f>IFERROR(__xludf.DUMMYFUNCTION("""COMPUTED_VALUE"""),"MultipleTradeTransferToUser")</f>
        <v>MultipleTradeTransferToUser</v>
      </c>
      <c r="BE4" s="21" t="str">
        <f>IFERROR(__xludf.DUMMYFUNCTION("""COMPUTED_VALUE"""),"ReloadOrderFromBlotter")</f>
        <v>ReloadOrderFromBlotter</v>
      </c>
      <c r="BF4" s="21" t="str">
        <f>IFERROR(__xludf.DUMMYFUNCTION("""COMPUTED_VALUE"""),"ReloadOrderFromSubOrder")</f>
        <v>ReloadOrderFromSubOrder</v>
      </c>
      <c r="BG4" s="21" t="str">
        <f>IFERROR(__xludf.DUMMYFUNCTION("""COMPUTED_VALUE"""),"ReloadOrderFromWorkingSubs")</f>
        <v>ReloadOrderFromWorkingSubs</v>
      </c>
      <c r="BH4" s="21" t="str">
        <f>IFERROR(__xludf.DUMMYFUNCTION("""COMPUTED_VALUE"""),"SelectFills")</f>
        <v>SelectFills</v>
      </c>
      <c r="BI4" s="21" t="str">
        <f>IFERROR(__xludf.DUMMYFUNCTION("""COMPUTED_VALUE"""),"ModifyFills")</f>
        <v>ModifyFills</v>
      </c>
      <c r="BJ4" s="21" t="str">
        <f>IFERROR(__xludf.DUMMYFUNCTION("""COMPUTED_VALUE"""),"AddTab")</f>
        <v>AddTab</v>
      </c>
      <c r="BK4" s="21" t="str">
        <f>IFERROR(__xludf.DUMMYFUNCTION("""COMPUTED_VALUE"""),"RemoveTab")</f>
        <v>RemoveTab</v>
      </c>
      <c r="BL4" s="21" t="str">
        <f>IFERROR(__xludf.DUMMYFUNCTION("""COMPUTED_VALUE"""),"SelectCustomTab")</f>
        <v>SelectCustomTab</v>
      </c>
      <c r="BM4" s="21" t="str">
        <f>IFERROR(__xludf.DUMMYFUNCTION("""COMPUTED_VALUE"""),"VerifyOrderCustomTab")</f>
        <v>VerifyOrderCustomTab</v>
      </c>
      <c r="BN4" s="21" t="str">
        <f>IFERROR(__xludf.DUMMYFUNCTION("""COMPUTED_VALUE"""),"VerifySubOrderCustomTab")</f>
        <v>VerifySubOrderCustomTab</v>
      </c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IFERROR(__xludf.DUMMYFUNCTION("""COMPUTED_VALUE"""),"Transaction Time")</f>
        <v>Transaction Time</v>
      </c>
      <c r="C5" s="23" t="str">
        <f>IFERROR(__xludf.DUMMYFUNCTION("""COMPUTED_VALUE"""),"Algo")</f>
        <v>Algo</v>
      </c>
      <c r="D5" s="23" t="str">
        <f>IFERROR(__xludf.DUMMYFUNCTION("""COMPUTED_VALUE"""),"Avg Fill Price (Base)")</f>
        <v>Avg Fill Price (Base)</v>
      </c>
      <c r="E5" s="23" t="str">
        <f>IFERROR(__xludf.DUMMYFUNCTION("""COMPUTED_VALUE"""),"Bloomberg Symbol")</f>
        <v>Bloomberg Symbol</v>
      </c>
      <c r="F5" s="24" t="str">
        <f>IFERROR(__xludf.DUMMYFUNCTION("""COMPUTED_VALUE"""),"Limit Price")</f>
        <v>Limit Price</v>
      </c>
      <c r="G5" s="23" t="str">
        <f>IFERROR(__xludf.DUMMYFUNCTION("""COMPUTED_VALUE"""),"Working Qty")</f>
        <v>Working Qty</v>
      </c>
      <c r="H5" s="23" t="str">
        <f>IFERROR(__xludf.DUMMYFUNCTION("""COMPUTED_VALUE"""),"Venue")</f>
        <v>Venue</v>
      </c>
      <c r="I5" s="23" t="str">
        <f>IFERROR(__xludf.DUMMYFUNCTION("""COMPUTED_VALUE"""),"Current User")</f>
        <v>Current User</v>
      </c>
      <c r="J5" s="23" t="str">
        <f>IFERROR(__xludf.DUMMYFUNCTION("""COMPUTED_VALUE"""),"Underlying Symbol")</f>
        <v>Underlying Symbol</v>
      </c>
      <c r="K5" s="23" t="str">
        <f>IFERROR(__xludf.DUMMYFUNCTION("""COMPUTED_VALUE"""),"Underlying Country")</f>
        <v>Underlying Country</v>
      </c>
      <c r="L5" s="23" t="str">
        <f>IFERROR(__xludf.DUMMYFUNCTION("""COMPUTED_VALUE"""),"Trader")</f>
        <v>Trader</v>
      </c>
      <c r="M5" s="23" t="str">
        <f>IFERROR(__xludf.DUMMYFUNCTION("""COMPUTED_VALUE"""),"Trade Attribute 6")</f>
        <v>Trade Attribute 6</v>
      </c>
      <c r="N5" s="23" t="str">
        <f>IFERROR(__xludf.DUMMYFUNCTION("""COMPUTED_VALUE"""),"Trade Attribute 5")</f>
        <v>Trade Attribute 5</v>
      </c>
      <c r="O5" s="23" t="str">
        <f>IFERROR(__xludf.DUMMYFUNCTION("""COMPUTED_VALUE"""),"Trade Attribute 4")</f>
        <v>Trade Attribute 4</v>
      </c>
      <c r="P5" s="23" t="str">
        <f>IFERROR(__xludf.DUMMYFUNCTION("""COMPUTED_VALUE"""),"Trade Attribute 3")</f>
        <v>Trade Attribute 3</v>
      </c>
      <c r="Q5" s="23" t="str">
        <f>IFERROR(__xludf.DUMMYFUNCTION("""COMPUTED_VALUE"""),"Trade Attribute 2")</f>
        <v>Trade Attribute 2</v>
      </c>
      <c r="R5" s="23" t="str">
        <f>IFERROR(__xludf.DUMMYFUNCTION("""COMPUTED_VALUE"""),"Trade Attribute 1")</f>
        <v>Trade Attribute 1</v>
      </c>
      <c r="S5" s="23" t="str">
        <f>IFERROR(__xludf.DUMMYFUNCTION("""COMPUTED_VALUE"""),"Strike Price")</f>
        <v>Strike Price</v>
      </c>
      <c r="T5" s="25" t="str">
        <f>IFERROR(__xludf.DUMMYFUNCTION("""COMPUTED_VALUE"""),"Stop Price")</f>
        <v>Stop Price</v>
      </c>
      <c r="U5" s="25" t="str">
        <f>IFERROR(__xludf.DUMMYFUNCTION("""COMPUTED_VALUE"""),"Settlement Currency")</f>
        <v>Settlement Currency</v>
      </c>
      <c r="V5" s="25" t="str">
        <f>IFERROR(__xludf.DUMMYFUNCTION("""COMPUTED_VALUE"""),"Put/Call")</f>
        <v>Put/Call</v>
      </c>
      <c r="W5" s="25" t="str">
        <f>IFERROR(__xludf.DUMMYFUNCTION("""COMPUTED_VALUE"""),"Process Date")</f>
        <v>Process Date</v>
      </c>
      <c r="X5" s="25" t="str">
        <f>IFERROR(__xludf.DUMMYFUNCTION("""COMPUTED_VALUE"""),"Peg")</f>
        <v>Peg</v>
      </c>
      <c r="Y5" s="25" t="str">
        <f>IFERROR(__xludf.DUMMYFUNCTION("""COMPUTED_VALUE"""),"ParentClOrderID")</f>
        <v>ParentClOrderID</v>
      </c>
      <c r="Z5" s="25" t="str">
        <f>IFERROR(__xludf.DUMMYFUNCTION("""COMPUTED_VALUE"""),"OrderID")</f>
        <v>OrderID</v>
      </c>
      <c r="AA5" s="25" t="str">
        <f>IFERROR(__xludf.DUMMYFUNCTION("""COMPUTED_VALUE"""),"Master Fund")</f>
        <v>Master Fund</v>
      </c>
      <c r="AB5" s="25" t="str">
        <f>IFERROR(__xludf.DUMMYFUNCTION("""COMPUTED_VALUE"""),"Last Shares")</f>
        <v>Last Shares</v>
      </c>
      <c r="AC5" s="25" t="str">
        <f>IFERROR(__xludf.DUMMYFUNCTION("""COMPUTED_VALUE"""),"Internal Comments")</f>
        <v>Internal Comments</v>
      </c>
      <c r="AD5" s="25" t="str">
        <f>IFERROR(__xludf.DUMMYFUNCTION("""COMPUTED_VALUE"""),"FX Rate")</f>
        <v>FX Rate</v>
      </c>
      <c r="AE5" s="25" t="str">
        <f>IFERROR(__xludf.DUMMYFUNCTION("""COMPUTED_VALUE"""),"Imported File Name")</f>
        <v>Imported File Name</v>
      </c>
      <c r="AF5" s="25" t="str">
        <f>IFERROR(__xludf.DUMMYFUNCTION("""COMPUTED_VALUE"""),"FX Conversion Operator")</f>
        <v>FX Conversion Operator</v>
      </c>
      <c r="AG5" s="25" t="str">
        <f>IFERROR(__xludf.DUMMYFUNCTION("""COMPUTED_VALUE"""),"Day Average Price")</f>
        <v>Day Average Price</v>
      </c>
      <c r="AH5" s="25" t="str">
        <f>IFERROR(__xludf.DUMMYFUNCTION("""COMPUTED_VALUE"""),"Asset Class")</f>
        <v>Asset Class</v>
      </c>
      <c r="AI5" s="25" t="str">
        <f>IFERROR(__xludf.DUMMYFUNCTION("""COMPUTED_VALUE"""),"Symbol")</f>
        <v>Symbol</v>
      </c>
      <c r="AJ5" s="25" t="str">
        <f>IFERROR(__xludf.DUMMYFUNCTION("""COMPUTED_VALUE"""),"Side")</f>
        <v>Side</v>
      </c>
      <c r="AK5" s="25" t="str">
        <f>IFERROR(__xludf.DUMMYFUNCTION("""COMPUTED_VALUE"""),"Status")</f>
        <v>Status</v>
      </c>
      <c r="AL5" s="25" t="str">
        <f>IFERROR(__xludf.DUMMYFUNCTION("""COMPUTED_VALUE"""),"Quantity")</f>
        <v>Quantity</v>
      </c>
      <c r="AM5" s="25" t="str">
        <f>IFERROR(__xludf.DUMMYFUNCTION("""COMPUTED_VALUE"""),"Executed Qty")</f>
        <v>Executed Qty</v>
      </c>
      <c r="AN5" s="25" t="str">
        <f>IFERROR(__xludf.DUMMYFUNCTION("""COMPUTED_VALUE"""),"Day Executed Qty")</f>
        <v>Day Executed Qty</v>
      </c>
      <c r="AO5" s="25" t="str">
        <f>IFERROR(__xludf.DUMMYFUNCTION("""COMPUTED_VALUE"""),"Last Fill Price (Local)")</f>
        <v>Last Fill Price (Local)</v>
      </c>
      <c r="AP5" s="25" t="str">
        <f>IFERROR(__xludf.DUMMYFUNCTION("""COMPUTED_VALUE"""),"Avg Fill Price (Local)")</f>
        <v>Avg Fill Price (Local)</v>
      </c>
      <c r="AQ5" s="25" t="str">
        <f>IFERROR(__xludf.DUMMYFUNCTION("""COMPUTED_VALUE"""),"Broker")</f>
        <v>Broker</v>
      </c>
      <c r="AR5" s="25" t="str">
        <f>IFERROR(__xludf.DUMMYFUNCTION("""COMPUTED_VALUE"""),"Account")</f>
        <v>Account</v>
      </c>
      <c r="AS5" s="25" t="str">
        <f>IFERROR(__xludf.DUMMYFUNCTION("""COMPUTED_VALUE"""),"Order Type")</f>
        <v>Order Type</v>
      </c>
      <c r="AT5" s="25" t="str">
        <f>IFERROR(__xludf.DUMMYFUNCTION("""COMPUTED_VALUE"""),"Principal Amount (Local)")</f>
        <v>Principal Amount (Local)</v>
      </c>
      <c r="AU5" s="25" t="str">
        <f>IFERROR(__xludf.DUMMYFUNCTION("""COMPUTED_VALUE"""),"Principal Amount (Base)")</f>
        <v>Principal Amount (Base)</v>
      </c>
      <c r="AV5" s="25" t="str">
        <f>IFERROR(__xludf.DUMMYFUNCTION("""COMPUTED_VALUE"""),"Allocation Scheme Name")</f>
        <v>Allocation Scheme Name</v>
      </c>
      <c r="AW5" s="25" t="str">
        <f>IFERROR(__xludf.DUMMYFUNCTION("""COMPUTED_VALUE"""),"Status (With Rollover)")</f>
        <v>Status (With Rollover)</v>
      </c>
      <c r="AX5" s="25" t="str">
        <f>IFERROR(__xludf.DUMMYFUNCTION("""COMPUTED_VALUE"""),"Unexecuted Qty")</f>
        <v>Unexecuted Qty</v>
      </c>
      <c r="AY5" s="25" t="str">
        <f>IFERROR(__xludf.DUMMYFUNCTION("""COMPUTED_VALUE"""),"Strategy")</f>
        <v>Strategy</v>
      </c>
      <c r="AZ5" s="25" t="str">
        <f>IFERROR(__xludf.DUMMYFUNCTION("""COMPUTED_VALUE"""),"Actual User")</f>
        <v>Actual User</v>
      </c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ht="15.75" customHeight="1">
      <c r="A6" s="8"/>
      <c r="B6" s="8"/>
      <c r="C6" s="8"/>
      <c r="D6" s="8"/>
      <c r="E6" s="8"/>
      <c r="G6" s="9">
        <v>900.0</v>
      </c>
      <c r="H6" s="8"/>
      <c r="I6" s="8"/>
      <c r="J6" s="8"/>
      <c r="K6" s="8"/>
      <c r="L6" s="8"/>
      <c r="M6" s="8"/>
      <c r="N6" s="8"/>
      <c r="O6" s="8"/>
      <c r="AI6" s="9" t="s">
        <v>13</v>
      </c>
      <c r="AJ6" s="9" t="s">
        <v>14</v>
      </c>
      <c r="AK6" s="9" t="s">
        <v>15</v>
      </c>
      <c r="AL6" s="9">
        <v>1000.0</v>
      </c>
      <c r="AM6" s="9">
        <v>100.0</v>
      </c>
      <c r="AN6" s="9">
        <v>10.0</v>
      </c>
      <c r="AT6" s="9" t="s">
        <v>16</v>
      </c>
      <c r="AU6" s="9" t="s">
        <v>17</v>
      </c>
    </row>
    <row r="7" ht="15.75" customHeight="1">
      <c r="A7" s="8"/>
      <c r="B7" s="8"/>
      <c r="C7" s="8"/>
      <c r="D7" s="8"/>
      <c r="E7" s="8"/>
      <c r="F7" s="13">
        <v>500.0</v>
      </c>
      <c r="G7" s="13"/>
      <c r="H7" s="8"/>
      <c r="I7" s="8"/>
      <c r="J7" s="8"/>
      <c r="K7" s="8"/>
      <c r="L7" s="8"/>
      <c r="M7" s="8"/>
      <c r="N7" s="8"/>
      <c r="O7" s="8"/>
      <c r="T7" s="13"/>
      <c r="AI7" s="13" t="s">
        <v>13</v>
      </c>
      <c r="AJ7" s="13" t="s">
        <v>18</v>
      </c>
      <c r="AK7" s="13" t="s">
        <v>19</v>
      </c>
      <c r="AL7" s="13">
        <v>100.0</v>
      </c>
      <c r="AM7" s="13">
        <v>100.0</v>
      </c>
      <c r="AN7" s="9">
        <v>100.0</v>
      </c>
      <c r="AT7" s="9" t="s">
        <v>16</v>
      </c>
      <c r="AU7" s="13" t="s">
        <v>20</v>
      </c>
    </row>
    <row r="8" ht="15.75" customHeight="1">
      <c r="A8" s="8"/>
      <c r="B8" s="8"/>
      <c r="C8" s="8"/>
      <c r="D8" s="8"/>
      <c r="E8" s="8"/>
      <c r="F8" s="8"/>
      <c r="G8" s="13"/>
      <c r="H8" s="8"/>
      <c r="I8" s="8"/>
      <c r="J8" s="8"/>
      <c r="K8" s="8"/>
      <c r="L8" s="8"/>
      <c r="M8" s="8"/>
      <c r="N8" s="8"/>
      <c r="O8" s="8"/>
      <c r="T8" s="13">
        <v>500.0</v>
      </c>
      <c r="AI8" s="13" t="s">
        <v>13</v>
      </c>
      <c r="AJ8" s="13" t="s">
        <v>21</v>
      </c>
      <c r="AK8" s="13" t="s">
        <v>19</v>
      </c>
      <c r="AL8" s="13">
        <v>100.0</v>
      </c>
      <c r="AM8" s="13">
        <v>100.0</v>
      </c>
      <c r="AN8" s="9">
        <v>100.0</v>
      </c>
      <c r="AT8" s="9" t="s">
        <v>16</v>
      </c>
      <c r="AU8" s="13" t="s">
        <v>22</v>
      </c>
    </row>
    <row r="9" ht="15.75" customHeight="1">
      <c r="A9" s="8"/>
      <c r="B9" s="8"/>
      <c r="C9" s="8"/>
      <c r="D9" s="8"/>
      <c r="E9" s="8"/>
      <c r="F9" s="30"/>
      <c r="G9" s="13">
        <v>900.0</v>
      </c>
      <c r="H9" s="8"/>
      <c r="I9" s="8"/>
      <c r="J9" s="8"/>
      <c r="K9" s="8"/>
      <c r="L9" s="8"/>
      <c r="M9" s="8"/>
      <c r="N9" s="8"/>
      <c r="O9" s="8"/>
      <c r="AI9" s="28" t="s">
        <v>13</v>
      </c>
      <c r="AJ9" s="28" t="s">
        <v>14</v>
      </c>
      <c r="AK9" s="13" t="s">
        <v>15</v>
      </c>
      <c r="AL9" s="27">
        <v>1000.0</v>
      </c>
      <c r="AM9" s="27">
        <v>100.0</v>
      </c>
      <c r="AN9" s="9">
        <v>10.0</v>
      </c>
      <c r="AT9" s="29" t="s">
        <v>23</v>
      </c>
      <c r="AU9" s="28" t="s">
        <v>17</v>
      </c>
    </row>
    <row r="10" ht="15.75" customHeight="1">
      <c r="A10" s="8"/>
      <c r="B10" s="8"/>
      <c r="C10" s="8"/>
      <c r="D10" s="8"/>
      <c r="E10" s="8"/>
      <c r="F10" s="27">
        <v>500.0</v>
      </c>
      <c r="G10" s="13"/>
      <c r="H10" s="8"/>
      <c r="I10" s="8"/>
      <c r="J10" s="8"/>
      <c r="K10" s="8"/>
      <c r="L10" s="8"/>
      <c r="M10" s="8"/>
      <c r="N10" s="8"/>
      <c r="O10" s="8"/>
      <c r="AI10" s="28" t="s">
        <v>13</v>
      </c>
      <c r="AJ10" s="28" t="s">
        <v>24</v>
      </c>
      <c r="AK10" s="13" t="s">
        <v>19</v>
      </c>
      <c r="AL10" s="27">
        <v>100.0</v>
      </c>
      <c r="AM10" s="27">
        <v>100.0</v>
      </c>
      <c r="AN10" s="9">
        <v>100.0</v>
      </c>
      <c r="AT10" s="29" t="s">
        <v>23</v>
      </c>
      <c r="AU10" s="28" t="s">
        <v>25</v>
      </c>
    </row>
    <row r="11" ht="15.75" customHeight="1">
      <c r="A11" s="8"/>
      <c r="B11" s="8"/>
      <c r="C11" s="8"/>
      <c r="D11" s="8"/>
      <c r="E11" s="8"/>
      <c r="F11" s="30"/>
      <c r="G11" s="13"/>
      <c r="H11" s="8"/>
      <c r="I11" s="8"/>
      <c r="J11" s="8"/>
      <c r="K11" s="8"/>
      <c r="L11" s="8"/>
      <c r="M11" s="8"/>
      <c r="N11" s="8"/>
      <c r="O11" s="8"/>
      <c r="AI11" s="28" t="s">
        <v>13</v>
      </c>
      <c r="AJ11" s="28" t="s">
        <v>24</v>
      </c>
      <c r="AK11" s="13" t="s">
        <v>19</v>
      </c>
      <c r="AL11" s="27">
        <v>1000.0</v>
      </c>
      <c r="AM11" s="27">
        <v>1000.0</v>
      </c>
      <c r="AN11" s="9">
        <v>100.0</v>
      </c>
      <c r="AT11" s="29" t="s">
        <v>23</v>
      </c>
      <c r="AU11" s="28" t="s">
        <v>17</v>
      </c>
    </row>
    <row r="12" ht="15.75" customHeight="1">
      <c r="A12" s="8"/>
      <c r="B12" s="8"/>
      <c r="C12" s="8"/>
      <c r="D12" s="8"/>
      <c r="E12" s="8"/>
      <c r="F12" s="30"/>
      <c r="G12" s="13"/>
      <c r="H12" s="8"/>
      <c r="I12" s="8"/>
      <c r="J12" s="8"/>
      <c r="K12" s="8"/>
      <c r="L12" s="8"/>
      <c r="M12" s="8"/>
      <c r="N12" s="8"/>
      <c r="O12" s="8"/>
      <c r="AI12" s="28" t="s">
        <v>13</v>
      </c>
      <c r="AJ12" s="28" t="s">
        <v>24</v>
      </c>
      <c r="AK12" s="13" t="s">
        <v>19</v>
      </c>
      <c r="AL12" s="27">
        <v>1000.0</v>
      </c>
      <c r="AM12" s="27">
        <v>1000.0</v>
      </c>
      <c r="AN12" s="9">
        <v>100.0</v>
      </c>
      <c r="AT12" s="29" t="s">
        <v>23</v>
      </c>
      <c r="AU12" s="28" t="s">
        <v>17</v>
      </c>
    </row>
    <row r="13" ht="15.75" customHeight="1">
      <c r="A13" s="8"/>
      <c r="B13" s="8"/>
      <c r="C13" s="8"/>
      <c r="D13" s="8"/>
      <c r="E13" s="8"/>
      <c r="F13" s="30"/>
      <c r="G13" s="13"/>
      <c r="H13" s="8"/>
      <c r="I13" s="8"/>
      <c r="J13" s="8"/>
      <c r="K13" s="8"/>
      <c r="L13" s="8"/>
      <c r="M13" s="8"/>
      <c r="N13" s="8"/>
      <c r="O13" s="8"/>
      <c r="AI13" s="28" t="s">
        <v>13</v>
      </c>
      <c r="AJ13" s="28" t="s">
        <v>24</v>
      </c>
      <c r="AK13" s="13" t="s">
        <v>19</v>
      </c>
      <c r="AL13" s="27">
        <v>1000.0</v>
      </c>
      <c r="AM13" s="27">
        <v>1000.0</v>
      </c>
      <c r="AN13" s="9">
        <v>100.0</v>
      </c>
      <c r="AT13" s="29" t="s">
        <v>23</v>
      </c>
      <c r="AU13" s="28" t="s">
        <v>17</v>
      </c>
    </row>
    <row r="14" ht="15.75" customHeight="1">
      <c r="A14" s="8"/>
      <c r="B14" s="8"/>
      <c r="C14" s="8"/>
      <c r="D14" s="8"/>
      <c r="E14" s="8"/>
      <c r="F14" s="30"/>
      <c r="G14" s="13"/>
      <c r="H14" s="8"/>
      <c r="I14" s="8"/>
      <c r="J14" s="8"/>
      <c r="K14" s="8"/>
      <c r="L14" s="8"/>
      <c r="M14" s="8"/>
      <c r="N14" s="8"/>
      <c r="O14" s="8"/>
      <c r="AI14" s="28" t="s">
        <v>13</v>
      </c>
      <c r="AJ14" s="28" t="s">
        <v>24</v>
      </c>
      <c r="AK14" s="13" t="s">
        <v>19</v>
      </c>
      <c r="AL14" s="27">
        <v>1000.0</v>
      </c>
      <c r="AM14" s="27">
        <v>1000.0</v>
      </c>
      <c r="AN14" s="9">
        <v>100.0</v>
      </c>
      <c r="AT14" s="29" t="s">
        <v>23</v>
      </c>
      <c r="AU14" s="28" t="s">
        <v>17</v>
      </c>
    </row>
    <row r="15" ht="15.75" customHeight="1">
      <c r="A15" s="8"/>
      <c r="B15" s="8"/>
      <c r="C15" s="8"/>
      <c r="D15" s="8"/>
      <c r="E15" s="8"/>
      <c r="F15" s="30"/>
      <c r="G15" s="13"/>
      <c r="H15" s="8"/>
      <c r="I15" s="8"/>
      <c r="J15" s="8"/>
      <c r="K15" s="8"/>
      <c r="L15" s="8"/>
      <c r="M15" s="8"/>
      <c r="N15" s="8"/>
      <c r="O15" s="8"/>
      <c r="AI15" s="28" t="s">
        <v>13</v>
      </c>
      <c r="AJ15" s="28" t="s">
        <v>24</v>
      </c>
      <c r="AK15" s="13" t="s">
        <v>19</v>
      </c>
      <c r="AL15" s="27">
        <v>1000.0</v>
      </c>
      <c r="AM15" s="27">
        <v>1000.0</v>
      </c>
      <c r="AN15" s="9">
        <v>100.0</v>
      </c>
      <c r="AT15" s="29" t="s">
        <v>23</v>
      </c>
      <c r="AU15" s="28" t="s">
        <v>17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9.5"/>
    <col customWidth="1" min="6" max="8" width="12.63"/>
    <col customWidth="1" min="9" max="9" width="15.88"/>
    <col customWidth="1" min="10" max="11" width="15.25"/>
    <col customWidth="1" min="12" max="34" width="12.63"/>
    <col customWidth="1" min="35" max="35" width="18.25"/>
    <col customWidth="1" min="36" max="153" width="12.63"/>
  </cols>
  <sheetData>
    <row r="1" ht="15.75" customHeight="1">
      <c r="A1" s="14"/>
      <c r="B1" s="1" t="s">
        <v>6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ht="15.75" customHeight="1">
      <c r="A3" s="16"/>
      <c r="B3" s="5" t="s">
        <v>7</v>
      </c>
      <c r="C3" s="17" t="s">
        <v>27</v>
      </c>
      <c r="D3" s="5" t="s">
        <v>9</v>
      </c>
      <c r="E3" s="17" t="s">
        <v>28</v>
      </c>
      <c r="F3" s="5" t="s">
        <v>11</v>
      </c>
      <c r="G3" s="18" t="s">
        <v>12</v>
      </c>
      <c r="H3" s="5"/>
      <c r="I3" s="16"/>
      <c r="J3" s="16"/>
      <c r="K3" s="16"/>
      <c r="L3" s="16"/>
      <c r="M3" s="16"/>
      <c r="N3" s="16"/>
      <c r="O3" s="1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</row>
    <row r="4" ht="15.75" customHeight="1">
      <c r="A4" s="20"/>
      <c r="B4" s="20" t="str">
        <f>IFERROR(__xludf.DUMMYFUNCTION("IF(C3="""","""",Transpose(IMPORTRANGE('_Settings'!$B$3,C3&amp;""!A4:A1000"")))"),"OpenTTFromPST")</f>
        <v>OpenTTFromPST</v>
      </c>
      <c r="C4" s="20" t="str">
        <f>IFERROR(__xludf.DUMMYFUNCTION("""COMPUTED_VALUE"""),"EnterDetailsOnTT")</f>
        <v>EnterDetailsOnTT</v>
      </c>
      <c r="D4" s="20" t="str">
        <f>IFERROR(__xludf.DUMMYFUNCTION("""COMPUTED_VALUE"""),"ValidateSymbolTT")</f>
        <v>ValidateSymbolTT</v>
      </c>
      <c r="E4" s="20" t="str">
        <f>IFERROR(__xludf.DUMMYFUNCTION("""COMPUTED_VALUE"""),"VerifyDataTT")</f>
        <v>VerifyDataTT</v>
      </c>
      <c r="F4" s="20" t="str">
        <f>IFERROR(__xludf.DUMMYFUNCTION("""COMPUTED_VALUE"""),"SetUIPreferencesTT")</f>
        <v>SetUIPreferencesTT</v>
      </c>
      <c r="G4" s="20" t="str">
        <f>IFERROR(__xludf.DUMMYFUNCTION("""COMPUTED_VALUE"""),"SetBrokerWisePreferencesTT")</f>
        <v>SetBrokerWisePreferencesTT</v>
      </c>
      <c r="H4" s="20" t="str">
        <f>IFERROR(__xludf.DUMMYFUNCTION("""COMPUTED_VALUE"""),"TradeNewSub")</f>
        <v>TradeNewSub</v>
      </c>
      <c r="I4" s="20" t="str">
        <f>IFERROR(__xludf.DUMMYFUNCTION("""COMPUTED_VALUE"""),"CreateStageOrder")</f>
        <v>CreateStageOrder</v>
      </c>
      <c r="J4" s="20" t="str">
        <f>IFERROR(__xludf.DUMMYFUNCTION("""COMPUTED_VALUE"""),"CreateReplaceOrder")</f>
        <v>CreateReplaceOrder</v>
      </c>
      <c r="K4" s="20" t="str">
        <f>IFERROR(__xludf.DUMMYFUNCTION("""COMPUTED_VALUE"""),"SetGeneralPreference")</f>
        <v>SetGeneralPreference</v>
      </c>
      <c r="L4" s="20" t="str">
        <f>IFERROR(__xludf.DUMMYFUNCTION("""COMPUTED_VALUE"""),"CreateNewSubOrder")</f>
        <v>CreateNewSubOrder</v>
      </c>
      <c r="M4" s="20" t="str">
        <f>IFERROR(__xludf.DUMMYFUNCTION("""COMPUTED_VALUE"""),"TradeBloomberg")</f>
        <v>TradeBloomberg</v>
      </c>
      <c r="N4" s="20" t="str">
        <f>IFERROR(__xludf.DUMMYFUNCTION("""COMPUTED_VALUE"""),"ClickSymbolLookup")</f>
        <v>ClickSymbolLookup</v>
      </c>
      <c r="O4" s="20" t="str">
        <f>IFERROR(__xludf.DUMMYFUNCTION("""COMPUTED_VALUE"""),"VerifyTT")</f>
        <v>VerifyTT</v>
      </c>
      <c r="P4" s="21" t="str">
        <f>IFERROR(__xludf.DUMMYFUNCTION("""COMPUTED_VALUE"""),"CreateLiveOrder")</f>
        <v>CreateLiveOrder</v>
      </c>
      <c r="Q4" s="21" t="str">
        <f>IFERROR(__xludf.DUMMYFUNCTION("""COMPUTED_VALUE"""),"ShowMasterFundOnTT")</f>
        <v>ShowMasterFundOnTT</v>
      </c>
      <c r="R4" s="21" t="str">
        <f>IFERROR(__xludf.DUMMYFUNCTION("""COMPUTED_VALUE"""),"UpdateMasterFundOnTT")</f>
        <v>UpdateMasterFundOnTT</v>
      </c>
      <c r="S4" s="21" t="str">
        <f>IFERROR(__xludf.DUMMYFUNCTION("""COMPUTED_VALUE"""),"SetTTCompliancePreference")</f>
        <v>SetTTCompliancePreference</v>
      </c>
      <c r="T4" s="21" t="str">
        <f>IFERROR(__xludf.DUMMYFUNCTION("""COMPUTED_VALUE"""),"ImportSymbol")</f>
        <v>ImportSymbol</v>
      </c>
      <c r="U4" s="21" t="str">
        <f>IFERROR(__xludf.DUMMYFUNCTION("""COMPUTED_VALUE"""),"ExportSymbolFromRAList")</f>
        <v>ExportSymbolFromRAList</v>
      </c>
      <c r="V4" s="21" t="str">
        <f>IFERROR(__xludf.DUMMYFUNCTION("""COMPUTED_VALUE"""),"CheckPendingNewOrderAlert")</f>
        <v>CheckPendingNewOrderAlert</v>
      </c>
      <c r="W4" s="21" t="str">
        <f>IFERROR(__xludf.DUMMYFUNCTION("""COMPUTED_VALUE"""),"AddSymbolOnRAList")</f>
        <v>AddSymbolOnRAList</v>
      </c>
      <c r="X4" s="21" t="str">
        <f>IFERROR(__xludf.DUMMYFUNCTION("""COMPUTED_VALUE"""),"DeleteSymbolListFromRA")</f>
        <v>DeleteSymbolListFromRA</v>
      </c>
      <c r="Y4" s="21" t="str">
        <f>IFERROR(__xludf.DUMMYFUNCTION("""COMPUTED_VALUE"""),"RemoveSymbolFromRAList")</f>
        <v>RemoveSymbolFromRAList</v>
      </c>
      <c r="Z4" s="21" t="str">
        <f>IFERROR(__xludf.DUMMYFUNCTION("""COMPUTED_VALUE"""),"ToggleBlombergOnRA")</f>
        <v>ToggleBlombergOnRA</v>
      </c>
      <c r="AA4" s="21" t="str">
        <f>IFERROR(__xludf.DUMMYFUNCTION("""COMPUTED_VALUE"""),"CreateDoneAway")</f>
        <v>CreateDoneAway</v>
      </c>
      <c r="AB4" s="21" t="str">
        <f>IFERROR(__xludf.DUMMYFUNCTION("""COMPUTED_VALUE"""),"CreateDoneAwayOrder")</f>
        <v>CreateDoneAwayOrder</v>
      </c>
      <c r="AC4" s="21" t="str">
        <f>IFERROR(__xludf.DUMMYFUNCTION("""COMPUTED_VALUE"""),"SendLiveBloomberg")</f>
        <v>SendLiveBloomberg</v>
      </c>
      <c r="AD4" s="21" t="str">
        <f>IFERROR(__xludf.DUMMYFUNCTION("""COMPUTED_VALUE"""),"AddOptionTrade")</f>
        <v>AddOptionTrade</v>
      </c>
      <c r="AE4" s="21" t="str">
        <f>IFERROR(__xludf.DUMMYFUNCTION("""COMPUTED_VALUE"""),"ViewAllocation")</f>
        <v>ViewAllocation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IFERROR(__xludf.DUMMYFUNCTION("""COMPUTED_VALUE"""),"Symbol")</f>
        <v>Symbol</v>
      </c>
      <c r="C5" s="23" t="str">
        <f>IFERROR(__xludf.DUMMYFUNCTION("""COMPUTED_VALUE"""),"Order Side")</f>
        <v>Order Side</v>
      </c>
      <c r="D5" s="23" t="str">
        <f>IFERROR(__xludf.DUMMYFUNCTION("""COMPUTED_VALUE"""),"Quantity")</f>
        <v>Quantity</v>
      </c>
      <c r="E5" s="23" t="str">
        <f>IFERROR(__xludf.DUMMYFUNCTION("""COMPUTED_VALUE"""),"TargetQuantityIn")</f>
        <v>TargetQuantityIn</v>
      </c>
      <c r="F5" s="24" t="str">
        <f>IFERROR(__xludf.DUMMYFUNCTION("""COMPUTED_VALUE"""),"AllocationMethod")</f>
        <v>AllocationMethod</v>
      </c>
      <c r="G5" s="23" t="str">
        <f>IFERROR(__xludf.DUMMYFUNCTION("""COMPUTED_VALUE"""),"Broker")</f>
        <v>Broker</v>
      </c>
      <c r="H5" s="23" t="str">
        <f>IFERROR(__xludf.DUMMYFUNCTION("""COMPUTED_VALUE"""),"TIF")</f>
        <v>TIF</v>
      </c>
      <c r="I5" s="23" t="str">
        <f>IFERROR(__xludf.DUMMYFUNCTION("""COMPUTED_VALUE"""),"Order Type")</f>
        <v>Order Type</v>
      </c>
      <c r="J5" s="23" t="str">
        <f>IFERROR(__xludf.DUMMYFUNCTION("""COMPUTED_VALUE"""),"Price")</f>
        <v>Price</v>
      </c>
      <c r="K5" s="23" t="str">
        <f>IFERROR(__xludf.DUMMYFUNCTION("""COMPUTED_VALUE"""),"Stop")</f>
        <v>Stop</v>
      </c>
      <c r="L5" s="23" t="str">
        <f>IFERROR(__xludf.DUMMYFUNCTION("""COMPUTED_VALUE"""),"Limit")</f>
        <v>Limit</v>
      </c>
      <c r="M5" s="23" t="str">
        <f>IFERROR(__xludf.DUMMYFUNCTION("""COMPUTED_VALUE"""),"Strategy")</f>
        <v>Strategy</v>
      </c>
      <c r="N5" s="23" t="str">
        <f>IFERROR(__xludf.DUMMYFUNCTION("""COMPUTED_VALUE"""),"Trade Date")</f>
        <v>Trade Date</v>
      </c>
      <c r="O5" s="23" t="str">
        <f>IFERROR(__xludf.DUMMYFUNCTION("""COMPUTED_VALUE"""),"FxRate")</f>
        <v>FxRate</v>
      </c>
      <c r="P5" s="23" t="str">
        <f>IFERROR(__xludf.DUMMYFUNCTION("""COMPUTED_VALUE"""),"Notes")</f>
        <v>Notes</v>
      </c>
      <c r="Q5" s="23" t="str">
        <f>IFERROR(__xludf.DUMMYFUNCTION("""COMPUTED_VALUE"""),"Broker Notes")</f>
        <v>Broker Notes</v>
      </c>
      <c r="R5" s="23" t="str">
        <f>IFERROR(__xludf.DUMMYFUNCTION("""COMPUTED_VALUE"""),"CommissionBasis")</f>
        <v>CommissionBasis</v>
      </c>
      <c r="S5" s="23" t="str">
        <f>IFERROR(__xludf.DUMMYFUNCTION("""COMPUTED_VALUE"""),"CommissionRate")</f>
        <v>CommissionRate</v>
      </c>
      <c r="T5" s="25" t="str">
        <f>IFERROR(__xludf.DUMMYFUNCTION("""COMPUTED_VALUE"""),"SoftBasis")</f>
        <v>SoftBasis</v>
      </c>
      <c r="U5" s="25" t="str">
        <f>IFERROR(__xludf.DUMMYFUNCTION("""COMPUTED_VALUE"""),"SoftRate")</f>
        <v>SoftRate</v>
      </c>
      <c r="V5" s="25" t="str">
        <f>IFERROR(__xludf.DUMMYFUNCTION("""COMPUTED_VALUE"""),"TradeAttribute1")</f>
        <v>TradeAttribute1</v>
      </c>
      <c r="W5" s="25" t="str">
        <f>IFERROR(__xludf.DUMMYFUNCTION("""COMPUTED_VALUE"""),"TradeAttribute2")</f>
        <v>TradeAttribute2</v>
      </c>
      <c r="X5" s="25" t="str">
        <f>IFERROR(__xludf.DUMMYFUNCTION("""COMPUTED_VALUE"""),"TradeAttribute3")</f>
        <v>TradeAttribute3</v>
      </c>
      <c r="Y5" s="25" t="str">
        <f>IFERROR(__xludf.DUMMYFUNCTION("""COMPUTED_VALUE"""),"TradeAttribute4")</f>
        <v>TradeAttribute4</v>
      </c>
      <c r="Z5" s="25" t="str">
        <f>IFERROR(__xludf.DUMMYFUNCTION("""COMPUTED_VALUE"""),"TradeAttribute5")</f>
        <v>TradeAttribute5</v>
      </c>
      <c r="AA5" s="25" t="str">
        <f>IFERROR(__xludf.DUMMYFUNCTION("""COMPUTED_VALUE"""),"TradeAttribute6")</f>
        <v>TradeAttribute6</v>
      </c>
      <c r="AB5" s="25" t="str">
        <f>IFERROR(__xludf.DUMMYFUNCTION("""COMPUTED_VALUE"""),"Venue")</f>
        <v>Venue</v>
      </c>
      <c r="AC5" s="25" t="str">
        <f>IFERROR(__xludf.DUMMYFUNCTION("""COMPUTED_VALUE"""),"ExecutionInstructions")</f>
        <v>ExecutionInstructions</v>
      </c>
      <c r="AD5" s="25" t="str">
        <f>IFERROR(__xludf.DUMMYFUNCTION("""COMPUTED_VALUE"""),"HandlingInstructions")</f>
        <v>HandlingInstructions</v>
      </c>
      <c r="AE5" s="25" t="str">
        <f>IFERROR(__xludf.DUMMYFUNCTION("""COMPUTED_VALUE"""),"Trader")</f>
        <v>Trader</v>
      </c>
      <c r="AF5" s="25" t="str">
        <f>IFERROR(__xludf.DUMMYFUNCTION("""COMPUTED_VALUE"""),"SettlementCurrency")</f>
        <v>SettlementCurrency</v>
      </c>
      <c r="AG5" s="25" t="str">
        <f>IFERROR(__xludf.DUMMYFUNCTION("""COMPUTED_VALUE"""),"SettlementFXRate")</f>
        <v>SettlementFXRate</v>
      </c>
      <c r="AH5" s="25" t="str">
        <f>IFERROR(__xludf.DUMMYFUNCTION("""COMPUTED_VALUE"""),"SettlementAmount")</f>
        <v>SettlementAmount</v>
      </c>
      <c r="AI5" s="25" t="str">
        <f>IFERROR(__xludf.DUMMYFUNCTION("""COMPUTED_VALUE"""),"SettlementFXOperator")</f>
        <v>SettlementFXOperator</v>
      </c>
      <c r="AJ5" s="25" t="str">
        <f>IFERROR(__xludf.DUMMYFUNCTION("""COMPUTED_VALUE"""),"SettleByBroker")</f>
        <v>SettleByBroker</v>
      </c>
      <c r="AK5" s="25" t="str">
        <f>IFERROR(__xludf.DUMMYFUNCTION("""COMPUTED_VALUE"""),"Account")</f>
        <v>Account</v>
      </c>
      <c r="AL5" s="25" t="str">
        <f>IFERROR(__xludf.DUMMYFUNCTION("""COMPUTED_VALUE"""),"Account %")</f>
        <v>Account %</v>
      </c>
      <c r="AM5" s="25" t="str">
        <f>IFERROR(__xludf.DUMMYFUNCTION("""COMPUTED_VALUE"""),"Deal In")</f>
        <v>Deal In</v>
      </c>
      <c r="AN5" s="25" t="str">
        <f>IFERROR(__xludf.DUMMYFUNCTION("""COMPUTED_VALUE"""),"ChkBoxBookAsSwap")</f>
        <v>ChkBoxBookAsSwap</v>
      </c>
      <c r="AO5" s="25" t="str">
        <f>IFERROR(__xludf.DUMMYFUNCTION("""COMPUTED_VALUE"""),"PopUpQuantity")</f>
        <v>PopUpQuantity</v>
      </c>
      <c r="AP5" s="25" t="str">
        <f>IFERROR(__xludf.DUMMYFUNCTION("""COMPUTED_VALUE"""),"ShortLocate")</f>
        <v>ShortLocate</v>
      </c>
      <c r="AQ5" s="25" t="str">
        <f>IFERROR(__xludf.DUMMYFUNCTION("""COMPUTED_VALUE"""),"AllowTrade")</f>
        <v>AllowTrade</v>
      </c>
      <c r="AR5" s="25" t="str">
        <f>IFERROR(__xludf.DUMMYFUNCTION("""COMPUTED_VALUE"""),"Rate(%)")</f>
        <v>Rate(%)</v>
      </c>
      <c r="AS5" s="25" t="str">
        <f>IFERROR(__xludf.DUMMYFUNCTION("""COMPUTED_VALUE"""),"SharesOutstandingPopUpQty")</f>
        <v>SharesOutstandingPopUpQty</v>
      </c>
      <c r="AT5" s="25" t="str">
        <f>IFERROR(__xludf.DUMMYFUNCTION("""COMPUTED_VALUE"""),"SharesOutstandingPopUp")</f>
        <v>SharesOutstandingPopUp</v>
      </c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</row>
    <row r="6" ht="15.75" customHeight="1">
      <c r="A6" s="8"/>
      <c r="B6" s="9" t="s">
        <v>13</v>
      </c>
      <c r="C6" s="9" t="s">
        <v>14</v>
      </c>
      <c r="D6" s="9">
        <v>1000.0</v>
      </c>
      <c r="E6" s="9">
        <v>100.0</v>
      </c>
      <c r="F6" s="9" t="s">
        <v>29</v>
      </c>
      <c r="H6" s="9"/>
      <c r="I6" s="9" t="s">
        <v>17</v>
      </c>
      <c r="J6" s="9">
        <v>50.0</v>
      </c>
      <c r="T6" s="9"/>
      <c r="AF6" s="9"/>
    </row>
    <row r="7" ht="15.75" customHeight="1">
      <c r="A7" s="8"/>
      <c r="B7" s="13" t="s">
        <v>13</v>
      </c>
      <c r="C7" s="13" t="s">
        <v>18</v>
      </c>
      <c r="D7" s="13">
        <v>100.0</v>
      </c>
      <c r="E7" s="13">
        <v>100.0</v>
      </c>
      <c r="F7" s="13" t="s">
        <v>29</v>
      </c>
      <c r="G7" s="8"/>
      <c r="H7" s="8"/>
      <c r="I7" s="13" t="s">
        <v>20</v>
      </c>
      <c r="J7" s="13">
        <v>50.0</v>
      </c>
      <c r="K7" s="13"/>
      <c r="L7" s="13">
        <v>500.0</v>
      </c>
      <c r="M7" s="8"/>
      <c r="N7" s="8"/>
      <c r="O7" s="8"/>
    </row>
    <row r="8" ht="15.75" customHeight="1">
      <c r="A8" s="8"/>
      <c r="B8" s="13" t="s">
        <v>13</v>
      </c>
      <c r="C8" s="13" t="s">
        <v>21</v>
      </c>
      <c r="D8" s="13">
        <v>100.0</v>
      </c>
      <c r="E8" s="13">
        <v>100.0</v>
      </c>
      <c r="F8" s="34" t="s">
        <v>29</v>
      </c>
      <c r="G8" s="8"/>
      <c r="H8" s="8"/>
      <c r="I8" s="13" t="s">
        <v>22</v>
      </c>
      <c r="J8" s="13">
        <v>50.0</v>
      </c>
      <c r="K8" s="13">
        <v>500.0</v>
      </c>
      <c r="L8" s="8"/>
      <c r="M8" s="8"/>
      <c r="N8" s="8"/>
      <c r="O8" s="8"/>
    </row>
    <row r="9" ht="15.75" customHeight="1">
      <c r="A9" s="8"/>
      <c r="B9" s="28" t="s">
        <v>13</v>
      </c>
      <c r="C9" s="28" t="s">
        <v>14</v>
      </c>
      <c r="D9" s="27">
        <v>1000.0</v>
      </c>
      <c r="E9" s="27">
        <v>100.0</v>
      </c>
      <c r="F9" s="29" t="s">
        <v>23</v>
      </c>
      <c r="G9" s="30"/>
      <c r="H9" s="30"/>
      <c r="I9" s="28" t="s">
        <v>17</v>
      </c>
      <c r="J9" s="27">
        <v>50.0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</row>
    <row r="10" ht="15.75" customHeight="1">
      <c r="A10" s="8"/>
      <c r="B10" s="28" t="s">
        <v>13</v>
      </c>
      <c r="C10" s="28" t="s">
        <v>24</v>
      </c>
      <c r="D10" s="27">
        <v>100.0</v>
      </c>
      <c r="E10" s="27">
        <v>100.0</v>
      </c>
      <c r="F10" s="29" t="s">
        <v>23</v>
      </c>
      <c r="G10" s="30"/>
      <c r="H10" s="30"/>
      <c r="I10" s="28" t="s">
        <v>25</v>
      </c>
      <c r="J10" s="27">
        <v>500.0</v>
      </c>
      <c r="K10" s="30"/>
      <c r="L10" s="27">
        <v>500.0</v>
      </c>
      <c r="M10" s="30"/>
      <c r="N10" s="30"/>
      <c r="O10" s="30"/>
      <c r="P10" s="30"/>
      <c r="Q10" s="30"/>
      <c r="R10" s="30"/>
      <c r="S10" s="30"/>
      <c r="T10" s="30"/>
      <c r="U10" s="30"/>
    </row>
    <row r="11" ht="15.75" customHeight="1">
      <c r="A11" s="8"/>
      <c r="B11" s="30" t="s">
        <v>13</v>
      </c>
      <c r="C11" s="28" t="s">
        <v>24</v>
      </c>
      <c r="D11" s="27">
        <v>1000.0</v>
      </c>
      <c r="E11" s="27">
        <v>1000.0</v>
      </c>
      <c r="F11" s="29" t="s">
        <v>23</v>
      </c>
      <c r="G11" s="30"/>
      <c r="H11" s="30"/>
      <c r="I11" s="28" t="s">
        <v>17</v>
      </c>
      <c r="J11" s="27">
        <v>100.0</v>
      </c>
      <c r="K11" s="30"/>
      <c r="L11" s="30"/>
      <c r="M11" s="30"/>
      <c r="N11" s="30"/>
      <c r="O11" s="30"/>
      <c r="P11" s="30"/>
      <c r="Q11" s="30"/>
      <c r="R11" s="30" t="s">
        <v>30</v>
      </c>
      <c r="S11" s="31">
        <v>15.0</v>
      </c>
      <c r="T11" s="30"/>
      <c r="U11" s="30"/>
    </row>
    <row r="12" ht="15.75" customHeight="1">
      <c r="A12" s="8"/>
      <c r="B12" s="28" t="s">
        <v>13</v>
      </c>
      <c r="C12" s="28" t="s">
        <v>24</v>
      </c>
      <c r="D12" s="27">
        <v>1000.0</v>
      </c>
      <c r="E12" s="27">
        <v>1000.0</v>
      </c>
      <c r="F12" s="29" t="s">
        <v>23</v>
      </c>
      <c r="G12" s="30"/>
      <c r="H12" s="30"/>
      <c r="I12" s="28" t="s">
        <v>17</v>
      </c>
      <c r="J12" s="27">
        <v>100.0</v>
      </c>
      <c r="K12" s="30"/>
      <c r="L12" s="30"/>
      <c r="M12" s="30"/>
      <c r="N12" s="30"/>
      <c r="O12" s="30"/>
      <c r="P12" s="30"/>
      <c r="Q12" s="30"/>
      <c r="R12" s="30" t="s">
        <v>31</v>
      </c>
      <c r="S12" s="31">
        <v>15.0</v>
      </c>
      <c r="T12" s="30"/>
      <c r="U12" s="30"/>
      <c r="Z12" s="9"/>
    </row>
    <row r="13" ht="15.75" customHeight="1">
      <c r="A13" s="8"/>
      <c r="B13" s="28" t="s">
        <v>13</v>
      </c>
      <c r="C13" s="28" t="s">
        <v>24</v>
      </c>
      <c r="D13" s="27">
        <v>1000.0</v>
      </c>
      <c r="E13" s="27">
        <v>1000.0</v>
      </c>
      <c r="F13" s="29" t="s">
        <v>23</v>
      </c>
      <c r="G13" s="30"/>
      <c r="H13" s="30"/>
      <c r="I13" s="28" t="s">
        <v>17</v>
      </c>
      <c r="J13" s="27">
        <v>100.0</v>
      </c>
      <c r="K13" s="32"/>
      <c r="L13" s="30"/>
      <c r="M13" s="30"/>
      <c r="N13" s="30"/>
      <c r="O13" s="30"/>
      <c r="P13" s="30"/>
      <c r="Q13" s="30"/>
      <c r="R13" s="30" t="s">
        <v>32</v>
      </c>
      <c r="S13" s="31">
        <v>15.0</v>
      </c>
      <c r="T13" s="30"/>
      <c r="U13" s="30"/>
    </row>
    <row r="14" ht="15.75" customHeight="1">
      <c r="A14" s="8"/>
      <c r="B14" s="28" t="s">
        <v>13</v>
      </c>
      <c r="C14" s="28" t="s">
        <v>24</v>
      </c>
      <c r="D14" s="27">
        <v>1000.0</v>
      </c>
      <c r="E14" s="27">
        <v>1000.0</v>
      </c>
      <c r="F14" s="29" t="s">
        <v>23</v>
      </c>
      <c r="G14" s="30"/>
      <c r="H14" s="30"/>
      <c r="I14" s="28" t="s">
        <v>17</v>
      </c>
      <c r="J14" s="27">
        <v>100.0</v>
      </c>
      <c r="K14" s="30"/>
      <c r="L14" s="30"/>
      <c r="M14" s="30"/>
      <c r="N14" s="30"/>
      <c r="O14" s="30"/>
      <c r="P14" s="30"/>
      <c r="Q14" s="30"/>
      <c r="R14" s="30" t="s">
        <v>32</v>
      </c>
      <c r="S14" s="31">
        <v>15.0</v>
      </c>
      <c r="T14" s="30" t="s">
        <v>30</v>
      </c>
      <c r="U14" s="31">
        <v>15.0</v>
      </c>
    </row>
    <row r="15" ht="15.75" customHeight="1">
      <c r="A15" s="8"/>
      <c r="B15" s="28" t="s">
        <v>13</v>
      </c>
      <c r="C15" s="28" t="s">
        <v>24</v>
      </c>
      <c r="D15" s="27">
        <v>1000.0</v>
      </c>
      <c r="E15" s="27">
        <v>1000.0</v>
      </c>
      <c r="F15" s="29" t="s">
        <v>23</v>
      </c>
      <c r="G15" s="30"/>
      <c r="H15" s="30"/>
      <c r="I15" s="28" t="s">
        <v>17</v>
      </c>
      <c r="J15" s="27">
        <v>100.0</v>
      </c>
      <c r="K15" s="30"/>
      <c r="L15" s="30"/>
      <c r="M15" s="30"/>
      <c r="N15" s="30"/>
      <c r="O15" s="30"/>
      <c r="P15" s="30"/>
      <c r="Q15" s="30"/>
      <c r="R15" s="30" t="s">
        <v>32</v>
      </c>
      <c r="S15" s="31">
        <v>15.0</v>
      </c>
      <c r="T15" s="30" t="s">
        <v>31</v>
      </c>
      <c r="U15" s="31">
        <v>15.0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4"/>
      <c r="B1" s="1" t="s">
        <v>6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33" t="str">
        <f> VLOOKUP($E$3,'_MasterData'!B4:D1000,3,FALSE)</f>
        <v>#REF!</v>
      </c>
      <c r="K2" s="33"/>
      <c r="L2" s="8"/>
      <c r="M2" s="8"/>
      <c r="N2" s="8"/>
      <c r="O2" s="8"/>
    </row>
    <row r="3" ht="15.75" customHeight="1">
      <c r="A3" s="16"/>
      <c r="B3" s="5" t="s">
        <v>7</v>
      </c>
      <c r="C3" s="17" t="s">
        <v>8</v>
      </c>
      <c r="D3" s="5" t="s">
        <v>9</v>
      </c>
      <c r="E3" s="17" t="s">
        <v>33</v>
      </c>
      <c r="F3" s="5" t="s">
        <v>11</v>
      </c>
      <c r="G3" s="18" t="s">
        <v>12</v>
      </c>
      <c r="H3" s="5"/>
      <c r="I3" s="16"/>
      <c r="J3" s="16"/>
      <c r="K3" s="16"/>
      <c r="L3" s="16"/>
      <c r="M3" s="16"/>
      <c r="N3" s="16"/>
      <c r="O3" s="1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IFERROR(__xludf.DUMMYFUNCTION("IF(C3="""","""",Transpose(IMPORTRANGE('_Settings'!$B$3,C3&amp;""!A4:A1000"")))"),"ReplaceFillsOnBlotter")</f>
        <v>ReplaceFillsOnBlotter</v>
      </c>
      <c r="C4" s="20" t="str">
        <f>IFERROR(__xludf.DUMMYFUNCTION("""COMPUTED_VALUE"""),"CheckBlotter")</f>
        <v>CheckBlotter</v>
      </c>
      <c r="D4" s="20" t="str">
        <f>IFERROR(__xludf.DUMMYFUNCTION("""COMPUTED_VALUE"""),"BlotterFunctionalities")</f>
        <v>BlotterFunctionalities</v>
      </c>
      <c r="E4" s="20" t="str">
        <f>IFERROR(__xludf.DUMMYFUNCTION("""COMPUTED_VALUE"""),"TransferToUserWorkingSubs")</f>
        <v>TransferToUserWorkingSubs</v>
      </c>
      <c r="F4" s="20" t="str">
        <f>IFERROR(__xludf.DUMMYFUNCTION("""COMPUTED_VALUE"""),"CancelWorkingSubs")</f>
        <v>CancelWorkingSubs</v>
      </c>
      <c r="G4" s="20" t="str">
        <f>IFERROR(__xludf.DUMMYFUNCTION("""COMPUTED_VALUE"""),"ReplaceWorkingSubs")</f>
        <v>ReplaceWorkingSubs</v>
      </c>
      <c r="H4" s="20" t="str">
        <f>IFERROR(__xludf.DUMMYFUNCTION("""COMPUTED_VALUE"""),"ViewAllocationDetailsWorkingSub")</f>
        <v>ViewAllocationDetailsWorkingSub</v>
      </c>
      <c r="I4" s="20" t="str">
        <f>IFERROR(__xludf.DUMMYFUNCTION("""COMPUTED_VALUE"""),"SelectTradeOnOrderGrid")</f>
        <v>SelectTradeOnOrderGrid</v>
      </c>
      <c r="J4" s="20" t="str">
        <f>IFERROR(__xludf.DUMMYFUNCTION("""COMPUTED_VALUE"""),"ShowDetailsForAlgoTradeSubOrder")</f>
        <v>ShowDetailsForAlgoTradeSubOrder</v>
      </c>
      <c r="K4" s="20" t="str">
        <f>IFERROR(__xludf.DUMMYFUNCTION("""COMPUTED_VALUE"""),"SelectTradeOrderBlotter")</f>
        <v>SelectTradeOrderBlotter</v>
      </c>
      <c r="L4" s="20" t="str">
        <f>IFERROR(__xludf.DUMMYFUNCTION("""COMPUTED_VALUE"""),"AddFillsWorkingSubs")</f>
        <v>AddFillsWorkingSubs</v>
      </c>
      <c r="M4" s="20" t="str">
        <f>IFERROR(__xludf.DUMMYFUNCTION("""COMPUTED_VALUE"""),"EditAddFillsDetails")</f>
        <v>EditAddFillsDetails</v>
      </c>
      <c r="N4" s="20" t="str">
        <f>IFERROR(__xludf.DUMMYFUNCTION("""COMPUTED_VALUE"""),"ShowDetailsForAlgoTradeWorkingSubs")</f>
        <v>ShowDetailsForAlgoTradeWorkingSubs</v>
      </c>
      <c r="O4" s="20" t="str">
        <f>IFERROR(__xludf.DUMMYFUNCTION("""COMPUTED_VALUE"""),"VerifyWorkingSubs")</f>
        <v>VerifyWorkingSubs</v>
      </c>
      <c r="P4" s="21" t="str">
        <f>IFERROR(__xludf.DUMMYFUNCTION("""COMPUTED_VALUE"""),"TransferToUserOrder")</f>
        <v>TransferToUserOrder</v>
      </c>
      <c r="Q4" s="21" t="str">
        <f>IFERROR(__xludf.DUMMYFUNCTION("""COMPUTED_VALUE"""),"EditOrder")</f>
        <v>EditOrder</v>
      </c>
      <c r="R4" s="21" t="str">
        <f>IFERROR(__xludf.DUMMYFUNCTION("""COMPUTED_VALUE"""),"SelectTradeSubOrderBlotter")</f>
        <v>SelectTradeSubOrderBlotter</v>
      </c>
      <c r="S4" s="21" t="str">
        <f>IFERROR(__xludf.DUMMYFUNCTION("""COMPUTED_VALUE"""),"VerifyOrder")</f>
        <v>VerifyOrder</v>
      </c>
      <c r="T4" s="21" t="str">
        <f>IFERROR(__xludf.DUMMYFUNCTION("""COMPUTED_VALUE"""),"VerifySubOrder")</f>
        <v>VerifySubOrder</v>
      </c>
      <c r="U4" s="21" t="str">
        <f>IFERROR(__xludf.DUMMYFUNCTION("""COMPUTED_VALUE"""),"RemoveSelectedOrders")</f>
        <v>RemoveSelectedOrders</v>
      </c>
      <c r="V4" s="21" t="str">
        <f>IFERROR(__xludf.DUMMYFUNCTION("""COMPUTED_VALUE"""),"CancelAllSelectedSubs")</f>
        <v>CancelAllSelectedSubs</v>
      </c>
      <c r="W4" s="21" t="str">
        <f>IFERROR(__xludf.DUMMYFUNCTION("""COMPUTED_VALUE"""),"MultiTradingTicket")</f>
        <v>MultiTradingTicket</v>
      </c>
      <c r="X4" s="21" t="str">
        <f>IFERROR(__xludf.DUMMYFUNCTION("""COMPUTED_VALUE"""),"AuditTrailOrderBlotter")</f>
        <v>AuditTrailOrderBlotter</v>
      </c>
      <c r="Y4" s="21" t="str">
        <f>IFERROR(__xludf.DUMMYFUNCTION("""COMPUTED_VALUE"""),"TradeNewSubOrder")</f>
        <v>TradeNewSubOrder</v>
      </c>
      <c r="Z4" s="21" t="str">
        <f>IFERROR(__xludf.DUMMYFUNCTION("""COMPUTED_VALUE"""),"RemoveStageOrder")</f>
        <v>RemoveStageOrder</v>
      </c>
      <c r="AA4" s="21" t="str">
        <f>IFERROR(__xludf.DUMMYFUNCTION("""COMPUTED_VALUE"""),"TransferToUserSubOrder")</f>
        <v>TransferToUserSubOrder</v>
      </c>
      <c r="AB4" s="21" t="str">
        <f>IFERROR(__xludf.DUMMYFUNCTION("""COMPUTED_VALUE"""),"DetailsForAlgoTradeOrder")</f>
        <v>DetailsForAlgoTradeOrder</v>
      </c>
      <c r="AC4" s="21" t="str">
        <f>IFERROR(__xludf.DUMMYFUNCTION("""COMPUTED_VALUE"""),"AddFillsSubOrder")</f>
        <v>AddFillsSubOrder</v>
      </c>
      <c r="AD4" s="21" t="str">
        <f>IFERROR(__xludf.DUMMYFUNCTION("""COMPUTED_VALUE"""),"ViewAllocationDetailsSubOrder")</f>
        <v>ViewAllocationDetailsSubOrder</v>
      </c>
      <c r="AE4" s="21" t="str">
        <f>IFERROR(__xludf.DUMMYFUNCTION("""COMPUTED_VALUE"""),"CancelAllSubs")</f>
        <v>CancelAllSubs</v>
      </c>
      <c r="AF4" s="21" t="str">
        <f>IFERROR(__xludf.DUMMYFUNCTION("""COMPUTED_VALUE"""),"CancelSubOrder")</f>
        <v>CancelSubOrder</v>
      </c>
      <c r="AG4" s="21" t="str">
        <f>IFERROR(__xludf.DUMMYFUNCTION("""COMPUTED_VALUE"""),"EditStageOrder")</f>
        <v>EditStageOrder</v>
      </c>
      <c r="AH4" s="21" t="str">
        <f>IFERROR(__xludf.DUMMYFUNCTION("""COMPUTED_VALUE"""),"ReplaceSubOrder")</f>
        <v>ReplaceSubOrder</v>
      </c>
      <c r="AI4" s="21" t="str">
        <f>IFERROR(__xludf.DUMMYFUNCTION("""COMPUTED_VALUE"""),"SelectTradeWorkingSubsBlotter")</f>
        <v>SelectTradeWorkingSubsBlotter</v>
      </c>
      <c r="AJ4" s="21" t="str">
        <f>IFERROR(__xludf.DUMMYFUNCTION("""COMPUTED_VALUE"""),"VerifyAlgoDetails")</f>
        <v>VerifyAlgoDetails</v>
      </c>
      <c r="AK4" s="21" t="str">
        <f>IFERROR(__xludf.DUMMYFUNCTION("""COMPUTED_VALUE"""),"VerifyTransferToUserOrder")</f>
        <v>VerifyTransferToUserOrder</v>
      </c>
      <c r="AL4" s="21" t="str">
        <f>IFERROR(__xludf.DUMMYFUNCTION("""COMPUTED_VALUE"""),"VerifyTransferToUserSubOdr")</f>
        <v>VerifyTransferToUserSubOdr</v>
      </c>
      <c r="AM4" s="21" t="str">
        <f>IFERROR(__xludf.DUMMYFUNCTION("""COMPUTED_VALUE"""),"VerifyTransferToUserWorkSub")</f>
        <v>VerifyTransferToUserWorkSub</v>
      </c>
      <c r="AN4" s="21" t="str">
        <f>IFERROR(__xludf.DUMMYFUNCTION("""COMPUTED_VALUE"""),"SaveLayoutOrderGrid")</f>
        <v>SaveLayoutOrderGrid</v>
      </c>
      <c r="AO4" s="21" t="str">
        <f>IFERROR(__xludf.DUMMYFUNCTION("""COMPUTED_VALUE"""),"ReplaceStageOrder")</f>
        <v>ReplaceStageOrder</v>
      </c>
      <c r="AP4" s="21" t="str">
        <f>IFERROR(__xludf.DUMMYFUNCTION("""COMPUTED_VALUE"""),"MultiTradingTicketFromBlotter")</f>
        <v>MultiTradingTicketFromBlotter</v>
      </c>
      <c r="AQ4" s="21" t="str">
        <f>IFERROR(__xludf.DUMMYFUNCTION("""COMPUTED_VALUE"""),"VerifyViewAllocationDetails")</f>
        <v>VerifyViewAllocationDetails</v>
      </c>
      <c r="AR4" s="21" t="str">
        <f>IFERROR(__xludf.DUMMYFUNCTION("""COMPUTED_VALUE"""),"GoToAllocation")</f>
        <v>GoToAllocation</v>
      </c>
      <c r="AS4" s="21" t="str">
        <f>IFERROR(__xludf.DUMMYFUNCTION("""COMPUTED_VALUE"""),"VerifyRollover")</f>
        <v>VerifyRollover</v>
      </c>
      <c r="AT4" s="21" t="str">
        <f>IFERROR(__xludf.DUMMYFUNCTION("""COMPUTED_VALUE"""),"VerifySubOrderAfterRollover")</f>
        <v>VerifySubOrderAfterRollover</v>
      </c>
      <c r="AU4" s="21" t="str">
        <f>IFERROR(__xludf.DUMMYFUNCTION("""COMPUTED_VALUE"""),"OpenBlotter")</f>
        <v>OpenBlotter</v>
      </c>
      <c r="AV4" s="21" t="str">
        <f>IFERROR(__xludf.DUMMYFUNCTION("""COMPUTED_VALUE"""),"OpenBlotter")</f>
        <v>OpenBlotter</v>
      </c>
      <c r="AW4" s="21" t="str">
        <f>IFERROR(__xludf.DUMMYFUNCTION("""COMPUTED_VALUE"""),"RemoveManualExecution")</f>
        <v>RemoveManualExecution</v>
      </c>
      <c r="AX4" s="21" t="str">
        <f>IFERROR(__xludf.DUMMYFUNCTION("""COMPUTED_VALUE"""),"RemoveExecutionWorkingSubs")</f>
        <v>RemoveExecutionWorkingSubs</v>
      </c>
      <c r="AY4" s="21" t="str">
        <f>IFERROR(__xludf.DUMMYFUNCTION("""COMPUTED_VALUE"""),"GetExecutionReportOrders")</f>
        <v>GetExecutionReportOrders</v>
      </c>
      <c r="AZ4" s="21" t="str">
        <f>IFERROR(__xludf.DUMMYFUNCTION("""COMPUTED_VALUE"""),"GetExecutionReportDetails")</f>
        <v>GetExecutionReportDetails</v>
      </c>
      <c r="BA4" s="21" t="str">
        <f>IFERROR(__xludf.DUMMYFUNCTION("""COMPUTED_VALUE"""),"ExportExecutionReportData")</f>
        <v>ExportExecutionReportData</v>
      </c>
      <c r="BB4" s="21" t="str">
        <f>IFERROR(__xludf.DUMMYFUNCTION("""COMPUTED_VALUE"""),"VerifyExecutionReport")</f>
        <v>VerifyExecutionReport</v>
      </c>
      <c r="BC4" s="21" t="str">
        <f>IFERROR(__xludf.DUMMYFUNCTION("""COMPUTED_VALUE"""),"BlotterExecutionReportSnapshot")</f>
        <v>BlotterExecutionReportSnapshot</v>
      </c>
      <c r="BD4" s="21" t="str">
        <f>IFERROR(__xludf.DUMMYFUNCTION("""COMPUTED_VALUE"""),"MultipleTradeTransferToUser")</f>
        <v>MultipleTradeTransferToUser</v>
      </c>
      <c r="BE4" s="21" t="str">
        <f>IFERROR(__xludf.DUMMYFUNCTION("""COMPUTED_VALUE"""),"ReloadOrderFromBlotter")</f>
        <v>ReloadOrderFromBlotter</v>
      </c>
      <c r="BF4" s="21" t="str">
        <f>IFERROR(__xludf.DUMMYFUNCTION("""COMPUTED_VALUE"""),"ReloadOrderFromSubOrder")</f>
        <v>ReloadOrderFromSubOrder</v>
      </c>
      <c r="BG4" s="21" t="str">
        <f>IFERROR(__xludf.DUMMYFUNCTION("""COMPUTED_VALUE"""),"ReloadOrderFromWorkingSubs")</f>
        <v>ReloadOrderFromWorkingSubs</v>
      </c>
      <c r="BH4" s="21" t="str">
        <f>IFERROR(__xludf.DUMMYFUNCTION("""COMPUTED_VALUE"""),"SelectFills")</f>
        <v>SelectFills</v>
      </c>
      <c r="BI4" s="21" t="str">
        <f>IFERROR(__xludf.DUMMYFUNCTION("""COMPUTED_VALUE"""),"ModifyFills")</f>
        <v>ModifyFills</v>
      </c>
      <c r="BJ4" s="21" t="str">
        <f>IFERROR(__xludf.DUMMYFUNCTION("""COMPUTED_VALUE"""),"AddTab")</f>
        <v>AddTab</v>
      </c>
      <c r="BK4" s="21" t="str">
        <f>IFERROR(__xludf.DUMMYFUNCTION("""COMPUTED_VALUE"""),"RemoveTab")</f>
        <v>RemoveTab</v>
      </c>
      <c r="BL4" s="21" t="str">
        <f>IFERROR(__xludf.DUMMYFUNCTION("""COMPUTED_VALUE"""),"SelectCustomTab")</f>
        <v>SelectCustomTab</v>
      </c>
      <c r="BM4" s="21" t="str">
        <f>IFERROR(__xludf.DUMMYFUNCTION("""COMPUTED_VALUE"""),"VerifyOrderCustomTab")</f>
        <v>VerifyOrderCustomTab</v>
      </c>
      <c r="BN4" s="21" t="str">
        <f>IFERROR(__xludf.DUMMYFUNCTION("""COMPUTED_VALUE"""),"VerifySubOrderCustomTab")</f>
        <v>VerifySubOrderCustomTab</v>
      </c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IFERROR(__xludf.DUMMYFUNCTION("""COMPUTED_VALUE"""),"Transaction Time")</f>
        <v>Transaction Time</v>
      </c>
      <c r="C5" s="23" t="str">
        <f>IFERROR(__xludf.DUMMYFUNCTION("""COMPUTED_VALUE"""),"Algo")</f>
        <v>Algo</v>
      </c>
      <c r="D5" s="23" t="str">
        <f>IFERROR(__xludf.DUMMYFUNCTION("""COMPUTED_VALUE"""),"Avg Fill Price (Base)")</f>
        <v>Avg Fill Price (Base)</v>
      </c>
      <c r="E5" s="23" t="str">
        <f>IFERROR(__xludf.DUMMYFUNCTION("""COMPUTED_VALUE"""),"Bloomberg Symbol")</f>
        <v>Bloomberg Symbol</v>
      </c>
      <c r="F5" s="24" t="str">
        <f>IFERROR(__xludf.DUMMYFUNCTION("""COMPUTED_VALUE"""),"Limit Price")</f>
        <v>Limit Price</v>
      </c>
      <c r="G5" s="23" t="str">
        <f>IFERROR(__xludf.DUMMYFUNCTION("""COMPUTED_VALUE"""),"Working Qty")</f>
        <v>Working Qty</v>
      </c>
      <c r="H5" s="23" t="str">
        <f>IFERROR(__xludf.DUMMYFUNCTION("""COMPUTED_VALUE"""),"Venue")</f>
        <v>Venue</v>
      </c>
      <c r="I5" s="23" t="str">
        <f>IFERROR(__xludf.DUMMYFUNCTION("""COMPUTED_VALUE"""),"Current User")</f>
        <v>Current User</v>
      </c>
      <c r="J5" s="23" t="str">
        <f>IFERROR(__xludf.DUMMYFUNCTION("""COMPUTED_VALUE"""),"Underlying Symbol")</f>
        <v>Underlying Symbol</v>
      </c>
      <c r="K5" s="23" t="str">
        <f>IFERROR(__xludf.DUMMYFUNCTION("""COMPUTED_VALUE"""),"Underlying Country")</f>
        <v>Underlying Country</v>
      </c>
      <c r="L5" s="23" t="str">
        <f>IFERROR(__xludf.DUMMYFUNCTION("""COMPUTED_VALUE"""),"Trader")</f>
        <v>Trader</v>
      </c>
      <c r="M5" s="23" t="str">
        <f>IFERROR(__xludf.DUMMYFUNCTION("""COMPUTED_VALUE"""),"Trade Attribute 6")</f>
        <v>Trade Attribute 6</v>
      </c>
      <c r="N5" s="23" t="str">
        <f>IFERROR(__xludf.DUMMYFUNCTION("""COMPUTED_VALUE"""),"Trade Attribute 5")</f>
        <v>Trade Attribute 5</v>
      </c>
      <c r="O5" s="23" t="str">
        <f>IFERROR(__xludf.DUMMYFUNCTION("""COMPUTED_VALUE"""),"Trade Attribute 4")</f>
        <v>Trade Attribute 4</v>
      </c>
      <c r="P5" s="23" t="str">
        <f>IFERROR(__xludf.DUMMYFUNCTION("""COMPUTED_VALUE"""),"Trade Attribute 3")</f>
        <v>Trade Attribute 3</v>
      </c>
      <c r="Q5" s="23" t="str">
        <f>IFERROR(__xludf.DUMMYFUNCTION("""COMPUTED_VALUE"""),"Trade Attribute 1")</f>
        <v>Trade Attribute 1</v>
      </c>
      <c r="R5" s="23" t="str">
        <f>IFERROR(__xludf.DUMMYFUNCTION("""COMPUTED_VALUE"""),"Trade Attribute 2")</f>
        <v>Trade Attribute 2</v>
      </c>
      <c r="S5" s="23" t="str">
        <f>IFERROR(__xludf.DUMMYFUNCTION("""COMPUTED_VALUE"""),"Strike Price")</f>
        <v>Strike Price</v>
      </c>
      <c r="T5" s="25" t="str">
        <f>IFERROR(__xludf.DUMMYFUNCTION("""COMPUTED_VALUE"""),"Stop Price")</f>
        <v>Stop Price</v>
      </c>
      <c r="U5" s="25" t="str">
        <f>IFERROR(__xludf.DUMMYFUNCTION("""COMPUTED_VALUE"""),"Settlement Currency")</f>
        <v>Settlement Currency</v>
      </c>
      <c r="V5" s="25" t="str">
        <f>IFERROR(__xludf.DUMMYFUNCTION("""COMPUTED_VALUE"""),"Put/Call")</f>
        <v>Put/Call</v>
      </c>
      <c r="W5" s="25" t="str">
        <f>IFERROR(__xludf.DUMMYFUNCTION("""COMPUTED_VALUE"""),"Process Date")</f>
        <v>Process Date</v>
      </c>
      <c r="X5" s="25" t="str">
        <f>IFERROR(__xludf.DUMMYFUNCTION("""COMPUTED_VALUE"""),"Peg")</f>
        <v>Peg</v>
      </c>
      <c r="Y5" s="25" t="str">
        <f>IFERROR(__xludf.DUMMYFUNCTION("""COMPUTED_VALUE"""),"ParentClOrderID")</f>
        <v>ParentClOrderID</v>
      </c>
      <c r="Z5" s="25" t="str">
        <f>IFERROR(__xludf.DUMMYFUNCTION("""COMPUTED_VALUE"""),"OrderID")</f>
        <v>OrderID</v>
      </c>
      <c r="AA5" s="25" t="str">
        <f>IFERROR(__xludf.DUMMYFUNCTION("""COMPUTED_VALUE"""),"Master Fund")</f>
        <v>Master Fund</v>
      </c>
      <c r="AB5" s="25" t="str">
        <f>IFERROR(__xludf.DUMMYFUNCTION("""COMPUTED_VALUE"""),"Last Shares")</f>
        <v>Last Shares</v>
      </c>
      <c r="AC5" s="25" t="str">
        <f>IFERROR(__xludf.DUMMYFUNCTION("""COMPUTED_VALUE"""),"Internal Comments")</f>
        <v>Internal Comments</v>
      </c>
      <c r="AD5" s="25" t="str">
        <f>IFERROR(__xludf.DUMMYFUNCTION("""COMPUTED_VALUE"""),"FX Rate")</f>
        <v>FX Rate</v>
      </c>
      <c r="AE5" s="25" t="str">
        <f>IFERROR(__xludf.DUMMYFUNCTION("""COMPUTED_VALUE"""),"Imported File Name")</f>
        <v>Imported File Name</v>
      </c>
      <c r="AF5" s="25" t="str">
        <f>IFERROR(__xludf.DUMMYFUNCTION("""COMPUTED_VALUE"""),"FX Conversion Operator")</f>
        <v>FX Conversion Operator</v>
      </c>
      <c r="AG5" s="25" t="str">
        <f>IFERROR(__xludf.DUMMYFUNCTION("""COMPUTED_VALUE"""),"Day Average Price")</f>
        <v>Day Average Price</v>
      </c>
      <c r="AH5" s="25" t="str">
        <f>IFERROR(__xludf.DUMMYFUNCTION("""COMPUTED_VALUE"""),"Asset Class")</f>
        <v>Asset Class</v>
      </c>
      <c r="AI5" s="25" t="str">
        <f>IFERROR(__xludf.DUMMYFUNCTION("""COMPUTED_VALUE"""),"Symbol")</f>
        <v>Symbol</v>
      </c>
      <c r="AJ5" s="25" t="str">
        <f>IFERROR(__xludf.DUMMYFUNCTION("""COMPUTED_VALUE"""),"Side")</f>
        <v>Side</v>
      </c>
      <c r="AK5" s="25" t="str">
        <f>IFERROR(__xludf.DUMMYFUNCTION("""COMPUTED_VALUE"""),"Status")</f>
        <v>Status</v>
      </c>
      <c r="AL5" s="25" t="str">
        <f>IFERROR(__xludf.DUMMYFUNCTION("""COMPUTED_VALUE"""),"Target Qty")</f>
        <v>Target Qty</v>
      </c>
      <c r="AM5" s="25" t="str">
        <f>IFERROR(__xludf.DUMMYFUNCTION("""COMPUTED_VALUE"""),"Total Executed Qty")</f>
        <v>Total Executed Qty</v>
      </c>
      <c r="AN5" s="25" t="str">
        <f>IFERROR(__xludf.DUMMYFUNCTION("""COMPUTED_VALUE"""),"% Executed")</f>
        <v>% Executed</v>
      </c>
      <c r="AO5" s="25" t="str">
        <f>IFERROR(__xludf.DUMMYFUNCTION("""COMPUTED_VALUE"""),"Day Executed Qty")</f>
        <v>Day Executed Qty</v>
      </c>
      <c r="AP5" s="25" t="str">
        <f>IFERROR(__xludf.DUMMYFUNCTION("""COMPUTED_VALUE"""),"Uncommitted Qty")</f>
        <v>Uncommitted Qty</v>
      </c>
      <c r="AQ5" s="25" t="str">
        <f>IFERROR(__xludf.DUMMYFUNCTION("""COMPUTED_VALUE"""),"Last Fill Price (Local)")</f>
        <v>Last Fill Price (Local)</v>
      </c>
      <c r="AR5" s="25" t="str">
        <f>IFERROR(__xludf.DUMMYFUNCTION("""COMPUTED_VALUE"""),"Avg Fill Price (Local)")</f>
        <v>Avg Fill Price (Local)</v>
      </c>
      <c r="AS5" s="25" t="str">
        <f>IFERROR(__xludf.DUMMYFUNCTION("""COMPUTED_VALUE"""),"Broker")</f>
        <v>Broker</v>
      </c>
      <c r="AT5" s="25" t="str">
        <f>IFERROR(__xludf.DUMMYFUNCTION("""COMPUTED_VALUE"""),"Account")</f>
        <v>Account</v>
      </c>
      <c r="AU5" s="25" t="str">
        <f>IFERROR(__xludf.DUMMYFUNCTION("""COMPUTED_VALUE"""),"Order Type")</f>
        <v>Order Type</v>
      </c>
      <c r="AV5" s="25" t="str">
        <f>IFERROR(__xludf.DUMMYFUNCTION("""COMPUTED_VALUE"""),"Principal Amount (Local)")</f>
        <v>Principal Amount (Local)</v>
      </c>
      <c r="AW5" s="25" t="str">
        <f>IFERROR(__xludf.DUMMYFUNCTION("""COMPUTED_VALUE"""),"Principal Amount (Base)")</f>
        <v>Principal Amount (Base)</v>
      </c>
      <c r="AX5" s="25" t="str">
        <f>IFERROR(__xludf.DUMMYFUNCTION("""COMPUTED_VALUE"""),"Allocation Scheme Name")</f>
        <v>Allocation Scheme Name</v>
      </c>
      <c r="AY5" s="25" t="str">
        <f>IFERROR(__xludf.DUMMYFUNCTION("""COMPUTED_VALUE"""),"Start of Day Qty")</f>
        <v>Start of Day Qty</v>
      </c>
      <c r="AZ5" s="25" t="str">
        <f>IFERROR(__xludf.DUMMYFUNCTION("""COMPUTED_VALUE"""),"Leaves")</f>
        <v>Leaves</v>
      </c>
      <c r="BA5" s="25" t="str">
        <f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ht="15.75" customHeight="1">
      <c r="A6" s="8"/>
      <c r="B6" s="8"/>
      <c r="C6" s="8"/>
      <c r="D6" s="8"/>
      <c r="E6" s="8"/>
      <c r="G6" s="9">
        <v>900.0</v>
      </c>
      <c r="H6" s="8"/>
      <c r="I6" s="8"/>
      <c r="J6" s="8"/>
      <c r="K6" s="8"/>
      <c r="L6" s="8"/>
      <c r="M6" s="8"/>
      <c r="N6" s="8"/>
      <c r="O6" s="8"/>
      <c r="AI6" s="9" t="s">
        <v>13</v>
      </c>
      <c r="AJ6" s="9" t="s">
        <v>14</v>
      </c>
      <c r="AK6" s="9" t="s">
        <v>15</v>
      </c>
      <c r="AL6" s="9">
        <v>1000.0</v>
      </c>
      <c r="AM6" s="9">
        <v>100.0</v>
      </c>
      <c r="AN6" s="9">
        <v>10.0</v>
      </c>
      <c r="AU6" s="9" t="s">
        <v>17</v>
      </c>
    </row>
    <row r="7" ht="15.75" customHeight="1">
      <c r="A7" s="8"/>
      <c r="B7" s="8"/>
      <c r="C7" s="8"/>
      <c r="D7" s="8"/>
      <c r="E7" s="8"/>
      <c r="F7" s="13">
        <v>500.0</v>
      </c>
      <c r="G7" s="13"/>
      <c r="H7" s="8"/>
      <c r="I7" s="8"/>
      <c r="J7" s="8"/>
      <c r="K7" s="8"/>
      <c r="L7" s="8"/>
      <c r="M7" s="8"/>
      <c r="N7" s="8"/>
      <c r="O7" s="8"/>
      <c r="T7" s="13"/>
      <c r="AI7" s="13" t="s">
        <v>13</v>
      </c>
      <c r="AJ7" s="13" t="s">
        <v>18</v>
      </c>
      <c r="AK7" s="13" t="s">
        <v>19</v>
      </c>
      <c r="AL7" s="13">
        <v>100.0</v>
      </c>
      <c r="AM7" s="13">
        <v>100.0</v>
      </c>
      <c r="AN7" s="9">
        <v>100.0</v>
      </c>
      <c r="AU7" s="13" t="s">
        <v>20</v>
      </c>
    </row>
    <row r="8" ht="15.75" customHeight="1">
      <c r="A8" s="8"/>
      <c r="B8" s="8"/>
      <c r="C8" s="8"/>
      <c r="D8" s="8"/>
      <c r="E8" s="8"/>
      <c r="F8" s="8"/>
      <c r="G8" s="13"/>
      <c r="H8" s="8"/>
      <c r="I8" s="8"/>
      <c r="J8" s="8"/>
      <c r="K8" s="8"/>
      <c r="L8" s="8"/>
      <c r="M8" s="8"/>
      <c r="N8" s="8"/>
      <c r="O8" s="8"/>
      <c r="T8" s="13">
        <v>500.0</v>
      </c>
      <c r="AI8" s="13" t="s">
        <v>13</v>
      </c>
      <c r="AJ8" s="13" t="s">
        <v>21</v>
      </c>
      <c r="AK8" s="13" t="s">
        <v>19</v>
      </c>
      <c r="AL8" s="13">
        <v>100.0</v>
      </c>
      <c r="AM8" s="13">
        <v>100.0</v>
      </c>
      <c r="AN8" s="9">
        <v>100.0</v>
      </c>
      <c r="AU8" s="13" t="s">
        <v>22</v>
      </c>
    </row>
    <row r="9" ht="15.75" customHeight="1">
      <c r="A9" s="8"/>
      <c r="B9" s="8"/>
      <c r="C9" s="8"/>
      <c r="D9" s="8"/>
      <c r="E9" s="8"/>
      <c r="F9" s="30"/>
      <c r="G9" s="13">
        <v>900.0</v>
      </c>
      <c r="H9" s="8"/>
      <c r="I9" s="8"/>
      <c r="J9" s="8"/>
      <c r="K9" s="8"/>
      <c r="L9" s="8"/>
      <c r="M9" s="8"/>
      <c r="N9" s="8"/>
      <c r="O9" s="8"/>
      <c r="AI9" s="28" t="s">
        <v>13</v>
      </c>
      <c r="AJ9" s="28" t="s">
        <v>14</v>
      </c>
      <c r="AK9" s="13" t="s">
        <v>15</v>
      </c>
      <c r="AL9" s="27">
        <v>1000.0</v>
      </c>
      <c r="AM9" s="27">
        <v>100.0</v>
      </c>
      <c r="AN9" s="9">
        <v>10.0</v>
      </c>
      <c r="AT9" s="29" t="s">
        <v>23</v>
      </c>
      <c r="AU9" s="28" t="s">
        <v>17</v>
      </c>
    </row>
    <row r="10" ht="15.75" customHeight="1">
      <c r="A10" s="8"/>
      <c r="B10" s="8"/>
      <c r="C10" s="8"/>
      <c r="D10" s="8"/>
      <c r="E10" s="8"/>
      <c r="F10" s="27">
        <v>500.0</v>
      </c>
      <c r="G10" s="13"/>
      <c r="H10" s="8"/>
      <c r="I10" s="8"/>
      <c r="J10" s="8"/>
      <c r="K10" s="8"/>
      <c r="L10" s="8"/>
      <c r="M10" s="8"/>
      <c r="N10" s="8"/>
      <c r="O10" s="8"/>
      <c r="AI10" s="28" t="s">
        <v>13</v>
      </c>
      <c r="AJ10" s="28" t="s">
        <v>24</v>
      </c>
      <c r="AK10" s="13" t="s">
        <v>19</v>
      </c>
      <c r="AL10" s="27">
        <v>100.0</v>
      </c>
      <c r="AM10" s="27">
        <v>100.0</v>
      </c>
      <c r="AN10" s="9">
        <v>100.0</v>
      </c>
      <c r="AT10" s="29" t="s">
        <v>23</v>
      </c>
      <c r="AU10" s="28" t="s">
        <v>25</v>
      </c>
    </row>
    <row r="11" ht="15.75" customHeight="1">
      <c r="A11" s="8"/>
      <c r="B11" s="8"/>
      <c r="C11" s="8"/>
      <c r="D11" s="8"/>
      <c r="E11" s="8"/>
      <c r="F11" s="30"/>
      <c r="G11" s="13"/>
      <c r="H11" s="8"/>
      <c r="I11" s="8"/>
      <c r="J11" s="8"/>
      <c r="K11" s="8"/>
      <c r="L11" s="8"/>
      <c r="M11" s="8"/>
      <c r="N11" s="8"/>
      <c r="O11" s="8"/>
      <c r="AI11" s="28" t="s">
        <v>13</v>
      </c>
      <c r="AJ11" s="28" t="s">
        <v>24</v>
      </c>
      <c r="AK11" s="13" t="s">
        <v>19</v>
      </c>
      <c r="AL11" s="27">
        <v>1000.0</v>
      </c>
      <c r="AM11" s="27">
        <v>1000.0</v>
      </c>
      <c r="AN11" s="9">
        <v>100.0</v>
      </c>
      <c r="AT11" s="29" t="s">
        <v>23</v>
      </c>
      <c r="AU11" s="28" t="s">
        <v>17</v>
      </c>
    </row>
    <row r="12" ht="15.75" customHeight="1">
      <c r="A12" s="8"/>
      <c r="B12" s="8"/>
      <c r="C12" s="8"/>
      <c r="D12" s="8"/>
      <c r="E12" s="8"/>
      <c r="F12" s="30"/>
      <c r="G12" s="13"/>
      <c r="H12" s="8"/>
      <c r="I12" s="8"/>
      <c r="J12" s="8"/>
      <c r="K12" s="8"/>
      <c r="L12" s="8"/>
      <c r="M12" s="8"/>
      <c r="N12" s="8"/>
      <c r="O12" s="8"/>
      <c r="AI12" s="28" t="s">
        <v>13</v>
      </c>
      <c r="AJ12" s="28" t="s">
        <v>24</v>
      </c>
      <c r="AK12" s="13" t="s">
        <v>19</v>
      </c>
      <c r="AL12" s="27">
        <v>1000.0</v>
      </c>
      <c r="AM12" s="27">
        <v>1000.0</v>
      </c>
      <c r="AN12" s="9">
        <v>100.0</v>
      </c>
      <c r="AT12" s="29" t="s">
        <v>23</v>
      </c>
      <c r="AU12" s="28" t="s">
        <v>17</v>
      </c>
    </row>
    <row r="13" ht="15.75" customHeight="1">
      <c r="A13" s="8"/>
      <c r="B13" s="8"/>
      <c r="C13" s="8"/>
      <c r="D13" s="8"/>
      <c r="E13" s="8"/>
      <c r="F13" s="30"/>
      <c r="G13" s="13"/>
      <c r="H13" s="8"/>
      <c r="I13" s="8"/>
      <c r="J13" s="8"/>
      <c r="K13" s="8"/>
      <c r="L13" s="8"/>
      <c r="M13" s="8"/>
      <c r="N13" s="8"/>
      <c r="O13" s="8"/>
      <c r="AI13" s="28" t="s">
        <v>13</v>
      </c>
      <c r="AJ13" s="28" t="s">
        <v>24</v>
      </c>
      <c r="AK13" s="13" t="s">
        <v>19</v>
      </c>
      <c r="AL13" s="27">
        <v>1000.0</v>
      </c>
      <c r="AM13" s="27">
        <v>1000.0</v>
      </c>
      <c r="AN13" s="9">
        <v>100.0</v>
      </c>
      <c r="AT13" s="29" t="s">
        <v>23</v>
      </c>
      <c r="AU13" s="28" t="s">
        <v>17</v>
      </c>
    </row>
    <row r="14" ht="15.75" customHeight="1">
      <c r="A14" s="8"/>
      <c r="B14" s="8"/>
      <c r="C14" s="8"/>
      <c r="D14" s="8"/>
      <c r="E14" s="8"/>
      <c r="F14" s="30"/>
      <c r="G14" s="13"/>
      <c r="H14" s="8"/>
      <c r="I14" s="8"/>
      <c r="J14" s="8"/>
      <c r="K14" s="8"/>
      <c r="L14" s="8"/>
      <c r="M14" s="8"/>
      <c r="N14" s="8"/>
      <c r="O14" s="8"/>
      <c r="AI14" s="28" t="s">
        <v>13</v>
      </c>
      <c r="AJ14" s="28" t="s">
        <v>24</v>
      </c>
      <c r="AK14" s="13" t="s">
        <v>19</v>
      </c>
      <c r="AL14" s="27">
        <v>1000.0</v>
      </c>
      <c r="AM14" s="27">
        <v>1000.0</v>
      </c>
      <c r="AN14" s="9">
        <v>100.0</v>
      </c>
      <c r="AT14" s="29" t="s">
        <v>23</v>
      </c>
      <c r="AU14" s="28" t="s">
        <v>17</v>
      </c>
    </row>
    <row r="15" ht="15.75" customHeight="1">
      <c r="A15" s="8"/>
      <c r="B15" s="8"/>
      <c r="C15" s="8"/>
      <c r="D15" s="8"/>
      <c r="E15" s="8"/>
      <c r="F15" s="30"/>
      <c r="G15" s="13"/>
      <c r="H15" s="8"/>
      <c r="I15" s="8"/>
      <c r="J15" s="8"/>
      <c r="K15" s="8"/>
      <c r="L15" s="8"/>
      <c r="M15" s="8"/>
      <c r="N15" s="8"/>
      <c r="O15" s="8"/>
      <c r="AI15" s="28" t="s">
        <v>13</v>
      </c>
      <c r="AJ15" s="28" t="s">
        <v>24</v>
      </c>
      <c r="AK15" s="13" t="s">
        <v>19</v>
      </c>
      <c r="AL15" s="27">
        <v>1000.0</v>
      </c>
      <c r="AM15" s="27">
        <v>1000.0</v>
      </c>
      <c r="AN15" s="9">
        <v>100.0</v>
      </c>
      <c r="AT15" s="29" t="s">
        <v>23</v>
      </c>
      <c r="AU15" s="28" t="s">
        <v>17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4.75"/>
    <col customWidth="1" min="2" max="2" width="20.25"/>
    <col customWidth="1" min="3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4"/>
      <c r="B1" s="1" t="s">
        <v>6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ht="15.75" customHeight="1">
      <c r="A3" s="16"/>
      <c r="B3" s="5" t="s">
        <v>7</v>
      </c>
      <c r="C3" s="17" t="s">
        <v>34</v>
      </c>
      <c r="D3" s="5" t="s">
        <v>9</v>
      </c>
      <c r="E3" s="17" t="s">
        <v>35</v>
      </c>
      <c r="F3" s="5" t="s">
        <v>11</v>
      </c>
      <c r="G3" s="18" t="s">
        <v>12</v>
      </c>
      <c r="H3" s="5"/>
      <c r="I3" s="16"/>
      <c r="J3" s="16"/>
      <c r="K3" s="16"/>
      <c r="L3" s="16"/>
      <c r="M3" s="16"/>
      <c r="N3" s="16"/>
      <c r="O3" s="1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</row>
    <row r="4" ht="15.75" customHeight="1">
      <c r="A4" s="20"/>
      <c r="B4" s="20" t="str">
        <f>IFERROR(__xludf.DUMMYFUNCTION("IF(C3="""","""",Transpose(IMPORTRANGE('_Settings'!$B$3,C3&amp;""!A4:A1000"")))"),"Allocate")</f>
        <v>Allocate</v>
      </c>
      <c r="C4" s="20" t="str">
        <f>IFERROR(__xludf.DUMMYFUNCTION("""COMPUTED_VALUE"""),"CheckAllocatedGroups")</f>
        <v>CheckAllocatedGroups</v>
      </c>
      <c r="D4" s="20" t="str">
        <f>IFERROR(__xludf.DUMMYFUNCTION("""COMPUTED_VALUE"""),"Unallocate")</f>
        <v>Unallocate</v>
      </c>
      <c r="E4" s="20" t="str">
        <f>IFERROR(__xludf.DUMMYFUNCTION("""COMPUTED_VALUE"""),"GetDataAllocation")</f>
        <v>GetDataAllocation</v>
      </c>
      <c r="F4" s="20" t="str">
        <f>IFERROR(__xludf.DUMMYFUNCTION("""COMPUTED_VALUE"""),"SelectAllocatedGroup")</f>
        <v>SelectAllocatedGroup</v>
      </c>
      <c r="G4" s="20" t="str">
        <f>IFERROR(__xludf.DUMMYFUNCTION("""COMPUTED_VALUE"""),"EditTradesAllocated")</f>
        <v>EditTradesAllocated</v>
      </c>
      <c r="H4" s="20" t="str">
        <f>IFERROR(__xludf.DUMMYFUNCTION("""COMPUTED_VALUE"""),"EditTradesUnallocated")</f>
        <v>EditTradesUnallocated</v>
      </c>
      <c r="I4" s="20" t="str">
        <f>IFERROR(__xludf.DUMMYFUNCTION("""COMPUTED_VALUE"""),"Reallocate")</f>
        <v>Reallocate</v>
      </c>
      <c r="J4" s="20" t="str">
        <f>IFERROR(__xludf.DUMMYFUNCTION("""COMPUTED_VALUE"""),"EditUnallocatedGroupSidePanel")</f>
        <v>EditUnallocatedGroupSidePanel</v>
      </c>
      <c r="K4" s="20" t="str">
        <f>IFERROR(__xludf.DUMMYFUNCTION("""COMPUTED_VALUE"""),"TradeAttributeBulkChange")</f>
        <v>TradeAttributeBulkChange</v>
      </c>
      <c r="L4" s="20" t="str">
        <f>IFERROR(__xludf.DUMMYFUNCTION("""COMPUTED_VALUE"""),"ApplyBulkUpdateOnGroups")</f>
        <v>ApplyBulkUpdateOnGroups</v>
      </c>
      <c r="M4" s="20" t="str">
        <f>IFERROR(__xludf.DUMMYFUNCTION("""COMPUTED_VALUE"""),"ApplyPrefetchFilters")</f>
        <v>ApplyPrefetchFilters</v>
      </c>
      <c r="N4" s="20" t="str">
        <f>IFERROR(__xludf.DUMMYFUNCTION("""COMPUTED_VALUE"""),"GeneralPreferencesDefaultRule")</f>
        <v>GeneralPreferencesDefaultRule</v>
      </c>
      <c r="O4" s="20" t="str">
        <f>IFERROR(__xludf.DUMMYFUNCTION("""COMPUTED_VALUE"""),"GeneralPrefCompanyUserWise")</f>
        <v>GeneralPrefCompanyUserWise</v>
      </c>
      <c r="P4" s="21" t="str">
        <f>IFERROR(__xludf.DUMMYFUNCTION("""COMPUTED_VALUE"""),"RenameTradeAttributes")</f>
        <v>RenameTradeAttributes</v>
      </c>
      <c r="Q4" s="21" t="str">
        <f>IFERROR(__xludf.DUMMYFUNCTION("""COMPUTED_VALUE"""),"SetGroupingRules")</f>
        <v>SetGroupingRules</v>
      </c>
      <c r="R4" s="21" t="str">
        <f>IFERROR(__xludf.DUMMYFUNCTION("""COMPUTED_VALUE"""),"SetMasterFundRatio")</f>
        <v>SetMasterFundRatio</v>
      </c>
      <c r="S4" s="21" t="str">
        <f>IFERROR(__xludf.DUMMYFUNCTION("""COMPUTED_VALUE"""),"CheckFixedPreference")</f>
        <v>CheckFixedPreference</v>
      </c>
      <c r="T4" s="21" t="str">
        <f>IFERROR(__xludf.DUMMYFUNCTION("""COMPUTED_VALUE"""),"GetFixedPreference")</f>
        <v>GetFixedPreference</v>
      </c>
      <c r="U4" s="21" t="str">
        <f>IFERROR(__xludf.DUMMYFUNCTION("""COMPUTED_VALUE"""),"AddCalculatedPreferences")</f>
        <v>AddCalculatedPreferences</v>
      </c>
      <c r="V4" s="21" t="str">
        <f>IFERROR(__xludf.DUMMYFUNCTION("""COMPUTED_VALUE"""),"BulkChangeCalculatedPreferences")</f>
        <v>BulkChangeCalculatedPreferences</v>
      </c>
      <c r="W4" s="21" t="str">
        <f>IFERROR(__xludf.DUMMYFUNCTION("""COMPUTED_VALUE"""),"DeleteCalculatedPreferences")</f>
        <v>DeleteCalculatedPreferences</v>
      </c>
      <c r="X4" s="21" t="str">
        <f>IFERROR(__xludf.DUMMYFUNCTION("""COMPUTED_VALUE"""),"RenameCalculatedPreferences")</f>
        <v>RenameCalculatedPreferences</v>
      </c>
      <c r="Y4" s="21" t="str">
        <f>IFERROR(__xludf.DUMMYFUNCTION("""COMPUTED_VALUE"""),"CopyCalculatedPreferences")</f>
        <v>CopyCalculatedPreferences</v>
      </c>
      <c r="Z4" s="21" t="str">
        <f>IFERROR(__xludf.DUMMYFUNCTION("""COMPUTED_VALUE"""),"RunAutoGroup")</f>
        <v>RunAutoGroup</v>
      </c>
      <c r="AA4" s="21" t="str">
        <f>IFERROR(__xludf.DUMMYFUNCTION("""COMPUTED_VALUE"""),"BookOrUpdateSwap")</f>
        <v>BookOrUpdateSwap</v>
      </c>
      <c r="AB4" s="21" t="str">
        <f>IFERROR(__xludf.DUMMYFUNCTION("""COMPUTED_VALUE"""),"RunProrata")</f>
        <v>RunProrata</v>
      </c>
      <c r="AC4" s="21" t="str">
        <f>IFERROR(__xludf.DUMMYFUNCTION("""COMPUTED_VALUE"""),"SetDefaultRuleCalculatedPref")</f>
        <v>SetDefaultRuleCalculatedPref</v>
      </c>
      <c r="AD4" s="21" t="str">
        <f>IFERROR(__xludf.DUMMYFUNCTION("""COMPUTED_VALUE"""),"SetAccountValueCalculatedPref")</f>
        <v>SetAccountValueCalculatedPref</v>
      </c>
      <c r="AE4" s="21" t="str">
        <f>IFERROR(__xludf.DUMMYFUNCTION("""COMPUTED_VALUE"""),"TradeAttributeBulkChangeGroups")</f>
        <v>TradeAttributeBulkChangeGroups</v>
      </c>
      <c r="AF4" s="21" t="str">
        <f>IFERROR(__xludf.DUMMYFUNCTION("""COMPUTED_VALUE"""),"TradeAttributeBulkChangeTaxlots")</f>
        <v>TradeAttributeBulkChangeTaxlots</v>
      </c>
      <c r="AG4" s="21" t="str">
        <f>IFERROR(__xludf.DUMMYFUNCTION("""COMPUTED_VALUE"""),"AddCalculatedPreferenceToolbar")</f>
        <v>AddCalculatedPreferenceToolbar</v>
      </c>
      <c r="AH4" s="21" t="str">
        <f>IFERROR(__xludf.DUMMYFUNCTION("""COMPUTED_VALUE"""),"SetStrategyValueCalculatedPref")</f>
        <v>SetStrategyValueCalculatedPref</v>
      </c>
      <c r="AI4" s="21" t="str">
        <f>IFERROR(__xludf.DUMMYFUNCTION("""COMPUTED_VALUE"""),"ApplyBulkUpdateOnTaxlots")</f>
        <v>ApplyBulkUpdateOnTaxlots</v>
      </c>
      <c r="AJ4" s="21" t="str">
        <f>IFERROR(__xludf.DUMMYFUNCTION("""COMPUTED_VALUE"""),"CommissionBulkChangeOnGroups")</f>
        <v>CommissionBulkChangeOnGroups</v>
      </c>
      <c r="AK4" s="21" t="str">
        <f>IFERROR(__xludf.DUMMYFUNCTION("""COMPUTED_VALUE"""),"CommissionBulkChangeOnTaxlots")</f>
        <v>CommissionBulkChangeOnTaxlots</v>
      </c>
      <c r="AL4" s="21" t="str">
        <f>IFERROR(__xludf.DUMMYFUNCTION("""COMPUTED_VALUE"""),"SelectUnallocatedGroup")</f>
        <v>SelectUnallocatedGroup</v>
      </c>
      <c r="AM4" s="21" t="str">
        <f>IFERROR(__xludf.DUMMYFUNCTION("""COMPUTED_VALUE"""),"EnterAccountValuesToAllocate")</f>
        <v>EnterAccountValuesToAllocate</v>
      </c>
      <c r="AN4" s="21" t="str">
        <f>IFERROR(__xludf.DUMMYFUNCTION("""COMPUTED_VALUE"""),"EnterAllocatePreference")</f>
        <v>EnterAllocatePreference</v>
      </c>
      <c r="AO4" s="21" t="str">
        <f>IFERROR(__xludf.DUMMYFUNCTION("""COMPUTED_VALUE"""),"EnterStrategyValuesToAllocate")</f>
        <v>EnterStrategyValuesToAllocate</v>
      </c>
      <c r="AP4" s="21" t="str">
        <f>IFERROR(__xludf.DUMMYFUNCTION("""COMPUTED_VALUE"""),"CopyCalculatedPreferenceToolbar")</f>
        <v>CopyCalculatedPreferenceToolbar</v>
      </c>
      <c r="AQ4" s="21" t="str">
        <f>IFERROR(__xludf.DUMMYFUNCTION("""COMPUTED_VALUE"""),"SetGeneralRuleCalculatedPref")</f>
        <v>SetGeneralRuleCalculatedPref</v>
      </c>
      <c r="AR4" s="21" t="str">
        <f>IFERROR(__xludf.DUMMYFUNCTION("""COMPUTED_VALUE"""),"ExportAllCalculatedPreferences")</f>
        <v>ExportAllCalculatedPreferences</v>
      </c>
      <c r="AS4" s="21" t="str">
        <f>IFERROR(__xludf.DUMMYFUNCTION("""COMPUTED_VALUE"""),"SaveCalculatedPreferences")</f>
        <v>SaveCalculatedPreferences</v>
      </c>
      <c r="AT4" s="21" t="str">
        <f>IFERROR(__xludf.DUMMYFUNCTION("""COMPUTED_VALUE"""),"CloseCalculatedPreferences")</f>
        <v>CloseCalculatedPreferences</v>
      </c>
      <c r="AU4" s="21" t="str">
        <f>IFERROR(__xludf.DUMMYFUNCTION("""COMPUTED_VALUE"""),"ExportCalculatedPreference")</f>
        <v>ExportCalculatedPreference</v>
      </c>
      <c r="AV4" s="21" t="str">
        <f>IFERROR(__xludf.DUMMYFUNCTION("""COMPUTED_VALUE"""),"ImportCalculatedPreferences")</f>
        <v>ImportCalculatedPreferences</v>
      </c>
      <c r="AW4" s="21" t="str">
        <f>IFERROR(__xludf.DUMMYFUNCTION("""COMPUTED_VALUE"""),"OpenAuditTrailUnallocatedGroup")</f>
        <v>OpenAuditTrailUnallocatedGroup</v>
      </c>
      <c r="AX4" s="21" t="str">
        <f>IFERROR(__xludf.DUMMYFUNCTION("""COMPUTED_VALUE"""),"DeleteCalculatedPreferencesTool")</f>
        <v>DeleteCalculatedPreferencesTool</v>
      </c>
      <c r="AY4" s="21" t="str">
        <f>IFERROR(__xludf.DUMMYFUNCTION("""COMPUTED_VALUE"""),"ImportCalculatedPreferencesTool")</f>
        <v>ImportCalculatedPreferencesTool</v>
      </c>
      <c r="AZ4" s="21" t="str">
        <f>IFERROR(__xludf.DUMMYFUNCTION("""COMPUTED_VALUE"""),"ExportAllCalculatedPreferTool")</f>
        <v>ExportAllCalculatedPreferTool</v>
      </c>
      <c r="BA4" s="21" t="str">
        <f>IFERROR(__xludf.DUMMYFUNCTION("""COMPUTED_VALUE"""),"OpenAuditTrailAllocatedGroup")</f>
        <v>OpenAuditTrailAllocatedGroup</v>
      </c>
      <c r="BB4" s="21" t="str">
        <f>IFERROR(__xludf.DUMMYFUNCTION("""COMPUTED_VALUE"""),"OpenSymbolLookupUnallocateGroup")</f>
        <v>OpenSymbolLookupUnallocateGroup</v>
      </c>
      <c r="BC4" s="21" t="str">
        <f>IFERROR(__xludf.DUMMYFUNCTION("""COMPUTED_VALUE"""),"OpenSymbolLookupAllocatedGroup")</f>
        <v>OpenSymbolLookupAllocatedGroup</v>
      </c>
      <c r="BD4" s="21" t="str">
        <f>IFERROR(__xludf.DUMMYFUNCTION("""COMPUTED_VALUE"""),"DeleteFixedPreference")</f>
        <v>DeleteFixedPreference</v>
      </c>
      <c r="BE4" s="21" t="str">
        <f>IFERROR(__xludf.DUMMYFUNCTION("""COMPUTED_VALUE"""),"EditAllocatedGroupSidePanel")</f>
        <v>EditAllocatedGroupSidePanel</v>
      </c>
      <c r="BF4" s="21" t="str">
        <f>IFERROR(__xludf.DUMMYFUNCTION("""COMPUTED_VALUE"""),"CheckUnallocatedGroups")</f>
        <v>CheckUnallocatedGroups</v>
      </c>
      <c r="BG4" s="21" t="str">
        <f>IFERROR(__xludf.DUMMYFUNCTION("""COMPUTED_VALUE"""),"SetGeneralPreferences")</f>
        <v>SetGeneralPreferences</v>
      </c>
      <c r="BH4" s="21" t="str">
        <f>IFERROR(__xludf.DUMMYFUNCTION("""COMPUTED_VALUE"""),"GroupTrades")</f>
        <v>GroupTrades</v>
      </c>
      <c r="BI4" s="21" t="str">
        <f>IFERROR(__xludf.DUMMYFUNCTION("""COMPUTED_VALUE"""),"UngroupTrades")</f>
        <v>UngroupTrades</v>
      </c>
      <c r="BJ4" s="21" t="str">
        <f>IFERROR(__xludf.DUMMYFUNCTION("""COMPUTED_VALUE"""),"DeleteGroup")</f>
        <v>DeleteGroup</v>
      </c>
      <c r="BK4" s="21" t="str">
        <f>IFERROR(__xludf.DUMMYFUNCTION("""COMPUTED_VALUE"""),"CloseOrder")</f>
        <v>CloseOrder</v>
      </c>
      <c r="BL4" s="21" t="str">
        <f>IFERROR(__xludf.DUMMYFUNCTION("""COMPUTED_VALUE"""),"Unallocate")</f>
        <v>Unallocate</v>
      </c>
      <c r="BM4" s="21" t="str">
        <f>IFERROR(__xludf.DUMMYFUNCTION("""COMPUTED_VALUE"""),"CloseAllocation")</f>
        <v>CloseAllocation</v>
      </c>
      <c r="BN4" s="21" t="str">
        <f>IFERROR(__xludf.DUMMYFUNCTION("""COMPUTED_VALUE"""),"UpdateGRAccountValue")</f>
        <v>UpdateGRAccountValue</v>
      </c>
      <c r="BO4" s="21" t="str">
        <f>IFERROR(__xludf.DUMMYFUNCTION("""COMPUTED_VALUE"""),"UpdateGRStrategyValue")</f>
        <v>UpdateGRStrategyValue</v>
      </c>
      <c r="BP4" s="21" t="str">
        <f>IFERROR(__xludf.DUMMYFUNCTION("""COMPUTED_VALUE"""),"UpdateGRDefaultRule")</f>
        <v>UpdateGRDefaultRule</v>
      </c>
      <c r="BQ4" s="21" t="str">
        <f>IFERROR(__xludf.DUMMYFUNCTION("""COMPUTED_VALUE"""),"UpdateGeneralRulePref")</f>
        <v>UpdateGeneralRulePref</v>
      </c>
      <c r="BR4" s="21" t="str">
        <f>IFERROR(__xludf.DUMMYFUNCTION("""COMPUTED_VALUE"""),"ModifyGRPreferenceValues")</f>
        <v>ModifyGRPreferenceValues</v>
      </c>
      <c r="BS4" s="21" t="str">
        <f>IFERROR(__xludf.DUMMYFUNCTION("""COMPUTED_VALUE"""),"AddMFPreferences")</f>
        <v>AddMFPreferences</v>
      </c>
      <c r="BT4" s="21" t="str">
        <f>IFERROR(__xludf.DUMMYFUNCTION("""COMPUTED_VALUE"""),"AddMFPreferenceToolbar")</f>
        <v>AddMFPreferenceToolbar</v>
      </c>
      <c r="BU4" s="21" t="str">
        <f>IFERROR(__xludf.DUMMYFUNCTION("""COMPUTED_VALUE"""),"DeleteMFPreferences")</f>
        <v>DeleteMFPreferences</v>
      </c>
      <c r="BV4" s="21" t="str">
        <f>IFERROR(__xludf.DUMMYFUNCTION("""COMPUTED_VALUE"""),"DeleteMFPreferenceToolbar")</f>
        <v>DeleteMFPreferenceToolbar</v>
      </c>
      <c r="BW4" s="21" t="str">
        <f>IFERROR(__xludf.DUMMYFUNCTION("""COMPUTED_VALUE"""),"RenameMFPreferences")</f>
        <v>RenameMFPreferences</v>
      </c>
      <c r="BX4" s="21" t="str">
        <f>IFERROR(__xludf.DUMMYFUNCTION("""COMPUTED_VALUE"""),"SaveCloseMFPreference")</f>
        <v>SaveCloseMFPreference</v>
      </c>
      <c r="BY4" s="21" t="str">
        <f>IFERROR(__xludf.DUMMYFUNCTION("""COMPUTED_VALUE"""),"SetMFPrefAccountValues")</f>
        <v>SetMFPrefAccountValues</v>
      </c>
      <c r="BZ4" s="21" t="str">
        <f>IFERROR(__xludf.DUMMYFUNCTION("""COMPUTED_VALUE"""),"ModifyMFPrefGeneralRuleValues")</f>
        <v>ModifyMFPrefGeneralRuleValues</v>
      </c>
      <c r="CA4" s="21" t="str">
        <f>IFERROR(__xludf.DUMMYFUNCTION("""COMPUTED_VALUE"""),"SetMFPrefStrategyValues")</f>
        <v>SetMFPrefStrategyValues</v>
      </c>
      <c r="CB4" s="21" t="str">
        <f>IFERROR(__xludf.DUMMYFUNCTION("""COMPUTED_VALUE"""),"SetMFPrefGeneralRule")</f>
        <v>SetMFPrefGeneralRule</v>
      </c>
      <c r="CC4" s="21" t="str">
        <f>IFERROR(__xludf.DUMMYFUNCTION("""COMPUTED_VALUE"""),"SetMFPrefFundDistribution")</f>
        <v>SetMFPrefFundDistribution</v>
      </c>
      <c r="CD4" s="21" t="str">
        <f>IFERROR(__xludf.DUMMYFUNCTION("""COMPUTED_VALUE"""),"SetMFPreferencesDefaultRule")</f>
        <v>SetMFPreferencesDefaultRule</v>
      </c>
      <c r="CE4" s="21" t="str">
        <f>IFERROR(__xludf.DUMMYFUNCTION("""COMPUTED_VALUE"""),"SetMFPrefFundDefaultRule")</f>
        <v>SetMFPrefFundDefaultRule</v>
      </c>
      <c r="CF4" s="21" t="str">
        <f>IFERROR(__xludf.DUMMYFUNCTION("""COMPUTED_VALUE"""),"ClearPrefetchFilters")</f>
        <v>ClearPrefetchFilters</v>
      </c>
      <c r="CG4" s="21" t="str">
        <f>IFERROR(__xludf.DUMMYFUNCTION("""COMPUTED_VALUE"""),"ExpandCollapseAllUnallocated")</f>
        <v>ExpandCollapseAllUnallocated</v>
      </c>
      <c r="CH4" s="21" t="str">
        <f>IFERROR(__xludf.DUMMYFUNCTION("""COMPUTED_VALUE"""),"ExpandCollapseAllAllocated")</f>
        <v>ExpandCollapseAllAllocated</v>
      </c>
      <c r="CI4" s="21" t="str">
        <f>IFERROR(__xludf.DUMMYFUNCTION("""COMPUTED_VALUE"""),"GenerateCashTransaction")</f>
        <v>GenerateCashTransaction</v>
      </c>
      <c r="CJ4" s="21" t="str">
        <f>IFERROR(__xludf.DUMMYFUNCTION("""COMPUTED_VALUE"""),"SaveAllocation")</f>
        <v>SaveAllocation</v>
      </c>
      <c r="CK4" s="21" t="str">
        <f>IFERROR(__xludf.DUMMYFUNCTION("""COMPUTED_VALUE"""),"UnallocateWithOutSave")</f>
        <v>UnallocateWithOutSave</v>
      </c>
      <c r="CL4" s="21" t="str">
        <f>IFERROR(__xludf.DUMMYFUNCTION("""COMPUTED_VALUE"""),"EditUnallocatedGrid")</f>
        <v>EditUnallocatedGrid</v>
      </c>
      <c r="CM4" s="21" t="str">
        <f>IFERROR(__xludf.DUMMYFUNCTION("""COMPUTED_VALUE"""),"EditAllocatedGrid")</f>
        <v>EditAllocatedGrid</v>
      </c>
      <c r="CN4" s="21" t="str">
        <f>IFERROR(__xludf.DUMMYFUNCTION("""COMPUTED_VALUE"""),"SaveLayoutAllocatedGrid")</f>
        <v>SaveLayoutAllocatedGrid</v>
      </c>
      <c r="CO4" s="21" t="str">
        <f>IFERROR(__xludf.DUMMYFUNCTION("""COMPUTED_VALUE"""),"SaveLayoutUnallocatedGrid")</f>
        <v>SaveLayoutUnallocatedGrid</v>
      </c>
      <c r="CP4" s="21" t="str">
        <f>IFERROR(__xludf.DUMMYFUNCTION("""COMPUTED_VALUE"""),"SaveLayoutAllocationUI")</f>
        <v>SaveLayoutAllocationUI</v>
      </c>
      <c r="CQ4" s="21" t="str">
        <f>IFERROR(__xludf.DUMMYFUNCTION("""COMPUTED_VALUE"""),"ClearFiltersAllocatedGrid")</f>
        <v>ClearFiltersAllocatedGrid</v>
      </c>
      <c r="CR4" s="21" t="str">
        <f>IFERROR(__xludf.DUMMYFUNCTION("""COMPUTED_VALUE"""),"ClearFiltersUnallocatedGrid")</f>
        <v>ClearFiltersUnallocatedGrid</v>
      </c>
      <c r="CS4" s="21" t="str">
        <f>IFERROR(__xludf.DUMMYFUNCTION("""COMPUTED_VALUE"""),"VerifyLayoutAllocatedGrid")</f>
        <v>VerifyLayoutAllocatedGrid</v>
      </c>
      <c r="CT4" s="21" t="str">
        <f>IFERROR(__xludf.DUMMYFUNCTION("""COMPUTED_VALUE"""),"VerifyLayoutUnallocatedGrid")</f>
        <v>VerifyLayoutUnallocatedGrid</v>
      </c>
      <c r="CU4" s="21" t="str">
        <f>IFERROR(__xludf.DUMMYFUNCTION("""COMPUTED_VALUE"""),"CleanUp")</f>
        <v>CleanUp</v>
      </c>
      <c r="CV4" s="21" t="str">
        <f>IFERROR(__xludf.DUMMYFUNCTION("""COMPUTED_VALUE"""),"CheckAllocatedTaxlots")</f>
        <v>CheckAllocatedTaxlots</v>
      </c>
      <c r="CW4" s="21" t="str">
        <f>IFERROR(__xludf.DUMMYFUNCTION("""COMPUTED_VALUE"""),"CopyCalculatedPreferenceToolbar")</f>
        <v>CopyCalculatedPreferenceToolbar</v>
      </c>
      <c r="CX4" s="21" t="str">
        <f>IFERROR(__xludf.DUMMYFUNCTION("""COMPUTED_VALUE"""),"CloseOrder")</f>
        <v>CloseOrder</v>
      </c>
      <c r="CY4" s="21" t="str">
        <f>IFERROR(__xludf.DUMMYFUNCTION("""COMPUTED_VALUE"""),"DisableChecksideForAsset")</f>
        <v>DisableChecksideForAsset</v>
      </c>
      <c r="CZ4" s="21" t="str">
        <f>IFERROR(__xludf.DUMMYFUNCTION("""COMPUTED_VALUE"""),"DisableChecksideForAccount")</f>
        <v>DisableChecksideForAccount</v>
      </c>
      <c r="DA4" s="21" t="str">
        <f>IFERROR(__xludf.DUMMYFUNCTION("""COMPUTED_VALUE"""),"DisableChecksideForCounterParty")</f>
        <v>DisableChecksideForCounterParty</v>
      </c>
      <c r="DB4" s="21" t="str">
        <f>IFERROR(__xludf.DUMMYFUNCTION("""COMPUTED_VALUE"""),"DisableCheckside")</f>
        <v>DisableCheckside</v>
      </c>
      <c r="DC4" s="21" t="str">
        <f>IFERROR(__xludf.DUMMYFUNCTION("""COMPUTED_VALUE"""),"ApplyMasterFundFilter")</f>
        <v>ApplyMasterFundFilter</v>
      </c>
      <c r="DD4" s="21" t="str">
        <f>IFERROR(__xludf.DUMMYFUNCTION("""COMPUTED_VALUE"""),"ShowMasterFundOnTT")</f>
        <v>ShowMasterFundOnTT</v>
      </c>
      <c r="DE4" s="21" t="str">
        <f>IFERROR(__xludf.DUMMYFUNCTION("""COMPUTED_VALUE"""),"ShowMasterFundAsClient")</f>
        <v>ShowMasterFundAsClient</v>
      </c>
      <c r="DF4" s="21" t="str">
        <f>IFERROR(__xludf.DUMMYFUNCTION("""COMPUTED_VALUE"""),"SetBrokerAccountMapping")</f>
        <v>SetBrokerAccountMapping</v>
      </c>
      <c r="DG4" s="21" t="str">
        <f>IFERROR(__xludf.DUMMYFUNCTION("""COMPUTED_VALUE"""),"EditUnallocatedGridWPF")</f>
        <v>EditUnallocatedGridWPF</v>
      </c>
      <c r="DH4" s="21" t="str">
        <f>IFERROR(__xludf.DUMMYFUNCTION("""COMPUTED_VALUE"""),"EditAllocatedGridWPF")</f>
        <v>EditAllocatedGridWPF</v>
      </c>
      <c r="DI4" s="21" t="str">
        <f>IFERROR(__xludf.DUMMYFUNCTION("""COMPUTED_VALUE"""),"EditAllocatedGridTaxlot")</f>
        <v>EditAllocatedGridTaxlot</v>
      </c>
      <c r="DJ4" s="21" t="str">
        <f>IFERROR(__xludf.DUMMYFUNCTION("""COMPUTED_VALUE"""),"ExpandCollapseAllocatedGrid")</f>
        <v>ExpandCollapseAllocatedGrid</v>
      </c>
      <c r="DK4" s="21" t="str">
        <f>IFERROR(__xludf.DUMMYFUNCTION("""COMPUTED_VALUE"""),"ExpandCollapseUnallocatedGrid")</f>
        <v>ExpandCollapseUnallocatedGrid</v>
      </c>
      <c r="DL4" s="21" t="str">
        <f>IFERROR(__xludf.DUMMYFUNCTION("""COMPUTED_VALUE"""),"SetTradeAttributePreferences")</f>
        <v>SetTradeAttributePreferences</v>
      </c>
      <c r="DM4" s="21" t="str">
        <f>IFERROR(__xludf.DUMMYFUNCTION("""COMPUTED_VALUE"""),"EnterCustomAllocatePreference")</f>
        <v>EnterCustomAllocatePreference</v>
      </c>
      <c r="DN4" s="21" t="str">
        <f>IFERROR(__xludf.DUMMYFUNCTION("""COMPUTED_VALUE"""),"SetAutoGroupingPreferences")</f>
        <v>SetAutoGroupingPreferences</v>
      </c>
      <c r="DO4" s="21" t="str">
        <f>IFERROR(__xludf.DUMMYFUNCTION("""COMPUTED_VALUE"""),"SetAutoGroupingAccount")</f>
        <v>SetAutoGroupingAccount</v>
      </c>
      <c r="DP4" s="21" t="str">
        <f>IFERROR(__xludf.DUMMYFUNCTION("""COMPUTED_VALUE"""),"SetAvgPriceRounding")</f>
        <v>SetAvgPriceRounding</v>
      </c>
      <c r="DQ4" s="21" t="str">
        <f>IFERROR(__xludf.DUMMYFUNCTION("""COMPUTED_VALUE"""),"IsAllocationOpen")</f>
        <v>IsAllocationOpen</v>
      </c>
      <c r="DR4" s="21" t="str">
        <f>IFERROR(__xludf.DUMMYFUNCTION("""COMPUTED_VALUE"""),"AllocationAuditTrail")</f>
        <v>AllocationAuditTrail</v>
      </c>
      <c r="DS4" s="21" t="str">
        <f>IFERROR(__xludf.DUMMYFUNCTION("""COMPUTED_VALUE"""),"GetAuditTrailData")</f>
        <v>GetAuditTrailData</v>
      </c>
      <c r="DT4" s="21" t="str">
        <f>IFERROR(__xludf.DUMMYFUNCTION("""COMPUTED_VALUE"""),"CheckAuditTrailData")</f>
        <v>CheckAuditTrailData</v>
      </c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IFERROR(__xludf.DUMMYFUNCTION("""COMPUTED_VALUE"""),"Accrual Basis")</f>
        <v>Accrual Basis</v>
      </c>
      <c r="C5" s="23" t="str">
        <f>IFERROR(__xludf.DUMMYFUNCTION("""COMPUTED_VALUE"""),"Accrued Interest")</f>
        <v>Accrued Interest</v>
      </c>
      <c r="D5" s="23" t="str">
        <f>IFERROR(__xludf.DUMMYFUNCTION("""COMPUTED_VALUE"""),"Allocated Qty")</f>
        <v>Allocated Qty</v>
      </c>
      <c r="E5" s="23" t="str">
        <f>IFERROR(__xludf.DUMMYFUNCTION("""COMPUTED_VALUE"""),"Allocation Scheme Name")</f>
        <v>Allocation Scheme Name</v>
      </c>
      <c r="F5" s="24" t="str">
        <f>IFERROR(__xludf.DUMMYFUNCTION("""COMPUTED_VALUE"""),"Asset Category")</f>
        <v>Asset Category</v>
      </c>
      <c r="G5" s="23" t="str">
        <f>IFERROR(__xludf.DUMMYFUNCTION("""COMPUTED_VALUE"""),"AUEC Fee1")</f>
        <v>AUEC Fee1</v>
      </c>
      <c r="H5" s="23" t="str">
        <f>IFERROR(__xludf.DUMMYFUNCTION("""COMPUTED_VALUE"""),"AUEC Fee2")</f>
        <v>AUEC Fee2</v>
      </c>
      <c r="I5" s="23" t="str">
        <f>IFERROR(__xludf.DUMMYFUNCTION("""COMPUTED_VALUE"""),"AUECID")</f>
        <v>AUECID</v>
      </c>
      <c r="J5" s="23" t="str">
        <f>IFERROR(__xludf.DUMMYFUNCTION("""COMPUTED_VALUE"""),"Avg Price(Base)")</f>
        <v>Avg Price(Base)</v>
      </c>
      <c r="K5" s="23" t="str">
        <f>IFERROR(__xludf.DUMMYFUNCTION("""COMPUTED_VALUE"""),"Avg Price(Local)")</f>
        <v>Avg Price(Local)</v>
      </c>
      <c r="L5" s="23" t="str">
        <f>IFERROR(__xludf.DUMMYFUNCTION("""COMPUTED_VALUE"""),"Bloomberg")</f>
        <v>Bloomberg</v>
      </c>
      <c r="M5" s="23" t="str">
        <f>IFERROR(__xludf.DUMMYFUNCTION("""COMPUTED_VALUE"""),"Bond Type")</f>
        <v>Bond Type</v>
      </c>
      <c r="N5" s="23" t="str">
        <f>IFERROR(__xludf.DUMMYFUNCTION("""COMPUTED_VALUE"""),"Broker")</f>
        <v>Broker</v>
      </c>
      <c r="O5" s="23" t="str">
        <f>IFERROR(__xludf.DUMMYFUNCTION("""COMPUTED_VALUE"""),"Change Comment")</f>
        <v>Change Comment</v>
      </c>
      <c r="P5" s="23" t="str">
        <f>IFERROR(__xludf.DUMMYFUNCTION("""COMPUTED_VALUE"""),"Change Type")</f>
        <v>Change Type</v>
      </c>
      <c r="Q5" s="23" t="str">
        <f>IFERROR(__xludf.DUMMYFUNCTION("""COMPUTED_VALUE"""),"Clearing Broker Fee")</f>
        <v>Clearing Broker Fee</v>
      </c>
      <c r="R5" s="23" t="str">
        <f>IFERROR(__xludf.DUMMYFUNCTION("""COMPUTED_VALUE"""),"Closing Method")</f>
        <v>Closing Method</v>
      </c>
      <c r="S5" s="23" t="str">
        <f>IFERROR(__xludf.DUMMYFUNCTION("""COMPUTED_VALUE"""),"Closing Status")</f>
        <v>Closing Status</v>
      </c>
      <c r="T5" s="25" t="str">
        <f>IFERROR(__xludf.DUMMYFUNCTION("""COMPUTED_VALUE"""),"Commission")</f>
        <v>Commission</v>
      </c>
      <c r="U5" s="25" t="str">
        <f>IFERROR(__xludf.DUMMYFUNCTION("""COMPUTED_VALUE"""),"Commission Per Share")</f>
        <v>Commission Per Share</v>
      </c>
      <c r="V5" s="25" t="str">
        <f>IFERROR(__xludf.DUMMYFUNCTION("""COMPUTED_VALUE"""),"Company")</f>
        <v>Company</v>
      </c>
      <c r="W5" s="25" t="str">
        <f>IFERROR(__xludf.DUMMYFUNCTION("""COMPUTED_VALUE"""),"Contract Multiplier")</f>
        <v>Contract Multiplier</v>
      </c>
      <c r="X5" s="25" t="str">
        <f>IFERROR(__xludf.DUMMYFUNCTION("""COMPUTED_VALUE"""),"Coupon Rate")</f>
        <v>Coupon Rate</v>
      </c>
      <c r="Y5" s="25" t="str">
        <f>IFERROR(__xludf.DUMMYFUNCTION("""COMPUTED_VALUE"""),"Cum Qty For Sub Order")</f>
        <v>Cum Qty For Sub Order</v>
      </c>
      <c r="Z5" s="25" t="str">
        <f>IFERROR(__xludf.DUMMYFUNCTION("""COMPUTED_VALUE"""),"Currency")</f>
        <v>Currency</v>
      </c>
      <c r="AA5" s="25" t="str">
        <f>IFERROR(__xludf.DUMMYFUNCTION("""COMPUTED_VALUE"""),"Cusip Symbol")</f>
        <v>Cusip Symbol</v>
      </c>
      <c r="AB5" s="25" t="str">
        <f>IFERROR(__xludf.DUMMYFUNCTION("""COMPUTED_VALUE"""),"Delta")</f>
        <v>Delta</v>
      </c>
      <c r="AC5" s="25" t="str">
        <f>IFERROR(__xludf.DUMMYFUNCTION("""COMPUTED_VALUE"""),"Description")</f>
        <v>Description</v>
      </c>
      <c r="AD5" s="25" t="str">
        <f>IFERROR(__xludf.DUMMYFUNCTION("""COMPUTED_VALUE"""),"Exchange")</f>
        <v>Exchange</v>
      </c>
      <c r="AE5" s="25" t="str">
        <f>IFERROR(__xludf.DUMMYFUNCTION("""COMPUTED_VALUE"""),"Executed Qty")</f>
        <v>Executed Qty</v>
      </c>
      <c r="AF5" s="25" t="str">
        <f>IFERROR(__xludf.DUMMYFUNCTION("""COMPUTED_VALUE"""),"Execution Time")</f>
        <v>Execution Time</v>
      </c>
      <c r="AG5" s="25" t="str">
        <f>IFERROR(__xludf.DUMMYFUNCTION("""COMPUTED_VALUE"""),"FX Conversion Operator")</f>
        <v>FX Conversion Operator</v>
      </c>
      <c r="AH5" s="25" t="str">
        <f>IFERROR(__xludf.DUMMYFUNCTION("""COMPUTED_VALUE"""),"FX Rate")</f>
        <v>FX Rate</v>
      </c>
      <c r="AI5" s="25" t="str">
        <f>IFERROR(__xludf.DUMMYFUNCTION("""COMPUTED_VALUE"""),"Group Status")</f>
        <v>Group Status</v>
      </c>
      <c r="AJ5" s="25" t="str">
        <f>IFERROR(__xludf.DUMMYFUNCTION("""COMPUTED_VALUE"""),"GroupID")</f>
        <v>GroupID</v>
      </c>
      <c r="AK5" s="25" t="str">
        <f>IFERROR(__xludf.DUMMYFUNCTION("""COMPUTED_VALUE"""),"IDCOSymbol")</f>
        <v>IDCOSymbol</v>
      </c>
      <c r="AL5" s="25" t="str">
        <f>IFERROR(__xludf.DUMMYFUNCTION("""COMPUTED_VALUE"""),"Import File Name")</f>
        <v>Import File Name</v>
      </c>
      <c r="AM5" s="25" t="str">
        <f>IFERROR(__xludf.DUMMYFUNCTION("""COMPUTED_VALUE"""),"Internal Comments")</f>
        <v>Internal Comments</v>
      </c>
      <c r="AN5" s="25" t="str">
        <f>IFERROR(__xludf.DUMMYFUNCTION("""COMPUTED_VALUE"""),"IsAnotherTaxlotAttributesUpdated")</f>
        <v>IsAnotherTaxlotAttributesUpdated</v>
      </c>
      <c r="AO5" s="25" t="str">
        <f>IFERROR(__xludf.DUMMYFUNCTION("""COMPUTED_VALUE"""),"ISIN")</f>
        <v>ISIN</v>
      </c>
      <c r="AP5" s="25" t="str">
        <f>IFERROR(__xludf.DUMMYFUNCTION("""COMPUTED_VALUE"""),"IsManual Group")</f>
        <v>IsManual Group</v>
      </c>
      <c r="AQ5" s="25" t="str">
        <f>IFERROR(__xludf.DUMMYFUNCTION("""COMPUTED_VALUE"""),"ISNDF")</f>
        <v>ISNDF</v>
      </c>
      <c r="AR5" s="25" t="str">
        <f>IFERROR(__xludf.DUMMYFUNCTION("""COMPUTED_VALUE"""),"IsPreAllocated")</f>
        <v>IsPreAllocated</v>
      </c>
      <c r="AS5" s="25" t="str">
        <f>IFERROR(__xludf.DUMMYFUNCTION("""COMPUTED_VALUE"""),"M2MProfitLoss")</f>
        <v>M2MProfitLoss</v>
      </c>
      <c r="AT5" s="25" t="str">
        <f>IFERROR(__xludf.DUMMYFUNCTION("""COMPUTED_VALUE"""),"Net Amount( Base)")</f>
        <v>Net Amount( Base)</v>
      </c>
      <c r="AU5" s="25" t="str">
        <f>IFERROR(__xludf.DUMMYFUNCTION("""COMPUTED_VALUE"""),"Net Amount( Local)")</f>
        <v>Net Amount( Local)</v>
      </c>
      <c r="AV5" s="25" t="str">
        <f>IFERROR(__xludf.DUMMYFUNCTION("""COMPUTED_VALUE"""),"Nirvana Process Date")</f>
        <v>Nirvana Process Date</v>
      </c>
      <c r="AW5" s="25" t="str">
        <f>IFERROR(__xludf.DUMMYFUNCTION("""COMPUTED_VALUE"""),"OCC Fee")</f>
        <v>OCC Fee</v>
      </c>
      <c r="AX5" s="25" t="str">
        <f>IFERROR(__xludf.DUMMYFUNCTION("""COMPUTED_VALUE"""),"Option Premium Adjustment")</f>
        <v>Option Premium Adjustment</v>
      </c>
      <c r="AY5" s="25" t="str">
        <f>IFERROR(__xludf.DUMMYFUNCTION("""COMPUTED_VALUE"""),"Order Type")</f>
        <v>Order Type</v>
      </c>
      <c r="AZ5" s="25" t="str">
        <f>IFERROR(__xludf.DUMMYFUNCTION("""COMPUTED_VALUE"""),"ORF Fee")</f>
        <v>ORF Fee</v>
      </c>
      <c r="BA5" s="25" t="str">
        <f>IFERROR(__xludf.DUMMYFUNCTION("""COMPUTED_VALUE"""),"Original Purchase Date")</f>
        <v>Original Purchase Date</v>
      </c>
      <c r="BB5" s="25" t="str">
        <f>IFERROR(__xludf.DUMMYFUNCTION("""COMPUTED_VALUE"""),"OSISSymbol")</f>
        <v>OSISSymbol</v>
      </c>
      <c r="BC5" s="25" t="str">
        <f>IFERROR(__xludf.DUMMYFUNCTION("""COMPUTED_VALUE"""),"Other Broker Fees")</f>
        <v>Other Broker Fees</v>
      </c>
      <c r="BD5" s="25" t="str">
        <f>IFERROR(__xludf.DUMMYFUNCTION("""COMPUTED_VALUE"""),"Prana Msg Type")</f>
        <v>Prana Msg Type</v>
      </c>
      <c r="BE5" s="25" t="str">
        <f>IFERROR(__xludf.DUMMYFUNCTION("""COMPUTED_VALUE"""),"Principal Amount( Base)")</f>
        <v>Principal Amount( Base)</v>
      </c>
      <c r="BF5" s="25" t="str">
        <f>IFERROR(__xludf.DUMMYFUNCTION("""COMPUTED_VALUE"""),"Principal Amount( Local)")</f>
        <v>Principal Amount( Local)</v>
      </c>
      <c r="BG5" s="25" t="str">
        <f>IFERROR(__xludf.DUMMYFUNCTION("""COMPUTED_VALUE"""),"Process Date")</f>
        <v>Process Date</v>
      </c>
      <c r="BH5" s="25" t="str">
        <f>IFERROR(__xludf.DUMMYFUNCTION("""COMPUTED_VALUE"""),"Proxy Symbol")</f>
        <v>Proxy Symbol</v>
      </c>
      <c r="BI5" s="25" t="str">
        <f>IFERROR(__xludf.DUMMYFUNCTION("""COMPUTED_VALUE"""),"Put Or Call")</f>
        <v>Put Or Call</v>
      </c>
      <c r="BJ5" s="25" t="str">
        <f>IFERROR(__xludf.DUMMYFUNCTION("""COMPUTED_VALUE"""),"Quantity")</f>
        <v>Quantity</v>
      </c>
      <c r="BK5" s="25" t="str">
        <f>IFERROR(__xludf.DUMMYFUNCTION("""COMPUTED_VALUE"""),"SEC Fee")</f>
        <v>SEC Fee</v>
      </c>
      <c r="BL5" s="25" t="str">
        <f>IFERROR(__xludf.DUMMYFUNCTION("""COMPUTED_VALUE"""),"Sedol Symbol")</f>
        <v>Sedol Symbol</v>
      </c>
      <c r="BM5" s="25" t="str">
        <f>IFERROR(__xludf.DUMMYFUNCTION("""COMPUTED_VALUE"""),"Settlement Currency")</f>
        <v>Settlement Currency</v>
      </c>
      <c r="BN5" s="25" t="str">
        <f>IFERROR(__xludf.DUMMYFUNCTION("""COMPUTED_VALUE"""),"Settlement Date")</f>
        <v>Settlement Date</v>
      </c>
      <c r="BO5" s="25" t="str">
        <f>IFERROR(__xludf.DUMMYFUNCTION("""COMPUTED_VALUE"""),"Side")</f>
        <v>Side</v>
      </c>
      <c r="BP5" s="25" t="str">
        <f>IFERROR(__xludf.DUMMYFUNCTION("""COMPUTED_VALUE"""),"Soft Commission")</f>
        <v>Soft Commission</v>
      </c>
      <c r="BQ5" s="25" t="str">
        <f>IFERROR(__xludf.DUMMYFUNCTION("""COMPUTED_VALUE"""),"Soft Commission Per Share")</f>
        <v>Soft Commission Per Share</v>
      </c>
      <c r="BR5" s="25" t="str">
        <f>IFERROR(__xludf.DUMMYFUNCTION("""COMPUTED_VALUE"""),"Stamp Duty")</f>
        <v>Stamp Duty</v>
      </c>
      <c r="BS5" s="25" t="str">
        <f>IFERROR(__xludf.DUMMYFUNCTION("""COMPUTED_VALUE"""),"Symbol")</f>
        <v>Symbol</v>
      </c>
      <c r="BT5" s="25" t="str">
        <f>IFERROR(__xludf.DUMMYFUNCTION("""COMPUTED_VALUE"""),"Tax On Commissions")</f>
        <v>Tax On Commissions</v>
      </c>
      <c r="BU5" s="25" t="str">
        <f>IFERROR(__xludf.DUMMYFUNCTION("""COMPUTED_VALUE"""),"Total Commission")</f>
        <v>Total Commission</v>
      </c>
      <c r="BV5" s="25" t="str">
        <f>IFERROR(__xludf.DUMMYFUNCTION("""COMPUTED_VALUE"""),"Total Commission And Fee")</f>
        <v>Total Commission And Fee</v>
      </c>
      <c r="BW5" s="25" t="str">
        <f>IFERROR(__xludf.DUMMYFUNCTION("""COMPUTED_VALUE"""),"Total Commission Per Share")</f>
        <v>Total Commission Per Share</v>
      </c>
      <c r="BX5" s="25" t="str">
        <f>IFERROR(__xludf.DUMMYFUNCTION("""COMPUTED_VALUE"""),"Trade Attribute 1")</f>
        <v>Trade Attribute 1</v>
      </c>
      <c r="BY5" s="25" t="str">
        <f>IFERROR(__xludf.DUMMYFUNCTION("""COMPUTED_VALUE"""),"Trade Attribute 2")</f>
        <v>Trade Attribute 2</v>
      </c>
      <c r="BZ5" s="25" t="str">
        <f>IFERROR(__xludf.DUMMYFUNCTION("""COMPUTED_VALUE"""),"Trade Attribute 3")</f>
        <v>Trade Attribute 3</v>
      </c>
      <c r="CA5" s="25" t="str">
        <f>IFERROR(__xludf.DUMMYFUNCTION("""COMPUTED_VALUE"""),"Trade Attribute 4")</f>
        <v>Trade Attribute 4</v>
      </c>
      <c r="CB5" s="25" t="str">
        <f>IFERROR(__xludf.DUMMYFUNCTION("""COMPUTED_VALUE"""),"Trade Attribute 5")</f>
        <v>Trade Attribute 5</v>
      </c>
      <c r="CC5" s="25" t="str">
        <f>IFERROR(__xludf.DUMMYFUNCTION("""COMPUTED_VALUE"""),"Trade Attribute 6")</f>
        <v>Trade Attribute 6</v>
      </c>
      <c r="CD5" s="25" t="str">
        <f>IFERROR(__xludf.DUMMYFUNCTION("""COMPUTED_VALUE"""),"Trade Date")</f>
        <v>Trade Date</v>
      </c>
      <c r="CE5" s="25" t="str">
        <f>IFERROR(__xludf.DUMMYFUNCTION("""COMPUTED_VALUE"""),"Trading Account")</f>
        <v>Trading Account</v>
      </c>
      <c r="CF5" s="25" t="str">
        <f>IFERROR(__xludf.DUMMYFUNCTION("""COMPUTED_VALUE"""),"Transaction Levy")</f>
        <v>Transaction Levy</v>
      </c>
      <c r="CG5" s="25" t="str">
        <f>IFERROR(__xludf.DUMMYFUNCTION("""COMPUTED_VALUE"""),"Transaction Source")</f>
        <v>Transaction Source</v>
      </c>
      <c r="CH5" s="25" t="str">
        <f>IFERROR(__xludf.DUMMYFUNCTION("""COMPUTED_VALUE"""),"Transaction Type")</f>
        <v>Transaction Type</v>
      </c>
      <c r="CI5" s="25" t="str">
        <f>IFERROR(__xludf.DUMMYFUNCTION("""COMPUTED_VALUE"""),"UnAllocatedQty")</f>
        <v>UnAllocatedQty</v>
      </c>
      <c r="CJ5" s="25" t="str">
        <f>IFERROR(__xludf.DUMMYFUNCTION("""COMPUTED_VALUE"""),"Underlying")</f>
        <v>Underlying</v>
      </c>
      <c r="CK5" s="25" t="str">
        <f>IFERROR(__xludf.DUMMYFUNCTION("""COMPUTED_VALUE"""),"Underlying Delta")</f>
        <v>Underlying Delta</v>
      </c>
      <c r="CL5" s="25" t="str">
        <f>IFERROR(__xludf.DUMMYFUNCTION("""COMPUTED_VALUE"""),"Underlying Symbol")</f>
        <v>Underlying Symbol</v>
      </c>
      <c r="CM5" s="25" t="str">
        <f>IFERROR(__xludf.DUMMYFUNCTION("""COMPUTED_VALUE"""),"User")</f>
        <v>User</v>
      </c>
      <c r="CN5" s="25" t="str">
        <f>IFERROR(__xludf.DUMMYFUNCTION("""COMPUTED_VALUE"""),"Venue")</f>
        <v>Venue</v>
      </c>
      <c r="CO5" s="25" t="str">
        <f>IFERROR(__xludf.DUMMYFUNCTION("""COMPUTED_VALUE"""),"Closing Date")</f>
        <v>Closing Date</v>
      </c>
      <c r="CP5" s="25" t="str">
        <f>IFERROR(__xludf.DUMMYFUNCTION("""COMPUTED_VALUE"""),"Expiration Date")</f>
        <v>Expiration Date</v>
      </c>
      <c r="CQ5" s="25" t="str">
        <f>IFERROR(__xludf.DUMMYFUNCTION("""COMPUTED_VALUE"""),"Master Fund")</f>
        <v>Master Fund</v>
      </c>
      <c r="CR5" s="25" t="str">
        <f>IFERROR(__xludf.DUMMYFUNCTION("""COMPUTED_VALUE"""),"isRowCountCheck")</f>
        <v>isRowCountCheck</v>
      </c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</row>
    <row r="6" ht="15.75" customHeight="1">
      <c r="A6" s="8"/>
      <c r="B6" s="9"/>
      <c r="D6" s="9"/>
      <c r="F6" s="9"/>
      <c r="H6" s="9"/>
      <c r="J6" s="26"/>
      <c r="K6" s="9">
        <v>50.0</v>
      </c>
      <c r="T6" s="9"/>
      <c r="V6" s="30"/>
      <c r="AE6" s="9">
        <v>100.0</v>
      </c>
      <c r="AY6" s="9" t="s">
        <v>17</v>
      </c>
      <c r="BJ6" s="9">
        <v>1000.0</v>
      </c>
      <c r="BO6" s="9" t="s">
        <v>14</v>
      </c>
      <c r="BS6" s="9" t="s">
        <v>13</v>
      </c>
    </row>
    <row r="7" ht="15.75" customHeight="1">
      <c r="A7" s="8"/>
      <c r="B7" s="13"/>
      <c r="C7" s="8"/>
      <c r="D7" s="8"/>
      <c r="E7" s="8"/>
      <c r="F7" s="8"/>
      <c r="G7" s="8"/>
      <c r="H7" s="8"/>
      <c r="I7" s="8"/>
      <c r="J7" s="27"/>
      <c r="K7" s="13">
        <v>50.0</v>
      </c>
      <c r="L7" s="8"/>
      <c r="M7" s="8"/>
      <c r="N7" s="8"/>
      <c r="O7" s="8"/>
      <c r="V7" s="30"/>
      <c r="AE7" s="13">
        <v>100.0</v>
      </c>
      <c r="AY7" s="13" t="s">
        <v>20</v>
      </c>
      <c r="BJ7" s="13">
        <v>100.0</v>
      </c>
      <c r="BO7" s="13" t="s">
        <v>18</v>
      </c>
      <c r="BS7" s="13" t="s">
        <v>13</v>
      </c>
    </row>
    <row r="8" ht="15.75" customHeight="1">
      <c r="A8" s="8"/>
      <c r="B8" s="34"/>
      <c r="C8" s="8"/>
      <c r="D8" s="8"/>
      <c r="E8" s="8"/>
      <c r="F8" s="34"/>
      <c r="G8" s="8"/>
      <c r="H8" s="8"/>
      <c r="I8" s="8"/>
      <c r="J8" s="27"/>
      <c r="K8" s="13">
        <v>50.0</v>
      </c>
      <c r="L8" s="8"/>
      <c r="M8" s="8"/>
      <c r="N8" s="8"/>
      <c r="O8" s="8"/>
      <c r="V8" s="30"/>
      <c r="AE8" s="13">
        <v>100.0</v>
      </c>
      <c r="AY8" s="13" t="s">
        <v>22</v>
      </c>
      <c r="BJ8" s="13">
        <v>100.0</v>
      </c>
      <c r="BO8" s="13" t="s">
        <v>21</v>
      </c>
      <c r="BS8" s="13" t="s">
        <v>13</v>
      </c>
    </row>
    <row r="9" ht="15.75" customHeight="1">
      <c r="A9" s="8"/>
      <c r="B9" s="13"/>
      <c r="C9" s="8"/>
      <c r="D9" s="8"/>
      <c r="E9" s="8"/>
      <c r="F9" s="8"/>
      <c r="G9" s="8"/>
      <c r="H9" s="8"/>
      <c r="I9" s="8"/>
      <c r="J9" s="27"/>
      <c r="K9" s="13"/>
      <c r="L9" s="8"/>
      <c r="M9" s="8"/>
      <c r="N9" s="8"/>
      <c r="O9" s="8"/>
      <c r="V9" s="30"/>
      <c r="AG9" s="13"/>
      <c r="BB9" s="13"/>
      <c r="BM9" s="13"/>
      <c r="BU9" s="13"/>
      <c r="BY9" s="11"/>
    </row>
    <row r="10" ht="15.75" customHeight="1">
      <c r="A10" s="8"/>
      <c r="B10" s="13"/>
      <c r="C10" s="8"/>
      <c r="D10" s="8"/>
      <c r="E10" s="8"/>
      <c r="F10" s="8"/>
      <c r="G10" s="8"/>
      <c r="H10" s="8"/>
      <c r="I10" s="8"/>
      <c r="J10" s="27"/>
      <c r="K10" s="13"/>
      <c r="L10" s="8"/>
      <c r="M10" s="8"/>
      <c r="N10" s="8"/>
      <c r="O10" s="8"/>
      <c r="V10" s="30"/>
      <c r="AG10" s="13"/>
      <c r="BB10" s="13"/>
      <c r="BM10" s="13"/>
      <c r="BU10" s="13"/>
      <c r="BY10" s="11"/>
    </row>
    <row r="11" ht="15.75" customHeight="1">
      <c r="A11" s="8"/>
      <c r="B11" s="13"/>
      <c r="C11" s="8"/>
      <c r="D11" s="8"/>
      <c r="E11" s="8"/>
      <c r="F11" s="8"/>
      <c r="G11" s="8"/>
      <c r="H11" s="8"/>
      <c r="I11" s="8"/>
      <c r="J11" s="27"/>
      <c r="K11" s="13"/>
      <c r="L11" s="8"/>
      <c r="M11" s="8"/>
      <c r="N11" s="8"/>
      <c r="O11" s="8"/>
      <c r="V11" s="30"/>
      <c r="AG11" s="13"/>
      <c r="BB11" s="13"/>
      <c r="BM11" s="13"/>
      <c r="BU11" s="13"/>
      <c r="BY11" s="11"/>
    </row>
    <row r="12" ht="15.75" customHeight="1">
      <c r="A12" s="8"/>
      <c r="B12" s="13"/>
      <c r="C12" s="8"/>
      <c r="D12" s="8"/>
      <c r="E12" s="8"/>
      <c r="F12" s="8"/>
      <c r="G12" s="8"/>
      <c r="H12" s="8"/>
      <c r="I12" s="8"/>
      <c r="J12" s="27"/>
      <c r="K12" s="13"/>
      <c r="L12" s="8"/>
      <c r="M12" s="8"/>
      <c r="N12" s="8"/>
      <c r="O12" s="8"/>
      <c r="V12" s="30"/>
      <c r="AG12" s="13"/>
      <c r="BB12" s="13"/>
      <c r="BM12" s="13"/>
      <c r="BU12" s="13"/>
      <c r="BY12" s="11"/>
    </row>
    <row r="13" ht="15.75" customHeight="1">
      <c r="A13" s="8"/>
      <c r="B13" s="13"/>
      <c r="C13" s="8"/>
      <c r="D13" s="8"/>
      <c r="E13" s="8"/>
      <c r="F13" s="8"/>
      <c r="G13" s="8"/>
      <c r="H13" s="8"/>
      <c r="I13" s="8"/>
      <c r="J13" s="27"/>
      <c r="K13" s="13"/>
      <c r="L13" s="8"/>
      <c r="M13" s="8"/>
      <c r="N13" s="8"/>
      <c r="O13" s="8"/>
      <c r="V13" s="30"/>
      <c r="AG13" s="13"/>
      <c r="BB13" s="13"/>
      <c r="BM13" s="13"/>
      <c r="BU13" s="13"/>
      <c r="BY13" s="13"/>
    </row>
    <row r="14" ht="15.75" customHeight="1">
      <c r="A14" s="8"/>
      <c r="B14" s="13"/>
      <c r="C14" s="8"/>
      <c r="D14" s="8"/>
      <c r="E14" s="8"/>
      <c r="F14" s="8"/>
      <c r="G14" s="8"/>
      <c r="H14" s="8"/>
      <c r="I14" s="8"/>
      <c r="J14" s="27"/>
      <c r="K14" s="13"/>
      <c r="L14" s="8"/>
      <c r="M14" s="8"/>
      <c r="N14" s="8"/>
      <c r="O14" s="8"/>
      <c r="V14" s="30"/>
      <c r="AG14" s="13"/>
      <c r="BB14" s="13"/>
      <c r="BM14" s="13"/>
      <c r="BU14" s="13"/>
      <c r="BY14" s="13"/>
    </row>
    <row r="15" ht="15.75" customHeight="1">
      <c r="A15" s="8"/>
      <c r="B15" s="13"/>
      <c r="C15" s="8"/>
      <c r="D15" s="8"/>
      <c r="E15" s="8"/>
      <c r="F15" s="8"/>
      <c r="G15" s="8"/>
      <c r="H15" s="8"/>
      <c r="I15" s="8"/>
      <c r="J15" s="27"/>
      <c r="K15" s="13"/>
      <c r="L15" s="8"/>
      <c r="M15" s="8"/>
      <c r="N15" s="8"/>
      <c r="O15" s="8"/>
      <c r="V15" s="30"/>
      <c r="AG15" s="13"/>
      <c r="BB15" s="13"/>
      <c r="BM15" s="13"/>
      <c r="BU15" s="13"/>
      <c r="BY15" s="13"/>
    </row>
    <row r="16" ht="15.75" customHeight="1">
      <c r="A16" s="8"/>
      <c r="B16" s="13"/>
      <c r="C16" s="8"/>
      <c r="D16" s="8"/>
      <c r="E16" s="8"/>
      <c r="F16" s="8"/>
      <c r="G16" s="8"/>
      <c r="H16" s="8"/>
      <c r="I16" s="8"/>
      <c r="J16" s="27"/>
      <c r="K16" s="13"/>
      <c r="L16" s="8"/>
      <c r="M16" s="8"/>
      <c r="N16" s="8"/>
      <c r="O16" s="8"/>
      <c r="V16" s="30"/>
      <c r="AG16" s="13"/>
      <c r="BB16" s="13"/>
      <c r="BM16" s="13"/>
      <c r="BU16" s="13"/>
      <c r="BY16" s="13"/>
    </row>
    <row r="17" ht="15.75" customHeight="1">
      <c r="A17" s="8"/>
      <c r="B17" s="13"/>
      <c r="C17" s="8"/>
      <c r="D17" s="8"/>
      <c r="E17" s="8"/>
      <c r="F17" s="8"/>
      <c r="G17" s="8"/>
      <c r="H17" s="8"/>
      <c r="I17" s="8"/>
      <c r="J17" s="27"/>
      <c r="K17" s="13"/>
      <c r="L17" s="8"/>
      <c r="M17" s="8"/>
      <c r="N17" s="8"/>
      <c r="O17" s="8"/>
      <c r="V17" s="30"/>
      <c r="AG17" s="13"/>
      <c r="BB17" s="13"/>
      <c r="BM17" s="13"/>
      <c r="BU17" s="13"/>
      <c r="BY17" s="13"/>
    </row>
    <row r="18" ht="15.75" customHeight="1">
      <c r="A18" s="8"/>
      <c r="B18" s="13"/>
      <c r="C18" s="8"/>
      <c r="D18" s="8"/>
      <c r="E18" s="8"/>
      <c r="F18" s="8"/>
      <c r="G18" s="8"/>
      <c r="H18" s="8"/>
      <c r="I18" s="8"/>
      <c r="J18" s="27"/>
      <c r="K18" s="13"/>
      <c r="L18" s="8"/>
      <c r="M18" s="8"/>
      <c r="N18" s="8"/>
      <c r="O18" s="8"/>
      <c r="V18" s="30"/>
      <c r="AG18" s="13"/>
      <c r="BB18" s="13"/>
      <c r="BM18" s="13"/>
      <c r="BU18" s="13"/>
      <c r="BY18" s="13"/>
    </row>
    <row r="19" ht="15.75" customHeight="1">
      <c r="A19" s="8"/>
      <c r="B19" s="13"/>
      <c r="C19" s="8"/>
      <c r="D19" s="8"/>
      <c r="E19" s="8"/>
      <c r="F19" s="8"/>
      <c r="G19" s="8"/>
      <c r="H19" s="8"/>
      <c r="I19" s="8"/>
      <c r="J19" s="27"/>
      <c r="K19" s="13"/>
      <c r="L19" s="8"/>
      <c r="M19" s="8"/>
      <c r="N19" s="8"/>
      <c r="O19" s="8"/>
      <c r="V19" s="30"/>
      <c r="AG19" s="13"/>
      <c r="BB19" s="13"/>
      <c r="BM19" s="13"/>
      <c r="BU19" s="13"/>
      <c r="BY19" s="13"/>
    </row>
    <row r="20" ht="15.75" customHeight="1">
      <c r="A20" s="8"/>
      <c r="B20" s="13"/>
      <c r="C20" s="8"/>
      <c r="D20" s="8"/>
      <c r="E20" s="8"/>
      <c r="F20" s="8"/>
      <c r="G20" s="8"/>
      <c r="H20" s="8"/>
      <c r="I20" s="8"/>
      <c r="J20" s="27"/>
      <c r="K20" s="13"/>
      <c r="L20" s="8"/>
      <c r="M20" s="8"/>
      <c r="N20" s="8"/>
      <c r="O20" s="8"/>
      <c r="V20" s="30"/>
      <c r="AG20" s="13"/>
      <c r="BB20" s="13"/>
      <c r="BM20" s="13"/>
      <c r="BU20" s="13"/>
      <c r="BY20" s="13"/>
    </row>
    <row r="21" ht="15.75" customHeight="1">
      <c r="A21" s="8"/>
      <c r="B21" s="13"/>
      <c r="C21" s="8"/>
      <c r="D21" s="8"/>
      <c r="E21" s="8"/>
      <c r="F21" s="8"/>
      <c r="G21" s="8"/>
      <c r="H21" s="8"/>
      <c r="I21" s="8"/>
      <c r="J21" s="27"/>
      <c r="K21" s="13"/>
      <c r="L21" s="8"/>
      <c r="M21" s="8"/>
      <c r="N21" s="8"/>
      <c r="O21" s="8"/>
      <c r="V21" s="30"/>
      <c r="AG21" s="13"/>
      <c r="BB21" s="9"/>
      <c r="BM21" s="13"/>
      <c r="BU21" s="13"/>
      <c r="BY21" s="9"/>
    </row>
    <row r="22" ht="15.75" customHeight="1">
      <c r="A22" s="8"/>
      <c r="B22" s="13"/>
      <c r="C22" s="8"/>
      <c r="D22" s="8"/>
      <c r="E22" s="8"/>
      <c r="F22" s="8"/>
      <c r="G22" s="8"/>
      <c r="H22" s="8"/>
      <c r="I22" s="8"/>
      <c r="J22" s="27"/>
      <c r="K22" s="13"/>
      <c r="L22" s="8"/>
      <c r="M22" s="8"/>
      <c r="N22" s="8"/>
      <c r="O22" s="8"/>
      <c r="V22" s="30"/>
      <c r="AG22" s="13"/>
      <c r="BB22" s="9"/>
      <c r="BM22" s="13"/>
      <c r="BU22" s="13"/>
      <c r="BY22" s="9"/>
    </row>
    <row r="23" ht="15.75" customHeight="1">
      <c r="A23" s="8"/>
      <c r="B23" s="13"/>
      <c r="C23" s="8"/>
      <c r="D23" s="8"/>
      <c r="E23" s="8"/>
      <c r="F23" s="8"/>
      <c r="G23" s="8"/>
      <c r="H23" s="8"/>
      <c r="I23" s="8"/>
      <c r="J23" s="27"/>
      <c r="K23" s="13"/>
      <c r="L23" s="8"/>
      <c r="M23" s="8"/>
      <c r="N23" s="8"/>
      <c r="O23" s="8"/>
      <c r="V23" s="30"/>
      <c r="AG23" s="13"/>
      <c r="BB23" s="9"/>
      <c r="BM23" s="13"/>
      <c r="BU23" s="13"/>
      <c r="BY23" s="9"/>
    </row>
    <row r="24" ht="15.75" customHeight="1">
      <c r="A24" s="8"/>
      <c r="B24" s="13"/>
      <c r="C24" s="8"/>
      <c r="D24" s="8"/>
      <c r="E24" s="8"/>
      <c r="F24" s="8"/>
      <c r="G24" s="8"/>
      <c r="H24" s="8"/>
      <c r="I24" s="8"/>
      <c r="J24" s="27"/>
      <c r="K24" s="13"/>
      <c r="L24" s="8"/>
      <c r="M24" s="8"/>
      <c r="N24" s="8"/>
      <c r="O24" s="8"/>
      <c r="V24" s="30"/>
      <c r="AG24" s="13"/>
      <c r="BB24" s="9"/>
      <c r="BM24" s="13"/>
      <c r="BU24" s="13"/>
      <c r="BY24" s="9"/>
    </row>
    <row r="25" ht="15.75" customHeight="1">
      <c r="A25" s="8"/>
      <c r="B25" s="9"/>
      <c r="C25" s="8"/>
      <c r="D25" s="8"/>
      <c r="E25" s="8"/>
      <c r="F25" s="8"/>
      <c r="G25" s="8"/>
      <c r="H25" s="8"/>
      <c r="I25" s="8"/>
      <c r="J25" s="27"/>
      <c r="K25" s="9"/>
      <c r="L25" s="8"/>
      <c r="M25" s="8"/>
      <c r="N25" s="8"/>
      <c r="O25" s="8"/>
      <c r="V25" s="30"/>
      <c r="AG25" s="9"/>
      <c r="BB25" s="9"/>
      <c r="BM25" s="9"/>
      <c r="BU25" s="9"/>
      <c r="BY25" s="9"/>
    </row>
    <row r="26" ht="15.75" customHeight="1">
      <c r="A26" s="8"/>
      <c r="B26" s="9"/>
      <c r="C26" s="8"/>
      <c r="D26" s="8"/>
      <c r="E26" s="8"/>
      <c r="F26" s="8"/>
      <c r="G26" s="8"/>
      <c r="H26" s="8"/>
      <c r="I26" s="8"/>
      <c r="J26" s="27"/>
      <c r="K26" s="9"/>
      <c r="L26" s="8"/>
      <c r="M26" s="8"/>
      <c r="N26" s="8"/>
      <c r="O26" s="8"/>
      <c r="V26" s="30"/>
      <c r="AG26" s="9"/>
      <c r="BB26" s="9"/>
      <c r="BM26" s="9"/>
      <c r="BU26" s="9"/>
      <c r="BY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25"/>
    <col customWidth="1" min="3" max="8" width="12.63"/>
    <col customWidth="1" min="9" max="9" width="15.88"/>
    <col customWidth="1" min="10" max="11" width="15.25"/>
    <col customWidth="1" min="12" max="73" width="12.63"/>
    <col customWidth="1" min="74" max="74" width="25.38"/>
    <col customWidth="1" min="75" max="154" width="12.63"/>
  </cols>
  <sheetData>
    <row r="1" ht="15.75" customHeight="1">
      <c r="A1" s="14"/>
      <c r="B1" s="1" t="s">
        <v>6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ht="15.75" customHeight="1">
      <c r="A3" s="16"/>
      <c r="B3" s="5" t="s">
        <v>7</v>
      </c>
      <c r="C3" s="17" t="s">
        <v>34</v>
      </c>
      <c r="D3" s="5" t="s">
        <v>9</v>
      </c>
      <c r="E3" s="17" t="s">
        <v>36</v>
      </c>
      <c r="F3" s="5" t="s">
        <v>11</v>
      </c>
      <c r="G3" s="18" t="s">
        <v>12</v>
      </c>
      <c r="H3" s="5"/>
      <c r="I3" s="16"/>
      <c r="J3" s="16"/>
      <c r="K3" s="16"/>
      <c r="L3" s="16"/>
      <c r="M3" s="16"/>
      <c r="N3" s="16"/>
      <c r="O3" s="1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IFERROR(__xludf.DUMMYFUNCTION("IF(C3="""","""",Transpose(IMPORTRANGE('_Settings'!$B$3,C3&amp;""!A4:A1000"")))"),"Allocate")</f>
        <v>Allocate</v>
      </c>
      <c r="C4" s="20" t="str">
        <f>IFERROR(__xludf.DUMMYFUNCTION("""COMPUTED_VALUE"""),"CheckAllocatedGroups")</f>
        <v>CheckAllocatedGroups</v>
      </c>
      <c r="D4" s="20" t="str">
        <f>IFERROR(__xludf.DUMMYFUNCTION("""COMPUTED_VALUE"""),"Unallocate")</f>
        <v>Unallocate</v>
      </c>
      <c r="E4" s="20" t="str">
        <f>IFERROR(__xludf.DUMMYFUNCTION("""COMPUTED_VALUE"""),"GetDataAllocation")</f>
        <v>GetDataAllocation</v>
      </c>
      <c r="F4" s="20" t="str">
        <f>IFERROR(__xludf.DUMMYFUNCTION("""COMPUTED_VALUE"""),"SelectAllocatedGroup")</f>
        <v>SelectAllocatedGroup</v>
      </c>
      <c r="G4" s="20" t="str">
        <f>IFERROR(__xludf.DUMMYFUNCTION("""COMPUTED_VALUE"""),"EditTradesAllocated")</f>
        <v>EditTradesAllocated</v>
      </c>
      <c r="H4" s="20" t="str">
        <f>IFERROR(__xludf.DUMMYFUNCTION("""COMPUTED_VALUE"""),"EditTradesUnallocated")</f>
        <v>EditTradesUnallocated</v>
      </c>
      <c r="I4" s="20" t="str">
        <f>IFERROR(__xludf.DUMMYFUNCTION("""COMPUTED_VALUE"""),"Reallocate")</f>
        <v>Reallocate</v>
      </c>
      <c r="J4" s="20" t="str">
        <f>IFERROR(__xludf.DUMMYFUNCTION("""COMPUTED_VALUE"""),"EditUnallocatedGroupSidePanel")</f>
        <v>EditUnallocatedGroupSidePanel</v>
      </c>
      <c r="K4" s="20" t="str">
        <f>IFERROR(__xludf.DUMMYFUNCTION("""COMPUTED_VALUE"""),"TradeAttributeBulkChange")</f>
        <v>TradeAttributeBulkChange</v>
      </c>
      <c r="L4" s="20" t="str">
        <f>IFERROR(__xludf.DUMMYFUNCTION("""COMPUTED_VALUE"""),"ApplyBulkUpdateOnGroups")</f>
        <v>ApplyBulkUpdateOnGroups</v>
      </c>
      <c r="M4" s="20" t="str">
        <f>IFERROR(__xludf.DUMMYFUNCTION("""COMPUTED_VALUE"""),"ApplyPrefetchFilters")</f>
        <v>ApplyPrefetchFilters</v>
      </c>
      <c r="N4" s="20" t="str">
        <f>IFERROR(__xludf.DUMMYFUNCTION("""COMPUTED_VALUE"""),"GeneralPreferencesDefaultRule")</f>
        <v>GeneralPreferencesDefaultRule</v>
      </c>
      <c r="O4" s="20" t="str">
        <f>IFERROR(__xludf.DUMMYFUNCTION("""COMPUTED_VALUE"""),"GeneralPrefCompanyUserWise")</f>
        <v>GeneralPrefCompanyUserWise</v>
      </c>
      <c r="P4" s="21" t="str">
        <f>IFERROR(__xludf.DUMMYFUNCTION("""COMPUTED_VALUE"""),"RenameTradeAttributes")</f>
        <v>RenameTradeAttributes</v>
      </c>
      <c r="Q4" s="21" t="str">
        <f>IFERROR(__xludf.DUMMYFUNCTION("""COMPUTED_VALUE"""),"SetGroupingRules")</f>
        <v>SetGroupingRules</v>
      </c>
      <c r="R4" s="21" t="str">
        <f>IFERROR(__xludf.DUMMYFUNCTION("""COMPUTED_VALUE"""),"SetMasterFundRatio")</f>
        <v>SetMasterFundRatio</v>
      </c>
      <c r="S4" s="21" t="str">
        <f>IFERROR(__xludf.DUMMYFUNCTION("""COMPUTED_VALUE"""),"CheckFixedPreference")</f>
        <v>CheckFixedPreference</v>
      </c>
      <c r="T4" s="21" t="str">
        <f>IFERROR(__xludf.DUMMYFUNCTION("""COMPUTED_VALUE"""),"GetFixedPreference")</f>
        <v>GetFixedPreference</v>
      </c>
      <c r="U4" s="21" t="str">
        <f>IFERROR(__xludf.DUMMYFUNCTION("""COMPUTED_VALUE"""),"AddCalculatedPreferences")</f>
        <v>AddCalculatedPreferences</v>
      </c>
      <c r="V4" s="21" t="str">
        <f>IFERROR(__xludf.DUMMYFUNCTION("""COMPUTED_VALUE"""),"BulkChangeCalculatedPreferences")</f>
        <v>BulkChangeCalculatedPreferences</v>
      </c>
      <c r="W4" s="21" t="str">
        <f>IFERROR(__xludf.DUMMYFUNCTION("""COMPUTED_VALUE"""),"DeleteCalculatedPreferences")</f>
        <v>DeleteCalculatedPreferences</v>
      </c>
      <c r="X4" s="21" t="str">
        <f>IFERROR(__xludf.DUMMYFUNCTION("""COMPUTED_VALUE"""),"RenameCalculatedPreferences")</f>
        <v>RenameCalculatedPreferences</v>
      </c>
      <c r="Y4" s="21" t="str">
        <f>IFERROR(__xludf.DUMMYFUNCTION("""COMPUTED_VALUE"""),"CopyCalculatedPreferences")</f>
        <v>CopyCalculatedPreferences</v>
      </c>
      <c r="Z4" s="21" t="str">
        <f>IFERROR(__xludf.DUMMYFUNCTION("""COMPUTED_VALUE"""),"RunAutoGroup")</f>
        <v>RunAutoGroup</v>
      </c>
      <c r="AA4" s="21" t="str">
        <f>IFERROR(__xludf.DUMMYFUNCTION("""COMPUTED_VALUE"""),"BookOrUpdateSwap")</f>
        <v>BookOrUpdateSwap</v>
      </c>
      <c r="AB4" s="21" t="str">
        <f>IFERROR(__xludf.DUMMYFUNCTION("""COMPUTED_VALUE"""),"RunProrata")</f>
        <v>RunProrata</v>
      </c>
      <c r="AC4" s="21" t="str">
        <f>IFERROR(__xludf.DUMMYFUNCTION("""COMPUTED_VALUE"""),"SetDefaultRuleCalculatedPref")</f>
        <v>SetDefaultRuleCalculatedPref</v>
      </c>
      <c r="AD4" s="21" t="str">
        <f>IFERROR(__xludf.DUMMYFUNCTION("""COMPUTED_VALUE"""),"SetAccountValueCalculatedPref")</f>
        <v>SetAccountValueCalculatedPref</v>
      </c>
      <c r="AE4" s="21" t="str">
        <f>IFERROR(__xludf.DUMMYFUNCTION("""COMPUTED_VALUE"""),"TradeAttributeBulkChangeGroups")</f>
        <v>TradeAttributeBulkChangeGroups</v>
      </c>
      <c r="AF4" s="21" t="str">
        <f>IFERROR(__xludf.DUMMYFUNCTION("""COMPUTED_VALUE"""),"TradeAttributeBulkChangeTaxlots")</f>
        <v>TradeAttributeBulkChangeTaxlots</v>
      </c>
      <c r="AG4" s="21" t="str">
        <f>IFERROR(__xludf.DUMMYFUNCTION("""COMPUTED_VALUE"""),"AddCalculatedPreferenceToolbar")</f>
        <v>AddCalculatedPreferenceToolbar</v>
      </c>
      <c r="AH4" s="21" t="str">
        <f>IFERROR(__xludf.DUMMYFUNCTION("""COMPUTED_VALUE"""),"SetStrategyValueCalculatedPref")</f>
        <v>SetStrategyValueCalculatedPref</v>
      </c>
      <c r="AI4" s="21" t="str">
        <f>IFERROR(__xludf.DUMMYFUNCTION("""COMPUTED_VALUE"""),"ApplyBulkUpdateOnTaxlots")</f>
        <v>ApplyBulkUpdateOnTaxlots</v>
      </c>
      <c r="AJ4" s="21" t="str">
        <f>IFERROR(__xludf.DUMMYFUNCTION("""COMPUTED_VALUE"""),"CommissionBulkChangeOnGroups")</f>
        <v>CommissionBulkChangeOnGroups</v>
      </c>
      <c r="AK4" s="21" t="str">
        <f>IFERROR(__xludf.DUMMYFUNCTION("""COMPUTED_VALUE"""),"CommissionBulkChangeOnTaxlots")</f>
        <v>CommissionBulkChangeOnTaxlots</v>
      </c>
      <c r="AL4" s="21" t="str">
        <f>IFERROR(__xludf.DUMMYFUNCTION("""COMPUTED_VALUE"""),"SelectUnallocatedGroup")</f>
        <v>SelectUnallocatedGroup</v>
      </c>
      <c r="AM4" s="21" t="str">
        <f>IFERROR(__xludf.DUMMYFUNCTION("""COMPUTED_VALUE"""),"EnterAccountValuesToAllocate")</f>
        <v>EnterAccountValuesToAllocate</v>
      </c>
      <c r="AN4" s="21" t="str">
        <f>IFERROR(__xludf.DUMMYFUNCTION("""COMPUTED_VALUE"""),"EnterAllocatePreference")</f>
        <v>EnterAllocatePreference</v>
      </c>
      <c r="AO4" s="21" t="str">
        <f>IFERROR(__xludf.DUMMYFUNCTION("""COMPUTED_VALUE"""),"EnterStrategyValuesToAllocate")</f>
        <v>EnterStrategyValuesToAllocate</v>
      </c>
      <c r="AP4" s="21" t="str">
        <f>IFERROR(__xludf.DUMMYFUNCTION("""COMPUTED_VALUE"""),"CopyCalculatedPreferenceToolbar")</f>
        <v>CopyCalculatedPreferenceToolbar</v>
      </c>
      <c r="AQ4" s="21" t="str">
        <f>IFERROR(__xludf.DUMMYFUNCTION("""COMPUTED_VALUE"""),"SetGeneralRuleCalculatedPref")</f>
        <v>SetGeneralRuleCalculatedPref</v>
      </c>
      <c r="AR4" s="21" t="str">
        <f>IFERROR(__xludf.DUMMYFUNCTION("""COMPUTED_VALUE"""),"ExportAllCalculatedPreferences")</f>
        <v>ExportAllCalculatedPreferences</v>
      </c>
      <c r="AS4" s="21" t="str">
        <f>IFERROR(__xludf.DUMMYFUNCTION("""COMPUTED_VALUE"""),"SaveCalculatedPreferences")</f>
        <v>SaveCalculatedPreferences</v>
      </c>
      <c r="AT4" s="21" t="str">
        <f>IFERROR(__xludf.DUMMYFUNCTION("""COMPUTED_VALUE"""),"CloseCalculatedPreferences")</f>
        <v>CloseCalculatedPreferences</v>
      </c>
      <c r="AU4" s="21" t="str">
        <f>IFERROR(__xludf.DUMMYFUNCTION("""COMPUTED_VALUE"""),"ExportCalculatedPreference")</f>
        <v>ExportCalculatedPreference</v>
      </c>
      <c r="AV4" s="21" t="str">
        <f>IFERROR(__xludf.DUMMYFUNCTION("""COMPUTED_VALUE"""),"ImportCalculatedPreferences")</f>
        <v>ImportCalculatedPreferences</v>
      </c>
      <c r="AW4" s="21" t="str">
        <f>IFERROR(__xludf.DUMMYFUNCTION("""COMPUTED_VALUE"""),"OpenAuditTrailUnallocatedGroup")</f>
        <v>OpenAuditTrailUnallocatedGroup</v>
      </c>
      <c r="AX4" s="21" t="str">
        <f>IFERROR(__xludf.DUMMYFUNCTION("""COMPUTED_VALUE"""),"DeleteCalculatedPreferencesTool")</f>
        <v>DeleteCalculatedPreferencesTool</v>
      </c>
      <c r="AY4" s="21" t="str">
        <f>IFERROR(__xludf.DUMMYFUNCTION("""COMPUTED_VALUE"""),"ImportCalculatedPreferencesTool")</f>
        <v>ImportCalculatedPreferencesTool</v>
      </c>
      <c r="AZ4" s="21" t="str">
        <f>IFERROR(__xludf.DUMMYFUNCTION("""COMPUTED_VALUE"""),"ExportAllCalculatedPreferTool")</f>
        <v>ExportAllCalculatedPreferTool</v>
      </c>
      <c r="BA4" s="21" t="str">
        <f>IFERROR(__xludf.DUMMYFUNCTION("""COMPUTED_VALUE"""),"OpenAuditTrailAllocatedGroup")</f>
        <v>OpenAuditTrailAllocatedGroup</v>
      </c>
      <c r="BB4" s="21" t="str">
        <f>IFERROR(__xludf.DUMMYFUNCTION("""COMPUTED_VALUE"""),"OpenSymbolLookupUnallocateGroup")</f>
        <v>OpenSymbolLookupUnallocateGroup</v>
      </c>
      <c r="BC4" s="21" t="str">
        <f>IFERROR(__xludf.DUMMYFUNCTION("""COMPUTED_VALUE"""),"OpenSymbolLookupAllocatedGroup")</f>
        <v>OpenSymbolLookupAllocatedGroup</v>
      </c>
      <c r="BD4" s="21" t="str">
        <f>IFERROR(__xludf.DUMMYFUNCTION("""COMPUTED_VALUE"""),"DeleteFixedPreference")</f>
        <v>DeleteFixedPreference</v>
      </c>
      <c r="BE4" s="21" t="str">
        <f>IFERROR(__xludf.DUMMYFUNCTION("""COMPUTED_VALUE"""),"EditAllocatedGroupSidePanel")</f>
        <v>EditAllocatedGroupSidePanel</v>
      </c>
      <c r="BF4" s="21" t="str">
        <f>IFERROR(__xludf.DUMMYFUNCTION("""COMPUTED_VALUE"""),"CheckUnallocatedGroups")</f>
        <v>CheckUnallocatedGroups</v>
      </c>
      <c r="BG4" s="21" t="str">
        <f>IFERROR(__xludf.DUMMYFUNCTION("""COMPUTED_VALUE"""),"SetGeneralPreferences")</f>
        <v>SetGeneralPreferences</v>
      </c>
      <c r="BH4" s="21" t="str">
        <f>IFERROR(__xludf.DUMMYFUNCTION("""COMPUTED_VALUE"""),"GroupTrades")</f>
        <v>GroupTrades</v>
      </c>
      <c r="BI4" s="21" t="str">
        <f>IFERROR(__xludf.DUMMYFUNCTION("""COMPUTED_VALUE"""),"UngroupTrades")</f>
        <v>UngroupTrades</v>
      </c>
      <c r="BJ4" s="21" t="str">
        <f>IFERROR(__xludf.DUMMYFUNCTION("""COMPUTED_VALUE"""),"DeleteGroup")</f>
        <v>DeleteGroup</v>
      </c>
      <c r="BK4" s="21" t="str">
        <f>IFERROR(__xludf.DUMMYFUNCTION("""COMPUTED_VALUE"""),"CloseOrder")</f>
        <v>CloseOrder</v>
      </c>
      <c r="BL4" s="21" t="str">
        <f>IFERROR(__xludf.DUMMYFUNCTION("""COMPUTED_VALUE"""),"Unallocate")</f>
        <v>Unallocate</v>
      </c>
      <c r="BM4" s="21" t="str">
        <f>IFERROR(__xludf.DUMMYFUNCTION("""COMPUTED_VALUE"""),"CloseAllocation")</f>
        <v>CloseAllocation</v>
      </c>
      <c r="BN4" s="21" t="str">
        <f>IFERROR(__xludf.DUMMYFUNCTION("""COMPUTED_VALUE"""),"UpdateGRAccountValue")</f>
        <v>UpdateGRAccountValue</v>
      </c>
      <c r="BO4" s="21" t="str">
        <f>IFERROR(__xludf.DUMMYFUNCTION("""COMPUTED_VALUE"""),"UpdateGRStrategyValue")</f>
        <v>UpdateGRStrategyValue</v>
      </c>
      <c r="BP4" s="21" t="str">
        <f>IFERROR(__xludf.DUMMYFUNCTION("""COMPUTED_VALUE"""),"UpdateGRDefaultRule")</f>
        <v>UpdateGRDefaultRule</v>
      </c>
      <c r="BQ4" s="21" t="str">
        <f>IFERROR(__xludf.DUMMYFUNCTION("""COMPUTED_VALUE"""),"UpdateGeneralRulePref")</f>
        <v>UpdateGeneralRulePref</v>
      </c>
      <c r="BR4" s="21" t="str">
        <f>IFERROR(__xludf.DUMMYFUNCTION("""COMPUTED_VALUE"""),"ModifyGRPreferenceValues")</f>
        <v>ModifyGRPreferenceValues</v>
      </c>
      <c r="BS4" s="21" t="str">
        <f>IFERROR(__xludf.DUMMYFUNCTION("""COMPUTED_VALUE"""),"AddMFPreferences")</f>
        <v>AddMFPreferences</v>
      </c>
      <c r="BT4" s="21" t="str">
        <f>IFERROR(__xludf.DUMMYFUNCTION("""COMPUTED_VALUE"""),"AddMFPreferenceToolbar")</f>
        <v>AddMFPreferenceToolbar</v>
      </c>
      <c r="BU4" s="21" t="str">
        <f>IFERROR(__xludf.DUMMYFUNCTION("""COMPUTED_VALUE"""),"DeleteMFPreferences")</f>
        <v>DeleteMFPreferences</v>
      </c>
      <c r="BV4" s="21" t="str">
        <f>IFERROR(__xludf.DUMMYFUNCTION("""COMPUTED_VALUE"""),"DeleteMFPreferenceToolbar")</f>
        <v>DeleteMFPreferenceToolbar</v>
      </c>
      <c r="BW4" s="21" t="str">
        <f>IFERROR(__xludf.DUMMYFUNCTION("""COMPUTED_VALUE"""),"RenameMFPreferences")</f>
        <v>RenameMFPreferences</v>
      </c>
      <c r="BX4" s="21" t="str">
        <f>IFERROR(__xludf.DUMMYFUNCTION("""COMPUTED_VALUE"""),"SaveCloseMFPreference")</f>
        <v>SaveCloseMFPreference</v>
      </c>
      <c r="BY4" s="21" t="str">
        <f>IFERROR(__xludf.DUMMYFUNCTION("""COMPUTED_VALUE"""),"SetMFPrefAccountValues")</f>
        <v>SetMFPrefAccountValues</v>
      </c>
      <c r="BZ4" s="21" t="str">
        <f>IFERROR(__xludf.DUMMYFUNCTION("""COMPUTED_VALUE"""),"ModifyMFPrefGeneralRuleValues")</f>
        <v>ModifyMFPrefGeneralRuleValues</v>
      </c>
      <c r="CA4" s="21" t="str">
        <f>IFERROR(__xludf.DUMMYFUNCTION("""COMPUTED_VALUE"""),"SetMFPrefStrategyValues")</f>
        <v>SetMFPrefStrategyValues</v>
      </c>
      <c r="CB4" s="21" t="str">
        <f>IFERROR(__xludf.DUMMYFUNCTION("""COMPUTED_VALUE"""),"SetMFPrefGeneralRule")</f>
        <v>SetMFPrefGeneralRule</v>
      </c>
      <c r="CC4" s="21" t="str">
        <f>IFERROR(__xludf.DUMMYFUNCTION("""COMPUTED_VALUE"""),"SetMFPrefFundDistribution")</f>
        <v>SetMFPrefFundDistribution</v>
      </c>
      <c r="CD4" s="21" t="str">
        <f>IFERROR(__xludf.DUMMYFUNCTION("""COMPUTED_VALUE"""),"SetMFPreferencesDefaultRule")</f>
        <v>SetMFPreferencesDefaultRule</v>
      </c>
      <c r="CE4" s="21" t="str">
        <f>IFERROR(__xludf.DUMMYFUNCTION("""COMPUTED_VALUE"""),"SetMFPrefFundDefaultRule")</f>
        <v>SetMFPrefFundDefaultRule</v>
      </c>
      <c r="CF4" s="21" t="str">
        <f>IFERROR(__xludf.DUMMYFUNCTION("""COMPUTED_VALUE"""),"ClearPrefetchFilters")</f>
        <v>ClearPrefetchFilters</v>
      </c>
      <c r="CG4" s="21" t="str">
        <f>IFERROR(__xludf.DUMMYFUNCTION("""COMPUTED_VALUE"""),"ExpandCollapseAllUnallocated")</f>
        <v>ExpandCollapseAllUnallocated</v>
      </c>
      <c r="CH4" s="21" t="str">
        <f>IFERROR(__xludf.DUMMYFUNCTION("""COMPUTED_VALUE"""),"ExpandCollapseAllAllocated")</f>
        <v>ExpandCollapseAllAllocated</v>
      </c>
      <c r="CI4" s="21" t="str">
        <f>IFERROR(__xludf.DUMMYFUNCTION("""COMPUTED_VALUE"""),"GenerateCashTransaction")</f>
        <v>GenerateCashTransaction</v>
      </c>
      <c r="CJ4" s="21" t="str">
        <f>IFERROR(__xludf.DUMMYFUNCTION("""COMPUTED_VALUE"""),"SaveAllocation")</f>
        <v>SaveAllocation</v>
      </c>
      <c r="CK4" s="21" t="str">
        <f>IFERROR(__xludf.DUMMYFUNCTION("""COMPUTED_VALUE"""),"UnallocateWithOutSave")</f>
        <v>UnallocateWithOutSave</v>
      </c>
      <c r="CL4" s="21" t="str">
        <f>IFERROR(__xludf.DUMMYFUNCTION("""COMPUTED_VALUE"""),"EditUnallocatedGrid")</f>
        <v>EditUnallocatedGrid</v>
      </c>
      <c r="CM4" s="21" t="str">
        <f>IFERROR(__xludf.DUMMYFUNCTION("""COMPUTED_VALUE"""),"EditAllocatedGrid")</f>
        <v>EditAllocatedGrid</v>
      </c>
      <c r="CN4" s="21" t="str">
        <f>IFERROR(__xludf.DUMMYFUNCTION("""COMPUTED_VALUE"""),"SaveLayoutAllocatedGrid")</f>
        <v>SaveLayoutAllocatedGrid</v>
      </c>
      <c r="CO4" s="21" t="str">
        <f>IFERROR(__xludf.DUMMYFUNCTION("""COMPUTED_VALUE"""),"SaveLayoutUnallocatedGrid")</f>
        <v>SaveLayoutUnallocatedGrid</v>
      </c>
      <c r="CP4" s="21" t="str">
        <f>IFERROR(__xludf.DUMMYFUNCTION("""COMPUTED_VALUE"""),"SaveLayoutAllocationUI")</f>
        <v>SaveLayoutAllocationUI</v>
      </c>
      <c r="CQ4" s="21" t="str">
        <f>IFERROR(__xludf.DUMMYFUNCTION("""COMPUTED_VALUE"""),"ClearFiltersAllocatedGrid")</f>
        <v>ClearFiltersAllocatedGrid</v>
      </c>
      <c r="CR4" s="21" t="str">
        <f>IFERROR(__xludf.DUMMYFUNCTION("""COMPUTED_VALUE"""),"ClearFiltersUnallocatedGrid")</f>
        <v>ClearFiltersUnallocatedGrid</v>
      </c>
      <c r="CS4" s="21" t="str">
        <f>IFERROR(__xludf.DUMMYFUNCTION("""COMPUTED_VALUE"""),"VerifyLayoutAllocatedGrid")</f>
        <v>VerifyLayoutAllocatedGrid</v>
      </c>
      <c r="CT4" s="21" t="str">
        <f>IFERROR(__xludf.DUMMYFUNCTION("""COMPUTED_VALUE"""),"VerifyLayoutUnallocatedGrid")</f>
        <v>VerifyLayoutUnallocatedGrid</v>
      </c>
      <c r="CU4" s="21" t="str">
        <f>IFERROR(__xludf.DUMMYFUNCTION("""COMPUTED_VALUE"""),"CleanUp")</f>
        <v>CleanUp</v>
      </c>
      <c r="CV4" s="21" t="str">
        <f>IFERROR(__xludf.DUMMYFUNCTION("""COMPUTED_VALUE"""),"CheckAllocatedTaxlots")</f>
        <v>CheckAllocatedTaxlots</v>
      </c>
      <c r="CW4" s="21" t="str">
        <f>IFERROR(__xludf.DUMMYFUNCTION("""COMPUTED_VALUE"""),"CopyCalculatedPreferenceToolbar")</f>
        <v>CopyCalculatedPreferenceToolbar</v>
      </c>
      <c r="CX4" s="21" t="str">
        <f>IFERROR(__xludf.DUMMYFUNCTION("""COMPUTED_VALUE"""),"CloseOrder")</f>
        <v>CloseOrder</v>
      </c>
      <c r="CY4" s="21" t="str">
        <f>IFERROR(__xludf.DUMMYFUNCTION("""COMPUTED_VALUE"""),"DisableChecksideForAsset")</f>
        <v>DisableChecksideForAsset</v>
      </c>
      <c r="CZ4" s="21" t="str">
        <f>IFERROR(__xludf.DUMMYFUNCTION("""COMPUTED_VALUE"""),"DisableChecksideForAccount")</f>
        <v>DisableChecksideForAccount</v>
      </c>
      <c r="DA4" s="21" t="str">
        <f>IFERROR(__xludf.DUMMYFUNCTION("""COMPUTED_VALUE"""),"DisableChecksideForCounterParty")</f>
        <v>DisableChecksideForCounterParty</v>
      </c>
      <c r="DB4" s="21" t="str">
        <f>IFERROR(__xludf.DUMMYFUNCTION("""COMPUTED_VALUE"""),"DisableCheckside")</f>
        <v>DisableCheckside</v>
      </c>
      <c r="DC4" s="21" t="str">
        <f>IFERROR(__xludf.DUMMYFUNCTION("""COMPUTED_VALUE"""),"ApplyMasterFundFilter")</f>
        <v>ApplyMasterFundFilter</v>
      </c>
      <c r="DD4" s="21" t="str">
        <f>IFERROR(__xludf.DUMMYFUNCTION("""COMPUTED_VALUE"""),"ShowMasterFundOnTT")</f>
        <v>ShowMasterFundOnTT</v>
      </c>
      <c r="DE4" s="21" t="str">
        <f>IFERROR(__xludf.DUMMYFUNCTION("""COMPUTED_VALUE"""),"ShowMasterFundAsClient")</f>
        <v>ShowMasterFundAsClient</v>
      </c>
      <c r="DF4" s="21" t="str">
        <f>IFERROR(__xludf.DUMMYFUNCTION("""COMPUTED_VALUE"""),"SetBrokerAccountMapping")</f>
        <v>SetBrokerAccountMapping</v>
      </c>
      <c r="DG4" s="21" t="str">
        <f>IFERROR(__xludf.DUMMYFUNCTION("""COMPUTED_VALUE"""),"EditUnallocatedGridWPF")</f>
        <v>EditUnallocatedGridWPF</v>
      </c>
      <c r="DH4" s="21" t="str">
        <f>IFERROR(__xludf.DUMMYFUNCTION("""COMPUTED_VALUE"""),"EditAllocatedGridWPF")</f>
        <v>EditAllocatedGridWPF</v>
      </c>
      <c r="DI4" s="21" t="str">
        <f>IFERROR(__xludf.DUMMYFUNCTION("""COMPUTED_VALUE"""),"EditAllocatedGridTaxlot")</f>
        <v>EditAllocatedGridTaxlot</v>
      </c>
      <c r="DJ4" s="21" t="str">
        <f>IFERROR(__xludf.DUMMYFUNCTION("""COMPUTED_VALUE"""),"ExpandCollapseAllocatedGrid")</f>
        <v>ExpandCollapseAllocatedGrid</v>
      </c>
      <c r="DK4" s="21" t="str">
        <f>IFERROR(__xludf.DUMMYFUNCTION("""COMPUTED_VALUE"""),"ExpandCollapseUnallocatedGrid")</f>
        <v>ExpandCollapseUnallocatedGrid</v>
      </c>
      <c r="DL4" s="21" t="str">
        <f>IFERROR(__xludf.DUMMYFUNCTION("""COMPUTED_VALUE"""),"SetTradeAttributePreferences")</f>
        <v>SetTradeAttributePreferences</v>
      </c>
      <c r="DM4" s="21" t="str">
        <f>IFERROR(__xludf.DUMMYFUNCTION("""COMPUTED_VALUE"""),"EnterCustomAllocatePreference")</f>
        <v>EnterCustomAllocatePreference</v>
      </c>
      <c r="DN4" s="21" t="str">
        <f>IFERROR(__xludf.DUMMYFUNCTION("""COMPUTED_VALUE"""),"SetAutoGroupingPreferences")</f>
        <v>SetAutoGroupingPreferences</v>
      </c>
      <c r="DO4" s="21" t="str">
        <f>IFERROR(__xludf.DUMMYFUNCTION("""COMPUTED_VALUE"""),"SetAutoGroupingAccount")</f>
        <v>SetAutoGroupingAccount</v>
      </c>
      <c r="DP4" s="21" t="str">
        <f>IFERROR(__xludf.DUMMYFUNCTION("""COMPUTED_VALUE"""),"SetAvgPriceRounding")</f>
        <v>SetAvgPriceRounding</v>
      </c>
      <c r="DQ4" s="21" t="str">
        <f>IFERROR(__xludf.DUMMYFUNCTION("""COMPUTED_VALUE"""),"IsAllocationOpen")</f>
        <v>IsAllocationOpen</v>
      </c>
      <c r="DR4" s="21" t="str">
        <f>IFERROR(__xludf.DUMMYFUNCTION("""COMPUTED_VALUE"""),"AllocationAuditTrail")</f>
        <v>AllocationAuditTrail</v>
      </c>
      <c r="DS4" s="21" t="str">
        <f>IFERROR(__xludf.DUMMYFUNCTION("""COMPUTED_VALUE"""),"GetAuditTrailData")</f>
        <v>GetAuditTrailData</v>
      </c>
      <c r="DT4" s="21" t="str">
        <f>IFERROR(__xludf.DUMMYFUNCTION("""COMPUTED_VALUE"""),"CheckAuditTrailData")</f>
        <v>CheckAuditTrailData</v>
      </c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IFERROR(__xludf.DUMMYFUNCTION("""COMPUTED_VALUE"""),"Account Name")</f>
        <v>Account Name</v>
      </c>
      <c r="C5" s="23" t="str">
        <f>IFERROR(__xludf.DUMMYFUNCTION("""COMPUTED_VALUE"""),"Accrual Basis")</f>
        <v>Accrual Basis</v>
      </c>
      <c r="D5" s="23" t="str">
        <f>IFERROR(__xludf.DUMMYFUNCTION("""COMPUTED_VALUE"""),"Accrued Interest")</f>
        <v>Accrued Interest</v>
      </c>
      <c r="E5" s="23" t="str">
        <f>IFERROR(__xludf.DUMMYFUNCTION("""COMPUTED_VALUE"""),"Allocated Qty")</f>
        <v>Allocated Qty</v>
      </c>
      <c r="F5" s="24" t="str">
        <f>IFERROR(__xludf.DUMMYFUNCTION("""COMPUTED_VALUE"""),"Allocation Scheme Name")</f>
        <v>Allocation Scheme Name</v>
      </c>
      <c r="G5" s="23" t="str">
        <f>IFERROR(__xludf.DUMMYFUNCTION("""COMPUTED_VALUE"""),"Asset Category")</f>
        <v>Asset Category</v>
      </c>
      <c r="H5" s="23" t="str">
        <f>IFERROR(__xludf.DUMMYFUNCTION("""COMPUTED_VALUE"""),"AUEC Fee1")</f>
        <v>AUEC Fee1</v>
      </c>
      <c r="I5" s="23" t="str">
        <f>IFERROR(__xludf.DUMMYFUNCTION("""COMPUTED_VALUE"""),"AUEC Fee2")</f>
        <v>AUEC Fee2</v>
      </c>
      <c r="J5" s="23" t="str">
        <f>IFERROR(__xludf.DUMMYFUNCTION("""COMPUTED_VALUE"""),"AUECID")</f>
        <v>AUECID</v>
      </c>
      <c r="K5" s="23" t="str">
        <f>IFERROR(__xludf.DUMMYFUNCTION("""COMPUTED_VALUE"""),"Avg Price(Base)")</f>
        <v>Avg Price(Base)</v>
      </c>
      <c r="L5" s="23" t="str">
        <f>IFERROR(__xludf.DUMMYFUNCTION("""COMPUTED_VALUE"""),"Avg Price(Local)")</f>
        <v>Avg Price(Local)</v>
      </c>
      <c r="M5" s="23" t="str">
        <f>IFERROR(__xludf.DUMMYFUNCTION("""COMPUTED_VALUE"""),"Bloomberg")</f>
        <v>Bloomberg</v>
      </c>
      <c r="N5" s="23" t="str">
        <f>IFERROR(__xludf.DUMMYFUNCTION("""COMPUTED_VALUE"""),"Bond Type")</f>
        <v>Bond Type</v>
      </c>
      <c r="O5" s="23" t="str">
        <f>IFERROR(__xludf.DUMMYFUNCTION("""COMPUTED_VALUE"""),"Broker")</f>
        <v>Broker</v>
      </c>
      <c r="P5" s="23" t="str">
        <f>IFERROR(__xludf.DUMMYFUNCTION("""COMPUTED_VALUE"""),"Change Comment")</f>
        <v>Change Comment</v>
      </c>
      <c r="Q5" s="23" t="str">
        <f>IFERROR(__xludf.DUMMYFUNCTION("""COMPUTED_VALUE"""),"Change Type")</f>
        <v>Change Type</v>
      </c>
      <c r="R5" s="23" t="str">
        <f>IFERROR(__xludf.DUMMYFUNCTION("""COMPUTED_VALUE"""),"Clearing Broker Fee")</f>
        <v>Clearing Broker Fee</v>
      </c>
      <c r="S5" s="23" t="str">
        <f>IFERROR(__xludf.DUMMYFUNCTION("""COMPUTED_VALUE"""),"Closing Status")</f>
        <v>Closing Status</v>
      </c>
      <c r="T5" s="25" t="str">
        <f>IFERROR(__xludf.DUMMYFUNCTION("""COMPUTED_VALUE"""),"Commission")</f>
        <v>Commission</v>
      </c>
      <c r="U5" s="25" t="str">
        <f>IFERROR(__xludf.DUMMYFUNCTION("""COMPUTED_VALUE"""),"Commission Per Share")</f>
        <v>Commission Per Share</v>
      </c>
      <c r="V5" s="25" t="str">
        <f>IFERROR(__xludf.DUMMYFUNCTION("""COMPUTED_VALUE"""),"Company")</f>
        <v>Company</v>
      </c>
      <c r="W5" s="25" t="str">
        <f>IFERROR(__xludf.DUMMYFUNCTION("""COMPUTED_VALUE"""),"Contract Multiplier")</f>
        <v>Contract Multiplier</v>
      </c>
      <c r="X5" s="25" t="str">
        <f>IFERROR(__xludf.DUMMYFUNCTION("""COMPUTED_VALUE"""),"Coupon Rate")</f>
        <v>Coupon Rate</v>
      </c>
      <c r="Y5" s="25" t="str">
        <f>IFERROR(__xludf.DUMMYFUNCTION("""COMPUTED_VALUE"""),"Cum Qty For Sub Order")</f>
        <v>Cum Qty For Sub Order</v>
      </c>
      <c r="Z5" s="25" t="str">
        <f>IFERROR(__xludf.DUMMYFUNCTION("""COMPUTED_VALUE"""),"Currency")</f>
        <v>Currency</v>
      </c>
      <c r="AA5" s="25" t="str">
        <f>IFERROR(__xludf.DUMMYFUNCTION("""COMPUTED_VALUE"""),"Cusip Symbol")</f>
        <v>Cusip Symbol</v>
      </c>
      <c r="AB5" s="25" t="str">
        <f>IFERROR(__xludf.DUMMYFUNCTION("""COMPUTED_VALUE"""),"Delta")</f>
        <v>Delta</v>
      </c>
      <c r="AC5" s="25" t="str">
        <f>IFERROR(__xludf.DUMMYFUNCTION("""COMPUTED_VALUE"""),"Description")</f>
        <v>Description</v>
      </c>
      <c r="AD5" s="25" t="str">
        <f>IFERROR(__xludf.DUMMYFUNCTION("""COMPUTED_VALUE"""),"Exchange")</f>
        <v>Exchange</v>
      </c>
      <c r="AE5" s="25" t="str">
        <f>IFERROR(__xludf.DUMMYFUNCTION("""COMPUTED_VALUE"""),"Executed Qty")</f>
        <v>Executed Qty</v>
      </c>
      <c r="AF5" s="25" t="str">
        <f>IFERROR(__xludf.DUMMYFUNCTION("""COMPUTED_VALUE"""),"Exceution Time")</f>
        <v>Exceution Time</v>
      </c>
      <c r="AG5" s="25" t="str">
        <f>IFERROR(__xludf.DUMMYFUNCTION("""COMPUTED_VALUE"""),"Expiration Date")</f>
        <v>Expiration Date</v>
      </c>
      <c r="AH5" s="25" t="str">
        <f>IFERROR(__xludf.DUMMYFUNCTION("""COMPUTED_VALUE"""),"FX Conversion Operator")</f>
        <v>FX Conversion Operator</v>
      </c>
      <c r="AI5" s="25" t="str">
        <f>IFERROR(__xludf.DUMMYFUNCTION("""COMPUTED_VALUE"""),"FX Rate")</f>
        <v>FX Rate</v>
      </c>
      <c r="AJ5" s="25" t="str">
        <f>IFERROR(__xludf.DUMMYFUNCTION("""COMPUTED_VALUE"""),"Group Status")</f>
        <v>Group Status</v>
      </c>
      <c r="AK5" s="25" t="str">
        <f>IFERROR(__xludf.DUMMYFUNCTION("""COMPUTED_VALUE"""),"IDCOSymbol")</f>
        <v>IDCOSymbol</v>
      </c>
      <c r="AL5" s="25" t="str">
        <f>IFERROR(__xludf.DUMMYFUNCTION("""COMPUTED_VALUE"""),"Import File Name")</f>
        <v>Import File Name</v>
      </c>
      <c r="AM5" s="25" t="str">
        <f>IFERROR(__xludf.DUMMYFUNCTION("""COMPUTED_VALUE"""),"Internal Comments")</f>
        <v>Internal Comments</v>
      </c>
      <c r="AN5" s="25" t="str">
        <f>IFERROR(__xludf.DUMMYFUNCTION("""COMPUTED_VALUE"""),"IsAnotherTaxlotAttributesUpdated")</f>
        <v>IsAnotherTaxlotAttributesUpdated</v>
      </c>
      <c r="AO5" s="25" t="str">
        <f>IFERROR(__xludf.DUMMYFUNCTION("""COMPUTED_VALUE"""),"ISIN")</f>
        <v>ISIN</v>
      </c>
      <c r="AP5" s="25" t="str">
        <f>IFERROR(__xludf.DUMMYFUNCTION("""COMPUTED_VALUE"""),"IsManual Group")</f>
        <v>IsManual Group</v>
      </c>
      <c r="AQ5" s="25" t="str">
        <f>IFERROR(__xludf.DUMMYFUNCTION("""COMPUTED_VALUE"""),"ISNDF")</f>
        <v>ISNDF</v>
      </c>
      <c r="AR5" s="25" t="str">
        <f>IFERROR(__xludf.DUMMYFUNCTION("""COMPUTED_VALUE"""),"IsPreAllocated")</f>
        <v>IsPreAllocated</v>
      </c>
      <c r="AS5" s="25" t="str">
        <f>IFERROR(__xludf.DUMMYFUNCTION("""COMPUTED_VALUE"""),"M2MProfitLoss")</f>
        <v>M2MProfitLoss</v>
      </c>
      <c r="AT5" s="25" t="str">
        <f>IFERROR(__xludf.DUMMYFUNCTION("""COMPUTED_VALUE"""),"Net Amount( Base)")</f>
        <v>Net Amount( Base)</v>
      </c>
      <c r="AU5" s="25" t="str">
        <f>IFERROR(__xludf.DUMMYFUNCTION("""COMPUTED_VALUE"""),"Net Amount( Local)")</f>
        <v>Net Amount( Local)</v>
      </c>
      <c r="AV5" s="25" t="str">
        <f>IFERROR(__xludf.DUMMYFUNCTION("""COMPUTED_VALUE"""),"Nirvana Process Date")</f>
        <v>Nirvana Process Date</v>
      </c>
      <c r="AW5" s="25" t="str">
        <f>IFERROR(__xludf.DUMMYFUNCTION("""COMPUTED_VALUE"""),"OCC Fee")</f>
        <v>OCC Fee</v>
      </c>
      <c r="AX5" s="25" t="str">
        <f>IFERROR(__xludf.DUMMYFUNCTION("""COMPUTED_VALUE"""),"Option Premium Adjustment")</f>
        <v>Option Premium Adjustment</v>
      </c>
      <c r="AY5" s="25" t="str">
        <f>IFERROR(__xludf.DUMMYFUNCTION("""COMPUTED_VALUE"""),"Order Type")</f>
        <v>Order Type</v>
      </c>
      <c r="AZ5" s="25" t="str">
        <f>IFERROR(__xludf.DUMMYFUNCTION("""COMPUTED_VALUE"""),"ORF Fee")</f>
        <v>ORF Fee</v>
      </c>
      <c r="BA5" s="25" t="str">
        <f>IFERROR(__xludf.DUMMYFUNCTION("""COMPUTED_VALUE"""),"Original Purchase Date")</f>
        <v>Original Purchase Date</v>
      </c>
      <c r="BB5" s="25" t="str">
        <f>IFERROR(__xludf.DUMMYFUNCTION("""COMPUTED_VALUE"""),"OSISSymbol")</f>
        <v>OSISSymbol</v>
      </c>
      <c r="BC5" s="25" t="str">
        <f>IFERROR(__xludf.DUMMYFUNCTION("""COMPUTED_VALUE"""),"Other Broker Fees")</f>
        <v>Other Broker Fees</v>
      </c>
      <c r="BD5" s="25" t="str">
        <f>IFERROR(__xludf.DUMMYFUNCTION("""COMPUTED_VALUE"""),"Prana Msg Type")</f>
        <v>Prana Msg Type</v>
      </c>
      <c r="BE5" s="25" t="str">
        <f>IFERROR(__xludf.DUMMYFUNCTION("""COMPUTED_VALUE"""),"Principal Amount( Base)")</f>
        <v>Principal Amount( Base)</v>
      </c>
      <c r="BF5" s="25" t="str">
        <f>IFERROR(__xludf.DUMMYFUNCTION("""COMPUTED_VALUE"""),"Principal Amount( Local)")</f>
        <v>Principal Amount( Local)</v>
      </c>
      <c r="BG5" s="25" t="str">
        <f>IFERROR(__xludf.DUMMYFUNCTION("""COMPUTED_VALUE"""),"Process Date")</f>
        <v>Process Date</v>
      </c>
      <c r="BH5" s="25" t="str">
        <f>IFERROR(__xludf.DUMMYFUNCTION("""COMPUTED_VALUE"""),"Proxy Symbol")</f>
        <v>Proxy Symbol</v>
      </c>
      <c r="BI5" s="25" t="str">
        <f>IFERROR(__xludf.DUMMYFUNCTION("""COMPUTED_VALUE"""),"Put Or Call")</f>
        <v>Put Or Call</v>
      </c>
      <c r="BJ5" s="25" t="str">
        <f>IFERROR(__xludf.DUMMYFUNCTION("""COMPUTED_VALUE"""),"Quantity")</f>
        <v>Quantity</v>
      </c>
      <c r="BK5" s="25" t="str">
        <f>IFERROR(__xludf.DUMMYFUNCTION("""COMPUTED_VALUE"""),"SEC Fee")</f>
        <v>SEC Fee</v>
      </c>
      <c r="BL5" s="25" t="str">
        <f>IFERROR(__xludf.DUMMYFUNCTION("""COMPUTED_VALUE"""),"Sedol Symbol")</f>
        <v>Sedol Symbol</v>
      </c>
      <c r="BM5" s="25" t="str">
        <f>IFERROR(__xludf.DUMMYFUNCTION("""COMPUTED_VALUE"""),"Settlement Currency")</f>
        <v>Settlement Currency</v>
      </c>
      <c r="BN5" s="25" t="str">
        <f>IFERROR(__xludf.DUMMYFUNCTION("""COMPUTED_VALUE"""),"Settlement Date")</f>
        <v>Settlement Date</v>
      </c>
      <c r="BO5" s="25" t="str">
        <f>IFERROR(__xludf.DUMMYFUNCTION("""COMPUTED_VALUE"""),"Side")</f>
        <v>Side</v>
      </c>
      <c r="BP5" s="25" t="str">
        <f>IFERROR(__xludf.DUMMYFUNCTION("""COMPUTED_VALUE"""),"Soft Commission")</f>
        <v>Soft Commission</v>
      </c>
      <c r="BQ5" s="25" t="str">
        <f>IFERROR(__xludf.DUMMYFUNCTION("""COMPUTED_VALUE"""),"Soft Commission Per Share")</f>
        <v>Soft Commission Per Share</v>
      </c>
      <c r="BR5" s="25" t="str">
        <f>IFERROR(__xludf.DUMMYFUNCTION("""COMPUTED_VALUE"""),"Stamp Duty")</f>
        <v>Stamp Duty</v>
      </c>
      <c r="BS5" s="25" t="str">
        <f>IFERROR(__xludf.DUMMYFUNCTION("""COMPUTED_VALUE"""),"Strategy Name")</f>
        <v>Strategy Name</v>
      </c>
      <c r="BT5" s="25" t="str">
        <f>IFERROR(__xludf.DUMMYFUNCTION("""COMPUTED_VALUE"""),"Symbol")</f>
        <v>Symbol</v>
      </c>
      <c r="BU5" s="25" t="str">
        <f>IFERROR(__xludf.DUMMYFUNCTION("""COMPUTED_VALUE"""),"Tax On Commissions")</f>
        <v>Tax On Commissions</v>
      </c>
      <c r="BV5" s="25" t="str">
        <f>IFERROR(__xludf.DUMMYFUNCTION("""COMPUTED_VALUE"""),"Total Commission")</f>
        <v>Total Commission</v>
      </c>
      <c r="BW5" s="25" t="str">
        <f>IFERROR(__xludf.DUMMYFUNCTION("""COMPUTED_VALUE"""),"Total Commission And Fee")</f>
        <v>Total Commission And Fee</v>
      </c>
      <c r="BX5" s="25" t="str">
        <f>IFERROR(__xludf.DUMMYFUNCTION("""COMPUTED_VALUE"""),"Total Commission Per Share")</f>
        <v>Total Commission Per Share</v>
      </c>
      <c r="BY5" s="25" t="str">
        <f>IFERROR(__xludf.DUMMYFUNCTION("""COMPUTED_VALUE"""),"Trade Attribute 1")</f>
        <v>Trade Attribute 1</v>
      </c>
      <c r="BZ5" s="25" t="str">
        <f>IFERROR(__xludf.DUMMYFUNCTION("""COMPUTED_VALUE"""),"Trade Attribute 2")</f>
        <v>Trade Attribute 2</v>
      </c>
      <c r="CA5" s="25" t="str">
        <f>IFERROR(__xludf.DUMMYFUNCTION("""COMPUTED_VALUE"""),"Trade Attribute 3")</f>
        <v>Trade Attribute 3</v>
      </c>
      <c r="CB5" s="25" t="str">
        <f>IFERROR(__xludf.DUMMYFUNCTION("""COMPUTED_VALUE"""),"Trade Attribute 4")</f>
        <v>Trade Attribute 4</v>
      </c>
      <c r="CC5" s="25" t="str">
        <f>IFERROR(__xludf.DUMMYFUNCTION("""COMPUTED_VALUE"""),"Trade Attribute 5")</f>
        <v>Trade Attribute 5</v>
      </c>
      <c r="CD5" s="25" t="str">
        <f>IFERROR(__xludf.DUMMYFUNCTION("""COMPUTED_VALUE"""),"Trade Attribute 6")</f>
        <v>Trade Attribute 6</v>
      </c>
      <c r="CE5" s="25" t="str">
        <f>IFERROR(__xludf.DUMMYFUNCTION("""COMPUTED_VALUE"""),"Trade Date")</f>
        <v>Trade Date</v>
      </c>
      <c r="CF5" s="25" t="str">
        <f>IFERROR(__xludf.DUMMYFUNCTION("""COMPUTED_VALUE"""),"Trading Account")</f>
        <v>Trading Account</v>
      </c>
      <c r="CG5" s="25" t="str">
        <f>IFERROR(__xludf.DUMMYFUNCTION("""COMPUTED_VALUE"""),"Transaction Levy")</f>
        <v>Transaction Levy</v>
      </c>
      <c r="CH5" s="25" t="str">
        <f>IFERROR(__xludf.DUMMYFUNCTION("""COMPUTED_VALUE"""),"Transaction Source")</f>
        <v>Transaction Source</v>
      </c>
      <c r="CI5" s="25" t="str">
        <f>IFERROR(__xludf.DUMMYFUNCTION("""COMPUTED_VALUE"""),"Transaction Type")</f>
        <v>Transaction Type</v>
      </c>
      <c r="CJ5" s="25" t="str">
        <f>IFERROR(__xludf.DUMMYFUNCTION("""COMPUTED_VALUE"""),"UnAllocatedQty")</f>
        <v>UnAllocatedQty</v>
      </c>
      <c r="CK5" s="25" t="str">
        <f>IFERROR(__xludf.DUMMYFUNCTION("""COMPUTED_VALUE"""),"Underlying")</f>
        <v>Underlying</v>
      </c>
      <c r="CL5" s="25" t="str">
        <f>IFERROR(__xludf.DUMMYFUNCTION("""COMPUTED_VALUE"""),"Underlying Delta")</f>
        <v>Underlying Delta</v>
      </c>
      <c r="CM5" s="25" t="str">
        <f>IFERROR(__xludf.DUMMYFUNCTION("""COMPUTED_VALUE"""),"Underlying Symbol")</f>
        <v>Underlying Symbol</v>
      </c>
      <c r="CN5" s="25" t="str">
        <f>IFERROR(__xludf.DUMMYFUNCTION("""COMPUTED_VALUE"""),"User")</f>
        <v>User</v>
      </c>
      <c r="CO5" s="25" t="str">
        <f>IFERROR(__xludf.DUMMYFUNCTION("""COMPUTED_VALUE"""),"Venue")</f>
        <v>Venue</v>
      </c>
      <c r="CP5" s="25" t="str">
        <f>IFERROR(__xludf.DUMMYFUNCTION("""COMPUTED_VALUE"""),"Closing Method")</f>
        <v>Closing Method</v>
      </c>
      <c r="CQ5" s="25" t="str">
        <f>IFERROR(__xludf.DUMMYFUNCTION("""COMPUTED_VALUE"""),"Closing Date")</f>
        <v>Closing Date</v>
      </c>
      <c r="CR5" s="25" t="str">
        <f>IFERROR(__xludf.DUMMYFUNCTION("""COMPUTED_VALUE"""),"GroupID")</f>
        <v>GroupID</v>
      </c>
      <c r="CS5" s="25" t="str">
        <f>IFERROR(__xludf.DUMMYFUNCTION("""COMPUTED_VALUE"""),"Client")</f>
        <v>Client</v>
      </c>
      <c r="CT5" s="25" t="str">
        <f>IFERROR(__xludf.DUMMYFUNCTION("""COMPUTED_VALUE"""),"isRowCountCheck")</f>
        <v>isRowCountCheck</v>
      </c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ht="15.75" customHeight="1">
      <c r="A6" s="8"/>
      <c r="B6" s="29" t="s">
        <v>23</v>
      </c>
      <c r="C6" s="8"/>
      <c r="D6" s="13"/>
      <c r="E6" s="8"/>
      <c r="F6" s="13" t="s">
        <v>37</v>
      </c>
      <c r="G6" s="8"/>
      <c r="H6" s="8"/>
      <c r="I6" s="8"/>
      <c r="J6" s="8"/>
      <c r="K6" s="27"/>
      <c r="L6" s="35">
        <v>50.0</v>
      </c>
      <c r="M6" s="30"/>
      <c r="N6" s="30"/>
      <c r="O6" s="30"/>
      <c r="P6" s="30"/>
      <c r="Q6" s="30"/>
      <c r="R6" s="30"/>
      <c r="S6" s="30"/>
      <c r="T6" s="30"/>
      <c r="U6" s="30"/>
      <c r="W6" s="30"/>
      <c r="X6" s="30"/>
      <c r="Y6" s="30"/>
      <c r="Z6" s="30"/>
      <c r="AA6" s="30"/>
      <c r="AB6" s="30"/>
      <c r="AC6" s="30"/>
      <c r="AD6" s="30"/>
      <c r="AE6" s="35">
        <v>100.0</v>
      </c>
      <c r="AF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29" t="s">
        <v>17</v>
      </c>
      <c r="AZ6" s="30"/>
      <c r="BA6" s="30"/>
      <c r="BD6" s="30"/>
      <c r="BE6" s="30"/>
      <c r="BF6" s="30"/>
      <c r="BG6" s="30"/>
      <c r="BH6" s="30"/>
      <c r="BI6" s="30"/>
      <c r="BJ6" s="35">
        <v>1000.0</v>
      </c>
      <c r="BK6" s="30"/>
      <c r="BL6" s="30"/>
      <c r="BO6" s="29" t="s">
        <v>14</v>
      </c>
      <c r="BQ6" s="30"/>
      <c r="BR6" s="30"/>
      <c r="BS6" s="30"/>
      <c r="BT6" s="29" t="s">
        <v>13</v>
      </c>
      <c r="BV6" s="30"/>
      <c r="BW6" s="30"/>
      <c r="BX6" s="30"/>
      <c r="BY6" s="30"/>
      <c r="CA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28" t="s">
        <v>23</v>
      </c>
      <c r="C7" s="8"/>
      <c r="D7" s="13"/>
      <c r="E7" s="8"/>
      <c r="F7" s="13" t="s">
        <v>37</v>
      </c>
      <c r="G7" s="8"/>
      <c r="H7" s="8"/>
      <c r="I7" s="8"/>
      <c r="J7" s="8"/>
      <c r="K7" s="27"/>
      <c r="L7" s="27">
        <v>500.0</v>
      </c>
      <c r="M7" s="30"/>
      <c r="N7" s="30"/>
      <c r="O7" s="30"/>
      <c r="P7" s="30"/>
      <c r="Q7" s="30"/>
      <c r="R7" s="30"/>
      <c r="S7" s="30"/>
      <c r="T7" s="30"/>
      <c r="U7" s="30"/>
      <c r="W7" s="30"/>
      <c r="X7" s="30"/>
      <c r="Y7" s="30"/>
      <c r="Z7" s="30"/>
      <c r="AA7" s="30"/>
      <c r="AB7" s="30"/>
      <c r="AC7" s="30"/>
      <c r="AD7" s="30"/>
      <c r="AE7" s="27">
        <v>100.0</v>
      </c>
      <c r="AF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28" t="s">
        <v>25</v>
      </c>
      <c r="AZ7" s="30"/>
      <c r="BA7" s="30"/>
      <c r="BD7" s="30"/>
      <c r="BE7" s="30"/>
      <c r="BF7" s="30"/>
      <c r="BG7" s="30"/>
      <c r="BH7" s="30"/>
      <c r="BI7" s="30"/>
      <c r="BJ7" s="27">
        <v>100.0</v>
      </c>
      <c r="BK7" s="30"/>
      <c r="BL7" s="30"/>
      <c r="BO7" s="28" t="s">
        <v>24</v>
      </c>
      <c r="BQ7" s="30"/>
      <c r="BR7" s="30"/>
      <c r="BS7" s="30"/>
      <c r="BT7" s="28" t="s">
        <v>13</v>
      </c>
      <c r="BV7" s="30"/>
      <c r="BW7" s="30"/>
      <c r="BX7" s="30"/>
      <c r="BY7" s="30"/>
      <c r="CA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8"/>
      <c r="B8" s="28" t="s">
        <v>23</v>
      </c>
      <c r="C8" s="8"/>
      <c r="D8" s="8"/>
      <c r="E8" s="8"/>
      <c r="F8" s="34" t="s">
        <v>37</v>
      </c>
      <c r="G8" s="8"/>
      <c r="H8" s="8"/>
      <c r="I8" s="8"/>
      <c r="J8" s="8"/>
      <c r="K8" s="27"/>
      <c r="L8" s="27">
        <v>100.0</v>
      </c>
      <c r="M8" s="30"/>
      <c r="N8" s="30"/>
      <c r="O8" s="30"/>
      <c r="P8" s="30"/>
      <c r="Q8" s="30"/>
      <c r="R8" s="30"/>
      <c r="S8" s="30"/>
      <c r="T8" s="36">
        <v>150.0</v>
      </c>
      <c r="U8" s="30"/>
      <c r="W8" s="30"/>
      <c r="X8" s="30"/>
      <c r="Y8" s="30"/>
      <c r="Z8" s="30"/>
      <c r="AA8" s="30"/>
      <c r="AB8" s="30"/>
      <c r="AC8" s="30"/>
      <c r="AD8" s="30"/>
      <c r="AE8" s="27">
        <v>1000.0</v>
      </c>
      <c r="AF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28" t="s">
        <v>17</v>
      </c>
      <c r="AZ8" s="30"/>
      <c r="BA8" s="30"/>
      <c r="BD8" s="30"/>
      <c r="BE8" s="30"/>
      <c r="BF8" s="30"/>
      <c r="BG8" s="30"/>
      <c r="BH8" s="30"/>
      <c r="BI8" s="30"/>
      <c r="BJ8" s="27">
        <v>1000.0</v>
      </c>
      <c r="BK8" s="30"/>
      <c r="BL8" s="30"/>
      <c r="BO8" s="28" t="s">
        <v>24</v>
      </c>
      <c r="BQ8" s="30"/>
      <c r="BR8" s="30"/>
      <c r="BS8" s="30"/>
      <c r="BT8" s="30" t="s">
        <v>13</v>
      </c>
      <c r="BV8" s="30"/>
      <c r="BW8" s="30"/>
      <c r="BX8" s="30"/>
      <c r="BY8" s="30"/>
      <c r="CA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ht="15.75" customHeight="1">
      <c r="A9" s="8"/>
      <c r="B9" s="28" t="s">
        <v>23</v>
      </c>
      <c r="C9" s="8"/>
      <c r="D9" s="8"/>
      <c r="E9" s="8"/>
      <c r="F9" s="13" t="s">
        <v>37</v>
      </c>
      <c r="G9" s="8"/>
      <c r="H9" s="8"/>
      <c r="I9" s="8"/>
      <c r="J9" s="8"/>
      <c r="K9" s="27"/>
      <c r="L9" s="27">
        <v>100.0</v>
      </c>
      <c r="M9" s="30"/>
      <c r="N9" s="30"/>
      <c r="O9" s="30"/>
      <c r="P9" s="30"/>
      <c r="Q9" s="30"/>
      <c r="R9" s="30"/>
      <c r="S9" s="30"/>
      <c r="T9" s="36">
        <v>15000.0</v>
      </c>
      <c r="U9" s="30"/>
      <c r="W9" s="30"/>
      <c r="X9" s="30"/>
      <c r="Y9" s="30"/>
      <c r="Z9" s="30"/>
      <c r="AA9" s="30"/>
      <c r="AB9" s="30"/>
      <c r="AC9" s="30"/>
      <c r="AD9" s="30"/>
      <c r="AE9" s="27">
        <v>1000.0</v>
      </c>
      <c r="AF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28" t="s">
        <v>17</v>
      </c>
      <c r="AZ9" s="30"/>
      <c r="BA9" s="30"/>
      <c r="BD9" s="30"/>
      <c r="BE9" s="30"/>
      <c r="BF9" s="30"/>
      <c r="BG9" s="30"/>
      <c r="BH9" s="30"/>
      <c r="BI9" s="30"/>
      <c r="BJ9" s="27">
        <v>1000.0</v>
      </c>
      <c r="BK9" s="30"/>
      <c r="BL9" s="30"/>
      <c r="BO9" s="28" t="s">
        <v>24</v>
      </c>
      <c r="BQ9" s="30"/>
      <c r="BR9" s="30"/>
      <c r="BS9" s="30"/>
      <c r="BT9" s="28" t="s">
        <v>13</v>
      </c>
      <c r="BV9" s="30"/>
      <c r="BW9" s="30"/>
      <c r="BX9" s="30"/>
      <c r="BY9" s="30"/>
      <c r="CA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ht="15.75" customHeight="1">
      <c r="A10" s="8"/>
      <c r="B10" s="28" t="s">
        <v>23</v>
      </c>
      <c r="C10" s="8"/>
      <c r="D10" s="8"/>
      <c r="E10" s="8"/>
      <c r="F10" s="13" t="s">
        <v>37</v>
      </c>
      <c r="G10" s="8"/>
      <c r="H10" s="8"/>
      <c r="I10" s="8"/>
      <c r="J10" s="8"/>
      <c r="K10" s="27"/>
      <c r="L10" s="27">
        <v>100.0</v>
      </c>
      <c r="M10" s="30"/>
      <c r="N10" s="30"/>
      <c r="O10" s="30"/>
      <c r="P10" s="30"/>
      <c r="Q10" s="30"/>
      <c r="R10" s="30"/>
      <c r="S10" s="30"/>
      <c r="T10" s="36">
        <v>15.0</v>
      </c>
      <c r="U10" s="30"/>
      <c r="W10" s="30"/>
      <c r="X10" s="30"/>
      <c r="Y10" s="30"/>
      <c r="Z10" s="30"/>
      <c r="AA10" s="30"/>
      <c r="AB10" s="30"/>
      <c r="AC10" s="30"/>
      <c r="AD10" s="30"/>
      <c r="AE10" s="27">
        <v>1000.0</v>
      </c>
      <c r="AF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28" t="s">
        <v>17</v>
      </c>
      <c r="AZ10" s="30"/>
      <c r="BA10" s="30"/>
      <c r="BD10" s="30"/>
      <c r="BE10" s="30"/>
      <c r="BF10" s="30"/>
      <c r="BG10" s="30"/>
      <c r="BH10" s="30"/>
      <c r="BI10" s="30"/>
      <c r="BJ10" s="27">
        <v>1000.0</v>
      </c>
      <c r="BK10" s="30"/>
      <c r="BL10" s="30"/>
      <c r="BO10" s="28" t="s">
        <v>24</v>
      </c>
      <c r="BQ10" s="30"/>
      <c r="BR10" s="30"/>
      <c r="BS10" s="30"/>
      <c r="BT10" s="28" t="s">
        <v>13</v>
      </c>
      <c r="BV10" s="30"/>
      <c r="BW10" s="30"/>
      <c r="BX10" s="30"/>
      <c r="BY10" s="30"/>
      <c r="CA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</row>
    <row r="11" ht="15.75" customHeight="1">
      <c r="A11" s="8"/>
      <c r="B11" s="28" t="s">
        <v>23</v>
      </c>
      <c r="C11" s="8"/>
      <c r="D11" s="8"/>
      <c r="E11" s="8"/>
      <c r="F11" s="13" t="s">
        <v>37</v>
      </c>
      <c r="G11" s="8"/>
      <c r="H11" s="8"/>
      <c r="I11" s="8"/>
      <c r="J11" s="8"/>
      <c r="K11" s="27"/>
      <c r="L11" s="27">
        <v>100.0</v>
      </c>
      <c r="M11" s="30"/>
      <c r="N11" s="30"/>
      <c r="O11" s="30"/>
      <c r="P11" s="30"/>
      <c r="Q11" s="30"/>
      <c r="R11" s="30"/>
      <c r="S11" s="30"/>
      <c r="T11" s="36">
        <v>15.0</v>
      </c>
      <c r="U11" s="30"/>
      <c r="W11" s="30"/>
      <c r="X11" s="30"/>
      <c r="Y11" s="30"/>
      <c r="Z11" s="30"/>
      <c r="AA11" s="30"/>
      <c r="AB11" s="30"/>
      <c r="AC11" s="30"/>
      <c r="AD11" s="30"/>
      <c r="AE11" s="27">
        <v>1000.0</v>
      </c>
      <c r="AF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28" t="s">
        <v>17</v>
      </c>
      <c r="AZ11" s="30"/>
      <c r="BA11" s="30"/>
      <c r="BD11" s="30"/>
      <c r="BE11" s="30"/>
      <c r="BF11" s="30"/>
      <c r="BG11" s="30"/>
      <c r="BH11" s="30"/>
      <c r="BI11" s="30"/>
      <c r="BJ11" s="27">
        <v>1000.0</v>
      </c>
      <c r="BK11" s="30"/>
      <c r="BL11" s="30"/>
      <c r="BO11" s="28" t="s">
        <v>24</v>
      </c>
      <c r="BP11" s="9">
        <v>150.0</v>
      </c>
      <c r="BQ11" s="30"/>
      <c r="BR11" s="30"/>
      <c r="BS11" s="30"/>
      <c r="BT11" s="28" t="s">
        <v>13</v>
      </c>
      <c r="BV11" s="36">
        <v>165.0</v>
      </c>
      <c r="BW11" s="30"/>
      <c r="BX11" s="30"/>
      <c r="BY11" s="30"/>
      <c r="CA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</row>
    <row r="12" ht="15.75" customHeight="1">
      <c r="A12" s="8"/>
      <c r="B12" s="28" t="s">
        <v>23</v>
      </c>
      <c r="C12" s="8"/>
      <c r="D12" s="8"/>
      <c r="E12" s="8"/>
      <c r="F12" s="13" t="s">
        <v>37</v>
      </c>
      <c r="G12" s="8"/>
      <c r="H12" s="8"/>
      <c r="I12" s="8"/>
      <c r="J12" s="8"/>
      <c r="K12" s="27"/>
      <c r="L12" s="27">
        <v>100.0</v>
      </c>
      <c r="M12" s="30"/>
      <c r="N12" s="30"/>
      <c r="O12" s="30"/>
      <c r="P12" s="30"/>
      <c r="Q12" s="30"/>
      <c r="R12" s="30"/>
      <c r="S12" s="30"/>
      <c r="T12" s="36">
        <v>15.0</v>
      </c>
      <c r="U12" s="30"/>
      <c r="W12" s="30"/>
      <c r="X12" s="30"/>
      <c r="Y12" s="30"/>
      <c r="Z12" s="30"/>
      <c r="AA12" s="30"/>
      <c r="AB12" s="30"/>
      <c r="AC12" s="30"/>
      <c r="AD12" s="30"/>
      <c r="AE12" s="27">
        <v>1000.0</v>
      </c>
      <c r="AF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28" t="s">
        <v>17</v>
      </c>
      <c r="AZ12" s="30"/>
      <c r="BA12" s="30"/>
      <c r="BD12" s="30"/>
      <c r="BE12" s="36"/>
      <c r="BF12" s="30"/>
      <c r="BG12" s="30"/>
      <c r="BH12" s="30"/>
      <c r="BI12" s="30"/>
      <c r="BJ12" s="27">
        <v>1000.0</v>
      </c>
      <c r="BK12" s="30"/>
      <c r="BL12" s="30"/>
      <c r="BO12" s="28" t="s">
        <v>24</v>
      </c>
      <c r="BP12" s="9">
        <v>15000.0</v>
      </c>
      <c r="BQ12" s="30"/>
      <c r="BR12" s="30"/>
      <c r="BS12" s="30"/>
      <c r="BT12" s="28" t="s">
        <v>13</v>
      </c>
      <c r="BV12" s="36">
        <v>15015.0</v>
      </c>
      <c r="BW12" s="30"/>
      <c r="BX12" s="30"/>
      <c r="BY12" s="30"/>
      <c r="CA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25"/>
    <col customWidth="1" min="3" max="8" width="12.63"/>
    <col customWidth="1" min="9" max="9" width="15.88"/>
    <col customWidth="1" min="10" max="11" width="15.25"/>
    <col customWidth="1" min="12" max="169" width="12.63"/>
  </cols>
  <sheetData>
    <row r="1" ht="15.75" customHeight="1">
      <c r="A1" s="14"/>
      <c r="B1" s="1" t="s">
        <v>6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ht="15.75" customHeight="1">
      <c r="A3" s="16"/>
      <c r="B3" s="5" t="s">
        <v>7</v>
      </c>
      <c r="C3" s="17" t="s">
        <v>38</v>
      </c>
      <c r="D3" s="5" t="s">
        <v>9</v>
      </c>
      <c r="E3" s="17" t="s">
        <v>39</v>
      </c>
      <c r="F3" s="5" t="s">
        <v>11</v>
      </c>
      <c r="G3" s="18" t="s">
        <v>12</v>
      </c>
      <c r="H3" s="5"/>
      <c r="I3" s="16"/>
      <c r="J3" s="16"/>
      <c r="K3" s="16"/>
      <c r="L3" s="16"/>
      <c r="M3" s="16"/>
      <c r="N3" s="16"/>
      <c r="O3" s="1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</row>
    <row r="4" ht="15.75" customHeight="1">
      <c r="A4" s="20"/>
      <c r="B4" s="20" t="str">
        <f>IFERROR(__xludf.DUMMYFUNCTION("IF(C3="""","""",Transpose(IMPORTRANGE('_Settings'!$B$3,C3&amp;""!A4:A1000"")))"),"CheckDashboardPM")</f>
        <v>CheckDashboardPM</v>
      </c>
      <c r="C4" s="20" t="str">
        <f>IFERROR(__xludf.DUMMYFUNCTION("""COMPUTED_VALUE"""),"CheckPortfolioManagement")</f>
        <v>CheckPortfolioManagement</v>
      </c>
      <c r="D4" s="20" t="str">
        <f>IFERROR(__xludf.DUMMYFUNCTION("""COMPUTED_VALUE"""),"OpenPSTFromPM")</f>
        <v>OpenPSTFromPM</v>
      </c>
      <c r="E4" s="20" t="str">
        <f>IFERROR(__xludf.DUMMYFUNCTION("""COMPUTED_VALUE"""),"ClosePM")</f>
        <v>ClosePM</v>
      </c>
      <c r="F4" s="20" t="str">
        <f>IFERROR(__xludf.DUMMYFUNCTION("""COMPUTED_VALUE"""),"FilterPM")</f>
        <v>FilterPM</v>
      </c>
      <c r="G4" s="20" t="str">
        <f>IFERROR(__xludf.DUMMYFUNCTION("""COMPUTED_VALUE"""),"GroupRowPM")</f>
        <v>GroupRowPM</v>
      </c>
      <c r="H4" s="20" t="str">
        <f>IFERROR(__xludf.DUMMYFUNCTION("""COMPUTED_VALUE"""),"CheckDashboardWithPM")</f>
        <v>CheckDashboardWithPM</v>
      </c>
      <c r="I4" s="20" t="str">
        <f>IFERROR(__xludf.DUMMYFUNCTION("""COMPUTED_VALUE"""),"RemoveFilterPM")</f>
        <v>RemoveFilterPM</v>
      </c>
      <c r="J4" s="20" t="str">
        <f>IFERROR(__xludf.DUMMYFUNCTION("""COMPUTED_VALUE"""),"CheckSummaryRowsPM")</f>
        <v>CheckSummaryRowsPM</v>
      </c>
      <c r="K4" s="20" t="str">
        <f>IFERROR(__xludf.DUMMYFUNCTION("""COMPUTED_VALUE"""),"OpenPTTFromPM")</f>
        <v>OpenPTTFromPM</v>
      </c>
      <c r="L4" s="20" t="str">
        <f>IFERROR(__xludf.DUMMYFUNCTION("""COMPUTED_VALUE"""),"OpenClosingFromPM")</f>
        <v>OpenClosingFromPM</v>
      </c>
      <c r="M4" s="20" t="str">
        <f>IFERROR(__xludf.DUMMYFUNCTION("""COMPUTED_VALUE"""),"OpenCorporateActionFromPM")</f>
        <v>OpenCorporateActionFromPM</v>
      </c>
      <c r="N4" s="20" t="str">
        <f>IFERROR(__xludf.DUMMYFUNCTION("""COMPUTED_VALUE"""),"OpenDailyValuationFromPM")</f>
        <v>OpenDailyValuationFromPM</v>
      </c>
      <c r="O4" s="20" t="str">
        <f>IFERROR(__xludf.DUMMYFUNCTION("""COMPUTED_VALUE"""),"ClosePositionFromPM")</f>
        <v>ClosePositionFromPM</v>
      </c>
      <c r="P4" s="21" t="str">
        <f>IFERROR(__xludf.DUMMYFUNCTION("""COMPUTED_VALUE"""),"ShowSummaryToolFromPM")</f>
        <v>ShowSummaryToolFromPM</v>
      </c>
      <c r="Q4" s="21" t="str">
        <f>IFERROR(__xludf.DUMMYFUNCTION("""COMPUTED_VALUE"""),"HideSummaryToolFromPM")</f>
        <v>HideSummaryToolFromPM</v>
      </c>
      <c r="R4" s="21" t="str">
        <f>IFERROR(__xludf.DUMMYFUNCTION("""COMPUTED_VALUE"""),"CloseAccountPositionFromPM")</f>
        <v>CloseAccountPositionFromPM</v>
      </c>
      <c r="S4" s="21" t="str">
        <f>IFERROR(__xludf.DUMMYFUNCTION("""COMPUTED_VALUE"""),"CloseSelectedTaxlotsFromPM")</f>
        <v>CloseSelectedTaxlotsFromPM</v>
      </c>
      <c r="T4" s="21" t="str">
        <f>IFERROR(__xludf.DUMMYFUNCTION("""COMPUTED_VALUE"""),"ExpandCollapsePM")</f>
        <v>ExpandCollapsePM</v>
      </c>
      <c r="U4" s="21" t="str">
        <f>IFERROR(__xludf.DUMMYFUNCTION("""COMPUTED_VALUE"""),"AddCustomViewPM")</f>
        <v>AddCustomViewPM</v>
      </c>
      <c r="V4" s="21" t="str">
        <f>IFERROR(__xludf.DUMMYFUNCTION("""COMPUTED_VALUE"""),"AddCustomViewRightClickPM")</f>
        <v>AddCustomViewRightClickPM</v>
      </c>
      <c r="W4" s="21" t="str">
        <f>IFERROR(__xludf.DUMMYFUNCTION("""COMPUTED_VALUE"""),"RenameCustomViewPM")</f>
        <v>RenameCustomViewPM</v>
      </c>
      <c r="X4" s="21" t="str">
        <f>IFERROR(__xludf.DUMMYFUNCTION("""COMPUTED_VALUE"""),"DeleteCustomViewPM")</f>
        <v>DeleteCustomViewPM</v>
      </c>
      <c r="Y4" s="21" t="str">
        <f>IFERROR(__xludf.DUMMYFUNCTION("""COMPUTED_VALUE"""),"OpenCreateTransactionFromPM")</f>
        <v>OpenCreateTransactionFromPM</v>
      </c>
      <c r="Z4" s="21" t="str">
        <f>IFERROR(__xludf.DUMMYFUNCTION("""COMPUTED_VALUE"""),"RemoveGroupingFromPM")</f>
        <v>RemoveGroupingFromPM</v>
      </c>
      <c r="AA4" s="21" t="str">
        <f>IFERROR(__xludf.DUMMYFUNCTION("""COMPUTED_VALUE"""),"IncreasePositionFromPM")</f>
        <v>IncreasePositionFromPM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IFERROR(__xludf.DUMMYFUNCTION("""COMPUTED_VALUE"""),"Trade Date")</f>
        <v>Trade Date</v>
      </c>
      <c r="C5" s="23" t="str">
        <f>IFERROR(__xludf.DUMMYFUNCTION("""COMPUTED_VALUE"""),"Symbol")</f>
        <v>Symbol</v>
      </c>
      <c r="D5" s="23" t="str">
        <f>IFERROR(__xludf.DUMMYFUNCTION("""COMPUTED_VALUE"""),"Position")</f>
        <v>Position</v>
      </c>
      <c r="E5" s="23" t="str">
        <f>IFERROR(__xludf.DUMMYFUNCTION("""COMPUTED_VALUE"""),"Account")</f>
        <v>Account</v>
      </c>
      <c r="F5" s="24" t="str">
        <f>IFERROR(__xludf.DUMMYFUNCTION("""COMPUTED_VALUE"""),"MasterFund")</f>
        <v>MasterFund</v>
      </c>
      <c r="G5" s="23" t="str">
        <f>IFERROR(__xludf.DUMMYFUNCTION("""COMPUTED_VALUE"""),"Cost Basis")</f>
        <v>Cost Basis</v>
      </c>
      <c r="H5" s="23" t="str">
        <f>IFERROR(__xludf.DUMMYFUNCTION("""COMPUTED_VALUE"""),"Position Side")</f>
        <v>Position Side</v>
      </c>
      <c r="I5" s="23" t="str">
        <f>IFERROR(__xludf.DUMMYFUNCTION("""COMPUTED_VALUE"""),"Market Value (Base)")</f>
        <v>Market Value (Base)</v>
      </c>
      <c r="J5" s="23" t="str">
        <f>IFERROR(__xludf.DUMMYFUNCTION("""COMPUTED_VALUE"""),"% Day P&amp;L (Gross MV)")</f>
        <v>% Day P&amp;L (Gross MV)</v>
      </c>
      <c r="K5" s="23" t="str">
        <f>IFERROR(__xludf.DUMMYFUNCTION("""COMPUTED_VALUE"""),"Net Exposure (Base)")</f>
        <v>Net Exposure (Base)</v>
      </c>
      <c r="L5" s="23" t="str">
        <f>IFERROR(__xludf.DUMMYFUNCTION("""COMPUTED_VALUE"""),"Beta Adj. Gross Exposure (Base)")</f>
        <v>Beta Adj. Gross Exposure (Base)</v>
      </c>
      <c r="M5" s="23" t="str">
        <f>IFERROR(__xludf.DUMMYFUNCTION("""COMPUTED_VALUE"""),"Beta Adj. Gross Exposure (Underlying) (Base)")</f>
        <v>Beta Adj. Gross Exposure (Underlying) (Base)</v>
      </c>
      <c r="N5" s="23" t="str">
        <f>IFERROR(__xludf.DUMMYFUNCTION("""COMPUTED_VALUE"""),"Day P&amp;L (Base)")</f>
        <v>Day P&amp;L (Base)</v>
      </c>
      <c r="O5" s="23" t="str">
        <f>IFERROR(__xludf.DUMMYFUNCTION("""COMPUTED_VALUE"""),"Security Name")</f>
        <v>Security Name</v>
      </c>
      <c r="P5" s="23" t="str">
        <f>IFERROR(__xludf.DUMMYFUNCTION("""COMPUTED_VALUE"""),"Closing Mark")</f>
        <v>Closing Mark</v>
      </c>
      <c r="Q5" s="23" t="str">
        <f>IFERROR(__xludf.DUMMYFUNCTION("""COMPUTED_VALUE"""),"Cost Basis P&amp;L (Base)")</f>
        <v>Cost Basis P&amp;L (Base)</v>
      </c>
      <c r="R5" s="23" t="str">
        <f>IFERROR(__xludf.DUMMYFUNCTION("""COMPUTED_VALUE"""),"Prime Broker")</f>
        <v>Prime Broker</v>
      </c>
      <c r="S5" s="23" t="str">
        <f>IFERROR(__xludf.DUMMYFUNCTION("""COMPUTED_VALUE"""),"Strategy")</f>
        <v>Strategy</v>
      </c>
      <c r="T5" s="25" t="str">
        <f>IFERROR(__xludf.DUMMYFUNCTION("""COMPUTED_VALUE"""),"Asset Class")</f>
        <v>Asset Class</v>
      </c>
      <c r="U5" s="25" t="str">
        <f>IFERROR(__xludf.DUMMYFUNCTION("""COMPUTED_VALUE"""),"Underlying")</f>
        <v>Underlying</v>
      </c>
      <c r="V5" s="25" t="str">
        <f>IFERROR(__xludf.DUMMYFUNCTION("""COMPUTED_VALUE"""),"Exchange")</f>
        <v>Exchange</v>
      </c>
      <c r="W5" s="25" t="str">
        <f>IFERROR(__xludf.DUMMYFUNCTION("""COMPUTED_VALUE"""),"Trade Currency")</f>
        <v>Trade Currency</v>
      </c>
      <c r="X5" s="25" t="str">
        <f>IFERROR(__xludf.DUMMYFUNCTION("""COMPUTED_VALUE"""),"Multiplier")</f>
        <v>Multiplier</v>
      </c>
      <c r="Y5" s="25" t="str">
        <f>IFERROR(__xludf.DUMMYFUNCTION("""COMPUTED_VALUE"""),"FX Rate")</f>
        <v>FX Rate</v>
      </c>
      <c r="Z5" s="25" t="str">
        <f>IFERROR(__xludf.DUMMYFUNCTION("""COMPUTED_VALUE"""),"Vs Currency")</f>
        <v>Vs Currency</v>
      </c>
      <c r="AA5" s="25" t="str">
        <f>IFERROR(__xludf.DUMMYFUNCTION("""COMPUTED_VALUE"""),"Lead Currency")</f>
        <v>Lead Currency</v>
      </c>
      <c r="AB5" s="25" t="str">
        <f>IFERROR(__xludf.DUMMYFUNCTION("""COMPUTED_VALUE"""),"Dividend Yield (%)")</f>
        <v>Dividend Yield (%)</v>
      </c>
      <c r="AC5" s="25" t="str">
        <f>IFERROR(__xludf.DUMMYFUNCTION("""COMPUTED_VALUE"""),"% Change")</f>
        <v>% Change</v>
      </c>
      <c r="AD5" s="25" t="str">
        <f>IFERROR(__xludf.DUMMYFUNCTION("""COMPUTED_VALUE"""),"Net Exposure (Local)")</f>
        <v>Net Exposure (Local)</v>
      </c>
      <c r="AE5" s="25" t="str">
        <f>IFERROR(__xludf.DUMMYFUNCTION("""COMPUTED_VALUE"""),"Exposure (Local)")</f>
        <v>Exposure (Local)</v>
      </c>
      <c r="AF5" s="25" t="str">
        <f>IFERROR(__xludf.DUMMYFUNCTION("""COMPUTED_VALUE"""),"Delta Adj. Position")</f>
        <v>Delta Adj. Position</v>
      </c>
      <c r="AG5" s="25" t="str">
        <f>IFERROR(__xludf.DUMMYFUNCTION("""COMPUTED_VALUE"""),"Exposure (Base)")</f>
        <v>Exposure (Base)</v>
      </c>
      <c r="AH5" s="25" t="str">
        <f>IFERROR(__xludf.DUMMYFUNCTION("""COMPUTED_VALUE"""),"Beta Adj. Exposure (Local)")</f>
        <v>Beta Adj. Exposure (Local)</v>
      </c>
      <c r="AI5" s="25" t="str">
        <f>IFERROR(__xludf.DUMMYFUNCTION("""COMPUTED_VALUE"""),"Beta Adj. Exposure (Base)")</f>
        <v>Beta Adj. Exposure (Base)</v>
      </c>
      <c r="AJ5" s="25" t="str">
        <f>IFERROR(__xludf.DUMMYFUNCTION("""COMPUTED_VALUE"""),"Exposure (BP)(Base)")</f>
        <v>Exposure (BP)(Base)</v>
      </c>
      <c r="AK5" s="25" t="str">
        <f>IFERROR(__xludf.DUMMYFUNCTION("""COMPUTED_VALUE"""),"Day P&amp;L (Local)")</f>
        <v>Day P&amp;L (Local)</v>
      </c>
      <c r="AL5" s="25" t="str">
        <f>IFERROR(__xludf.DUMMYFUNCTION("""COMPUTED_VALUE"""),"Delta")</f>
        <v>Delta</v>
      </c>
      <c r="AM5" s="25" t="str">
        <f>IFERROR(__xludf.DUMMYFUNCTION("""COMPUTED_VALUE"""),"Leveraged Factor")</f>
        <v>Leveraged Factor</v>
      </c>
      <c r="AN5" s="25" t="str">
        <f>IFERROR(__xludf.DUMMYFUNCTION("""COMPUTED_VALUE"""),"Order Side")</f>
        <v>Order Side</v>
      </c>
      <c r="AO5" s="25" t="str">
        <f>IFERROR(__xludf.DUMMYFUNCTION("""COMPUTED_VALUE"""),"Master Strategy")</f>
        <v>Master Strategy</v>
      </c>
      <c r="AP5" s="25" t="str">
        <f>IFERROR(__xludf.DUMMYFUNCTION("""COMPUTED_VALUE"""),"Transaction Side")</f>
        <v>Transaction Side</v>
      </c>
      <c r="AQ5" s="25" t="str">
        <f>IFERROR(__xludf.DUMMYFUNCTION("""COMPUTED_VALUE"""),"Underlying Symbol")</f>
        <v>Underlying Symbol</v>
      </c>
      <c r="AR5" s="25" t="str">
        <f>IFERROR(__xludf.DUMMYFUNCTION("""COMPUTED_VALUE"""),"Underlying Price")</f>
        <v>Underlying Price</v>
      </c>
      <c r="AS5" s="25" t="str">
        <f>IFERROR(__xludf.DUMMYFUNCTION("""COMPUTED_VALUE"""),"Side Multiplier")</f>
        <v>Side Multiplier</v>
      </c>
      <c r="AT5" s="25" t="str">
        <f>IFERROR(__xludf.DUMMYFUNCTION("""COMPUTED_VALUE"""),"Description")</f>
        <v>Description</v>
      </c>
      <c r="AU5" s="25" t="str">
        <f>IFERROR(__xludf.DUMMYFUNCTION("""COMPUTED_VALUE"""),"Internal Comments")</f>
        <v>Internal Comments</v>
      </c>
      <c r="AV5" s="25" t="str">
        <f>IFERROR(__xludf.DUMMYFUNCTION("""COMPUTED_VALUE"""),"FX Rate On Trade Date")</f>
        <v>FX Rate On Trade Date</v>
      </c>
      <c r="AW5" s="25" t="str">
        <f>IFERROR(__xludf.DUMMYFUNCTION("""COMPUTED_VALUE"""),"Cost Basis P&amp;L (Local)")</f>
        <v>Cost Basis P&amp;L (Local)</v>
      </c>
      <c r="AX5" s="25" t="str">
        <f>IFERROR(__xludf.DUMMYFUNCTION("""COMPUTED_VALUE"""),"Day Interest")</f>
        <v>Day Interest</v>
      </c>
      <c r="AY5" s="25" t="str">
        <f>IFERROR(__xludf.DUMMYFUNCTION("""COMPUTED_VALUE"""),"Total Interest")</f>
        <v>Total Interest</v>
      </c>
      <c r="AZ5" s="25" t="str">
        <f>IFERROR(__xludf.DUMMYFUNCTION("""COMPUTED_VALUE"""),"Market Value (Local)")</f>
        <v>Market Value (Local)</v>
      </c>
      <c r="BA5" s="25" t="str">
        <f>IFERROR(__xludf.DUMMYFUNCTION("""COMPUTED_VALUE"""),"% Gain/Loss Day")</f>
        <v>% Gain/Loss Day</v>
      </c>
      <c r="BB5" s="25" t="str">
        <f>IFERROR(__xludf.DUMMYFUNCTION("""COMPUTED_VALUE"""),"Update Time (Last Price)")</f>
        <v>Update Time (Last Price)</v>
      </c>
      <c r="BC5" s="25" t="str">
        <f>IFERROR(__xludf.DUMMYFUNCTION("""COMPUTED_VALUE"""),"Beta")</f>
        <v>Beta</v>
      </c>
      <c r="BD5" s="25" t="str">
        <f>IFERROR(__xludf.DUMMYFUNCTION("""COMPUTED_VALUE"""),"Cash Impact (Local)")</f>
        <v>Cash Impact (Local)</v>
      </c>
      <c r="BE5" s="25" t="str">
        <f>IFERROR(__xludf.DUMMYFUNCTION("""COMPUTED_VALUE"""),"User Asset")</f>
        <v>User Asset</v>
      </c>
      <c r="BF5" s="25" t="str">
        <f>IFERROR(__xludf.DUMMYFUNCTION("""COMPUTED_VALUE"""),"Security Type")</f>
        <v>Security Type</v>
      </c>
      <c r="BG5" s="25" t="str">
        <f>IFERROR(__xludf.DUMMYFUNCTION("""COMPUTED_VALUE"""),"Sector")</f>
        <v>Sector</v>
      </c>
      <c r="BH5" s="25" t="str">
        <f>IFERROR(__xludf.DUMMYFUNCTION("""COMPUTED_VALUE"""),"Sub Sector")</f>
        <v>Sub Sector</v>
      </c>
      <c r="BI5" s="25" t="str">
        <f>IFERROR(__xludf.DUMMYFUNCTION("""COMPUTED_VALUE"""),"Country")</f>
        <v>Country</v>
      </c>
      <c r="BJ5" s="25" t="str">
        <f>IFERROR(__xludf.DUMMYFUNCTION("""COMPUTED_VALUE"""),"Market Cap")</f>
        <v>Market Cap</v>
      </c>
      <c r="BK5" s="25" t="str">
        <f>IFERROR(__xludf.DUMMYFUNCTION("""COMPUTED_VALUE"""),"Shares Outstanding (MM)")</f>
        <v>Shares Outstanding (MM)</v>
      </c>
      <c r="BL5" s="25" t="str">
        <f>IFERROR(__xludf.DUMMYFUNCTION("""COMPUTED_VALUE"""),"Avg Volume 20 Day")</f>
        <v>Avg Volume 20 Day</v>
      </c>
      <c r="BM5" s="25" t="str">
        <f>IFERROR(__xludf.DUMMYFUNCTION("""COMPUTED_VALUE"""),"% Avg Volume (Delta Adj.)")</f>
        <v>% Avg Volume (Delta Adj.)</v>
      </c>
      <c r="BN5" s="25" t="str">
        <f>IFERROR(__xludf.DUMMYFUNCTION("""COMPUTED_VALUE"""),"Ex Dividend Date")</f>
        <v>Ex Dividend Date</v>
      </c>
      <c r="BO5" s="25" t="str">
        <f>IFERROR(__xludf.DUMMYFUNCTION("""COMPUTED_VALUE"""),"Cash Impact (Base)")</f>
        <v>Cash Impact (Base)</v>
      </c>
      <c r="BP5" s="25" t="str">
        <f>IFERROR(__xludf.DUMMYFUNCTION("""COMPUTED_VALUE"""),"Volatility (%)")</f>
        <v>Volatility (%)</v>
      </c>
      <c r="BQ5" s="25" t="str">
        <f>IFERROR(__xludf.DUMMYFUNCTION("""COMPUTED_VALUE"""),"User")</f>
        <v>User</v>
      </c>
      <c r="BR5" s="25" t="str">
        <f>IFERROR(__xludf.DUMMYFUNCTION("""COMPUTED_VALUE"""),"Broker")</f>
        <v>Broker</v>
      </c>
      <c r="BS5" s="25" t="str">
        <f>IFERROR(__xludf.DUMMYFUNCTION("""COMPUTED_VALUE"""),"Earned Dividend (Local)")</f>
        <v>Earned Dividend (Local)</v>
      </c>
      <c r="BT5" s="25" t="str">
        <f>IFERROR(__xludf.DUMMYFUNCTION("""COMPUTED_VALUE"""),"Earned Dividend (Base)")</f>
        <v>Earned Dividend (Base)</v>
      </c>
      <c r="BU5" s="25" t="str">
        <f>IFERROR(__xludf.DUMMYFUNCTION("""COMPUTED_VALUE"""),"Put/Call")</f>
        <v>Put/Call</v>
      </c>
      <c r="BV5" s="25" t="str">
        <f>IFERROR(__xludf.DUMMYFUNCTION("""COMPUTED_VALUE"""),"Expiration Date")</f>
        <v>Expiration Date</v>
      </c>
      <c r="BW5" s="25" t="str">
        <f>IFERROR(__xludf.DUMMYFUNCTION("""COMPUTED_VALUE"""),"Strike Price")</f>
        <v>Strike Price</v>
      </c>
      <c r="BX5" s="25" t="str">
        <f>IFERROR(__xludf.DUMMYFUNCTION("""COMPUTED_VALUE"""),"Gross Exposure (Base)")</f>
        <v>Gross Exposure (Base)</v>
      </c>
      <c r="BY5" s="25" t="str">
        <f>IFERROR(__xludf.DUMMYFUNCTION("""COMPUTED_VALUE"""),"Gross Market Value (Base)")</f>
        <v>Gross Market Value (Base)</v>
      </c>
      <c r="BZ5" s="25" t="str">
        <f>IFERROR(__xludf.DUMMYFUNCTION("""COMPUTED_VALUE"""),"Px Selected Feed (Local)")</f>
        <v>Px Selected Feed (Local)</v>
      </c>
      <c r="CA5" s="25" t="str">
        <f>IFERROR(__xludf.DUMMYFUNCTION("""COMPUTED_VALUE"""),"Px Selected Feed (Base)")</f>
        <v>Px Selected Feed (Base)</v>
      </c>
      <c r="CB5" s="25" t="str">
        <f>IFERROR(__xludf.DUMMYFUNCTION("""COMPUTED_VALUE"""),"Settlement Date")</f>
        <v>Settlement Date</v>
      </c>
      <c r="CC5" s="25" t="str">
        <f>IFERROR(__xludf.DUMMYFUNCTION("""COMPUTED_VALUE"""),"% Avg Volume")</f>
        <v>% Avg Volume</v>
      </c>
      <c r="CD5" s="25" t="str">
        <f>IFERROR(__xludf.DUMMYFUNCTION("""COMPUTED_VALUE"""),"Day P&amp;L (Base)(Price Gain)")</f>
        <v>Day P&amp;L (Base)(Price Gain)</v>
      </c>
      <c r="CE5" s="25" t="str">
        <f>IFERROR(__xludf.DUMMYFUNCTION("""COMPUTED_VALUE"""),"Day P&amp;L (Base)(FX Gain)")</f>
        <v>Day P&amp;L (Base)(FX Gain)</v>
      </c>
      <c r="CF5" s="25" t="str">
        <f>IFERROR(__xludf.DUMMYFUNCTION("""COMPUTED_VALUE"""),"Cost Basis P&amp;L (Base)(FX Gain)")</f>
        <v>Cost Basis P&amp;L (Base)(FX Gain)</v>
      </c>
      <c r="CG5" s="25" t="str">
        <f>IFERROR(__xludf.DUMMYFUNCTION("""COMPUTED_VALUE"""),"Cost Basis P&amp;L (Base)(Price Gain)")</f>
        <v>Cost Basis P&amp;L (Base)(Price Gain)</v>
      </c>
      <c r="CH5" s="25" t="str">
        <f>IFERROR(__xludf.DUMMYFUNCTION("""COMPUTED_VALUE"""),"% Gain/Loss Cost")</f>
        <v>% Gain/Loss Cost</v>
      </c>
      <c r="CI5" s="25" t="str">
        <f>IFERROR(__xludf.DUMMYFUNCTION("""COMPUTED_VALUE"""),"Underlying Value (Options)")</f>
        <v>Underlying Value (Options)</v>
      </c>
      <c r="CJ5" s="25" t="str">
        <f>IFERROR(__xludf.DUMMYFUNCTION("""COMPUTED_VALUE"""),"Avg Volume 20 Day (Underlying Symbol)")</f>
        <v>Avg Volume 20 Day (Underlying Symbol)</v>
      </c>
      <c r="CK5" s="25" t="str">
        <f>IFERROR(__xludf.DUMMYFUNCTION("""COMPUTED_VALUE"""),"IsStaleData")</f>
        <v>IsStaleData</v>
      </c>
      <c r="CL5" s="25" t="str">
        <f>IFERROR(__xludf.DUMMYFUNCTION("""COMPUTED_VALUE"""),"IDCO")</f>
        <v>IDCO</v>
      </c>
      <c r="CM5" s="25" t="str">
        <f>IFERROR(__xludf.DUMMYFUNCTION("""COMPUTED_VALUE"""),"OSI")</f>
        <v>OSI</v>
      </c>
      <c r="CN5" s="25" t="str">
        <f>IFERROR(__xludf.DUMMYFUNCTION("""COMPUTED_VALUE"""),"SEDOL")</f>
        <v>SEDOL</v>
      </c>
      <c r="CO5" s="25" t="str">
        <f>IFERROR(__xludf.DUMMYFUNCTION("""COMPUTED_VALUE"""),"CUSIP")</f>
        <v>CUSIP</v>
      </c>
      <c r="CP5" s="25" t="str">
        <f>IFERROR(__xludf.DUMMYFUNCTION("""COMPUTED_VALUE"""),"Bloomberg")</f>
        <v>Bloomberg</v>
      </c>
      <c r="CQ5" s="25" t="str">
        <f>IFERROR(__xludf.DUMMYFUNCTION("""COMPUTED_VALUE"""),"ISIN")</f>
        <v>ISIN</v>
      </c>
      <c r="CR5" s="25" t="str">
        <f>IFERROR(__xludf.DUMMYFUNCTION("""COMPUTED_VALUE"""),"Start Trade Date")</f>
        <v>Start Trade Date</v>
      </c>
      <c r="CS5" s="25" t="str">
        <f>IFERROR(__xludf.DUMMYFUNCTION("""COMPUTED_VALUE"""),"Cost Basis (Break Even)")</f>
        <v>Cost Basis (Break Even)</v>
      </c>
      <c r="CT5" s="25" t="str">
        <f>IFERROR(__xludf.DUMMYFUNCTION("""COMPUTED_VALUE"""),"Trade Attribute 3")</f>
        <v>Trade Attribute 3</v>
      </c>
      <c r="CU5" s="25" t="str">
        <f>IFERROR(__xludf.DUMMYFUNCTION("""COMPUTED_VALUE"""),"Trade Attribute 4")</f>
        <v>Trade Attribute 4</v>
      </c>
      <c r="CV5" s="25" t="str">
        <f>IFERROR(__xludf.DUMMYFUNCTION("""COMPUTED_VALUE"""),"Trade Attribute 5")</f>
        <v>Trade Attribute 5</v>
      </c>
      <c r="CW5" s="25" t="str">
        <f>IFERROR(__xludf.DUMMYFUNCTION("""COMPUTED_VALUE"""),"Trade Attribute 6")</f>
        <v>Trade Attribute 6</v>
      </c>
      <c r="CX5" s="25" t="str">
        <f>IFERROR(__xludf.DUMMYFUNCTION("""COMPUTED_VALUE"""),"Proxy Symbol")</f>
        <v>Proxy Symbol</v>
      </c>
      <c r="CY5" s="25" t="str">
        <f>IFERROR(__xludf.DUMMYFUNCTION("""COMPUTED_VALUE"""),"Pricing Source")</f>
        <v>Pricing Source</v>
      </c>
      <c r="CZ5" s="25" t="str">
        <f>IFERROR(__xludf.DUMMYFUNCTION("""COMPUTED_VALUE"""),"Delta Source")</f>
        <v>Delta Source</v>
      </c>
      <c r="DA5" s="25" t="str">
        <f>IFERROR(__xludf.DUMMYFUNCTION("""COMPUTED_VALUE"""),"Gross Exposure (Local)")</f>
        <v>Gross Exposure (Local)</v>
      </c>
      <c r="DB5" s="25" t="str">
        <f>IFERROR(__xludf.DUMMYFUNCTION("""COMPUTED_VALUE"""),"% Day P&amp;L (Net MV)")</f>
        <v>% Day P&amp;L (Net MV)</v>
      </c>
      <c r="DC5" s="25" t="str">
        <f>IFERROR(__xludf.DUMMYFUNCTION("""COMPUTED_VALUE"""),"Expiration Month")</f>
        <v>Expiration Month</v>
      </c>
      <c r="DD5" s="25" t="str">
        <f>IFERROR(__xludf.DUMMYFUNCTION("""COMPUTED_VALUE"""),"Delta Adj. Position (LME)")</f>
        <v>Delta Adj. Position (LME)</v>
      </c>
      <c r="DE5" s="25" t="str">
        <f>IFERROR(__xludf.DUMMYFUNCTION("""COMPUTED_VALUE"""),"Premium")</f>
        <v>Premium</v>
      </c>
      <c r="DF5" s="25" t="str">
        <f>IFERROR(__xludf.DUMMYFUNCTION("""COMPUTED_VALUE"""),"Premium $")</f>
        <v>Premium $</v>
      </c>
      <c r="DG5" s="25" t="str">
        <f>IFERROR(__xludf.DUMMYFUNCTION("""COMPUTED_VALUE"""),"Forward Points")</f>
        <v>Forward Points</v>
      </c>
      <c r="DH5" s="25" t="str">
        <f>IFERROR(__xludf.DUMMYFUNCTION("""COMPUTED_VALUE"""),"Closing Mark (Underlying)")</f>
        <v>Closing Mark (Underlying)</v>
      </c>
      <c r="DI5" s="25" t="str">
        <f>IFERROR(__xludf.DUMMYFUNCTION("""COMPUTED_VALUE"""),"% Change (Underlying Price)")</f>
        <v>% Change (Underlying Price)</v>
      </c>
      <c r="DJ5" s="25" t="str">
        <f>IFERROR(__xludf.DUMMYFUNCTION("""COMPUTED_VALUE"""),"Transaction Type")</f>
        <v>Transaction Type</v>
      </c>
      <c r="DK5" s="25" t="str">
        <f>IFERROR(__xludf.DUMMYFUNCTION("""COMPUTED_VALUE"""),"Closing Market Value (Local)")</f>
        <v>Closing Market Value (Local)</v>
      </c>
      <c r="DL5" s="25" t="str">
        <f>IFERROR(__xludf.DUMMYFUNCTION("""COMPUTED_VALUE"""),"Closing Market Value (Base)")</f>
        <v>Closing Market Value (Base)</v>
      </c>
      <c r="DM5" s="25" t="str">
        <f>IFERROR(__xludf.DUMMYFUNCTION("""COMPUTED_VALUE"""),"Closing FX Rate")</f>
        <v>Closing FX Rate</v>
      </c>
      <c r="DN5" s="25" t="str">
        <f>IFERROR(__xludf.DUMMYFUNCTION("""COMPUTED_VALUE"""),"Change In Underlying Price")</f>
        <v>Change In Underlying Price</v>
      </c>
      <c r="DO5" s="25" t="str">
        <f>IFERROR(__xludf.DUMMYFUNCTION("""COMPUTED_VALUE"""),"RIC")</f>
        <v>RIC</v>
      </c>
      <c r="DP5" s="25" t="str">
        <f>IFERROR(__xludf.DUMMYFUNCTION("""COMPUTED_VALUE"""),"Position Side Exposure (Boxed)")</f>
        <v>Position Side Exposure (Boxed)</v>
      </c>
      <c r="DQ5" s="25" t="str">
        <f>IFERROR(__xludf.DUMMYFUNCTION("""COMPUTED_VALUE"""),"Analyst")</f>
        <v>Analyst</v>
      </c>
      <c r="DR5" s="25" t="str">
        <f>IFERROR(__xludf.DUMMYFUNCTION("""COMPUTED_VALUE"""),"Country Of Risk")</f>
        <v>Country Of Risk</v>
      </c>
      <c r="DS5" s="25" t="str">
        <f>IFERROR(__xludf.DUMMYFUNCTION("""COMPUTED_VALUE"""),"Custom UDA1")</f>
        <v>Custom UDA1</v>
      </c>
      <c r="DT5" s="25" t="str">
        <f>IFERROR(__xludf.DUMMYFUNCTION("""COMPUTED_VALUE"""),"Custom UDA2")</f>
        <v>Custom UDA2</v>
      </c>
      <c r="DU5" s="25" t="str">
        <f>IFERROR(__xludf.DUMMYFUNCTION("""COMPUTED_VALUE"""),"Custom UDA3")</f>
        <v>Custom UDA3</v>
      </c>
      <c r="DV5" s="25" t="str">
        <f>IFERROR(__xludf.DUMMYFUNCTION("""COMPUTED_VALUE"""),"Custom UDA4")</f>
        <v>Custom UDA4</v>
      </c>
      <c r="DW5" s="25" t="str">
        <f>IFERROR(__xludf.DUMMYFUNCTION("""COMPUTED_VALUE"""),"Custom UDA5")</f>
        <v>Custom UDA5</v>
      </c>
      <c r="DX5" s="25" t="str">
        <f>IFERROR(__xludf.DUMMYFUNCTION("""COMPUTED_VALUE"""),"Custom UDA6")</f>
        <v>Custom UDA6</v>
      </c>
      <c r="DY5" s="25" t="str">
        <f>IFERROR(__xludf.DUMMYFUNCTION("""COMPUTED_VALUE"""),"Custom UDA7")</f>
        <v>Custom UDA7</v>
      </c>
      <c r="DZ5" s="25" t="str">
        <f>IFERROR(__xludf.DUMMYFUNCTION("""COMPUTED_VALUE"""),"Issuer")</f>
        <v>Issuer</v>
      </c>
      <c r="EA5" s="25" t="str">
        <f>IFERROR(__xludf.DUMMYFUNCTION("""COMPUTED_VALUE"""),"Liquid Tag")</f>
        <v>Liquid Tag</v>
      </c>
      <c r="EB5" s="25" t="str">
        <f>IFERROR(__xludf.DUMMYFUNCTION("""COMPUTED_VALUE"""),"Market Cap UDA")</f>
        <v>Market Cap UDA</v>
      </c>
      <c r="EC5" s="25" t="str">
        <f>IFERROR(__xludf.DUMMYFUNCTION("""COMPUTED_VALUE"""),"Region")</f>
        <v>Region</v>
      </c>
      <c r="ED5" s="25" t="str">
        <f>IFERROR(__xludf.DUMMYFUNCTION("""COMPUTED_VALUE"""),"Risk Currency")</f>
        <v>Risk Currency</v>
      </c>
      <c r="EE5" s="25" t="str">
        <f>IFERROR(__xludf.DUMMYFUNCTION("""COMPUTED_VALUE"""),"UCITS Eligible Tag")</f>
        <v>UCITS Eligible Tag</v>
      </c>
      <c r="EF5" s="25" t="str">
        <f>IFERROR(__xludf.DUMMYFUNCTION("""COMPUTED_VALUE"""),"FX Rate (Display)")</f>
        <v>FX Rate (Display)</v>
      </c>
      <c r="EG5" s="25" t="str">
        <f>IFERROR(__xludf.DUMMYFUNCTION("""COMPUTED_VALUE"""),"% Net Exposure (Base)")</f>
        <v>% Net Exposure (Base)</v>
      </c>
      <c r="EH5" s="25" t="str">
        <f>IFERROR(__xludf.DUMMYFUNCTION("""COMPUTED_VALUE"""),"% Gross Exposure (Base)")</f>
        <v>% Gross Exposure (Base)</v>
      </c>
      <c r="EI5" s="25" t="str">
        <f>IFERROR(__xludf.DUMMYFUNCTION("""COMPUTED_VALUE"""),"% Exposure (Base)")</f>
        <v>% Exposure (Base)</v>
      </c>
      <c r="EJ5" s="25" t="str">
        <f>IFERROR(__xludf.DUMMYFUNCTION("""COMPUTED_VALUE"""),"% Gross Exposure (Underlying) (Base)")</f>
        <v>% Gross Exposure (Underlying) (Base)</v>
      </c>
      <c r="EK5" s="25" t="str">
        <f>IFERROR(__xludf.DUMMYFUNCTION("""COMPUTED_VALUE"""),"% Beta Adj. Gross Exposure (Base)")</f>
        <v>% Beta Adj. Gross Exposure (Base)</v>
      </c>
      <c r="EL5" s="25" t="str">
        <f>IFERROR(__xludf.DUMMYFUNCTION("""COMPUTED_VALUE"""),"Position Side Exposure (Underlying)")</f>
        <v>Position Side Exposure (Underlying)</v>
      </c>
      <c r="EM5" s="25" t="str">
        <f>IFERROR(__xludf.DUMMYFUNCTION("""COMPUTED_VALUE"""),"Gross Exposure (Underlying) (Base)")</f>
        <v>Gross Exposure (Underlying) (Base)</v>
      </c>
      <c r="EN5" s="25" t="str">
        <f>IFERROR(__xludf.DUMMYFUNCTION("""COMPUTED_VALUE"""),"Gross Exposure (Underlying)")</f>
        <v>Gross Exposure (Underlying)</v>
      </c>
      <c r="EO5" s="25" t="str">
        <f>IFERROR(__xludf.DUMMYFUNCTION("""COMPUTED_VALUE"""),"Day Return")</f>
        <v>Day Return</v>
      </c>
      <c r="EP5" s="25" t="str">
        <f>IFERROR(__xludf.DUMMYFUNCTION("""COMPUTED_VALUE"""),"Start of Day NAV")</f>
        <v>Start of Day NAV</v>
      </c>
      <c r="EQ5" s="25" t="str">
        <f>IFERROR(__xludf.DUMMYFUNCTION("""COMPUTED_VALUE"""),"% Gross Market Value (Base)")</f>
        <v>% Gross Market Value (Base)</v>
      </c>
      <c r="ER5" s="25" t="str">
        <f>IFERROR(__xludf.DUMMYFUNCTION("""COMPUTED_VALUE"""),"Beta Adj. Gross Exposure (Underlying) (Local)")</f>
        <v>Beta Adj. Gross Exposure (Underlying) (Local)</v>
      </c>
      <c r="ES5" s="25" t="str">
        <f>IFERROR(__xludf.DUMMYFUNCTION("""COMPUTED_VALUE"""),"NAV")</f>
        <v>NAV</v>
      </c>
      <c r="ET5" s="25" t="str">
        <f>IFERROR(__xludf.DUMMYFUNCTION("""COMPUTED_VALUE"""),"% P&amp;L Contribution")</f>
        <v>% P&amp;L Contribution</v>
      </c>
      <c r="EU5" s="25" t="str">
        <f>IFERROR(__xludf.DUMMYFUNCTION("""COMPUTED_VALUE"""),"% Net Market Value (Base)")</f>
        <v>% Net Market Value (Base)</v>
      </c>
      <c r="EV5" s="25" t="str">
        <f>IFERROR(__xludf.DUMMYFUNCTION("""COMPUTED_VALUE"""),"Position Side Exposure")</f>
        <v>Position Side Exposure</v>
      </c>
      <c r="EW5" s="25" t="str">
        <f>IFERROR(__xludf.DUMMYFUNCTION("""COMPUTED_VALUE"""),"NAV (Touch)")</f>
        <v>NAV (Touch)</v>
      </c>
      <c r="EX5" s="25" t="str">
        <f>IFERROR(__xludf.DUMMYFUNCTION("""COMPUTED_VALUE"""),"IgnorePropertyChangeEvents")</f>
        <v>IgnorePropertyChangeEvents</v>
      </c>
      <c r="EY5" s="25" t="str">
        <f>IFERROR(__xludf.DUMMYFUNCTION("""COMPUTED_VALUE"""),"Trade Attribute 1")</f>
        <v>Trade Attribute 1</v>
      </c>
      <c r="EZ5" s="25" t="str">
        <f>IFERROR(__xludf.DUMMYFUNCTION("""COMPUTED_VALUE"""),"Trade Attribute 2")</f>
        <v>Trade Attribute 2</v>
      </c>
      <c r="FA5" s="25" t="str">
        <f>IFERROR(__xludf.DUMMYFUNCTION("""COMPUTED_VALUE"""),"Client")</f>
        <v>Client</v>
      </c>
      <c r="FB5" s="25" t="str">
        <f>IFERROR(__xludf.DUMMYFUNCTION("""COMPUTED_VALUE"""),"IsCustomViewTab")</f>
        <v>IsCustomViewTab</v>
      </c>
      <c r="FC5" s="25" t="str">
        <f>IFERROR(__xludf.DUMMYFUNCTION("""COMPUTED_VALUE"""),"ITM/OTM")</f>
        <v>ITM/OTM</v>
      </c>
      <c r="FD5" s="25" t="str">
        <f>IFERROR(__xludf.DUMMYFUNCTION("""COMPUTED_VALUE"""),"Days to Expiry")</f>
        <v>Days to Expiry</v>
      </c>
      <c r="FE5" s="25" t="str">
        <f>IFERROR(__xludf.DUMMYFUNCTION("""COMPUTED_VALUE"""),"% of ITM/OTM")</f>
        <v>% of ITM/OTM</v>
      </c>
      <c r="FF5" s="25" t="str">
        <f>IFERROR(__xludf.DUMMYFUNCTION("""COMPUTED_VALUE"""),"Intrinsic value")</f>
        <v>Intrinsic value</v>
      </c>
      <c r="FG5" s="25" t="str">
        <f>IFERROR(__xludf.DUMMYFUNCTION("""COMPUTED_VALUE"""),"Gain/Loss if Ex./Assign")</f>
        <v>Gain/Loss if Ex./Assign</v>
      </c>
      <c r="FH5" s="25" t="str">
        <f>IFERROR(__xludf.DUMMYFUNCTION("""COMPUTED_VALUE"""),"isRowCountCheck")</f>
        <v>isRowCountCheck</v>
      </c>
      <c r="FI5" s="25"/>
      <c r="FJ5" s="25"/>
      <c r="FK5" s="25"/>
      <c r="FL5" s="25"/>
      <c r="FM5" s="25"/>
    </row>
    <row r="6" ht="15.75" customHeight="1">
      <c r="A6" s="8"/>
      <c r="B6" s="9"/>
      <c r="C6" s="30" t="s">
        <v>13</v>
      </c>
      <c r="D6" s="37">
        <v>-100.0</v>
      </c>
      <c r="E6" s="30"/>
      <c r="F6" s="9"/>
      <c r="G6" s="30"/>
      <c r="H6" s="9"/>
      <c r="T6" s="9"/>
      <c r="AN6" s="30" t="s">
        <v>14</v>
      </c>
      <c r="AP6" s="9" t="s">
        <v>40</v>
      </c>
      <c r="BZ6" s="31"/>
      <c r="CA6" s="31"/>
    </row>
    <row r="7" ht="15.75" customHeight="1">
      <c r="A7" s="8"/>
      <c r="B7" s="8"/>
      <c r="C7" s="28" t="s">
        <v>13</v>
      </c>
      <c r="D7" s="35">
        <v>-100.0</v>
      </c>
      <c r="E7" s="28"/>
      <c r="F7" s="13"/>
      <c r="G7" s="28"/>
      <c r="H7" s="9"/>
      <c r="I7" s="8"/>
      <c r="J7" s="8"/>
      <c r="K7" s="8"/>
      <c r="L7" s="8"/>
      <c r="M7" s="8"/>
      <c r="N7" s="8"/>
      <c r="O7" s="8"/>
      <c r="AN7" s="29" t="s">
        <v>18</v>
      </c>
      <c r="AP7" s="9" t="s">
        <v>41</v>
      </c>
      <c r="BZ7" s="27"/>
      <c r="CA7" s="27"/>
    </row>
    <row r="8" ht="15.75" customHeight="1">
      <c r="A8" s="8"/>
      <c r="B8" s="8"/>
      <c r="C8" s="28" t="s">
        <v>13</v>
      </c>
      <c r="D8" s="35">
        <v>100.0</v>
      </c>
      <c r="E8" s="38"/>
      <c r="F8" s="34"/>
      <c r="G8" s="28"/>
      <c r="H8" s="13"/>
      <c r="I8" s="8"/>
      <c r="J8" s="8"/>
      <c r="K8" s="8"/>
      <c r="L8" s="8"/>
      <c r="M8" s="8"/>
      <c r="N8" s="8"/>
      <c r="O8" s="8"/>
      <c r="AN8" s="28" t="s">
        <v>21</v>
      </c>
      <c r="AP8" s="9" t="s">
        <v>41</v>
      </c>
      <c r="BZ8" s="27"/>
      <c r="CA8" s="27"/>
    </row>
    <row r="9" ht="15.75" customHeight="1">
      <c r="A9" s="8"/>
      <c r="B9" s="8"/>
      <c r="C9" s="28" t="s">
        <v>13</v>
      </c>
      <c r="D9" s="35">
        <v>-100.0</v>
      </c>
      <c r="E9" s="28" t="s">
        <v>23</v>
      </c>
      <c r="F9" s="13" t="s">
        <v>42</v>
      </c>
      <c r="G9" s="28"/>
      <c r="H9" s="8"/>
      <c r="I9" s="8"/>
      <c r="J9" s="8"/>
      <c r="K9" s="8"/>
      <c r="L9" s="8"/>
      <c r="M9" s="8"/>
      <c r="N9" s="8"/>
      <c r="O9" s="8"/>
      <c r="AN9" s="28" t="s">
        <v>14</v>
      </c>
      <c r="AP9" s="9" t="s">
        <v>40</v>
      </c>
      <c r="BZ9" s="27"/>
      <c r="CA9" s="27"/>
    </row>
    <row r="10" ht="15.75" customHeight="1">
      <c r="A10" s="8"/>
      <c r="B10" s="8"/>
      <c r="C10" s="28" t="s">
        <v>13</v>
      </c>
      <c r="D10" s="35">
        <v>100.0</v>
      </c>
      <c r="E10" s="28" t="s">
        <v>23</v>
      </c>
      <c r="F10" s="13" t="s">
        <v>42</v>
      </c>
      <c r="G10" s="28"/>
      <c r="H10" s="8"/>
      <c r="I10" s="8"/>
      <c r="J10" s="8"/>
      <c r="K10" s="8"/>
      <c r="L10" s="8"/>
      <c r="M10" s="8"/>
      <c r="N10" s="8"/>
      <c r="O10" s="8"/>
      <c r="AN10" s="28" t="s">
        <v>24</v>
      </c>
      <c r="AP10" s="9" t="s">
        <v>40</v>
      </c>
      <c r="BZ10" s="27"/>
      <c r="CA10" s="27"/>
    </row>
    <row r="11" ht="15.75" customHeight="1">
      <c r="A11" s="8"/>
      <c r="B11" s="8"/>
      <c r="C11" s="30" t="s">
        <v>13</v>
      </c>
      <c r="D11" s="35">
        <v>1000.0</v>
      </c>
      <c r="E11" s="28" t="s">
        <v>23</v>
      </c>
      <c r="F11" s="13" t="s">
        <v>42</v>
      </c>
      <c r="G11" s="28"/>
      <c r="H11" s="8"/>
      <c r="I11" s="8"/>
      <c r="J11" s="8"/>
      <c r="K11" s="8"/>
      <c r="L11" s="8"/>
      <c r="M11" s="8"/>
      <c r="N11" s="8"/>
      <c r="O11" s="8"/>
      <c r="AN11" s="28" t="s">
        <v>24</v>
      </c>
      <c r="AP11" s="9" t="s">
        <v>40</v>
      </c>
      <c r="BZ11" s="27"/>
      <c r="CA11" s="27"/>
    </row>
    <row r="12" ht="15.75" customHeight="1">
      <c r="A12" s="8"/>
      <c r="B12" s="8"/>
      <c r="C12" s="28" t="s">
        <v>13</v>
      </c>
      <c r="D12" s="35">
        <v>1000.0</v>
      </c>
      <c r="E12" s="28" t="s">
        <v>23</v>
      </c>
      <c r="F12" s="13" t="s">
        <v>42</v>
      </c>
      <c r="G12" s="28"/>
      <c r="H12" s="8"/>
      <c r="I12" s="8"/>
      <c r="J12" s="8"/>
      <c r="K12" s="8"/>
      <c r="L12" s="8"/>
      <c r="M12" s="8"/>
      <c r="N12" s="8"/>
      <c r="O12" s="8"/>
      <c r="AN12" s="28" t="s">
        <v>24</v>
      </c>
      <c r="AP12" s="9" t="s">
        <v>40</v>
      </c>
      <c r="BZ12" s="27"/>
      <c r="CA12" s="27"/>
    </row>
    <row r="13" ht="15.75" customHeight="1">
      <c r="A13" s="8"/>
      <c r="B13" s="8"/>
      <c r="C13" s="28" t="s">
        <v>13</v>
      </c>
      <c r="D13" s="37">
        <v>1000.0</v>
      </c>
      <c r="E13" s="28" t="s">
        <v>23</v>
      </c>
      <c r="F13" s="13" t="s">
        <v>42</v>
      </c>
      <c r="G13" s="28"/>
      <c r="H13" s="8"/>
      <c r="I13" s="8"/>
      <c r="J13" s="8"/>
      <c r="K13" s="8"/>
      <c r="L13" s="8"/>
      <c r="M13" s="8"/>
      <c r="N13" s="8"/>
      <c r="O13" s="8"/>
      <c r="AN13" s="28" t="s">
        <v>24</v>
      </c>
      <c r="AP13" s="9" t="s">
        <v>40</v>
      </c>
      <c r="BZ13" s="27"/>
      <c r="CA13" s="31"/>
    </row>
    <row r="14" ht="15.75" customHeight="1">
      <c r="A14" s="8"/>
      <c r="B14" s="8"/>
      <c r="C14" s="28" t="s">
        <v>13</v>
      </c>
      <c r="D14" s="37">
        <v>1000.0</v>
      </c>
      <c r="E14" s="28" t="s">
        <v>23</v>
      </c>
      <c r="F14" s="13" t="s">
        <v>42</v>
      </c>
      <c r="G14" s="28"/>
      <c r="H14" s="8"/>
      <c r="I14" s="8"/>
      <c r="J14" s="8"/>
      <c r="K14" s="8"/>
      <c r="L14" s="8"/>
      <c r="M14" s="8"/>
      <c r="N14" s="8"/>
      <c r="O14" s="8"/>
      <c r="AN14" s="28" t="s">
        <v>24</v>
      </c>
      <c r="AP14" s="9" t="s">
        <v>40</v>
      </c>
      <c r="BZ14" s="27"/>
      <c r="CA14" s="31"/>
    </row>
    <row r="15" ht="15.75" customHeight="1">
      <c r="A15" s="8"/>
      <c r="B15" s="8"/>
      <c r="C15" s="28" t="s">
        <v>13</v>
      </c>
      <c r="D15" s="37">
        <v>1000.0</v>
      </c>
      <c r="E15" s="28" t="s">
        <v>23</v>
      </c>
      <c r="F15" s="13" t="s">
        <v>42</v>
      </c>
      <c r="G15" s="28"/>
      <c r="H15" s="8"/>
      <c r="I15" s="8"/>
      <c r="J15" s="8"/>
      <c r="K15" s="8"/>
      <c r="L15" s="8"/>
      <c r="M15" s="8"/>
      <c r="N15" s="8"/>
      <c r="O15" s="8"/>
      <c r="AN15" s="28" t="s">
        <v>24</v>
      </c>
      <c r="AP15" s="9" t="s">
        <v>40</v>
      </c>
      <c r="BZ15" s="27"/>
      <c r="CA15" s="3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25"/>
    <col customWidth="1" min="3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4"/>
      <c r="B1" s="1" t="s">
        <v>6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ht="15.75" customHeight="1">
      <c r="A3" s="16"/>
      <c r="B3" s="5" t="s">
        <v>7</v>
      </c>
      <c r="C3" s="17" t="s">
        <v>43</v>
      </c>
      <c r="D3" s="5" t="s">
        <v>9</v>
      </c>
      <c r="E3" s="17" t="s">
        <v>44</v>
      </c>
      <c r="F3" s="5" t="s">
        <v>11</v>
      </c>
      <c r="G3" s="18" t="s">
        <v>12</v>
      </c>
      <c r="H3" s="5"/>
      <c r="I3" s="16"/>
      <c r="J3" s="16"/>
      <c r="K3" s="16"/>
      <c r="L3" s="16"/>
      <c r="M3" s="16"/>
      <c r="N3" s="16"/>
      <c r="O3" s="1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</row>
    <row r="4" ht="15.75" customHeight="1">
      <c r="A4" s="20"/>
      <c r="B4" s="20" t="str">
        <f>IFERROR(__xludf.DUMMYFUNCTION("IF(C3="""","""",Transpose(IMPORTRANGE('_Settings'!$B$3,C3&amp;""!A4:A1000"")))"),"SwapExpire")</f>
        <v>SwapExpire</v>
      </c>
      <c r="C4" s="20" t="str">
        <f>IFERROR(__xludf.DUMMYFUNCTION("""COMPUTED_VALUE"""),"GetDataClosing")</f>
        <v>GetDataClosing</v>
      </c>
      <c r="D4" s="20" t="str">
        <f>IFERROR(__xludf.DUMMYFUNCTION("""COMPUTED_VALUE"""),"ManualClosing")</f>
        <v>ManualClosing</v>
      </c>
      <c r="E4" s="20" t="str">
        <f>IFERROR(__xludf.DUMMYFUNCTION("""COMPUTED_VALUE"""),"AutomaticClosing")</f>
        <v>AutomaticClosing</v>
      </c>
      <c r="F4" s="20" t="str">
        <f>IFERROR(__xludf.DUMMYFUNCTION("""COMPUTED_VALUE"""),"UnwindClosing")</f>
        <v>UnwindClosing</v>
      </c>
      <c r="G4" s="20" t="str">
        <f>IFERROR(__xludf.DUMMYFUNCTION("""COMPUTED_VALUE"""),"VerifyClosedTrades")</f>
        <v>VerifyClosedTrades</v>
      </c>
      <c r="H4" s="20" t="str">
        <f>IFERROR(__xludf.DUMMYFUNCTION("""COMPUTED_VALUE"""),"VerifyLongPositionsGrid")</f>
        <v>VerifyLongPositionsGrid</v>
      </c>
      <c r="I4" s="20" t="str">
        <f>IFERROR(__xludf.DUMMYFUNCTION("""COMPUTED_VALUE"""),"VerifyShortPositionsGrid")</f>
        <v>VerifyShortPositionsGrid</v>
      </c>
      <c r="J4" s="20" t="str">
        <f>IFERROR(__xludf.DUMMYFUNCTION("""COMPUTED_VALUE"""),"SelectTradeUnexpiredUnsettled")</f>
        <v>SelectTradeUnexpiredUnsettled</v>
      </c>
      <c r="K4" s="20" t="str">
        <f>IFERROR(__xludf.DUMMYFUNCTION("""COMPUTED_VALUE"""),"CashSettlementAtCost")</f>
        <v>CashSettlementAtCost</v>
      </c>
      <c r="L4" s="20" t="str">
        <f>IFERROR(__xludf.DUMMYFUNCTION("""COMPUTED_VALUE"""),"CashSettlementAtZeroPrice")</f>
        <v>CashSettlementAtZeroPrice</v>
      </c>
      <c r="M4" s="20" t="str">
        <f>IFERROR(__xludf.DUMMYFUNCTION("""COMPUTED_VALUE"""),"CashSettlementAtClosingDtSpotPx")</f>
        <v>CashSettlementAtClosingDtSpotPx</v>
      </c>
      <c r="N4" s="20" t="str">
        <f>IFERROR(__xludf.DUMMYFUNCTION("""COMPUTED_VALUE"""),"PhysicalSettlement")</f>
        <v>PhysicalSettlement</v>
      </c>
      <c r="O4" s="20" t="str">
        <f>IFERROR(__xludf.DUMMYFUNCTION("""COMPUTED_VALUE"""),"Expire")</f>
        <v>Expire</v>
      </c>
      <c r="P4" s="21" t="str">
        <f>IFERROR(__xludf.DUMMYFUNCTION("""COMPUTED_VALUE"""),"ExerciseAssignment")</f>
        <v>ExerciseAssignment</v>
      </c>
      <c r="Q4" s="21" t="str">
        <f>IFERROR(__xludf.DUMMYFUNCTION("""COMPUTED_VALUE"""),"ExerciseAssignmentAtZero")</f>
        <v>ExerciseAssignmentAtZero</v>
      </c>
      <c r="R4" s="21" t="str">
        <f>IFERROR(__xludf.DUMMYFUNCTION("""COMPUTED_VALUE"""),"SwapExpireAndRollover")</f>
        <v>SwapExpireAndRollover</v>
      </c>
      <c r="S4" s="21" t="str">
        <f>IFERROR(__xludf.DUMMYFUNCTION("""COMPUTED_VALUE"""),"SwapExpire")</f>
        <v>SwapExpire</v>
      </c>
      <c r="T4" s="21" t="str">
        <f>IFERROR(__xludf.DUMMYFUNCTION("""COMPUTED_VALUE"""),"VerifyExpiredSettledGrid")</f>
        <v>VerifyExpiredSettledGrid</v>
      </c>
      <c r="U4" s="21" t="str">
        <f>IFERROR(__xludf.DUMMYFUNCTION("""COMPUTED_VALUE"""),"VerifyUnExpiredUnSettledGrid")</f>
        <v>VerifyUnExpiredUnSettledGrid</v>
      </c>
      <c r="V4" s="21" t="str">
        <f>IFERROR(__xludf.DUMMYFUNCTION("""COMPUTED_VALUE"""),"UnWindTradeSettlement")</f>
        <v>UnWindTradeSettlement</v>
      </c>
      <c r="W4" s="21" t="str">
        <f>IFERROR(__xludf.DUMMYFUNCTION("""COMPUTED_VALUE"""),"CloseOrder")</f>
        <v>CloseOrder</v>
      </c>
      <c r="X4" s="21" t="str">
        <f>IFERROR(__xludf.DUMMYFUNCTION("""COMPUTED_VALUE"""),"VerifyCloseOrder")</f>
        <v>VerifyCloseOrder</v>
      </c>
      <c r="Y4" s="21" t="str">
        <f>IFERROR(__xludf.DUMMYFUNCTION("""COMPUTED_VALUE"""),"UnWindCloseOrder")</f>
        <v>UnWindCloseOrder</v>
      </c>
      <c r="Z4" s="21" t="str">
        <f>IFERROR(__xludf.DUMMYFUNCTION("""COMPUTED_VALUE"""),"ClosingCleanUp")</f>
        <v>ClosingCleanUp</v>
      </c>
      <c r="AA4" s="21" t="str">
        <f>IFERROR(__xludf.DUMMYFUNCTION("""COMPUTED_VALUE"""),"CloseClosingUI")</f>
        <v>CloseClosingUI</v>
      </c>
      <c r="AB4" s="21" t="str">
        <f>IFERROR(__xludf.DUMMYFUNCTION("""COMPUTED_VALUE"""),"SetClosingPreference")</f>
        <v>SetClosingPreference</v>
      </c>
      <c r="AC4" s="21" t="str">
        <f>IFERROR(__xludf.DUMMYFUNCTION("""COMPUTED_VALUE"""),"EditTradeUnexpiredUnsettled")</f>
        <v>EditTradeUnexpiredUnsettled</v>
      </c>
      <c r="AD4" s="21" t="str">
        <f>IFERROR(__xludf.DUMMYFUNCTION("""COMPUTED_VALUE"""),"AutoExercise")</f>
        <v>AutoExercise</v>
      </c>
      <c r="AE4" s="21" t="str">
        <f>IFERROR(__xludf.DUMMYFUNCTION("""COMPUTED_VALUE"""),"EditMultipleCloseQuantity")</f>
        <v>EditMultipleCloseQuantity</v>
      </c>
      <c r="AF4" s="21" t="str">
        <f>IFERROR(__xludf.DUMMYFUNCTION("""COMPUTED_VALUE"""),"ManualCloseOrder")</f>
        <v>ManualCloseOrder</v>
      </c>
      <c r="AG4" s="21" t="str">
        <f>IFERROR(__xludf.DUMMYFUNCTION("""COMPUTED_VALUE"""),"PreviewDataWithFilters")</f>
        <v>PreviewDataWithFilters</v>
      </c>
      <c r="AH4" s="21" t="str">
        <f>IFERROR(__xludf.DUMMYFUNCTION("""COMPUTED_VALUE"""),"CreateClosingTemplate")</f>
        <v>CreateClosingTemplate</v>
      </c>
      <c r="AI4" s="21" t="str">
        <f>IFERROR(__xludf.DUMMYFUNCTION("""COMPUTED_VALUE"""),"CreateUnwindingTemplate")</f>
        <v>CreateUnwindingTemplate</v>
      </c>
      <c r="AJ4" s="21" t="str">
        <f>IFERROR(__xludf.DUMMYFUNCTION("""COMPUTED_VALUE"""),"EditTemplate")</f>
        <v>EditTemplate</v>
      </c>
      <c r="AK4" s="21" t="str">
        <f>IFERROR(__xludf.DUMMYFUNCTION("""COMPUTED_VALUE"""),"DeleteTemplate")</f>
        <v>DeleteTemplate</v>
      </c>
      <c r="AL4" s="21" t="str">
        <f>IFERROR(__xludf.DUMMYFUNCTION("""COMPUTED_VALUE"""),"RunTemplate")</f>
        <v>RunTemplate</v>
      </c>
      <c r="AM4" s="21" t="str">
        <f>IFERROR(__xludf.DUMMYFUNCTION("""COMPUTED_VALUE"""),"CreateClosingTemplate")</f>
        <v>CreateClosingTemplate</v>
      </c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IFERROR(__xludf.DUMMYFUNCTION("""COMPUTED_VALUE"""),"RangeType")</f>
        <v>RangeType</v>
      </c>
      <c r="C5" s="23" t="str">
        <f>IFERROR(__xludf.DUMMYFUNCTION("""COMPUTED_VALUE"""),"From")</f>
        <v>From</v>
      </c>
      <c r="D5" s="23" t="str">
        <f>IFERROR(__xludf.DUMMYFUNCTION("""COMPUTED_VALUE"""),"To")</f>
        <v>To</v>
      </c>
      <c r="E5" s="23" t="str">
        <f>IFERROR(__xludf.DUMMYFUNCTION("""COMPUTED_VALUE"""),"Account Filter")</f>
        <v>Account Filter</v>
      </c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</row>
    <row r="6" ht="15.75" customHeight="1">
      <c r="A6" s="8"/>
      <c r="B6" s="9" t="s">
        <v>45</v>
      </c>
      <c r="D6" s="9"/>
      <c r="F6" s="9"/>
      <c r="H6" s="9"/>
      <c r="T6" s="9" t="s">
        <v>17</v>
      </c>
    </row>
    <row r="7" ht="15.75" customHeight="1">
      <c r="A7" s="8"/>
      <c r="B7" s="8"/>
      <c r="C7" s="8"/>
      <c r="D7" s="13"/>
      <c r="E7" s="8"/>
      <c r="F7" s="1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34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25"/>
    <col customWidth="1" min="3" max="3" width="14.25"/>
    <col customWidth="1" min="4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4"/>
      <c r="B1" s="1" t="s">
        <v>6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ht="15.75" customHeight="1">
      <c r="A3" s="16"/>
      <c r="B3" s="5" t="s">
        <v>7</v>
      </c>
      <c r="C3" s="17" t="s">
        <v>43</v>
      </c>
      <c r="D3" s="5" t="s">
        <v>9</v>
      </c>
      <c r="E3" s="17" t="s">
        <v>46</v>
      </c>
      <c r="F3" s="5" t="s">
        <v>11</v>
      </c>
      <c r="G3" s="18" t="s">
        <v>12</v>
      </c>
      <c r="H3" s="5"/>
      <c r="I3" s="16"/>
      <c r="J3" s="16"/>
      <c r="K3" s="16"/>
      <c r="L3" s="16"/>
      <c r="M3" s="16"/>
      <c r="N3" s="16"/>
      <c r="O3" s="1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</row>
    <row r="4" ht="15.75" customHeight="1">
      <c r="A4" s="20"/>
      <c r="B4" s="20" t="str">
        <f>IFERROR(__xludf.DUMMYFUNCTION("IF(C3="""","""",Transpose(IMPORTRANGE('_Settings'!$B$3,C3&amp;""!A4:A1000"")))"),"SwapExpire")</f>
        <v>SwapExpire</v>
      </c>
      <c r="C4" s="20" t="str">
        <f>IFERROR(__xludf.DUMMYFUNCTION("""COMPUTED_VALUE"""),"GetDataClosing")</f>
        <v>GetDataClosing</v>
      </c>
      <c r="D4" s="20" t="str">
        <f>IFERROR(__xludf.DUMMYFUNCTION("""COMPUTED_VALUE"""),"ManualClosing")</f>
        <v>ManualClosing</v>
      </c>
      <c r="E4" s="20" t="str">
        <f>IFERROR(__xludf.DUMMYFUNCTION("""COMPUTED_VALUE"""),"AutomaticClosing")</f>
        <v>AutomaticClosing</v>
      </c>
      <c r="F4" s="20" t="str">
        <f>IFERROR(__xludf.DUMMYFUNCTION("""COMPUTED_VALUE"""),"UnwindClosing")</f>
        <v>UnwindClosing</v>
      </c>
      <c r="G4" s="20" t="str">
        <f>IFERROR(__xludf.DUMMYFUNCTION("""COMPUTED_VALUE"""),"VerifyClosedTrades")</f>
        <v>VerifyClosedTrades</v>
      </c>
      <c r="H4" s="20" t="str">
        <f>IFERROR(__xludf.DUMMYFUNCTION("""COMPUTED_VALUE"""),"VerifyLongPositionsGrid")</f>
        <v>VerifyLongPositionsGrid</v>
      </c>
      <c r="I4" s="20" t="str">
        <f>IFERROR(__xludf.DUMMYFUNCTION("""COMPUTED_VALUE"""),"VerifyShortPositionsGrid")</f>
        <v>VerifyShortPositionsGrid</v>
      </c>
      <c r="J4" s="20" t="str">
        <f>IFERROR(__xludf.DUMMYFUNCTION("""COMPUTED_VALUE"""),"SelectTradeUnexpiredUnsettled")</f>
        <v>SelectTradeUnexpiredUnsettled</v>
      </c>
      <c r="K4" s="20" t="str">
        <f>IFERROR(__xludf.DUMMYFUNCTION("""COMPUTED_VALUE"""),"CashSettlementAtCost")</f>
        <v>CashSettlementAtCost</v>
      </c>
      <c r="L4" s="20" t="str">
        <f>IFERROR(__xludf.DUMMYFUNCTION("""COMPUTED_VALUE"""),"CashSettlementAtZeroPrice")</f>
        <v>CashSettlementAtZeroPrice</v>
      </c>
      <c r="M4" s="20" t="str">
        <f>IFERROR(__xludf.DUMMYFUNCTION("""COMPUTED_VALUE"""),"CashSettlementAtClosingDtSpotPx")</f>
        <v>CashSettlementAtClosingDtSpotPx</v>
      </c>
      <c r="N4" s="20" t="str">
        <f>IFERROR(__xludf.DUMMYFUNCTION("""COMPUTED_VALUE"""),"PhysicalSettlement")</f>
        <v>PhysicalSettlement</v>
      </c>
      <c r="O4" s="20" t="str">
        <f>IFERROR(__xludf.DUMMYFUNCTION("""COMPUTED_VALUE"""),"Expire")</f>
        <v>Expire</v>
      </c>
      <c r="P4" s="21" t="str">
        <f>IFERROR(__xludf.DUMMYFUNCTION("""COMPUTED_VALUE"""),"ExerciseAssignment")</f>
        <v>ExerciseAssignment</v>
      </c>
      <c r="Q4" s="21" t="str">
        <f>IFERROR(__xludf.DUMMYFUNCTION("""COMPUTED_VALUE"""),"ExerciseAssignmentAtZero")</f>
        <v>ExerciseAssignmentAtZero</v>
      </c>
      <c r="R4" s="21" t="str">
        <f>IFERROR(__xludf.DUMMYFUNCTION("""COMPUTED_VALUE"""),"SwapExpireAndRollover")</f>
        <v>SwapExpireAndRollover</v>
      </c>
      <c r="S4" s="21" t="str">
        <f>IFERROR(__xludf.DUMMYFUNCTION("""COMPUTED_VALUE"""),"SwapExpire")</f>
        <v>SwapExpire</v>
      </c>
      <c r="T4" s="21" t="str">
        <f>IFERROR(__xludf.DUMMYFUNCTION("""COMPUTED_VALUE"""),"VerifyExpiredSettledGrid")</f>
        <v>VerifyExpiredSettledGrid</v>
      </c>
      <c r="U4" s="21" t="str">
        <f>IFERROR(__xludf.DUMMYFUNCTION("""COMPUTED_VALUE"""),"VerifyUnExpiredUnSettledGrid")</f>
        <v>VerifyUnExpiredUnSettledGrid</v>
      </c>
      <c r="V4" s="21" t="str">
        <f>IFERROR(__xludf.DUMMYFUNCTION("""COMPUTED_VALUE"""),"UnWindTradeSettlement")</f>
        <v>UnWindTradeSettlement</v>
      </c>
      <c r="W4" s="21" t="str">
        <f>IFERROR(__xludf.DUMMYFUNCTION("""COMPUTED_VALUE"""),"CloseOrder")</f>
        <v>CloseOrder</v>
      </c>
      <c r="X4" s="21" t="str">
        <f>IFERROR(__xludf.DUMMYFUNCTION("""COMPUTED_VALUE"""),"VerifyCloseOrder")</f>
        <v>VerifyCloseOrder</v>
      </c>
      <c r="Y4" s="21" t="str">
        <f>IFERROR(__xludf.DUMMYFUNCTION("""COMPUTED_VALUE"""),"UnWindCloseOrder")</f>
        <v>UnWindCloseOrder</v>
      </c>
      <c r="Z4" s="21" t="str">
        <f>IFERROR(__xludf.DUMMYFUNCTION("""COMPUTED_VALUE"""),"ClosingCleanUp")</f>
        <v>ClosingCleanUp</v>
      </c>
      <c r="AA4" s="21" t="str">
        <f>IFERROR(__xludf.DUMMYFUNCTION("""COMPUTED_VALUE"""),"CloseClosingUI")</f>
        <v>CloseClosingUI</v>
      </c>
      <c r="AB4" s="21" t="str">
        <f>IFERROR(__xludf.DUMMYFUNCTION("""COMPUTED_VALUE"""),"SetClosingPreference")</f>
        <v>SetClosingPreference</v>
      </c>
      <c r="AC4" s="21" t="str">
        <f>IFERROR(__xludf.DUMMYFUNCTION("""COMPUTED_VALUE"""),"EditTradeUnexpiredUnsettled")</f>
        <v>EditTradeUnexpiredUnsettled</v>
      </c>
      <c r="AD4" s="21" t="str">
        <f>IFERROR(__xludf.DUMMYFUNCTION("""COMPUTED_VALUE"""),"AutoExercise")</f>
        <v>AutoExercise</v>
      </c>
      <c r="AE4" s="21" t="str">
        <f>IFERROR(__xludf.DUMMYFUNCTION("""COMPUTED_VALUE"""),"EditMultipleCloseQuantity")</f>
        <v>EditMultipleCloseQuantity</v>
      </c>
      <c r="AF4" s="21" t="str">
        <f>IFERROR(__xludf.DUMMYFUNCTION("""COMPUTED_VALUE"""),"ManualCloseOrder")</f>
        <v>ManualCloseOrder</v>
      </c>
      <c r="AG4" s="21" t="str">
        <f>IFERROR(__xludf.DUMMYFUNCTION("""COMPUTED_VALUE"""),"PreviewDataWithFilters")</f>
        <v>PreviewDataWithFilters</v>
      </c>
      <c r="AH4" s="21" t="str">
        <f>IFERROR(__xludf.DUMMYFUNCTION("""COMPUTED_VALUE"""),"CreateClosingTemplate")</f>
        <v>CreateClosingTemplate</v>
      </c>
      <c r="AI4" s="21" t="str">
        <f>IFERROR(__xludf.DUMMYFUNCTION("""COMPUTED_VALUE"""),"CreateUnwindingTemplate")</f>
        <v>CreateUnwindingTemplate</v>
      </c>
      <c r="AJ4" s="21" t="str">
        <f>IFERROR(__xludf.DUMMYFUNCTION("""COMPUTED_VALUE"""),"EditTemplate")</f>
        <v>EditTemplate</v>
      </c>
      <c r="AK4" s="21" t="str">
        <f>IFERROR(__xludf.DUMMYFUNCTION("""COMPUTED_VALUE"""),"DeleteTemplate")</f>
        <v>DeleteTemplate</v>
      </c>
      <c r="AL4" s="21" t="str">
        <f>IFERROR(__xludf.DUMMYFUNCTION("""COMPUTED_VALUE"""),"RunTemplate")</f>
        <v>RunTemplate</v>
      </c>
      <c r="AM4" s="21" t="str">
        <f>IFERROR(__xludf.DUMMYFUNCTION("""COMPUTED_VALUE"""),"CreateClosingTemplate")</f>
        <v>CreateClosingTemplate</v>
      </c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IFERROR(__xludf.DUMMYFUNCTION("""COMPUTED_VALUE"""),"Account")</f>
        <v>Account</v>
      </c>
      <c r="C5" s="23" t="str">
        <f>IFERROR(__xludf.DUMMYFUNCTION("""COMPUTED_VALUE"""),"Asset Class")</f>
        <v>Asset Class</v>
      </c>
      <c r="D5" s="23" t="str">
        <f>IFERROR(__xludf.DUMMYFUNCTION("""COMPUTED_VALUE"""),"AUECID")</f>
        <v>AUECID</v>
      </c>
      <c r="E5" s="23" t="str">
        <f>IFERROR(__xludf.DUMMYFUNCTION("""COMPUTED_VALUE"""),"ExternalTransId")</f>
        <v>ExternalTransId</v>
      </c>
      <c r="F5" s="24" t="str">
        <f>IFERROR(__xludf.DUMMYFUNCTION("""COMPUTED_VALUE"""),"IsSwapped")</f>
        <v>IsSwapped</v>
      </c>
      <c r="G5" s="23" t="str">
        <f>IFERROR(__xludf.DUMMYFUNCTION("""COMPUTED_VALUE"""),"LotId")</f>
        <v>LotId</v>
      </c>
      <c r="H5" s="23" t="str">
        <f>IFERROR(__xludf.DUMMYFUNCTION("""COMPUTED_VALUE"""),"Net Notional")</f>
        <v>Net Notional</v>
      </c>
      <c r="I5" s="23" t="str">
        <f>IFERROR(__xludf.DUMMYFUNCTION("""COMPUTED_VALUE"""),"Opening Price")</f>
        <v>Opening Price</v>
      </c>
      <c r="J5" s="23" t="str">
        <f>IFERROR(__xludf.DUMMYFUNCTION("""COMPUTED_VALUE"""),"Original Purchase Date")</f>
        <v>Original Purchase Date</v>
      </c>
      <c r="K5" s="23" t="str">
        <f>IFERROR(__xludf.DUMMYFUNCTION("""COMPUTED_VALUE"""),"PositionTag")</f>
        <v>PositionTag</v>
      </c>
      <c r="L5" s="23" t="str">
        <f>IFERROR(__xludf.DUMMYFUNCTION("""COMPUTED_VALUE"""),"Process Date")</f>
        <v>Process Date</v>
      </c>
      <c r="M5" s="23" t="str">
        <f>IFERROR(__xludf.DUMMYFUNCTION("""COMPUTED_VALUE"""),"Quantity")</f>
        <v>Quantity</v>
      </c>
      <c r="N5" s="23" t="str">
        <f>IFERROR(__xludf.DUMMYFUNCTION("""COMPUTED_VALUE"""),"Security Name")</f>
        <v>Security Name</v>
      </c>
      <c r="O5" s="23" t="str">
        <f>IFERROR(__xludf.DUMMYFUNCTION("""COMPUTED_VALUE"""),"Settlement Currency")</f>
        <v>Settlement Currency</v>
      </c>
      <c r="P5" s="23" t="str">
        <f>IFERROR(__xludf.DUMMYFUNCTION("""COMPUTED_VALUE"""),"Side")</f>
        <v>Side</v>
      </c>
      <c r="Q5" s="23" t="str">
        <f>IFERROR(__xludf.DUMMYFUNCTION("""COMPUTED_VALUE"""),"Strategy")</f>
        <v>Strategy</v>
      </c>
      <c r="R5" s="23" t="str">
        <f>IFERROR(__xludf.DUMMYFUNCTION("""COMPUTED_VALUE"""),"Symbol")</f>
        <v>Symbol</v>
      </c>
      <c r="S5" s="23" t="str">
        <f>IFERROR(__xludf.DUMMYFUNCTION("""COMPUTED_VALUE"""),"Taxlot ID")</f>
        <v>Taxlot ID</v>
      </c>
      <c r="T5" s="25" t="str">
        <f>IFERROR(__xludf.DUMMYFUNCTION("""COMPUTED_VALUE"""),"Total Fees and Commission")</f>
        <v>Total Fees and Commission</v>
      </c>
      <c r="U5" s="25" t="str">
        <f>IFERROR(__xludf.DUMMYFUNCTION("""COMPUTED_VALUE"""),"Trade Date")</f>
        <v>Trade Date</v>
      </c>
      <c r="V5" s="25" t="str">
        <f>IFERROR(__xludf.DUMMYFUNCTION("""COMPUTED_VALUE"""),"Transaction Type")</f>
        <v>Transaction Type</v>
      </c>
      <c r="W5" s="25" t="str">
        <f>IFERROR(__xludf.DUMMYFUNCTION("""COMPUTED_VALUE"""),"UnderlyingName")</f>
        <v>UnderlyingName</v>
      </c>
      <c r="X5" s="25" t="str">
        <f>IFERROR(__xludf.DUMMYFUNCTION("""COMPUTED_VALUE"""),"UnitCost")</f>
        <v>UnitCost</v>
      </c>
      <c r="Y5" s="25" t="str">
        <f>IFERROR(__xludf.DUMMYFUNCTION("""COMPUTED_VALUE"""),"Unit Cost(Base)")</f>
        <v>Unit Cost(Base)</v>
      </c>
      <c r="Z5" s="25" t="str">
        <f>IFERROR(__xludf.DUMMYFUNCTION("""COMPUTED_VALUE"""),"AvgPriceBase")</f>
        <v>AvgPriceBase</v>
      </c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</row>
    <row r="6" ht="15.75" customHeight="1">
      <c r="A6" s="8"/>
      <c r="B6" s="28" t="s">
        <v>23</v>
      </c>
      <c r="C6" s="8"/>
      <c r="D6" s="8"/>
      <c r="E6" s="8"/>
      <c r="F6" s="34"/>
      <c r="G6" s="8"/>
      <c r="H6" s="8"/>
      <c r="I6" s="27"/>
      <c r="J6" s="8"/>
      <c r="K6" s="8"/>
      <c r="L6" s="8"/>
      <c r="M6" s="39">
        <v>100.0</v>
      </c>
      <c r="N6" s="8"/>
      <c r="O6" s="8"/>
      <c r="P6" s="28" t="s">
        <v>24</v>
      </c>
      <c r="R6" s="28" t="s">
        <v>13</v>
      </c>
    </row>
    <row r="7" ht="15.75" customHeight="1">
      <c r="A7" s="8"/>
      <c r="B7" s="28" t="s">
        <v>23</v>
      </c>
      <c r="C7" s="8"/>
      <c r="D7" s="8"/>
      <c r="E7" s="8"/>
      <c r="F7" s="8"/>
      <c r="G7" s="8"/>
      <c r="H7" s="8"/>
      <c r="I7" s="27"/>
      <c r="J7" s="8"/>
      <c r="K7" s="8"/>
      <c r="L7" s="8"/>
      <c r="M7" s="39">
        <v>1000.0</v>
      </c>
      <c r="N7" s="8"/>
      <c r="O7" s="8"/>
      <c r="P7" s="28" t="s">
        <v>24</v>
      </c>
      <c r="R7" s="28" t="s">
        <v>13</v>
      </c>
    </row>
    <row r="8" ht="15.75" customHeight="1">
      <c r="A8" s="8"/>
      <c r="B8" s="28" t="s">
        <v>23</v>
      </c>
      <c r="C8" s="8"/>
      <c r="D8" s="8"/>
      <c r="E8" s="8"/>
      <c r="F8" s="8"/>
      <c r="G8" s="8"/>
      <c r="H8" s="8"/>
      <c r="I8" s="27"/>
      <c r="J8" s="8"/>
      <c r="K8" s="8"/>
      <c r="L8" s="8"/>
      <c r="M8" s="39">
        <v>1000.0</v>
      </c>
      <c r="N8" s="8"/>
      <c r="O8" s="8"/>
      <c r="P8" s="28" t="s">
        <v>24</v>
      </c>
      <c r="R8" s="28" t="s">
        <v>13</v>
      </c>
    </row>
    <row r="9" ht="15.75" customHeight="1">
      <c r="A9" s="8"/>
      <c r="B9" s="28" t="s">
        <v>23</v>
      </c>
      <c r="C9" s="8"/>
      <c r="D9" s="8"/>
      <c r="E9" s="8"/>
      <c r="F9" s="8"/>
      <c r="G9" s="8"/>
      <c r="H9" s="8"/>
      <c r="I9" s="27"/>
      <c r="J9" s="8"/>
      <c r="K9" s="8"/>
      <c r="L9" s="8"/>
      <c r="M9" s="39">
        <v>1000.0</v>
      </c>
      <c r="N9" s="8"/>
      <c r="O9" s="8"/>
      <c r="P9" s="28" t="s">
        <v>24</v>
      </c>
      <c r="R9" s="28" t="s">
        <v>13</v>
      </c>
    </row>
    <row r="10" ht="15.75" customHeight="1">
      <c r="A10" s="8"/>
      <c r="B10" s="28" t="s">
        <v>23</v>
      </c>
      <c r="C10" s="8"/>
      <c r="D10" s="8"/>
      <c r="E10" s="8"/>
      <c r="F10" s="8"/>
      <c r="G10" s="8"/>
      <c r="H10" s="8"/>
      <c r="I10" s="27"/>
      <c r="J10" s="8"/>
      <c r="K10" s="8"/>
      <c r="L10" s="8"/>
      <c r="M10" s="39">
        <v>1000.0</v>
      </c>
      <c r="N10" s="8"/>
      <c r="O10" s="8"/>
      <c r="P10" s="28" t="s">
        <v>24</v>
      </c>
      <c r="R10" s="28" t="s">
        <v>13</v>
      </c>
    </row>
    <row r="11" ht="15.75" customHeight="1">
      <c r="A11" s="8"/>
      <c r="B11" s="13" t="s">
        <v>23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39">
        <v>1000.0</v>
      </c>
      <c r="N11" s="8"/>
      <c r="O11" s="8"/>
      <c r="P11" s="9" t="s">
        <v>24</v>
      </c>
      <c r="R11" s="9" t="s">
        <v>13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25"/>
    <col customWidth="1" min="3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4"/>
      <c r="B1" s="1" t="s">
        <v>6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ht="15.75" customHeight="1">
      <c r="A3" s="16"/>
      <c r="B3" s="5" t="s">
        <v>7</v>
      </c>
      <c r="C3" s="17" t="s">
        <v>43</v>
      </c>
      <c r="D3" s="5" t="s">
        <v>9</v>
      </c>
      <c r="E3" s="17" t="s">
        <v>47</v>
      </c>
      <c r="F3" s="5" t="s">
        <v>11</v>
      </c>
      <c r="G3" s="18" t="s">
        <v>12</v>
      </c>
      <c r="H3" s="5"/>
      <c r="I3" s="16"/>
      <c r="J3" s="16"/>
      <c r="K3" s="16"/>
      <c r="L3" s="16"/>
      <c r="M3" s="16"/>
      <c r="N3" s="16"/>
      <c r="O3" s="1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</row>
    <row r="4" ht="15.75" customHeight="1">
      <c r="A4" s="20"/>
      <c r="B4" s="20" t="str">
        <f>IFERROR(__xludf.DUMMYFUNCTION("IF(C3="""","""",Transpose(IMPORTRANGE('_Settings'!$B$3,C3&amp;""!A4:A1000"")))"),"SwapExpire")</f>
        <v>SwapExpire</v>
      </c>
      <c r="C4" s="20" t="str">
        <f>IFERROR(__xludf.DUMMYFUNCTION("""COMPUTED_VALUE"""),"GetDataClosing")</f>
        <v>GetDataClosing</v>
      </c>
      <c r="D4" s="20" t="str">
        <f>IFERROR(__xludf.DUMMYFUNCTION("""COMPUTED_VALUE"""),"ManualClosing")</f>
        <v>ManualClosing</v>
      </c>
      <c r="E4" s="20" t="str">
        <f>IFERROR(__xludf.DUMMYFUNCTION("""COMPUTED_VALUE"""),"AutomaticClosing")</f>
        <v>AutomaticClosing</v>
      </c>
      <c r="F4" s="20" t="str">
        <f>IFERROR(__xludf.DUMMYFUNCTION("""COMPUTED_VALUE"""),"UnwindClosing")</f>
        <v>UnwindClosing</v>
      </c>
      <c r="G4" s="20" t="str">
        <f>IFERROR(__xludf.DUMMYFUNCTION("""COMPUTED_VALUE"""),"VerifyClosedTrades")</f>
        <v>VerifyClosedTrades</v>
      </c>
      <c r="H4" s="20" t="str">
        <f>IFERROR(__xludf.DUMMYFUNCTION("""COMPUTED_VALUE"""),"VerifyLongPositionsGrid")</f>
        <v>VerifyLongPositionsGrid</v>
      </c>
      <c r="I4" s="20" t="str">
        <f>IFERROR(__xludf.DUMMYFUNCTION("""COMPUTED_VALUE"""),"VerifyShortPositionsGrid")</f>
        <v>VerifyShortPositionsGrid</v>
      </c>
      <c r="J4" s="20" t="str">
        <f>IFERROR(__xludf.DUMMYFUNCTION("""COMPUTED_VALUE"""),"SelectTradeUnexpiredUnsettled")</f>
        <v>SelectTradeUnexpiredUnsettled</v>
      </c>
      <c r="K4" s="20" t="str">
        <f>IFERROR(__xludf.DUMMYFUNCTION("""COMPUTED_VALUE"""),"CashSettlementAtCost")</f>
        <v>CashSettlementAtCost</v>
      </c>
      <c r="L4" s="20" t="str">
        <f>IFERROR(__xludf.DUMMYFUNCTION("""COMPUTED_VALUE"""),"CashSettlementAtZeroPrice")</f>
        <v>CashSettlementAtZeroPrice</v>
      </c>
      <c r="M4" s="20" t="str">
        <f>IFERROR(__xludf.DUMMYFUNCTION("""COMPUTED_VALUE"""),"CashSettlementAtClosingDtSpotPx")</f>
        <v>CashSettlementAtClosingDtSpotPx</v>
      </c>
      <c r="N4" s="20" t="str">
        <f>IFERROR(__xludf.DUMMYFUNCTION("""COMPUTED_VALUE"""),"PhysicalSettlement")</f>
        <v>PhysicalSettlement</v>
      </c>
      <c r="O4" s="20" t="str">
        <f>IFERROR(__xludf.DUMMYFUNCTION("""COMPUTED_VALUE"""),"Expire")</f>
        <v>Expire</v>
      </c>
      <c r="P4" s="21" t="str">
        <f>IFERROR(__xludf.DUMMYFUNCTION("""COMPUTED_VALUE"""),"ExerciseAssignment")</f>
        <v>ExerciseAssignment</v>
      </c>
      <c r="Q4" s="21" t="str">
        <f>IFERROR(__xludf.DUMMYFUNCTION("""COMPUTED_VALUE"""),"ExerciseAssignmentAtZero")</f>
        <v>ExerciseAssignmentAtZero</v>
      </c>
      <c r="R4" s="21" t="str">
        <f>IFERROR(__xludf.DUMMYFUNCTION("""COMPUTED_VALUE"""),"SwapExpireAndRollover")</f>
        <v>SwapExpireAndRollover</v>
      </c>
      <c r="S4" s="21" t="str">
        <f>IFERROR(__xludf.DUMMYFUNCTION("""COMPUTED_VALUE"""),"SwapExpire")</f>
        <v>SwapExpire</v>
      </c>
      <c r="T4" s="21" t="str">
        <f>IFERROR(__xludf.DUMMYFUNCTION("""COMPUTED_VALUE"""),"VerifyExpiredSettledGrid")</f>
        <v>VerifyExpiredSettledGrid</v>
      </c>
      <c r="U4" s="21" t="str">
        <f>IFERROR(__xludf.DUMMYFUNCTION("""COMPUTED_VALUE"""),"VerifyUnExpiredUnSettledGrid")</f>
        <v>VerifyUnExpiredUnSettledGrid</v>
      </c>
      <c r="V4" s="21" t="str">
        <f>IFERROR(__xludf.DUMMYFUNCTION("""COMPUTED_VALUE"""),"UnWindTradeSettlement")</f>
        <v>UnWindTradeSettlement</v>
      </c>
      <c r="W4" s="21" t="str">
        <f>IFERROR(__xludf.DUMMYFUNCTION("""COMPUTED_VALUE"""),"CloseOrder")</f>
        <v>CloseOrder</v>
      </c>
      <c r="X4" s="21" t="str">
        <f>IFERROR(__xludf.DUMMYFUNCTION("""COMPUTED_VALUE"""),"VerifyCloseOrder")</f>
        <v>VerifyCloseOrder</v>
      </c>
      <c r="Y4" s="21" t="str">
        <f>IFERROR(__xludf.DUMMYFUNCTION("""COMPUTED_VALUE"""),"UnWindCloseOrder")</f>
        <v>UnWindCloseOrder</v>
      </c>
      <c r="Z4" s="21" t="str">
        <f>IFERROR(__xludf.DUMMYFUNCTION("""COMPUTED_VALUE"""),"ClosingCleanUp")</f>
        <v>ClosingCleanUp</v>
      </c>
      <c r="AA4" s="21" t="str">
        <f>IFERROR(__xludf.DUMMYFUNCTION("""COMPUTED_VALUE"""),"CloseClosingUI")</f>
        <v>CloseClosingUI</v>
      </c>
      <c r="AB4" s="21" t="str">
        <f>IFERROR(__xludf.DUMMYFUNCTION("""COMPUTED_VALUE"""),"SetClosingPreference")</f>
        <v>SetClosingPreference</v>
      </c>
      <c r="AC4" s="21" t="str">
        <f>IFERROR(__xludf.DUMMYFUNCTION("""COMPUTED_VALUE"""),"EditTradeUnexpiredUnsettled")</f>
        <v>EditTradeUnexpiredUnsettled</v>
      </c>
      <c r="AD4" s="21" t="str">
        <f>IFERROR(__xludf.DUMMYFUNCTION("""COMPUTED_VALUE"""),"AutoExercise")</f>
        <v>AutoExercise</v>
      </c>
      <c r="AE4" s="21" t="str">
        <f>IFERROR(__xludf.DUMMYFUNCTION("""COMPUTED_VALUE"""),"EditMultipleCloseQuantity")</f>
        <v>EditMultipleCloseQuantity</v>
      </c>
      <c r="AF4" s="21" t="str">
        <f>IFERROR(__xludf.DUMMYFUNCTION("""COMPUTED_VALUE"""),"ManualCloseOrder")</f>
        <v>ManualCloseOrder</v>
      </c>
      <c r="AG4" s="21" t="str">
        <f>IFERROR(__xludf.DUMMYFUNCTION("""COMPUTED_VALUE"""),"PreviewDataWithFilters")</f>
        <v>PreviewDataWithFilters</v>
      </c>
      <c r="AH4" s="21" t="str">
        <f>IFERROR(__xludf.DUMMYFUNCTION("""COMPUTED_VALUE"""),"CreateClosingTemplate")</f>
        <v>CreateClosingTemplate</v>
      </c>
      <c r="AI4" s="21" t="str">
        <f>IFERROR(__xludf.DUMMYFUNCTION("""COMPUTED_VALUE"""),"CreateUnwindingTemplate")</f>
        <v>CreateUnwindingTemplate</v>
      </c>
      <c r="AJ4" s="21" t="str">
        <f>IFERROR(__xludf.DUMMYFUNCTION("""COMPUTED_VALUE"""),"EditTemplate")</f>
        <v>EditTemplate</v>
      </c>
      <c r="AK4" s="21" t="str">
        <f>IFERROR(__xludf.DUMMYFUNCTION("""COMPUTED_VALUE"""),"DeleteTemplate")</f>
        <v>DeleteTemplate</v>
      </c>
      <c r="AL4" s="21" t="str">
        <f>IFERROR(__xludf.DUMMYFUNCTION("""COMPUTED_VALUE"""),"RunTemplate")</f>
        <v>RunTemplate</v>
      </c>
      <c r="AM4" s="21" t="str">
        <f>IFERROR(__xludf.DUMMYFUNCTION("""COMPUTED_VALUE"""),"CreateClosingTemplate")</f>
        <v>CreateClosingTemplate</v>
      </c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IFERROR(__xludf.DUMMYFUNCTION("""COMPUTED_VALUE"""),"Account")</f>
        <v>Account</v>
      </c>
      <c r="C5" s="23" t="str">
        <f>IFERROR(__xludf.DUMMYFUNCTION("""COMPUTED_VALUE"""),"Asset Class")</f>
        <v>Asset Class</v>
      </c>
      <c r="D5" s="23" t="str">
        <f>IFERROR(__xludf.DUMMYFUNCTION("""COMPUTED_VALUE"""),"AUECID")</f>
        <v>AUECID</v>
      </c>
      <c r="E5" s="23" t="str">
        <f>IFERROR(__xludf.DUMMYFUNCTION("""COMPUTED_VALUE"""),"ExternalTransId")</f>
        <v>ExternalTransId</v>
      </c>
      <c r="F5" s="24" t="str">
        <f>IFERROR(__xludf.DUMMYFUNCTION("""COMPUTED_VALUE"""),"IsSwapped")</f>
        <v>IsSwapped</v>
      </c>
      <c r="G5" s="23" t="str">
        <f>IFERROR(__xludf.DUMMYFUNCTION("""COMPUTED_VALUE"""),"LotId")</f>
        <v>LotId</v>
      </c>
      <c r="H5" s="23" t="str">
        <f>IFERROR(__xludf.DUMMYFUNCTION("""COMPUTED_VALUE"""),"Net Notional")</f>
        <v>Net Notional</v>
      </c>
      <c r="I5" s="23" t="str">
        <f>IFERROR(__xludf.DUMMYFUNCTION("""COMPUTED_VALUE"""),"Opening Price")</f>
        <v>Opening Price</v>
      </c>
      <c r="J5" s="23" t="str">
        <f>IFERROR(__xludf.DUMMYFUNCTION("""COMPUTED_VALUE"""),"Original Purchase Date")</f>
        <v>Original Purchase Date</v>
      </c>
      <c r="K5" s="23" t="str">
        <f>IFERROR(__xludf.DUMMYFUNCTION("""COMPUTED_VALUE"""),"PositionTag")</f>
        <v>PositionTag</v>
      </c>
      <c r="L5" s="23" t="str">
        <f>IFERROR(__xludf.DUMMYFUNCTION("""COMPUTED_VALUE"""),"Process Date")</f>
        <v>Process Date</v>
      </c>
      <c r="M5" s="23" t="str">
        <f>IFERROR(__xludf.DUMMYFUNCTION("""COMPUTED_VALUE"""),"Quantity")</f>
        <v>Quantity</v>
      </c>
      <c r="N5" s="23" t="str">
        <f>IFERROR(__xludf.DUMMYFUNCTION("""COMPUTED_VALUE"""),"Security Name")</f>
        <v>Security Name</v>
      </c>
      <c r="O5" s="23" t="str">
        <f>IFERROR(__xludf.DUMMYFUNCTION("""COMPUTED_VALUE"""),"Settlement Currency")</f>
        <v>Settlement Currency</v>
      </c>
      <c r="P5" s="23" t="str">
        <f>IFERROR(__xludf.DUMMYFUNCTION("""COMPUTED_VALUE"""),"Side")</f>
        <v>Side</v>
      </c>
      <c r="Q5" s="23" t="str">
        <f>IFERROR(__xludf.DUMMYFUNCTION("""COMPUTED_VALUE"""),"Strategy")</f>
        <v>Strategy</v>
      </c>
      <c r="R5" s="23" t="str">
        <f>IFERROR(__xludf.DUMMYFUNCTION("""COMPUTED_VALUE"""),"Symbol")</f>
        <v>Symbol</v>
      </c>
      <c r="S5" s="23" t="str">
        <f>IFERROR(__xludf.DUMMYFUNCTION("""COMPUTED_VALUE"""),"Taxlot ID")</f>
        <v>Taxlot ID</v>
      </c>
      <c r="T5" s="25" t="str">
        <f>IFERROR(__xludf.DUMMYFUNCTION("""COMPUTED_VALUE"""),"Total Fees and Commission")</f>
        <v>Total Fees and Commission</v>
      </c>
      <c r="U5" s="25" t="str">
        <f>IFERROR(__xludf.DUMMYFUNCTION("""COMPUTED_VALUE"""),"Trade Date")</f>
        <v>Trade Date</v>
      </c>
      <c r="V5" s="25" t="str">
        <f>IFERROR(__xludf.DUMMYFUNCTION("""COMPUTED_VALUE"""),"Transaction Type")</f>
        <v>Transaction Type</v>
      </c>
      <c r="W5" s="25" t="str">
        <f>IFERROR(__xludf.DUMMYFUNCTION("""COMPUTED_VALUE"""),"UnderlyingName")</f>
        <v>UnderlyingName</v>
      </c>
      <c r="X5" s="25" t="str">
        <f>IFERROR(__xludf.DUMMYFUNCTION("""COMPUTED_VALUE"""),"UnitCost")</f>
        <v>UnitCost</v>
      </c>
      <c r="Y5" s="25" t="str">
        <f>IFERROR(__xludf.DUMMYFUNCTION("""COMPUTED_VALUE"""),"Unit Cost(Base)")</f>
        <v>Unit Cost(Base)</v>
      </c>
      <c r="Z5" s="25" t="str">
        <f>IFERROR(__xludf.DUMMYFUNCTION("""COMPUTED_VALUE"""),"AvgPriceBase")</f>
        <v>AvgPriceBase</v>
      </c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</row>
    <row r="6" ht="15.75" customHeight="1">
      <c r="A6" s="8"/>
      <c r="B6" s="40" t="s">
        <v>23</v>
      </c>
      <c r="C6" s="30"/>
      <c r="D6" s="41"/>
      <c r="E6" s="30"/>
      <c r="F6" s="41"/>
      <c r="G6" s="30"/>
      <c r="H6" s="41"/>
      <c r="I6" s="27"/>
      <c r="J6" s="30"/>
      <c r="K6" s="30"/>
      <c r="L6" s="30"/>
      <c r="M6" s="27">
        <v>100.0</v>
      </c>
      <c r="N6" s="30"/>
      <c r="O6" s="30"/>
      <c r="P6" s="40" t="s">
        <v>14</v>
      </c>
      <c r="Q6" s="30"/>
      <c r="R6" s="28" t="s">
        <v>13</v>
      </c>
      <c r="S6" s="30"/>
      <c r="U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25"/>
    <col customWidth="1" min="3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4"/>
      <c r="B1" s="1" t="s">
        <v>6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ht="15.75" customHeight="1">
      <c r="A3" s="16"/>
      <c r="B3" s="5" t="s">
        <v>7</v>
      </c>
      <c r="C3" s="17" t="s">
        <v>48</v>
      </c>
      <c r="D3" s="5" t="s">
        <v>9</v>
      </c>
      <c r="E3" s="17" t="s">
        <v>49</v>
      </c>
      <c r="F3" s="5" t="s">
        <v>11</v>
      </c>
      <c r="G3" s="18" t="s">
        <v>12</v>
      </c>
      <c r="H3" s="5"/>
      <c r="I3" s="16"/>
      <c r="J3" s="16"/>
      <c r="K3" s="16"/>
      <c r="L3" s="16"/>
      <c r="M3" s="16"/>
      <c r="N3" s="16"/>
      <c r="O3" s="1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IFERROR(__xludf.DUMMYFUNCTION("""COMPUTED_VALUE"""),"CalculateDayEndCash")</f>
        <v>CalculateDayEndCash</v>
      </c>
      <c r="BA4" s="21" t="str">
        <f>IFERROR(__xludf.DUMMYFUNCTION("""COMPUTED_VALUE"""),"CalculateDayEndCash")</f>
        <v>CalculateDayEndCash</v>
      </c>
      <c r="BB4" s="21" t="str">
        <f>IFERROR(__xludf.DUMMYFUNCTION("""COMPUTED_VALUE"""),"VerifyOpeningBalanceData")</f>
        <v>VerifyOpeningBalanceData</v>
      </c>
      <c r="BC4" s="21" t="str">
        <f>IFERROR(__xludf.DUMMYFUNCTION("""COMPUTED_VALUE"""),"VerifyAccountBalances")</f>
        <v>VerifyAccountBalances</v>
      </c>
      <c r="BD4" s="21" t="str">
        <f>IFERROR(__xludf.DUMMYFUNCTION("""COMPUTED_VALUE"""),"AddMultipleOpeningBalTranItem")</f>
        <v>AddMultipleOpeningBalTranItem</v>
      </c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IFERROR(__xludf.DUMMYFUNCTION("""COMPUTED_VALUE"""),"Account")</f>
        <v>Account</v>
      </c>
      <c r="C5" s="23" t="str">
        <f>IFERROR(__xludf.DUMMYFUNCTION("""COMPUTED_VALUE"""),"Activity Source")</f>
        <v>Activity Source</v>
      </c>
      <c r="D5" s="23" t="str">
        <f>IFERROR(__xludf.DUMMYFUNCTION("""COMPUTED_VALUE"""),"ActivityType")</f>
        <v>ActivityType</v>
      </c>
      <c r="E5" s="23" t="str">
        <f>IFERROR(__xludf.DUMMYFUNCTION("""COMPUTED_VALUE"""),"Net Amount(Local)")</f>
        <v>Net Amount(Local)</v>
      </c>
      <c r="F5" s="24" t="str">
        <f>IFERROR(__xludf.DUMMYFUNCTION("""COMPUTED_VALUE"""),"AUEC Fee1")</f>
        <v>AUEC Fee1</v>
      </c>
      <c r="G5" s="23" t="str">
        <f>IFERROR(__xludf.DUMMYFUNCTION("""COMPUTED_VALUE"""),"AUEC Fee2")</f>
        <v>AUEC Fee2</v>
      </c>
      <c r="H5" s="23" t="str">
        <f>IFERROR(__xludf.DUMMYFUNCTION("""COMPUTED_VALUE"""),"Balance Type")</f>
        <v>Balance Type</v>
      </c>
      <c r="I5" s="23" t="str">
        <f>IFERROR(__xludf.DUMMYFUNCTION("""COMPUTED_VALUE"""),"Clearing Broker Fees")</f>
        <v>Clearing Broker Fees</v>
      </c>
      <c r="J5" s="23" t="str">
        <f>IFERROR(__xludf.DUMMYFUNCTION("""COMPUTED_VALUE"""),"Commission")</f>
        <v>Commission</v>
      </c>
      <c r="K5" s="23" t="str">
        <f>IFERROR(__xludf.DUMMYFUNCTION("""COMPUTED_VALUE"""),"Currency")</f>
        <v>Currency</v>
      </c>
      <c r="L5" s="23" t="str">
        <f>IFERROR(__xludf.DUMMYFUNCTION("""COMPUTED_VALUE"""),"Description")</f>
        <v>Description</v>
      </c>
      <c r="M5" s="23" t="str">
        <f>IFERROR(__xludf.DUMMYFUNCTION("""COMPUTED_VALUE"""),"Entry Date")</f>
        <v>Entry Date</v>
      </c>
      <c r="N5" s="23" t="str">
        <f>IFERROR(__xludf.DUMMYFUNCTION("""COMPUTED_VALUE"""),"FX Conversion Method Operator")</f>
        <v>FX Conversion Method Operator</v>
      </c>
      <c r="O5" s="23" t="str">
        <f>IFERROR(__xludf.DUMMYFUNCTION("""COMPUTED_VALUE"""),"Fx Rate")</f>
        <v>Fx Rate</v>
      </c>
      <c r="P5" s="23" t="str">
        <f>IFERROR(__xludf.DUMMYFUNCTION("""COMPUTED_VALUE"""),"Lead Currency")</f>
        <v>Lead Currency</v>
      </c>
      <c r="Q5" s="23" t="str">
        <f>IFERROR(__xludf.DUMMYFUNCTION("""COMPUTED_VALUE"""),"Modify date")</f>
        <v>Modify date</v>
      </c>
      <c r="R5" s="23" t="str">
        <f>IFERROR(__xludf.DUMMYFUNCTION("""COMPUTED_VALUE"""),"OCC Fee")</f>
        <v>OCC Fee</v>
      </c>
      <c r="S5" s="23" t="str">
        <f>IFERROR(__xludf.DUMMYFUNCTION("""COMPUTED_VALUE"""),"OptionPremiumAdjustment")</f>
        <v>OptionPremiumAdjustment</v>
      </c>
      <c r="T5" s="25" t="str">
        <f>IFERROR(__xludf.DUMMYFUNCTION("""COMPUTED_VALUE"""),"ORF Fee")</f>
        <v>ORF Fee</v>
      </c>
      <c r="U5" s="25" t="str">
        <f>IFERROR(__xludf.DUMMYFUNCTION("""COMPUTED_VALUE"""),"Other Broker Fees")</f>
        <v>Other Broker Fees</v>
      </c>
      <c r="V5" s="25" t="str">
        <f>IFERROR(__xludf.DUMMYFUNCTION("""COMPUTED_VALUE"""),"Quantity")</f>
        <v>Quantity</v>
      </c>
      <c r="W5" s="25" t="str">
        <f>IFERROR(__xludf.DUMMYFUNCTION("""COMPUTED_VALUE"""),"SEC Fee")</f>
        <v>SEC Fee</v>
      </c>
      <c r="X5" s="25" t="str">
        <f>IFERROR(__xludf.DUMMYFUNCTION("""COMPUTED_VALUE"""),"Settlement Currency")</f>
        <v>Settlement Currency</v>
      </c>
      <c r="Y5" s="25" t="str">
        <f>IFERROR(__xludf.DUMMYFUNCTION("""COMPUTED_VALUE"""),"Settlement Date")</f>
        <v>Settlement Date</v>
      </c>
      <c r="Z5" s="25" t="str">
        <f>IFERROR(__xludf.DUMMYFUNCTION("""COMPUTED_VALUE"""),"Soft Commission")</f>
        <v>Soft Commission</v>
      </c>
      <c r="AA5" s="25" t="str">
        <f>IFERROR(__xludf.DUMMYFUNCTION("""COMPUTED_VALUE"""),"Stamp Duty")</f>
        <v>Stamp Duty</v>
      </c>
      <c r="AB5" s="25" t="str">
        <f>IFERROR(__xludf.DUMMYFUNCTION("""COMPUTED_VALUE"""),"Symbol")</f>
        <v>Symbol</v>
      </c>
      <c r="AC5" s="25" t="str">
        <f>IFERROR(__xludf.DUMMYFUNCTION("""COMPUTED_VALUE"""),"Tax On Commissions")</f>
        <v>Tax On Commissions</v>
      </c>
      <c r="AD5" s="25" t="str">
        <f>IFERROR(__xludf.DUMMYFUNCTION("""COMPUTED_VALUE"""),"Total Commissions")</f>
        <v>Total Commissions</v>
      </c>
      <c r="AE5" s="25" t="str">
        <f>IFERROR(__xludf.DUMMYFUNCTION("""COMPUTED_VALUE"""),"Trade Date")</f>
        <v>Trade Date</v>
      </c>
      <c r="AF5" s="25" t="str">
        <f>IFERROR(__xludf.DUMMYFUNCTION("""COMPUTED_VALUE"""),"Transaction Levy")</f>
        <v>Transaction Levy</v>
      </c>
      <c r="AG5" s="25" t="str">
        <f>IFERROR(__xludf.DUMMYFUNCTION("""COMPUTED_VALUE"""),"Transaction Source")</f>
        <v>Transaction Source</v>
      </c>
      <c r="AH5" s="25" t="str">
        <f>IFERROR(__xludf.DUMMYFUNCTION("""COMPUTED_VALUE"""),"User")</f>
        <v>User</v>
      </c>
      <c r="AI5" s="25" t="str">
        <f>IFERROR(__xludf.DUMMYFUNCTION("""COMPUTED_VALUE"""),"Vs Currency")</f>
        <v>Vs Currency</v>
      </c>
      <c r="AJ5" s="25" t="str">
        <f>IFERROR(__xludf.DUMMYFUNCTION("""COMPUTED_VALUE"""),"SettlCurrencyID")</f>
        <v>SettlCurrencyID</v>
      </c>
      <c r="AK5" s="25" t="str">
        <f>IFERROR(__xludf.DUMMYFUNCTION("""COMPUTED_VALUE"""),"isRowCountCheck")</f>
        <v>isRowCountCheck</v>
      </c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</row>
    <row r="6" ht="15.75" customHeight="1">
      <c r="A6" s="8"/>
      <c r="B6" s="9" t="s">
        <v>23</v>
      </c>
      <c r="D6" s="9" t="s">
        <v>50</v>
      </c>
      <c r="F6" s="9"/>
      <c r="H6" s="9"/>
      <c r="K6" s="9" t="s">
        <v>51</v>
      </c>
      <c r="T6" s="9"/>
      <c r="V6" s="9">
        <v>100.0</v>
      </c>
      <c r="AB6" s="9" t="s">
        <v>13</v>
      </c>
    </row>
    <row r="7" ht="15.75" customHeight="1">
      <c r="A7" s="8"/>
      <c r="B7" s="9" t="s">
        <v>23</v>
      </c>
      <c r="C7" s="8"/>
      <c r="D7" s="9" t="s">
        <v>50</v>
      </c>
      <c r="E7" s="8"/>
      <c r="F7" s="13"/>
      <c r="G7" s="8"/>
      <c r="H7" s="8"/>
      <c r="I7" s="8"/>
      <c r="J7" s="8"/>
      <c r="K7" s="9" t="s">
        <v>51</v>
      </c>
      <c r="L7" s="8"/>
      <c r="M7" s="8"/>
      <c r="N7" s="8"/>
      <c r="O7" s="8"/>
      <c r="V7" s="9">
        <v>100.0</v>
      </c>
      <c r="AB7" s="9" t="s">
        <v>13</v>
      </c>
    </row>
    <row r="8" ht="15.75" customHeight="1">
      <c r="A8" s="8"/>
      <c r="B8" s="9" t="s">
        <v>23</v>
      </c>
      <c r="C8" s="8"/>
      <c r="D8" s="9" t="s">
        <v>50</v>
      </c>
      <c r="E8" s="8"/>
      <c r="F8" s="34"/>
      <c r="G8" s="8"/>
      <c r="H8" s="8"/>
      <c r="I8" s="8"/>
      <c r="J8" s="8"/>
      <c r="K8" s="9" t="s">
        <v>51</v>
      </c>
      <c r="L8" s="8"/>
      <c r="M8" s="8"/>
      <c r="N8" s="8"/>
      <c r="O8" s="8"/>
      <c r="V8" s="9">
        <v>1000.0</v>
      </c>
      <c r="AB8" s="9" t="s">
        <v>13</v>
      </c>
    </row>
    <row r="9" ht="15.75" customHeight="1">
      <c r="A9" s="8"/>
      <c r="B9" s="9" t="s">
        <v>23</v>
      </c>
      <c r="C9" s="8"/>
      <c r="D9" s="9" t="s">
        <v>50</v>
      </c>
      <c r="E9" s="8"/>
      <c r="F9" s="8"/>
      <c r="G9" s="8"/>
      <c r="H9" s="8"/>
      <c r="I9" s="8"/>
      <c r="J9" s="8"/>
      <c r="K9" s="9" t="s">
        <v>51</v>
      </c>
      <c r="L9" s="8"/>
      <c r="M9" s="8"/>
      <c r="N9" s="8"/>
      <c r="O9" s="8"/>
      <c r="V9" s="9">
        <v>1000.0</v>
      </c>
      <c r="AB9" s="9" t="s">
        <v>13</v>
      </c>
    </row>
    <row r="10" ht="15.75" customHeight="1">
      <c r="A10" s="8"/>
      <c r="B10" s="9" t="s">
        <v>23</v>
      </c>
      <c r="C10" s="8"/>
      <c r="D10" s="9" t="s">
        <v>50</v>
      </c>
      <c r="E10" s="8"/>
      <c r="F10" s="8"/>
      <c r="G10" s="8"/>
      <c r="H10" s="8"/>
      <c r="I10" s="8"/>
      <c r="J10" s="8"/>
      <c r="K10" s="9" t="s">
        <v>51</v>
      </c>
      <c r="L10" s="8"/>
      <c r="M10" s="8"/>
      <c r="N10" s="8"/>
      <c r="O10" s="8"/>
      <c r="V10" s="9">
        <v>1000.0</v>
      </c>
      <c r="AB10" s="9" t="s">
        <v>13</v>
      </c>
    </row>
    <row r="11" ht="15.75" customHeight="1">
      <c r="A11" s="8"/>
      <c r="B11" s="9" t="s">
        <v>23</v>
      </c>
      <c r="C11" s="8"/>
      <c r="D11" s="9" t="s">
        <v>50</v>
      </c>
      <c r="E11" s="8"/>
      <c r="F11" s="8"/>
      <c r="G11" s="8"/>
      <c r="H11" s="8"/>
      <c r="I11" s="8"/>
      <c r="J11" s="8"/>
      <c r="K11" s="9" t="s">
        <v>51</v>
      </c>
      <c r="L11" s="8"/>
      <c r="M11" s="8"/>
      <c r="N11" s="8"/>
      <c r="O11" s="8"/>
      <c r="V11" s="9">
        <v>1000.0</v>
      </c>
      <c r="Z11" s="9">
        <v>150.0</v>
      </c>
      <c r="AB11" s="9" t="s">
        <v>13</v>
      </c>
    </row>
    <row r="12" ht="15.75" customHeight="1">
      <c r="A12" s="8"/>
      <c r="B12" s="9" t="s">
        <v>23</v>
      </c>
      <c r="C12" s="8"/>
      <c r="D12" s="9" t="s">
        <v>50</v>
      </c>
      <c r="E12" s="8"/>
      <c r="F12" s="8"/>
      <c r="G12" s="8"/>
      <c r="H12" s="8"/>
      <c r="I12" s="8"/>
      <c r="J12" s="8"/>
      <c r="K12" s="9" t="s">
        <v>51</v>
      </c>
      <c r="L12" s="8"/>
      <c r="M12" s="8"/>
      <c r="N12" s="8"/>
      <c r="O12" s="8"/>
      <c r="V12" s="9">
        <v>1000.0</v>
      </c>
      <c r="Z12" s="9">
        <v>15000.0</v>
      </c>
      <c r="AB12" s="9" t="s">
        <v>13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25"/>
    <col customWidth="1" min="3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4"/>
      <c r="B1" s="1" t="s">
        <v>6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ht="15.75" customHeight="1">
      <c r="A3" s="16"/>
      <c r="B3" s="5" t="s">
        <v>7</v>
      </c>
      <c r="C3" s="17" t="s">
        <v>48</v>
      </c>
      <c r="D3" s="5" t="s">
        <v>9</v>
      </c>
      <c r="E3" s="17" t="s">
        <v>52</v>
      </c>
      <c r="F3" s="5" t="s">
        <v>11</v>
      </c>
      <c r="G3" s="18" t="s">
        <v>12</v>
      </c>
      <c r="H3" s="5"/>
      <c r="I3" s="16"/>
      <c r="J3" s="16"/>
      <c r="K3" s="16"/>
      <c r="L3" s="16"/>
      <c r="M3" s="16"/>
      <c r="N3" s="16"/>
      <c r="O3" s="1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IFERROR(__xludf.DUMMYFUNCTION("""COMPUTED_VALUE"""),"CalculateDayEndCash")</f>
        <v>CalculateDayEndCash</v>
      </c>
      <c r="BA4" s="21" t="str">
        <f>IFERROR(__xludf.DUMMYFUNCTION("""COMPUTED_VALUE"""),"CalculateDayEndCash")</f>
        <v>CalculateDayEndCash</v>
      </c>
      <c r="BB4" s="21" t="str">
        <f>IFERROR(__xludf.DUMMYFUNCTION("""COMPUTED_VALUE"""),"VerifyOpeningBalanceData")</f>
        <v>VerifyOpeningBalanceData</v>
      </c>
      <c r="BC4" s="21" t="str">
        <f>IFERROR(__xludf.DUMMYFUNCTION("""COMPUTED_VALUE"""),"VerifyAccountBalances")</f>
        <v>VerifyAccountBalances</v>
      </c>
      <c r="BD4" s="21" t="str">
        <f>IFERROR(__xludf.DUMMYFUNCTION("""COMPUTED_VALUE"""),"AddMultipleOpeningBalTranItem")</f>
        <v>AddMultipleOpeningBalTranItem</v>
      </c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IFERROR(__xludf.DUMMYFUNCTION("""COMPUTED_VALUE"""),"MasterFund")</f>
        <v>MasterFund</v>
      </c>
      <c r="C5" s="23" t="str">
        <f>IFERROR(__xludf.DUMMYFUNCTION("""COMPUTED_VALUE"""),"Accounts")</f>
        <v>Accounts</v>
      </c>
      <c r="D5" s="23" t="str">
        <f>IFERROR(__xludf.DUMMYFUNCTION("""COMPUTED_VALUE"""),"From")</f>
        <v>From</v>
      </c>
      <c r="E5" s="23" t="str">
        <f>IFERROR(__xludf.DUMMYFUNCTION("""COMPUTED_VALUE"""),"To")</f>
        <v>To</v>
      </c>
      <c r="F5" s="24" t="str">
        <f>IFERROR(__xludf.DUMMYFUNCTION("""COMPUTED_VALUE"""),"SettlementDate")</f>
        <v>SettlementDate</v>
      </c>
      <c r="G5" s="23" t="str">
        <f>IFERROR(__xludf.DUMMYFUNCTION("""COMPUTED_VALUE"""),"TradeDate")</f>
        <v>TradeDate</v>
      </c>
      <c r="H5" s="23" t="str">
        <f>IFERROR(__xludf.DUMMYFUNCTION("""COMPUTED_VALUE"""),"All")</f>
        <v>All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</row>
    <row r="6" ht="15.75" customHeight="1">
      <c r="A6" s="8"/>
      <c r="B6" s="9" t="s">
        <v>53</v>
      </c>
      <c r="C6" s="9" t="s">
        <v>23</v>
      </c>
      <c r="D6" s="9"/>
      <c r="F6" s="9" t="s">
        <v>54</v>
      </c>
      <c r="G6" s="9" t="s">
        <v>54</v>
      </c>
      <c r="H6" s="9" t="s">
        <v>55</v>
      </c>
      <c r="T6" s="9"/>
    </row>
    <row r="7" ht="15.75" customHeight="1">
      <c r="A7" s="8"/>
      <c r="B7" s="8"/>
      <c r="C7" s="8"/>
      <c r="D7" s="13"/>
      <c r="E7" s="8"/>
      <c r="F7" s="1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34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4"/>
      <c r="B1" s="1" t="s">
        <v>6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33" t="str">
        <f> VLOOKUP($E$3,'_MasterData'!B4:D1000,3,FALSE)</f>
        <v>#REF!</v>
      </c>
      <c r="K2" s="33"/>
      <c r="L2" s="8"/>
      <c r="M2" s="8"/>
      <c r="N2" s="8"/>
      <c r="O2" s="8"/>
    </row>
    <row r="3" ht="15.75" customHeight="1">
      <c r="A3" s="16"/>
      <c r="B3" s="5" t="s">
        <v>7</v>
      </c>
      <c r="C3" s="17" t="s">
        <v>34</v>
      </c>
      <c r="D3" s="5" t="s">
        <v>9</v>
      </c>
      <c r="E3" s="17" t="s">
        <v>56</v>
      </c>
      <c r="F3" s="5" t="s">
        <v>11</v>
      </c>
      <c r="G3" s="18" t="s">
        <v>12</v>
      </c>
      <c r="H3" s="5"/>
      <c r="I3" s="16"/>
      <c r="J3" s="16"/>
      <c r="K3" s="16"/>
      <c r="L3" s="16"/>
      <c r="M3" s="16"/>
      <c r="N3" s="16"/>
      <c r="O3" s="1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IFERROR(__xludf.DUMMYFUNCTION("IF(C3="""","""",Transpose(IMPORTRANGE('_Settings'!$B$3,C3&amp;""!A4:A1000"")))"),"Allocate")</f>
        <v>Allocate</v>
      </c>
      <c r="C4" s="20" t="str">
        <f>IFERROR(__xludf.DUMMYFUNCTION("""COMPUTED_VALUE"""),"CheckAllocatedGroups")</f>
        <v>CheckAllocatedGroups</v>
      </c>
      <c r="D4" s="20" t="str">
        <f>IFERROR(__xludf.DUMMYFUNCTION("""COMPUTED_VALUE"""),"Unallocate")</f>
        <v>Unallocate</v>
      </c>
      <c r="E4" s="20" t="str">
        <f>IFERROR(__xludf.DUMMYFUNCTION("""COMPUTED_VALUE"""),"GetDataAllocation")</f>
        <v>GetDataAllocation</v>
      </c>
      <c r="F4" s="20" t="str">
        <f>IFERROR(__xludf.DUMMYFUNCTION("""COMPUTED_VALUE"""),"SelectAllocatedGroup")</f>
        <v>SelectAllocatedGroup</v>
      </c>
      <c r="G4" s="20" t="str">
        <f>IFERROR(__xludf.DUMMYFUNCTION("""COMPUTED_VALUE"""),"EditTradesAllocated")</f>
        <v>EditTradesAllocated</v>
      </c>
      <c r="H4" s="20" t="str">
        <f>IFERROR(__xludf.DUMMYFUNCTION("""COMPUTED_VALUE"""),"EditTradesUnallocated")</f>
        <v>EditTradesUnallocated</v>
      </c>
      <c r="I4" s="20" t="str">
        <f>IFERROR(__xludf.DUMMYFUNCTION("""COMPUTED_VALUE"""),"Reallocate")</f>
        <v>Reallocate</v>
      </c>
      <c r="J4" s="20" t="str">
        <f>IFERROR(__xludf.DUMMYFUNCTION("""COMPUTED_VALUE"""),"EditUnallocatedGroupSidePanel")</f>
        <v>EditUnallocatedGroupSidePanel</v>
      </c>
      <c r="K4" s="20" t="str">
        <f>IFERROR(__xludf.DUMMYFUNCTION("""COMPUTED_VALUE"""),"TradeAttributeBulkChange")</f>
        <v>TradeAttributeBulkChange</v>
      </c>
      <c r="L4" s="20" t="str">
        <f>IFERROR(__xludf.DUMMYFUNCTION("""COMPUTED_VALUE"""),"ApplyBulkUpdateOnGroups")</f>
        <v>ApplyBulkUpdateOnGroups</v>
      </c>
      <c r="M4" s="20" t="str">
        <f>IFERROR(__xludf.DUMMYFUNCTION("""COMPUTED_VALUE"""),"ApplyPrefetchFilters")</f>
        <v>ApplyPrefetchFilters</v>
      </c>
      <c r="N4" s="20" t="str">
        <f>IFERROR(__xludf.DUMMYFUNCTION("""COMPUTED_VALUE"""),"GeneralPreferencesDefaultRule")</f>
        <v>GeneralPreferencesDefaultRule</v>
      </c>
      <c r="O4" s="20" t="str">
        <f>IFERROR(__xludf.DUMMYFUNCTION("""COMPUTED_VALUE"""),"GeneralPrefCompanyUserWise")</f>
        <v>GeneralPrefCompanyUserWise</v>
      </c>
      <c r="P4" s="21" t="str">
        <f>IFERROR(__xludf.DUMMYFUNCTION("""COMPUTED_VALUE"""),"RenameTradeAttributes")</f>
        <v>RenameTradeAttributes</v>
      </c>
      <c r="Q4" s="21" t="str">
        <f>IFERROR(__xludf.DUMMYFUNCTION("""COMPUTED_VALUE"""),"SetGroupingRules")</f>
        <v>SetGroupingRules</v>
      </c>
      <c r="R4" s="21" t="str">
        <f>IFERROR(__xludf.DUMMYFUNCTION("""COMPUTED_VALUE"""),"SetMasterFundRatio")</f>
        <v>SetMasterFundRatio</v>
      </c>
      <c r="S4" s="21" t="str">
        <f>IFERROR(__xludf.DUMMYFUNCTION("""COMPUTED_VALUE"""),"CheckFixedPreference")</f>
        <v>CheckFixedPreference</v>
      </c>
      <c r="T4" s="21" t="str">
        <f>IFERROR(__xludf.DUMMYFUNCTION("""COMPUTED_VALUE"""),"GetFixedPreference")</f>
        <v>GetFixedPreference</v>
      </c>
      <c r="U4" s="21" t="str">
        <f>IFERROR(__xludf.DUMMYFUNCTION("""COMPUTED_VALUE"""),"AddCalculatedPreferences")</f>
        <v>AddCalculatedPreferences</v>
      </c>
      <c r="V4" s="21" t="str">
        <f>IFERROR(__xludf.DUMMYFUNCTION("""COMPUTED_VALUE"""),"BulkChangeCalculatedPreferences")</f>
        <v>BulkChangeCalculatedPreferences</v>
      </c>
      <c r="W4" s="21" t="str">
        <f>IFERROR(__xludf.DUMMYFUNCTION("""COMPUTED_VALUE"""),"DeleteCalculatedPreferences")</f>
        <v>DeleteCalculatedPreferences</v>
      </c>
      <c r="X4" s="21" t="str">
        <f>IFERROR(__xludf.DUMMYFUNCTION("""COMPUTED_VALUE"""),"RenameCalculatedPreferences")</f>
        <v>RenameCalculatedPreferences</v>
      </c>
      <c r="Y4" s="21" t="str">
        <f>IFERROR(__xludf.DUMMYFUNCTION("""COMPUTED_VALUE"""),"CopyCalculatedPreferences")</f>
        <v>CopyCalculatedPreferences</v>
      </c>
      <c r="Z4" s="21" t="str">
        <f>IFERROR(__xludf.DUMMYFUNCTION("""COMPUTED_VALUE"""),"RunAutoGroup")</f>
        <v>RunAutoGroup</v>
      </c>
      <c r="AA4" s="21" t="str">
        <f>IFERROR(__xludf.DUMMYFUNCTION("""COMPUTED_VALUE"""),"BookOrUpdateSwap")</f>
        <v>BookOrUpdateSwap</v>
      </c>
      <c r="AB4" s="21" t="str">
        <f>IFERROR(__xludf.DUMMYFUNCTION("""COMPUTED_VALUE"""),"RunProrata")</f>
        <v>RunProrata</v>
      </c>
      <c r="AC4" s="21" t="str">
        <f>IFERROR(__xludf.DUMMYFUNCTION("""COMPUTED_VALUE"""),"SetDefaultRuleCalculatedPref")</f>
        <v>SetDefaultRuleCalculatedPref</v>
      </c>
      <c r="AD4" s="21" t="str">
        <f>IFERROR(__xludf.DUMMYFUNCTION("""COMPUTED_VALUE"""),"SetAccountValueCalculatedPref")</f>
        <v>SetAccountValueCalculatedPref</v>
      </c>
      <c r="AE4" s="21" t="str">
        <f>IFERROR(__xludf.DUMMYFUNCTION("""COMPUTED_VALUE"""),"TradeAttributeBulkChangeGroups")</f>
        <v>TradeAttributeBulkChangeGroups</v>
      </c>
      <c r="AF4" s="21" t="str">
        <f>IFERROR(__xludf.DUMMYFUNCTION("""COMPUTED_VALUE"""),"TradeAttributeBulkChangeTaxlots")</f>
        <v>TradeAttributeBulkChangeTaxlots</v>
      </c>
      <c r="AG4" s="21" t="str">
        <f>IFERROR(__xludf.DUMMYFUNCTION("""COMPUTED_VALUE"""),"AddCalculatedPreferenceToolbar")</f>
        <v>AddCalculatedPreferenceToolbar</v>
      </c>
      <c r="AH4" s="21" t="str">
        <f>IFERROR(__xludf.DUMMYFUNCTION("""COMPUTED_VALUE"""),"SetStrategyValueCalculatedPref")</f>
        <v>SetStrategyValueCalculatedPref</v>
      </c>
      <c r="AI4" s="21" t="str">
        <f>IFERROR(__xludf.DUMMYFUNCTION("""COMPUTED_VALUE"""),"ApplyBulkUpdateOnTaxlots")</f>
        <v>ApplyBulkUpdateOnTaxlots</v>
      </c>
      <c r="AJ4" s="21" t="str">
        <f>IFERROR(__xludf.DUMMYFUNCTION("""COMPUTED_VALUE"""),"CommissionBulkChangeOnGroups")</f>
        <v>CommissionBulkChangeOnGroups</v>
      </c>
      <c r="AK4" s="21" t="str">
        <f>IFERROR(__xludf.DUMMYFUNCTION("""COMPUTED_VALUE"""),"CommissionBulkChangeOnTaxlots")</f>
        <v>CommissionBulkChangeOnTaxlots</v>
      </c>
      <c r="AL4" s="21" t="str">
        <f>IFERROR(__xludf.DUMMYFUNCTION("""COMPUTED_VALUE"""),"SelectUnallocatedGroup")</f>
        <v>SelectUnallocatedGroup</v>
      </c>
      <c r="AM4" s="21" t="str">
        <f>IFERROR(__xludf.DUMMYFUNCTION("""COMPUTED_VALUE"""),"EnterAccountValuesToAllocate")</f>
        <v>EnterAccountValuesToAllocate</v>
      </c>
      <c r="AN4" s="21" t="str">
        <f>IFERROR(__xludf.DUMMYFUNCTION("""COMPUTED_VALUE"""),"EnterAllocatePreference")</f>
        <v>EnterAllocatePreference</v>
      </c>
      <c r="AO4" s="21" t="str">
        <f>IFERROR(__xludf.DUMMYFUNCTION("""COMPUTED_VALUE"""),"EnterStrategyValuesToAllocate")</f>
        <v>EnterStrategyValuesToAllocate</v>
      </c>
      <c r="AP4" s="21" t="str">
        <f>IFERROR(__xludf.DUMMYFUNCTION("""COMPUTED_VALUE"""),"CopyCalculatedPreferenceToolbar")</f>
        <v>CopyCalculatedPreferenceToolbar</v>
      </c>
      <c r="AQ4" s="21" t="str">
        <f>IFERROR(__xludf.DUMMYFUNCTION("""COMPUTED_VALUE"""),"SetGeneralRuleCalculatedPref")</f>
        <v>SetGeneralRuleCalculatedPref</v>
      </c>
      <c r="AR4" s="21" t="str">
        <f>IFERROR(__xludf.DUMMYFUNCTION("""COMPUTED_VALUE"""),"ExportAllCalculatedPreferences")</f>
        <v>ExportAllCalculatedPreferences</v>
      </c>
      <c r="AS4" s="21" t="str">
        <f>IFERROR(__xludf.DUMMYFUNCTION("""COMPUTED_VALUE"""),"SaveCalculatedPreferences")</f>
        <v>SaveCalculatedPreferences</v>
      </c>
      <c r="AT4" s="21" t="str">
        <f>IFERROR(__xludf.DUMMYFUNCTION("""COMPUTED_VALUE"""),"CloseCalculatedPreferences")</f>
        <v>CloseCalculatedPreferences</v>
      </c>
      <c r="AU4" s="21" t="str">
        <f>IFERROR(__xludf.DUMMYFUNCTION("""COMPUTED_VALUE"""),"ExportCalculatedPreference")</f>
        <v>ExportCalculatedPreference</v>
      </c>
      <c r="AV4" s="21" t="str">
        <f>IFERROR(__xludf.DUMMYFUNCTION("""COMPUTED_VALUE"""),"ImportCalculatedPreferences")</f>
        <v>ImportCalculatedPreferences</v>
      </c>
      <c r="AW4" s="21" t="str">
        <f>IFERROR(__xludf.DUMMYFUNCTION("""COMPUTED_VALUE"""),"OpenAuditTrailUnallocatedGroup")</f>
        <v>OpenAuditTrailUnallocatedGroup</v>
      </c>
      <c r="AX4" s="21" t="str">
        <f>IFERROR(__xludf.DUMMYFUNCTION("""COMPUTED_VALUE"""),"DeleteCalculatedPreferencesTool")</f>
        <v>DeleteCalculatedPreferencesTool</v>
      </c>
      <c r="AY4" s="21" t="str">
        <f>IFERROR(__xludf.DUMMYFUNCTION("""COMPUTED_VALUE"""),"ImportCalculatedPreferencesTool")</f>
        <v>ImportCalculatedPreferencesTool</v>
      </c>
      <c r="AZ4" s="21" t="str">
        <f>IFERROR(__xludf.DUMMYFUNCTION("""COMPUTED_VALUE"""),"ExportAllCalculatedPreferTool")</f>
        <v>ExportAllCalculatedPreferTool</v>
      </c>
      <c r="BA4" s="21" t="str">
        <f>IFERROR(__xludf.DUMMYFUNCTION("""COMPUTED_VALUE"""),"OpenAuditTrailAllocatedGroup")</f>
        <v>OpenAuditTrailAllocatedGroup</v>
      </c>
      <c r="BB4" s="21" t="str">
        <f>IFERROR(__xludf.DUMMYFUNCTION("""COMPUTED_VALUE"""),"OpenSymbolLookupUnallocateGroup")</f>
        <v>OpenSymbolLookupUnallocateGroup</v>
      </c>
      <c r="BC4" s="21" t="str">
        <f>IFERROR(__xludf.DUMMYFUNCTION("""COMPUTED_VALUE"""),"OpenSymbolLookupAllocatedGroup")</f>
        <v>OpenSymbolLookupAllocatedGroup</v>
      </c>
      <c r="BD4" s="21" t="str">
        <f>IFERROR(__xludf.DUMMYFUNCTION("""COMPUTED_VALUE"""),"DeleteFixedPreference")</f>
        <v>DeleteFixedPreference</v>
      </c>
      <c r="BE4" s="21" t="str">
        <f>IFERROR(__xludf.DUMMYFUNCTION("""COMPUTED_VALUE"""),"EditAllocatedGroupSidePanel")</f>
        <v>EditAllocatedGroupSidePanel</v>
      </c>
      <c r="BF4" s="21" t="str">
        <f>IFERROR(__xludf.DUMMYFUNCTION("""COMPUTED_VALUE"""),"CheckUnallocatedGroups")</f>
        <v>CheckUnallocatedGroups</v>
      </c>
      <c r="BG4" s="21" t="str">
        <f>IFERROR(__xludf.DUMMYFUNCTION("""COMPUTED_VALUE"""),"SetGeneralPreferences")</f>
        <v>SetGeneralPreferences</v>
      </c>
      <c r="BH4" s="21" t="str">
        <f>IFERROR(__xludf.DUMMYFUNCTION("""COMPUTED_VALUE"""),"GroupTrades")</f>
        <v>GroupTrades</v>
      </c>
      <c r="BI4" s="21" t="str">
        <f>IFERROR(__xludf.DUMMYFUNCTION("""COMPUTED_VALUE"""),"UngroupTrades")</f>
        <v>UngroupTrades</v>
      </c>
      <c r="BJ4" s="21" t="str">
        <f>IFERROR(__xludf.DUMMYFUNCTION("""COMPUTED_VALUE"""),"DeleteGroup")</f>
        <v>DeleteGroup</v>
      </c>
      <c r="BK4" s="21" t="str">
        <f>IFERROR(__xludf.DUMMYFUNCTION("""COMPUTED_VALUE"""),"CloseOrder")</f>
        <v>CloseOrder</v>
      </c>
      <c r="BL4" s="21" t="str">
        <f>IFERROR(__xludf.DUMMYFUNCTION("""COMPUTED_VALUE"""),"Unallocate")</f>
        <v>Unallocate</v>
      </c>
      <c r="BM4" s="21" t="str">
        <f>IFERROR(__xludf.DUMMYFUNCTION("""COMPUTED_VALUE"""),"CloseAllocation")</f>
        <v>CloseAllocation</v>
      </c>
      <c r="BN4" s="21" t="str">
        <f>IFERROR(__xludf.DUMMYFUNCTION("""COMPUTED_VALUE"""),"UpdateGRAccountValue")</f>
        <v>UpdateGRAccountValue</v>
      </c>
      <c r="BO4" s="21" t="str">
        <f>IFERROR(__xludf.DUMMYFUNCTION("""COMPUTED_VALUE"""),"UpdateGRStrategyValue")</f>
        <v>UpdateGRStrategyValue</v>
      </c>
      <c r="BP4" s="21" t="str">
        <f>IFERROR(__xludf.DUMMYFUNCTION("""COMPUTED_VALUE"""),"UpdateGRDefaultRule")</f>
        <v>UpdateGRDefaultRule</v>
      </c>
      <c r="BQ4" s="21" t="str">
        <f>IFERROR(__xludf.DUMMYFUNCTION("""COMPUTED_VALUE"""),"UpdateGeneralRulePref")</f>
        <v>UpdateGeneralRulePref</v>
      </c>
      <c r="BR4" s="21" t="str">
        <f>IFERROR(__xludf.DUMMYFUNCTION("""COMPUTED_VALUE"""),"ModifyGRPreferenceValues")</f>
        <v>ModifyGRPreferenceValues</v>
      </c>
      <c r="BS4" s="21" t="str">
        <f>IFERROR(__xludf.DUMMYFUNCTION("""COMPUTED_VALUE"""),"AddMFPreferences")</f>
        <v>AddMFPreferences</v>
      </c>
      <c r="BT4" s="21" t="str">
        <f>IFERROR(__xludf.DUMMYFUNCTION("""COMPUTED_VALUE"""),"AddMFPreferenceToolbar")</f>
        <v>AddMFPreferenceToolbar</v>
      </c>
      <c r="BU4" s="21" t="str">
        <f>IFERROR(__xludf.DUMMYFUNCTION("""COMPUTED_VALUE"""),"DeleteMFPreferences")</f>
        <v>DeleteMFPreferences</v>
      </c>
      <c r="BV4" s="21" t="str">
        <f>IFERROR(__xludf.DUMMYFUNCTION("""COMPUTED_VALUE"""),"DeleteMFPreferenceToolbar")</f>
        <v>DeleteMFPreferenceToolbar</v>
      </c>
      <c r="BW4" s="21" t="str">
        <f>IFERROR(__xludf.DUMMYFUNCTION("""COMPUTED_VALUE"""),"RenameMFPreferences")</f>
        <v>RenameMFPreferences</v>
      </c>
      <c r="BX4" s="21" t="str">
        <f>IFERROR(__xludf.DUMMYFUNCTION("""COMPUTED_VALUE"""),"SaveCloseMFPreference")</f>
        <v>SaveCloseMFPreference</v>
      </c>
      <c r="BY4" s="21" t="str">
        <f>IFERROR(__xludf.DUMMYFUNCTION("""COMPUTED_VALUE"""),"SetMFPrefAccountValues")</f>
        <v>SetMFPrefAccountValues</v>
      </c>
      <c r="BZ4" s="21" t="str">
        <f>IFERROR(__xludf.DUMMYFUNCTION("""COMPUTED_VALUE"""),"ModifyMFPrefGeneralRuleValues")</f>
        <v>ModifyMFPrefGeneralRuleValues</v>
      </c>
      <c r="CA4" s="21" t="str">
        <f>IFERROR(__xludf.DUMMYFUNCTION("""COMPUTED_VALUE"""),"SetMFPrefStrategyValues")</f>
        <v>SetMFPrefStrategyValues</v>
      </c>
      <c r="CB4" s="21" t="str">
        <f>IFERROR(__xludf.DUMMYFUNCTION("""COMPUTED_VALUE"""),"SetMFPrefGeneralRule")</f>
        <v>SetMFPrefGeneralRule</v>
      </c>
      <c r="CC4" s="21" t="str">
        <f>IFERROR(__xludf.DUMMYFUNCTION("""COMPUTED_VALUE"""),"SetMFPrefFundDistribution")</f>
        <v>SetMFPrefFundDistribution</v>
      </c>
      <c r="CD4" s="21" t="str">
        <f>IFERROR(__xludf.DUMMYFUNCTION("""COMPUTED_VALUE"""),"SetMFPreferencesDefaultRule")</f>
        <v>SetMFPreferencesDefaultRule</v>
      </c>
      <c r="CE4" s="21" t="str">
        <f>IFERROR(__xludf.DUMMYFUNCTION("""COMPUTED_VALUE"""),"SetMFPrefFundDefaultRule")</f>
        <v>SetMFPrefFundDefaultRule</v>
      </c>
      <c r="CF4" s="21" t="str">
        <f>IFERROR(__xludf.DUMMYFUNCTION("""COMPUTED_VALUE"""),"ClearPrefetchFilters")</f>
        <v>ClearPrefetchFilters</v>
      </c>
      <c r="CG4" s="21" t="str">
        <f>IFERROR(__xludf.DUMMYFUNCTION("""COMPUTED_VALUE"""),"ExpandCollapseAllUnallocated")</f>
        <v>ExpandCollapseAllUnallocated</v>
      </c>
      <c r="CH4" s="21" t="str">
        <f>IFERROR(__xludf.DUMMYFUNCTION("""COMPUTED_VALUE"""),"ExpandCollapseAllAllocated")</f>
        <v>ExpandCollapseAllAllocated</v>
      </c>
      <c r="CI4" s="21" t="str">
        <f>IFERROR(__xludf.DUMMYFUNCTION("""COMPUTED_VALUE"""),"GenerateCashTransaction")</f>
        <v>GenerateCashTransaction</v>
      </c>
      <c r="CJ4" s="21" t="str">
        <f>IFERROR(__xludf.DUMMYFUNCTION("""COMPUTED_VALUE"""),"SaveAllocation")</f>
        <v>SaveAllocation</v>
      </c>
      <c r="CK4" s="21" t="str">
        <f>IFERROR(__xludf.DUMMYFUNCTION("""COMPUTED_VALUE"""),"UnallocateWithOutSave")</f>
        <v>UnallocateWithOutSave</v>
      </c>
      <c r="CL4" s="21" t="str">
        <f>IFERROR(__xludf.DUMMYFUNCTION("""COMPUTED_VALUE"""),"EditUnallocatedGrid")</f>
        <v>EditUnallocatedGrid</v>
      </c>
      <c r="CM4" s="21" t="str">
        <f>IFERROR(__xludf.DUMMYFUNCTION("""COMPUTED_VALUE"""),"EditAllocatedGrid")</f>
        <v>EditAllocatedGrid</v>
      </c>
      <c r="CN4" s="21" t="str">
        <f>IFERROR(__xludf.DUMMYFUNCTION("""COMPUTED_VALUE"""),"SaveLayoutAllocatedGrid")</f>
        <v>SaveLayoutAllocatedGrid</v>
      </c>
      <c r="CO4" s="21" t="str">
        <f>IFERROR(__xludf.DUMMYFUNCTION("""COMPUTED_VALUE"""),"SaveLayoutUnallocatedGrid")</f>
        <v>SaveLayoutUnallocatedGrid</v>
      </c>
      <c r="CP4" s="21" t="str">
        <f>IFERROR(__xludf.DUMMYFUNCTION("""COMPUTED_VALUE"""),"SaveLayoutAllocationUI")</f>
        <v>SaveLayoutAllocationUI</v>
      </c>
      <c r="CQ4" s="21" t="str">
        <f>IFERROR(__xludf.DUMMYFUNCTION("""COMPUTED_VALUE"""),"ClearFiltersAllocatedGrid")</f>
        <v>ClearFiltersAllocatedGrid</v>
      </c>
      <c r="CR4" s="21" t="str">
        <f>IFERROR(__xludf.DUMMYFUNCTION("""COMPUTED_VALUE"""),"ClearFiltersUnallocatedGrid")</f>
        <v>ClearFiltersUnallocatedGrid</v>
      </c>
      <c r="CS4" s="21" t="str">
        <f>IFERROR(__xludf.DUMMYFUNCTION("""COMPUTED_VALUE"""),"VerifyLayoutAllocatedGrid")</f>
        <v>VerifyLayoutAllocatedGrid</v>
      </c>
      <c r="CT4" s="21" t="str">
        <f>IFERROR(__xludf.DUMMYFUNCTION("""COMPUTED_VALUE"""),"VerifyLayoutUnallocatedGrid")</f>
        <v>VerifyLayoutUnallocatedGrid</v>
      </c>
      <c r="CU4" s="21" t="str">
        <f>IFERROR(__xludf.DUMMYFUNCTION("""COMPUTED_VALUE"""),"CleanUp")</f>
        <v>CleanUp</v>
      </c>
      <c r="CV4" s="21" t="str">
        <f>IFERROR(__xludf.DUMMYFUNCTION("""COMPUTED_VALUE"""),"CheckAllocatedTaxlots")</f>
        <v>CheckAllocatedTaxlots</v>
      </c>
      <c r="CW4" s="21" t="str">
        <f>IFERROR(__xludf.DUMMYFUNCTION("""COMPUTED_VALUE"""),"CopyCalculatedPreferenceToolbar")</f>
        <v>CopyCalculatedPreferenceToolbar</v>
      </c>
      <c r="CX4" s="21" t="str">
        <f>IFERROR(__xludf.DUMMYFUNCTION("""COMPUTED_VALUE"""),"CloseOrder")</f>
        <v>CloseOrder</v>
      </c>
      <c r="CY4" s="21" t="str">
        <f>IFERROR(__xludf.DUMMYFUNCTION("""COMPUTED_VALUE"""),"DisableChecksideForAsset")</f>
        <v>DisableChecksideForAsset</v>
      </c>
      <c r="CZ4" s="21" t="str">
        <f>IFERROR(__xludf.DUMMYFUNCTION("""COMPUTED_VALUE"""),"DisableChecksideForAccount")</f>
        <v>DisableChecksideForAccount</v>
      </c>
      <c r="DA4" s="21" t="str">
        <f>IFERROR(__xludf.DUMMYFUNCTION("""COMPUTED_VALUE"""),"DisableChecksideForCounterParty")</f>
        <v>DisableChecksideForCounterParty</v>
      </c>
      <c r="DB4" s="21" t="str">
        <f>IFERROR(__xludf.DUMMYFUNCTION("""COMPUTED_VALUE"""),"DisableCheckside")</f>
        <v>DisableCheckside</v>
      </c>
      <c r="DC4" s="21" t="str">
        <f>IFERROR(__xludf.DUMMYFUNCTION("""COMPUTED_VALUE"""),"ApplyMasterFundFilter")</f>
        <v>ApplyMasterFundFilter</v>
      </c>
      <c r="DD4" s="21" t="str">
        <f>IFERROR(__xludf.DUMMYFUNCTION("""COMPUTED_VALUE"""),"ShowMasterFundOnTT")</f>
        <v>ShowMasterFundOnTT</v>
      </c>
      <c r="DE4" s="21" t="str">
        <f>IFERROR(__xludf.DUMMYFUNCTION("""COMPUTED_VALUE"""),"ShowMasterFundAsClient")</f>
        <v>ShowMasterFundAsClient</v>
      </c>
      <c r="DF4" s="21" t="str">
        <f>IFERROR(__xludf.DUMMYFUNCTION("""COMPUTED_VALUE"""),"SetBrokerAccountMapping")</f>
        <v>SetBrokerAccountMapping</v>
      </c>
      <c r="DG4" s="21" t="str">
        <f>IFERROR(__xludf.DUMMYFUNCTION("""COMPUTED_VALUE"""),"EditUnallocatedGridWPF")</f>
        <v>EditUnallocatedGridWPF</v>
      </c>
      <c r="DH4" s="21" t="str">
        <f>IFERROR(__xludf.DUMMYFUNCTION("""COMPUTED_VALUE"""),"EditAllocatedGridWPF")</f>
        <v>EditAllocatedGridWPF</v>
      </c>
      <c r="DI4" s="21" t="str">
        <f>IFERROR(__xludf.DUMMYFUNCTION("""COMPUTED_VALUE"""),"EditAllocatedGridTaxlot")</f>
        <v>EditAllocatedGridTaxlot</v>
      </c>
      <c r="DJ4" s="21" t="str">
        <f>IFERROR(__xludf.DUMMYFUNCTION("""COMPUTED_VALUE"""),"ExpandCollapseAllocatedGrid")</f>
        <v>ExpandCollapseAllocatedGrid</v>
      </c>
      <c r="DK4" s="21" t="str">
        <f>IFERROR(__xludf.DUMMYFUNCTION("""COMPUTED_VALUE"""),"ExpandCollapseUnallocatedGrid")</f>
        <v>ExpandCollapseUnallocatedGrid</v>
      </c>
      <c r="DL4" s="21" t="str">
        <f>IFERROR(__xludf.DUMMYFUNCTION("""COMPUTED_VALUE"""),"SetTradeAttributePreferences")</f>
        <v>SetTradeAttributePreferences</v>
      </c>
      <c r="DM4" s="21" t="str">
        <f>IFERROR(__xludf.DUMMYFUNCTION("""COMPUTED_VALUE"""),"EnterCustomAllocatePreference")</f>
        <v>EnterCustomAllocatePreference</v>
      </c>
      <c r="DN4" s="21" t="str">
        <f>IFERROR(__xludf.DUMMYFUNCTION("""COMPUTED_VALUE"""),"SetAutoGroupingPreferences")</f>
        <v>SetAutoGroupingPreferences</v>
      </c>
      <c r="DO4" s="21" t="str">
        <f>IFERROR(__xludf.DUMMYFUNCTION("""COMPUTED_VALUE"""),"SetAutoGroupingAccount")</f>
        <v>SetAutoGroupingAccount</v>
      </c>
      <c r="DP4" s="21" t="str">
        <f>IFERROR(__xludf.DUMMYFUNCTION("""COMPUTED_VALUE"""),"SetAvgPriceRounding")</f>
        <v>SetAvgPriceRounding</v>
      </c>
      <c r="DQ4" s="21" t="str">
        <f>IFERROR(__xludf.DUMMYFUNCTION("""COMPUTED_VALUE"""),"IsAllocationOpen")</f>
        <v>IsAllocationOpen</v>
      </c>
      <c r="DR4" s="21" t="str">
        <f>IFERROR(__xludf.DUMMYFUNCTION("""COMPUTED_VALUE"""),"AllocationAuditTrail")</f>
        <v>AllocationAuditTrail</v>
      </c>
      <c r="DS4" s="21" t="str">
        <f>IFERROR(__xludf.DUMMYFUNCTION("""COMPUTED_VALUE"""),"GetAuditTrailData")</f>
        <v>GetAuditTrailData</v>
      </c>
      <c r="DT4" s="21" t="str">
        <f>IFERROR(__xludf.DUMMYFUNCTION("""COMPUTED_VALUE"""),"CheckAuditTrailData")</f>
        <v>CheckAuditTrailData</v>
      </c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IFERROR(__xludf.DUMMYFUNCTION("""COMPUTED_VALUE"""),"RangeType")</f>
        <v>RangeType</v>
      </c>
      <c r="C5" s="23" t="str">
        <f>IFERROR(__xludf.DUMMYFUNCTION("""COMPUTED_VALUE"""),"From")</f>
        <v>From</v>
      </c>
      <c r="D5" s="23" t="str">
        <f>IFERROR(__xludf.DUMMYFUNCTION("""COMPUTED_VALUE"""),"To")</f>
        <v>To</v>
      </c>
      <c r="E5" s="23" t="str">
        <f>IFERROR(__xludf.DUMMYFUNCTION("""COMPUTED_VALUE"""),"FilterTabName")</f>
        <v>FilterTabName</v>
      </c>
      <c r="F5" s="24" t="str">
        <f>IFERROR(__xludf.DUMMYFUNCTION("""COMPUTED_VALUE"""),"Symbol")</f>
        <v>Symbol</v>
      </c>
      <c r="G5" s="23" t="str">
        <f>IFERROR(__xludf.DUMMYFUNCTION("""COMPUTED_VALUE"""),"Asset")</f>
        <v>Asset</v>
      </c>
      <c r="H5" s="23" t="str">
        <f>IFERROR(__xludf.DUMMYFUNCTION("""COMPUTED_VALUE"""),"Side")</f>
        <v>Side</v>
      </c>
      <c r="I5" s="23" t="str">
        <f>IFERROR(__xludf.DUMMYFUNCTION("""COMPUTED_VALUE"""),"Account")</f>
        <v>Account</v>
      </c>
      <c r="J5" s="23" t="str">
        <f>IFERROR(__xludf.DUMMYFUNCTION("""COMPUTED_VALUE"""),"Broker")</f>
        <v>Broker</v>
      </c>
      <c r="K5" s="23" t="str">
        <f>IFERROR(__xludf.DUMMYFUNCTION("""COMPUTED_VALUE"""),"Currency")</f>
        <v>Currency</v>
      </c>
      <c r="L5" s="23" t="str">
        <f>IFERROR(__xludf.DUMMYFUNCTION("""COMPUTED_VALUE"""),"Exchange")</f>
        <v>Exchange</v>
      </c>
      <c r="M5" s="23" t="str">
        <f>IFERROR(__xludf.DUMMYFUNCTION("""COMPUTED_VALUE"""),"StrategyName")</f>
        <v>StrategyName</v>
      </c>
      <c r="N5" s="23" t="str">
        <f>IFERROR(__xludf.DUMMYFUNCTION("""COMPUTED_VALUE"""),"Underlying")</f>
        <v>Underlying</v>
      </c>
      <c r="O5" s="23" t="str">
        <f>IFERROR(__xludf.DUMMYFUNCTION("""COMPUTED_VALUE"""),"Venue")</f>
        <v>Venue</v>
      </c>
      <c r="P5" s="23" t="str">
        <f>IFERROR(__xludf.DUMMYFUNCTION("""COMPUTED_VALUE"""),"TradingAccount")</f>
        <v>TradingAccount</v>
      </c>
      <c r="Q5" s="23" t="str">
        <f>IFERROR(__xludf.DUMMYFUNCTION("""COMPUTED_VALUE"""),"PreAllocated")</f>
        <v>PreAllocated</v>
      </c>
      <c r="R5" s="23" t="str">
        <f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ht="15.75" customHeight="1">
      <c r="A6" s="13"/>
      <c r="B6" s="13" t="s">
        <v>45</v>
      </c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4"/>
      <c r="B1" s="1" t="s">
        <v>6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33" t="str">
        <f> VLOOKUP($E$3,'_MasterData'!B4:D1000,3,FALSE)</f>
        <v>#REF!</v>
      </c>
      <c r="K2" s="33"/>
      <c r="L2" s="8"/>
      <c r="M2" s="8"/>
      <c r="N2" s="8"/>
      <c r="O2" s="8"/>
    </row>
    <row r="3" ht="15.75" customHeight="1">
      <c r="A3" s="16"/>
      <c r="B3" s="5" t="s">
        <v>7</v>
      </c>
      <c r="C3" s="17" t="s">
        <v>8</v>
      </c>
      <c r="D3" s="5" t="s">
        <v>9</v>
      </c>
      <c r="E3" s="17" t="s">
        <v>28</v>
      </c>
      <c r="F3" s="5" t="s">
        <v>11</v>
      </c>
      <c r="G3" s="18" t="s">
        <v>12</v>
      </c>
      <c r="H3" s="5"/>
      <c r="I3" s="16"/>
      <c r="J3" s="16"/>
      <c r="K3" s="16"/>
      <c r="L3" s="16"/>
      <c r="M3" s="16"/>
      <c r="N3" s="16"/>
      <c r="O3" s="1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IFERROR(__xludf.DUMMYFUNCTION("IF(C3="""","""",Transpose(IMPORTRANGE('_Settings'!$B$3,C3&amp;""!A4:A1000"")))"),"ReplaceFillsOnBlotter")</f>
        <v>ReplaceFillsOnBlotter</v>
      </c>
      <c r="C4" s="20" t="str">
        <f>IFERROR(__xludf.DUMMYFUNCTION("""COMPUTED_VALUE"""),"CheckBlotter")</f>
        <v>CheckBlotter</v>
      </c>
      <c r="D4" s="20" t="str">
        <f>IFERROR(__xludf.DUMMYFUNCTION("""COMPUTED_VALUE"""),"BlotterFunctionalities")</f>
        <v>BlotterFunctionalities</v>
      </c>
      <c r="E4" s="20" t="str">
        <f>IFERROR(__xludf.DUMMYFUNCTION("""COMPUTED_VALUE"""),"TransferToUserWorkingSubs")</f>
        <v>TransferToUserWorkingSubs</v>
      </c>
      <c r="F4" s="20" t="str">
        <f>IFERROR(__xludf.DUMMYFUNCTION("""COMPUTED_VALUE"""),"CancelWorkingSubs")</f>
        <v>CancelWorkingSubs</v>
      </c>
      <c r="G4" s="20" t="str">
        <f>IFERROR(__xludf.DUMMYFUNCTION("""COMPUTED_VALUE"""),"ReplaceWorkingSubs")</f>
        <v>ReplaceWorkingSubs</v>
      </c>
      <c r="H4" s="20" t="str">
        <f>IFERROR(__xludf.DUMMYFUNCTION("""COMPUTED_VALUE"""),"ViewAllocationDetailsWorkingSub")</f>
        <v>ViewAllocationDetailsWorkingSub</v>
      </c>
      <c r="I4" s="20" t="str">
        <f>IFERROR(__xludf.DUMMYFUNCTION("""COMPUTED_VALUE"""),"SelectTradeOnOrderGrid")</f>
        <v>SelectTradeOnOrderGrid</v>
      </c>
      <c r="J4" s="20" t="str">
        <f>IFERROR(__xludf.DUMMYFUNCTION("""COMPUTED_VALUE"""),"ShowDetailsForAlgoTradeSubOrder")</f>
        <v>ShowDetailsForAlgoTradeSubOrder</v>
      </c>
      <c r="K4" s="20" t="str">
        <f>IFERROR(__xludf.DUMMYFUNCTION("""COMPUTED_VALUE"""),"SelectTradeOrderBlotter")</f>
        <v>SelectTradeOrderBlotter</v>
      </c>
      <c r="L4" s="20" t="str">
        <f>IFERROR(__xludf.DUMMYFUNCTION("""COMPUTED_VALUE"""),"AddFillsWorkingSubs")</f>
        <v>AddFillsWorkingSubs</v>
      </c>
      <c r="M4" s="20" t="str">
        <f>IFERROR(__xludf.DUMMYFUNCTION("""COMPUTED_VALUE"""),"EditAddFillsDetails")</f>
        <v>EditAddFillsDetails</v>
      </c>
      <c r="N4" s="20" t="str">
        <f>IFERROR(__xludf.DUMMYFUNCTION("""COMPUTED_VALUE"""),"ShowDetailsForAlgoTradeWorkingSubs")</f>
        <v>ShowDetailsForAlgoTradeWorkingSubs</v>
      </c>
      <c r="O4" s="20" t="str">
        <f>IFERROR(__xludf.DUMMYFUNCTION("""COMPUTED_VALUE"""),"VerifyWorkingSubs")</f>
        <v>VerifyWorkingSubs</v>
      </c>
      <c r="P4" s="21" t="str">
        <f>IFERROR(__xludf.DUMMYFUNCTION("""COMPUTED_VALUE"""),"TransferToUserOrder")</f>
        <v>TransferToUserOrder</v>
      </c>
      <c r="Q4" s="21" t="str">
        <f>IFERROR(__xludf.DUMMYFUNCTION("""COMPUTED_VALUE"""),"EditOrder")</f>
        <v>EditOrder</v>
      </c>
      <c r="R4" s="21" t="str">
        <f>IFERROR(__xludf.DUMMYFUNCTION("""COMPUTED_VALUE"""),"SelectTradeSubOrderBlotter")</f>
        <v>SelectTradeSubOrderBlotter</v>
      </c>
      <c r="S4" s="21" t="str">
        <f>IFERROR(__xludf.DUMMYFUNCTION("""COMPUTED_VALUE"""),"VerifyOrder")</f>
        <v>VerifyOrder</v>
      </c>
      <c r="T4" s="21" t="str">
        <f>IFERROR(__xludf.DUMMYFUNCTION("""COMPUTED_VALUE"""),"VerifySubOrder")</f>
        <v>VerifySubOrder</v>
      </c>
      <c r="U4" s="21" t="str">
        <f>IFERROR(__xludf.DUMMYFUNCTION("""COMPUTED_VALUE"""),"RemoveSelectedOrders")</f>
        <v>RemoveSelectedOrders</v>
      </c>
      <c r="V4" s="21" t="str">
        <f>IFERROR(__xludf.DUMMYFUNCTION("""COMPUTED_VALUE"""),"CancelAllSelectedSubs")</f>
        <v>CancelAllSelectedSubs</v>
      </c>
      <c r="W4" s="21" t="str">
        <f>IFERROR(__xludf.DUMMYFUNCTION("""COMPUTED_VALUE"""),"MultiTradingTicket")</f>
        <v>MultiTradingTicket</v>
      </c>
      <c r="X4" s="21" t="str">
        <f>IFERROR(__xludf.DUMMYFUNCTION("""COMPUTED_VALUE"""),"AuditTrailOrderBlotter")</f>
        <v>AuditTrailOrderBlotter</v>
      </c>
      <c r="Y4" s="21" t="str">
        <f>IFERROR(__xludf.DUMMYFUNCTION("""COMPUTED_VALUE"""),"TradeNewSubOrder")</f>
        <v>TradeNewSubOrder</v>
      </c>
      <c r="Z4" s="21" t="str">
        <f>IFERROR(__xludf.DUMMYFUNCTION("""COMPUTED_VALUE"""),"RemoveStageOrder")</f>
        <v>RemoveStageOrder</v>
      </c>
      <c r="AA4" s="21" t="str">
        <f>IFERROR(__xludf.DUMMYFUNCTION("""COMPUTED_VALUE"""),"TransferToUserSubOrder")</f>
        <v>TransferToUserSubOrder</v>
      </c>
      <c r="AB4" s="21" t="str">
        <f>IFERROR(__xludf.DUMMYFUNCTION("""COMPUTED_VALUE"""),"DetailsForAlgoTradeOrder")</f>
        <v>DetailsForAlgoTradeOrder</v>
      </c>
      <c r="AC4" s="21" t="str">
        <f>IFERROR(__xludf.DUMMYFUNCTION("""COMPUTED_VALUE"""),"AddFillsSubOrder")</f>
        <v>AddFillsSubOrder</v>
      </c>
      <c r="AD4" s="21" t="str">
        <f>IFERROR(__xludf.DUMMYFUNCTION("""COMPUTED_VALUE"""),"ViewAllocationDetailsSubOrder")</f>
        <v>ViewAllocationDetailsSubOrder</v>
      </c>
      <c r="AE4" s="21" t="str">
        <f>IFERROR(__xludf.DUMMYFUNCTION("""COMPUTED_VALUE"""),"CancelAllSubs")</f>
        <v>CancelAllSubs</v>
      </c>
      <c r="AF4" s="21" t="str">
        <f>IFERROR(__xludf.DUMMYFUNCTION("""COMPUTED_VALUE"""),"CancelSubOrder")</f>
        <v>CancelSubOrder</v>
      </c>
      <c r="AG4" s="21" t="str">
        <f>IFERROR(__xludf.DUMMYFUNCTION("""COMPUTED_VALUE"""),"EditStageOrder")</f>
        <v>EditStageOrder</v>
      </c>
      <c r="AH4" s="21" t="str">
        <f>IFERROR(__xludf.DUMMYFUNCTION("""COMPUTED_VALUE"""),"ReplaceSubOrder")</f>
        <v>ReplaceSubOrder</v>
      </c>
      <c r="AI4" s="21" t="str">
        <f>IFERROR(__xludf.DUMMYFUNCTION("""COMPUTED_VALUE"""),"SelectTradeWorkingSubsBlotter")</f>
        <v>SelectTradeWorkingSubsBlotter</v>
      </c>
      <c r="AJ4" s="21" t="str">
        <f>IFERROR(__xludf.DUMMYFUNCTION("""COMPUTED_VALUE"""),"VerifyAlgoDetails")</f>
        <v>VerifyAlgoDetails</v>
      </c>
      <c r="AK4" s="21" t="str">
        <f>IFERROR(__xludf.DUMMYFUNCTION("""COMPUTED_VALUE"""),"VerifyTransferToUserOrder")</f>
        <v>VerifyTransferToUserOrder</v>
      </c>
      <c r="AL4" s="21" t="str">
        <f>IFERROR(__xludf.DUMMYFUNCTION("""COMPUTED_VALUE"""),"VerifyTransferToUserSubOdr")</f>
        <v>VerifyTransferToUserSubOdr</v>
      </c>
      <c r="AM4" s="21" t="str">
        <f>IFERROR(__xludf.DUMMYFUNCTION("""COMPUTED_VALUE"""),"VerifyTransferToUserWorkSub")</f>
        <v>VerifyTransferToUserWorkSub</v>
      </c>
      <c r="AN4" s="21" t="str">
        <f>IFERROR(__xludf.DUMMYFUNCTION("""COMPUTED_VALUE"""),"SaveLayoutOrderGrid")</f>
        <v>SaveLayoutOrderGrid</v>
      </c>
      <c r="AO4" s="21" t="str">
        <f>IFERROR(__xludf.DUMMYFUNCTION("""COMPUTED_VALUE"""),"ReplaceStageOrder")</f>
        <v>ReplaceStageOrder</v>
      </c>
      <c r="AP4" s="21" t="str">
        <f>IFERROR(__xludf.DUMMYFUNCTION("""COMPUTED_VALUE"""),"MultiTradingTicketFromBlotter")</f>
        <v>MultiTradingTicketFromBlotter</v>
      </c>
      <c r="AQ4" s="21" t="str">
        <f>IFERROR(__xludf.DUMMYFUNCTION("""COMPUTED_VALUE"""),"VerifyViewAllocationDetails")</f>
        <v>VerifyViewAllocationDetails</v>
      </c>
      <c r="AR4" s="21" t="str">
        <f>IFERROR(__xludf.DUMMYFUNCTION("""COMPUTED_VALUE"""),"GoToAllocation")</f>
        <v>GoToAllocation</v>
      </c>
      <c r="AS4" s="21" t="str">
        <f>IFERROR(__xludf.DUMMYFUNCTION("""COMPUTED_VALUE"""),"VerifyRollover")</f>
        <v>VerifyRollover</v>
      </c>
      <c r="AT4" s="21" t="str">
        <f>IFERROR(__xludf.DUMMYFUNCTION("""COMPUTED_VALUE"""),"VerifySubOrderAfterRollover")</f>
        <v>VerifySubOrderAfterRollover</v>
      </c>
      <c r="AU4" s="21" t="str">
        <f>IFERROR(__xludf.DUMMYFUNCTION("""COMPUTED_VALUE"""),"OpenBlotter")</f>
        <v>OpenBlotter</v>
      </c>
      <c r="AV4" s="21" t="str">
        <f>IFERROR(__xludf.DUMMYFUNCTION("""COMPUTED_VALUE"""),"OpenBlotter")</f>
        <v>OpenBlotter</v>
      </c>
      <c r="AW4" s="21" t="str">
        <f>IFERROR(__xludf.DUMMYFUNCTION("""COMPUTED_VALUE"""),"RemoveManualExecution")</f>
        <v>RemoveManualExecution</v>
      </c>
      <c r="AX4" s="21" t="str">
        <f>IFERROR(__xludf.DUMMYFUNCTION("""COMPUTED_VALUE"""),"RemoveExecutionWorkingSubs")</f>
        <v>RemoveExecutionWorkingSubs</v>
      </c>
      <c r="AY4" s="21" t="str">
        <f>IFERROR(__xludf.DUMMYFUNCTION("""COMPUTED_VALUE"""),"GetExecutionReportOrders")</f>
        <v>GetExecutionReportOrders</v>
      </c>
      <c r="AZ4" s="21" t="str">
        <f>IFERROR(__xludf.DUMMYFUNCTION("""COMPUTED_VALUE"""),"GetExecutionReportDetails")</f>
        <v>GetExecutionReportDetails</v>
      </c>
      <c r="BA4" s="21" t="str">
        <f>IFERROR(__xludf.DUMMYFUNCTION("""COMPUTED_VALUE"""),"ExportExecutionReportData")</f>
        <v>ExportExecutionReportData</v>
      </c>
      <c r="BB4" s="21" t="str">
        <f>IFERROR(__xludf.DUMMYFUNCTION("""COMPUTED_VALUE"""),"VerifyExecutionReport")</f>
        <v>VerifyExecutionReport</v>
      </c>
      <c r="BC4" s="21" t="str">
        <f>IFERROR(__xludf.DUMMYFUNCTION("""COMPUTED_VALUE"""),"BlotterExecutionReportSnapshot")</f>
        <v>BlotterExecutionReportSnapshot</v>
      </c>
      <c r="BD4" s="21" t="str">
        <f>IFERROR(__xludf.DUMMYFUNCTION("""COMPUTED_VALUE"""),"MultipleTradeTransferToUser")</f>
        <v>MultipleTradeTransferToUser</v>
      </c>
      <c r="BE4" s="21" t="str">
        <f>IFERROR(__xludf.DUMMYFUNCTION("""COMPUTED_VALUE"""),"ReloadOrderFromBlotter")</f>
        <v>ReloadOrderFromBlotter</v>
      </c>
      <c r="BF4" s="21" t="str">
        <f>IFERROR(__xludf.DUMMYFUNCTION("""COMPUTED_VALUE"""),"ReloadOrderFromSubOrder")</f>
        <v>ReloadOrderFromSubOrder</v>
      </c>
      <c r="BG4" s="21" t="str">
        <f>IFERROR(__xludf.DUMMYFUNCTION("""COMPUTED_VALUE"""),"ReloadOrderFromWorkingSubs")</f>
        <v>ReloadOrderFromWorkingSubs</v>
      </c>
      <c r="BH4" s="21" t="str">
        <f>IFERROR(__xludf.DUMMYFUNCTION("""COMPUTED_VALUE"""),"SelectFills")</f>
        <v>SelectFills</v>
      </c>
      <c r="BI4" s="21" t="str">
        <f>IFERROR(__xludf.DUMMYFUNCTION("""COMPUTED_VALUE"""),"ModifyFills")</f>
        <v>ModifyFills</v>
      </c>
      <c r="BJ4" s="21" t="str">
        <f>IFERROR(__xludf.DUMMYFUNCTION("""COMPUTED_VALUE"""),"AddTab")</f>
        <v>AddTab</v>
      </c>
      <c r="BK4" s="21" t="str">
        <f>IFERROR(__xludf.DUMMYFUNCTION("""COMPUTED_VALUE"""),"RemoveTab")</f>
        <v>RemoveTab</v>
      </c>
      <c r="BL4" s="21" t="str">
        <f>IFERROR(__xludf.DUMMYFUNCTION("""COMPUTED_VALUE"""),"SelectCustomTab")</f>
        <v>SelectCustomTab</v>
      </c>
      <c r="BM4" s="21" t="str">
        <f>IFERROR(__xludf.DUMMYFUNCTION("""COMPUTED_VALUE"""),"VerifyOrderCustomTab")</f>
        <v>VerifyOrderCustomTab</v>
      </c>
      <c r="BN4" s="21" t="str">
        <f>IFERROR(__xludf.DUMMYFUNCTION("""COMPUTED_VALUE"""),"VerifySubOrderCustomTab")</f>
        <v>VerifySubOrderCustomTab</v>
      </c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IFERROR(__xludf.DUMMYFUNCTION("TRANSPOSE(IMPORTRANGE(VLOOKUP($E$3,IMPORTRANGE('_Settings'!$B$3,$C$3&amp;""!A4:B1000""),2,FALSE),$G$3&amp;""!A4:A1000""))"),"#N/A")</f>
        <v>#N/A</v>
      </c>
      <c r="B5" s="23"/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ht="15.75" customHeight="1">
      <c r="A6" s="13"/>
      <c r="B6" s="13" t="s">
        <v>57</v>
      </c>
      <c r="C6" s="8"/>
      <c r="D6" s="13" t="s">
        <v>58</v>
      </c>
      <c r="E6" s="4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CheckBlotter!$4:$4</formula1>
    </dataValidation>
  </dataValidations>
  <drawing r:id="rId1"/>
</worksheet>
</file>