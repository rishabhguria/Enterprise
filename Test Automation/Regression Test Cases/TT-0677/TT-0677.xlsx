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SymbolToWatchlist" sheetId="5" r:id="rId7"/>
    <sheet state="visible" name="TradeFromWatchlist" sheetId="6" r:id="rId8"/>
    <sheet state="visible" name="CustomOrderTT1" sheetId="7" r:id="rId9"/>
    <sheet state="visible" name="SetGeneralPreference" sheetId="8" r:id="rId10"/>
    <sheet state="visible" name="CustomOrderTT2" sheetId="9" r:id="rId11"/>
    <sheet state="visible" name="CustomOrderTT3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<sst xmlns="http://schemas.openxmlformats.org/spreadsheetml/2006/main" count="346" uniqueCount="46">
  <si>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</si>
  <si>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</si>
  <si>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</si>
  <si>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</si>
  <si>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</si>
  <si>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</si>
  <si>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</si>
  <si>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</si>
  <si>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</si>
  <si>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</si>
  <si>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</si>
  <si>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</si>
  <si>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</si>
  <si>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</si>
  <si>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</si>
  <si>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</si>
  <si>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</si>
  <si>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Watchlist</t>
  </si>
  <si>
    <t>AddSymbolToWatchlist</t>
  </si>
  <si>
    <t>MSFT</t>
  </si>
  <si>
    <t>TradeFromWatchlist</t>
  </si>
  <si>
    <t>Buy</t>
  </si>
  <si>
    <t>SetGeneralPreference</t>
  </si>
  <si>
    <t>DoneAway</t>
  </si>
  <si>
    <t>GS</t>
  </si>
  <si>
    <t>Blotter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</si>
  <si>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</si>
  <si>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</si>
  <si>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</si>
  <si>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</si>
  <si>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</si>
  <si>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</si>
  <si>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</si>
  <si>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</si>
  <si>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</si>
  <si>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</si>
  <si>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</si>
  <si>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</si>
  <si>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</si>
  <si>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</si>
  <si>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</si>
  <si>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Allocation1</t>
  </si>
  <si>
    <t>Market</t>
  </si>
  <si>
    <t>Manual</t>
  </si>
  <si>
    <t>Day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</si>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</sst>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B678" t="str">
        <f>IFERROR(__xludf.DUMMYFUNCTION("""COMPUTED_VALUE"""),"GetDataFromAuditTrail")</f>
        <v>GetDataFromAuditTrail</v>
      </c>
      <c r="C678" t="str">
        <f>IFERROR(__xludf.DUMMYFUNCTION("""COMPUTED_VALUE"""),"1tNXZNqCj-1qo8Li9Rf4t_XiY-dX6itH2UAbOSe3-Mxc")</f>
        <v>1tNXZNqCj-1qo8Li9Rf4t_XiY-dX6itH2UAbOSe3-Mxc</v>
      </c>
    </row>
    <row r="679" ht="15.75" customHeight="1">
      <c r="B679" t="str">
        <f>IFERROR(__xludf.DUMMYFUNCTION("""COMPUTED_VALUE"""),"VerifyAuditTrail")</f>
        <v>VerifyAuditTrail</v>
      </c>
      <c r="C679" t="str">
        <f>IFERROR(__xludf.DUMMYFUNCTION("""COMPUTED_VALUE"""),"1yv4ikffZOFZ-OOoWF_aNEGZA8dcvqtzobkyZjf8TDRs")</f>
        <v>1yv4ikffZOFZ-OOoWF_aNEGZA8dcvqtzobkyZjf8TDRs</v>
      </c>
    </row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B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B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>
        <v>10.0</v>
      </c>
      <c r="E6" s="13" t="s">
        <v>23</v>
      </c>
      <c r="F6" s="8"/>
      <c r="G6" s="8"/>
      <c r="H6" s="8"/>
      <c r="I6" s="8"/>
      <c r="J6" s="13" t="s">
        <v>21</v>
      </c>
      <c r="K6" s="8"/>
      <c r="L6" s="8"/>
      <c r="M6" s="8"/>
      <c r="N6" s="8"/>
      <c r="O6" s="8"/>
      <c r="AA6" s="9" t="s">
        <v>24</v>
      </c>
      <c r="AC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>
        <v>1000.0</v>
      </c>
      <c r="D6" s="35">
        <v>10.0</v>
      </c>
      <c r="E6" s="36" t="s">
        <v>23</v>
      </c>
      <c r="F6" s="37"/>
      <c r="G6" s="37"/>
      <c r="H6" s="37"/>
      <c r="I6" s="37"/>
      <c r="J6" s="36" t="s">
        <v>21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 t="s">
        <v>24</v>
      </c>
      <c r="AB6" s="37"/>
      <c r="AC6" s="38" t="b">
        <v>1</v>
      </c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27</v>
      </c>
      <c r="B6" s="39"/>
      <c r="C6" s="8" t="s">
        <v>28</v>
      </c>
      <c r="D6" s="39">
        <v>10.0</v>
      </c>
      <c r="E6" s="8" t="s">
        <v>29</v>
      </c>
      <c r="F6" s="8"/>
      <c r="G6" s="8"/>
      <c r="H6" s="8" t="s">
        <v>30</v>
      </c>
      <c r="I6" s="8" t="s">
        <v>31</v>
      </c>
      <c r="J6" s="8" t="s">
        <v>16</v>
      </c>
      <c r="K6" s="8" t="s">
        <v>32</v>
      </c>
      <c r="L6" s="8" t="s">
        <v>33</v>
      </c>
      <c r="M6" s="8"/>
      <c r="N6" s="8"/>
      <c r="O6" s="8"/>
      <c r="U6" t="s">
        <v>34</v>
      </c>
      <c r="V6" t="s">
        <v>35</v>
      </c>
      <c r="AA6" t="s">
        <v>36</v>
      </c>
      <c r="AC6" t="s">
        <v>37</v>
      </c>
      <c r="AD6">
        <v>1.0</v>
      </c>
      <c r="AF6" t="s">
        <v>38</v>
      </c>
      <c r="AG6">
        <v>10.0</v>
      </c>
      <c r="AH6" t="s">
        <v>39</v>
      </c>
      <c r="AI6" t="s">
        <v>16</v>
      </c>
      <c r="AJ6" t="s">
        <v>21</v>
      </c>
      <c r="AK6" t="s">
        <v>40</v>
      </c>
      <c r="AL6">
        <v>1000.0</v>
      </c>
      <c r="AS6" t="s">
        <v>24</v>
      </c>
      <c r="AT6" t="s">
        <v>41</v>
      </c>
      <c r="AU6" t="s">
        <v>42</v>
      </c>
      <c r="AV6">
        <v>10000.0</v>
      </c>
      <c r="AW6">
        <v>10000.0</v>
      </c>
      <c r="AX6" t="s">
        <v>43</v>
      </c>
      <c r="AY6" t="s">
        <v>27</v>
      </c>
      <c r="BA6" t="s">
        <v>31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t="s">
        <v>12</v>
      </c>
      <c r="BH6" t="s">
        <v>44</v>
      </c>
      <c r="BK6" t="s">
        <v>27</v>
      </c>
      <c r="BN6">
        <v>0.0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27</v>
      </c>
      <c r="B7" s="8"/>
      <c r="C7" s="8" t="s">
        <v>28</v>
      </c>
      <c r="D7" s="8">
        <v>10.0</v>
      </c>
      <c r="E7" s="8" t="s">
        <v>45</v>
      </c>
      <c r="F7" s="8"/>
      <c r="G7" s="8"/>
      <c r="H7" s="8" t="s">
        <v>30</v>
      </c>
      <c r="I7" s="8" t="s">
        <v>31</v>
      </c>
      <c r="J7" s="8" t="s">
        <v>19</v>
      </c>
      <c r="K7" s="8" t="s">
        <v>32</v>
      </c>
      <c r="L7" s="8" t="s">
        <v>33</v>
      </c>
      <c r="M7" s="8"/>
      <c r="N7" s="8"/>
      <c r="O7" s="8"/>
      <c r="U7" t="s">
        <v>34</v>
      </c>
      <c r="V7" t="s">
        <v>35</v>
      </c>
      <c r="AA7" t="s">
        <v>36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19</v>
      </c>
      <c r="AJ7" t="s">
        <v>21</v>
      </c>
      <c r="AK7" t="s">
        <v>40</v>
      </c>
      <c r="AL7">
        <v>1000.0</v>
      </c>
      <c r="AS7" t="s">
        <v>24</v>
      </c>
      <c r="AT7" t="s">
        <v>41</v>
      </c>
      <c r="AU7" t="s">
        <v>42</v>
      </c>
      <c r="AV7">
        <v>10000.0</v>
      </c>
      <c r="AW7">
        <v>10000.0</v>
      </c>
      <c r="AX7" t="s">
        <v>43</v>
      </c>
      <c r="AY7" t="s">
        <v>27</v>
      </c>
      <c r="BA7" t="s">
        <v>31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t="s">
        <v>12</v>
      </c>
      <c r="BH7" t="s">
        <v>44</v>
      </c>
      <c r="BK7" t="s">
        <v>27</v>
      </c>
      <c r="BN7">
        <v>0.0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