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OrderPTT" sheetId="6" r:id="rId8"/>
    <sheet state="visible" name="CreateOrderPTT1" sheetId="7" r:id="rId9"/>
    <sheet state="visible" name="CreateOrderPTT2" sheetId="8" r:id="rId10"/>
    <sheet state="visible" name="TradeNewSubOrder" sheetId="9" r:id="rId11"/>
    <sheet state="visible" name="CreateNewSubOrder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SelectTradeOnOrderGrid1" sheetId="17" r:id="rId19"/>
    <sheet state="visible" name="AllocateFromBlott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<sst xmlns="http://schemas.openxmlformats.org/spreadsheetml/2006/main" count="202" uniqueCount="60">
  <si>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</si>
  <si>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</si>
  <si>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</si>
  <si>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</si>
  <si>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</si>
  <si>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</si>
  <si>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</si>
  <si>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</si>
  <si>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</si>
  <si>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</si>
  <si>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</si>
  <si>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</si>
  <si>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</si>
  <si>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</si>
  <si>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</si>
  <si>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</si>
  <si>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</si>
  <si>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</si>
  <si>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</si>
  <si>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</si>
  <si>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CreateOrderPTT</t>
  </si>
  <si>
    <t>FRU-TC</t>
  </si>
  <si>
    <t>Buy</t>
  </si>
  <si>
    <t>Percentage</t>
  </si>
  <si>
    <t>No</t>
  </si>
  <si>
    <t>Account</t>
  </si>
  <si>
    <t>AAPL</t>
  </si>
  <si>
    <t>LI-EEB</t>
  </si>
  <si>
    <t>Blotter</t>
  </si>
  <si>
    <t>TradeNewSubOrder</t>
  </si>
  <si>
    <t>Equity</t>
  </si>
  <si>
    <t>New</t>
  </si>
  <si>
    <t>TradingTicket</t>
  </si>
  <si>
    <t>CreateNewSubOrder</t>
  </si>
  <si>
    <t>SelectTradeOnOrderGrid</t>
  </si>
  <si>
    <t>Filled</t>
  </si>
  <si>
    <t>ReplaceSubOrder</t>
  </si>
  <si>
    <t>CreateReplaceOrder</t>
  </si>
  <si>
    <t>Allocation</t>
  </si>
  <si>
    <t>AddCalculatedPreferences</t>
  </si>
  <si>
    <t>SetAccountValueCalculatedPref</t>
  </si>
  <si>
    <t>Allocation2</t>
  </si>
  <si>
    <t>LP C/O</t>
  </si>
  <si>
    <t>SetDefaultRuleCalculatedPref</t>
  </si>
  <si>
    <t>Trade Quantity</t>
  </si>
  <si>
    <t>Account Inception</t>
  </si>
  <si>
    <t>Replaced</t>
  </si>
  <si>
    <t>AllocateFromBlotter</t>
  </si>
  <si>
    <t>GetDataAllocation</t>
  </si>
  <si>
    <t>Current</t>
  </si>
  <si>
    <t>CheckAllocatedGroups</t>
  </si>
  <si>
    <t>Multiple</t>
  </si>
  <si>
    <t>MS</t>
  </si>
  <si>
    <t>M</t>
  </si>
  <si>
    <t>Market</t>
  </si>
  <si>
    <t>PortfolioManagement</t>
  </si>
  <si>
    <t>CheckPortfolioManagement</t>
  </si>
  <si>
    <t>NewMF1</t>
  </si>
  <si>
    <t>Long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</si>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</sst>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4" fontId="13" numFmtId="0" xfId="0" applyFont="1"/>
    <xf borderId="0" fillId="6" fontId="14" numFmtId="0" xfId="0" applyFill="1" applyFont="1"/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44583</v>
      </c>
      <c r="C6" s="32">
        <f t="shared" si="1"/>
        <v>44583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 t="s">
        <v>23</v>
      </c>
      <c r="E6" s="13">
        <v>10.0</v>
      </c>
      <c r="F6" s="13">
        <v>10.0</v>
      </c>
      <c r="G6" s="13" t="s">
        <v>24</v>
      </c>
      <c r="H6" s="13" t="s">
        <v>25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 t="s">
        <v>23</v>
      </c>
      <c r="E6" s="13">
        <v>10.0</v>
      </c>
      <c r="F6" s="13">
        <v>10.0</v>
      </c>
      <c r="G6" s="13" t="s">
        <v>24</v>
      </c>
      <c r="H6" s="13" t="s">
        <v>25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8" t="s">
        <v>22</v>
      </c>
      <c r="D6" s="39" t="s">
        <v>23</v>
      </c>
      <c r="E6" s="40">
        <v>10.0</v>
      </c>
      <c r="F6" s="40">
        <v>10.0</v>
      </c>
      <c r="G6" s="38" t="s">
        <v>24</v>
      </c>
      <c r="H6" s="38" t="s">
        <v>25</v>
      </c>
      <c r="I6" s="37" t="s">
        <v>17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30</v>
      </c>
      <c r="AI6" s="9" t="s">
        <v>27</v>
      </c>
      <c r="AJ6" s="9" t="s">
        <v>22</v>
      </c>
      <c r="AK6" s="9" t="s">
        <v>31</v>
      </c>
      <c r="AL6" s="9">
        <v>1000.0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>
        <v>1000.0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6"/>
      <c r="F6" s="13" t="s">
        <v>22</v>
      </c>
      <c r="G6" s="13" t="s">
        <v>35</v>
      </c>
      <c r="H6" s="13">
        <v>1000.0</v>
      </c>
      <c r="I6" s="13">
        <v>1000.0</v>
      </c>
      <c r="J6" s="13">
        <v>100.0</v>
      </c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22</v>
      </c>
      <c r="AL6" s="9" t="s">
        <v>35</v>
      </c>
      <c r="AM6" s="9">
        <v>1000.0</v>
      </c>
      <c r="AN6" s="9">
        <v>1000.0</v>
      </c>
      <c r="AO6" s="9">
        <v>100.0</v>
      </c>
      <c r="A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>
        <v>2000.0</v>
      </c>
      <c r="E6" s="13">
        <v>2000.0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tr">
        <f>"Pref6-"&amp;text(TODAY(),"dd-mm-yy")</f>
        <v>Pref6-23-01-22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tr">
        <f t="shared" ref="B6:B7" si="1">"Pref6-"&amp;text(TODAY(),"dd-mm-yy")</f>
        <v>Pref6-23-01-22</v>
      </c>
      <c r="C6" s="34" t="s">
        <v>41</v>
      </c>
      <c r="D6" s="43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tr">
        <f t="shared" si="1"/>
        <v>Pref6-23-01-22</v>
      </c>
      <c r="C7" s="31" t="s">
        <v>42</v>
      </c>
      <c r="D7" s="44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44</v>
      </c>
      <c r="C6" s="34"/>
      <c r="D6" s="45" t="s">
        <v>45</v>
      </c>
      <c r="E6" s="34"/>
      <c r="F6" s="34"/>
      <c r="G6" s="46" t="b">
        <v>1</v>
      </c>
      <c r="H6" s="42" t="str">
        <f>"Pref6-"&amp;text(TODAY(),"dd-mm-yy")</f>
        <v>Pref6-23-01-22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6"/>
      <c r="F6" s="13" t="s">
        <v>22</v>
      </c>
      <c r="G6" s="13" t="s">
        <v>46</v>
      </c>
      <c r="H6" s="13">
        <v>2000.0</v>
      </c>
      <c r="I6" s="13">
        <v>1000.0</v>
      </c>
      <c r="J6" s="8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tr">
        <f>"Pref6-"&amp;text(TODAY(),"dd-mm-yy")</f>
        <v>Pref6-23-01-22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51</v>
      </c>
      <c r="C6" s="35"/>
      <c r="D6" s="31"/>
      <c r="E6" s="48">
        <v>1000.0</v>
      </c>
      <c r="F6" s="35"/>
      <c r="G6" s="49" t="s">
        <v>30</v>
      </c>
      <c r="H6" s="35"/>
      <c r="I6" s="35"/>
      <c r="J6" s="35"/>
      <c r="K6" s="44">
        <v>10.0</v>
      </c>
      <c r="L6" s="44">
        <v>10.0</v>
      </c>
      <c r="M6" s="35"/>
      <c r="N6" s="35"/>
      <c r="O6" s="50" t="s">
        <v>52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51">
        <v>1000.0</v>
      </c>
      <c r="AF6" s="35"/>
      <c r="AG6" s="35"/>
      <c r="AH6" s="35" t="s">
        <v>53</v>
      </c>
      <c r="AI6" s="52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51">
        <v>10000.0</v>
      </c>
      <c r="AU6" s="51">
        <v>10000.0</v>
      </c>
      <c r="AV6" s="35"/>
      <c r="AW6" s="35"/>
      <c r="AX6" s="35"/>
      <c r="AY6" s="35" t="s">
        <v>54</v>
      </c>
      <c r="AZ6" s="35"/>
      <c r="BA6" s="35"/>
      <c r="BB6" s="35"/>
      <c r="BC6" s="35"/>
      <c r="BD6" s="35"/>
      <c r="BE6" s="51">
        <v>10000.0</v>
      </c>
      <c r="BF6" s="51">
        <v>10000.0</v>
      </c>
      <c r="BG6" s="35"/>
      <c r="BH6" s="35"/>
      <c r="BI6" s="35"/>
      <c r="BJ6" s="51">
        <v>2000.0</v>
      </c>
      <c r="BK6" s="35"/>
      <c r="BL6" s="35"/>
      <c r="BM6" s="35"/>
      <c r="BN6" s="35"/>
      <c r="BO6" s="35" t="s">
        <v>22</v>
      </c>
      <c r="BP6" s="35"/>
      <c r="BQ6" s="35"/>
      <c r="BR6" s="35"/>
      <c r="BS6" s="35"/>
      <c r="BT6" s="53" t="s">
        <v>27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4" t="s">
        <v>27</v>
      </c>
      <c r="D6" s="55">
        <v>500.0</v>
      </c>
      <c r="E6" s="34" t="s">
        <v>41</v>
      </c>
      <c r="F6" s="56" t="s">
        <v>57</v>
      </c>
      <c r="G6" s="57">
        <v>10.0</v>
      </c>
      <c r="H6" s="56" t="s">
        <v>58</v>
      </c>
      <c r="I6" s="8"/>
      <c r="J6" s="8"/>
      <c r="K6" s="8"/>
      <c r="L6" s="8"/>
      <c r="M6" s="8"/>
      <c r="N6" s="8"/>
      <c r="O6" s="8"/>
      <c r="T6" s="9" t="s">
        <v>30</v>
      </c>
      <c r="AN6" s="9" t="s">
        <v>22</v>
      </c>
    </row>
    <row r="7" ht="15.75" customHeight="1">
      <c r="A7" s="8"/>
      <c r="B7" s="8"/>
      <c r="C7" s="54" t="s">
        <v>27</v>
      </c>
      <c r="D7" s="48">
        <v>500.0</v>
      </c>
      <c r="E7" s="35" t="s">
        <v>42</v>
      </c>
      <c r="F7" s="50" t="s">
        <v>59</v>
      </c>
      <c r="G7" s="44">
        <v>10.0</v>
      </c>
      <c r="H7" s="50" t="s">
        <v>58</v>
      </c>
      <c r="I7" s="8"/>
      <c r="J7" s="8"/>
      <c r="K7" s="8"/>
      <c r="L7" s="8"/>
      <c r="M7" s="8"/>
      <c r="N7" s="8"/>
      <c r="O7" s="8"/>
      <c r="T7" s="9" t="s">
        <v>30</v>
      </c>
      <c r="AN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