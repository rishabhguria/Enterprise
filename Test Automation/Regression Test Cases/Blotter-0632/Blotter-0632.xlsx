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AllocateFromBlotter" sheetId="11" r:id="rId13"/>
    <sheet state="visible" name="SelectTradeOnOrderGrid1" sheetId="12" r:id="rId14"/>
    <sheet state="visible" name="CheckAllocatedGroups" sheetId="13" r:id="rId15"/>
    <sheet state="visible" name="ExecuteTrade1" sheetId="14" r:id="rId16"/>
    <sheet state="visible" name="AllocateFromBlotter1" sheetId="15" r:id="rId17"/>
    <sheet state="visible" name="CheckAllocatedGroups1" sheetId="16" r:id="rId18"/>
  </sheets>
  <definedNames/>
  <calcPr/>
</workbook>
</file>

<file path=xl/sharedStrings.xml><?xml version="1.0" encoding="utf-8"?>
<sst xmlns="http://schemas.openxmlformats.org/spreadsheetml/2006/main" count="178" uniqueCount="38">
  <si>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</si>
  <si>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</si>
  <si>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</si>
  <si>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</si>
  <si>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</si>
  <si>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</si>
  <si>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</si>
  <si>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</si>
  <si>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</si>
  <si>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</si>
  <si>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</si>
  <si>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</si>
  <si>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</si>
  <si>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</si>
  <si>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</si>
  <si>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</si>
  <si>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</si>
  <si>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</si>
  <si>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</si>
  <si>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</si>
  <si>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</si>
  <si>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</si>
  <si>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</si>
  <si>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</si>
  <si>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</si>
  <si>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</si>
  <si>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</si>
  <si>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</si>
  <si>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</si>
  <si>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</si>
  <si>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</si>
  <si>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</si>
  <si>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AllocateFromBlotter</t>
  </si>
  <si>
    <t>Allocation1</t>
  </si>
  <si>
    <t>Allocation</t>
  </si>
  <si>
    <t>CheckAllocatedGroups</t>
  </si>
  <si>
    <t>Equity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</si>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</sst>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horizontal="righ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6" fontId="1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IFERROR(__xludf.DUMMYFUNCTION("""COMPUTED_VALUE"""),"ResizeEnsure")</f>
        <v>ResizeEnsure</v>
      </c>
      <c r="C769" t="str">
        <f>IFERROR(__xludf.DUMMYFUNCTION("""COMPUTED_VALUE"""),"1-peVyQ_nIwd8owwmtDtNW-yx12KQx2nHeYee6duB46M")</f>
        <v>1-peVyQ_nIwd8owwmtDtNW-yx12KQx2nHeYee6duB46M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16</v>
      </c>
      <c r="C6" s="32">
        <v>5000.0</v>
      </c>
      <c r="D6" s="33"/>
      <c r="E6" s="34" t="s">
        <v>17</v>
      </c>
      <c r="F6" s="35"/>
      <c r="G6" s="35"/>
      <c r="H6" s="35"/>
      <c r="I6" s="36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2">
        <v>315.9</v>
      </c>
      <c r="Y6" s="37">
        <f>today()</f>
        <v>45576</v>
      </c>
      <c r="Z6" s="38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22</v>
      </c>
      <c r="FB6" s="35" t="s">
        <v>22</v>
      </c>
      <c r="FC6" s="35" t="s">
        <v>22</v>
      </c>
      <c r="FD6" s="35" t="s">
        <v>22</v>
      </c>
      <c r="FE6" s="35" t="s">
        <v>22</v>
      </c>
      <c r="FF6" s="35" t="s">
        <v>22</v>
      </c>
      <c r="FG6" s="35" t="s">
        <v>22</v>
      </c>
      <c r="FH6" s="35" t="s">
        <v>22</v>
      </c>
      <c r="FI6" s="35" t="s">
        <v>22</v>
      </c>
      <c r="FJ6" s="35"/>
      <c r="FK6" s="35" t="s">
        <v>22</v>
      </c>
      <c r="FL6" s="35" t="s">
        <v>22</v>
      </c>
      <c r="FM6" s="35" t="s">
        <v>22</v>
      </c>
      <c r="FN6" s="35" t="s">
        <v>22</v>
      </c>
      <c r="FO6" s="35" t="s">
        <v>22</v>
      </c>
      <c r="FP6" s="35" t="s">
        <v>22</v>
      </c>
      <c r="FQ6" s="35" t="s">
        <v>22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5"/>
      <c r="B7" s="34" t="s">
        <v>23</v>
      </c>
      <c r="C7" s="32">
        <v>5000.0</v>
      </c>
      <c r="D7" s="40"/>
      <c r="E7" s="34" t="s">
        <v>17</v>
      </c>
      <c r="F7" s="35"/>
      <c r="G7" s="35"/>
      <c r="H7" s="35"/>
      <c r="I7" s="41" t="s">
        <v>18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24</v>
      </c>
      <c r="V7" s="35" t="s">
        <v>21</v>
      </c>
      <c r="W7" s="35"/>
      <c r="X7" s="42">
        <v>315.9</v>
      </c>
      <c r="Y7" s="35"/>
      <c r="Z7" s="38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22</v>
      </c>
      <c r="FB7" s="35" t="s">
        <v>22</v>
      </c>
      <c r="FC7" s="35" t="s">
        <v>22</v>
      </c>
      <c r="FD7" s="35" t="s">
        <v>22</v>
      </c>
      <c r="FE7" s="35" t="s">
        <v>22</v>
      </c>
      <c r="FF7" s="35" t="s">
        <v>22</v>
      </c>
      <c r="FG7" s="35" t="s">
        <v>22</v>
      </c>
      <c r="FH7" s="35" t="s">
        <v>22</v>
      </c>
      <c r="FI7" s="35" t="s">
        <v>22</v>
      </c>
      <c r="FJ7" s="35"/>
      <c r="FK7" s="35" t="s">
        <v>22</v>
      </c>
      <c r="FL7" s="35" t="s">
        <v>22</v>
      </c>
      <c r="FM7" s="35" t="s">
        <v>22</v>
      </c>
      <c r="FN7" s="35" t="s">
        <v>22</v>
      </c>
      <c r="FO7" s="35" t="s">
        <v>22</v>
      </c>
      <c r="FP7" s="35" t="s">
        <v>22</v>
      </c>
      <c r="FQ7" s="35" t="s">
        <v>22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16</v>
      </c>
      <c r="D6" s="12"/>
      <c r="E6" s="43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16</v>
      </c>
      <c r="D6" s="12"/>
      <c r="E6" s="43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</v>
      </c>
      <c r="C6" s="12">
        <v>2500.0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44" t="s">
        <v>23</v>
      </c>
      <c r="D6" s="12"/>
      <c r="E6" s="43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44" t="s">
        <v>23</v>
      </c>
      <c r="D6" s="12"/>
      <c r="E6" s="43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43"/>
      <c r="F6" s="12" t="s">
        <v>19</v>
      </c>
      <c r="G6" s="12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>
        <v>100.0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43"/>
      <c r="F6" s="12" t="s">
        <v>19</v>
      </c>
      <c r="G6" s="12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12">
        <v>2500.0</v>
      </c>
      <c r="F6" s="8"/>
      <c r="G6" s="12" t="s">
        <v>36</v>
      </c>
      <c r="H6" s="8"/>
      <c r="I6" s="8"/>
      <c r="J6" s="8"/>
      <c r="K6" s="8"/>
      <c r="L6" s="8"/>
      <c r="M6" s="8"/>
      <c r="N6" s="8"/>
      <c r="O6" s="8"/>
      <c r="BO6" s="9" t="s">
        <v>19</v>
      </c>
      <c r="BT6" s="9" t="s">
        <v>23</v>
      </c>
    </row>
    <row r="7" ht="15.75" customHeight="1">
      <c r="A7" s="12"/>
      <c r="B7" s="12" t="s">
        <v>33</v>
      </c>
      <c r="C7" s="8"/>
      <c r="D7" s="12"/>
      <c r="E7" s="12">
        <v>2500.0</v>
      </c>
      <c r="F7" s="8"/>
      <c r="G7" s="12" t="s">
        <v>36</v>
      </c>
      <c r="H7" s="8"/>
      <c r="I7" s="8"/>
      <c r="J7" s="8"/>
      <c r="K7" s="8"/>
      <c r="L7" s="8"/>
      <c r="M7" s="8"/>
      <c r="N7" s="8"/>
      <c r="O7" s="8"/>
      <c r="BO7" s="9" t="s">
        <v>19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>
        <v>315.9</v>
      </c>
      <c r="C6" s="12">
        <v>500.0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>
        <v>100.0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12">
        <v>3000.0</v>
      </c>
      <c r="F6" s="8"/>
      <c r="G6" s="12" t="s">
        <v>36</v>
      </c>
      <c r="H6" s="8"/>
      <c r="I6" s="8"/>
      <c r="J6" s="8"/>
      <c r="K6" s="8"/>
      <c r="L6" s="8"/>
      <c r="M6" s="8"/>
      <c r="N6" s="8"/>
      <c r="O6" s="8"/>
      <c r="BO6" s="9" t="s">
        <v>19</v>
      </c>
      <c r="BT6" s="9" t="s">
        <v>23</v>
      </c>
    </row>
    <row r="7" ht="15.75" customHeight="1">
      <c r="A7" s="12"/>
      <c r="B7" s="12" t="s">
        <v>37</v>
      </c>
      <c r="C7" s="8"/>
      <c r="D7" s="12"/>
      <c r="E7" s="12">
        <v>3000.0</v>
      </c>
      <c r="F7" s="8"/>
      <c r="G7" s="12" t="s">
        <v>36</v>
      </c>
      <c r="H7" s="8"/>
      <c r="I7" s="8"/>
      <c r="J7" s="8"/>
      <c r="K7" s="8"/>
      <c r="L7" s="8"/>
      <c r="M7" s="8"/>
      <c r="N7" s="8"/>
      <c r="O7" s="8"/>
      <c r="BO7" s="9" t="s">
        <v>19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