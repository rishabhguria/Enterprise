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losingPreferenc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GetDataClosing" sheetId="8" r:id="rId10"/>
    <sheet state="visible" name="SelectTradeUnexpiredUnsettled" sheetId="9" r:id="rId11"/>
    <sheet state="visible" name="ExerciseAssignment" sheetId="10" r:id="rId12"/>
    <sheet state="visible" name="GetDataAllocation" sheetId="11" r:id="rId13"/>
    <sheet state="visible" name="CheckAllocatedGroups" sheetId="12" r:id="rId14"/>
    <sheet state="visible" name="CheckAllocatedTaxlots" sheetId="13" r:id="rId15"/>
    <sheet state="visible" name="CheckPortfolioManagement" sheetId="14" r:id="rId16"/>
    <sheet state="visible" name="EditSMGridUi" sheetId="15" r:id="rId17"/>
    <sheet state="visible" name="UpdateExpirationDate" sheetId="16" r:id="rId18"/>
    <sheet state="visible" name="GetDataClosing1" sheetId="17" r:id="rId19"/>
    <sheet state="visible" name="SelectTradeUnexpiredUnsettled1" sheetId="18" r:id="rId20"/>
    <sheet state="visible" name="ExerciseAssignment1" sheetId="19" r:id="rId21"/>
    <sheet state="visible" name="GetDataClosing2" sheetId="20" r:id="rId22"/>
    <sheet state="visible" name="SelectTradeUnexpiredUnsettled2" sheetId="21" r:id="rId23"/>
    <sheet state="visible" name="ExerciseAssignment2" sheetId="22" r:id="rId24"/>
    <sheet state="visible" name="GetDataClosing3" sheetId="23" r:id="rId25"/>
    <sheet state="visible" name="ExerciseAssignment3" sheetId="24" r:id="rId26"/>
    <sheet state="visible" name="SelectTradeUnexpiredUnsettled3" sheetId="25" r:id="rId27"/>
  </sheets>
  <definedNames/>
  <calcPr/>
</workbook>
</file>

<file path=xl/sharedStrings.xml><?xml version="1.0" encoding="utf-8"?>
<sst xmlns="http://schemas.openxmlformats.org/spreadsheetml/2006/main" count="1303" uniqueCount="92">
  <si>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</si>
  <si>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</si>
  <si>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</si>
  <si>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</si>
  <si>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</si>
  <si>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</si>
  <si>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</si>
  <si>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</si>
  <si>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</si>
  <si>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</si>
  <si>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</si>
  <si>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</si>
  <si>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Closing</t>
  </si>
  <si>
    <t>SetClosingPreference</t>
  </si>
  <si>
    <t>Data Format</t>
  </si>
  <si>
    <t>Input Format</t>
  </si>
  <si>
    <t>HIHO</t>
  </si>
  <si>
    <t>TradingTicket</t>
  </si>
  <si>
    <t>CreateDoneAwayOrder</t>
  </si>
  <si>
    <t>AAPL</t>
  </si>
  <si>
    <t>Buy</t>
  </si>
  <si>
    <t>Allocation1</t>
  </si>
  <si>
    <t>O:AAPL 23D90.00D21</t>
  </si>
  <si>
    <t>Sell to Open</t>
  </si>
  <si>
    <t>O:AAPL 23P110.00D21</t>
  </si>
  <si>
    <t>Buy to Open</t>
  </si>
  <si>
    <t>MSFT</t>
  </si>
  <si>
    <t>Allocation2</t>
  </si>
  <si>
    <t>O:MSFT 14A33.00</t>
  </si>
  <si>
    <t>O:MSFT 14D40.00</t>
  </si>
  <si>
    <t>FB</t>
  </si>
  <si>
    <t>rt</t>
  </si>
  <si>
    <t>O:FB 12K18.00</t>
  </si>
  <si>
    <t>O:FB 12L17.00</t>
  </si>
  <si>
    <t>O:FB 13F25.00</t>
  </si>
  <si>
    <t>O:FB 13I26.00</t>
  </si>
  <si>
    <t>GOOG</t>
  </si>
  <si>
    <t>Sell short</t>
  </si>
  <si>
    <t>Allocation5</t>
  </si>
  <si>
    <t>O:GOOG 12K770.00</t>
  </si>
  <si>
    <t>O:GOOG 13A700.00</t>
  </si>
  <si>
    <t>O:GOOG 13C755.00</t>
  </si>
  <si>
    <t>O:GOOG 13F700.00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</si>
  <si>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</si>
  <si>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</si>
  <si>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</si>
  <si>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</si>
  <si>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</si>
  <si>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</si>
  <si>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</si>
  <si>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</si>
  <si>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</si>
  <si>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</si>
  <si>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</si>
  <si>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</si>
  <si>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</si>
  <si>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</si>
  <si>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</si>
  <si>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APPLE</t>
  </si>
  <si>
    <t>USD</t>
  </si>
  <si>
    <t>NASDAQ</t>
  </si>
  <si>
    <t>M</t>
  </si>
  <si>
    <t>Market</t>
  </si>
  <si>
    <t>GCCAP1</t>
  </si>
  <si>
    <t>US</t>
  </si>
  <si>
    <t>jpearce</t>
  </si>
  <si>
    <t>EquityOption</t>
  </si>
  <si>
    <t>OPTS</t>
  </si>
  <si>
    <t>C</t>
  </si>
  <si>
    <t>Buy to Close</t>
  </si>
  <si>
    <t>Assignment</t>
  </si>
  <si>
    <t>P</t>
  </si>
  <si>
    <t>BuytoOpen</t>
  </si>
  <si>
    <t>SelltoOpen</t>
  </si>
  <si>
    <t>D</t>
  </si>
  <si>
    <t>Sell</t>
  </si>
  <si>
    <t>Sell to Close</t>
  </si>
  <si>
    <t>Exercise</t>
  </si>
  <si>
    <t>CheckAllocatedTaxlots</t>
  </si>
  <si>
    <t>PortfolioManagement</t>
  </si>
  <si>
    <t>CheckPortfolioManagement</t>
  </si>
  <si>
    <t>NewMF</t>
  </si>
  <si>
    <t>Short</t>
  </si>
  <si>
    <t>NewMF1</t>
  </si>
  <si>
    <t>Long</t>
  </si>
  <si>
    <t>NewMF2</t>
  </si>
  <si>
    <t>NewMF3</t>
  </si>
  <si>
    <t>SymbolLookup</t>
  </si>
  <si>
    <t>EditSMGridUi</t>
  </si>
  <si>
    <t>Yes</t>
  </si>
  <si>
    <t>Admin</t>
  </si>
  <si>
    <t>UpdateExpirationDate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</si>
</sst>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b/>
      <name val="Calibri"/>
    </font>
    <font>
      <sz val="11.0"/>
      <color rgb="FF000000"/>
      <name val="Calibri"/>
    </font>
    <font>
      <color rgb="FF000000"/>
      <name val="Docs-Calibri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shrinkToFit="0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wrapText="0"/>
    </xf>
    <xf borderId="0" fillId="4" fontId="16" numFmtId="0" xfId="0" applyAlignment="1" applyFont="1">
      <alignment vertical="bottom"/>
    </xf>
    <xf borderId="0" fillId="4" fontId="1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s">
        <v>16</v>
      </c>
      <c r="D6" s="31"/>
      <c r="E6" s="33" t="b">
        <v>1</v>
      </c>
      <c r="F6" s="34"/>
      <c r="G6" s="34"/>
      <c r="H6" s="34"/>
      <c r="I6" s="34"/>
      <c r="J6" s="33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5" t="s">
        <v>20</v>
      </c>
      <c r="D6" s="36">
        <v>1100.0</v>
      </c>
      <c r="E6" s="34"/>
      <c r="F6" s="35" t="s">
        <v>21</v>
      </c>
      <c r="G6" s="34"/>
      <c r="H6" s="34"/>
      <c r="I6" s="34"/>
      <c r="J6" s="37">
        <v>1.0</v>
      </c>
      <c r="K6" s="34"/>
      <c r="L6" s="34"/>
      <c r="M6" s="34"/>
      <c r="N6" s="38">
        <f t="shared" ref="N6:N12" si="1">TODAY()-8</f>
        <v>45131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9" t="s">
        <v>22</v>
      </c>
      <c r="C7" s="13" t="s">
        <v>23</v>
      </c>
      <c r="D7" s="13">
        <v>10.0</v>
      </c>
      <c r="E7" s="8"/>
      <c r="F7" s="35" t="s">
        <v>21</v>
      </c>
      <c r="G7" s="8"/>
      <c r="H7" s="8"/>
      <c r="I7" s="8"/>
      <c r="J7" s="13">
        <v>10.0</v>
      </c>
      <c r="K7" s="8"/>
      <c r="L7" s="8"/>
      <c r="M7" s="8"/>
      <c r="N7" s="38">
        <f t="shared" si="1"/>
        <v>45131</v>
      </c>
      <c r="O7" s="8"/>
    </row>
    <row r="8" ht="15.75" customHeight="1">
      <c r="A8" s="8"/>
      <c r="B8" s="9" t="s">
        <v>24</v>
      </c>
      <c r="C8" s="13" t="s">
        <v>25</v>
      </c>
      <c r="D8" s="13">
        <v>10.0</v>
      </c>
      <c r="E8" s="8"/>
      <c r="F8" s="35" t="s">
        <v>21</v>
      </c>
      <c r="G8" s="8"/>
      <c r="H8" s="8"/>
      <c r="I8" s="8"/>
      <c r="J8" s="13">
        <v>10.0</v>
      </c>
      <c r="K8" s="8"/>
      <c r="L8" s="8"/>
      <c r="M8" s="8"/>
      <c r="N8" s="38">
        <f t="shared" si="1"/>
        <v>45131</v>
      </c>
      <c r="O8" s="8"/>
    </row>
    <row r="9" ht="15.75" customHeight="1">
      <c r="A9" s="8"/>
      <c r="B9" s="13" t="s">
        <v>26</v>
      </c>
      <c r="C9" s="34" t="s">
        <v>20</v>
      </c>
      <c r="D9" s="37">
        <v>1100.0</v>
      </c>
      <c r="E9" s="34"/>
      <c r="F9" s="35" t="s">
        <v>27</v>
      </c>
      <c r="G9" s="34"/>
      <c r="H9" s="34"/>
      <c r="I9" s="34"/>
      <c r="J9" s="37">
        <v>1.0</v>
      </c>
      <c r="K9" s="34"/>
      <c r="L9" s="34"/>
      <c r="M9" s="34"/>
      <c r="N9" s="38">
        <f t="shared" si="1"/>
        <v>45131</v>
      </c>
      <c r="O9" s="8"/>
    </row>
    <row r="10" ht="15.75" customHeight="1">
      <c r="A10" s="8"/>
      <c r="B10" s="39" t="s">
        <v>28</v>
      </c>
      <c r="C10" s="39" t="s">
        <v>23</v>
      </c>
      <c r="D10" s="37">
        <v>10.0</v>
      </c>
      <c r="E10" s="34"/>
      <c r="F10" s="35" t="s">
        <v>27</v>
      </c>
      <c r="G10" s="34"/>
      <c r="H10" s="34"/>
      <c r="I10" s="34"/>
      <c r="J10" s="37">
        <v>10.0</v>
      </c>
      <c r="K10" s="34"/>
      <c r="L10" s="34"/>
      <c r="M10" s="34"/>
      <c r="N10" s="38">
        <f t="shared" si="1"/>
        <v>45131</v>
      </c>
      <c r="O10" s="8"/>
    </row>
    <row r="11" ht="15.75" customHeight="1">
      <c r="A11" s="8"/>
      <c r="B11" s="39" t="s">
        <v>29</v>
      </c>
      <c r="C11" s="39" t="s">
        <v>25</v>
      </c>
      <c r="D11" s="37">
        <v>10.0</v>
      </c>
      <c r="E11" s="34"/>
      <c r="F11" s="35" t="s">
        <v>27</v>
      </c>
      <c r="G11" s="34"/>
      <c r="H11" s="34"/>
      <c r="I11" s="34"/>
      <c r="J11" s="37">
        <v>10.0</v>
      </c>
      <c r="K11" s="34"/>
      <c r="L11" s="34"/>
      <c r="M11" s="34"/>
      <c r="N11" s="38">
        <f t="shared" si="1"/>
        <v>45131</v>
      </c>
      <c r="O11" s="8"/>
    </row>
    <row r="12" ht="15.75" customHeight="1">
      <c r="A12" s="8"/>
      <c r="B12" s="13" t="s">
        <v>30</v>
      </c>
      <c r="C12" s="34" t="s">
        <v>20</v>
      </c>
      <c r="D12" s="37">
        <v>1100.0</v>
      </c>
      <c r="E12" s="34"/>
      <c r="F12" s="35" t="s">
        <v>31</v>
      </c>
      <c r="G12" s="34"/>
      <c r="H12" s="34"/>
      <c r="I12" s="34"/>
      <c r="J12" s="37">
        <v>1.0</v>
      </c>
      <c r="K12" s="34"/>
      <c r="L12" s="34"/>
      <c r="M12" s="34"/>
      <c r="N12" s="38">
        <f t="shared" si="1"/>
        <v>45131</v>
      </c>
      <c r="O12" s="8"/>
    </row>
    <row r="13" ht="15.75" customHeight="1">
      <c r="A13" s="8"/>
      <c r="B13" s="39" t="s">
        <v>32</v>
      </c>
      <c r="C13" s="39" t="s">
        <v>25</v>
      </c>
      <c r="D13" s="37">
        <v>10.0</v>
      </c>
      <c r="E13" s="34"/>
      <c r="F13" s="35" t="s">
        <v>31</v>
      </c>
      <c r="G13" s="34"/>
      <c r="H13" s="34"/>
      <c r="I13" s="34"/>
      <c r="J13" s="37">
        <v>10.0</v>
      </c>
      <c r="K13" s="34"/>
      <c r="L13" s="34"/>
      <c r="M13" s="34"/>
      <c r="N13" s="38">
        <f>TODAY()-4</f>
        <v>45135</v>
      </c>
      <c r="O13" s="8"/>
    </row>
    <row r="14" ht="15.75" customHeight="1">
      <c r="A14" s="8"/>
      <c r="B14" s="39" t="s">
        <v>33</v>
      </c>
      <c r="C14" s="39" t="s">
        <v>25</v>
      </c>
      <c r="D14" s="37">
        <v>10.0</v>
      </c>
      <c r="E14" s="34"/>
      <c r="F14" s="35" t="s">
        <v>31</v>
      </c>
      <c r="G14" s="34"/>
      <c r="H14" s="34"/>
      <c r="I14" s="34"/>
      <c r="J14" s="37">
        <v>10.0</v>
      </c>
      <c r="K14" s="34"/>
      <c r="L14" s="34"/>
      <c r="M14" s="34"/>
      <c r="N14" s="38">
        <f>TODAY()-3</f>
        <v>45136</v>
      </c>
      <c r="O14" s="8"/>
    </row>
    <row r="15" ht="15.75" customHeight="1">
      <c r="A15" s="8"/>
      <c r="B15" s="39" t="s">
        <v>34</v>
      </c>
      <c r="C15" s="39" t="s">
        <v>25</v>
      </c>
      <c r="D15" s="37">
        <v>10.0</v>
      </c>
      <c r="E15" s="34"/>
      <c r="F15" s="35" t="s">
        <v>31</v>
      </c>
      <c r="G15" s="34"/>
      <c r="H15" s="34"/>
      <c r="I15" s="34"/>
      <c r="J15" s="37">
        <v>10.0</v>
      </c>
      <c r="K15" s="34"/>
      <c r="L15" s="34"/>
      <c r="M15" s="34"/>
      <c r="N15" s="38">
        <f t="shared" ref="N15:N16" si="2">TODAY()-2</f>
        <v>45137</v>
      </c>
      <c r="O15" s="8"/>
    </row>
    <row r="16" ht="15.75" customHeight="1">
      <c r="A16" s="8"/>
      <c r="B16" s="39" t="s">
        <v>35</v>
      </c>
      <c r="C16" s="39" t="s">
        <v>25</v>
      </c>
      <c r="D16" s="37">
        <v>10.0</v>
      </c>
      <c r="E16" s="34"/>
      <c r="F16" s="35" t="s">
        <v>31</v>
      </c>
      <c r="G16" s="39"/>
      <c r="H16" s="34"/>
      <c r="I16" s="34"/>
      <c r="J16" s="37">
        <v>10.0</v>
      </c>
      <c r="K16" s="34"/>
      <c r="L16" s="34"/>
      <c r="M16" s="34"/>
      <c r="N16" s="38">
        <f t="shared" si="2"/>
        <v>45137</v>
      </c>
      <c r="O16" s="8"/>
    </row>
    <row r="17" ht="15.75" customHeight="1">
      <c r="A17" s="8"/>
      <c r="B17" s="13" t="s">
        <v>36</v>
      </c>
      <c r="C17" s="34" t="s">
        <v>37</v>
      </c>
      <c r="D17" s="37">
        <v>1100.0</v>
      </c>
      <c r="E17" s="34"/>
      <c r="F17" s="35" t="s">
        <v>38</v>
      </c>
      <c r="G17" s="34"/>
      <c r="H17" s="34"/>
      <c r="I17" s="34"/>
      <c r="J17" s="37">
        <v>1.0</v>
      </c>
      <c r="K17" s="34"/>
      <c r="L17" s="34"/>
      <c r="M17" s="34"/>
      <c r="N17" s="38">
        <f>TODAY()-8</f>
        <v>45131</v>
      </c>
      <c r="O17" s="8"/>
    </row>
    <row r="18" ht="15.75" customHeight="1">
      <c r="A18" s="8"/>
      <c r="B18" s="39" t="s">
        <v>39</v>
      </c>
      <c r="C18" s="39" t="s">
        <v>25</v>
      </c>
      <c r="D18" s="37">
        <v>10.0</v>
      </c>
      <c r="E18" s="34"/>
      <c r="F18" s="35" t="s">
        <v>38</v>
      </c>
      <c r="G18" s="34"/>
      <c r="H18" s="34"/>
      <c r="I18" s="34"/>
      <c r="J18" s="37">
        <v>10.0</v>
      </c>
      <c r="K18" s="34"/>
      <c r="L18" s="34"/>
      <c r="M18" s="34"/>
      <c r="N18" s="38">
        <f>TODAY()-4</f>
        <v>45135</v>
      </c>
      <c r="O18" s="8"/>
    </row>
    <row r="19" ht="15.75" customHeight="1">
      <c r="A19" s="8"/>
      <c r="B19" s="39" t="s">
        <v>40</v>
      </c>
      <c r="C19" s="39" t="s">
        <v>25</v>
      </c>
      <c r="D19" s="37">
        <v>10.0</v>
      </c>
      <c r="E19" s="34"/>
      <c r="F19" s="35" t="s">
        <v>38</v>
      </c>
      <c r="G19" s="34"/>
      <c r="H19" s="34"/>
      <c r="I19" s="34"/>
      <c r="J19" s="37">
        <v>10.0</v>
      </c>
      <c r="K19" s="34"/>
      <c r="L19" s="34"/>
      <c r="M19" s="34"/>
      <c r="N19" s="38">
        <f>TODAY()-3</f>
        <v>45136</v>
      </c>
      <c r="O19" s="8"/>
    </row>
    <row r="20" ht="15.75" customHeight="1">
      <c r="A20" s="8"/>
      <c r="B20" s="39" t="s">
        <v>41</v>
      </c>
      <c r="C20" s="39" t="s">
        <v>25</v>
      </c>
      <c r="D20" s="37">
        <v>10.0</v>
      </c>
      <c r="E20" s="34"/>
      <c r="F20" s="35" t="s">
        <v>38</v>
      </c>
      <c r="G20" s="34"/>
      <c r="H20" s="34"/>
      <c r="I20" s="34"/>
      <c r="J20" s="37">
        <v>10.0</v>
      </c>
      <c r="K20" s="34"/>
      <c r="L20" s="34"/>
      <c r="M20" s="34"/>
      <c r="N20" s="38">
        <f>TODAY()-2</f>
        <v>45137</v>
      </c>
      <c r="O20" s="8"/>
    </row>
    <row r="21" ht="15.75" customHeight="1">
      <c r="A21" s="8"/>
      <c r="B21" s="40" t="s">
        <v>42</v>
      </c>
      <c r="C21" s="39" t="s">
        <v>25</v>
      </c>
      <c r="D21" s="37">
        <v>10.0</v>
      </c>
      <c r="E21" s="34"/>
      <c r="F21" s="35" t="s">
        <v>38</v>
      </c>
      <c r="G21" s="39"/>
      <c r="H21" s="34"/>
      <c r="I21" s="34"/>
      <c r="J21" s="37">
        <v>10.0</v>
      </c>
      <c r="K21" s="34"/>
      <c r="L21" s="34"/>
      <c r="M21" s="34"/>
      <c r="N21" s="38">
        <f>TODAY()-1</f>
        <v>45138</v>
      </c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f>TODAY()-1</f>
        <v>45138</v>
      </c>
      <c r="C6" s="42">
        <f>TODAY()</f>
        <v>45139</v>
      </c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100.0</v>
      </c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26</v>
      </c>
      <c r="C7" s="13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30</v>
      </c>
      <c r="C8" s="13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36</v>
      </c>
      <c r="C9" s="13">
        <v>120.0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47</v>
      </c>
      <c r="C6" s="45" t="s">
        <v>48</v>
      </c>
      <c r="D6" s="45">
        <f>TODAY()</f>
        <v>45139</v>
      </c>
      <c r="E6" s="35" t="s">
        <v>21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21</v>
      </c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  <c r="DH6" s="9" t="s">
        <v>22</v>
      </c>
    </row>
    <row r="7" ht="15.75" customHeight="1">
      <c r="A7" s="8"/>
      <c r="B7" s="39" t="s">
        <v>21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47</v>
      </c>
      <c r="C6" s="45" t="s">
        <v>48</v>
      </c>
      <c r="D6" s="45">
        <f>TODAY()</f>
        <v>45139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54</v>
      </c>
      <c r="B6" s="46" t="s">
        <v>21</v>
      </c>
      <c r="C6" s="8" t="s">
        <v>54</v>
      </c>
      <c r="D6" s="46"/>
      <c r="E6" s="8">
        <v>1100.0</v>
      </c>
      <c r="F6" s="8" t="s">
        <v>55</v>
      </c>
      <c r="G6" s="8" t="s">
        <v>56</v>
      </c>
      <c r="H6" s="8"/>
      <c r="I6" s="8"/>
      <c r="J6" s="8">
        <v>1.0</v>
      </c>
      <c r="K6" s="8">
        <v>1.0</v>
      </c>
      <c r="L6" s="8">
        <v>1.0</v>
      </c>
      <c r="M6" s="8"/>
      <c r="N6" s="8" t="s">
        <v>54</v>
      </c>
      <c r="O6" s="8" t="s">
        <v>57</v>
      </c>
      <c r="V6" t="s">
        <v>58</v>
      </c>
      <c r="W6">
        <v>1.0</v>
      </c>
      <c r="X6" t="s">
        <v>54</v>
      </c>
      <c r="Y6" t="s">
        <v>54</v>
      </c>
      <c r="Z6" t="s">
        <v>59</v>
      </c>
      <c r="AB6">
        <v>1.0</v>
      </c>
      <c r="AD6" t="s">
        <v>60</v>
      </c>
      <c r="AE6">
        <v>1100.0</v>
      </c>
      <c r="AF6" t="s">
        <v>54</v>
      </c>
      <c r="AH6" t="s">
        <v>61</v>
      </c>
      <c r="AI6">
        <v>1.0</v>
      </c>
      <c r="AT6">
        <v>1114.0006</v>
      </c>
      <c r="AU6">
        <v>1114.0006</v>
      </c>
      <c r="AY6" t="s">
        <v>62</v>
      </c>
      <c r="BE6">
        <v>1100.0</v>
      </c>
      <c r="BF6">
        <v>1100.0</v>
      </c>
      <c r="BJ6">
        <v>1100.0</v>
      </c>
      <c r="BL6" t="s">
        <v>54</v>
      </c>
      <c r="BM6" t="s">
        <v>59</v>
      </c>
      <c r="BO6" t="s">
        <v>20</v>
      </c>
      <c r="BT6" t="s">
        <v>19</v>
      </c>
      <c r="CF6" t="s">
        <v>63</v>
      </c>
      <c r="CH6" t="s">
        <v>17</v>
      </c>
      <c r="CI6" t="s">
        <v>20</v>
      </c>
      <c r="CK6" t="s">
        <v>64</v>
      </c>
      <c r="CL6">
        <v>1.0</v>
      </c>
      <c r="CM6" t="s">
        <v>19</v>
      </c>
      <c r="CN6" t="s">
        <v>65</v>
      </c>
      <c r="CV6" t="s">
        <v>54</v>
      </c>
      <c r="CW6" t="s">
        <v>54</v>
      </c>
      <c r="CX6" t="s">
        <v>54</v>
      </c>
      <c r="CY6" t="s">
        <v>54</v>
      </c>
      <c r="CZ6" t="s">
        <v>54</v>
      </c>
      <c r="DA6" t="s">
        <v>54</v>
      </c>
      <c r="DB6" t="s">
        <v>54</v>
      </c>
      <c r="DC6" t="s">
        <v>54</v>
      </c>
      <c r="DD6" t="s">
        <v>54</v>
      </c>
      <c r="DE6" t="s">
        <v>54</v>
      </c>
      <c r="DF6" t="s">
        <v>54</v>
      </c>
      <c r="DG6" t="s">
        <v>54</v>
      </c>
      <c r="DH6" t="s">
        <v>54</v>
      </c>
      <c r="DI6" t="s">
        <v>54</v>
      </c>
      <c r="DJ6" t="s">
        <v>54</v>
      </c>
      <c r="DK6" t="s">
        <v>54</v>
      </c>
      <c r="DL6" t="s">
        <v>54</v>
      </c>
      <c r="DM6" t="s">
        <v>54</v>
      </c>
      <c r="DN6" t="s">
        <v>54</v>
      </c>
      <c r="DO6" t="s">
        <v>54</v>
      </c>
      <c r="DP6" t="s">
        <v>54</v>
      </c>
      <c r="DQ6" t="s">
        <v>54</v>
      </c>
      <c r="DR6" t="s">
        <v>54</v>
      </c>
      <c r="DS6" t="s">
        <v>54</v>
      </c>
      <c r="DT6" t="s">
        <v>54</v>
      </c>
      <c r="DU6" t="s">
        <v>54</v>
      </c>
      <c r="DV6" t="s">
        <v>54</v>
      </c>
      <c r="DW6" t="s">
        <v>54</v>
      </c>
      <c r="DX6" t="s">
        <v>54</v>
      </c>
      <c r="DY6" t="s">
        <v>54</v>
      </c>
      <c r="DZ6" t="s">
        <v>54</v>
      </c>
      <c r="EA6" t="s">
        <v>54</v>
      </c>
      <c r="EB6" t="s">
        <v>54</v>
      </c>
      <c r="EC6" t="s">
        <v>54</v>
      </c>
      <c r="ED6" t="s">
        <v>54</v>
      </c>
      <c r="EE6" t="s">
        <v>54</v>
      </c>
      <c r="EF6" t="s">
        <v>54</v>
      </c>
      <c r="EG6" t="s">
        <v>54</v>
      </c>
      <c r="EH6" t="s">
        <v>54</v>
      </c>
      <c r="EI6" t="s">
        <v>54</v>
      </c>
      <c r="EJ6" t="s">
        <v>54</v>
      </c>
      <c r="EK6" t="s">
        <v>54</v>
      </c>
      <c r="EL6" t="s">
        <v>54</v>
      </c>
      <c r="EM6" t="s">
        <v>54</v>
      </c>
      <c r="EN6" t="s">
        <v>54</v>
      </c>
      <c r="EO6" t="s">
        <v>54</v>
      </c>
      <c r="EP6" t="s">
        <v>54</v>
      </c>
      <c r="EQ6" t="s">
        <v>54</v>
      </c>
      <c r="ER6" t="s">
        <v>54</v>
      </c>
      <c r="ES6" t="s">
        <v>54</v>
      </c>
      <c r="ET6" t="s">
        <v>54</v>
      </c>
      <c r="EU6" t="s">
        <v>54</v>
      </c>
      <c r="EV6" t="s">
        <v>54</v>
      </c>
      <c r="EW6" t="s">
        <v>54</v>
      </c>
      <c r="EX6" t="s">
        <v>54</v>
      </c>
      <c r="FA6" t="s">
        <v>54</v>
      </c>
      <c r="FB6" t="s">
        <v>54</v>
      </c>
      <c r="FC6" t="s">
        <v>54</v>
      </c>
      <c r="FD6">
        <v>0.0</v>
      </c>
      <c r="FE6" t="s">
        <v>54</v>
      </c>
      <c r="FF6" t="s">
        <v>54</v>
      </c>
      <c r="FG6">
        <v>0.0</v>
      </c>
      <c r="FH6" t="s">
        <v>54</v>
      </c>
      <c r="FI6" t="s">
        <v>54</v>
      </c>
      <c r="FK6" t="s">
        <v>54</v>
      </c>
      <c r="FL6" t="s">
        <v>54</v>
      </c>
      <c r="FM6" t="s">
        <v>54</v>
      </c>
      <c r="FN6" t="s">
        <v>54</v>
      </c>
      <c r="FO6" t="s">
        <v>54</v>
      </c>
      <c r="FP6" t="s">
        <v>54</v>
      </c>
      <c r="FQ6" t="s">
        <v>54</v>
      </c>
    </row>
    <row r="7" ht="15.75" customHeight="1">
      <c r="A7" s="8" t="s">
        <v>54</v>
      </c>
      <c r="B7" s="8" t="s">
        <v>21</v>
      </c>
      <c r="C7" s="8" t="s">
        <v>54</v>
      </c>
      <c r="D7" s="8"/>
      <c r="E7" s="8">
        <v>10.0</v>
      </c>
      <c r="F7" s="8" t="s">
        <v>55</v>
      </c>
      <c r="G7" s="8" t="s">
        <v>66</v>
      </c>
      <c r="H7" s="8"/>
      <c r="I7" s="8"/>
      <c r="J7" s="8">
        <v>12.0</v>
      </c>
      <c r="K7" s="8">
        <v>0.0</v>
      </c>
      <c r="L7" s="8">
        <v>0.0</v>
      </c>
      <c r="M7" s="8"/>
      <c r="N7" s="8" t="s">
        <v>54</v>
      </c>
      <c r="O7" s="8" t="s">
        <v>57</v>
      </c>
      <c r="V7" t="s">
        <v>22</v>
      </c>
      <c r="W7">
        <v>100.0</v>
      </c>
      <c r="X7" t="s">
        <v>54</v>
      </c>
      <c r="Y7" t="s">
        <v>54</v>
      </c>
      <c r="Z7" t="s">
        <v>59</v>
      </c>
      <c r="AB7">
        <v>1.0</v>
      </c>
      <c r="AD7" t="s">
        <v>67</v>
      </c>
      <c r="AE7">
        <v>10.0</v>
      </c>
      <c r="AF7" t="s">
        <v>54</v>
      </c>
      <c r="AH7" t="s">
        <v>61</v>
      </c>
      <c r="AI7">
        <v>1.0</v>
      </c>
      <c r="AT7">
        <v>10000.0</v>
      </c>
      <c r="AU7">
        <v>10000.0</v>
      </c>
      <c r="AY7" t="s">
        <v>62</v>
      </c>
      <c r="BE7">
        <v>0.0</v>
      </c>
      <c r="BF7">
        <v>0.0</v>
      </c>
      <c r="BI7" t="s">
        <v>68</v>
      </c>
      <c r="BJ7">
        <v>10.0</v>
      </c>
      <c r="BL7" t="s">
        <v>54</v>
      </c>
      <c r="BM7" t="s">
        <v>59</v>
      </c>
      <c r="BO7" t="s">
        <v>69</v>
      </c>
      <c r="BT7" t="s">
        <v>22</v>
      </c>
      <c r="CH7" t="s">
        <v>12</v>
      </c>
      <c r="CI7" t="s">
        <v>70</v>
      </c>
      <c r="CK7" t="s">
        <v>64</v>
      </c>
      <c r="CL7">
        <v>1.0</v>
      </c>
      <c r="CM7" t="s">
        <v>19</v>
      </c>
      <c r="CV7" t="s">
        <v>54</v>
      </c>
      <c r="CW7" t="s">
        <v>54</v>
      </c>
      <c r="CX7" t="s">
        <v>54</v>
      </c>
      <c r="CY7" t="s">
        <v>54</v>
      </c>
      <c r="CZ7" t="s">
        <v>54</v>
      </c>
      <c r="DA7" t="s">
        <v>54</v>
      </c>
      <c r="DB7" t="s">
        <v>54</v>
      </c>
      <c r="DC7" t="s">
        <v>54</v>
      </c>
      <c r="DD7" t="s">
        <v>54</v>
      </c>
      <c r="DE7" t="s">
        <v>54</v>
      </c>
      <c r="DF7" t="s">
        <v>54</v>
      </c>
      <c r="DG7" t="s">
        <v>54</v>
      </c>
      <c r="DH7" t="s">
        <v>54</v>
      </c>
      <c r="DI7" t="s">
        <v>54</v>
      </c>
      <c r="DJ7" t="s">
        <v>54</v>
      </c>
      <c r="DK7" t="s">
        <v>54</v>
      </c>
      <c r="DL7" t="s">
        <v>54</v>
      </c>
      <c r="DM7" t="s">
        <v>54</v>
      </c>
      <c r="DN7" t="s">
        <v>54</v>
      </c>
      <c r="DO7" t="s">
        <v>54</v>
      </c>
      <c r="DP7" t="s">
        <v>54</v>
      </c>
      <c r="DQ7" t="s">
        <v>54</v>
      </c>
      <c r="DR7" t="s">
        <v>54</v>
      </c>
      <c r="DS7" t="s">
        <v>54</v>
      </c>
      <c r="DT7" t="s">
        <v>54</v>
      </c>
      <c r="DU7" t="s">
        <v>54</v>
      </c>
      <c r="DV7" t="s">
        <v>54</v>
      </c>
      <c r="DW7" t="s">
        <v>54</v>
      </c>
      <c r="DX7" t="s">
        <v>54</v>
      </c>
      <c r="DY7" t="s">
        <v>54</v>
      </c>
      <c r="DZ7" t="s">
        <v>54</v>
      </c>
      <c r="EA7" t="s">
        <v>54</v>
      </c>
      <c r="EB7" t="s">
        <v>54</v>
      </c>
      <c r="EC7" t="s">
        <v>54</v>
      </c>
      <c r="ED7" t="s">
        <v>54</v>
      </c>
      <c r="EE7" t="s">
        <v>54</v>
      </c>
      <c r="EF7" t="s">
        <v>54</v>
      </c>
      <c r="EG7" t="s">
        <v>54</v>
      </c>
      <c r="EH7" t="s">
        <v>54</v>
      </c>
      <c r="EI7" t="s">
        <v>54</v>
      </c>
      <c r="EJ7" t="s">
        <v>54</v>
      </c>
      <c r="EK7" t="s">
        <v>54</v>
      </c>
      <c r="EL7" t="s">
        <v>54</v>
      </c>
      <c r="EM7" t="s">
        <v>54</v>
      </c>
      <c r="EN7" t="s">
        <v>54</v>
      </c>
      <c r="EO7" t="s">
        <v>54</v>
      </c>
      <c r="EP7" t="s">
        <v>54</v>
      </c>
      <c r="EQ7" t="s">
        <v>54</v>
      </c>
      <c r="ER7" t="s">
        <v>54</v>
      </c>
      <c r="ES7" t="s">
        <v>54</v>
      </c>
      <c r="ET7" t="s">
        <v>54</v>
      </c>
      <c r="EU7" t="s">
        <v>54</v>
      </c>
      <c r="EV7" t="s">
        <v>54</v>
      </c>
      <c r="EW7" t="s">
        <v>54</v>
      </c>
      <c r="EX7" t="s">
        <v>54</v>
      </c>
      <c r="FA7" t="s">
        <v>54</v>
      </c>
      <c r="FB7" t="s">
        <v>54</v>
      </c>
      <c r="FC7" t="s">
        <v>54</v>
      </c>
      <c r="FD7">
        <v>0.0</v>
      </c>
      <c r="FE7" t="s">
        <v>54</v>
      </c>
      <c r="FF7" t="s">
        <v>54</v>
      </c>
      <c r="FG7">
        <v>0.0</v>
      </c>
      <c r="FH7" t="s">
        <v>54</v>
      </c>
      <c r="FI7" t="s">
        <v>54</v>
      </c>
      <c r="FK7" t="s">
        <v>54</v>
      </c>
      <c r="FL7" t="s">
        <v>54</v>
      </c>
      <c r="FM7" t="s">
        <v>54</v>
      </c>
      <c r="FN7" t="s">
        <v>54</v>
      </c>
      <c r="FO7" t="s">
        <v>54</v>
      </c>
      <c r="FP7" t="s">
        <v>54</v>
      </c>
      <c r="FQ7" t="s">
        <v>54</v>
      </c>
    </row>
    <row r="8" ht="15.75" customHeight="1">
      <c r="A8" s="8" t="s">
        <v>54</v>
      </c>
      <c r="B8" s="8" t="s">
        <v>21</v>
      </c>
      <c r="C8" s="8" t="s">
        <v>54</v>
      </c>
      <c r="D8" s="8"/>
      <c r="E8" s="8">
        <v>10.0</v>
      </c>
      <c r="F8" s="8" t="s">
        <v>55</v>
      </c>
      <c r="G8" s="8" t="s">
        <v>66</v>
      </c>
      <c r="H8" s="8"/>
      <c r="I8" s="8"/>
      <c r="J8" s="8">
        <v>12.0</v>
      </c>
      <c r="K8" s="8">
        <v>10.0</v>
      </c>
      <c r="L8" s="8">
        <v>10.0</v>
      </c>
      <c r="M8" s="8"/>
      <c r="N8" s="8" t="s">
        <v>54</v>
      </c>
      <c r="O8" s="8" t="s">
        <v>57</v>
      </c>
      <c r="V8" t="s">
        <v>24</v>
      </c>
      <c r="W8">
        <v>100.0</v>
      </c>
      <c r="X8" t="s">
        <v>54</v>
      </c>
      <c r="Y8" t="s">
        <v>54</v>
      </c>
      <c r="Z8" t="s">
        <v>59</v>
      </c>
      <c r="AB8">
        <v>1.0</v>
      </c>
      <c r="AD8" t="s">
        <v>67</v>
      </c>
      <c r="AE8">
        <v>10.0</v>
      </c>
      <c r="AF8" t="s">
        <v>54</v>
      </c>
      <c r="AH8" t="s">
        <v>61</v>
      </c>
      <c r="AI8">
        <v>1.0</v>
      </c>
      <c r="AT8">
        <v>10000.0</v>
      </c>
      <c r="AU8">
        <v>10000.0</v>
      </c>
      <c r="AY8" t="s">
        <v>62</v>
      </c>
      <c r="BE8">
        <v>10000.0</v>
      </c>
      <c r="BF8">
        <v>10000.0</v>
      </c>
      <c r="BI8" t="s">
        <v>71</v>
      </c>
      <c r="BJ8">
        <v>10.0</v>
      </c>
      <c r="BL8" t="s">
        <v>54</v>
      </c>
      <c r="BM8" t="s">
        <v>59</v>
      </c>
      <c r="BO8" t="s">
        <v>25</v>
      </c>
      <c r="BT8" t="s">
        <v>24</v>
      </c>
      <c r="CF8" t="s">
        <v>63</v>
      </c>
      <c r="CH8" t="s">
        <v>17</v>
      </c>
      <c r="CI8" t="s">
        <v>72</v>
      </c>
      <c r="CK8" t="s">
        <v>64</v>
      </c>
      <c r="CL8">
        <v>1.0</v>
      </c>
      <c r="CM8" t="s">
        <v>19</v>
      </c>
      <c r="CN8" t="s">
        <v>65</v>
      </c>
      <c r="CV8" t="s">
        <v>54</v>
      </c>
      <c r="CW8" t="s">
        <v>54</v>
      </c>
      <c r="CX8" t="s">
        <v>54</v>
      </c>
      <c r="CY8" t="s">
        <v>54</v>
      </c>
      <c r="CZ8" t="s">
        <v>54</v>
      </c>
      <c r="DA8" t="s">
        <v>54</v>
      </c>
      <c r="DB8" t="s">
        <v>54</v>
      </c>
      <c r="DC8" t="s">
        <v>54</v>
      </c>
      <c r="DD8" t="s">
        <v>54</v>
      </c>
      <c r="DE8" t="s">
        <v>54</v>
      </c>
      <c r="DF8" t="s">
        <v>54</v>
      </c>
      <c r="DG8" t="s">
        <v>54</v>
      </c>
      <c r="DH8" t="s">
        <v>54</v>
      </c>
      <c r="DI8" t="s">
        <v>54</v>
      </c>
      <c r="DJ8" t="s">
        <v>54</v>
      </c>
      <c r="DK8" t="s">
        <v>54</v>
      </c>
      <c r="DL8" t="s">
        <v>54</v>
      </c>
      <c r="DM8" t="s">
        <v>54</v>
      </c>
      <c r="DN8" t="s">
        <v>54</v>
      </c>
      <c r="DO8" t="s">
        <v>54</v>
      </c>
      <c r="DP8" t="s">
        <v>54</v>
      </c>
      <c r="DQ8" t="s">
        <v>54</v>
      </c>
      <c r="DR8" t="s">
        <v>54</v>
      </c>
      <c r="DS8" t="s">
        <v>54</v>
      </c>
      <c r="DT8" t="s">
        <v>54</v>
      </c>
      <c r="DU8" t="s">
        <v>54</v>
      </c>
      <c r="DV8" t="s">
        <v>54</v>
      </c>
      <c r="DW8" t="s">
        <v>54</v>
      </c>
      <c r="DX8" t="s">
        <v>54</v>
      </c>
      <c r="DY8" t="s">
        <v>54</v>
      </c>
      <c r="DZ8" t="s">
        <v>54</v>
      </c>
      <c r="EA8" t="s">
        <v>54</v>
      </c>
      <c r="EB8" t="s">
        <v>54</v>
      </c>
      <c r="EC8" t="s">
        <v>54</v>
      </c>
      <c r="ED8" t="s">
        <v>54</v>
      </c>
      <c r="EE8" t="s">
        <v>54</v>
      </c>
      <c r="EF8" t="s">
        <v>54</v>
      </c>
      <c r="EG8" t="s">
        <v>54</v>
      </c>
      <c r="EH8" t="s">
        <v>54</v>
      </c>
      <c r="EI8" t="s">
        <v>54</v>
      </c>
      <c r="EJ8" t="s">
        <v>54</v>
      </c>
      <c r="EK8" t="s">
        <v>54</v>
      </c>
      <c r="EL8" t="s">
        <v>54</v>
      </c>
      <c r="EM8" t="s">
        <v>54</v>
      </c>
      <c r="EN8" t="s">
        <v>54</v>
      </c>
      <c r="EO8" t="s">
        <v>54</v>
      </c>
      <c r="EP8" t="s">
        <v>54</v>
      </c>
      <c r="EQ8" t="s">
        <v>54</v>
      </c>
      <c r="ER8" t="s">
        <v>54</v>
      </c>
      <c r="ES8" t="s">
        <v>54</v>
      </c>
      <c r="ET8" t="s">
        <v>54</v>
      </c>
      <c r="EU8" t="s">
        <v>54</v>
      </c>
      <c r="EV8" t="s">
        <v>54</v>
      </c>
      <c r="EW8" t="s">
        <v>54</v>
      </c>
      <c r="EX8" t="s">
        <v>54</v>
      </c>
      <c r="FA8" t="s">
        <v>54</v>
      </c>
      <c r="FB8" t="s">
        <v>54</v>
      </c>
      <c r="FC8" t="s">
        <v>54</v>
      </c>
      <c r="FD8">
        <v>0.0</v>
      </c>
      <c r="FE8" t="s">
        <v>54</v>
      </c>
      <c r="FF8" t="s">
        <v>54</v>
      </c>
      <c r="FG8">
        <v>0.0</v>
      </c>
      <c r="FH8" t="s">
        <v>54</v>
      </c>
      <c r="FI8" t="s">
        <v>54</v>
      </c>
      <c r="FK8" t="s">
        <v>54</v>
      </c>
      <c r="FL8" t="s">
        <v>54</v>
      </c>
      <c r="FM8" t="s">
        <v>54</v>
      </c>
      <c r="FN8" t="s">
        <v>54</v>
      </c>
      <c r="FO8" t="s">
        <v>54</v>
      </c>
      <c r="FP8" t="s">
        <v>54</v>
      </c>
      <c r="FQ8" t="s">
        <v>54</v>
      </c>
    </row>
    <row r="9" ht="15.75" customHeight="1">
      <c r="A9" s="8" t="s">
        <v>54</v>
      </c>
      <c r="B9" s="8" t="s">
        <v>21</v>
      </c>
      <c r="C9" s="8" t="s">
        <v>54</v>
      </c>
      <c r="D9" s="8"/>
      <c r="E9" s="8">
        <v>10.0</v>
      </c>
      <c r="F9" s="8" t="s">
        <v>55</v>
      </c>
      <c r="G9" s="8" t="s">
        <v>66</v>
      </c>
      <c r="H9" s="8"/>
      <c r="I9" s="8"/>
      <c r="J9" s="8">
        <v>12.0</v>
      </c>
      <c r="K9" s="8">
        <v>10.0</v>
      </c>
      <c r="L9" s="8">
        <v>10.0</v>
      </c>
      <c r="M9" s="8"/>
      <c r="N9" s="8" t="s">
        <v>54</v>
      </c>
      <c r="O9" s="8" t="s">
        <v>57</v>
      </c>
      <c r="V9" t="s">
        <v>22</v>
      </c>
      <c r="W9">
        <v>100.0</v>
      </c>
      <c r="X9" t="s">
        <v>54</v>
      </c>
      <c r="Y9" t="s">
        <v>54</v>
      </c>
      <c r="Z9" t="s">
        <v>59</v>
      </c>
      <c r="AB9">
        <v>1.0</v>
      </c>
      <c r="AD9" t="s">
        <v>67</v>
      </c>
      <c r="AE9">
        <v>10.0</v>
      </c>
      <c r="AF9" t="s">
        <v>54</v>
      </c>
      <c r="AH9" t="s">
        <v>61</v>
      </c>
      <c r="AI9">
        <v>1.0</v>
      </c>
      <c r="AT9">
        <v>10000.0</v>
      </c>
      <c r="AU9">
        <v>10000.0</v>
      </c>
      <c r="AY9" t="s">
        <v>62</v>
      </c>
      <c r="BE9">
        <v>10000.0</v>
      </c>
      <c r="BF9">
        <v>10000.0</v>
      </c>
      <c r="BI9" t="s">
        <v>68</v>
      </c>
      <c r="BJ9">
        <v>10.0</v>
      </c>
      <c r="BL9" t="s">
        <v>54</v>
      </c>
      <c r="BM9" t="s">
        <v>59</v>
      </c>
      <c r="BO9" t="s">
        <v>23</v>
      </c>
      <c r="BT9" t="s">
        <v>22</v>
      </c>
      <c r="CF9" t="s">
        <v>63</v>
      </c>
      <c r="CH9" t="s">
        <v>17</v>
      </c>
      <c r="CI9" t="s">
        <v>73</v>
      </c>
      <c r="CK9" t="s">
        <v>64</v>
      </c>
      <c r="CL9">
        <v>1.0</v>
      </c>
      <c r="CM9" t="s">
        <v>19</v>
      </c>
      <c r="CN9" t="s">
        <v>65</v>
      </c>
      <c r="CV9" t="s">
        <v>54</v>
      </c>
      <c r="CW9" t="s">
        <v>54</v>
      </c>
      <c r="CX9" t="s">
        <v>54</v>
      </c>
      <c r="CY9" t="s">
        <v>54</v>
      </c>
      <c r="CZ9" t="s">
        <v>54</v>
      </c>
      <c r="DA9" t="s">
        <v>54</v>
      </c>
      <c r="DB9" t="s">
        <v>54</v>
      </c>
      <c r="DC9" t="s">
        <v>54</v>
      </c>
      <c r="DD9" t="s">
        <v>54</v>
      </c>
      <c r="DE9" t="s">
        <v>54</v>
      </c>
      <c r="DF9" t="s">
        <v>54</v>
      </c>
      <c r="DG9" t="s">
        <v>54</v>
      </c>
      <c r="DH9" t="s">
        <v>54</v>
      </c>
      <c r="DI9" t="s">
        <v>54</v>
      </c>
      <c r="DJ9" t="s">
        <v>54</v>
      </c>
      <c r="DK9" t="s">
        <v>54</v>
      </c>
      <c r="DL9" t="s">
        <v>54</v>
      </c>
      <c r="DM9" t="s">
        <v>54</v>
      </c>
      <c r="DN9" t="s">
        <v>54</v>
      </c>
      <c r="DO9" t="s">
        <v>54</v>
      </c>
      <c r="DP9" t="s">
        <v>54</v>
      </c>
      <c r="DQ9" t="s">
        <v>54</v>
      </c>
      <c r="DR9" t="s">
        <v>54</v>
      </c>
      <c r="DS9" t="s">
        <v>54</v>
      </c>
      <c r="DT9" t="s">
        <v>54</v>
      </c>
      <c r="DU9" t="s">
        <v>54</v>
      </c>
      <c r="DV9" t="s">
        <v>54</v>
      </c>
      <c r="DW9" t="s">
        <v>54</v>
      </c>
      <c r="DX9" t="s">
        <v>54</v>
      </c>
      <c r="DY9" t="s">
        <v>54</v>
      </c>
      <c r="DZ9" t="s">
        <v>54</v>
      </c>
      <c r="EA9" t="s">
        <v>54</v>
      </c>
      <c r="EB9" t="s">
        <v>54</v>
      </c>
      <c r="EC9" t="s">
        <v>54</v>
      </c>
      <c r="ED9" t="s">
        <v>54</v>
      </c>
      <c r="EE9" t="s">
        <v>54</v>
      </c>
      <c r="EF9" t="s">
        <v>54</v>
      </c>
      <c r="EG9" t="s">
        <v>54</v>
      </c>
      <c r="EH9" t="s">
        <v>54</v>
      </c>
      <c r="EI9" t="s">
        <v>54</v>
      </c>
      <c r="EJ9" t="s">
        <v>54</v>
      </c>
      <c r="EK9" t="s">
        <v>54</v>
      </c>
      <c r="EL9" t="s">
        <v>54</v>
      </c>
      <c r="EM9" t="s">
        <v>54</v>
      </c>
      <c r="EN9" t="s">
        <v>54</v>
      </c>
      <c r="EO9" t="s">
        <v>54</v>
      </c>
      <c r="EP9" t="s">
        <v>54</v>
      </c>
      <c r="EQ9" t="s">
        <v>54</v>
      </c>
      <c r="ER9" t="s">
        <v>54</v>
      </c>
      <c r="ES9" t="s">
        <v>54</v>
      </c>
      <c r="ET9" t="s">
        <v>54</v>
      </c>
      <c r="EU9" t="s">
        <v>54</v>
      </c>
      <c r="EV9" t="s">
        <v>54</v>
      </c>
      <c r="EW9" t="s">
        <v>54</v>
      </c>
      <c r="EX9" t="s">
        <v>54</v>
      </c>
      <c r="FA9" t="s">
        <v>54</v>
      </c>
      <c r="FB9" t="s">
        <v>54</v>
      </c>
      <c r="FC9" t="s">
        <v>54</v>
      </c>
      <c r="FD9">
        <v>-50000.0</v>
      </c>
      <c r="FE9" t="s">
        <v>54</v>
      </c>
      <c r="FF9" t="s">
        <v>54</v>
      </c>
      <c r="FG9">
        <v>30.0</v>
      </c>
      <c r="FH9" t="s">
        <v>54</v>
      </c>
      <c r="FI9" t="s">
        <v>54</v>
      </c>
      <c r="FK9" t="s">
        <v>54</v>
      </c>
      <c r="FL9" t="s">
        <v>54</v>
      </c>
      <c r="FM9" t="s">
        <v>54</v>
      </c>
      <c r="FN9" t="s">
        <v>54</v>
      </c>
      <c r="FO9" t="s">
        <v>54</v>
      </c>
      <c r="FP9" t="s">
        <v>54</v>
      </c>
      <c r="FQ9" t="s">
        <v>54</v>
      </c>
    </row>
    <row r="10" ht="15.75" customHeight="1">
      <c r="A10" s="8" t="s">
        <v>54</v>
      </c>
      <c r="B10" s="8" t="s">
        <v>21</v>
      </c>
      <c r="C10" s="8" t="s">
        <v>54</v>
      </c>
      <c r="D10" s="8"/>
      <c r="E10" s="8">
        <v>1000.0</v>
      </c>
      <c r="F10" s="8" t="s">
        <v>55</v>
      </c>
      <c r="G10" s="8" t="s">
        <v>56</v>
      </c>
      <c r="H10" s="8"/>
      <c r="I10" s="8"/>
      <c r="J10" s="8">
        <v>1.0</v>
      </c>
      <c r="K10" s="8">
        <v>90.0</v>
      </c>
      <c r="L10" s="8">
        <v>90.0</v>
      </c>
      <c r="M10" s="8"/>
      <c r="N10" s="8" t="s">
        <v>54</v>
      </c>
      <c r="O10" s="8" t="s">
        <v>57</v>
      </c>
      <c r="V10" t="s">
        <v>58</v>
      </c>
      <c r="W10">
        <v>1.0</v>
      </c>
      <c r="X10" t="s">
        <v>54</v>
      </c>
      <c r="Y10" t="s">
        <v>54</v>
      </c>
      <c r="Z10" t="s">
        <v>59</v>
      </c>
      <c r="AB10">
        <v>1.0</v>
      </c>
      <c r="AD10" t="s">
        <v>60</v>
      </c>
      <c r="AE10">
        <v>1000.0</v>
      </c>
      <c r="AF10" t="s">
        <v>54</v>
      </c>
      <c r="AH10" t="s">
        <v>74</v>
      </c>
      <c r="AI10">
        <v>1.0</v>
      </c>
      <c r="AT10">
        <v>100000.0</v>
      </c>
      <c r="AU10">
        <v>100000.0</v>
      </c>
      <c r="BE10">
        <v>90000.0</v>
      </c>
      <c r="BF10">
        <v>90000.0</v>
      </c>
      <c r="BJ10">
        <v>1000.0</v>
      </c>
      <c r="BL10" t="s">
        <v>54</v>
      </c>
      <c r="BM10" t="s">
        <v>59</v>
      </c>
      <c r="BO10" t="s">
        <v>75</v>
      </c>
      <c r="BT10" t="s">
        <v>19</v>
      </c>
      <c r="CF10" t="s">
        <v>63</v>
      </c>
      <c r="CH10" t="s">
        <v>12</v>
      </c>
      <c r="CI10" t="s">
        <v>70</v>
      </c>
      <c r="CK10" t="s">
        <v>64</v>
      </c>
      <c r="CL10">
        <v>1.0</v>
      </c>
      <c r="CM10" t="s">
        <v>19</v>
      </c>
      <c r="CN10" t="s">
        <v>65</v>
      </c>
      <c r="CV10" t="s">
        <v>54</v>
      </c>
      <c r="CW10" t="s">
        <v>54</v>
      </c>
      <c r="CX10" t="s">
        <v>54</v>
      </c>
      <c r="CY10" t="s">
        <v>54</v>
      </c>
      <c r="CZ10" t="s">
        <v>54</v>
      </c>
      <c r="DA10" t="s">
        <v>54</v>
      </c>
      <c r="DB10" t="s">
        <v>54</v>
      </c>
      <c r="DC10" t="s">
        <v>54</v>
      </c>
      <c r="DD10" t="s">
        <v>54</v>
      </c>
      <c r="DE10" t="s">
        <v>54</v>
      </c>
      <c r="DF10" t="s">
        <v>54</v>
      </c>
      <c r="DG10" t="s">
        <v>54</v>
      </c>
      <c r="DH10" t="s">
        <v>54</v>
      </c>
      <c r="DI10" t="s">
        <v>54</v>
      </c>
      <c r="DJ10" t="s">
        <v>54</v>
      </c>
      <c r="DK10" t="s">
        <v>54</v>
      </c>
      <c r="DL10" t="s">
        <v>54</v>
      </c>
      <c r="DM10" t="s">
        <v>54</v>
      </c>
      <c r="DN10" t="s">
        <v>54</v>
      </c>
      <c r="DO10" t="s">
        <v>54</v>
      </c>
      <c r="DP10" t="s">
        <v>54</v>
      </c>
      <c r="DQ10" t="s">
        <v>54</v>
      </c>
      <c r="DR10" t="s">
        <v>54</v>
      </c>
      <c r="DS10" t="s">
        <v>54</v>
      </c>
      <c r="DT10" t="s">
        <v>54</v>
      </c>
      <c r="DU10" t="s">
        <v>54</v>
      </c>
      <c r="DV10" t="s">
        <v>54</v>
      </c>
      <c r="DW10" t="s">
        <v>54</v>
      </c>
      <c r="DX10" t="s">
        <v>54</v>
      </c>
      <c r="DY10" t="s">
        <v>54</v>
      </c>
      <c r="DZ10" t="s">
        <v>54</v>
      </c>
      <c r="EA10" t="s">
        <v>54</v>
      </c>
      <c r="EB10" t="s">
        <v>54</v>
      </c>
      <c r="EC10" t="s">
        <v>54</v>
      </c>
      <c r="ED10" t="s">
        <v>54</v>
      </c>
      <c r="EE10" t="s">
        <v>54</v>
      </c>
      <c r="EF10" t="s">
        <v>54</v>
      </c>
      <c r="EG10" t="s">
        <v>54</v>
      </c>
      <c r="EH10" t="s">
        <v>54</v>
      </c>
      <c r="EI10" t="s">
        <v>54</v>
      </c>
      <c r="EJ10" t="s">
        <v>54</v>
      </c>
      <c r="EK10" t="s">
        <v>54</v>
      </c>
      <c r="EL10" t="s">
        <v>54</v>
      </c>
      <c r="EM10" t="s">
        <v>54</v>
      </c>
      <c r="EN10" t="s">
        <v>54</v>
      </c>
      <c r="EO10" t="s">
        <v>54</v>
      </c>
      <c r="EP10" t="s">
        <v>54</v>
      </c>
      <c r="EQ10" t="s">
        <v>54</v>
      </c>
      <c r="ER10" t="s">
        <v>54</v>
      </c>
      <c r="ES10" t="s">
        <v>54</v>
      </c>
      <c r="ET10" t="s">
        <v>54</v>
      </c>
      <c r="EU10" t="s">
        <v>54</v>
      </c>
      <c r="EV10" t="s">
        <v>54</v>
      </c>
      <c r="EW10" t="s">
        <v>54</v>
      </c>
      <c r="EX10" t="s">
        <v>54</v>
      </c>
      <c r="FA10" t="s">
        <v>54</v>
      </c>
      <c r="FB10" t="s">
        <v>54</v>
      </c>
      <c r="FC10" t="s">
        <v>54</v>
      </c>
      <c r="FD10">
        <v>60000.0</v>
      </c>
      <c r="FE10" t="s">
        <v>54</v>
      </c>
      <c r="FF10" t="s">
        <v>54</v>
      </c>
      <c r="FG10">
        <v>30.0</v>
      </c>
      <c r="FH10" t="s">
        <v>54</v>
      </c>
      <c r="FI10" t="s">
        <v>54</v>
      </c>
      <c r="FK10" t="s">
        <v>54</v>
      </c>
      <c r="FL10" t="s">
        <v>54</v>
      </c>
      <c r="FM10" t="s">
        <v>54</v>
      </c>
      <c r="FN10" t="s">
        <v>54</v>
      </c>
      <c r="FO10" t="s">
        <v>54</v>
      </c>
      <c r="FP10" t="s">
        <v>54</v>
      </c>
      <c r="FQ10" t="s">
        <v>54</v>
      </c>
    </row>
    <row r="11" ht="15.75" customHeight="1">
      <c r="A11" s="8" t="s">
        <v>54</v>
      </c>
      <c r="B11" s="8" t="s">
        <v>21</v>
      </c>
      <c r="C11" s="8" t="s">
        <v>54</v>
      </c>
      <c r="D11" s="8"/>
      <c r="E11" s="8">
        <v>10.0</v>
      </c>
      <c r="F11" s="8" t="s">
        <v>55</v>
      </c>
      <c r="G11" s="8" t="s">
        <v>66</v>
      </c>
      <c r="H11" s="8"/>
      <c r="I11" s="8"/>
      <c r="J11" s="8">
        <v>12.0</v>
      </c>
      <c r="K11" s="8">
        <v>0.0</v>
      </c>
      <c r="L11" s="8">
        <v>0.0</v>
      </c>
      <c r="M11" s="8"/>
      <c r="N11" s="8" t="s">
        <v>54</v>
      </c>
      <c r="O11" s="8" t="s">
        <v>57</v>
      </c>
      <c r="V11" t="s">
        <v>24</v>
      </c>
      <c r="W11">
        <v>100.0</v>
      </c>
      <c r="X11" t="s">
        <v>54</v>
      </c>
      <c r="Y11" t="s">
        <v>54</v>
      </c>
      <c r="Z11" t="s">
        <v>59</v>
      </c>
      <c r="AB11">
        <v>1.0</v>
      </c>
      <c r="AD11" t="s">
        <v>67</v>
      </c>
      <c r="AE11">
        <v>10.0</v>
      </c>
      <c r="AF11" t="s">
        <v>54</v>
      </c>
      <c r="AH11" t="s">
        <v>61</v>
      </c>
      <c r="AI11">
        <v>1.0</v>
      </c>
      <c r="AT11">
        <v>10000.0</v>
      </c>
      <c r="AU11">
        <v>10000.0</v>
      </c>
      <c r="AY11" t="s">
        <v>62</v>
      </c>
      <c r="BE11">
        <v>0.0</v>
      </c>
      <c r="BF11">
        <v>0.0</v>
      </c>
      <c r="BI11" t="s">
        <v>71</v>
      </c>
      <c r="BJ11">
        <v>10.0</v>
      </c>
      <c r="BL11" t="s">
        <v>54</v>
      </c>
      <c r="BM11" t="s">
        <v>59</v>
      </c>
      <c r="BO11" t="s">
        <v>76</v>
      </c>
      <c r="BT11" t="s">
        <v>24</v>
      </c>
      <c r="CH11" t="s">
        <v>12</v>
      </c>
      <c r="CI11" t="s">
        <v>77</v>
      </c>
      <c r="CK11" t="s">
        <v>64</v>
      </c>
      <c r="CL11">
        <v>1.0</v>
      </c>
      <c r="CM11" t="s">
        <v>19</v>
      </c>
      <c r="CV11" t="s">
        <v>54</v>
      </c>
      <c r="CW11" t="s">
        <v>54</v>
      </c>
      <c r="CX11" t="s">
        <v>54</v>
      </c>
      <c r="CY11" t="s">
        <v>54</v>
      </c>
      <c r="CZ11" t="s">
        <v>54</v>
      </c>
      <c r="DA11" t="s">
        <v>54</v>
      </c>
      <c r="DB11" t="s">
        <v>54</v>
      </c>
      <c r="DC11" t="s">
        <v>54</v>
      </c>
      <c r="DD11" t="s">
        <v>54</v>
      </c>
      <c r="DE11" t="s">
        <v>54</v>
      </c>
      <c r="DF11" t="s">
        <v>54</v>
      </c>
      <c r="DG11" t="s">
        <v>54</v>
      </c>
      <c r="DH11" t="s">
        <v>54</v>
      </c>
      <c r="DI11" t="s">
        <v>54</v>
      </c>
      <c r="DJ11" t="s">
        <v>54</v>
      </c>
      <c r="DK11" t="s">
        <v>54</v>
      </c>
      <c r="DL11" t="s">
        <v>54</v>
      </c>
      <c r="DM11" t="s">
        <v>54</v>
      </c>
      <c r="DN11" t="s">
        <v>54</v>
      </c>
      <c r="DO11" t="s">
        <v>54</v>
      </c>
      <c r="DP11" t="s">
        <v>54</v>
      </c>
      <c r="DQ11" t="s">
        <v>54</v>
      </c>
      <c r="DR11" t="s">
        <v>54</v>
      </c>
      <c r="DS11" t="s">
        <v>54</v>
      </c>
      <c r="DT11" t="s">
        <v>54</v>
      </c>
      <c r="DU11" t="s">
        <v>54</v>
      </c>
      <c r="DV11" t="s">
        <v>54</v>
      </c>
      <c r="DW11" t="s">
        <v>54</v>
      </c>
      <c r="DX11" t="s">
        <v>54</v>
      </c>
      <c r="DY11" t="s">
        <v>54</v>
      </c>
      <c r="DZ11" t="s">
        <v>54</v>
      </c>
      <c r="EA11" t="s">
        <v>54</v>
      </c>
      <c r="EB11" t="s">
        <v>54</v>
      </c>
      <c r="EC11" t="s">
        <v>54</v>
      </c>
      <c r="ED11" t="s">
        <v>54</v>
      </c>
      <c r="EE11" t="s">
        <v>54</v>
      </c>
      <c r="EF11" t="s">
        <v>54</v>
      </c>
      <c r="EG11" t="s">
        <v>54</v>
      </c>
      <c r="EH11" t="s">
        <v>54</v>
      </c>
      <c r="EI11" t="s">
        <v>54</v>
      </c>
      <c r="EJ11" t="s">
        <v>54</v>
      </c>
      <c r="EK11" t="s">
        <v>54</v>
      </c>
      <c r="EL11" t="s">
        <v>54</v>
      </c>
      <c r="EM11" t="s">
        <v>54</v>
      </c>
      <c r="EN11" t="s">
        <v>54</v>
      </c>
      <c r="EO11" t="s">
        <v>54</v>
      </c>
      <c r="EP11" t="s">
        <v>54</v>
      </c>
      <c r="EQ11" t="s">
        <v>54</v>
      </c>
      <c r="ER11" t="s">
        <v>54</v>
      </c>
      <c r="ES11" t="s">
        <v>54</v>
      </c>
      <c r="ET11" t="s">
        <v>54</v>
      </c>
      <c r="EU11" t="s">
        <v>54</v>
      </c>
      <c r="EV11" t="s">
        <v>54</v>
      </c>
      <c r="EW11" t="s">
        <v>54</v>
      </c>
      <c r="EX11" t="s">
        <v>54</v>
      </c>
      <c r="FA11" t="s">
        <v>54</v>
      </c>
      <c r="FB11" t="s">
        <v>54</v>
      </c>
      <c r="FC11" t="s">
        <v>54</v>
      </c>
      <c r="FD11">
        <v>60000.0</v>
      </c>
      <c r="FE11" t="s">
        <v>54</v>
      </c>
      <c r="FF11" t="s">
        <v>54</v>
      </c>
      <c r="FG11">
        <v>30.0</v>
      </c>
      <c r="FH11" t="s">
        <v>54</v>
      </c>
      <c r="FI11" t="s">
        <v>54</v>
      </c>
      <c r="FK11" t="s">
        <v>54</v>
      </c>
      <c r="FL11" t="s">
        <v>54</v>
      </c>
      <c r="FM11" t="s">
        <v>54</v>
      </c>
      <c r="FN11" t="s">
        <v>54</v>
      </c>
      <c r="FO11" t="s">
        <v>54</v>
      </c>
      <c r="FP11" t="s">
        <v>54</v>
      </c>
      <c r="FQ11" t="s">
        <v>54</v>
      </c>
    </row>
    <row r="12" ht="15.75" customHeight="1">
      <c r="A12" s="8" t="s">
        <v>54</v>
      </c>
      <c r="B12" s="8" t="s">
        <v>21</v>
      </c>
      <c r="C12" s="8" t="s">
        <v>54</v>
      </c>
      <c r="D12" s="8"/>
      <c r="E12" s="8">
        <v>100.0</v>
      </c>
      <c r="F12" s="8" t="s">
        <v>55</v>
      </c>
      <c r="G12" s="8" t="s">
        <v>56</v>
      </c>
      <c r="H12" s="8"/>
      <c r="I12" s="8"/>
      <c r="J12" s="8">
        <v>1.0</v>
      </c>
      <c r="K12" s="8">
        <v>110.0</v>
      </c>
      <c r="L12" s="8">
        <v>110.0</v>
      </c>
      <c r="M12" s="8"/>
      <c r="N12" s="8" t="s">
        <v>54</v>
      </c>
      <c r="O12" s="8" t="s">
        <v>57</v>
      </c>
      <c r="V12" t="s">
        <v>58</v>
      </c>
      <c r="W12">
        <v>1.0</v>
      </c>
      <c r="X12" t="s">
        <v>54</v>
      </c>
      <c r="Y12" t="s">
        <v>54</v>
      </c>
      <c r="Z12" t="s">
        <v>59</v>
      </c>
      <c r="AB12">
        <v>1.0</v>
      </c>
      <c r="AD12" t="s">
        <v>60</v>
      </c>
      <c r="AE12">
        <v>100.0</v>
      </c>
      <c r="AF12" t="s">
        <v>54</v>
      </c>
      <c r="AH12" t="s">
        <v>74</v>
      </c>
      <c r="AI12">
        <v>1.0</v>
      </c>
      <c r="AT12">
        <v>10000.0</v>
      </c>
      <c r="AU12">
        <v>10000.0</v>
      </c>
      <c r="BE12">
        <v>11000.0</v>
      </c>
      <c r="BF12">
        <v>11000.0</v>
      </c>
      <c r="BJ12">
        <v>100.0</v>
      </c>
      <c r="BL12" t="s">
        <v>54</v>
      </c>
      <c r="BM12" t="s">
        <v>59</v>
      </c>
      <c r="BO12" t="s">
        <v>75</v>
      </c>
      <c r="BT12" t="s">
        <v>19</v>
      </c>
      <c r="CF12" t="s">
        <v>63</v>
      </c>
      <c r="CH12" t="s">
        <v>12</v>
      </c>
      <c r="CI12" t="s">
        <v>77</v>
      </c>
      <c r="CK12" t="s">
        <v>64</v>
      </c>
      <c r="CL12">
        <v>1.0</v>
      </c>
      <c r="CM12" t="s">
        <v>19</v>
      </c>
      <c r="CN12" t="s">
        <v>65</v>
      </c>
      <c r="CV12" t="s">
        <v>54</v>
      </c>
      <c r="CW12" t="s">
        <v>54</v>
      </c>
      <c r="CX12" t="s">
        <v>54</v>
      </c>
      <c r="CY12" t="s">
        <v>54</v>
      </c>
      <c r="CZ12" t="s">
        <v>54</v>
      </c>
      <c r="DA12" t="s">
        <v>54</v>
      </c>
      <c r="DB12" t="s">
        <v>54</v>
      </c>
      <c r="DC12" t="s">
        <v>54</v>
      </c>
      <c r="DD12" t="s">
        <v>54</v>
      </c>
      <c r="DE12" t="s">
        <v>54</v>
      </c>
      <c r="DF12" t="s">
        <v>54</v>
      </c>
      <c r="DG12" t="s">
        <v>54</v>
      </c>
      <c r="DH12" t="s">
        <v>54</v>
      </c>
      <c r="DI12" t="s">
        <v>54</v>
      </c>
      <c r="DJ12" t="s">
        <v>54</v>
      </c>
      <c r="DK12" t="s">
        <v>54</v>
      </c>
      <c r="DL12" t="s">
        <v>54</v>
      </c>
      <c r="DM12" t="s">
        <v>54</v>
      </c>
      <c r="DN12" t="s">
        <v>54</v>
      </c>
      <c r="DO12" t="s">
        <v>54</v>
      </c>
      <c r="DP12" t="s">
        <v>54</v>
      </c>
      <c r="DQ12" t="s">
        <v>54</v>
      </c>
      <c r="DR12" t="s">
        <v>54</v>
      </c>
      <c r="DS12" t="s">
        <v>54</v>
      </c>
      <c r="DT12" t="s">
        <v>54</v>
      </c>
      <c r="DU12" t="s">
        <v>54</v>
      </c>
      <c r="DV12" t="s">
        <v>54</v>
      </c>
      <c r="DW12" t="s">
        <v>54</v>
      </c>
      <c r="DX12" t="s">
        <v>54</v>
      </c>
      <c r="DY12" t="s">
        <v>54</v>
      </c>
      <c r="DZ12" t="s">
        <v>54</v>
      </c>
      <c r="EA12" t="s">
        <v>54</v>
      </c>
      <c r="EB12" t="s">
        <v>54</v>
      </c>
      <c r="EC12" t="s">
        <v>54</v>
      </c>
      <c r="ED12" t="s">
        <v>54</v>
      </c>
      <c r="EE12" t="s">
        <v>54</v>
      </c>
      <c r="EF12" t="s">
        <v>54</v>
      </c>
      <c r="EG12" t="s">
        <v>54</v>
      </c>
      <c r="EH12" t="s">
        <v>54</v>
      </c>
      <c r="EI12" t="s">
        <v>54</v>
      </c>
      <c r="EJ12" t="s">
        <v>54</v>
      </c>
      <c r="EK12" t="s">
        <v>54</v>
      </c>
      <c r="EL12" t="s">
        <v>54</v>
      </c>
      <c r="EM12" t="s">
        <v>54</v>
      </c>
      <c r="EN12" t="s">
        <v>54</v>
      </c>
      <c r="EO12" t="s">
        <v>54</v>
      </c>
      <c r="EP12" t="s">
        <v>54</v>
      </c>
      <c r="EQ12" t="s">
        <v>54</v>
      </c>
      <c r="ER12" t="s">
        <v>54</v>
      </c>
      <c r="ES12" t="s">
        <v>54</v>
      </c>
      <c r="ET12" t="s">
        <v>54</v>
      </c>
      <c r="EU12" t="s">
        <v>54</v>
      </c>
      <c r="EV12" t="s">
        <v>54</v>
      </c>
      <c r="EW12" t="s">
        <v>54</v>
      </c>
      <c r="EX12" t="s">
        <v>54</v>
      </c>
      <c r="FA12" t="s">
        <v>54</v>
      </c>
      <c r="FB12" t="s">
        <v>54</v>
      </c>
      <c r="FC12" t="s">
        <v>54</v>
      </c>
      <c r="FD12">
        <v>60000.0</v>
      </c>
      <c r="FE12" t="s">
        <v>54</v>
      </c>
      <c r="FF12" t="s">
        <v>54</v>
      </c>
      <c r="FG12">
        <v>30.0</v>
      </c>
      <c r="FH12" t="s">
        <v>54</v>
      </c>
      <c r="FI12" t="s">
        <v>54</v>
      </c>
      <c r="FK12" t="s">
        <v>54</v>
      </c>
      <c r="FL12" t="s">
        <v>54</v>
      </c>
      <c r="FM12" t="s">
        <v>54</v>
      </c>
      <c r="FN12" t="s">
        <v>54</v>
      </c>
      <c r="FO12" t="s">
        <v>54</v>
      </c>
      <c r="FP12" t="s">
        <v>54</v>
      </c>
      <c r="FQ12" t="s">
        <v>54</v>
      </c>
    </row>
    <row r="13" ht="15.75" customHeight="1">
      <c r="A13" s="8" t="s">
        <v>54</v>
      </c>
      <c r="B13" s="8" t="s">
        <v>21</v>
      </c>
      <c r="C13" s="8" t="s">
        <v>54</v>
      </c>
      <c r="D13" s="8"/>
      <c r="E13" s="8">
        <v>900.0</v>
      </c>
      <c r="F13" s="8" t="s">
        <v>55</v>
      </c>
      <c r="G13" s="8" t="s">
        <v>56</v>
      </c>
      <c r="H13" s="8"/>
      <c r="I13" s="8"/>
      <c r="J13" s="8">
        <v>1.0</v>
      </c>
      <c r="K13" s="8">
        <v>110.0</v>
      </c>
      <c r="L13" s="8">
        <v>110.0</v>
      </c>
      <c r="M13" s="8"/>
      <c r="N13" s="8" t="s">
        <v>54</v>
      </c>
      <c r="O13" s="8" t="s">
        <v>57</v>
      </c>
      <c r="V13" t="s">
        <v>58</v>
      </c>
      <c r="W13">
        <v>1.0</v>
      </c>
      <c r="X13" t="s">
        <v>54</v>
      </c>
      <c r="Y13" t="s">
        <v>54</v>
      </c>
      <c r="Z13" t="s">
        <v>59</v>
      </c>
      <c r="AB13">
        <v>1.0</v>
      </c>
      <c r="AD13" t="s">
        <v>60</v>
      </c>
      <c r="AE13">
        <v>900.0</v>
      </c>
      <c r="AF13" t="s">
        <v>54</v>
      </c>
      <c r="AH13" t="s">
        <v>61</v>
      </c>
      <c r="AI13">
        <v>1.0</v>
      </c>
      <c r="AT13">
        <v>90000.0</v>
      </c>
      <c r="AU13">
        <v>90000.0</v>
      </c>
      <c r="BE13">
        <v>99000.0</v>
      </c>
      <c r="BF13">
        <v>99000.0</v>
      </c>
      <c r="BJ13">
        <v>900.0</v>
      </c>
      <c r="BL13" t="s">
        <v>54</v>
      </c>
      <c r="BM13" t="s">
        <v>59</v>
      </c>
      <c r="BO13" t="s">
        <v>37</v>
      </c>
      <c r="BT13" t="s">
        <v>19</v>
      </c>
      <c r="CF13" t="s">
        <v>63</v>
      </c>
      <c r="CH13" t="s">
        <v>12</v>
      </c>
      <c r="CI13" t="s">
        <v>77</v>
      </c>
      <c r="CK13" t="s">
        <v>64</v>
      </c>
      <c r="CL13">
        <v>1.0</v>
      </c>
      <c r="CM13" t="s">
        <v>19</v>
      </c>
      <c r="CN13" t="s">
        <v>65</v>
      </c>
      <c r="CV13" t="s">
        <v>54</v>
      </c>
      <c r="CW13" t="s">
        <v>54</v>
      </c>
      <c r="CX13" t="s">
        <v>54</v>
      </c>
      <c r="CY13" t="s">
        <v>54</v>
      </c>
      <c r="CZ13" t="s">
        <v>54</v>
      </c>
      <c r="DA13" t="s">
        <v>54</v>
      </c>
      <c r="DB13" t="s">
        <v>54</v>
      </c>
      <c r="DC13" t="s">
        <v>54</v>
      </c>
      <c r="DD13" t="s">
        <v>54</v>
      </c>
      <c r="DE13" t="s">
        <v>54</v>
      </c>
      <c r="DF13" t="s">
        <v>54</v>
      </c>
      <c r="DG13" t="s">
        <v>54</v>
      </c>
      <c r="DH13" t="s">
        <v>54</v>
      </c>
      <c r="DI13" t="s">
        <v>54</v>
      </c>
      <c r="DJ13" t="s">
        <v>54</v>
      </c>
      <c r="DK13" t="s">
        <v>54</v>
      </c>
      <c r="DL13" t="s">
        <v>54</v>
      </c>
      <c r="DM13" t="s">
        <v>54</v>
      </c>
      <c r="DN13" t="s">
        <v>54</v>
      </c>
      <c r="DO13" t="s">
        <v>54</v>
      </c>
      <c r="DP13" t="s">
        <v>54</v>
      </c>
      <c r="DQ13" t="s">
        <v>54</v>
      </c>
      <c r="DR13" t="s">
        <v>54</v>
      </c>
      <c r="DS13" t="s">
        <v>54</v>
      </c>
      <c r="DT13" t="s">
        <v>54</v>
      </c>
      <c r="DU13" t="s">
        <v>54</v>
      </c>
      <c r="DV13" t="s">
        <v>54</v>
      </c>
      <c r="DW13" t="s">
        <v>54</v>
      </c>
      <c r="DX13" t="s">
        <v>54</v>
      </c>
      <c r="DY13" t="s">
        <v>54</v>
      </c>
      <c r="DZ13" t="s">
        <v>54</v>
      </c>
      <c r="EA13" t="s">
        <v>54</v>
      </c>
      <c r="EB13" t="s">
        <v>54</v>
      </c>
      <c r="EC13" t="s">
        <v>54</v>
      </c>
      <c r="ED13" t="s">
        <v>54</v>
      </c>
      <c r="EE13" t="s">
        <v>54</v>
      </c>
      <c r="EF13" t="s">
        <v>54</v>
      </c>
      <c r="EG13" t="s">
        <v>54</v>
      </c>
      <c r="EH13" t="s">
        <v>54</v>
      </c>
      <c r="EI13" t="s">
        <v>54</v>
      </c>
      <c r="EJ13" t="s">
        <v>54</v>
      </c>
      <c r="EK13" t="s">
        <v>54</v>
      </c>
      <c r="EL13" t="s">
        <v>54</v>
      </c>
      <c r="EM13" t="s">
        <v>54</v>
      </c>
      <c r="EN13" t="s">
        <v>54</v>
      </c>
      <c r="EO13" t="s">
        <v>54</v>
      </c>
      <c r="EP13" t="s">
        <v>54</v>
      </c>
      <c r="EQ13" t="s">
        <v>54</v>
      </c>
      <c r="ER13" t="s">
        <v>54</v>
      </c>
      <c r="ES13" t="s">
        <v>54</v>
      </c>
      <c r="ET13" t="s">
        <v>54</v>
      </c>
      <c r="EU13" t="s">
        <v>54</v>
      </c>
      <c r="EV13" t="s">
        <v>54</v>
      </c>
      <c r="EW13" t="s">
        <v>54</v>
      </c>
      <c r="EX13" t="s">
        <v>54</v>
      </c>
      <c r="FA13" t="s">
        <v>54</v>
      </c>
      <c r="FB13" t="s">
        <v>54</v>
      </c>
      <c r="FC13" t="s">
        <v>54</v>
      </c>
      <c r="FD13">
        <v>0.0</v>
      </c>
      <c r="FE13" t="s">
        <v>54</v>
      </c>
      <c r="FF13" t="s">
        <v>54</v>
      </c>
      <c r="FG13">
        <v>3000.0</v>
      </c>
      <c r="FH13" t="s">
        <v>54</v>
      </c>
      <c r="FI13" t="s">
        <v>54</v>
      </c>
      <c r="FK13" t="s">
        <v>54</v>
      </c>
      <c r="FL13" t="s">
        <v>54</v>
      </c>
      <c r="FM13" t="s">
        <v>54</v>
      </c>
      <c r="FN13" t="s">
        <v>54</v>
      </c>
      <c r="FO13" t="s">
        <v>54</v>
      </c>
      <c r="FP13" t="s">
        <v>54</v>
      </c>
      <c r="FQ13" t="s">
        <v>54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78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>
        <v>1114.0006</v>
      </c>
      <c r="C6" s="47">
        <v>1114.0006</v>
      </c>
      <c r="D6" s="47">
        <v>1100.0</v>
      </c>
      <c r="E6" s="47">
        <v>1100.0</v>
      </c>
      <c r="F6" s="48" t="s">
        <v>61</v>
      </c>
      <c r="G6" s="8"/>
      <c r="H6" s="8"/>
      <c r="I6" s="8"/>
      <c r="J6" s="8"/>
      <c r="K6" s="8"/>
      <c r="L6" s="8"/>
      <c r="M6" s="8"/>
      <c r="N6" s="8"/>
      <c r="O6" s="48" t="s">
        <v>21</v>
      </c>
    </row>
    <row r="7" ht="15.75" customHeight="1">
      <c r="A7" s="8"/>
      <c r="B7" s="47">
        <v>10000.0</v>
      </c>
      <c r="C7" s="47">
        <v>10000.0</v>
      </c>
      <c r="D7" s="47">
        <v>10000.0</v>
      </c>
      <c r="E7" s="47">
        <v>10000.0</v>
      </c>
      <c r="F7" s="48" t="s">
        <v>61</v>
      </c>
      <c r="G7" s="8"/>
      <c r="H7" s="8"/>
      <c r="I7" s="8"/>
      <c r="J7" s="8"/>
      <c r="K7" s="8"/>
      <c r="L7" s="8"/>
      <c r="M7" s="8"/>
      <c r="N7" s="8"/>
      <c r="O7" s="48" t="s">
        <v>21</v>
      </c>
    </row>
    <row r="8" ht="15.75" customHeight="1">
      <c r="A8" s="8"/>
      <c r="B8" s="47">
        <v>10000.0</v>
      </c>
      <c r="C8" s="47">
        <v>10000.0</v>
      </c>
      <c r="D8" s="47">
        <v>10000.0</v>
      </c>
      <c r="E8" s="47">
        <v>10000.0</v>
      </c>
      <c r="F8" s="48" t="s">
        <v>61</v>
      </c>
      <c r="G8" s="8"/>
      <c r="H8" s="8"/>
      <c r="I8" s="8"/>
      <c r="J8" s="8"/>
      <c r="K8" s="8"/>
      <c r="L8" s="8"/>
      <c r="M8" s="8"/>
      <c r="N8" s="8"/>
      <c r="O8" s="48" t="s">
        <v>21</v>
      </c>
    </row>
    <row r="9" ht="15.75" customHeight="1">
      <c r="A9" s="8"/>
      <c r="B9" s="47">
        <v>1114.0006</v>
      </c>
      <c r="C9" s="47">
        <v>1114.0006</v>
      </c>
      <c r="D9" s="47">
        <v>1100.0</v>
      </c>
      <c r="E9" s="47">
        <v>1100.0</v>
      </c>
      <c r="F9" s="48" t="s">
        <v>61</v>
      </c>
      <c r="G9" s="8"/>
      <c r="H9" s="8"/>
      <c r="I9" s="8"/>
      <c r="J9" s="8"/>
      <c r="K9" s="8"/>
      <c r="L9" s="8"/>
      <c r="M9" s="8"/>
      <c r="N9" s="8"/>
      <c r="O9" s="48" t="s">
        <v>27</v>
      </c>
    </row>
    <row r="10" ht="15.75" customHeight="1">
      <c r="A10" s="8"/>
      <c r="B10" s="47">
        <v>10000.0</v>
      </c>
      <c r="C10" s="47">
        <v>10000.0</v>
      </c>
      <c r="D10" s="47">
        <v>10000.0</v>
      </c>
      <c r="E10" s="47">
        <v>10000.0</v>
      </c>
      <c r="F10" s="48" t="s">
        <v>61</v>
      </c>
      <c r="G10" s="8"/>
      <c r="H10" s="8"/>
      <c r="I10" s="8"/>
      <c r="J10" s="8"/>
      <c r="K10" s="8"/>
      <c r="L10" s="8"/>
      <c r="M10" s="8"/>
      <c r="N10" s="8"/>
      <c r="O10" s="48" t="s">
        <v>27</v>
      </c>
    </row>
    <row r="11" ht="15.75" customHeight="1">
      <c r="A11" s="8"/>
      <c r="B11" s="47">
        <v>10000.0</v>
      </c>
      <c r="C11" s="47">
        <v>10000.0</v>
      </c>
      <c r="D11" s="47">
        <v>10000.0</v>
      </c>
      <c r="E11" s="47">
        <v>10000.0</v>
      </c>
      <c r="F11" s="48" t="s">
        <v>61</v>
      </c>
      <c r="G11" s="8"/>
      <c r="H11" s="8"/>
      <c r="I11" s="8"/>
      <c r="J11" s="8"/>
      <c r="K11" s="8"/>
      <c r="L11" s="8"/>
      <c r="M11" s="8"/>
      <c r="N11" s="8"/>
      <c r="O11" s="48" t="s">
        <v>27</v>
      </c>
    </row>
    <row r="12" ht="15.75" customHeight="1">
      <c r="A12" s="8"/>
      <c r="B12" s="47">
        <v>1114.0006</v>
      </c>
      <c r="C12" s="47">
        <v>1114.0006</v>
      </c>
      <c r="D12" s="47">
        <v>1100.0</v>
      </c>
      <c r="E12" s="47">
        <v>1100.0</v>
      </c>
      <c r="F12" s="48" t="s">
        <v>61</v>
      </c>
      <c r="G12" s="8"/>
      <c r="H12" s="8"/>
      <c r="I12" s="8"/>
      <c r="J12" s="8"/>
      <c r="K12" s="8"/>
      <c r="L12" s="8"/>
      <c r="M12" s="8"/>
      <c r="N12" s="8"/>
      <c r="O12" s="48" t="s">
        <v>31</v>
      </c>
    </row>
    <row r="13" ht="15.75" customHeight="1">
      <c r="A13" s="8"/>
      <c r="B13" s="47">
        <v>10000.0</v>
      </c>
      <c r="C13" s="47">
        <v>10000.0</v>
      </c>
      <c r="D13" s="47">
        <v>10000.0</v>
      </c>
      <c r="E13" s="47">
        <v>10000.0</v>
      </c>
      <c r="F13" s="48" t="s">
        <v>61</v>
      </c>
      <c r="G13" s="8"/>
      <c r="H13" s="8"/>
      <c r="I13" s="8"/>
      <c r="J13" s="8"/>
      <c r="K13" s="8"/>
      <c r="L13" s="8"/>
      <c r="M13" s="8"/>
      <c r="N13" s="8"/>
      <c r="O13" s="48" t="s">
        <v>31</v>
      </c>
    </row>
    <row r="14" ht="15.75" customHeight="1">
      <c r="A14" s="8"/>
      <c r="B14" s="47">
        <v>10000.0</v>
      </c>
      <c r="C14" s="47">
        <v>10000.0</v>
      </c>
      <c r="D14" s="47">
        <v>10000.0</v>
      </c>
      <c r="E14" s="47">
        <v>10000.0</v>
      </c>
      <c r="F14" s="48" t="s">
        <v>61</v>
      </c>
      <c r="G14" s="8"/>
      <c r="H14" s="8"/>
      <c r="I14" s="8"/>
      <c r="J14" s="8"/>
      <c r="K14" s="8"/>
      <c r="L14" s="8"/>
      <c r="M14" s="8"/>
      <c r="N14" s="8"/>
      <c r="O14" s="48" t="s">
        <v>31</v>
      </c>
    </row>
    <row r="15" ht="15.75" customHeight="1">
      <c r="A15" s="8"/>
      <c r="B15" s="47">
        <v>10000.0</v>
      </c>
      <c r="C15" s="47">
        <v>10000.0</v>
      </c>
      <c r="D15" s="47">
        <v>10000.0</v>
      </c>
      <c r="E15" s="47">
        <v>10000.0</v>
      </c>
      <c r="F15" s="48" t="s">
        <v>61</v>
      </c>
      <c r="G15" s="8"/>
      <c r="H15" s="8"/>
      <c r="I15" s="8"/>
      <c r="J15" s="8"/>
      <c r="K15" s="8"/>
      <c r="L15" s="8"/>
      <c r="M15" s="8"/>
      <c r="N15" s="8"/>
      <c r="O15" s="48" t="s">
        <v>31</v>
      </c>
    </row>
    <row r="16" ht="15.75" customHeight="1">
      <c r="A16" s="8"/>
      <c r="B16" s="47">
        <v>10000.0</v>
      </c>
      <c r="C16" s="47">
        <v>10000.0</v>
      </c>
      <c r="D16" s="47">
        <v>10000.0</v>
      </c>
      <c r="E16" s="47">
        <v>10000.0</v>
      </c>
      <c r="F16" s="48" t="s">
        <v>61</v>
      </c>
      <c r="G16" s="8"/>
      <c r="H16" s="8"/>
      <c r="I16" s="8"/>
      <c r="J16" s="8"/>
      <c r="K16" s="8"/>
      <c r="L16" s="8"/>
      <c r="M16" s="8"/>
      <c r="N16" s="8"/>
      <c r="O16" s="48" t="s">
        <v>31</v>
      </c>
    </row>
    <row r="17" ht="15.75" customHeight="1">
      <c r="A17" s="8"/>
      <c r="B17" s="47">
        <v>1085.9994</v>
      </c>
      <c r="C17" s="47">
        <v>1085.9994</v>
      </c>
      <c r="D17" s="47">
        <v>1100.0</v>
      </c>
      <c r="E17" s="47">
        <v>1100.0</v>
      </c>
      <c r="F17" s="48" t="s">
        <v>61</v>
      </c>
      <c r="G17" s="8"/>
      <c r="H17" s="8"/>
      <c r="I17" s="8"/>
      <c r="J17" s="8"/>
      <c r="K17" s="8"/>
      <c r="L17" s="8"/>
      <c r="M17" s="8"/>
      <c r="N17" s="8"/>
      <c r="O17" s="48" t="s">
        <v>38</v>
      </c>
    </row>
    <row r="18" ht="15.75" customHeight="1">
      <c r="A18" s="8"/>
      <c r="B18" s="49"/>
      <c r="C18" s="49"/>
      <c r="D18" s="49"/>
      <c r="E18" s="49"/>
      <c r="F18" s="48" t="s">
        <v>61</v>
      </c>
      <c r="G18" s="8"/>
      <c r="H18" s="8"/>
      <c r="I18" s="8"/>
      <c r="J18" s="8"/>
      <c r="K18" s="8"/>
      <c r="L18" s="8"/>
      <c r="M18" s="8"/>
      <c r="N18" s="8"/>
      <c r="O18" s="48" t="s">
        <v>21</v>
      </c>
    </row>
    <row r="19" ht="15.75" customHeight="1">
      <c r="A19" s="8"/>
      <c r="B19" s="47">
        <v>10000.0</v>
      </c>
      <c r="C19" s="47">
        <v>10000.0</v>
      </c>
      <c r="D19" s="47">
        <v>10000.0</v>
      </c>
      <c r="E19" s="47">
        <v>10000.0</v>
      </c>
      <c r="F19" s="48" t="s">
        <v>61</v>
      </c>
      <c r="G19" s="8"/>
      <c r="H19" s="8"/>
      <c r="I19" s="8"/>
      <c r="J19" s="8"/>
      <c r="K19" s="8"/>
      <c r="L19" s="8"/>
      <c r="M19" s="8"/>
      <c r="N19" s="8"/>
      <c r="O19" s="48" t="s">
        <v>38</v>
      </c>
    </row>
    <row r="20" ht="15.75" customHeight="1">
      <c r="A20" s="8"/>
      <c r="B20" s="47">
        <v>11000.0</v>
      </c>
      <c r="C20" s="47">
        <v>11000.0</v>
      </c>
      <c r="D20" s="47">
        <v>11000.0</v>
      </c>
      <c r="E20" s="47">
        <v>11000.0</v>
      </c>
      <c r="F20" s="48" t="s">
        <v>74</v>
      </c>
      <c r="G20" s="8"/>
      <c r="H20" s="8"/>
      <c r="I20" s="8"/>
      <c r="J20" s="8"/>
      <c r="K20" s="8"/>
      <c r="L20" s="8"/>
      <c r="M20" s="8"/>
      <c r="N20" s="8"/>
      <c r="O20" s="48" t="s">
        <v>21</v>
      </c>
    </row>
    <row r="21" ht="15.75" customHeight="1">
      <c r="A21" s="8"/>
      <c r="B21" s="47">
        <v>10000.0</v>
      </c>
      <c r="C21" s="47">
        <v>10000.0</v>
      </c>
      <c r="D21" s="47">
        <v>10000.0</v>
      </c>
      <c r="E21" s="47">
        <v>10000.0</v>
      </c>
      <c r="F21" s="48" t="s">
        <v>61</v>
      </c>
      <c r="G21" s="8"/>
      <c r="H21" s="8"/>
      <c r="I21" s="8"/>
      <c r="J21" s="8"/>
      <c r="K21" s="8"/>
      <c r="L21" s="8"/>
      <c r="M21" s="8"/>
      <c r="N21" s="8"/>
      <c r="O21" s="48" t="s">
        <v>38</v>
      </c>
    </row>
    <row r="22" ht="15.75" customHeight="1">
      <c r="A22" s="8"/>
      <c r="B22" s="49"/>
      <c r="C22" s="49"/>
      <c r="D22" s="49"/>
      <c r="E22" s="49"/>
      <c r="F22" s="48" t="s">
        <v>61</v>
      </c>
      <c r="G22" s="8"/>
      <c r="H22" s="8"/>
      <c r="I22" s="8"/>
      <c r="J22" s="8"/>
      <c r="K22" s="8"/>
      <c r="L22" s="8"/>
      <c r="M22" s="8"/>
      <c r="N22" s="8"/>
      <c r="O22" s="48" t="s">
        <v>21</v>
      </c>
    </row>
    <row r="23" ht="15.75" customHeight="1">
      <c r="A23" s="8"/>
      <c r="B23" s="47">
        <v>99000.0</v>
      </c>
      <c r="C23" s="47">
        <v>99000.0</v>
      </c>
      <c r="D23" s="47">
        <v>99000.0</v>
      </c>
      <c r="E23" s="47">
        <v>99000.0</v>
      </c>
      <c r="F23" s="48" t="s">
        <v>61</v>
      </c>
      <c r="G23" s="8"/>
      <c r="H23" s="8"/>
      <c r="I23" s="8"/>
      <c r="J23" s="8"/>
      <c r="K23" s="8"/>
      <c r="L23" s="8"/>
      <c r="M23" s="8"/>
      <c r="N23" s="8"/>
      <c r="O23" s="48" t="s">
        <v>21</v>
      </c>
    </row>
    <row r="24" ht="15.75" customHeight="1">
      <c r="A24" s="8"/>
      <c r="B24" s="47">
        <v>10000.0</v>
      </c>
      <c r="C24" s="47">
        <v>10000.0</v>
      </c>
      <c r="D24" s="47">
        <v>10000.0</v>
      </c>
      <c r="E24" s="47">
        <v>10000.0</v>
      </c>
      <c r="F24" s="48" t="s">
        <v>61</v>
      </c>
      <c r="G24" s="8"/>
      <c r="H24" s="8"/>
      <c r="I24" s="8"/>
      <c r="J24" s="8"/>
      <c r="K24" s="8"/>
      <c r="L24" s="8"/>
      <c r="M24" s="8"/>
      <c r="N24" s="8"/>
      <c r="O24" s="48" t="s">
        <v>38</v>
      </c>
    </row>
    <row r="25" ht="15.75" customHeight="1">
      <c r="A25" s="8"/>
      <c r="B25" s="47">
        <v>10000.0</v>
      </c>
      <c r="C25" s="47">
        <v>10000.0</v>
      </c>
      <c r="D25" s="47">
        <v>10000.0</v>
      </c>
      <c r="E25" s="47">
        <v>10000.0</v>
      </c>
      <c r="F25" s="48" t="s">
        <v>61</v>
      </c>
      <c r="G25" s="8"/>
      <c r="H25" s="8"/>
      <c r="I25" s="8"/>
      <c r="J25" s="8"/>
      <c r="K25" s="8"/>
      <c r="L25" s="8"/>
      <c r="M25" s="8"/>
      <c r="N25" s="8"/>
      <c r="O25" s="48" t="s">
        <v>38</v>
      </c>
    </row>
    <row r="26" ht="15.75" customHeight="1">
      <c r="A26" s="8"/>
      <c r="B26" s="47">
        <v>90000.0</v>
      </c>
      <c r="C26" s="47">
        <v>90000.0</v>
      </c>
      <c r="D26" s="47">
        <v>90000.0</v>
      </c>
      <c r="E26" s="47">
        <v>90000.0</v>
      </c>
      <c r="F26" s="48" t="s">
        <v>74</v>
      </c>
      <c r="G26" s="8"/>
      <c r="H26" s="8"/>
      <c r="I26" s="8"/>
      <c r="J26" s="8"/>
      <c r="K26" s="8"/>
      <c r="L26" s="8"/>
      <c r="M26" s="8"/>
      <c r="N26" s="8"/>
      <c r="O26" s="48" t="s">
        <v>21</v>
      </c>
    </row>
    <row r="27" ht="15.75" customHeight="1">
      <c r="B27" s="49"/>
      <c r="C27" s="49"/>
      <c r="D27" s="49"/>
      <c r="E27" s="49"/>
      <c r="F27" s="48" t="s">
        <v>61</v>
      </c>
      <c r="O27" s="48" t="s">
        <v>27</v>
      </c>
    </row>
    <row r="28" ht="15.75" customHeight="1">
      <c r="B28" s="47">
        <v>90000.0</v>
      </c>
      <c r="C28" s="47">
        <v>90000.0</v>
      </c>
      <c r="D28" s="47">
        <v>90000.0</v>
      </c>
      <c r="E28" s="47">
        <v>90000.0</v>
      </c>
      <c r="F28" s="48" t="s">
        <v>74</v>
      </c>
      <c r="O28" s="48" t="s">
        <v>27</v>
      </c>
    </row>
    <row r="29" ht="15.75" customHeight="1">
      <c r="B29" s="49"/>
      <c r="C29" s="49"/>
      <c r="D29" s="49"/>
      <c r="E29" s="49"/>
      <c r="F29" s="48" t="s">
        <v>61</v>
      </c>
      <c r="O29" s="48" t="s">
        <v>31</v>
      </c>
    </row>
    <row r="30" ht="15.75" customHeight="1">
      <c r="B30" s="49"/>
      <c r="C30" s="49"/>
      <c r="D30" s="49"/>
      <c r="E30" s="49"/>
      <c r="F30" s="48" t="s">
        <v>61</v>
      </c>
      <c r="O30" s="48" t="s">
        <v>27</v>
      </c>
    </row>
    <row r="31" ht="15.75" customHeight="1">
      <c r="B31" s="47">
        <v>110000.0</v>
      </c>
      <c r="C31" s="47">
        <v>110000.0</v>
      </c>
      <c r="D31" s="47">
        <v>110000.0</v>
      </c>
      <c r="E31" s="47">
        <v>110000.0</v>
      </c>
      <c r="F31" s="48" t="s">
        <v>74</v>
      </c>
      <c r="O31" s="48" t="s">
        <v>27</v>
      </c>
    </row>
    <row r="32" ht="15.75" customHeight="1">
      <c r="B32" s="49"/>
      <c r="C32" s="49"/>
      <c r="D32" s="49"/>
      <c r="E32" s="49"/>
      <c r="F32" s="48" t="s">
        <v>61</v>
      </c>
      <c r="O32" s="48" t="s">
        <v>31</v>
      </c>
    </row>
    <row r="33" ht="15.75" customHeight="1">
      <c r="B33" s="49"/>
      <c r="C33" s="49"/>
      <c r="D33" s="49"/>
      <c r="E33" s="49"/>
      <c r="F33" s="48" t="s">
        <v>61</v>
      </c>
      <c r="O33" s="48" t="s">
        <v>31</v>
      </c>
    </row>
    <row r="34" ht="15.75" customHeight="1">
      <c r="B34" s="49"/>
      <c r="C34" s="49"/>
      <c r="D34" s="49"/>
      <c r="E34" s="49"/>
      <c r="F34" s="48" t="s">
        <v>61</v>
      </c>
      <c r="O34" s="48" t="s">
        <v>31</v>
      </c>
    </row>
    <row r="35" ht="15.75" customHeight="1">
      <c r="B35" s="47">
        <v>80000.0</v>
      </c>
      <c r="C35" s="47">
        <v>80000.0</v>
      </c>
      <c r="D35" s="47">
        <v>80000.0</v>
      </c>
      <c r="E35" s="47">
        <v>80000.0</v>
      </c>
      <c r="F35" s="48" t="s">
        <v>74</v>
      </c>
      <c r="O35" s="48" t="s">
        <v>31</v>
      </c>
    </row>
    <row r="36" ht="15.75" customHeight="1">
      <c r="B36" s="47">
        <v>60000.0</v>
      </c>
      <c r="C36" s="47">
        <v>60000.0</v>
      </c>
      <c r="D36" s="47">
        <v>60000.0</v>
      </c>
      <c r="E36" s="47">
        <v>60000.0</v>
      </c>
      <c r="F36" s="48" t="s">
        <v>74</v>
      </c>
      <c r="O36" s="48" t="s">
        <v>31</v>
      </c>
    </row>
    <row r="37" ht="15.75" customHeight="1">
      <c r="B37" s="49"/>
      <c r="C37" s="49"/>
      <c r="D37" s="49"/>
      <c r="E37" s="49"/>
      <c r="F37" s="48" t="s">
        <v>61</v>
      </c>
      <c r="O37" s="48" t="s">
        <v>38</v>
      </c>
    </row>
    <row r="38" ht="15.75" customHeight="1">
      <c r="B38" s="47">
        <v>80000.0</v>
      </c>
      <c r="C38" s="47">
        <v>80000.0</v>
      </c>
      <c r="D38" s="47">
        <v>80000.0</v>
      </c>
      <c r="E38" s="47">
        <v>80000.0</v>
      </c>
      <c r="F38" s="48" t="s">
        <v>74</v>
      </c>
      <c r="O38" s="48" t="s">
        <v>31</v>
      </c>
    </row>
    <row r="39" ht="15.75" customHeight="1">
      <c r="B39" s="47">
        <v>70000.0</v>
      </c>
      <c r="C39" s="47">
        <v>70000.0</v>
      </c>
      <c r="D39" s="47">
        <v>70000.0</v>
      </c>
      <c r="E39" s="47">
        <v>70000.0</v>
      </c>
      <c r="F39" s="48" t="s">
        <v>74</v>
      </c>
      <c r="O39" s="48" t="s">
        <v>31</v>
      </c>
    </row>
    <row r="40" ht="15.75" customHeight="1">
      <c r="B40" s="49"/>
      <c r="C40" s="49"/>
      <c r="D40" s="49"/>
      <c r="E40" s="49"/>
      <c r="F40" s="48" t="s">
        <v>61</v>
      </c>
      <c r="O40" s="48" t="s">
        <v>38</v>
      </c>
    </row>
    <row r="41" ht="15.75" customHeight="1">
      <c r="B41" s="49"/>
      <c r="C41" s="49"/>
      <c r="D41" s="49"/>
      <c r="E41" s="49"/>
      <c r="F41" s="48" t="s">
        <v>61</v>
      </c>
      <c r="O41" s="48" t="s">
        <v>38</v>
      </c>
    </row>
    <row r="42" ht="15.75" customHeight="1">
      <c r="B42" s="49"/>
      <c r="C42" s="49"/>
      <c r="D42" s="49"/>
      <c r="E42" s="49"/>
      <c r="F42" s="48" t="s">
        <v>61</v>
      </c>
      <c r="O42" s="48" t="s">
        <v>38</v>
      </c>
    </row>
    <row r="43" ht="15.75" customHeight="1">
      <c r="B43" s="47">
        <v>63000.0</v>
      </c>
      <c r="C43" s="47">
        <v>63000.0</v>
      </c>
      <c r="D43" s="47">
        <v>63000.0</v>
      </c>
      <c r="E43" s="47">
        <v>63000.0</v>
      </c>
      <c r="F43" s="48" t="s">
        <v>61</v>
      </c>
      <c r="O43" s="48" t="s">
        <v>38</v>
      </c>
    </row>
    <row r="44" ht="15.75" customHeight="1">
      <c r="B44" s="47">
        <v>80000.0</v>
      </c>
      <c r="C44" s="47">
        <v>80000.0</v>
      </c>
      <c r="D44" s="47">
        <v>80000.0</v>
      </c>
      <c r="E44" s="47">
        <v>80000.0</v>
      </c>
      <c r="F44" s="48" t="s">
        <v>74</v>
      </c>
      <c r="O44" s="48" t="s">
        <v>38</v>
      </c>
    </row>
    <row r="45" ht="15.75" customHeight="1">
      <c r="B45" s="47">
        <v>60000.0</v>
      </c>
      <c r="C45" s="47">
        <v>60000.0</v>
      </c>
      <c r="D45" s="47">
        <v>60000.0</v>
      </c>
      <c r="E45" s="47">
        <v>60000.0</v>
      </c>
      <c r="F45" s="48" t="s">
        <v>74</v>
      </c>
      <c r="O45" s="48" t="s">
        <v>38</v>
      </c>
    </row>
    <row r="46" ht="15.75" customHeight="1">
      <c r="B46" s="47">
        <v>80000.0</v>
      </c>
      <c r="C46" s="47">
        <v>80000.0</v>
      </c>
      <c r="D46" s="47">
        <v>80000.0</v>
      </c>
      <c r="E46" s="47">
        <v>80000.0</v>
      </c>
      <c r="F46" s="48" t="s">
        <v>74</v>
      </c>
      <c r="O46" s="48" t="s">
        <v>38</v>
      </c>
    </row>
    <row r="47" ht="15.75" customHeight="1">
      <c r="B47" s="47">
        <v>7000.0</v>
      </c>
      <c r="C47" s="47">
        <v>7000.0</v>
      </c>
      <c r="D47" s="47">
        <v>7000.0</v>
      </c>
      <c r="E47" s="47">
        <v>7000.0</v>
      </c>
      <c r="F47" s="48" t="s">
        <v>74</v>
      </c>
      <c r="O47" s="48" t="s">
        <v>38</v>
      </c>
    </row>
    <row r="48" ht="15.75" customHeight="1">
      <c r="O48" s="50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79</v>
      </c>
      <c r="D3" s="5" t="s">
        <v>9</v>
      </c>
      <c r="E3" s="23" t="s">
        <v>80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54</v>
      </c>
      <c r="B6" s="46"/>
      <c r="C6" s="8" t="s">
        <v>19</v>
      </c>
      <c r="D6" s="46">
        <v>1100.0</v>
      </c>
      <c r="E6" s="8" t="s">
        <v>21</v>
      </c>
      <c r="F6" s="8" t="s">
        <v>81</v>
      </c>
      <c r="G6" s="8">
        <v>1.0</v>
      </c>
      <c r="H6" s="8" t="s">
        <v>82</v>
      </c>
      <c r="I6" s="8"/>
      <c r="J6" s="8"/>
      <c r="K6" s="8"/>
      <c r="L6" s="8"/>
      <c r="M6" s="8"/>
      <c r="N6" s="8"/>
      <c r="O6" s="8"/>
      <c r="P6">
        <v>100.0</v>
      </c>
      <c r="AN6" t="s">
        <v>20</v>
      </c>
      <c r="FN6" t="s">
        <v>54</v>
      </c>
      <c r="FO6" t="s">
        <v>54</v>
      </c>
      <c r="FP6" t="s">
        <v>54</v>
      </c>
      <c r="FQ6" t="s">
        <v>54</v>
      </c>
    </row>
    <row r="7" ht="15.75" customHeight="1">
      <c r="A7" s="8" t="s">
        <v>54</v>
      </c>
      <c r="B7" s="8"/>
      <c r="C7" s="8" t="s">
        <v>19</v>
      </c>
      <c r="D7" s="8">
        <v>-100.0</v>
      </c>
      <c r="E7" s="8" t="s">
        <v>21</v>
      </c>
      <c r="F7" s="8" t="s">
        <v>81</v>
      </c>
      <c r="G7" s="8">
        <v>110.0</v>
      </c>
      <c r="H7" s="8" t="s">
        <v>82</v>
      </c>
      <c r="I7" s="8"/>
      <c r="J7" s="8"/>
      <c r="K7" s="8"/>
      <c r="L7" s="8"/>
      <c r="M7" s="8"/>
      <c r="N7" s="8"/>
      <c r="O7" s="8"/>
      <c r="P7">
        <v>100.0</v>
      </c>
      <c r="AN7" t="s">
        <v>75</v>
      </c>
      <c r="FN7" t="s">
        <v>54</v>
      </c>
      <c r="FO7" t="s">
        <v>54</v>
      </c>
      <c r="FP7" t="s">
        <v>54</v>
      </c>
      <c r="FQ7" t="s">
        <v>54</v>
      </c>
    </row>
    <row r="8" ht="15.75" customHeight="1">
      <c r="A8" s="8" t="s">
        <v>54</v>
      </c>
      <c r="B8" s="8"/>
      <c r="C8" s="8" t="s">
        <v>19</v>
      </c>
      <c r="D8" s="8">
        <v>-900.0</v>
      </c>
      <c r="E8" s="8" t="s">
        <v>21</v>
      </c>
      <c r="F8" s="8" t="s">
        <v>81</v>
      </c>
      <c r="G8" s="8">
        <v>110.0</v>
      </c>
      <c r="H8" s="8" t="s">
        <v>82</v>
      </c>
      <c r="I8" s="8"/>
      <c r="J8" s="8"/>
      <c r="K8" s="8"/>
      <c r="L8" s="8"/>
      <c r="M8" s="8"/>
      <c r="N8" s="8"/>
      <c r="O8" s="8"/>
      <c r="P8">
        <v>100.0</v>
      </c>
      <c r="AN8" t="s">
        <v>37</v>
      </c>
      <c r="FN8" t="s">
        <v>54</v>
      </c>
      <c r="FO8" t="s">
        <v>54</v>
      </c>
      <c r="FP8" t="s">
        <v>54</v>
      </c>
      <c r="FQ8" t="s">
        <v>54</v>
      </c>
    </row>
    <row r="9" ht="15.75" customHeight="1">
      <c r="A9" s="8" t="s">
        <v>54</v>
      </c>
      <c r="B9" s="8"/>
      <c r="C9" s="8" t="s">
        <v>19</v>
      </c>
      <c r="D9" s="8">
        <v>-1000.0</v>
      </c>
      <c r="E9" s="8" t="s">
        <v>21</v>
      </c>
      <c r="F9" s="8" t="s">
        <v>81</v>
      </c>
      <c r="G9" s="8">
        <v>90.0</v>
      </c>
      <c r="H9" s="8" t="s">
        <v>82</v>
      </c>
      <c r="I9" s="8"/>
      <c r="J9" s="8"/>
      <c r="K9" s="8"/>
      <c r="L9" s="8"/>
      <c r="M9" s="8"/>
      <c r="N9" s="8"/>
      <c r="O9" s="8"/>
      <c r="P9">
        <v>100.0</v>
      </c>
      <c r="AN9" t="s">
        <v>75</v>
      </c>
      <c r="FN9" t="s">
        <v>54</v>
      </c>
      <c r="FO9" t="s">
        <v>54</v>
      </c>
      <c r="FP9" t="s">
        <v>54</v>
      </c>
      <c r="FQ9" t="s">
        <v>54</v>
      </c>
    </row>
    <row r="10" ht="15.75" customHeight="1">
      <c r="A10" s="8" t="s">
        <v>54</v>
      </c>
      <c r="B10" s="8"/>
      <c r="C10" s="8" t="s">
        <v>26</v>
      </c>
      <c r="D10" s="8">
        <v>1100.0</v>
      </c>
      <c r="E10" s="8" t="s">
        <v>27</v>
      </c>
      <c r="F10" s="8" t="s">
        <v>83</v>
      </c>
      <c r="G10" s="8">
        <v>1.0</v>
      </c>
      <c r="H10" s="8" t="s">
        <v>84</v>
      </c>
      <c r="I10" s="8"/>
      <c r="J10" s="8"/>
      <c r="K10" s="8"/>
      <c r="L10" s="8"/>
      <c r="M10" s="8"/>
      <c r="N10" s="8"/>
      <c r="O10" s="8"/>
      <c r="P10">
        <v>100.0</v>
      </c>
      <c r="AN10" t="s">
        <v>20</v>
      </c>
      <c r="FN10" t="s">
        <v>54</v>
      </c>
      <c r="FO10" t="s">
        <v>54</v>
      </c>
      <c r="FP10" t="s">
        <v>54</v>
      </c>
      <c r="FQ10" t="s">
        <v>54</v>
      </c>
    </row>
    <row r="11" ht="15.75" customHeight="1">
      <c r="A11" s="8" t="s">
        <v>54</v>
      </c>
      <c r="B11" s="8"/>
      <c r="C11" s="8" t="s">
        <v>26</v>
      </c>
      <c r="D11" s="8">
        <v>1000.0</v>
      </c>
      <c r="E11" s="8" t="s">
        <v>27</v>
      </c>
      <c r="F11" s="8" t="s">
        <v>83</v>
      </c>
      <c r="G11" s="8">
        <v>110.0</v>
      </c>
      <c r="H11" s="8" t="s">
        <v>84</v>
      </c>
      <c r="I11" s="8"/>
      <c r="J11" s="8"/>
      <c r="K11" s="8"/>
      <c r="L11" s="8"/>
      <c r="M11" s="8"/>
      <c r="N11" s="8"/>
      <c r="O11" s="8"/>
      <c r="P11">
        <v>100.0</v>
      </c>
      <c r="AN11" t="s">
        <v>20</v>
      </c>
      <c r="FN11" t="s">
        <v>54</v>
      </c>
      <c r="FO11" t="s">
        <v>54</v>
      </c>
      <c r="FP11" t="s">
        <v>54</v>
      </c>
      <c r="FQ11" t="s">
        <v>54</v>
      </c>
    </row>
    <row r="12" ht="15.75" customHeight="1">
      <c r="A12" s="8" t="s">
        <v>54</v>
      </c>
      <c r="B12" s="8"/>
      <c r="C12" s="8" t="s">
        <v>26</v>
      </c>
      <c r="D12" s="8">
        <v>-1000.0</v>
      </c>
      <c r="E12" s="8" t="s">
        <v>27</v>
      </c>
      <c r="F12" s="8" t="s">
        <v>83</v>
      </c>
      <c r="G12" s="8">
        <v>90.0</v>
      </c>
      <c r="H12" s="8" t="s">
        <v>84</v>
      </c>
      <c r="I12" s="8"/>
      <c r="J12" s="8"/>
      <c r="K12" s="8"/>
      <c r="L12" s="8"/>
      <c r="M12" s="8"/>
      <c r="N12" s="8"/>
      <c r="O12" s="8"/>
      <c r="P12">
        <v>100.0</v>
      </c>
      <c r="AN12" t="s">
        <v>75</v>
      </c>
      <c r="FN12" t="s">
        <v>54</v>
      </c>
      <c r="FO12" t="s">
        <v>54</v>
      </c>
      <c r="FP12" t="s">
        <v>54</v>
      </c>
      <c r="FQ12" t="s">
        <v>54</v>
      </c>
    </row>
    <row r="13" ht="15.75" customHeight="1">
      <c r="A13" s="8" t="s">
        <v>54</v>
      </c>
      <c r="B13" s="8"/>
      <c r="C13" s="8" t="s">
        <v>30</v>
      </c>
      <c r="D13" s="8">
        <v>1100.0</v>
      </c>
      <c r="E13" s="8" t="s">
        <v>31</v>
      </c>
      <c r="F13" s="8" t="s">
        <v>85</v>
      </c>
      <c r="G13" s="8">
        <v>1.0</v>
      </c>
      <c r="H13" s="8" t="s">
        <v>84</v>
      </c>
      <c r="I13" s="8"/>
      <c r="J13" s="8"/>
      <c r="K13" s="8"/>
      <c r="L13" s="8"/>
      <c r="M13" s="8"/>
      <c r="N13" s="8"/>
      <c r="O13" s="8"/>
      <c r="P13">
        <v>120.0</v>
      </c>
      <c r="AN13" t="s">
        <v>20</v>
      </c>
      <c r="FN13" t="s">
        <v>54</v>
      </c>
      <c r="FO13" t="s">
        <v>54</v>
      </c>
      <c r="FP13" t="s">
        <v>54</v>
      </c>
      <c r="FQ13" t="s">
        <v>54</v>
      </c>
    </row>
    <row r="14" ht="15.75" customHeight="1">
      <c r="A14" s="8" t="s">
        <v>54</v>
      </c>
      <c r="B14" s="8"/>
      <c r="C14" s="8" t="s">
        <v>30</v>
      </c>
      <c r="D14" s="8">
        <v>1000.0</v>
      </c>
      <c r="E14" s="8" t="s">
        <v>31</v>
      </c>
      <c r="F14" s="8" t="s">
        <v>85</v>
      </c>
      <c r="G14" s="8">
        <v>80.0</v>
      </c>
      <c r="H14" s="8" t="s">
        <v>84</v>
      </c>
      <c r="I14" s="8"/>
      <c r="J14" s="8"/>
      <c r="K14" s="8"/>
      <c r="L14" s="8"/>
      <c r="M14" s="8"/>
      <c r="N14" s="8"/>
      <c r="O14" s="8"/>
      <c r="P14">
        <v>120.0</v>
      </c>
      <c r="AN14" t="s">
        <v>20</v>
      </c>
      <c r="FN14" t="s">
        <v>54</v>
      </c>
      <c r="FO14" t="s">
        <v>54</v>
      </c>
      <c r="FP14" t="s">
        <v>54</v>
      </c>
      <c r="FQ14" t="s">
        <v>54</v>
      </c>
    </row>
    <row r="15" ht="15.75" customHeight="1">
      <c r="A15" s="8" t="s">
        <v>54</v>
      </c>
      <c r="B15" s="8"/>
      <c r="C15" s="8" t="s">
        <v>30</v>
      </c>
      <c r="D15" s="8">
        <v>1000.0</v>
      </c>
      <c r="E15" s="8" t="s">
        <v>31</v>
      </c>
      <c r="F15" s="8" t="s">
        <v>85</v>
      </c>
      <c r="G15" s="8">
        <v>80.0</v>
      </c>
      <c r="H15" s="8" t="s">
        <v>84</v>
      </c>
      <c r="I15" s="8"/>
      <c r="J15" s="8"/>
      <c r="K15" s="8"/>
      <c r="L15" s="8"/>
      <c r="M15" s="8"/>
      <c r="N15" s="8"/>
      <c r="O15" s="8"/>
      <c r="P15">
        <v>120.0</v>
      </c>
      <c r="AN15" t="s">
        <v>20</v>
      </c>
      <c r="FN15" t="s">
        <v>54</v>
      </c>
      <c r="FO15" t="s">
        <v>54</v>
      </c>
      <c r="FP15" t="s">
        <v>54</v>
      </c>
      <c r="FQ15" t="s">
        <v>54</v>
      </c>
    </row>
    <row r="16" ht="15.75" customHeight="1">
      <c r="A16" s="8" t="s">
        <v>54</v>
      </c>
      <c r="B16" s="8"/>
      <c r="C16" s="8" t="s">
        <v>30</v>
      </c>
      <c r="D16" s="8">
        <v>1000.0</v>
      </c>
      <c r="E16" s="8" t="s">
        <v>31</v>
      </c>
      <c r="F16" s="8" t="s">
        <v>85</v>
      </c>
      <c r="G16" s="8">
        <v>70.0</v>
      </c>
      <c r="H16" s="8" t="s">
        <v>84</v>
      </c>
      <c r="I16" s="8"/>
      <c r="J16" s="8"/>
      <c r="K16" s="8"/>
      <c r="L16" s="8"/>
      <c r="M16" s="8"/>
      <c r="N16" s="8"/>
      <c r="O16" s="8"/>
      <c r="P16">
        <v>120.0</v>
      </c>
      <c r="AN16" t="s">
        <v>20</v>
      </c>
      <c r="FN16" t="s">
        <v>54</v>
      </c>
      <c r="FO16" t="s">
        <v>54</v>
      </c>
      <c r="FP16" t="s">
        <v>54</v>
      </c>
      <c r="FQ16" t="s">
        <v>54</v>
      </c>
    </row>
    <row r="17" ht="15.75" customHeight="1">
      <c r="A17" s="8" t="s">
        <v>54</v>
      </c>
      <c r="B17" s="8"/>
      <c r="C17" s="8" t="s">
        <v>30</v>
      </c>
      <c r="D17" s="8">
        <v>1000.0</v>
      </c>
      <c r="E17" s="8" t="s">
        <v>31</v>
      </c>
      <c r="F17" s="8" t="s">
        <v>85</v>
      </c>
      <c r="G17" s="8">
        <v>60.0</v>
      </c>
      <c r="H17" s="8" t="s">
        <v>84</v>
      </c>
      <c r="I17" s="8"/>
      <c r="J17" s="8"/>
      <c r="K17" s="8"/>
      <c r="L17" s="8"/>
      <c r="M17" s="8"/>
      <c r="N17" s="8"/>
      <c r="O17" s="8"/>
      <c r="P17">
        <v>120.0</v>
      </c>
      <c r="AN17" t="s">
        <v>20</v>
      </c>
      <c r="FN17" t="s">
        <v>54</v>
      </c>
      <c r="FO17" t="s">
        <v>54</v>
      </c>
      <c r="FP17" t="s">
        <v>54</v>
      </c>
      <c r="FQ17" t="s">
        <v>54</v>
      </c>
    </row>
    <row r="18" ht="15.75" customHeight="1">
      <c r="A18" s="8" t="s">
        <v>54</v>
      </c>
      <c r="B18" s="8"/>
      <c r="C18" s="8" t="s">
        <v>36</v>
      </c>
      <c r="D18" s="8">
        <v>-1100.0</v>
      </c>
      <c r="E18" s="8" t="s">
        <v>38</v>
      </c>
      <c r="F18" s="8" t="s">
        <v>86</v>
      </c>
      <c r="G18" s="8">
        <v>1.0</v>
      </c>
      <c r="H18" s="8" t="s">
        <v>84</v>
      </c>
      <c r="I18" s="8"/>
      <c r="J18" s="8"/>
      <c r="K18" s="8"/>
      <c r="L18" s="8"/>
      <c r="M18" s="8"/>
      <c r="N18" s="8"/>
      <c r="O18" s="8"/>
      <c r="P18">
        <v>120.0</v>
      </c>
      <c r="AN18" t="s">
        <v>37</v>
      </c>
      <c r="FN18" t="s">
        <v>54</v>
      </c>
      <c r="FO18" t="s">
        <v>54</v>
      </c>
      <c r="FP18" t="s">
        <v>54</v>
      </c>
      <c r="FQ18" t="s">
        <v>54</v>
      </c>
    </row>
    <row r="19" ht="15.75" customHeight="1">
      <c r="A19" s="8" t="s">
        <v>54</v>
      </c>
      <c r="B19" s="8"/>
      <c r="C19" s="8" t="s">
        <v>36</v>
      </c>
      <c r="D19" s="8">
        <v>1000.0</v>
      </c>
      <c r="E19" s="8" t="s">
        <v>38</v>
      </c>
      <c r="F19" s="8" t="s">
        <v>86</v>
      </c>
      <c r="G19" s="8">
        <v>80.0</v>
      </c>
      <c r="H19" s="8" t="s">
        <v>84</v>
      </c>
      <c r="I19" s="8"/>
      <c r="J19" s="8"/>
      <c r="K19" s="8"/>
      <c r="L19" s="8"/>
      <c r="M19" s="8"/>
      <c r="N19" s="8"/>
      <c r="O19" s="8"/>
      <c r="P19">
        <v>120.0</v>
      </c>
      <c r="AN19" t="s">
        <v>20</v>
      </c>
      <c r="FN19" t="s">
        <v>54</v>
      </c>
      <c r="FO19" t="s">
        <v>54</v>
      </c>
      <c r="FP19" t="s">
        <v>54</v>
      </c>
      <c r="FQ19" t="s">
        <v>54</v>
      </c>
    </row>
    <row r="20" ht="15.75" customHeight="1">
      <c r="A20" s="8" t="s">
        <v>54</v>
      </c>
      <c r="B20" s="8"/>
      <c r="C20" s="8" t="s">
        <v>36</v>
      </c>
      <c r="D20" s="8">
        <v>1000.0</v>
      </c>
      <c r="E20" s="8" t="s">
        <v>38</v>
      </c>
      <c r="F20" s="8" t="s">
        <v>86</v>
      </c>
      <c r="G20" s="8">
        <v>80.0</v>
      </c>
      <c r="H20" s="8" t="s">
        <v>84</v>
      </c>
      <c r="I20" s="8"/>
      <c r="J20" s="8"/>
      <c r="K20" s="8"/>
      <c r="L20" s="8"/>
      <c r="M20" s="8"/>
      <c r="N20" s="8"/>
      <c r="O20" s="8"/>
      <c r="P20">
        <v>120.0</v>
      </c>
      <c r="AN20" t="s">
        <v>20</v>
      </c>
      <c r="FN20" t="s">
        <v>54</v>
      </c>
      <c r="FO20" t="s">
        <v>54</v>
      </c>
      <c r="FP20" t="s">
        <v>54</v>
      </c>
      <c r="FQ20" t="s">
        <v>54</v>
      </c>
    </row>
    <row r="21" ht="15.75" customHeight="1">
      <c r="A21" s="8" t="s">
        <v>54</v>
      </c>
      <c r="B21" s="8"/>
      <c r="C21" s="8" t="s">
        <v>36</v>
      </c>
      <c r="D21" s="8">
        <v>100.0</v>
      </c>
      <c r="E21" s="8" t="s">
        <v>38</v>
      </c>
      <c r="F21" s="8" t="s">
        <v>86</v>
      </c>
      <c r="G21" s="8">
        <v>70.0</v>
      </c>
      <c r="H21" s="8" t="s">
        <v>84</v>
      </c>
      <c r="I21" s="8"/>
      <c r="J21" s="8"/>
      <c r="K21" s="8"/>
      <c r="L21" s="8"/>
      <c r="M21" s="8"/>
      <c r="N21" s="8"/>
      <c r="O21" s="8"/>
      <c r="P21">
        <v>120.0</v>
      </c>
      <c r="AN21" t="s">
        <v>69</v>
      </c>
      <c r="FN21" t="s">
        <v>54</v>
      </c>
      <c r="FO21" t="s">
        <v>54</v>
      </c>
      <c r="FP21" t="s">
        <v>54</v>
      </c>
      <c r="FQ21" t="s">
        <v>54</v>
      </c>
    </row>
    <row r="22" ht="15.75" customHeight="1">
      <c r="A22" s="8" t="s">
        <v>54</v>
      </c>
      <c r="B22" s="8"/>
      <c r="C22" s="8" t="s">
        <v>36</v>
      </c>
      <c r="D22" s="8">
        <v>900.0</v>
      </c>
      <c r="E22" s="8" t="s">
        <v>38</v>
      </c>
      <c r="F22" s="8" t="s">
        <v>86</v>
      </c>
      <c r="G22" s="8">
        <v>70.0</v>
      </c>
      <c r="H22" s="8" t="s">
        <v>84</v>
      </c>
      <c r="I22" s="8"/>
      <c r="J22" s="8"/>
      <c r="K22" s="8"/>
      <c r="L22" s="8"/>
      <c r="M22" s="8"/>
      <c r="N22" s="8"/>
      <c r="O22" s="8"/>
      <c r="P22">
        <v>120.0</v>
      </c>
      <c r="AN22" t="s">
        <v>20</v>
      </c>
      <c r="FN22" t="s">
        <v>54</v>
      </c>
      <c r="FO22" t="s">
        <v>54</v>
      </c>
      <c r="FP22" t="s">
        <v>54</v>
      </c>
      <c r="FQ22" t="s">
        <v>54</v>
      </c>
    </row>
    <row r="23" ht="15.75" customHeight="1">
      <c r="A23" s="8" t="s">
        <v>54</v>
      </c>
      <c r="B23" s="8"/>
      <c r="C23" s="8" t="s">
        <v>36</v>
      </c>
      <c r="D23" s="8">
        <v>1000.0</v>
      </c>
      <c r="E23" s="8" t="s">
        <v>38</v>
      </c>
      <c r="F23" s="8" t="s">
        <v>86</v>
      </c>
      <c r="G23" s="8">
        <v>60.0</v>
      </c>
      <c r="H23" s="8" t="s">
        <v>84</v>
      </c>
      <c r="I23" s="8"/>
      <c r="J23" s="8"/>
      <c r="K23" s="8"/>
      <c r="L23" s="8"/>
      <c r="M23" s="8"/>
      <c r="N23" s="8"/>
      <c r="O23" s="8"/>
      <c r="P23">
        <v>120.0</v>
      </c>
      <c r="AN23" t="s">
        <v>69</v>
      </c>
      <c r="FN23" t="s">
        <v>54</v>
      </c>
      <c r="FO23" t="s">
        <v>54</v>
      </c>
      <c r="FP23" t="s">
        <v>54</v>
      </c>
      <c r="FQ23" t="s">
        <v>54</v>
      </c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87</v>
      </c>
      <c r="D3" s="5" t="s">
        <v>9</v>
      </c>
      <c r="E3" s="23" t="s">
        <v>88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IFERROR(__xludf.DUMMYFUNCTION("""COMPUTED_VALUE"""),"DeleteValidateSymbol")</f>
        <v>DeleteValidateSymbol</v>
      </c>
      <c r="H4" s="25" t="str">
        <f>IFERROR(__xludf.DUMMYFUNCTION("""COMPUTED_VALUE"""),"EnterEquity")</f>
        <v>EnterEquity</v>
      </c>
      <c r="I4" s="25" t="str">
        <f>IFERROR(__xludf.DUMMYFUNCTION("""COMPUTED_VALUE"""),"UpdateSecurityInfoOnSM")</f>
        <v>UpdateSecurityInfoOnSM</v>
      </c>
      <c r="J4" s="25" t="str">
        <f>IFERROR(__xludf.DUMMYFUNCTION("""COMPUTED_VALUE"""),"TradeSymbolFromSM")</f>
        <v>TradeSymbolFromSM</v>
      </c>
      <c r="K4" s="25" t="str">
        <f>IFERROR(__xludf.DUMMYFUNCTION("""COMPUTED_VALUE"""),"AddSymbol")</f>
        <v>AddSymbol</v>
      </c>
      <c r="L4" s="25" t="str">
        <f>IFERROR(__xludf.DUMMYFUNCTION("""COMPUTED_VALUE"""),"SelectFromSMGridUI")</f>
        <v>SelectFromSMGridUI</v>
      </c>
      <c r="M4" s="25" t="str">
        <f>IFERROR(__xludf.DUMMYFUNCTION("""COMPUTED_VALUE"""),"EditSMGridUi")</f>
        <v>EditSMGridUi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IFERROR(__xludf.DUMMYFUNCTION("""COMPUTED_VALUE"""),"UseUDAFromUnderlyingOrRoot")</f>
        <v>UseUDAFromUnderlyingOrRoot</v>
      </c>
      <c r="C5" s="28" t="str">
        <f>IFERROR(__xludf.DUMMYFUNCTION("""COMPUTED_VALUE"""),"Is NDF")</f>
        <v>Is NDF</v>
      </c>
      <c r="D5" s="28" t="str">
        <f>IFERROR(__xludf.DUMMYFUNCTION("""COMPUTED_VALUE"""),"IsZero")</f>
        <v>IsZero</v>
      </c>
      <c r="E5" s="28" t="str">
        <f>IFERROR(__xludf.DUMMYFUNCTION("""COMPUTED_VALUE"""),"IsSecApproved")</f>
        <v>IsSecApproved</v>
      </c>
      <c r="F5" s="29" t="str">
        <f>IFERROR(__xludf.DUMMYFUNCTION("""COMPUTED_VALUE"""),"Strike Price")</f>
        <v>Strike Price</v>
      </c>
      <c r="G5" s="28" t="str">
        <f>IFERROR(__xludf.DUMMYFUNCTION("""COMPUTED_VALUE"""),"Search Type")</f>
        <v>Search Type</v>
      </c>
      <c r="H5" s="28" t="str">
        <f>IFERROR(__xludf.DUMMYFUNCTION("""COMPUTED_VALUE"""),"Symbol")</f>
        <v>Symbol</v>
      </c>
      <c r="I5" s="28" t="str">
        <f>IFERROR(__xludf.DUMMYFUNCTION("""COMPUTED_VALUE"""),"SearchBeforeEdit")</f>
        <v>SearchBeforeEdit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3"/>
      <c r="F6" s="13">
        <v>90.0</v>
      </c>
      <c r="G6" s="8"/>
      <c r="H6" s="39" t="s">
        <v>28</v>
      </c>
      <c r="I6" s="13" t="s">
        <v>89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13">
        <v>110.0</v>
      </c>
      <c r="G7" s="8"/>
      <c r="H7" s="39" t="s">
        <v>29</v>
      </c>
      <c r="I7" s="13" t="s">
        <v>89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9">
        <v>60.0</v>
      </c>
      <c r="G8" s="8"/>
      <c r="H8" s="13" t="s">
        <v>32</v>
      </c>
      <c r="I8" s="13" t="s">
        <v>89</v>
      </c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9">
        <v>70.0</v>
      </c>
      <c r="G9" s="8"/>
      <c r="H9" s="13" t="s">
        <v>33</v>
      </c>
      <c r="I9" s="13" t="s">
        <v>89</v>
      </c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9">
        <v>80.0</v>
      </c>
      <c r="G10" s="8"/>
      <c r="H10" s="13" t="s">
        <v>34</v>
      </c>
      <c r="I10" s="13" t="s">
        <v>89</v>
      </c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9">
        <v>80.0</v>
      </c>
      <c r="G11" s="8"/>
      <c r="H11" s="13" t="s">
        <v>35</v>
      </c>
      <c r="I11" s="13" t="s">
        <v>89</v>
      </c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9">
        <v>60.0</v>
      </c>
      <c r="G12" s="8"/>
      <c r="H12" s="13" t="s">
        <v>39</v>
      </c>
      <c r="I12" s="13" t="s">
        <v>89</v>
      </c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9">
        <v>70.0</v>
      </c>
      <c r="G13" s="8"/>
      <c r="H13" s="13" t="s">
        <v>40</v>
      </c>
      <c r="I13" s="13" t="s">
        <v>89</v>
      </c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9">
        <v>80.0</v>
      </c>
      <c r="G14" s="8"/>
      <c r="H14" s="13" t="s">
        <v>41</v>
      </c>
      <c r="I14" s="13" t="s">
        <v>89</v>
      </c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9">
        <v>80.0</v>
      </c>
      <c r="G15" s="8"/>
      <c r="H15" s="51" t="s">
        <v>42</v>
      </c>
      <c r="I15" s="13" t="s">
        <v>89</v>
      </c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90</v>
      </c>
      <c r="D3" s="5" t="s">
        <v>9</v>
      </c>
      <c r="E3" s="23" t="s">
        <v>91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38">
        <f>TODAY()-4</f>
        <v>45135</v>
      </c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33</v>
      </c>
      <c r="C7" s="38">
        <f>TODAY()-3</f>
        <v>45136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34</v>
      </c>
      <c r="C8" s="38">
        <f t="shared" ref="C8:C9" si="1">TODAY()-2</f>
        <v>45137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35</v>
      </c>
      <c r="C9" s="38">
        <f t="shared" si="1"/>
        <v>45137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39</v>
      </c>
      <c r="C10" s="38">
        <f>TODAY()-4</f>
        <v>45135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40</v>
      </c>
      <c r="C11" s="38">
        <f>TODAY()-3</f>
        <v>45136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41</v>
      </c>
      <c r="C12" s="38">
        <f>TODAY()-2</f>
        <v>45137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1" t="s">
        <v>42</v>
      </c>
      <c r="C13" s="38">
        <f>TODAY()-1</f>
        <v>45138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34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47</v>
      </c>
      <c r="C6" s="45" t="s">
        <v>48</v>
      </c>
      <c r="D6" s="45">
        <f>TODAY()</f>
        <v>45139</v>
      </c>
      <c r="E6" s="35" t="s">
        <v>27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27</v>
      </c>
      <c r="C6" s="34"/>
      <c r="D6" s="31"/>
      <c r="E6" s="39" t="s">
        <v>66</v>
      </c>
      <c r="F6" s="8"/>
      <c r="G6" s="8"/>
      <c r="H6" s="8"/>
      <c r="I6" s="8"/>
      <c r="J6" s="8"/>
      <c r="K6" s="8"/>
      <c r="L6" s="8"/>
      <c r="M6" s="8"/>
      <c r="N6" s="8"/>
      <c r="O6" s="8"/>
      <c r="DH6" s="39" t="s">
        <v>28</v>
      </c>
    </row>
    <row r="7" ht="15.75" customHeight="1">
      <c r="A7" s="8"/>
      <c r="B7" s="52" t="s">
        <v>27</v>
      </c>
      <c r="C7" s="34"/>
      <c r="D7" s="34"/>
      <c r="E7" s="39" t="s">
        <v>66</v>
      </c>
      <c r="F7" s="8"/>
      <c r="G7" s="8"/>
      <c r="H7" s="8"/>
      <c r="I7" s="8"/>
      <c r="J7" s="8"/>
      <c r="K7" s="8"/>
      <c r="L7" s="8"/>
      <c r="M7" s="8"/>
      <c r="N7" s="8"/>
      <c r="O7" s="8"/>
      <c r="DH7" s="39" t="s">
        <v>29</v>
      </c>
    </row>
    <row r="8" ht="15.75" customHeight="1">
      <c r="A8" s="8"/>
      <c r="B8" s="52"/>
      <c r="C8" s="34"/>
      <c r="D8" s="34"/>
      <c r="E8" s="39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3"/>
      <c r="C9" s="34"/>
      <c r="D9" s="34"/>
      <c r="E9" s="39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47</v>
      </c>
      <c r="C6" s="45" t="s">
        <v>48</v>
      </c>
      <c r="D6" s="45">
        <f>TODAY()</f>
        <v>45139</v>
      </c>
      <c r="E6" s="39" t="s">
        <v>31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44" t="s">
        <v>31</v>
      </c>
      <c r="C6" s="34"/>
      <c r="D6" s="31"/>
      <c r="E6" s="39" t="s">
        <v>66</v>
      </c>
      <c r="F6" s="8"/>
      <c r="G6" s="8"/>
      <c r="H6" s="8"/>
      <c r="I6" s="8"/>
      <c r="J6" s="8"/>
      <c r="K6" s="8"/>
      <c r="L6" s="8"/>
      <c r="M6" s="8"/>
      <c r="N6" s="8"/>
      <c r="O6" s="8"/>
      <c r="DH6" s="39" t="s">
        <v>32</v>
      </c>
    </row>
    <row r="7" ht="15.75" customHeight="1">
      <c r="A7" s="8"/>
      <c r="B7" s="39" t="s">
        <v>31</v>
      </c>
      <c r="C7" s="34"/>
      <c r="D7" s="34"/>
      <c r="E7" s="39" t="s">
        <v>66</v>
      </c>
      <c r="F7" s="8"/>
      <c r="G7" s="8"/>
      <c r="H7" s="8"/>
      <c r="I7" s="8"/>
      <c r="J7" s="8"/>
      <c r="K7" s="8"/>
      <c r="L7" s="8"/>
      <c r="M7" s="8"/>
      <c r="N7" s="8"/>
      <c r="O7" s="8"/>
      <c r="DH7" s="39" t="s">
        <v>33</v>
      </c>
    </row>
    <row r="8" ht="15.75" customHeight="1">
      <c r="A8" s="8"/>
      <c r="B8" s="39" t="s">
        <v>31</v>
      </c>
      <c r="C8" s="34"/>
      <c r="D8" s="34"/>
      <c r="E8" s="39" t="s">
        <v>66</v>
      </c>
      <c r="F8" s="8"/>
      <c r="G8" s="8"/>
      <c r="H8" s="8"/>
      <c r="I8" s="8"/>
      <c r="J8" s="8"/>
      <c r="K8" s="8"/>
      <c r="L8" s="8"/>
      <c r="M8" s="8"/>
      <c r="N8" s="8"/>
      <c r="O8" s="8"/>
      <c r="DH8" s="39" t="s">
        <v>34</v>
      </c>
    </row>
    <row r="9" ht="15.75" customHeight="1">
      <c r="A9" s="8"/>
      <c r="B9" s="39" t="s">
        <v>31</v>
      </c>
      <c r="C9" s="34"/>
      <c r="D9" s="34"/>
      <c r="E9" s="39" t="s">
        <v>66</v>
      </c>
      <c r="F9" s="8"/>
      <c r="G9" s="8"/>
      <c r="H9" s="8"/>
      <c r="I9" s="8"/>
      <c r="J9" s="8"/>
      <c r="K9" s="8"/>
      <c r="L9" s="8"/>
      <c r="M9" s="8"/>
      <c r="N9" s="8"/>
      <c r="O9" s="8"/>
      <c r="DH9" s="39" t="s">
        <v>35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47</v>
      </c>
      <c r="C6" s="45" t="s">
        <v>48</v>
      </c>
      <c r="D6" s="45">
        <f>TODAY()</f>
        <v>45139</v>
      </c>
      <c r="E6" s="32" t="s">
        <v>38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GetDataClosing3!$4:$4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  <c r="DH6" s="13" t="s">
        <v>39</v>
      </c>
    </row>
    <row r="7" ht="15.75" customHeight="1">
      <c r="A7" s="8"/>
      <c r="B7" s="13" t="s">
        <v>38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13" t="s">
        <v>40</v>
      </c>
    </row>
    <row r="8" ht="15.75" customHeight="1">
      <c r="A8" s="8"/>
      <c r="B8" s="13" t="s">
        <v>38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13" t="s">
        <v>41</v>
      </c>
    </row>
    <row r="9" ht="15.75" customHeight="1">
      <c r="A9" s="8"/>
      <c r="B9" s="13" t="s">
        <v>38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DH9" s="51" t="s">
        <v>42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SelectTradeUnexpiredUnsettled3!$4:$4</formula1>
    </dataValidation>
  </dataValidations>
  <drawing r:id="rId1"/>
</worksheet>
</file>