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SelectTradeOnOrderGrid" sheetId="6" r:id="rId8"/>
    <sheet state="visible" name="TransferToUserOrder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<sst xmlns="http://schemas.openxmlformats.org/spreadsheetml/2006/main" count="97" uniqueCount="66">
  <si>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</si>
  <si>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</si>
  <si>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</si>
  <si>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</si>
  <si>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</si>
  <si>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</si>
  <si>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</si>
  <si>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</si>
  <si>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</si>
  <si>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</si>
  <si>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</si>
  <si>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</si>
  <si>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</si>
  <si>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</si>
  <si>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</si>
  <si>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</si>
  <si>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</si>
  <si>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</si>
  <si>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</si>
  <si>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</si>
  <si>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</si>
  <si>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</si>
  <si>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</si>
  <si>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</si>
  <si>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</si>
  <si>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</si>
  <si>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</si>
  <si>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</si>
  <si>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</si>
  <si>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</si>
  <si>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</si>
  <si>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</si>
  <si>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</si>
  <si>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</si>
  <si>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</si>
  <si>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</si>
  <si>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</si>
  <si>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</si>
  <si>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</si>
  <si>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</si>
  <si>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</si>
  <si>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</si>
  <si>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</si>
  <si>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</si>
  <si>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</si>
  <si>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</si>
  <si>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</si>
  <si>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</si>
  <si>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</si>
  <si>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</si>
  <si>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DoneAway</t>
  </si>
  <si>
    <t>Buy</t>
  </si>
  <si>
    <t>PranaClient</t>
  </si>
  <si>
    <t>LoginClient</t>
  </si>
  <si>
    <t>Support6</t>
  </si>
  <si>
    <t>Nirvana@1</t>
  </si>
  <si>
    <t>Blotter</t>
  </si>
  <si>
    <t>SelectTradeOnOrderGrid</t>
  </si>
  <si>
    <t>TransferToUserOrder</t>
  </si>
  <si>
    <t>jgulbrandsen</t>
  </si>
  <si>
    <t>Yes</t>
  </si>
  <si>
    <t>VerifySubOrder</t>
  </si>
  <si>
    <t>jpearce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</si>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</sst>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5" fontId="11" numFmtId="0" xfId="0" applyFont="1"/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>
        <v>100.0</v>
      </c>
      <c r="D6" s="13">
        <v>10.0</v>
      </c>
      <c r="E6" s="13" t="s">
        <v>50</v>
      </c>
      <c r="F6" s="8"/>
      <c r="G6" s="8"/>
      <c r="H6" s="8"/>
      <c r="I6" s="8"/>
      <c r="J6" s="13" t="s">
        <v>51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IFERROR(__xludf.DUMMYFUNCTION("""COMPUTED_VALUE"""),"LoginUserName")</f>
        <v>LoginUserName</v>
      </c>
      <c r="C5" s="31" t="str">
        <f>IFERROR(__xludf.DUMMYFUNCTION("""COMPUTED_VALUE"""),"LoginPassword")</f>
        <v>LoginPassword</v>
      </c>
      <c r="D5" s="31"/>
      <c r="E5" s="31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54</v>
      </c>
      <c r="C6" s="33" t="s">
        <v>55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IFERROR(__xludf.DUMMYFUNCTION("""COMPUTED_VALUE"""),"Avg Fill Price (Base)")</f>
        <v>Avg Fill Price (Base)</v>
      </c>
      <c r="C5" s="31" t="str">
        <f>IFERROR(__xludf.DUMMYFUNCTION("""COMPUTED_VALUE"""),"Transaction Time")</f>
        <v>Transaction Time</v>
      </c>
      <c r="D5" s="31" t="str">
        <f>IFERROR(__xludf.DUMMYFUNCTION("""COMPUTED_VALUE"""),"Symbol")</f>
        <v>Symbol</v>
      </c>
      <c r="E5" s="31" t="str">
        <f>IFERROR(__xludf.DUMMYFUNCTION("""COMPUTED_VALUE"""),"Algo")</f>
        <v>Algo</v>
      </c>
      <c r="F5" s="28" t="str">
        <f>IFERROR(__xludf.DUMMYFUNCTION("""COMPUTED_VALUE"""),"Side")</f>
        <v>Side</v>
      </c>
      <c r="G5" s="31" t="str">
        <f>IFERROR(__xludf.DUMMYFUNCTION("""COMPUTED_VALUE"""),"Status")</f>
        <v>Status</v>
      </c>
      <c r="H5" s="31" t="str">
        <f>IFERROR(__xludf.DUMMYFUNCTION("""COMPUTED_VALUE"""),"Target Qty")</f>
        <v>Target Qty</v>
      </c>
      <c r="I5" s="31" t="str">
        <f>IFERROR(__xludf.DUMMYFUNCTION("""COMPUTED_VALUE"""),"Total Executed Qty")</f>
        <v>Total Executed Qty</v>
      </c>
      <c r="J5" s="31" t="str">
        <f>IFERROR(__xludf.DUMMYFUNCTION("""COMPUTED_VALUE"""),"% Executed")</f>
        <v>% Executed</v>
      </c>
      <c r="K5" s="31" t="str">
        <f>IFERROR(__xludf.DUMMYFUNCTION("""COMPUTED_VALUE"""),"Day Executed Qty")</f>
        <v>Day Executed Qty</v>
      </c>
      <c r="L5" s="31" t="str">
        <f>IFERROR(__xludf.DUMMYFUNCTION("""COMPUTED_VALUE"""),"Uncommitted Qty")</f>
        <v>Uncommitted Qty</v>
      </c>
      <c r="M5" s="31" t="str">
        <f>IFERROR(__xludf.DUMMYFUNCTION("""COMPUTED_VALUE"""),"Limit Price")</f>
        <v>Limit Price</v>
      </c>
      <c r="N5" s="31" t="str">
        <f>IFERROR(__xludf.DUMMYFUNCTION("""COMPUTED_VALUE"""),"Last Fill Price (Local)")</f>
        <v>Last Fill Price (Local)</v>
      </c>
      <c r="O5" s="31" t="str">
        <f>IFERROR(__xludf.DUMMYFUNCTION("""COMPUTED_VALUE"""),"Stop Price")</f>
        <v>Stop Price</v>
      </c>
      <c r="P5" s="31" t="str">
        <f>IFERROR(__xludf.DUMMYFUNCTION("""COMPUTED_VALUE"""),"Avg Fill Price (Local)")</f>
        <v>Avg Fill Price (Local)</v>
      </c>
      <c r="Q5" s="31" t="str">
        <f>IFERROR(__xludf.DUMMYFUNCTION("""COMPUTED_VALUE"""),"Broker")</f>
        <v>Broker</v>
      </c>
      <c r="R5" s="31" t="str">
        <f>IFERROR(__xludf.DUMMYFUNCTION("""COMPUTED_VALUE"""),"Account")</f>
        <v>Account</v>
      </c>
      <c r="S5" s="31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7" t="s">
        <v>49</v>
      </c>
      <c r="E6" s="36"/>
      <c r="F6" s="33" t="s">
        <v>51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IFERROR(__xludf.DUMMYFUNCTION("""COMPUTED_VALUE"""),"User")</f>
        <v>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1")</f>
        <v>Trade Attribute 1</v>
      </c>
      <c r="N5" s="31" t="str">
        <f>IFERROR(__xludf.DUMMYFUNCTION("""COMPUTED_VALUE"""),"Trade Attribute 2")</f>
        <v>Trade Attribute 2</v>
      </c>
      <c r="O5" s="31" t="str">
        <f>IFERROR(__xludf.DUMMYFUNCTION("""COMPUTED_VALUE"""),"Trade Attribute 3")</f>
        <v>Trade Attribute 3</v>
      </c>
      <c r="P5" s="31" t="str">
        <f>IFERROR(__xludf.DUMMYFUNCTION("""COMPUTED_VALUE"""),"Trade Attribute 4")</f>
        <v>Trade Attribute 4</v>
      </c>
      <c r="Q5" s="31" t="str">
        <f>IFERROR(__xludf.DUMMYFUNCTION("""COMPUTED_VALUE"""),"Trade Attribute 5")</f>
        <v>Trade Attribute 5</v>
      </c>
      <c r="R5" s="31" t="str">
        <f>IFERROR(__xludf.DUMMYFUNCTION("""COMPUTED_VALUE"""),"Trade Attribute 6")</f>
        <v>Trade Attribute 6</v>
      </c>
      <c r="S5" s="31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49</v>
      </c>
      <c r="AJ6" s="36" t="s">
        <v>51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59</v>
      </c>
      <c r="AY6" s="36"/>
      <c r="AZ6" s="36" t="s">
        <v>60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IFERROR(__xludf.DUMMYFUNCTION("""COMPUTED_VALUE"""),"Current User")</f>
        <v>Current 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6")</f>
        <v>Trade Attribute 6</v>
      </c>
      <c r="N5" s="31" t="str">
        <f>IFERROR(__xludf.DUMMYFUNCTION("""COMPUTED_VALUE"""),"Trade Attribute 5")</f>
        <v>Trade Attribute 5</v>
      </c>
      <c r="O5" s="31" t="str">
        <f>IFERROR(__xludf.DUMMYFUNCTION("""COMPUTED_VALUE"""),"Trade Attribute 4")</f>
        <v>Trade Attribute 4</v>
      </c>
      <c r="P5" s="31" t="str">
        <f>IFERROR(__xludf.DUMMYFUNCTION("""COMPUTED_VALUE"""),"Trade Attribute 3")</f>
        <v>Trade Attribute 3</v>
      </c>
      <c r="Q5" s="31" t="str">
        <f>IFERROR(__xludf.DUMMYFUNCTION("""COMPUTED_VALUE"""),"Trade Attribute 2")</f>
        <v>Trade Attribute 2</v>
      </c>
      <c r="R5" s="31" t="str">
        <f>IFERROR(__xludf.DUMMYFUNCTION("""COMPUTED_VALUE"""),"Trade Attribute 1")</f>
        <v>Trade Attribute 1</v>
      </c>
      <c r="S5" s="31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8" t="s">
        <v>62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49</v>
      </c>
      <c r="AJ6" s="36" t="s">
        <v>51</v>
      </c>
      <c r="AK6" s="36" t="s">
        <v>63</v>
      </c>
      <c r="AL6" s="39">
        <v>100.0</v>
      </c>
      <c r="AM6" s="39">
        <v>100.0</v>
      </c>
      <c r="AN6" s="36"/>
      <c r="AO6" s="36"/>
      <c r="AP6" s="36"/>
      <c r="AQ6" s="36" t="s">
        <v>64</v>
      </c>
      <c r="AR6" s="36" t="s">
        <v>65</v>
      </c>
      <c r="AS6" s="36"/>
      <c r="AT6" s="36"/>
      <c r="AU6" s="36"/>
      <c r="AV6" s="36"/>
      <c r="AW6" s="36"/>
      <c r="AX6" s="36"/>
      <c r="AY6" s="36"/>
      <c r="AZ6" s="38" t="s">
        <v>62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