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GetDataAllocation" sheetId="8" r:id="rId10"/>
    <sheet state="visible" name="CheckAllocatedGroups" sheetId="9" r:id="rId11"/>
    <sheet state="visible" name="GetDataClosing" sheetId="10" r:id="rId12"/>
    <sheet state="visible" name="VerifyLongPositionsGrid" sheetId="11" r:id="rId13"/>
    <sheet state="visible" name="CheckPortfolioManagement" sheetId="12" r:id="rId14"/>
    <sheet state="visible" name="GetActivityData" sheetId="13" r:id="rId15"/>
    <sheet state="visible" name="VerifyActivity" sheetId="14" r:id="rId16"/>
  </sheets>
  <definedNames/>
  <calcPr/>
</workbook>
</file>

<file path=xl/sharedStrings.xml><?xml version="1.0" encoding="utf-8"?>
<sst xmlns="http://schemas.openxmlformats.org/spreadsheetml/2006/main" count="168" uniqueCount="46">
  <si>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</si>
  <si>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</si>
  <si>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</si>
  <si>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</si>
  <si>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</si>
  <si>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</si>
  <si>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</si>
  <si>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</si>
  <si>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</si>
  <si>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</si>
  <si>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</si>
  <si>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</si>
  <si>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</si>
  <si>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</si>
  <si>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</si>
  <si>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</si>
  <si>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</si>
  <si>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</si>
  <si>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</si>
  <si>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</si>
  <si>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Unallocated</t>
  </si>
  <si>
    <t>AAPL</t>
  </si>
  <si>
    <t>Allocation1,Allocation2</t>
  </si>
  <si>
    <t>53.57,46.43</t>
  </si>
  <si>
    <t>Allocation</t>
  </si>
  <si>
    <t>SetGeneralPreferences</t>
  </si>
  <si>
    <t>Fair Pricing</t>
  </si>
  <si>
    <t>Account Inception</t>
  </si>
  <si>
    <t>SelectUnallocatedGroup</t>
  </si>
  <si>
    <t>EnterAccountValuesToAllocate</t>
  </si>
  <si>
    <t>GetDataAllocation</t>
  </si>
  <si>
    <t>Current</t>
  </si>
  <si>
    <t>CheckAllocatedGroups</t>
  </si>
  <si>
    <t>Closing</t>
  </si>
  <si>
    <t>GetDataClosing</t>
  </si>
  <si>
    <t>VerifyLongPositionsGrid</t>
  </si>
  <si>
    <t>PortfolioManagement</t>
  </si>
  <si>
    <t>CheckPortfolioManagement</t>
  </si>
  <si>
    <t>GeneralLedger</t>
  </si>
  <si>
    <t>GetActivityData</t>
  </si>
  <si>
    <t>SelectAll</t>
  </si>
  <si>
    <t>No</t>
  </si>
  <si>
    <t>Yes</t>
  </si>
  <si>
    <t>VerifyActivity</t>
  </si>
  <si>
    <t>EquityL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</si>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</sst>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117.0</v>
      </c>
      <c r="E6" s="35"/>
      <c r="F6" s="33" t="s">
        <v>18</v>
      </c>
      <c r="G6" s="35"/>
      <c r="H6" s="35"/>
      <c r="I6" s="35"/>
      <c r="J6" s="36">
        <v>18.0</v>
      </c>
      <c r="K6" s="35"/>
      <c r="L6" s="35"/>
      <c r="M6" s="35"/>
      <c r="N6" s="37">
        <f t="shared" ref="N6:N12" si="1">TODAY()</f>
        <v>45303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17</v>
      </c>
      <c r="D7" s="36">
        <v>183.0</v>
      </c>
      <c r="E7" s="35"/>
      <c r="F7" s="33" t="s">
        <v>19</v>
      </c>
      <c r="G7" s="35"/>
      <c r="H7" s="35"/>
      <c r="I7" s="35"/>
      <c r="J7" s="36">
        <v>18.0</v>
      </c>
      <c r="K7" s="35"/>
      <c r="L7" s="35"/>
      <c r="M7" s="35"/>
      <c r="N7" s="37">
        <f t="shared" si="1"/>
        <v>45303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17</v>
      </c>
      <c r="D8" s="36">
        <v>1000.0</v>
      </c>
      <c r="E8" s="35"/>
      <c r="F8" s="33" t="s">
        <v>20</v>
      </c>
      <c r="G8" s="35"/>
      <c r="H8" s="35"/>
      <c r="I8" s="35"/>
      <c r="J8" s="36">
        <v>2.4</v>
      </c>
      <c r="K8" s="35"/>
      <c r="L8" s="35"/>
      <c r="M8" s="35"/>
      <c r="N8" s="37">
        <f t="shared" si="1"/>
        <v>45303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16</v>
      </c>
      <c r="C9" s="33" t="s">
        <v>17</v>
      </c>
      <c r="D9" s="36">
        <v>100.0</v>
      </c>
      <c r="E9" s="35"/>
      <c r="F9" s="33" t="s">
        <v>20</v>
      </c>
      <c r="G9" s="35"/>
      <c r="H9" s="35"/>
      <c r="I9" s="35"/>
      <c r="J9" s="36">
        <v>30.67</v>
      </c>
      <c r="K9" s="35"/>
      <c r="L9" s="35"/>
      <c r="M9" s="35"/>
      <c r="N9" s="37">
        <f t="shared" si="1"/>
        <v>45303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8" t="s">
        <v>21</v>
      </c>
      <c r="C10" s="33" t="s">
        <v>17</v>
      </c>
      <c r="D10" s="36">
        <v>100.0</v>
      </c>
      <c r="E10" s="35"/>
      <c r="F10" s="33" t="s">
        <v>20</v>
      </c>
      <c r="G10" s="35"/>
      <c r="H10" s="35"/>
      <c r="I10" s="35"/>
      <c r="J10" s="36">
        <v>2.3655</v>
      </c>
      <c r="K10" s="35"/>
      <c r="L10" s="35"/>
      <c r="M10" s="35"/>
      <c r="N10" s="39">
        <f t="shared" si="1"/>
        <v>45303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16</v>
      </c>
      <c r="C11" s="33" t="s">
        <v>17</v>
      </c>
      <c r="D11" s="36">
        <v>1400.0</v>
      </c>
      <c r="E11" s="35"/>
      <c r="F11" s="35"/>
      <c r="G11" s="35"/>
      <c r="H11" s="35"/>
      <c r="I11" s="35"/>
      <c r="J11" s="36">
        <v>1.0</v>
      </c>
      <c r="K11" s="35"/>
      <c r="L11" s="35"/>
      <c r="M11" s="35"/>
      <c r="N11" s="37">
        <f t="shared" si="1"/>
        <v>45303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 t="s">
        <v>22</v>
      </c>
      <c r="AL11" s="35" t="s">
        <v>23</v>
      </c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8" t="s">
        <v>21</v>
      </c>
      <c r="C12" s="33" t="s">
        <v>17</v>
      </c>
      <c r="D12" s="40">
        <v>102.0</v>
      </c>
      <c r="E12" s="35"/>
      <c r="F12" s="33" t="s">
        <v>20</v>
      </c>
      <c r="G12" s="35"/>
      <c r="H12" s="35"/>
      <c r="I12" s="35"/>
      <c r="J12" s="36">
        <v>2.3655</v>
      </c>
      <c r="K12" s="35"/>
      <c r="L12" s="35"/>
      <c r="M12" s="35"/>
      <c r="N12" s="37">
        <f t="shared" si="1"/>
        <v>45303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41" t="b">
        <v>0</v>
      </c>
      <c r="C6" s="35"/>
      <c r="D6" s="31"/>
      <c r="E6" s="35"/>
      <c r="F6" s="35"/>
      <c r="G6" s="35"/>
      <c r="H6" s="35"/>
      <c r="I6" s="35"/>
      <c r="J6" s="35"/>
      <c r="K6" s="35"/>
      <c r="L6" s="33" t="s">
        <v>26</v>
      </c>
      <c r="M6" s="35" t="s">
        <v>19</v>
      </c>
      <c r="N6" s="33" t="s">
        <v>27</v>
      </c>
      <c r="O6" s="35"/>
      <c r="P6" s="35"/>
      <c r="Q6" s="42" t="b">
        <v>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/>
      <c r="D6" s="43">
        <v>1000.0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5"/>
      <c r="D7" s="43">
        <v>100.0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8" t="s">
        <v>21</v>
      </c>
      <c r="C8" s="35"/>
      <c r="D8" s="43">
        <v>100.0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6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8" t="s">
        <v>21</v>
      </c>
      <c r="C9" s="35"/>
      <c r="D9" s="43">
        <v>102.0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6">
        <v>50.0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6">
        <v>50.0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31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44">
        <v>1000.0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4">
        <v>1000.0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44">
        <v>100.0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44">
        <v>100.0</v>
      </c>
      <c r="BK7" s="35"/>
      <c r="BL7" s="35"/>
      <c r="BM7" s="35"/>
      <c r="BN7" s="35"/>
      <c r="BO7" s="35" t="s">
        <v>17</v>
      </c>
      <c r="BP7" s="35"/>
      <c r="BQ7" s="35"/>
      <c r="BR7" s="35"/>
      <c r="BS7" s="35"/>
      <c r="BT7" s="35" t="s">
        <v>16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40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44">
        <v>100.0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44">
        <v>100.0</v>
      </c>
      <c r="BK8" s="35"/>
      <c r="BL8" s="35"/>
      <c r="BM8" s="35"/>
      <c r="BN8" s="35"/>
      <c r="BO8" s="35" t="s">
        <v>17</v>
      </c>
      <c r="BP8" s="35"/>
      <c r="BQ8" s="35"/>
      <c r="BR8" s="35"/>
      <c r="BS8" s="35"/>
      <c r="BT8" s="43" t="s">
        <v>21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45">
        <v>102.0</v>
      </c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45">
        <v>102.0</v>
      </c>
      <c r="BK9" s="35"/>
      <c r="BL9" s="35"/>
      <c r="BM9" s="35"/>
      <c r="BN9" s="35"/>
      <c r="BO9" s="35" t="s">
        <v>17</v>
      </c>
      <c r="BP9" s="35"/>
      <c r="BQ9" s="35"/>
      <c r="BR9" s="35"/>
      <c r="BS9" s="35"/>
      <c r="BT9" s="43" t="s">
        <v>21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31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 t="str">
        <f>IFERROR(__xludf.DUMMYFUNCTION("""COMPUTED_VALUE"""),"CustomUDA1")</f>
        <v>CustomUDA1</v>
      </c>
      <c r="AC5" s="30" t="str">
        <f>IFERROR(__xludf.DUMMYFUNCTION("""COMPUTED_VALUE"""),"CustomUDA2")</f>
        <v>CustomUDA2</v>
      </c>
      <c r="AD5" s="30" t="str">
        <f>IFERROR(__xludf.DUMMYFUNCTION("""COMPUTED_VALUE"""),"CustomUDA3")</f>
        <v>CustomUDA3</v>
      </c>
      <c r="AE5" s="30" t="str">
        <f>IFERROR(__xludf.DUMMYFUNCTION("""COMPUTED_VALUE"""),"CustomUDA4")</f>
        <v>CustomUDA4</v>
      </c>
      <c r="AF5" s="30" t="str">
        <f>IFERROR(__xludf.DUMMYFUNCTION("""COMPUTED_VALUE"""),"CustomUDA5")</f>
        <v>CustomUDA5</v>
      </c>
      <c r="AG5" s="30" t="str">
        <f>IFERROR(__xludf.DUMMYFUNCTION("""COMPUTED_VALUE"""),"CustomUDA6")</f>
        <v>CustomUDA6</v>
      </c>
      <c r="AH5" s="30" t="str">
        <f>IFERROR(__xludf.DUMMYFUNCTION("""COMPUTED_VALUE"""),"CustomUDA7")</f>
        <v>CustomUDA7</v>
      </c>
      <c r="AI5" s="30" t="str">
        <f>IFERROR(__xludf.DUMMYFUNCTION("""COMPUTED_VALUE"""),"CustomUDA8")</f>
        <v>CustomUDA8</v>
      </c>
      <c r="AJ5" s="30" t="str">
        <f>IFERROR(__xludf.DUMMYFUNCTION("""COMPUTED_VALUE"""),"CustomUDA9")</f>
        <v>CustomUDA9</v>
      </c>
      <c r="AK5" s="30" t="str">
        <f>IFERROR(__xludf.DUMMYFUNCTION("""COMPUTED_VALUE"""),"CustomUDA10")</f>
        <v>CustomUDA10</v>
      </c>
      <c r="AL5" s="30" t="str">
        <f>IFERROR(__xludf.DUMMYFUNCTION("""COMPUTED_VALUE"""),"CustomUDA11")</f>
        <v>CustomUDA11</v>
      </c>
      <c r="AM5" s="30" t="str">
        <f>IFERROR(__xludf.DUMMYFUNCTION("""COMPUTED_VALUE"""),"CustomUDA12")</f>
        <v>CustomUDA12</v>
      </c>
      <c r="AN5" s="30" t="str">
        <f>IFERROR(__xludf.DUMMYFUNCTION("""COMPUTED_VALUE"""),"MandatoryColumn")</f>
        <v>MandatoryColumn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 t="s">
        <v>16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 t="s">
        <v>16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19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43" t="s">
        <v>21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43" t="s">
        <v>21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33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17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ht="15.75" customHeight="1">
      <c r="A7" s="35"/>
      <c r="B7" s="35"/>
      <c r="C7" s="33" t="s">
        <v>16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17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ht="15.75" customHeight="1">
      <c r="A8" s="35"/>
      <c r="B8" s="35"/>
      <c r="C8" s="38" t="s">
        <v>21</v>
      </c>
      <c r="D8" s="35"/>
      <c r="E8" s="33" t="s">
        <v>19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17</v>
      </c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</row>
    <row r="9" ht="15.75" customHeight="1">
      <c r="A9" s="35"/>
      <c r="B9" s="35"/>
      <c r="C9" s="38" t="s">
        <v>21</v>
      </c>
      <c r="D9" s="35"/>
      <c r="E9" s="33" t="s">
        <v>19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17</v>
      </c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 t="str">
        <f>IFERROR(__xludf.DUMMYFUNCTION("""COMPUTED_VALUE"""),"SettlementDate")</f>
        <v>SettlementDate</v>
      </c>
      <c r="G5" s="28" t="str">
        <f>IFERROR(__xludf.DUMMYFUNCTION("""COMPUTED_VALUE"""),"TradeDate")</f>
        <v>TradeDate</v>
      </c>
      <c r="H5" s="28" t="str">
        <f>IFERROR(__xludf.DUMMYFUNCTION("""COMPUTED_VALUE"""),"All")</f>
        <v>All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40</v>
      </c>
      <c r="C6" s="33" t="s">
        <v>22</v>
      </c>
      <c r="D6" s="39">
        <f>TODAY()-1</f>
        <v>45302</v>
      </c>
      <c r="E6" s="39">
        <f>TODAY()</f>
        <v>45303</v>
      </c>
      <c r="F6" s="33" t="s">
        <v>41</v>
      </c>
      <c r="G6" s="33" t="s">
        <v>41</v>
      </c>
      <c r="H6" s="33" t="s">
        <v>42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IFERROR(__xludf.DUMMYFUNCTION("""COMPUTED_VALUE"""),"Activity Source")</f>
        <v>Activity Source</v>
      </c>
      <c r="D5" s="28" t="str">
        <f>IFERROR(__xludf.DUMMYFUNCTION("""COMPUTED_VALUE"""),"ActivityType")</f>
        <v>ActivityType</v>
      </c>
      <c r="E5" s="28" t="str">
        <f>IFERROR(__xludf.DUMMYFUNCTION("""COMPUTED_VALUE"""),"Net Amount(Local)")</f>
        <v>Net Amount(Local)</v>
      </c>
      <c r="F5" s="29" t="str">
        <f>IFERROR(__xludf.DUMMYFUNCTION("""COMPUTED_VALUE"""),"AUEC Fee1")</f>
        <v>AUEC Fee1</v>
      </c>
      <c r="G5" s="28" t="str">
        <f>IFERROR(__xludf.DUMMYFUNCTION("""COMPUTED_VALUE"""),"AUEC Fee2")</f>
        <v>AUEC Fee2</v>
      </c>
      <c r="H5" s="28" t="str">
        <f>IFERROR(__xludf.DUMMYFUNCTION("""COMPUTED_VALUE"""),"Balance Type")</f>
        <v>Balance Type</v>
      </c>
      <c r="I5" s="28" t="str">
        <f>IFERROR(__xludf.DUMMYFUNCTION("""COMPUTED_VALUE"""),"Clearing Broker Fees")</f>
        <v>Clearing Broker Fees</v>
      </c>
      <c r="J5" s="28" t="str">
        <f>IFERROR(__xludf.DUMMYFUNCTION("""COMPUTED_VALUE"""),"Commission")</f>
        <v>Commission</v>
      </c>
      <c r="K5" s="28" t="str">
        <f>IFERROR(__xludf.DUMMYFUNCTION("""COMPUTED_VALUE"""),"Currency")</f>
        <v>Currency</v>
      </c>
      <c r="L5" s="28" t="str">
        <f>IFERROR(__xludf.DUMMYFUNCTION("""COMPUTED_VALUE"""),"Description")</f>
        <v>Description</v>
      </c>
      <c r="M5" s="28" t="str">
        <f>IFERROR(__xludf.DUMMYFUNCTION("""COMPUTED_VALUE"""),"Entry Date")</f>
        <v>Entry Date</v>
      </c>
      <c r="N5" s="28" t="str">
        <f>IFERROR(__xludf.DUMMYFUNCTION("""COMPUTED_VALUE"""),"FX Conversion Method Operator")</f>
        <v>FX Conversion Method Operator</v>
      </c>
      <c r="O5" s="28" t="str">
        <f>IFERROR(__xludf.DUMMYFUNCTION("""COMPUTED_VALUE"""),"Fx Rate")</f>
        <v>Fx Rate</v>
      </c>
      <c r="P5" s="28" t="str">
        <f>IFERROR(__xludf.DUMMYFUNCTION("""COMPUTED_VALUE"""),"Lead Currency")</f>
        <v>Lead Currency</v>
      </c>
      <c r="Q5" s="28" t="str">
        <f>IFERROR(__xludf.DUMMYFUNCTION("""COMPUTED_VALUE"""),"Modify date")</f>
        <v>Modify date</v>
      </c>
      <c r="R5" s="28" t="str">
        <f>IFERROR(__xludf.DUMMYFUNCTION("""COMPUTED_VALUE"""),"OCC Fee")</f>
        <v>OCC Fee</v>
      </c>
      <c r="S5" s="28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/>
      <c r="D6" s="32" t="s">
        <v>44</v>
      </c>
      <c r="E6" s="35"/>
      <c r="F6" s="35"/>
      <c r="G6" s="35"/>
      <c r="H6" s="35"/>
      <c r="I6" s="35"/>
      <c r="J6" s="35"/>
      <c r="K6" s="33" t="s">
        <v>45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 t="s">
        <v>16</v>
      </c>
      <c r="AC6" s="35"/>
      <c r="AD6" s="35"/>
      <c r="AE6" s="46">
        <f t="shared" ref="AE6:AE7" si="1">TODAY()</f>
        <v>45303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5"/>
      <c r="D7" s="33" t="s">
        <v>44</v>
      </c>
      <c r="E7" s="35"/>
      <c r="F7" s="35"/>
      <c r="G7" s="35"/>
      <c r="H7" s="35"/>
      <c r="I7" s="35"/>
      <c r="J7" s="35"/>
      <c r="K7" s="33" t="s">
        <v>45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 t="s">
        <v>16</v>
      </c>
      <c r="AC7" s="35"/>
      <c r="AD7" s="35"/>
      <c r="AE7" s="46">
        <f t="shared" si="1"/>
        <v>45303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19</v>
      </c>
      <c r="C8" s="35"/>
      <c r="D8" s="33" t="s">
        <v>44</v>
      </c>
      <c r="E8" s="35"/>
      <c r="F8" s="35"/>
      <c r="G8" s="35"/>
      <c r="H8" s="35"/>
      <c r="I8" s="35"/>
      <c r="J8" s="35"/>
      <c r="K8" s="33" t="s">
        <v>45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43" t="s">
        <v>21</v>
      </c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19</v>
      </c>
      <c r="C9" s="35"/>
      <c r="D9" s="33" t="s">
        <v>44</v>
      </c>
      <c r="E9" s="35"/>
      <c r="F9" s="35"/>
      <c r="G9" s="35"/>
      <c r="H9" s="35"/>
      <c r="I9" s="35"/>
      <c r="J9" s="35"/>
      <c r="K9" s="33" t="s">
        <v>45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43" t="s">
        <v>21</v>
      </c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