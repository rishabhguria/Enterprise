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CreateDoneAwayOrder1" sheetId="9" r:id="rId11"/>
    <sheet state="visible" name="CreateReplaceOrder" sheetId="10" r:id="rId12"/>
    <sheet state="visible" name="CreateComplianceOrder" sheetId="11" r:id="rId13"/>
    <sheet state="visible" name="VerifyComplianceOrder" sheetId="12" r:id="rId14"/>
    <sheet state="visible" name="PricingInput" sheetId="13" r:id="rId15"/>
    <sheet state="visible" name="GetForexConversion" sheetId="14" r:id="rId16"/>
    <sheet state="visible" name="UpdateForexConversion" sheetId="15" r:id="rId17"/>
    <sheet state="visible" name="SelectTradeOnOrderGrid" sheetId="16" r:id="rId18"/>
    <sheet state="visible" name="ReplaceSubOrder" sheetId="17" r:id="rId19"/>
    <sheet state="visible" name="SelectTradeOnOrderGrid1" sheetId="18" r:id="rId20"/>
    <sheet state="visible" name="ReplaceSubOrder1" sheetId="19" r:id="rId21"/>
  </sheets>
  <definedNames/>
  <calcPr/>
</workbook>
</file>

<file path=xl/sharedStrings.xml><?xml version="1.0" encoding="utf-8"?>
<sst xmlns="http://schemas.openxmlformats.org/spreadsheetml/2006/main" count="200" uniqueCount="65">
  <si>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</si>
  <si>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</si>
  <si>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</si>
  <si>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</si>
  <si>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</si>
  <si>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</si>
  <si>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</si>
  <si>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</si>
  <si>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</si>
  <si>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</si>
  <si>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</si>
  <si>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</si>
  <si>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</si>
  <si>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</si>
  <si>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</si>
  <si>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</si>
  <si>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</si>
  <si>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</si>
  <si>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FRU-TC</t>
  </si>
  <si>
    <t>Buy</t>
  </si>
  <si>
    <t>Allocation1</t>
  </si>
  <si>
    <t>Yes</t>
  </si>
  <si>
    <t>CreateLiveOrder</t>
  </si>
  <si>
    <t>Simulator</t>
  </si>
  <si>
    <t>SelectTrade</t>
  </si>
  <si>
    <t>AcknowledgeTrade</t>
  </si>
  <si>
    <t>Sell</t>
  </si>
  <si>
    <t>CreateReplaceOrder</t>
  </si>
  <si>
    <t>CreateComplianceOrder</t>
  </si>
  <si>
    <t>Replace</t>
  </si>
  <si>
    <t>VerifyComplianceOrder</t>
  </si>
  <si>
    <t>Soft</t>
  </si>
  <si>
    <t>Order Side Check</t>
  </si>
  <si>
    <t>The Order Side Sell is invalid for this trade</t>
  </si>
  <si>
    <t>Allocation1-FRU-TC</t>
  </si>
  <si>
    <t>Order Side: Sell, Symbol: FRU-TC, Account: Allocation1, Quantity before trade: 100.00, Order quantity: -101.00, Quantity if trade is executed: -1.00</t>
  </si>
  <si>
    <t>No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</si>
  <si>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</si>
  <si>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</si>
  <si>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</si>
  <si>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-1.00, selectedFeedPrice: 20.00, dayPnLBase: -1,212.00, dayPnLLocal: -1,818.00, costBasisPnLBase: -1,212.00, costBasisPnLLocal: -1,818.00, netMarketValueBase: -13.3333, netMarketValueLocal: -20.00, grossExposureBase: 13.3333, grossExposureLocal: 20.00, AccountShortName: Allocation1, Symbol: FRU-TC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</si>
  <si>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</si>
  <si>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</si>
  <si>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NewMF-FRU-TC</t>
  </si>
  <si>
    <t>masterFundName: NewMF, quantity: -1.00, sharesOutstanding: 10,000,000.00, Symbol: FRU-TC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</si>
  <si>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</si>
  <si>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</si>
  <si>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-1.00, selectedFeedPrice: 20.00, dayPnLBase: -1,212.00, dayPnLLocal: -1,818.00, costBasisPnLBase: -1,212.00, costBasisPnLLocal: -1,818.00, netMarketValueBase: -13.3333, netMarketValueLocal: -20.00, grossMarketValueBase: 13.3333, grossMarketValueLocal: 20.00, MasterFundName: NewMF, Symbol: FRU-TC</t>
  </si>
  <si>
    <t>Symbol-Aj</t>
  </si>
  <si>
    <t>quantity: -1.00, selectedFeedPrice: 20.00, dayPnLBase: -1,212.00, dayPnLLocal: -1,818.00, costBasisPnLBase: -1,212.00, costBasisPnLLocal: -1,818.00, netMarketValueBase: -13.3333, netMarketValueLocal: -20.00, grossMarketValueBase: 13.3333, grossMarketValueLocal: 20.00, Symbol: FRU-TC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</si>
  <si>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</si>
  <si>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</si>
  <si>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101.00, avgPrice: 2.00, selectedFeedPrice: 20.00, dayPnLBase: -1,212.00, dayPnLLocal: -1,818.00, costBasisPnLBase: -1,212.00, costBasisPnLLocal: -1,818.00, netMarketValueBase: -1,346.6667, netMarketValueLocal: -2,020.00, grossExposureBase: 1,346.6667, grossExposureLocal: 2,020.00, Symbol: FRU-TC</t>
  </si>
  <si>
    <t>PricingInput</t>
  </si>
  <si>
    <t>DailyValuation</t>
  </si>
  <si>
    <t>GetForexConversion</t>
  </si>
  <si>
    <t>UpdateForexConversion</t>
  </si>
  <si>
    <t>USD</t>
  </si>
  <si>
    <t>CAD</t>
  </si>
  <si>
    <t>CAD AO-FX</t>
  </si>
  <si>
    <t>Blotter</t>
  </si>
  <si>
    <t>SelectTradeOnOrderGrid</t>
  </si>
  <si>
    <t>Filled</t>
  </si>
  <si>
    <t>ReplaceSubOrder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</si>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</sst>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3" numFmtId="14" xfId="0" applyAlignment="1" applyFill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2" t="b">
        <v>1</v>
      </c>
      <c r="E6" s="3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18</v>
      </c>
      <c r="C6" s="34" t="s">
        <v>19</v>
      </c>
      <c r="D6" s="35">
        <v>500.0</v>
      </c>
      <c r="E6" s="31"/>
      <c r="F6" s="34" t="s">
        <v>20</v>
      </c>
      <c r="G6" s="31"/>
      <c r="H6" s="31"/>
      <c r="I6" s="31"/>
      <c r="J6" s="36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21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7">
        <v>2.0</v>
      </c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18</v>
      </c>
      <c r="C6" s="34" t="s">
        <v>19</v>
      </c>
      <c r="D6" s="36">
        <v>100.0</v>
      </c>
      <c r="E6" s="36"/>
      <c r="F6" s="34" t="s">
        <v>20</v>
      </c>
      <c r="G6" s="31"/>
      <c r="H6" s="31"/>
      <c r="I6" s="31"/>
      <c r="J6" s="36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8" t="s">
        <v>21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3" t="s">
        <v>18</v>
      </c>
      <c r="D6" s="38"/>
      <c r="E6" s="34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19</v>
      </c>
      <c r="C6" s="33" t="s">
        <v>18</v>
      </c>
      <c r="D6" s="3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18</v>
      </c>
      <c r="C6" s="33" t="s">
        <v>26</v>
      </c>
      <c r="D6" s="35">
        <v>500.0</v>
      </c>
      <c r="E6" s="31"/>
      <c r="F6" s="34" t="s">
        <v>20</v>
      </c>
      <c r="G6" s="31"/>
      <c r="H6" s="31"/>
      <c r="I6" s="31"/>
      <c r="J6" s="36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21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8"/>
      <c r="D6" s="13">
        <v>501.0</v>
      </c>
      <c r="E6" s="8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8"/>
      <c r="D6" s="13">
        <v>601.0</v>
      </c>
      <c r="E6" s="8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21</v>
      </c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13" t="s">
        <v>32</v>
      </c>
      <c r="D6" s="13" t="s">
        <v>33</v>
      </c>
      <c r="E6" s="13" t="s">
        <v>34</v>
      </c>
      <c r="F6" s="13">
        <v>100.0</v>
      </c>
      <c r="G6" s="13">
        <v>-1.0</v>
      </c>
      <c r="H6" s="13" t="s">
        <v>35</v>
      </c>
      <c r="I6" s="8"/>
      <c r="J6" s="8"/>
      <c r="K6" s="13" t="s">
        <v>36</v>
      </c>
      <c r="L6" s="8"/>
      <c r="M6" s="13" t="s">
        <v>29</v>
      </c>
      <c r="N6" s="8"/>
      <c r="O6" s="8"/>
    </row>
    <row r="7" ht="15.75" customHeight="1">
      <c r="A7" s="8"/>
      <c r="B7" s="13" t="s">
        <v>31</v>
      </c>
      <c r="C7" s="13" t="s">
        <v>37</v>
      </c>
      <c r="D7" s="13" t="s">
        <v>38</v>
      </c>
      <c r="E7" s="13" t="s">
        <v>34</v>
      </c>
      <c r="F7" s="13" t="s">
        <v>39</v>
      </c>
      <c r="G7" s="13" t="s">
        <v>39</v>
      </c>
      <c r="H7" s="13" t="s">
        <v>40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41</v>
      </c>
      <c r="D8" s="9" t="s">
        <v>42</v>
      </c>
      <c r="E8" s="13" t="s">
        <v>43</v>
      </c>
      <c r="F8" s="13">
        <v>0.0</v>
      </c>
      <c r="G8" s="13">
        <v>1.0E7</v>
      </c>
      <c r="H8" s="13" t="s">
        <v>44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31</v>
      </c>
      <c r="C9" s="13" t="s">
        <v>45</v>
      </c>
      <c r="D9" s="13" t="s">
        <v>46</v>
      </c>
      <c r="E9" s="13" t="s">
        <v>43</v>
      </c>
      <c r="F9" s="13" t="s">
        <v>39</v>
      </c>
      <c r="G9" s="13" t="s">
        <v>39</v>
      </c>
      <c r="H9" s="13" t="s">
        <v>47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31</v>
      </c>
      <c r="C10" s="13" t="s">
        <v>48</v>
      </c>
      <c r="D10" s="13" t="s">
        <v>46</v>
      </c>
      <c r="E10" s="13" t="s">
        <v>18</v>
      </c>
      <c r="F10" s="13" t="s">
        <v>39</v>
      </c>
      <c r="G10" s="13" t="s">
        <v>39</v>
      </c>
      <c r="H10" s="13" t="s">
        <v>49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31</v>
      </c>
      <c r="C11" s="13" t="s">
        <v>50</v>
      </c>
      <c r="D11" s="13" t="s">
        <v>51</v>
      </c>
      <c r="E11" s="13" t="s">
        <v>18</v>
      </c>
      <c r="F11" s="13" t="s">
        <v>39</v>
      </c>
      <c r="G11" s="13" t="s">
        <v>39</v>
      </c>
      <c r="H11" s="13" t="s">
        <v>52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3" t="s">
        <v>18</v>
      </c>
      <c r="C6" s="36">
        <v>20.0</v>
      </c>
      <c r="D6" s="3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0">
        <v>1.0E7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>
        <f t="shared" ref="B6:C6" si="1">TODAY()-1</f>
        <v>44916</v>
      </c>
      <c r="C6" s="41">
        <f t="shared" si="1"/>
        <v>44916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57</v>
      </c>
      <c r="C6" s="42" t="s">
        <v>58</v>
      </c>
      <c r="D6" s="43" t="s">
        <v>59</v>
      </c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3" t="s">
        <v>18</v>
      </c>
      <c r="E6" s="8"/>
      <c r="F6" s="13" t="s">
        <v>26</v>
      </c>
      <c r="G6" s="13" t="s">
        <v>62</v>
      </c>
      <c r="H6" s="13">
        <v>500.0</v>
      </c>
      <c r="I6" s="13">
        <v>500.0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33" t="s">
        <v>18</v>
      </c>
      <c r="AK6" s="9" t="s">
        <v>26</v>
      </c>
      <c r="AL6" s="9" t="s">
        <v>62</v>
      </c>
      <c r="AM6" s="9">
        <v>500.0</v>
      </c>
      <c r="AN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3" t="s">
        <v>18</v>
      </c>
      <c r="E6" s="8"/>
      <c r="F6" s="13" t="s">
        <v>26</v>
      </c>
      <c r="G6" s="13" t="s">
        <v>62</v>
      </c>
      <c r="H6" s="13">
        <v>500.0</v>
      </c>
      <c r="I6" s="13">
        <v>500.0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33" t="s">
        <v>18</v>
      </c>
      <c r="AK6" s="13" t="s">
        <v>26</v>
      </c>
      <c r="AL6" s="9" t="s">
        <v>64</v>
      </c>
      <c r="AM6" s="9">
        <v>501.0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