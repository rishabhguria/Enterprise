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SetGeneralPreferences" sheetId="5" r:id="rId7"/>
    <sheet state="visible" name="RunProrata" sheetId="6" r:id="rId8"/>
    <sheet state="visible" name="CustomOrderTT1" sheetId="7" r:id="rId9"/>
    <sheet state="visible" name="CaptureHotButtonDetails" sheetId="8" r:id="rId10"/>
    <sheet state="visible" name="CreateHotButtonOnBlotter" sheetId="9" r:id="rId11"/>
    <sheet state="visible" name="FillHBdetailsOnBlotter" sheetId="10" r:id="rId12"/>
    <sheet state="visible" name="EnableOrVerifyHotButton" sheetId="11" r:id="rId13"/>
    <sheet state="visible" name="EnableOrVerifyHotButton1" sheetId="12" r:id="rId14"/>
    <sheet state="visible" name="CustomOrderTT2" sheetId="13" r:id="rId15"/>
    <sheet state="visible" name="VerifyTT" sheetId="14" r:id="rId16"/>
    <sheet state="visible" name="VerifyOrder" sheetId="15" r:id="rId17"/>
    <sheet state="visible" name="Copy of Data" sheetId="16" r:id="rId18"/>
  </sheets>
  <definedNames/>
  <calcPr/>
</workbook>
</file>

<file path=xl/sharedStrings.xml><?xml version="1.0" encoding="utf-8"?>
<sst xmlns="http://schemas.openxmlformats.org/spreadsheetml/2006/main" count="157" uniqueCount="51">
  <si>
    <t>Modules Info</t>
  </si>
  <si>
    <t>Modules</t>
  </si>
  <si>
    <t>Settings</t>
  </si>
  <si>
    <t>Module Step Setting File</t>
  </si>
  <si>
    <t>1ua6ENR4AYwAWggYDcO5ubv4JU_7oqW8hUziMaEUEncQ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</si>
  <si>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</si>
  <si>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</si>
  <si>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</si>
  <si>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</si>
  <si>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</si>
  <si>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</si>
  <si>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</si>
  <si>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</si>
  <si>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</si>
  <si>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</si>
  <si>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</si>
  <si>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</si>
  <si>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DoneAway</t>
  </si>
  <si>
    <t>Buy</t>
  </si>
  <si>
    <t>Allocation1,Allocation2</t>
  </si>
  <si>
    <t>50,50</t>
  </si>
  <si>
    <t>Allocation</t>
  </si>
  <si>
    <t>SetGeneralPreferences</t>
  </si>
  <si>
    <t>Nirvana</t>
  </si>
  <si>
    <t>RunProrata</t>
  </si>
  <si>
    <t>CreateOrder</t>
  </si>
  <si>
    <t>Blotter</t>
  </si>
  <si>
    <t>CaptureHotButtonDetails</t>
  </si>
  <si>
    <t>New</t>
  </si>
  <si>
    <t>CreateHotButtonOnBlotter</t>
  </si>
  <si>
    <t>Confirm on TT</t>
  </si>
  <si>
    <t>FillHBdetailsOnBlotter</t>
  </si>
  <si>
    <t>Blank</t>
  </si>
  <si>
    <t>MS</t>
  </si>
  <si>
    <t>Day</t>
  </si>
  <si>
    <t>Market</t>
  </si>
  <si>
    <t>Manual</t>
  </si>
  <si>
    <t>Next</t>
  </si>
  <si>
    <t>EnableOrVerifyHotButton</t>
  </si>
  <si>
    <t>Favorite</t>
  </si>
  <si>
    <t>VerifyTT</t>
  </si>
  <si>
    <t>VerifyOrder</t>
  </si>
  <si>
    <t>N.A.</t>
  </si>
  <si>
    <t>NASDAQ</t>
  </si>
  <si>
    <t>Samsara</t>
  </si>
  <si>
    <t>Equity</t>
  </si>
  <si>
    <t>Multiple</t>
  </si>
  <si>
    <t>Filled</t>
  </si>
  <si>
    <t>CreateDoneAwayOrder</t>
  </si>
  <si>
    <t>msft</t>
  </si>
  <si>
    <t>buy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</si>
</sst>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FFFFFF"/>
      <name val="Calibri"/>
    </font>
    <font>
      <sz val="11.0"/>
      <color rgb="FF35C759"/>
      <name val="Calibri"/>
    </font>
    <font>
      <sz val="11.0"/>
      <color rgb="FFAEE9BD"/>
      <name val="Calibri"/>
    </font>
    <font>
      <sz val="11.0"/>
      <color rgb="FF9DC8ED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24262A"/>
        <bgColor rgb="FF24262A"/>
      </patternFill>
    </fill>
    <fill>
      <patternFill patternType="solid">
        <fgColor rgb="FF1E1F23"/>
        <bgColor rgb="FF1E1F23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383A40"/>
      </left>
      <right style="thin">
        <color rgb="FF383A40"/>
      </right>
      <top style="thin">
        <color rgb="FF383A40"/>
      </top>
      <bottom style="thin">
        <color rgb="FF383A40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14" xfId="0" applyAlignment="1" applyFont="1" applyNumberFormat="1">
      <alignment readingOrder="0" shrinkToFit="0" wrapText="0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5" fillId="6" fontId="13" numFmtId="0" xfId="0" applyAlignment="1" applyBorder="1" applyFill="1" applyFont="1">
      <alignment vertical="bottom"/>
    </xf>
    <xf borderId="5" fillId="6" fontId="13" numFmtId="0" xfId="0" applyAlignment="1" applyBorder="1" applyFont="1">
      <alignment readingOrder="0" vertical="bottom"/>
    </xf>
    <xf borderId="5" fillId="6" fontId="14" numFmtId="0" xfId="0" applyAlignment="1" applyBorder="1" applyFont="1">
      <alignment vertical="bottom"/>
    </xf>
    <xf borderId="5" fillId="6" fontId="15" numFmtId="0" xfId="0" applyAlignment="1" applyBorder="1" applyFont="1">
      <alignment vertical="bottom"/>
    </xf>
    <xf borderId="5" fillId="6" fontId="13" numFmtId="0" xfId="0" applyAlignment="1" applyBorder="1" applyFont="1">
      <alignment horizontal="right" vertical="bottom"/>
    </xf>
    <xf borderId="5" fillId="7" fontId="13" numFmtId="0" xfId="0" applyAlignment="1" applyBorder="1" applyFill="1" applyFont="1">
      <alignment vertical="bottom"/>
    </xf>
    <xf borderId="5" fillId="7" fontId="13" numFmtId="0" xfId="0" applyAlignment="1" applyBorder="1" applyFont="1">
      <alignment horizontal="right" vertical="bottom"/>
    </xf>
    <xf borderId="5" fillId="7" fontId="13" numFmtId="0" xfId="0" applyAlignment="1" applyBorder="1" applyFont="1">
      <alignment readingOrder="0" vertical="bottom"/>
    </xf>
    <xf borderId="5" fillId="7" fontId="14" numFmtId="0" xfId="0" applyAlignment="1" applyBorder="1" applyFont="1">
      <alignment vertical="bottom"/>
    </xf>
    <xf borderId="5" fillId="7" fontId="16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IFERROR(__xludf.DUMMYFUNCTION("""COMPUTED_VALUE"""),"1hVwFlW5MKD4NHZXvDHfS6l0ApW93ZHmg5lFN4Tn10aY")</f>
        <v>1hVwFlW5MKD4NHZXvDHfS6l0ApW93ZHmg5lFN4Tn10aY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 t="str">
        <f>IFERROR(__xludf.DUMMYFUNCTION("""COMPUTED_VALUE"""),"Trade Attribute 01 suggestion")</f>
        <v>Trade Attribute 01 suggestion</v>
      </c>
      <c r="AT5" s="29" t="str">
        <f>IFERROR(__xludf.DUMMYFUNCTION("""COMPUTED_VALUE"""),"Trade Attribute 02 suggestion")</f>
        <v>Trade Attribute 02 suggestion</v>
      </c>
      <c r="AU5" s="29" t="str">
        <f>IFERROR(__xludf.DUMMYFUNCTION("""COMPUTED_VALUE"""),"Trade Attribute 03 suggestion")</f>
        <v>Trade Attribute 03 suggestion</v>
      </c>
      <c r="AV5" s="29" t="str">
        <f>IFERROR(__xludf.DUMMYFUNCTION("""COMPUTED_VALUE"""),"Trade Attribute 04 suggestion")</f>
        <v>Trade Attribute 04 suggestion</v>
      </c>
      <c r="AW5" s="29" t="str">
        <f>IFERROR(__xludf.DUMMYFUNCTION("""COMPUTED_VALUE"""),"Trade Attribute 05 suggestion")</f>
        <v>Trade Attribute 05 suggestion</v>
      </c>
      <c r="AX5" s="29" t="str">
        <f>IFERROR(__xludf.DUMMYFUNCTION("""COMPUTED_VALUE"""),"Trade Attribute 06 suggestion")</f>
        <v>Trade Attribute 06 suggestion</v>
      </c>
      <c r="AY5" s="29" t="str">
        <f>IFERROR(__xludf.DUMMYFUNCTION("""COMPUTED_VALUE"""),"Strategy")</f>
        <v>Strategy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>
        <v>100.0</v>
      </c>
      <c r="D6" s="12">
        <v>2.0</v>
      </c>
      <c r="E6" s="12" t="s">
        <v>17</v>
      </c>
      <c r="F6" s="8"/>
      <c r="G6" s="8"/>
      <c r="H6" s="8"/>
      <c r="I6" s="8"/>
      <c r="J6" s="12" t="s">
        <v>18</v>
      </c>
      <c r="K6" s="8"/>
      <c r="L6" s="8"/>
      <c r="M6" s="8"/>
      <c r="N6" s="8"/>
      <c r="O6" s="8"/>
      <c r="P6" s="9" t="s">
        <v>19</v>
      </c>
      <c r="Q6" s="9" t="s">
        <v>20</v>
      </c>
      <c r="Z6" s="30">
        <f>today()-1</f>
        <v>45953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IFERROR(__xludf.DUMMYFUNCTION("""COMPUTED_VALUE"""),"ValidateCheckSide")</f>
        <v>ValidateCheckSide</v>
      </c>
      <c r="C5" s="27" t="str">
        <f>IFERROR(__xludf.DUMMYFUNCTION("""COMPUTED_VALUE"""),"DisabledChecksideAssets")</f>
        <v>DisabledChecksideAssets</v>
      </c>
      <c r="D5" s="27" t="str">
        <f>IFERROR(__xludf.DUMMYFUNCTION("""COMPUTED_VALUE"""),"PrecisionValue")</f>
        <v>PrecisionValue</v>
      </c>
      <c r="E5" s="27" t="str">
        <f>IFERROR(__xludf.DUMMYFUNCTION("""COMPUTED_VALUE"""),"UseCommissionInNetAmount")</f>
        <v>UseCommissionInNetAmount</v>
      </c>
      <c r="F5" s="28" t="str">
        <f>IFERROR(__xludf.DUMMYFUNCTION("""COMPUTED_VALUE"""),"SaveWithoutState")</f>
        <v>SaveWithoutState</v>
      </c>
      <c r="G5" s="27" t="str">
        <f>IFERROR(__xludf.DUMMYFUNCTION("""COMPUTED_VALUE"""),"SaveWithState")</f>
        <v>SaveWithState</v>
      </c>
      <c r="H5" s="27" t="str">
        <f>IFERROR(__xludf.DUMMYFUNCTION("""COMPUTED_VALUE"""),"ClearQuantities")</f>
        <v>ClearQuantities</v>
      </c>
      <c r="I5" s="27" t="str">
        <f>IFERROR(__xludf.DUMMYFUNCTION("""COMPUTED_VALUE"""),"ReapplyAllocation")</f>
        <v>ReapplyAllocation</v>
      </c>
      <c r="J5" s="27" t="str">
        <f>IFERROR(__xludf.DUMMYFUNCTION("""COMPUTED_VALUE"""),"DefaultAllocation")</f>
        <v>DefaultAllocation</v>
      </c>
      <c r="K5" s="27" t="str">
        <f>IFERROR(__xludf.DUMMYFUNCTION("""COMPUTED_VALUE"""),"IsCustomPreference")</f>
        <v>IsCustomPreference</v>
      </c>
      <c r="L5" s="27" t="str">
        <f>IFERROR(__xludf.DUMMYFUNCTION("""COMPUTED_VALUE"""),"AllocationMethod")</f>
        <v>AllocationMethod</v>
      </c>
      <c r="M5" s="27" t="str">
        <f>IFERROR(__xludf.DUMMYFUNCTION("""COMPUTED_VALUE"""),"RemainderAllocationTo")</f>
        <v>RemainderAllocationTo</v>
      </c>
      <c r="N5" s="27" t="str">
        <f>IFERROR(__xludf.DUMMYFUNCTION("""COMPUTED_VALUE"""),"Target%AsOf")</f>
        <v>Target%AsOf</v>
      </c>
      <c r="O5" s="27" t="str">
        <f>IFERROR(__xludf.DUMMYFUNCTION("""COMPUTED_VALUE"""),"ProrataAccounts")</f>
        <v>ProrataAccounts</v>
      </c>
      <c r="P5" s="27" t="str">
        <f>IFERROR(__xludf.DUMMYFUNCTION("""COMPUTED_VALUE"""),"DateUptoDays")</f>
        <v>DateUptoDays</v>
      </c>
      <c r="Q5" s="27" t="str">
        <f>IFERROR(__xludf.DUMMYFUNCTION("""COMPUTED_VALUE"""),"MatchClosing")</f>
        <v>MatchClosing</v>
      </c>
      <c r="R5" s="27" t="str">
        <f>IFERROR(__xludf.DUMMYFUNCTION("""COMPUTED_VALUE"""),"CommissionAlertOnBrokerChange")</f>
        <v>CommissionAlertOnBrokerChange</v>
      </c>
      <c r="S5" s="27" t="str">
        <f>IFERROR(__xludf.DUMMYFUNCTION("""COMPUTED_VALUE"""),"RecalculateCommissionOnBrokerChange")</f>
        <v>RecalculateCommissionOnBrokerChange</v>
      </c>
      <c r="T5" s="29" t="str">
        <f>IFERROR(__xludf.DUMMYFUNCTION("""COMPUTED_VALUE"""),"CommissionAlertOnAllocation")</f>
        <v>CommissionAlertOnAllocation</v>
      </c>
      <c r="U5" s="29" t="str">
        <f>IFERROR(__xludf.DUMMYFUNCTION("""COMPUTED_VALUE"""),"RecalculateCommissionOnAllocation")</f>
        <v>RecalculateCommissionOnAllocation</v>
      </c>
      <c r="V5" s="29" t="str">
        <f>IFERROR(__xludf.DUMMYFUNCTION("""COMPUTED_VALUE"""),"EnableMasterFund")</f>
        <v>EnableMasterFund</v>
      </c>
      <c r="W5" s="29" t="str">
        <f>IFERROR(__xludf.DUMMYFUNCTION("""COMPUTED_VALUE"""),"1MasterFund/1Symbol")</f>
        <v>1MasterFund/1Symbol</v>
      </c>
      <c r="X5" s="29" t="str">
        <f>IFERROR(__xludf.DUMMYFUNCTION("""COMPUTED_VALUE"""),"ProrataSchemeName")</f>
        <v>ProrataSchemeName</v>
      </c>
      <c r="Y5" s="29" t="str">
        <f>IFERROR(__xludf.DUMMYFUNCTION("""COMPUTED_VALUE"""),"ProrataAllocationSchemeBasis")</f>
        <v>ProrataAllocationSchemeBasis</v>
      </c>
      <c r="Z5" s="29" t="str">
        <f>IFERROR(__xludf.DUMMYFUNCTION("""COMPUTED_VALUE"""),"ShowAdvancedProrataUI")</f>
        <v>ShowAdvancedProrataUI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X6" s="9" t="s">
        <v>23</v>
      </c>
      <c r="Z6" s="9" t="b">
        <v>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IFERROR(__xludf.DUMMYFUNCTION("""COMPUTED_VALUE"""),"SchemeName")</f>
        <v>SchemeName</v>
      </c>
      <c r="D5" s="27" t="str">
        <f>IFERROR(__xludf.DUMMYFUNCTION("""COMPUTED_VALUE"""),"SchemeBasis")</f>
        <v>SchemeBasis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>
        <f>today()-1</f>
        <v>45953</v>
      </c>
      <c r="C6" s="12" t="s">
        <v>23</v>
      </c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RunProrata!$4:$4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 t="str">
        <f>IFERROR(__xludf.DUMMYFUNCTION("""COMPUTED_VALUE"""),"Trade Attribute 01 suggestion")</f>
        <v>Trade Attribute 01 suggestion</v>
      </c>
      <c r="AT5" s="29" t="str">
        <f>IFERROR(__xludf.DUMMYFUNCTION("""COMPUTED_VALUE"""),"Trade Attribute 02 suggestion")</f>
        <v>Trade Attribute 02 suggestion</v>
      </c>
      <c r="AU5" s="29" t="str">
        <f>IFERROR(__xludf.DUMMYFUNCTION("""COMPUTED_VALUE"""),"Trade Attribute 03 suggestion")</f>
        <v>Trade Attribute 03 suggestion</v>
      </c>
      <c r="AV5" s="29" t="str">
        <f>IFERROR(__xludf.DUMMYFUNCTION("""COMPUTED_VALUE"""),"Trade Attribute 04 suggestion")</f>
        <v>Trade Attribute 04 suggestion</v>
      </c>
      <c r="AW5" s="29" t="str">
        <f>IFERROR(__xludf.DUMMYFUNCTION("""COMPUTED_VALUE"""),"Trade Attribute 05 suggestion")</f>
        <v>Trade Attribute 05 suggestion</v>
      </c>
      <c r="AX5" s="29" t="str">
        <f>IFERROR(__xludf.DUMMYFUNCTION("""COMPUTED_VALUE"""),"Trade Attribute 06 suggestion")</f>
        <v>Trade Attribute 06 suggestion</v>
      </c>
      <c r="AY5" s="29" t="str">
        <f>IFERROR(__xludf.DUMMYFUNCTION("""COMPUTED_VALUE"""),"Strategy")</f>
        <v>Strategy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>
        <v>100.0</v>
      </c>
      <c r="D6" s="12">
        <v>2.0</v>
      </c>
      <c r="E6" s="12" t="s">
        <v>25</v>
      </c>
      <c r="F6" s="8"/>
      <c r="G6" s="8"/>
      <c r="H6" s="8"/>
      <c r="I6" s="12" t="s">
        <v>23</v>
      </c>
      <c r="J6" s="12" t="s">
        <v>18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 t="str">
        <f>IFERROR(__xludf.DUMMYFUNCTION("""COMPUTED_VALUE"""),"EditTradeAttributesWindow")</f>
        <v>EditTradeAttributesWindow</v>
      </c>
      <c r="DJ4" s="25" t="str">
        <f>IFERROR(__xludf.DUMMYFUNCTION("""COMPUTED_VALUE"""),"EditTradeAttributesOrders")</f>
        <v>EditTradeAttributesOrders</v>
      </c>
      <c r="DK4" s="25" t="str">
        <f>IFERROR(__xludf.DUMMYFUNCTION("""COMPUTED_VALUE"""),"EditTradeAttributesWorkingSub")</f>
        <v>EditTradeAttributesWorkingSub</v>
      </c>
      <c r="DL4" s="25" t="str">
        <f>IFERROR(__xludf.DUMMYFUNCTION("""COMPUTED_VALUE"""),"EditCloneButton")</f>
        <v>EditCloneButton</v>
      </c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18</v>
      </c>
      <c r="AK6" s="9" t="s">
        <v>28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CaptureHotButtonDetails!$4:$4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 t="str">
        <f>IFERROR(__xludf.DUMMYFUNCTION("""COMPUTED_VALUE"""),"EditTradeAttributesWindow")</f>
        <v>EditTradeAttributesWindow</v>
      </c>
      <c r="DJ4" s="25" t="str">
        <f>IFERROR(__xludf.DUMMYFUNCTION("""COMPUTED_VALUE"""),"EditTradeAttributesOrders")</f>
        <v>EditTradeAttributesOrders</v>
      </c>
      <c r="DK4" s="25" t="str">
        <f>IFERROR(__xludf.DUMMYFUNCTION("""COMPUTED_VALUE"""),"EditTradeAttributesWorkingSub")</f>
        <v>EditTradeAttributesWorkingSub</v>
      </c>
      <c r="DL4" s="25" t="str">
        <f>IFERROR(__xludf.DUMMYFUNCTION("""COMPUTED_VALUE"""),"EditCloneButton")</f>
        <v>EditCloneButton</v>
      </c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IFERROR(__xludf.DUMMYFUNCTION("""COMPUTED_VALUE"""),"ButtonName")</f>
        <v>ButtonName</v>
      </c>
      <c r="C5" s="27" t="str">
        <f>IFERROR(__xludf.DUMMYFUNCTION("""COMPUTED_VALUE"""),"Select Action Type")</f>
        <v>Select Action Type</v>
      </c>
      <c r="D5" s="27" t="str">
        <f>IFERROR(__xludf.DUMMYFUNCTION("""COMPUTED_VALUE"""),"Transmission Preference")</f>
        <v>Transmission Preference</v>
      </c>
      <c r="E5" s="27" t="str">
        <f>IFERROR(__xludf.DUMMYFUNCTION("""COMPUTED_VALUE"""),"Button Color")</f>
        <v>Button Color</v>
      </c>
      <c r="F5" s="28" t="str">
        <f>IFERROR(__xludf.DUMMYFUNCTION("""COMPUTED_VALUE"""),"Action")</f>
        <v>Action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3" t="s">
        <v>28</v>
      </c>
      <c r="C6" s="34"/>
      <c r="D6" s="33" t="s">
        <v>30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CreateHotButtonOnBlotter!$4:$4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 t="str">
        <f>IFERROR(__xludf.DUMMYFUNCTION("""COMPUTED_VALUE"""),"EditTradeAttributesWindow")</f>
        <v>EditTradeAttributesWindow</v>
      </c>
      <c r="DJ4" s="25" t="str">
        <f>IFERROR(__xludf.DUMMYFUNCTION("""COMPUTED_VALUE"""),"EditTradeAttributesOrders")</f>
        <v>EditTradeAttributesOrders</v>
      </c>
      <c r="DK4" s="25" t="str">
        <f>IFERROR(__xludf.DUMMYFUNCTION("""COMPUTED_VALUE"""),"EditTradeAttributesWorkingSub")</f>
        <v>EditTradeAttributesWorkingSub</v>
      </c>
      <c r="DL4" s="25" t="str">
        <f>IFERROR(__xludf.DUMMYFUNCTION("""COMPUTED_VALUE"""),"EditCloneButton")</f>
        <v>EditCloneButton</v>
      </c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IFERROR(__xludf.DUMMYFUNCTION("""COMPUTED_VALUE"""),"Allocation")</f>
        <v>Allocation</v>
      </c>
      <c r="E5" s="27" t="str">
        <f>IFERROR(__xludf.DUMMYFUNCTION("""COMPUTED_VALUE"""),"Broker")</f>
        <v>Broker</v>
      </c>
      <c r="F5" s="28" t="str">
        <f>IFERROR(__xludf.DUMMYFUNCTION("""COMPUTED_VALUE"""),"Venue")</f>
        <v>Venue</v>
      </c>
      <c r="G5" s="27" t="str">
        <f>IFERROR(__xludf.DUMMYFUNCTION("""COMPUTED_VALUE"""),"TIF")</f>
        <v>TIF</v>
      </c>
      <c r="H5" s="27" t="str">
        <f>IFERROR(__xludf.DUMMYFUNCTION("""COMPUTED_VALUE"""),"Order Type")</f>
        <v>Order Type</v>
      </c>
      <c r="I5" s="27" t="str">
        <f>IFERROR(__xludf.DUMMYFUNCTION("""COMPUTED_VALUE"""),"Order Side")</f>
        <v>Order Side</v>
      </c>
      <c r="J5" s="27" t="str">
        <f>IFERROR(__xludf.DUMMYFUNCTION("""COMPUTED_VALUE"""),"Execution Type")</f>
        <v>Execution Type</v>
      </c>
      <c r="K5" s="27" t="str">
        <f>IFERROR(__xludf.DUMMYFUNCTION("""COMPUTED_VALUE"""),"Add to Favourite")</f>
        <v>Add to Favourite</v>
      </c>
      <c r="L5" s="27" t="str">
        <f>IFERROR(__xludf.DUMMYFUNCTION("""COMPUTED_VALUE"""),"Action")</f>
        <v>Action</v>
      </c>
      <c r="M5" s="27" t="str">
        <f>IFERROR(__xludf.DUMMYFUNCTION("""COMPUTED_VALUE"""),"Calculation Basis Type")</f>
        <v>Calculation Basis Type</v>
      </c>
      <c r="N5" s="27" t="str">
        <f>IFERROR(__xludf.DUMMYFUNCTION("""COMPUTED_VALUE"""),"Calculation Basis Amount")</f>
        <v>Calculation Basis Amount</v>
      </c>
      <c r="O5" s="27" t="str">
        <f>IFERROR(__xludf.DUMMYFUNCTION("""COMPUTED_VALUE"""),"Calculation ON")</f>
        <v>Calculation ON</v>
      </c>
      <c r="P5" s="27" t="str">
        <f>IFERROR(__xludf.DUMMYFUNCTION("""COMPUTED_VALUE"""),"Cent/BPS")</f>
        <v>Cent/BPS</v>
      </c>
      <c r="Q5" s="27" t="str">
        <f>IFERROR(__xludf.DUMMYFUNCTION("""COMPUTED_VALUE"""),"Ask/Bid/Last/Mid")</f>
        <v>Ask/Bid/Last/Mid</v>
      </c>
      <c r="R5" s="27" t="str">
        <f>IFERROR(__xludf.DUMMYFUNCTION("""COMPUTED_VALUE"""),"Limit Price")</f>
        <v>Limit Price</v>
      </c>
      <c r="S5" s="27" t="str">
        <f>IFERROR(__xludf.DUMMYFUNCTION("""COMPUTED_VALUE"""),"Expiration Date")</f>
        <v>Expiration Date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5" t="s">
        <v>16</v>
      </c>
      <c r="C6" s="36">
        <v>100.0</v>
      </c>
      <c r="D6" s="33" t="s">
        <v>32</v>
      </c>
      <c r="E6" s="37" t="s">
        <v>33</v>
      </c>
      <c r="F6" s="34"/>
      <c r="G6" s="37" t="s">
        <v>34</v>
      </c>
      <c r="H6" s="37" t="s">
        <v>35</v>
      </c>
      <c r="I6" s="37" t="s">
        <v>18</v>
      </c>
      <c r="J6" s="37" t="s">
        <v>36</v>
      </c>
      <c r="K6" s="38" t="b">
        <v>1</v>
      </c>
      <c r="L6" s="37" t="s">
        <v>37</v>
      </c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FillHBdetailsOnBlotter!$4:$4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 t="str">
        <f>IFERROR(__xludf.DUMMYFUNCTION("""COMPUTED_VALUE"""),"EditTradeAttributesWindow")</f>
        <v>EditTradeAttributesWindow</v>
      </c>
      <c r="DJ4" s="25" t="str">
        <f>IFERROR(__xludf.DUMMYFUNCTION("""COMPUTED_VALUE"""),"EditTradeAttributesOrders")</f>
        <v>EditTradeAttributesOrders</v>
      </c>
      <c r="DK4" s="25" t="str">
        <f>IFERROR(__xludf.DUMMYFUNCTION("""COMPUTED_VALUE"""),"EditTradeAttributesWorkingSub")</f>
        <v>EditTradeAttributesWorkingSub</v>
      </c>
      <c r="DL4" s="25" t="str">
        <f>IFERROR(__xludf.DUMMYFUNCTION("""COMPUTED_VALUE"""),"EditCloneButton")</f>
        <v>EditCloneButton</v>
      </c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IFERROR(__xludf.DUMMYFUNCTION("""COMPUTED_VALUE"""),"EnableHotButton")</f>
        <v>EnableHotButton</v>
      </c>
      <c r="C5" s="27" t="str">
        <f>IFERROR(__xludf.DUMMYFUNCTION("""COMPUTED_VALUE"""),"VisiblityOfHotButtonPanel")</f>
        <v>VisiblityOfHotButtonPanel</v>
      </c>
      <c r="D5" s="27" t="str">
        <f>IFERROR(__xludf.DUMMYFUNCTION("""COMPUTED_VALUE"""),"HotKey Name")</f>
        <v>HotKey Name</v>
      </c>
      <c r="E5" s="27" t="str">
        <f>IFERROR(__xludf.DUMMYFUNCTION("""COMPUTED_VALUE"""),"HotKey Visiblity")</f>
        <v>HotKey Visiblity</v>
      </c>
      <c r="F5" s="28" t="str">
        <f>IFERROR(__xludf.DUMMYFUNCTION("""COMPUTED_VALUE"""),"TabToFind")</f>
        <v>TabToFind</v>
      </c>
      <c r="G5" s="27" t="str">
        <f>IFERROR(__xludf.DUMMYFUNCTION("""COMPUTED_VALUE"""),"Hotkey Disbable")</f>
        <v>Hotkey Disbable</v>
      </c>
      <c r="H5" s="27" t="str">
        <f>IFERROR(__xludf.DUMMYFUNCTION("""COMPUTED_VALUE"""),"UseHotButton")</f>
        <v>UseHotButton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9" t="b">
        <v>1</v>
      </c>
      <c r="C6" s="34"/>
      <c r="D6" s="32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EnableOrVerifyHotButton!$4:$4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 t="str">
        <f>IFERROR(__xludf.DUMMYFUNCTION("""COMPUTED_VALUE"""),"EditTradeAttributesWindow")</f>
        <v>EditTradeAttributesWindow</v>
      </c>
      <c r="DJ4" s="25" t="str">
        <f>IFERROR(__xludf.DUMMYFUNCTION("""COMPUTED_VALUE"""),"EditTradeAttributesOrders")</f>
        <v>EditTradeAttributesOrders</v>
      </c>
      <c r="DK4" s="25" t="str">
        <f>IFERROR(__xludf.DUMMYFUNCTION("""COMPUTED_VALUE"""),"EditTradeAttributesWorkingSub")</f>
        <v>EditTradeAttributesWorkingSub</v>
      </c>
      <c r="DL4" s="25" t="str">
        <f>IFERROR(__xludf.DUMMYFUNCTION("""COMPUTED_VALUE"""),"EditCloneButton")</f>
        <v>EditCloneButton</v>
      </c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IFERROR(__xludf.DUMMYFUNCTION("""COMPUTED_VALUE"""),"EnableHotButton")</f>
        <v>EnableHotButton</v>
      </c>
      <c r="C5" s="27" t="str">
        <f>IFERROR(__xludf.DUMMYFUNCTION("""COMPUTED_VALUE"""),"VisiblityOfHotButtonPanel")</f>
        <v>VisiblityOfHotButtonPanel</v>
      </c>
      <c r="D5" s="27" t="str">
        <f>IFERROR(__xludf.DUMMYFUNCTION("""COMPUTED_VALUE"""),"HotKey Name")</f>
        <v>HotKey Name</v>
      </c>
      <c r="E5" s="27" t="str">
        <f>IFERROR(__xludf.DUMMYFUNCTION("""COMPUTED_VALUE"""),"HotKey Visiblity")</f>
        <v>HotKey Visiblity</v>
      </c>
      <c r="F5" s="28" t="str">
        <f>IFERROR(__xludf.DUMMYFUNCTION("""COMPUTED_VALUE"""),"TabToFind")</f>
        <v>TabToFind</v>
      </c>
      <c r="G5" s="27" t="str">
        <f>IFERROR(__xludf.DUMMYFUNCTION("""COMPUTED_VALUE"""),"Hotkey Disbable")</f>
        <v>Hotkey Disbable</v>
      </c>
      <c r="H5" s="27" t="str">
        <f>IFERROR(__xludf.DUMMYFUNCTION("""COMPUTED_VALUE"""),"UseHotButton")</f>
        <v>UseHotButton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2"/>
      <c r="C6" s="34"/>
      <c r="D6" s="33" t="s">
        <v>28</v>
      </c>
      <c r="E6" s="38" t="b">
        <v>1</v>
      </c>
      <c r="F6" s="37" t="s">
        <v>39</v>
      </c>
      <c r="G6" s="34"/>
      <c r="H6" s="38" t="b">
        <v>1</v>
      </c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EnableOrVerifyHotButton1!$4:$4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 t="str">
        <f>IFERROR(__xludf.DUMMYFUNCTION("""COMPUTED_VALUE"""),"Trade Attribute 01 suggestion")</f>
        <v>Trade Attribute 01 suggestion</v>
      </c>
      <c r="AT5" s="29" t="str">
        <f>IFERROR(__xludf.DUMMYFUNCTION("""COMPUTED_VALUE"""),"Trade Attribute 02 suggestion")</f>
        <v>Trade Attribute 02 suggestion</v>
      </c>
      <c r="AU5" s="29" t="str">
        <f>IFERROR(__xludf.DUMMYFUNCTION("""COMPUTED_VALUE"""),"Trade Attribute 03 suggestion")</f>
        <v>Trade Attribute 03 suggestion</v>
      </c>
      <c r="AV5" s="29" t="str">
        <f>IFERROR(__xludf.DUMMYFUNCTION("""COMPUTED_VALUE"""),"Trade Attribute 04 suggestion")</f>
        <v>Trade Attribute 04 suggestion</v>
      </c>
      <c r="AW5" s="29" t="str">
        <f>IFERROR(__xludf.DUMMYFUNCTION("""COMPUTED_VALUE"""),"Trade Attribute 05 suggestion")</f>
        <v>Trade Attribute 05 suggestion</v>
      </c>
      <c r="AX5" s="29" t="str">
        <f>IFERROR(__xludf.DUMMYFUNCTION("""COMPUTED_VALUE"""),"Trade Attribute 06 suggestion")</f>
        <v>Trade Attribute 06 suggestion</v>
      </c>
      <c r="AY5" s="29" t="str">
        <f>IFERROR(__xludf.DUMMYFUNCTION("""COMPUTED_VALUE"""),"Strategy")</f>
        <v>Strategy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2"/>
      <c r="C6" s="34"/>
      <c r="D6" s="40">
        <v>2.0</v>
      </c>
      <c r="E6" s="37"/>
      <c r="F6" s="34"/>
      <c r="G6" s="41" t="b">
        <v>1</v>
      </c>
      <c r="H6" s="34"/>
      <c r="I6" s="34"/>
      <c r="J6" s="37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CustomOrderTT2!$4:$4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IFERROR(__xludf.DUMMYFUNCTION("""COMPUTED_VALUE"""),"MasterFund")</f>
        <v>MasterFund</v>
      </c>
      <c r="AG5" s="29" t="str">
        <f>IFERROR(__xludf.DUMMYFUNCTION("""COMPUTED_VALUE"""),"RoundLotStrip")</f>
        <v>RoundLotStrip</v>
      </c>
      <c r="AH5" s="29" t="str">
        <f>IFERROR(__xludf.DUMMYFUNCTION("""COMPUTED_VALUE"""),"Round Lots")</f>
        <v>Round Lots</v>
      </c>
      <c r="AI5" s="29" t="str">
        <f>IFERROR(__xludf.DUMMYFUNCTION("""COMPUTED_VALUE"""),"Button_Status")</f>
        <v>Button_Status</v>
      </c>
      <c r="AJ5" s="29" t="str">
        <f>IFERROR(__xludf.DUMMYFUNCTION("""COMPUTED_VALUE"""),"Position")</f>
        <v>Position</v>
      </c>
      <c r="AK5" s="29" t="str">
        <f>IFERROR(__xludf.DUMMYFUNCTION("""COMPUTED_VALUE"""),"Symbol Name")</f>
        <v>Symbol Name</v>
      </c>
      <c r="AL5" s="29" t="str">
        <f>IFERROR(__xludf.DUMMYFUNCTION("""COMPUTED_VALUE"""),"Last")</f>
        <v>Last</v>
      </c>
      <c r="AM5" s="29" t="str">
        <f>IFERROR(__xludf.DUMMYFUNCTION("""COMPUTED_VALUE"""),"Change")</f>
        <v>Change</v>
      </c>
      <c r="AN5" s="29" t="str">
        <f>IFERROR(__xludf.DUMMYFUNCTION("""COMPUTED_VALUE"""),"Bid")</f>
        <v>Bid</v>
      </c>
      <c r="AO5" s="29" t="str">
        <f>IFERROR(__xludf.DUMMYFUNCTION("""COMPUTED_VALUE"""),"Ask")</f>
        <v>Ask</v>
      </c>
      <c r="AP5" s="29" t="str">
        <f>IFERROR(__xludf.DUMMYFUNCTION("""COMPUTED_VALUE"""),"Notional(Base)")</f>
        <v>Notional(Base)</v>
      </c>
      <c r="AQ5" s="29" t="str">
        <f>IFERROR(__xludf.DUMMYFUNCTION("""COMPUTED_VALUE"""),"Notional(Local)")</f>
        <v>Notional(Local)</v>
      </c>
      <c r="AR5" s="29" t="str">
        <f>IFERROR(__xludf.DUMMYFUNCTION("""COMPUTED_VALUE"""),"Exposure")</f>
        <v>Exposure</v>
      </c>
      <c r="AS5" s="29" t="str">
        <f>IFERROR(__xludf.DUMMYFUNCTION("""COMPUTED_VALUE"""),"Day P&amp;L")</f>
        <v>Day P&amp;L</v>
      </c>
      <c r="AT5" s="29" t="str">
        <f>IFERROR(__xludf.DUMMYFUNCTION("""COMPUTED_VALUE"""),"VerifyDisableVenue")</f>
        <v>VerifyDisableVenue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18</v>
      </c>
      <c r="D6" s="12">
        <v>100.0</v>
      </c>
      <c r="E6" s="31"/>
      <c r="F6" s="12" t="s">
        <v>23</v>
      </c>
      <c r="G6" s="8"/>
      <c r="H6" s="8"/>
      <c r="I6" s="8"/>
      <c r="J6" s="12">
        <v>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VerifyTT!$4:$4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 t="str">
        <f>IFERROR(__xludf.DUMMYFUNCTION("""COMPUTED_VALUE"""),"EditTradeAttributesWindow")</f>
        <v>EditTradeAttributesWindow</v>
      </c>
      <c r="DJ4" s="25" t="str">
        <f>IFERROR(__xludf.DUMMYFUNCTION("""COMPUTED_VALUE"""),"EditTradeAttributesOrders")</f>
        <v>EditTradeAttributesOrders</v>
      </c>
      <c r="DK4" s="25" t="str">
        <f>IFERROR(__xludf.DUMMYFUNCTION("""COMPUTED_VALUE"""),"EditTradeAttributesWorkingSub")</f>
        <v>EditTradeAttributesWorkingSub</v>
      </c>
      <c r="DL4" s="25" t="str">
        <f>IFERROR(__xludf.DUMMYFUNCTION("""COMPUTED_VALUE"""),"EditCloneButton")</f>
        <v>EditCloneButton</v>
      </c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 t="str">
        <f>IFERROR(__xludf.DUMMYFUNCTION("""COMPUTED_VALUE"""),"Expiry Date")</f>
        <v>Expiry Date</v>
      </c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2"/>
      <c r="C6" s="42" t="s">
        <v>42</v>
      </c>
      <c r="D6" s="32"/>
      <c r="E6" s="34"/>
      <c r="F6" s="34"/>
      <c r="G6" s="34"/>
      <c r="H6" s="42" t="s">
        <v>43</v>
      </c>
      <c r="I6" s="42" t="s">
        <v>44</v>
      </c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42" t="s">
        <v>45</v>
      </c>
      <c r="AI6" s="43" t="s">
        <v>16</v>
      </c>
      <c r="AJ6" s="44" t="s">
        <v>18</v>
      </c>
      <c r="AK6" s="45" t="s">
        <v>28</v>
      </c>
      <c r="AL6" s="46">
        <v>100.0</v>
      </c>
      <c r="AM6" s="34"/>
      <c r="AN6" s="34"/>
      <c r="AO6" s="34"/>
      <c r="AP6" s="34"/>
      <c r="AQ6" s="34"/>
      <c r="AR6" s="34"/>
      <c r="AS6" s="42" t="s">
        <v>33</v>
      </c>
      <c r="AT6" s="42" t="s">
        <v>46</v>
      </c>
      <c r="AU6" s="34"/>
      <c r="AV6" s="34"/>
      <c r="AW6" s="34"/>
      <c r="AX6" s="34"/>
      <c r="AY6" s="34"/>
      <c r="AZ6" s="34"/>
      <c r="BA6" s="42" t="s">
        <v>44</v>
      </c>
      <c r="BB6" s="34"/>
      <c r="BC6" s="34"/>
      <c r="BD6" s="34"/>
      <c r="BE6" s="34"/>
      <c r="BF6" s="34"/>
      <c r="BG6" s="42" t="s">
        <v>12</v>
      </c>
      <c r="BH6" s="42" t="s">
        <v>34</v>
      </c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/>
      <c r="C7" s="47" t="s">
        <v>42</v>
      </c>
      <c r="D7" s="48">
        <v>2.0</v>
      </c>
      <c r="E7" s="34"/>
      <c r="F7" s="34"/>
      <c r="G7" s="34"/>
      <c r="H7" s="47" t="s">
        <v>43</v>
      </c>
      <c r="I7" s="47" t="s">
        <v>44</v>
      </c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47" t="s">
        <v>45</v>
      </c>
      <c r="AI7" s="49" t="s">
        <v>16</v>
      </c>
      <c r="AJ7" s="50" t="s">
        <v>18</v>
      </c>
      <c r="AK7" s="51" t="s">
        <v>47</v>
      </c>
      <c r="AL7" s="48">
        <v>100.0</v>
      </c>
      <c r="AM7" s="48">
        <v>100.0</v>
      </c>
      <c r="AN7" s="34"/>
      <c r="AO7" s="34"/>
      <c r="AP7" s="34"/>
      <c r="AQ7" s="48">
        <v>2.0</v>
      </c>
      <c r="AR7" s="48">
        <v>2.0</v>
      </c>
      <c r="AS7" s="47" t="s">
        <v>33</v>
      </c>
      <c r="AT7" s="47" t="s">
        <v>46</v>
      </c>
      <c r="AU7" s="34"/>
      <c r="AV7" s="34"/>
      <c r="AW7" s="34"/>
      <c r="AX7" s="34"/>
      <c r="AY7" s="34"/>
      <c r="AZ7" s="34"/>
      <c r="BA7" s="47" t="s">
        <v>44</v>
      </c>
      <c r="BB7" s="34"/>
      <c r="BC7" s="34"/>
      <c r="BD7" s="34"/>
      <c r="BE7" s="34"/>
      <c r="BF7" s="34"/>
      <c r="BG7" s="47" t="s">
        <v>12</v>
      </c>
      <c r="BH7" s="47" t="s">
        <v>34</v>
      </c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IFERROR(__xludf.DUMMYFUNCTION("TRANSPOSE(IMPORTRANGE(VLOOKUP($E$3,IMPORTRANGE('_Settings'!$B$3,$C$3&amp;""!A4:B1000""),2,FALSE),$G$3&amp;""!A4:A1000""))"),"#REF!")</f>
        <v>#REF!</v>
      </c>
      <c r="B5" s="27"/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49</v>
      </c>
      <c r="C6" s="8"/>
      <c r="D6" s="12" t="s">
        <v>50</v>
      </c>
      <c r="E6" s="31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'Copy of Data'!$4:$4</formula1>
    </dataValidation>
  </dataValidations>
  <drawing r:id="rId1"/>
</worksheet>
</file>