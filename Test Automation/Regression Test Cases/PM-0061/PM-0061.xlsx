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2" activeTab="15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ClosePositionFromPM" sheetId="6" r:id="rId6"/>
    <sheet name="CreateDoneAwayOrder1" sheetId="7" r:id="rId7"/>
    <sheet name="GetDataClosing" sheetId="8" r:id="rId8"/>
    <sheet name="VerifyLongPositionsGrid" sheetId="9" r:id="rId9"/>
    <sheet name="VerifyShortPositionsGrid" sheetId="10" r:id="rId10"/>
    <sheet name="ManualClosing" sheetId="11" r:id="rId11"/>
    <sheet name="VerifyWorkingSubs" sheetId="12" r:id="rId12"/>
    <sheet name="VerifyClosedTrades" sheetId="13" r:id="rId13"/>
    <sheet name="GetDataAllocation" sheetId="14" r:id="rId14"/>
    <sheet name="CheckAllocatedGroups" sheetId="15" r:id="rId15"/>
    <sheet name="CheckPortfolioManagement1" sheetId="16" r:id="rId16"/>
    <sheet name="Copy of Data" sheetId="17" r:id="rId17"/>
  </sheets>
  <calcPr calcId="145621"/>
</workbook>
</file>

<file path=xl/calcChain.xml><?xml version="1.0" encoding="utf-8"?>
<calcChain xmlns="http://schemas.openxmlformats.org/spreadsheetml/2006/main">
  <c r="BK5" i="16" l="1"/>
  <c r="BK5" i="5"/>
  <c r="AQ5" i="17"/>
  <c r="AI5" i="17"/>
  <c r="AA5" i="17"/>
  <c r="S5" i="17"/>
  <c r="K5" i="17"/>
  <c r="C5" i="17"/>
  <c r="O4" i="17"/>
  <c r="G4" i="17"/>
  <c r="FA5" i="16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W4" i="16"/>
  <c r="O4" i="16"/>
  <c r="G4" i="16"/>
  <c r="CR5" i="15"/>
  <c r="CJ5" i="15"/>
  <c r="CB5" i="15"/>
  <c r="BT5" i="15"/>
  <c r="BL5" i="15"/>
  <c r="BD5" i="15"/>
  <c r="AV5" i="15"/>
  <c r="AN5" i="15"/>
  <c r="AF5" i="15"/>
  <c r="X5" i="15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K5" i="14"/>
  <c r="C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AC5" i="13"/>
  <c r="U5" i="13"/>
  <c r="M5" i="13"/>
  <c r="E5" i="13"/>
  <c r="Z4" i="13"/>
  <c r="R4" i="13"/>
  <c r="J4" i="13"/>
  <c r="B4" i="13"/>
  <c r="AU5" i="12"/>
  <c r="AM5" i="12"/>
  <c r="AE5" i="12"/>
  <c r="W5" i="12"/>
  <c r="O5" i="12"/>
  <c r="G5" i="12"/>
  <c r="AS4" i="12"/>
  <c r="AK4" i="12"/>
  <c r="AC4" i="12"/>
  <c r="U4" i="12"/>
  <c r="M4" i="12"/>
  <c r="E4" i="12"/>
  <c r="BB5" i="11"/>
  <c r="AT5" i="11"/>
  <c r="AL5" i="11"/>
  <c r="AD5" i="11"/>
  <c r="AP5" i="17"/>
  <c r="AH5" i="17"/>
  <c r="Z5" i="17"/>
  <c r="R5" i="17"/>
  <c r="J5" i="17"/>
  <c r="B5" i="17"/>
  <c r="N4" i="17"/>
  <c r="F4" i="17"/>
  <c r="EZ5" i="16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V4" i="16"/>
  <c r="N4" i="16"/>
  <c r="F4" i="16"/>
  <c r="CQ5" i="15"/>
  <c r="CI5" i="15"/>
  <c r="CA5" i="15"/>
  <c r="BS5" i="15"/>
  <c r="BK5" i="15"/>
  <c r="BC5" i="15"/>
  <c r="AU5" i="15"/>
  <c r="AM5" i="15"/>
  <c r="AE5" i="15"/>
  <c r="W5" i="15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R5" i="14"/>
  <c r="J5" i="14"/>
  <c r="B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AB5" i="13"/>
  <c r="T5" i="13"/>
  <c r="L5" i="13"/>
  <c r="D5" i="13"/>
  <c r="Y4" i="13"/>
  <c r="Q4" i="13"/>
  <c r="I4" i="13"/>
  <c r="AT5" i="12"/>
  <c r="AL5" i="12"/>
  <c r="AD5" i="12"/>
  <c r="V5" i="12"/>
  <c r="AO5" i="17"/>
  <c r="AG5" i="17"/>
  <c r="Y5" i="17"/>
  <c r="Q5" i="17"/>
  <c r="I5" i="17"/>
  <c r="A5" i="17"/>
  <c r="M4" i="17"/>
  <c r="E4" i="17"/>
  <c r="EY5" i="16"/>
  <c r="EQ5" i="16"/>
  <c r="EI5" i="16"/>
  <c r="EA5" i="16"/>
  <c r="DS5" i="16"/>
  <c r="DK5" i="16"/>
  <c r="DC5" i="16"/>
  <c r="CU5" i="16"/>
  <c r="CM5" i="16"/>
  <c r="AN5" i="17"/>
  <c r="AM5" i="17"/>
  <c r="AE5" i="17"/>
  <c r="W5" i="17"/>
  <c r="O5" i="17"/>
  <c r="G5" i="17"/>
  <c r="S4" i="17"/>
  <c r="K4" i="17"/>
  <c r="C4" i="17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S4" i="16"/>
  <c r="K4" i="16"/>
  <c r="C4" i="16"/>
  <c r="CN5" i="15"/>
  <c r="CF5" i="15"/>
  <c r="BX5" i="15"/>
  <c r="BP5" i="15"/>
  <c r="BH5" i="15"/>
  <c r="AZ5" i="15"/>
  <c r="AR5" i="15"/>
  <c r="AJ5" i="15"/>
  <c r="AB5" i="15"/>
  <c r="T5" i="15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O5" i="14"/>
  <c r="G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AG5" i="13"/>
  <c r="Y5" i="13"/>
  <c r="Q5" i="13"/>
  <c r="I5" i="13"/>
  <c r="A5" i="13"/>
  <c r="V4" i="13"/>
  <c r="N4" i="13"/>
  <c r="F4" i="13"/>
  <c r="AY5" i="12"/>
  <c r="AQ5" i="12"/>
  <c r="AI5" i="12"/>
  <c r="AA5" i="12"/>
  <c r="S5" i="12"/>
  <c r="K5" i="12"/>
  <c r="AL5" i="17"/>
  <c r="AD5" i="17"/>
  <c r="V5" i="17"/>
  <c r="N5" i="17"/>
  <c r="F5" i="17"/>
  <c r="R4" i="17"/>
  <c r="J4" i="17"/>
  <c r="B4" i="17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Z4" i="16"/>
  <c r="R4" i="16"/>
  <c r="J4" i="16"/>
  <c r="B4" i="16"/>
  <c r="CM5" i="15"/>
  <c r="CE5" i="15"/>
  <c r="BW5" i="15"/>
  <c r="BO5" i="15"/>
  <c r="BG5" i="15"/>
  <c r="AY5" i="15"/>
  <c r="AQ5" i="15"/>
  <c r="AI5" i="15"/>
  <c r="AA5" i="15"/>
  <c r="S5" i="15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N5" i="14"/>
  <c r="F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AF5" i="13"/>
  <c r="X5" i="13"/>
  <c r="P5" i="13"/>
  <c r="H5" i="13"/>
  <c r="AC4" i="13"/>
  <c r="U4" i="13"/>
  <c r="M4" i="13"/>
  <c r="E4" i="13"/>
  <c r="AX5" i="12"/>
  <c r="AP5" i="12"/>
  <c r="AH5" i="12"/>
  <c r="Z5" i="12"/>
  <c r="R5" i="12"/>
  <c r="J5" i="12"/>
  <c r="B5" i="12"/>
  <c r="AN4" i="12"/>
  <c r="AF4" i="12"/>
  <c r="X4" i="12"/>
  <c r="P4" i="12"/>
  <c r="H4" i="12"/>
  <c r="BE5" i="11"/>
  <c r="AW5" i="11"/>
  <c r="AO5" i="11"/>
  <c r="AG5" i="11"/>
  <c r="Y5" i="11"/>
  <c r="Q5" i="11"/>
  <c r="I5" i="11"/>
  <c r="A5" i="11"/>
  <c r="V4" i="11"/>
  <c r="N4" i="11"/>
  <c r="F4" i="11"/>
  <c r="X5" i="10"/>
  <c r="P5" i="10"/>
  <c r="H5" i="10"/>
  <c r="AC4" i="10"/>
  <c r="U4" i="10"/>
  <c r="M4" i="10"/>
  <c r="E4" i="10"/>
  <c r="W5" i="9"/>
  <c r="O5" i="9"/>
  <c r="G5" i="9"/>
  <c r="AB4" i="9"/>
  <c r="T4" i="9"/>
  <c r="L4" i="9"/>
  <c r="D4" i="9"/>
  <c r="A5" i="8"/>
  <c r="V4" i="8"/>
  <c r="N4" i="8"/>
  <c r="F4" i="8"/>
  <c r="AO5" i="7"/>
  <c r="AG5" i="7"/>
  <c r="Y5" i="7"/>
  <c r="AK5" i="17"/>
  <c r="AC5" i="17"/>
  <c r="U5" i="17"/>
  <c r="M5" i="17"/>
  <c r="E5" i="17"/>
  <c r="Q4" i="17"/>
  <c r="I4" i="17"/>
  <c r="EU5" i="16"/>
  <c r="EM5" i="16"/>
  <c r="EE5" i="16"/>
  <c r="DW5" i="16"/>
  <c r="DO5" i="16"/>
  <c r="DG5" i="16"/>
  <c r="CY5" i="16"/>
  <c r="CQ5" i="16"/>
  <c r="CI5" i="16"/>
  <c r="CA5" i="16"/>
  <c r="BS5" i="16"/>
  <c r="BC5" i="16"/>
  <c r="AU5" i="16"/>
  <c r="AM5" i="16"/>
  <c r="AE5" i="16"/>
  <c r="W5" i="16"/>
  <c r="O5" i="16"/>
  <c r="G5" i="16"/>
  <c r="Y4" i="16"/>
  <c r="Q4" i="16"/>
  <c r="I4" i="16"/>
  <c r="CL5" i="15"/>
  <c r="CD5" i="15"/>
  <c r="BV5" i="15"/>
  <c r="BN5" i="15"/>
  <c r="BF5" i="15"/>
  <c r="AX5" i="15"/>
  <c r="AP5" i="15"/>
  <c r="AH5" i="15"/>
  <c r="Z5" i="15"/>
  <c r="AJ5" i="17"/>
  <c r="AB5" i="17"/>
  <c r="T5" i="17"/>
  <c r="L5" i="17"/>
  <c r="D5" i="17"/>
  <c r="P4" i="17"/>
  <c r="H4" i="17"/>
  <c r="FB5" i="16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X4" i="16"/>
  <c r="P4" i="16"/>
  <c r="H4" i="16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L5" i="14"/>
  <c r="D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AD5" i="13"/>
  <c r="V5" i="13"/>
  <c r="N5" i="13"/>
  <c r="F5" i="13"/>
  <c r="AA4" i="13"/>
  <c r="S4" i="13"/>
  <c r="K4" i="13"/>
  <c r="C4" i="13"/>
  <c r="AV5" i="12"/>
  <c r="AN5" i="12"/>
  <c r="AF5" i="17"/>
  <c r="EP5" i="16"/>
  <c r="CE5" i="16"/>
  <c r="AY5" i="16"/>
  <c r="S5" i="16"/>
  <c r="M4" i="16"/>
  <c r="BZ5" i="15"/>
  <c r="AT5" i="15"/>
  <c r="R5" i="15"/>
  <c r="DN4" i="15"/>
  <c r="CQ4" i="15"/>
  <c r="BW4" i="15"/>
  <c r="BB4" i="15"/>
  <c r="AE4" i="15"/>
  <c r="K4" i="15"/>
  <c r="H5" i="14"/>
  <c r="DB4" i="14"/>
  <c r="CH4" i="14"/>
  <c r="BM4" i="14"/>
  <c r="AP4" i="14"/>
  <c r="V4" i="14"/>
  <c r="K5" i="13"/>
  <c r="T4" i="13"/>
  <c r="AZ5" i="12"/>
  <c r="AF5" i="12"/>
  <c r="P5" i="12"/>
  <c r="D5" i="12"/>
  <c r="AM4" i="12"/>
  <c r="AB4" i="12"/>
  <c r="R4" i="12"/>
  <c r="G4" i="12"/>
  <c r="BA5" i="11"/>
  <c r="AQ5" i="11"/>
  <c r="AF5" i="11"/>
  <c r="V5" i="11"/>
  <c r="M5" i="11"/>
  <c r="D5" i="11"/>
  <c r="X4" i="11"/>
  <c r="O4" i="11"/>
  <c r="E4" i="11"/>
  <c r="V5" i="10"/>
  <c r="M5" i="10"/>
  <c r="D5" i="10"/>
  <c r="X4" i="10"/>
  <c r="O4" i="10"/>
  <c r="F4" i="10"/>
  <c r="V5" i="9"/>
  <c r="M5" i="9"/>
  <c r="D5" i="9"/>
  <c r="X4" i="9"/>
  <c r="O4" i="9"/>
  <c r="F4" i="9"/>
  <c r="B5" i="8"/>
  <c r="U4" i="8"/>
  <c r="L4" i="8"/>
  <c r="C4" i="8"/>
  <c r="AK5" i="7"/>
  <c r="AB5" i="7"/>
  <c r="S5" i="7"/>
  <c r="K5" i="7"/>
  <c r="C5" i="7"/>
  <c r="O4" i="7"/>
  <c r="G4" i="7"/>
  <c r="B5" i="6"/>
  <c r="T4" i="6"/>
  <c r="L4" i="6"/>
  <c r="D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T4" i="5"/>
  <c r="L4" i="5"/>
  <c r="D4" i="5"/>
  <c r="AM5" i="4"/>
  <c r="AE5" i="4"/>
  <c r="W5" i="4"/>
  <c r="O5" i="4"/>
  <c r="G5" i="4"/>
  <c r="S4" i="4"/>
  <c r="K4" i="4"/>
  <c r="C4" i="4"/>
  <c r="C19" i="3"/>
  <c r="C17" i="3"/>
  <c r="C15" i="3"/>
  <c r="C13" i="3"/>
  <c r="C11" i="3"/>
  <c r="C9" i="3"/>
  <c r="C7" i="3"/>
  <c r="C5" i="3"/>
  <c r="B480" i="1"/>
  <c r="C477" i="1"/>
  <c r="A475" i="1"/>
  <c r="B472" i="1"/>
  <c r="C469" i="1"/>
  <c r="A467" i="1"/>
  <c r="B464" i="1"/>
  <c r="C461" i="1"/>
  <c r="A459" i="1"/>
  <c r="B456" i="1"/>
  <c r="C453" i="1"/>
  <c r="X5" i="17"/>
  <c r="EH5" i="16"/>
  <c r="CD5" i="16"/>
  <c r="AX5" i="16"/>
  <c r="R5" i="16"/>
  <c r="L4" i="16"/>
  <c r="BY5" i="15"/>
  <c r="AS5" i="15"/>
  <c r="N5" i="15"/>
  <c r="DK4" i="15"/>
  <c r="CP4" i="15"/>
  <c r="BS4" i="15"/>
  <c r="AY4" i="15"/>
  <c r="AD4" i="15"/>
  <c r="G4" i="15"/>
  <c r="E5" i="14"/>
  <c r="DA4" i="14"/>
  <c r="CD4" i="14"/>
  <c r="BJ4" i="14"/>
  <c r="AO4" i="14"/>
  <c r="R4" i="14"/>
  <c r="AE5" i="13"/>
  <c r="J5" i="13"/>
  <c r="P4" i="13"/>
  <c r="AW5" i="12"/>
  <c r="AC5" i="12"/>
  <c r="N5" i="12"/>
  <c r="C5" i="12"/>
  <c r="AL4" i="12"/>
  <c r="AA4" i="12"/>
  <c r="Q4" i="12"/>
  <c r="F4" i="12"/>
  <c r="AZ5" i="11"/>
  <c r="AP5" i="11"/>
  <c r="AE5" i="11"/>
  <c r="U5" i="11"/>
  <c r="L5" i="11"/>
  <c r="C5" i="11"/>
  <c r="W4" i="11"/>
  <c r="M4" i="11"/>
  <c r="D4" i="11"/>
  <c r="U5" i="10"/>
  <c r="L5" i="10"/>
  <c r="C5" i="10"/>
  <c r="W4" i="10"/>
  <c r="N4" i="10"/>
  <c r="D4" i="10"/>
  <c r="U5" i="9"/>
  <c r="L5" i="9"/>
  <c r="C5" i="9"/>
  <c r="W4" i="9"/>
  <c r="N4" i="9"/>
  <c r="E4" i="9"/>
  <c r="AC4" i="8"/>
  <c r="T4" i="8"/>
  <c r="K4" i="8"/>
  <c r="B4" i="8"/>
  <c r="AJ5" i="7"/>
  <c r="AA5" i="7"/>
  <c r="R5" i="7"/>
  <c r="J5" i="7"/>
  <c r="B5" i="7"/>
  <c r="N4" i="7"/>
  <c r="F4" i="7"/>
  <c r="A5" i="6"/>
  <c r="S4" i="6"/>
  <c r="K4" i="6"/>
  <c r="C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S4" i="5"/>
  <c r="K4" i="5"/>
  <c r="C4" i="5"/>
  <c r="AL5" i="4"/>
  <c r="AD5" i="4"/>
  <c r="V5" i="4"/>
  <c r="N5" i="4"/>
  <c r="F5" i="4"/>
  <c r="R4" i="4"/>
  <c r="J4" i="4"/>
  <c r="B4" i="4"/>
  <c r="B19" i="3"/>
  <c r="B17" i="3"/>
  <c r="B15" i="3"/>
  <c r="B13" i="3"/>
  <c r="B11" i="3"/>
  <c r="B9" i="3"/>
  <c r="B7" i="3"/>
  <c r="B5" i="3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P5" i="17"/>
  <c r="DZ5" i="16"/>
  <c r="BW5" i="16"/>
  <c r="AQ5" i="16"/>
  <c r="K5" i="16"/>
  <c r="E4" i="16"/>
  <c r="BR5" i="15"/>
  <c r="AL5" i="15"/>
  <c r="M5" i="15"/>
  <c r="DG4" i="15"/>
  <c r="CM4" i="15"/>
  <c r="BR4" i="15"/>
  <c r="AU4" i="15"/>
  <c r="AA4" i="15"/>
  <c r="F4" i="15"/>
  <c r="A5" i="14"/>
  <c r="CX4" i="14"/>
  <c r="CC4" i="14"/>
  <c r="BF4" i="14"/>
  <c r="AL4" i="14"/>
  <c r="Q4" i="14"/>
  <c r="AA5" i="13"/>
  <c r="G5" i="13"/>
  <c r="O4" i="13"/>
  <c r="AS5" i="12"/>
  <c r="AB5" i="12"/>
  <c r="M5" i="12"/>
  <c r="A5" i="12"/>
  <c r="AJ4" i="12"/>
  <c r="Z4" i="12"/>
  <c r="O4" i="12"/>
  <c r="D4" i="12"/>
  <c r="AY5" i="11"/>
  <c r="AN5" i="11"/>
  <c r="AC5" i="11"/>
  <c r="T5" i="11"/>
  <c r="K5" i="11"/>
  <c r="B5" i="11"/>
  <c r="U4" i="11"/>
  <c r="L4" i="11"/>
  <c r="C4" i="11"/>
  <c r="T5" i="10"/>
  <c r="K5" i="10"/>
  <c r="B5" i="10"/>
  <c r="V4" i="10"/>
  <c r="L4" i="10"/>
  <c r="C4" i="10"/>
  <c r="T5" i="9"/>
  <c r="K5" i="9"/>
  <c r="B5" i="9"/>
  <c r="V4" i="9"/>
  <c r="M4" i="9"/>
  <c r="C4" i="9"/>
  <c r="AB4" i="8"/>
  <c r="S4" i="8"/>
  <c r="J4" i="8"/>
  <c r="AI5" i="7"/>
  <c r="Z5" i="7"/>
  <c r="Q5" i="7"/>
  <c r="I5" i="7"/>
  <c r="A5" i="7"/>
  <c r="M4" i="7"/>
  <c r="E4" i="7"/>
  <c r="Z4" i="6"/>
  <c r="R4" i="6"/>
  <c r="J4" i="6"/>
  <c r="B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Z4" i="5"/>
  <c r="R4" i="5"/>
  <c r="J4" i="5"/>
  <c r="B4" i="5"/>
  <c r="AK5" i="4"/>
  <c r="AC5" i="4"/>
  <c r="U5" i="4"/>
  <c r="M5" i="4"/>
  <c r="E5" i="4"/>
  <c r="Q4" i="4"/>
  <c r="I4" i="4"/>
  <c r="A19" i="3"/>
  <c r="A17" i="3"/>
  <c r="A15" i="3"/>
  <c r="A13" i="3"/>
  <c r="A11" i="3"/>
  <c r="A9" i="3"/>
  <c r="A7" i="3"/>
  <c r="A5" i="3"/>
  <c r="C479" i="1"/>
  <c r="A477" i="1"/>
  <c r="H5" i="17"/>
  <c r="DR5" i="16"/>
  <c r="BV5" i="16"/>
  <c r="AP5" i="16"/>
  <c r="J5" i="16"/>
  <c r="D4" i="16"/>
  <c r="BQ5" i="15"/>
  <c r="AK5" i="15"/>
  <c r="J5" i="15"/>
  <c r="DF4" i="15"/>
  <c r="CI4" i="15"/>
  <c r="BO4" i="15"/>
  <c r="AT4" i="15"/>
  <c r="W4" i="15"/>
  <c r="C4" i="15"/>
  <c r="DQ4" i="14"/>
  <c r="CT4" i="14"/>
  <c r="BZ4" i="14"/>
  <c r="BE4" i="14"/>
  <c r="AH4" i="14"/>
  <c r="N4" i="14"/>
  <c r="Z5" i="13"/>
  <c r="C5" i="13"/>
  <c r="L4" i="13"/>
  <c r="AR5" i="12"/>
  <c r="Y5" i="12"/>
  <c r="L5" i="12"/>
  <c r="AT4" i="12"/>
  <c r="AI4" i="12"/>
  <c r="Y4" i="12"/>
  <c r="N4" i="12"/>
  <c r="C4" i="12"/>
  <c r="AX5" i="11"/>
  <c r="AM5" i="11"/>
  <c r="AB5" i="11"/>
  <c r="S5" i="11"/>
  <c r="J5" i="11"/>
  <c r="AC4" i="11"/>
  <c r="T4" i="11"/>
  <c r="K4" i="11"/>
  <c r="B4" i="11"/>
  <c r="S5" i="10"/>
  <c r="J5" i="10"/>
  <c r="A5" i="10"/>
  <c r="T4" i="10"/>
  <c r="K4" i="10"/>
  <c r="B4" i="10"/>
  <c r="S5" i="9"/>
  <c r="J5" i="9"/>
  <c r="A5" i="9"/>
  <c r="U4" i="9"/>
  <c r="K4" i="9"/>
  <c r="B4" i="9"/>
  <c r="AA4" i="8"/>
  <c r="R4" i="8"/>
  <c r="I4" i="8"/>
  <c r="AQ5" i="7"/>
  <c r="AH5" i="7"/>
  <c r="X5" i="7"/>
  <c r="P5" i="7"/>
  <c r="H5" i="7"/>
  <c r="T4" i="7"/>
  <c r="L4" i="7"/>
  <c r="D4" i="7"/>
  <c r="Y4" i="6"/>
  <c r="Q4" i="6"/>
  <c r="I4" i="6"/>
  <c r="EU5" i="5"/>
  <c r="EM5" i="5"/>
  <c r="EE5" i="5"/>
  <c r="DW5" i="5"/>
  <c r="DO5" i="5"/>
  <c r="DG5" i="5"/>
  <c r="CY5" i="5"/>
  <c r="CQ5" i="5"/>
  <c r="CI5" i="5"/>
  <c r="CA5" i="5"/>
  <c r="BS5" i="5"/>
  <c r="BC5" i="5"/>
  <c r="AU5" i="5"/>
  <c r="AM5" i="5"/>
  <c r="AE5" i="5"/>
  <c r="W5" i="5"/>
  <c r="O5" i="5"/>
  <c r="G5" i="5"/>
  <c r="Y4" i="5"/>
  <c r="Q4" i="5"/>
  <c r="I4" i="5"/>
  <c r="AJ5" i="4"/>
  <c r="AB5" i="4"/>
  <c r="T5" i="4"/>
  <c r="L5" i="4"/>
  <c r="D5" i="4"/>
  <c r="P4" i="4"/>
  <c r="H4" i="4"/>
  <c r="D20" i="3"/>
  <c r="D18" i="3"/>
  <c r="D16" i="3"/>
  <c r="D14" i="3"/>
  <c r="D12" i="3"/>
  <c r="D10" i="3"/>
  <c r="D8" i="3"/>
  <c r="D6" i="3"/>
  <c r="D4" i="3"/>
  <c r="B479" i="1"/>
  <c r="C476" i="1"/>
  <c r="A474" i="1"/>
  <c r="B471" i="1"/>
  <c r="C468" i="1"/>
  <c r="A466" i="1"/>
  <c r="T4" i="17"/>
  <c r="DJ5" i="16"/>
  <c r="BO5" i="16"/>
  <c r="AI5" i="16"/>
  <c r="C5" i="16"/>
  <c r="CP5" i="15"/>
  <c r="BJ5" i="15"/>
  <c r="AD5" i="15"/>
  <c r="F5" i="15"/>
  <c r="DC4" i="15"/>
  <c r="CH4" i="15"/>
  <c r="BK4" i="15"/>
  <c r="AQ4" i="15"/>
  <c r="V4" i="15"/>
  <c r="Q5" i="14"/>
  <c r="DN4" i="14"/>
  <c r="CS4" i="14"/>
  <c r="BV4" i="14"/>
  <c r="BB4" i="14"/>
  <c r="AG4" i="14"/>
  <c r="J4" i="14"/>
  <c r="W5" i="13"/>
  <c r="B5" i="13"/>
  <c r="H4" i="13"/>
  <c r="AO5" i="12"/>
  <c r="X5" i="12"/>
  <c r="I5" i="12"/>
  <c r="AR4" i="12"/>
  <c r="AH4" i="12"/>
  <c r="W4" i="12"/>
  <c r="L4" i="12"/>
  <c r="B4" i="12"/>
  <c r="AV5" i="11"/>
  <c r="AK5" i="11"/>
  <c r="AA5" i="11"/>
  <c r="R5" i="11"/>
  <c r="H5" i="11"/>
  <c r="AB4" i="11"/>
  <c r="S4" i="11"/>
  <c r="J4" i="11"/>
  <c r="R5" i="10"/>
  <c r="I5" i="10"/>
  <c r="AB4" i="10"/>
  <c r="S4" i="10"/>
  <c r="J4" i="10"/>
  <c r="R5" i="9"/>
  <c r="I5" i="9"/>
  <c r="AC4" i="9"/>
  <c r="S4" i="9"/>
  <c r="J4" i="9"/>
  <c r="Z4" i="8"/>
  <c r="Q4" i="8"/>
  <c r="H4" i="8"/>
  <c r="AP5" i="7"/>
  <c r="AF5" i="7"/>
  <c r="W5" i="7"/>
  <c r="O5" i="7"/>
  <c r="G5" i="7"/>
  <c r="S4" i="7"/>
  <c r="K4" i="7"/>
  <c r="C4" i="7"/>
  <c r="X4" i="6"/>
  <c r="P4" i="6"/>
  <c r="H4" i="6"/>
  <c r="FB5" i="5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X4" i="5"/>
  <c r="P4" i="5"/>
  <c r="H4" i="5"/>
  <c r="AQ5" i="4"/>
  <c r="AI5" i="4"/>
  <c r="AA5" i="4"/>
  <c r="S5" i="4"/>
  <c r="K5" i="4"/>
  <c r="C5" i="4"/>
  <c r="O4" i="4"/>
  <c r="G4" i="4"/>
  <c r="C20" i="3"/>
  <c r="C18" i="3"/>
  <c r="C16" i="3"/>
  <c r="C14" i="3"/>
  <c r="C12" i="3"/>
  <c r="C10" i="3"/>
  <c r="C8" i="3"/>
  <c r="C6" i="3"/>
  <c r="C4" i="3"/>
  <c r="D4" i="17"/>
  <c r="CT5" i="16"/>
  <c r="BG5" i="16"/>
  <c r="AA5" i="16"/>
  <c r="U4" i="16"/>
  <c r="CH5" i="15"/>
  <c r="BB5" i="15"/>
  <c r="V5" i="15"/>
  <c r="B5" i="15"/>
  <c r="CX4" i="15"/>
  <c r="CA4" i="15"/>
  <c r="BG4" i="15"/>
  <c r="AL4" i="15"/>
  <c r="O4" i="15"/>
  <c r="M5" i="14"/>
  <c r="DI4" i="14"/>
  <c r="CL4" i="14"/>
  <c r="BR4" i="14"/>
  <c r="AW4" i="14"/>
  <c r="Z4" i="14"/>
  <c r="F4" i="14"/>
  <c r="R5" i="13"/>
  <c r="X4" i="13"/>
  <c r="D4" i="13"/>
  <c r="AJ5" i="12"/>
  <c r="T5" i="12"/>
  <c r="F5" i="12"/>
  <c r="AP4" i="12"/>
  <c r="AE4" i="12"/>
  <c r="T4" i="12"/>
  <c r="J4" i="12"/>
  <c r="BD5" i="11"/>
  <c r="AS5" i="11"/>
  <c r="AI5" i="11"/>
  <c r="X5" i="11"/>
  <c r="O5" i="11"/>
  <c r="F5" i="11"/>
  <c r="Z4" i="11"/>
  <c r="Q4" i="11"/>
  <c r="H4" i="11"/>
  <c r="Y5" i="10"/>
  <c r="O5" i="10"/>
  <c r="F5" i="10"/>
  <c r="Z4" i="10"/>
  <c r="Q4" i="10"/>
  <c r="H4" i="10"/>
  <c r="Y5" i="9"/>
  <c r="P5" i="9"/>
  <c r="F5" i="9"/>
  <c r="Z4" i="9"/>
  <c r="Q4" i="9"/>
  <c r="H4" i="9"/>
  <c r="D5" i="8"/>
  <c r="X4" i="8"/>
  <c r="O4" i="8"/>
  <c r="E4" i="8"/>
  <c r="AM5" i="7"/>
  <c r="AD5" i="7"/>
  <c r="U5" i="7"/>
  <c r="M5" i="7"/>
  <c r="E5" i="7"/>
  <c r="Q4" i="7"/>
  <c r="I4" i="7"/>
  <c r="V4" i="6"/>
  <c r="N4" i="6"/>
  <c r="F4" i="6"/>
  <c r="EZ5" i="5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V4" i="5"/>
  <c r="N4" i="5"/>
  <c r="F4" i="5"/>
  <c r="AO5" i="4"/>
  <c r="AG5" i="4"/>
  <c r="Y5" i="4"/>
  <c r="Q5" i="4"/>
  <c r="I5" i="4"/>
  <c r="A5" i="4"/>
  <c r="M4" i="4"/>
  <c r="E4" i="4"/>
  <c r="A20" i="3"/>
  <c r="A18" i="3"/>
  <c r="A16" i="3"/>
  <c r="A14" i="3"/>
  <c r="A12" i="3"/>
  <c r="A10" i="3"/>
  <c r="A8" i="3"/>
  <c r="A6" i="3"/>
  <c r="A4" i="3"/>
  <c r="B478" i="1"/>
  <c r="C475" i="1"/>
  <c r="A473" i="1"/>
  <c r="B470" i="1"/>
  <c r="C467" i="1"/>
  <c r="A465" i="1"/>
  <c r="B462" i="1"/>
  <c r="C459" i="1"/>
  <c r="A457" i="1"/>
  <c r="B454" i="1"/>
  <c r="C451" i="1"/>
  <c r="L4" i="17"/>
  <c r="B5" i="16"/>
  <c r="E5" i="15"/>
  <c r="AM4" i="15"/>
  <c r="CP4" i="14"/>
  <c r="I4" i="14"/>
  <c r="AK5" i="12"/>
  <c r="AG4" i="12"/>
  <c r="AU5" i="11"/>
  <c r="G5" i="11"/>
  <c r="Z5" i="10"/>
  <c r="R4" i="10"/>
  <c r="H5" i="9"/>
  <c r="E5" i="8"/>
  <c r="AN5" i="7"/>
  <c r="F5" i="7"/>
  <c r="W4" i="6"/>
  <c r="ES5" i="5"/>
  <c r="DM5" i="5"/>
  <c r="CG5" i="5"/>
  <c r="BA5" i="5"/>
  <c r="U5" i="5"/>
  <c r="O4" i="5"/>
  <c r="Z5" i="4"/>
  <c r="N4" i="4"/>
  <c r="B16" i="3"/>
  <c r="B8" i="3"/>
  <c r="A478" i="1"/>
  <c r="C471" i="1"/>
  <c r="B466" i="1"/>
  <c r="A462" i="1"/>
  <c r="C457" i="1"/>
  <c r="A453" i="1"/>
  <c r="C449" i="1"/>
  <c r="C446" i="1"/>
  <c r="C443" i="1"/>
  <c r="C440" i="1"/>
  <c r="C437" i="1"/>
  <c r="B434" i="1"/>
  <c r="B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EX5" i="16"/>
  <c r="T4" i="16"/>
  <c r="DO4" i="15"/>
  <c r="AI4" i="15"/>
  <c r="CK4" i="14"/>
  <c r="B4" i="14"/>
  <c r="AG5" i="12"/>
  <c r="AD4" i="12"/>
  <c r="AR5" i="11"/>
  <c r="E5" i="11"/>
  <c r="W5" i="10"/>
  <c r="P4" i="10"/>
  <c r="E5" i="9"/>
  <c r="C5" i="8"/>
  <c r="AL5" i="7"/>
  <c r="D5" i="7"/>
  <c r="U4" i="6"/>
  <c r="EQ5" i="5"/>
  <c r="DK5" i="5"/>
  <c r="CE5" i="5"/>
  <c r="AY5" i="5"/>
  <c r="S5" i="5"/>
  <c r="M4" i="5"/>
  <c r="X5" i="4"/>
  <c r="L4" i="4"/>
  <c r="D15" i="3"/>
  <c r="D7" i="3"/>
  <c r="B476" i="1"/>
  <c r="A471" i="1"/>
  <c r="C465" i="1"/>
  <c r="A461" i="1"/>
  <c r="B457" i="1"/>
  <c r="C452" i="1"/>
  <c r="B449" i="1"/>
  <c r="B446" i="1"/>
  <c r="B443" i="1"/>
  <c r="B440" i="1"/>
  <c r="A437" i="1"/>
  <c r="A434" i="1"/>
  <c r="A431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DB5" i="16"/>
  <c r="CO5" i="15"/>
  <c r="CY4" i="15"/>
  <c r="S4" i="15"/>
  <c r="BU4" i="14"/>
  <c r="S5" i="13"/>
  <c r="U5" i="12"/>
  <c r="V4" i="12"/>
  <c r="AJ5" i="11"/>
  <c r="AA4" i="11"/>
  <c r="Q5" i="10"/>
  <c r="I4" i="10"/>
  <c r="AA4" i="9"/>
  <c r="Y4" i="8"/>
  <c r="AE5" i="7"/>
  <c r="R4" i="7"/>
  <c r="O4" i="6"/>
  <c r="EK5" i="5"/>
  <c r="DE5" i="5"/>
  <c r="BY5" i="5"/>
  <c r="AS5" i="5"/>
  <c r="M5" i="5"/>
  <c r="G4" i="5"/>
  <c r="R5" i="4"/>
  <c r="F4" i="4"/>
  <c r="B14" i="3"/>
  <c r="B6" i="3"/>
  <c r="A476" i="1"/>
  <c r="C470" i="1"/>
  <c r="B465" i="1"/>
  <c r="C460" i="1"/>
  <c r="C456" i="1"/>
  <c r="B452" i="1"/>
  <c r="A449" i="1"/>
  <c r="A446" i="1"/>
  <c r="A443" i="1"/>
  <c r="C439" i="1"/>
  <c r="C436" i="1"/>
  <c r="C433" i="1"/>
  <c r="C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CL5" i="16"/>
  <c r="CG5" i="15"/>
  <c r="CU4" i="15"/>
  <c r="N4" i="15"/>
  <c r="BN4" i="14"/>
  <c r="O5" i="13"/>
  <c r="Q5" i="12"/>
  <c r="S4" i="12"/>
  <c r="AH5" i="11"/>
  <c r="Y4" i="11"/>
  <c r="N5" i="10"/>
  <c r="G4" i="10"/>
  <c r="Y4" i="9"/>
  <c r="W4" i="8"/>
  <c r="AC5" i="7"/>
  <c r="P4" i="7"/>
  <c r="M4" i="6"/>
  <c r="EI5" i="5"/>
  <c r="DC5" i="5"/>
  <c r="BW5" i="5"/>
  <c r="AQ5" i="5"/>
  <c r="K5" i="5"/>
  <c r="E4" i="5"/>
  <c r="P5" i="4"/>
  <c r="D4" i="4"/>
  <c r="D13" i="3"/>
  <c r="D5" i="3"/>
  <c r="B475" i="1"/>
  <c r="A470" i="1"/>
  <c r="C464" i="1"/>
  <c r="B460" i="1"/>
  <c r="C455" i="1"/>
  <c r="A452" i="1"/>
  <c r="C448" i="1"/>
  <c r="C445" i="1"/>
  <c r="B442" i="1"/>
  <c r="B439" i="1"/>
  <c r="B436" i="1"/>
  <c r="B433" i="1"/>
  <c r="B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BN5" i="16"/>
  <c r="BI5" i="15"/>
  <c r="CE4" i="15"/>
  <c r="P5" i="14"/>
  <c r="AX4" i="14"/>
  <c r="AB4" i="13"/>
  <c r="H5" i="12"/>
  <c r="K4" i="12"/>
  <c r="Z5" i="11"/>
  <c r="R4" i="11"/>
  <c r="G5" i="10"/>
  <c r="Z5" i="9"/>
  <c r="R4" i="9"/>
  <c r="P4" i="8"/>
  <c r="V5" i="7"/>
  <c r="J4" i="7"/>
  <c r="G4" i="6"/>
  <c r="EC5" i="5"/>
  <c r="CW5" i="5"/>
  <c r="BQ5" i="5"/>
  <c r="AK5" i="5"/>
  <c r="E5" i="5"/>
  <c r="AP5" i="4"/>
  <c r="J5" i="4"/>
  <c r="B20" i="3"/>
  <c r="B12" i="3"/>
  <c r="B4" i="3"/>
  <c r="B474" i="1"/>
  <c r="A469" i="1"/>
  <c r="C463" i="1"/>
  <c r="A460" i="1"/>
  <c r="B455" i="1"/>
  <c r="B451" i="1"/>
  <c r="B448" i="1"/>
  <c r="A445" i="1"/>
  <c r="A442" i="1"/>
  <c r="A439" i="1"/>
  <c r="A436" i="1"/>
  <c r="A433" i="1"/>
  <c r="A430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BF5" i="16"/>
  <c r="BC4" i="15"/>
  <c r="G4" i="13"/>
  <c r="W5" i="11"/>
  <c r="Y4" i="10"/>
  <c r="G4" i="8"/>
  <c r="E4" i="6"/>
  <c r="CM5" i="5"/>
  <c r="W4" i="5"/>
  <c r="D19" i="3"/>
  <c r="AH5" i="16"/>
  <c r="I5" i="14"/>
  <c r="BA5" i="12"/>
  <c r="P5" i="11"/>
  <c r="X5" i="9"/>
  <c r="D4" i="8"/>
  <c r="FA5" i="5"/>
  <c r="BO5" i="5"/>
  <c r="U4" i="5"/>
  <c r="B18" i="3"/>
  <c r="C473" i="1"/>
  <c r="C462" i="1"/>
  <c r="B450" i="1"/>
  <c r="C441" i="1"/>
  <c r="A435" i="1"/>
  <c r="B426" i="1"/>
  <c r="C418" i="1"/>
  <c r="C412" i="1"/>
  <c r="A405" i="1"/>
  <c r="B397" i="1"/>
  <c r="B391" i="1"/>
  <c r="C383" i="1"/>
  <c r="A376" i="1"/>
  <c r="A370" i="1"/>
  <c r="B362" i="1"/>
  <c r="C354" i="1"/>
  <c r="C348" i="1"/>
  <c r="A341" i="1"/>
  <c r="B333" i="1"/>
  <c r="B327" i="1"/>
  <c r="C319" i="1"/>
  <c r="A312" i="1"/>
  <c r="A306" i="1"/>
  <c r="B298" i="1"/>
  <c r="C290" i="1"/>
  <c r="C284" i="1"/>
  <c r="A277" i="1"/>
  <c r="B269" i="1"/>
  <c r="B263" i="1"/>
  <c r="C255" i="1"/>
  <c r="A248" i="1"/>
  <c r="A242" i="1"/>
  <c r="B234" i="1"/>
  <c r="C226" i="1"/>
  <c r="C220" i="1"/>
  <c r="A213" i="1"/>
  <c r="B205" i="1"/>
  <c r="C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6" i="1"/>
  <c r="C64" i="1"/>
  <c r="C48" i="1"/>
  <c r="A38" i="1"/>
  <c r="A30" i="1"/>
  <c r="B19" i="1"/>
  <c r="Z5" i="16"/>
  <c r="DJ4" i="14"/>
  <c r="E5" i="12"/>
  <c r="N5" i="11"/>
  <c r="Q5" i="9"/>
  <c r="T5" i="7"/>
  <c r="EY5" i="5"/>
  <c r="BI5" i="5"/>
  <c r="AN5" i="4"/>
  <c r="D17" i="3"/>
  <c r="B473" i="1"/>
  <c r="B459" i="1"/>
  <c r="A450" i="1"/>
  <c r="B441" i="1"/>
  <c r="C432" i="1"/>
  <c r="A426" i="1"/>
  <c r="B418" i="1"/>
  <c r="C410" i="1"/>
  <c r="C404" i="1"/>
  <c r="A397" i="1"/>
  <c r="B389" i="1"/>
  <c r="B383" i="1"/>
  <c r="C375" i="1"/>
  <c r="A368" i="1"/>
  <c r="A362" i="1"/>
  <c r="B354" i="1"/>
  <c r="C346" i="1"/>
  <c r="C340" i="1"/>
  <c r="A333" i="1"/>
  <c r="B325" i="1"/>
  <c r="B319" i="1"/>
  <c r="C311" i="1"/>
  <c r="A304" i="1"/>
  <c r="A298" i="1"/>
  <c r="B290" i="1"/>
  <c r="C282" i="1"/>
  <c r="C276" i="1"/>
  <c r="A269" i="1"/>
  <c r="B261" i="1"/>
  <c r="B255" i="1"/>
  <c r="C247" i="1"/>
  <c r="A240" i="1"/>
  <c r="A234" i="1"/>
  <c r="B226" i="1"/>
  <c r="C218" i="1"/>
  <c r="C212" i="1"/>
  <c r="A205" i="1"/>
  <c r="B199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72" i="1"/>
  <c r="B59" i="1"/>
  <c r="A54" i="1"/>
  <c r="A46" i="1"/>
  <c r="B35" i="1"/>
  <c r="B27" i="1"/>
  <c r="BA5" i="15"/>
  <c r="DF4" i="14"/>
  <c r="AQ4" i="12"/>
  <c r="P4" i="11"/>
  <c r="N5" i="9"/>
  <c r="N5" i="7"/>
  <c r="EA5" i="5"/>
  <c r="BG5" i="5"/>
  <c r="AH5" i="4"/>
  <c r="D11" i="3"/>
  <c r="C472" i="1"/>
  <c r="B458" i="1"/>
  <c r="C447" i="1"/>
  <c r="A441" i="1"/>
  <c r="B432" i="1"/>
  <c r="A424" i="1"/>
  <c r="A418" i="1"/>
  <c r="B410" i="1"/>
  <c r="C402" i="1"/>
  <c r="C396" i="1"/>
  <c r="A389" i="1"/>
  <c r="B381" i="1"/>
  <c r="B375" i="1"/>
  <c r="C367" i="1"/>
  <c r="A360" i="1"/>
  <c r="A354" i="1"/>
  <c r="B346" i="1"/>
  <c r="C338" i="1"/>
  <c r="C332" i="1"/>
  <c r="A325" i="1"/>
  <c r="B317" i="1"/>
  <c r="B311" i="1"/>
  <c r="C303" i="1"/>
  <c r="A296" i="1"/>
  <c r="A290" i="1"/>
  <c r="B282" i="1"/>
  <c r="C274" i="1"/>
  <c r="C268" i="1"/>
  <c r="A261" i="1"/>
  <c r="B253" i="1"/>
  <c r="B247" i="1"/>
  <c r="C239" i="1"/>
  <c r="A232" i="1"/>
  <c r="A226" i="1"/>
  <c r="B218" i="1"/>
  <c r="C210" i="1"/>
  <c r="C204" i="1"/>
  <c r="C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A70" i="1"/>
  <c r="B43" i="1"/>
  <c r="C24" i="1"/>
  <c r="AC5" i="15"/>
  <c r="AT4" i="14"/>
  <c r="AO4" i="12"/>
  <c r="I4" i="11"/>
  <c r="P4" i="9"/>
  <c r="L5" i="7"/>
  <c r="DU5" i="5"/>
  <c r="AI5" i="5"/>
  <c r="AF5" i="4"/>
  <c r="B10" i="3"/>
  <c r="B468" i="1"/>
  <c r="A458" i="1"/>
  <c r="B447" i="1"/>
  <c r="C438" i="1"/>
  <c r="C431" i="1"/>
  <c r="C423" i="1"/>
  <c r="A416" i="1"/>
  <c r="A410" i="1"/>
  <c r="B402" i="1"/>
  <c r="C394" i="1"/>
  <c r="C388" i="1"/>
  <c r="A381" i="1"/>
  <c r="B373" i="1"/>
  <c r="B367" i="1"/>
  <c r="C359" i="1"/>
  <c r="A352" i="1"/>
  <c r="A346" i="1"/>
  <c r="B338" i="1"/>
  <c r="C330" i="1"/>
  <c r="C324" i="1"/>
  <c r="A317" i="1"/>
  <c r="B309" i="1"/>
  <c r="B303" i="1"/>
  <c r="C295" i="1"/>
  <c r="A288" i="1"/>
  <c r="A282" i="1"/>
  <c r="B274" i="1"/>
  <c r="C266" i="1"/>
  <c r="C260" i="1"/>
  <c r="A253" i="1"/>
  <c r="B245" i="1"/>
  <c r="B239" i="1"/>
  <c r="C231" i="1"/>
  <c r="A224" i="1"/>
  <c r="A218" i="1"/>
  <c r="B210" i="1"/>
  <c r="C202" i="1"/>
  <c r="B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B67" i="1"/>
  <c r="A62" i="1"/>
  <c r="C56" i="1"/>
  <c r="B51" i="1"/>
  <c r="C40" i="1"/>
  <c r="C32" i="1"/>
  <c r="A22" i="1"/>
  <c r="BJ4" i="15"/>
  <c r="W4" i="13"/>
  <c r="BC5" i="11"/>
  <c r="AA4" i="10"/>
  <c r="M4" i="8"/>
  <c r="C5" i="6"/>
  <c r="CO5" i="5"/>
  <c r="C5" i="5"/>
  <c r="T4" i="4"/>
  <c r="A479" i="1"/>
  <c r="B463" i="1"/>
  <c r="A454" i="1"/>
  <c r="B444" i="1"/>
  <c r="C435" i="1"/>
  <c r="C428" i="1"/>
  <c r="A421" i="1"/>
  <c r="B413" i="1"/>
  <c r="B407" i="1"/>
  <c r="C399" i="1"/>
  <c r="A392" i="1"/>
  <c r="A386" i="1"/>
  <c r="B378" i="1"/>
  <c r="C370" i="1"/>
  <c r="C364" i="1"/>
  <c r="A357" i="1"/>
  <c r="B349" i="1"/>
  <c r="B343" i="1"/>
  <c r="C335" i="1"/>
  <c r="A328" i="1"/>
  <c r="A322" i="1"/>
  <c r="B314" i="1"/>
  <c r="C306" i="1"/>
  <c r="C300" i="1"/>
  <c r="A293" i="1"/>
  <c r="B285" i="1"/>
  <c r="B279" i="1"/>
  <c r="C271" i="1"/>
  <c r="A264" i="1"/>
  <c r="A258" i="1"/>
  <c r="B250" i="1"/>
  <c r="C242" i="1"/>
  <c r="C236" i="1"/>
  <c r="A229" i="1"/>
  <c r="B221" i="1"/>
  <c r="B215" i="1"/>
  <c r="C207" i="1"/>
  <c r="C200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U5" i="15"/>
  <c r="I4" i="9"/>
  <c r="H5" i="4"/>
  <c r="A455" i="1"/>
  <c r="B435" i="1"/>
  <c r="B415" i="1"/>
  <c r="B394" i="1"/>
  <c r="A378" i="1"/>
  <c r="B357" i="1"/>
  <c r="A338" i="1"/>
  <c r="A320" i="1"/>
  <c r="A301" i="1"/>
  <c r="A280" i="1"/>
  <c r="C263" i="1"/>
  <c r="C244" i="1"/>
  <c r="C223" i="1"/>
  <c r="B207" i="1"/>
  <c r="C194" i="1"/>
  <c r="A187" i="1"/>
  <c r="C180" i="1"/>
  <c r="B173" i="1"/>
  <c r="C165" i="1"/>
  <c r="B159" i="1"/>
  <c r="A152" i="1"/>
  <c r="B144" i="1"/>
  <c r="A138" i="1"/>
  <c r="C130" i="1"/>
  <c r="A123" i="1"/>
  <c r="C116" i="1"/>
  <c r="B109" i="1"/>
  <c r="C101" i="1"/>
  <c r="B95" i="1"/>
  <c r="A88" i="1"/>
  <c r="B80" i="1"/>
  <c r="A74" i="1"/>
  <c r="C66" i="1"/>
  <c r="A59" i="1"/>
  <c r="C52" i="1"/>
  <c r="B45" i="1"/>
  <c r="C37" i="1"/>
  <c r="B31" i="1"/>
  <c r="A24" i="1"/>
  <c r="C16" i="1"/>
  <c r="B11" i="1"/>
  <c r="A6" i="1"/>
  <c r="B101" i="1"/>
  <c r="B87" i="1"/>
  <c r="B72" i="1"/>
  <c r="C58" i="1"/>
  <c r="A51" i="1"/>
  <c r="C44" i="1"/>
  <c r="C29" i="1"/>
  <c r="B23" i="1"/>
  <c r="B16" i="1"/>
  <c r="C5" i="1"/>
  <c r="C50" i="1"/>
  <c r="B29" i="1"/>
  <c r="B5" i="1"/>
  <c r="DS5" i="5"/>
  <c r="A309" i="1"/>
  <c r="B191" i="1"/>
  <c r="A155" i="1"/>
  <c r="B127" i="1"/>
  <c r="A91" i="1"/>
  <c r="B63" i="1"/>
  <c r="C34" i="1"/>
  <c r="C20" i="1"/>
  <c r="A112" i="1"/>
  <c r="C13" i="1"/>
  <c r="C420" i="1"/>
  <c r="A400" i="1"/>
  <c r="C362" i="1"/>
  <c r="C322" i="1"/>
  <c r="A250" i="1"/>
  <c r="B189" i="1"/>
  <c r="A154" i="1"/>
  <c r="C117" i="1"/>
  <c r="C82" i="1"/>
  <c r="B47" i="1"/>
  <c r="C18" i="1"/>
  <c r="BZ4" i="15"/>
  <c r="G4" i="9"/>
  <c r="B5" i="4"/>
  <c r="C454" i="1"/>
  <c r="C429" i="1"/>
  <c r="A413" i="1"/>
  <c r="A394" i="1"/>
  <c r="A373" i="1"/>
  <c r="C356" i="1"/>
  <c r="A336" i="1"/>
  <c r="C316" i="1"/>
  <c r="C298" i="1"/>
  <c r="C279" i="1"/>
  <c r="C258" i="1"/>
  <c r="B242" i="1"/>
  <c r="B223" i="1"/>
  <c r="B202" i="1"/>
  <c r="A194" i="1"/>
  <c r="C186" i="1"/>
  <c r="A179" i="1"/>
  <c r="C172" i="1"/>
  <c r="B165" i="1"/>
  <c r="C157" i="1"/>
  <c r="B151" i="1"/>
  <c r="A144" i="1"/>
  <c r="B136" i="1"/>
  <c r="A130" i="1"/>
  <c r="C122" i="1"/>
  <c r="A115" i="1"/>
  <c r="C108" i="1"/>
  <c r="C93" i="1"/>
  <c r="A80" i="1"/>
  <c r="A66" i="1"/>
  <c r="B37" i="1"/>
  <c r="A11" i="1"/>
  <c r="C36" i="1"/>
  <c r="C21" i="1"/>
  <c r="A10" i="1"/>
  <c r="C444" i="1"/>
  <c r="C292" i="1"/>
  <c r="C215" i="1"/>
  <c r="C162" i="1"/>
  <c r="B112" i="1"/>
  <c r="A56" i="1"/>
  <c r="A14" i="1"/>
  <c r="A444" i="1"/>
  <c r="A384" i="1"/>
  <c r="C308" i="1"/>
  <c r="B231" i="1"/>
  <c r="B168" i="1"/>
  <c r="C140" i="1"/>
  <c r="B104" i="1"/>
  <c r="C76" i="1"/>
  <c r="B55" i="1"/>
  <c r="C26" i="1"/>
  <c r="AC5" i="5"/>
  <c r="B266" i="1"/>
  <c r="B175" i="1"/>
  <c r="A139" i="1"/>
  <c r="B111" i="1"/>
  <c r="A75" i="1"/>
  <c r="A40" i="1"/>
  <c r="AD4" i="14"/>
  <c r="H4" i="7"/>
  <c r="D9" i="3"/>
  <c r="A451" i="1"/>
  <c r="A429" i="1"/>
  <c r="A408" i="1"/>
  <c r="C391" i="1"/>
  <c r="C372" i="1"/>
  <c r="C351" i="1"/>
  <c r="B335" i="1"/>
  <c r="C314" i="1"/>
  <c r="B295" i="1"/>
  <c r="B277" i="1"/>
  <c r="B258" i="1"/>
  <c r="B237" i="1"/>
  <c r="A221" i="1"/>
  <c r="A202" i="1"/>
  <c r="B192" i="1"/>
  <c r="A186" i="1"/>
  <c r="C178" i="1"/>
  <c r="A171" i="1"/>
  <c r="C164" i="1"/>
  <c r="B157" i="1"/>
  <c r="C149" i="1"/>
  <c r="B143" i="1"/>
  <c r="A136" i="1"/>
  <c r="B128" i="1"/>
  <c r="A122" i="1"/>
  <c r="C114" i="1"/>
  <c r="A107" i="1"/>
  <c r="C100" i="1"/>
  <c r="B93" i="1"/>
  <c r="C85" i="1"/>
  <c r="B79" i="1"/>
  <c r="A72" i="1"/>
  <c r="B64" i="1"/>
  <c r="A43" i="1"/>
  <c r="A16" i="1"/>
  <c r="C478" i="1"/>
  <c r="B405" i="1"/>
  <c r="B386" i="1"/>
  <c r="B365" i="1"/>
  <c r="A330" i="1"/>
  <c r="C252" i="1"/>
  <c r="A198" i="1"/>
  <c r="A170" i="1"/>
  <c r="C133" i="1"/>
  <c r="C84" i="1"/>
  <c r="A42" i="1"/>
  <c r="C8" i="1"/>
  <c r="B421" i="1"/>
  <c r="C327" i="1"/>
  <c r="C250" i="1"/>
  <c r="B197" i="1"/>
  <c r="A176" i="1"/>
  <c r="C154" i="1"/>
  <c r="C125" i="1"/>
  <c r="A98" i="1"/>
  <c r="B69" i="1"/>
  <c r="B40" i="1"/>
  <c r="A19" i="1"/>
  <c r="G4" i="11"/>
  <c r="A210" i="1"/>
  <c r="C146" i="1"/>
  <c r="A104" i="1"/>
  <c r="C53" i="1"/>
  <c r="B13" i="1"/>
  <c r="Y4" i="14"/>
  <c r="B4" i="7"/>
  <c r="C480" i="1"/>
  <c r="A447" i="1"/>
  <c r="C426" i="1"/>
  <c r="C407" i="1"/>
  <c r="C386" i="1"/>
  <c r="B370" i="1"/>
  <c r="B351" i="1"/>
  <c r="B330" i="1"/>
  <c r="A314" i="1"/>
  <c r="B293" i="1"/>
  <c r="A274" i="1"/>
  <c r="A256" i="1"/>
  <c r="A237" i="1"/>
  <c r="A216" i="1"/>
  <c r="A200" i="1"/>
  <c r="A192" i="1"/>
  <c r="B184" i="1"/>
  <c r="A178" i="1"/>
  <c r="C170" i="1"/>
  <c r="A163" i="1"/>
  <c r="C156" i="1"/>
  <c r="B149" i="1"/>
  <c r="C141" i="1"/>
  <c r="B135" i="1"/>
  <c r="A128" i="1"/>
  <c r="B120" i="1"/>
  <c r="A114" i="1"/>
  <c r="C106" i="1"/>
  <c r="A99" i="1"/>
  <c r="C92" i="1"/>
  <c r="B85" i="1"/>
  <c r="C77" i="1"/>
  <c r="B71" i="1"/>
  <c r="A64" i="1"/>
  <c r="B56" i="1"/>
  <c r="A50" i="1"/>
  <c r="C42" i="1"/>
  <c r="A35" i="1"/>
  <c r="C28" i="1"/>
  <c r="B21" i="1"/>
  <c r="B15" i="1"/>
  <c r="C4" i="1"/>
  <c r="B423" i="1"/>
  <c r="A349" i="1"/>
  <c r="C234" i="1"/>
  <c r="B176" i="1"/>
  <c r="B141" i="1"/>
  <c r="A106" i="1"/>
  <c r="C69" i="1"/>
  <c r="A27" i="1"/>
  <c r="A468" i="1"/>
  <c r="A344" i="1"/>
  <c r="B271" i="1"/>
  <c r="C189" i="1"/>
  <c r="A162" i="1"/>
  <c r="B133" i="1"/>
  <c r="C90" i="1"/>
  <c r="C61" i="1"/>
  <c r="A34" i="1"/>
  <c r="B467" i="1"/>
  <c r="B306" i="1"/>
  <c r="C196" i="1"/>
  <c r="A168" i="1"/>
  <c r="B125" i="1"/>
  <c r="A90" i="1"/>
  <c r="B61" i="1"/>
  <c r="A26" i="1"/>
  <c r="E5" i="10"/>
  <c r="AA5" i="5"/>
  <c r="A463" i="1"/>
  <c r="A438" i="1"/>
  <c r="C415" i="1"/>
  <c r="B399" i="1"/>
  <c r="C378" i="1"/>
  <c r="B359" i="1"/>
  <c r="B341" i="1"/>
  <c r="B322" i="1"/>
  <c r="B301" i="1"/>
  <c r="A285" i="1"/>
  <c r="A266" i="1"/>
  <c r="A245" i="1"/>
  <c r="C228" i="1"/>
  <c r="A208" i="1"/>
  <c r="A195" i="1"/>
  <c r="C188" i="1"/>
  <c r="B181" i="1"/>
  <c r="C173" i="1"/>
  <c r="B167" i="1"/>
  <c r="A160" i="1"/>
  <c r="B152" i="1"/>
  <c r="A146" i="1"/>
  <c r="C138" i="1"/>
  <c r="A131" i="1"/>
  <c r="C124" i="1"/>
  <c r="B117" i="1"/>
  <c r="C109" i="1"/>
  <c r="B103" i="1"/>
  <c r="A96" i="1"/>
  <c r="B88" i="1"/>
  <c r="A82" i="1"/>
  <c r="C74" i="1"/>
  <c r="A67" i="1"/>
  <c r="C60" i="1"/>
  <c r="B53" i="1"/>
  <c r="C45" i="1"/>
  <c r="B39" i="1"/>
  <c r="A32" i="1"/>
  <c r="B24" i="1"/>
  <c r="A18" i="1"/>
  <c r="C12" i="1"/>
  <c r="B7" i="1"/>
  <c r="A58" i="1"/>
  <c r="C10" i="1"/>
  <c r="I4" i="12"/>
  <c r="A272" i="1"/>
  <c r="A184" i="1"/>
  <c r="C148" i="1"/>
  <c r="A120" i="1"/>
  <c r="C98" i="1"/>
  <c r="B77" i="1"/>
  <c r="B48" i="1"/>
  <c r="CU5" i="5"/>
  <c r="A402" i="1"/>
  <c r="A365" i="1"/>
  <c r="C287" i="1"/>
  <c r="B213" i="1"/>
  <c r="B183" i="1"/>
  <c r="A147" i="1"/>
  <c r="B119" i="1"/>
  <c r="A83" i="1"/>
  <c r="A48" i="1"/>
  <c r="B8" i="1"/>
  <c r="B438" i="1"/>
  <c r="C380" i="1"/>
  <c r="C343" i="1"/>
  <c r="B287" i="1"/>
  <c r="B229" i="1"/>
  <c r="C181" i="1"/>
  <c r="B160" i="1"/>
  <c r="C132" i="1"/>
  <c r="B96" i="1"/>
  <c r="C68" i="1"/>
  <c r="B32" i="1"/>
  <c r="A8" i="1"/>
  <c r="J2" i="15" l="1"/>
  <c r="J2" i="13"/>
  <c r="J2" i="17"/>
  <c r="J2" i="16"/>
  <c r="J2" i="14"/>
  <c r="J2" i="8"/>
  <c r="J2" i="4"/>
  <c r="J2" i="6"/>
  <c r="J2" i="5"/>
  <c r="J2" i="11"/>
  <c r="J2" i="10"/>
  <c r="J2" i="9"/>
  <c r="J2" i="7"/>
  <c r="J2" i="12"/>
</calcChain>
</file>

<file path=xl/sharedStrings.xml><?xml version="1.0" encoding="utf-8"?>
<sst xmlns="http://schemas.openxmlformats.org/spreadsheetml/2006/main" count="178" uniqueCount="44">
  <si>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</si>
  <si>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</si>
  <si>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</si>
  <si>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</si>
  <si>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</si>
  <si>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</si>
  <si>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</si>
  <si>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</si>
  <si>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</si>
  <si>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</si>
  <si>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</si>
  <si>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</si>
  <si>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</si>
  <si>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</si>
  <si>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</si>
  <si>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</si>
  <si>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</si>
  <si>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</t>
  </si>
  <si>
    <t>Allocation1</t>
  </si>
  <si>
    <t>MS</t>
  </si>
  <si>
    <t>PortfolioManagement</t>
  </si>
  <si>
    <t>CheckPortfolioManagement</t>
  </si>
  <si>
    <t>ClosePositionFromPM</t>
  </si>
  <si>
    <t>Sell</t>
  </si>
  <si>
    <t>Closing</t>
  </si>
  <si>
    <t>GetDataClosing</t>
  </si>
  <si>
    <t>Current</t>
  </si>
  <si>
    <t>VerifyLongPositionsGrid</t>
  </si>
  <si>
    <t>Equity</t>
  </si>
  <si>
    <t>VerifyShortPositionsGrid</t>
  </si>
  <si>
    <t>ManualClosing</t>
  </si>
  <si>
    <t>Blotter</t>
  </si>
  <si>
    <t>VerifyWorkingSubs</t>
  </si>
  <si>
    <t>Filled</t>
  </si>
  <si>
    <t>VerifyClosedTrades</t>
  </si>
  <si>
    <t>Long</t>
  </si>
  <si>
    <t>MANUAL</t>
  </si>
  <si>
    <t>Allocation</t>
  </si>
  <si>
    <t>GetDataAllocation</t>
  </si>
  <si>
    <t>CheckAllocatedGroups</t>
  </si>
  <si>
    <t>Closed</t>
  </si>
  <si>
    <t>Market</t>
  </si>
  <si>
    <t>msft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</si>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</sst>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3" fontId="5" fillId="0" borderId="0" xfId="0" applyNumberFormat="1" applyFont="1" applyAlignment="1"/>
    <xf numFmtId="0" fontId="5" fillId="0" borderId="0" xfId="0" applyFont="1" applyAlignment="1"/>
    <xf numFmtId="4" fontId="5" fillId="0" borderId="0" xfId="0" applyNumberFormat="1" applyFont="1" applyAlignment="1"/>
    <xf numFmtId="0" fontId="5" fillId="0" borderId="0" xfId="0" applyFont="1" applyAlignment="1"/>
    <xf numFmtId="0" fontId="3" fillId="0" borderId="0" xfId="0" applyFont="1" applyAlignment="1"/>
    <xf numFmtId="3" fontId="2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1" t="s">
        <v>0</v>
      </c>
      <c r="B1" s="32"/>
      <c r="C1" s="32"/>
      <c r="D1" s="32"/>
      <c r="E1" s="32"/>
      <c r="F1" s="33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4" t="s">
        <v>2</v>
      </c>
      <c r="B1" s="32"/>
      <c r="C1" s="33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1" t="s">
        <v>7</v>
      </c>
      <c r="B1" s="32"/>
      <c r="C1" s="32"/>
      <c r="D1" s="32"/>
      <c r="E1" s="32"/>
      <c r="F1" s="33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50000</v>
      </c>
      <c r="E6" s="7">
        <v>50000</v>
      </c>
      <c r="F6" s="7" t="s">
        <v>18</v>
      </c>
      <c r="G6" s="7" t="s">
        <v>19</v>
      </c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CM1" workbookViewId="0">
      <selection activeCell="CY9" sqref="CY9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7.28515625" customWidth="1"/>
    <col min="64" max="168" width="14.42578125" customWidth="1"/>
  </cols>
  <sheetData>
    <row r="1" spans="1:168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50000</v>
      </c>
      <c r="E6" s="7" t="s">
        <v>18</v>
      </c>
      <c r="F6" s="5"/>
      <c r="G6" s="7">
        <v>10</v>
      </c>
      <c r="H6" s="5"/>
      <c r="I6" s="5"/>
      <c r="J6" s="5"/>
      <c r="K6" s="5"/>
      <c r="L6" s="5"/>
      <c r="M6" s="5"/>
      <c r="N6" s="5"/>
      <c r="O6" s="5"/>
      <c r="AN6" s="6" t="s">
        <v>17</v>
      </c>
    </row>
    <row r="7" spans="1:168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16</v>
      </c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23</v>
      </c>
      <c r="D6" s="7">
        <v>50000</v>
      </c>
      <c r="E6" s="26"/>
      <c r="F6" s="7" t="s">
        <v>18</v>
      </c>
      <c r="G6" s="7" t="s">
        <v>19</v>
      </c>
      <c r="H6" s="5"/>
      <c r="I6" s="5"/>
      <c r="J6" s="7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26</v>
      </c>
      <c r="C6" s="5"/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28</v>
      </c>
      <c r="D6" s="7"/>
      <c r="E6" s="26"/>
      <c r="F6" s="5"/>
      <c r="G6" s="5"/>
      <c r="H6" s="27">
        <v>500000</v>
      </c>
      <c r="I6" s="7">
        <v>10</v>
      </c>
      <c r="J6" s="5"/>
      <c r="K6" s="5"/>
      <c r="L6" s="5"/>
      <c r="M6" s="27">
        <v>50000</v>
      </c>
      <c r="N6" s="5"/>
      <c r="O6" s="5"/>
      <c r="P6" s="6" t="s">
        <v>17</v>
      </c>
      <c r="R6" s="6" t="s">
        <v>16</v>
      </c>
      <c r="X6" s="6">
        <v>10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28</v>
      </c>
      <c r="D6" s="7"/>
      <c r="E6" s="26"/>
      <c r="F6" s="5"/>
      <c r="G6" s="5"/>
      <c r="H6" s="25">
        <v>1000000</v>
      </c>
      <c r="I6" s="7">
        <v>20</v>
      </c>
      <c r="J6" s="5"/>
      <c r="K6" s="5"/>
      <c r="L6" s="5"/>
      <c r="M6" s="25">
        <v>50000</v>
      </c>
      <c r="N6" s="5"/>
      <c r="O6" s="5"/>
      <c r="P6" s="6" t="s">
        <v>23</v>
      </c>
      <c r="R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IFERROR(__xludf.DUMMYFUNCTION("""COMPUTED_VALUE"""),"CloseSSw/BuyBTO")</f>
        <v>CloseSSw/BuyBTO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IFERROR(__xludf.DUMMYFUNCTION("""COMPUTED_VALUE"""),"LongAccount")</f>
        <v>LongAccount</v>
      </c>
      <c r="E5" s="22" t="str">
        <f ca="1">IFERROR(__xludf.DUMMYFUNCTION("""COMPUTED_VALUE"""),"LongAsset Class")</f>
        <v>LongAsset Class</v>
      </c>
      <c r="F5" s="23" t="str">
        <f ca="1">IFERROR(__xludf.DUMMYFUNCTION("""COMPUTED_VALUE"""),"LongAUECID")</f>
        <v>LongAUECID</v>
      </c>
      <c r="G5" s="22" t="str">
        <f ca="1">IFERROR(__xludf.DUMMYFUNCTION("""COMPUTED_VALUE"""),"LongExternalTransId")</f>
        <v>LongExternalTransId</v>
      </c>
      <c r="H5" s="22" t="str">
        <f ca="1">IFERROR(__xludf.DUMMYFUNCTION("""COMPUTED_VALUE"""),"LongIsSwapped")</f>
        <v>LongIsSwapped</v>
      </c>
      <c r="I5" s="22" t="str">
        <f ca="1">IFERROR(__xludf.DUMMYFUNCTION("""COMPUTED_VALUE"""),"LongLotId")</f>
        <v>LongLotId</v>
      </c>
      <c r="J5" s="22" t="str">
        <f ca="1">IFERROR(__xludf.DUMMYFUNCTION("""COMPUTED_VALUE"""),"LongNet Notional")</f>
        <v>LongNet Notional</v>
      </c>
      <c r="K5" s="22" t="str">
        <f ca="1">IFERROR(__xludf.DUMMYFUNCTION("""COMPUTED_VALUE"""),"LongOpening Price")</f>
        <v>LongOpening Price</v>
      </c>
      <c r="L5" s="22" t="str">
        <f ca="1">IFERROR(__xludf.DUMMYFUNCTION("""COMPUTED_VALUE"""),"LongOriginal Purchase Date")</f>
        <v>LongOriginal Purchase Date</v>
      </c>
      <c r="M5" s="22" t="str">
        <f ca="1">IFERROR(__xludf.DUMMYFUNCTION("""COMPUTED_VALUE"""),"LongPositionTag")</f>
        <v>LongPositionTag</v>
      </c>
      <c r="N5" s="22" t="str">
        <f ca="1">IFERROR(__xludf.DUMMYFUNCTION("""COMPUTED_VALUE"""),"LongProcess Date")</f>
        <v>LongProcess Date</v>
      </c>
      <c r="O5" s="22" t="str">
        <f ca="1">IFERROR(__xludf.DUMMYFUNCTION("""COMPUTED_VALUE"""),"LongQuantity")</f>
        <v>LongQuantity</v>
      </c>
      <c r="P5" s="22" t="str">
        <f ca="1">IFERROR(__xludf.DUMMYFUNCTION("""COMPUTED_VALUE"""),"LongSecurity Name")</f>
        <v>LongSecurity Name</v>
      </c>
      <c r="Q5" s="22" t="str">
        <f ca="1">IFERROR(__xludf.DUMMYFUNCTION("""COMPUTED_VALUE"""),"LongSettlement Currency")</f>
        <v>LongSettlement Currency</v>
      </c>
      <c r="R5" s="22" t="str">
        <f ca="1">IFERROR(__xludf.DUMMYFUNCTION("""COMPUTED_VALUE"""),"LongSettlement FxRate")</f>
        <v>LongSettlement FxRate</v>
      </c>
      <c r="S5" s="22" t="str">
        <f ca="1">IFERROR(__xludf.DUMMYFUNCTION("""COMPUTED_VALUE"""),"LongSettlement FxRate Operator")</f>
        <v>LongSettlement FxRate Operator</v>
      </c>
      <c r="T5" s="24" t="str">
        <f ca="1">IFERROR(__xludf.DUMMYFUNCTION("""COMPUTED_VALUE"""),"LongSettlement Price")</f>
        <v>LongSettlement Price</v>
      </c>
      <c r="U5" s="24" t="str">
        <f ca="1">IFERROR(__xludf.DUMMYFUNCTION("""COMPUTED_VALUE"""),"LongSettlement Unit Cost")</f>
        <v>LongSettlement Unit Cost</v>
      </c>
      <c r="V5" s="24" t="str">
        <f ca="1">IFERROR(__xludf.DUMMYFUNCTION("""COMPUTED_VALUE"""),"LongSide")</f>
        <v>LongSide</v>
      </c>
      <c r="W5" s="24" t="str">
        <f ca="1">IFERROR(__xludf.DUMMYFUNCTION("""COMPUTED_VALUE"""),"LongStrategy")</f>
        <v>LongStrategy</v>
      </c>
      <c r="X5" s="24" t="str">
        <f ca="1">IFERROR(__xludf.DUMMYFUNCTION("""COMPUTED_VALUE"""),"LongSymbol")</f>
        <v>LongSymbol</v>
      </c>
      <c r="Y5" s="24" t="str">
        <f ca="1">IFERROR(__xludf.DUMMYFUNCTION("""COMPUTED_VALUE"""),"LongTaxlot Id")</f>
        <v>LongTaxlot Id</v>
      </c>
      <c r="Z5" s="24" t="str">
        <f ca="1">IFERROR(__xludf.DUMMYFUNCTION("""COMPUTED_VALUE"""),"LongTotal Fee And Commission")</f>
        <v>LongTotal Fee And Commission</v>
      </c>
      <c r="AA5" s="24" t="str">
        <f ca="1">IFERROR(__xludf.DUMMYFUNCTION("""COMPUTED_VALUE"""),"LongTrade Date")</f>
        <v>LongTrade Date</v>
      </c>
      <c r="AB5" s="24" t="str">
        <f ca="1">IFERROR(__xludf.DUMMYFUNCTION("""COMPUTED_VALUE"""),"LongTransaction Type")</f>
        <v>LongTransaction Type</v>
      </c>
      <c r="AC5" s="24" t="str">
        <f ca="1">IFERROR(__xludf.DUMMYFUNCTION("""COMPUTED_VALUE"""),"LongUnderlyingName")</f>
        <v>LongUnderlyingName</v>
      </c>
      <c r="AD5" s="24" t="str">
        <f ca="1">IFERROR(__xludf.DUMMYFUNCTION("""COMPUTED_VALUE"""),"LongUnitCost")</f>
        <v>LongUnitCost</v>
      </c>
      <c r="AE5" s="24" t="str">
        <f ca="1">IFERROR(__xludf.DUMMYFUNCTION("""COMPUTED_VALUE"""),"ShortAccount")</f>
        <v>ShortAccount</v>
      </c>
      <c r="AF5" s="24" t="str">
        <f ca="1">IFERROR(__xludf.DUMMYFUNCTION("""COMPUTED_VALUE"""),"ShortAsset Class")</f>
        <v>ShortAsset Class</v>
      </c>
      <c r="AG5" s="24" t="str">
        <f ca="1">IFERROR(__xludf.DUMMYFUNCTION("""COMPUTED_VALUE"""),"ShortAUECID")</f>
        <v>ShortAUECID</v>
      </c>
      <c r="AH5" s="24" t="str">
        <f ca="1">IFERROR(__xludf.DUMMYFUNCTION("""COMPUTED_VALUE"""),"ShortExternalTransId")</f>
        <v>ShortExternalTransId</v>
      </c>
      <c r="AI5" s="24" t="str">
        <f ca="1">IFERROR(__xludf.DUMMYFUNCTION("""COMPUTED_VALUE"""),"ShortIsSwapped")</f>
        <v>ShortIsSwapped</v>
      </c>
      <c r="AJ5" s="24" t="str">
        <f ca="1">IFERROR(__xludf.DUMMYFUNCTION("""COMPUTED_VALUE"""),"ShortLotId")</f>
        <v>ShortLotId</v>
      </c>
      <c r="AK5" s="24" t="str">
        <f ca="1">IFERROR(__xludf.DUMMYFUNCTION("""COMPUTED_VALUE"""),"ShortNet Notional")</f>
        <v>ShortNet Notional</v>
      </c>
      <c r="AL5" s="24" t="str">
        <f ca="1">IFERROR(__xludf.DUMMYFUNCTION("""COMPUTED_VALUE"""),"ShortOpening Price")</f>
        <v>ShortOpening Price</v>
      </c>
      <c r="AM5" s="24" t="str">
        <f ca="1">IFERROR(__xludf.DUMMYFUNCTION("""COMPUTED_VALUE"""),"ShortOriginal Purchase Date")</f>
        <v>ShortOriginal Purchase Date</v>
      </c>
      <c r="AN5" s="24" t="str">
        <f ca="1">IFERROR(__xludf.DUMMYFUNCTION("""COMPUTED_VALUE"""),"ShortPositionTag")</f>
        <v>ShortPositionTag</v>
      </c>
      <c r="AO5" s="24" t="str">
        <f ca="1">IFERROR(__xludf.DUMMYFUNCTION("""COMPUTED_VALUE"""),"ShortProcess Date")</f>
        <v>ShortProcess Date</v>
      </c>
      <c r="AP5" s="24" t="str">
        <f ca="1">IFERROR(__xludf.DUMMYFUNCTION("""COMPUTED_VALUE"""),"ShortQuantity")</f>
        <v>ShortQuantity</v>
      </c>
      <c r="AQ5" s="24" t="str">
        <f ca="1">IFERROR(__xludf.DUMMYFUNCTION("""COMPUTED_VALUE"""),"ShortSecurity Name")</f>
        <v>ShortSecurity Name</v>
      </c>
      <c r="AR5" s="24" t="str">
        <f ca="1">IFERROR(__xludf.DUMMYFUNCTION("""COMPUTED_VALUE"""),"ShortSettlement Currency")</f>
        <v>ShortSettlement Currency</v>
      </c>
      <c r="AS5" s="24" t="str">
        <f ca="1">IFERROR(__xludf.DUMMYFUNCTION("""COMPUTED_VALUE"""),"ShortSettlement FxRate")</f>
        <v>ShortSettlement FxRate</v>
      </c>
      <c r="AT5" s="24" t="str">
        <f ca="1">IFERROR(__xludf.DUMMYFUNCTION("""COMPUTED_VALUE"""),"ShortSettlement FxRate Operator")</f>
        <v>ShortSettlement FxRate Operator</v>
      </c>
      <c r="AU5" s="24" t="str">
        <f ca="1">IFERROR(__xludf.DUMMYFUNCTION("""COMPUTED_VALUE"""),"ShortSettlement Price")</f>
        <v>ShortSettlement Price</v>
      </c>
      <c r="AV5" s="24" t="str">
        <f ca="1">IFERROR(__xludf.DUMMYFUNCTION("""COMPUTED_VALUE"""),"ShortSettlement Unit Cost")</f>
        <v>ShortSettlement Unit Cost</v>
      </c>
      <c r="AW5" s="24" t="str">
        <f ca="1">IFERROR(__xludf.DUMMYFUNCTION("""COMPUTED_VALUE"""),"ShortSide")</f>
        <v>ShortSide</v>
      </c>
      <c r="AX5" s="24" t="str">
        <f ca="1">IFERROR(__xludf.DUMMYFUNCTION("""COMPUTED_VALUE"""),"ShortStrategy")</f>
        <v>ShortStrategy</v>
      </c>
      <c r="AY5" s="24" t="str">
        <f ca="1">IFERROR(__xludf.DUMMYFUNCTION("""COMPUTED_VALUE"""),"ShortSymbol")</f>
        <v>ShortSymbol</v>
      </c>
      <c r="AZ5" s="24" t="str">
        <f ca="1">IFERROR(__xludf.DUMMYFUNCTION("""COMPUTED_VALUE"""),"ShortTaxlot Id")</f>
        <v>ShortTaxlot Id</v>
      </c>
      <c r="BA5" s="24" t="str">
        <f ca="1">IFERROR(__xludf.DUMMYFUNCTION("""COMPUTED_VALUE"""),"ShortTotal Fee And Commission")</f>
        <v>ShortTotal Fee And Commission</v>
      </c>
      <c r="BB5" s="24" t="str">
        <f ca="1">IFERROR(__xludf.DUMMYFUNCTION("""COMPUTED_VALUE"""),"ShortTrade Date")</f>
        <v>ShortTrade Date</v>
      </c>
      <c r="BC5" s="24" t="str">
        <f ca="1">IFERROR(__xludf.DUMMYFUNCTION("""COMPUTED_VALUE"""),"ShortTransaction Type")</f>
        <v>ShortTransaction Type</v>
      </c>
      <c r="BD5" s="24" t="str">
        <f ca="1">IFERROR(__xludf.DUMMYFUNCTION("""COMPUTED_VALUE"""),"ShortUnderlyingName")</f>
        <v>ShortUnderlyingName</v>
      </c>
      <c r="BE5" s="24" t="str">
        <f ca="1">IFERROR(__xludf.DUMMYFUNCTION("""COMPUTED_VALUE"""),"ShortUnitCost")</f>
        <v>ShortUnitCost</v>
      </c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8" t="b">
        <v>0</v>
      </c>
      <c r="C6" s="7" t="b">
        <v>1</v>
      </c>
      <c r="D6" s="28" t="s">
        <v>18</v>
      </c>
      <c r="E6" s="5" t="s">
        <v>28</v>
      </c>
      <c r="F6" s="5"/>
      <c r="G6" s="5"/>
      <c r="H6" s="5"/>
      <c r="I6" s="5"/>
      <c r="J6" s="5"/>
      <c r="K6" s="7">
        <v>10</v>
      </c>
      <c r="L6" s="5"/>
      <c r="M6" s="5"/>
      <c r="N6" s="5"/>
      <c r="O6" s="7">
        <v>50000</v>
      </c>
      <c r="V6" s="6" t="s">
        <v>17</v>
      </c>
      <c r="W6" s="29"/>
      <c r="X6" s="6" t="s">
        <v>16</v>
      </c>
      <c r="AE6" s="6" t="s">
        <v>18</v>
      </c>
      <c r="AF6" s="6" t="s">
        <v>28</v>
      </c>
      <c r="AL6" s="6">
        <v>20</v>
      </c>
      <c r="AP6" s="30">
        <v>50000</v>
      </c>
      <c r="AW6" s="6" t="s">
        <v>23</v>
      </c>
      <c r="AY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31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25">
        <v>50000</v>
      </c>
      <c r="E6" s="25">
        <v>50000</v>
      </c>
      <c r="F6" s="5"/>
      <c r="G6" s="7" t="s">
        <v>33</v>
      </c>
      <c r="H6" s="25">
        <v>50000</v>
      </c>
      <c r="I6" s="7">
        <v>10</v>
      </c>
      <c r="J6" s="7">
        <v>10</v>
      </c>
      <c r="K6" s="7" t="s">
        <v>19</v>
      </c>
      <c r="L6" s="7" t="s">
        <v>18</v>
      </c>
      <c r="M6" s="5"/>
      <c r="N6" s="5"/>
      <c r="O6" s="7">
        <v>0</v>
      </c>
      <c r="AC6" s="6">
        <v>0</v>
      </c>
      <c r="AD6" s="30">
        <v>500000</v>
      </c>
    </row>
    <row r="7" spans="1:154" ht="15.75" customHeight="1" x14ac:dyDescent="0.2">
      <c r="A7" s="7"/>
      <c r="B7" s="7" t="s">
        <v>16</v>
      </c>
      <c r="C7" s="7" t="s">
        <v>23</v>
      </c>
      <c r="D7" s="25">
        <v>50000</v>
      </c>
      <c r="E7" s="25">
        <v>50000</v>
      </c>
      <c r="F7" s="5"/>
      <c r="G7" s="7" t="s">
        <v>33</v>
      </c>
      <c r="H7" s="25">
        <v>50000</v>
      </c>
      <c r="I7" s="7">
        <v>20</v>
      </c>
      <c r="J7" s="7">
        <v>20</v>
      </c>
      <c r="K7" s="7" t="s">
        <v>19</v>
      </c>
      <c r="L7" s="7" t="s">
        <v>18</v>
      </c>
      <c r="M7" s="5"/>
      <c r="N7" s="5"/>
      <c r="O7" s="7">
        <v>0</v>
      </c>
      <c r="AC7" s="6">
        <v>0</v>
      </c>
      <c r="AD7" s="30">
        <v>-1000000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 t="s">
        <v>18</v>
      </c>
      <c r="E6" s="26"/>
      <c r="F6" s="7" t="s">
        <v>35</v>
      </c>
      <c r="G6" s="5"/>
      <c r="H6" s="7" t="s">
        <v>16</v>
      </c>
      <c r="I6" s="25">
        <v>50000</v>
      </c>
      <c r="J6" s="7">
        <v>10</v>
      </c>
      <c r="K6" s="7">
        <v>20</v>
      </c>
      <c r="L6" s="7">
        <v>0</v>
      </c>
      <c r="M6" s="5"/>
      <c r="N6" s="5"/>
      <c r="O6" s="5"/>
      <c r="P6" s="6">
        <v>0</v>
      </c>
      <c r="R6" s="6" t="s">
        <v>36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37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26</v>
      </c>
      <c r="C6" s="5"/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37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5"/>
      <c r="D6" s="7"/>
      <c r="E6" s="25">
        <v>50000</v>
      </c>
      <c r="F6" s="5"/>
      <c r="G6" s="7" t="s">
        <v>28</v>
      </c>
      <c r="H6" s="7">
        <v>0</v>
      </c>
      <c r="I6" s="7">
        <v>0</v>
      </c>
      <c r="J6" s="5"/>
      <c r="K6" s="7">
        <v>0</v>
      </c>
      <c r="L6" s="7">
        <v>10</v>
      </c>
      <c r="M6" s="5"/>
      <c r="N6" s="5"/>
      <c r="O6" s="7" t="s">
        <v>19</v>
      </c>
      <c r="R6" s="6">
        <v>0</v>
      </c>
      <c r="S6" s="6" t="s">
        <v>40</v>
      </c>
      <c r="T6" s="6">
        <v>0</v>
      </c>
      <c r="AE6" s="30">
        <v>50000</v>
      </c>
      <c r="AT6" s="6">
        <v>0</v>
      </c>
      <c r="AU6" s="30">
        <v>500000</v>
      </c>
      <c r="AW6" s="6">
        <v>0</v>
      </c>
      <c r="AY6" s="6" t="s">
        <v>41</v>
      </c>
      <c r="AZ6" s="6">
        <v>0</v>
      </c>
      <c r="BC6" s="6">
        <v>0</v>
      </c>
      <c r="BE6" s="6">
        <v>0</v>
      </c>
      <c r="BF6" s="30">
        <v>500000</v>
      </c>
      <c r="BJ6" s="30">
        <v>50000</v>
      </c>
      <c r="BK6" s="6">
        <v>0</v>
      </c>
      <c r="BO6" s="6" t="s">
        <v>17</v>
      </c>
      <c r="BT6" s="6" t="s">
        <v>16</v>
      </c>
      <c r="BW6" s="6">
        <v>0</v>
      </c>
      <c r="CG6" s="6">
        <v>0</v>
      </c>
      <c r="CI6" s="6" t="s">
        <v>17</v>
      </c>
      <c r="CJ6" s="6">
        <v>0</v>
      </c>
    </row>
    <row r="7" spans="1:154" ht="15.75" customHeight="1" x14ac:dyDescent="0.2">
      <c r="A7" s="5"/>
      <c r="B7" s="7" t="s">
        <v>18</v>
      </c>
      <c r="C7" s="5"/>
      <c r="D7" s="5"/>
      <c r="E7" s="25">
        <v>50000</v>
      </c>
      <c r="F7" s="5"/>
      <c r="G7" s="7" t="s">
        <v>28</v>
      </c>
      <c r="H7" s="7">
        <v>0</v>
      </c>
      <c r="I7" s="7">
        <v>0</v>
      </c>
      <c r="J7" s="5"/>
      <c r="K7" s="7">
        <v>0</v>
      </c>
      <c r="L7" s="7">
        <v>20</v>
      </c>
      <c r="M7" s="5"/>
      <c r="N7" s="5"/>
      <c r="O7" s="7" t="s">
        <v>19</v>
      </c>
      <c r="R7" s="6">
        <v>0</v>
      </c>
      <c r="S7" s="6" t="s">
        <v>40</v>
      </c>
      <c r="T7" s="6">
        <v>0</v>
      </c>
      <c r="AE7" s="30">
        <v>50000</v>
      </c>
      <c r="AT7" s="6">
        <v>0</v>
      </c>
      <c r="AU7" s="30">
        <v>1000000</v>
      </c>
      <c r="AW7" s="6">
        <v>0</v>
      </c>
      <c r="AY7" s="6" t="s">
        <v>41</v>
      </c>
      <c r="AZ7" s="6">
        <v>0</v>
      </c>
      <c r="BC7" s="6">
        <v>0</v>
      </c>
      <c r="BE7" s="6">
        <v>0</v>
      </c>
      <c r="BF7" s="30">
        <v>1000000</v>
      </c>
      <c r="BJ7" s="30">
        <v>50000</v>
      </c>
      <c r="BK7" s="6">
        <v>0</v>
      </c>
      <c r="BO7" s="6" t="s">
        <v>23</v>
      </c>
      <c r="BT7" s="6" t="s">
        <v>16</v>
      </c>
      <c r="BW7" s="6">
        <v>0</v>
      </c>
      <c r="CG7" s="6">
        <v>0</v>
      </c>
      <c r="CI7" s="6" t="s">
        <v>23</v>
      </c>
      <c r="CJ7" s="6">
        <v>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C1" workbookViewId="0">
      <selection activeCell="BK28" sqref="BK28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2.140625" customWidth="1"/>
    <col min="64" max="168" width="14.42578125" customWidth="1"/>
  </cols>
  <sheetData>
    <row r="1" spans="1:168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50000</v>
      </c>
      <c r="E6" s="7" t="s">
        <v>18</v>
      </c>
      <c r="F6" s="5"/>
      <c r="G6" s="7">
        <v>10</v>
      </c>
      <c r="H6" s="5"/>
      <c r="I6" s="5"/>
      <c r="J6" s="5"/>
      <c r="K6" s="7">
        <v>0</v>
      </c>
      <c r="L6" s="5"/>
      <c r="M6" s="5"/>
      <c r="N6" s="5"/>
      <c r="O6" s="5"/>
      <c r="AN6" s="6" t="s">
        <v>17</v>
      </c>
    </row>
    <row r="7" spans="1:168" ht="15.75" customHeight="1" x14ac:dyDescent="0.2">
      <c r="A7" s="5"/>
      <c r="B7" s="5"/>
      <c r="C7" s="7" t="s">
        <v>16</v>
      </c>
      <c r="D7" s="25">
        <v>-50000</v>
      </c>
      <c r="E7" s="7" t="s">
        <v>18</v>
      </c>
      <c r="F7" s="5"/>
      <c r="G7" s="7">
        <v>20</v>
      </c>
      <c r="H7" s="5"/>
      <c r="I7" s="5"/>
      <c r="J7" s="5"/>
      <c r="K7" s="7">
        <v>0</v>
      </c>
      <c r="L7" s="5"/>
      <c r="M7" s="5"/>
      <c r="N7" s="5"/>
      <c r="O7" s="5"/>
      <c r="AN7" s="6" t="s">
        <v>23</v>
      </c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42</v>
      </c>
      <c r="C6" s="5"/>
      <c r="D6" s="7" t="s">
        <v>43</v>
      </c>
      <c r="E6" s="26">
        <v>1000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CreateDoneAwayOrder</vt:lpstr>
      <vt:lpstr>CheckPortfolioManagement</vt:lpstr>
      <vt:lpstr>ClosePositionFromPM</vt:lpstr>
      <vt:lpstr>CreateDoneAwayOrder1</vt:lpstr>
      <vt:lpstr>GetDataClosing</vt:lpstr>
      <vt:lpstr>VerifyLongPositionsGrid</vt:lpstr>
      <vt:lpstr>VerifyShortPositionsGrid</vt:lpstr>
      <vt:lpstr>ManualClosing</vt:lpstr>
      <vt:lpstr>VerifyWorkingSubs</vt:lpstr>
      <vt:lpstr>VerifyClosedTrades</vt:lpstr>
      <vt:lpstr>GetDataAllocation</vt:lpstr>
      <vt:lpstr>CheckAllocatedGroups</vt:lpstr>
      <vt:lpstr>CheckPortfolioManagement1</vt:lpstr>
      <vt:lpstr>Copy of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2021-08-04T11:09:53Z</dcterms:modified>
</cp:coreProperties>
</file>