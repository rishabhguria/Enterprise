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GetCashTransaction" sheetId="5" r:id="rId7"/>
    <sheet state="visible" name="AddCashTransaction" sheetId="6" r:id="rId8"/>
    <sheet state="visible" name="AddNavLock" sheetId="7" r:id="rId9"/>
    <sheet state="visible" name="AddCashTransaction1" sheetId="8" r:id="rId10"/>
    <sheet state="visible" name="SelectCashTransaction" sheetId="9" r:id="rId11"/>
    <sheet state="visible" name="EditCashTransaction" sheetId="10" r:id="rId12"/>
    <sheet state="visible" name="DeleteCashTransaction" sheetId="11" r:id="rId13"/>
    <sheet state="visible" name="VerifyNavLockPopup" sheetId="12" r:id="rId14"/>
    <sheet state="visible" name="VerifyNavLockPopup1" sheetId="13" r:id="rId15"/>
  </sheets>
  <definedNames/>
  <calcPr/>
</workbook>
</file>

<file path=xl/sharedStrings.xml><?xml version="1.0" encoding="utf-8"?>
<sst xmlns="http://schemas.openxmlformats.org/spreadsheetml/2006/main" count="124" uniqueCount="36">
  <si>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</si>
  <si>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</si>
  <si>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</si>
  <si>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</si>
  <si>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</si>
  <si>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</si>
  <si>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</si>
  <si>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</si>
  <si>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</si>
  <si>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</si>
  <si>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</si>
  <si>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</si>
  <si>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</si>
  <si>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</si>
  <si>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</si>
  <si>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</si>
  <si>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NAV Lock</t>
  </si>
  <si>
    <t>GeneralLedger</t>
  </si>
  <si>
    <t>GetCashTransaction</t>
  </si>
  <si>
    <t>Allocation1</t>
  </si>
  <si>
    <t>ExDate</t>
  </si>
  <si>
    <t>No</t>
  </si>
  <si>
    <t>Exact</t>
  </si>
  <si>
    <t>AddCashTransaction</t>
  </si>
  <si>
    <t>DividendIncome</t>
  </si>
  <si>
    <t>USD</t>
  </si>
  <si>
    <t>mgmt fees</t>
  </si>
  <si>
    <t>M</t>
  </si>
  <si>
    <t>Cash Transaction</t>
  </si>
  <si>
    <t>NavLock</t>
  </si>
  <si>
    <t>AddNavLock</t>
  </si>
  <si>
    <t>SelectCashTransaction</t>
  </si>
  <si>
    <t>EditCashTransaction</t>
  </si>
  <si>
    <t>DeleteCashTransaction</t>
  </si>
  <si>
    <t>VerifyNavLockPopup</t>
  </si>
  <si>
    <t>GL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</si>
</sst>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horizontal="right" vertical="bottom"/>
    </xf>
    <xf borderId="0" fillId="6" fontId="13" numFmtId="0" xfId="0" applyAlignment="1" applyFont="1">
      <alignment shrinkToFit="0" vertical="bottom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6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3" t="s">
        <v>20</v>
      </c>
      <c r="D6" s="35">
        <f>TODAY()-4</f>
        <v>45851</v>
      </c>
      <c r="E6" s="35">
        <f>TODAY()</f>
        <v>45855</v>
      </c>
      <c r="F6" s="33"/>
      <c r="G6" s="33" t="s">
        <v>21</v>
      </c>
      <c r="H6" s="33" t="s">
        <v>22</v>
      </c>
      <c r="I6" s="33" t="s">
        <v>21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 t="s">
        <v>24</v>
      </c>
      <c r="D6" s="34"/>
      <c r="E6" s="33"/>
      <c r="F6" s="32" t="s">
        <v>19</v>
      </c>
      <c r="G6" s="32" t="s">
        <v>25</v>
      </c>
      <c r="H6" s="36">
        <v>1500.0</v>
      </c>
      <c r="I6" s="37">
        <f>TODAY()-4</f>
        <v>45851</v>
      </c>
      <c r="J6" s="37">
        <f>TODAY()-3</f>
        <v>45852</v>
      </c>
      <c r="K6" s="37"/>
      <c r="L6" s="33"/>
      <c r="M6" s="38" t="s">
        <v>26</v>
      </c>
      <c r="N6" s="38" t="s">
        <v>25</v>
      </c>
      <c r="O6" s="39">
        <v>1.0</v>
      </c>
      <c r="P6" s="38" t="s">
        <v>27</v>
      </c>
      <c r="Q6" s="40" t="s">
        <v>28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AddCashTransaction!$4:$4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IFERROR(__xludf.DUMMYFUNCTION("""COMPUTED_VALUE"""),"Cancel")</f>
        <v>Cancel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>
        <f>TODAY()-2</f>
        <v>45853</v>
      </c>
      <c r="C6" s="8"/>
      <c r="D6" s="12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AddNavLock!$4:$4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 t="s">
        <v>24</v>
      </c>
      <c r="D6" s="34"/>
      <c r="E6" s="33"/>
      <c r="F6" s="32" t="s">
        <v>19</v>
      </c>
      <c r="G6" s="32" t="s">
        <v>25</v>
      </c>
      <c r="H6" s="43">
        <v>1000.0</v>
      </c>
      <c r="I6" s="37">
        <f>TODAY()-4</f>
        <v>45851</v>
      </c>
      <c r="J6" s="37">
        <f>TODAY()-3</f>
        <v>45852</v>
      </c>
      <c r="K6" s="37"/>
      <c r="L6" s="33"/>
      <c r="M6" s="38" t="s">
        <v>26</v>
      </c>
      <c r="N6" s="38" t="s">
        <v>25</v>
      </c>
      <c r="O6" s="39">
        <v>1.0</v>
      </c>
      <c r="P6" s="38" t="s">
        <v>27</v>
      </c>
      <c r="Q6" s="40" t="s">
        <v>28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AddCashTransaction1!$4:$4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 t="s">
        <v>24</v>
      </c>
      <c r="D6" s="34"/>
      <c r="E6" s="33"/>
      <c r="F6" s="32" t="s">
        <v>19</v>
      </c>
      <c r="G6" s="32" t="s">
        <v>25</v>
      </c>
      <c r="H6" s="36">
        <v>1500.0</v>
      </c>
      <c r="I6" s="37">
        <f>TODAY()-4</f>
        <v>45851</v>
      </c>
      <c r="J6" s="37">
        <f>TODAY()-3</f>
        <v>45852</v>
      </c>
      <c r="K6" s="37"/>
      <c r="L6" s="33"/>
      <c r="M6" s="38" t="s">
        <v>26</v>
      </c>
      <c r="N6" s="38" t="s">
        <v>25</v>
      </c>
      <c r="O6" s="39">
        <v>1.0</v>
      </c>
      <c r="P6" s="38" t="s">
        <v>27</v>
      </c>
      <c r="Q6" s="40" t="s">
        <v>28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 t="s">
        <v>24</v>
      </c>
      <c r="D6" s="34"/>
      <c r="E6" s="33"/>
      <c r="F6" s="32" t="s">
        <v>19</v>
      </c>
      <c r="G6" s="32" t="s">
        <v>25</v>
      </c>
      <c r="H6" s="36">
        <v>1500.0</v>
      </c>
      <c r="I6" s="37">
        <f>TODAY()-4</f>
        <v>45851</v>
      </c>
      <c r="J6" s="37">
        <f>TODAY()-2</f>
        <v>45853</v>
      </c>
      <c r="K6" s="37"/>
      <c r="L6" s="33"/>
      <c r="M6" s="38" t="s">
        <v>26</v>
      </c>
      <c r="N6" s="38" t="s">
        <v>25</v>
      </c>
      <c r="O6" s="39">
        <v>1.0</v>
      </c>
      <c r="P6" s="38" t="s">
        <v>27</v>
      </c>
      <c r="Q6" s="40" t="s">
        <v>28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EditCashTransaction!$4:$4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 t="s">
        <v>24</v>
      </c>
      <c r="D6" s="34"/>
      <c r="E6" s="33"/>
      <c r="F6" s="32" t="s">
        <v>19</v>
      </c>
      <c r="G6" s="32" t="s">
        <v>25</v>
      </c>
      <c r="H6" s="36">
        <v>1500.0</v>
      </c>
      <c r="I6" s="37">
        <f>TODAY()-4</f>
        <v>45851</v>
      </c>
      <c r="J6" s="37">
        <f>TODAY()-3</f>
        <v>45852</v>
      </c>
      <c r="K6" s="37"/>
      <c r="L6" s="33"/>
      <c r="M6" s="38" t="s">
        <v>26</v>
      </c>
      <c r="N6" s="38" t="s">
        <v>25</v>
      </c>
      <c r="O6" s="39">
        <v>1.0</v>
      </c>
      <c r="P6" s="38" t="s">
        <v>27</v>
      </c>
      <c r="Q6" s="40" t="s">
        <v>28</v>
      </c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IFERROR(__xludf.DUMMYFUNCTION("""COMPUTED_VALUE"""),"Description")</f>
        <v>Description</v>
      </c>
      <c r="C5" s="27" t="str">
        <f>IFERROR(__xludf.DUMMYFUNCTION("""COMPUTED_VALUE"""),"Window Type")</f>
        <v>Window Type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tr">
        <f>"The date  of the some or all entries you’ve chosen to for this action precedes your NAV Lock date (" &amp; MONTH(TODAY()-2) &amp; "/" &amp; DAY(TODAY()-2) &amp; "/" &amp; YEAR(TODAY()-2) &amp; "). Please reach out to your Support Team for further assistance"</f>
        <v>The date  of the some or all entries you’ve chosen to for this action precedes your NAV Lock date (7/15/2025). Please reach out to your Support Team for further assistance</v>
      </c>
      <c r="C6" s="44" t="s">
        <v>35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4.25" customHeight="1">
      <c r="A7" s="8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VerifyNavLockPopup!$4:$4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IFERROR(__xludf.DUMMYFUNCTION("IF(C3="""","""",Transpose(IMPORTRANGE('_Settings'!$B$3,C3&amp;""!A4:A1000"")))"),"DeleteExistingNavLock")</f>
        <v>DeleteExistingNavLock</v>
      </c>
      <c r="C4" s="24" t="str">
        <f>IFERROR(__xludf.DUMMYFUNCTION("""COMPUTED_VALUE"""),"AddNavLock")</f>
        <v>AddNavLock</v>
      </c>
      <c r="D4" s="24" t="str">
        <f>IFERROR(__xludf.DUMMYFUNCTION("""COMPUTED_VALUE"""),"VerifyNavLockPopup")</f>
        <v>VerifyNavLockPopup</v>
      </c>
      <c r="E4" s="24" t="str">
        <f>IFERROR(__xludf.DUMMYFUNCTION("""COMPUTED_VALUE"""),"VerifyRowsNavLock")</f>
        <v>VerifyRowsNavLock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IFERROR(__xludf.DUMMYFUNCTION("""COMPUTED_VALUE"""),"Description")</f>
        <v>Description</v>
      </c>
      <c r="C5" s="27" t="str">
        <f>IFERROR(__xludf.DUMMYFUNCTION("""COMPUTED_VALUE"""),"Window Type")</f>
        <v>Window Type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5" t="str">
        <f>"The date you’ve chosen for this action precedes your NAV Lock date (" &amp; MONTH(TODAY()-2) &amp; "/" &amp; DAY(TODAY()-2) &amp; "/" &amp; YEAR(TODAY()-2) &amp; "). Please reach out to your Support Team for further assistance"</f>
        <v>The date you’ve chosen for this action precedes your NAV Lock date (7/15/2025). Please reach out to your Support Team for further assistance</v>
      </c>
      <c r="C6" s="12" t="s">
        <v>35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VerifyNavLockPopup1!$4:$4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