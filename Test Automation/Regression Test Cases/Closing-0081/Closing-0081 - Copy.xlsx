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ManualClosing1" sheetId="9" r:id="rId11"/>
    <sheet state="visible" name="VerifyClosedTrades" sheetId="10" r:id="rId12"/>
    <sheet state="visible" name="GetDataAllocation1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<sst xmlns="http://schemas.openxmlformats.org/spreadsheetml/2006/main" count="146" uniqueCount="37">
  <si>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</si>
  <si>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</si>
  <si>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</si>
  <si>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</si>
  <si>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</si>
  <si>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</si>
  <si>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</si>
  <si>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</si>
  <si>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</si>
  <si>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</si>
  <si>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</si>
  <si>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</si>
  <si>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</si>
  <si>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</si>
  <si>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</si>
  <si>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INFY</t>
  </si>
  <si>
    <t>Allocation1</t>
  </si>
  <si>
    <t>Buy</t>
  </si>
  <si>
    <t>Buy to Close</t>
  </si>
  <si>
    <t>Sell</t>
  </si>
  <si>
    <t>Sell Short</t>
  </si>
  <si>
    <t>Closing</t>
  </si>
  <si>
    <t>GetDataClosing</t>
  </si>
  <si>
    <t>Current</t>
  </si>
  <si>
    <t>VerifyLongPositionsGrid</t>
  </si>
  <si>
    <t>Equity</t>
  </si>
  <si>
    <t>Long</t>
  </si>
  <si>
    <t>VerifyShortPositionsGrid</t>
  </si>
  <si>
    <t>Sell short</t>
  </si>
  <si>
    <t>ManualClosing</t>
  </si>
  <si>
    <t>VerifyClosedTrades</t>
  </si>
  <si>
    <t>Short</t>
  </si>
  <si>
    <t>Allocation</t>
  </si>
  <si>
    <t>GetDataAllocation</t>
  </si>
  <si>
    <t>CheckAllocatedGroups</t>
  </si>
  <si>
    <t>Closed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</si>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</sst>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s">
        <v>16</v>
      </c>
      <c r="D6" s="11" t="s">
        <v>17</v>
      </c>
      <c r="E6" s="11">
        <v>105.69</v>
      </c>
      <c r="F6" s="8"/>
      <c r="G6" s="11">
        <v>10.25</v>
      </c>
      <c r="H6" s="8"/>
      <c r="I6" s="30">
        <f t="shared" ref="I6:I9" si="1">TODAY()</f>
        <v>44155</v>
      </c>
      <c r="J6" s="8"/>
      <c r="K6" s="8"/>
      <c r="L6" s="8"/>
      <c r="M6" s="8"/>
      <c r="N6" s="8"/>
      <c r="O6" s="8"/>
    </row>
    <row r="7" ht="15.75" customHeight="1">
      <c r="A7" s="8"/>
      <c r="B7" s="11" t="s">
        <v>15</v>
      </c>
      <c r="C7" s="11" t="s">
        <v>16</v>
      </c>
      <c r="D7" s="11" t="s">
        <v>18</v>
      </c>
      <c r="E7" s="11">
        <v>201.67</v>
      </c>
      <c r="F7" s="8"/>
      <c r="G7" s="11">
        <v>12.78</v>
      </c>
      <c r="H7" s="8"/>
      <c r="I7" s="30">
        <f t="shared" si="1"/>
        <v>44155</v>
      </c>
      <c r="J7" s="8"/>
      <c r="K7" s="8"/>
      <c r="L7" s="8"/>
      <c r="M7" s="8"/>
      <c r="N7" s="8"/>
      <c r="O7" s="8"/>
    </row>
    <row r="8" ht="15.75" customHeight="1">
      <c r="A8" s="8"/>
      <c r="B8" s="11" t="s">
        <v>15</v>
      </c>
      <c r="C8" s="11" t="s">
        <v>16</v>
      </c>
      <c r="D8" s="11" t="s">
        <v>19</v>
      </c>
      <c r="E8" s="11">
        <v>100.69</v>
      </c>
      <c r="F8" s="8"/>
      <c r="G8" s="11">
        <v>14.87</v>
      </c>
      <c r="H8" s="8"/>
      <c r="I8" s="30">
        <f t="shared" si="1"/>
        <v>44155</v>
      </c>
      <c r="J8" s="8"/>
      <c r="K8" s="8"/>
      <c r="L8" s="8"/>
      <c r="M8" s="8"/>
      <c r="N8" s="8"/>
      <c r="O8" s="8"/>
    </row>
    <row r="9" ht="15.75" customHeight="1">
      <c r="A9" s="8"/>
      <c r="B9" s="11" t="s">
        <v>15</v>
      </c>
      <c r="C9" s="11" t="s">
        <v>16</v>
      </c>
      <c r="D9" s="11" t="s">
        <v>20</v>
      </c>
      <c r="E9" s="11">
        <v>159.7</v>
      </c>
      <c r="F9" s="8"/>
      <c r="G9" s="11">
        <v>15.89</v>
      </c>
      <c r="H9" s="8"/>
      <c r="I9" s="30">
        <f t="shared" si="1"/>
        <v>44155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32" t="s">
        <v>25</v>
      </c>
      <c r="D6" s="11"/>
      <c r="E6" s="31"/>
      <c r="F6" s="8"/>
      <c r="G6" s="8"/>
      <c r="H6" s="8"/>
      <c r="I6" s="33">
        <v>10.25</v>
      </c>
      <c r="J6" s="8"/>
      <c r="K6" s="32" t="s">
        <v>26</v>
      </c>
      <c r="L6" s="8"/>
      <c r="M6" s="33">
        <v>105.69</v>
      </c>
      <c r="N6" s="8"/>
      <c r="O6" s="8"/>
      <c r="P6" s="32" t="s">
        <v>17</v>
      </c>
      <c r="R6" s="32" t="s">
        <v>15</v>
      </c>
    </row>
    <row r="7" ht="15.75" customHeight="1">
      <c r="A7" s="8"/>
      <c r="B7" s="32" t="s">
        <v>16</v>
      </c>
      <c r="C7" s="32" t="s">
        <v>25</v>
      </c>
      <c r="D7" s="8"/>
      <c r="E7" s="8"/>
      <c r="F7" s="8"/>
      <c r="G7" s="8"/>
      <c r="H7" s="8"/>
      <c r="I7" s="33">
        <v>12.78</v>
      </c>
      <c r="J7" s="8"/>
      <c r="K7" s="32" t="s">
        <v>26</v>
      </c>
      <c r="L7" s="8"/>
      <c r="M7" s="11">
        <v>201.67</v>
      </c>
      <c r="N7" s="8"/>
      <c r="O7" s="8"/>
      <c r="P7" s="32" t="s">
        <v>18</v>
      </c>
      <c r="R7" s="32" t="s">
        <v>15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2" t="s">
        <v>25</v>
      </c>
      <c r="D6" s="11"/>
      <c r="E6" s="31"/>
      <c r="F6" s="8"/>
      <c r="G6" s="8"/>
      <c r="H6" s="8"/>
      <c r="I6" s="33">
        <v>14.87</v>
      </c>
      <c r="J6" s="8"/>
      <c r="K6" s="8"/>
      <c r="L6" s="8"/>
      <c r="M6" s="33">
        <v>100.69</v>
      </c>
      <c r="N6" s="8"/>
      <c r="O6" s="8"/>
      <c r="P6" s="32" t="s">
        <v>19</v>
      </c>
      <c r="R6" s="32" t="s">
        <v>15</v>
      </c>
    </row>
    <row r="7" ht="15.75" customHeight="1">
      <c r="A7" s="8"/>
      <c r="B7" s="11" t="s">
        <v>16</v>
      </c>
      <c r="C7" s="32" t="s">
        <v>25</v>
      </c>
      <c r="D7" s="8"/>
      <c r="E7" s="8"/>
      <c r="F7" s="8"/>
      <c r="G7" s="8"/>
      <c r="H7" s="8"/>
      <c r="I7" s="11">
        <v>15.89</v>
      </c>
      <c r="J7" s="8"/>
      <c r="K7" s="8"/>
      <c r="L7" s="8"/>
      <c r="M7" s="11">
        <v>159.7</v>
      </c>
      <c r="N7" s="8"/>
      <c r="O7" s="8"/>
      <c r="P7" s="32" t="s">
        <v>28</v>
      </c>
      <c r="R7" s="32" t="s">
        <v>15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32" t="s">
        <v>16</v>
      </c>
      <c r="E6" s="32" t="s">
        <v>25</v>
      </c>
      <c r="F6" s="11"/>
      <c r="G6" s="31"/>
      <c r="H6" s="8"/>
      <c r="I6" s="8"/>
      <c r="J6" s="8"/>
      <c r="K6" s="33">
        <v>10.25</v>
      </c>
      <c r="L6" s="8"/>
      <c r="M6" s="32" t="s">
        <v>26</v>
      </c>
      <c r="N6" s="8"/>
      <c r="O6" s="33">
        <v>105.69</v>
      </c>
      <c r="P6" s="8"/>
      <c r="Q6" s="8"/>
      <c r="V6" s="32" t="s">
        <v>17</v>
      </c>
      <c r="X6" s="32" t="s">
        <v>15</v>
      </c>
      <c r="AE6" s="11" t="s">
        <v>16</v>
      </c>
      <c r="AF6" s="32" t="s">
        <v>25</v>
      </c>
      <c r="AG6" s="11"/>
      <c r="AH6" s="31"/>
      <c r="AI6" s="8"/>
      <c r="AJ6" s="8"/>
      <c r="AK6" s="8"/>
      <c r="AL6" s="33">
        <v>14.87</v>
      </c>
      <c r="AM6" s="8"/>
      <c r="AN6" s="8"/>
      <c r="AO6" s="8"/>
      <c r="AP6" s="33">
        <v>100.69</v>
      </c>
      <c r="AQ6" s="8"/>
      <c r="AR6" s="8"/>
      <c r="AW6" s="32" t="s">
        <v>19</v>
      </c>
      <c r="AY6" s="32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32" t="s">
        <v>16</v>
      </c>
      <c r="E6" s="32" t="s">
        <v>25</v>
      </c>
      <c r="F6" s="8"/>
      <c r="G6" s="8"/>
      <c r="H6" s="8"/>
      <c r="I6" s="8"/>
      <c r="J6" s="8"/>
      <c r="K6" s="33">
        <v>12.78</v>
      </c>
      <c r="L6" s="8"/>
      <c r="M6" s="32" t="s">
        <v>26</v>
      </c>
      <c r="N6" s="8"/>
      <c r="O6" s="11">
        <v>201.67</v>
      </c>
      <c r="P6" s="8"/>
      <c r="Q6" s="8"/>
      <c r="V6" s="32" t="s">
        <v>18</v>
      </c>
      <c r="X6" s="32" t="s">
        <v>15</v>
      </c>
      <c r="AE6" s="11" t="s">
        <v>16</v>
      </c>
      <c r="AF6" s="32" t="s">
        <v>25</v>
      </c>
      <c r="AG6" s="8"/>
      <c r="AH6" s="8"/>
      <c r="AI6" s="8"/>
      <c r="AJ6" s="8"/>
      <c r="AK6" s="8"/>
      <c r="AL6" s="11">
        <v>15.89</v>
      </c>
      <c r="AM6" s="8"/>
      <c r="AN6" s="8"/>
      <c r="AO6" s="8"/>
      <c r="AP6" s="11">
        <v>159.7</v>
      </c>
      <c r="AQ6" s="8"/>
      <c r="AR6" s="8"/>
      <c r="AW6" s="32" t="s">
        <v>28</v>
      </c>
      <c r="AY6" s="32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2" t="s">
        <v>16</v>
      </c>
      <c r="E6" s="31"/>
      <c r="F6" s="32" t="s">
        <v>26</v>
      </c>
      <c r="G6" s="8"/>
      <c r="H6" s="32" t="s">
        <v>15</v>
      </c>
      <c r="I6" s="33">
        <v>100.69</v>
      </c>
      <c r="J6" s="33">
        <v>10.25</v>
      </c>
      <c r="K6" s="33">
        <v>14.87</v>
      </c>
      <c r="L6" s="8"/>
      <c r="M6" s="8"/>
      <c r="N6" s="8"/>
      <c r="O6" s="8"/>
    </row>
    <row r="7" ht="15.75" customHeight="1">
      <c r="A7" s="8"/>
      <c r="B7" s="8"/>
      <c r="C7" s="8"/>
      <c r="D7" s="32" t="s">
        <v>16</v>
      </c>
      <c r="E7" s="8"/>
      <c r="F7" s="32" t="s">
        <v>31</v>
      </c>
      <c r="G7" s="8"/>
      <c r="H7" s="32" t="s">
        <v>15</v>
      </c>
      <c r="I7" s="33">
        <v>159.7</v>
      </c>
      <c r="J7" s="33">
        <v>15.89</v>
      </c>
      <c r="K7" s="33">
        <v>12.78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16</v>
      </c>
      <c r="C6" s="8"/>
      <c r="D6" s="11"/>
      <c r="E6" s="35">
        <v>159.7</v>
      </c>
      <c r="F6" s="8"/>
      <c r="G6" s="8"/>
      <c r="H6" s="8"/>
      <c r="I6" s="8"/>
      <c r="J6" s="8"/>
      <c r="K6" s="35">
        <v>15.89</v>
      </c>
      <c r="L6" s="35">
        <v>15.89</v>
      </c>
      <c r="M6" s="8"/>
      <c r="N6" s="8"/>
      <c r="O6" s="8"/>
      <c r="S6" s="34" t="s">
        <v>35</v>
      </c>
      <c r="AE6" s="35">
        <v>159.7</v>
      </c>
      <c r="BJ6" s="35">
        <v>159.7</v>
      </c>
      <c r="BO6" s="34" t="s">
        <v>28</v>
      </c>
      <c r="BT6" s="34" t="s">
        <v>15</v>
      </c>
    </row>
    <row r="7" ht="15.75" customHeight="1">
      <c r="A7" s="8"/>
      <c r="B7" s="34" t="s">
        <v>16</v>
      </c>
      <c r="C7" s="8"/>
      <c r="D7" s="8"/>
      <c r="E7" s="35">
        <v>100.69</v>
      </c>
      <c r="F7" s="8"/>
      <c r="G7" s="8"/>
      <c r="H7" s="8"/>
      <c r="I7" s="8"/>
      <c r="J7" s="8"/>
      <c r="K7" s="35">
        <v>14.87</v>
      </c>
      <c r="L7" s="35">
        <v>14.87</v>
      </c>
      <c r="M7" s="8"/>
      <c r="N7" s="8"/>
      <c r="O7" s="8"/>
      <c r="S7" s="34" t="s">
        <v>35</v>
      </c>
      <c r="AE7" s="35">
        <v>100.69</v>
      </c>
      <c r="BJ7" s="35">
        <v>100.69</v>
      </c>
      <c r="BO7" s="34" t="s">
        <v>19</v>
      </c>
      <c r="BT7" s="34" t="s">
        <v>15</v>
      </c>
    </row>
    <row r="8" ht="15.75" customHeight="1">
      <c r="A8" s="8"/>
      <c r="B8" s="34" t="s">
        <v>16</v>
      </c>
      <c r="C8" s="8"/>
      <c r="D8" s="8"/>
      <c r="E8" s="35">
        <v>201.67</v>
      </c>
      <c r="F8" s="8"/>
      <c r="G8" s="8"/>
      <c r="H8" s="8"/>
      <c r="I8" s="8"/>
      <c r="J8" s="8"/>
      <c r="K8" s="35">
        <v>12.78</v>
      </c>
      <c r="L8" s="35">
        <v>12.78</v>
      </c>
      <c r="M8" s="8"/>
      <c r="N8" s="8"/>
      <c r="O8" s="8"/>
      <c r="S8" s="34" t="s">
        <v>36</v>
      </c>
      <c r="AE8" s="35">
        <v>201.67</v>
      </c>
      <c r="BJ8" s="35">
        <v>201.67</v>
      </c>
      <c r="BO8" s="34" t="s">
        <v>18</v>
      </c>
      <c r="BT8" s="34" t="s">
        <v>15</v>
      </c>
    </row>
    <row r="9" ht="15.75" customHeight="1">
      <c r="A9" s="8"/>
      <c r="B9" s="34" t="s">
        <v>16</v>
      </c>
      <c r="C9" s="8"/>
      <c r="D9" s="8"/>
      <c r="E9" s="35">
        <v>105.69</v>
      </c>
      <c r="F9" s="8"/>
      <c r="G9" s="8"/>
      <c r="H9" s="8"/>
      <c r="I9" s="8"/>
      <c r="J9" s="8"/>
      <c r="K9" s="35">
        <v>10.25</v>
      </c>
      <c r="L9" s="35">
        <v>10.25</v>
      </c>
      <c r="M9" s="8"/>
      <c r="N9" s="8"/>
      <c r="O9" s="8"/>
      <c r="S9" s="34" t="s">
        <v>36</v>
      </c>
      <c r="AE9" s="35">
        <v>105.69</v>
      </c>
      <c r="BJ9" s="35">
        <v>105.69</v>
      </c>
      <c r="BO9" s="34" t="s">
        <v>17</v>
      </c>
      <c r="BT9" s="34" t="s">
        <v>15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