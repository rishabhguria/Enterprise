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VerifyPTT" sheetId="9" r:id="rId11"/>
    <sheet state="visible" name="CreateOrderPTT" sheetId="10" r:id="rId12"/>
    <sheet state="visible" name="CalculatePTT1" sheetId="11" r:id="rId13"/>
    <sheet state="visible" name="VerifyPTT1" sheetId="12" r:id="rId14"/>
    <sheet state="visible" name="CreateOrderPTT1" sheetId="13" r:id="rId15"/>
    <sheet state="visible" name="VerifyOrder" sheetId="14" r:id="rId16"/>
    <sheet state="visible" name="MergeOrder" sheetId="15" r:id="rId17"/>
    <sheet state="visible" name="VerifyMergeOrder" sheetId="16" r:id="rId18"/>
  </sheets>
  <definedNames/>
  <calcPr/>
</workbook>
</file>

<file path=xl/sharedStrings.xml><?xml version="1.0" encoding="utf-8"?>
<sst xmlns="http://schemas.openxmlformats.org/spreadsheetml/2006/main" count="203" uniqueCount="52">
  <si>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</si>
  <si>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</si>
  <si>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</si>
  <si>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</si>
  <si>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</si>
  <si>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</si>
  <si>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</si>
  <si>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</si>
  <si>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</si>
  <si>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</si>
  <si>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</si>
  <si>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</si>
  <si>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</si>
  <si>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</si>
  <si>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</si>
  <si>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</si>
  <si>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</si>
  <si>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</si>
  <si>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</si>
  <si>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</si>
  <si>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Allocation3</t>
  </si>
  <si>
    <t>PricingInput</t>
  </si>
  <si>
    <t>DailyValuation</t>
  </si>
  <si>
    <t>GetDailyCash</t>
  </si>
  <si>
    <t>UpdateMultipleDailyCash</t>
  </si>
  <si>
    <t>USD</t>
  </si>
  <si>
    <t>PTT</t>
  </si>
  <si>
    <t>CalculatePTT</t>
  </si>
  <si>
    <t>Decrease</t>
  </si>
  <si>
    <t>Percentage</t>
  </si>
  <si>
    <t>No</t>
  </si>
  <si>
    <t>Account</t>
  </si>
  <si>
    <t>VerifyPTT</t>
  </si>
  <si>
    <t>Sell</t>
  </si>
  <si>
    <t>CreateOrderPTT</t>
  </si>
  <si>
    <t>Blotter</t>
  </si>
  <si>
    <t>VerifyOrder</t>
  </si>
  <si>
    <t>AAPL US EQUITY</t>
  </si>
  <si>
    <t>NASDAQ</t>
  </si>
  <si>
    <t>jpearce</t>
  </si>
  <si>
    <t>US</t>
  </si>
  <si>
    <t>NewMF</t>
  </si>
  <si>
    <t>M</t>
  </si>
  <si>
    <t>Equity</t>
  </si>
  <si>
    <t>New</t>
  </si>
  <si>
    <t>Market</t>
  </si>
  <si>
    <t>Manual</t>
  </si>
  <si>
    <t>MergeOrder</t>
  </si>
  <si>
    <t>Yes</t>
  </si>
  <si>
    <t>VerifyMergeOrder</t>
  </si>
  <si>
    <t>Multiple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</si>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</sst>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b/>
      <sz val="9.0"/>
      <color rgb="FF000000"/>
      <name val="Arial"/>
    </font>
    <font>
      <color rgb="FF000000"/>
      <name val="Arial"/>
    </font>
    <font>
      <sz val="9.0"/>
      <color rgb="FF000000"/>
      <name val="Arial"/>
    </font>
    <font>
      <sz val="9.0"/>
      <color rgb="FF000000"/>
      <name val="&quot;Segoe UI&quot;"/>
    </font>
    <font>
      <sz val="11.0"/>
      <color rgb="FF000000"/>
      <name val="Docs-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2" numFmtId="11" xfId="0" applyAlignment="1" applyFont="1" applyNumberFormat="1">
      <alignment readingOrder="0"/>
    </xf>
    <xf borderId="0" fillId="6" fontId="14" numFmtId="0" xfId="0" applyAlignment="1" applyFill="1" applyFont="1">
      <alignment horizontal="left" readingOrder="0"/>
    </xf>
    <xf borderId="5" fillId="7" fontId="3" numFmtId="0" xfId="0" applyAlignment="1" applyBorder="1" applyFill="1" applyFont="1">
      <alignment vertical="top"/>
    </xf>
    <xf borderId="0" fillId="7" fontId="15" numFmtId="0" xfId="0" applyAlignment="1" applyFont="1">
      <alignment horizontal="right" vertical="top"/>
    </xf>
    <xf borderId="6" fillId="7" fontId="3" numFmtId="0" xfId="0" applyAlignment="1" applyBorder="1" applyFont="1">
      <alignment vertical="top"/>
    </xf>
    <xf borderId="0" fillId="6" fontId="16" numFmtId="0" xfId="0" applyAlignment="1" applyFont="1">
      <alignment horizontal="left" readingOrder="0"/>
    </xf>
    <xf borderId="7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7" fontId="17" numFmtId="0" xfId="0" applyAlignment="1" applyFont="1">
      <alignment horizontal="right" readingOrder="0" vertical="top"/>
    </xf>
    <xf borderId="0" fillId="7" fontId="18" numFmtId="0" xfId="0" applyAlignment="1" applyFont="1">
      <alignment horizontal="right" vertical="top"/>
    </xf>
    <xf borderId="0" fillId="7" fontId="18" numFmtId="0" xfId="0" applyAlignment="1" applyFont="1">
      <alignment horizontal="right" readingOrder="0" vertical="top"/>
    </xf>
    <xf borderId="0" fillId="6" fontId="19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100.0</v>
      </c>
      <c r="E6" s="32">
        <v>100.0</v>
      </c>
      <c r="F6" s="31" t="s">
        <v>18</v>
      </c>
      <c r="G6" s="31" t="s">
        <v>19</v>
      </c>
      <c r="H6" s="31"/>
      <c r="I6" s="31"/>
      <c r="J6" s="32">
        <v>10.0</v>
      </c>
      <c r="K6" s="31"/>
      <c r="L6" s="31"/>
      <c r="M6" s="31"/>
      <c r="N6" s="33">
        <f t="shared" ref="N6:N7" si="1">TODAY()-1</f>
        <v>45334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16</v>
      </c>
      <c r="C7" s="31" t="s">
        <v>17</v>
      </c>
      <c r="D7" s="32">
        <v>100.0</v>
      </c>
      <c r="E7" s="32">
        <v>100.0</v>
      </c>
      <c r="F7" s="34" t="s">
        <v>20</v>
      </c>
      <c r="G7" s="31" t="s">
        <v>19</v>
      </c>
      <c r="H7" s="31"/>
      <c r="I7" s="31"/>
      <c r="J7" s="32">
        <v>10.0</v>
      </c>
      <c r="K7" s="31"/>
      <c r="L7" s="31"/>
      <c r="M7" s="31"/>
      <c r="N7" s="33">
        <f t="shared" si="1"/>
        <v>45334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>
        <f t="shared" ref="B6:C6" si="1">today()-1</f>
        <v>45334</v>
      </c>
      <c r="C6" s="35">
        <f t="shared" si="1"/>
        <v>45334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18</v>
      </c>
      <c r="C6" s="36" t="s">
        <v>25</v>
      </c>
      <c r="D6" s="32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20</v>
      </c>
      <c r="C7" s="36" t="s">
        <v>25</v>
      </c>
      <c r="D7" s="32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28</v>
      </c>
      <c r="D6" s="13" t="s">
        <v>29</v>
      </c>
      <c r="E6" s="13">
        <v>12.0</v>
      </c>
      <c r="F6" s="13">
        <v>10.0</v>
      </c>
      <c r="G6" s="13" t="s">
        <v>30</v>
      </c>
      <c r="H6" s="13" t="s">
        <v>31</v>
      </c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>
        <v>101000.0</v>
      </c>
      <c r="D6" s="13">
        <v>100.0</v>
      </c>
      <c r="E6" s="13">
        <v>1000.0</v>
      </c>
      <c r="F6" s="8"/>
      <c r="G6" s="8"/>
      <c r="H6" s="8"/>
      <c r="I6" s="13">
        <v>100.0</v>
      </c>
      <c r="J6" s="8"/>
      <c r="K6" s="8"/>
      <c r="L6" s="13">
        <v>100.0</v>
      </c>
      <c r="M6" s="13">
        <v>1.0</v>
      </c>
      <c r="N6" s="8"/>
      <c r="O6" s="8"/>
      <c r="R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28</v>
      </c>
      <c r="D6" s="13" t="s">
        <v>29</v>
      </c>
      <c r="E6" s="13">
        <v>12.0</v>
      </c>
      <c r="F6" s="13">
        <v>10.0</v>
      </c>
      <c r="G6" s="13" t="s">
        <v>30</v>
      </c>
      <c r="H6" s="13" t="s">
        <v>31</v>
      </c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28</v>
      </c>
      <c r="D6" s="13" t="s">
        <v>29</v>
      </c>
      <c r="E6" s="13">
        <v>12.0</v>
      </c>
      <c r="F6" s="13">
        <v>10.0</v>
      </c>
      <c r="G6" s="13" t="s">
        <v>30</v>
      </c>
      <c r="H6" s="13" t="s">
        <v>31</v>
      </c>
      <c r="I6" s="13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13">
        <v>101000.0</v>
      </c>
      <c r="D6" s="13">
        <v>100.0</v>
      </c>
      <c r="E6" s="13">
        <v>1000.0</v>
      </c>
      <c r="F6" s="8"/>
      <c r="G6" s="8"/>
      <c r="H6" s="8"/>
      <c r="I6" s="13">
        <v>100.0</v>
      </c>
      <c r="J6" s="8"/>
      <c r="K6" s="8"/>
      <c r="L6" s="13">
        <v>100.0</v>
      </c>
      <c r="M6" s="13">
        <v>1.0</v>
      </c>
      <c r="N6" s="8"/>
      <c r="O6" s="8"/>
      <c r="R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28</v>
      </c>
      <c r="D6" s="13" t="s">
        <v>29</v>
      </c>
      <c r="E6" s="13">
        <v>12.0</v>
      </c>
      <c r="F6" s="13">
        <v>10.0</v>
      </c>
      <c r="G6" s="13" t="s">
        <v>30</v>
      </c>
      <c r="H6" s="13" t="s">
        <v>31</v>
      </c>
      <c r="I6" s="13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8"/>
      <c r="B6" s="8"/>
      <c r="C6" s="8"/>
      <c r="D6" s="13">
        <v>10.0</v>
      </c>
      <c r="E6" s="13" t="s">
        <v>37</v>
      </c>
      <c r="F6" s="13"/>
      <c r="G6" s="13"/>
      <c r="H6" s="13" t="s">
        <v>38</v>
      </c>
      <c r="I6" s="13" t="s">
        <v>39</v>
      </c>
      <c r="J6" s="13" t="s">
        <v>16</v>
      </c>
      <c r="K6" s="13" t="s">
        <v>40</v>
      </c>
      <c r="L6" s="13"/>
      <c r="M6" s="8"/>
      <c r="N6" s="8"/>
      <c r="U6" s="9" t="s">
        <v>25</v>
      </c>
      <c r="Y6" s="38"/>
      <c r="Z6" s="38"/>
      <c r="AA6" s="9" t="s">
        <v>41</v>
      </c>
      <c r="AF6" s="9" t="s">
        <v>42</v>
      </c>
      <c r="AH6" s="9" t="s">
        <v>43</v>
      </c>
      <c r="AI6" s="9" t="s">
        <v>16</v>
      </c>
      <c r="AJ6" s="9" t="s">
        <v>33</v>
      </c>
      <c r="AK6" s="9" t="s">
        <v>44</v>
      </c>
      <c r="AL6" s="9">
        <v>100.0</v>
      </c>
      <c r="AS6" s="9" t="s">
        <v>19</v>
      </c>
      <c r="AT6" s="9" t="s">
        <v>20</v>
      </c>
      <c r="AU6" s="9" t="s">
        <v>45</v>
      </c>
      <c r="AX6" s="9" t="s">
        <v>46</v>
      </c>
      <c r="BA6" s="9" t="s">
        <v>39</v>
      </c>
      <c r="BG6" s="9" t="s">
        <v>26</v>
      </c>
    </row>
    <row r="7" ht="15.75" customHeight="1">
      <c r="A7" s="8"/>
      <c r="B7" s="8"/>
      <c r="C7" s="8"/>
      <c r="D7" s="13">
        <v>10.0</v>
      </c>
      <c r="E7" s="13" t="s">
        <v>37</v>
      </c>
      <c r="F7" s="13"/>
      <c r="G7" s="13"/>
      <c r="H7" s="13" t="s">
        <v>38</v>
      </c>
      <c r="I7" s="13" t="s">
        <v>39</v>
      </c>
      <c r="J7" s="13" t="s">
        <v>16</v>
      </c>
      <c r="K7" s="13" t="s">
        <v>40</v>
      </c>
      <c r="L7" s="13"/>
      <c r="M7" s="8"/>
      <c r="N7" s="8"/>
      <c r="U7" s="9" t="s">
        <v>25</v>
      </c>
      <c r="AA7" s="9" t="s">
        <v>41</v>
      </c>
      <c r="AF7" s="9" t="s">
        <v>42</v>
      </c>
      <c r="AH7" s="9" t="s">
        <v>43</v>
      </c>
      <c r="AI7" s="9" t="s">
        <v>16</v>
      </c>
      <c r="AJ7" s="9" t="s">
        <v>33</v>
      </c>
      <c r="AK7" s="9" t="s">
        <v>44</v>
      </c>
      <c r="AL7" s="9">
        <v>100.0</v>
      </c>
      <c r="AS7" s="9" t="s">
        <v>19</v>
      </c>
      <c r="AT7" s="9" t="s">
        <v>18</v>
      </c>
      <c r="AU7" s="9" t="s">
        <v>45</v>
      </c>
      <c r="AX7" s="9" t="s">
        <v>46</v>
      </c>
      <c r="BA7" s="9" t="s">
        <v>39</v>
      </c>
      <c r="BG7" s="9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 t="s">
        <v>16</v>
      </c>
      <c r="E6" s="8"/>
      <c r="F6" s="39" t="s">
        <v>33</v>
      </c>
      <c r="G6" s="13" t="s">
        <v>44</v>
      </c>
      <c r="H6" s="13">
        <v>100.0</v>
      </c>
      <c r="I6" s="8"/>
      <c r="J6" s="8"/>
      <c r="K6" s="8"/>
      <c r="L6" s="8"/>
      <c r="M6" s="8"/>
      <c r="N6" s="8"/>
      <c r="O6" s="8"/>
      <c r="Q6" s="40" t="s">
        <v>19</v>
      </c>
      <c r="R6" s="9" t="s">
        <v>20</v>
      </c>
      <c r="T6" s="41" t="s">
        <v>45</v>
      </c>
      <c r="AJ6" s="31" t="s">
        <v>38</v>
      </c>
      <c r="BA6" s="9" t="s">
        <v>48</v>
      </c>
    </row>
    <row r="7" ht="15.75" customHeight="1">
      <c r="A7" s="8"/>
      <c r="B7" s="8"/>
      <c r="C7" s="8"/>
      <c r="D7" s="13" t="s">
        <v>16</v>
      </c>
      <c r="E7" s="8"/>
      <c r="F7" s="13" t="s">
        <v>33</v>
      </c>
      <c r="G7" s="13" t="s">
        <v>44</v>
      </c>
      <c r="H7" s="13">
        <v>100.0</v>
      </c>
      <c r="I7" s="8"/>
      <c r="J7" s="8"/>
      <c r="K7" s="8"/>
      <c r="L7" s="8"/>
      <c r="M7" s="8"/>
      <c r="N7" s="8"/>
      <c r="O7" s="8"/>
      <c r="Q7" s="42" t="s">
        <v>19</v>
      </c>
      <c r="R7" s="43" t="s">
        <v>18</v>
      </c>
      <c r="T7" s="41" t="s">
        <v>45</v>
      </c>
      <c r="AJ7" s="31" t="s">
        <v>38</v>
      </c>
      <c r="BA7" s="31" t="s">
        <v>48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5"/>
      <c r="C6" s="45"/>
      <c r="D6" s="40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46" t="s">
        <v>16</v>
      </c>
      <c r="AJ6" s="46" t="s">
        <v>33</v>
      </c>
      <c r="AK6" s="47" t="s">
        <v>44</v>
      </c>
      <c r="AL6" s="48">
        <v>200.0</v>
      </c>
      <c r="AM6" s="31"/>
      <c r="AN6" s="31"/>
      <c r="AO6" s="31"/>
      <c r="AP6" s="31"/>
      <c r="AQ6" s="31"/>
      <c r="AR6" s="31"/>
      <c r="AS6" s="48" t="s">
        <v>19</v>
      </c>
      <c r="AT6" s="48" t="s">
        <v>50</v>
      </c>
      <c r="AU6" s="34" t="s">
        <v>45</v>
      </c>
      <c r="AV6" s="31"/>
      <c r="AW6" s="31"/>
      <c r="AX6" s="34"/>
      <c r="AY6" s="31"/>
      <c r="AZ6" s="31"/>
      <c r="BA6" s="34" t="s">
        <v>39</v>
      </c>
      <c r="BB6" s="49" t="s">
        <v>51</v>
      </c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