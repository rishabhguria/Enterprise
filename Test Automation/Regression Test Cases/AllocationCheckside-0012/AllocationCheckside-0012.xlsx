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<sst xmlns="http://schemas.openxmlformats.org/spreadsheetml/2006/main" count="62" uniqueCount="30">
  <si>
    <t>Master Data Info</t>
  </si>
  <si>
    <t>Settings</t>
  </si>
  <si>
    <t>Modules Info</t>
  </si>
  <si>
    <t>Modules</t>
  </si>
  <si>
    <t>Module</t>
  </si>
  <si>
    <t>Step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</si>
  <si>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</si>
  <si>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</si>
  <si>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</si>
  <si>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</si>
  <si>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Sheet</t>
  </si>
  <si>
    <t>Data</t>
  </si>
  <si>
    <t>Allocation</t>
  </si>
  <si>
    <t>DisableCheckside</t>
  </si>
  <si>
    <t>Data Format</t>
  </si>
  <si>
    <t>Input Format</t>
  </si>
  <si>
    <t>TradingTicket</t>
  </si>
  <si>
    <t>CreateDoneAwayOrder</t>
  </si>
  <si>
    <t>MSFT</t>
  </si>
  <si>
    <t>Sell short</t>
  </si>
  <si>
    <t>Allocation1</t>
  </si>
  <si>
    <t>NSEW</t>
  </si>
  <si>
    <t>Buy to Close</t>
  </si>
  <si>
    <t>Allocation2</t>
  </si>
  <si>
    <t>CSFB</t>
  </si>
  <si>
    <t>GetDataAllocation</t>
  </si>
  <si>
    <t>Current</t>
  </si>
  <si>
    <t>CheckAllocatedGroups</t>
  </si>
  <si>
    <t>Equity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</si>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</sst>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8"/>
      <c r="C3" s="10"/>
      <c r="D3" s="10"/>
      <c r="E3" s="10"/>
      <c r="F3" s="10"/>
    </row>
    <row r="4" ht="15.75" customHeight="1">
      <c r="A4" s="11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7" t="s">
        <v>1</v>
      </c>
      <c r="B1" s="2"/>
      <c r="C1" s="4"/>
    </row>
    <row r="2" ht="15.75" customHeight="1">
      <c r="A2" s="11"/>
      <c r="B2" s="11"/>
      <c r="C2" s="11"/>
    </row>
    <row r="3" ht="15.75" customHeight="1">
      <c r="A3" s="6" t="s">
        <v>6</v>
      </c>
      <c r="B3" s="12" t="s">
        <v>7</v>
      </c>
      <c r="C3" s="11"/>
    </row>
    <row r="4" ht="15.75" customHeight="1">
      <c r="A4" s="9" t="s">
        <v>8</v>
      </c>
      <c r="B4" s="12" t="s">
        <v>9</v>
      </c>
      <c r="C4" s="11"/>
    </row>
    <row r="5" ht="15.75" customHeight="1">
      <c r="A5" s="13"/>
      <c r="B5" s="11"/>
      <c r="C5" s="11"/>
    </row>
    <row r="6" ht="15.75" customHeight="1">
      <c r="A6" s="13"/>
      <c r="B6" s="11"/>
      <c r="C6" s="11"/>
    </row>
    <row r="7" ht="15.75" customHeight="1">
      <c r="A7" s="13"/>
      <c r="B7" s="11"/>
      <c r="C7" s="11"/>
    </row>
    <row r="8" ht="15.75" customHeight="1">
      <c r="A8" s="13"/>
      <c r="B8" s="11"/>
      <c r="C8" s="11"/>
    </row>
    <row r="9" ht="15.75" customHeight="1">
      <c r="A9" s="13"/>
      <c r="B9" s="11"/>
      <c r="C9" s="11"/>
    </row>
    <row r="10" ht="15.75" customHeight="1">
      <c r="A10" s="13"/>
      <c r="B10" s="11"/>
      <c r="C10" s="11"/>
    </row>
    <row r="11" ht="15.75" customHeight="1">
      <c r="A11" s="13"/>
      <c r="B11" s="11"/>
      <c r="C11" s="11"/>
    </row>
    <row r="12" ht="15.75" customHeight="1">
      <c r="A12" s="13"/>
      <c r="B12" s="11"/>
      <c r="C12" s="11"/>
    </row>
    <row r="13" ht="15.75" customHeight="1">
      <c r="A13" s="13"/>
      <c r="B13" s="11"/>
      <c r="C13" s="11"/>
    </row>
    <row r="14" ht="15.75" customHeight="1">
      <c r="A14" s="13"/>
      <c r="B14" s="11"/>
      <c r="C14" s="11"/>
    </row>
    <row r="15" ht="15.75" customHeight="1">
      <c r="A15" s="13"/>
      <c r="B15" s="11"/>
      <c r="C15" s="11"/>
    </row>
    <row r="16" ht="15.75" customHeight="1">
      <c r="A16" s="13"/>
      <c r="B16" s="11"/>
      <c r="C16" s="11"/>
    </row>
    <row r="17" ht="15.75" customHeight="1">
      <c r="A17" s="13"/>
      <c r="B17" s="11"/>
      <c r="C17" s="11"/>
    </row>
    <row r="18" ht="15.75" customHeight="1">
      <c r="A18" s="13"/>
      <c r="B18" s="11"/>
      <c r="C18" s="11"/>
    </row>
    <row r="19" ht="15.75" customHeight="1">
      <c r="A19" s="13"/>
      <c r="B19" s="11"/>
      <c r="C19" s="11"/>
    </row>
    <row r="20" ht="15.75" customHeight="1">
      <c r="A20" s="13"/>
      <c r="B20" s="11"/>
      <c r="C20" s="11"/>
    </row>
    <row r="21" ht="15.75" customHeight="1">
      <c r="A21" s="13"/>
      <c r="B21" s="11"/>
      <c r="C21" s="11"/>
    </row>
    <row r="22" ht="15.75" customHeight="1">
      <c r="A22" s="13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9" t="s">
        <v>4</v>
      </c>
      <c r="B3" s="14" t="s">
        <v>5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13</v>
      </c>
      <c r="F3" s="6" t="s">
        <v>14</v>
      </c>
      <c r="G3" s="13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11"/>
      <c r="D6" s="11"/>
      <c r="E6" s="12" t="b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1b5S4Xpp4fgZ1ez6cK92QFnVBylqz8jhwxdAyEvwDqUI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16</v>
      </c>
      <c r="D3" s="6" t="s">
        <v>5</v>
      </c>
      <c r="E3" s="21" t="s">
        <v>17</v>
      </c>
      <c r="F3" s="6" t="s">
        <v>14</v>
      </c>
      <c r="G3" s="13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2" t="s">
        <v>18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1"/>
      <c r="I6" s="11"/>
      <c r="J6" s="12">
        <v>15.0</v>
      </c>
      <c r="K6" s="11"/>
      <c r="L6" s="11"/>
      <c r="M6" s="11"/>
      <c r="N6" s="29">
        <f t="shared" ref="N6:N7" si="1">TODAY()</f>
        <v>43970</v>
      </c>
      <c r="O6" s="11"/>
    </row>
    <row r="7" ht="15.75" customHeight="1">
      <c r="A7" s="11"/>
      <c r="B7" s="12" t="s">
        <v>18</v>
      </c>
      <c r="C7" s="12" t="s">
        <v>22</v>
      </c>
      <c r="D7" s="12">
        <v>150.0</v>
      </c>
      <c r="E7" s="12">
        <v>150.0</v>
      </c>
      <c r="F7" s="12" t="s">
        <v>23</v>
      </c>
      <c r="G7" s="12" t="s">
        <v>24</v>
      </c>
      <c r="H7" s="11"/>
      <c r="I7" s="11"/>
      <c r="J7" s="12">
        <v>14.0</v>
      </c>
      <c r="K7" s="11"/>
      <c r="L7" s="11"/>
      <c r="M7" s="11"/>
      <c r="N7" s="29">
        <f t="shared" si="1"/>
        <v>43970</v>
      </c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25</v>
      </c>
      <c r="F3" s="6" t="s">
        <v>14</v>
      </c>
      <c r="G3" s="13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2" t="s">
        <v>26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27</v>
      </c>
      <c r="F3" s="6" t="s">
        <v>14</v>
      </c>
      <c r="G3" s="13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31"/>
      <c r="B6" s="32"/>
      <c r="C6" s="32"/>
      <c r="D6" s="32"/>
      <c r="E6" s="32"/>
      <c r="F6" s="32"/>
      <c r="G6" s="33" t="s">
        <v>28</v>
      </c>
      <c r="H6" s="32"/>
      <c r="I6" s="32"/>
      <c r="J6" s="32"/>
      <c r="K6" s="34">
        <v>15.0</v>
      </c>
      <c r="L6" s="34">
        <v>15.0</v>
      </c>
      <c r="M6" s="32"/>
      <c r="N6" s="32"/>
      <c r="O6" s="33" t="s">
        <v>21</v>
      </c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5">
        <v>100.0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5">
        <v>1485.999</v>
      </c>
      <c r="AU6" s="35">
        <v>1485.999</v>
      </c>
      <c r="AV6" s="31"/>
      <c r="AW6" s="31"/>
      <c r="AX6" s="31"/>
      <c r="AY6" s="31"/>
      <c r="AZ6" s="31"/>
      <c r="BA6" s="31"/>
      <c r="BB6" s="31"/>
      <c r="BC6" s="31"/>
      <c r="BD6" s="31"/>
      <c r="BE6" s="35">
        <v>1500.0</v>
      </c>
      <c r="BF6" s="35">
        <v>1500.0</v>
      </c>
      <c r="BG6" s="31"/>
      <c r="BH6" s="31"/>
      <c r="BI6" s="31"/>
      <c r="BJ6" s="31"/>
      <c r="BK6" s="31"/>
      <c r="BL6" s="31"/>
      <c r="BM6" s="31"/>
      <c r="BN6" s="31"/>
      <c r="BO6" s="36" t="s">
        <v>19</v>
      </c>
      <c r="BP6" s="31"/>
      <c r="BQ6" s="31"/>
      <c r="BR6" s="31"/>
      <c r="BS6" s="31"/>
      <c r="BT6" s="31" t="s">
        <v>18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7">
        <f>TODAY()</f>
        <v>43970</v>
      </c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1c7aP-E18Fb8lEVGiXac03BLoNVdUNRzodD2Xjn-9pzU</v>
      </c>
      <c r="K2" s="19"/>
      <c r="L2" s="11"/>
      <c r="M2" s="11"/>
      <c r="N2" s="11"/>
      <c r="O2" s="11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29</v>
      </c>
      <c r="F3" s="6" t="s">
        <v>14</v>
      </c>
      <c r="G3" s="13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IFERROR(__xludf.DUMMYFUNCTION("""COMPUTED_VALUE"""),"Accrual Basis")</f>
        <v>Accrual Basis</v>
      </c>
      <c r="C5" s="26" t="str">
        <f>IFERROR(__xludf.DUMMYFUNCTION("""COMPUTED_VALUE"""),"Accrued Interest")</f>
        <v>Accrued Interest</v>
      </c>
      <c r="D5" s="26" t="str">
        <f>IFERROR(__xludf.DUMMYFUNCTION("""COMPUTED_VALUE"""),"Allocated Qty")</f>
        <v>Allocated Qty</v>
      </c>
      <c r="E5" s="26" t="str">
        <f>IFERROR(__xludf.DUMMYFUNCTION("""COMPUTED_VALUE"""),"Allocation Scheme Name")</f>
        <v>Allocation Scheme Name</v>
      </c>
      <c r="F5" s="27" t="str">
        <f>IFERROR(__xludf.DUMMYFUNCTION("""COMPUTED_VALUE"""),"Asset Category")</f>
        <v>Asset Category</v>
      </c>
      <c r="G5" s="26" t="str">
        <f>IFERROR(__xludf.DUMMYFUNCTION("""COMPUTED_VALUE"""),"AUEC Fee1")</f>
        <v>AUEC Fee1</v>
      </c>
      <c r="H5" s="26" t="str">
        <f>IFERROR(__xludf.DUMMYFUNCTION("""COMPUTED_VALUE"""),"AUEC Fee2")</f>
        <v>AUEC Fee2</v>
      </c>
      <c r="I5" s="26" t="str">
        <f>IFERROR(__xludf.DUMMYFUNCTION("""COMPUTED_VALUE"""),"AUECID")</f>
        <v>AUECID</v>
      </c>
      <c r="J5" s="26" t="str">
        <f>IFERROR(__xludf.DUMMYFUNCTION("""COMPUTED_VALUE"""),"Avg Price(Base)")</f>
        <v>Avg Price(Base)</v>
      </c>
      <c r="K5" s="26" t="str">
        <f>IFERROR(__xludf.DUMMYFUNCTION("""COMPUTED_VALUE"""),"Avg Price(Local)")</f>
        <v>Avg Price(Local)</v>
      </c>
      <c r="L5" s="26" t="str">
        <f>IFERROR(__xludf.DUMMYFUNCTION("""COMPUTED_VALUE"""),"Bloomberg")</f>
        <v>Bloomberg</v>
      </c>
      <c r="M5" s="26" t="str">
        <f>IFERROR(__xludf.DUMMYFUNCTION("""COMPUTED_VALUE"""),"Bond Type")</f>
        <v>Bond Type</v>
      </c>
      <c r="N5" s="26" t="str">
        <f>IFERROR(__xludf.DUMMYFUNCTION("""COMPUTED_VALUE"""),"Broker")</f>
        <v>Broker</v>
      </c>
      <c r="O5" s="26" t="str">
        <f>IFERROR(__xludf.DUMMYFUNCTION("""COMPUTED_VALUE"""),"Change Comment")</f>
        <v>Change Comment</v>
      </c>
      <c r="P5" s="26" t="str">
        <f>IFERROR(__xludf.DUMMYFUNCTION("""COMPUTED_VALUE"""),"Change Type")</f>
        <v>Change Type</v>
      </c>
      <c r="Q5" s="26" t="str">
        <f>IFERROR(__xludf.DUMMYFUNCTION("""COMPUTED_VALUE"""),"Clearing Broker Fee")</f>
        <v>Clearing Broker Fee</v>
      </c>
      <c r="R5" s="26" t="str">
        <f>IFERROR(__xludf.DUMMYFUNCTION("""COMPUTED_VALUE"""),"Closing Method")</f>
        <v>Closing Method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IFERROR(__xludf.DUMMYFUNCTION("""COMPUTED_VALUE"""),"Execution Time")</f>
        <v>Execution Time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IFERROR(__xludf.DUMMYFUNCTION("""COMPUTED_VALUE"""),"FX Rate")</f>
        <v>FX Rate</v>
      </c>
      <c r="AI5" s="28" t="str">
        <f>IFERROR(__xludf.DUMMYFUNCTION("""COMPUTED_VALUE"""),"Group Status")</f>
        <v>Group Status</v>
      </c>
      <c r="AJ5" s="28" t="str">
        <f>IFERROR(__xludf.DUMMYFUNCTION("""COMPUTED_VALUE"""),"GroupID")</f>
        <v>GroupID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 Group")</f>
        <v>IsManual 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IFERROR(__xludf.DUMMYFUNCTION("""COMPUTED_VALUE"""),"Symbol")</f>
        <v>Symbol</v>
      </c>
      <c r="BT5" s="28" t="str">
        <f>IFERROR(__xludf.DUMMYFUNCTION("""COMPUTED_VALUE"""),"Tax On Commissions")</f>
        <v>Tax On Commissions</v>
      </c>
      <c r="BU5" s="28" t="str">
        <f>IFERROR(__xludf.DUMMYFUNCTION("""COMPUTED_VALUE"""),"Total Commission")</f>
        <v>Total Commission</v>
      </c>
      <c r="BV5" s="28" t="str">
        <f>IFERROR(__xludf.DUMMYFUNCTION("""COMPUTED_VALUE"""),"Total Commission And Fee")</f>
        <v>Total Commission And Fee</v>
      </c>
      <c r="BW5" s="28" t="str">
        <f>IFERROR(__xludf.DUMMYFUNCTION("""COMPUTED_VALUE"""),"Total Commission Per Share")</f>
        <v>Total Commission Per Share</v>
      </c>
      <c r="BX5" s="28" t="str">
        <f>IFERROR(__xludf.DUMMYFUNCTION("""COMPUTED_VALUE"""),"Trade Attribute 1")</f>
        <v>Trade Attribute 1</v>
      </c>
      <c r="BY5" s="28" t="str">
        <f>IFERROR(__xludf.DUMMYFUNCTION("""COMPUTED_VALUE"""),"Trade Attribute 2")</f>
        <v>Trade Attribute 2</v>
      </c>
      <c r="BZ5" s="28" t="str">
        <f>IFERROR(__xludf.DUMMYFUNCTION("""COMPUTED_VALUE"""),"Trade Attribute 3")</f>
        <v>Trade Attribute 3</v>
      </c>
      <c r="CA5" s="28" t="str">
        <f>IFERROR(__xludf.DUMMYFUNCTION("""COMPUTED_VALUE"""),"Trade Attribute 4")</f>
        <v>Trade Attribute 4</v>
      </c>
      <c r="CB5" s="28" t="str">
        <f>IFERROR(__xludf.DUMMYFUNCTION("""COMPUTED_VALUE"""),"Trade Attribute 5")</f>
        <v>Trade Attribute 5</v>
      </c>
      <c r="CC5" s="28" t="str">
        <f>IFERROR(__xludf.DUMMYFUNCTION("""COMPUTED_VALUE"""),"Trade Attribute 6")</f>
        <v>Trade Attribute 6</v>
      </c>
      <c r="CD5" s="28" t="str">
        <f>IFERROR(__xludf.DUMMYFUNCTION("""COMPUTED_VALUE"""),"Trade Date")</f>
        <v>Trade Date</v>
      </c>
      <c r="CE5" s="28" t="str">
        <f>IFERROR(__xludf.DUMMYFUNCTION("""COMPUTED_VALUE"""),"Trading Account")</f>
        <v>Trading Account</v>
      </c>
      <c r="CF5" s="28" t="str">
        <f>IFERROR(__xludf.DUMMYFUNCTION("""COMPUTED_VALUE"""),"Transaction Levy")</f>
        <v>Transaction Levy</v>
      </c>
      <c r="CG5" s="28" t="str">
        <f>IFERROR(__xludf.DUMMYFUNCTION("""COMPUTED_VALUE"""),"Transaction Source")</f>
        <v>Transaction Source</v>
      </c>
      <c r="CH5" s="28" t="str">
        <f>IFERROR(__xludf.DUMMYFUNCTION("""COMPUTED_VALUE"""),"Transaction Type")</f>
        <v>Transaction Type</v>
      </c>
      <c r="CI5" s="28" t="str">
        <f>IFERROR(__xludf.DUMMYFUNCTION("""COMPUTED_VALUE"""),"UnAllocatedQty")</f>
        <v>UnAllocatedQty</v>
      </c>
      <c r="CJ5" s="28" t="str">
        <f>IFERROR(__xludf.DUMMYFUNCTION("""COMPUTED_VALUE"""),"Underlying")</f>
        <v>Underlying</v>
      </c>
      <c r="CK5" s="28" t="str">
        <f>IFERROR(__xludf.DUMMYFUNCTION("""COMPUTED_VALUE"""),"Underlying Delta")</f>
        <v>Underlying Delta</v>
      </c>
      <c r="CL5" s="28" t="str">
        <f>IFERROR(__xludf.DUMMYFUNCTION("""COMPUTED_VALUE"""),"Underlying Symbol")</f>
        <v>Underlying Symbol</v>
      </c>
      <c r="CM5" s="28" t="str">
        <f>IFERROR(__xludf.DUMMYFUNCTION("""COMPUTED_VALUE"""),"User")</f>
        <v>User</v>
      </c>
      <c r="CN5" s="28" t="str">
        <f>IFERROR(__xludf.DUMMYFUNCTION("""COMPUTED_VALUE"""),"Venue")</f>
        <v>Venue</v>
      </c>
      <c r="CO5" s="28" t="str">
        <f>IFERROR(__xludf.DUMMYFUNCTION("""COMPUTED_VALUE"""),"Closing Date")</f>
        <v>Closing Date</v>
      </c>
      <c r="CP5" s="28" t="str">
        <f>IFERROR(__xludf.DUMMYFUNCTION("""COMPUTED_VALUE"""),"Expiration Date")</f>
        <v>Expiration Date</v>
      </c>
      <c r="CQ5" s="28" t="str">
        <f>IFERROR(__xludf.DUMMYFUNCTION("""COMPUTED_VALUE"""),"MasterFund")</f>
        <v>MasterFund</v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11"/>
      <c r="B6" s="11"/>
      <c r="C6" s="11"/>
      <c r="D6" s="11"/>
      <c r="E6" s="11"/>
      <c r="F6" s="12" t="s">
        <v>28</v>
      </c>
      <c r="G6" s="11"/>
      <c r="H6" s="11"/>
      <c r="I6" s="11"/>
      <c r="J6" s="12">
        <v>14.0</v>
      </c>
      <c r="K6" s="12">
        <v>14.0</v>
      </c>
      <c r="L6" s="11"/>
      <c r="M6" s="11"/>
      <c r="N6" s="11"/>
      <c r="O6" s="11"/>
      <c r="AE6" s="30">
        <v>150.0</v>
      </c>
      <c r="AT6" s="30">
        <v>2114.0012</v>
      </c>
      <c r="AU6" s="30">
        <v>2114.0012</v>
      </c>
      <c r="BE6" s="30">
        <v>2100.0</v>
      </c>
      <c r="BF6" s="30">
        <v>2100.0</v>
      </c>
      <c r="BJ6" s="30">
        <v>150.0</v>
      </c>
      <c r="BO6" s="30" t="s">
        <v>22</v>
      </c>
      <c r="BS6" s="30" t="s">
        <v>18</v>
      </c>
      <c r="CD6" s="38">
        <f>TODAY()</f>
        <v>43970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