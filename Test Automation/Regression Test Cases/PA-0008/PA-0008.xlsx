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DefaultRuleCalculatedPref" sheetId="6" r:id="rId8"/>
    <sheet state="visible" name="SetAccountValueCalculatedPref" sheetId="7" r:id="rId9"/>
    <sheet state="visible" name="SetGeneralRuleCalculatedPref" sheetId="8" r:id="rId10"/>
    <sheet state="visible" name="UpdateGRAccountValue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  <sheet state="visible" name="CheckUnallocatedGroups" sheetId="13" r:id="rId15"/>
  </sheets>
  <definedNames/>
  <calcPr/>
</workbook>
</file>

<file path=xl/sharedStrings.xml><?xml version="1.0" encoding="utf-8"?>
<sst xmlns="http://schemas.openxmlformats.org/spreadsheetml/2006/main" count="163" uniqueCount="54">
  <si>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</si>
  <si>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</si>
  <si>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</si>
  <si>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</si>
  <si>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</si>
  <si>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</si>
  <si>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</si>
  <si>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</si>
  <si>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</si>
  <si>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</si>
  <si>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</si>
  <si>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</si>
  <si>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</si>
  <si>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</si>
  <si>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</si>
  <si>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</si>
  <si>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</si>
  <si>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Sell short</t>
  </si>
  <si>
    <t>Allocation2</t>
  </si>
  <si>
    <t>AAPL</t>
  </si>
  <si>
    <t>Sell</t>
  </si>
  <si>
    <t>Allocation3</t>
  </si>
  <si>
    <t>Buy</t>
  </si>
  <si>
    <t>Unallocated</t>
  </si>
  <si>
    <t>Buy to Close</t>
  </si>
  <si>
    <t>MSFT</t>
  </si>
  <si>
    <t>CAT</t>
  </si>
  <si>
    <t>Allocation</t>
  </si>
  <si>
    <t>AddCalculatedPreferences</t>
  </si>
  <si>
    <t>SetDefaultRuleCalculatedPref</t>
  </si>
  <si>
    <t>Trade Quantity</t>
  </si>
  <si>
    <t>Current Preference</t>
  </si>
  <si>
    <t>SetAccountValueCalculatedPref</t>
  </si>
  <si>
    <t>Allocation1</t>
  </si>
  <si>
    <t>SetGeneralRuleCalculatedPref</t>
  </si>
  <si>
    <t>Exclude</t>
  </si>
  <si>
    <t>Buy,Sell</t>
  </si>
  <si>
    <t>UpdateGRAccountValue</t>
  </si>
  <si>
    <t>SelectUnallocatedGroup</t>
  </si>
  <si>
    <t>EnterAllocatePreference</t>
  </si>
  <si>
    <t>Calculated</t>
  </si>
  <si>
    <t>CheckAllocatedGroups</t>
  </si>
  <si>
    <t>Equity</t>
  </si>
  <si>
    <t>GOOG US EQUITY</t>
  </si>
  <si>
    <t>Treasury</t>
  </si>
  <si>
    <t>MS</t>
  </si>
  <si>
    <t>USD</t>
  </si>
  <si>
    <t>NASDAQ</t>
  </si>
  <si>
    <t>M</t>
  </si>
  <si>
    <t>AAPL US EQUITY</t>
  </si>
  <si>
    <t>CheckUnallocatedGroups</t>
  </si>
  <si>
    <t>NYSE</t>
  </si>
  <si>
    <t>Market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</si>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</sst>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9" t="s">
        <v>17</v>
      </c>
      <c r="D6" s="13">
        <v>10.0</v>
      </c>
      <c r="E6" s="13"/>
      <c r="F6" s="13" t="s">
        <v>18</v>
      </c>
      <c r="G6" s="8"/>
      <c r="H6" s="8"/>
      <c r="I6" s="8"/>
      <c r="J6" s="13">
        <v>5.0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50.0</v>
      </c>
      <c r="E7" s="13"/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22</v>
      </c>
      <c r="D8" s="13">
        <v>150.0</v>
      </c>
      <c r="E8" s="13"/>
      <c r="F8" s="13" t="s">
        <v>23</v>
      </c>
      <c r="G8" s="8"/>
      <c r="H8" s="8"/>
      <c r="I8" s="8"/>
      <c r="J8" s="13">
        <v>5.0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24</v>
      </c>
      <c r="D9" s="13">
        <v>10.0</v>
      </c>
      <c r="E9" s="13"/>
      <c r="F9" s="13" t="s">
        <v>23</v>
      </c>
      <c r="G9" s="8"/>
      <c r="H9" s="8"/>
      <c r="I9" s="8"/>
      <c r="J9" s="13">
        <v>5.0</v>
      </c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24</v>
      </c>
      <c r="D10" s="13">
        <v>750.0</v>
      </c>
      <c r="E10" s="13"/>
      <c r="F10" s="13" t="s">
        <v>23</v>
      </c>
      <c r="G10" s="8"/>
      <c r="H10" s="8"/>
      <c r="I10" s="8"/>
      <c r="J10" s="13">
        <v>65.0</v>
      </c>
      <c r="K10" s="8"/>
      <c r="L10" s="8"/>
      <c r="M10" s="8"/>
      <c r="N10" s="8"/>
      <c r="O10" s="8"/>
    </row>
    <row r="11" ht="15.75" customHeight="1">
      <c r="A11" s="8"/>
      <c r="B11" s="13" t="s">
        <v>26</v>
      </c>
      <c r="C11" s="13" t="s">
        <v>20</v>
      </c>
      <c r="D11" s="13">
        <v>980.0</v>
      </c>
      <c r="E11" s="13"/>
      <c r="F11" s="13" t="s">
        <v>23</v>
      </c>
      <c r="G11" s="8"/>
      <c r="H11" s="8"/>
      <c r="I11" s="8"/>
      <c r="J11" s="13">
        <v>6.0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>"PA8-"&amp;text(TODAY(),"dd-mm-yy")</f>
        <v>PA8-23-10-25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 t="s">
        <v>31</v>
      </c>
      <c r="E6" s="31"/>
      <c r="F6" s="8"/>
      <c r="G6" s="13" t="b">
        <v>0</v>
      </c>
      <c r="H6" s="13" t="str">
        <f>"PA8-"&amp;text(TODAY(),"dd-mm-yy")</f>
        <v>PA8-23-10-25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>"PA8-"&amp;text(TODAY(),"dd-mm-yy")</f>
        <v>PA8-23-10-25</v>
      </c>
      <c r="C6" s="13" t="s">
        <v>33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13" t="s">
        <v>36</v>
      </c>
      <c r="J6" s="13" t="str">
        <f>"PA8-"&amp;text(TODAY(),"dd-mm-yy")</f>
        <v>PA8-23-10-25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 t="shared" ref="B6:B7" si="1">"PA8-"&amp;text(TODAY(),"dd-mm-yy")</f>
        <v>PA8-23-10-25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tr">
        <f t="shared" si="1"/>
        <v>PA8-23-10-25</v>
      </c>
      <c r="C7" s="13" t="s">
        <v>33</v>
      </c>
      <c r="D7" s="13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22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tr">
        <f>"PA8-"&amp;text(TODAY(),"dd-mm-yy")</f>
        <v>PA8-23-10-25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10.0</v>
      </c>
      <c r="F6" s="13"/>
      <c r="G6" s="13" t="s">
        <v>42</v>
      </c>
      <c r="H6" s="13">
        <v>4.0</v>
      </c>
      <c r="I6" s="13">
        <v>5.0</v>
      </c>
      <c r="J6" s="13">
        <v>1.0</v>
      </c>
      <c r="K6" s="13">
        <v>5.0</v>
      </c>
      <c r="L6" s="13">
        <v>5.0</v>
      </c>
      <c r="M6" s="13" t="s">
        <v>43</v>
      </c>
      <c r="N6" s="13" t="s">
        <v>44</v>
      </c>
      <c r="O6" s="13" t="s">
        <v>45</v>
      </c>
      <c r="Z6" s="9" t="s">
        <v>46</v>
      </c>
      <c r="AD6" s="9" t="s">
        <v>47</v>
      </c>
      <c r="AE6" s="9">
        <v>10.0</v>
      </c>
      <c r="AH6" s="9" t="s">
        <v>48</v>
      </c>
      <c r="AI6" s="9">
        <v>1.0</v>
      </c>
      <c r="BJ6" s="9">
        <v>10.0</v>
      </c>
      <c r="BO6" s="9" t="s">
        <v>24</v>
      </c>
      <c r="BT6" s="9" t="s">
        <v>16</v>
      </c>
    </row>
    <row r="7" ht="15.75" customHeight="1">
      <c r="A7" s="8"/>
      <c r="B7" s="13" t="s">
        <v>18</v>
      </c>
      <c r="C7" s="8"/>
      <c r="D7" s="8"/>
      <c r="E7" s="13">
        <v>10.0</v>
      </c>
      <c r="F7" s="13"/>
      <c r="G7" s="13" t="s">
        <v>42</v>
      </c>
      <c r="H7" s="13">
        <v>4.0</v>
      </c>
      <c r="I7" s="13">
        <v>5.0</v>
      </c>
      <c r="J7" s="13">
        <v>1.0</v>
      </c>
      <c r="K7" s="13">
        <v>5.0</v>
      </c>
      <c r="L7" s="13">
        <v>5.0</v>
      </c>
      <c r="M7" s="13" t="s">
        <v>43</v>
      </c>
      <c r="N7" s="13" t="s">
        <v>44</v>
      </c>
      <c r="O7" s="13" t="s">
        <v>45</v>
      </c>
      <c r="Z7" s="9" t="s">
        <v>46</v>
      </c>
      <c r="AD7" s="9" t="s">
        <v>47</v>
      </c>
      <c r="AE7" s="9">
        <v>10.0</v>
      </c>
      <c r="AH7" s="9" t="s">
        <v>48</v>
      </c>
      <c r="AI7" s="9">
        <v>1.0</v>
      </c>
      <c r="BJ7" s="9">
        <v>10.0</v>
      </c>
      <c r="BO7" s="9" t="s">
        <v>17</v>
      </c>
      <c r="BT7" s="9" t="s">
        <v>16</v>
      </c>
    </row>
    <row r="8" ht="15.75" customHeight="1">
      <c r="A8" s="8"/>
      <c r="B8" s="13" t="s">
        <v>33</v>
      </c>
      <c r="C8" s="8"/>
      <c r="D8" s="8"/>
      <c r="E8" s="13">
        <v>150.0</v>
      </c>
      <c r="F8" s="13"/>
      <c r="G8" s="13" t="s">
        <v>42</v>
      </c>
      <c r="H8" s="13">
        <v>4.0</v>
      </c>
      <c r="I8" s="13">
        <v>5.0</v>
      </c>
      <c r="J8" s="13">
        <v>1.0</v>
      </c>
      <c r="K8" s="13">
        <v>5.0</v>
      </c>
      <c r="L8" s="13">
        <v>5.0</v>
      </c>
      <c r="M8" s="13" t="s">
        <v>49</v>
      </c>
      <c r="N8" s="13" t="s">
        <v>44</v>
      </c>
      <c r="O8" s="13" t="s">
        <v>45</v>
      </c>
      <c r="Z8" s="9" t="s">
        <v>46</v>
      </c>
      <c r="AD8" s="9" t="s">
        <v>47</v>
      </c>
      <c r="AE8" s="9">
        <v>150.0</v>
      </c>
      <c r="AH8" s="9" t="s">
        <v>48</v>
      </c>
      <c r="AI8" s="9">
        <v>1.0</v>
      </c>
      <c r="BJ8" s="9">
        <v>150.0</v>
      </c>
      <c r="BO8" s="9" t="s">
        <v>22</v>
      </c>
      <c r="BT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13"/>
      <c r="L6" s="8"/>
      <c r="M6" s="8"/>
      <c r="N6" s="13" t="s">
        <v>45</v>
      </c>
      <c r="O6" s="8"/>
      <c r="Z6" s="9" t="s">
        <v>46</v>
      </c>
      <c r="AD6" s="9" t="s">
        <v>51</v>
      </c>
      <c r="AE6" s="9">
        <v>980.0</v>
      </c>
      <c r="AG6" s="9" t="s">
        <v>48</v>
      </c>
      <c r="AY6" s="9" t="s">
        <v>52</v>
      </c>
      <c r="BJ6" s="9">
        <v>980.0</v>
      </c>
      <c r="BO6" s="9" t="s">
        <v>20</v>
      </c>
      <c r="BS6" s="9" t="s">
        <v>26</v>
      </c>
      <c r="CI6" s="9">
        <v>980.0</v>
      </c>
      <c r="CJ6" s="9" t="s">
        <v>53</v>
      </c>
      <c r="CN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3" t="s">
        <v>45</v>
      </c>
      <c r="O7" s="8"/>
      <c r="Z7" s="9" t="s">
        <v>46</v>
      </c>
      <c r="AD7" s="9" t="s">
        <v>47</v>
      </c>
      <c r="AE7" s="9">
        <v>750.0</v>
      </c>
      <c r="AG7" s="9" t="s">
        <v>48</v>
      </c>
      <c r="AY7" s="9" t="s">
        <v>52</v>
      </c>
      <c r="BJ7" s="9">
        <v>750.0</v>
      </c>
      <c r="BO7" s="9" t="s">
        <v>24</v>
      </c>
      <c r="BS7" s="9" t="s">
        <v>25</v>
      </c>
      <c r="CI7" s="9">
        <v>750.0</v>
      </c>
      <c r="CJ7" s="9" t="s">
        <v>53</v>
      </c>
      <c r="CN7" s="9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