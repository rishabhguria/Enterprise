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GeneralPreferences" sheetId="4" r:id="rId6"/>
    <sheet state="visible" name="DisableCheckside" sheetId="5" r:id="rId7"/>
    <sheet state="visible" name="CreateDoneAwayOrder" sheetId="6" r:id="rId8"/>
    <sheet state="visible" name="GetDataAllocation" sheetId="7" r:id="rId9"/>
    <sheet state="visible" name="CheckAllocatedGroups" sheetId="8" r:id="rId10"/>
  </sheets>
  <definedNames/>
  <calcPr/>
</workbook>
</file>

<file path=xl/sharedStrings.xml><?xml version="1.0" encoding="utf-8"?>
<sst xmlns="http://schemas.openxmlformats.org/spreadsheetml/2006/main" count="105" uniqueCount="42">
  <si>
    <t>Modules Info</t>
  </si>
  <si>
    <t>Modules</t>
  </si>
  <si>
    <t>Settings</t>
  </si>
  <si>
    <t>Module Step Setting File</t>
  </si>
  <si>
    <t>1-OnCJJHP2ByjdYbF53fJwv9z4thBiHnNugUdMvYm2nU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</si>
  <si>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</si>
  <si>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</si>
  <si>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</si>
  <si>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</si>
  <si>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</si>
  <si>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</si>
  <si>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</si>
  <si>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Allocation</t>
  </si>
  <si>
    <t>SetGeneralPreferences</t>
  </si>
  <si>
    <t>Data Format</t>
  </si>
  <si>
    <t>Input Format</t>
  </si>
  <si>
    <t>DisableCheckside</t>
  </si>
  <si>
    <t>Allocation2</t>
  </si>
  <si>
    <t>Allocation3</t>
  </si>
  <si>
    <t>Allocation4</t>
  </si>
  <si>
    <t>LP C/O</t>
  </si>
  <si>
    <t>OFFSHORE</t>
  </si>
  <si>
    <t>rt</t>
  </si>
  <si>
    <t>TradingTicket</t>
  </si>
  <si>
    <t>CreateDoneAwayOrder</t>
  </si>
  <si>
    <t>MSFT</t>
  </si>
  <si>
    <t>Buy</t>
  </si>
  <si>
    <t>Allocation1</t>
  </si>
  <si>
    <t>S1</t>
  </si>
  <si>
    <t>Sell</t>
  </si>
  <si>
    <t>GetDataAllocation</t>
  </si>
  <si>
    <t>Historical</t>
  </si>
  <si>
    <t>1/1/1800</t>
  </si>
  <si>
    <t>CheckAllocatedGroups</t>
  </si>
  <si>
    <t>MS</t>
  </si>
  <si>
    <t>Open</t>
  </si>
  <si>
    <t>USD</t>
  </si>
  <si>
    <t>M</t>
  </si>
  <si>
    <t>Market</t>
  </si>
  <si>
    <t>GCCAP1</t>
  </si>
  <si>
    <t>US</t>
  </si>
  <si>
    <t>NASDAQ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</si>
</sst>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7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readingOrder="0" shrinkToFit="0" wrapText="0"/>
    </xf>
    <xf borderId="0" fillId="0" fontId="5" numFmtId="164" xfId="0" applyAlignment="1" applyFont="1" applyNumberFormat="1">
      <alignment readingOrder="0" shrinkToFit="0" wrapText="0"/>
    </xf>
    <xf borderId="5" fillId="0" fontId="3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6" fillId="0" fontId="5" numFmtId="164" xfId="0" applyAlignment="1" applyBorder="1" applyFont="1" applyNumberFormat="1">
      <alignment horizontal="right" vertical="bottom"/>
    </xf>
    <xf borderId="6" fillId="0" fontId="5" numFmtId="14" xfId="0" applyAlignment="1" applyBorder="1" applyFont="1" applyNumberFormat="1">
      <alignment horizontal="right" vertical="bottom"/>
    </xf>
    <xf borderId="6" fillId="0" fontId="3" numFmtId="0" xfId="0" applyAlignment="1" applyBorder="1" applyFont="1">
      <alignment vertical="bottom"/>
    </xf>
    <xf borderId="0" fillId="0" fontId="3" numFmtId="0" xfId="0" applyAlignment="1" applyFont="1">
      <alignment vertical="bottom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0" Type="http://schemas.openxmlformats.org/officeDocument/2006/relationships/worksheet" Target="worksheets/sheet8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3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3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IFERROR(__xludf.DUMMYFUNCTION("""COMPUTED_VALUE"""),"1eq2tbYNZTU6VAfgYF2-ao4AM8-9yiVmbLsTlsY4KXro")</f>
        <v>1eq2tbYNZTU6VAfgYF2-ao4AM8-9yiVmbLsTlsY4KXro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IFERROR(__xludf.DUMMYFUNCTION("""COMPUTED_VALUE"""),"ValidateCheckSide")</f>
        <v>ValidateCheckSide</v>
      </c>
      <c r="C5" s="28" t="str">
        <f>IFERROR(__xludf.DUMMYFUNCTION("""COMPUTED_VALUE"""),"DisabledChecksideAssets")</f>
        <v>DisabledChecksideAssets</v>
      </c>
      <c r="D5" s="28" t="str">
        <f>IFERROR(__xludf.DUMMYFUNCTION("""COMPUTED_VALUE"""),"PrecisionValue")</f>
        <v>PrecisionValue</v>
      </c>
      <c r="E5" s="28" t="str">
        <f>IFERROR(__xludf.DUMMYFUNCTION("""COMPUTED_VALUE"""),"UseCommissionInNetAmount")</f>
        <v>UseCommissionInNetAmount</v>
      </c>
      <c r="F5" s="29" t="str">
        <f>IFERROR(__xludf.DUMMYFUNCTION("""COMPUTED_VALUE"""),"SaveWithoutState")</f>
        <v>SaveWithoutState</v>
      </c>
      <c r="G5" s="28" t="str">
        <f>IFERROR(__xludf.DUMMYFUNCTION("""COMPUTED_VALUE"""),"SaveWithState")</f>
        <v>SaveWithState</v>
      </c>
      <c r="H5" s="28" t="str">
        <f>IFERROR(__xludf.DUMMYFUNCTION("""COMPUTED_VALUE"""),"ClearQuantities")</f>
        <v>ClearQuantities</v>
      </c>
      <c r="I5" s="28" t="str">
        <f>IFERROR(__xludf.DUMMYFUNCTION("""COMPUTED_VALUE"""),"ReapplyAllocation")</f>
        <v>ReapplyAllocation</v>
      </c>
      <c r="J5" s="28" t="str">
        <f>IFERROR(__xludf.DUMMYFUNCTION("""COMPUTED_VALUE"""),"DefaultAllocation")</f>
        <v>DefaultAllocation</v>
      </c>
      <c r="K5" s="28" t="str">
        <f>IFERROR(__xludf.DUMMYFUNCTION("""COMPUTED_VALUE"""),"IsCustomPreference")</f>
        <v>IsCustomPreference</v>
      </c>
      <c r="L5" s="28" t="str">
        <f>IFERROR(__xludf.DUMMYFUNCTION("""COMPUTED_VALUE"""),"AllocationMethod")</f>
        <v>AllocationMethod</v>
      </c>
      <c r="M5" s="28" t="str">
        <f>IFERROR(__xludf.DUMMYFUNCTION("""COMPUTED_VALUE"""),"RemainderAllocationTo")</f>
        <v>RemainderAllocationTo</v>
      </c>
      <c r="N5" s="28" t="str">
        <f>IFERROR(__xludf.DUMMYFUNCTION("""COMPUTED_VALUE"""),"Target%AsOf")</f>
        <v>Target%AsOf</v>
      </c>
      <c r="O5" s="28" t="str">
        <f>IFERROR(__xludf.DUMMYFUNCTION("""COMPUTED_VALUE"""),"ProrataAccounts")</f>
        <v>ProrataAccounts</v>
      </c>
      <c r="P5" s="28" t="str">
        <f>IFERROR(__xludf.DUMMYFUNCTION("""COMPUTED_VALUE"""),"DateUptoDays")</f>
        <v>DateUptoDays</v>
      </c>
      <c r="Q5" s="28" t="str">
        <f>IFERROR(__xludf.DUMMYFUNCTION("""COMPUTED_VALUE"""),"MatchClosing")</f>
        <v>MatchClosing</v>
      </c>
      <c r="R5" s="28" t="str">
        <f>IFERROR(__xludf.DUMMYFUNCTION("""COMPUTED_VALUE"""),"CommissionAlertOnBrokerChange")</f>
        <v>CommissionAlertOnBrokerChange</v>
      </c>
      <c r="S5" s="28" t="str">
        <f>IFERROR(__xludf.DUMMYFUNCTION("""COMPUTED_VALUE"""),"RecalculateCommissionOnBrokerChange")</f>
        <v>RecalculateCommissionOnBrokerChange</v>
      </c>
      <c r="T5" s="30" t="str">
        <f>IFERROR(__xludf.DUMMYFUNCTION("""COMPUTED_VALUE"""),"CommissionAlertOnAllocation")</f>
        <v>CommissionAlertOnAllocation</v>
      </c>
      <c r="U5" s="30" t="str">
        <f>IFERROR(__xludf.DUMMYFUNCTION("""COMPUTED_VALUE"""),"RecalculateCommissionOnAllocation")</f>
        <v>RecalculateCommissionOnAllocation</v>
      </c>
      <c r="V5" s="30" t="str">
        <f>IFERROR(__xludf.DUMMYFUNCTION("""COMPUTED_VALUE"""),"EnableMasterFund")</f>
        <v>EnableMasterFund</v>
      </c>
      <c r="W5" s="30" t="str">
        <f>IFERROR(__xludf.DUMMYFUNCTION("""COMPUTED_VALUE"""),"1MasterFund/1Symbol")</f>
        <v>1MasterFund/1Symbol</v>
      </c>
      <c r="X5" s="30" t="str">
        <f>IFERROR(__xludf.DUMMYFUNCTION("""COMPUTED_VALUE"""),"ProrataSchemeName")</f>
        <v>ProrataSchemeName</v>
      </c>
      <c r="Y5" s="30" t="str">
        <f>IFERROR(__xludf.DUMMYFUNCTION("""COMPUTED_VALUE"""),"ProrataAllocationSchemeBasis")</f>
        <v>ProrataAllocationSchemeBasis</v>
      </c>
      <c r="Z5" s="30" t="str">
        <f>IFERROR(__xludf.DUMMYFUNCTION("""COMPUTED_VALUE"""),"ShowAdvancedProrataUI")</f>
        <v>ShowAdvancedProrataUI</v>
      </c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b">
        <v>1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SetGeneralPreferences!$4:$4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IFERROR(__xludf.DUMMYFUNCTION("""COMPUTED_VALUE"""),"Asset")</f>
        <v>Asset</v>
      </c>
      <c r="C5" s="28" t="str">
        <f>IFERROR(__xludf.DUMMYFUNCTION("""COMPUTED_VALUE"""),"Account Name")</f>
        <v>Account Name</v>
      </c>
      <c r="D5" s="28" t="str">
        <f>IFERROR(__xludf.DUMMYFUNCTION("""COMPUTED_VALUE"""),"Broker")</f>
        <v>Broker</v>
      </c>
      <c r="E5" s="28" t="str">
        <f>IFERROR(__xludf.DUMMYFUNCTION("""COMPUTED_VALUE"""),"ValidateCheckSide")</f>
        <v>ValidateCheckSide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13" t="s">
        <v>17</v>
      </c>
      <c r="D6" s="13"/>
      <c r="E6" s="13" t="b">
        <v>1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13" t="s">
        <v>18</v>
      </c>
      <c r="D7" s="8"/>
      <c r="E7" s="13" t="b">
        <v>1</v>
      </c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13" t="s">
        <v>19</v>
      </c>
      <c r="D8" s="8"/>
      <c r="E8" s="13" t="b">
        <v>1</v>
      </c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13" t="s">
        <v>20</v>
      </c>
      <c r="D9" s="8"/>
      <c r="E9" s="13" t="b">
        <v>1</v>
      </c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13" t="s">
        <v>21</v>
      </c>
      <c r="D10" s="8"/>
      <c r="E10" s="13" t="b">
        <v>1</v>
      </c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13" t="s">
        <v>22</v>
      </c>
      <c r="D11" s="8"/>
      <c r="E11" s="13" t="b">
        <v>1</v>
      </c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13"/>
      <c r="D12" s="8"/>
      <c r="E12" s="13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0" customHeight="1">
      <c r="A13" s="8"/>
      <c r="B13" s="8"/>
      <c r="C13" s="13"/>
      <c r="D13" s="8"/>
      <c r="E13" s="13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13"/>
      <c r="D14" s="8"/>
      <c r="E14" s="13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13"/>
      <c r="D15" s="8"/>
      <c r="E15" s="13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13"/>
      <c r="D16" s="8"/>
      <c r="E16" s="13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13"/>
      <c r="D17" s="8"/>
      <c r="E17" s="13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DisableCheckside!$4:$4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25</v>
      </c>
      <c r="C6" s="13" t="s">
        <v>26</v>
      </c>
      <c r="D6" s="13">
        <v>100.0</v>
      </c>
      <c r="E6" s="13">
        <v>100.0</v>
      </c>
      <c r="F6" s="13" t="s">
        <v>27</v>
      </c>
      <c r="G6" s="8"/>
      <c r="H6" s="8"/>
      <c r="I6" s="8"/>
      <c r="J6" s="13">
        <v>1.0</v>
      </c>
      <c r="K6" s="8"/>
      <c r="L6" s="8"/>
      <c r="M6" s="13" t="s">
        <v>28</v>
      </c>
      <c r="N6" s="32">
        <v>42352.0</v>
      </c>
      <c r="O6" s="8"/>
    </row>
    <row r="7" ht="15.75" customHeight="1">
      <c r="A7" s="8"/>
      <c r="B7" s="13" t="s">
        <v>25</v>
      </c>
      <c r="C7" s="13" t="s">
        <v>29</v>
      </c>
      <c r="D7" s="13">
        <v>100.0</v>
      </c>
      <c r="E7" s="13">
        <v>100.0</v>
      </c>
      <c r="F7" s="13" t="s">
        <v>27</v>
      </c>
      <c r="G7" s="8"/>
      <c r="H7" s="8"/>
      <c r="I7" s="8"/>
      <c r="J7" s="13">
        <v>1.0</v>
      </c>
      <c r="K7" s="8"/>
      <c r="L7" s="8"/>
      <c r="M7" s="13" t="s">
        <v>28</v>
      </c>
      <c r="N7" s="32">
        <v>42352.0</v>
      </c>
      <c r="O7" s="8"/>
    </row>
    <row r="8" ht="15.75" customHeight="1">
      <c r="A8" s="8"/>
      <c r="B8" s="13" t="s">
        <v>25</v>
      </c>
      <c r="C8" s="13" t="s">
        <v>29</v>
      </c>
      <c r="D8" s="13">
        <v>100.0</v>
      </c>
      <c r="E8" s="13">
        <v>100.0</v>
      </c>
      <c r="F8" s="13" t="s">
        <v>27</v>
      </c>
      <c r="G8" s="8"/>
      <c r="H8" s="8"/>
      <c r="I8" s="8"/>
      <c r="J8" s="13">
        <v>1.0</v>
      </c>
      <c r="K8" s="8"/>
      <c r="L8" s="8"/>
      <c r="M8" s="13" t="s">
        <v>28</v>
      </c>
      <c r="N8" s="32">
        <v>42352.0</v>
      </c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3"/>
      <c r="B6" s="34" t="s">
        <v>31</v>
      </c>
      <c r="C6" s="35" t="s">
        <v>32</v>
      </c>
      <c r="D6" s="36">
        <f>today()</f>
        <v>45033</v>
      </c>
      <c r="E6" s="37"/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27</v>
      </c>
      <c r="C6" s="8"/>
      <c r="D6" s="13"/>
      <c r="E6" s="13">
        <v>100.0</v>
      </c>
      <c r="F6" s="13"/>
      <c r="G6" s="8"/>
      <c r="H6" s="8"/>
      <c r="I6" s="8"/>
      <c r="J6" s="8"/>
      <c r="K6" s="8"/>
      <c r="L6" s="8"/>
      <c r="M6" s="8"/>
      <c r="N6" s="8"/>
      <c r="O6" s="13" t="s">
        <v>34</v>
      </c>
      <c r="S6" s="9" t="s">
        <v>35</v>
      </c>
      <c r="Z6" s="9" t="s">
        <v>36</v>
      </c>
      <c r="AE6" s="9">
        <v>100.0</v>
      </c>
      <c r="AH6" s="9" t="s">
        <v>37</v>
      </c>
      <c r="AI6" s="9">
        <v>1.0</v>
      </c>
      <c r="AY6" s="9" t="s">
        <v>38</v>
      </c>
      <c r="BJ6" s="9">
        <v>100.0</v>
      </c>
      <c r="BM6" s="9" t="s">
        <v>36</v>
      </c>
      <c r="BO6" s="9" t="s">
        <v>26</v>
      </c>
      <c r="BS6" s="9" t="s">
        <v>28</v>
      </c>
      <c r="BT6" s="9" t="s">
        <v>25</v>
      </c>
      <c r="CF6" s="39" t="s">
        <v>39</v>
      </c>
      <c r="CJ6" s="9">
        <v>0.0</v>
      </c>
      <c r="CK6" s="9" t="s">
        <v>40</v>
      </c>
      <c r="CO6" s="9" t="s">
        <v>41</v>
      </c>
    </row>
    <row r="7" ht="15.75" customHeight="1">
      <c r="A7" s="8"/>
      <c r="B7" s="13" t="s">
        <v>27</v>
      </c>
      <c r="C7" s="8"/>
      <c r="D7" s="8"/>
      <c r="E7" s="13">
        <v>100.0</v>
      </c>
      <c r="F7" s="13"/>
      <c r="G7" s="8"/>
      <c r="H7" s="8"/>
      <c r="I7" s="8"/>
      <c r="J7" s="8"/>
      <c r="K7" s="8"/>
      <c r="L7" s="8"/>
      <c r="M7" s="8"/>
      <c r="N7" s="8"/>
      <c r="O7" s="13" t="s">
        <v>34</v>
      </c>
      <c r="S7" s="9" t="s">
        <v>35</v>
      </c>
      <c r="Z7" s="9" t="s">
        <v>36</v>
      </c>
      <c r="AE7" s="9">
        <v>100.0</v>
      </c>
      <c r="AH7" s="9" t="s">
        <v>37</v>
      </c>
      <c r="AI7" s="9">
        <v>1.0</v>
      </c>
      <c r="AY7" s="9" t="s">
        <v>38</v>
      </c>
      <c r="BJ7" s="9">
        <v>100.0</v>
      </c>
      <c r="BM7" s="9" t="s">
        <v>36</v>
      </c>
      <c r="BO7" s="9" t="s">
        <v>29</v>
      </c>
      <c r="BS7" s="9" t="s">
        <v>28</v>
      </c>
      <c r="BT7" s="9" t="s">
        <v>25</v>
      </c>
      <c r="CF7" s="9" t="s">
        <v>39</v>
      </c>
      <c r="CJ7" s="9">
        <v>0.0</v>
      </c>
      <c r="CK7" s="9" t="s">
        <v>40</v>
      </c>
      <c r="CO7" s="9" t="s">
        <v>41</v>
      </c>
    </row>
    <row r="8" ht="15.75" customHeight="1">
      <c r="A8" s="8"/>
      <c r="B8" s="13" t="s">
        <v>27</v>
      </c>
      <c r="C8" s="8"/>
      <c r="D8" s="8"/>
      <c r="E8" s="13">
        <v>100.0</v>
      </c>
      <c r="F8" s="13"/>
      <c r="G8" s="8"/>
      <c r="H8" s="8"/>
      <c r="I8" s="8"/>
      <c r="J8" s="8"/>
      <c r="K8" s="8"/>
      <c r="L8" s="8"/>
      <c r="M8" s="8"/>
      <c r="N8" s="8"/>
      <c r="O8" s="13" t="s">
        <v>34</v>
      </c>
      <c r="S8" s="9" t="s">
        <v>35</v>
      </c>
      <c r="Z8" s="9" t="s">
        <v>36</v>
      </c>
      <c r="AE8" s="9">
        <v>100.0</v>
      </c>
      <c r="AH8" s="9" t="s">
        <v>37</v>
      </c>
      <c r="AI8" s="9">
        <v>1.0</v>
      </c>
      <c r="AY8" s="9" t="s">
        <v>38</v>
      </c>
      <c r="BJ8" s="9">
        <v>100.0</v>
      </c>
      <c r="BM8" s="9" t="s">
        <v>36</v>
      </c>
      <c r="BO8" s="9" t="s">
        <v>29</v>
      </c>
      <c r="BS8" s="9" t="s">
        <v>28</v>
      </c>
      <c r="BT8" s="9" t="s">
        <v>25</v>
      </c>
      <c r="CF8" s="9" t="s">
        <v>39</v>
      </c>
      <c r="CJ8" s="9">
        <v>0.0</v>
      </c>
      <c r="CK8" s="9" t="s">
        <v>40</v>
      </c>
      <c r="CO8" s="9" t="s">
        <v>41</v>
      </c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