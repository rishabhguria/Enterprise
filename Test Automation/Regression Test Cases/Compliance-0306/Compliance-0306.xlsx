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CreateComplianceOrder" sheetId="13" r:id="rId15"/>
    <sheet state="visible" name="VerifyComplianceOrder" sheetId="14" r:id="rId16"/>
    <sheet state="visible" name="SelectTrade" sheetId="15" r:id="rId17"/>
    <sheet state="visible" name="AcknowledgeTrade" sheetId="16" r:id="rId18"/>
    <sheet state="visible" name="SelectTradeOnOrderGrid" sheetId="17" r:id="rId19"/>
    <sheet state="visible" name="ReplaceSubOrder" sheetId="18" r:id="rId20"/>
    <sheet state="visible" name="CreateComplianceOrder1" sheetId="19" r:id="rId21"/>
    <sheet state="visible" name="VerifyComplianceOrder1" sheetId="20" r:id="rId22"/>
    <sheet state="visible" name="CancelSubOrder" sheetId="21" r:id="rId23"/>
    <sheet state="visible" name="VerifyComplianceOrder2" sheetId="22" r:id="rId24"/>
  </sheets>
  <definedNames/>
  <calcPr/>
</workbook>
</file>

<file path=xl/sharedStrings.xml><?xml version="1.0" encoding="utf-8"?>
<sst xmlns="http://schemas.openxmlformats.org/spreadsheetml/2006/main" count="223" uniqueCount="56">
  <si>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</si>
  <si>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</si>
  <si>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</si>
  <si>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</si>
  <si>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</si>
  <si>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</si>
  <si>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</si>
  <si>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</si>
  <si>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</si>
  <si>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</si>
  <si>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</si>
  <si>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</si>
  <si>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</si>
  <si>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</si>
  <si>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</si>
  <si>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</si>
  <si>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</si>
  <si>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</si>
  <si>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</si>
  <si>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</si>
  <si>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</si>
  <si>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</si>
  <si>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</si>
  <si>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</si>
  <si>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</si>
  <si>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</si>
  <si>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</si>
  <si>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</si>
  <si>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</si>
  <si>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</si>
  <si>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</si>
  <si>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</si>
  <si>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</si>
  <si>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</si>
  <si>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</si>
  <si>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Allocation3</t>
  </si>
  <si>
    <t>CreateComplianceOrder</t>
  </si>
  <si>
    <t>Send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</si>
  <si>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</si>
  <si>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</si>
  <si>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</si>
  <si>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</si>
  <si>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</si>
  <si>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</si>
  <si>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2.9821, percentNetMarketValueGlobal: 2.9821, percentGrossExposureGlobal: 2.9821, percentGrossMarketValueGlobal: 2.9821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</si>
  <si>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</si>
  <si>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</si>
  <si>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</si>
  <si>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</si>
  <si>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</si>
  <si>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</si>
  <si>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</si>
  <si>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Replace</t>
  </si>
  <si>
    <t>percentNetExposureGlobal: 3.5821, percentNetMarketValueGlobal: 3.5821, percentGrossExposureGlobal: 3.5821, percentGrossMarketValueGlobal: 3.5821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</si>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</sst>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readingOrder="0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horizontal="left" readingOrder="0" shrinkToFit="0" vertical="top" wrapText="0"/>
    </xf>
    <xf borderId="11" fillId="7" fontId="14" numFmtId="0" xfId="0" applyAlignment="1" applyBorder="1" applyFill="1" applyFont="1">
      <alignment horizontal="left" readingOrder="0" shrinkToFit="0" vertical="top" wrapText="0"/>
    </xf>
    <xf borderId="12" fillId="7" fontId="3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11" fillId="6" fontId="13" numFmtId="0" xfId="0" applyAlignment="1" applyBorder="1" applyFont="1">
      <alignment vertical="top"/>
    </xf>
    <xf borderId="13" fillId="8" fontId="14" numFmtId="0" xfId="0" applyAlignment="1" applyBorder="1" applyFill="1" applyFont="1">
      <alignment vertical="top"/>
    </xf>
    <xf borderId="13" fillId="8" fontId="14" numFmtId="0" xfId="0" applyAlignment="1" applyBorder="1" applyFont="1">
      <alignment vertical="top"/>
    </xf>
    <xf borderId="12" fillId="8" fontId="14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7"/>
      <c r="F6" s="31" t="s">
        <v>23</v>
      </c>
      <c r="G6" s="37"/>
      <c r="H6" s="37"/>
      <c r="I6" s="37"/>
      <c r="J6" s="39">
        <v>10.0</v>
      </c>
      <c r="K6" s="3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0"/>
      <c r="B7" s="41" t="s">
        <v>21</v>
      </c>
      <c r="C7" s="42" t="s">
        <v>22</v>
      </c>
      <c r="D7" s="43">
        <v>100.0</v>
      </c>
      <c r="E7" s="41">
        <v>0.0</v>
      </c>
      <c r="F7" s="44" t="s">
        <v>23</v>
      </c>
      <c r="G7" s="42"/>
      <c r="H7" s="42"/>
      <c r="I7" s="42"/>
      <c r="J7" s="39">
        <v>10.0</v>
      </c>
      <c r="K7" s="4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5"/>
      <c r="B8" s="42" t="s">
        <v>24</v>
      </c>
      <c r="C8" s="42" t="s">
        <v>22</v>
      </c>
      <c r="D8" s="43">
        <v>100.0</v>
      </c>
      <c r="E8" s="42"/>
      <c r="F8" s="31" t="s">
        <v>23</v>
      </c>
      <c r="G8" s="42"/>
      <c r="H8" s="42"/>
      <c r="I8" s="42"/>
      <c r="J8" s="39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5"/>
      <c r="B9" s="42" t="s">
        <v>24</v>
      </c>
      <c r="C9" s="42" t="s">
        <v>22</v>
      </c>
      <c r="D9" s="43">
        <v>100.0</v>
      </c>
      <c r="E9" s="41">
        <v>0.0</v>
      </c>
      <c r="F9" s="44" t="s">
        <v>23</v>
      </c>
      <c r="G9" s="42"/>
      <c r="H9" s="42"/>
      <c r="I9" s="42"/>
      <c r="J9" s="39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7"/>
      <c r="F6" s="31" t="s">
        <v>23</v>
      </c>
      <c r="G6" s="37"/>
      <c r="H6" s="37"/>
      <c r="I6" s="37"/>
      <c r="J6" s="39">
        <v>10.0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2" t="s">
        <v>24</v>
      </c>
      <c r="C7" s="42" t="s">
        <v>22</v>
      </c>
      <c r="D7" s="43">
        <v>100.0</v>
      </c>
      <c r="E7" s="42"/>
      <c r="F7" s="31" t="s">
        <v>23</v>
      </c>
      <c r="G7" s="42"/>
      <c r="H7" s="42"/>
      <c r="I7" s="42"/>
      <c r="J7" s="39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>
        <f>TODAY()-1</f>
        <v>45894</v>
      </c>
      <c r="C6" s="46">
        <f>TODAY()</f>
        <v>45895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30</v>
      </c>
      <c r="C6" s="48" t="s">
        <v>31</v>
      </c>
      <c r="D6" s="47" t="s">
        <v>32</v>
      </c>
      <c r="E6" s="39">
        <v>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>
        <f t="shared" ref="B6:C6" si="1">today()-1</f>
        <v>45894</v>
      </c>
      <c r="C6" s="50">
        <f t="shared" si="1"/>
        <v>45894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23</v>
      </c>
      <c r="C6" s="52" t="s">
        <v>30</v>
      </c>
      <c r="D6" s="53">
        <v>233000.0</v>
      </c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4" t="s">
        <v>35</v>
      </c>
      <c r="C7" s="55" t="s">
        <v>30</v>
      </c>
      <c r="D7" s="56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24</v>
      </c>
      <c r="C6" s="37" t="s">
        <v>22</v>
      </c>
      <c r="D6" s="57">
        <v>101.0</v>
      </c>
      <c r="E6" s="37"/>
      <c r="F6" s="31" t="s">
        <v>23</v>
      </c>
      <c r="G6" s="37"/>
      <c r="H6" s="37"/>
      <c r="I6" s="37"/>
      <c r="J6" s="58">
        <v>10.0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9" t="s">
        <v>37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0.3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0"/>
      <c r="B6" s="61" t="s">
        <v>39</v>
      </c>
      <c r="C6" s="62" t="s">
        <v>40</v>
      </c>
      <c r="D6" s="62" t="s">
        <v>41</v>
      </c>
      <c r="E6" s="62" t="s">
        <v>42</v>
      </c>
      <c r="F6" s="62" t="s">
        <v>43</v>
      </c>
      <c r="G6" s="62" t="s">
        <v>43</v>
      </c>
      <c r="H6" s="62" t="s">
        <v>44</v>
      </c>
      <c r="I6" s="63"/>
      <c r="J6" s="31"/>
      <c r="K6" s="48" t="s">
        <v>18</v>
      </c>
      <c r="L6" s="31"/>
      <c r="M6" s="48" t="s">
        <v>37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6" t="s">
        <v>24</v>
      </c>
      <c r="E6" s="31"/>
      <c r="F6" s="48" t="s">
        <v>22</v>
      </c>
      <c r="G6" s="64" t="s">
        <v>50</v>
      </c>
      <c r="H6" s="58">
        <v>101.0</v>
      </c>
      <c r="I6" s="31"/>
      <c r="J6" s="31"/>
      <c r="K6" s="31"/>
      <c r="L6" s="31"/>
      <c r="M6" s="31"/>
      <c r="N6" s="31"/>
      <c r="O6" s="31"/>
      <c r="P6" s="39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6" t="s">
        <v>24</v>
      </c>
      <c r="AK6" s="31" t="s">
        <v>22</v>
      </c>
      <c r="AL6" s="59" t="s">
        <v>50</v>
      </c>
      <c r="AM6" s="67">
        <v>101.0</v>
      </c>
      <c r="AN6" s="31"/>
      <c r="AO6" s="31"/>
      <c r="AP6" s="31"/>
      <c r="AQ6" s="31"/>
      <c r="AR6" s="31"/>
      <c r="AS6" s="68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5"/>
      <c r="C6" s="31"/>
      <c r="D6" s="65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52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0"/>
      <c r="B6" s="61" t="s">
        <v>39</v>
      </c>
      <c r="C6" s="62" t="s">
        <v>40</v>
      </c>
      <c r="D6" s="62" t="s">
        <v>41</v>
      </c>
      <c r="E6" s="62" t="s">
        <v>42</v>
      </c>
      <c r="F6" s="62" t="s">
        <v>43</v>
      </c>
      <c r="G6" s="62" t="s">
        <v>43</v>
      </c>
      <c r="H6" s="69" t="s">
        <v>53</v>
      </c>
      <c r="I6" s="63"/>
      <c r="J6" s="31"/>
      <c r="K6" s="48" t="s">
        <v>18</v>
      </c>
      <c r="L6" s="31"/>
      <c r="M6" s="48" t="s">
        <v>52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8" t="s">
        <v>24</v>
      </c>
      <c r="AJ6" s="31" t="s">
        <v>22</v>
      </c>
      <c r="AK6" s="59" t="s">
        <v>55</v>
      </c>
      <c r="AL6" s="68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0"/>
      <c r="B6" s="70" t="s">
        <v>39</v>
      </c>
      <c r="C6" s="71" t="s">
        <v>40</v>
      </c>
      <c r="D6" s="72" t="s">
        <v>41</v>
      </c>
      <c r="E6" s="71" t="s">
        <v>42</v>
      </c>
      <c r="F6" s="71" t="s">
        <v>43</v>
      </c>
      <c r="G6" s="71" t="s">
        <v>43</v>
      </c>
      <c r="H6" s="73" t="s">
        <v>53</v>
      </c>
      <c r="I6" s="63"/>
      <c r="J6" s="31"/>
      <c r="K6" s="48" t="s">
        <v>18</v>
      </c>
      <c r="L6" s="31"/>
      <c r="M6" s="64" t="s">
        <v>37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