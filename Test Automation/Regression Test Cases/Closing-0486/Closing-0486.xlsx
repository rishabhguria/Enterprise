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<sst xmlns="http://schemas.openxmlformats.org/spreadsheetml/2006/main" count="193" uniqueCount="55">
  <si>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</si>
  <si>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</si>
  <si>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</si>
  <si>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</si>
  <si>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</si>
  <si>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</si>
  <si>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</si>
  <si>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</si>
  <si>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</si>
  <si>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</si>
  <si>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</si>
  <si>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</si>
  <si>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</si>
  <si>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</si>
  <si>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</si>
  <si>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</si>
  <si>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23E130.30D1</t>
  </si>
  <si>
    <t>O:AAPL 23E130.20D1</t>
  </si>
  <si>
    <t>O:AAPL 23E130.10D1</t>
  </si>
  <si>
    <t>Closing</t>
  </si>
  <si>
    <t>SetClosingPreference</t>
  </si>
  <si>
    <t>FIFO</t>
  </si>
  <si>
    <t>TradingTicket</t>
  </si>
  <si>
    <t>CreateDoneAwayOrder</t>
  </si>
  <si>
    <t>AAPL</t>
  </si>
  <si>
    <t>Buy</t>
  </si>
  <si>
    <t>Allocation1</t>
  </si>
  <si>
    <t>Buy to Close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</si>
  <si>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</si>
  <si>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</si>
  <si>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</si>
  <si>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</si>
  <si>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</si>
  <si>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</si>
  <si>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</si>
  <si>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</si>
  <si>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</si>
  <si>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</si>
  <si>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Allocation</t>
  </si>
  <si>
    <t>GetDataAllocation</t>
  </si>
  <si>
    <t>CheckAllocatedGroups</t>
  </si>
  <si>
    <t>Equity</t>
  </si>
  <si>
    <t>Open</t>
  </si>
  <si>
    <t>USD</t>
  </si>
  <si>
    <t>NASDAQ</t>
  </si>
  <si>
    <t>D</t>
  </si>
  <si>
    <t>Exercise/Assign</t>
  </si>
  <si>
    <t>Exercise</t>
  </si>
  <si>
    <t>US</t>
  </si>
  <si>
    <t>PortfolioManagement</t>
  </si>
  <si>
    <t>CheckPortfolioManagement</t>
  </si>
  <si>
    <t>Long</t>
  </si>
  <si>
    <t>APPLE</t>
  </si>
  <si>
    <t>FIMAT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</si>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</sst>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name val="Calibri"/>
    </font>
    <font>
      <color rgb="FF000000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6" fontId="14" numFmtId="0" xfId="0" applyAlignment="1" applyFill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6" fontId="14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6" fontId="16" numFmtId="0" xfId="0" applyAlignment="1" applyFont="1">
      <alignment vertical="bottom"/>
    </xf>
    <xf borderId="0" fillId="6" fontId="17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6" fontId="17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14" numFmtId="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3" xfId="0" applyAlignment="1" applyFont="1" applyNumberFormat="1">
      <alignment horizontal="right" vertical="bottom"/>
    </xf>
    <xf borderId="0" fillId="0" fontId="1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f>today()+13</f>
        <v>45084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>
        <f>today()+12</f>
        <v>45083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6" t="s">
        <v>18</v>
      </c>
      <c r="C8" s="33">
        <f>today()+11</f>
        <v>45082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21</v>
      </c>
      <c r="D6" s="31"/>
      <c r="E6" s="37" t="b">
        <v>1</v>
      </c>
      <c r="F6" s="34"/>
      <c r="G6" s="34"/>
      <c r="H6" s="34"/>
      <c r="I6" s="34"/>
      <c r="J6" s="37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4" t="s">
        <v>25</v>
      </c>
      <c r="D6" s="38">
        <v>1100.0</v>
      </c>
      <c r="E6" s="39">
        <v>1100.0</v>
      </c>
      <c r="F6" s="40" t="s">
        <v>26</v>
      </c>
      <c r="G6" s="34"/>
      <c r="H6" s="34"/>
      <c r="I6" s="34"/>
      <c r="J6" s="39">
        <v>10.0</v>
      </c>
      <c r="K6" s="34"/>
      <c r="L6" s="34"/>
      <c r="M6" s="34"/>
      <c r="N6" s="41">
        <f t="shared" ref="N6:N7" si="1">TODAY()-9</f>
        <v>45062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24</v>
      </c>
      <c r="C7" s="42" t="s">
        <v>27</v>
      </c>
      <c r="D7" s="39">
        <v>50.0</v>
      </c>
      <c r="E7" s="39">
        <v>50.0</v>
      </c>
      <c r="F7" s="40" t="s">
        <v>26</v>
      </c>
      <c r="G7" s="34"/>
      <c r="H7" s="34"/>
      <c r="I7" s="34"/>
      <c r="J7" s="39">
        <v>10.0</v>
      </c>
      <c r="K7" s="34"/>
      <c r="L7" s="34"/>
      <c r="M7" s="34"/>
      <c r="N7" s="41">
        <f t="shared" si="1"/>
        <v>45062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3" t="s">
        <v>16</v>
      </c>
      <c r="C8" s="42" t="s">
        <v>28</v>
      </c>
      <c r="D8" s="39">
        <v>10.0</v>
      </c>
      <c r="E8" s="39">
        <v>10.0</v>
      </c>
      <c r="F8" s="40" t="s">
        <v>26</v>
      </c>
      <c r="G8" s="34"/>
      <c r="H8" s="34"/>
      <c r="I8" s="34"/>
      <c r="J8" s="39">
        <v>10.0</v>
      </c>
      <c r="K8" s="34"/>
      <c r="L8" s="34"/>
      <c r="M8" s="34"/>
      <c r="N8" s="41">
        <f>TODAY()-10</f>
        <v>45061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17</v>
      </c>
      <c r="C9" s="42" t="s">
        <v>28</v>
      </c>
      <c r="D9" s="39">
        <v>10.0</v>
      </c>
      <c r="E9" s="39">
        <v>10.0</v>
      </c>
      <c r="F9" s="40" t="s">
        <v>26</v>
      </c>
      <c r="G9" s="34"/>
      <c r="H9" s="34"/>
      <c r="I9" s="34"/>
      <c r="J9" s="39">
        <v>10.0</v>
      </c>
      <c r="K9" s="34"/>
      <c r="L9" s="34"/>
      <c r="M9" s="34"/>
      <c r="N9" s="41">
        <f>TODAY()-11</f>
        <v>45060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43" t="s">
        <v>18</v>
      </c>
      <c r="C10" s="34" t="s">
        <v>28</v>
      </c>
      <c r="D10" s="39">
        <v>10.0</v>
      </c>
      <c r="E10" s="39">
        <v>10.0</v>
      </c>
      <c r="F10" s="40" t="s">
        <v>26</v>
      </c>
      <c r="G10" s="34"/>
      <c r="H10" s="34"/>
      <c r="I10" s="34"/>
      <c r="J10" s="39">
        <v>10.0</v>
      </c>
      <c r="K10" s="34"/>
      <c r="L10" s="34"/>
      <c r="M10" s="34"/>
      <c r="N10" s="41">
        <f>TODAY()-12</f>
        <v>45059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f>Today()-1</f>
        <v>45070</v>
      </c>
      <c r="C6" s="33">
        <f>Today()</f>
        <v>45071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24</v>
      </c>
      <c r="C6" s="39">
        <v>120.0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 t="s">
        <v>33</v>
      </c>
      <c r="C6" s="41" t="s">
        <v>34</v>
      </c>
      <c r="D6" s="41">
        <f>TODAY()</f>
        <v>45071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44" t="s">
        <v>26</v>
      </c>
      <c r="C6" s="34"/>
      <c r="D6" s="31"/>
      <c r="E6" s="40" t="s">
        <v>36</v>
      </c>
      <c r="F6" s="34"/>
      <c r="G6" s="34"/>
      <c r="H6" s="34"/>
      <c r="I6" s="39">
        <v>10.0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45">
        <v>10.0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42" t="s">
        <v>28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45">
        <v>10.0</v>
      </c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46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0" t="s">
        <v>26</v>
      </c>
      <c r="C7" s="34"/>
      <c r="D7" s="34"/>
      <c r="E7" s="40" t="s">
        <v>36</v>
      </c>
      <c r="F7" s="34"/>
      <c r="G7" s="34"/>
      <c r="H7" s="34"/>
      <c r="I7" s="39">
        <v>10.0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45">
        <v>10.0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42" t="s">
        <v>28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45">
        <v>10.0</v>
      </c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47" t="s">
        <v>17</v>
      </c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40"/>
      <c r="B8" s="40" t="s">
        <v>26</v>
      </c>
      <c r="C8" s="34"/>
      <c r="D8" s="40"/>
      <c r="E8" s="40" t="s">
        <v>36</v>
      </c>
      <c r="F8" s="34"/>
      <c r="G8" s="34"/>
      <c r="H8" s="34"/>
      <c r="I8" s="39">
        <v>10.0</v>
      </c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45">
        <v>10.0</v>
      </c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40" t="s">
        <v>28</v>
      </c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45">
        <v>10.0</v>
      </c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46" t="s">
        <v>18</v>
      </c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 t="s">
        <v>33</v>
      </c>
      <c r="C6" s="41" t="s">
        <v>34</v>
      </c>
      <c r="D6" s="41">
        <f>TODAY()</f>
        <v>45071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49">
        <v>1000.0</v>
      </c>
      <c r="F6" s="34"/>
      <c r="G6" s="50" t="s">
        <v>41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50" t="s">
        <v>42</v>
      </c>
      <c r="T6" s="34"/>
      <c r="U6" s="34"/>
      <c r="V6" s="34"/>
      <c r="W6" s="34"/>
      <c r="X6" s="34"/>
      <c r="Y6" s="34"/>
      <c r="Z6" s="50" t="s">
        <v>43</v>
      </c>
      <c r="AA6" s="34"/>
      <c r="AB6" s="34"/>
      <c r="AC6" s="34"/>
      <c r="AD6" s="50" t="s">
        <v>44</v>
      </c>
      <c r="AE6" s="49">
        <v>1000.0</v>
      </c>
      <c r="AF6" s="34"/>
      <c r="AG6" s="34"/>
      <c r="AH6" s="50" t="s">
        <v>45</v>
      </c>
      <c r="AI6" s="34"/>
      <c r="AJ6" s="50" t="s">
        <v>46</v>
      </c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49">
        <v>1000.0</v>
      </c>
      <c r="BK6" s="34"/>
      <c r="BL6" s="34"/>
      <c r="BM6" s="50" t="s">
        <v>43</v>
      </c>
      <c r="BN6" s="34"/>
      <c r="BO6" s="50" t="s">
        <v>25</v>
      </c>
      <c r="BP6" s="34"/>
      <c r="BQ6" s="34"/>
      <c r="BR6" s="34"/>
      <c r="BS6" s="34"/>
      <c r="BT6" s="50" t="s">
        <v>24</v>
      </c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50" t="s">
        <v>47</v>
      </c>
      <c r="CJ6" s="34"/>
      <c r="CK6" s="50" t="s">
        <v>48</v>
      </c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49">
        <v>1000.0</v>
      </c>
      <c r="F7" s="34"/>
      <c r="G7" s="50" t="s">
        <v>41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50" t="s">
        <v>42</v>
      </c>
      <c r="T7" s="34"/>
      <c r="U7" s="34"/>
      <c r="V7" s="34"/>
      <c r="W7" s="34"/>
      <c r="X7" s="34"/>
      <c r="Y7" s="34"/>
      <c r="Z7" s="50" t="s">
        <v>43</v>
      </c>
      <c r="AA7" s="34"/>
      <c r="AB7" s="34"/>
      <c r="AC7" s="34"/>
      <c r="AD7" s="50" t="s">
        <v>44</v>
      </c>
      <c r="AE7" s="49">
        <v>1000.0</v>
      </c>
      <c r="AF7" s="34"/>
      <c r="AG7" s="34"/>
      <c r="AH7" s="50" t="s">
        <v>45</v>
      </c>
      <c r="AI7" s="34"/>
      <c r="AJ7" s="50" t="s">
        <v>46</v>
      </c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49">
        <v>1000.0</v>
      </c>
      <c r="BK7" s="34"/>
      <c r="BL7" s="34"/>
      <c r="BM7" s="50" t="s">
        <v>43</v>
      </c>
      <c r="BN7" s="34"/>
      <c r="BO7" s="50" t="s">
        <v>25</v>
      </c>
      <c r="BP7" s="34"/>
      <c r="BQ7" s="34"/>
      <c r="BR7" s="34"/>
      <c r="BS7" s="34"/>
      <c r="BT7" s="50" t="s">
        <v>24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50" t="s">
        <v>47</v>
      </c>
      <c r="CJ7" s="34"/>
      <c r="CK7" s="50" t="s">
        <v>48</v>
      </c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4"/>
      <c r="D8" s="34"/>
      <c r="E8" s="49">
        <v>1000.0</v>
      </c>
      <c r="F8" s="34"/>
      <c r="G8" s="50" t="s">
        <v>41</v>
      </c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50" t="s">
        <v>42</v>
      </c>
      <c r="T8" s="34"/>
      <c r="U8" s="34"/>
      <c r="V8" s="34"/>
      <c r="W8" s="34"/>
      <c r="X8" s="34"/>
      <c r="Y8" s="34"/>
      <c r="Z8" s="50" t="s">
        <v>43</v>
      </c>
      <c r="AA8" s="34"/>
      <c r="AB8" s="34"/>
      <c r="AC8" s="34"/>
      <c r="AD8" s="50" t="s">
        <v>44</v>
      </c>
      <c r="AE8" s="49">
        <v>1000.0</v>
      </c>
      <c r="AF8" s="34"/>
      <c r="AG8" s="34"/>
      <c r="AH8" s="50" t="s">
        <v>45</v>
      </c>
      <c r="AI8" s="34"/>
      <c r="AJ8" s="50" t="s">
        <v>46</v>
      </c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49">
        <v>1000.0</v>
      </c>
      <c r="BK8" s="34"/>
      <c r="BL8" s="34"/>
      <c r="BM8" s="50" t="s">
        <v>43</v>
      </c>
      <c r="BN8" s="34"/>
      <c r="BO8" s="50" t="s">
        <v>25</v>
      </c>
      <c r="BP8" s="34"/>
      <c r="BQ8" s="34"/>
      <c r="BR8" s="34"/>
      <c r="BS8" s="34"/>
      <c r="BT8" s="50" t="s">
        <v>24</v>
      </c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50" t="s">
        <v>47</v>
      </c>
      <c r="CJ8" s="34"/>
      <c r="CK8" s="50" t="s">
        <v>48</v>
      </c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50" t="s">
        <v>24</v>
      </c>
      <c r="D6" s="51">
        <v>1000.0</v>
      </c>
      <c r="E6" s="50" t="s">
        <v>26</v>
      </c>
      <c r="F6" s="34"/>
      <c r="G6" s="52">
        <v>130.3</v>
      </c>
      <c r="H6" s="50" t="s">
        <v>51</v>
      </c>
      <c r="I6" s="34"/>
      <c r="J6" s="34"/>
      <c r="K6" s="34"/>
      <c r="L6" s="34"/>
      <c r="M6" s="34"/>
      <c r="N6" s="34"/>
      <c r="O6" s="50" t="s">
        <v>52</v>
      </c>
      <c r="P6" s="34"/>
      <c r="Q6" s="34"/>
      <c r="R6" s="50" t="s">
        <v>53</v>
      </c>
      <c r="S6" s="50" t="s">
        <v>54</v>
      </c>
      <c r="T6" s="50" t="s">
        <v>41</v>
      </c>
      <c r="U6" s="50" t="s">
        <v>48</v>
      </c>
      <c r="V6" s="50" t="s">
        <v>44</v>
      </c>
      <c r="W6" s="50" t="s">
        <v>43</v>
      </c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50" t="s">
        <v>25</v>
      </c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50" t="s">
        <v>41</v>
      </c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</row>
    <row r="7" ht="15.75" customHeight="1">
      <c r="A7" s="34"/>
      <c r="B7" s="34"/>
      <c r="C7" s="50" t="s">
        <v>24</v>
      </c>
      <c r="D7" s="51">
        <v>1000.0</v>
      </c>
      <c r="E7" s="50" t="s">
        <v>26</v>
      </c>
      <c r="F7" s="34"/>
      <c r="G7" s="52">
        <v>130.2</v>
      </c>
      <c r="H7" s="50" t="s">
        <v>51</v>
      </c>
      <c r="I7" s="34"/>
      <c r="J7" s="34"/>
      <c r="K7" s="34"/>
      <c r="L7" s="34"/>
      <c r="M7" s="34"/>
      <c r="N7" s="34"/>
      <c r="O7" s="50" t="s">
        <v>52</v>
      </c>
      <c r="P7" s="34"/>
      <c r="Q7" s="34"/>
      <c r="R7" s="50" t="s">
        <v>53</v>
      </c>
      <c r="S7" s="50" t="s">
        <v>54</v>
      </c>
      <c r="T7" s="50" t="s">
        <v>41</v>
      </c>
      <c r="U7" s="50" t="s">
        <v>48</v>
      </c>
      <c r="V7" s="50" t="s">
        <v>44</v>
      </c>
      <c r="W7" s="50" t="s">
        <v>43</v>
      </c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50" t="s">
        <v>25</v>
      </c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50" t="s">
        <v>41</v>
      </c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</row>
    <row r="8" ht="15.75" customHeight="1">
      <c r="A8" s="34"/>
      <c r="B8" s="34"/>
      <c r="C8" s="50" t="s">
        <v>24</v>
      </c>
      <c r="D8" s="51">
        <v>1000.0</v>
      </c>
      <c r="E8" s="50" t="s">
        <v>26</v>
      </c>
      <c r="F8" s="34"/>
      <c r="G8" s="52">
        <v>130.1</v>
      </c>
      <c r="H8" s="50" t="s">
        <v>51</v>
      </c>
      <c r="I8" s="34"/>
      <c r="J8" s="34"/>
      <c r="K8" s="34"/>
      <c r="L8" s="34"/>
      <c r="M8" s="34"/>
      <c r="N8" s="34"/>
      <c r="O8" s="50" t="s">
        <v>52</v>
      </c>
      <c r="P8" s="34"/>
      <c r="Q8" s="34"/>
      <c r="R8" s="50" t="s">
        <v>53</v>
      </c>
      <c r="S8" s="50" t="s">
        <v>54</v>
      </c>
      <c r="T8" s="50" t="s">
        <v>41</v>
      </c>
      <c r="U8" s="50" t="s">
        <v>48</v>
      </c>
      <c r="V8" s="50" t="s">
        <v>44</v>
      </c>
      <c r="W8" s="50" t="s">
        <v>43</v>
      </c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50" t="s">
        <v>25</v>
      </c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50" t="s">
        <v>41</v>
      </c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4"/>
      <c r="FQ8" s="34"/>
      <c r="FR8" s="34"/>
      <c r="FS8" s="34"/>
      <c r="FT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