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UpdateGRAccountValue" sheetId="9" r:id="rId11"/>
    <sheet state="visible" name="SetGeneralRuleCalculatedPref1" sheetId="10" r:id="rId12"/>
    <sheet state="visible" name="UpdateGRAccountValue1" sheetId="11" r:id="rId13"/>
    <sheet state="visible" name="SetGeneralRuleCalculatedPref2" sheetId="12" r:id="rId14"/>
    <sheet state="visible" name="UpdateGRAccountValue2" sheetId="13" r:id="rId15"/>
    <sheet state="visible" name="SetGeneralRuleCalculatedPref3" sheetId="14" r:id="rId16"/>
    <sheet state="visible" name="UpdateGRAccountValue3" sheetId="15" r:id="rId17"/>
    <sheet state="visible" name="SelectUnallocatedGroup" sheetId="16" r:id="rId18"/>
    <sheet state="visible" name="EnterAllocatePreference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<sst xmlns="http://schemas.openxmlformats.org/spreadsheetml/2006/main" count="272" uniqueCount="61">
  <si>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</si>
  <si>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</si>
  <si>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</si>
  <si>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</si>
  <si>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</si>
  <si>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</si>
  <si>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</si>
  <si>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</si>
  <si>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</si>
  <si>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</si>
  <si>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</si>
  <si>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</si>
  <si>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</si>
  <si>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</si>
  <si>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</si>
  <si>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</si>
  <si>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</si>
  <si>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Sell short</t>
  </si>
  <si>
    <t>Allocation2</t>
  </si>
  <si>
    <t>AAPL</t>
  </si>
  <si>
    <t>Sell</t>
  </si>
  <si>
    <t>Allocation3</t>
  </si>
  <si>
    <t>Buy</t>
  </si>
  <si>
    <t>Unallocated</t>
  </si>
  <si>
    <t>Buy to Close</t>
  </si>
  <si>
    <t>MSFT</t>
  </si>
  <si>
    <t>CAT</t>
  </si>
  <si>
    <t>Allocation</t>
  </si>
  <si>
    <t>AddCalculatedPreferences</t>
  </si>
  <si>
    <t>SetAccountValueCalculatedPref</t>
  </si>
  <si>
    <t>LP C/O</t>
  </si>
  <si>
    <t>SetDefaultRuleCalculatedPref</t>
  </si>
  <si>
    <t>Trade Quantity</t>
  </si>
  <si>
    <t>Current Preference</t>
  </si>
  <si>
    <t>SetGeneralRuleCalculatedPref</t>
  </si>
  <si>
    <t>Include</t>
  </si>
  <si>
    <t>UpdateGRAccountValue</t>
  </si>
  <si>
    <t>Allocation1</t>
  </si>
  <si>
    <t>Allocation4</t>
  </si>
  <si>
    <t>SelectUnallocatedGroup</t>
  </si>
  <si>
    <t>EnterAllocatePreference</t>
  </si>
  <si>
    <t>Calculated</t>
  </si>
  <si>
    <t>CheckAllocatedGroups</t>
  </si>
  <si>
    <t>Equity</t>
  </si>
  <si>
    <t>GOOG US EQUITY</t>
  </si>
  <si>
    <t>Treasury</t>
  </si>
  <si>
    <t>MS</t>
  </si>
  <si>
    <t>USD</t>
  </si>
  <si>
    <t>NASDAQ</t>
  </si>
  <si>
    <t>M</t>
  </si>
  <si>
    <t>Market</t>
  </si>
  <si>
    <t>Strategy Unallocated</t>
  </si>
  <si>
    <t>US</t>
  </si>
  <si>
    <t>jpearce</t>
  </si>
  <si>
    <t>NewMF1</t>
  </si>
  <si>
    <t>CAT US EQUITY</t>
  </si>
  <si>
    <t>NYSE</t>
  </si>
  <si>
    <t>NewMF</t>
  </si>
  <si>
    <t>Manual</t>
  </si>
  <si>
    <t>AAPL US EQUITY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</si>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</sst>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3C4043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6" fontId="14" numFmtId="0" xfId="0" applyFill="1" applyFon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13"/>
      <c r="F6" s="13" t="s">
        <v>18</v>
      </c>
      <c r="G6" s="8"/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50.0</v>
      </c>
      <c r="E7" s="13"/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22</v>
      </c>
      <c r="D8" s="13">
        <v>150.0</v>
      </c>
      <c r="E8" s="13"/>
      <c r="F8" s="13" t="s">
        <v>23</v>
      </c>
      <c r="G8" s="8"/>
      <c r="H8" s="8"/>
      <c r="I8" s="8"/>
      <c r="J8" s="13">
        <v>5.0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9" t="s">
        <v>24</v>
      </c>
      <c r="D9" s="13">
        <v>1500.0</v>
      </c>
      <c r="E9" s="13"/>
      <c r="F9" s="13" t="s">
        <v>23</v>
      </c>
      <c r="G9" s="8"/>
      <c r="H9" s="8"/>
      <c r="I9" s="8"/>
      <c r="J9" s="13">
        <v>32.0</v>
      </c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24</v>
      </c>
      <c r="D10" s="13">
        <v>750.0</v>
      </c>
      <c r="E10" s="13"/>
      <c r="F10" s="13" t="s">
        <v>23</v>
      </c>
      <c r="G10" s="8"/>
      <c r="H10" s="8"/>
      <c r="I10" s="8"/>
      <c r="J10" s="13">
        <v>65.0</v>
      </c>
      <c r="K10" s="8"/>
      <c r="L10" s="8"/>
      <c r="M10" s="8"/>
      <c r="N10" s="8"/>
      <c r="O10" s="8"/>
    </row>
    <row r="11" ht="15.75" customHeight="1">
      <c r="A11" s="8"/>
      <c r="B11" s="13" t="s">
        <v>26</v>
      </c>
      <c r="C11" s="13" t="s">
        <v>20</v>
      </c>
      <c r="D11" s="13">
        <v>980.0</v>
      </c>
      <c r="E11" s="13"/>
      <c r="F11" s="13" t="s">
        <v>23</v>
      </c>
      <c r="G11" s="8"/>
      <c r="H11" s="8"/>
      <c r="I11" s="8"/>
      <c r="J11" s="13">
        <v>6.0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>"PA7-"&amp;text(TODAY(),"dd-mm-yy")</f>
        <v>PA7-24-10-25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>"PA7-"&amp;text(TODAY(),"dd-mm-yy")</f>
        <v>PA7-24-10-25</v>
      </c>
      <c r="C6" s="13" t="s">
        <v>30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1"/>
      <c r="F6" s="8"/>
      <c r="G6" s="13" t="b">
        <v>0</v>
      </c>
      <c r="H6" s="13" t="str">
        <f>"PA7-"&amp;text(TODAY(),"dd-mm-yy")</f>
        <v>PA7-24-10-25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13" t="s">
        <v>20</v>
      </c>
      <c r="J6" s="13" t="str">
        <f>"PA7-"&amp;text(TODAY(),"dd-mm-yy")</f>
        <v>PA7-24-10-25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 t="shared" ref="B6:B7" si="1">"PA7-"&amp;text(TODAY(),"dd-mm-yy")</f>
        <v>PA7-24-10-25</v>
      </c>
      <c r="C6" s="13" t="s">
        <v>37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tr">
        <f t="shared" si="1"/>
        <v>PA7-24-10-25</v>
      </c>
      <c r="C7" s="13" t="s">
        <v>30</v>
      </c>
      <c r="D7" s="13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13" t="s">
        <v>17</v>
      </c>
      <c r="J6" s="13" t="str">
        <f>"PA7-"&amp;text(TODAY(),"dd-mm-yy")</f>
        <v>PA7-24-10-25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 t="shared" ref="B6:B7" si="1">"PA7-"&amp;text(TODAY(),"dd-mm-yy")</f>
        <v>PA7-24-10-25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tr">
        <f t="shared" si="1"/>
        <v>PA7-24-10-25</v>
      </c>
      <c r="C7" s="13" t="s">
        <v>30</v>
      </c>
      <c r="D7" s="13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13" t="s">
        <v>22</v>
      </c>
      <c r="J6" s="13" t="str">
        <f>"PA7-"&amp;text(TODAY(),"dd-mm-yy")</f>
        <v>PA7-24-10-25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 t="shared" ref="B6:B7" si="1">"PA7-"&amp;text(TODAY(),"dd-mm-yy")</f>
        <v>PA7-24-10-25</v>
      </c>
      <c r="C6" s="13" t="s">
        <v>21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tr">
        <f t="shared" si="1"/>
        <v>PA7-24-10-25</v>
      </c>
      <c r="C7" s="13" t="s">
        <v>30</v>
      </c>
      <c r="D7" s="13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13" t="s">
        <v>24</v>
      </c>
      <c r="J6" s="13" t="str">
        <f>"PA7-"&amp;text(TODAY(),"dd-mm-yy")</f>
        <v>PA7-24-10-25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tr">
        <f t="shared" ref="B6:B7" si="1">"PA7-"&amp;text(TODAY(),"dd-mm-yy")</f>
        <v>PA7-24-10-25</v>
      </c>
      <c r="C6" s="13" t="s">
        <v>38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tr">
        <f t="shared" si="1"/>
        <v>PA7-24-10-25</v>
      </c>
      <c r="C7" s="13" t="s">
        <v>30</v>
      </c>
      <c r="D7" s="13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9" t="s">
        <v>24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tr">
        <f>"PA7-"&amp;text(TODAY(),"dd-mm-yy")</f>
        <v>PA7-24-10-25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8"/>
      <c r="D6" s="8"/>
      <c r="E6" s="32">
        <v>1500.0</v>
      </c>
      <c r="F6" s="33" t="str">
        <f t="shared" ref="F6:F7" si="1">"PA7-"&amp;text(TODAY(),"dd-mm-yy")</f>
        <v>PA7-24-10-25</v>
      </c>
      <c r="G6" s="13" t="s">
        <v>43</v>
      </c>
      <c r="H6" s="13">
        <v>4.0</v>
      </c>
      <c r="I6" s="13">
        <v>5.0</v>
      </c>
      <c r="J6" s="13">
        <v>1.0</v>
      </c>
      <c r="K6" s="13">
        <v>32.0</v>
      </c>
      <c r="L6" s="13">
        <v>32.0</v>
      </c>
      <c r="M6" s="13" t="s">
        <v>44</v>
      </c>
      <c r="N6" s="13" t="s">
        <v>45</v>
      </c>
      <c r="O6" s="13" t="s">
        <v>46</v>
      </c>
      <c r="Z6" s="9" t="s">
        <v>47</v>
      </c>
      <c r="AD6" s="9" t="s">
        <v>48</v>
      </c>
      <c r="AE6" s="34">
        <v>1500.0</v>
      </c>
      <c r="AH6" s="9" t="s">
        <v>49</v>
      </c>
      <c r="AI6" s="9">
        <v>1.0</v>
      </c>
      <c r="AR6" s="9" t="b">
        <v>0</v>
      </c>
      <c r="AT6" s="34">
        <v>48014.0269</v>
      </c>
      <c r="AU6" s="34">
        <v>48014.0269</v>
      </c>
      <c r="AY6" s="9" t="s">
        <v>50</v>
      </c>
      <c r="BE6" s="34">
        <v>48000.0</v>
      </c>
      <c r="BF6" s="34">
        <v>48000.0</v>
      </c>
      <c r="BJ6" s="34">
        <v>1500.0</v>
      </c>
      <c r="BM6" s="9" t="s">
        <v>47</v>
      </c>
      <c r="BO6" s="9" t="s">
        <v>24</v>
      </c>
      <c r="BS6" s="9" t="s">
        <v>51</v>
      </c>
      <c r="BT6" s="9" t="s">
        <v>16</v>
      </c>
      <c r="CH6" s="9" t="s">
        <v>12</v>
      </c>
      <c r="CK6" s="9" t="s">
        <v>52</v>
      </c>
      <c r="CN6" s="9" t="s">
        <v>53</v>
      </c>
      <c r="CO6" s="9" t="s">
        <v>48</v>
      </c>
      <c r="CX6" s="9" t="s">
        <v>54</v>
      </c>
    </row>
    <row r="7" ht="15.75" customHeight="1">
      <c r="A7" s="8"/>
      <c r="B7" s="13" t="s">
        <v>37</v>
      </c>
      <c r="C7" s="8"/>
      <c r="D7" s="8"/>
      <c r="E7" s="13">
        <v>980.0</v>
      </c>
      <c r="F7" s="33" t="str">
        <f t="shared" si="1"/>
        <v>PA7-24-10-25</v>
      </c>
      <c r="G7" s="13" t="s">
        <v>43</v>
      </c>
      <c r="H7" s="13">
        <v>53.0</v>
      </c>
      <c r="I7" s="13">
        <v>0.0</v>
      </c>
      <c r="J7" s="13">
        <v>15.0</v>
      </c>
      <c r="K7" s="13">
        <v>6.0</v>
      </c>
      <c r="L7" s="13">
        <v>6.0</v>
      </c>
      <c r="M7" s="13" t="s">
        <v>55</v>
      </c>
      <c r="N7" s="13" t="s">
        <v>45</v>
      </c>
      <c r="O7" s="13" t="s">
        <v>46</v>
      </c>
      <c r="Z7" s="9" t="s">
        <v>47</v>
      </c>
      <c r="AD7" s="9" t="s">
        <v>56</v>
      </c>
      <c r="AE7" s="9">
        <v>980.0</v>
      </c>
      <c r="AH7" s="9" t="s">
        <v>49</v>
      </c>
      <c r="AI7" s="9">
        <v>1.0</v>
      </c>
      <c r="AR7" s="9" t="b">
        <v>0</v>
      </c>
      <c r="AT7" s="34">
        <v>5823.971</v>
      </c>
      <c r="AU7" s="34">
        <v>5823.971</v>
      </c>
      <c r="AY7" s="9" t="s">
        <v>50</v>
      </c>
      <c r="BE7" s="34">
        <v>5880.0</v>
      </c>
      <c r="BF7" s="34">
        <v>5880.0</v>
      </c>
      <c r="BJ7" s="9">
        <v>980.0</v>
      </c>
      <c r="BM7" s="9" t="s">
        <v>47</v>
      </c>
      <c r="BO7" s="9" t="s">
        <v>20</v>
      </c>
      <c r="BS7" s="9" t="s">
        <v>51</v>
      </c>
      <c r="BT7" s="9" t="s">
        <v>26</v>
      </c>
      <c r="CH7" s="9" t="s">
        <v>12</v>
      </c>
      <c r="CK7" s="9" t="s">
        <v>52</v>
      </c>
      <c r="CN7" s="9" t="s">
        <v>53</v>
      </c>
      <c r="CO7" s="9" t="s">
        <v>48</v>
      </c>
      <c r="CX7" s="9" t="s">
        <v>57</v>
      </c>
    </row>
    <row r="8" ht="15.75" customHeight="1">
      <c r="A8" s="8"/>
      <c r="B8" s="13" t="s">
        <v>18</v>
      </c>
      <c r="C8" s="8"/>
      <c r="D8" s="8"/>
      <c r="E8" s="13">
        <v>10.0</v>
      </c>
      <c r="F8" s="13" t="s">
        <v>58</v>
      </c>
      <c r="G8" s="13" t="s">
        <v>43</v>
      </c>
      <c r="H8" s="13">
        <v>4.0</v>
      </c>
      <c r="I8" s="13">
        <v>5.0</v>
      </c>
      <c r="J8" s="13">
        <v>1.0</v>
      </c>
      <c r="K8" s="13">
        <v>5.0</v>
      </c>
      <c r="L8" s="13">
        <v>5.0</v>
      </c>
      <c r="M8" s="13" t="s">
        <v>44</v>
      </c>
      <c r="N8" s="13" t="s">
        <v>45</v>
      </c>
      <c r="O8" s="13" t="s">
        <v>46</v>
      </c>
      <c r="Z8" s="9" t="s">
        <v>47</v>
      </c>
      <c r="AD8" s="9" t="s">
        <v>48</v>
      </c>
      <c r="AE8" s="9">
        <v>10.0</v>
      </c>
      <c r="AH8" s="9" t="s">
        <v>49</v>
      </c>
      <c r="AI8" s="9">
        <v>1.0</v>
      </c>
      <c r="AR8" s="9" t="b">
        <v>1</v>
      </c>
      <c r="AT8" s="9">
        <v>36.0</v>
      </c>
      <c r="AU8" s="9">
        <v>36.0</v>
      </c>
      <c r="AY8" s="9" t="s">
        <v>50</v>
      </c>
      <c r="BE8" s="9">
        <v>50.0</v>
      </c>
      <c r="BF8" s="9">
        <v>50.0</v>
      </c>
      <c r="BJ8" s="9">
        <v>10.0</v>
      </c>
      <c r="BM8" s="9" t="s">
        <v>47</v>
      </c>
      <c r="BO8" s="9" t="s">
        <v>17</v>
      </c>
      <c r="BS8" s="9" t="s">
        <v>51</v>
      </c>
      <c r="BT8" s="9" t="s">
        <v>16</v>
      </c>
      <c r="CH8" s="9" t="s">
        <v>12</v>
      </c>
      <c r="CK8" s="9" t="s">
        <v>52</v>
      </c>
      <c r="CN8" s="9" t="s">
        <v>53</v>
      </c>
      <c r="CO8" s="9" t="s">
        <v>48</v>
      </c>
      <c r="CX8" s="9" t="s">
        <v>54</v>
      </c>
    </row>
    <row r="9" ht="15.75" customHeight="1">
      <c r="A9" s="8"/>
      <c r="B9" s="13" t="s">
        <v>21</v>
      </c>
      <c r="C9" s="8"/>
      <c r="D9" s="8"/>
      <c r="E9" s="13">
        <v>150.0</v>
      </c>
      <c r="F9" s="33" t="str">
        <f t="shared" ref="F9:F10" si="2">"PA7-"&amp;text(TODAY(),"dd-mm-yy")</f>
        <v>PA7-24-10-25</v>
      </c>
      <c r="G9" s="13" t="s">
        <v>43</v>
      </c>
      <c r="H9" s="13">
        <v>4.0</v>
      </c>
      <c r="I9" s="13">
        <v>5.0</v>
      </c>
      <c r="J9" s="13">
        <v>1.0</v>
      </c>
      <c r="K9" s="13">
        <v>5.0</v>
      </c>
      <c r="L9" s="13">
        <v>5.0</v>
      </c>
      <c r="M9" s="13" t="s">
        <v>59</v>
      </c>
      <c r="N9" s="13" t="s">
        <v>45</v>
      </c>
      <c r="O9" s="13" t="s">
        <v>46</v>
      </c>
      <c r="Z9" s="9" t="s">
        <v>47</v>
      </c>
      <c r="AD9" s="9" t="s">
        <v>48</v>
      </c>
      <c r="AE9" s="9">
        <v>150.0</v>
      </c>
      <c r="AH9" s="9" t="s">
        <v>49</v>
      </c>
      <c r="AI9" s="9">
        <v>1.0</v>
      </c>
      <c r="AR9" s="9" t="b">
        <v>0</v>
      </c>
      <c r="AT9" s="9">
        <v>764.0004</v>
      </c>
      <c r="AU9" s="9">
        <v>764.0004</v>
      </c>
      <c r="AY9" s="9" t="s">
        <v>50</v>
      </c>
      <c r="BE9" s="9">
        <v>750.0</v>
      </c>
      <c r="BF9" s="9">
        <v>750.0</v>
      </c>
      <c r="BJ9" s="9">
        <v>150.0</v>
      </c>
      <c r="BM9" s="9" t="s">
        <v>47</v>
      </c>
      <c r="BO9" s="9" t="s">
        <v>22</v>
      </c>
      <c r="BS9" s="9" t="s">
        <v>51</v>
      </c>
      <c r="BT9" s="9" t="s">
        <v>19</v>
      </c>
      <c r="CH9" s="9" t="s">
        <v>12</v>
      </c>
      <c r="CK9" s="9" t="s">
        <v>52</v>
      </c>
      <c r="CN9" s="9" t="s">
        <v>53</v>
      </c>
      <c r="CO9" s="9" t="s">
        <v>48</v>
      </c>
      <c r="CX9" s="9" t="s">
        <v>57</v>
      </c>
    </row>
    <row r="10" ht="15.75" customHeight="1">
      <c r="A10" s="8"/>
      <c r="B10" s="13" t="s">
        <v>38</v>
      </c>
      <c r="C10" s="8"/>
      <c r="D10" s="8"/>
      <c r="E10" s="13">
        <v>750.0</v>
      </c>
      <c r="F10" s="33" t="str">
        <f t="shared" si="2"/>
        <v>PA7-24-10-25</v>
      </c>
      <c r="G10" s="13" t="s">
        <v>43</v>
      </c>
      <c r="H10" s="13">
        <v>4.0</v>
      </c>
      <c r="I10" s="13">
        <v>5.0</v>
      </c>
      <c r="J10" s="13">
        <v>1.0</v>
      </c>
      <c r="K10" s="13">
        <v>65.0</v>
      </c>
      <c r="L10" s="13">
        <v>65.0</v>
      </c>
      <c r="M10" s="13" t="s">
        <v>60</v>
      </c>
      <c r="N10" s="13" t="s">
        <v>45</v>
      </c>
      <c r="O10" s="13" t="s">
        <v>46</v>
      </c>
      <c r="Z10" s="9" t="s">
        <v>47</v>
      </c>
      <c r="AD10" s="9" t="s">
        <v>48</v>
      </c>
      <c r="AE10" s="9">
        <v>750.0</v>
      </c>
      <c r="AH10" s="9" t="s">
        <v>49</v>
      </c>
      <c r="AI10" s="9">
        <v>1.0</v>
      </c>
      <c r="AR10" s="9" t="b">
        <v>0</v>
      </c>
      <c r="AT10" s="34">
        <v>48764.0273</v>
      </c>
      <c r="AU10" s="34">
        <v>48764.0273</v>
      </c>
      <c r="AY10" s="9" t="s">
        <v>50</v>
      </c>
      <c r="BE10" s="34">
        <v>48750.0</v>
      </c>
      <c r="BF10" s="34">
        <v>48750.0</v>
      </c>
      <c r="BJ10" s="9">
        <v>750.0</v>
      </c>
      <c r="BM10" s="9" t="s">
        <v>47</v>
      </c>
      <c r="BO10" s="9" t="s">
        <v>24</v>
      </c>
      <c r="BS10" s="9" t="s">
        <v>51</v>
      </c>
      <c r="BT10" s="9" t="s">
        <v>25</v>
      </c>
      <c r="CH10" s="9" t="s">
        <v>12</v>
      </c>
      <c r="CK10" s="9" t="s">
        <v>52</v>
      </c>
      <c r="CN10" s="9" t="s">
        <v>53</v>
      </c>
      <c r="CO10" s="9" t="s">
        <v>48</v>
      </c>
      <c r="CX10" s="9" t="s">
        <v>54</v>
      </c>
    </row>
    <row r="11" ht="15.75" customHeight="1">
      <c r="A11" s="8"/>
      <c r="B11" s="13" t="s">
        <v>21</v>
      </c>
      <c r="C11" s="8"/>
      <c r="D11" s="8"/>
      <c r="E11" s="13">
        <v>50.0</v>
      </c>
      <c r="F11" s="13" t="s">
        <v>58</v>
      </c>
      <c r="G11" s="13" t="s">
        <v>43</v>
      </c>
      <c r="H11" s="13">
        <v>4.0</v>
      </c>
      <c r="I11" s="13">
        <v>5.0</v>
      </c>
      <c r="J11" s="13">
        <v>1.0</v>
      </c>
      <c r="K11" s="13">
        <v>10.0</v>
      </c>
      <c r="L11" s="13">
        <v>10.0</v>
      </c>
      <c r="M11" s="13" t="s">
        <v>59</v>
      </c>
      <c r="N11" s="13" t="s">
        <v>45</v>
      </c>
      <c r="O11" s="13" t="s">
        <v>46</v>
      </c>
      <c r="Z11" s="9" t="s">
        <v>47</v>
      </c>
      <c r="AD11" s="9" t="s">
        <v>48</v>
      </c>
      <c r="AE11" s="9">
        <v>50.0</v>
      </c>
      <c r="AH11" s="9" t="s">
        <v>49</v>
      </c>
      <c r="AI11" s="9">
        <v>1.0</v>
      </c>
      <c r="AR11" s="9" t="b">
        <v>1</v>
      </c>
      <c r="AT11" s="9">
        <v>485.9997</v>
      </c>
      <c r="AU11" s="9">
        <v>485.9997</v>
      </c>
      <c r="AY11" s="9" t="s">
        <v>50</v>
      </c>
      <c r="BE11" s="9">
        <v>500.0</v>
      </c>
      <c r="BF11" s="9">
        <v>500.0</v>
      </c>
      <c r="BJ11" s="9">
        <v>50.0</v>
      </c>
      <c r="BM11" s="9" t="s">
        <v>47</v>
      </c>
      <c r="BO11" s="9" t="s">
        <v>20</v>
      </c>
      <c r="BS11" s="9" t="s">
        <v>51</v>
      </c>
      <c r="BT11" s="9" t="s">
        <v>19</v>
      </c>
      <c r="CH11" s="9" t="s">
        <v>12</v>
      </c>
      <c r="CK11" s="9" t="s">
        <v>52</v>
      </c>
      <c r="CN11" s="9" t="s">
        <v>53</v>
      </c>
      <c r="CO11" s="9" t="s">
        <v>48</v>
      </c>
      <c r="CX11" s="9" t="s">
        <v>57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