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SetUIPreferencesTT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TradePTT" sheetId="10" r:id="rId12"/>
    <sheet state="visible" name="TradePTT1" sheetId="11" r:id="rId13"/>
    <sheet state="visible" name="BulkUpdateUsingMTT" sheetId="12" r:id="rId14"/>
    <sheet state="visible" name="VerifyMTT" sheetId="13" r:id="rId15"/>
    <sheet state="visible" name="SelectTradeUsingMTT" sheetId="14" r:id="rId16"/>
    <sheet state="visible" name="EditTradeUsingMTT" sheetId="15" r:id="rId17"/>
    <sheet state="visible" name="VerifyMTT1" sheetId="16" r:id="rId18"/>
    <sheet state="visible" name="BulkEditUpdateFromMTT" sheetId="17" r:id="rId19"/>
    <sheet state="visible" name="VerifyMTT2" sheetId="18" r:id="rId20"/>
  </sheets>
  <definedNames/>
  <calcPr/>
</workbook>
</file>

<file path=xl/sharedStrings.xml><?xml version="1.0" encoding="utf-8"?>
<sst xmlns="http://schemas.openxmlformats.org/spreadsheetml/2006/main" count="190" uniqueCount="52">
  <si>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</si>
  <si>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</si>
  <si>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</si>
  <si>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</si>
  <si>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</si>
  <si>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</si>
  <si>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</si>
  <si>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</si>
  <si>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</si>
  <si>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</si>
  <si>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</si>
  <si>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</si>
  <si>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</si>
  <si>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</si>
  <si>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</si>
  <si>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</si>
  <si>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</si>
  <si>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SetUIPreferencesTT</t>
  </si>
  <si>
    <t>Stop</t>
  </si>
  <si>
    <t>Day</t>
  </si>
  <si>
    <t>Quantity</t>
  </si>
  <si>
    <t>CreateDoneAwayOrder</t>
  </si>
  <si>
    <t>AAPL</t>
  </si>
  <si>
    <t>Buy</t>
  </si>
  <si>
    <t>Allocation1</t>
  </si>
  <si>
    <t>MS</t>
  </si>
  <si>
    <t>Allocation3</t>
  </si>
  <si>
    <t>PricingInput</t>
  </si>
  <si>
    <t>DailyValuation</t>
  </si>
  <si>
    <t>GetDailyCash</t>
  </si>
  <si>
    <t>UpdateMultipleDailyCash</t>
  </si>
  <si>
    <t>USD</t>
  </si>
  <si>
    <t>PTT</t>
  </si>
  <si>
    <t>TradePTT</t>
  </si>
  <si>
    <t>Set</t>
  </si>
  <si>
    <t>Percentage</t>
  </si>
  <si>
    <t>No</t>
  </si>
  <si>
    <t>Account</t>
  </si>
  <si>
    <t>Allocation1,Allocation3</t>
  </si>
  <si>
    <t>Yes</t>
  </si>
  <si>
    <t>MultiTradingTicket</t>
  </si>
  <si>
    <t>BulkUpdateUsingMTT</t>
  </si>
  <si>
    <t>GTC</t>
  </si>
  <si>
    <t>VerifyMTT</t>
  </si>
  <si>
    <t>Limit</t>
  </si>
  <si>
    <t>Sell</t>
  </si>
  <si>
    <t>SelectTradeUsingMTT</t>
  </si>
  <si>
    <t>EditTradeUsingMTT</t>
  </si>
  <si>
    <t>BulkEditUpdateFromMTT</t>
  </si>
  <si>
    <t>SELECTROW</t>
  </si>
  <si>
    <t>Good Till Date</t>
  </si>
  <si>
    <t>EDITTRADE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</si>
</sst>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 t="str">
        <f>IFERROR(__xludf.DUMMYFUNCTION("""COMPUTED_VALUE"""),"DefaultOrderType")</f>
        <v>DefaultOrderType</v>
      </c>
      <c r="H5" s="27" t="str">
        <f>IFERROR(__xludf.DUMMYFUNCTION("""COMPUTED_VALUE"""),"AllowAllUserToGenerateSubs")</f>
        <v>AllowAllUserToGenerateSubs</v>
      </c>
      <c r="I5" s="27" t="str">
        <f>IFERROR(__xludf.DUMMYFUNCTION("""COMPUTED_VALUE"""),"LimitPriceRulesForStageOrdersOnly")</f>
        <v>LimitPriceRulesForStageOrdersOnly</v>
      </c>
      <c r="J5" s="27" t="str">
        <f>IFERROR(__xludf.DUMMYFUNCTION("""COMPUTED_VALUE"""),"LimitRulesForSubOrders")</f>
        <v>LimitRulesForSubOrders</v>
      </c>
      <c r="K5" s="27" t="str">
        <f>IFERROR(__xludf.DUMMYFUNCTION("""COMPUTED_VALUE"""),"LimitRulesForOrdersExceptStagedAndSubOrders")</f>
        <v>LimitRulesForOrdersExceptStagedAndSubOrders</v>
      </c>
      <c r="L5" s="27" t="str">
        <f>IFERROR(__xludf.DUMMYFUNCTION("""COMPUTED_VALUE"""),"LimitPriceRules")</f>
        <v>LimitPriceRules</v>
      </c>
      <c r="M5" s="27" t="str">
        <f>IFERROR(__xludf.DUMMYFUNCTION("""COMPUTED_VALUE"""),"CancelReplaceRemoveRules")</f>
        <v>CancelReplaceRemoveRules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12" t="s">
        <v>19</v>
      </c>
      <c r="F6" s="8"/>
      <c r="G6" s="8"/>
      <c r="H6" s="8"/>
      <c r="I6" s="8"/>
      <c r="J6" s="8"/>
      <c r="K6" s="8"/>
      <c r="L6" s="12" t="s">
        <v>20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23</v>
      </c>
      <c r="D6" s="12">
        <v>100.0</v>
      </c>
      <c r="E6" s="12">
        <v>100.0</v>
      </c>
      <c r="F6" s="12" t="s">
        <v>24</v>
      </c>
      <c r="G6" s="12" t="s">
        <v>25</v>
      </c>
      <c r="H6" s="12"/>
      <c r="I6" s="8"/>
      <c r="J6" s="12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23</v>
      </c>
      <c r="D7" s="12">
        <v>1000.0</v>
      </c>
      <c r="E7" s="12">
        <v>1000.0</v>
      </c>
      <c r="F7" s="12" t="s">
        <v>26</v>
      </c>
      <c r="G7" s="12" t="s">
        <v>25</v>
      </c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today()-1</f>
        <v>45934</v>
      </c>
      <c r="C6" s="32">
        <f>today()</f>
        <v>45935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31</v>
      </c>
      <c r="D6" s="12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26</v>
      </c>
      <c r="C7" s="12" t="s">
        <v>31</v>
      </c>
      <c r="D7" s="12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34</v>
      </c>
      <c r="D6" s="12" t="s">
        <v>35</v>
      </c>
      <c r="E6" s="12">
        <v>30.0</v>
      </c>
      <c r="F6" s="8"/>
      <c r="G6" s="12" t="s">
        <v>36</v>
      </c>
      <c r="H6" s="12" t="s">
        <v>37</v>
      </c>
      <c r="I6" s="12" t="s">
        <v>38</v>
      </c>
      <c r="J6" s="12" t="s">
        <v>39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34</v>
      </c>
      <c r="D6" s="12" t="s">
        <v>35</v>
      </c>
      <c r="E6" s="12">
        <v>30.0</v>
      </c>
      <c r="F6" s="8"/>
      <c r="G6" s="12" t="s">
        <v>36</v>
      </c>
      <c r="H6" s="12" t="s">
        <v>37</v>
      </c>
      <c r="I6" s="12" t="s">
        <v>38</v>
      </c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IFERROR(__xludf.DUMMYFUNCTION("""COMPUTED_VALUE"""),"Account")</f>
        <v>Account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IFERROR(__xludf.DUMMYFUNCTION("""COMPUTED_VALUE"""),"ClearOldCA")</f>
        <v>ClearOldCA</v>
      </c>
      <c r="AL5" s="29" t="str">
        <f>IFERROR(__xludf.DUMMYFUNCTION("""COMPUTED_VALUE"""),"Custom Account")</f>
        <v>Custom Account</v>
      </c>
      <c r="AM5" s="29" t="str">
        <f>IFERROR(__xludf.DUMMYFUNCTION("""COMPUTED_VALUE"""),"Custom Account %")</f>
        <v>Custom Account %</v>
      </c>
      <c r="AN5" s="29" t="str">
        <f>IFERROR(__xludf.DUMMYFUNCTION("""COMPUTED_VALUE"""),"ClickOnCommit")</f>
        <v>ClickOnCommit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s">
        <v>42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BulkUpdateUsingMTT!$4:$4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IFERROR(__xludf.DUMMYFUNCTION("""COMPUTED_VALUE"""),"ImportFileName")</f>
        <v>ImportFileName</v>
      </c>
      <c r="AH5" s="29" t="str">
        <f>IFERROR(__xludf.DUMMYFUNCTION("""COMPUTED_VALUE"""),"FX Operator")</f>
        <v>FX Operator</v>
      </c>
      <c r="AI5" s="29" t="str">
        <f>IFERROR(__xludf.DUMMYFUNCTION("""COMPUTED_VALUE"""),"Algo Type")</f>
        <v>Algo Type</v>
      </c>
      <c r="AJ5" s="29" t="str">
        <f>IFERROR(__xludf.DUMMYFUNCTION("""COMPUTED_VALUE"""),"Borrow Rate(BPS)")</f>
        <v>Borrow Rate(BPS)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6.5" customHeight="1">
      <c r="A6" s="12"/>
      <c r="B6" s="12" t="s">
        <v>22</v>
      </c>
      <c r="C6" s="12" t="s">
        <v>23</v>
      </c>
      <c r="D6" s="12">
        <v>230.0</v>
      </c>
      <c r="E6" s="12">
        <v>230.0</v>
      </c>
      <c r="F6" s="12" t="s">
        <v>24</v>
      </c>
      <c r="G6" s="12" t="s">
        <v>25</v>
      </c>
      <c r="H6" s="12" t="s">
        <v>42</v>
      </c>
      <c r="I6" s="12" t="s">
        <v>44</v>
      </c>
      <c r="J6" s="12">
        <v>10.0</v>
      </c>
      <c r="K6" s="8"/>
      <c r="L6" s="12">
        <v>10.0</v>
      </c>
      <c r="M6" s="8"/>
      <c r="N6" s="8"/>
      <c r="O6" s="8"/>
    </row>
    <row r="7" ht="16.5" customHeight="1">
      <c r="A7" s="12"/>
      <c r="B7" s="12" t="s">
        <v>22</v>
      </c>
      <c r="C7" s="12" t="s">
        <v>45</v>
      </c>
      <c r="D7" s="12">
        <v>400.0</v>
      </c>
      <c r="E7" s="12">
        <v>400.0</v>
      </c>
      <c r="F7" s="12" t="s">
        <v>26</v>
      </c>
      <c r="G7" s="12" t="s">
        <v>25</v>
      </c>
      <c r="H7" s="12" t="s">
        <v>42</v>
      </c>
      <c r="I7" s="12" t="s">
        <v>44</v>
      </c>
      <c r="J7" s="12">
        <v>10.0</v>
      </c>
      <c r="K7" s="8"/>
      <c r="L7" s="12">
        <v>10.0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23</v>
      </c>
      <c r="D6" s="12">
        <v>230.0</v>
      </c>
      <c r="E6" s="12">
        <v>230.0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s">
        <v>42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IFERROR(__xludf.DUMMYFUNCTION("""COMPUTED_VALUE"""),"ImportFileName")</f>
        <v>ImportFileName</v>
      </c>
      <c r="AH5" s="29" t="str">
        <f>IFERROR(__xludf.DUMMYFUNCTION("""COMPUTED_VALUE"""),"FX Operator")</f>
        <v>FX Operator</v>
      </c>
      <c r="AI5" s="29" t="str">
        <f>IFERROR(__xludf.DUMMYFUNCTION("""COMPUTED_VALUE"""),"Algo Type")</f>
        <v>Algo Type</v>
      </c>
      <c r="AJ5" s="29" t="str">
        <f>IFERROR(__xludf.DUMMYFUNCTION("""COMPUTED_VALUE"""),"Borrow Rate(BPS)")</f>
        <v>Borrow Rate(BPS)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6.5" customHeight="1">
      <c r="A6" s="12"/>
      <c r="B6" s="12" t="s">
        <v>22</v>
      </c>
      <c r="C6" s="12" t="s">
        <v>23</v>
      </c>
      <c r="D6" s="12">
        <v>230.0</v>
      </c>
      <c r="E6" s="12">
        <v>230.0</v>
      </c>
      <c r="F6" s="12" t="s">
        <v>24</v>
      </c>
      <c r="G6" s="12" t="s">
        <v>25</v>
      </c>
      <c r="H6" s="12" t="s">
        <v>42</v>
      </c>
      <c r="I6" s="12" t="s">
        <v>44</v>
      </c>
      <c r="J6" s="12">
        <v>10.0</v>
      </c>
      <c r="K6" s="8"/>
      <c r="L6" s="12">
        <v>10.0</v>
      </c>
      <c r="M6" s="8"/>
      <c r="N6" s="8"/>
      <c r="O6" s="8"/>
    </row>
    <row r="7" ht="16.5" customHeight="1">
      <c r="A7" s="12"/>
      <c r="B7" s="12" t="s">
        <v>22</v>
      </c>
      <c r="C7" s="12" t="s">
        <v>45</v>
      </c>
      <c r="D7" s="12">
        <v>400.0</v>
      </c>
      <c r="E7" s="12">
        <v>400.0</v>
      </c>
      <c r="F7" s="12" t="s">
        <v>26</v>
      </c>
      <c r="G7" s="12" t="s">
        <v>25</v>
      </c>
      <c r="H7" s="12" t="s">
        <v>19</v>
      </c>
      <c r="I7" s="12" t="s">
        <v>18</v>
      </c>
      <c r="J7" s="12">
        <v>10.0</v>
      </c>
      <c r="K7" s="8"/>
      <c r="L7" s="12">
        <v>10.0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IFERROR(__xludf.DUMMYFUNCTION("""COMPUTED_VALUE"""),"Button")</f>
        <v>Button</v>
      </c>
      <c r="AL5" s="29" t="str">
        <f>IFERROR(__xludf.DUMMYFUNCTION("""COMPUTED_VALUE"""),"Bulk Update Alert")</f>
        <v>Bulk Update Alert</v>
      </c>
      <c r="AM5" s="29" t="str">
        <f>IFERROR(__xludf.DUMMYFUNCTION("""COMPUTED_VALUE"""),"CancelWithoutReplace")</f>
        <v>CancelWithoutReplace</v>
      </c>
      <c r="AN5" s="29" t="str">
        <f>IFERROR(__xludf.DUMMYFUNCTION("""COMPUTED_VALUE"""),"BULK_OR_EDITTRADE")</f>
        <v>BULK_OR_EDITTRADE</v>
      </c>
      <c r="AO5" s="29" t="str">
        <f>IFERROR(__xludf.DUMMYFUNCTION("""COMPUTED_VALUE"""),"Click on Clear")</f>
        <v>Click on Clear</v>
      </c>
      <c r="AP5" s="29" t="str">
        <f>IFERROR(__xludf.DUMMYFUNCTION("""COMPUTED_VALUE"""),"Account")</f>
        <v>Account</v>
      </c>
      <c r="AQ5" s="29" t="str">
        <f>IFERROR(__xludf.DUMMYFUNCTION("""COMPUTED_VALUE"""),"Account %")</f>
        <v>Account %</v>
      </c>
      <c r="AR5" s="29" t="str">
        <f>IFERROR(__xludf.DUMMYFUNCTION("""COMPUTED_VALUE"""),"ClearOldCA")</f>
        <v>ClearOldCA</v>
      </c>
      <c r="AS5" s="29" t="str">
        <f>IFERROR(__xludf.DUMMYFUNCTION("""COMPUTED_VALUE"""),"ClickClearNotUpdate")</f>
        <v>ClickClearNotUpdate</v>
      </c>
      <c r="AT5" s="29" t="str">
        <f>IFERROR(__xludf.DUMMYFUNCTION("""COMPUTED_VALUE"""),"Expiration Date")</f>
        <v>Expiration Date</v>
      </c>
      <c r="AU5" s="29" t="str">
        <f>IFERROR(__xludf.DUMMYFUNCTION("""COMPUTED_VALUE"""),"VerifySuggestions")</f>
        <v>VerifySuggestions</v>
      </c>
      <c r="AV5" s="29" t="str">
        <f>IFERROR(__xludf.DUMMYFUNCTION("""COMPUTED_VALUE"""),"PriceButtonPressCount")</f>
        <v>PriceButtonPressCount</v>
      </c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23</v>
      </c>
      <c r="D6" s="12">
        <v>230.0</v>
      </c>
      <c r="E6" s="12">
        <v>230.0</v>
      </c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49</v>
      </c>
    </row>
    <row r="7" ht="15.75" customHeight="1">
      <c r="A7" s="8"/>
      <c r="B7" s="8"/>
      <c r="C7" s="8"/>
      <c r="D7" s="8"/>
      <c r="E7" s="8"/>
      <c r="F7" s="8"/>
      <c r="G7" s="8"/>
      <c r="H7" s="33" t="s">
        <v>50</v>
      </c>
      <c r="I7" s="8"/>
      <c r="J7" s="8"/>
      <c r="K7" s="8"/>
      <c r="L7" s="8"/>
      <c r="M7" s="8"/>
      <c r="N7" s="8"/>
      <c r="O7" s="8"/>
      <c r="AN7" s="9" t="s">
        <v>51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BulkEditUpdateFromMTT!$4:$4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IFERROR(__xludf.DUMMYFUNCTION("""COMPUTED_VALUE"""),"ImportFileName")</f>
        <v>ImportFileName</v>
      </c>
      <c r="AH5" s="29" t="str">
        <f>IFERROR(__xludf.DUMMYFUNCTION("""COMPUTED_VALUE"""),"FX Operator")</f>
        <v>FX Operator</v>
      </c>
      <c r="AI5" s="29" t="str">
        <f>IFERROR(__xludf.DUMMYFUNCTION("""COMPUTED_VALUE"""),"Algo Type")</f>
        <v>Algo Type</v>
      </c>
      <c r="AJ5" s="29" t="str">
        <f>IFERROR(__xludf.DUMMYFUNCTION("""COMPUTED_VALUE"""),"Borrow Rate(BPS)")</f>
        <v>Borrow Rate(BPS)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6.5" customHeight="1">
      <c r="A6" s="12"/>
      <c r="B6" s="12" t="s">
        <v>22</v>
      </c>
      <c r="C6" s="12" t="s">
        <v>23</v>
      </c>
      <c r="D6" s="12">
        <v>230.0</v>
      </c>
      <c r="E6" s="12">
        <v>230.0</v>
      </c>
      <c r="F6" s="12" t="s">
        <v>24</v>
      </c>
      <c r="G6" s="12" t="s">
        <v>25</v>
      </c>
      <c r="H6" s="33" t="s">
        <v>50</v>
      </c>
      <c r="I6" s="12" t="s">
        <v>44</v>
      </c>
      <c r="J6" s="12">
        <v>10.0</v>
      </c>
      <c r="K6" s="8"/>
      <c r="L6" s="12">
        <v>10.0</v>
      </c>
      <c r="M6" s="8"/>
      <c r="N6" s="8"/>
      <c r="O6" s="8"/>
    </row>
    <row r="7" ht="16.5" customHeight="1">
      <c r="A7" s="12"/>
      <c r="B7" s="12" t="s">
        <v>22</v>
      </c>
      <c r="C7" s="12" t="s">
        <v>45</v>
      </c>
      <c r="D7" s="12">
        <v>400.0</v>
      </c>
      <c r="E7" s="12">
        <v>400.0</v>
      </c>
      <c r="F7" s="12" t="s">
        <v>26</v>
      </c>
      <c r="G7" s="12" t="s">
        <v>25</v>
      </c>
      <c r="H7" s="12" t="s">
        <v>19</v>
      </c>
      <c r="I7" s="12" t="s">
        <v>18</v>
      </c>
      <c r="J7" s="12">
        <v>10.0</v>
      </c>
      <c r="K7" s="8"/>
      <c r="L7" s="12">
        <v>10.0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VerifyMTT2!$4:$4</formula1>
    </dataValidation>
  </dataValidations>
  <drawing r:id="rId1"/>
</worksheet>
</file>