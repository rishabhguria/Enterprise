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ExecuteTrad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<sst xmlns="http://schemas.openxmlformats.org/spreadsheetml/2006/main" count="127" uniqueCount="54">
  <si>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</si>
  <si>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</si>
  <si>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</si>
  <si>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</si>
  <si>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</si>
  <si>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</si>
  <si>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</si>
  <si>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</si>
  <si>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</si>
  <si>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</si>
  <si>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</si>
  <si>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</si>
  <si>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</si>
  <si>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</si>
  <si>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</si>
  <si>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</si>
  <si>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</si>
  <si>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CreateLiveOrder</t>
  </si>
  <si>
    <t>AAPL</t>
  </si>
  <si>
    <t>Buy</t>
  </si>
  <si>
    <t>Market</t>
  </si>
  <si>
    <t>Simulator</t>
  </si>
  <si>
    <t>SelectTrade</t>
  </si>
  <si>
    <t>AcknowledgeTrade</t>
  </si>
  <si>
    <t>ExecuteTrade</t>
  </si>
  <si>
    <t>PortfolioManagement</t>
  </si>
  <si>
    <t>CheckPortfolioManagement</t>
  </si>
  <si>
    <t/>
  </si>
  <si>
    <t>Allocation1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</si>
  <si>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</si>
  <si>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</si>
  <si>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</si>
  <si>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</si>
  <si>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</si>
  <si>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</si>
  <si>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</si>
  <si>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</si>
  <si>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</si>
  <si>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</si>
  <si>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-2,35,827</t>
  </si>
  <si>
    <t>DefaultNotes</t>
  </si>
  <si>
    <t>New Hedge</t>
  </si>
  <si>
    <t>Small Cap</t>
  </si>
  <si>
    <t>jpearce</t>
  </si>
  <si>
    <t>MS</t>
  </si>
  <si>
    <t>-</t>
  </si>
  <si>
    <t>AAPL US EQUITY</t>
  </si>
  <si>
    <t>None</t>
  </si>
  <si>
    <t>Default</t>
  </si>
  <si>
    <t>test1</t>
  </si>
  <si>
    <t>india</t>
  </si>
  <si>
    <t>test 1</t>
  </si>
  <si>
    <t>Yes</t>
  </si>
  <si>
    <t>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</si>
</sst>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 rgb="FF202124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13" t="b">
        <v>0</v>
      </c>
      <c r="N6" s="13" t="b">
        <v>1</v>
      </c>
      <c r="O6" s="13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 t="s">
        <v>19</v>
      </c>
      <c r="D6" s="13">
        <v>10000.0</v>
      </c>
      <c r="E6" s="13">
        <v>10000.0</v>
      </c>
      <c r="F6" s="8"/>
      <c r="G6" s="8"/>
      <c r="H6" s="8"/>
      <c r="I6" s="13" t="s">
        <v>20</v>
      </c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 t="s">
        <v>20</v>
      </c>
      <c r="E6" s="13">
        <v>1.0</v>
      </c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18</v>
      </c>
      <c r="D6" s="13" t="s">
        <v>20</v>
      </c>
      <c r="E6" s="13">
        <v>1.0</v>
      </c>
      <c r="F6" s="8"/>
      <c r="G6" s="13">
        <v>10000.0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IFERROR(__xludf.DUMMYFUNCTION("IF(C3="""","""",Transpose(IMPORTRANGE('_Settings'!$B$3,C3&amp;""!A4:A1000"")))"),"VerifyTrades")</f>
        <v>VerifyTrades</v>
      </c>
      <c r="C4" s="25" t="str">
        <f>IFERROR(__xludf.DUMMYFUNCTION("""COMPUTED_VALUE"""),"ClearUI")</f>
        <v>ClearUI</v>
      </c>
      <c r="D4" s="25" t="str">
        <f>IFERROR(__xludf.DUMMYFUNCTION("""COMPUTED_VALUE"""),"SetManualResponse")</f>
        <v>SetManualResponse</v>
      </c>
      <c r="E4" s="25" t="str">
        <f>IFERROR(__xludf.DUMMYFUNCTION("""COMPUTED_VALUE"""),"OpenLiveTT")</f>
        <v>OpenLiveTT</v>
      </c>
      <c r="F4" s="25" t="str">
        <f>IFERROR(__xludf.DUMMYFUNCTION("""COMPUTED_VALUE"""),"CancelTrade")</f>
        <v>CancelTrade</v>
      </c>
      <c r="G4" s="25" t="str">
        <f>IFERROR(__xludf.DUMMYFUNCTION("""COMPUTED_VALUE"""),"ExecuteTrade")</f>
        <v>ExecuteTrade</v>
      </c>
      <c r="H4" s="25" t="str">
        <f>IFERROR(__xludf.DUMMYFUNCTION("""COMPUTED_VALUE"""),"RejectTrade")</f>
        <v>RejectTrade</v>
      </c>
      <c r="I4" s="25" t="str">
        <f>IFERROR(__xludf.DUMMYFUNCTION("""COMPUTED_VALUE"""),"SelectTrade")</f>
        <v>SelectTrade</v>
      </c>
      <c r="J4" s="25" t="str">
        <f>IFERROR(__xludf.DUMMYFUNCTION("""COMPUTED_VALUE"""),"AcknowledgeTrade")</f>
        <v>AcknowledgeTrade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13">
        <v>10000.0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2" t="s">
        <v>27</v>
      </c>
      <c r="B6" s="32"/>
      <c r="C6" s="8" t="s">
        <v>18</v>
      </c>
      <c r="D6" s="32">
        <v>10000.0</v>
      </c>
      <c r="E6" s="8" t="s">
        <v>28</v>
      </c>
      <c r="F6" s="8" t="s">
        <v>29</v>
      </c>
      <c r="G6" s="8">
        <v>24.0</v>
      </c>
      <c r="H6" s="8" t="s">
        <v>30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/>
      <c r="O6" s="8" t="s">
        <v>31</v>
      </c>
      <c r="P6" t="s">
        <v>32</v>
      </c>
      <c r="R6" t="s">
        <v>33</v>
      </c>
      <c r="S6" t="s">
        <v>34</v>
      </c>
      <c r="T6" t="s">
        <v>35</v>
      </c>
      <c r="U6" t="s">
        <v>36</v>
      </c>
      <c r="V6" t="s">
        <v>37</v>
      </c>
      <c r="W6" t="s">
        <v>38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10000.0</v>
      </c>
      <c r="AG6">
        <v>0.0</v>
      </c>
      <c r="AH6">
        <v>0.0</v>
      </c>
      <c r="AI6">
        <v>0.0</v>
      </c>
      <c r="AJ6">
        <v>0.0</v>
      </c>
      <c r="AK6" t="s">
        <v>39</v>
      </c>
      <c r="AL6">
        <v>1.0</v>
      </c>
      <c r="AM6">
        <v>1.0</v>
      </c>
      <c r="AN6" t="s">
        <v>19</v>
      </c>
      <c r="AP6" t="s">
        <v>30</v>
      </c>
      <c r="AQ6" t="s">
        <v>18</v>
      </c>
      <c r="AR6">
        <v>0.0</v>
      </c>
      <c r="AS6">
        <v>1.0</v>
      </c>
      <c r="AU6" t="s">
        <v>40</v>
      </c>
      <c r="AV6">
        <v>1.0</v>
      </c>
      <c r="AW6" t="s">
        <v>39</v>
      </c>
      <c r="AX6">
        <v>0.0</v>
      </c>
      <c r="AY6">
        <v>0.0</v>
      </c>
      <c r="AZ6">
        <v>0.0</v>
      </c>
      <c r="BA6">
        <v>-100.0</v>
      </c>
      <c r="BC6">
        <v>1.0</v>
      </c>
      <c r="BE6" t="s">
        <v>35</v>
      </c>
      <c r="BF6" t="s">
        <v>41</v>
      </c>
      <c r="BG6" t="s">
        <v>42</v>
      </c>
      <c r="BH6" t="s">
        <v>32</v>
      </c>
      <c r="BI6">
        <v>5.0</v>
      </c>
      <c r="BJ6">
        <v>0.0</v>
      </c>
      <c r="BK6">
        <v>0.0</v>
      </c>
      <c r="BL6">
        <v>0.0</v>
      </c>
      <c r="BM6">
        <v>0.0</v>
      </c>
      <c r="BP6">
        <v>0.0</v>
      </c>
      <c r="BQ6" t="s">
        <v>43</v>
      </c>
      <c r="BR6" t="s">
        <v>44</v>
      </c>
      <c r="BS6">
        <v>0.0</v>
      </c>
      <c r="BT6">
        <v>0.0</v>
      </c>
      <c r="BU6" t="s">
        <v>35</v>
      </c>
      <c r="BV6" t="s">
        <v>45</v>
      </c>
      <c r="BW6">
        <v>0.0</v>
      </c>
      <c r="BX6">
        <v>0.0</v>
      </c>
      <c r="BY6">
        <v>0.0</v>
      </c>
      <c r="BZ6">
        <v>0.0</v>
      </c>
      <c r="CA6">
        <v>0.0</v>
      </c>
      <c r="CC6">
        <v>0.0</v>
      </c>
      <c r="CE6">
        <v>0.0</v>
      </c>
      <c r="CF6">
        <v>0.0</v>
      </c>
      <c r="CH6">
        <v>-100.0</v>
      </c>
      <c r="CI6">
        <v>0.0</v>
      </c>
      <c r="CJ6">
        <v>0.0</v>
      </c>
      <c r="CK6" t="b">
        <v>0</v>
      </c>
      <c r="CN6" t="s">
        <v>18</v>
      </c>
      <c r="CO6" t="s">
        <v>18</v>
      </c>
      <c r="CP6" t="s">
        <v>46</v>
      </c>
      <c r="CS6">
        <v>24.0</v>
      </c>
      <c r="CY6" t="s">
        <v>47</v>
      </c>
      <c r="CZ6" t="s">
        <v>48</v>
      </c>
      <c r="DA6">
        <v>0.0</v>
      </c>
      <c r="DB6">
        <v>0.0</v>
      </c>
      <c r="DD6">
        <v>10000.0</v>
      </c>
      <c r="DE6">
        <v>0.0</v>
      </c>
      <c r="DF6">
        <v>0.0</v>
      </c>
      <c r="DG6">
        <v>0.0</v>
      </c>
      <c r="DH6" t="s">
        <v>32</v>
      </c>
      <c r="DI6">
        <v>0.0</v>
      </c>
      <c r="DJ6" t="s">
        <v>19</v>
      </c>
      <c r="DK6">
        <v>0.0</v>
      </c>
      <c r="DL6">
        <v>0.0</v>
      </c>
      <c r="DM6">
        <v>1.0</v>
      </c>
      <c r="DN6">
        <v>0.0</v>
      </c>
      <c r="DP6" t="s">
        <v>30</v>
      </c>
      <c r="DQ6" t="s">
        <v>49</v>
      </c>
      <c r="DR6" t="s">
        <v>50</v>
      </c>
      <c r="DS6" t="s">
        <v>49</v>
      </c>
      <c r="DT6" t="s">
        <v>49</v>
      </c>
      <c r="DU6" t="s">
        <v>51</v>
      </c>
      <c r="DV6" t="s">
        <v>49</v>
      </c>
      <c r="DW6" t="s">
        <v>49</v>
      </c>
      <c r="DX6" t="s">
        <v>49</v>
      </c>
      <c r="DY6" t="s">
        <v>49</v>
      </c>
      <c r="DZ6" t="s">
        <v>31</v>
      </c>
      <c r="EA6" t="s">
        <v>51</v>
      </c>
      <c r="EB6" t="s">
        <v>49</v>
      </c>
      <c r="EC6" t="s">
        <v>49</v>
      </c>
      <c r="ED6" t="s">
        <v>38</v>
      </c>
      <c r="EE6" t="s">
        <v>52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30</v>
      </c>
      <c r="EM6">
        <v>0.0</v>
      </c>
      <c r="EN6">
        <v>0.0</v>
      </c>
      <c r="EO6">
        <v>0.0</v>
      </c>
      <c r="EP6">
        <v>0.0</v>
      </c>
      <c r="EQ6">
        <v>0.0</v>
      </c>
      <c r="ER6">
        <v>0.0</v>
      </c>
      <c r="ET6">
        <v>0.0</v>
      </c>
      <c r="EU6">
        <v>0.0</v>
      </c>
      <c r="EV6" t="s">
        <v>30</v>
      </c>
      <c r="EX6" t="b">
        <v>0</v>
      </c>
      <c r="FA6" t="s">
        <v>27</v>
      </c>
      <c r="FB6" t="s">
        <v>27</v>
      </c>
      <c r="FC6" t="s">
        <v>53</v>
      </c>
      <c r="FD6">
        <v>0.0</v>
      </c>
      <c r="FE6" t="s">
        <v>27</v>
      </c>
      <c r="FF6">
        <v>0.0</v>
      </c>
      <c r="FG6">
        <v>0.0</v>
      </c>
      <c r="FH6" t="s">
        <v>27</v>
      </c>
      <c r="FI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