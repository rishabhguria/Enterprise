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EnableDisableModule" sheetId="5" r:id="rId7"/>
    <sheet state="visible" name="AddMFPreferences" sheetId="6" r:id="rId8"/>
    <sheet state="visible" name="SetMFPreferencesDefaultRule" sheetId="7" r:id="rId9"/>
    <sheet state="visible" name="SetMFPrefFundDistribution" sheetId="8" r:id="rId10"/>
    <sheet state="visible" name="SetAccountValueCalculatedPref2" sheetId="9" r:id="rId11"/>
    <sheet state="visible" name="SetMFPrefFundDefaultRule" sheetId="10" r:id="rId12"/>
    <sheet state="visible" name="SetAccountValueCalculatedPref1" sheetId="11" r:id="rId13"/>
    <sheet state="visible" name="SetMFPrefFundDefaultRule1" sheetId="12" r:id="rId14"/>
    <sheet state="visible" name="CreateDoneAwayOrder" sheetId="13" r:id="rId15"/>
    <sheet state="visible" name="GetDataAllocation" sheetId="14" r:id="rId16"/>
    <sheet state="visible" name="SelectUnallocatedGroup" sheetId="15" r:id="rId17"/>
    <sheet state="visible" name="EnterAllocatePreference" sheetId="16" r:id="rId18"/>
    <sheet state="visible" name="CheckAllocatedGroups" sheetId="17" r:id="rId19"/>
    <sheet state="visible" name="GetDailyCash" sheetId="18" r:id="rId20"/>
    <sheet state="visible" name="UpdateDailyCash" sheetId="19" r:id="rId21"/>
    <sheet state="visible" name="PricingInput" sheetId="20" r:id="rId22"/>
    <sheet state="visible" name="CheckAllocatedTaxlots" sheetId="21" r:id="rId23"/>
    <sheet state="visible" name="SetMFPrefAccountValues" sheetId="22" r:id="rId24"/>
    <sheet state="visible" name="SetMFPrefAccountValues1" sheetId="23" r:id="rId25"/>
  </sheets>
  <definedNames/>
  <calcPr/>
</workbook>
</file>

<file path=xl/sharedStrings.xml><?xml version="1.0" encoding="utf-8"?>
<sst xmlns="http://schemas.openxmlformats.org/spreadsheetml/2006/main" count="240" uniqueCount="70">
  <si>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</si>
  <si>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</si>
  <si>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</si>
  <si>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</si>
  <si>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</si>
  <si>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</si>
  <si>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</si>
  <si>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</si>
  <si>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</si>
  <si>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</si>
  <si>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</si>
  <si>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</si>
  <si>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</si>
  <si>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</si>
  <si>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</si>
  <si>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</si>
  <si>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Admin</t>
  </si>
  <si>
    <t>EnableDisableModule</t>
  </si>
  <si>
    <t>Allocation (Leveling)</t>
  </si>
  <si>
    <t>jpearce</t>
  </si>
  <si>
    <t>Allocation (Pro-rata/NAV)</t>
  </si>
  <si>
    <t>AddMFPreferences</t>
  </si>
  <si>
    <t>SetMFPreferencesDefaultRule</t>
  </si>
  <si>
    <t>NewMF</t>
  </si>
  <si>
    <t>Current Preference</t>
  </si>
  <si>
    <t>SetMFPrefFundDistribution</t>
  </si>
  <si>
    <t>NewMF1</t>
  </si>
  <si>
    <t>SetAccountValueCalculatedPref</t>
  </si>
  <si>
    <t>Allocation1</t>
  </si>
  <si>
    <t>Allocation3</t>
  </si>
  <si>
    <t>SetMFPrefFundDefaultRule</t>
  </si>
  <si>
    <t>Pro-rata (NAV)</t>
  </si>
  <si>
    <t>Allocation1,Allocation3</t>
  </si>
  <si>
    <t>Allocation2</t>
  </si>
  <si>
    <t>Allocation4</t>
  </si>
  <si>
    <t>Leveling</t>
  </si>
  <si>
    <t>Allocation2,Allocation4</t>
  </si>
  <si>
    <t>TradingTicket</t>
  </si>
  <si>
    <t>CreateDoneAwayOrder</t>
  </si>
  <si>
    <t>AAPL</t>
  </si>
  <si>
    <t>Buy</t>
  </si>
  <si>
    <t>Unallocated</t>
  </si>
  <si>
    <t>MS</t>
  </si>
  <si>
    <t>Market</t>
  </si>
  <si>
    <t>GetDataAllocation</t>
  </si>
  <si>
    <t>Current</t>
  </si>
  <si>
    <t>SelectUnallocatedGroup</t>
  </si>
  <si>
    <t>Equity</t>
  </si>
  <si>
    <t>EnterAllocatePreference</t>
  </si>
  <si>
    <t>Calculated</t>
  </si>
  <si>
    <t>CheckAllocatedGroups</t>
  </si>
  <si>
    <t>Multiple</t>
  </si>
  <si>
    <t>AAPL US EQUITY</t>
  </si>
  <si>
    <t>Open</t>
  </si>
  <si>
    <t>USD</t>
  </si>
  <si>
    <t>BrokerNotes</t>
  </si>
  <si>
    <t>NASDAQ</t>
  </si>
  <si>
    <t>M</t>
  </si>
  <si>
    <t>None</t>
  </si>
  <si>
    <t>DefaultNotes</t>
  </si>
  <si>
    <t>InternalOrder</t>
  </si>
  <si>
    <t>Strategy Unallocated</t>
  </si>
  <si>
    <t>GCCAP1</t>
  </si>
  <si>
    <t>US</t>
  </si>
  <si>
    <t>DailyValuation</t>
  </si>
  <si>
    <t>GetDailyCash</t>
  </si>
  <si>
    <t>UpdateDailyCash</t>
  </si>
  <si>
    <t>PricingInput</t>
  </si>
  <si>
    <t>CheckAllocatedTaxlots</t>
  </si>
  <si>
    <t>SetMFPrefAccountValues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</si>
</sst>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readingOrder="0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6" fontId="13" numFmtId="0" xfId="0" applyFill="1" applyFont="1"/>
    <xf borderId="5" fillId="0" fontId="3" numFmtId="0" xfId="0" applyAlignment="1" applyBorder="1" applyFont="1">
      <alignment shrinkToFit="0" vertical="bottom" wrapText="0"/>
    </xf>
    <xf borderId="5" fillId="6" fontId="13" numFmtId="0" xfId="0" applyAlignment="1" applyBorder="1" applyFont="1">
      <alignment vertical="bottom"/>
    </xf>
    <xf borderId="5" fillId="6" fontId="1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6" fontId="1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readingOrder="0" vertical="bottom"/>
    </xf>
    <xf borderId="5" fillId="0" fontId="3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14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4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2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1lI4loUxqzsE3IjuxIjsVY3cB4J_eTKFPPDuXngut4FE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V6" s="9" t="b">
        <v>1</v>
      </c>
      <c r="W6" s="31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IFERROR(__xludf.DUMMYFUNCTION("""COMPUTED_VALUE"""),"user")</f>
        <v>user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1" t="b">
        <v>0</v>
      </c>
      <c r="C6" s="33" t="s">
        <v>18</v>
      </c>
      <c r="D6" s="34" t="s">
        <v>19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3"/>
      <c r="B7" s="31" t="b">
        <v>0</v>
      </c>
      <c r="C7" s="33" t="s">
        <v>20</v>
      </c>
      <c r="D7" s="33" t="s">
        <v>19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 t="str">
        <f>"PA10-"&amp;text(TODAY(),"dd-mm-yy")</f>
        <v>PA10-11-11-21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IFERROR(__xludf.DUMMYFUNCTION("""COMPUTED_VALUE"""),"RemainderAllocationTo")</f>
        <v>RemainderAllocationTo</v>
      </c>
      <c r="C5" s="27" t="str">
        <f>IFERROR(__xludf.DUMMYFUNCTION("""COMPUTED_VALUE"""),"Target%AsOf")</f>
        <v>Target%AsOf</v>
      </c>
      <c r="D5" s="27" t="str">
        <f>IFERROR(__xludf.DUMMYFUNCTION("""COMPUTED_VALUE"""),"ProrataAccounts")</f>
        <v>ProrataAccounts</v>
      </c>
      <c r="E5" s="27" t="str">
        <f>IFERROR(__xludf.DUMMYFUNCTION("""COMPUTED_VALUE"""),"DateUptoDays")</f>
        <v>DateUptoDays</v>
      </c>
      <c r="F5" s="28" t="str">
        <f>IFERROR(__xludf.DUMMYFUNCTION("""COMPUTED_VALUE"""),"PreferenceName")</f>
        <v>PreferenceName</v>
      </c>
      <c r="G5" s="27" t="str">
        <f>IFERROR(__xludf.DUMMYFUNCTION("""COMPUTED_VALUE"""),"MatchClosingTransaction")</f>
        <v>MatchClosingTransaction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4" t="s">
        <v>23</v>
      </c>
      <c r="C6" s="37" t="s">
        <v>24</v>
      </c>
      <c r="D6" s="34"/>
      <c r="E6" s="33"/>
      <c r="F6" s="38" t="str">
        <f>"PA10-"&amp;text(TODAY(),"dd-mm-yy")</f>
        <v>PA10-11-11-21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IFERROR(__xludf.DUMMYFUNCTION("""COMPUTED_VALUE"""),"MasterFundName")</f>
        <v>MasterFundName</v>
      </c>
      <c r="D5" s="27" t="str">
        <f>IFERROR(__xludf.DUMMYFUNCTION("""COMPUTED_VALUE"""),"TargetPercentage")</f>
        <v>TargetPercentage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9" t="str">
        <f t="shared" ref="B6:B7" si="1">"PA10-"&amp;text(TODAY(),"dd-mm-yy")</f>
        <v>PA10-11-11-21</v>
      </c>
      <c r="C6" s="40" t="s">
        <v>23</v>
      </c>
      <c r="D6" s="41">
        <v>60.0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2" t="str">
        <f t="shared" si="1"/>
        <v>PA10-11-11-21</v>
      </c>
      <c r="C7" s="43" t="s">
        <v>26</v>
      </c>
      <c r="D7" s="44">
        <v>40.0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SetMFPrefFundDistribution!$4:$4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9" t="str">
        <f t="shared" ref="B6:B7" si="1">"PA10-"&amp;text(TODAY(),"dd-mm-yy")</f>
        <v>PA10-11-11-21</v>
      </c>
      <c r="C6" s="11" t="s">
        <v>28</v>
      </c>
      <c r="D6" s="11">
        <v>60.0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tr">
        <f t="shared" si="1"/>
        <v>PA10-11-11-21</v>
      </c>
      <c r="C7" s="11" t="s">
        <v>29</v>
      </c>
      <c r="D7" s="11">
        <v>40.0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9" t="str">
        <f>"PA10-"&amp;text(TODAY(),"dd-mm-yy")</f>
        <v>PA10-11-11-21</v>
      </c>
      <c r="C6" s="33" t="s">
        <v>23</v>
      </c>
      <c r="D6" s="34"/>
      <c r="E6" s="33"/>
      <c r="F6" s="45" t="s">
        <v>31</v>
      </c>
      <c r="G6" s="37" t="s">
        <v>32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26</v>
      </c>
      <c r="C6" s="11" t="s">
        <v>33</v>
      </c>
      <c r="D6" s="11">
        <v>75.0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 t="s">
        <v>26</v>
      </c>
      <c r="C7" s="11" t="s">
        <v>34</v>
      </c>
      <c r="D7" s="11">
        <v>25.0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9" t="str">
        <f>"PA10-"&amp;text(TODAY(),"dd-mm-yy")</f>
        <v>PA10-11-11-21</v>
      </c>
      <c r="C6" s="45" t="s">
        <v>26</v>
      </c>
      <c r="D6" s="34"/>
      <c r="E6" s="33"/>
      <c r="F6" s="45" t="s">
        <v>35</v>
      </c>
      <c r="G6" s="47" t="s">
        <v>36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39</v>
      </c>
      <c r="C6" s="33" t="s">
        <v>40</v>
      </c>
      <c r="D6" s="48">
        <v>1000.0</v>
      </c>
      <c r="E6" s="33"/>
      <c r="F6" s="33" t="s">
        <v>41</v>
      </c>
      <c r="G6" s="33" t="s">
        <v>42</v>
      </c>
      <c r="H6" s="33"/>
      <c r="I6" s="33" t="s">
        <v>43</v>
      </c>
      <c r="J6" s="49">
        <v>10.0</v>
      </c>
      <c r="K6" s="33"/>
      <c r="L6" s="33"/>
      <c r="M6" s="33"/>
      <c r="N6" s="50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45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39</v>
      </c>
      <c r="C6" s="11" t="s">
        <v>40</v>
      </c>
      <c r="D6" s="11">
        <v>1000.0</v>
      </c>
      <c r="E6" s="30"/>
      <c r="F6" s="8"/>
      <c r="G6" s="8"/>
      <c r="H6" s="8"/>
      <c r="I6" s="8"/>
      <c r="J6" s="8"/>
      <c r="K6" s="8"/>
      <c r="L6" s="8"/>
      <c r="M6" s="8"/>
      <c r="N6" s="11"/>
      <c r="O6" s="11"/>
      <c r="U6" s="9" t="s">
        <v>47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49</v>
      </c>
      <c r="C6" s="42" t="str">
        <f>"PA10-"&amp;text(TODAY(),"dd-mm-yy")</f>
        <v>PA10-11-11-21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1" t="s">
        <v>51</v>
      </c>
      <c r="C6" s="51"/>
      <c r="D6" s="52"/>
      <c r="E6" s="53">
        <v>1000.0</v>
      </c>
      <c r="F6" s="42"/>
      <c r="G6" s="51" t="s">
        <v>47</v>
      </c>
      <c r="H6" s="52">
        <v>4.0</v>
      </c>
      <c r="I6" s="52">
        <v>5.0</v>
      </c>
      <c r="J6" s="52">
        <v>1.0</v>
      </c>
      <c r="K6" s="52">
        <v>10.0</v>
      </c>
      <c r="L6" s="52">
        <v>10.0</v>
      </c>
      <c r="M6" s="51" t="s">
        <v>52</v>
      </c>
      <c r="N6" s="51"/>
      <c r="O6" s="51" t="s">
        <v>42</v>
      </c>
      <c r="P6" s="54"/>
      <c r="Q6" s="52">
        <v>3.0</v>
      </c>
      <c r="R6" s="52">
        <v>0.0</v>
      </c>
      <c r="S6" s="51" t="s">
        <v>53</v>
      </c>
      <c r="T6" s="52">
        <v>0.0</v>
      </c>
      <c r="U6" s="52">
        <v>0.0</v>
      </c>
      <c r="V6" s="51"/>
      <c r="W6" s="52">
        <v>1.0</v>
      </c>
      <c r="X6" s="52"/>
      <c r="Y6" s="54"/>
      <c r="Z6" s="51" t="s">
        <v>54</v>
      </c>
      <c r="AA6" s="51"/>
      <c r="AB6" s="52">
        <v>1.0</v>
      </c>
      <c r="AC6" s="51" t="s">
        <v>55</v>
      </c>
      <c r="AD6" s="51" t="s">
        <v>56</v>
      </c>
      <c r="AE6" s="53">
        <v>1000.0</v>
      </c>
      <c r="AF6" s="55"/>
      <c r="AG6" s="55"/>
      <c r="AH6" s="51" t="s">
        <v>57</v>
      </c>
      <c r="AI6" s="52">
        <v>1.0</v>
      </c>
      <c r="AJ6" s="51" t="s">
        <v>58</v>
      </c>
      <c r="AK6" s="54"/>
      <c r="AL6" s="54"/>
      <c r="AM6" s="51" t="s">
        <v>59</v>
      </c>
      <c r="AN6" s="51" t="b">
        <v>0</v>
      </c>
      <c r="AO6" s="54"/>
      <c r="AP6" s="51" t="b">
        <v>1</v>
      </c>
      <c r="AQ6" s="51" t="b">
        <v>0</v>
      </c>
      <c r="AR6" s="51" t="b">
        <v>0</v>
      </c>
      <c r="AS6" s="52"/>
      <c r="AT6" s="53">
        <v>10014.0056</v>
      </c>
      <c r="AU6" s="53">
        <v>10014.0056</v>
      </c>
      <c r="AV6" s="56"/>
      <c r="AW6" s="52">
        <v>0.0</v>
      </c>
      <c r="AX6" s="52">
        <v>0.0</v>
      </c>
      <c r="AY6" s="51" t="s">
        <v>43</v>
      </c>
      <c r="AZ6" s="52">
        <v>0.0</v>
      </c>
      <c r="BA6" s="56"/>
      <c r="BB6" s="54"/>
      <c r="BC6" s="52">
        <v>0.0</v>
      </c>
      <c r="BD6" s="51" t="s">
        <v>60</v>
      </c>
      <c r="BE6" s="53">
        <v>10000.0</v>
      </c>
      <c r="BF6" s="53">
        <v>10000.0</v>
      </c>
      <c r="BG6" s="56"/>
      <c r="BH6" s="54"/>
      <c r="BI6" s="54"/>
      <c r="BJ6" s="53">
        <v>1000.0</v>
      </c>
      <c r="BK6" s="52">
        <v>0.0</v>
      </c>
      <c r="BL6" s="51"/>
      <c r="BM6" s="51" t="s">
        <v>54</v>
      </c>
      <c r="BN6" s="56"/>
      <c r="BO6" s="51" t="s">
        <v>40</v>
      </c>
      <c r="BP6" s="52">
        <v>0.0</v>
      </c>
      <c r="BQ6" s="52">
        <v>0.0</v>
      </c>
      <c r="BR6" s="52">
        <v>0.0056</v>
      </c>
      <c r="BS6" s="51" t="s">
        <v>61</v>
      </c>
      <c r="BT6" s="51" t="s">
        <v>39</v>
      </c>
      <c r="BU6" s="52">
        <v>3.0</v>
      </c>
      <c r="BV6" s="52">
        <v>0.0</v>
      </c>
      <c r="BW6" s="52">
        <v>14.0056</v>
      </c>
      <c r="BX6" s="52">
        <v>0.0</v>
      </c>
      <c r="CF6" s="51" t="s">
        <v>62</v>
      </c>
      <c r="CG6" s="52">
        <v>2.0</v>
      </c>
      <c r="CH6" s="51" t="s">
        <v>37</v>
      </c>
      <c r="CI6" s="51" t="s">
        <v>40</v>
      </c>
      <c r="CJ6" s="52">
        <v>0.0</v>
      </c>
      <c r="CK6" s="51" t="s">
        <v>63</v>
      </c>
      <c r="CL6" s="52">
        <v>1.0</v>
      </c>
      <c r="CM6" s="51" t="s">
        <v>39</v>
      </c>
      <c r="CN6" s="51"/>
      <c r="CO6" s="54"/>
      <c r="CP6" s="54"/>
      <c r="CQ6" s="54"/>
      <c r="CR6" s="52"/>
      <c r="CS6" s="54"/>
      <c r="CT6" s="54"/>
      <c r="CU6" s="56"/>
      <c r="CV6" s="55"/>
      <c r="CW6" s="54"/>
      <c r="CX6" s="54"/>
      <c r="CY6" s="52"/>
      <c r="CZ6" s="54"/>
      <c r="DA6" s="52"/>
      <c r="DB6" s="54"/>
      <c r="DC6" s="5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5"/>
      <c r="B8" s="57"/>
      <c r="C8" s="57"/>
      <c r="D8" s="35"/>
      <c r="E8" s="35"/>
      <c r="F8" s="57"/>
      <c r="G8" s="57"/>
      <c r="H8" s="35"/>
      <c r="I8" s="35"/>
      <c r="J8" s="35"/>
      <c r="K8" s="35"/>
      <c r="L8" s="35"/>
      <c r="M8" s="57"/>
      <c r="N8" s="57"/>
      <c r="O8" s="57"/>
      <c r="P8" s="35"/>
      <c r="Q8" s="35"/>
      <c r="R8" s="35"/>
      <c r="S8" s="57"/>
      <c r="T8" s="35"/>
      <c r="U8" s="35"/>
      <c r="V8" s="57"/>
      <c r="W8" s="35"/>
      <c r="X8" s="35"/>
      <c r="Y8" s="35"/>
      <c r="Z8" s="57"/>
      <c r="AA8" s="57"/>
      <c r="AB8" s="35"/>
      <c r="AC8" s="57"/>
      <c r="AD8" s="57"/>
      <c r="AE8" s="35"/>
      <c r="AF8" s="58"/>
      <c r="AG8" s="58"/>
      <c r="AH8" s="57"/>
      <c r="AI8" s="35"/>
      <c r="AJ8" s="57"/>
      <c r="AK8" s="35"/>
      <c r="AL8" s="35"/>
      <c r="AM8" s="57"/>
      <c r="AN8" s="59"/>
      <c r="AO8" s="35"/>
      <c r="AP8" s="59"/>
      <c r="AQ8" s="59"/>
      <c r="AR8" s="59"/>
      <c r="AS8" s="35"/>
      <c r="AT8" s="60"/>
      <c r="AU8" s="60"/>
      <c r="AV8" s="61"/>
      <c r="AW8" s="35"/>
      <c r="AX8" s="35"/>
      <c r="AY8" s="57"/>
      <c r="AZ8" s="35"/>
      <c r="BA8" s="61"/>
      <c r="BB8" s="35"/>
      <c r="BC8" s="35"/>
      <c r="BD8" s="57"/>
      <c r="BE8" s="60"/>
      <c r="BF8" s="60"/>
      <c r="BG8" s="61"/>
      <c r="BH8" s="35"/>
      <c r="BI8" s="35"/>
      <c r="BJ8" s="35"/>
      <c r="BK8" s="35"/>
      <c r="BL8" s="57"/>
      <c r="BM8" s="57"/>
      <c r="BN8" s="61"/>
      <c r="BO8" s="57"/>
      <c r="BP8" s="35"/>
      <c r="BQ8" s="35"/>
      <c r="BR8" s="35"/>
      <c r="BS8" s="57"/>
      <c r="BT8" s="57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57"/>
      <c r="CG8" s="35"/>
      <c r="CH8" s="57"/>
      <c r="CI8" s="57"/>
      <c r="CJ8" s="35"/>
      <c r="CK8" s="57"/>
      <c r="CL8" s="35"/>
      <c r="CM8" s="57"/>
      <c r="CN8" s="57"/>
      <c r="CO8" s="57"/>
      <c r="CP8" s="57"/>
      <c r="CQ8" s="35"/>
      <c r="CR8" s="35"/>
      <c r="CS8" s="35"/>
      <c r="CT8" s="35"/>
      <c r="CU8" s="61"/>
      <c r="CV8" s="58"/>
      <c r="CW8" s="35"/>
      <c r="CX8" s="35"/>
      <c r="CY8" s="35"/>
      <c r="CZ8" s="35"/>
      <c r="DA8" s="35"/>
      <c r="DB8" s="35"/>
      <c r="DC8" s="57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2">
        <f>today()-1</f>
        <v>44510</v>
      </c>
      <c r="C6" s="63">
        <f>today()</f>
        <v>44511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11" t="s">
        <v>54</v>
      </c>
      <c r="D6" s="11">
        <v>1000.0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29</v>
      </c>
      <c r="C7" s="11" t="s">
        <v>54</v>
      </c>
      <c r="D7" s="11">
        <v>2000.0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33</v>
      </c>
      <c r="C8" s="11" t="s">
        <v>54</v>
      </c>
      <c r="D8" s="11">
        <v>1000.0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 t="s">
        <v>34</v>
      </c>
      <c r="C9" s="11" t="s">
        <v>54</v>
      </c>
      <c r="D9" s="11">
        <v>2000.0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39</v>
      </c>
      <c r="C6" s="11">
        <v>10.0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3">
        <v>4005.60224</v>
      </c>
      <c r="C6" s="53">
        <v>4005.60224</v>
      </c>
      <c r="D6" s="53">
        <v>4000.0</v>
      </c>
      <c r="E6" s="53">
        <v>4000.0</v>
      </c>
      <c r="F6" s="51" t="s">
        <v>57</v>
      </c>
      <c r="G6" s="52"/>
      <c r="H6" s="51" t="s">
        <v>54</v>
      </c>
      <c r="I6" s="54"/>
      <c r="J6" s="54"/>
      <c r="K6" s="54"/>
      <c r="L6" s="54"/>
      <c r="M6" s="54"/>
      <c r="N6" s="54"/>
      <c r="O6" s="51" t="s">
        <v>29</v>
      </c>
      <c r="P6" s="51" t="s">
        <v>61</v>
      </c>
      <c r="Q6" s="52">
        <v>40.0</v>
      </c>
      <c r="R6" s="52">
        <v>400.0</v>
      </c>
      <c r="S6" s="52">
        <v>0.0</v>
      </c>
      <c r="T6" s="52">
        <v>0.0</v>
      </c>
      <c r="U6" s="52">
        <v>0.0</v>
      </c>
      <c r="V6" s="52">
        <v>0.0</v>
      </c>
      <c r="W6" s="52">
        <v>0.00224</v>
      </c>
      <c r="X6" s="52">
        <v>0.8</v>
      </c>
      <c r="Y6" s="52">
        <v>1.6</v>
      </c>
      <c r="Z6" s="52">
        <v>1.2</v>
      </c>
      <c r="AA6" s="52">
        <v>2.0</v>
      </c>
      <c r="AB6" s="52">
        <v>0.0</v>
      </c>
      <c r="AC6" s="52">
        <v>0.0</v>
      </c>
      <c r="AD6" s="52">
        <v>0.0</v>
      </c>
      <c r="AE6" s="52">
        <v>0.0</v>
      </c>
      <c r="AF6" s="51" t="s">
        <v>53</v>
      </c>
      <c r="AG6" s="54"/>
      <c r="AH6" s="54"/>
      <c r="AI6" s="52">
        <v>10.0</v>
      </c>
      <c r="AJ6" s="52">
        <v>0.0</v>
      </c>
      <c r="AK6" s="52">
        <v>1.0</v>
      </c>
      <c r="AL6" s="52">
        <v>3.0</v>
      </c>
    </row>
    <row r="7" ht="15.75" customHeight="1">
      <c r="A7" s="8"/>
      <c r="B7" s="53">
        <v>2673.7394952</v>
      </c>
      <c r="C7" s="53">
        <v>2673.7394952</v>
      </c>
      <c r="D7" s="53">
        <v>2670.0</v>
      </c>
      <c r="E7" s="53">
        <v>2670.0</v>
      </c>
      <c r="F7" s="51" t="s">
        <v>57</v>
      </c>
      <c r="G7" s="52"/>
      <c r="H7" s="51" t="s">
        <v>54</v>
      </c>
      <c r="I7" s="54"/>
      <c r="J7" s="54"/>
      <c r="K7" s="54"/>
      <c r="L7" s="54"/>
      <c r="M7" s="54"/>
      <c r="N7" s="54"/>
      <c r="O7" s="51" t="s">
        <v>34</v>
      </c>
      <c r="P7" s="51" t="s">
        <v>61</v>
      </c>
      <c r="Q7" s="52">
        <v>26.70000076</v>
      </c>
      <c r="R7" s="52">
        <v>267.0</v>
      </c>
      <c r="S7" s="52">
        <v>0.0</v>
      </c>
      <c r="T7" s="52">
        <v>0.0</v>
      </c>
      <c r="U7" s="52">
        <v>0.0</v>
      </c>
      <c r="V7" s="52">
        <v>0.0</v>
      </c>
      <c r="W7" s="52">
        <v>0.0014952</v>
      </c>
      <c r="X7" s="52">
        <v>0.534</v>
      </c>
      <c r="Y7" s="52">
        <v>1.068</v>
      </c>
      <c r="Z7" s="52">
        <v>0.801</v>
      </c>
      <c r="AA7" s="52">
        <v>1.335</v>
      </c>
      <c r="AB7" s="52">
        <v>0.0</v>
      </c>
      <c r="AC7" s="52">
        <v>0.0</v>
      </c>
      <c r="AD7" s="52">
        <v>0.0</v>
      </c>
      <c r="AE7" s="52">
        <v>0.0</v>
      </c>
      <c r="AF7" s="51" t="s">
        <v>53</v>
      </c>
      <c r="AG7" s="54"/>
      <c r="AH7" s="54"/>
      <c r="AI7" s="52">
        <v>10.0</v>
      </c>
      <c r="AJ7" s="52">
        <v>0.0</v>
      </c>
      <c r="AK7" s="52">
        <v>1.0</v>
      </c>
      <c r="AL7" s="52">
        <v>3.0</v>
      </c>
    </row>
    <row r="8" ht="15.75" customHeight="1">
      <c r="A8" s="8"/>
      <c r="B8" s="53">
        <v>2002.80112</v>
      </c>
      <c r="C8" s="53">
        <v>2002.80112</v>
      </c>
      <c r="D8" s="53">
        <v>2000.0</v>
      </c>
      <c r="E8" s="53">
        <v>2000.0</v>
      </c>
      <c r="F8" s="51" t="s">
        <v>57</v>
      </c>
      <c r="G8" s="52"/>
      <c r="H8" s="51" t="s">
        <v>54</v>
      </c>
      <c r="I8" s="54"/>
      <c r="J8" s="54"/>
      <c r="K8" s="54"/>
      <c r="L8" s="54"/>
      <c r="M8" s="54"/>
      <c r="N8" s="54"/>
      <c r="O8" s="51" t="s">
        <v>28</v>
      </c>
      <c r="P8" s="51" t="s">
        <v>61</v>
      </c>
      <c r="Q8" s="52">
        <v>20.0</v>
      </c>
      <c r="R8" s="52">
        <v>200.0</v>
      </c>
      <c r="S8" s="52">
        <v>0.0</v>
      </c>
      <c r="T8" s="52">
        <v>0.0</v>
      </c>
      <c r="U8" s="52">
        <v>0.0</v>
      </c>
      <c r="V8" s="52">
        <v>0.0</v>
      </c>
      <c r="W8" s="52">
        <v>0.00112</v>
      </c>
      <c r="X8" s="52">
        <v>0.4</v>
      </c>
      <c r="Y8" s="52">
        <v>0.8</v>
      </c>
      <c r="Z8" s="52">
        <v>0.6</v>
      </c>
      <c r="AA8" s="52">
        <v>1.0</v>
      </c>
      <c r="AB8" s="52">
        <v>0.0</v>
      </c>
      <c r="AC8" s="52">
        <v>0.0</v>
      </c>
      <c r="AD8" s="52">
        <v>0.0</v>
      </c>
      <c r="AE8" s="52">
        <v>0.0</v>
      </c>
      <c r="AF8" s="51" t="s">
        <v>53</v>
      </c>
      <c r="AG8" s="54"/>
      <c r="AH8" s="54"/>
      <c r="AI8" s="52">
        <v>10.0</v>
      </c>
      <c r="AJ8" s="52">
        <v>0.0</v>
      </c>
      <c r="AK8" s="52">
        <v>1.0</v>
      </c>
      <c r="AL8" s="52">
        <v>3.0</v>
      </c>
    </row>
    <row r="9" ht="15.75" customHeight="1">
      <c r="A9" s="8"/>
      <c r="B9" s="53">
        <v>1331.8627448</v>
      </c>
      <c r="C9" s="53">
        <v>1331.8627448</v>
      </c>
      <c r="D9" s="53">
        <v>1330.0</v>
      </c>
      <c r="E9" s="53">
        <v>1330.0</v>
      </c>
      <c r="F9" s="51" t="s">
        <v>57</v>
      </c>
      <c r="G9" s="52"/>
      <c r="H9" s="51" t="s">
        <v>54</v>
      </c>
      <c r="I9" s="54"/>
      <c r="J9" s="54"/>
      <c r="K9" s="54"/>
      <c r="L9" s="54"/>
      <c r="M9" s="54"/>
      <c r="N9" s="54"/>
      <c r="O9" s="51" t="s">
        <v>33</v>
      </c>
      <c r="P9" s="51" t="s">
        <v>61</v>
      </c>
      <c r="Q9" s="52">
        <v>13.30000019</v>
      </c>
      <c r="R9" s="52">
        <v>133.0</v>
      </c>
      <c r="S9" s="52">
        <v>0.0</v>
      </c>
      <c r="T9" s="52">
        <v>0.0</v>
      </c>
      <c r="U9" s="52">
        <v>0.0</v>
      </c>
      <c r="V9" s="52">
        <v>0.0</v>
      </c>
      <c r="W9" s="52">
        <v>7.448E-4</v>
      </c>
      <c r="X9" s="52">
        <v>0.266</v>
      </c>
      <c r="Y9" s="52">
        <v>0.532</v>
      </c>
      <c r="Z9" s="52">
        <v>0.399</v>
      </c>
      <c r="AA9" s="52">
        <v>0.665</v>
      </c>
      <c r="AB9" s="52">
        <v>0.0</v>
      </c>
      <c r="AC9" s="52">
        <v>0.0</v>
      </c>
      <c r="AD9" s="52">
        <v>0.0</v>
      </c>
      <c r="AE9" s="52">
        <v>0.0</v>
      </c>
      <c r="AF9" s="51" t="s">
        <v>53</v>
      </c>
      <c r="AG9" s="54"/>
      <c r="AH9" s="54"/>
      <c r="AI9" s="52">
        <v>10.0</v>
      </c>
      <c r="AJ9" s="52">
        <v>0.0</v>
      </c>
      <c r="AK9" s="52">
        <v>1.0</v>
      </c>
      <c r="AL9" s="52">
        <v>3.0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5"/>
      <c r="B11" s="60"/>
      <c r="C11" s="60"/>
      <c r="D11" s="60"/>
      <c r="E11" s="60"/>
      <c r="F11" s="57"/>
      <c r="G11" s="35"/>
      <c r="H11" s="57"/>
      <c r="I11" s="35"/>
      <c r="J11" s="35"/>
      <c r="K11" s="35"/>
      <c r="L11" s="35"/>
      <c r="M11" s="35"/>
      <c r="N11" s="35"/>
      <c r="O11" s="57"/>
      <c r="P11" s="57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57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9" t="str">
        <f t="shared" ref="B6:B7" si="1">"PA10-"&amp;text(TODAY(),"dd-mm-yy")</f>
        <v>PA10-11-11-21</v>
      </c>
      <c r="C6" s="11" t="s">
        <v>23</v>
      </c>
      <c r="D6" s="11" t="s">
        <v>28</v>
      </c>
      <c r="E6" s="11">
        <v>60.0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tr">
        <f t="shared" si="1"/>
        <v>PA10-11-11-21</v>
      </c>
      <c r="C7" s="11" t="s">
        <v>23</v>
      </c>
      <c r="D7" s="11" t="s">
        <v>29</v>
      </c>
      <c r="E7" s="11">
        <v>40.0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11"/>
      <c r="B6" s="39" t="str">
        <f t="shared" ref="B6:B7" si="1">"PA10-"&amp;text(TODAY(),"dd-mm-yy")</f>
        <v>PA10-11-11-21</v>
      </c>
      <c r="C6" s="46" t="s">
        <v>26</v>
      </c>
      <c r="D6" s="11" t="s">
        <v>33</v>
      </c>
      <c r="E6" s="11">
        <v>75.0</v>
      </c>
      <c r="F6" s="30"/>
      <c r="G6" s="8"/>
      <c r="H6" s="8"/>
      <c r="I6" s="8"/>
      <c r="J6" s="8"/>
      <c r="K6" s="8"/>
      <c r="L6" s="8"/>
      <c r="M6" s="8"/>
      <c r="N6" s="8"/>
      <c r="O6" s="8"/>
      <c r="P6" s="8"/>
    </row>
    <row r="7" ht="15.75" customHeight="1">
      <c r="A7" s="8"/>
      <c r="B7" s="39" t="str">
        <f t="shared" si="1"/>
        <v>PA10-11-11-21</v>
      </c>
      <c r="C7" s="46" t="s">
        <v>26</v>
      </c>
      <c r="D7" s="11" t="s">
        <v>34</v>
      </c>
      <c r="E7" s="11">
        <v>25.0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drawing r:id="rId1"/>
</worksheet>
</file>