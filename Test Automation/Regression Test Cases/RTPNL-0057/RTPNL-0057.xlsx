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OpenRTPNL" sheetId="5" r:id="rId7"/>
    <sheet state="visible" name="SavePage" sheetId="6" r:id="rId8"/>
    <sheet state="visible" name="OpenWindowFromSearch" sheetId="7" r:id="rId9"/>
    <sheet state="visible" name="CheckSymbolLevelAggregation" sheetId="8" r:id="rId10"/>
    <sheet state="visible" name="CheckRealTimeSymbolFundMonitor" sheetId="9" r:id="rId11"/>
    <sheet state="visible" name="CloseRTPNL" sheetId="10" r:id="rId12"/>
  </sheets>
  <definedNames/>
  <calcPr/>
</workbook>
</file>

<file path=xl/sharedStrings.xml><?xml version="1.0" encoding="utf-8"?>
<sst xmlns="http://schemas.openxmlformats.org/spreadsheetml/2006/main" count="75" uniqueCount="34">
  <si>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</si>
  <si>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</si>
  <si>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</si>
  <si>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</si>
  <si>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</si>
  <si>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</si>
  <si>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</si>
  <si>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</si>
  <si>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</si>
  <si>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</si>
  <si>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</si>
  <si>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</si>
  <si>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</si>
  <si>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</si>
  <si>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</si>
  <si>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</si>
  <si>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</si>
  <si>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</si>
  <si>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</si>
  <si>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RTPNL</t>
  </si>
  <si>
    <t>OpenRTPNL</t>
  </si>
  <si>
    <t>Nirvana,PM</t>
  </si>
  <si>
    <t>SavePage</t>
  </si>
  <si>
    <t>PM</t>
  </si>
  <si>
    <t>Save</t>
  </si>
  <si>
    <t>OpenFin</t>
  </si>
  <si>
    <t>OpenWindowFromSearch</t>
  </si>
  <si>
    <t>CheckSymbolLevelAggregation</t>
  </si>
  <si>
    <t>APPLE</t>
  </si>
  <si>
    <t>AAPL US EQUITY</t>
  </si>
  <si>
    <t>CheckRealTimeSymbolFundMonitor</t>
  </si>
  <si>
    <t>NewMF</t>
  </si>
  <si>
    <t>Equity</t>
  </si>
  <si>
    <t>CloseRTPNL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</si>
</sst>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/>
      <c r="D6" s="31"/>
      <c r="E6" s="34" t="b">
        <v>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23</v>
      </c>
      <c r="C6" s="1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OpenWindowFromSearch!$4:$4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16</v>
      </c>
      <c r="C6" s="33" t="s">
        <v>28</v>
      </c>
      <c r="D6" s="37">
        <v>100.0</v>
      </c>
      <c r="E6" s="38">
        <v>200.0</v>
      </c>
      <c r="F6" s="38">
        <v>0.0</v>
      </c>
      <c r="G6" s="38">
        <v>0.0</v>
      </c>
      <c r="H6" s="38">
        <v>200.0</v>
      </c>
      <c r="I6" s="38">
        <v>0.0</v>
      </c>
      <c r="J6" s="38">
        <v>0.0</v>
      </c>
      <c r="K6" s="38">
        <v>0.0</v>
      </c>
      <c r="L6" s="38">
        <v>0.0</v>
      </c>
      <c r="M6" s="38">
        <v>0.0</v>
      </c>
      <c r="N6" s="38">
        <v>200.0</v>
      </c>
      <c r="O6" s="38">
        <v>0.0</v>
      </c>
      <c r="P6" s="39">
        <v>0.0</v>
      </c>
      <c r="Q6" s="35"/>
      <c r="R6" s="35"/>
      <c r="S6" s="35"/>
      <c r="T6" s="35"/>
      <c r="U6" s="35"/>
      <c r="V6" s="40" t="s">
        <v>29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IFERROR(__xludf.DUMMYFUNCTION("""COMPUTED_VALUE"""),"Asset Class")</f>
        <v>Asset Class</v>
      </c>
      <c r="F5" s="28" t="str">
        <f>IFERROR(__xludf.DUMMYFUNCTION("""COMPUTED_VALUE"""),"Position")</f>
        <v>Position</v>
      </c>
      <c r="G5" s="27" t="str">
        <f>IFERROR(__xludf.DUMMYFUNCTION("""COMPUTED_VALUE"""),"Position Side")</f>
        <v>Position Side</v>
      </c>
      <c r="H5" s="27" t="str">
        <f>IFERROR(__xludf.DUMMYFUNCTION("""COMPUTED_VALUE"""),"Px Selected Feed (Local)")</f>
        <v>Px Selected Feed (Local)</v>
      </c>
      <c r="I5" s="27" t="str">
        <f>IFERROR(__xludf.DUMMYFUNCTION("""COMPUTED_VALUE"""),"Px Selected Feed (Base)")</f>
        <v>Px Selected Feed (Base)</v>
      </c>
      <c r="J5" s="27" t="str">
        <f>IFERROR(__xludf.DUMMYFUNCTION("""COMPUTED_VALUE"""),"Market Value (Base)")</f>
        <v>Market Value (Base)</v>
      </c>
      <c r="K5" s="27" t="str">
        <f>IFERROR(__xludf.DUMMYFUNCTION("""COMPUTED_VALUE"""),"% Net Market Value (Base)")</f>
        <v>% Net Market Value (Base)</v>
      </c>
      <c r="L5" s="27" t="str">
        <f>IFERROR(__xludf.DUMMYFUNCTION("""COMPUTED_VALUE"""),"Cost Basis P&amp;L (Base)")</f>
        <v>Cost Basis P&amp;L (Base)</v>
      </c>
      <c r="M5" s="27" t="str">
        <f>IFERROR(__xludf.DUMMYFUNCTION("""COMPUTED_VALUE"""),"% Gain/Loss Cost")</f>
        <v>% Gain/Loss Cost</v>
      </c>
      <c r="N5" s="27" t="str">
        <f>IFERROR(__xludf.DUMMYFUNCTION("""COMPUTED_VALUE"""),"Day P&amp;L (Base)")</f>
        <v>Day P&amp;L (Base)</v>
      </c>
      <c r="O5" s="27" t="str">
        <f>IFERROR(__xludf.DUMMYFUNCTION("""COMPUTED_VALUE"""),"% Gain/Loss Day")</f>
        <v>% Gain/Loss Day</v>
      </c>
      <c r="P5" s="27" t="str">
        <f>IFERROR(__xludf.DUMMYFUNCTION("""COMPUTED_VALUE"""),"Exposure (Base)")</f>
        <v>Exposure (Base)</v>
      </c>
      <c r="Q5" s="27" t="str">
        <f>IFERROR(__xludf.DUMMYFUNCTION("""COMPUTED_VALUE"""),"% Exposure (Base)")</f>
        <v>% Exposure (Base)</v>
      </c>
      <c r="R5" s="27" t="str">
        <f>IFERROR(__xludf.DUMMYFUNCTION("""COMPUTED_VALUE"""),"Live Feed Provider Ticker")</f>
        <v>Live Feed Provider Ticker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16</v>
      </c>
      <c r="C6" s="33" t="s">
        <v>28</v>
      </c>
      <c r="D6" s="36" t="s">
        <v>31</v>
      </c>
      <c r="E6" s="33" t="s">
        <v>32</v>
      </c>
      <c r="F6" s="41">
        <v>100.0</v>
      </c>
      <c r="G6" s="33"/>
      <c r="H6" s="41">
        <v>2.0</v>
      </c>
      <c r="I6" s="41">
        <v>2.0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CheckRealTimeSymbolFundMonitor!$4:$4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