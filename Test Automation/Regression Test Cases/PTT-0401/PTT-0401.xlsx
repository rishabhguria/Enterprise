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  <sheet state="visible" name="SetPTTPreference" sheetId="10" r:id="rId12"/>
    <sheet state="visible" name="VerifyPTT1" sheetId="11" r:id="rId13"/>
  </sheets>
  <definedNames/>
  <calcPr/>
</workbook>
</file>

<file path=xl/sharedStrings.xml><?xml version="1.0" encoding="utf-8"?>
<sst xmlns="http://schemas.openxmlformats.org/spreadsheetml/2006/main" count="88" uniqueCount="34">
  <si>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</si>
  <si>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</si>
  <si>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</si>
  <si>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</si>
  <si>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</si>
  <si>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</si>
  <si>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</si>
  <si>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</si>
  <si>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</si>
  <si>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</si>
  <si>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</si>
  <si>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</si>
  <si>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</si>
  <si>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</si>
  <si>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</si>
  <si>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</si>
  <si>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</si>
  <si>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</si>
  <si>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</si>
  <si>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Allocation2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</si>
  <si>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</si>
  <si>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</si>
  <si>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</si>
  <si>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</si>
  <si>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</si>
  <si>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</si>
  <si>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</si>
  <si>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CalculatePTT</t>
  </si>
  <si>
    <t>Increase</t>
  </si>
  <si>
    <t>Account</t>
  </si>
  <si>
    <t>Allocation1,Allocation2</t>
  </si>
  <si>
    <t>VerifyPTT</t>
  </si>
  <si>
    <t>SetPTTPreference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</si>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</sst>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>
        <v>500.0</v>
      </c>
      <c r="D7" s="13">
        <v>10.0</v>
      </c>
      <c r="E7" s="13" t="s">
        <v>17</v>
      </c>
      <c r="F7" s="8"/>
      <c r="G7" s="8"/>
      <c r="H7" s="8"/>
      <c r="I7" s="13" t="s">
        <v>19</v>
      </c>
      <c r="J7" s="13" t="s">
        <v>18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>today()-1</f>
        <v>45795</v>
      </c>
      <c r="C6" s="35">
        <f>today()</f>
        <v>45796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28</v>
      </c>
      <c r="D6" s="13"/>
      <c r="E6" s="13">
        <v>10.0</v>
      </c>
      <c r="F6" s="13">
        <v>10.0</v>
      </c>
      <c r="G6" s="8"/>
      <c r="H6" s="13" t="s">
        <v>29</v>
      </c>
      <c r="I6" s="13" t="s">
        <v>30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>
        <v>100.0</v>
      </c>
      <c r="E6" s="13">
        <v>1000.0</v>
      </c>
      <c r="F6" s="8"/>
      <c r="G6" s="8"/>
      <c r="H6" s="13">
        <v>10.99</v>
      </c>
      <c r="I6" s="13">
        <v>1010.0</v>
      </c>
      <c r="J6" s="13">
        <v>1110.0</v>
      </c>
      <c r="K6" s="8"/>
      <c r="L6" s="13">
        <v>95.25</v>
      </c>
      <c r="M6" s="8"/>
      <c r="N6" s="8"/>
      <c r="O6" s="8"/>
      <c r="R6" s="9" t="s">
        <v>18</v>
      </c>
    </row>
    <row r="7" ht="15.75" customHeight="1">
      <c r="A7" s="8"/>
      <c r="B7" s="13" t="s">
        <v>19</v>
      </c>
      <c r="C7" s="8"/>
      <c r="D7" s="13">
        <v>500.0</v>
      </c>
      <c r="E7" s="13">
        <v>5000.0</v>
      </c>
      <c r="F7" s="8"/>
      <c r="G7" s="8"/>
      <c r="H7" s="13">
        <v>110.0</v>
      </c>
      <c r="I7" s="13">
        <v>50.0</v>
      </c>
      <c r="J7" s="13">
        <v>550.0</v>
      </c>
      <c r="K7" s="8"/>
      <c r="L7" s="13">
        <v>4.72</v>
      </c>
      <c r="M7" s="8"/>
      <c r="N7" s="8"/>
      <c r="O7" s="8"/>
      <c r="R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IFERROR(__xludf.DUMMYFUNCTION("""COMPUTED_VALUE"""),"Add/Subtract/Set")</f>
        <v>Add/Subtract/Set</v>
      </c>
      <c r="C5" s="28" t="str">
        <f>IFERROR(__xludf.DUMMYFUNCTION("""COMPUTED_VALUE"""),"Type")</f>
        <v>Type</v>
      </c>
      <c r="D5" s="28" t="str">
        <f>IFERROR(__xludf.DUMMYFUNCTION("""COMPUTED_VALUE"""),"Combined Account Total")</f>
        <v>Combined Account Total</v>
      </c>
      <c r="E5" s="28" t="str">
        <f>IFERROR(__xludf.DUMMYFUNCTION("""COMPUTED_VALUE"""),"MasterFund/Account")</f>
        <v>MasterFund/Account</v>
      </c>
      <c r="F5" s="29" t="str">
        <f>IFERROR(__xludf.DUMMYFUNCTION("""COMPUTED_VALUE"""),"Accounts")</f>
        <v>Accounts</v>
      </c>
      <c r="G5" s="28" t="str">
        <f>IFERROR(__xludf.DUMMYFUNCTION("""COMPUTED_VALUE"""),"Increase Decimal Digits")</f>
        <v>Increase Decimal Digits</v>
      </c>
      <c r="H5" s="28" t="str">
        <f>IFERROR(__xludf.DUMMYFUNCTION("""COMPUTED_VALUE"""),"ChkRemoveAccountsWithZeroNAV")</f>
        <v>ChkRemoveAccountsWithZeroNAV</v>
      </c>
      <c r="I5" s="28" t="str">
        <f>IFERROR(__xludf.DUMMYFUNCTION("""COMPUTED_VALUE"""),"Default Symbology")</f>
        <v>Default Symbology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33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SetPTTPreference!$4:$4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>
        <v>100.0</v>
      </c>
      <c r="E6" s="33"/>
      <c r="F6" s="8"/>
      <c r="G6" s="13">
        <v>1.66</v>
      </c>
      <c r="H6" s="13">
        <v>2.6</v>
      </c>
      <c r="I6" s="13">
        <v>176.0</v>
      </c>
      <c r="J6" s="13">
        <v>276.0</v>
      </c>
      <c r="K6" s="8"/>
      <c r="L6" s="13">
        <v>16.62</v>
      </c>
      <c r="M6" s="8"/>
      <c r="N6" s="8"/>
      <c r="O6" s="8"/>
    </row>
    <row r="7" ht="15.75" customHeight="1">
      <c r="A7" s="8"/>
      <c r="B7" s="13" t="s">
        <v>19</v>
      </c>
      <c r="C7" s="8"/>
      <c r="D7" s="13">
        <v>500.0</v>
      </c>
      <c r="E7" s="8"/>
      <c r="F7" s="8"/>
      <c r="G7" s="13">
        <v>8.33</v>
      </c>
      <c r="H7" s="13">
        <v>13.05</v>
      </c>
      <c r="I7" s="13">
        <v>883.0</v>
      </c>
      <c r="J7" s="13">
        <v>1383.0</v>
      </c>
      <c r="K7" s="8"/>
      <c r="L7" s="13">
        <v>83.38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