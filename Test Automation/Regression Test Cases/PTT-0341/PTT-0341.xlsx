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alculatePTT" sheetId="6" r:id="rId8"/>
    <sheet state="visible" name="CustomOrderTT" sheetId="7" r:id="rId9"/>
    <sheet state="visible" name="VerifyTradeSummary" sheetId="8" r:id="rId10"/>
    <sheet state="visible" name="SelectTradeOnOrderGrid" sheetId="9" r:id="rId11"/>
    <sheet state="visible" name="RightClickAndClickOperations" sheetId="10" r:id="rId12"/>
    <sheet state="visible" name="CreateReplaceOrder" sheetId="11" r:id="rId13"/>
    <sheet state="visible" name="CreateDoneAwayOrder" sheetId="12" r:id="rId14"/>
    <sheet state="visible" name="PricingInput" sheetId="13" r:id="rId15"/>
    <sheet state="visible" name="CreateOrderPTT" sheetId="14" r:id="rId16"/>
    <sheet state="visible" name="EditStageOrder" sheetId="15" r:id="rId17"/>
    <sheet state="visible" name="CustomOrderTT1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<sst xmlns="http://schemas.openxmlformats.org/spreadsheetml/2006/main" count="293" uniqueCount="144">
  <si>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</si>
  <si>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</si>
  <si>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</si>
  <si>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</si>
  <si>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</si>
  <si>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</si>
  <si>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</si>
  <si>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</si>
  <si>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</si>
  <si>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</si>
  <si>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</si>
  <si>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</si>
  <si>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</si>
  <si>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</si>
  <si>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</si>
  <si>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</si>
  <si>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Select Date</t>
  </si>
  <si>
    <t>Copy From</t>
  </si>
  <si>
    <t>Account</t>
  </si>
  <si>
    <t>Local Currency</t>
  </si>
  <si>
    <t>Cash Value Local</t>
  </si>
  <si>
    <t>Allocation1</t>
  </si>
  <si>
    <t>USD</t>
  </si>
  <si>
    <t>Allocation2</t>
  </si>
  <si>
    <t>AAPL</t>
  </si>
  <si>
    <t>Increase</t>
  </si>
  <si>
    <t>Percentage</t>
  </si>
  <si>
    <t>Allocation1,Allocation2</t>
  </si>
  <si>
    <t>TradingTicket</t>
  </si>
  <si>
    <t>CustomOrderTT</t>
  </si>
  <si>
    <t>CreateOrder</t>
  </si>
  <si>
    <t>VerifyTradeSummary</t>
  </si>
  <si>
    <t>Buy</t>
  </si>
  <si>
    <t>Yes</t>
  </si>
  <si>
    <t>Blotter</t>
  </si>
  <si>
    <t>SelectTradeOnOrderGrid</t>
  </si>
  <si>
    <t>Unknown</t>
  </si>
  <si>
    <t>RightClickAndClickOperations</t>
  </si>
  <si>
    <t>Edit Order(s)</t>
  </si>
  <si>
    <t>order</t>
  </si>
  <si>
    <t>CreateReplaceOrder</t>
  </si>
  <si>
    <t>CreateOrderPTT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</si>
  <si>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</si>
  <si>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</si>
  <si>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</si>
  <si>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</si>
  <si>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</si>
  <si>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</si>
  <si>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</si>
  <si>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</si>
  <si>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</si>
  <si>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</si>
  <si>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</si>
  <si>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</si>
  <si>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</si>
  <si>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</si>
  <si>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</si>
  <si>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</si>
  <si>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</si>
  <si>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</si>
  <si>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</si>
  <si>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</si>
  <si>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</si>
  <si>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</si>
  <si>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</si>
  <si>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</si>
  <si>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</si>
  <si>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</si>
  <si>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</si>
  <si>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</si>
  <si>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</si>
  <si>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</si>
  <si>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</si>
  <si>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</si>
  <si>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</si>
  <si>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</si>
  <si>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</si>
  <si>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</si>
  <si>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</si>
  <si>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</si>
  <si>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</si>
  <si>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</si>
  <si>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</si>
  <si>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</si>
  <si>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</si>
  <si>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</si>
  <si>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</si>
  <si>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</si>
  <si>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</si>
  <si>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</si>
  <si>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</si>
  <si>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</si>
  <si>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</si>
  <si>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</si>
  <si>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</si>
  <si>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</si>
  <si>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</si>
  <si>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</si>
  <si>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</si>
  <si>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</si>
  <si>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</si>
  <si>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</si>
  <si>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</si>
  <si>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</si>
  <si>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Allocation3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</si>
  <si>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</si>
  <si>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</si>
  <si>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</si>
  <si>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</si>
  <si>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</si>
  <si>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</si>
  <si>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</si>
  <si>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</si>
  <si>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</si>
  <si>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</si>
  <si>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</si>
  <si>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</si>
  <si>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</si>
  <si>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</si>
  <si>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</si>
  <si>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</si>
  <si>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</si>
  <si>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</si>
  <si>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EditStageOrder</t>
  </si>
  <si>
    <t>New</t>
  </si>
  <si>
    <t>Replace</t>
  </si>
  <si>
    <t>VerifyOrder</t>
  </si>
  <si>
    <t>AAPL US EQUITY</t>
  </si>
  <si>
    <t>NASDAQ</t>
  </si>
  <si>
    <t>jpearce</t>
  </si>
  <si>
    <t>US</t>
  </si>
  <si>
    <t>GCCAP1</t>
  </si>
  <si>
    <t>NONE</t>
  </si>
  <si>
    <t>NewMF</t>
  </si>
  <si>
    <t>M</t>
  </si>
  <si>
    <t>Equity</t>
  </si>
  <si>
    <t>Filled</t>
  </si>
  <si>
    <t>MS</t>
  </si>
  <si>
    <t>Market</t>
  </si>
  <si>
    <t>Manual</t>
  </si>
  <si>
    <t>Day</t>
  </si>
  <si>
    <t>Multiple</t>
  </si>
  <si>
    <t>Replaced</t>
  </si>
  <si>
    <t>PST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</si>
</sst>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3" numFmtId="0" xfId="0" applyAlignment="1" applyFill="1" applyFont="1">
      <alignment vertical="bottom"/>
    </xf>
    <xf borderId="4" fillId="5" fontId="4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5" fontId="4" numFmtId="0" xfId="0" applyAlignment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4" fillId="5" fontId="4" numFmtId="0" xfId="0" applyAlignment="1" applyBorder="1" applyFont="1">
      <alignment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5" fontId="10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30"/>
      <c r="B6" s="31">
        <f>TODAY()-1</f>
        <v>45938</v>
      </c>
      <c r="C6" s="31">
        <f>TODAY()</f>
        <v>45939</v>
      </c>
      <c r="D6" s="30"/>
      <c r="E6" s="30"/>
      <c r="F6" s="30"/>
      <c r="G6" s="32"/>
      <c r="H6" s="30"/>
      <c r="I6" s="30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3"/>
      <c r="B5" s="34" t="s">
        <v>18</v>
      </c>
      <c r="C5" s="34" t="s">
        <v>19</v>
      </c>
      <c r="D5" s="34" t="s">
        <v>20</v>
      </c>
      <c r="E5" s="35"/>
      <c r="F5" s="34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</row>
    <row r="6" ht="15.75" customHeight="1">
      <c r="A6" s="12"/>
      <c r="B6" s="12" t="s">
        <v>21</v>
      </c>
      <c r="C6" s="12" t="s">
        <v>22</v>
      </c>
      <c r="D6" s="12">
        <v>10000.0</v>
      </c>
      <c r="E6" s="12"/>
      <c r="F6" s="12"/>
      <c r="G6" s="8"/>
      <c r="H6" s="12"/>
      <c r="I6" s="12"/>
      <c r="J6" s="8"/>
      <c r="K6" s="8"/>
      <c r="L6" s="8"/>
      <c r="M6" s="8"/>
      <c r="N6" s="8"/>
      <c r="O6" s="8"/>
    </row>
    <row r="7" ht="15.75" customHeight="1">
      <c r="A7" s="8"/>
      <c r="B7" s="12" t="s">
        <v>23</v>
      </c>
      <c r="C7" s="12" t="s">
        <v>22</v>
      </c>
      <c r="D7" s="12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3" t="str">
        <f>IFERROR(__xludf.DUMMYFUNCTION("TRANSPOSE(IMPORTRANGE(VLOOKUP($E$3,IMPORTRANGE('_Settings'!$B$3,$C$3&amp;""!A4:B1000""),2,FALSE),$G$3&amp;""!A4:A1000""))"),"")</f>
        <v/>
      </c>
      <c r="B5" s="35" t="str">
        <f>IFERROR(__xludf.DUMMYFUNCTION("""COMPUTED_VALUE"""),"Ticker")</f>
        <v>Ticker</v>
      </c>
      <c r="C5" s="35" t="str">
        <f>IFERROR(__xludf.DUMMYFUNCTION("""COMPUTED_VALUE"""),"Add/Set")</f>
        <v>Add/Set</v>
      </c>
      <c r="D5" s="35" t="str">
        <f>IFERROR(__xludf.DUMMYFUNCTION("""COMPUTED_VALUE"""),"Type")</f>
        <v>Type</v>
      </c>
      <c r="E5" s="35" t="str">
        <f>IFERROR(__xludf.DUMMYFUNCTION("""COMPUTED_VALUE"""),"Target")</f>
        <v>Target</v>
      </c>
      <c r="F5" s="34" t="str">
        <f>IFERROR(__xludf.DUMMYFUNCTION("""COMPUTED_VALUE"""),"Price")</f>
        <v>Price</v>
      </c>
      <c r="G5" s="35" t="str">
        <f>IFERROR(__xludf.DUMMYFUNCTION("""COMPUTED_VALUE"""),"Combined Account Total")</f>
        <v>Combined Account Total</v>
      </c>
      <c r="H5" s="35" t="str">
        <f>IFERROR(__xludf.DUMMYFUNCTION("""COMPUTED_VALUE"""),"MasterFund/Account")</f>
        <v>MasterFund/Account</v>
      </c>
      <c r="I5" s="35" t="str">
        <f>IFERROR(__xludf.DUMMYFUNCTION("""COMPUTED_VALUE"""),"Accounts")</f>
        <v>Accounts</v>
      </c>
      <c r="J5" s="35" t="str">
        <f>IFERROR(__xludf.DUMMYFUNCTION("""COMPUTED_VALUE"""),"Master Funds")</f>
        <v>Master Funds</v>
      </c>
      <c r="K5" s="35" t="str">
        <f>IFERROR(__xludf.DUMMYFUNCTION("""COMPUTED_VALUE"""),"Round Lots")</f>
        <v>Round Lots</v>
      </c>
      <c r="L5" s="35" t="str">
        <f>IFERROR(__xludf.DUMMYFUNCTION("""COMPUTED_VALUE"""),"Use Custodian Broker")</f>
        <v>Use Custodian Broker</v>
      </c>
      <c r="M5" s="35" t="str">
        <f>IFERROR(__xludf.DUMMYFUNCTION("""COMPUTED_VALUE"""),"Broker")</f>
        <v>Broker</v>
      </c>
      <c r="N5" s="35" t="str">
        <f>IFERROR(__xludf.DUMMYFUNCTION("""COMPUTED_VALUE"""),"Venue")</f>
        <v>Venue</v>
      </c>
      <c r="O5" s="35" t="str">
        <f>IFERROR(__xludf.DUMMYFUNCTION("""COMPUTED_VALUE"""),"TIF")</f>
        <v>TIF</v>
      </c>
      <c r="P5" s="35" t="str">
        <f>IFERROR(__xludf.DUMMYFUNCTION("""COMPUTED_VALUE"""),"Order Type")</f>
        <v>Order Type</v>
      </c>
      <c r="Q5" s="35" t="str">
        <f>IFERROR(__xludf.DUMMYFUNCTION("""COMPUTED_VALUE"""),"Stop")</f>
        <v>Stop</v>
      </c>
      <c r="R5" s="35" t="str">
        <f>IFERROR(__xludf.DUMMYFUNCTION("""COMPUTED_VALUE"""),"Limit")</f>
        <v>Limit</v>
      </c>
      <c r="S5" s="35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</row>
    <row r="6" ht="15.75" customHeight="1">
      <c r="A6" s="12"/>
      <c r="B6" s="12" t="s">
        <v>24</v>
      </c>
      <c r="C6" s="12" t="s">
        <v>25</v>
      </c>
      <c r="D6" s="12" t="s">
        <v>26</v>
      </c>
      <c r="E6" s="12">
        <v>10.0</v>
      </c>
      <c r="F6" s="12">
        <v>3.0</v>
      </c>
      <c r="G6" s="8"/>
      <c r="H6" s="12" t="s">
        <v>18</v>
      </c>
      <c r="I6" s="12" t="s">
        <v>27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3" t="str">
        <f>IFERROR(__xludf.DUMMYFUNCTION("TRANSPOSE(IMPORTRANGE(VLOOKUP($E$3,IMPORTRANGE('_Settings'!$B$3,$C$3&amp;""!A4:B1000""),2,FALSE),$G$3&amp;""!A4:A1000""))"),"")</f>
        <v/>
      </c>
      <c r="B5" s="35" t="str">
        <f>IFERROR(__xludf.DUMMYFUNCTION("""COMPUTED_VALUE"""),"Symbol")</f>
        <v>Symbol</v>
      </c>
      <c r="C5" s="35" t="str">
        <f>IFERROR(__xludf.DUMMYFUNCTION("""COMPUTED_VALUE"""),"Quantity")</f>
        <v>Quantity</v>
      </c>
      <c r="D5" s="35" t="str">
        <f>IFERROR(__xludf.DUMMYFUNCTION("""COMPUTED_VALUE"""),"Price")</f>
        <v>Price</v>
      </c>
      <c r="E5" s="35" t="str">
        <f>IFERROR(__xludf.DUMMYFUNCTION("""COMPUTED_VALUE"""),"Order type button")</f>
        <v>Order type button</v>
      </c>
      <c r="F5" s="34" t="str">
        <f>IFERROR(__xludf.DUMMYFUNCTION("""COMPUTED_VALUE"""),"SharesOutstandingPopUp")</f>
        <v>SharesOutstandingPopUp</v>
      </c>
      <c r="G5" s="35" t="str">
        <f>IFERROR(__xludf.DUMMYFUNCTION("""COMPUTED_VALUE"""),"TT_Open")</f>
        <v>TT_Open</v>
      </c>
      <c r="H5" s="35" t="str">
        <f>IFERROR(__xludf.DUMMYFUNCTION("""COMPUTED_VALUE"""),"SharesOutstandingPopUpQty")</f>
        <v>SharesOutstandingPopUpQty</v>
      </c>
      <c r="I5" s="35" t="str">
        <f>IFERROR(__xludf.DUMMYFUNCTION("""COMPUTED_VALUE"""),"AllocationMethod")</f>
        <v>AllocationMethod</v>
      </c>
      <c r="J5" s="35" t="str">
        <f>IFERROR(__xludf.DUMMYFUNCTION("""COMPUTED_VALUE"""),"Order Side")</f>
        <v>Order Side</v>
      </c>
      <c r="K5" s="35" t="str">
        <f>IFERROR(__xludf.DUMMYFUNCTION("""COMPUTED_VALUE"""),"DB_Check")</f>
        <v>DB_Check</v>
      </c>
      <c r="L5" s="35" t="str">
        <f>IFERROR(__xludf.DUMMYFUNCTION("""COMPUTED_VALUE"""),"CommissionBasis")</f>
        <v>CommissionBasis</v>
      </c>
      <c r="M5" s="35" t="str">
        <f>IFERROR(__xludf.DUMMYFUNCTION("""COMPUTED_VALUE"""),"CommissionRate")</f>
        <v>CommissionRate</v>
      </c>
      <c r="N5" s="35" t="str">
        <f>IFERROR(__xludf.DUMMYFUNCTION("""COMPUTED_VALUE"""),"SoftBasis")</f>
        <v>SoftBasis</v>
      </c>
      <c r="O5" s="35" t="str">
        <f>IFERROR(__xludf.DUMMYFUNCTION("""COMPUTED_VALUE"""),"SoftRate")</f>
        <v>SoftRate</v>
      </c>
      <c r="P5" s="35" t="str">
        <f>IFERROR(__xludf.DUMMYFUNCTION("""COMPUTED_VALUE"""),"Account")</f>
        <v>Account</v>
      </c>
      <c r="Q5" s="35" t="str">
        <f>IFERROR(__xludf.DUMMYFUNCTION("""COMPUTED_VALUE"""),"Account %")</f>
        <v>Account %</v>
      </c>
      <c r="R5" s="35" t="str">
        <f>IFERROR(__xludf.DUMMYFUNCTION("""COMPUTED_VALUE"""),"VerifySuggestions")</f>
        <v>VerifySuggestions</v>
      </c>
      <c r="S5" s="35" t="str">
        <f>IFERROR(__xludf.DUMMYFUNCTION("""COMPUTED_VALUE"""),"SymbolToPickFromSuggesstions")</f>
        <v>SymbolToPickFromSuggesstions</v>
      </c>
      <c r="T5" s="36" t="str">
        <f>IFERROR(__xludf.DUMMYFUNCTION("""COMPUTED_VALUE"""),"TypedSymbolAvailableOnSuggestion")</f>
        <v>TypedSymbolAvailableOnSuggestion</v>
      </c>
      <c r="U5" s="36" t="str">
        <f>IFERROR(__xludf.DUMMYFUNCTION("""COMPUTED_VALUE"""),"TIF")</f>
        <v>TIF</v>
      </c>
      <c r="V5" s="36" t="str">
        <f>IFERROR(__xludf.DUMMYFUNCTION("""COMPUTED_VALUE"""),"Order Type")</f>
        <v>Order Type</v>
      </c>
      <c r="W5" s="36" t="str">
        <f>IFERROR(__xludf.DUMMYFUNCTION("""COMPUTED_VALUE"""),"Stop")</f>
        <v>Stop</v>
      </c>
      <c r="X5" s="36" t="str">
        <f>IFERROR(__xludf.DUMMYFUNCTION("""COMPUTED_VALUE"""),"Limit")</f>
        <v>Limit</v>
      </c>
      <c r="Y5" s="36" t="str">
        <f>IFERROR(__xludf.DUMMYFUNCTION("""COMPUTED_VALUE"""),"Expiration Date")</f>
        <v>Expiration Date</v>
      </c>
      <c r="Z5" s="36" t="str">
        <f>IFERROR(__xludf.DUMMYFUNCTION("""COMPUTED_VALUE"""),"Trade Date")</f>
        <v>Trade Date</v>
      </c>
      <c r="AA5" s="36" t="str">
        <f>IFERROR(__xludf.DUMMYFUNCTION("""COMPUTED_VALUE"""),"Broker")</f>
        <v>Broker</v>
      </c>
      <c r="AB5" s="36" t="str">
        <f>IFERROR(__xludf.DUMMYFUNCTION("""COMPUTED_VALUE"""),"Padlock Visiblity")</f>
        <v>Padlock Visiblity</v>
      </c>
      <c r="AC5" s="36" t="str">
        <f>IFERROR(__xludf.DUMMYFUNCTION("""COMPUTED_VALUE"""),"Padlock Unlock")</f>
        <v>Padlock Unlock</v>
      </c>
      <c r="AD5" s="36" t="str">
        <f>IFERROR(__xludf.DUMMYFUNCTION("""COMPUTED_VALUE"""),"Venue")</f>
        <v>Venue</v>
      </c>
      <c r="AE5" s="36" t="str">
        <f>IFERROR(__xludf.DUMMYFUNCTION("""COMPUTED_VALUE"""),"Fx Rate")</f>
        <v>Fx Rate</v>
      </c>
      <c r="AF5" s="36" t="str">
        <f>IFERROR(__xludf.DUMMYFUNCTION("""COMPUTED_VALUE"""),"Fx Operator")</f>
        <v>Fx Operator</v>
      </c>
      <c r="AG5" s="36" t="str">
        <f>IFERROR(__xludf.DUMMYFUNCTION("""COMPUTED_VALUE"""),"PendingApprovalPopUp")</f>
        <v>PendingApprovalPopUp</v>
      </c>
      <c r="AH5" s="36" t="str">
        <f>IFERROR(__xludf.DUMMYFUNCTION("""COMPUTED_VALUE"""),"TradeBy")</f>
        <v>TradeBy</v>
      </c>
      <c r="AI5" s="36" t="str">
        <f>IFERROR(__xludf.DUMMYFUNCTION("""COMPUTED_VALUE"""),"BookAsSwap")</f>
        <v>BookAsSwap</v>
      </c>
      <c r="AJ5" s="36" t="str">
        <f>IFERROR(__xludf.DUMMYFUNCTION("""COMPUTED_VALUE"""),"RoundLot")</f>
        <v>RoundLot</v>
      </c>
      <c r="AK5" s="36" t="str">
        <f>IFERROR(__xludf.DUMMYFUNCTION("""COMPUTED_VALUE"""),"Increment")</f>
        <v>Increment</v>
      </c>
      <c r="AL5" s="36" t="str">
        <f>IFERROR(__xludf.DUMMYFUNCTION("""COMPUTED_VALUE"""),"Decrement")</f>
        <v>Decrement</v>
      </c>
      <c r="AM5" s="36" t="str">
        <f>IFERROR(__xludf.DUMMYFUNCTION("""COMPUTED_VALUE"""),"FixDisconnectionPopup")</f>
        <v>FixDisconnectionPopup</v>
      </c>
      <c r="AN5" s="36" t="str">
        <f>IFERROR(__xludf.DUMMYFUNCTION("""COMPUTED_VALUE"""),"Trade Attribute 01")</f>
        <v>Trade Attribute 01</v>
      </c>
      <c r="AO5" s="36" t="str">
        <f>IFERROR(__xludf.DUMMYFUNCTION("""COMPUTED_VALUE"""),"Trade Attribute 02")</f>
        <v>Trade Attribute 02</v>
      </c>
      <c r="AP5" s="36" t="str">
        <f>IFERROR(__xludf.DUMMYFUNCTION("""COMPUTED_VALUE"""),"Trade Attribute 03")</f>
        <v>Trade Attribute 03</v>
      </c>
      <c r="AQ5" s="36" t="str">
        <f>IFERROR(__xludf.DUMMYFUNCTION("""COMPUTED_VALUE"""),"Trade Attribute 04")</f>
        <v>Trade Attribute 04</v>
      </c>
      <c r="AR5" s="36" t="str">
        <f>IFERROR(__xludf.DUMMYFUNCTION("""COMPUTED_VALUE"""),"Trade Attribute 05")</f>
        <v>Trade Attribute 05</v>
      </c>
      <c r="AS5" s="36" t="str">
        <f>IFERROR(__xludf.DUMMYFUNCTION("""COMPUTED_VALUE"""),"Trade Attribute 06")</f>
        <v>Trade Attribute 06</v>
      </c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</row>
    <row r="6" ht="15.75" customHeight="1">
      <c r="A6" s="12"/>
      <c r="B6" s="12"/>
      <c r="C6" s="8"/>
      <c r="D6" s="12"/>
      <c r="E6" s="12" t="s">
        <v>30</v>
      </c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3" t="str">
        <f>IFERROR(__xludf.DUMMYFUNCTION("TRANSPOSE(IMPORTRANGE(VLOOKUP($E$3,IMPORTRANGE('_Settings'!$B$3,$C$3&amp;""!A4:B1000""),2,FALSE),$G$3&amp;""!A4:A1000""))"),"")</f>
        <v/>
      </c>
      <c r="B5" s="35" t="str">
        <f>IFERROR(__xludf.DUMMYFUNCTION("""COMPUTED_VALUE"""),"Account")</f>
        <v>Account</v>
      </c>
      <c r="C5" s="35" t="str">
        <f>IFERROR(__xludf.DUMMYFUNCTION("""COMPUTED_VALUE"""),"Quantity")</f>
        <v>Quantity</v>
      </c>
      <c r="D5" s="35" t="str">
        <f>IFERROR(__xludf.DUMMYFUNCTION("""COMPUTED_VALUE"""),"Order side")</f>
        <v>Order side</v>
      </c>
      <c r="E5" s="35" t="str">
        <f>IFERROR(__xludf.DUMMYFUNCTION("""COMPUTED_VALUE"""),"AllowTrade")</f>
        <v>AllowTrade</v>
      </c>
      <c r="F5" s="34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</row>
    <row r="6" ht="15.75" customHeight="1">
      <c r="A6" s="12"/>
      <c r="B6" s="12" t="s">
        <v>21</v>
      </c>
      <c r="C6" s="12">
        <v>152805.0</v>
      </c>
      <c r="D6" s="12" t="s">
        <v>32</v>
      </c>
      <c r="E6" s="12" t="s">
        <v>33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23</v>
      </c>
      <c r="C7" s="12">
        <v>32571.0</v>
      </c>
      <c r="D7" s="12" t="s">
        <v>32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VerifyTradeSummary!$4:$4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3" t="str">
        <f>IFERROR(__xludf.DUMMYFUNCTION("TRANSPOSE(IMPORTRANGE(VLOOKUP($E$3,IMPORTRANGE('_Settings'!$B$3,$C$3&amp;""!A4:B1000""),2,FALSE),$G$3&amp;""!A4:A1000""))"),"")</f>
        <v/>
      </c>
      <c r="B5" s="35" t="str">
        <f>IFERROR(__xludf.DUMMYFUNCTION("""COMPUTED_VALUE"""),"Avg Fill Price (Base)")</f>
        <v>Avg Fill Price (Base)</v>
      </c>
      <c r="C5" s="35" t="str">
        <f>IFERROR(__xludf.DUMMYFUNCTION("""COMPUTED_VALUE"""),"Transaction Time")</f>
        <v>Transaction Time</v>
      </c>
      <c r="D5" s="35" t="str">
        <f>IFERROR(__xludf.DUMMYFUNCTION("""COMPUTED_VALUE"""),"Symbol")</f>
        <v>Symbol</v>
      </c>
      <c r="E5" s="35" t="str">
        <f>IFERROR(__xludf.DUMMYFUNCTION("""COMPUTED_VALUE"""),"Algo")</f>
        <v>Algo</v>
      </c>
      <c r="F5" s="34" t="str">
        <f>IFERROR(__xludf.DUMMYFUNCTION("""COMPUTED_VALUE"""),"Side")</f>
        <v>Side</v>
      </c>
      <c r="G5" s="35" t="str">
        <f>IFERROR(__xludf.DUMMYFUNCTION("""COMPUTED_VALUE"""),"Status")</f>
        <v>Status</v>
      </c>
      <c r="H5" s="35" t="str">
        <f>IFERROR(__xludf.DUMMYFUNCTION("""COMPUTED_VALUE"""),"Target Qty")</f>
        <v>Target Qty</v>
      </c>
      <c r="I5" s="35" t="str">
        <f>IFERROR(__xludf.DUMMYFUNCTION("""COMPUTED_VALUE"""),"Total Executed Qty")</f>
        <v>Total Executed Qty</v>
      </c>
      <c r="J5" s="35" t="str">
        <f>IFERROR(__xludf.DUMMYFUNCTION("""COMPUTED_VALUE"""),"% Executed")</f>
        <v>% Executed</v>
      </c>
      <c r="K5" s="35" t="str">
        <f>IFERROR(__xludf.DUMMYFUNCTION("""COMPUTED_VALUE"""),"Day Executed Qty")</f>
        <v>Day Executed Qty</v>
      </c>
      <c r="L5" s="35" t="str">
        <f>IFERROR(__xludf.DUMMYFUNCTION("""COMPUTED_VALUE"""),"Uncommitted Qty")</f>
        <v>Uncommitted Qty</v>
      </c>
      <c r="M5" s="35" t="str">
        <f>IFERROR(__xludf.DUMMYFUNCTION("""COMPUTED_VALUE"""),"Limit Price")</f>
        <v>Limit Price</v>
      </c>
      <c r="N5" s="35" t="str">
        <f>IFERROR(__xludf.DUMMYFUNCTION("""COMPUTED_VALUE"""),"Last Fill Price (Local)")</f>
        <v>Last Fill Price (Local)</v>
      </c>
      <c r="O5" s="35" t="str">
        <f>IFERROR(__xludf.DUMMYFUNCTION("""COMPUTED_VALUE"""),"Stop Price")</f>
        <v>Stop Price</v>
      </c>
      <c r="P5" s="35" t="str">
        <f>IFERROR(__xludf.DUMMYFUNCTION("""COMPUTED_VALUE"""),"Avg Fill Price (Local)")</f>
        <v>Avg Fill Price (Local)</v>
      </c>
      <c r="Q5" s="35" t="str">
        <f>IFERROR(__xludf.DUMMYFUNCTION("""COMPUTED_VALUE"""),"Broker")</f>
        <v>Broker</v>
      </c>
      <c r="R5" s="35" t="str">
        <f>IFERROR(__xludf.DUMMYFUNCTION("""COMPUTED_VALUE"""),"Account")</f>
        <v>Account</v>
      </c>
      <c r="S5" s="35" t="str">
        <f>IFERROR(__xludf.DUMMYFUNCTION("""COMPUTED_VALUE"""),"OrderID")</f>
        <v>OrderID</v>
      </c>
      <c r="T5" s="36" t="str">
        <f>IFERROR(__xludf.DUMMYFUNCTION("""COMPUTED_VALUE"""),"Order Type")</f>
        <v>Order Type</v>
      </c>
      <c r="U5" s="36" t="str">
        <f>IFERROR(__xludf.DUMMYFUNCTION("""COMPUTED_VALUE"""),"Principal Amount (Local)")</f>
        <v>Principal Amount (Local)</v>
      </c>
      <c r="V5" s="36" t="str">
        <f>IFERROR(__xludf.DUMMYFUNCTION("""COMPUTED_VALUE"""),"Principal Amount (Base)")</f>
        <v>Principal Amount (Base)</v>
      </c>
      <c r="W5" s="36" t="str">
        <f>IFERROR(__xludf.DUMMYFUNCTION("""COMPUTED_VALUE"""),"Peg")</f>
        <v>Peg</v>
      </c>
      <c r="X5" s="36" t="str">
        <f>IFERROR(__xludf.DUMMYFUNCTION("""COMPUTED_VALUE"""),"ParentClOrderID")</f>
        <v>ParentClOrderID</v>
      </c>
      <c r="Y5" s="36" t="str">
        <f>IFERROR(__xludf.DUMMYFUNCTION("""COMPUTED_VALUE"""),"Strike Price")</f>
        <v>Strike Price</v>
      </c>
      <c r="Z5" s="36" t="str">
        <f>IFERROR(__xludf.DUMMYFUNCTION("""COMPUTED_VALUE"""),"Last Shares")</f>
        <v>Last Shares</v>
      </c>
      <c r="AA5" s="36" t="str">
        <f>IFERROR(__xludf.DUMMYFUNCTION("""COMPUTED_VALUE"""),"Working Qty")</f>
        <v>Working Qty</v>
      </c>
      <c r="AB5" s="36" t="str">
        <f>IFERROR(__xludf.DUMMYFUNCTION("""COMPUTED_VALUE"""),"Bloomberg Symbol")</f>
        <v>Bloomberg Symbol</v>
      </c>
      <c r="AC5" s="36" t="str">
        <f>IFERROR(__xludf.DUMMYFUNCTION("""COMPUTED_VALUE"""),"Imported File Name")</f>
        <v>Imported File Name</v>
      </c>
      <c r="AD5" s="36" t="str">
        <f>IFERROR(__xludf.DUMMYFUNCTION("""COMPUTED_VALUE"""),"Master Fund")</f>
        <v>Master Fund</v>
      </c>
      <c r="AE5" s="36" t="str">
        <f>IFERROR(__xludf.DUMMYFUNCTION("""COMPUTED_VALUE"""),"Day Average Price")</f>
        <v>Day Average Price</v>
      </c>
      <c r="AF5" s="36" t="str">
        <f>IFERROR(__xludf.DUMMYFUNCTION("""COMPUTED_VALUE"""),"Asset Class")</f>
        <v>Asset Class</v>
      </c>
      <c r="AG5" s="36" t="str">
        <f>IFERROR(__xludf.DUMMYFUNCTION("""COMPUTED_VALUE"""),"Underlying Country")</f>
        <v>Underlying Country</v>
      </c>
      <c r="AH5" s="36" t="str">
        <f>IFERROR(__xludf.DUMMYFUNCTION("""COMPUTED_VALUE"""),"Trader")</f>
        <v>Trader</v>
      </c>
      <c r="AI5" s="36" t="str">
        <f>IFERROR(__xludf.DUMMYFUNCTION("""COMPUTED_VALUE"""),"User")</f>
        <v>User</v>
      </c>
      <c r="AJ5" s="36" t="str">
        <f>IFERROR(__xludf.DUMMYFUNCTION("""COMPUTED_VALUE"""),"Venue")</f>
        <v>Venue</v>
      </c>
      <c r="AK5" s="36" t="str">
        <f>IFERROR(__xludf.DUMMYFUNCTION("""COMPUTED_VALUE"""),"Settlement Currency")</f>
        <v>Settlement Currency</v>
      </c>
      <c r="AL5" s="36" t="str">
        <f>IFERROR(__xludf.DUMMYFUNCTION("""COMPUTED_VALUE"""),"FX Conversion Operator")</f>
        <v>FX Conversion Operator</v>
      </c>
      <c r="AM5" s="36" t="str">
        <f>IFERROR(__xludf.DUMMYFUNCTION("""COMPUTED_VALUE"""),"Process Date")</f>
        <v>Process Date</v>
      </c>
      <c r="AN5" s="36" t="str">
        <f>IFERROR(__xludf.DUMMYFUNCTION("""COMPUTED_VALUE"""),"Underlying Symbol")</f>
        <v>Underlying Symbol</v>
      </c>
      <c r="AO5" s="36" t="str">
        <f>IFERROR(__xludf.DUMMYFUNCTION("""COMPUTED_VALUE"""),"Put/Call")</f>
        <v>Put/Call</v>
      </c>
      <c r="AP5" s="36" t="str">
        <f>IFERROR(__xludf.DUMMYFUNCTION("""COMPUTED_VALUE"""),"FX Rate")</f>
        <v>FX Rate</v>
      </c>
      <c r="AQ5" s="36" t="str">
        <f>IFERROR(__xludf.DUMMYFUNCTION("""COMPUTED_VALUE"""),"Trade Attribute 1")</f>
        <v>Trade Attribute 1</v>
      </c>
      <c r="AR5" s="36" t="str">
        <f>IFERROR(__xludf.DUMMYFUNCTION("""COMPUTED_VALUE"""),"Trade Attribute 2")</f>
        <v>Trade Attribute 2</v>
      </c>
      <c r="AS5" s="36" t="str">
        <f>IFERROR(__xludf.DUMMYFUNCTION("""COMPUTED_VALUE"""),"Trade Attribute 3")</f>
        <v>Trade Attribute 3</v>
      </c>
      <c r="AT5" s="36" t="str">
        <f>IFERROR(__xludf.DUMMYFUNCTION("""COMPUTED_VALUE"""),"Trade Attribute 4")</f>
        <v>Trade Attribute 4</v>
      </c>
      <c r="AU5" s="36" t="str">
        <f>IFERROR(__xludf.DUMMYFUNCTION("""COMPUTED_VALUE"""),"Trade Attribute 5")</f>
        <v>Trade Attribute 5</v>
      </c>
      <c r="AV5" s="36" t="str">
        <f>IFERROR(__xludf.DUMMYFUNCTION("""COMPUTED_VALUE"""),"Trade Attribute 6")</f>
        <v>Trade Attribute 6</v>
      </c>
      <c r="AW5" s="36" t="str">
        <f>IFERROR(__xludf.DUMMYFUNCTION("""COMPUTED_VALUE"""),"Internal Comments")</f>
        <v>Internal Comments</v>
      </c>
      <c r="AX5" s="36" t="str">
        <f>IFERROR(__xludf.DUMMYFUNCTION("""COMPUTED_VALUE"""),"Allocation Scheme Name")</f>
        <v>Allocation Scheme Name</v>
      </c>
      <c r="AY5" s="36" t="str">
        <f>IFERROR(__xludf.DUMMYFUNCTION("""COMPUTED_VALUE"""),"Start of Day Qty")</f>
        <v>Start of Day Qty</v>
      </c>
      <c r="AZ5" s="36" t="str">
        <f>IFERROR(__xludf.DUMMYFUNCTION("""COMPUTED_VALUE"""),"Leaves")</f>
        <v>Leaves</v>
      </c>
      <c r="BA5" s="36" t="str">
        <f>IFERROR(__xludf.DUMMYFUNCTION("""COMPUTED_VALUE"""),"CheckBox")</f>
        <v>CheckBox</v>
      </c>
      <c r="BB5" s="36" t="str">
        <f>IFERROR(__xludf.DUMMYFUNCTION("""COMPUTED_VALUE"""),"Action on toolbar")</f>
        <v>Action on toolbar</v>
      </c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</row>
    <row r="6" ht="15.75" customHeight="1">
      <c r="A6" s="12"/>
      <c r="B6" s="12"/>
      <c r="C6" s="8"/>
      <c r="D6" s="12" t="s">
        <v>24</v>
      </c>
      <c r="E6" s="37"/>
      <c r="F6" s="12" t="s">
        <v>32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IFERROR(__xludf.DUMMYFUNCTION("IF(C3="""","""",Transpose(IMPORTRANGE('_Settings'!$B$3,C3&amp;""!A4:A1000"")))"),"RightClickAndClickOperations")</f>
        <v>RightClickAndClickOperations</v>
      </c>
      <c r="C4" s="24" t="str">
        <f>IFERROR(__xludf.DUMMYFUNCTION("""COMPUTED_VALUE"""),"CheckModStatus")</f>
        <v>CheckModStatus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3" t="str">
        <f>IFERROR(__xludf.DUMMYFUNCTION("TRANSPOSE(IMPORTRANGE(VLOOKUP($E$3,IMPORTRANGE('_Settings'!$B$3,$C$3&amp;""!A4:B1000""),2,FALSE),$G$3&amp;""!A4:A1000""))"),"")</f>
        <v/>
      </c>
      <c r="B5" s="35" t="str">
        <f>IFERROR(__xludf.DUMMYFUNCTION("""COMPUTED_VALUE"""),"Action")</f>
        <v>Action</v>
      </c>
      <c r="C5" s="35" t="str">
        <f>IFERROR(__xludf.DUMMYFUNCTION("""COMPUTED_VALUE"""),"GridName")</f>
        <v>GridName</v>
      </c>
      <c r="D5" s="35" t="str">
        <f>IFERROR(__xludf.DUMMYFUNCTION("""COMPUTED_VALUE"""),"PopUpsParentNames")</f>
        <v>PopUpsParentNames</v>
      </c>
      <c r="E5" s="35" t="str">
        <f>IFERROR(__xludf.DUMMYFUNCTION("""COMPUTED_VALUE"""),"SecondaryActions")</f>
        <v>SecondaryActions</v>
      </c>
      <c r="F5" s="34" t="str">
        <f>IFERROR(__xludf.DUMMYFUNCTION("""COMPUTED_VALUE"""),"Popups Text(empty AutomationID)")</f>
        <v>Popups Text(empty AutomationID)</v>
      </c>
      <c r="G5" s="35" t="str">
        <f>IFERROR(__xludf.DUMMYFUNCTION("""COMPUTED_VALUE"""),"Expected Popups(AutomationID)")</f>
        <v>Expected Popups(AutomationID)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</row>
    <row r="6" ht="15.75" customHeight="1">
      <c r="A6" s="8"/>
      <c r="B6" s="38" t="s">
        <v>38</v>
      </c>
      <c r="C6" s="12" t="s">
        <v>39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RightClickAndClickOperations!$4:$4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3" t="str">
        <f>IFERROR(__xludf.DUMMYFUNCTION("TRANSPOSE(IMPORTRANGE(VLOOKUP($E$3,IMPORTRANGE('_Settings'!$B$3,$C$3&amp;""!A4:B1000""),2,FALSE),$G$3&amp;""!A4:A1000""))"),"")</f>
        <v/>
      </c>
      <c r="B5" s="35" t="str">
        <f>IFERROR(__xludf.DUMMYFUNCTION("""COMPUTED_VALUE"""),"Symbol")</f>
        <v>Symbol</v>
      </c>
      <c r="C5" s="35" t="str">
        <f>IFERROR(__xludf.DUMMYFUNCTION("""COMPUTED_VALUE"""),"Order Side")</f>
        <v>Order Side</v>
      </c>
      <c r="D5" s="35" t="str">
        <f>IFERROR(__xludf.DUMMYFUNCTION("""COMPUTED_VALUE"""),"Quantity")</f>
        <v>Quantity</v>
      </c>
      <c r="E5" s="35" t="str">
        <f>IFERROR(__xludf.DUMMYFUNCTION("""COMPUTED_VALUE"""),"TargetQuantityIn")</f>
        <v>TargetQuantityIn</v>
      </c>
      <c r="F5" s="34" t="str">
        <f>IFERROR(__xludf.DUMMYFUNCTION("""COMPUTED_VALUE"""),"AllocationMethod")</f>
        <v>AllocationMethod</v>
      </c>
      <c r="G5" s="35" t="str">
        <f>IFERROR(__xludf.DUMMYFUNCTION("""COMPUTED_VALUE"""),"Broker")</f>
        <v>Broker</v>
      </c>
      <c r="H5" s="35" t="str">
        <f>IFERROR(__xludf.DUMMYFUNCTION("""COMPUTED_VALUE"""),"TIF")</f>
        <v>TIF</v>
      </c>
      <c r="I5" s="35" t="str">
        <f>IFERROR(__xludf.DUMMYFUNCTION("""COMPUTED_VALUE"""),"Order Type")</f>
        <v>Order Type</v>
      </c>
      <c r="J5" s="35" t="str">
        <f>IFERROR(__xludf.DUMMYFUNCTION("""COMPUTED_VALUE"""),"Price")</f>
        <v>Price</v>
      </c>
      <c r="K5" s="35" t="str">
        <f>IFERROR(__xludf.DUMMYFUNCTION("""COMPUTED_VALUE"""),"Stop")</f>
        <v>Stop</v>
      </c>
      <c r="L5" s="35" t="str">
        <f>IFERROR(__xludf.DUMMYFUNCTION("""COMPUTED_VALUE"""),"Limit")</f>
        <v>Limit</v>
      </c>
      <c r="M5" s="35" t="str">
        <f>IFERROR(__xludf.DUMMYFUNCTION("""COMPUTED_VALUE"""),"Strategy")</f>
        <v>Strategy</v>
      </c>
      <c r="N5" s="35" t="str">
        <f>IFERROR(__xludf.DUMMYFUNCTION("""COMPUTED_VALUE"""),"Trade Date")</f>
        <v>Trade Date</v>
      </c>
      <c r="O5" s="35" t="str">
        <f>IFERROR(__xludf.DUMMYFUNCTION("""COMPUTED_VALUE"""),"FxRate")</f>
        <v>FxRate</v>
      </c>
      <c r="P5" s="35" t="str">
        <f>IFERROR(__xludf.DUMMYFUNCTION("""COMPUTED_VALUE"""),"Notes")</f>
        <v>Notes</v>
      </c>
      <c r="Q5" s="35" t="str">
        <f>IFERROR(__xludf.DUMMYFUNCTION("""COMPUTED_VALUE"""),"Broker Notes")</f>
        <v>Broker Notes</v>
      </c>
      <c r="R5" s="35" t="str">
        <f>IFERROR(__xludf.DUMMYFUNCTION("""COMPUTED_VALUE"""),"CommissionBasis")</f>
        <v>CommissionBasis</v>
      </c>
      <c r="S5" s="35" t="str">
        <f>IFERROR(__xludf.DUMMYFUNCTION("""COMPUTED_VALUE"""),"CommissionRate")</f>
        <v>CommissionRate</v>
      </c>
      <c r="T5" s="36" t="str">
        <f>IFERROR(__xludf.DUMMYFUNCTION("""COMPUTED_VALUE"""),"SoftBasis")</f>
        <v>SoftBasis</v>
      </c>
      <c r="U5" s="36" t="str">
        <f>IFERROR(__xludf.DUMMYFUNCTION("""COMPUTED_VALUE"""),"SoftRate")</f>
        <v>SoftRate</v>
      </c>
      <c r="V5" s="36" t="str">
        <f>IFERROR(__xludf.DUMMYFUNCTION("""COMPUTED_VALUE"""),"TradeAttribute1")</f>
        <v>TradeAttribute1</v>
      </c>
      <c r="W5" s="36" t="str">
        <f>IFERROR(__xludf.DUMMYFUNCTION("""COMPUTED_VALUE"""),"TradeAttribute2")</f>
        <v>TradeAttribute2</v>
      </c>
      <c r="X5" s="36" t="str">
        <f>IFERROR(__xludf.DUMMYFUNCTION("""COMPUTED_VALUE"""),"TradeAttribute3")</f>
        <v>TradeAttribute3</v>
      </c>
      <c r="Y5" s="36" t="str">
        <f>IFERROR(__xludf.DUMMYFUNCTION("""COMPUTED_VALUE"""),"TradeAttribute4")</f>
        <v>TradeAttribute4</v>
      </c>
      <c r="Z5" s="36" t="str">
        <f>IFERROR(__xludf.DUMMYFUNCTION("""COMPUTED_VALUE"""),"TradeAttribute5")</f>
        <v>TradeAttribute5</v>
      </c>
      <c r="AA5" s="36" t="str">
        <f>IFERROR(__xludf.DUMMYFUNCTION("""COMPUTED_VALUE"""),"TradeAttribute6")</f>
        <v>TradeAttribute6</v>
      </c>
      <c r="AB5" s="36" t="str">
        <f>IFERROR(__xludf.DUMMYFUNCTION("""COMPUTED_VALUE"""),"Venue")</f>
        <v>Venue</v>
      </c>
      <c r="AC5" s="36" t="str">
        <f>IFERROR(__xludf.DUMMYFUNCTION("""COMPUTED_VALUE"""),"ExecutionInstructions")</f>
        <v>ExecutionInstructions</v>
      </c>
      <c r="AD5" s="36" t="str">
        <f>IFERROR(__xludf.DUMMYFUNCTION("""COMPUTED_VALUE"""),"HandlingInstructions")</f>
        <v>HandlingInstructions</v>
      </c>
      <c r="AE5" s="36" t="str">
        <f>IFERROR(__xludf.DUMMYFUNCTION("""COMPUTED_VALUE"""),"Trader")</f>
        <v>Trader</v>
      </c>
      <c r="AF5" s="36" t="str">
        <f>IFERROR(__xludf.DUMMYFUNCTION("""COMPUTED_VALUE"""),"SettlementCurrency")</f>
        <v>SettlementCurrency</v>
      </c>
      <c r="AG5" s="36" t="str">
        <f>IFERROR(__xludf.DUMMYFUNCTION("""COMPUTED_VALUE"""),"SettlementFXRate")</f>
        <v>SettlementFXRate</v>
      </c>
      <c r="AH5" s="36" t="str">
        <f>IFERROR(__xludf.DUMMYFUNCTION("""COMPUTED_VALUE"""),"SettlementAmount")</f>
        <v>SettlementAmount</v>
      </c>
      <c r="AI5" s="36" t="str">
        <f>IFERROR(__xludf.DUMMYFUNCTION("""COMPUTED_VALUE"""),"SettlementFXOperator")</f>
        <v>SettlementFXOperator</v>
      </c>
      <c r="AJ5" s="36" t="str">
        <f>IFERROR(__xludf.DUMMYFUNCTION("""COMPUTED_VALUE"""),"SettleByBroker")</f>
        <v>SettleByBroker</v>
      </c>
      <c r="AK5" s="36" t="str">
        <f>IFERROR(__xludf.DUMMYFUNCTION("""COMPUTED_VALUE"""),"Account")</f>
        <v>Account</v>
      </c>
      <c r="AL5" s="36" t="str">
        <f>IFERROR(__xludf.DUMMYFUNCTION("""COMPUTED_VALUE"""),"Account %")</f>
        <v>Account %</v>
      </c>
      <c r="AM5" s="36" t="str">
        <f>IFERROR(__xludf.DUMMYFUNCTION("""COMPUTED_VALUE"""),"Deal In")</f>
        <v>Deal In</v>
      </c>
      <c r="AN5" s="36" t="str">
        <f>IFERROR(__xludf.DUMMYFUNCTION("""COMPUTED_VALUE"""),"MasterFund")</f>
        <v>MasterFund</v>
      </c>
      <c r="AO5" s="36" t="str">
        <f>IFERROR(__xludf.DUMMYFUNCTION("""COMPUTED_VALUE"""),"AllowTrade")</f>
        <v>AllowTrade</v>
      </c>
      <c r="AP5" s="36" t="str">
        <f>IFERROR(__xludf.DUMMYFUNCTION("""COMPUTED_VALUE"""),"SharesOutstandingPopUp")</f>
        <v>SharesOutstandingPopUp</v>
      </c>
      <c r="AQ5" s="36" t="str">
        <f>IFERROR(__xludf.DUMMYFUNCTION("""COMPUTED_VALUE"""),"Interest Rate")</f>
        <v>Interest Rate</v>
      </c>
      <c r="AR5" s="36" t="str">
        <f>IFERROR(__xludf.DUMMYFUNCTION("""COMPUTED_VALUE"""),"SelectAlgoStrategy")</f>
        <v>SelectAlgoStrategy</v>
      </c>
      <c r="AS5" s="36" t="str">
        <f>IFERROR(__xludf.DUMMYFUNCTION("""COMPUTED_VALUE"""),"ClearOldCA")</f>
        <v>ClearOldCA</v>
      </c>
      <c r="AT5" s="36" t="str">
        <f>IFERROR(__xludf.DUMMYFUNCTION("""COMPUTED_VALUE"""),"TRVAccountName")</f>
        <v>TRVAccountName</v>
      </c>
      <c r="AU5" s="36" t="str">
        <f>IFERROR(__xludf.DUMMYFUNCTION("""COMPUTED_VALUE"""),"TRVTradeQuantity")</f>
        <v>TRVTradeQuantity</v>
      </c>
      <c r="AV5" s="36" t="str">
        <f>IFERROR(__xludf.DUMMYFUNCTION("""COMPUTED_VALUE"""),"TRVCurrentPosition")</f>
        <v>TRVCurrentPosition</v>
      </c>
      <c r="AW5" s="36" t="str">
        <f>IFERROR(__xludf.DUMMYFUNCTION("""COMPUTED_VALUE"""),"TRVNav")</f>
        <v>TRVNav</v>
      </c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</row>
    <row r="6" ht="15.75" customHeight="1">
      <c r="A6" s="12"/>
      <c r="B6" s="12" t="s">
        <v>24</v>
      </c>
      <c r="C6" s="8"/>
      <c r="D6" s="12">
        <v>1000.0</v>
      </c>
      <c r="E6" s="37"/>
      <c r="F6" s="8"/>
      <c r="G6" s="8"/>
      <c r="H6" s="8"/>
      <c r="I6" s="8"/>
      <c r="J6" s="12">
        <v>3.0</v>
      </c>
      <c r="K6" s="8"/>
      <c r="L6" s="8"/>
      <c r="M6" s="8"/>
      <c r="N6" s="8"/>
      <c r="O6" s="8"/>
      <c r="AO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3"/>
      <c r="B5" s="34" t="s">
        <v>42</v>
      </c>
      <c r="C5" s="34" t="s">
        <v>43</v>
      </c>
      <c r="D5" s="34" t="s">
        <v>44</v>
      </c>
      <c r="E5" s="34" t="s">
        <v>45</v>
      </c>
      <c r="F5" s="34" t="s">
        <v>46</v>
      </c>
      <c r="G5" s="34" t="s">
        <v>47</v>
      </c>
      <c r="H5" s="34" t="s">
        <v>48</v>
      </c>
      <c r="I5" s="34" t="s">
        <v>49</v>
      </c>
      <c r="J5" s="34" t="s">
        <v>50</v>
      </c>
      <c r="K5" s="34" t="s">
        <v>51</v>
      </c>
      <c r="L5" s="34" t="s">
        <v>52</v>
      </c>
      <c r="M5" s="34" t="s">
        <v>53</v>
      </c>
      <c r="N5" s="34" t="s">
        <v>54</v>
      </c>
      <c r="O5" s="34" t="s">
        <v>55</v>
      </c>
      <c r="P5" s="34" t="s">
        <v>56</v>
      </c>
      <c r="Q5" s="34" t="s">
        <v>57</v>
      </c>
      <c r="R5" s="34" t="s">
        <v>58</v>
      </c>
      <c r="S5" s="34" t="s">
        <v>59</v>
      </c>
      <c r="T5" s="39" t="s">
        <v>60</v>
      </c>
      <c r="U5" s="39" t="s">
        <v>61</v>
      </c>
      <c r="V5" s="39" t="s">
        <v>62</v>
      </c>
      <c r="W5" s="39" t="s">
        <v>63</v>
      </c>
      <c r="X5" s="39" t="s">
        <v>64</v>
      </c>
      <c r="Y5" s="39" t="s">
        <v>65</v>
      </c>
      <c r="Z5" s="39" t="s">
        <v>66</v>
      </c>
      <c r="AA5" s="39" t="s">
        <v>67</v>
      </c>
      <c r="AB5" s="39" t="s">
        <v>68</v>
      </c>
      <c r="AC5" s="39" t="s">
        <v>69</v>
      </c>
      <c r="AD5" s="39" t="s">
        <v>70</v>
      </c>
      <c r="AE5" s="39" t="s">
        <v>71</v>
      </c>
      <c r="AF5" s="39" t="s">
        <v>72</v>
      </c>
      <c r="AG5" s="39" t="s">
        <v>73</v>
      </c>
      <c r="AH5" s="39" t="s">
        <v>74</v>
      </c>
      <c r="AI5" s="39" t="s">
        <v>75</v>
      </c>
      <c r="AJ5" s="39" t="s">
        <v>76</v>
      </c>
      <c r="AK5" s="39" t="s">
        <v>18</v>
      </c>
      <c r="AL5" s="39" t="s">
        <v>77</v>
      </c>
      <c r="AM5" s="39" t="s">
        <v>78</v>
      </c>
      <c r="AN5" s="39" t="s">
        <v>79</v>
      </c>
      <c r="AO5" s="39" t="s">
        <v>80</v>
      </c>
      <c r="AP5" s="39" t="s">
        <v>81</v>
      </c>
      <c r="AQ5" s="39" t="s">
        <v>82</v>
      </c>
      <c r="AR5" s="39" t="s">
        <v>83</v>
      </c>
      <c r="AS5" s="39" t="s">
        <v>84</v>
      </c>
      <c r="AT5" s="39" t="s">
        <v>85</v>
      </c>
      <c r="AU5" s="39" t="s">
        <v>86</v>
      </c>
      <c r="AV5" s="39" t="s">
        <v>87</v>
      </c>
      <c r="AW5" s="39" t="s">
        <v>88</v>
      </c>
      <c r="AX5" s="39" t="s">
        <v>89</v>
      </c>
      <c r="AY5" s="39" t="s">
        <v>90</v>
      </c>
      <c r="AZ5" s="39" t="s">
        <v>91</v>
      </c>
      <c r="BA5" s="39" t="s">
        <v>92</v>
      </c>
      <c r="BB5" s="39" t="s">
        <v>93</v>
      </c>
      <c r="BC5" s="39" t="s">
        <v>94</v>
      </c>
      <c r="BD5" s="39" t="s">
        <v>95</v>
      </c>
      <c r="BE5" s="39" t="s">
        <v>96</v>
      </c>
      <c r="BF5" s="39" t="s">
        <v>97</v>
      </c>
      <c r="BG5" s="39" t="s">
        <v>98</v>
      </c>
      <c r="BH5" s="39" t="s">
        <v>99</v>
      </c>
      <c r="BI5" s="39" t="s">
        <v>100</v>
      </c>
      <c r="BJ5" s="39" t="s">
        <v>101</v>
      </c>
      <c r="BK5" s="39" t="s">
        <v>102</v>
      </c>
      <c r="BL5" s="39" t="s">
        <v>103</v>
      </c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</row>
    <row r="6" ht="15.75" customHeight="1">
      <c r="A6" s="12"/>
      <c r="B6" s="12" t="s">
        <v>24</v>
      </c>
      <c r="C6" s="12" t="s">
        <v>32</v>
      </c>
      <c r="D6" s="12">
        <v>100.0</v>
      </c>
      <c r="E6" s="12"/>
      <c r="F6" s="12" t="s">
        <v>104</v>
      </c>
      <c r="G6" s="8"/>
      <c r="H6" s="12"/>
      <c r="I6" s="12"/>
      <c r="J6" s="12">
        <v>2.0</v>
      </c>
      <c r="K6" s="8"/>
      <c r="L6" s="8"/>
      <c r="M6" s="8"/>
      <c r="N6" s="8"/>
      <c r="O6" s="8"/>
      <c r="AQ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3"/>
      <c r="B5" s="34" t="s">
        <v>42</v>
      </c>
      <c r="C5" s="34" t="s">
        <v>105</v>
      </c>
      <c r="D5" s="34" t="s">
        <v>106</v>
      </c>
      <c r="E5" s="34" t="s">
        <v>107</v>
      </c>
      <c r="F5" s="34" t="s">
        <v>108</v>
      </c>
      <c r="G5" s="34" t="s">
        <v>109</v>
      </c>
      <c r="H5" s="34" t="s">
        <v>87</v>
      </c>
      <c r="I5" s="34" t="s">
        <v>110</v>
      </c>
      <c r="J5" s="34" t="s">
        <v>111</v>
      </c>
      <c r="K5" s="34" t="s">
        <v>112</v>
      </c>
      <c r="L5" s="34" t="s">
        <v>113</v>
      </c>
      <c r="M5" s="34" t="s">
        <v>114</v>
      </c>
      <c r="N5" s="34" t="s">
        <v>115</v>
      </c>
      <c r="O5" s="34" t="s">
        <v>116</v>
      </c>
      <c r="P5" s="34" t="s">
        <v>117</v>
      </c>
      <c r="Q5" s="34" t="s">
        <v>118</v>
      </c>
      <c r="R5" s="34" t="s">
        <v>119</v>
      </c>
      <c r="S5" s="34" t="s">
        <v>120</v>
      </c>
      <c r="T5" s="39" t="s">
        <v>121</v>
      </c>
      <c r="U5" s="39" t="s">
        <v>122</v>
      </c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</row>
    <row r="6" ht="15.75" customHeight="1">
      <c r="A6" s="12"/>
      <c r="B6" s="12" t="s">
        <v>24</v>
      </c>
      <c r="C6" s="12">
        <v>10.0</v>
      </c>
      <c r="D6" s="12"/>
      <c r="E6" s="12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3" t="str">
        <f>IFERROR(__xludf.DUMMYFUNCTION("TRANSPOSE(IMPORTRANGE(VLOOKUP($E$3,IMPORTRANGE('_Settings'!$B$3,$C$3&amp;""!A4:B1000""),2,FALSE),$G$3&amp;""!A4:A1000""))"),"")</f>
        <v/>
      </c>
      <c r="B5" s="35" t="str">
        <f>IFERROR(__xludf.DUMMYFUNCTION("""COMPUTED_VALUE"""),"Ticker")</f>
        <v>Ticker</v>
      </c>
      <c r="C5" s="35" t="str">
        <f>IFERROR(__xludf.DUMMYFUNCTION("""COMPUTED_VALUE"""),"Add/Set")</f>
        <v>Add/Set</v>
      </c>
      <c r="D5" s="35" t="str">
        <f>IFERROR(__xludf.DUMMYFUNCTION("""COMPUTED_VALUE"""),"Type")</f>
        <v>Type</v>
      </c>
      <c r="E5" s="35" t="str">
        <f>IFERROR(__xludf.DUMMYFUNCTION("""COMPUTED_VALUE"""),"Target")</f>
        <v>Target</v>
      </c>
      <c r="F5" s="34" t="str">
        <f>IFERROR(__xludf.DUMMYFUNCTION("""COMPUTED_VALUE"""),"Price")</f>
        <v>Price</v>
      </c>
      <c r="G5" s="35" t="str">
        <f>IFERROR(__xludf.DUMMYFUNCTION("""COMPUTED_VALUE"""),"Combined Account Total")</f>
        <v>Combined Account Total</v>
      </c>
      <c r="H5" s="35" t="str">
        <f>IFERROR(__xludf.DUMMYFUNCTION("""COMPUTED_VALUE"""),"MasterFund/Account")</f>
        <v>MasterFund/Account</v>
      </c>
      <c r="I5" s="35" t="str">
        <f>IFERROR(__xludf.DUMMYFUNCTION("""COMPUTED_VALUE"""),"Accounts")</f>
        <v>Accounts</v>
      </c>
      <c r="J5" s="35" t="str">
        <f>IFERROR(__xludf.DUMMYFUNCTION("""COMPUTED_VALUE"""),"SoftNotesCount")</f>
        <v>SoftNotesCount</v>
      </c>
      <c r="K5" s="35" t="str">
        <f>IFERROR(__xludf.DUMMYFUNCTION("""COMPUTED_VALUE"""),"SoftNotesComment")</f>
        <v>SoftNotesComment</v>
      </c>
      <c r="L5" s="35" t="str">
        <f>IFERROR(__xludf.DUMMYFUNCTION("""COMPUTED_VALUE"""),"DoNotAllowTrade")</f>
        <v>DoNotAllowTrade</v>
      </c>
      <c r="M5" s="35" t="str">
        <f>IFERROR(__xludf.DUMMYFUNCTION("""COMPUTED_VALUE"""),"Round Lots")</f>
        <v>Round Lots</v>
      </c>
      <c r="N5" s="35" t="str">
        <f>IFERROR(__xludf.DUMMYFUNCTION("""COMPUTED_VALUE"""),"Alert Type")</f>
        <v>Alert Type</v>
      </c>
      <c r="O5" s="35" t="str">
        <f>IFERROR(__xludf.DUMMYFUNCTION("""COMPUTED_VALUE"""),"Use Custodian Broker")</f>
        <v>Use Custodian Broker</v>
      </c>
      <c r="P5" s="35" t="str">
        <f>IFERROR(__xludf.DUMMYFUNCTION("""COMPUTED_VALUE"""),"Broker")</f>
        <v>Broker</v>
      </c>
      <c r="Q5" s="35" t="str">
        <f>IFERROR(__xludf.DUMMYFUNCTION("""COMPUTED_VALUE"""),"Venue")</f>
        <v>Venue</v>
      </c>
      <c r="R5" s="35" t="str">
        <f>IFERROR(__xludf.DUMMYFUNCTION("""COMPUTED_VALUE"""),"TIF")</f>
        <v>TIF</v>
      </c>
      <c r="S5" s="35" t="str">
        <f>IFERROR(__xludf.DUMMYFUNCTION("""COMPUTED_VALUE"""),"Order Type")</f>
        <v>Order Type</v>
      </c>
      <c r="T5" s="36" t="str">
        <f>IFERROR(__xludf.DUMMYFUNCTION("""COMPUTED_VALUE"""),"Stop")</f>
        <v>Stop</v>
      </c>
      <c r="U5" s="36" t="str">
        <f>IFERROR(__xludf.DUMMYFUNCTION("""COMPUTED_VALUE"""),"Limit")</f>
        <v>Limit</v>
      </c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</row>
    <row r="6" ht="15.75" customHeight="1">
      <c r="A6" s="12"/>
      <c r="B6" s="12" t="s">
        <v>24</v>
      </c>
      <c r="C6" s="12" t="s">
        <v>25</v>
      </c>
      <c r="D6" s="12" t="s">
        <v>26</v>
      </c>
      <c r="E6" s="12">
        <v>10.0</v>
      </c>
      <c r="F6" s="12">
        <v>3.0</v>
      </c>
      <c r="G6" s="8"/>
      <c r="H6" s="12" t="s">
        <v>18</v>
      </c>
      <c r="I6" s="12" t="s">
        <v>27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123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3" t="str">
        <f>IFERROR(__xludf.DUMMYFUNCTION("TRANSPOSE(IMPORTRANGE(VLOOKUP($E$3,IMPORTRANGE('_Settings'!$B$3,$C$3&amp;""!A4:B1000""),2,FALSE),$G$3&amp;""!A4:A1000""))"),"")</f>
        <v/>
      </c>
      <c r="B5" s="35" t="str">
        <f>IFERROR(__xludf.DUMMYFUNCTION("""COMPUTED_VALUE"""),"Transaction Time")</f>
        <v>Transaction Time</v>
      </c>
      <c r="C5" s="35" t="str">
        <f>IFERROR(__xludf.DUMMYFUNCTION("""COMPUTED_VALUE"""),"Algo")</f>
        <v>Algo</v>
      </c>
      <c r="D5" s="35" t="str">
        <f>IFERROR(__xludf.DUMMYFUNCTION("""COMPUTED_VALUE"""),"Avg Fill Price (Base)")</f>
        <v>Avg Fill Price (Base)</v>
      </c>
      <c r="E5" s="35" t="str">
        <f>IFERROR(__xludf.DUMMYFUNCTION("""COMPUTED_VALUE"""),"Bloomberg Symbol")</f>
        <v>Bloomberg Symbol</v>
      </c>
      <c r="F5" s="34" t="str">
        <f>IFERROR(__xludf.DUMMYFUNCTION("""COMPUTED_VALUE"""),"Limit Price")</f>
        <v>Limit Price</v>
      </c>
      <c r="G5" s="35" t="str">
        <f>IFERROR(__xludf.DUMMYFUNCTION("""COMPUTED_VALUE"""),"Working Qty")</f>
        <v>Working Qty</v>
      </c>
      <c r="H5" s="35" t="str">
        <f>IFERROR(__xludf.DUMMYFUNCTION("""COMPUTED_VALUE"""),"Venue")</f>
        <v>Venue</v>
      </c>
      <c r="I5" s="35" t="str">
        <f>IFERROR(__xludf.DUMMYFUNCTION("""COMPUTED_VALUE"""),"User")</f>
        <v>User</v>
      </c>
      <c r="J5" s="35" t="str">
        <f>IFERROR(__xludf.DUMMYFUNCTION("""COMPUTED_VALUE"""),"Underlying Symbol")</f>
        <v>Underlying Symbol</v>
      </c>
      <c r="K5" s="35" t="str">
        <f>IFERROR(__xludf.DUMMYFUNCTION("""COMPUTED_VALUE"""),"Underlying Country")</f>
        <v>Underlying Country</v>
      </c>
      <c r="L5" s="35" t="str">
        <f>IFERROR(__xludf.DUMMYFUNCTION("""COMPUTED_VALUE"""),"Trader")</f>
        <v>Trader</v>
      </c>
      <c r="M5" s="35" t="str">
        <f>IFERROR(__xludf.DUMMYFUNCTION("""COMPUTED_VALUE"""),"Trade Attribute 1")</f>
        <v>Trade Attribute 1</v>
      </c>
      <c r="N5" s="35" t="str">
        <f>IFERROR(__xludf.DUMMYFUNCTION("""COMPUTED_VALUE"""),"Trade Attribute 2")</f>
        <v>Trade Attribute 2</v>
      </c>
      <c r="O5" s="35" t="str">
        <f>IFERROR(__xludf.DUMMYFUNCTION("""COMPUTED_VALUE"""),"Trade Attribute 3")</f>
        <v>Trade Attribute 3</v>
      </c>
      <c r="P5" s="35" t="str">
        <f>IFERROR(__xludf.DUMMYFUNCTION("""COMPUTED_VALUE"""),"Trade Attribute 4")</f>
        <v>Trade Attribute 4</v>
      </c>
      <c r="Q5" s="35" t="str">
        <f>IFERROR(__xludf.DUMMYFUNCTION("""COMPUTED_VALUE"""),"Trade Attribute 5")</f>
        <v>Trade Attribute 5</v>
      </c>
      <c r="R5" s="35" t="str">
        <f>IFERROR(__xludf.DUMMYFUNCTION("""COMPUTED_VALUE"""),"Trade Attribute 6")</f>
        <v>Trade Attribute 6</v>
      </c>
      <c r="S5" s="35" t="str">
        <f>IFERROR(__xludf.DUMMYFUNCTION("""COMPUTED_VALUE"""),"Strike Price")</f>
        <v>Strike Price</v>
      </c>
      <c r="T5" s="36" t="str">
        <f>IFERROR(__xludf.DUMMYFUNCTION("""COMPUTED_VALUE"""),"Stop Price")</f>
        <v>Stop Price</v>
      </c>
      <c r="U5" s="36" t="str">
        <f>IFERROR(__xludf.DUMMYFUNCTION("""COMPUTED_VALUE"""),"Settlement Currency")</f>
        <v>Settlement Currency</v>
      </c>
      <c r="V5" s="36" t="str">
        <f>IFERROR(__xludf.DUMMYFUNCTION("""COMPUTED_VALUE"""),"Put/Call")</f>
        <v>Put/Call</v>
      </c>
      <c r="W5" s="36" t="str">
        <f>IFERROR(__xludf.DUMMYFUNCTION("""COMPUTED_VALUE"""),"Process Date")</f>
        <v>Process Date</v>
      </c>
      <c r="X5" s="36" t="str">
        <f>IFERROR(__xludf.DUMMYFUNCTION("""COMPUTED_VALUE"""),"Peg")</f>
        <v>Peg</v>
      </c>
      <c r="Y5" s="36" t="str">
        <f>IFERROR(__xludf.DUMMYFUNCTION("""COMPUTED_VALUE"""),"ParentClOrderID")</f>
        <v>ParentClOrderID</v>
      </c>
      <c r="Z5" s="36" t="str">
        <f>IFERROR(__xludf.DUMMYFUNCTION("""COMPUTED_VALUE"""),"OrderID")</f>
        <v>OrderID</v>
      </c>
      <c r="AA5" s="36" t="str">
        <f>IFERROR(__xludf.DUMMYFUNCTION("""COMPUTED_VALUE"""),"Master Fund")</f>
        <v>Master Fund</v>
      </c>
      <c r="AB5" s="36" t="str">
        <f>IFERROR(__xludf.DUMMYFUNCTION("""COMPUTED_VALUE"""),"Last Shares")</f>
        <v>Last Shares</v>
      </c>
      <c r="AC5" s="36" t="str">
        <f>IFERROR(__xludf.DUMMYFUNCTION("""COMPUTED_VALUE"""),"Internal Comments")</f>
        <v>Internal Comments</v>
      </c>
      <c r="AD5" s="36" t="str">
        <f>IFERROR(__xludf.DUMMYFUNCTION("""COMPUTED_VALUE"""),"FX Rate")</f>
        <v>FX Rate</v>
      </c>
      <c r="AE5" s="36" t="str">
        <f>IFERROR(__xludf.DUMMYFUNCTION("""COMPUTED_VALUE"""),"Imported File Name")</f>
        <v>Imported File Name</v>
      </c>
      <c r="AF5" s="36" t="str">
        <f>IFERROR(__xludf.DUMMYFUNCTION("""COMPUTED_VALUE"""),"FX Conversion Operator")</f>
        <v>FX Conversion Operator</v>
      </c>
      <c r="AG5" s="36" t="str">
        <f>IFERROR(__xludf.DUMMYFUNCTION("""COMPUTED_VALUE"""),"Day Average Price")</f>
        <v>Day Average Price</v>
      </c>
      <c r="AH5" s="36" t="str">
        <f>IFERROR(__xludf.DUMMYFUNCTION("""COMPUTED_VALUE"""),"Asset Class")</f>
        <v>Asset Class</v>
      </c>
      <c r="AI5" s="36" t="str">
        <f>IFERROR(__xludf.DUMMYFUNCTION("""COMPUTED_VALUE"""),"Symbol")</f>
        <v>Symbol</v>
      </c>
      <c r="AJ5" s="36" t="str">
        <f>IFERROR(__xludf.DUMMYFUNCTION("""COMPUTED_VALUE"""),"Side")</f>
        <v>Side</v>
      </c>
      <c r="AK5" s="36" t="str">
        <f>IFERROR(__xludf.DUMMYFUNCTION("""COMPUTED_VALUE"""),"Status")</f>
        <v>Status</v>
      </c>
      <c r="AL5" s="36" t="str">
        <f>IFERROR(__xludf.DUMMYFUNCTION("""COMPUTED_VALUE"""),"Target Qty")</f>
        <v>Target Qty</v>
      </c>
      <c r="AM5" s="36" t="str">
        <f>IFERROR(__xludf.DUMMYFUNCTION("""COMPUTED_VALUE"""),"Total Executed Qty")</f>
        <v>Total Executed Qty</v>
      </c>
      <c r="AN5" s="36" t="str">
        <f>IFERROR(__xludf.DUMMYFUNCTION("""COMPUTED_VALUE"""),"% Executed")</f>
        <v>% Executed</v>
      </c>
      <c r="AO5" s="36" t="str">
        <f>IFERROR(__xludf.DUMMYFUNCTION("""COMPUTED_VALUE"""),"Day Executed Qty")</f>
        <v>Day Executed Qty</v>
      </c>
      <c r="AP5" s="36" t="str">
        <f>IFERROR(__xludf.DUMMYFUNCTION("""COMPUTED_VALUE"""),"Uncommitted Qty")</f>
        <v>Uncommitted Qty</v>
      </c>
      <c r="AQ5" s="36" t="str">
        <f>IFERROR(__xludf.DUMMYFUNCTION("""COMPUTED_VALUE"""),"Last Fill Price (Local)")</f>
        <v>Last Fill Price (Local)</v>
      </c>
      <c r="AR5" s="36" t="str">
        <f>IFERROR(__xludf.DUMMYFUNCTION("""COMPUTED_VALUE"""),"Avg Fill Price (Local)")</f>
        <v>Avg Fill Price (Local)</v>
      </c>
      <c r="AS5" s="36" t="str">
        <f>IFERROR(__xludf.DUMMYFUNCTION("""COMPUTED_VALUE"""),"Broker")</f>
        <v>Broker</v>
      </c>
      <c r="AT5" s="36" t="str">
        <f>IFERROR(__xludf.DUMMYFUNCTION("""COMPUTED_VALUE"""),"Account")</f>
        <v>Account</v>
      </c>
      <c r="AU5" s="36" t="str">
        <f>IFERROR(__xludf.DUMMYFUNCTION("""COMPUTED_VALUE"""),"Order Type")</f>
        <v>Order Type</v>
      </c>
      <c r="AV5" s="36" t="str">
        <f>IFERROR(__xludf.DUMMYFUNCTION("""COMPUTED_VALUE"""),"Principal Amount (Local)")</f>
        <v>Principal Amount (Local)</v>
      </c>
      <c r="AW5" s="36" t="str">
        <f>IFERROR(__xludf.DUMMYFUNCTION("""COMPUTED_VALUE"""),"Principal Amount (Base)")</f>
        <v>Principal Amount (Base)</v>
      </c>
      <c r="AX5" s="36" t="str">
        <f>IFERROR(__xludf.DUMMYFUNCTION("""COMPUTED_VALUE"""),"Allocation Scheme Name")</f>
        <v>Allocation Scheme Name</v>
      </c>
      <c r="AY5" s="36" t="str">
        <f>IFERROR(__xludf.DUMMYFUNCTION("""COMPUTED_VALUE"""),"Start of Day Qty")</f>
        <v>Start of Day Qty</v>
      </c>
      <c r="AZ5" s="36" t="str">
        <f>IFERROR(__xludf.DUMMYFUNCTION("""COMPUTED_VALUE"""),"Leaves")</f>
        <v>Leaves</v>
      </c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32</v>
      </c>
      <c r="AK6" s="9" t="s">
        <v>124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3" t="str">
        <f>IFERROR(__xludf.DUMMYFUNCTION("TRANSPOSE(IMPORTRANGE(VLOOKUP($E$3,IMPORTRANGE('_Settings'!$B$3,$C$3&amp;""!A4:B1000""),2,FALSE),$G$3&amp;""!A4:A1000""))"),"")</f>
        <v/>
      </c>
      <c r="B5" s="35" t="str">
        <f>IFERROR(__xludf.DUMMYFUNCTION("""COMPUTED_VALUE"""),"Symbol")</f>
        <v>Symbol</v>
      </c>
      <c r="C5" s="35" t="str">
        <f>IFERROR(__xludf.DUMMYFUNCTION("""COMPUTED_VALUE"""),"Quantity")</f>
        <v>Quantity</v>
      </c>
      <c r="D5" s="35" t="str">
        <f>IFERROR(__xludf.DUMMYFUNCTION("""COMPUTED_VALUE"""),"Price")</f>
        <v>Price</v>
      </c>
      <c r="E5" s="35" t="str">
        <f>IFERROR(__xludf.DUMMYFUNCTION("""COMPUTED_VALUE"""),"Order type button")</f>
        <v>Order type button</v>
      </c>
      <c r="F5" s="34" t="str">
        <f>IFERROR(__xludf.DUMMYFUNCTION("""COMPUTED_VALUE"""),"SharesOutstandingPopUp")</f>
        <v>SharesOutstandingPopUp</v>
      </c>
      <c r="G5" s="35" t="str">
        <f>IFERROR(__xludf.DUMMYFUNCTION("""COMPUTED_VALUE"""),"TT_Open")</f>
        <v>TT_Open</v>
      </c>
      <c r="H5" s="35" t="str">
        <f>IFERROR(__xludf.DUMMYFUNCTION("""COMPUTED_VALUE"""),"SharesOutstandingPopUpQty")</f>
        <v>SharesOutstandingPopUpQty</v>
      </c>
      <c r="I5" s="35" t="str">
        <f>IFERROR(__xludf.DUMMYFUNCTION("""COMPUTED_VALUE"""),"AllocationMethod")</f>
        <v>AllocationMethod</v>
      </c>
      <c r="J5" s="35" t="str">
        <f>IFERROR(__xludf.DUMMYFUNCTION("""COMPUTED_VALUE"""),"Order Side")</f>
        <v>Order Side</v>
      </c>
      <c r="K5" s="35" t="str">
        <f>IFERROR(__xludf.DUMMYFUNCTION("""COMPUTED_VALUE"""),"DB_Check")</f>
        <v>DB_Check</v>
      </c>
      <c r="L5" s="35" t="str">
        <f>IFERROR(__xludf.DUMMYFUNCTION("""COMPUTED_VALUE"""),"CommissionBasis")</f>
        <v>CommissionBasis</v>
      </c>
      <c r="M5" s="35" t="str">
        <f>IFERROR(__xludf.DUMMYFUNCTION("""COMPUTED_VALUE"""),"CommissionRate")</f>
        <v>CommissionRate</v>
      </c>
      <c r="N5" s="35" t="str">
        <f>IFERROR(__xludf.DUMMYFUNCTION("""COMPUTED_VALUE"""),"SoftBasis")</f>
        <v>SoftBasis</v>
      </c>
      <c r="O5" s="35" t="str">
        <f>IFERROR(__xludf.DUMMYFUNCTION("""COMPUTED_VALUE"""),"SoftRate")</f>
        <v>SoftRate</v>
      </c>
      <c r="P5" s="35" t="str">
        <f>IFERROR(__xludf.DUMMYFUNCTION("""COMPUTED_VALUE"""),"Account")</f>
        <v>Account</v>
      </c>
      <c r="Q5" s="35" t="str">
        <f>IFERROR(__xludf.DUMMYFUNCTION("""COMPUTED_VALUE"""),"Account %")</f>
        <v>Account %</v>
      </c>
      <c r="R5" s="35" t="str">
        <f>IFERROR(__xludf.DUMMYFUNCTION("""COMPUTED_VALUE"""),"VerifySuggestions")</f>
        <v>VerifySuggestions</v>
      </c>
      <c r="S5" s="35" t="str">
        <f>IFERROR(__xludf.DUMMYFUNCTION("""COMPUTED_VALUE"""),"SymbolToPickFromSuggesstions")</f>
        <v>SymbolToPickFromSuggesstions</v>
      </c>
      <c r="T5" s="36" t="str">
        <f>IFERROR(__xludf.DUMMYFUNCTION("""COMPUTED_VALUE"""),"TypedSymbolAvailableOnSuggestion")</f>
        <v>TypedSymbolAvailableOnSuggestion</v>
      </c>
      <c r="U5" s="36" t="str">
        <f>IFERROR(__xludf.DUMMYFUNCTION("""COMPUTED_VALUE"""),"TIF")</f>
        <v>TIF</v>
      </c>
      <c r="V5" s="36" t="str">
        <f>IFERROR(__xludf.DUMMYFUNCTION("""COMPUTED_VALUE"""),"Order Type")</f>
        <v>Order Type</v>
      </c>
      <c r="W5" s="36" t="str">
        <f>IFERROR(__xludf.DUMMYFUNCTION("""COMPUTED_VALUE"""),"Stop")</f>
        <v>Stop</v>
      </c>
      <c r="X5" s="36" t="str">
        <f>IFERROR(__xludf.DUMMYFUNCTION("""COMPUTED_VALUE"""),"Limit")</f>
        <v>Limit</v>
      </c>
      <c r="Y5" s="36" t="str">
        <f>IFERROR(__xludf.DUMMYFUNCTION("""COMPUTED_VALUE"""),"Expiration Date")</f>
        <v>Expiration Date</v>
      </c>
      <c r="Z5" s="36" t="str">
        <f>IFERROR(__xludf.DUMMYFUNCTION("""COMPUTED_VALUE"""),"Trade Date")</f>
        <v>Trade Date</v>
      </c>
      <c r="AA5" s="36" t="str">
        <f>IFERROR(__xludf.DUMMYFUNCTION("""COMPUTED_VALUE"""),"Broker")</f>
        <v>Broker</v>
      </c>
      <c r="AB5" s="36" t="str">
        <f>IFERROR(__xludf.DUMMYFUNCTION("""COMPUTED_VALUE"""),"Padlock Visiblity")</f>
        <v>Padlock Visiblity</v>
      </c>
      <c r="AC5" s="36" t="str">
        <f>IFERROR(__xludf.DUMMYFUNCTION("""COMPUTED_VALUE"""),"Padlock Unlock")</f>
        <v>Padlock Unlock</v>
      </c>
      <c r="AD5" s="36" t="str">
        <f>IFERROR(__xludf.DUMMYFUNCTION("""COMPUTED_VALUE"""),"Venue")</f>
        <v>Venue</v>
      </c>
      <c r="AE5" s="36" t="str">
        <f>IFERROR(__xludf.DUMMYFUNCTION("""COMPUTED_VALUE"""),"Fx Rate")</f>
        <v>Fx Rate</v>
      </c>
      <c r="AF5" s="36" t="str">
        <f>IFERROR(__xludf.DUMMYFUNCTION("""COMPUTED_VALUE"""),"Fx Operator")</f>
        <v>Fx Operator</v>
      </c>
      <c r="AG5" s="36" t="str">
        <f>IFERROR(__xludf.DUMMYFUNCTION("""COMPUTED_VALUE"""),"PendingApprovalPopUp")</f>
        <v>PendingApprovalPopUp</v>
      </c>
      <c r="AH5" s="36" t="str">
        <f>IFERROR(__xludf.DUMMYFUNCTION("""COMPUTED_VALUE"""),"TradeBy")</f>
        <v>TradeBy</v>
      </c>
      <c r="AI5" s="36" t="str">
        <f>IFERROR(__xludf.DUMMYFUNCTION("""COMPUTED_VALUE"""),"BookAsSwap")</f>
        <v>BookAsSwap</v>
      </c>
      <c r="AJ5" s="36" t="str">
        <f>IFERROR(__xludf.DUMMYFUNCTION("""COMPUTED_VALUE"""),"RoundLot")</f>
        <v>RoundLot</v>
      </c>
      <c r="AK5" s="36" t="str">
        <f>IFERROR(__xludf.DUMMYFUNCTION("""COMPUTED_VALUE"""),"Increment")</f>
        <v>Increment</v>
      </c>
      <c r="AL5" s="36" t="str">
        <f>IFERROR(__xludf.DUMMYFUNCTION("""COMPUTED_VALUE"""),"Decrement")</f>
        <v>Decrement</v>
      </c>
      <c r="AM5" s="36" t="str">
        <f>IFERROR(__xludf.DUMMYFUNCTION("""COMPUTED_VALUE"""),"FixDisconnectionPopup")</f>
        <v>FixDisconnectionPopup</v>
      </c>
      <c r="AN5" s="36" t="str">
        <f>IFERROR(__xludf.DUMMYFUNCTION("""COMPUTED_VALUE"""),"Trade Attribute 01")</f>
        <v>Trade Attribute 01</v>
      </c>
      <c r="AO5" s="36" t="str">
        <f>IFERROR(__xludf.DUMMYFUNCTION("""COMPUTED_VALUE"""),"Trade Attribute 02")</f>
        <v>Trade Attribute 02</v>
      </c>
      <c r="AP5" s="36" t="str">
        <f>IFERROR(__xludf.DUMMYFUNCTION("""COMPUTED_VALUE"""),"Trade Attribute 03")</f>
        <v>Trade Attribute 03</v>
      </c>
      <c r="AQ5" s="36" t="str">
        <f>IFERROR(__xludf.DUMMYFUNCTION("""COMPUTED_VALUE"""),"Trade Attribute 04")</f>
        <v>Trade Attribute 04</v>
      </c>
      <c r="AR5" s="36" t="str">
        <f>IFERROR(__xludf.DUMMYFUNCTION("""COMPUTED_VALUE"""),"Trade Attribute 05")</f>
        <v>Trade Attribute 05</v>
      </c>
      <c r="AS5" s="36" t="str">
        <f>IFERROR(__xludf.DUMMYFUNCTION("""COMPUTED_VALUE"""),"Trade Attribute 06")</f>
        <v>Trade Attribute 06</v>
      </c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</row>
    <row r="6" ht="15.75" customHeight="1">
      <c r="A6" s="12"/>
      <c r="B6" s="12"/>
      <c r="C6" s="12">
        <v>20.0</v>
      </c>
      <c r="D6" s="12">
        <v>2.0</v>
      </c>
      <c r="E6" s="12" t="s">
        <v>125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126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33" t="str">
        <f>IFERROR(__xludf.DUMMYFUNCTION("TRANSPOSE(IMPORTRANGE(VLOOKUP($E$3,IMPORTRANGE('_Settings'!$B$3,$C$3&amp;""!A4:B1000""),2,FALSE),$G$3&amp;""!A4:A1000""))"),"")</f>
        <v/>
      </c>
      <c r="B5" s="35" t="str">
        <f>IFERROR(__xludf.DUMMYFUNCTION("""COMPUTED_VALUE"""),"Transaction Time")</f>
        <v>Transaction Time</v>
      </c>
      <c r="C5" s="35" t="str">
        <f>IFERROR(__xludf.DUMMYFUNCTION("""COMPUTED_VALUE"""),"Algo")</f>
        <v>Algo</v>
      </c>
      <c r="D5" s="35" t="str">
        <f>IFERROR(__xludf.DUMMYFUNCTION("""COMPUTED_VALUE"""),"Avg Fill Price (Base)")</f>
        <v>Avg Fill Price (Base)</v>
      </c>
      <c r="E5" s="35" t="str">
        <f>IFERROR(__xludf.DUMMYFUNCTION("""COMPUTED_VALUE"""),"Bloomberg Symbol")</f>
        <v>Bloomberg Symbol</v>
      </c>
      <c r="F5" s="34" t="str">
        <f>IFERROR(__xludf.DUMMYFUNCTION("""COMPUTED_VALUE"""),"Limit Price")</f>
        <v>Limit Price</v>
      </c>
      <c r="G5" s="35" t="str">
        <f>IFERROR(__xludf.DUMMYFUNCTION("""COMPUTED_VALUE"""),"Working Qty")</f>
        <v>Working Qty</v>
      </c>
      <c r="H5" s="35" t="str">
        <f>IFERROR(__xludf.DUMMYFUNCTION("""COMPUTED_VALUE"""),"Venue")</f>
        <v>Venue</v>
      </c>
      <c r="I5" s="35" t="str">
        <f>IFERROR(__xludf.DUMMYFUNCTION("""COMPUTED_VALUE"""),"Current User")</f>
        <v>Current User</v>
      </c>
      <c r="J5" s="35" t="str">
        <f>IFERROR(__xludf.DUMMYFUNCTION("""COMPUTED_VALUE"""),"Underlying Symbol")</f>
        <v>Underlying Symbol</v>
      </c>
      <c r="K5" s="35" t="str">
        <f>IFERROR(__xludf.DUMMYFUNCTION("""COMPUTED_VALUE"""),"Underlying Country")</f>
        <v>Underlying Country</v>
      </c>
      <c r="L5" s="35" t="str">
        <f>IFERROR(__xludf.DUMMYFUNCTION("""COMPUTED_VALUE"""),"Trader")</f>
        <v>Trader</v>
      </c>
      <c r="M5" s="35" t="str">
        <f>IFERROR(__xludf.DUMMYFUNCTION("""COMPUTED_VALUE"""),"Trade Attribute 6")</f>
        <v>Trade Attribute 6</v>
      </c>
      <c r="N5" s="35" t="str">
        <f>IFERROR(__xludf.DUMMYFUNCTION("""COMPUTED_VALUE"""),"Trade Attribute 5")</f>
        <v>Trade Attribute 5</v>
      </c>
      <c r="O5" s="35" t="str">
        <f>IFERROR(__xludf.DUMMYFUNCTION("""COMPUTED_VALUE"""),"Trade Attribute 4")</f>
        <v>Trade Attribute 4</v>
      </c>
      <c r="P5" s="35" t="str">
        <f>IFERROR(__xludf.DUMMYFUNCTION("""COMPUTED_VALUE"""),"Trade Attribute 3")</f>
        <v>Trade Attribute 3</v>
      </c>
      <c r="Q5" s="35" t="str">
        <f>IFERROR(__xludf.DUMMYFUNCTION("""COMPUTED_VALUE"""),"Trade Attribute 1")</f>
        <v>Trade Attribute 1</v>
      </c>
      <c r="R5" s="35" t="str">
        <f>IFERROR(__xludf.DUMMYFUNCTION("""COMPUTED_VALUE"""),"Trade Attribute 2")</f>
        <v>Trade Attribute 2</v>
      </c>
      <c r="S5" s="35" t="str">
        <f>IFERROR(__xludf.DUMMYFUNCTION("""COMPUTED_VALUE"""),"Strike Price")</f>
        <v>Strike Price</v>
      </c>
      <c r="T5" s="36" t="str">
        <f>IFERROR(__xludf.DUMMYFUNCTION("""COMPUTED_VALUE"""),"Stop Price")</f>
        <v>Stop Price</v>
      </c>
      <c r="U5" s="36" t="str">
        <f>IFERROR(__xludf.DUMMYFUNCTION("""COMPUTED_VALUE"""),"Settlement Currency")</f>
        <v>Settlement Currency</v>
      </c>
      <c r="V5" s="36" t="str">
        <f>IFERROR(__xludf.DUMMYFUNCTION("""COMPUTED_VALUE"""),"Put/Call")</f>
        <v>Put/Call</v>
      </c>
      <c r="W5" s="36" t="str">
        <f>IFERROR(__xludf.DUMMYFUNCTION("""COMPUTED_VALUE"""),"Process Date")</f>
        <v>Process Date</v>
      </c>
      <c r="X5" s="36" t="str">
        <f>IFERROR(__xludf.DUMMYFUNCTION("""COMPUTED_VALUE"""),"Peg")</f>
        <v>Peg</v>
      </c>
      <c r="Y5" s="36" t="str">
        <f>IFERROR(__xludf.DUMMYFUNCTION("""COMPUTED_VALUE"""),"ParentClOrderID")</f>
        <v>ParentClOrderID</v>
      </c>
      <c r="Z5" s="36" t="str">
        <f>IFERROR(__xludf.DUMMYFUNCTION("""COMPUTED_VALUE"""),"OrderID")</f>
        <v>OrderID</v>
      </c>
      <c r="AA5" s="36" t="str">
        <f>IFERROR(__xludf.DUMMYFUNCTION("""COMPUTED_VALUE"""),"Master Fund")</f>
        <v>Master Fund</v>
      </c>
      <c r="AB5" s="36" t="str">
        <f>IFERROR(__xludf.DUMMYFUNCTION("""COMPUTED_VALUE"""),"Last Shares")</f>
        <v>Last Shares</v>
      </c>
      <c r="AC5" s="36" t="str">
        <f>IFERROR(__xludf.DUMMYFUNCTION("""COMPUTED_VALUE"""),"Internal Comments")</f>
        <v>Internal Comments</v>
      </c>
      <c r="AD5" s="36" t="str">
        <f>IFERROR(__xludf.DUMMYFUNCTION("""COMPUTED_VALUE"""),"FX Rate")</f>
        <v>FX Rate</v>
      </c>
      <c r="AE5" s="36" t="str">
        <f>IFERROR(__xludf.DUMMYFUNCTION("""COMPUTED_VALUE"""),"Imported File Name")</f>
        <v>Imported File Name</v>
      </c>
      <c r="AF5" s="36" t="str">
        <f>IFERROR(__xludf.DUMMYFUNCTION("""COMPUTED_VALUE"""),"FX Conversion Operator")</f>
        <v>FX Conversion Operator</v>
      </c>
      <c r="AG5" s="36" t="str">
        <f>IFERROR(__xludf.DUMMYFUNCTION("""COMPUTED_VALUE"""),"Day Average Price")</f>
        <v>Day Average Price</v>
      </c>
      <c r="AH5" s="36" t="str">
        <f>IFERROR(__xludf.DUMMYFUNCTION("""COMPUTED_VALUE"""),"Asset Class")</f>
        <v>Asset Class</v>
      </c>
      <c r="AI5" s="36" t="str">
        <f>IFERROR(__xludf.DUMMYFUNCTION("""COMPUTED_VALUE"""),"Symbol")</f>
        <v>Symbol</v>
      </c>
      <c r="AJ5" s="36" t="str">
        <f>IFERROR(__xludf.DUMMYFUNCTION("""COMPUTED_VALUE"""),"Side")</f>
        <v>Side</v>
      </c>
      <c r="AK5" s="36" t="str">
        <f>IFERROR(__xludf.DUMMYFUNCTION("""COMPUTED_VALUE"""),"Status")</f>
        <v>Status</v>
      </c>
      <c r="AL5" s="36" t="str">
        <f>IFERROR(__xludf.DUMMYFUNCTION("""COMPUTED_VALUE"""),"Target Qty")</f>
        <v>Target Qty</v>
      </c>
      <c r="AM5" s="36" t="str">
        <f>IFERROR(__xludf.DUMMYFUNCTION("""COMPUTED_VALUE"""),"Total Executed Qty")</f>
        <v>Total Executed Qty</v>
      </c>
      <c r="AN5" s="36" t="str">
        <f>IFERROR(__xludf.DUMMYFUNCTION("""COMPUTED_VALUE"""),"% Executed")</f>
        <v>% Executed</v>
      </c>
      <c r="AO5" s="36" t="str">
        <f>IFERROR(__xludf.DUMMYFUNCTION("""COMPUTED_VALUE"""),"Day Executed Qty")</f>
        <v>Day Executed Qty</v>
      </c>
      <c r="AP5" s="36" t="str">
        <f>IFERROR(__xludf.DUMMYFUNCTION("""COMPUTED_VALUE"""),"Uncommitted Qty")</f>
        <v>Uncommitted Qty</v>
      </c>
      <c r="AQ5" s="36" t="str">
        <f>IFERROR(__xludf.DUMMYFUNCTION("""COMPUTED_VALUE"""),"Last Fill Price (Local)")</f>
        <v>Last Fill Price (Local)</v>
      </c>
      <c r="AR5" s="36" t="str">
        <f>IFERROR(__xludf.DUMMYFUNCTION("""COMPUTED_VALUE"""),"Avg Fill Price (Local)")</f>
        <v>Avg Fill Price (Local)</v>
      </c>
      <c r="AS5" s="36" t="str">
        <f>IFERROR(__xludf.DUMMYFUNCTION("""COMPUTED_VALUE"""),"Broker")</f>
        <v>Broker</v>
      </c>
      <c r="AT5" s="36" t="str">
        <f>IFERROR(__xludf.DUMMYFUNCTION("""COMPUTED_VALUE"""),"Account")</f>
        <v>Account</v>
      </c>
      <c r="AU5" s="36" t="str">
        <f>IFERROR(__xludf.DUMMYFUNCTION("""COMPUTED_VALUE"""),"Order Type")</f>
        <v>Order Type</v>
      </c>
      <c r="AV5" s="36" t="str">
        <f>IFERROR(__xludf.DUMMYFUNCTION("""COMPUTED_VALUE"""),"Principal Amount (Local)")</f>
        <v>Principal Amount (Local)</v>
      </c>
      <c r="AW5" s="36" t="str">
        <f>IFERROR(__xludf.DUMMYFUNCTION("""COMPUTED_VALUE"""),"Principal Amount (Base)")</f>
        <v>Principal Amount (Base)</v>
      </c>
      <c r="AX5" s="36" t="str">
        <f>IFERROR(__xludf.DUMMYFUNCTION("""COMPUTED_VALUE"""),"Allocation Scheme Name")</f>
        <v>Allocation Scheme Name</v>
      </c>
      <c r="AY5" s="36" t="str">
        <f>IFERROR(__xludf.DUMMYFUNCTION("""COMPUTED_VALUE"""),"Start of Day Qty")</f>
        <v>Start of Day Qty</v>
      </c>
      <c r="AZ5" s="36" t="str">
        <f>IFERROR(__xludf.DUMMYFUNCTION("""COMPUTED_VALUE"""),"Leaves")</f>
        <v>Leaves</v>
      </c>
      <c r="BA5" s="36" t="str">
        <f>IFERROR(__xludf.DUMMYFUNCTION("""COMPUTED_VALUE"""),"Actual User")</f>
        <v>Actual User</v>
      </c>
      <c r="BB5" s="36" t="str">
        <f>IFERROR(__xludf.DUMMYFUNCTION("""COMPUTED_VALUE"""),"Testing Type")</f>
        <v>Testing Type</v>
      </c>
      <c r="BC5" s="36" t="str">
        <f>IFERROR(__xludf.DUMMYFUNCTION("""COMPUTED_VALUE"""),"Testing Column")</f>
        <v>Testing Column</v>
      </c>
      <c r="BD5" s="36" t="str">
        <f>IFERROR(__xludf.DUMMYFUNCTION("""COMPUTED_VALUE"""),"Testing Col Value")</f>
        <v>Testing Col Value</v>
      </c>
      <c r="BE5" s="36" t="str">
        <f>IFERROR(__xludf.DUMMYFUNCTION("""COMPUTED_VALUE"""),"DuplicateRow")</f>
        <v>DuplicateRow</v>
      </c>
      <c r="BF5" s="36" t="str">
        <f>IFERROR(__xludf.DUMMYFUNCTION("""COMPUTED_VALUE"""),"DuplicateCountOnUI")</f>
        <v>DuplicateCountOnUI</v>
      </c>
      <c r="BG5" s="36" t="str">
        <f>IFERROR(__xludf.DUMMYFUNCTION("""COMPUTED_VALUE"""),"Transaction Source")</f>
        <v>Transaction Source</v>
      </c>
      <c r="BH5" s="36" t="str">
        <f>IFERROR(__xludf.DUMMYFUNCTION("""COMPUTED_VALUE"""),"TIF")</f>
        <v>TIF</v>
      </c>
      <c r="BI5" s="36" t="str">
        <f>IFERROR(__xludf.DUMMYFUNCTION("""COMPUTED_VALUE"""),"ACTIV Symbol")</f>
        <v>ACTIV Symbol</v>
      </c>
      <c r="BJ5" s="36" t="str">
        <f>IFERROR(__xludf.DUMMYFUNCTION("""COMPUTED_VALUE"""),"FactSet Symbol")</f>
        <v>FactSet Symbol</v>
      </c>
      <c r="BK5" s="36" t="str">
        <f>IFERROR(__xludf.DUMMYFUNCTION("""COMPUTED_VALUE"""),"MandatoryColumn")</f>
        <v>MandatoryColumn</v>
      </c>
      <c r="BL5" s="36" t="str">
        <f>IFERROR(__xludf.DUMMYFUNCTION("""COMPUTED_VALUE"""),"Rebalancer File Name")</f>
        <v>Rebalancer File Name</v>
      </c>
      <c r="BM5" s="36" t="str">
        <f>IFERROR(__xludf.DUMMYFUNCTION("""COMPUTED_VALUE"""),"Borrower ID")</f>
        <v>Borrower ID</v>
      </c>
      <c r="BN5" s="36" t="str">
        <f>IFERROR(__xludf.DUMMYFUNCTION("""COMPUTED_VALUE"""),"Borrow Rate(%)")</f>
        <v>Borrow Rate(%)</v>
      </c>
      <c r="BO5" s="36" t="str">
        <f>IFERROR(__xludf.DUMMYFUNCTION("""COMPUTED_VALUE"""),"Borrow Broker")</f>
        <v>Borrow Broker</v>
      </c>
      <c r="BP5" s="36" t="str">
        <f>IFERROR(__xludf.DUMMYFUNCTION("""COMPUTED_VALUE"""),"Expiry Date")</f>
        <v>Expiry Date</v>
      </c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6"/>
      <c r="II5" s="36"/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6"/>
      <c r="IU5" s="36"/>
      <c r="IV5" s="36"/>
      <c r="IW5" s="36"/>
      <c r="IX5" s="36"/>
      <c r="IY5" s="36"/>
      <c r="IZ5" s="36"/>
      <c r="JA5" s="36"/>
      <c r="JB5" s="36"/>
      <c r="JC5" s="36"/>
      <c r="JD5" s="36"/>
      <c r="JE5" s="36"/>
      <c r="JF5" s="36"/>
      <c r="JG5" s="36"/>
      <c r="JH5" s="36"/>
      <c r="JI5" s="36"/>
      <c r="JJ5" s="36"/>
      <c r="JK5" s="36"/>
      <c r="JL5" s="36"/>
      <c r="JM5" s="36"/>
      <c r="JN5" s="36"/>
      <c r="JO5" s="36"/>
      <c r="JP5" s="36"/>
      <c r="JQ5" s="36"/>
      <c r="JR5" s="36"/>
      <c r="JS5" s="36"/>
      <c r="JT5" s="36"/>
      <c r="JU5" s="36"/>
      <c r="JV5" s="36"/>
      <c r="JW5" s="36"/>
      <c r="JX5" s="36"/>
      <c r="JY5" s="36"/>
      <c r="JZ5" s="36"/>
      <c r="KA5" s="36"/>
      <c r="KB5" s="36"/>
      <c r="KC5" s="36"/>
      <c r="KD5" s="36"/>
      <c r="KE5" s="36"/>
      <c r="KF5" s="36"/>
      <c r="KG5" s="36"/>
      <c r="KH5" s="36"/>
      <c r="KI5" s="36"/>
      <c r="KJ5" s="36"/>
      <c r="KK5" s="36"/>
      <c r="KL5" s="36"/>
      <c r="KM5" s="36"/>
      <c r="KN5" s="36"/>
      <c r="KO5" s="36"/>
      <c r="KP5" s="36"/>
      <c r="KQ5" s="36"/>
      <c r="KR5" s="36"/>
      <c r="KS5" s="36"/>
      <c r="KT5" s="36"/>
      <c r="KU5" s="36"/>
      <c r="KV5" s="36"/>
      <c r="KW5" s="36"/>
      <c r="KX5" s="36"/>
      <c r="KY5" s="36"/>
      <c r="KZ5" s="36"/>
      <c r="LA5" s="36"/>
      <c r="LB5" s="36"/>
      <c r="LC5" s="36"/>
      <c r="LD5" s="36"/>
      <c r="LE5" s="36"/>
      <c r="LF5" s="36"/>
      <c r="LG5" s="36"/>
      <c r="LH5" s="36"/>
      <c r="LI5" s="36"/>
      <c r="LJ5" s="36"/>
      <c r="LK5" s="36"/>
      <c r="LL5" s="36"/>
      <c r="LM5" s="36"/>
      <c r="LN5" s="36"/>
      <c r="LO5" s="36"/>
      <c r="LP5" s="36"/>
      <c r="LQ5" s="36"/>
      <c r="LR5" s="36"/>
      <c r="LS5" s="36"/>
      <c r="LT5" s="36"/>
      <c r="LU5" s="36"/>
      <c r="LV5" s="36"/>
      <c r="LW5" s="36"/>
      <c r="LX5" s="36"/>
      <c r="LY5" s="36"/>
      <c r="LZ5" s="36"/>
      <c r="MA5" s="36"/>
      <c r="MB5" s="36"/>
      <c r="MC5" s="36"/>
      <c r="MD5" s="36"/>
      <c r="ME5" s="36"/>
      <c r="MF5" s="36"/>
      <c r="MG5" s="36"/>
      <c r="MH5" s="36"/>
      <c r="MI5" s="36"/>
      <c r="MJ5" s="36"/>
      <c r="MK5" s="36"/>
      <c r="ML5" s="36"/>
      <c r="MM5" s="36"/>
      <c r="MN5" s="36"/>
      <c r="MO5" s="36"/>
      <c r="MP5" s="36"/>
      <c r="MQ5" s="36"/>
      <c r="MR5" s="36"/>
      <c r="MS5" s="36"/>
      <c r="MT5" s="36"/>
      <c r="MU5" s="36"/>
      <c r="MV5" s="36"/>
      <c r="MW5" s="36"/>
      <c r="MX5" s="36"/>
      <c r="MY5" s="36"/>
      <c r="MZ5" s="36"/>
      <c r="NA5" s="36"/>
      <c r="NB5" s="36"/>
      <c r="NC5" s="36"/>
      <c r="ND5" s="36"/>
      <c r="NE5" s="36"/>
      <c r="NF5" s="36"/>
      <c r="NG5" s="36"/>
      <c r="NH5" s="36"/>
      <c r="NI5" s="36"/>
      <c r="NJ5" s="36"/>
      <c r="NK5" s="36"/>
      <c r="NL5" s="36"/>
      <c r="NM5" s="36"/>
      <c r="NN5" s="36"/>
      <c r="NO5" s="36"/>
      <c r="NP5" s="36"/>
      <c r="NQ5" s="36"/>
      <c r="NR5" s="36"/>
      <c r="NS5" s="36"/>
      <c r="NT5" s="36"/>
      <c r="NU5" s="36"/>
      <c r="NV5" s="36"/>
      <c r="NW5" s="36"/>
      <c r="NX5" s="36"/>
      <c r="NY5" s="36"/>
      <c r="NZ5" s="36"/>
      <c r="OA5" s="36"/>
      <c r="OB5" s="36"/>
      <c r="OC5" s="36"/>
      <c r="OD5" s="36"/>
      <c r="OE5" s="36"/>
      <c r="OF5" s="36"/>
      <c r="OG5" s="36"/>
      <c r="OH5" s="36"/>
      <c r="OI5" s="36"/>
      <c r="OJ5" s="36"/>
      <c r="OK5" s="36"/>
      <c r="OL5" s="36"/>
      <c r="OM5" s="36"/>
      <c r="ON5" s="36"/>
      <c r="OO5" s="36"/>
      <c r="OP5" s="36"/>
      <c r="OQ5" s="36"/>
      <c r="OR5" s="36"/>
      <c r="OS5" s="36"/>
      <c r="OT5" s="36"/>
      <c r="OU5" s="36"/>
      <c r="OV5" s="36"/>
      <c r="OW5" s="36"/>
      <c r="OX5" s="36"/>
      <c r="OY5" s="36"/>
      <c r="OZ5" s="36"/>
      <c r="PA5" s="36"/>
      <c r="PB5" s="36"/>
      <c r="PC5" s="36"/>
      <c r="PD5" s="36"/>
      <c r="PE5" s="36"/>
      <c r="PF5" s="36"/>
      <c r="PG5" s="36"/>
      <c r="PH5" s="36"/>
      <c r="PI5" s="36"/>
      <c r="PJ5" s="36"/>
      <c r="PK5" s="36"/>
      <c r="PL5" s="36"/>
      <c r="PM5" s="36"/>
      <c r="PN5" s="36"/>
      <c r="PO5" s="36"/>
      <c r="PP5" s="36"/>
      <c r="PQ5" s="36"/>
      <c r="PR5" s="36"/>
      <c r="PS5" s="36"/>
      <c r="PT5" s="36"/>
      <c r="PU5" s="36"/>
      <c r="PV5" s="36"/>
      <c r="PW5" s="36"/>
      <c r="PX5" s="36"/>
      <c r="PY5" s="36"/>
      <c r="PZ5" s="36"/>
      <c r="QA5" s="36"/>
      <c r="QB5" s="36"/>
      <c r="QC5" s="36"/>
      <c r="QD5" s="36"/>
      <c r="QE5" s="36"/>
      <c r="QF5" s="36"/>
      <c r="QG5" s="36"/>
      <c r="QH5" s="36"/>
      <c r="QI5" s="36"/>
      <c r="QJ5" s="36"/>
      <c r="QK5" s="36"/>
      <c r="QL5" s="36"/>
      <c r="QM5" s="36"/>
      <c r="QN5" s="36"/>
      <c r="QO5" s="36"/>
      <c r="QP5" s="36"/>
      <c r="QQ5" s="36"/>
      <c r="QR5" s="36"/>
      <c r="QS5" s="36"/>
      <c r="QT5" s="36"/>
      <c r="QU5" s="36"/>
      <c r="QV5" s="36"/>
      <c r="QW5" s="36"/>
      <c r="QX5" s="36"/>
      <c r="QY5" s="36"/>
      <c r="QZ5" s="36"/>
      <c r="RA5" s="36"/>
      <c r="RB5" s="36"/>
      <c r="RC5" s="36"/>
      <c r="RD5" s="36"/>
      <c r="RE5" s="36"/>
      <c r="RF5" s="36"/>
      <c r="RG5" s="36"/>
      <c r="RH5" s="36"/>
      <c r="RI5" s="36"/>
      <c r="RJ5" s="36"/>
      <c r="RK5" s="36"/>
      <c r="RL5" s="36"/>
      <c r="RM5" s="36"/>
      <c r="RN5" s="36"/>
      <c r="RO5" s="36"/>
      <c r="RP5" s="36"/>
      <c r="RQ5" s="36"/>
      <c r="RR5" s="36"/>
      <c r="RS5" s="36"/>
      <c r="RT5" s="36"/>
      <c r="RU5" s="36"/>
      <c r="RV5" s="36"/>
      <c r="RW5" s="36"/>
      <c r="RX5" s="36"/>
      <c r="RY5" s="36"/>
      <c r="RZ5" s="36"/>
      <c r="SA5" s="36"/>
      <c r="SB5" s="36"/>
      <c r="SC5" s="36"/>
      <c r="SD5" s="36"/>
      <c r="SE5" s="36"/>
      <c r="SF5" s="36"/>
      <c r="SG5" s="36"/>
      <c r="SH5" s="36"/>
      <c r="SI5" s="36"/>
      <c r="SJ5" s="36"/>
      <c r="SK5" s="36"/>
      <c r="SL5" s="36"/>
      <c r="SM5" s="36"/>
      <c r="SN5" s="36"/>
      <c r="SO5" s="36"/>
      <c r="SP5" s="36"/>
      <c r="SQ5" s="36"/>
      <c r="SR5" s="36"/>
      <c r="SS5" s="36"/>
      <c r="ST5" s="36"/>
      <c r="SU5" s="36"/>
      <c r="SV5" s="36"/>
      <c r="SW5" s="36"/>
      <c r="SX5" s="36"/>
      <c r="SY5" s="36"/>
      <c r="SZ5" s="36"/>
      <c r="TA5" s="36"/>
      <c r="TB5" s="36"/>
      <c r="TC5" s="36"/>
      <c r="TD5" s="36"/>
      <c r="TE5" s="36"/>
      <c r="TF5" s="36"/>
      <c r="TG5" s="36"/>
      <c r="TH5" s="36"/>
      <c r="TI5" s="36"/>
      <c r="TJ5" s="36"/>
      <c r="TK5" s="36"/>
      <c r="TL5" s="36"/>
      <c r="TM5" s="36"/>
      <c r="TN5" s="36"/>
      <c r="TO5" s="36"/>
      <c r="TP5" s="36"/>
      <c r="TQ5" s="36"/>
      <c r="TR5" s="36"/>
      <c r="TS5" s="36"/>
      <c r="TT5" s="36"/>
      <c r="TU5" s="36"/>
      <c r="TV5" s="36"/>
      <c r="TW5" s="36"/>
      <c r="TX5" s="36"/>
      <c r="TY5" s="36"/>
      <c r="TZ5" s="36"/>
      <c r="UA5" s="36"/>
      <c r="UB5" s="36"/>
      <c r="UC5" s="36"/>
      <c r="UD5" s="36"/>
      <c r="UE5" s="36"/>
      <c r="UF5" s="36"/>
      <c r="UG5" s="36"/>
      <c r="UH5" s="36"/>
      <c r="UI5" s="36"/>
      <c r="UJ5" s="36"/>
      <c r="UK5" s="36"/>
      <c r="UL5" s="36"/>
      <c r="UM5" s="36"/>
      <c r="UN5" s="36"/>
      <c r="UO5" s="36"/>
      <c r="UP5" s="36"/>
      <c r="UQ5" s="36"/>
      <c r="UR5" s="36"/>
      <c r="US5" s="36"/>
      <c r="UT5" s="36"/>
      <c r="UU5" s="36"/>
      <c r="UV5" s="36"/>
      <c r="UW5" s="36"/>
      <c r="UX5" s="36"/>
      <c r="UY5" s="36"/>
      <c r="UZ5" s="36"/>
      <c r="VA5" s="36"/>
      <c r="VB5" s="36"/>
      <c r="VC5" s="36"/>
      <c r="VD5" s="36"/>
      <c r="VE5" s="36"/>
      <c r="VF5" s="36"/>
      <c r="VG5" s="36"/>
      <c r="VH5" s="36"/>
      <c r="VI5" s="36"/>
      <c r="VJ5" s="36"/>
      <c r="VK5" s="36"/>
      <c r="VL5" s="36"/>
      <c r="VM5" s="36"/>
      <c r="VN5" s="36"/>
      <c r="VO5" s="36"/>
      <c r="VP5" s="36"/>
      <c r="VQ5" s="36"/>
      <c r="VR5" s="36"/>
      <c r="VS5" s="36"/>
      <c r="VT5" s="36"/>
      <c r="VU5" s="36"/>
      <c r="VV5" s="36"/>
      <c r="VW5" s="36"/>
      <c r="VX5" s="36"/>
      <c r="VY5" s="36"/>
      <c r="VZ5" s="36"/>
      <c r="WA5" s="36"/>
      <c r="WB5" s="36"/>
      <c r="WC5" s="36"/>
      <c r="WD5" s="36"/>
      <c r="WE5" s="36"/>
      <c r="WF5" s="36"/>
      <c r="WG5" s="36"/>
      <c r="WH5" s="36"/>
      <c r="WI5" s="36"/>
      <c r="WJ5" s="36"/>
      <c r="WK5" s="36"/>
      <c r="WL5" s="36"/>
      <c r="WM5" s="36"/>
      <c r="WN5" s="36"/>
      <c r="WO5" s="36"/>
      <c r="WP5" s="36"/>
      <c r="WQ5" s="36"/>
      <c r="WR5" s="36"/>
      <c r="WS5" s="36"/>
      <c r="WT5" s="36"/>
      <c r="WU5" s="36"/>
      <c r="WV5" s="36"/>
      <c r="WW5" s="36"/>
      <c r="WX5" s="36"/>
      <c r="WY5" s="36"/>
      <c r="WZ5" s="36"/>
      <c r="XA5" s="36"/>
      <c r="XB5" s="36"/>
      <c r="XC5" s="36"/>
      <c r="XD5" s="36"/>
      <c r="XE5" s="36"/>
      <c r="XF5" s="36"/>
      <c r="XG5" s="36"/>
      <c r="XH5" s="36"/>
      <c r="XI5" s="36"/>
      <c r="XJ5" s="36"/>
      <c r="XK5" s="36"/>
      <c r="XL5" s="36"/>
      <c r="XM5" s="36"/>
      <c r="XN5" s="36"/>
      <c r="XO5" s="36"/>
      <c r="XP5" s="36"/>
      <c r="XQ5" s="36"/>
      <c r="XR5" s="36"/>
      <c r="XS5" s="36"/>
      <c r="XT5" s="36"/>
      <c r="XU5" s="36"/>
      <c r="XV5" s="36"/>
      <c r="XW5" s="36"/>
      <c r="XX5" s="36"/>
      <c r="XY5" s="36"/>
      <c r="XZ5" s="36"/>
      <c r="YA5" s="36"/>
      <c r="YB5" s="36"/>
      <c r="YC5" s="36"/>
      <c r="YD5" s="36"/>
      <c r="YE5" s="36"/>
      <c r="YF5" s="36"/>
      <c r="YG5" s="36"/>
      <c r="YH5" s="36"/>
      <c r="YI5" s="36"/>
      <c r="YJ5" s="36"/>
      <c r="YK5" s="36"/>
      <c r="YL5" s="36"/>
      <c r="YM5" s="36"/>
      <c r="YN5" s="36"/>
      <c r="YO5" s="36"/>
      <c r="YP5" s="36"/>
      <c r="YQ5" s="36"/>
      <c r="YR5" s="36"/>
      <c r="YS5" s="36"/>
      <c r="YT5" s="36"/>
      <c r="YU5" s="36"/>
      <c r="YV5" s="36"/>
      <c r="YW5" s="36"/>
      <c r="YX5" s="36"/>
      <c r="YY5" s="36"/>
      <c r="YZ5" s="36"/>
      <c r="ZA5" s="36"/>
      <c r="ZB5" s="36"/>
      <c r="ZC5" s="36"/>
      <c r="ZD5" s="36"/>
      <c r="ZE5" s="36"/>
      <c r="ZF5" s="36"/>
      <c r="ZG5" s="36"/>
      <c r="ZH5" s="36"/>
      <c r="ZI5" s="36"/>
      <c r="ZJ5" s="36"/>
      <c r="ZK5" s="36"/>
      <c r="ZL5" s="36"/>
      <c r="ZM5" s="36"/>
      <c r="ZN5" s="36"/>
      <c r="ZO5" s="36"/>
      <c r="ZP5" s="36"/>
      <c r="ZQ5" s="36"/>
      <c r="ZR5" s="36"/>
      <c r="ZS5" s="36"/>
      <c r="ZT5" s="36"/>
      <c r="ZU5" s="36"/>
      <c r="ZV5" s="36"/>
      <c r="ZW5" s="36"/>
      <c r="ZX5" s="36"/>
      <c r="ZY5" s="36"/>
      <c r="ZZ5" s="36"/>
      <c r="AAA5" s="36"/>
      <c r="AAB5" s="36"/>
      <c r="AAC5" s="36"/>
      <c r="AAD5" s="36"/>
      <c r="AAE5" s="36"/>
      <c r="AAF5" s="36"/>
      <c r="AAG5" s="36"/>
      <c r="AAH5" s="36"/>
      <c r="AAI5" s="36"/>
      <c r="AAJ5" s="36"/>
      <c r="AAK5" s="36"/>
      <c r="AAL5" s="36"/>
      <c r="AAM5" s="36"/>
      <c r="AAN5" s="36"/>
      <c r="AAO5" s="36"/>
      <c r="AAP5" s="36"/>
      <c r="AAQ5" s="36"/>
      <c r="AAR5" s="36"/>
      <c r="AAS5" s="36"/>
      <c r="AAT5" s="36"/>
      <c r="AAU5" s="36"/>
      <c r="AAV5" s="36"/>
      <c r="AAW5" s="36"/>
      <c r="AAX5" s="36"/>
      <c r="AAY5" s="36"/>
      <c r="AAZ5" s="36"/>
      <c r="ABA5" s="36"/>
      <c r="ABB5" s="36"/>
      <c r="ABC5" s="36"/>
      <c r="ABD5" s="36"/>
      <c r="ABE5" s="36"/>
      <c r="ABF5" s="36"/>
      <c r="ABG5" s="36"/>
      <c r="ABH5" s="36"/>
      <c r="ABI5" s="36"/>
      <c r="ABJ5" s="36"/>
      <c r="ABK5" s="36"/>
      <c r="ABL5" s="36"/>
      <c r="ABM5" s="36"/>
      <c r="ABN5" s="36"/>
      <c r="ABO5" s="36"/>
      <c r="ABP5" s="36"/>
      <c r="ABQ5" s="36"/>
      <c r="ABR5" s="36"/>
      <c r="ABS5" s="36"/>
      <c r="ABT5" s="36"/>
      <c r="ABU5" s="36"/>
      <c r="ABV5" s="36"/>
      <c r="ABW5" s="36"/>
      <c r="ABX5" s="36"/>
      <c r="ABY5" s="36"/>
      <c r="ABZ5" s="36"/>
      <c r="ACA5" s="36"/>
      <c r="ACB5" s="36"/>
      <c r="ACC5" s="36"/>
      <c r="ACD5" s="36"/>
      <c r="ACE5" s="36"/>
      <c r="ACF5" s="36"/>
      <c r="ACG5" s="36"/>
      <c r="ACH5" s="36"/>
      <c r="ACI5" s="36"/>
      <c r="ACJ5" s="36"/>
      <c r="ACK5" s="36"/>
      <c r="ACL5" s="36"/>
      <c r="ACM5" s="36"/>
      <c r="ACN5" s="36"/>
      <c r="ACO5" s="36"/>
      <c r="ACP5" s="36"/>
      <c r="ACQ5" s="36"/>
      <c r="ACR5" s="36"/>
      <c r="ACS5" s="36"/>
      <c r="ACT5" s="36"/>
      <c r="ACU5" s="36"/>
      <c r="ACV5" s="36"/>
      <c r="ACW5" s="36"/>
      <c r="ACX5" s="36"/>
      <c r="ACY5" s="36"/>
      <c r="ACZ5" s="36"/>
      <c r="ADA5" s="36"/>
      <c r="ADB5" s="36"/>
      <c r="ADC5" s="36"/>
      <c r="ADD5" s="36"/>
      <c r="ADE5" s="36"/>
      <c r="ADF5" s="36"/>
      <c r="ADG5" s="36"/>
      <c r="ADH5" s="36"/>
      <c r="ADI5" s="36"/>
      <c r="ADJ5" s="36"/>
      <c r="ADK5" s="36"/>
      <c r="ADL5" s="36"/>
      <c r="ADM5" s="36"/>
      <c r="ADN5" s="36"/>
      <c r="ADO5" s="36"/>
      <c r="ADP5" s="36"/>
      <c r="ADQ5" s="36"/>
      <c r="ADR5" s="36"/>
      <c r="ADS5" s="36"/>
      <c r="ADT5" s="36"/>
      <c r="ADU5" s="36"/>
      <c r="ADV5" s="36"/>
      <c r="ADW5" s="36"/>
      <c r="ADX5" s="36"/>
      <c r="ADY5" s="36"/>
      <c r="ADZ5" s="36"/>
      <c r="AEA5" s="36"/>
      <c r="AEB5" s="36"/>
      <c r="AEC5" s="36"/>
      <c r="AED5" s="36"/>
      <c r="AEE5" s="36"/>
      <c r="AEF5" s="36"/>
      <c r="AEG5" s="36"/>
      <c r="AEH5" s="36"/>
      <c r="AEI5" s="36"/>
      <c r="AEJ5" s="36"/>
      <c r="AEK5" s="36"/>
      <c r="AEL5" s="36"/>
      <c r="AEM5" s="36"/>
      <c r="AEN5" s="36"/>
      <c r="AEO5" s="36"/>
      <c r="AEP5" s="36"/>
      <c r="AEQ5" s="36"/>
      <c r="AER5" s="36"/>
      <c r="AES5" s="36"/>
      <c r="AET5" s="36"/>
      <c r="AEU5" s="36"/>
      <c r="AEV5" s="36"/>
      <c r="AEW5" s="36"/>
      <c r="AEX5" s="36"/>
      <c r="AEY5" s="36"/>
      <c r="AEZ5" s="36"/>
      <c r="AFA5" s="36"/>
      <c r="AFB5" s="36"/>
      <c r="AFC5" s="36"/>
      <c r="AFD5" s="36"/>
      <c r="AFE5" s="36"/>
      <c r="AFF5" s="36"/>
      <c r="AFG5" s="36"/>
      <c r="AFH5" s="36"/>
      <c r="AFI5" s="36"/>
      <c r="AFJ5" s="36"/>
      <c r="AFK5" s="36"/>
      <c r="AFL5" s="36"/>
      <c r="AFM5" s="36"/>
      <c r="AFN5" s="36"/>
      <c r="AFO5" s="36"/>
      <c r="AFP5" s="36"/>
      <c r="AFQ5" s="36"/>
      <c r="AFR5" s="36"/>
      <c r="AFS5" s="36"/>
      <c r="AFT5" s="36"/>
      <c r="AFU5" s="36"/>
      <c r="AFV5" s="36"/>
      <c r="AFW5" s="36"/>
      <c r="AFX5" s="36"/>
      <c r="AFY5" s="36"/>
      <c r="AFZ5" s="36"/>
      <c r="AGA5" s="36"/>
      <c r="AGB5" s="36"/>
      <c r="AGC5" s="36"/>
      <c r="AGD5" s="36"/>
      <c r="AGE5" s="36"/>
      <c r="AGF5" s="36"/>
      <c r="AGG5" s="36"/>
      <c r="AGH5" s="36"/>
      <c r="AGI5" s="36"/>
      <c r="AGJ5" s="36"/>
      <c r="AGK5" s="36"/>
      <c r="AGL5" s="36"/>
      <c r="AGM5" s="36"/>
      <c r="AGN5" s="36"/>
      <c r="AGO5" s="36"/>
      <c r="AGP5" s="36"/>
      <c r="AGQ5" s="36"/>
      <c r="AGR5" s="36"/>
      <c r="AGS5" s="36"/>
      <c r="AGT5" s="36"/>
      <c r="AGU5" s="36"/>
      <c r="AGV5" s="36"/>
      <c r="AGW5" s="36"/>
      <c r="AGX5" s="36"/>
      <c r="AGY5" s="36"/>
      <c r="AGZ5" s="36"/>
      <c r="AHA5" s="36"/>
      <c r="AHB5" s="36"/>
      <c r="AHC5" s="36"/>
      <c r="AHD5" s="36"/>
      <c r="AHE5" s="36"/>
      <c r="AHF5" s="36"/>
      <c r="AHG5" s="36"/>
      <c r="AHH5" s="36"/>
      <c r="AHI5" s="36"/>
      <c r="AHJ5" s="36"/>
      <c r="AHK5" s="36"/>
      <c r="AHL5" s="36"/>
      <c r="AHM5" s="36"/>
      <c r="AHN5" s="36"/>
      <c r="AHO5" s="36"/>
      <c r="AHP5" s="36"/>
      <c r="AHQ5" s="36"/>
      <c r="AHR5" s="36"/>
      <c r="AHS5" s="36"/>
      <c r="AHT5" s="36"/>
      <c r="AHU5" s="36"/>
      <c r="AHV5" s="36"/>
      <c r="AHW5" s="36"/>
      <c r="AHX5" s="36"/>
      <c r="AHY5" s="36"/>
      <c r="AHZ5" s="36"/>
      <c r="AIA5" s="36"/>
      <c r="AIB5" s="36"/>
      <c r="AIC5" s="36"/>
      <c r="AID5" s="36"/>
      <c r="AIE5" s="36"/>
      <c r="AIF5" s="36"/>
      <c r="AIG5" s="36"/>
      <c r="AIH5" s="36"/>
      <c r="AII5" s="36"/>
      <c r="AIJ5" s="36"/>
      <c r="AIK5" s="36"/>
      <c r="AIL5" s="36"/>
      <c r="AIM5" s="36"/>
      <c r="AIN5" s="36"/>
      <c r="AIO5" s="36"/>
      <c r="AIP5" s="36"/>
      <c r="AIQ5" s="36"/>
      <c r="AIR5" s="36"/>
      <c r="AIS5" s="36"/>
      <c r="AIT5" s="36"/>
      <c r="AIU5" s="36"/>
      <c r="AIV5" s="36"/>
      <c r="AIW5" s="36"/>
      <c r="AIX5" s="36"/>
      <c r="AIY5" s="36"/>
      <c r="AIZ5" s="36"/>
      <c r="AJA5" s="36"/>
      <c r="AJB5" s="36"/>
      <c r="AJC5" s="36"/>
      <c r="AJD5" s="36"/>
      <c r="AJE5" s="36"/>
      <c r="AJF5" s="36"/>
      <c r="AJG5" s="36"/>
      <c r="AJH5" s="36"/>
      <c r="AJI5" s="36"/>
      <c r="AJJ5" s="36"/>
      <c r="AJK5" s="36"/>
      <c r="AJL5" s="36"/>
      <c r="AJM5" s="36"/>
      <c r="AJN5" s="36"/>
      <c r="AJO5" s="36"/>
      <c r="AJP5" s="36"/>
      <c r="AJQ5" s="36"/>
      <c r="AJR5" s="36"/>
      <c r="AJS5" s="36"/>
      <c r="AJT5" s="36"/>
      <c r="AJU5" s="36"/>
      <c r="AJV5" s="36"/>
      <c r="AJW5" s="36"/>
      <c r="AJX5" s="36"/>
      <c r="AJY5" s="36"/>
      <c r="AJZ5" s="36"/>
      <c r="AKA5" s="36"/>
      <c r="AKB5" s="36"/>
      <c r="AKC5" s="36"/>
      <c r="AKD5" s="36"/>
      <c r="AKE5" s="36"/>
      <c r="AKF5" s="36"/>
      <c r="AKG5" s="36"/>
      <c r="AKH5" s="36"/>
      <c r="AKI5" s="36"/>
      <c r="AKJ5" s="36"/>
      <c r="AKK5" s="36"/>
      <c r="AKL5" s="36"/>
      <c r="AKM5" s="36"/>
      <c r="AKN5" s="36"/>
      <c r="AKO5" s="36"/>
      <c r="AKP5" s="36"/>
      <c r="AKQ5" s="36"/>
      <c r="AKR5" s="36"/>
      <c r="AKS5" s="36"/>
      <c r="AKT5" s="36"/>
      <c r="AKU5" s="36"/>
      <c r="AKV5" s="36"/>
      <c r="AKW5" s="36"/>
      <c r="AKX5" s="36"/>
      <c r="AKY5" s="36"/>
      <c r="AKZ5" s="36"/>
      <c r="ALA5" s="36"/>
      <c r="ALB5" s="36"/>
      <c r="ALC5" s="36"/>
      <c r="ALD5" s="36"/>
      <c r="ALE5" s="36"/>
      <c r="ALF5" s="36"/>
      <c r="ALG5" s="36"/>
      <c r="ALH5" s="36"/>
      <c r="ALI5" s="36"/>
      <c r="ALJ5" s="36"/>
      <c r="ALK5" s="36"/>
      <c r="ALL5" s="36"/>
      <c r="ALM5" s="36"/>
      <c r="ALN5" s="36"/>
      <c r="ALO5" s="36"/>
      <c r="ALP5" s="36"/>
      <c r="ALQ5" s="36"/>
      <c r="ALR5" s="36"/>
      <c r="ALS5" s="36"/>
      <c r="ALT5" s="36"/>
      <c r="ALU5" s="36"/>
      <c r="ALV5" s="36"/>
      <c r="ALW5" s="36"/>
      <c r="ALX5" s="36"/>
      <c r="ALY5" s="36"/>
      <c r="ALZ5" s="36"/>
      <c r="AMA5" s="36"/>
      <c r="AMB5" s="36"/>
      <c r="AMC5" s="36"/>
      <c r="AMD5" s="36"/>
      <c r="AME5" s="36"/>
      <c r="AMF5" s="36"/>
      <c r="AMG5" s="36"/>
      <c r="AMH5" s="36"/>
      <c r="AMI5" s="36"/>
      <c r="AMJ5" s="36"/>
      <c r="AMK5" s="36"/>
      <c r="AML5" s="36"/>
    </row>
    <row r="6" ht="15.75" customHeight="1">
      <c r="A6" s="40"/>
      <c r="B6" s="41"/>
      <c r="C6" s="32"/>
      <c r="D6" s="42"/>
      <c r="E6" s="32" t="s">
        <v>127</v>
      </c>
      <c r="F6" s="43"/>
      <c r="G6" s="43"/>
      <c r="H6" s="32" t="s">
        <v>128</v>
      </c>
      <c r="I6" s="32" t="s">
        <v>129</v>
      </c>
      <c r="J6" s="32" t="s">
        <v>24</v>
      </c>
      <c r="K6" s="32" t="s">
        <v>130</v>
      </c>
      <c r="L6" s="32" t="s">
        <v>131</v>
      </c>
      <c r="M6" s="32"/>
      <c r="N6" s="32"/>
      <c r="O6" s="32"/>
      <c r="P6" s="32"/>
      <c r="Q6" s="32"/>
      <c r="R6" s="32"/>
      <c r="S6" s="43"/>
      <c r="T6" s="43"/>
      <c r="U6" s="32" t="s">
        <v>22</v>
      </c>
      <c r="V6" s="32" t="s">
        <v>132</v>
      </c>
      <c r="W6" s="41"/>
      <c r="X6" s="43"/>
      <c r="Y6" s="32"/>
      <c r="Z6" s="32"/>
      <c r="AA6" s="32" t="s">
        <v>133</v>
      </c>
      <c r="AB6" s="43">
        <v>100.0</v>
      </c>
      <c r="AC6" s="32"/>
      <c r="AD6" s="43">
        <v>1.0</v>
      </c>
      <c r="AE6" s="44"/>
      <c r="AF6" s="32" t="s">
        <v>134</v>
      </c>
      <c r="AG6" s="43"/>
      <c r="AH6" s="32" t="s">
        <v>135</v>
      </c>
      <c r="AI6" s="32" t="s">
        <v>24</v>
      </c>
      <c r="AJ6" s="32" t="s">
        <v>32</v>
      </c>
      <c r="AK6" s="32" t="s">
        <v>136</v>
      </c>
      <c r="AL6" s="43">
        <v>100.0</v>
      </c>
      <c r="AM6" s="43">
        <v>100.0</v>
      </c>
      <c r="AN6" s="43">
        <v>100.0</v>
      </c>
      <c r="AO6" s="43">
        <v>100.0</v>
      </c>
      <c r="AP6" s="43"/>
      <c r="AQ6" s="43">
        <v>2.0</v>
      </c>
      <c r="AR6" s="43">
        <v>2.0</v>
      </c>
      <c r="AS6" s="32" t="s">
        <v>137</v>
      </c>
      <c r="AT6" s="32" t="s">
        <v>104</v>
      </c>
      <c r="AU6" s="32" t="s">
        <v>138</v>
      </c>
      <c r="AV6" s="43">
        <v>200.0</v>
      </c>
      <c r="AW6" s="43">
        <v>200.0</v>
      </c>
      <c r="AX6" s="32" t="s">
        <v>139</v>
      </c>
      <c r="AY6" s="32"/>
      <c r="AZ6" s="43"/>
      <c r="BA6" s="32" t="s">
        <v>129</v>
      </c>
      <c r="BB6" s="32"/>
      <c r="BC6" s="44"/>
      <c r="BD6" s="32"/>
      <c r="BE6" s="32"/>
      <c r="BF6" s="32"/>
      <c r="BG6" s="32" t="s">
        <v>28</v>
      </c>
      <c r="BH6" s="32" t="s">
        <v>140</v>
      </c>
      <c r="BI6" s="32"/>
      <c r="BJ6" s="32"/>
      <c r="BK6" s="32"/>
      <c r="BL6" s="32"/>
      <c r="BM6" s="32"/>
      <c r="BN6" s="41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44"/>
      <c r="CC6" s="32"/>
      <c r="CD6" s="44"/>
      <c r="CE6" s="44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44"/>
      <c r="CR6" s="44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44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45"/>
      <c r="B7" s="41"/>
      <c r="C7" s="32"/>
      <c r="D7" s="43"/>
      <c r="E7" s="32" t="s">
        <v>127</v>
      </c>
      <c r="F7" s="43"/>
      <c r="G7" s="43"/>
      <c r="H7" s="32" t="s">
        <v>128</v>
      </c>
      <c r="I7" s="32" t="s">
        <v>129</v>
      </c>
      <c r="J7" s="32" t="s">
        <v>24</v>
      </c>
      <c r="K7" s="32" t="s">
        <v>130</v>
      </c>
      <c r="L7" s="32" t="s">
        <v>131</v>
      </c>
      <c r="M7" s="32"/>
      <c r="N7" s="32"/>
      <c r="O7" s="32"/>
      <c r="P7" s="32"/>
      <c r="Q7" s="32"/>
      <c r="R7" s="32"/>
      <c r="S7" s="43"/>
      <c r="T7" s="43"/>
      <c r="U7" s="32" t="s">
        <v>22</v>
      </c>
      <c r="V7" s="32" t="s">
        <v>132</v>
      </c>
      <c r="W7" s="41"/>
      <c r="X7" s="43"/>
      <c r="Y7" s="32"/>
      <c r="Z7" s="32"/>
      <c r="AA7" s="32" t="s">
        <v>141</v>
      </c>
      <c r="AB7" s="43"/>
      <c r="AC7" s="32"/>
      <c r="AD7" s="43">
        <v>1.0</v>
      </c>
      <c r="AE7" s="44"/>
      <c r="AF7" s="32" t="s">
        <v>134</v>
      </c>
      <c r="AG7" s="43"/>
      <c r="AH7" s="32" t="s">
        <v>135</v>
      </c>
      <c r="AI7" s="32" t="s">
        <v>24</v>
      </c>
      <c r="AJ7" s="32" t="s">
        <v>32</v>
      </c>
      <c r="AK7" s="32" t="s">
        <v>142</v>
      </c>
      <c r="AL7" s="43">
        <v>1000.0</v>
      </c>
      <c r="AM7" s="43"/>
      <c r="AN7" s="43"/>
      <c r="AO7" s="43"/>
      <c r="AP7" s="43">
        <v>1000.0</v>
      </c>
      <c r="AQ7" s="43"/>
      <c r="AR7" s="43"/>
      <c r="AS7" s="32" t="s">
        <v>137</v>
      </c>
      <c r="AT7" s="32" t="s">
        <v>141</v>
      </c>
      <c r="AU7" s="32" t="s">
        <v>138</v>
      </c>
      <c r="AV7" s="43"/>
      <c r="AW7" s="43"/>
      <c r="AX7" s="32"/>
      <c r="AY7" s="32"/>
      <c r="AZ7" s="43">
        <v>1000.0</v>
      </c>
      <c r="BA7" s="32" t="s">
        <v>129</v>
      </c>
      <c r="BB7" s="32"/>
      <c r="BC7" s="32"/>
      <c r="BD7" s="32"/>
      <c r="BE7" s="32"/>
      <c r="BF7" s="32"/>
      <c r="BG7" s="32" t="s">
        <v>143</v>
      </c>
      <c r="BH7" s="32" t="s">
        <v>140</v>
      </c>
      <c r="BI7" s="32"/>
      <c r="BJ7" s="32"/>
      <c r="BK7" s="32"/>
      <c r="BL7" s="32"/>
      <c r="BM7" s="32"/>
      <c r="BN7" s="41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44"/>
      <c r="CC7" s="32"/>
      <c r="CD7" s="44"/>
      <c r="CE7" s="44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44"/>
      <c r="CR7" s="44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44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44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</row>
    <row r="8" ht="15.75" customHeight="1">
      <c r="A8" s="45"/>
      <c r="B8" s="41"/>
      <c r="C8" s="32"/>
      <c r="D8" s="43"/>
      <c r="E8" s="32" t="s">
        <v>127</v>
      </c>
      <c r="F8" s="43"/>
      <c r="G8" s="43"/>
      <c r="H8" s="32" t="s">
        <v>128</v>
      </c>
      <c r="I8" s="32" t="s">
        <v>129</v>
      </c>
      <c r="J8" s="32" t="s">
        <v>24</v>
      </c>
      <c r="K8" s="32" t="s">
        <v>130</v>
      </c>
      <c r="L8" s="32" t="s">
        <v>131</v>
      </c>
      <c r="M8" s="32"/>
      <c r="N8" s="32"/>
      <c r="O8" s="32"/>
      <c r="P8" s="32"/>
      <c r="Q8" s="32"/>
      <c r="R8" s="32"/>
      <c r="S8" s="43"/>
      <c r="T8" s="43"/>
      <c r="U8" s="32" t="s">
        <v>22</v>
      </c>
      <c r="V8" s="32" t="s">
        <v>132</v>
      </c>
      <c r="W8" s="41"/>
      <c r="X8" s="43"/>
      <c r="Y8" s="32"/>
      <c r="Z8" s="32"/>
      <c r="AA8" s="32" t="s">
        <v>141</v>
      </c>
      <c r="AB8" s="43"/>
      <c r="AC8" s="32"/>
      <c r="AD8" s="43">
        <v>1.0</v>
      </c>
      <c r="AE8" s="44"/>
      <c r="AF8" s="32" t="s">
        <v>134</v>
      </c>
      <c r="AG8" s="43"/>
      <c r="AH8" s="32" t="s">
        <v>135</v>
      </c>
      <c r="AI8" s="32" t="s">
        <v>24</v>
      </c>
      <c r="AJ8" s="32" t="s">
        <v>32</v>
      </c>
      <c r="AK8" s="32" t="s">
        <v>124</v>
      </c>
      <c r="AL8" s="43">
        <v>2000.0</v>
      </c>
      <c r="AM8" s="43"/>
      <c r="AN8" s="43"/>
      <c r="AO8" s="43"/>
      <c r="AP8" s="43">
        <v>2000.0</v>
      </c>
      <c r="AQ8" s="43"/>
      <c r="AR8" s="43"/>
      <c r="AS8" s="32" t="s">
        <v>137</v>
      </c>
      <c r="AT8" s="32" t="s">
        <v>141</v>
      </c>
      <c r="AU8" s="32" t="s">
        <v>138</v>
      </c>
      <c r="AV8" s="43"/>
      <c r="AW8" s="43"/>
      <c r="AX8" s="32"/>
      <c r="AY8" s="32"/>
      <c r="AZ8" s="43">
        <v>2000.0</v>
      </c>
      <c r="BA8" s="32" t="s">
        <v>129</v>
      </c>
      <c r="BB8" s="32"/>
      <c r="BC8" s="32"/>
      <c r="BD8" s="32"/>
      <c r="BE8" s="32"/>
      <c r="BF8" s="32"/>
      <c r="BG8" s="32" t="s">
        <v>143</v>
      </c>
      <c r="BH8" s="32" t="s">
        <v>140</v>
      </c>
      <c r="BI8" s="32"/>
      <c r="BJ8" s="32"/>
      <c r="BK8" s="32"/>
      <c r="BL8" s="32"/>
      <c r="BM8" s="32"/>
      <c r="BN8" s="41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44"/>
      <c r="CC8" s="32"/>
      <c r="CD8" s="44"/>
      <c r="CE8" s="44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44"/>
      <c r="CR8" s="44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44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