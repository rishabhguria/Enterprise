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CreateDoneAwayOrder" sheetId="5" r:id="rId8"/>
    <sheet state="visible" name="VerifyOrder" sheetId="6" r:id="rId9"/>
    <sheet state="visible" name="SelectTradeOnOrderGrid" sheetId="7" r:id="rId10"/>
    <sheet state="visible" name="VerifySubOrder" sheetId="8" r:id="rId11"/>
    <sheet state="visible" name="SelectTradeOnOrderGrid1" sheetId="9" r:id="rId12"/>
    <sheet state="visible" name="VerifySubOrder1" sheetId="10" r:id="rId13"/>
    <sheet state="visible" name="SelectTradeOnBlotter" sheetId="11" r:id="rId14"/>
    <sheet state="visible" name="ReplaceSubOrder" sheetId="12" r:id="rId15"/>
    <sheet state="visible" name="CreateReplaceOrder" sheetId="13" r:id="rId16"/>
    <sheet state="visible" name="SelectTradeOnBlotter1" sheetId="14" r:id="rId17"/>
    <sheet state="visible" name="ReplaceSubOrder1" sheetId="15" r:id="rId18"/>
    <sheet state="visible" name="CreateReplaceOrder1" sheetId="16" r:id="rId19"/>
    <sheet state="visible" name="VerifyOrder1" sheetId="17" r:id="rId20"/>
    <sheet state="visible" name="VerifySubOrder2" sheetId="18" r:id="rId21"/>
    <sheet state="visible" name="VerifySubOrder3" sheetId="19" r:id="rId22"/>
    <sheet state="visible" name="GetDataAllocation" sheetId="20" r:id="rId23"/>
    <sheet state="visible" name="CheckAllocatedGroups" sheetId="21" r:id="rId24"/>
    <sheet state="visible" name="LoginClient" sheetId="22" r:id="rId25"/>
  </sheets>
  <definedNames/>
  <calcPr/>
  <extLst>
    <ext uri="GoogleSheetsCustomDataVersion2">
      <go:sheetsCustomData xmlns:go="http://customooxmlschemas.google.com/" r:id="rId26" roundtripDataChecksum="/jsCK2Big77R0wN38xtoAKTMP55WfPI6JoHQSnmDtKw="/>
    </ext>
  </extLst>
</workbook>
</file>

<file path=xl/sharedStrings.xml><?xml version="1.0" encoding="utf-8"?>
<sst xmlns="http://schemas.openxmlformats.org/spreadsheetml/2006/main" count="614" uniqueCount="210">
  <si>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</si>
  <si>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</si>
  <si>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</si>
  <si>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</si>
  <si>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</si>
  <si>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</si>
  <si>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</si>
  <si>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</si>
  <si>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</si>
  <si>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</si>
  <si>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</si>
  <si>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</si>
  <si>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</si>
  <si>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</si>
  <si>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</si>
  <si>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</si>
  <si>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</si>
  <si>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</si>
  <si>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</si>
  <si>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FRU-TC</t>
  </si>
  <si>
    <t>CreateDoneAwayOrder</t>
  </si>
  <si>
    <t>Allocation1,Allocation2,Allocation3</t>
  </si>
  <si>
    <t>33,33,34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</si>
  <si>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</si>
  <si>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</si>
  <si>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</si>
  <si>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</si>
  <si>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</si>
  <si>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</si>
  <si>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</si>
  <si>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</si>
  <si>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</si>
  <si>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</si>
  <si>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</si>
  <si>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</si>
  <si>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PartiallyFilled</t>
  </si>
  <si>
    <t>MS</t>
  </si>
  <si>
    <t>Allocation1</t>
  </si>
  <si>
    <t>Market</t>
  </si>
  <si>
    <t>Day</t>
  </si>
  <si>
    <t>FRU CN EQUITY</t>
  </si>
  <si>
    <t>CAD</t>
  </si>
  <si>
    <t>Multiple</t>
  </si>
  <si>
    <t>D</t>
  </si>
  <si>
    <t>SelectTradeOnOrderGrid</t>
  </si>
  <si>
    <t>VerifySubOrder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</si>
  <si>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</si>
  <si>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</si>
  <si>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</si>
  <si>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</si>
  <si>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</si>
  <si>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</si>
  <si>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</si>
  <si>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</si>
  <si>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</si>
  <si>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</si>
  <si>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</si>
  <si>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</si>
  <si>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</si>
  <si>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</si>
  <si>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</si>
  <si>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</si>
  <si>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</si>
  <si>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</si>
  <si>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</si>
  <si>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</si>
  <si>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</si>
  <si>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</si>
  <si>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</si>
  <si>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</si>
  <si>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</si>
  <si>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</si>
  <si>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</si>
  <si>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</si>
  <si>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</si>
  <si>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</si>
  <si>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</si>
  <si>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</si>
  <si>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</si>
  <si>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</si>
  <si>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</si>
  <si>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</si>
  <si>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</si>
  <si>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</si>
  <si>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</si>
  <si>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</si>
  <si>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</si>
  <si>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</si>
  <si>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</si>
  <si>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</si>
  <si>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</si>
  <si>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</si>
  <si>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</si>
  <si>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</si>
  <si>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</si>
  <si>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</si>
  <si>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</si>
  <si>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</si>
  <si>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</si>
  <si>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</si>
  <si>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</si>
  <si>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</si>
  <si>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</si>
  <si>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</si>
  <si>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</si>
  <si>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</si>
  <si>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</si>
  <si>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</si>
  <si>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</si>
  <si>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</si>
  <si>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</si>
  <si>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</si>
  <si>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</si>
  <si>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</si>
  <si>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</si>
  <si>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</si>
  <si>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</si>
  <si>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</si>
  <si>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</si>
  <si>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</si>
  <si>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</si>
  <si>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</si>
  <si>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</si>
  <si>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</si>
  <si>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</si>
  <si>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</si>
  <si>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</si>
  <si>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</si>
  <si>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</si>
  <si>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</si>
  <si>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</si>
  <si>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</si>
  <si>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</si>
  <si>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</si>
  <si>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ReplaceSubOrder</t>
  </si>
  <si>
    <t>CreateReplaceOrder</t>
  </si>
  <si>
    <t>Replaced</t>
  </si>
  <si>
    <t>Allocation</t>
  </si>
  <si>
    <t>GetDataAllocation</t>
  </si>
  <si>
    <t>Current</t>
  </si>
  <si>
    <t>CheckAllocatedGroups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</si>
  <si>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</si>
  <si>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</si>
  <si>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</si>
  <si>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</si>
  <si>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</si>
  <si>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</si>
  <si>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</si>
  <si>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</si>
  <si>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</si>
  <si>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</si>
  <si>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</si>
  <si>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</si>
  <si>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</si>
  <si>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</si>
  <si>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</si>
  <si>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</si>
  <si>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</si>
  <si>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</si>
  <si>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</si>
  <si>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</si>
  <si>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</si>
  <si>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</si>
  <si>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</si>
  <si>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</si>
  <si>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</si>
  <si>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</si>
  <si>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</si>
  <si>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</si>
  <si>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</si>
  <si>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</si>
  <si>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</si>
  <si>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</si>
  <si>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</si>
  <si>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</si>
  <si>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</si>
  <si>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</si>
  <si>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</si>
  <si>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</si>
  <si>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</si>
  <si>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</si>
  <si>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</si>
  <si>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</si>
  <si>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</si>
  <si>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Trade Date</t>
  </si>
  <si>
    <t>Description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</si>
  <si>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</si>
  <si>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</si>
  <si>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</si>
  <si>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</si>
  <si>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</si>
  <si>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</si>
  <si>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</si>
  <si>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</si>
  <si>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</si>
  <si>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</si>
  <si>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</si>
  <si>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</si>
  <si>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Account Name</t>
  </si>
  <si>
    <t>Strategy Name</t>
  </si>
  <si>
    <t>Open</t>
  </si>
  <si>
    <t>NONE</t>
  </si>
  <si>
    <t>APPLE</t>
  </si>
  <si>
    <t>DefaultNotes</t>
  </si>
  <si>
    <t>Strategy Unallocated</t>
  </si>
  <si>
    <t>TSX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</si>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</sst>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24"/>
      <c r="B6" s="25" t="s">
        <v>16</v>
      </c>
      <c r="C6" s="26">
        <v>100.0</v>
      </c>
      <c r="D6" s="26">
        <v>10.0</v>
      </c>
      <c r="E6" s="25" t="s">
        <v>17</v>
      </c>
      <c r="F6" s="24"/>
      <c r="G6" s="24"/>
      <c r="H6" s="24"/>
      <c r="I6" s="24"/>
      <c r="J6" s="25" t="s">
        <v>18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</row>
    <row r="7" ht="15.75" customHeight="1">
      <c r="A7" s="24"/>
      <c r="B7" s="25" t="s">
        <v>19</v>
      </c>
      <c r="C7" s="26">
        <v>100.0</v>
      </c>
      <c r="D7" s="26">
        <v>10.0</v>
      </c>
      <c r="E7" s="25" t="s">
        <v>17</v>
      </c>
      <c r="F7" s="24"/>
      <c r="G7" s="24"/>
      <c r="H7" s="24"/>
      <c r="I7" s="24"/>
      <c r="J7" s="25" t="s">
        <v>18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IFERROR(__xludf.DUMMYFUNCTION("""COMPUTED_VALUE"""),"ChkBoxBookAsSwap")</f>
        <v>ChkBoxBookAsSwap</v>
      </c>
      <c r="AO5" s="23" t="str">
        <f>IFERROR(__xludf.DUMMYFUNCTION("""COMPUTED_VALUE"""),"PopUpQuantity")</f>
        <v>PopUpQuantity</v>
      </c>
      <c r="AP5" s="23" t="str">
        <f>IFERROR(__xludf.DUMMYFUNCTION("""COMPUTED_VALUE"""),"ShortLocate")</f>
        <v>ShortLocate</v>
      </c>
      <c r="AQ5" s="23" t="str">
        <f>IFERROR(__xludf.DUMMYFUNCTION("""COMPUTED_VALUE"""),"AllowTrade")</f>
        <v>AllowTrade</v>
      </c>
      <c r="AR5" s="23" t="str">
        <f>IFERROR(__xludf.DUMMYFUNCTION("""COMPUTED_VALUE"""),"SharesOutstandingPopUpQty")</f>
        <v>SharesOutstandingPopUpQty</v>
      </c>
      <c r="AS5" s="23" t="str">
        <f>IFERROR(__xludf.DUMMYFUNCTION("""COMPUTED_VALUE"""),"SharesOutstandingPopUp")</f>
        <v>SharesOutstandingPopUp</v>
      </c>
      <c r="AT5" s="23" t="str">
        <f>IFERROR(__xludf.DUMMYFUNCTION("""COMPUTED_VALUE"""),"ResAllowedListPopUp")</f>
        <v>ResAllowedListPopUp</v>
      </c>
      <c r="AU5" s="23" t="str">
        <f>IFERROR(__xludf.DUMMYFUNCTION("""COMPUTED_VALUE"""),"Rate(%)")</f>
        <v>Rate(%)</v>
      </c>
      <c r="AV5" s="23" t="str">
        <f>IFERROR(__xludf.DUMMYFUNCTION("""COMPUTED_VALUE"""),"Interest Rate")</f>
        <v>Interest Rate</v>
      </c>
      <c r="AW5" s="23" t="str">
        <f>IFERROR(__xludf.DUMMYFUNCTION("""COMPUTED_VALUE"""),"SelectAlgoStrategy")</f>
        <v>SelectAlgoStrategy</v>
      </c>
      <c r="AX5" s="23" t="str">
        <f>IFERROR(__xludf.DUMMYFUNCTION("""COMPUTED_VALUE"""),"Increase/Decrease Quantity")</f>
        <v>Increase/Decrease Quantity</v>
      </c>
      <c r="AY5" s="23" t="str">
        <f>IFERROR(__xludf.DUMMYFUNCTION("""COMPUTED_VALUE"""),"Master Funds")</f>
        <v>Master Funds</v>
      </c>
      <c r="AZ5" s="23" t="str">
        <f>IFERROR(__xludf.DUMMYFUNCTION("""COMPUTED_VALUE"""),"TRVAccountName")</f>
        <v>TRVAccountName</v>
      </c>
      <c r="BA5" s="23" t="str">
        <f>IFERROR(__xludf.DUMMYFUNCTION("""COMPUTED_VALUE"""),"TRVTradeQuantity")</f>
        <v>TRVTradeQuantity</v>
      </c>
      <c r="BB5" s="23" t="str">
        <f>IFERROR(__xludf.DUMMYFUNCTION("""COMPUTED_VALUE"""),"TRVCurrentPosition")</f>
        <v>TRVCurrentPosition</v>
      </c>
      <c r="BC5" s="23" t="str">
        <f>IFERROR(__xludf.DUMMYFUNCTION("""COMPUTED_VALUE"""),"TRVNav")</f>
        <v>TRVNav</v>
      </c>
      <c r="BD5" s="23" t="str">
        <f>IFERROR(__xludf.DUMMYFUNCTION("""COMPUTED_VALUE"""),"Account QTY")</f>
        <v>Account QTY</v>
      </c>
      <c r="BE5" s="23" t="str">
        <f>IFERROR(__xludf.DUMMYFUNCTION("""COMPUTED_VALUE"""),"DoneAwayClickOnNO")</f>
        <v>DoneAwayClickOnNO</v>
      </c>
      <c r="BF5" s="23" t="str">
        <f>IFERROR(__xludf.DUMMYFUNCTION("""COMPUTED_VALUE"""),"HotbuttonQty")</f>
        <v>HotbuttonQty</v>
      </c>
      <c r="BG5" s="23" t="str">
        <f>IFERROR(__xludf.DUMMYFUNCTION("""COMPUTED_VALUE"""),"HotButtonPrice")</f>
        <v>HotButtonPrice</v>
      </c>
      <c r="BH5" s="23" t="str">
        <f>IFERROR(__xludf.DUMMYFUNCTION("""COMPUTED_VALUE"""),"HotButtonLimit")</f>
        <v>HotButtonLimit</v>
      </c>
      <c r="BI5" s="23" t="str">
        <f>IFERROR(__xludf.DUMMYFUNCTION("""COMPUTED_VALUE"""),"HotButtonStop")</f>
        <v>HotButtonStop</v>
      </c>
      <c r="BJ5" s="23" t="str">
        <f>IFERROR(__xludf.DUMMYFUNCTION("""COMPUTED_VALUE"""),"Broker PadLock")</f>
        <v>Broker PadLock</v>
      </c>
      <c r="BK5" s="23" t="str">
        <f>IFERROR(__xludf.DUMMYFUNCTION("""COMPUTED_VALUE"""),"TradeBy")</f>
        <v>TradeBy</v>
      </c>
      <c r="BL5" s="23" t="str">
        <f>IFERROR(__xludf.DUMMYFUNCTION("""COMPUTED_VALUE"""),"PendingApprovalPopUp")</f>
        <v>PendingApprovalPopUp</v>
      </c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</row>
    <row r="6" ht="15.75" customHeight="1">
      <c r="A6" s="6"/>
      <c r="B6" s="6" t="s">
        <v>16</v>
      </c>
      <c r="C6" s="6" t="s">
        <v>18</v>
      </c>
      <c r="D6" s="6">
        <v>100.0</v>
      </c>
      <c r="E6" s="6">
        <v>10.0</v>
      </c>
      <c r="F6" s="6"/>
      <c r="G6" s="6"/>
      <c r="H6" s="6"/>
      <c r="I6" s="6"/>
      <c r="J6" s="6">
        <v>10.0</v>
      </c>
      <c r="K6" s="6"/>
      <c r="L6" s="6"/>
      <c r="M6" s="6"/>
      <c r="N6" s="6"/>
      <c r="O6" s="6"/>
    </row>
    <row r="7" ht="15.75" customHeight="1">
      <c r="A7" s="6"/>
      <c r="B7" s="25" t="s">
        <v>19</v>
      </c>
      <c r="C7" s="6" t="s">
        <v>18</v>
      </c>
      <c r="D7" s="6">
        <v>100.0</v>
      </c>
      <c r="E7" s="6">
        <v>10.0</v>
      </c>
      <c r="F7" s="6"/>
      <c r="G7" s="6"/>
      <c r="H7" s="6"/>
      <c r="I7" s="6"/>
      <c r="J7" s="6">
        <v>10.0</v>
      </c>
      <c r="K7" s="6"/>
      <c r="L7" s="6"/>
      <c r="M7" s="6"/>
      <c r="N7" s="6"/>
      <c r="O7" s="6"/>
      <c r="AK7" s="27" t="s">
        <v>21</v>
      </c>
      <c r="AL7" s="27" t="s">
        <v>22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3" width="12.63"/>
    <col customWidth="1" min="4" max="4" width="16.0"/>
    <col customWidth="1" min="5" max="5" width="16.25"/>
    <col customWidth="1" min="6" max="8" width="12.63"/>
    <col customWidth="1" min="9" max="9" width="15.88"/>
    <col customWidth="1" min="10" max="11" width="15.25"/>
    <col customWidth="1" min="12" max="46" width="12.63"/>
    <col customWidth="1" min="47" max="47" width="12.88"/>
    <col customWidth="1" min="48" max="48" width="17.75"/>
    <col customWidth="1" min="49" max="49" width="17.5"/>
    <col customWidth="1" min="50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 t="s">
        <v>25</v>
      </c>
      <c r="D6" s="6">
        <v>10.0</v>
      </c>
      <c r="E6" s="6" t="s">
        <v>26</v>
      </c>
      <c r="F6" s="6"/>
      <c r="G6" s="6">
        <v>90.0</v>
      </c>
      <c r="H6" s="6" t="s">
        <v>27</v>
      </c>
      <c r="I6" s="6" t="s">
        <v>28</v>
      </c>
      <c r="J6" s="6" t="s">
        <v>16</v>
      </c>
      <c r="K6" s="6" t="s">
        <v>29</v>
      </c>
      <c r="L6" s="6" t="s">
        <v>30</v>
      </c>
      <c r="M6" s="6"/>
      <c r="N6" s="6"/>
      <c r="O6" s="6"/>
      <c r="U6" s="8" t="s">
        <v>31</v>
      </c>
      <c r="AA6" s="8" t="s">
        <v>32</v>
      </c>
      <c r="AB6" s="8">
        <v>10.0</v>
      </c>
      <c r="AD6" s="8">
        <v>1.0</v>
      </c>
      <c r="AF6" s="8" t="s">
        <v>33</v>
      </c>
      <c r="AG6" s="8">
        <v>10.0</v>
      </c>
      <c r="AH6" s="8" t="s">
        <v>34</v>
      </c>
      <c r="AI6" s="8" t="s">
        <v>16</v>
      </c>
      <c r="AJ6" s="8" t="s">
        <v>18</v>
      </c>
      <c r="AK6" s="8" t="s">
        <v>35</v>
      </c>
      <c r="AL6" s="8">
        <v>100.0</v>
      </c>
      <c r="AM6" s="8">
        <v>10.0</v>
      </c>
      <c r="AN6" s="8">
        <v>10.0</v>
      </c>
      <c r="AO6" s="8">
        <v>10.0</v>
      </c>
      <c r="AQ6" s="8">
        <v>10.0</v>
      </c>
      <c r="AR6" s="8">
        <v>10.0</v>
      </c>
      <c r="AS6" s="8" t="s">
        <v>36</v>
      </c>
      <c r="AT6" s="8" t="s">
        <v>37</v>
      </c>
      <c r="AU6" s="8" t="s">
        <v>38</v>
      </c>
      <c r="AV6" s="8">
        <v>100.0</v>
      </c>
      <c r="AW6" s="8">
        <v>100.0</v>
      </c>
      <c r="AX6" s="8"/>
      <c r="AZ6" s="8">
        <v>90.0</v>
      </c>
      <c r="BA6" s="8" t="s">
        <v>28</v>
      </c>
      <c r="BH6" s="8" t="s">
        <v>39</v>
      </c>
    </row>
    <row r="7" ht="15.75" customHeight="1">
      <c r="A7" s="6"/>
      <c r="B7" s="6"/>
      <c r="C7" s="6" t="s">
        <v>25</v>
      </c>
      <c r="D7" s="6">
        <v>0.0</v>
      </c>
      <c r="E7" s="6" t="s">
        <v>40</v>
      </c>
      <c r="F7" s="6"/>
      <c r="G7" s="6">
        <v>90.0</v>
      </c>
      <c r="H7" s="6" t="s">
        <v>27</v>
      </c>
      <c r="I7" s="6" t="s">
        <v>28</v>
      </c>
      <c r="J7" s="6" t="s">
        <v>19</v>
      </c>
      <c r="K7" s="6" t="s">
        <v>29</v>
      </c>
      <c r="L7" s="6" t="s">
        <v>30</v>
      </c>
      <c r="M7" s="6"/>
      <c r="N7" s="6"/>
      <c r="O7" s="6"/>
      <c r="U7" s="8" t="s">
        <v>41</v>
      </c>
      <c r="AA7" s="28" t="s">
        <v>42</v>
      </c>
      <c r="AB7" s="8">
        <v>10.0</v>
      </c>
      <c r="AD7" s="8">
        <v>0.0</v>
      </c>
      <c r="AF7" s="8" t="s">
        <v>43</v>
      </c>
      <c r="AG7" s="8">
        <v>10.0</v>
      </c>
      <c r="AH7" s="8" t="s">
        <v>34</v>
      </c>
      <c r="AI7" s="8" t="s">
        <v>19</v>
      </c>
      <c r="AJ7" s="8" t="s">
        <v>18</v>
      </c>
      <c r="AK7" s="8" t="s">
        <v>35</v>
      </c>
      <c r="AL7" s="8">
        <v>100.0</v>
      </c>
      <c r="AM7" s="8">
        <v>10.0</v>
      </c>
      <c r="AN7" s="8">
        <v>10.0</v>
      </c>
      <c r="AO7" s="8">
        <v>10.0</v>
      </c>
      <c r="AQ7" s="8">
        <v>10.0</v>
      </c>
      <c r="AR7" s="8">
        <v>10.0</v>
      </c>
      <c r="AS7" s="8" t="s">
        <v>36</v>
      </c>
      <c r="AT7" s="28" t="s">
        <v>42</v>
      </c>
      <c r="AU7" s="8" t="s">
        <v>38</v>
      </c>
      <c r="AV7" s="8">
        <v>100.0</v>
      </c>
      <c r="AW7" s="8">
        <v>0.0</v>
      </c>
      <c r="AX7" s="8"/>
      <c r="AZ7" s="8">
        <v>90.0</v>
      </c>
      <c r="BA7" s="8" t="s">
        <v>28</v>
      </c>
      <c r="BH7" s="8" t="s">
        <v>39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 t="s">
        <v>16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 t="s">
        <v>25</v>
      </c>
      <c r="D6" s="6">
        <v>10.0</v>
      </c>
      <c r="E6" s="6" t="s">
        <v>26</v>
      </c>
      <c r="F6" s="6"/>
      <c r="G6" s="6">
        <v>90.0</v>
      </c>
      <c r="H6" s="6" t="s">
        <v>27</v>
      </c>
      <c r="I6" s="6" t="s">
        <v>28</v>
      </c>
      <c r="J6" s="6" t="s">
        <v>16</v>
      </c>
      <c r="K6" s="6" t="s">
        <v>29</v>
      </c>
      <c r="L6" s="6" t="s">
        <v>30</v>
      </c>
      <c r="M6" s="6"/>
      <c r="N6" s="6"/>
      <c r="O6" s="6"/>
      <c r="U6" s="8" t="s">
        <v>31</v>
      </c>
      <c r="AA6" s="8" t="s">
        <v>32</v>
      </c>
      <c r="AB6" s="8">
        <v>10.0</v>
      </c>
      <c r="AD6" s="8">
        <v>1.0</v>
      </c>
      <c r="AF6" s="8" t="s">
        <v>33</v>
      </c>
      <c r="AG6" s="8">
        <v>10.0</v>
      </c>
      <c r="AH6" s="8" t="s">
        <v>34</v>
      </c>
      <c r="AI6" s="8" t="s">
        <v>16</v>
      </c>
      <c r="AJ6" s="8" t="s">
        <v>18</v>
      </c>
      <c r="AK6" s="8" t="s">
        <v>35</v>
      </c>
      <c r="AL6" s="8">
        <v>100.0</v>
      </c>
      <c r="AM6" s="8">
        <v>10.0</v>
      </c>
      <c r="AN6" s="8">
        <v>10.0</v>
      </c>
      <c r="AO6" s="8">
        <v>10.0</v>
      </c>
      <c r="AP6" s="8">
        <v>10.0</v>
      </c>
      <c r="AQ6" s="8" t="s">
        <v>36</v>
      </c>
      <c r="AR6" s="8" t="s">
        <v>37</v>
      </c>
      <c r="AS6" s="8" t="s">
        <v>38</v>
      </c>
      <c r="AT6" s="8">
        <v>100.0</v>
      </c>
      <c r="AU6" s="8">
        <v>100.0</v>
      </c>
      <c r="AV6" s="8"/>
      <c r="AW6" s="8" t="s">
        <v>35</v>
      </c>
      <c r="AX6" s="8">
        <v>90.0</v>
      </c>
      <c r="AZ6" s="8" t="s">
        <v>28</v>
      </c>
      <c r="BA6" s="8">
        <v>10.0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25" t="s">
        <v>19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 t="s">
        <v>25</v>
      </c>
      <c r="D6" s="6">
        <v>0.0</v>
      </c>
      <c r="E6" s="6" t="s">
        <v>40</v>
      </c>
      <c r="F6" s="6"/>
      <c r="G6" s="6">
        <v>90.0</v>
      </c>
      <c r="H6" s="6" t="s">
        <v>27</v>
      </c>
      <c r="I6" s="6" t="s">
        <v>28</v>
      </c>
      <c r="J6" s="6" t="s">
        <v>19</v>
      </c>
      <c r="K6" s="6" t="s">
        <v>29</v>
      </c>
      <c r="L6" s="6" t="s">
        <v>30</v>
      </c>
      <c r="M6" s="6"/>
      <c r="N6" s="6"/>
      <c r="O6" s="6"/>
      <c r="U6" s="8" t="s">
        <v>41</v>
      </c>
      <c r="AA6" s="28" t="s">
        <v>42</v>
      </c>
      <c r="AB6" s="8">
        <v>10.0</v>
      </c>
      <c r="AD6" s="8">
        <v>0.0</v>
      </c>
      <c r="AF6" s="8" t="s">
        <v>43</v>
      </c>
      <c r="AG6" s="8">
        <v>10.0</v>
      </c>
      <c r="AH6" s="8" t="s">
        <v>34</v>
      </c>
      <c r="AI6" s="8" t="s">
        <v>19</v>
      </c>
      <c r="AJ6" s="8" t="s">
        <v>18</v>
      </c>
      <c r="AK6" s="8" t="s">
        <v>35</v>
      </c>
      <c r="AL6" s="8">
        <v>100.0</v>
      </c>
      <c r="AM6" s="8">
        <v>10.0</v>
      </c>
      <c r="AN6" s="8">
        <v>10.0</v>
      </c>
      <c r="AO6" s="8">
        <v>10.0</v>
      </c>
      <c r="AP6" s="8">
        <v>10.0</v>
      </c>
      <c r="AQ6" s="8" t="s">
        <v>36</v>
      </c>
      <c r="AR6" s="28" t="s">
        <v>42</v>
      </c>
      <c r="AS6" s="8" t="s">
        <v>38</v>
      </c>
      <c r="AT6" s="8">
        <v>100.0</v>
      </c>
      <c r="AU6" s="8">
        <v>0.0</v>
      </c>
      <c r="AV6" s="8"/>
      <c r="AW6" s="8" t="s">
        <v>35</v>
      </c>
      <c r="AX6" s="8">
        <v>90.0</v>
      </c>
      <c r="AZ6" s="8" t="s">
        <v>28</v>
      </c>
      <c r="BA6" s="8">
        <v>10.0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/>
      <c r="B5" s="22" t="s">
        <v>47</v>
      </c>
      <c r="C5" s="22" t="s">
        <v>48</v>
      </c>
      <c r="D5" s="22" t="s">
        <v>49</v>
      </c>
      <c r="E5" s="22" t="s">
        <v>50</v>
      </c>
      <c r="F5" s="22" t="s">
        <v>51</v>
      </c>
      <c r="G5" s="22" t="s">
        <v>52</v>
      </c>
      <c r="H5" s="22" t="s">
        <v>53</v>
      </c>
      <c r="I5" s="22" t="s">
        <v>54</v>
      </c>
      <c r="J5" s="22" t="s">
        <v>55</v>
      </c>
      <c r="K5" s="22" t="s">
        <v>56</v>
      </c>
      <c r="L5" s="22" t="s">
        <v>57</v>
      </c>
      <c r="M5" s="22" t="s">
        <v>58</v>
      </c>
      <c r="N5" s="22" t="s">
        <v>59</v>
      </c>
      <c r="O5" s="22" t="s">
        <v>60</v>
      </c>
      <c r="P5" s="22" t="s">
        <v>61</v>
      </c>
      <c r="Q5" s="22" t="s">
        <v>62</v>
      </c>
      <c r="R5" s="22" t="s">
        <v>63</v>
      </c>
      <c r="S5" s="22" t="s">
        <v>64</v>
      </c>
      <c r="T5" s="23" t="s">
        <v>65</v>
      </c>
      <c r="U5" s="23" t="s">
        <v>66</v>
      </c>
      <c r="V5" s="23" t="s">
        <v>67</v>
      </c>
      <c r="W5" s="23" t="s">
        <v>68</v>
      </c>
      <c r="X5" s="23" t="s">
        <v>69</v>
      </c>
      <c r="Y5" s="23" t="s">
        <v>70</v>
      </c>
      <c r="Z5" s="23" t="s">
        <v>71</v>
      </c>
      <c r="AA5" s="23" t="s">
        <v>72</v>
      </c>
      <c r="AB5" s="23" t="s">
        <v>73</v>
      </c>
      <c r="AC5" s="23" t="s">
        <v>74</v>
      </c>
      <c r="AD5" s="23" t="s">
        <v>75</v>
      </c>
      <c r="AE5" s="23" t="s">
        <v>76</v>
      </c>
      <c r="AF5" s="23" t="s">
        <v>77</v>
      </c>
      <c r="AG5" s="23" t="s">
        <v>78</v>
      </c>
      <c r="AH5" s="23" t="s">
        <v>79</v>
      </c>
      <c r="AI5" s="23" t="s">
        <v>80</v>
      </c>
      <c r="AJ5" s="23" t="s">
        <v>81</v>
      </c>
      <c r="AK5" s="23" t="s">
        <v>82</v>
      </c>
      <c r="AL5" s="23" t="s">
        <v>83</v>
      </c>
      <c r="AM5" s="23" t="s">
        <v>84</v>
      </c>
      <c r="AN5" s="23" t="s">
        <v>85</v>
      </c>
      <c r="AO5" s="23" t="s">
        <v>86</v>
      </c>
      <c r="AP5" s="23" t="s">
        <v>87</v>
      </c>
      <c r="AQ5" s="23" t="s">
        <v>88</v>
      </c>
      <c r="AR5" s="23" t="s">
        <v>89</v>
      </c>
      <c r="AS5" s="23" t="s">
        <v>90</v>
      </c>
      <c r="AT5" s="23" t="s">
        <v>91</v>
      </c>
      <c r="AU5" s="23" t="s">
        <v>92</v>
      </c>
      <c r="AV5" s="23" t="s">
        <v>93</v>
      </c>
      <c r="AW5" s="23" t="s">
        <v>94</v>
      </c>
      <c r="AX5" s="23" t="s">
        <v>95</v>
      </c>
      <c r="AY5" s="23" t="s">
        <v>96</v>
      </c>
      <c r="AZ5" s="23" t="s">
        <v>97</v>
      </c>
      <c r="BA5" s="23" t="s">
        <v>98</v>
      </c>
      <c r="BB5" s="23" t="s">
        <v>99</v>
      </c>
      <c r="BC5" s="23" t="s">
        <v>100</v>
      </c>
      <c r="BD5" s="23" t="s">
        <v>101</v>
      </c>
      <c r="BE5" s="23" t="s">
        <v>102</v>
      </c>
      <c r="BF5" s="23" t="s">
        <v>103</v>
      </c>
      <c r="BG5" s="23" t="s">
        <v>104</v>
      </c>
      <c r="BH5" s="23" t="s">
        <v>105</v>
      </c>
      <c r="BI5" s="23" t="s">
        <v>106</v>
      </c>
      <c r="BJ5" s="23" t="s">
        <v>107</v>
      </c>
      <c r="BK5" s="23" t="s">
        <v>108</v>
      </c>
      <c r="BL5" s="23" t="s">
        <v>109</v>
      </c>
      <c r="BM5" s="23" t="s">
        <v>110</v>
      </c>
      <c r="BN5" s="23" t="s">
        <v>111</v>
      </c>
      <c r="BO5" s="23" t="s">
        <v>112</v>
      </c>
      <c r="BP5" s="23" t="s">
        <v>113</v>
      </c>
      <c r="BQ5" s="23" t="s">
        <v>114</v>
      </c>
      <c r="BR5" s="23" t="s">
        <v>115</v>
      </c>
      <c r="BS5" s="23" t="s">
        <v>116</v>
      </c>
      <c r="BT5" s="23" t="s">
        <v>117</v>
      </c>
      <c r="BU5" s="23" t="s">
        <v>118</v>
      </c>
      <c r="BV5" s="23" t="s">
        <v>119</v>
      </c>
      <c r="BW5" s="23" t="s">
        <v>120</v>
      </c>
      <c r="BX5" s="23" t="s">
        <v>121</v>
      </c>
      <c r="BY5" s="23" t="s">
        <v>122</v>
      </c>
      <c r="BZ5" s="23" t="s">
        <v>123</v>
      </c>
      <c r="CA5" s="23" t="s">
        <v>124</v>
      </c>
      <c r="CB5" s="23" t="s">
        <v>125</v>
      </c>
      <c r="CC5" s="23" t="s">
        <v>126</v>
      </c>
      <c r="CD5" s="23" t="s">
        <v>127</v>
      </c>
      <c r="CE5" s="23" t="s">
        <v>128</v>
      </c>
      <c r="CF5" s="23" t="s">
        <v>129</v>
      </c>
      <c r="CG5" s="23" t="s">
        <v>130</v>
      </c>
      <c r="CH5" s="23" t="s">
        <v>131</v>
      </c>
      <c r="CI5" s="23" t="s">
        <v>132</v>
      </c>
      <c r="CJ5" s="23" t="s">
        <v>133</v>
      </c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134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1")</f>
        <v>Trade Attribute 1</v>
      </c>
      <c r="N5" s="22" t="str">
        <f>IFERROR(__xludf.DUMMYFUNCTION("""COMPUTED_VALUE"""),"Trade Attribute 2")</f>
        <v>Trade Attribute 2</v>
      </c>
      <c r="O5" s="22" t="str">
        <f>IFERROR(__xludf.DUMMYFUNCTION("""COMPUTED_VALUE"""),"Trade Attribute 3")</f>
        <v>Trade Attribute 3</v>
      </c>
      <c r="P5" s="22" t="str">
        <f>IFERROR(__xludf.DUMMYFUNCTION("""COMPUTED_VALUE"""),"Trade Attribute 4")</f>
        <v>Trade Attribute 4</v>
      </c>
      <c r="Q5" s="22" t="str">
        <f>IFERROR(__xludf.DUMMYFUNCTION("""COMPUTED_VALUE"""),"Trade Attribute 5")</f>
        <v>Trade Attribute 5</v>
      </c>
      <c r="R5" s="22" t="str">
        <f>IFERROR(__xludf.DUMMYFUNCTION("""COMPUTED_VALUE"""),"Trade Attribute 6")</f>
        <v>Trade Attribute 6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FxRate Operator")</f>
        <v>Settlement FxRate Operator</v>
      </c>
      <c r="V5" s="23" t="str">
        <f>IFERROR(__xludf.DUMMYFUNCTION("""COMPUTED_VALUE"""),"Settlement Currency")</f>
        <v>Settlement Currency</v>
      </c>
      <c r="W5" s="23" t="str">
        <f>IFERROR(__xludf.DUMMYFUNCTION("""COMPUTED_VALUE"""),"Put/Call")</f>
        <v>Put/Call</v>
      </c>
      <c r="X5" s="23" t="str">
        <f>IFERROR(__xludf.DUMMYFUNCTION("""COMPUTED_VALUE"""),"Process Date")</f>
        <v>Process Date</v>
      </c>
      <c r="Y5" s="23" t="str">
        <f>IFERROR(__xludf.DUMMYFUNCTION("""COMPUTED_VALUE"""),"Peg")</f>
        <v>Peg</v>
      </c>
      <c r="Z5" s="23" t="str">
        <f>IFERROR(__xludf.DUMMYFUNCTION("""COMPUTED_VALUE"""),"ParentClOrderID")</f>
        <v>ParentClOrderID</v>
      </c>
      <c r="AA5" s="23" t="str">
        <f>IFERROR(__xludf.DUMMYFUNCTION("""COMPUTED_VALUE"""),"OrderID")</f>
        <v>OrderID</v>
      </c>
      <c r="AB5" s="23" t="str">
        <f>IFERROR(__xludf.DUMMYFUNCTION("""COMPUTED_VALUE"""),"Master Fund")</f>
        <v>Master Fund</v>
      </c>
      <c r="AC5" s="23" t="str">
        <f>IFERROR(__xludf.DUMMYFUNCTION("""COMPUTED_VALUE"""),"Last Shares")</f>
        <v>Last Shares</v>
      </c>
      <c r="AD5" s="23" t="str">
        <f>IFERROR(__xludf.DUMMYFUNCTION("""COMPUTED_VALUE"""),"Internal Comments")</f>
        <v>Internal Comments</v>
      </c>
      <c r="AE5" s="23" t="str">
        <f>IFERROR(__xludf.DUMMYFUNCTION("""COMPUTED_VALUE"""),"FX Rate")</f>
        <v>FX Rate</v>
      </c>
      <c r="AF5" s="23" t="str">
        <f>IFERROR(__xludf.DUMMYFUNCTION("""COMPUTED_VALUE"""),"Imported File Name")</f>
        <v>Imported File Name</v>
      </c>
      <c r="AG5" s="23" t="str">
        <f>IFERROR(__xludf.DUMMYFUNCTION("""COMPUTED_VALUE"""),"FX Conversion Operator")</f>
        <v>FX Conversion Operator</v>
      </c>
      <c r="AH5" s="23" t="str">
        <f>IFERROR(__xludf.DUMMYFUNCTION("""COMPUTED_VALUE"""),"Day Average Price")</f>
        <v>Day Average Price</v>
      </c>
      <c r="AI5" s="23" t="str">
        <f>IFERROR(__xludf.DUMMYFUNCTION("""COMPUTED_VALUE"""),"Asset Class")</f>
        <v>Asset Class</v>
      </c>
      <c r="AJ5" s="23" t="str">
        <f>IFERROR(__xludf.DUMMYFUNCTION("""COMPUTED_VALUE"""),"Symbol")</f>
        <v>Symbol</v>
      </c>
      <c r="AK5" s="23" t="str">
        <f>IFERROR(__xludf.DUMMYFUNCTION("""COMPUTED_VALUE"""),"Side")</f>
        <v>Side</v>
      </c>
      <c r="AL5" s="23" t="str">
        <f>IFERROR(__xludf.DUMMYFUNCTION("""COMPUTED_VALUE"""),"Status")</f>
        <v>Status</v>
      </c>
      <c r="AM5" s="23" t="str">
        <f>IFERROR(__xludf.DUMMYFUNCTION("""COMPUTED_VALUE"""),"Quantity")</f>
        <v>Quantity</v>
      </c>
      <c r="AN5" s="23" t="str">
        <f>IFERROR(__xludf.DUMMYFUNCTION("""COMPUTED_VALUE"""),"Executed Qty")</f>
        <v>Executed Qty</v>
      </c>
      <c r="AO5" s="23" t="str">
        <f>IFERROR(__xludf.DUMMYFUNCTION("""COMPUTED_VALUE"""),"% Executed")</f>
        <v>% Executed</v>
      </c>
      <c r="AP5" s="23" t="str">
        <f>IFERROR(__xludf.DUMMYFUNCTION("""COMPUTED_VALUE"""),"Day Executed Qty")</f>
        <v>Day Executed Qty</v>
      </c>
      <c r="AQ5" s="23" t="str">
        <f>IFERROR(__xludf.DUMMYFUNCTION("""COMPUTED_VALUE"""),"Remaining Qty")</f>
        <v>Remaining Qty</v>
      </c>
      <c r="AR5" s="23" t="str">
        <f>IFERROR(__xludf.DUMMYFUNCTION("""COMPUTED_VALUE"""),"Last Fill Price (Local)")</f>
        <v>Last Fill Price (Local)</v>
      </c>
      <c r="AS5" s="23" t="str">
        <f>IFERROR(__xludf.DUMMYFUNCTION("""COMPUTED_VALUE"""),"Avg Fill Price (Local)")</f>
        <v>Avg Fill Price (Local)</v>
      </c>
      <c r="AT5" s="23" t="str">
        <f>IFERROR(__xludf.DUMMYFUNCTION("""COMPUTED_VALUE"""),"Broker")</f>
        <v>Broker</v>
      </c>
      <c r="AU5" s="23" t="str">
        <f>IFERROR(__xludf.DUMMYFUNCTION("""COMPUTED_VALUE"""),"Account")</f>
        <v>Account</v>
      </c>
      <c r="AV5" s="23" t="str">
        <f>IFERROR(__xludf.DUMMYFUNCTION("""COMPUTED_VALUE"""),"Order Type")</f>
        <v>Order Type</v>
      </c>
      <c r="AW5" s="23" t="str">
        <f>IFERROR(__xludf.DUMMYFUNCTION("""COMPUTED_VALUE"""),"Principal Amount (Local)")</f>
        <v>Principal Amount (Local)</v>
      </c>
      <c r="AX5" s="23" t="str">
        <f>IFERROR(__xludf.DUMMYFUNCTION("""COMPUTED_VALUE"""),"Principal Amount (Base)")</f>
        <v>Principal Amount (Base)</v>
      </c>
      <c r="AY5" s="23" t="str">
        <f>IFERROR(__xludf.DUMMYFUNCTION("""COMPUTED_VALUE"""),"Settlement FxRate")</f>
        <v>Settlement FxRate</v>
      </c>
      <c r="AZ5" s="23" t="str">
        <f>IFERROR(__xludf.DUMMYFUNCTION("""COMPUTED_VALUE"""),"Settlement Price")</f>
        <v>Settlement Price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16</v>
      </c>
      <c r="AK6" s="8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IFERROR(__xludf.DUMMYFUNCTION("""COMPUTED_VALUE"""),"MasterFund")</f>
        <v>MasterFund</v>
      </c>
      <c r="AO5" s="23" t="str">
        <f>IFERROR(__xludf.DUMMYFUNCTION("""COMPUTED_VALUE"""),"AllowTrade")</f>
        <v>AllowTrade</v>
      </c>
      <c r="AP5" s="23" t="str">
        <f>IFERROR(__xludf.DUMMYFUNCTION("""COMPUTED_VALUE"""),"SharesOutstandingPopUp")</f>
        <v>SharesOutstandingPopUp</v>
      </c>
      <c r="AQ5" s="23" t="str">
        <f>IFERROR(__xludf.DUMMYFUNCTION("""COMPUTED_VALUE"""),"Interest Rate")</f>
        <v>Interest Rate</v>
      </c>
      <c r="AR5" s="23" t="str">
        <f>IFERROR(__xludf.DUMMYFUNCTION("""COMPUTED_VALUE"""),"SelectAlgoStrategy")</f>
        <v>SelectAlgoStrategy</v>
      </c>
      <c r="AS5" s="23" t="str">
        <f>IFERROR(__xludf.DUMMYFUNCTION("""COMPUTED_VALUE"""),"ClearOldCA")</f>
        <v>ClearOldCA</v>
      </c>
      <c r="AT5" s="23" t="str">
        <f>IFERROR(__xludf.DUMMYFUNCTION("""COMPUTED_VALUE"""),"TRVAccountName")</f>
        <v>TRVAccountName</v>
      </c>
      <c r="AU5" s="23" t="str">
        <f>IFERROR(__xludf.DUMMYFUNCTION("""COMPUTED_VALUE"""),"TRVTradeQuantity")</f>
        <v>TRVTradeQuantity</v>
      </c>
      <c r="AV5" s="23" t="str">
        <f>IFERROR(__xludf.DUMMYFUNCTION("""COMPUTED_VALUE"""),"TRVCurrentPosition")</f>
        <v>TRVCurrentPosition</v>
      </c>
      <c r="AW5" s="23" t="str">
        <f>IFERROR(__xludf.DUMMYFUNCTION("""COMPUTED_VALUE"""),"TRVNav")</f>
        <v>TRVNav</v>
      </c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/>
      <c r="D6" s="6">
        <v>200.0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/>
      <c r="B5" s="22" t="s">
        <v>47</v>
      </c>
      <c r="C5" s="22" t="s">
        <v>48</v>
      </c>
      <c r="D5" s="22" t="s">
        <v>49</v>
      </c>
      <c r="E5" s="22" t="s">
        <v>50</v>
      </c>
      <c r="F5" s="22" t="s">
        <v>51</v>
      </c>
      <c r="G5" s="22" t="s">
        <v>52</v>
      </c>
      <c r="H5" s="22" t="s">
        <v>53</v>
      </c>
      <c r="I5" s="22" t="s">
        <v>54</v>
      </c>
      <c r="J5" s="22" t="s">
        <v>55</v>
      </c>
      <c r="K5" s="22" t="s">
        <v>56</v>
      </c>
      <c r="L5" s="22" t="s">
        <v>57</v>
      </c>
      <c r="M5" s="22" t="s">
        <v>58</v>
      </c>
      <c r="N5" s="22" t="s">
        <v>59</v>
      </c>
      <c r="O5" s="22" t="s">
        <v>60</v>
      </c>
      <c r="P5" s="22" t="s">
        <v>61</v>
      </c>
      <c r="Q5" s="22" t="s">
        <v>62</v>
      </c>
      <c r="R5" s="22" t="s">
        <v>63</v>
      </c>
      <c r="S5" s="22" t="s">
        <v>64</v>
      </c>
      <c r="T5" s="23" t="s">
        <v>65</v>
      </c>
      <c r="U5" s="23" t="s">
        <v>66</v>
      </c>
      <c r="V5" s="23" t="s">
        <v>67</v>
      </c>
      <c r="W5" s="23" t="s">
        <v>68</v>
      </c>
      <c r="X5" s="23" t="s">
        <v>69</v>
      </c>
      <c r="Y5" s="23" t="s">
        <v>70</v>
      </c>
      <c r="Z5" s="23" t="s">
        <v>71</v>
      </c>
      <c r="AA5" s="23" t="s">
        <v>72</v>
      </c>
      <c r="AB5" s="23" t="s">
        <v>73</v>
      </c>
      <c r="AC5" s="23" t="s">
        <v>74</v>
      </c>
      <c r="AD5" s="23" t="s">
        <v>75</v>
      </c>
      <c r="AE5" s="23" t="s">
        <v>76</v>
      </c>
      <c r="AF5" s="23" t="s">
        <v>77</v>
      </c>
      <c r="AG5" s="23" t="s">
        <v>78</v>
      </c>
      <c r="AH5" s="23" t="s">
        <v>79</v>
      </c>
      <c r="AI5" s="23" t="s">
        <v>80</v>
      </c>
      <c r="AJ5" s="23" t="s">
        <v>81</v>
      </c>
      <c r="AK5" s="23" t="s">
        <v>82</v>
      </c>
      <c r="AL5" s="23" t="s">
        <v>83</v>
      </c>
      <c r="AM5" s="23" t="s">
        <v>84</v>
      </c>
      <c r="AN5" s="23" t="s">
        <v>85</v>
      </c>
      <c r="AO5" s="23" t="s">
        <v>86</v>
      </c>
      <c r="AP5" s="23" t="s">
        <v>87</v>
      </c>
      <c r="AQ5" s="23" t="s">
        <v>88</v>
      </c>
      <c r="AR5" s="23" t="s">
        <v>89</v>
      </c>
      <c r="AS5" s="23" t="s">
        <v>90</v>
      </c>
      <c r="AT5" s="23" t="s">
        <v>91</v>
      </c>
      <c r="AU5" s="23" t="s">
        <v>92</v>
      </c>
      <c r="AV5" s="23" t="s">
        <v>93</v>
      </c>
      <c r="AW5" s="23" t="s">
        <v>94</v>
      </c>
      <c r="AX5" s="23" t="s">
        <v>95</v>
      </c>
      <c r="AY5" s="23" t="s">
        <v>96</v>
      </c>
      <c r="AZ5" s="23" t="s">
        <v>97</v>
      </c>
      <c r="BA5" s="23" t="s">
        <v>98</v>
      </c>
      <c r="BB5" s="23" t="s">
        <v>99</v>
      </c>
      <c r="BC5" s="23" t="s">
        <v>100</v>
      </c>
      <c r="BD5" s="23" t="s">
        <v>101</v>
      </c>
      <c r="BE5" s="23" t="s">
        <v>102</v>
      </c>
      <c r="BF5" s="23" t="s">
        <v>103</v>
      </c>
      <c r="BG5" s="23" t="s">
        <v>104</v>
      </c>
      <c r="BH5" s="23" t="s">
        <v>105</v>
      </c>
      <c r="BI5" s="23" t="s">
        <v>106</v>
      </c>
      <c r="BJ5" s="23" t="s">
        <v>107</v>
      </c>
      <c r="BK5" s="23" t="s">
        <v>108</v>
      </c>
      <c r="BL5" s="23" t="s">
        <v>109</v>
      </c>
      <c r="BM5" s="23" t="s">
        <v>110</v>
      </c>
      <c r="BN5" s="23" t="s">
        <v>111</v>
      </c>
      <c r="BO5" s="23" t="s">
        <v>112</v>
      </c>
      <c r="BP5" s="23" t="s">
        <v>113</v>
      </c>
      <c r="BQ5" s="23" t="s">
        <v>114</v>
      </c>
      <c r="BR5" s="23" t="s">
        <v>115</v>
      </c>
      <c r="BS5" s="23" t="s">
        <v>116</v>
      </c>
      <c r="BT5" s="23" t="s">
        <v>117</v>
      </c>
      <c r="BU5" s="23" t="s">
        <v>118</v>
      </c>
      <c r="BV5" s="23" t="s">
        <v>119</v>
      </c>
      <c r="BW5" s="23" t="s">
        <v>120</v>
      </c>
      <c r="BX5" s="23" t="s">
        <v>121</v>
      </c>
      <c r="BY5" s="23" t="s">
        <v>122</v>
      </c>
      <c r="BZ5" s="23" t="s">
        <v>123</v>
      </c>
      <c r="CA5" s="23" t="s">
        <v>124</v>
      </c>
      <c r="CB5" s="23" t="s">
        <v>125</v>
      </c>
      <c r="CC5" s="23" t="s">
        <v>126</v>
      </c>
      <c r="CD5" s="23" t="s">
        <v>127</v>
      </c>
      <c r="CE5" s="23" t="s">
        <v>128</v>
      </c>
      <c r="CF5" s="23" t="s">
        <v>129</v>
      </c>
      <c r="CG5" s="23" t="s">
        <v>130</v>
      </c>
      <c r="CH5" s="23" t="s">
        <v>131</v>
      </c>
      <c r="CI5" s="23" t="s">
        <v>132</v>
      </c>
      <c r="CJ5" s="23" t="s">
        <v>133</v>
      </c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6" t="s">
        <v>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134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1")</f>
        <v>Trade Attribute 1</v>
      </c>
      <c r="N5" s="22" t="str">
        <f>IFERROR(__xludf.DUMMYFUNCTION("""COMPUTED_VALUE"""),"Trade Attribute 2")</f>
        <v>Trade Attribute 2</v>
      </c>
      <c r="O5" s="22" t="str">
        <f>IFERROR(__xludf.DUMMYFUNCTION("""COMPUTED_VALUE"""),"Trade Attribute 3")</f>
        <v>Trade Attribute 3</v>
      </c>
      <c r="P5" s="22" t="str">
        <f>IFERROR(__xludf.DUMMYFUNCTION("""COMPUTED_VALUE"""),"Trade Attribute 4")</f>
        <v>Trade Attribute 4</v>
      </c>
      <c r="Q5" s="22" t="str">
        <f>IFERROR(__xludf.DUMMYFUNCTION("""COMPUTED_VALUE"""),"Trade Attribute 5")</f>
        <v>Trade Attribute 5</v>
      </c>
      <c r="R5" s="22" t="str">
        <f>IFERROR(__xludf.DUMMYFUNCTION("""COMPUTED_VALUE"""),"Trade Attribute 6")</f>
        <v>Trade Attribute 6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FxRate Operator")</f>
        <v>Settlement FxRate Operator</v>
      </c>
      <c r="V5" s="23" t="str">
        <f>IFERROR(__xludf.DUMMYFUNCTION("""COMPUTED_VALUE"""),"Settlement Currency")</f>
        <v>Settlement Currency</v>
      </c>
      <c r="W5" s="23" t="str">
        <f>IFERROR(__xludf.DUMMYFUNCTION("""COMPUTED_VALUE"""),"Put/Call")</f>
        <v>Put/Call</v>
      </c>
      <c r="X5" s="23" t="str">
        <f>IFERROR(__xludf.DUMMYFUNCTION("""COMPUTED_VALUE"""),"Process Date")</f>
        <v>Process Date</v>
      </c>
      <c r="Y5" s="23" t="str">
        <f>IFERROR(__xludf.DUMMYFUNCTION("""COMPUTED_VALUE"""),"Peg")</f>
        <v>Peg</v>
      </c>
      <c r="Z5" s="23" t="str">
        <f>IFERROR(__xludf.DUMMYFUNCTION("""COMPUTED_VALUE"""),"ParentClOrderID")</f>
        <v>ParentClOrderID</v>
      </c>
      <c r="AA5" s="23" t="str">
        <f>IFERROR(__xludf.DUMMYFUNCTION("""COMPUTED_VALUE"""),"OrderID")</f>
        <v>OrderID</v>
      </c>
      <c r="AB5" s="23" t="str">
        <f>IFERROR(__xludf.DUMMYFUNCTION("""COMPUTED_VALUE"""),"Master Fund")</f>
        <v>Master Fund</v>
      </c>
      <c r="AC5" s="23" t="str">
        <f>IFERROR(__xludf.DUMMYFUNCTION("""COMPUTED_VALUE"""),"Last Shares")</f>
        <v>Last Shares</v>
      </c>
      <c r="AD5" s="23" t="str">
        <f>IFERROR(__xludf.DUMMYFUNCTION("""COMPUTED_VALUE"""),"Internal Comments")</f>
        <v>Internal Comments</v>
      </c>
      <c r="AE5" s="23" t="str">
        <f>IFERROR(__xludf.DUMMYFUNCTION("""COMPUTED_VALUE"""),"FX Rate")</f>
        <v>FX Rate</v>
      </c>
      <c r="AF5" s="23" t="str">
        <f>IFERROR(__xludf.DUMMYFUNCTION("""COMPUTED_VALUE"""),"Imported File Name")</f>
        <v>Imported File Name</v>
      </c>
      <c r="AG5" s="23" t="str">
        <f>IFERROR(__xludf.DUMMYFUNCTION("""COMPUTED_VALUE"""),"FX Conversion Operator")</f>
        <v>FX Conversion Operator</v>
      </c>
      <c r="AH5" s="23" t="str">
        <f>IFERROR(__xludf.DUMMYFUNCTION("""COMPUTED_VALUE"""),"Day Average Price")</f>
        <v>Day Average Price</v>
      </c>
      <c r="AI5" s="23" t="str">
        <f>IFERROR(__xludf.DUMMYFUNCTION("""COMPUTED_VALUE"""),"Asset Class")</f>
        <v>Asset Class</v>
      </c>
      <c r="AJ5" s="23" t="str">
        <f>IFERROR(__xludf.DUMMYFUNCTION("""COMPUTED_VALUE"""),"Symbol")</f>
        <v>Symbol</v>
      </c>
      <c r="AK5" s="23" t="str">
        <f>IFERROR(__xludf.DUMMYFUNCTION("""COMPUTED_VALUE"""),"Side")</f>
        <v>Side</v>
      </c>
      <c r="AL5" s="23" t="str">
        <f>IFERROR(__xludf.DUMMYFUNCTION("""COMPUTED_VALUE"""),"Status")</f>
        <v>Status</v>
      </c>
      <c r="AM5" s="23" t="str">
        <f>IFERROR(__xludf.DUMMYFUNCTION("""COMPUTED_VALUE"""),"Quantity")</f>
        <v>Quantity</v>
      </c>
      <c r="AN5" s="23" t="str">
        <f>IFERROR(__xludf.DUMMYFUNCTION("""COMPUTED_VALUE"""),"Executed Qty")</f>
        <v>Executed Qty</v>
      </c>
      <c r="AO5" s="23" t="str">
        <f>IFERROR(__xludf.DUMMYFUNCTION("""COMPUTED_VALUE"""),"% Executed")</f>
        <v>% Executed</v>
      </c>
      <c r="AP5" s="23" t="str">
        <f>IFERROR(__xludf.DUMMYFUNCTION("""COMPUTED_VALUE"""),"Day Executed Qty")</f>
        <v>Day Executed Qty</v>
      </c>
      <c r="AQ5" s="23" t="str">
        <f>IFERROR(__xludf.DUMMYFUNCTION("""COMPUTED_VALUE"""),"Remaining Qty")</f>
        <v>Remaining Qty</v>
      </c>
      <c r="AR5" s="23" t="str">
        <f>IFERROR(__xludf.DUMMYFUNCTION("""COMPUTED_VALUE"""),"Last Fill Price (Local)")</f>
        <v>Last Fill Price (Local)</v>
      </c>
      <c r="AS5" s="23" t="str">
        <f>IFERROR(__xludf.DUMMYFUNCTION("""COMPUTED_VALUE"""),"Avg Fill Price (Local)")</f>
        <v>Avg Fill Price (Local)</v>
      </c>
      <c r="AT5" s="23" t="str">
        <f>IFERROR(__xludf.DUMMYFUNCTION("""COMPUTED_VALUE"""),"Broker")</f>
        <v>Broker</v>
      </c>
      <c r="AU5" s="23" t="str">
        <f>IFERROR(__xludf.DUMMYFUNCTION("""COMPUTED_VALUE"""),"Account")</f>
        <v>Account</v>
      </c>
      <c r="AV5" s="23" t="str">
        <f>IFERROR(__xludf.DUMMYFUNCTION("""COMPUTED_VALUE"""),"Order Type")</f>
        <v>Order Type</v>
      </c>
      <c r="AW5" s="23" t="str">
        <f>IFERROR(__xludf.DUMMYFUNCTION("""COMPUTED_VALUE"""),"Principal Amount (Local)")</f>
        <v>Principal Amount (Local)</v>
      </c>
      <c r="AX5" s="23" t="str">
        <f>IFERROR(__xludf.DUMMYFUNCTION("""COMPUTED_VALUE"""),"Principal Amount (Base)")</f>
        <v>Principal Amount (Base)</v>
      </c>
      <c r="AY5" s="23" t="str">
        <f>IFERROR(__xludf.DUMMYFUNCTION("""COMPUTED_VALUE"""),"Settlement FxRate")</f>
        <v>Settlement FxRate</v>
      </c>
      <c r="AZ5" s="23" t="str">
        <f>IFERROR(__xludf.DUMMYFUNCTION("""COMPUTED_VALUE"""),"Settlement Price")</f>
        <v>Settlement Price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6" t="s">
        <v>19</v>
      </c>
      <c r="AK6" s="8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IFERROR(__xludf.DUMMYFUNCTION("""COMPUTED_VALUE"""),"MasterFund")</f>
        <v>MasterFund</v>
      </c>
      <c r="AO5" s="23" t="str">
        <f>IFERROR(__xludf.DUMMYFUNCTION("""COMPUTED_VALUE"""),"AllowTrade")</f>
        <v>AllowTrade</v>
      </c>
      <c r="AP5" s="23" t="str">
        <f>IFERROR(__xludf.DUMMYFUNCTION("""COMPUTED_VALUE"""),"SharesOutstandingPopUp")</f>
        <v>SharesOutstandingPopUp</v>
      </c>
      <c r="AQ5" s="23" t="str">
        <f>IFERROR(__xludf.DUMMYFUNCTION("""COMPUTED_VALUE"""),"Interest Rate")</f>
        <v>Interest Rate</v>
      </c>
      <c r="AR5" s="23" t="str">
        <f>IFERROR(__xludf.DUMMYFUNCTION("""COMPUTED_VALUE"""),"SelectAlgoStrategy")</f>
        <v>SelectAlgoStrategy</v>
      </c>
      <c r="AS5" s="23" t="str">
        <f>IFERROR(__xludf.DUMMYFUNCTION("""COMPUTED_VALUE"""),"ClearOldCA")</f>
        <v>ClearOldCA</v>
      </c>
      <c r="AT5" s="23" t="str">
        <f>IFERROR(__xludf.DUMMYFUNCTION("""COMPUTED_VALUE"""),"TRVAccountName")</f>
        <v>TRVAccountName</v>
      </c>
      <c r="AU5" s="23" t="str">
        <f>IFERROR(__xludf.DUMMYFUNCTION("""COMPUTED_VALUE"""),"TRVTradeQuantity")</f>
        <v>TRVTradeQuantity</v>
      </c>
      <c r="AV5" s="23" t="str">
        <f>IFERROR(__xludf.DUMMYFUNCTION("""COMPUTED_VALUE"""),"TRVCurrentPosition")</f>
        <v>TRVCurrentPosition</v>
      </c>
      <c r="AW5" s="23" t="str">
        <f>IFERROR(__xludf.DUMMYFUNCTION("""COMPUTED_VALUE"""),"TRVNav")</f>
        <v>TRVNav</v>
      </c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19</v>
      </c>
      <c r="C6" s="6"/>
      <c r="D6" s="6">
        <v>200.0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 t="s">
        <v>25</v>
      </c>
      <c r="D6" s="6">
        <v>10.0</v>
      </c>
      <c r="E6" s="6" t="s">
        <v>26</v>
      </c>
      <c r="F6" s="6"/>
      <c r="G6" s="6">
        <v>190.0</v>
      </c>
      <c r="H6" s="6" t="s">
        <v>27</v>
      </c>
      <c r="I6" s="6" t="s">
        <v>28</v>
      </c>
      <c r="J6" s="6" t="s">
        <v>16</v>
      </c>
      <c r="K6" s="6" t="s">
        <v>29</v>
      </c>
      <c r="L6" s="6" t="s">
        <v>30</v>
      </c>
      <c r="M6" s="6"/>
      <c r="N6" s="6"/>
      <c r="O6" s="6"/>
      <c r="U6" s="8" t="s">
        <v>31</v>
      </c>
      <c r="AA6" s="8" t="s">
        <v>32</v>
      </c>
      <c r="AD6" s="8">
        <v>1.0</v>
      </c>
      <c r="AF6" s="8" t="s">
        <v>33</v>
      </c>
      <c r="AG6" s="8">
        <v>10.0</v>
      </c>
      <c r="AH6" s="8" t="s">
        <v>34</v>
      </c>
      <c r="AI6" s="8" t="s">
        <v>16</v>
      </c>
      <c r="AJ6" s="8" t="s">
        <v>18</v>
      </c>
      <c r="AK6" s="8" t="s">
        <v>136</v>
      </c>
      <c r="AL6" s="8">
        <v>200.0</v>
      </c>
      <c r="AM6" s="8">
        <v>10.0</v>
      </c>
      <c r="AN6" s="8">
        <v>5.0</v>
      </c>
      <c r="AO6" s="8">
        <v>10.0</v>
      </c>
      <c r="AR6" s="8">
        <v>10.0</v>
      </c>
      <c r="AS6" s="8" t="s">
        <v>36</v>
      </c>
      <c r="AT6" s="8" t="s">
        <v>37</v>
      </c>
      <c r="AU6" s="8" t="s">
        <v>38</v>
      </c>
      <c r="AV6" s="8">
        <v>100.0</v>
      </c>
      <c r="AW6" s="8">
        <v>100.0</v>
      </c>
      <c r="AX6" s="8"/>
      <c r="AZ6" s="8">
        <v>190.0</v>
      </c>
      <c r="BA6" s="8" t="s">
        <v>28</v>
      </c>
      <c r="BH6" s="8" t="s">
        <v>39</v>
      </c>
    </row>
    <row r="7" ht="15.75" customHeight="1">
      <c r="A7" s="6"/>
      <c r="B7" s="6"/>
      <c r="C7" s="6" t="s">
        <v>25</v>
      </c>
      <c r="D7" s="6">
        <v>0.0</v>
      </c>
      <c r="E7" s="6" t="s">
        <v>40</v>
      </c>
      <c r="F7" s="6"/>
      <c r="G7" s="6">
        <v>190.0</v>
      </c>
      <c r="H7" s="6" t="s">
        <v>27</v>
      </c>
      <c r="I7" s="6" t="s">
        <v>28</v>
      </c>
      <c r="J7" s="6" t="s">
        <v>19</v>
      </c>
      <c r="K7" s="6" t="s">
        <v>29</v>
      </c>
      <c r="L7" s="6" t="s">
        <v>30</v>
      </c>
      <c r="M7" s="6"/>
      <c r="N7" s="6"/>
      <c r="O7" s="6"/>
      <c r="U7" s="8" t="s">
        <v>41</v>
      </c>
      <c r="AA7" s="28" t="s">
        <v>42</v>
      </c>
      <c r="AD7" s="8">
        <v>0.0</v>
      </c>
      <c r="AF7" s="8" t="s">
        <v>43</v>
      </c>
      <c r="AG7" s="8">
        <v>10.0</v>
      </c>
      <c r="AH7" s="8" t="s">
        <v>34</v>
      </c>
      <c r="AI7" s="8" t="s">
        <v>19</v>
      </c>
      <c r="AJ7" s="8" t="s">
        <v>18</v>
      </c>
      <c r="AK7" s="8" t="s">
        <v>136</v>
      </c>
      <c r="AL7" s="8">
        <v>200.0</v>
      </c>
      <c r="AM7" s="8">
        <v>10.0</v>
      </c>
      <c r="AN7" s="8">
        <v>5.0</v>
      </c>
      <c r="AO7" s="8">
        <v>10.0</v>
      </c>
      <c r="AR7" s="8">
        <v>10.0</v>
      </c>
      <c r="AS7" s="8" t="s">
        <v>36</v>
      </c>
      <c r="AT7" s="28" t="s">
        <v>42</v>
      </c>
      <c r="AU7" s="8" t="s">
        <v>38</v>
      </c>
      <c r="AV7" s="8">
        <v>100.0</v>
      </c>
      <c r="AW7" s="8">
        <v>0.0</v>
      </c>
      <c r="AX7" s="8"/>
      <c r="AZ7" s="8">
        <v>190.0</v>
      </c>
      <c r="BA7" s="8" t="s">
        <v>28</v>
      </c>
      <c r="BH7" s="8" t="s">
        <v>39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>
        <v>10.0</v>
      </c>
      <c r="E6" s="6" t="s">
        <v>26</v>
      </c>
      <c r="F6" s="6"/>
      <c r="G6" s="6">
        <v>190.0</v>
      </c>
      <c r="H6" s="6" t="s">
        <v>27</v>
      </c>
      <c r="I6" s="6" t="s">
        <v>28</v>
      </c>
      <c r="J6" s="6" t="s">
        <v>16</v>
      </c>
      <c r="K6" s="6" t="s">
        <v>29</v>
      </c>
      <c r="L6" s="6" t="s">
        <v>30</v>
      </c>
      <c r="M6" s="6"/>
      <c r="N6" s="6"/>
      <c r="O6" s="6"/>
      <c r="U6" s="8" t="s">
        <v>31</v>
      </c>
      <c r="AA6" s="8" t="s">
        <v>32</v>
      </c>
      <c r="AD6" s="8">
        <v>1.0</v>
      </c>
      <c r="AF6" s="8" t="s">
        <v>33</v>
      </c>
      <c r="AG6" s="8">
        <v>10.0</v>
      </c>
      <c r="AH6" s="8" t="s">
        <v>34</v>
      </c>
      <c r="AI6" s="8" t="s">
        <v>16</v>
      </c>
      <c r="AJ6" s="8" t="s">
        <v>18</v>
      </c>
      <c r="AK6" s="8" t="s">
        <v>136</v>
      </c>
      <c r="AL6" s="8">
        <v>200.0</v>
      </c>
      <c r="AM6" s="8">
        <v>10.0</v>
      </c>
      <c r="AN6" s="8">
        <v>10.0</v>
      </c>
      <c r="AP6" s="8">
        <v>10.0</v>
      </c>
      <c r="AQ6" s="8" t="s">
        <v>36</v>
      </c>
      <c r="AR6" s="8" t="s">
        <v>37</v>
      </c>
      <c r="AS6" s="8" t="s">
        <v>38</v>
      </c>
      <c r="AT6" s="8">
        <v>100.0</v>
      </c>
      <c r="AU6" s="8">
        <v>100.0</v>
      </c>
      <c r="AV6" s="8"/>
      <c r="AX6" s="8">
        <v>190.0</v>
      </c>
      <c r="AZ6" s="8" t="s">
        <v>28</v>
      </c>
      <c r="BA6" s="8">
        <v>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23</v>
      </c>
      <c r="D3" s="4" t="s">
        <v>9</v>
      </c>
      <c r="E3" s="11" t="s">
        <v>45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>
        <v>0.0</v>
      </c>
      <c r="E6" s="6" t="s">
        <v>40</v>
      </c>
      <c r="F6" s="6"/>
      <c r="G6" s="6">
        <v>190.0</v>
      </c>
      <c r="H6" s="6" t="s">
        <v>27</v>
      </c>
      <c r="I6" s="6" t="s">
        <v>28</v>
      </c>
      <c r="J6" s="6" t="s">
        <v>19</v>
      </c>
      <c r="K6" s="6" t="s">
        <v>29</v>
      </c>
      <c r="L6" s="6" t="s">
        <v>30</v>
      </c>
      <c r="M6" s="6"/>
      <c r="N6" s="6"/>
      <c r="O6" s="6"/>
      <c r="U6" s="8" t="s">
        <v>41</v>
      </c>
      <c r="AA6" s="28" t="s">
        <v>42</v>
      </c>
      <c r="AD6" s="8">
        <v>0.0</v>
      </c>
      <c r="AF6" s="8" t="s">
        <v>43</v>
      </c>
      <c r="AG6" s="8">
        <v>10.0</v>
      </c>
      <c r="AH6" s="8" t="s">
        <v>34</v>
      </c>
      <c r="AI6" s="8" t="s">
        <v>19</v>
      </c>
      <c r="AJ6" s="8" t="s">
        <v>18</v>
      </c>
      <c r="AK6" s="8" t="s">
        <v>136</v>
      </c>
      <c r="AL6" s="8">
        <v>200.0</v>
      </c>
      <c r="AM6" s="8">
        <v>10.0</v>
      </c>
      <c r="AN6" s="8">
        <v>10.0</v>
      </c>
      <c r="AP6" s="8">
        <v>10.0</v>
      </c>
      <c r="AQ6" s="8" t="s">
        <v>36</v>
      </c>
      <c r="AR6" s="28" t="s">
        <v>42</v>
      </c>
      <c r="AS6" s="8" t="s">
        <v>38</v>
      </c>
      <c r="AT6" s="8">
        <v>100.0</v>
      </c>
      <c r="AU6" s="8">
        <v>0.0</v>
      </c>
      <c r="AV6" s="8"/>
      <c r="AW6" s="8" t="s">
        <v>136</v>
      </c>
      <c r="AX6" s="8">
        <v>190.0</v>
      </c>
      <c r="AZ6" s="8" t="s">
        <v>28</v>
      </c>
      <c r="BA6" s="8">
        <v>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137</v>
      </c>
      <c r="D3" s="4" t="s">
        <v>9</v>
      </c>
      <c r="E3" s="11" t="s">
        <v>138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IFERROR(__xludf.DUMMYFUNCTION("""COMPUTED_VALUE"""),"RangeType")</f>
        <v>RangeType</v>
      </c>
      <c r="C5" s="22" t="str">
        <f>IFERROR(__xludf.DUMMYFUNCTION("""COMPUTED_VALUE"""),"From")</f>
        <v>From</v>
      </c>
      <c r="D5" s="22" t="str">
        <f>IFERROR(__xludf.DUMMYFUNCTION("""COMPUTED_VALUE"""),"To")</f>
        <v>To</v>
      </c>
      <c r="E5" s="22" t="str">
        <f>IFERROR(__xludf.DUMMYFUNCTION("""COMPUTED_VALUE"""),"FilterTabName")</f>
        <v>FilterTabName</v>
      </c>
      <c r="F5" s="22" t="str">
        <f>IFERROR(__xludf.DUMMYFUNCTION("""COMPUTED_VALUE"""),"Symbol")</f>
        <v>Symbol</v>
      </c>
      <c r="G5" s="22" t="str">
        <f>IFERROR(__xludf.DUMMYFUNCTION("""COMPUTED_VALUE"""),"Asset")</f>
        <v>Asset</v>
      </c>
      <c r="H5" s="22" t="str">
        <f>IFERROR(__xludf.DUMMYFUNCTION("""COMPUTED_VALUE"""),"Side")</f>
        <v>Side</v>
      </c>
      <c r="I5" s="22" t="str">
        <f>IFERROR(__xludf.DUMMYFUNCTION("""COMPUTED_VALUE"""),"Account")</f>
        <v>Account</v>
      </c>
      <c r="J5" s="22" t="str">
        <f>IFERROR(__xludf.DUMMYFUNCTION("""COMPUTED_VALUE"""),"Broker")</f>
        <v>Broker</v>
      </c>
      <c r="K5" s="22" t="str">
        <f>IFERROR(__xludf.DUMMYFUNCTION("""COMPUTED_VALUE"""),"Currency")</f>
        <v>Currency</v>
      </c>
      <c r="L5" s="22" t="str">
        <f>IFERROR(__xludf.DUMMYFUNCTION("""COMPUTED_VALUE"""),"Exchange")</f>
        <v>Exchange</v>
      </c>
      <c r="M5" s="22" t="str">
        <f>IFERROR(__xludf.DUMMYFUNCTION("""COMPUTED_VALUE"""),"StrategyName")</f>
        <v>StrategyName</v>
      </c>
      <c r="N5" s="22" t="str">
        <f>IFERROR(__xludf.DUMMYFUNCTION("""COMPUTED_VALUE"""),"Underlying")</f>
        <v>Underlying</v>
      </c>
      <c r="O5" s="22" t="str">
        <f>IFERROR(__xludf.DUMMYFUNCTION("""COMPUTED_VALUE"""),"Venue")</f>
        <v>Venue</v>
      </c>
      <c r="P5" s="22" t="str">
        <f>IFERROR(__xludf.DUMMYFUNCTION("""COMPUTED_VALUE"""),"TradingAccount")</f>
        <v>TradingAccount</v>
      </c>
      <c r="Q5" s="22" t="str">
        <f>IFERROR(__xludf.DUMMYFUNCTION("""COMPUTED_VALUE"""),"PreAllocated")</f>
        <v>PreAllocated</v>
      </c>
      <c r="R5" s="22" t="str">
        <f>IFERROR(__xludf.DUMMYFUNCTION("""COMPUTED_VALUE"""),"ManualGroup")</f>
        <v>ManualGroup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137</v>
      </c>
      <c r="D3" s="4" t="s">
        <v>9</v>
      </c>
      <c r="E3" s="11" t="s">
        <v>140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/>
      <c r="B5" s="22" t="s">
        <v>92</v>
      </c>
      <c r="C5" s="22" t="s">
        <v>78</v>
      </c>
      <c r="D5" s="22" t="s">
        <v>141</v>
      </c>
      <c r="E5" s="22" t="s">
        <v>67</v>
      </c>
      <c r="F5" s="22" t="s">
        <v>142</v>
      </c>
      <c r="G5" s="22" t="s">
        <v>143</v>
      </c>
      <c r="H5" s="22" t="s">
        <v>144</v>
      </c>
      <c r="I5" s="22" t="s">
        <v>145</v>
      </c>
      <c r="J5" s="22" t="s">
        <v>146</v>
      </c>
      <c r="K5" s="22" t="s">
        <v>147</v>
      </c>
      <c r="L5" s="22" t="s">
        <v>148</v>
      </c>
      <c r="M5" s="22" t="s">
        <v>149</v>
      </c>
      <c r="N5" s="22" t="s">
        <v>150</v>
      </c>
      <c r="O5" s="22" t="s">
        <v>151</v>
      </c>
      <c r="P5" s="22" t="s">
        <v>152</v>
      </c>
      <c r="Q5" s="22" t="s">
        <v>153</v>
      </c>
      <c r="R5" s="22" t="s">
        <v>154</v>
      </c>
      <c r="S5" s="22" t="s">
        <v>155</v>
      </c>
      <c r="T5" s="23" t="s">
        <v>156</v>
      </c>
      <c r="U5" s="23" t="s">
        <v>157</v>
      </c>
      <c r="V5" s="23" t="s">
        <v>158</v>
      </c>
      <c r="W5" s="23" t="s">
        <v>159</v>
      </c>
      <c r="X5" s="23" t="s">
        <v>160</v>
      </c>
      <c r="Y5" s="23" t="s">
        <v>161</v>
      </c>
      <c r="Z5" s="23" t="s">
        <v>162</v>
      </c>
      <c r="AA5" s="23" t="s">
        <v>163</v>
      </c>
      <c r="AB5" s="23" t="s">
        <v>164</v>
      </c>
      <c r="AC5" s="23" t="s">
        <v>165</v>
      </c>
      <c r="AD5" s="23" t="s">
        <v>166</v>
      </c>
      <c r="AE5" s="23" t="s">
        <v>167</v>
      </c>
      <c r="AF5" s="23" t="s">
        <v>168</v>
      </c>
      <c r="AG5" s="23" t="s">
        <v>169</v>
      </c>
      <c r="AH5" s="23" t="s">
        <v>170</v>
      </c>
      <c r="AI5" s="23" t="s">
        <v>171</v>
      </c>
      <c r="AJ5" s="23" t="s">
        <v>172</v>
      </c>
      <c r="AK5" s="23" t="s">
        <v>97</v>
      </c>
      <c r="AL5" s="23" t="s">
        <v>82</v>
      </c>
      <c r="AM5" s="23" t="s">
        <v>94</v>
      </c>
      <c r="AN5" s="23" t="s">
        <v>81</v>
      </c>
      <c r="AO5" s="23" t="s">
        <v>56</v>
      </c>
      <c r="AP5" s="23" t="s">
        <v>173</v>
      </c>
      <c r="AQ5" s="23" t="s">
        <v>174</v>
      </c>
      <c r="AR5" s="23" t="s">
        <v>175</v>
      </c>
      <c r="AS5" s="23" t="s">
        <v>176</v>
      </c>
      <c r="AT5" s="23" t="s">
        <v>177</v>
      </c>
      <c r="AU5" s="23" t="s">
        <v>178</v>
      </c>
      <c r="AV5" s="23" t="s">
        <v>179</v>
      </c>
      <c r="AW5" s="23" t="s">
        <v>180</v>
      </c>
      <c r="AX5" s="23" t="s">
        <v>53</v>
      </c>
      <c r="AY5" s="23" t="s">
        <v>85</v>
      </c>
      <c r="AZ5" s="23" t="s">
        <v>181</v>
      </c>
      <c r="BA5" s="23" t="s">
        <v>182</v>
      </c>
      <c r="BB5" s="23" t="s">
        <v>183</v>
      </c>
      <c r="BC5" s="23" t="s">
        <v>184</v>
      </c>
      <c r="BD5" s="23" t="s">
        <v>69</v>
      </c>
      <c r="BE5" s="23" t="s">
        <v>185</v>
      </c>
      <c r="BF5" s="23" t="s">
        <v>55</v>
      </c>
      <c r="BG5" s="23" t="s">
        <v>186</v>
      </c>
      <c r="BH5" s="23" t="s">
        <v>187</v>
      </c>
      <c r="BI5" s="23" t="s">
        <v>188</v>
      </c>
      <c r="BJ5" s="23" t="s">
        <v>189</v>
      </c>
      <c r="BK5" s="23" t="s">
        <v>190</v>
      </c>
      <c r="BL5" s="23" t="s">
        <v>76</v>
      </c>
      <c r="BM5" s="23" t="s">
        <v>191</v>
      </c>
      <c r="BN5" s="23" t="s">
        <v>192</v>
      </c>
      <c r="BO5" s="23" t="s">
        <v>193</v>
      </c>
      <c r="BP5" s="23" t="s">
        <v>194</v>
      </c>
      <c r="BQ5" s="23" t="s">
        <v>195</v>
      </c>
      <c r="BR5" s="23" t="s">
        <v>75</v>
      </c>
      <c r="BS5" s="23" t="s">
        <v>106</v>
      </c>
      <c r="BT5" s="23" t="s">
        <v>196</v>
      </c>
      <c r="BU5" s="23" t="s">
        <v>113</v>
      </c>
      <c r="BV5" s="23" t="s">
        <v>197</v>
      </c>
      <c r="BW5" s="23" t="s">
        <v>73</v>
      </c>
      <c r="BX5" s="23" t="s">
        <v>198</v>
      </c>
      <c r="BY5" s="23" t="s">
        <v>199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36</v>
      </c>
      <c r="C6" s="6" t="s">
        <v>33</v>
      </c>
      <c r="D6" s="6" t="s">
        <v>18</v>
      </c>
      <c r="E6" s="6" t="s">
        <v>31</v>
      </c>
      <c r="F6" s="6" t="b">
        <v>1</v>
      </c>
      <c r="G6" s="6" t="b">
        <v>1</v>
      </c>
      <c r="H6" s="6" t="b">
        <v>0</v>
      </c>
      <c r="I6" s="6" t="b">
        <v>0</v>
      </c>
      <c r="J6" s="6"/>
      <c r="K6" s="6">
        <v>0.0</v>
      </c>
      <c r="L6" s="6"/>
      <c r="M6" s="6"/>
      <c r="N6" s="6">
        <v>10.0</v>
      </c>
      <c r="O6" s="6">
        <v>0.0</v>
      </c>
      <c r="P6" s="8">
        <v>0.0</v>
      </c>
      <c r="Q6" s="8">
        <v>0.0</v>
      </c>
      <c r="R6" s="8">
        <v>0.0</v>
      </c>
      <c r="S6" s="8">
        <v>0.0</v>
      </c>
      <c r="T6" s="8"/>
      <c r="U6" s="8"/>
      <c r="V6" s="8">
        <v>2.0</v>
      </c>
      <c r="W6" s="8">
        <v>4.0</v>
      </c>
      <c r="X6" s="8">
        <v>3.0</v>
      </c>
      <c r="Y6" s="8">
        <v>5.0</v>
      </c>
      <c r="Z6" s="8">
        <v>0.0</v>
      </c>
      <c r="AE6" s="8">
        <v>0.0</v>
      </c>
      <c r="AF6" s="8">
        <v>0.0</v>
      </c>
      <c r="AG6" s="8">
        <v>0.0</v>
      </c>
      <c r="AH6" s="8">
        <v>0.0</v>
      </c>
      <c r="AI6" s="8" t="s">
        <v>200</v>
      </c>
      <c r="AJ6" s="8" t="s">
        <v>201</v>
      </c>
      <c r="AK6" s="8"/>
      <c r="AL6" s="8" t="s">
        <v>18</v>
      </c>
      <c r="AM6" s="8" t="s">
        <v>38</v>
      </c>
      <c r="AN6" s="8" t="s">
        <v>16</v>
      </c>
      <c r="AO6" s="8">
        <v>200.0</v>
      </c>
      <c r="AP6" s="8">
        <v>10.0</v>
      </c>
      <c r="AQ6" s="8">
        <v>10.0</v>
      </c>
      <c r="AR6" s="8" t="s">
        <v>29</v>
      </c>
      <c r="AS6" s="8" t="s">
        <v>27</v>
      </c>
      <c r="AT6" s="8" t="s">
        <v>31</v>
      </c>
      <c r="AU6" s="8">
        <v>1.0</v>
      </c>
      <c r="AV6" s="8" t="s">
        <v>30</v>
      </c>
      <c r="AW6" s="8" t="s">
        <v>28</v>
      </c>
      <c r="AX6" s="8" t="s">
        <v>27</v>
      </c>
      <c r="AY6" s="8">
        <v>10.0</v>
      </c>
      <c r="BA6" s="8" t="s">
        <v>202</v>
      </c>
      <c r="BF6" s="8" t="s">
        <v>16</v>
      </c>
      <c r="BL6" s="8">
        <v>1.0</v>
      </c>
      <c r="BM6" s="8" t="s">
        <v>26</v>
      </c>
      <c r="BQ6" s="8">
        <v>1.0</v>
      </c>
      <c r="BR6" s="8" t="s">
        <v>203</v>
      </c>
      <c r="BS6" s="8"/>
      <c r="BT6" s="8">
        <v>3.0</v>
      </c>
      <c r="BU6" s="8">
        <v>0.0</v>
      </c>
      <c r="BV6" s="8" t="s">
        <v>34</v>
      </c>
      <c r="BW6" s="8" t="s">
        <v>32</v>
      </c>
      <c r="BX6" s="8" t="s">
        <v>37</v>
      </c>
      <c r="BY6" s="8" t="s">
        <v>204</v>
      </c>
    </row>
    <row r="7" ht="15.75" customHeight="1">
      <c r="A7" s="6"/>
      <c r="B7" s="6" t="s">
        <v>36</v>
      </c>
      <c r="C7" s="6" t="s">
        <v>43</v>
      </c>
      <c r="D7" s="6" t="s">
        <v>18</v>
      </c>
      <c r="E7" s="6" t="s">
        <v>41</v>
      </c>
      <c r="F7" s="6" t="b">
        <v>1</v>
      </c>
      <c r="G7" s="6" t="b">
        <v>1</v>
      </c>
      <c r="H7" s="6" t="b">
        <v>0</v>
      </c>
      <c r="I7" s="6" t="b">
        <v>0</v>
      </c>
      <c r="J7" s="6"/>
      <c r="K7" s="6">
        <v>0.0</v>
      </c>
      <c r="L7" s="6"/>
      <c r="M7" s="6"/>
      <c r="N7" s="6">
        <v>10.0</v>
      </c>
      <c r="O7" s="6">
        <v>0.0</v>
      </c>
      <c r="P7" s="8">
        <v>0.0</v>
      </c>
      <c r="Q7" s="8">
        <v>0.0</v>
      </c>
      <c r="R7" s="8">
        <v>0.0</v>
      </c>
      <c r="S7" s="8">
        <v>0.0</v>
      </c>
      <c r="T7" s="8"/>
      <c r="U7" s="8"/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E7" s="8">
        <v>0.0</v>
      </c>
      <c r="AF7" s="8">
        <v>0.0</v>
      </c>
      <c r="AG7" s="8">
        <v>0.0</v>
      </c>
      <c r="AH7" s="8">
        <v>0.0</v>
      </c>
      <c r="AI7" s="8" t="s">
        <v>200</v>
      </c>
      <c r="AJ7" s="8" t="s">
        <v>201</v>
      </c>
      <c r="AK7" s="8"/>
      <c r="AL7" s="8" t="s">
        <v>18</v>
      </c>
      <c r="AM7" s="8" t="s">
        <v>38</v>
      </c>
      <c r="AN7" s="8" t="s">
        <v>19</v>
      </c>
      <c r="AO7" s="8">
        <v>200.0</v>
      </c>
      <c r="AP7" s="8">
        <v>10.0</v>
      </c>
      <c r="AQ7" s="8">
        <v>0.0</v>
      </c>
      <c r="AR7" s="8" t="s">
        <v>29</v>
      </c>
      <c r="AS7" s="8" t="s">
        <v>205</v>
      </c>
      <c r="AT7" s="8" t="s">
        <v>41</v>
      </c>
      <c r="AU7" s="8">
        <v>73.0</v>
      </c>
      <c r="AV7" s="8" t="s">
        <v>30</v>
      </c>
      <c r="AW7" s="8" t="s">
        <v>28</v>
      </c>
      <c r="AX7" s="8" t="s">
        <v>27</v>
      </c>
      <c r="AY7" s="8">
        <v>10.0</v>
      </c>
      <c r="BA7" s="8" t="s">
        <v>19</v>
      </c>
      <c r="BF7" s="8" t="s">
        <v>19</v>
      </c>
      <c r="BL7" s="8">
        <v>0.0</v>
      </c>
      <c r="BM7" s="8" t="s">
        <v>40</v>
      </c>
      <c r="BQ7" s="8">
        <v>1.0</v>
      </c>
      <c r="BR7" s="8" t="s">
        <v>203</v>
      </c>
      <c r="BS7" s="8"/>
      <c r="BT7" s="8">
        <v>3.0</v>
      </c>
      <c r="BU7" s="8">
        <v>0.0</v>
      </c>
      <c r="BV7" s="8" t="s">
        <v>34</v>
      </c>
      <c r="BW7" s="28" t="s">
        <v>42</v>
      </c>
      <c r="BX7" s="28" t="s">
        <v>42</v>
      </c>
      <c r="BY7" s="8" t="s">
        <v>204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206</v>
      </c>
      <c r="D3" s="4" t="s">
        <v>9</v>
      </c>
      <c r="E3" s="11" t="s">
        <v>207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5.75" customHeight="1">
      <c r="A4" s="19"/>
      <c r="B4" s="19" t="str">
        <f>IFERROR(__xludf.DUMMYFUNCTION("IF(C3="""","""",Transpose(IMPORTRANGE('_Settings'!$B$3,C3&amp;""!A4:A1000"")))"),"RestartClient")</f>
        <v>RestartClient</v>
      </c>
      <c r="C4" s="19" t="str">
        <f>IFERROR(__xludf.DUMMYFUNCTION("""COMPUTED_VALUE"""),"UpdateClientConfig")</f>
        <v>UpdateClientConfig</v>
      </c>
      <c r="D4" s="19" t="str">
        <f>IFERROR(__xludf.DUMMYFUNCTION("""COMPUTED_VALUE"""),"PranaClient")</f>
        <v>PranaClient</v>
      </c>
      <c r="E4" s="19" t="str">
        <f>IFERROR(__xludf.DUMMYFUNCTION("""COMPUTED_VALUE"""),"CompareXML")</f>
        <v>CompareXML</v>
      </c>
      <c r="F4" s="19" t="str">
        <f>IFERROR(__xludf.DUMMYFUNCTION("""COMPUTED_VALUE"""),"LoginClient")</f>
        <v>LoginClient</v>
      </c>
      <c r="G4" s="19" t="str">
        <f>IFERROR(__xludf.DUMMYFUNCTION("""COMPUTED_VALUE"""),"DbPicker")</f>
        <v>DbPicker</v>
      </c>
      <c r="H4" s="19" t="str">
        <f>IFERROR(__xludf.DUMMYFUNCTION("""COMPUTED_VALUE"""),"RunPortfolio")</f>
        <v>RunPortfolio</v>
      </c>
      <c r="I4" s="19" t="str">
        <f>IFERROR(__xludf.DUMMYFUNCTION("""COMPUTED_VALUE"""),"MoveFile")</f>
        <v>MoveFile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IFERROR(__xludf.DUMMYFUNCTION("""COMPUTED_VALUE"""),"LoginUserName")</f>
        <v>LoginUserName</v>
      </c>
      <c r="C5" s="22" t="str">
        <f>IFERROR(__xludf.DUMMYFUNCTION("""COMPUTED_VALUE"""),"LoginPassword")</f>
        <v>LoginPassword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15.75" customHeight="1">
      <c r="A6" s="24"/>
      <c r="B6" s="24" t="s">
        <v>208</v>
      </c>
      <c r="C6" s="24" t="s">
        <v>209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