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CreateDoneAwayOrder" sheetId="5" r:id="rId7"/>
    <sheet state="visible" name="RestartReleasesAndServices" sheetId="6" r:id="rId8"/>
    <sheet state="visible" name="Import" sheetId="7" r:id="rId9"/>
    <sheet state="visible" name="SelectAllOnImport" sheetId="8" r:id="rId10"/>
    <sheet state="visible" name="Import1" sheetId="9" r:id="rId11"/>
    <sheet state="visible" name="SelectAllOnImport1" sheetId="10" r:id="rId12"/>
    <sheet state="visible" name="PricingInput" sheetId="11" r:id="rId13"/>
    <sheet state="visible" name="GetMarkPriceData" sheetId="12" r:id="rId14"/>
    <sheet state="visible" name="UpdateMarkPrice" sheetId="13" r:id="rId15"/>
    <sheet state="visible" name="GetForexConversion" sheetId="14" r:id="rId16"/>
    <sheet state="visible" name="UpdateForexConversion" sheetId="15" r:id="rId17"/>
    <sheet state="visible" name="CustomOrderTT" sheetId="16" r:id="rId18"/>
    <sheet state="visible" name="SelectTrade" sheetId="17" r:id="rId19"/>
    <sheet state="visible" name="AcknowledgeTrade" sheetId="18" r:id="rId20"/>
    <sheet state="visible" name="SelectTradeOnOrderGrid" sheetId="19" r:id="rId21"/>
    <sheet state="visible" name="ReplaceSubOrder" sheetId="20" r:id="rId22"/>
    <sheet state="visible" name="CreateReplaceOrder" sheetId="21" r:id="rId23"/>
    <sheet state="visible" name="VerifyComplianceOrder" sheetId="22" r:id="rId24"/>
    <sheet state="visible" name="SelectTrade1" sheetId="23" r:id="rId25"/>
    <sheet state="visible" name="SelectTradeOnOrderGrid1" sheetId="24" r:id="rId26"/>
    <sheet state="visible" name="AcknowledgeTrade1" sheetId="25" r:id="rId27"/>
    <sheet state="visible" name="CancelSubOrder" sheetId="26" r:id="rId28"/>
    <sheet state="visible" name="SelectTrade2" sheetId="27" r:id="rId29"/>
    <sheet state="visible" name="AcknowledgeTrade2" sheetId="28" r:id="rId30"/>
    <sheet state="visible" name="CreateComplianceOrder" sheetId="29" r:id="rId31"/>
    <sheet state="visible" name="VerifyComplianceOrder1" sheetId="30" r:id="rId32"/>
  </sheets>
  <definedNames/>
  <calcPr/>
</workbook>
</file>

<file path=xl/sharedStrings.xml><?xml version="1.0" encoding="utf-8"?>
<sst xmlns="http://schemas.openxmlformats.org/spreadsheetml/2006/main" count="295" uniqueCount="74">
  <si>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</si>
  <si>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</si>
  <si>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</si>
  <si>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</si>
  <si>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</si>
  <si>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</si>
  <si>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</si>
  <si>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</si>
  <si>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</si>
  <si>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</si>
  <si>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</si>
  <si>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</si>
  <si>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</si>
  <si>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</si>
  <si>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</si>
  <si>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</si>
  <si>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</si>
  <si>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</si>
  <si>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</si>
  <si>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</si>
  <si>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</si>
  <si>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Yes</t>
  </si>
  <si>
    <t>Compliance</t>
  </si>
  <si>
    <t>RestartReleasesAndServices</t>
  </si>
  <si>
    <t>No</t>
  </si>
  <si>
    <t>Import</t>
  </si>
  <si>
    <t>\\192.168.2.108\DistributedAutomation_Master\Import Cases\Stage-Compliance-0412.csv</t>
  </si>
  <si>
    <t>ISOX</t>
  </si>
  <si>
    <t>Staged Order</t>
  </si>
  <si>
    <t>SelectAllOnImport</t>
  </si>
  <si>
    <t>\\192.168.2.108\DistributedAutomation_Master\Import Cases\Transaction_Compliance-0412.csv</t>
  </si>
  <si>
    <t>Cameron</t>
  </si>
  <si>
    <t>Transaction</t>
  </si>
  <si>
    <t>PricingInput</t>
  </si>
  <si>
    <t>FRU-TC</t>
  </si>
  <si>
    <t>MSFT</t>
  </si>
  <si>
    <t>038315EW3</t>
  </si>
  <si>
    <t>O:AAPL 13N715.00</t>
  </si>
  <si>
    <t>ES U2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</si>
  <si>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</si>
  <si>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</si>
  <si>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</si>
  <si>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</si>
  <si>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</si>
  <si>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</si>
  <si>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</si>
  <si>
    <t>CAD AO-FX</t>
  </si>
  <si>
    <t>CustomOrderTT</t>
  </si>
  <si>
    <t>Send</t>
  </si>
  <si>
    <t>Simulator</t>
  </si>
  <si>
    <t>SelectTrade</t>
  </si>
  <si>
    <t>AcknowledgeTrade</t>
  </si>
  <si>
    <t>Blotter</t>
  </si>
  <si>
    <t>SelectTradeOnOrderGrid</t>
  </si>
  <si>
    <t>New</t>
  </si>
  <si>
    <t>ReplaceSubOrder</t>
  </si>
  <si>
    <t>CreateReplaceOrder</t>
  </si>
  <si>
    <t>VerifyComplianceOrder</t>
  </si>
  <si>
    <t>Soft</t>
  </si>
  <si>
    <t>Account-sym-AJ</t>
  </si>
  <si>
    <t>Enter Summary</t>
  </si>
  <si>
    <t>Allocation1-AAPL</t>
  </si>
  <si>
    <t>Multiple</t>
  </si>
  <si>
    <t>quantity: 500.00, selectedFeedPrice: 20.00, dayPnLBase: 5,000.00, dayPnLLocal: 5,000.00, costBasisPnLBase: 5,800.00, costBasisPnLLocal: 5,800.00, netMarketValueBase: 10,000.00, netMarketValueLocal: 10,000.00, grossExposureBase: 10,000.00, grossExposureLocal: 10,000.00, AccountShortName: Allocation1, Symbol: AAPL</t>
  </si>
  <si>
    <t>Replace</t>
  </si>
  <si>
    <t>MasterFund-Aj</t>
  </si>
  <si>
    <t>NewMF-AAPL</t>
  </si>
  <si>
    <t>quantity: 500.00, selectedFeedPrice: 20.00, dayPnLBase: 5,000.00, dayPnLLocal: 5,000.00, costBasisPnLBase: 5,800.00, costBasisPnLLocal: 5,800.00, netMarketValueBase: 10,000.00, netMarketValueLocal: 10,000.00, grossMarketValueBase: 10,000.00, grossMarketValueLocal: 10,000.00, MasterFundName: NewMF, Symbol: AAPL</t>
  </si>
  <si>
    <t>CancelSubOrder</t>
  </si>
  <si>
    <t>Replaced</t>
  </si>
  <si>
    <t>CreateComplianceOrder</t>
  </si>
  <si>
    <t>DoneAway</t>
  </si>
  <si>
    <t>quantity: 500.00, selectedFeedPrice: 20.00, dayPnLBase: 1,000.00, dayPnLLocal: 1,000.00, costBasisPnLBase: 1,800.00, costBasisPnLLocal: 1,800.00, netMarketValueBase: 10,000.00, netMarketValueLocal: 10,000.00, grossMarketValueBase: 10,000.00, grossMarketValueLocal: 10,000.00, MasterFundName: NewMF, Symbol: AAPL</t>
  </si>
  <si>
    <t>quantity: 500.00, selectedFeedPrice: 20.00, dayPnLBase: 1,000.00, dayPnLLocal: 1,000.00, costBasisPnLBase: 1,800.00, costBasisPnLLocal: 1,800.00, netMarketValueBase: 10,000.00, netMarketValueLocal: 10,000.00, grossExposureBase: 10,000.00, grossExposureLocal: 10,000.00, AccountShortName: Allocation1,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</si>
</sst>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color rgb="FF1155CC"/>
      <name val="Inconsolata"/>
    </font>
    <font>
      <sz val="9.0"/>
      <color rgb="FF000000"/>
      <name val="&quot;Segoe UI&quot;"/>
    </font>
    <font>
      <sz val="9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5" fillId="0" fontId="3" numFmtId="164" xfId="0" applyAlignment="1" applyBorder="1" applyFont="1" applyNumberFormat="1">
      <alignment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center" readingOrder="0" vertical="bottom"/>
    </xf>
    <xf borderId="0" fillId="0" fontId="13" numFmtId="0" xfId="0" applyAlignment="1" applyFont="1">
      <alignment readingOrder="0" shrinkToFit="0" wrapText="0"/>
    </xf>
    <xf borderId="0" fillId="0" fontId="13" numFmtId="0" xfId="0" applyAlignment="1" applyFont="1">
      <alignment horizontal="left" readingOrder="0" shrinkToFit="0" wrapText="0"/>
    </xf>
    <xf borderId="6" fillId="6" fontId="14" numFmtId="164" xfId="0" applyAlignment="1" applyBorder="1" applyFill="1" applyFont="1" applyNumberFormat="1">
      <alignment horizontal="right"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7" fillId="7" fontId="15" numFmtId="0" xfId="0" applyAlignment="1" applyBorder="1" applyFill="1" applyFont="1">
      <alignment horizontal="left" readingOrder="0" shrinkToFit="0" vertical="top" wrapText="0"/>
    </xf>
    <xf borderId="7" fillId="7" fontId="16" numFmtId="0" xfId="0" applyAlignment="1" applyBorder="1" applyFont="1">
      <alignment horizontal="left" readingOrder="0" shrinkToFit="0" vertical="top" wrapText="0"/>
    </xf>
    <xf borderId="7" fillId="8" fontId="15" numFmtId="0" xfId="0" applyAlignment="1" applyBorder="1" applyFill="1" applyFont="1">
      <alignment horizontal="left" readingOrder="0" shrinkToFit="0" vertical="top" wrapText="0"/>
    </xf>
    <xf borderId="7" fillId="8" fontId="16" numFmtId="0" xfId="0" applyAlignment="1" applyBorder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100.0</v>
      </c>
      <c r="E6" s="12">
        <v>0.0</v>
      </c>
      <c r="F6" s="12" t="s">
        <v>20</v>
      </c>
      <c r="G6" s="8"/>
      <c r="H6" s="8"/>
      <c r="I6" s="8"/>
      <c r="J6" s="12">
        <v>2.0</v>
      </c>
      <c r="K6" s="8"/>
      <c r="L6" s="8"/>
      <c r="M6" s="8"/>
      <c r="N6" s="8"/>
      <c r="O6" s="8"/>
      <c r="AQ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 t="str">
        <f>IFERROR(__xludf.DUMMYFUNCTION("""COMPUTED_VALUE"""),"Import Type Format Name")</f>
        <v>Import Type Format 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 t="b">
        <v>0</v>
      </c>
      <c r="D6" s="33"/>
      <c r="E6" s="34" t="s">
        <v>26</v>
      </c>
      <c r="F6" s="35" t="s">
        <v>27</v>
      </c>
      <c r="G6" s="31" t="s">
        <v>28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 t="str">
        <f>IFERROR(__xludf.DUMMYFUNCTION("""COMPUTED_VALUE"""),"Import Type Format Name")</f>
        <v>Import Type Format 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/>
      <c r="C6" s="9" t="b">
        <v>1</v>
      </c>
      <c r="D6" s="38">
        <v>45659.0</v>
      </c>
      <c r="E6" s="34" t="s">
        <v>30</v>
      </c>
      <c r="F6" s="35" t="s">
        <v>31</v>
      </c>
      <c r="G6" s="35" t="s">
        <v>32</v>
      </c>
      <c r="H6" s="36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IFERROR(__xludf.DUMMYFUNCTION("""COMPUTED_VALUE"""),"SelectTransactionImportType")</f>
        <v>SelectTransactionImportType</v>
      </c>
      <c r="D4" s="24" t="str">
        <f>IFERROR(__xludf.DUMMYFUNCTION("""COMPUTED_VALUE"""),"SelectAllOnImport")</f>
        <v>SelectAllOnImport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 t="str">
        <f>IFERROR(__xludf.DUMMYFUNCTION("""COMPUTED_VALUE"""),"SelectTradeOnImport")</f>
        <v>SelectTradeOnImport</v>
      </c>
      <c r="K4" s="24" t="str">
        <f>IFERROR(__xludf.DUMMYFUNCTION("""COMPUTED_VALUE"""),"VerifyImportNavLockPopup")</f>
        <v>VerifyImportNavLockPopup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32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18</v>
      </c>
      <c r="C6" s="12">
        <v>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34</v>
      </c>
      <c r="C7" s="12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35</v>
      </c>
      <c r="C8" s="12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36</v>
      </c>
      <c r="C9" s="12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37</v>
      </c>
      <c r="C10" s="12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38</v>
      </c>
      <c r="C11" s="12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>
        <v>1.23456789E8</v>
      </c>
      <c r="C12" s="12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>
        <f t="shared" ref="B6:C6" si="1">TODAY()-1</f>
        <v>45881</v>
      </c>
      <c r="C6" s="41">
        <f t="shared" si="1"/>
        <v>45881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18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34</v>
      </c>
      <c r="C7" s="1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9" t="s">
        <v>35</v>
      </c>
      <c r="C8" s="12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9" t="s">
        <v>36</v>
      </c>
      <c r="C9" s="12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9" t="s">
        <v>37</v>
      </c>
      <c r="C10" s="12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9" t="s">
        <v>38</v>
      </c>
      <c r="C11" s="12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>
        <v>1.23456789E8</v>
      </c>
      <c r="C12" s="12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>
        <f t="shared" ref="B6:C6" si="1">TODAY()-1</f>
        <v>45881</v>
      </c>
      <c r="C6" s="41">
        <f t="shared" si="1"/>
        <v>45881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44</v>
      </c>
      <c r="C6" s="43" t="s">
        <v>45</v>
      </c>
      <c r="D6" s="44" t="s">
        <v>46</v>
      </c>
      <c r="E6" s="45">
        <v>1.39655052021507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>
        <v>100.0</v>
      </c>
      <c r="D6" s="12">
        <v>20.0</v>
      </c>
      <c r="E6" s="12" t="s">
        <v>48</v>
      </c>
      <c r="F6" s="8"/>
      <c r="G6" s="8"/>
      <c r="H6" s="8"/>
      <c r="I6" s="8"/>
      <c r="J6" s="12" t="s">
        <v>19</v>
      </c>
      <c r="K6" s="8"/>
      <c r="L6" s="8"/>
      <c r="M6" s="8"/>
      <c r="N6" s="8"/>
      <c r="O6" s="8"/>
      <c r="P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30"/>
      <c r="F6" s="12" t="s">
        <v>19</v>
      </c>
      <c r="G6" s="12" t="s">
        <v>54</v>
      </c>
      <c r="H6" s="12">
        <v>100.0</v>
      </c>
      <c r="I6" s="8"/>
      <c r="J6" s="8"/>
      <c r="K6" s="8"/>
      <c r="L6" s="8"/>
      <c r="M6" s="8"/>
      <c r="N6" s="8"/>
      <c r="O6" s="8"/>
      <c r="R6" s="9" t="s">
        <v>20</v>
      </c>
      <c r="AA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  <c r="AJ6" s="12" t="s">
        <v>18</v>
      </c>
      <c r="AK6" s="12" t="s">
        <v>19</v>
      </c>
      <c r="AL6" s="12" t="s">
        <v>54</v>
      </c>
      <c r="AM6" s="12">
        <v>100.0</v>
      </c>
      <c r="AU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J7" s="8"/>
      <c r="AK7" s="8"/>
      <c r="AL7" s="8"/>
      <c r="AM7" s="8"/>
      <c r="AN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200.0</v>
      </c>
      <c r="E6" s="30"/>
      <c r="F6" s="8"/>
      <c r="G6" s="8"/>
      <c r="H6" s="8"/>
      <c r="I6" s="8"/>
      <c r="J6" s="12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58</v>
      </c>
      <c r="C6" s="12" t="s">
        <v>59</v>
      </c>
      <c r="D6" s="12" t="s">
        <v>60</v>
      </c>
      <c r="E6" s="46" t="s">
        <v>61</v>
      </c>
      <c r="F6" s="46" t="s">
        <v>62</v>
      </c>
      <c r="G6" s="46" t="s">
        <v>62</v>
      </c>
      <c r="H6" s="47" t="s">
        <v>63</v>
      </c>
      <c r="I6" s="8"/>
      <c r="J6" s="8"/>
      <c r="K6" s="12" t="s">
        <v>21</v>
      </c>
      <c r="L6" s="8"/>
      <c r="M6" s="12" t="s">
        <v>64</v>
      </c>
      <c r="N6" s="8"/>
      <c r="O6" s="8"/>
    </row>
    <row r="7" ht="15.75" customHeight="1">
      <c r="A7" s="8"/>
      <c r="B7" s="12" t="s">
        <v>58</v>
      </c>
      <c r="C7" s="12" t="s">
        <v>65</v>
      </c>
      <c r="D7" s="12" t="s">
        <v>60</v>
      </c>
      <c r="E7" s="48" t="s">
        <v>66</v>
      </c>
      <c r="F7" s="48" t="s">
        <v>62</v>
      </c>
      <c r="G7" s="48" t="s">
        <v>62</v>
      </c>
      <c r="H7" s="49" t="s">
        <v>67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30"/>
      <c r="F6" s="12" t="s">
        <v>19</v>
      </c>
      <c r="G6" s="12" t="s">
        <v>54</v>
      </c>
      <c r="H6" s="12">
        <v>100.0</v>
      </c>
      <c r="I6" s="8"/>
      <c r="J6" s="8"/>
      <c r="K6" s="8"/>
      <c r="L6" s="8"/>
      <c r="M6" s="8"/>
      <c r="N6" s="8"/>
      <c r="O6" s="8"/>
      <c r="R6" s="9" t="s">
        <v>20</v>
      </c>
      <c r="AA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19</v>
      </c>
      <c r="C6" s="12" t="s">
        <v>18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12">
        <v>200.0</v>
      </c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19</v>
      </c>
      <c r="AK6" s="9" t="s">
        <v>69</v>
      </c>
      <c r="AL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100.0</v>
      </c>
      <c r="E6" s="30"/>
      <c r="F6" s="12" t="s">
        <v>20</v>
      </c>
      <c r="G6" s="8"/>
      <c r="H6" s="8"/>
      <c r="I6" s="8"/>
      <c r="J6" s="12">
        <v>20.0</v>
      </c>
      <c r="K6" s="8"/>
      <c r="L6" s="8"/>
      <c r="M6" s="8"/>
      <c r="N6" s="8"/>
      <c r="O6" s="8"/>
      <c r="AX6" s="9" t="s">
        <v>71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58</v>
      </c>
      <c r="C6" s="12" t="s">
        <v>65</v>
      </c>
      <c r="D6" s="12" t="s">
        <v>60</v>
      </c>
      <c r="E6" s="46" t="s">
        <v>66</v>
      </c>
      <c r="F6" s="46" t="s">
        <v>62</v>
      </c>
      <c r="G6" s="46" t="s">
        <v>62</v>
      </c>
      <c r="H6" s="46" t="s">
        <v>72</v>
      </c>
      <c r="I6" s="8"/>
      <c r="J6" s="8"/>
      <c r="K6" s="12" t="s">
        <v>21</v>
      </c>
      <c r="L6" s="8"/>
      <c r="M6" s="12" t="s">
        <v>71</v>
      </c>
      <c r="N6" s="8"/>
      <c r="O6" s="8"/>
    </row>
    <row r="7" ht="15.75" customHeight="1">
      <c r="A7" s="8"/>
      <c r="B7" s="12" t="s">
        <v>58</v>
      </c>
      <c r="C7" s="12" t="s">
        <v>59</v>
      </c>
      <c r="D7" s="12" t="s">
        <v>60</v>
      </c>
      <c r="E7" s="48" t="s">
        <v>61</v>
      </c>
      <c r="F7" s="48" t="s">
        <v>62</v>
      </c>
      <c r="G7" s="48" t="s">
        <v>62</v>
      </c>
      <c r="H7" s="48" t="s">
        <v>73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