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DisableCheckside" sheetId="4" r:id="rId6"/>
    <sheet state="visible" name="CreateDoneAwayOrder" sheetId="5" r:id="rId7"/>
    <sheet state="visible" name="GetDataAllocation" sheetId="6" r:id="rId8"/>
    <sheet state="visible" name="CheckAllocatedGroups" sheetId="7" r:id="rId9"/>
    <sheet state="visible" name="CheckUnallocatedGroups" sheetId="8" r:id="rId10"/>
  </sheets>
  <definedNames/>
  <calcPr/>
</workbook>
</file>

<file path=xl/sharedStrings.xml><?xml version="1.0" encoding="utf-8"?>
<sst xmlns="http://schemas.openxmlformats.org/spreadsheetml/2006/main" count="123" uniqueCount="42">
  <si>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</si>
  <si>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</si>
  <si>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</si>
  <si>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</si>
  <si>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</si>
  <si>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</si>
  <si>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</si>
  <si>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</si>
  <si>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</si>
  <si>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</si>
  <si>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</si>
  <si>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</si>
  <si>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</si>
  <si>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DisableCheckside</t>
  </si>
  <si>
    <t>Data Format</t>
  </si>
  <si>
    <t>Input Format</t>
  </si>
  <si>
    <t>Cash</t>
  </si>
  <si>
    <t>TradingTicket</t>
  </si>
  <si>
    <t>CreateDoneAwayOrder</t>
  </si>
  <si>
    <t>MSFT</t>
  </si>
  <si>
    <t>Sell</t>
  </si>
  <si>
    <t>Allocation1</t>
  </si>
  <si>
    <t>MS</t>
  </si>
  <si>
    <t>Market</t>
  </si>
  <si>
    <t>Sell short</t>
  </si>
  <si>
    <t>Allocation2</t>
  </si>
  <si>
    <t>GS</t>
  </si>
  <si>
    <t>CSFB</t>
  </si>
  <si>
    <t>MSCOS</t>
  </si>
  <si>
    <t>NYSE</t>
  </si>
  <si>
    <t>Wolverine</t>
  </si>
  <si>
    <t>Auto</t>
  </si>
  <si>
    <t>Lakeshore</t>
  </si>
  <si>
    <t>NSEW</t>
  </si>
  <si>
    <t>Buy to Close</t>
  </si>
  <si>
    <t>GetDataAllocation</t>
  </si>
  <si>
    <t>Historical</t>
  </si>
  <si>
    <t>1/1/1800</t>
  </si>
  <si>
    <t>CheckAllocatedGroups</t>
  </si>
  <si>
    <t>Equity</t>
  </si>
  <si>
    <t>CheckUnallocatedGroups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</si>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</sst>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6" fontId="14" numFmtId="0" xfId="0" applyAlignment="1" applyFill="1" applyFont="1">
      <alignment vertical="bottom"/>
    </xf>
    <xf borderId="0" fillId="6" fontId="1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B678" t="str">
        <f>IFERROR(__xludf.DUMMYFUNCTION("""COMPUTED_VALUE"""),"GetDataFromAuditTrail")</f>
        <v>GetDataFromAuditTrail</v>
      </c>
      <c r="C678" t="str">
        <f>IFERROR(__xludf.DUMMYFUNCTION("""COMPUTED_VALUE"""),"1tNXZNqCj-1qo8Li9Rf4t_XiY-dX6itH2UAbOSe3-Mxc")</f>
        <v>1tNXZNqCj-1qo8Li9Rf4t_XiY-dX6itH2UAbOSe3-Mxc</v>
      </c>
    </row>
    <row r="679" ht="15.75" customHeight="1">
      <c r="B679" t="str">
        <f>IFERROR(__xludf.DUMMYFUNCTION("""COMPUTED_VALUE"""),"VerifyAuditTrail")</f>
        <v>VerifyAuditTrail</v>
      </c>
      <c r="C679" t="str">
        <f>IFERROR(__xludf.DUMMYFUNCTION("""COMPUTED_VALUE"""),"1yv4ikffZOFZ-OOoWF_aNEGZA8dcvqtzobkyZjf8TDRs")</f>
        <v>1yv4ikffZOFZ-OOoWF_aNEGZA8dcvqtzobkyZjf8TDRs</v>
      </c>
    </row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IFERROR(__xludf.DUMMYFUNCTION("""COMPUTED_VALUE"""),"Asset")</f>
        <v>Asset</v>
      </c>
      <c r="C5" s="28" t="str">
        <f>IFERROR(__xludf.DUMMYFUNCTION("""COMPUTED_VALUE"""),"Account Name")</f>
        <v>Account Name</v>
      </c>
      <c r="D5" s="28" t="str">
        <f>IFERROR(__xludf.DUMMYFUNCTION("""COMPUTED_VALUE"""),"Broker")</f>
        <v>Broker</v>
      </c>
      <c r="E5" s="28" t="str">
        <f>IFERROR(__xludf.DUMMYFUNCTION("""COMPUTED_VALUE"""),"ValidateCheckSide")</f>
        <v>ValidateCheckSide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/>
      <c r="D6" s="31"/>
      <c r="E6" s="34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/>
      <c r="C7" s="35"/>
      <c r="D7" s="33"/>
      <c r="E7" s="34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5"/>
      <c r="C8" s="35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5"/>
      <c r="C9" s="35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5"/>
      <c r="C10" s="33"/>
      <c r="D10" s="35"/>
      <c r="E10" s="34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5"/>
      <c r="C11" s="33"/>
      <c r="D11" s="35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5"/>
      <c r="C12" s="33"/>
      <c r="D12" s="35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35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DisableCheckside!$4:$4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5" t="s">
        <v>20</v>
      </c>
      <c r="D6" s="36">
        <v>100.0</v>
      </c>
      <c r="E6" s="37">
        <v>100.0</v>
      </c>
      <c r="F6" s="35" t="s">
        <v>21</v>
      </c>
      <c r="G6" s="35" t="s">
        <v>22</v>
      </c>
      <c r="H6" s="33"/>
      <c r="I6" s="35" t="s">
        <v>23</v>
      </c>
      <c r="J6" s="37">
        <v>10.0</v>
      </c>
      <c r="K6" s="33"/>
      <c r="L6" s="33"/>
      <c r="M6" s="33"/>
      <c r="N6" s="38">
        <v>42352.0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19</v>
      </c>
      <c r="C7" s="35" t="s">
        <v>24</v>
      </c>
      <c r="D7" s="37">
        <v>100.0</v>
      </c>
      <c r="E7" s="37">
        <v>100.0</v>
      </c>
      <c r="F7" s="35" t="s">
        <v>25</v>
      </c>
      <c r="G7" s="35" t="s">
        <v>26</v>
      </c>
      <c r="H7" s="33"/>
      <c r="I7" s="35" t="s">
        <v>23</v>
      </c>
      <c r="J7" s="37">
        <v>15.0</v>
      </c>
      <c r="K7" s="33"/>
      <c r="L7" s="33"/>
      <c r="M7" s="33"/>
      <c r="N7" s="38">
        <v>42352.0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5" t="s">
        <v>19</v>
      </c>
      <c r="C8" s="35" t="s">
        <v>20</v>
      </c>
      <c r="D8" s="37">
        <v>100.0</v>
      </c>
      <c r="E8" s="37">
        <v>100.0</v>
      </c>
      <c r="F8" s="35" t="s">
        <v>21</v>
      </c>
      <c r="G8" s="35" t="s">
        <v>27</v>
      </c>
      <c r="H8" s="33"/>
      <c r="I8" s="35" t="s">
        <v>23</v>
      </c>
      <c r="J8" s="37">
        <v>10.0</v>
      </c>
      <c r="K8" s="33"/>
      <c r="L8" s="33"/>
      <c r="M8" s="33"/>
      <c r="N8" s="38">
        <v>42352.0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5" t="s">
        <v>19</v>
      </c>
      <c r="C9" s="35" t="s">
        <v>24</v>
      </c>
      <c r="D9" s="37">
        <v>100.0</v>
      </c>
      <c r="E9" s="37">
        <v>100.0</v>
      </c>
      <c r="F9" s="35" t="s">
        <v>25</v>
      </c>
      <c r="G9" s="39" t="s">
        <v>28</v>
      </c>
      <c r="H9" s="33"/>
      <c r="I9" s="35" t="s">
        <v>23</v>
      </c>
      <c r="J9" s="37">
        <v>12.0</v>
      </c>
      <c r="K9" s="33"/>
      <c r="L9" s="33"/>
      <c r="M9" s="33"/>
      <c r="N9" s="38">
        <v>42352.0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40" t="s">
        <v>29</v>
      </c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5" t="s">
        <v>19</v>
      </c>
      <c r="C10" s="35" t="s">
        <v>20</v>
      </c>
      <c r="D10" s="37">
        <v>100.0</v>
      </c>
      <c r="E10" s="37">
        <v>100.0</v>
      </c>
      <c r="F10" s="35" t="s">
        <v>21</v>
      </c>
      <c r="G10" s="35" t="s">
        <v>30</v>
      </c>
      <c r="H10" s="33"/>
      <c r="I10" s="35" t="s">
        <v>23</v>
      </c>
      <c r="J10" s="37">
        <v>10.0</v>
      </c>
      <c r="K10" s="33"/>
      <c r="L10" s="33"/>
      <c r="M10" s="33"/>
      <c r="N10" s="38">
        <v>42352.0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 t="s">
        <v>31</v>
      </c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5" t="s">
        <v>19</v>
      </c>
      <c r="C11" s="35" t="s">
        <v>24</v>
      </c>
      <c r="D11" s="37">
        <v>100.0</v>
      </c>
      <c r="E11" s="37">
        <v>100.0</v>
      </c>
      <c r="F11" s="35" t="s">
        <v>25</v>
      </c>
      <c r="G11" s="35" t="s">
        <v>32</v>
      </c>
      <c r="H11" s="33"/>
      <c r="I11" s="35" t="s">
        <v>23</v>
      </c>
      <c r="J11" s="37">
        <v>11.0</v>
      </c>
      <c r="K11" s="33"/>
      <c r="L11" s="33"/>
      <c r="M11" s="33"/>
      <c r="N11" s="38">
        <v>42352.0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 t="s">
        <v>31</v>
      </c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5" t="s">
        <v>19</v>
      </c>
      <c r="C12" s="35" t="s">
        <v>24</v>
      </c>
      <c r="D12" s="37">
        <v>100.0</v>
      </c>
      <c r="E12" s="37">
        <v>100.0</v>
      </c>
      <c r="F12" s="35" t="s">
        <v>21</v>
      </c>
      <c r="G12" s="35" t="s">
        <v>33</v>
      </c>
      <c r="H12" s="33"/>
      <c r="I12" s="33"/>
      <c r="J12" s="37">
        <v>15.0</v>
      </c>
      <c r="K12" s="33"/>
      <c r="L12" s="33"/>
      <c r="M12" s="33"/>
      <c r="N12" s="41">
        <f t="shared" ref="N12:N13" si="1">TODAY()</f>
        <v>45310</v>
      </c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5" t="s">
        <v>19</v>
      </c>
      <c r="C13" s="35" t="s">
        <v>34</v>
      </c>
      <c r="D13" s="37">
        <v>150.0</v>
      </c>
      <c r="E13" s="37">
        <v>150.0</v>
      </c>
      <c r="F13" s="35" t="s">
        <v>25</v>
      </c>
      <c r="G13" s="35" t="s">
        <v>27</v>
      </c>
      <c r="H13" s="33"/>
      <c r="I13" s="33"/>
      <c r="J13" s="37">
        <v>14.0</v>
      </c>
      <c r="K13" s="33"/>
      <c r="L13" s="33"/>
      <c r="M13" s="33"/>
      <c r="N13" s="41">
        <f t="shared" si="1"/>
        <v>45310</v>
      </c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36</v>
      </c>
      <c r="C6" s="38" t="s">
        <v>37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/>
      <c r="C6" s="33"/>
      <c r="D6" s="31"/>
      <c r="E6" s="33"/>
      <c r="F6" s="33"/>
      <c r="G6" s="35" t="s">
        <v>39</v>
      </c>
      <c r="H6" s="33"/>
      <c r="I6" s="33"/>
      <c r="J6" s="33"/>
      <c r="K6" s="37">
        <v>15.0</v>
      </c>
      <c r="L6" s="37">
        <v>15.0</v>
      </c>
      <c r="M6" s="33"/>
      <c r="N6" s="33"/>
      <c r="O6" s="35" t="s">
        <v>26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42">
        <v>100.0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42">
        <v>1485.999</v>
      </c>
      <c r="AU6" s="42">
        <v>1485.999</v>
      </c>
      <c r="AV6" s="33"/>
      <c r="AW6" s="33"/>
      <c r="AX6" s="33"/>
      <c r="AY6" s="33"/>
      <c r="AZ6" s="33"/>
      <c r="BA6" s="33"/>
      <c r="BB6" s="33"/>
      <c r="BC6" s="33"/>
      <c r="BD6" s="33"/>
      <c r="BE6" s="42">
        <v>1500.0</v>
      </c>
      <c r="BF6" s="42">
        <v>1500.0</v>
      </c>
      <c r="BG6" s="33"/>
      <c r="BH6" s="33"/>
      <c r="BI6" s="33"/>
      <c r="BJ6" s="33"/>
      <c r="BK6" s="33"/>
      <c r="BL6" s="33"/>
      <c r="BM6" s="33"/>
      <c r="BN6" s="33"/>
      <c r="BO6" s="33" t="s">
        <v>24</v>
      </c>
      <c r="BP6" s="33"/>
      <c r="BQ6" s="33"/>
      <c r="BR6" s="33"/>
      <c r="BS6" s="33"/>
      <c r="BT6" s="33" t="s">
        <v>19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43">
        <v>42352.0</v>
      </c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</row>
    <row r="7" ht="15.75" customHeight="1">
      <c r="A7" s="33"/>
      <c r="B7" s="33"/>
      <c r="C7" s="33"/>
      <c r="D7" s="33"/>
      <c r="E7" s="33"/>
      <c r="F7" s="33"/>
      <c r="G7" s="35" t="s">
        <v>39</v>
      </c>
      <c r="H7" s="33"/>
      <c r="I7" s="33"/>
      <c r="J7" s="33"/>
      <c r="K7" s="37">
        <v>12.0</v>
      </c>
      <c r="L7" s="37">
        <v>12.0</v>
      </c>
      <c r="M7" s="33"/>
      <c r="N7" s="33"/>
      <c r="O7" s="35" t="s">
        <v>28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42">
        <v>100.0</v>
      </c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42">
        <v>1185.999</v>
      </c>
      <c r="AU7" s="42">
        <v>1185.999</v>
      </c>
      <c r="AV7" s="33"/>
      <c r="AW7" s="33"/>
      <c r="AX7" s="33"/>
      <c r="AY7" s="33"/>
      <c r="AZ7" s="33"/>
      <c r="BA7" s="33"/>
      <c r="BB7" s="33"/>
      <c r="BC7" s="33"/>
      <c r="BD7" s="33"/>
      <c r="BE7" s="42">
        <v>1200.0</v>
      </c>
      <c r="BF7" s="42">
        <v>1200.0</v>
      </c>
      <c r="BG7" s="33"/>
      <c r="BH7" s="33"/>
      <c r="BI7" s="33"/>
      <c r="BJ7" s="33"/>
      <c r="BK7" s="33"/>
      <c r="BL7" s="33"/>
      <c r="BM7" s="33"/>
      <c r="BN7" s="33"/>
      <c r="BO7" s="33" t="s">
        <v>24</v>
      </c>
      <c r="BP7" s="33"/>
      <c r="BQ7" s="33"/>
      <c r="BR7" s="33"/>
      <c r="BS7" s="33"/>
      <c r="BT7" s="33" t="s">
        <v>19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43">
        <v>42352.0</v>
      </c>
      <c r="CF7" s="33"/>
      <c r="CG7" s="33"/>
      <c r="CH7" s="33"/>
      <c r="CI7" s="33"/>
      <c r="CJ7" s="33"/>
      <c r="CK7" s="33"/>
      <c r="CL7" s="33"/>
      <c r="CM7" s="33"/>
      <c r="CN7" s="33"/>
      <c r="CO7" s="33" t="s">
        <v>29</v>
      </c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</row>
    <row r="8" ht="15.75" customHeight="1">
      <c r="A8" s="33"/>
      <c r="B8" s="33"/>
      <c r="C8" s="33"/>
      <c r="D8" s="33"/>
      <c r="E8" s="33"/>
      <c r="F8" s="33"/>
      <c r="G8" s="35" t="s">
        <v>39</v>
      </c>
      <c r="H8" s="33"/>
      <c r="I8" s="33"/>
      <c r="J8" s="33"/>
      <c r="K8" s="37">
        <v>11.0</v>
      </c>
      <c r="L8" s="37">
        <v>11.0</v>
      </c>
      <c r="M8" s="33"/>
      <c r="N8" s="33"/>
      <c r="O8" s="35" t="s">
        <v>32</v>
      </c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42">
        <v>100.0</v>
      </c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42">
        <v>1085.999</v>
      </c>
      <c r="AU8" s="42">
        <v>1085.999</v>
      </c>
      <c r="AV8" s="33"/>
      <c r="AW8" s="33"/>
      <c r="AX8" s="33"/>
      <c r="AY8" s="33"/>
      <c r="AZ8" s="33"/>
      <c r="BA8" s="33"/>
      <c r="BB8" s="33"/>
      <c r="BC8" s="33"/>
      <c r="BD8" s="33"/>
      <c r="BE8" s="42">
        <v>1100.0</v>
      </c>
      <c r="BF8" s="42">
        <v>1100.0</v>
      </c>
      <c r="BG8" s="33"/>
      <c r="BH8" s="33"/>
      <c r="BI8" s="33"/>
      <c r="BJ8" s="33"/>
      <c r="BK8" s="33"/>
      <c r="BL8" s="33"/>
      <c r="BM8" s="33"/>
      <c r="BN8" s="33"/>
      <c r="BO8" s="33" t="s">
        <v>24</v>
      </c>
      <c r="BP8" s="33"/>
      <c r="BQ8" s="33"/>
      <c r="BR8" s="33"/>
      <c r="BS8" s="33"/>
      <c r="BT8" s="33" t="s">
        <v>19</v>
      </c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43">
        <v>42352.0</v>
      </c>
      <c r="CF8" s="33"/>
      <c r="CG8" s="33"/>
      <c r="CH8" s="33"/>
      <c r="CI8" s="33"/>
      <c r="CJ8" s="33"/>
      <c r="CK8" s="33"/>
      <c r="CL8" s="33"/>
      <c r="CM8" s="33"/>
      <c r="CN8" s="33"/>
      <c r="CO8" s="33" t="s">
        <v>31</v>
      </c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</row>
    <row r="9" ht="15.75" customHeight="1">
      <c r="A9" s="33"/>
      <c r="B9" s="33"/>
      <c r="C9" s="33"/>
      <c r="D9" s="33"/>
      <c r="E9" s="33"/>
      <c r="F9" s="33"/>
      <c r="G9" s="35" t="s">
        <v>39</v>
      </c>
      <c r="H9" s="33"/>
      <c r="I9" s="33"/>
      <c r="J9" s="33"/>
      <c r="K9" s="37">
        <v>15.0</v>
      </c>
      <c r="L9" s="37">
        <v>15.0</v>
      </c>
      <c r="M9" s="33"/>
      <c r="N9" s="33"/>
      <c r="O9" s="35" t="s">
        <v>33</v>
      </c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42">
        <v>100.0</v>
      </c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42">
        <v>1485.999</v>
      </c>
      <c r="AU9" s="42">
        <v>1485.999</v>
      </c>
      <c r="AV9" s="33"/>
      <c r="AW9" s="33"/>
      <c r="AX9" s="33"/>
      <c r="AY9" s="33"/>
      <c r="AZ9" s="33"/>
      <c r="BA9" s="33"/>
      <c r="BB9" s="33"/>
      <c r="BC9" s="33"/>
      <c r="BD9" s="33"/>
      <c r="BE9" s="42">
        <v>1500.0</v>
      </c>
      <c r="BF9" s="42">
        <v>1500.0</v>
      </c>
      <c r="BG9" s="33"/>
      <c r="BH9" s="33"/>
      <c r="BI9" s="33"/>
      <c r="BJ9" s="33"/>
      <c r="BK9" s="33"/>
      <c r="BL9" s="33"/>
      <c r="BM9" s="33"/>
      <c r="BN9" s="33"/>
      <c r="BO9" s="33" t="s">
        <v>24</v>
      </c>
      <c r="BP9" s="33"/>
      <c r="BQ9" s="33"/>
      <c r="BR9" s="33"/>
      <c r="BS9" s="33"/>
      <c r="BT9" s="33" t="s">
        <v>19</v>
      </c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44">
        <f>TODAY()</f>
        <v>45310</v>
      </c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1"/>
      <c r="C6" s="33"/>
      <c r="D6" s="31"/>
      <c r="E6" s="33"/>
      <c r="F6" s="35" t="s">
        <v>39</v>
      </c>
      <c r="G6" s="33"/>
      <c r="H6" s="33"/>
      <c r="I6" s="33"/>
      <c r="J6" s="37">
        <v>10.0</v>
      </c>
      <c r="K6" s="37">
        <v>10.0</v>
      </c>
      <c r="L6" s="33"/>
      <c r="M6" s="33"/>
      <c r="N6" s="45" t="s">
        <v>22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42">
        <v>100.0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42">
        <v>985.9994</v>
      </c>
      <c r="AU6" s="42">
        <v>985.9994</v>
      </c>
      <c r="AV6" s="33"/>
      <c r="AW6" s="33"/>
      <c r="AX6" s="33"/>
      <c r="AY6" s="33"/>
      <c r="AZ6" s="33"/>
      <c r="BA6" s="33"/>
      <c r="BB6" s="33"/>
      <c r="BC6" s="33"/>
      <c r="BD6" s="33"/>
      <c r="BE6" s="42">
        <v>1000.0</v>
      </c>
      <c r="BF6" s="42">
        <v>1000.0</v>
      </c>
      <c r="BG6" s="33"/>
      <c r="BH6" s="33"/>
      <c r="BI6" s="33"/>
      <c r="BJ6" s="42">
        <v>100.0</v>
      </c>
      <c r="BK6" s="33"/>
      <c r="BL6" s="33"/>
      <c r="BM6" s="33"/>
      <c r="BN6" s="33"/>
      <c r="BO6" s="33" t="s">
        <v>20</v>
      </c>
      <c r="BP6" s="33"/>
      <c r="BQ6" s="33"/>
      <c r="BR6" s="33"/>
      <c r="BS6" s="33" t="s">
        <v>19</v>
      </c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43">
        <v>42352.0</v>
      </c>
      <c r="CE6" s="33"/>
      <c r="CF6" s="33"/>
      <c r="CG6" s="33"/>
      <c r="CH6" s="33"/>
      <c r="CI6" s="33"/>
      <c r="CJ6" s="33"/>
      <c r="CK6" s="33"/>
      <c r="CL6" s="33"/>
      <c r="CM6" s="33"/>
      <c r="CN6" s="45" t="s">
        <v>41</v>
      </c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</row>
    <row r="7" ht="15.75" customHeight="1">
      <c r="A7" s="33"/>
      <c r="B7" s="33"/>
      <c r="C7" s="33"/>
      <c r="D7" s="33"/>
      <c r="E7" s="33"/>
      <c r="F7" s="35" t="s">
        <v>39</v>
      </c>
      <c r="G7" s="33"/>
      <c r="H7" s="33"/>
      <c r="I7" s="33"/>
      <c r="J7" s="37">
        <v>10.0</v>
      </c>
      <c r="K7" s="37">
        <v>10.0</v>
      </c>
      <c r="L7" s="33"/>
      <c r="M7" s="33"/>
      <c r="N7" s="45" t="s">
        <v>27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42">
        <v>100.0</v>
      </c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42">
        <v>985.9994</v>
      </c>
      <c r="AU7" s="42">
        <v>985.9994</v>
      </c>
      <c r="AV7" s="33"/>
      <c r="AW7" s="33"/>
      <c r="AX7" s="33"/>
      <c r="AY7" s="33"/>
      <c r="AZ7" s="33"/>
      <c r="BA7" s="33"/>
      <c r="BB7" s="33"/>
      <c r="BC7" s="33"/>
      <c r="BD7" s="33"/>
      <c r="BE7" s="42">
        <v>1000.0</v>
      </c>
      <c r="BF7" s="42">
        <v>1000.0</v>
      </c>
      <c r="BG7" s="33"/>
      <c r="BH7" s="33"/>
      <c r="BI7" s="33"/>
      <c r="BJ7" s="42">
        <v>100.0</v>
      </c>
      <c r="BK7" s="33"/>
      <c r="BL7" s="33"/>
      <c r="BM7" s="33"/>
      <c r="BN7" s="33"/>
      <c r="BO7" s="33" t="s">
        <v>20</v>
      </c>
      <c r="BP7" s="33"/>
      <c r="BQ7" s="33"/>
      <c r="BR7" s="33"/>
      <c r="BS7" s="33" t="s">
        <v>19</v>
      </c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43">
        <v>42352.0</v>
      </c>
      <c r="CE7" s="33"/>
      <c r="CF7" s="33"/>
      <c r="CG7" s="33"/>
      <c r="CH7" s="33"/>
      <c r="CI7" s="33"/>
      <c r="CJ7" s="33"/>
      <c r="CK7" s="33"/>
      <c r="CL7" s="33"/>
      <c r="CM7" s="33"/>
      <c r="CN7" s="45" t="s">
        <v>41</v>
      </c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</row>
    <row r="8" ht="15.75" customHeight="1">
      <c r="A8" s="8"/>
      <c r="B8" s="8"/>
      <c r="C8" s="8"/>
      <c r="D8" s="8"/>
      <c r="E8" s="8"/>
      <c r="F8" s="35" t="s">
        <v>39</v>
      </c>
      <c r="G8" s="33"/>
      <c r="H8" s="33"/>
      <c r="I8" s="33"/>
      <c r="J8" s="37">
        <v>10.0</v>
      </c>
      <c r="K8" s="37">
        <v>10.0</v>
      </c>
      <c r="L8" s="33"/>
      <c r="M8" s="33"/>
      <c r="N8" s="46" t="s">
        <v>30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E8" s="42">
        <v>100.0</v>
      </c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T8" s="42">
        <v>985.9994</v>
      </c>
      <c r="AU8" s="42">
        <v>985.9994</v>
      </c>
      <c r="AV8" s="33"/>
      <c r="AW8" s="33"/>
      <c r="AX8" s="33"/>
      <c r="AY8" s="33"/>
      <c r="AZ8" s="33"/>
      <c r="BA8" s="33"/>
      <c r="BB8" s="33"/>
      <c r="BC8" s="33"/>
      <c r="BE8" s="42">
        <v>1000.0</v>
      </c>
      <c r="BF8" s="42">
        <v>1000.0</v>
      </c>
      <c r="BG8" s="33"/>
      <c r="BH8" s="33"/>
      <c r="BI8" s="33"/>
      <c r="BJ8" s="42">
        <v>100.0</v>
      </c>
      <c r="BK8" s="33"/>
      <c r="BL8" s="33"/>
      <c r="BM8" s="33"/>
      <c r="BO8" s="33" t="s">
        <v>20</v>
      </c>
      <c r="BP8" s="33"/>
      <c r="BQ8" s="33"/>
      <c r="BR8" s="33"/>
      <c r="BS8" s="33" t="s">
        <v>19</v>
      </c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43">
        <v>42352.0</v>
      </c>
      <c r="CE8" s="33"/>
      <c r="CF8" s="33"/>
      <c r="CG8" s="33"/>
      <c r="CH8" s="33"/>
      <c r="CI8" s="33"/>
      <c r="CJ8" s="33"/>
      <c r="CK8" s="33"/>
      <c r="CL8" s="33"/>
      <c r="CM8" s="33"/>
      <c r="CN8" s="45" t="s">
        <v>31</v>
      </c>
      <c r="CO8" s="33"/>
      <c r="CP8" s="33"/>
      <c r="CQ8" s="33"/>
      <c r="CR8" s="33"/>
      <c r="CS8" s="33"/>
      <c r="CT8" s="33"/>
    </row>
    <row r="9" ht="15.75" customHeight="1">
      <c r="A9" s="33"/>
      <c r="B9" s="33"/>
      <c r="C9" s="33"/>
      <c r="D9" s="33"/>
      <c r="E9" s="33"/>
      <c r="F9" s="35"/>
      <c r="G9" s="33"/>
      <c r="H9" s="33"/>
      <c r="I9" s="33"/>
      <c r="J9" s="37"/>
      <c r="K9" s="37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42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42"/>
      <c r="AU9" s="42"/>
      <c r="AV9" s="33"/>
      <c r="AW9" s="33"/>
      <c r="AX9" s="33"/>
      <c r="AY9" s="33"/>
      <c r="AZ9" s="33"/>
      <c r="BA9" s="33"/>
      <c r="BB9" s="33"/>
      <c r="BC9" s="33"/>
      <c r="BD9" s="33"/>
      <c r="BE9" s="42"/>
      <c r="BF9" s="42"/>
      <c r="BG9" s="33"/>
      <c r="BH9" s="33"/>
      <c r="BI9" s="33"/>
      <c r="BJ9" s="42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44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