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GetDataAllocation" sheetId="5" r:id="rId7"/>
    <sheet state="visible" name="CloseOrder" sheetId="6" r:id="rId8"/>
    <sheet state="visible" name="ManualCloseOrder" sheetId="7" r:id="rId9"/>
    <sheet state="visible" name="EditMultipleCloseQuantity" sheetId="8" r:id="rId10"/>
    <sheet state="visible" name="VerifyCloseOrder" sheetId="9" r:id="rId11"/>
    <sheet state="visible" name="CheckAllocatedGroups" sheetId="10" r:id="rId12"/>
  </sheets>
  <definedNames/>
  <calcPr/>
</workbook>
</file>

<file path=xl/sharedStrings.xml><?xml version="1.0" encoding="utf-8"?>
<sst xmlns="http://schemas.openxmlformats.org/spreadsheetml/2006/main" count="120" uniqueCount="34">
  <si>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</si>
  <si>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</si>
  <si>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</si>
  <si>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</si>
  <si>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</si>
  <si>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</si>
  <si>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</si>
  <si>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</si>
  <si>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</si>
  <si>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</si>
  <si>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</si>
  <si>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</si>
  <si>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</si>
  <si>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</si>
  <si>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</si>
  <si>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</si>
  <si>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MSFT</t>
  </si>
  <si>
    <t>Buy</t>
  </si>
  <si>
    <t>Allocation1</t>
  </si>
  <si>
    <t>Sell</t>
  </si>
  <si>
    <t>Allocation</t>
  </si>
  <si>
    <t>GetDataAllocation</t>
  </si>
  <si>
    <t>Histrorical</t>
  </si>
  <si>
    <t>CloseOrder</t>
  </si>
  <si>
    <t>Closing</t>
  </si>
  <si>
    <t>ManualCloseOrder</t>
  </si>
  <si>
    <t>EditMultipleCloseQuantity</t>
  </si>
  <si>
    <t>StrategyUnallocated</t>
  </si>
  <si>
    <t>VerifyCloseOrder</t>
  </si>
  <si>
    <t>Equity</t>
  </si>
  <si>
    <t>Long</t>
  </si>
  <si>
    <t>CheckAllocatedGroups</t>
  </si>
  <si>
    <t>PartiallyClosed</t>
  </si>
  <si>
    <t>Closed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</si>
</sst>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"/>
    <numFmt numFmtId="165" formatCode="mm/dd/yyyy"/>
    <numFmt numFmtId="166" formatCode="M/d/yyyy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164" xfId="0" applyAlignment="1" applyBorder="1" applyFont="1" applyNumberFormat="1">
      <alignment horizontal="right" vertical="bottom"/>
    </xf>
    <xf borderId="5" fillId="0" fontId="5" numFmtId="14" xfId="0" applyAlignment="1" applyBorder="1" applyFont="1" applyNumberFormat="1">
      <alignment horizontal="right" vertical="bottom"/>
    </xf>
    <xf borderId="5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horizontal="center" readingOrder="0" vertical="bottom"/>
    </xf>
    <xf borderId="0" fillId="0" fontId="5" numFmtId="165" xfId="0" applyAlignment="1" applyFont="1" applyNumberFormat="1">
      <alignment readingOrder="0" shrinkToFit="0" wrapText="0"/>
    </xf>
    <xf borderId="5" fillId="6" fontId="14" numFmtId="166" xfId="0" applyAlignment="1" applyBorder="1" applyFill="1" applyFont="1" applyNumberFormat="1">
      <alignment horizontal="right" vertical="bottom"/>
    </xf>
    <xf borderId="5" fillId="0" fontId="5" numFmtId="0" xfId="0" applyAlignment="1" applyBorder="1" applyFont="1">
      <alignment horizontal="right" vertical="bottom"/>
    </xf>
    <xf borderId="5" fillId="0" fontId="3" numFmtId="0" xfId="0" applyAlignment="1" applyBorder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2" Type="http://schemas.openxmlformats.org/officeDocument/2006/relationships/worksheet" Target="worksheets/sheet10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 t="str">
        <f>IFERROR(__xludf.DUMMYFUNCTION("""COMPUTED_VALUE"""),"DoneAwayClickOnNO")</f>
        <v>DoneAwayClickOnNO</v>
      </c>
      <c r="BF5" s="30" t="str">
        <f>IFERROR(__xludf.DUMMYFUNCTION("""COMPUTED_VALUE"""),"HotbuttonQty")</f>
        <v>HotbuttonQty</v>
      </c>
      <c r="BG5" s="30" t="str">
        <f>IFERROR(__xludf.DUMMYFUNCTION("""COMPUTED_VALUE"""),"HotButtonPrice")</f>
        <v>HotButtonPrice</v>
      </c>
      <c r="BH5" s="30" t="str">
        <f>IFERROR(__xludf.DUMMYFUNCTION("""COMPUTED_VALUE"""),"HotButtonLimit")</f>
        <v>HotButtonLimit</v>
      </c>
      <c r="BI5" s="30" t="str">
        <f>IFERROR(__xludf.DUMMYFUNCTION("""COMPUTED_VALUE"""),"HotButtonStop")</f>
        <v>HotButtonStop</v>
      </c>
      <c r="BJ5" s="30" t="str">
        <f>IFERROR(__xludf.DUMMYFUNCTION("""COMPUTED_VALUE"""),"Broker PadLock")</f>
        <v>Broker PadLock</v>
      </c>
      <c r="BK5" s="30" t="str">
        <f>IFERROR(__xludf.DUMMYFUNCTION("""COMPUTED_VALUE"""),"TradeBy")</f>
        <v>TradeBy</v>
      </c>
      <c r="BL5" s="30" t="str">
        <f>IFERROR(__xludf.DUMMYFUNCTION("""COMPUTED_VALUE"""),"PendingApprovalPopUp")</f>
        <v>PendingApprovalPopUp</v>
      </c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5000.0</v>
      </c>
      <c r="E6" s="31"/>
      <c r="F6" s="13" t="s">
        <v>18</v>
      </c>
      <c r="G6" s="8"/>
      <c r="H6" s="8"/>
      <c r="I6" s="8"/>
      <c r="J6" s="13">
        <v>12.0</v>
      </c>
      <c r="K6" s="8"/>
      <c r="L6" s="8"/>
      <c r="M6" s="8"/>
      <c r="N6" s="8"/>
      <c r="O6" s="8"/>
    </row>
    <row r="7" ht="15.75" customHeight="1">
      <c r="A7" s="13"/>
      <c r="B7" s="13" t="s">
        <v>16</v>
      </c>
      <c r="C7" s="13" t="s">
        <v>17</v>
      </c>
      <c r="D7" s="13">
        <v>10000.0</v>
      </c>
      <c r="E7" s="31"/>
      <c r="F7" s="13" t="s">
        <v>18</v>
      </c>
      <c r="G7" s="8"/>
      <c r="H7" s="8"/>
      <c r="I7" s="8"/>
      <c r="J7" s="13">
        <v>14.0</v>
      </c>
      <c r="K7" s="8"/>
      <c r="L7" s="8"/>
      <c r="M7" s="8"/>
      <c r="N7" s="8"/>
      <c r="O7" s="8"/>
    </row>
    <row r="8" ht="15.75" customHeight="1">
      <c r="A8" s="13"/>
      <c r="B8" s="13" t="s">
        <v>16</v>
      </c>
      <c r="C8" s="13" t="s">
        <v>17</v>
      </c>
      <c r="D8" s="13">
        <v>4000.0</v>
      </c>
      <c r="E8" s="31"/>
      <c r="F8" s="13" t="s">
        <v>18</v>
      </c>
      <c r="G8" s="8"/>
      <c r="H8" s="8"/>
      <c r="I8" s="8"/>
      <c r="J8" s="13">
        <v>19.0</v>
      </c>
      <c r="K8" s="8"/>
      <c r="L8" s="8"/>
      <c r="M8" s="8"/>
      <c r="N8" s="8"/>
      <c r="O8" s="8"/>
    </row>
    <row r="9" ht="15.75" customHeight="1">
      <c r="A9" s="13"/>
      <c r="B9" s="13" t="s">
        <v>16</v>
      </c>
      <c r="C9" s="13" t="s">
        <v>19</v>
      </c>
      <c r="D9" s="13">
        <v>2000.0</v>
      </c>
      <c r="E9" s="31"/>
      <c r="F9" s="13" t="s">
        <v>18</v>
      </c>
      <c r="G9" s="8"/>
      <c r="H9" s="8"/>
      <c r="I9" s="8"/>
      <c r="J9" s="13">
        <v>12.0</v>
      </c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3" t="s">
        <v>22</v>
      </c>
      <c r="C6" s="34">
        <v>42767.0</v>
      </c>
      <c r="D6" s="35">
        <f>TODAY()</f>
        <v>45870</v>
      </c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IFERROR(__xludf.DUMMYFUNCTION("""COMPUTED_VALUE"""),"Trade Date")</f>
        <v>Trade Date</v>
      </c>
      <c r="E5" s="28" t="str">
        <f>IFERROR(__xludf.DUMMYFUNCTION("""COMPUTED_VALUE"""),"Account Name")</f>
        <v>Account Name</v>
      </c>
      <c r="F5" s="29" t="str">
        <f>IFERROR(__xludf.DUMMYFUNCTION("""COMPUTED_VALUE"""),"Side")</f>
        <v>Side</v>
      </c>
      <c r="G5" s="28" t="str">
        <f>IFERROR(__xludf.DUMMYFUNCTION("""COMPUTED_VALUE"""),"Group Status")</f>
        <v>Group Status</v>
      </c>
      <c r="H5" s="28" t="str">
        <f>IFERROR(__xludf.DUMMYFUNCTION("""COMPUTED_VALUE"""),"Avg Price( Base)")</f>
        <v>Avg Price( Base)</v>
      </c>
      <c r="I5" s="28" t="str">
        <f>IFERROR(__xludf.DUMMYFUNCTION("""COMPUTED_VALUE"""),"Execution Time")</f>
        <v>Execution Time</v>
      </c>
      <c r="J5" s="28" t="str">
        <f>IFERROR(__xludf.DUMMYFUNCTION("""COMPUTED_VALUE"""),"Trade Attribute 1")</f>
        <v>Trade Attribute 1</v>
      </c>
      <c r="K5" s="28" t="str">
        <f>IFERROR(__xludf.DUMMYFUNCTION("""COMPUTED_VALUE"""),"Avg Price(Local)")</f>
        <v>Avg Price(Local)</v>
      </c>
      <c r="L5" s="28" t="str">
        <f>IFERROR(__xludf.DUMMYFUNCTION("""COMPUTED_VALUE"""),"Trade Attribute 2")</f>
        <v>Trade Attribute 2</v>
      </c>
      <c r="M5" s="28" t="str">
        <f>IFERROR(__xludf.DUMMYFUNCTION("""COMPUTED_VALUE"""),"Accrued Interest")</f>
        <v>Accrued Interest</v>
      </c>
      <c r="N5" s="28" t="str">
        <f>IFERROR(__xludf.DUMMYFUNCTION("""COMPUTED_VALUE"""),"Commission")</f>
        <v>Commission</v>
      </c>
      <c r="O5" s="28" t="str">
        <f>IFERROR(__xludf.DUMMYFUNCTION("""COMPUTED_VALUE"""),"Soft Commission")</f>
        <v>Soft Commission</v>
      </c>
      <c r="P5" s="28" t="str">
        <f>IFERROR(__xludf.DUMMYFUNCTION("""COMPUTED_VALUE"""),"Broker")</f>
        <v>Broker</v>
      </c>
      <c r="Q5" s="28" t="str">
        <f>IFERROR(__xludf.DUMMYFUNCTION("""COMPUTED_VALUE"""),"Transaction Type")</f>
        <v>Transaction Type</v>
      </c>
      <c r="R5" s="28" t="str">
        <f>IFERROR(__xludf.DUMMYFUNCTION("""COMPUTED_VALUE"""),"AUEC Fee1")</f>
        <v>AUEC Fee1</v>
      </c>
      <c r="S5" s="28" t="str">
        <f>IFERROR(__xludf.DUMMYFUNCTION("""COMPUTED_VALUE"""),"AUEC Fee2")</f>
        <v>AUEC Fee2</v>
      </c>
      <c r="T5" s="30" t="str">
        <f>IFERROR(__xludf.DUMMYFUNCTION("""COMPUTED_VALUE"""),"Clearing Broker Fee")</f>
        <v>Clearing Broker Fee</v>
      </c>
      <c r="U5" s="30" t="str">
        <f>IFERROR(__xludf.DUMMYFUNCTION("""COMPUTED_VALUE"""),"Other Broker Fees")</f>
        <v>Other Broker Fees</v>
      </c>
      <c r="V5" s="30" t="str">
        <f>IFERROR(__xludf.DUMMYFUNCTION("""COMPUTED_VALUE"""),"OCC Fee")</f>
        <v>OCC Fee</v>
      </c>
      <c r="W5" s="30" t="str">
        <f>IFERROR(__xludf.DUMMYFUNCTION("""COMPUTED_VALUE"""),"SEC Fee")</f>
        <v>SEC Fee</v>
      </c>
      <c r="X5" s="30" t="str">
        <f>IFERROR(__xludf.DUMMYFUNCTION("""COMPUTED_VALUE"""),"ORF Fee")</f>
        <v>ORF Fee</v>
      </c>
      <c r="Y5" s="30" t="str">
        <f>IFERROR(__xludf.DUMMYFUNCTION("""COMPUTED_VALUE"""),"IsPreAllocated")</f>
        <v>IsPreAllocated</v>
      </c>
      <c r="Z5" s="30" t="str">
        <f>IFERROR(__xludf.DUMMYFUNCTION("""COMPUTED_VALUE"""),"Stamp Duty")</f>
        <v>Stamp Duty</v>
      </c>
      <c r="AA5" s="30" t="str">
        <f>IFERROR(__xludf.DUMMYFUNCTION("""COMPUTED_VALUE"""),"IsManual Group")</f>
        <v>IsManual Group</v>
      </c>
      <c r="AB5" s="30" t="str">
        <f>IFERROR(__xludf.DUMMYFUNCTION("""COMPUTED_VALUE"""),"Tax On Commissions")</f>
        <v>Tax On Commissions</v>
      </c>
      <c r="AC5" s="30" t="str">
        <f>IFERROR(__xludf.DUMMYFUNCTION("""COMPUTED_VALUE"""),"IsAnotherTaxlotAttributesUpdated")</f>
        <v>IsAnotherTaxlotAttributesUpdated</v>
      </c>
      <c r="AD5" s="30" t="str">
        <f>IFERROR(__xludf.DUMMYFUNCTION("""COMPUTED_VALUE"""),"ISNDF")</f>
        <v>ISNDF</v>
      </c>
      <c r="AE5" s="30" t="str">
        <f>IFERROR(__xludf.DUMMYFUNCTION("""COMPUTED_VALUE"""),"Transaction Levy")</f>
        <v>Transaction Levy</v>
      </c>
      <c r="AF5" s="30" t="str">
        <f>IFERROR(__xludf.DUMMYFUNCTION("""COMPUTED_VALUE"""),"Description")</f>
        <v>Description</v>
      </c>
      <c r="AG5" s="30" t="str">
        <f>IFERROR(__xludf.DUMMYFUNCTION("""COMPUTED_VALUE"""),"GroupID")</f>
        <v>GroupID</v>
      </c>
      <c r="AH5" s="30" t="str">
        <f>IFERROR(__xludf.DUMMYFUNCTION("""COMPUTED_VALUE"""),"Internal Comments")</f>
        <v>Internal Comments</v>
      </c>
      <c r="AI5" s="30" t="str">
        <f>IFERROR(__xludf.DUMMYFUNCTION("""COMPUTED_VALUE"""),"M2MProfitLoss")</f>
        <v>M2MProfitLoss</v>
      </c>
      <c r="AJ5" s="30" t="str">
        <f>IFERROR(__xludf.DUMMYFUNCTION("""COMPUTED_VALUE"""),"FX Rate")</f>
        <v>FX Rate</v>
      </c>
      <c r="AK5" s="30" t="str">
        <f>IFERROR(__xludf.DUMMYFUNCTION("""COMPUTED_VALUE"""),"FX Conversion Operator")</f>
        <v>FX Conversion Operator</v>
      </c>
      <c r="AL5" s="30" t="str">
        <f>IFERROR(__xludf.DUMMYFUNCTION("""COMPUTED_VALUE"""),"Trade Attribute 3")</f>
        <v>Trade Attribute 3</v>
      </c>
      <c r="AM5" s="30" t="str">
        <f>IFERROR(__xludf.DUMMYFUNCTION("""COMPUTED_VALUE"""),"Trade Attribute 4")</f>
        <v>Trade Attribute 4</v>
      </c>
      <c r="AN5" s="30" t="str">
        <f>IFERROR(__xludf.DUMMYFUNCTION("""COMPUTED_VALUE"""),"Trade Attribute 5")</f>
        <v>Trade Attribute 5</v>
      </c>
      <c r="AO5" s="30" t="str">
        <f>IFERROR(__xludf.DUMMYFUNCTION("""COMPUTED_VALUE"""),"Trade Attribute 6")</f>
        <v>Trade Attribute 6</v>
      </c>
      <c r="AP5" s="30" t="str">
        <f>IFERROR(__xludf.DUMMYFUNCTION("""COMPUTED_VALUE"""),"Put Or Call")</f>
        <v>Put Or Call</v>
      </c>
      <c r="AQ5" s="30" t="str">
        <f>IFERROR(__xludf.DUMMYFUNCTION("""COMPUTED_VALUE"""),"Allocated Qty")</f>
        <v>Allocated Qty</v>
      </c>
      <c r="AR5" s="30" t="str">
        <f>IFERROR(__xludf.DUMMYFUNCTION("""COMPUTED_VALUE"""),"Total Commission And Fee")</f>
        <v>Total Commission And Fee</v>
      </c>
      <c r="AS5" s="30" t="str">
        <f>IFERROR(__xludf.DUMMYFUNCTION("""COMPUTED_VALUE"""),"Executed Qty")</f>
        <v>Executed Qty</v>
      </c>
      <c r="AT5" s="30" t="str">
        <f>IFERROR(__xludf.DUMMYFUNCTION("""COMPUTED_VALUE"""),"Net Amount( Local)")</f>
        <v>Net Amount( Local)</v>
      </c>
      <c r="AU5" s="30" t="str">
        <f>IFERROR(__xludf.DUMMYFUNCTION("""COMPUTED_VALUE"""),"Net Amount( Base)")</f>
        <v>Net Amount( Base)</v>
      </c>
      <c r="AV5" s="30" t="str">
        <f>IFERROR(__xludf.DUMMYFUNCTION("""COMPUTED_VALUE"""),"UnAllocatedQty")</f>
        <v>UnAllocatedQty</v>
      </c>
      <c r="AW5" s="30" t="str">
        <f>IFERROR(__xludf.DUMMYFUNCTION("""COMPUTED_VALUE"""),"Option Premium Adjustment")</f>
        <v>Option Premium Adjustment</v>
      </c>
      <c r="AX5" s="30" t="str">
        <f>IFERROR(__xludf.DUMMYFUNCTION("""COMPUTED_VALUE"""),"Principal Amount( Local)")</f>
        <v>Principal Amount( Local)</v>
      </c>
      <c r="AY5" s="30" t="str">
        <f>IFERROR(__xludf.DUMMYFUNCTION("""COMPUTED_VALUE"""),"Principal Amount( Base)")</f>
        <v>Principal Amount( Base)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IFERROR(__xludf.DUMMYFUNCTION("""COMPUTED_VALUE"""),"User")</f>
        <v>User</v>
      </c>
      <c r="BB5" s="30" t="str">
        <f>IFERROR(__xludf.DUMMYFUNCTION("""COMPUTED_VALUE"""),"Asset Category")</f>
        <v>Asset Category</v>
      </c>
      <c r="BC5" s="30" t="str">
        <f>IFERROR(__xludf.DUMMYFUNCTION("""COMPUTED_VALUE"""),"Change Type")</f>
        <v>Change Type</v>
      </c>
      <c r="BD5" s="30" t="str">
        <f>IFERROR(__xludf.DUMMYFUNCTION("""COMPUTED_VALUE"""),"Strategy Name")</f>
        <v>Strategy Name</v>
      </c>
      <c r="BE5" s="30" t="str">
        <f>IFERROR(__xludf.DUMMYFUNCTION("""COMPUTED_VALUE"""),"Prana Msg Type")</f>
        <v>Prana Msg Type</v>
      </c>
      <c r="BF5" s="30" t="str">
        <f>IFERROR(__xludf.DUMMYFUNCTION("""COMPUTED_VALUE"""),"Total Commission")</f>
        <v>Total Commission</v>
      </c>
      <c r="BG5" s="30" t="str">
        <f>IFERROR(__xludf.DUMMYFUNCTION("""COMPUTED_VALUE"""),"Commission Per Share")</f>
        <v>Commission Per Share</v>
      </c>
      <c r="BH5" s="30" t="str">
        <f>IFERROR(__xludf.DUMMYFUNCTION("""COMPUTED_VALUE"""),"Soft Commission Per Share")</f>
        <v>Soft Commission Per Share</v>
      </c>
      <c r="BI5" s="30" t="str">
        <f>IFERROR(__xludf.DUMMYFUNCTION("""COMPUTED_VALUE"""),"Total Commission Per Share")</f>
        <v>Total Commission Per Share</v>
      </c>
      <c r="BJ5" s="30" t="str">
        <f>IFERROR(__xludf.DUMMYFUNCTION("""COMPUTED_VALUE"""),"Closing Status")</f>
        <v>Closing Status</v>
      </c>
      <c r="BK5" s="30" t="str">
        <f>IFERROR(__xludf.DUMMYFUNCTION("""COMPUTED_VALUE"""),"Closing Method")</f>
        <v>Closing Method</v>
      </c>
      <c r="BL5" s="30" t="str">
        <f>IFERROR(__xludf.DUMMYFUNCTION("""COMPUTED_VALUE"""),"Allocation Scheme Name")</f>
        <v>Allocation Scheme Name</v>
      </c>
      <c r="BM5" s="30" t="str">
        <f>IFERROR(__xludf.DUMMYFUNCTION("""COMPUTED_VALUE"""),"Change Comment")</f>
        <v>Change Comment</v>
      </c>
      <c r="BN5" s="30" t="str">
        <f>IFERROR(__xludf.DUMMYFUNCTION("""COMPUTED_VALUE"""),"Order Type")</f>
        <v>Order Type</v>
      </c>
      <c r="BO5" s="30" t="str">
        <f>IFERROR(__xludf.DUMMYFUNCTION("""COMPUTED_VALUE"""),"Underlying")</f>
        <v>Underlying</v>
      </c>
      <c r="BP5" s="30" t="str">
        <f>IFERROR(__xludf.DUMMYFUNCTION("""COMPUTED_VALUE"""),"Exchange")</f>
        <v>Exchange</v>
      </c>
      <c r="BQ5" s="30" t="str">
        <f>IFERROR(__xludf.DUMMYFUNCTION("""COMPUTED_VALUE"""),"Currency")</f>
        <v>Currency</v>
      </c>
      <c r="BR5" s="30" t="str">
        <f>IFERROR(__xludf.DUMMYFUNCTION("""COMPUTED_VALUE"""),"AUECID")</f>
        <v>AUECID</v>
      </c>
      <c r="BS5" s="30" t="str">
        <f>IFERROR(__xludf.DUMMYFUNCTION("""COMPUTED_VALUE"""),"Trading Account")</f>
        <v>Trading Account</v>
      </c>
      <c r="BT5" s="30" t="str">
        <f>IFERROR(__xludf.DUMMYFUNCTION("""COMPUTED_VALUE"""),"Venue")</f>
        <v>Venue</v>
      </c>
      <c r="BU5" s="30" t="str">
        <f>IFERROR(__xludf.DUMMYFUNCTION("""COMPUTED_VALUE"""),"Cum Qty For Sub Order")</f>
        <v>Cum Qty For Sub Order</v>
      </c>
      <c r="BV5" s="30" t="str">
        <f>IFERROR(__xludf.DUMMYFUNCTION("""COMPUTED_VALUE"""),"Contract Multiplier")</f>
        <v>Contract Multiplier</v>
      </c>
      <c r="BW5" s="30" t="str">
        <f>IFERROR(__xludf.DUMMYFUNCTION("""COMPUTED_VALUE"""),"Company")</f>
        <v>Company</v>
      </c>
      <c r="BX5" s="30" t="str">
        <f>IFERROR(__xludf.DUMMYFUNCTION("""COMPUTED_VALUE"""),"Nirvana Process Date")</f>
        <v>Nirvana Process Date</v>
      </c>
      <c r="BY5" s="30" t="str">
        <f>IFERROR(__xludf.DUMMYFUNCTION("""COMPUTED_VALUE"""),"Process Date")</f>
        <v>Process Date</v>
      </c>
      <c r="BZ5" s="30" t="str">
        <f>IFERROR(__xludf.DUMMYFUNCTION("""COMPUTED_VALUE"""),"Original Purchase Date")</f>
        <v>Original Purchase Date</v>
      </c>
      <c r="CA5" s="30" t="str">
        <f>IFERROR(__xludf.DUMMYFUNCTION("""COMPUTED_VALUE"""),"Closing Date")</f>
        <v>Closing Date</v>
      </c>
      <c r="CB5" s="30" t="str">
        <f>IFERROR(__xludf.DUMMYFUNCTION("""COMPUTED_VALUE"""),"Settlement Date")</f>
        <v>Settlement Date</v>
      </c>
      <c r="CC5" s="30" t="str">
        <f>IFERROR(__xludf.DUMMYFUNCTION("""COMPUTED_VALUE"""),"Expiration Date")</f>
        <v>Expiration Date</v>
      </c>
      <c r="CD5" s="30" t="str">
        <f>IFERROR(__xludf.DUMMYFUNCTION("""COMPUTED_VALUE"""),"Underlying Symbol")</f>
        <v>Underlying Symbol</v>
      </c>
      <c r="CE5" s="30" t="str">
        <f>IFERROR(__xludf.DUMMYFUNCTION("""COMPUTED_VALUE"""),"Accrual Basis")</f>
        <v>Accrual Basis</v>
      </c>
      <c r="CF5" s="30" t="str">
        <f>IFERROR(__xludf.DUMMYFUNCTION("""COMPUTED_VALUE"""),"Bond Type")</f>
        <v>Bond Type</v>
      </c>
      <c r="CG5" s="30" t="str">
        <f>IFERROR(__xludf.DUMMYFUNCTION("""COMPUTED_VALUE"""),"Coupon Rate")</f>
        <v>Coupon Rate</v>
      </c>
      <c r="CH5" s="30" t="str">
        <f>IFERROR(__xludf.DUMMYFUNCTION("""COMPUTED_VALUE"""),"Delta")</f>
        <v>Delta</v>
      </c>
      <c r="CI5" s="30" t="str">
        <f>IFERROR(__xludf.DUMMYFUNCTION("""COMPUTED_VALUE"""),"Bloomberg")</f>
        <v>Bloomberg</v>
      </c>
      <c r="CJ5" s="30" t="str">
        <f>IFERROR(__xludf.DUMMYFUNCTION("""COMPUTED_VALUE"""),"Sedol Symbol")</f>
        <v>Sedol Symbol</v>
      </c>
      <c r="CK5" s="30" t="str">
        <f>IFERROR(__xludf.DUMMYFUNCTION("""COMPUTED_VALUE"""),"Cusip Symbol")</f>
        <v>Cusip Symbol</v>
      </c>
      <c r="CL5" s="30" t="str">
        <f>IFERROR(__xludf.DUMMYFUNCTION("""COMPUTED_VALUE"""),"ISIN")</f>
        <v>ISIN</v>
      </c>
      <c r="CM5" s="30" t="str">
        <f>IFERROR(__xludf.DUMMYFUNCTION("""COMPUTED_VALUE"""),"OSISSymbol")</f>
        <v>OSISSymbol</v>
      </c>
      <c r="CN5" s="30" t="str">
        <f>IFERROR(__xludf.DUMMYFUNCTION("""COMPUTED_VALUE"""),"IDCOSymbol")</f>
        <v>IDCOSymbol</v>
      </c>
      <c r="CO5" s="30" t="str">
        <f>IFERROR(__xludf.DUMMYFUNCTION("""COMPUTED_VALUE"""),"Underlying Delta")</f>
        <v>Underlying Delta</v>
      </c>
      <c r="CP5" s="30" t="str">
        <f>IFERROR(__xludf.DUMMYFUNCTION("""COMPUTED_VALUE"""),"Proxy Symbol")</f>
        <v>Proxy Symbol</v>
      </c>
      <c r="CQ5" s="30" t="str">
        <f>IFERROR(__xludf.DUMMYFUNCTION("""COMPUTED_VALUE"""),"Transaction Source")</f>
        <v>Transaction Source</v>
      </c>
      <c r="CR5" s="30" t="str">
        <f>IFERROR(__xludf.DUMMYFUNCTION("""COMPUTED_VALUE"""),"Import File Name")</f>
        <v>Import File Name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>
        <v>2000.0</v>
      </c>
      <c r="D6" s="13"/>
      <c r="E6" s="13" t="s">
        <v>18</v>
      </c>
      <c r="F6" s="13" t="s">
        <v>19</v>
      </c>
      <c r="G6" s="8"/>
      <c r="H6" s="13"/>
      <c r="I6" s="8"/>
      <c r="J6" s="8"/>
      <c r="K6" s="13">
        <v>12.0</v>
      </c>
      <c r="L6" s="8"/>
      <c r="M6" s="8"/>
      <c r="N6" s="8"/>
      <c r="O6" s="8"/>
      <c r="Q6" s="9" t="s">
        <v>19</v>
      </c>
      <c r="AS6" s="9">
        <v>2000.0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CloseOrder!$4:$4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IFERROR(__xludf.DUMMYFUNCTION("IF(C3="""","""",Transpose(IMPORTRANGE('_Settings'!$B$3,C3&amp;""!A4:A1000"")))"),"SwapExpire")</f>
        <v>SwapExpire</v>
      </c>
      <c r="C4" s="25" t="str">
        <f>IFERROR(__xludf.DUMMYFUNCTION("""COMPUTED_VALUE"""),"GetDataClosing")</f>
        <v>GetDataClosing</v>
      </c>
      <c r="D4" s="25" t="str">
        <f>IFERROR(__xludf.DUMMYFUNCTION("""COMPUTED_VALUE"""),"ManualClosing")</f>
        <v>ManualClosing</v>
      </c>
      <c r="E4" s="25" t="str">
        <f>IFERROR(__xludf.DUMMYFUNCTION("""COMPUTED_VALUE"""),"AutomaticClosing")</f>
        <v>AutomaticClosing</v>
      </c>
      <c r="F4" s="25" t="str">
        <f>IFERROR(__xludf.DUMMYFUNCTION("""COMPUTED_VALUE"""),"UnwindClosing")</f>
        <v>UnwindClosing</v>
      </c>
      <c r="G4" s="25" t="str">
        <f>IFERROR(__xludf.DUMMYFUNCTION("""COMPUTED_VALUE"""),"VerifyClosedTrades")</f>
        <v>VerifyClosedTrades</v>
      </c>
      <c r="H4" s="25" t="str">
        <f>IFERROR(__xludf.DUMMYFUNCTION("""COMPUTED_VALUE"""),"VerifyLongPositionsGrid")</f>
        <v>VerifyLongPositionsGrid</v>
      </c>
      <c r="I4" s="25" t="str">
        <f>IFERROR(__xludf.DUMMYFUNCTION("""COMPUTED_VALUE"""),"VerifyShortPositionsGrid")</f>
        <v>VerifyShortPositionsGrid</v>
      </c>
      <c r="J4" s="25" t="str">
        <f>IFERROR(__xludf.DUMMYFUNCTION("""COMPUTED_VALUE"""),"SelectTradeUnexpiredUnsettled")</f>
        <v>SelectTradeUnexpiredUnsettled</v>
      </c>
      <c r="K4" s="25" t="str">
        <f>IFERROR(__xludf.DUMMYFUNCTION("""COMPUTED_VALUE"""),"CashSettlementAtCost")</f>
        <v>CashSettlementAtCost</v>
      </c>
      <c r="L4" s="25" t="str">
        <f>IFERROR(__xludf.DUMMYFUNCTION("""COMPUTED_VALUE"""),"CashSettlementAtZeroPrice")</f>
        <v>CashSettlementAtZeroPrice</v>
      </c>
      <c r="M4" s="25" t="str">
        <f>IFERROR(__xludf.DUMMYFUNCTION("""COMPUTED_VALUE"""),"CashSettlementAtClosingDtSpotPx")</f>
        <v>CashSettlementAtClosingDtSpotPx</v>
      </c>
      <c r="N4" s="25" t="str">
        <f>IFERROR(__xludf.DUMMYFUNCTION("""COMPUTED_VALUE"""),"PhysicalSettlement")</f>
        <v>PhysicalSettlement</v>
      </c>
      <c r="O4" s="25" t="str">
        <f>IFERROR(__xludf.DUMMYFUNCTION("""COMPUTED_VALUE"""),"Expire")</f>
        <v>Expire</v>
      </c>
      <c r="P4" s="26" t="str">
        <f>IFERROR(__xludf.DUMMYFUNCTION("""COMPUTED_VALUE"""),"ExerciseAssignment")</f>
        <v>ExerciseAssignment</v>
      </c>
      <c r="Q4" s="26" t="str">
        <f>IFERROR(__xludf.DUMMYFUNCTION("""COMPUTED_VALUE"""),"ExerciseAssignmentAtZero")</f>
        <v>ExerciseAssignmentAtZero</v>
      </c>
      <c r="R4" s="26" t="str">
        <f>IFERROR(__xludf.DUMMYFUNCTION("""COMPUTED_VALUE"""),"SwapExpireAndRollover")</f>
        <v>SwapExpireAndRollover</v>
      </c>
      <c r="S4" s="26" t="str">
        <f>IFERROR(__xludf.DUMMYFUNCTION("""COMPUTED_VALUE"""),"SwapExpire")</f>
        <v>SwapExpire</v>
      </c>
      <c r="T4" s="26" t="str">
        <f>IFERROR(__xludf.DUMMYFUNCTION("""COMPUTED_VALUE"""),"VerifyExpiredSettledGrid")</f>
        <v>VerifyExpiredSettledGrid</v>
      </c>
      <c r="U4" s="26" t="str">
        <f>IFERROR(__xludf.DUMMYFUNCTION("""COMPUTED_VALUE"""),"VerifyUnExpiredUnSettledGrid")</f>
        <v>VerifyUnExpiredUnSettledGrid</v>
      </c>
      <c r="V4" s="26" t="str">
        <f>IFERROR(__xludf.DUMMYFUNCTION("""COMPUTED_VALUE"""),"UnWindTradeSettlement")</f>
        <v>UnWindTradeSettlement</v>
      </c>
      <c r="W4" s="26" t="str">
        <f>IFERROR(__xludf.DUMMYFUNCTION("""COMPUTED_VALUE"""),"CloseOrder")</f>
        <v>CloseOrder</v>
      </c>
      <c r="X4" s="26" t="str">
        <f>IFERROR(__xludf.DUMMYFUNCTION("""COMPUTED_VALUE"""),"CloseOrder")</f>
        <v>CloseOrder</v>
      </c>
      <c r="Y4" s="26" t="str">
        <f>IFERROR(__xludf.DUMMYFUNCTION("""COMPUTED_VALUE"""),"CloseOrder")</f>
        <v>CloseOrder</v>
      </c>
      <c r="Z4" s="26" t="str">
        <f>IFERROR(__xludf.DUMMYFUNCTION("""COMPUTED_VALUE"""),"VerifyCloseOrder")</f>
        <v>VerifyCloseOrder</v>
      </c>
      <c r="AA4" s="26" t="str">
        <f>IFERROR(__xludf.DUMMYFUNCTION("""COMPUTED_VALUE"""),"UnWindCloseOrder")</f>
        <v>UnWindCloseOrder</v>
      </c>
      <c r="AB4" s="26" t="str">
        <f>IFERROR(__xludf.DUMMYFUNCTION("""COMPUTED_VALUE"""),"ClosingCleanUp")</f>
        <v>ClosingCleanUp</v>
      </c>
      <c r="AC4" s="26" t="str">
        <f>IFERROR(__xludf.DUMMYFUNCTION("""COMPUTED_VALUE"""),"CloseClosingUI")</f>
        <v>CloseClosingUI</v>
      </c>
      <c r="AD4" s="26" t="str">
        <f>IFERROR(__xludf.DUMMYFUNCTION("""COMPUTED_VALUE"""),"SetClosingPreference")</f>
        <v>SetClosingPreference</v>
      </c>
      <c r="AE4" s="26" t="str">
        <f>IFERROR(__xludf.DUMMYFUNCTION("""COMPUTED_VALUE"""),"EditTradeUnexpiredUnsettled")</f>
        <v>EditTradeUnexpiredUnsettled</v>
      </c>
      <c r="AF4" s="26" t="str">
        <f>IFERROR(__xludf.DUMMYFUNCTION("""COMPUTED_VALUE"""),"AutoExercise")</f>
        <v>AutoExercise</v>
      </c>
      <c r="AG4" s="26" t="str">
        <f>IFERROR(__xludf.DUMMYFUNCTION("""COMPUTED_VALUE"""),"EditMultipleCloseQuantity")</f>
        <v>EditMultipleCloseQuantity</v>
      </c>
      <c r="AH4" s="26" t="str">
        <f>IFERROR(__xludf.DUMMYFUNCTION("""COMPUTED_VALUE"""),"ManualCloseOrder")</f>
        <v>ManualCloseOrder</v>
      </c>
      <c r="AI4" s="26" t="str">
        <f>IFERROR(__xludf.DUMMYFUNCTION("""COMPUTED_VALUE"""),"PreviewDataWithFilters")</f>
        <v>PreviewDataWithFilters</v>
      </c>
      <c r="AJ4" s="26" t="str">
        <f>IFERROR(__xludf.DUMMYFUNCTION("""COMPUTED_VALUE"""),"CreateClosingTemplate")</f>
        <v>CreateClosingTemplate</v>
      </c>
      <c r="AK4" s="26" t="str">
        <f>IFERROR(__xludf.DUMMYFUNCTION("""COMPUTED_VALUE"""),"CreateUnwindingTemplate")</f>
        <v>CreateUnwindingTemplate</v>
      </c>
      <c r="AL4" s="26" t="str">
        <f>IFERROR(__xludf.DUMMYFUNCTION("""COMPUTED_VALUE"""),"EditTemplate")</f>
        <v>EditTemplate</v>
      </c>
      <c r="AM4" s="26" t="str">
        <f>IFERROR(__xludf.DUMMYFUNCTION("""COMPUTED_VALUE"""),"DeleteTemplate")</f>
        <v>DeleteTemplate</v>
      </c>
      <c r="AN4" s="26" t="str">
        <f>IFERROR(__xludf.DUMMYFUNCTION("""COMPUTED_VALUE"""),"RunTemplate")</f>
        <v>RunTemplate</v>
      </c>
      <c r="AO4" s="26" t="str">
        <f>IFERROR(__xludf.DUMMYFUNCTION("""COMPUTED_VALUE"""),"SelectAccountWiseAsset")</f>
        <v>SelectAccountWiseAsset</v>
      </c>
      <c r="AP4" s="26" t="str">
        <f>IFERROR(__xludf.DUMMYFUNCTION("""COMPUTED_VALUE"""),"VerifyCTData")</f>
        <v>VerifyCTData</v>
      </c>
      <c r="AQ4" s="26" t="str">
        <f>IFERROR(__xludf.DUMMYFUNCTION("""COMPUTED_VALUE"""),"ExerciseAssignmentWithOutSave")</f>
        <v>ExerciseAssignmentWithOutSave</v>
      </c>
      <c r="AR4" s="26" t="str">
        <f>IFERROR(__xludf.DUMMYFUNCTION("""COMPUTED_VALUE"""),"SaveCTData")</f>
        <v>SaveCTData</v>
      </c>
      <c r="AS4" s="26" t="str">
        <f>IFERROR(__xludf.DUMMYFUNCTION("""COMPUTED_VALUE"""),"FilterLongPositionGrid")</f>
        <v>FilterLongPositionGrid</v>
      </c>
      <c r="AT4" s="26" t="str">
        <f>IFERROR(__xludf.DUMMYFUNCTION("""COMPUTED_VALUE"""),"FilterShortPositionGrid")</f>
        <v>FilterShortPositionGrid</v>
      </c>
      <c r="AU4" s="26" t="str">
        <f>IFERROR(__xludf.DUMMYFUNCTION("""COMPUTED_VALUE"""),"FilterClosingGrid")</f>
        <v>FilterClosingGrid</v>
      </c>
      <c r="AV4" s="26" t="str">
        <f>IFERROR(__xludf.DUMMYFUNCTION("""COMPUTED_VALUE"""),"FilterUnexpiredGrid")</f>
        <v>FilterUnexpiredGrid</v>
      </c>
      <c r="AW4" s="26" t="str">
        <f>IFERROR(__xludf.DUMMYFUNCTION("""COMPUTED_VALUE"""),"FilterExpiredGrid")</f>
        <v>FilterExpiredGrid</v>
      </c>
      <c r="AX4" s="26" t="str">
        <f>IFERROR(__xludf.DUMMYFUNCTION("""COMPUTED_VALUE"""),"UnwindAllClosingData")</f>
        <v>UnwindAllClosingData</v>
      </c>
      <c r="AY4" s="26" t="str">
        <f>IFERROR(__xludf.DUMMYFUNCTION("""COMPUTED_VALUE"""),"FilterClosing")</f>
        <v>FilterClosing</v>
      </c>
      <c r="AZ4" s="26" t="str">
        <f>IFERROR(__xludf.DUMMYFUNCTION("""COMPUTED_VALUE"""),"VerifyClosingNavLockPopup")</f>
        <v>VerifyClosingNavLockPopup</v>
      </c>
      <c r="BA4" s="26" t="str">
        <f>IFERROR(__xludf.DUMMYFUNCTION("""COMPUTED_VALUE"""),"VerifyClosingNavLockPopup")</f>
        <v>VerifyClosingNavLockPopup</v>
      </c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IFERROR(__xludf.DUMMYFUNCTION("""COMPUTED_VALUE"""),"Strategy")</f>
        <v>Strategy</v>
      </c>
      <c r="D5" s="28" t="str">
        <f>IFERROR(__xludf.DUMMYFUNCTION("""COMPUTED_VALUE"""),"Closing Methodology")</f>
        <v>Closing Methodology</v>
      </c>
      <c r="E5" s="28" t="str">
        <f>IFERROR(__xludf.DUMMYFUNCTION("""COMPUTED_VALUE"""),"Closing Field")</f>
        <v>Closing Field</v>
      </c>
      <c r="F5" s="29" t="str">
        <f>IFERROR(__xludf.DUMMYFUNCTION("""COMPUTED_VALUE"""),"AutoCloseStrategy")</f>
        <v>AutoCloseStrategy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38" t="b">
        <v>0</v>
      </c>
      <c r="D6" s="33" t="s">
        <v>18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  <c r="X6" s="9" t="s">
        <v>16</v>
      </c>
      <c r="AY6" s="9" t="s">
        <v>16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ManualCloseOrder!$4:$4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IFERROR(__xludf.DUMMYFUNCTION("IF(C3="""","""",Transpose(IMPORTRANGE('_Settings'!$B$3,C3&amp;""!A4:A1000"")))"),"SwapExpire")</f>
        <v>SwapExpire</v>
      </c>
      <c r="C4" s="25" t="str">
        <f>IFERROR(__xludf.DUMMYFUNCTION("""COMPUTED_VALUE"""),"GetDataClosing")</f>
        <v>GetDataClosing</v>
      </c>
      <c r="D4" s="25" t="str">
        <f>IFERROR(__xludf.DUMMYFUNCTION("""COMPUTED_VALUE"""),"ManualClosing")</f>
        <v>ManualClosing</v>
      </c>
      <c r="E4" s="25" t="str">
        <f>IFERROR(__xludf.DUMMYFUNCTION("""COMPUTED_VALUE"""),"AutomaticClosing")</f>
        <v>AutomaticClosing</v>
      </c>
      <c r="F4" s="25" t="str">
        <f>IFERROR(__xludf.DUMMYFUNCTION("""COMPUTED_VALUE"""),"UnwindClosing")</f>
        <v>UnwindClosing</v>
      </c>
      <c r="G4" s="25" t="str">
        <f>IFERROR(__xludf.DUMMYFUNCTION("""COMPUTED_VALUE"""),"VerifyClosedTrades")</f>
        <v>VerifyClosedTrades</v>
      </c>
      <c r="H4" s="25" t="str">
        <f>IFERROR(__xludf.DUMMYFUNCTION("""COMPUTED_VALUE"""),"VerifyLongPositionsGrid")</f>
        <v>VerifyLongPositionsGrid</v>
      </c>
      <c r="I4" s="25" t="str">
        <f>IFERROR(__xludf.DUMMYFUNCTION("""COMPUTED_VALUE"""),"VerifyShortPositionsGrid")</f>
        <v>VerifyShortPositionsGrid</v>
      </c>
      <c r="J4" s="25" t="str">
        <f>IFERROR(__xludf.DUMMYFUNCTION("""COMPUTED_VALUE"""),"SelectTradeUnexpiredUnsettled")</f>
        <v>SelectTradeUnexpiredUnsettled</v>
      </c>
      <c r="K4" s="25" t="str">
        <f>IFERROR(__xludf.DUMMYFUNCTION("""COMPUTED_VALUE"""),"CashSettlementAtCost")</f>
        <v>CashSettlementAtCost</v>
      </c>
      <c r="L4" s="25" t="str">
        <f>IFERROR(__xludf.DUMMYFUNCTION("""COMPUTED_VALUE"""),"CashSettlementAtZeroPrice")</f>
        <v>CashSettlementAtZeroPrice</v>
      </c>
      <c r="M4" s="25" t="str">
        <f>IFERROR(__xludf.DUMMYFUNCTION("""COMPUTED_VALUE"""),"CashSettlementAtClosingDtSpotPx")</f>
        <v>CashSettlementAtClosingDtSpotPx</v>
      </c>
      <c r="N4" s="25" t="str">
        <f>IFERROR(__xludf.DUMMYFUNCTION("""COMPUTED_VALUE"""),"PhysicalSettlement")</f>
        <v>PhysicalSettlement</v>
      </c>
      <c r="O4" s="25" t="str">
        <f>IFERROR(__xludf.DUMMYFUNCTION("""COMPUTED_VALUE"""),"Expire")</f>
        <v>Expire</v>
      </c>
      <c r="P4" s="26" t="str">
        <f>IFERROR(__xludf.DUMMYFUNCTION("""COMPUTED_VALUE"""),"ExerciseAssignment")</f>
        <v>ExerciseAssignment</v>
      </c>
      <c r="Q4" s="26" t="str">
        <f>IFERROR(__xludf.DUMMYFUNCTION("""COMPUTED_VALUE"""),"ExerciseAssignmentAtZero")</f>
        <v>ExerciseAssignmentAtZero</v>
      </c>
      <c r="R4" s="26" t="str">
        <f>IFERROR(__xludf.DUMMYFUNCTION("""COMPUTED_VALUE"""),"SwapExpireAndRollover")</f>
        <v>SwapExpireAndRollover</v>
      </c>
      <c r="S4" s="26" t="str">
        <f>IFERROR(__xludf.DUMMYFUNCTION("""COMPUTED_VALUE"""),"SwapExpire")</f>
        <v>SwapExpire</v>
      </c>
      <c r="T4" s="26" t="str">
        <f>IFERROR(__xludf.DUMMYFUNCTION("""COMPUTED_VALUE"""),"VerifyExpiredSettledGrid")</f>
        <v>VerifyExpiredSettledGrid</v>
      </c>
      <c r="U4" s="26" t="str">
        <f>IFERROR(__xludf.DUMMYFUNCTION("""COMPUTED_VALUE"""),"VerifyUnExpiredUnSettledGrid")</f>
        <v>VerifyUnExpiredUnSettledGrid</v>
      </c>
      <c r="V4" s="26" t="str">
        <f>IFERROR(__xludf.DUMMYFUNCTION("""COMPUTED_VALUE"""),"UnWindTradeSettlement")</f>
        <v>UnWindTradeSettlement</v>
      </c>
      <c r="W4" s="26" t="str">
        <f>IFERROR(__xludf.DUMMYFUNCTION("""COMPUTED_VALUE"""),"CloseOrder")</f>
        <v>CloseOrder</v>
      </c>
      <c r="X4" s="26" t="str">
        <f>IFERROR(__xludf.DUMMYFUNCTION("""COMPUTED_VALUE"""),"CloseOrder")</f>
        <v>CloseOrder</v>
      </c>
      <c r="Y4" s="26" t="str">
        <f>IFERROR(__xludf.DUMMYFUNCTION("""COMPUTED_VALUE"""),"CloseOrder")</f>
        <v>CloseOrder</v>
      </c>
      <c r="Z4" s="26" t="str">
        <f>IFERROR(__xludf.DUMMYFUNCTION("""COMPUTED_VALUE"""),"VerifyCloseOrder")</f>
        <v>VerifyCloseOrder</v>
      </c>
      <c r="AA4" s="26" t="str">
        <f>IFERROR(__xludf.DUMMYFUNCTION("""COMPUTED_VALUE"""),"UnWindCloseOrder")</f>
        <v>UnWindCloseOrder</v>
      </c>
      <c r="AB4" s="26" t="str">
        <f>IFERROR(__xludf.DUMMYFUNCTION("""COMPUTED_VALUE"""),"ClosingCleanUp")</f>
        <v>ClosingCleanUp</v>
      </c>
      <c r="AC4" s="26" t="str">
        <f>IFERROR(__xludf.DUMMYFUNCTION("""COMPUTED_VALUE"""),"CloseClosingUI")</f>
        <v>CloseClosingUI</v>
      </c>
      <c r="AD4" s="26" t="str">
        <f>IFERROR(__xludf.DUMMYFUNCTION("""COMPUTED_VALUE"""),"SetClosingPreference")</f>
        <v>SetClosingPreference</v>
      </c>
      <c r="AE4" s="26" t="str">
        <f>IFERROR(__xludf.DUMMYFUNCTION("""COMPUTED_VALUE"""),"EditTradeUnexpiredUnsettled")</f>
        <v>EditTradeUnexpiredUnsettled</v>
      </c>
      <c r="AF4" s="26" t="str">
        <f>IFERROR(__xludf.DUMMYFUNCTION("""COMPUTED_VALUE"""),"AutoExercise")</f>
        <v>AutoExercise</v>
      </c>
      <c r="AG4" s="26" t="str">
        <f>IFERROR(__xludf.DUMMYFUNCTION("""COMPUTED_VALUE"""),"EditMultipleCloseQuantity")</f>
        <v>EditMultipleCloseQuantity</v>
      </c>
      <c r="AH4" s="26" t="str">
        <f>IFERROR(__xludf.DUMMYFUNCTION("""COMPUTED_VALUE"""),"ManualCloseOrder")</f>
        <v>ManualCloseOrder</v>
      </c>
      <c r="AI4" s="26" t="str">
        <f>IFERROR(__xludf.DUMMYFUNCTION("""COMPUTED_VALUE"""),"PreviewDataWithFilters")</f>
        <v>PreviewDataWithFilters</v>
      </c>
      <c r="AJ4" s="26" t="str">
        <f>IFERROR(__xludf.DUMMYFUNCTION("""COMPUTED_VALUE"""),"CreateClosingTemplate")</f>
        <v>CreateClosingTemplate</v>
      </c>
      <c r="AK4" s="26" t="str">
        <f>IFERROR(__xludf.DUMMYFUNCTION("""COMPUTED_VALUE"""),"CreateUnwindingTemplate")</f>
        <v>CreateUnwindingTemplate</v>
      </c>
      <c r="AL4" s="26" t="str">
        <f>IFERROR(__xludf.DUMMYFUNCTION("""COMPUTED_VALUE"""),"EditTemplate")</f>
        <v>EditTemplate</v>
      </c>
      <c r="AM4" s="26" t="str">
        <f>IFERROR(__xludf.DUMMYFUNCTION("""COMPUTED_VALUE"""),"DeleteTemplate")</f>
        <v>DeleteTemplate</v>
      </c>
      <c r="AN4" s="26" t="str">
        <f>IFERROR(__xludf.DUMMYFUNCTION("""COMPUTED_VALUE"""),"RunTemplate")</f>
        <v>RunTemplate</v>
      </c>
      <c r="AO4" s="26" t="str">
        <f>IFERROR(__xludf.DUMMYFUNCTION("""COMPUTED_VALUE"""),"SelectAccountWiseAsset")</f>
        <v>SelectAccountWiseAsset</v>
      </c>
      <c r="AP4" s="26" t="str">
        <f>IFERROR(__xludf.DUMMYFUNCTION("""COMPUTED_VALUE"""),"VerifyCTData")</f>
        <v>VerifyCTData</v>
      </c>
      <c r="AQ4" s="26" t="str">
        <f>IFERROR(__xludf.DUMMYFUNCTION("""COMPUTED_VALUE"""),"ExerciseAssignmentWithOutSave")</f>
        <v>ExerciseAssignmentWithOutSave</v>
      </c>
      <c r="AR4" s="26" t="str">
        <f>IFERROR(__xludf.DUMMYFUNCTION("""COMPUTED_VALUE"""),"SaveCTData")</f>
        <v>SaveCTData</v>
      </c>
      <c r="AS4" s="26" t="str">
        <f>IFERROR(__xludf.DUMMYFUNCTION("""COMPUTED_VALUE"""),"FilterLongPositionGrid")</f>
        <v>FilterLongPositionGrid</v>
      </c>
      <c r="AT4" s="26" t="str">
        <f>IFERROR(__xludf.DUMMYFUNCTION("""COMPUTED_VALUE"""),"FilterShortPositionGrid")</f>
        <v>FilterShortPositionGrid</v>
      </c>
      <c r="AU4" s="26" t="str">
        <f>IFERROR(__xludf.DUMMYFUNCTION("""COMPUTED_VALUE"""),"FilterClosingGrid")</f>
        <v>FilterClosingGrid</v>
      </c>
      <c r="AV4" s="26" t="str">
        <f>IFERROR(__xludf.DUMMYFUNCTION("""COMPUTED_VALUE"""),"FilterUnexpiredGrid")</f>
        <v>FilterUnexpiredGrid</v>
      </c>
      <c r="AW4" s="26" t="str">
        <f>IFERROR(__xludf.DUMMYFUNCTION("""COMPUTED_VALUE"""),"FilterExpiredGrid")</f>
        <v>FilterExpiredGrid</v>
      </c>
      <c r="AX4" s="26" t="str">
        <f>IFERROR(__xludf.DUMMYFUNCTION("""COMPUTED_VALUE"""),"UnwindAllClosingData")</f>
        <v>UnwindAllClosingData</v>
      </c>
      <c r="AY4" s="26" t="str">
        <f>IFERROR(__xludf.DUMMYFUNCTION("""COMPUTED_VALUE"""),"FilterClosing")</f>
        <v>FilterClosing</v>
      </c>
      <c r="AZ4" s="26" t="str">
        <f>IFERROR(__xludf.DUMMYFUNCTION("""COMPUTED_VALUE"""),"VerifyClosingNavLockPopup")</f>
        <v>VerifyClosingNavLockPopup</v>
      </c>
      <c r="BA4" s="26" t="str">
        <f>IFERROR(__xludf.DUMMYFUNCTION("""COMPUTED_VALUE"""),"VerifyClosingNavLockPopup")</f>
        <v>VerifyClosingNavLockPopup</v>
      </c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IFERROR(__xludf.DUMMYFUNCTION("""COMPUTED_VALUE"""),"Trade Date")</f>
        <v>Trade Date</v>
      </c>
      <c r="D5" s="28" t="str">
        <f>IFERROR(__xludf.DUMMYFUNCTION("""COMPUTED_VALUE"""),"Original Purchase Date")</f>
        <v>Original Purchase Date</v>
      </c>
      <c r="E5" s="28" t="str">
        <f>IFERROR(__xludf.DUMMYFUNCTION("""COMPUTED_VALUE"""),"Quantity")</f>
        <v>Quantity</v>
      </c>
      <c r="F5" s="29" t="str">
        <f>IFERROR(__xludf.DUMMYFUNCTION("""COMPUTED_VALUE"""),"Unit Cost")</f>
        <v>Unit Cost</v>
      </c>
      <c r="G5" s="28" t="str">
        <f>IFERROR(__xludf.DUMMYFUNCTION("""COMPUTED_VALUE"""),"Strategy")</f>
        <v>Strategy</v>
      </c>
      <c r="H5" s="28" t="str">
        <f>IFERROR(__xludf.DUMMYFUNCTION("""COMPUTED_VALUE"""),"Side")</f>
        <v>Side</v>
      </c>
      <c r="I5" s="28" t="str">
        <f>IFERROR(__xludf.DUMMYFUNCTION("""COMPUTED_VALUE"""),"Close Quantity")</f>
        <v>Close Quantity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39">
        <v>44418.0</v>
      </c>
      <c r="D6" s="39">
        <v>44418.0</v>
      </c>
      <c r="E6" s="13">
        <v>5000.0</v>
      </c>
      <c r="F6" s="13">
        <v>12.0</v>
      </c>
      <c r="G6" s="13" t="s">
        <v>27</v>
      </c>
      <c r="H6" s="13" t="s">
        <v>17</v>
      </c>
      <c r="I6" s="13">
        <v>666.0</v>
      </c>
      <c r="K6" s="8"/>
      <c r="L6" s="8"/>
      <c r="M6" s="8"/>
      <c r="N6" s="8"/>
      <c r="O6" s="8"/>
    </row>
    <row r="7" ht="15.75" customHeight="1">
      <c r="A7" s="8"/>
      <c r="B7" s="13" t="s">
        <v>18</v>
      </c>
      <c r="C7" s="39">
        <v>44418.0</v>
      </c>
      <c r="D7" s="39">
        <v>44418.0</v>
      </c>
      <c r="E7" s="13">
        <v>10000.0</v>
      </c>
      <c r="F7" s="13">
        <v>14.0</v>
      </c>
      <c r="G7" s="13" t="s">
        <v>27</v>
      </c>
      <c r="H7" s="13" t="s">
        <v>17</v>
      </c>
      <c r="I7" s="13">
        <v>667.0</v>
      </c>
      <c r="J7" s="8"/>
      <c r="K7" s="8"/>
      <c r="L7" s="8"/>
      <c r="M7" s="8"/>
      <c r="N7" s="8"/>
      <c r="O7" s="8"/>
    </row>
    <row r="8" ht="15.75" customHeight="1">
      <c r="A8" s="8"/>
      <c r="B8" s="13" t="s">
        <v>18</v>
      </c>
      <c r="C8" s="39">
        <v>44418.0</v>
      </c>
      <c r="D8" s="39">
        <v>44418.0</v>
      </c>
      <c r="E8" s="13">
        <v>4000.0</v>
      </c>
      <c r="F8" s="13">
        <v>19.0</v>
      </c>
      <c r="G8" s="13" t="s">
        <v>27</v>
      </c>
      <c r="H8" s="13" t="s">
        <v>17</v>
      </c>
      <c r="I8" s="13">
        <v>667.0</v>
      </c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EditMultipleCloseQuantity!$4:$4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IFERROR(__xludf.DUMMYFUNCTION("IF(C3="""","""",Transpose(IMPORTRANGE('_Settings'!$B$3,C3&amp;""!A4:A1000"")))"),"SwapExpire")</f>
        <v>SwapExpire</v>
      </c>
      <c r="C4" s="25" t="str">
        <f>IFERROR(__xludf.DUMMYFUNCTION("""COMPUTED_VALUE"""),"GetDataClosing")</f>
        <v>GetDataClosing</v>
      </c>
      <c r="D4" s="25" t="str">
        <f>IFERROR(__xludf.DUMMYFUNCTION("""COMPUTED_VALUE"""),"ManualClosing")</f>
        <v>ManualClosing</v>
      </c>
      <c r="E4" s="25" t="str">
        <f>IFERROR(__xludf.DUMMYFUNCTION("""COMPUTED_VALUE"""),"AutomaticClosing")</f>
        <v>AutomaticClosing</v>
      </c>
      <c r="F4" s="25" t="str">
        <f>IFERROR(__xludf.DUMMYFUNCTION("""COMPUTED_VALUE"""),"UnwindClosing")</f>
        <v>UnwindClosing</v>
      </c>
      <c r="G4" s="25" t="str">
        <f>IFERROR(__xludf.DUMMYFUNCTION("""COMPUTED_VALUE"""),"VerifyClosedTrades")</f>
        <v>VerifyClosedTrades</v>
      </c>
      <c r="H4" s="25" t="str">
        <f>IFERROR(__xludf.DUMMYFUNCTION("""COMPUTED_VALUE"""),"VerifyLongPositionsGrid")</f>
        <v>VerifyLongPositionsGrid</v>
      </c>
      <c r="I4" s="25" t="str">
        <f>IFERROR(__xludf.DUMMYFUNCTION("""COMPUTED_VALUE"""),"VerifyShortPositionsGrid")</f>
        <v>VerifyShortPositionsGrid</v>
      </c>
      <c r="J4" s="25" t="str">
        <f>IFERROR(__xludf.DUMMYFUNCTION("""COMPUTED_VALUE"""),"SelectTradeUnexpiredUnsettled")</f>
        <v>SelectTradeUnexpiredUnsettled</v>
      </c>
      <c r="K4" s="25" t="str">
        <f>IFERROR(__xludf.DUMMYFUNCTION("""COMPUTED_VALUE"""),"CashSettlementAtCost")</f>
        <v>CashSettlementAtCost</v>
      </c>
      <c r="L4" s="25" t="str">
        <f>IFERROR(__xludf.DUMMYFUNCTION("""COMPUTED_VALUE"""),"CashSettlementAtZeroPrice")</f>
        <v>CashSettlementAtZeroPrice</v>
      </c>
      <c r="M4" s="25" t="str">
        <f>IFERROR(__xludf.DUMMYFUNCTION("""COMPUTED_VALUE"""),"CashSettlementAtClosingDtSpotPx")</f>
        <v>CashSettlementAtClosingDtSpotPx</v>
      </c>
      <c r="N4" s="25" t="str">
        <f>IFERROR(__xludf.DUMMYFUNCTION("""COMPUTED_VALUE"""),"PhysicalSettlement")</f>
        <v>PhysicalSettlement</v>
      </c>
      <c r="O4" s="25" t="str">
        <f>IFERROR(__xludf.DUMMYFUNCTION("""COMPUTED_VALUE"""),"Expire")</f>
        <v>Expire</v>
      </c>
      <c r="P4" s="26" t="str">
        <f>IFERROR(__xludf.DUMMYFUNCTION("""COMPUTED_VALUE"""),"ExerciseAssignment")</f>
        <v>ExerciseAssignment</v>
      </c>
      <c r="Q4" s="26" t="str">
        <f>IFERROR(__xludf.DUMMYFUNCTION("""COMPUTED_VALUE"""),"ExerciseAssignmentAtZero")</f>
        <v>ExerciseAssignmentAtZero</v>
      </c>
      <c r="R4" s="26" t="str">
        <f>IFERROR(__xludf.DUMMYFUNCTION("""COMPUTED_VALUE"""),"SwapExpireAndRollover")</f>
        <v>SwapExpireAndRollover</v>
      </c>
      <c r="S4" s="26" t="str">
        <f>IFERROR(__xludf.DUMMYFUNCTION("""COMPUTED_VALUE"""),"SwapExpire")</f>
        <v>SwapExpire</v>
      </c>
      <c r="T4" s="26" t="str">
        <f>IFERROR(__xludf.DUMMYFUNCTION("""COMPUTED_VALUE"""),"VerifyExpiredSettledGrid")</f>
        <v>VerifyExpiredSettledGrid</v>
      </c>
      <c r="U4" s="26" t="str">
        <f>IFERROR(__xludf.DUMMYFUNCTION("""COMPUTED_VALUE"""),"VerifyUnExpiredUnSettledGrid")</f>
        <v>VerifyUnExpiredUnSettledGrid</v>
      </c>
      <c r="V4" s="26" t="str">
        <f>IFERROR(__xludf.DUMMYFUNCTION("""COMPUTED_VALUE"""),"UnWindTradeSettlement")</f>
        <v>UnWindTradeSettlement</v>
      </c>
      <c r="W4" s="26" t="str">
        <f>IFERROR(__xludf.DUMMYFUNCTION("""COMPUTED_VALUE"""),"CloseOrder")</f>
        <v>CloseOrder</v>
      </c>
      <c r="X4" s="26" t="str">
        <f>IFERROR(__xludf.DUMMYFUNCTION("""COMPUTED_VALUE"""),"CloseOrder")</f>
        <v>CloseOrder</v>
      </c>
      <c r="Y4" s="26" t="str">
        <f>IFERROR(__xludf.DUMMYFUNCTION("""COMPUTED_VALUE"""),"CloseOrder")</f>
        <v>CloseOrder</v>
      </c>
      <c r="Z4" s="26" t="str">
        <f>IFERROR(__xludf.DUMMYFUNCTION("""COMPUTED_VALUE"""),"VerifyCloseOrder")</f>
        <v>VerifyCloseOrder</v>
      </c>
      <c r="AA4" s="26" t="str">
        <f>IFERROR(__xludf.DUMMYFUNCTION("""COMPUTED_VALUE"""),"UnWindCloseOrder")</f>
        <v>UnWindCloseOrder</v>
      </c>
      <c r="AB4" s="26" t="str">
        <f>IFERROR(__xludf.DUMMYFUNCTION("""COMPUTED_VALUE"""),"ClosingCleanUp")</f>
        <v>ClosingCleanUp</v>
      </c>
      <c r="AC4" s="26" t="str">
        <f>IFERROR(__xludf.DUMMYFUNCTION("""COMPUTED_VALUE"""),"CloseClosingUI")</f>
        <v>CloseClosingUI</v>
      </c>
      <c r="AD4" s="26" t="str">
        <f>IFERROR(__xludf.DUMMYFUNCTION("""COMPUTED_VALUE"""),"SetClosingPreference")</f>
        <v>SetClosingPreference</v>
      </c>
      <c r="AE4" s="26" t="str">
        <f>IFERROR(__xludf.DUMMYFUNCTION("""COMPUTED_VALUE"""),"EditTradeUnexpiredUnsettled")</f>
        <v>EditTradeUnexpiredUnsettled</v>
      </c>
      <c r="AF4" s="26" t="str">
        <f>IFERROR(__xludf.DUMMYFUNCTION("""COMPUTED_VALUE"""),"AutoExercise")</f>
        <v>AutoExercise</v>
      </c>
      <c r="AG4" s="26" t="str">
        <f>IFERROR(__xludf.DUMMYFUNCTION("""COMPUTED_VALUE"""),"EditMultipleCloseQuantity")</f>
        <v>EditMultipleCloseQuantity</v>
      </c>
      <c r="AH4" s="26" t="str">
        <f>IFERROR(__xludf.DUMMYFUNCTION("""COMPUTED_VALUE"""),"ManualCloseOrder")</f>
        <v>ManualCloseOrder</v>
      </c>
      <c r="AI4" s="26" t="str">
        <f>IFERROR(__xludf.DUMMYFUNCTION("""COMPUTED_VALUE"""),"PreviewDataWithFilters")</f>
        <v>PreviewDataWithFilters</v>
      </c>
      <c r="AJ4" s="26" t="str">
        <f>IFERROR(__xludf.DUMMYFUNCTION("""COMPUTED_VALUE"""),"CreateClosingTemplate")</f>
        <v>CreateClosingTemplate</v>
      </c>
      <c r="AK4" s="26" t="str">
        <f>IFERROR(__xludf.DUMMYFUNCTION("""COMPUTED_VALUE"""),"CreateUnwindingTemplate")</f>
        <v>CreateUnwindingTemplate</v>
      </c>
      <c r="AL4" s="26" t="str">
        <f>IFERROR(__xludf.DUMMYFUNCTION("""COMPUTED_VALUE"""),"EditTemplate")</f>
        <v>EditTemplate</v>
      </c>
      <c r="AM4" s="26" t="str">
        <f>IFERROR(__xludf.DUMMYFUNCTION("""COMPUTED_VALUE"""),"DeleteTemplate")</f>
        <v>DeleteTemplate</v>
      </c>
      <c r="AN4" s="26" t="str">
        <f>IFERROR(__xludf.DUMMYFUNCTION("""COMPUTED_VALUE"""),"RunTemplate")</f>
        <v>RunTemplate</v>
      </c>
      <c r="AO4" s="26" t="str">
        <f>IFERROR(__xludf.DUMMYFUNCTION("""COMPUTED_VALUE"""),"SelectAccountWiseAsset")</f>
        <v>SelectAccountWiseAsset</v>
      </c>
      <c r="AP4" s="26" t="str">
        <f>IFERROR(__xludf.DUMMYFUNCTION("""COMPUTED_VALUE"""),"VerifyCTData")</f>
        <v>VerifyCTData</v>
      </c>
      <c r="AQ4" s="26" t="str">
        <f>IFERROR(__xludf.DUMMYFUNCTION("""COMPUTED_VALUE"""),"ExerciseAssignmentWithOutSave")</f>
        <v>ExerciseAssignmentWithOutSave</v>
      </c>
      <c r="AR4" s="26" t="str">
        <f>IFERROR(__xludf.DUMMYFUNCTION("""COMPUTED_VALUE"""),"SaveCTData")</f>
        <v>SaveCTData</v>
      </c>
      <c r="AS4" s="26" t="str">
        <f>IFERROR(__xludf.DUMMYFUNCTION("""COMPUTED_VALUE"""),"FilterLongPositionGrid")</f>
        <v>FilterLongPositionGrid</v>
      </c>
      <c r="AT4" s="26" t="str">
        <f>IFERROR(__xludf.DUMMYFUNCTION("""COMPUTED_VALUE"""),"FilterShortPositionGrid")</f>
        <v>FilterShortPositionGrid</v>
      </c>
      <c r="AU4" s="26" t="str">
        <f>IFERROR(__xludf.DUMMYFUNCTION("""COMPUTED_VALUE"""),"FilterClosingGrid")</f>
        <v>FilterClosingGrid</v>
      </c>
      <c r="AV4" s="26" t="str">
        <f>IFERROR(__xludf.DUMMYFUNCTION("""COMPUTED_VALUE"""),"FilterUnexpiredGrid")</f>
        <v>FilterUnexpiredGrid</v>
      </c>
      <c r="AW4" s="26" t="str">
        <f>IFERROR(__xludf.DUMMYFUNCTION("""COMPUTED_VALUE"""),"FilterExpiredGrid")</f>
        <v>FilterExpiredGrid</v>
      </c>
      <c r="AX4" s="26" t="str">
        <f>IFERROR(__xludf.DUMMYFUNCTION("""COMPUTED_VALUE"""),"UnwindAllClosingData")</f>
        <v>UnwindAllClosingData</v>
      </c>
      <c r="AY4" s="26" t="str">
        <f>IFERROR(__xludf.DUMMYFUNCTION("""COMPUTED_VALUE"""),"FilterClosing")</f>
        <v>FilterClosing</v>
      </c>
      <c r="AZ4" s="26" t="str">
        <f>IFERROR(__xludf.DUMMYFUNCTION("""COMPUTED_VALUE"""),"VerifyClosingNavLockPopup")</f>
        <v>VerifyClosingNavLockPopup</v>
      </c>
      <c r="BA4" s="26" t="str">
        <f>IFERROR(__xludf.DUMMYFUNCTION("""COMPUTED_VALUE"""),"VerifyClosingNavLockPopup")</f>
        <v>VerifyClosingNavLockPopup</v>
      </c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IFERROR(__xludf.DUMMYFUNCTION("""COMPUTED_VALUE"""),"Asset Class")</f>
        <v>Asset Class</v>
      </c>
      <c r="D5" s="28" t="str">
        <f>IFERROR(__xludf.DUMMYFUNCTION("""COMPUTED_VALUE"""),"Closing Date")</f>
        <v>Closing Date</v>
      </c>
      <c r="E5" s="28" t="str">
        <f>IFERROR(__xludf.DUMMYFUNCTION("""COMPUTED_VALUE"""),"Closing Method")</f>
        <v>Closing Method</v>
      </c>
      <c r="F5" s="29" t="str">
        <f>IFERROR(__xludf.DUMMYFUNCTION("""COMPUTED_VALUE"""),"Closing Mode")</f>
        <v>Closing Mode</v>
      </c>
      <c r="G5" s="28" t="str">
        <f>IFERROR(__xludf.DUMMYFUNCTION("""COMPUTED_VALUE"""),"Closing Position Type")</f>
        <v>Closing Position Type</v>
      </c>
      <c r="H5" s="28" t="str">
        <f>IFERROR(__xludf.DUMMYFUNCTION("""COMPUTED_VALUE"""),"Closing Price")</f>
        <v>Closing Price</v>
      </c>
      <c r="I5" s="28" t="str">
        <f>IFERROR(__xludf.DUMMYFUNCTION("""COMPUTED_VALUE"""),"Closing Side")</f>
        <v>Closing Side</v>
      </c>
      <c r="J5" s="28" t="str">
        <f>IFERROR(__xludf.DUMMYFUNCTION("""COMPUTED_VALUE"""),"ClosingID")</f>
        <v>ClosingID</v>
      </c>
      <c r="K5" s="28" t="str">
        <f>IFERROR(__xludf.DUMMYFUNCTION("""COMPUTED_VALUE"""),"ClosingTotalCommissionFee")</f>
        <v>ClosingTotalCommissionFee</v>
      </c>
      <c r="L5" s="28" t="str">
        <f>IFERROR(__xludf.DUMMYFUNCTION("""COMPUTED_VALUE"""),"Currency")</f>
        <v>Currency</v>
      </c>
      <c r="M5" s="28" t="str">
        <f>IFERROR(__xludf.DUMMYFUNCTION("""COMPUTED_VALUE"""),"Exchange")</f>
        <v>Exchange</v>
      </c>
      <c r="N5" s="28" t="str">
        <f>IFERROR(__xludf.DUMMYFUNCTION("""COMPUTED_VALUE"""),"Opening Fee &amp; Commission")</f>
        <v>Opening Fee &amp; Commission</v>
      </c>
      <c r="O5" s="28" t="str">
        <f>IFERROR(__xludf.DUMMYFUNCTION("""COMPUTED_VALUE"""),"Opening Price")</f>
        <v>Opening Price</v>
      </c>
      <c r="P5" s="28" t="str">
        <f>IFERROR(__xludf.DUMMYFUNCTION("""COMPUTED_VALUE"""),"Opening Side")</f>
        <v>Opening Side</v>
      </c>
      <c r="Q5" s="28" t="str">
        <f>IFERROR(__xludf.DUMMYFUNCTION("""COMPUTED_VALUE"""),"Original Purchase Date")</f>
        <v>Original Purchase Date</v>
      </c>
      <c r="R5" s="28" t="str">
        <f>IFERROR(__xludf.DUMMYFUNCTION("""COMPUTED_VALUE"""),"Position Type")</f>
        <v>Position Type</v>
      </c>
      <c r="S5" s="28" t="str">
        <f>IFERROR(__xludf.DUMMYFUNCTION("""COMPUTED_VALUE"""),"Qty Closed")</f>
        <v>Qty Closed</v>
      </c>
      <c r="T5" s="30" t="str">
        <f>IFERROR(__xludf.DUMMYFUNCTION("""COMPUTED_VALUE"""),"Realized PNL(C.B.)")</f>
        <v>Realized PNL(C.B.)</v>
      </c>
      <c r="U5" s="30" t="str">
        <f>IFERROR(__xludf.DUMMYFUNCTION("""COMPUTED_VALUE"""),"Side")</f>
        <v>Side</v>
      </c>
      <c r="V5" s="30" t="str">
        <f>IFERROR(__xludf.DUMMYFUNCTION("""COMPUTED_VALUE"""),"Strategy")</f>
        <v>Strategy</v>
      </c>
      <c r="W5" s="30" t="str">
        <f>IFERROR(__xludf.DUMMYFUNCTION("""COMPUTED_VALUE"""),"Symbol")</f>
        <v>Symbol</v>
      </c>
      <c r="X5" s="30" t="str">
        <f>IFERROR(__xludf.DUMMYFUNCTION("""COMPUTED_VALUE"""),"Taxlot ID")</f>
        <v>Taxlot ID</v>
      </c>
      <c r="Y5" s="30" t="str">
        <f>IFERROR(__xludf.DUMMYFUNCTION("""COMPUTED_VALUE"""),"Underlying")</f>
        <v>Underlying</v>
      </c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3" t="s">
        <v>18</v>
      </c>
      <c r="C6" s="36" t="s">
        <v>29</v>
      </c>
      <c r="D6" s="40"/>
      <c r="E6" s="36"/>
      <c r="F6" s="36"/>
      <c r="G6" s="36"/>
      <c r="H6" s="41">
        <v>12.0</v>
      </c>
      <c r="I6" s="36"/>
      <c r="J6" s="36"/>
      <c r="K6" s="36"/>
      <c r="L6" s="36"/>
      <c r="M6" s="36"/>
      <c r="N6" s="36"/>
      <c r="O6" s="41">
        <v>12.0</v>
      </c>
      <c r="P6" s="36"/>
      <c r="Q6" s="36"/>
      <c r="R6" s="36" t="s">
        <v>30</v>
      </c>
      <c r="S6" s="42">
        <v>666.0</v>
      </c>
      <c r="T6" s="43"/>
      <c r="U6" s="37" t="s">
        <v>17</v>
      </c>
      <c r="V6" s="37"/>
      <c r="W6" s="37" t="s">
        <v>16</v>
      </c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36"/>
      <c r="B7" s="36" t="s">
        <v>18</v>
      </c>
      <c r="C7" s="36" t="s">
        <v>29</v>
      </c>
      <c r="D7" s="40"/>
      <c r="E7" s="36"/>
      <c r="F7" s="36"/>
      <c r="G7" s="36"/>
      <c r="H7" s="41">
        <v>12.0</v>
      </c>
      <c r="I7" s="36"/>
      <c r="J7" s="37"/>
      <c r="K7" s="36"/>
      <c r="L7" s="36"/>
      <c r="M7" s="37"/>
      <c r="N7" s="37"/>
      <c r="O7" s="44">
        <v>14.0</v>
      </c>
      <c r="P7" s="37"/>
      <c r="Q7" s="36"/>
      <c r="R7" s="36" t="s">
        <v>30</v>
      </c>
      <c r="S7" s="43">
        <v>667.0</v>
      </c>
      <c r="T7" s="43"/>
      <c r="U7" s="37" t="s">
        <v>17</v>
      </c>
      <c r="V7" s="37"/>
      <c r="W7" s="37" t="s">
        <v>16</v>
      </c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7"/>
      <c r="AR7" s="37"/>
      <c r="AS7" s="37"/>
      <c r="AT7" s="37"/>
      <c r="AU7" s="37"/>
      <c r="AV7" s="37"/>
      <c r="AW7" s="37"/>
      <c r="AX7" s="37"/>
      <c r="AY7" s="37"/>
      <c r="AZ7" s="37"/>
      <c r="BA7" s="37"/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  <c r="BO7" s="37"/>
      <c r="BP7" s="37"/>
      <c r="BQ7" s="37"/>
      <c r="BR7" s="37"/>
      <c r="BS7" s="37"/>
      <c r="BT7" s="37"/>
      <c r="BU7" s="37"/>
      <c r="BV7" s="37"/>
      <c r="BW7" s="37"/>
      <c r="BX7" s="37"/>
      <c r="BY7" s="37"/>
      <c r="BZ7" s="37"/>
      <c r="CA7" s="37"/>
      <c r="CB7" s="37"/>
      <c r="CC7" s="37"/>
      <c r="CD7" s="37"/>
      <c r="CE7" s="37"/>
      <c r="CF7" s="37"/>
      <c r="CG7" s="37"/>
      <c r="CH7" s="37"/>
      <c r="CI7" s="37"/>
      <c r="CJ7" s="37"/>
      <c r="CK7" s="37"/>
      <c r="CL7" s="37"/>
      <c r="CM7" s="37"/>
      <c r="CN7" s="37"/>
      <c r="CO7" s="37"/>
      <c r="CP7" s="37"/>
      <c r="CQ7" s="37"/>
      <c r="CR7" s="37"/>
      <c r="CS7" s="37"/>
      <c r="CT7" s="37"/>
      <c r="CU7" s="37"/>
      <c r="CV7" s="37"/>
      <c r="CW7" s="37"/>
      <c r="CX7" s="37"/>
      <c r="CY7" s="37"/>
      <c r="CZ7" s="37"/>
      <c r="DA7" s="37"/>
      <c r="DB7" s="37"/>
      <c r="DC7" s="37"/>
      <c r="DD7" s="37"/>
      <c r="DE7" s="37"/>
      <c r="DF7" s="37"/>
      <c r="DG7" s="37"/>
      <c r="DH7" s="37"/>
      <c r="DI7" s="37"/>
      <c r="DJ7" s="37"/>
      <c r="DK7" s="37"/>
      <c r="DL7" s="37"/>
      <c r="DM7" s="37"/>
      <c r="DN7" s="37"/>
      <c r="DO7" s="37"/>
      <c r="DP7" s="37"/>
      <c r="DQ7" s="37"/>
      <c r="DR7" s="37"/>
      <c r="DS7" s="37"/>
      <c r="DT7" s="37"/>
      <c r="DU7" s="37"/>
      <c r="DV7" s="37"/>
      <c r="DW7" s="37"/>
      <c r="DX7" s="37"/>
      <c r="DY7" s="37"/>
      <c r="DZ7" s="37"/>
      <c r="EA7" s="37"/>
      <c r="EB7" s="37"/>
      <c r="EC7" s="37"/>
      <c r="ED7" s="37"/>
      <c r="EE7" s="37"/>
      <c r="EF7" s="37"/>
      <c r="EG7" s="37"/>
      <c r="EH7" s="37"/>
      <c r="EI7" s="37"/>
      <c r="EJ7" s="37"/>
      <c r="EK7" s="37"/>
      <c r="EL7" s="37"/>
      <c r="EM7" s="37"/>
      <c r="EN7" s="37"/>
      <c r="EO7" s="37"/>
      <c r="EP7" s="37"/>
      <c r="EQ7" s="37"/>
      <c r="ER7" s="37"/>
      <c r="ES7" s="37"/>
      <c r="ET7" s="37"/>
      <c r="EU7" s="37"/>
      <c r="EV7" s="37"/>
      <c r="EW7" s="37"/>
      <c r="EX7" s="37"/>
    </row>
    <row r="8" ht="15.75" customHeight="1">
      <c r="A8" s="36"/>
      <c r="B8" s="36" t="s">
        <v>18</v>
      </c>
      <c r="C8" s="36" t="s">
        <v>29</v>
      </c>
      <c r="D8" s="40"/>
      <c r="E8" s="36"/>
      <c r="F8" s="36"/>
      <c r="G8" s="36"/>
      <c r="H8" s="41">
        <v>12.0</v>
      </c>
      <c r="I8" s="36"/>
      <c r="J8" s="37"/>
      <c r="K8" s="36"/>
      <c r="L8" s="36"/>
      <c r="M8" s="37"/>
      <c r="N8" s="37"/>
      <c r="O8" s="44">
        <v>19.0</v>
      </c>
      <c r="P8" s="37"/>
      <c r="Q8" s="36"/>
      <c r="R8" s="36" t="s">
        <v>30</v>
      </c>
      <c r="S8" s="43">
        <v>667.0</v>
      </c>
      <c r="T8" s="43"/>
      <c r="U8" s="37" t="s">
        <v>17</v>
      </c>
      <c r="V8" s="37"/>
      <c r="W8" s="37" t="s">
        <v>16</v>
      </c>
      <c r="X8" s="37"/>
      <c r="Y8" s="37"/>
      <c r="Z8" s="37"/>
      <c r="AA8" s="37"/>
      <c r="AB8" s="37"/>
      <c r="AC8" s="37"/>
      <c r="AD8" s="37"/>
      <c r="AE8" s="37"/>
      <c r="AF8" s="37"/>
      <c r="AG8" s="37"/>
      <c r="AH8" s="37"/>
      <c r="AI8" s="37"/>
      <c r="AJ8" s="37"/>
      <c r="AK8" s="37"/>
      <c r="AL8" s="37"/>
      <c r="AM8" s="37"/>
      <c r="AN8" s="37"/>
      <c r="AO8" s="37"/>
      <c r="AP8" s="37"/>
      <c r="AQ8" s="37"/>
      <c r="AR8" s="37"/>
      <c r="AS8" s="37"/>
      <c r="AT8" s="37"/>
      <c r="AU8" s="37"/>
      <c r="AV8" s="37"/>
      <c r="AW8" s="37"/>
      <c r="AX8" s="37"/>
      <c r="AY8" s="37"/>
      <c r="AZ8" s="37"/>
      <c r="BA8" s="37"/>
      <c r="BB8" s="37"/>
      <c r="BC8" s="37"/>
      <c r="BD8" s="37"/>
      <c r="BE8" s="37"/>
      <c r="BF8" s="37"/>
      <c r="BG8" s="37"/>
      <c r="BH8" s="37"/>
      <c r="BI8" s="37"/>
      <c r="BJ8" s="37"/>
      <c r="BK8" s="37"/>
      <c r="BL8" s="37"/>
      <c r="BM8" s="37"/>
      <c r="BN8" s="37"/>
      <c r="BO8" s="37"/>
      <c r="BP8" s="37"/>
      <c r="BQ8" s="37"/>
      <c r="BR8" s="37"/>
      <c r="BS8" s="37"/>
      <c r="BT8" s="37"/>
      <c r="BU8" s="37"/>
      <c r="BV8" s="37"/>
      <c r="BW8" s="37"/>
      <c r="BX8" s="37"/>
      <c r="BY8" s="37"/>
      <c r="BZ8" s="37"/>
      <c r="CA8" s="37"/>
      <c r="CB8" s="37"/>
      <c r="CC8" s="37"/>
      <c r="CD8" s="37"/>
      <c r="CE8" s="37"/>
      <c r="CF8" s="37"/>
      <c r="CG8" s="37"/>
      <c r="CH8" s="37"/>
      <c r="CI8" s="37"/>
      <c r="CJ8" s="37"/>
      <c r="CK8" s="37"/>
      <c r="CL8" s="37"/>
      <c r="CM8" s="37"/>
      <c r="CN8" s="37"/>
      <c r="CO8" s="37"/>
      <c r="CP8" s="37"/>
      <c r="CQ8" s="37"/>
      <c r="CR8" s="37"/>
      <c r="CS8" s="37"/>
      <c r="CT8" s="37"/>
      <c r="CU8" s="37"/>
      <c r="CV8" s="37"/>
      <c r="CW8" s="37"/>
      <c r="CX8" s="37"/>
      <c r="CY8" s="37"/>
      <c r="CZ8" s="37"/>
      <c r="DA8" s="37"/>
      <c r="DB8" s="37"/>
      <c r="DC8" s="37"/>
      <c r="DD8" s="37"/>
      <c r="DE8" s="37"/>
      <c r="DF8" s="37"/>
      <c r="DG8" s="37"/>
      <c r="DH8" s="37"/>
      <c r="DI8" s="37"/>
      <c r="DJ8" s="37"/>
      <c r="DK8" s="37"/>
      <c r="DL8" s="37"/>
      <c r="DM8" s="37"/>
      <c r="DN8" s="37"/>
      <c r="DO8" s="37"/>
      <c r="DP8" s="37"/>
      <c r="DQ8" s="37"/>
      <c r="DR8" s="37"/>
      <c r="DS8" s="37"/>
      <c r="DT8" s="37"/>
      <c r="DU8" s="37"/>
      <c r="DV8" s="37"/>
      <c r="DW8" s="37"/>
      <c r="DX8" s="37"/>
      <c r="DY8" s="37"/>
      <c r="DZ8" s="37"/>
      <c r="EA8" s="37"/>
      <c r="EB8" s="37"/>
      <c r="EC8" s="37"/>
      <c r="ED8" s="37"/>
      <c r="EE8" s="37"/>
      <c r="EF8" s="37"/>
      <c r="EG8" s="37"/>
      <c r="EH8" s="37"/>
      <c r="EI8" s="37"/>
      <c r="EJ8" s="37"/>
      <c r="EK8" s="37"/>
      <c r="EL8" s="37"/>
      <c r="EM8" s="37"/>
      <c r="EN8" s="37"/>
      <c r="EO8" s="37"/>
      <c r="EP8" s="37"/>
      <c r="EQ8" s="37"/>
      <c r="ER8" s="37"/>
      <c r="ES8" s="37"/>
      <c r="ET8" s="37"/>
      <c r="EU8" s="37"/>
      <c r="EV8" s="37"/>
      <c r="EW8" s="37"/>
      <c r="EX8" s="37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VerifyCloseOrder!$4:$4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9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 t="str">
        <f>IFERROR(__xludf.DUMMYFUNCTION("""COMPUTED_VALUE"""),"Borrower Id")</f>
        <v>Borrower Id</v>
      </c>
      <c r="CW5" s="30" t="str">
        <f>IFERROR(__xludf.DUMMYFUNCTION("""COMPUTED_VALUE"""),"Borrow Rate(%)")</f>
        <v>Borrow Rate(%)</v>
      </c>
      <c r="CX5" s="30" t="str">
        <f>IFERROR(__xludf.DUMMYFUNCTION("""COMPUTED_VALUE"""),"Master Fund")</f>
        <v>Master Fund</v>
      </c>
      <c r="CY5" s="30" t="str">
        <f>IFERROR(__xludf.DUMMYFUNCTION("""COMPUTED_VALUE"""),"MandatoryColumn")</f>
        <v>MandatoryColumn</v>
      </c>
      <c r="CZ5" s="30" t="str">
        <f>IFERROR(__xludf.DUMMYFUNCTION("""COMPUTED_VALUE"""),"Testing Type")</f>
        <v>Testing Type</v>
      </c>
      <c r="DA5" s="30" t="str">
        <f>IFERROR(__xludf.DUMMYFUNCTION("""COMPUTED_VALUE"""),"Testing Column")</f>
        <v>Testing Column</v>
      </c>
      <c r="DB5" s="30" t="str">
        <f>IFERROR(__xludf.DUMMYFUNCTION("""COMPUTED_VALUE"""),"Testing Col Value")</f>
        <v>Testing Col Value</v>
      </c>
      <c r="DC5" s="30" t="str">
        <f>IFERROR(__xludf.DUMMYFUNCTION("""COMPUTED_VALUE"""),"DuplicateRow")</f>
        <v>DuplicateRow</v>
      </c>
      <c r="DD5" s="30" t="str">
        <f>IFERROR(__xludf.DUMMYFUNCTION("""COMPUTED_VALUE"""),"DuplicateCountOnUI")</f>
        <v>DuplicateCountOnUI</v>
      </c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</row>
    <row r="6" ht="15.75" customHeight="1">
      <c r="A6" s="13"/>
      <c r="B6" s="13" t="s">
        <v>18</v>
      </c>
      <c r="C6" s="8"/>
      <c r="D6" s="13"/>
      <c r="E6" s="13">
        <v>5000.0</v>
      </c>
      <c r="F6" s="8"/>
      <c r="G6" s="8"/>
      <c r="H6" s="8"/>
      <c r="I6" s="8"/>
      <c r="J6" s="8"/>
      <c r="K6" s="8"/>
      <c r="L6" s="8"/>
      <c r="M6" s="8"/>
      <c r="N6" s="8"/>
      <c r="O6" s="8"/>
      <c r="S6" s="9" t="s">
        <v>32</v>
      </c>
      <c r="AE6" s="9">
        <v>5000.0</v>
      </c>
      <c r="BJ6" s="9">
        <v>5000.0</v>
      </c>
      <c r="BO6" s="9" t="s">
        <v>17</v>
      </c>
      <c r="BT6" s="37" t="s">
        <v>16</v>
      </c>
    </row>
    <row r="7" ht="15.75" customHeight="1">
      <c r="A7" s="8"/>
      <c r="B7" s="13" t="s">
        <v>18</v>
      </c>
      <c r="C7" s="8"/>
      <c r="D7" s="8"/>
      <c r="E7" s="13">
        <v>10000.0</v>
      </c>
      <c r="F7" s="8"/>
      <c r="G7" s="8"/>
      <c r="H7" s="8"/>
      <c r="I7" s="8"/>
      <c r="J7" s="8"/>
      <c r="K7" s="8"/>
      <c r="L7" s="8"/>
      <c r="M7" s="8"/>
      <c r="N7" s="8"/>
      <c r="O7" s="8"/>
      <c r="S7" s="9" t="s">
        <v>32</v>
      </c>
      <c r="AE7" s="9">
        <v>10000.0</v>
      </c>
      <c r="BJ7" s="9">
        <v>10000.0</v>
      </c>
      <c r="BO7" s="9" t="s">
        <v>17</v>
      </c>
      <c r="BT7" s="37" t="s">
        <v>16</v>
      </c>
    </row>
    <row r="8" ht="15.75" customHeight="1">
      <c r="A8" s="8"/>
      <c r="B8" s="13" t="s">
        <v>18</v>
      </c>
      <c r="C8" s="8"/>
      <c r="D8" s="8"/>
      <c r="E8" s="13">
        <v>4000.0</v>
      </c>
      <c r="F8" s="8"/>
      <c r="G8" s="8"/>
      <c r="H8" s="8"/>
      <c r="I8" s="8"/>
      <c r="J8" s="8"/>
      <c r="K8" s="8"/>
      <c r="L8" s="8"/>
      <c r="M8" s="8"/>
      <c r="N8" s="8"/>
      <c r="O8" s="8"/>
      <c r="S8" s="9" t="s">
        <v>32</v>
      </c>
      <c r="AE8" s="9">
        <v>4000.0</v>
      </c>
      <c r="BJ8" s="9">
        <v>4000.0</v>
      </c>
      <c r="BO8" s="9" t="s">
        <v>17</v>
      </c>
      <c r="BT8" s="37" t="s">
        <v>16</v>
      </c>
    </row>
    <row r="9" ht="15.75" customHeight="1">
      <c r="A9" s="8"/>
      <c r="B9" s="13" t="s">
        <v>18</v>
      </c>
      <c r="C9" s="8"/>
      <c r="D9" s="8"/>
      <c r="E9" s="13">
        <v>2000.0</v>
      </c>
      <c r="F9" s="8"/>
      <c r="G9" s="8"/>
      <c r="H9" s="8"/>
      <c r="I9" s="8"/>
      <c r="J9" s="8"/>
      <c r="K9" s="8"/>
      <c r="L9" s="8"/>
      <c r="M9" s="8"/>
      <c r="N9" s="8"/>
      <c r="O9" s="8"/>
      <c r="S9" s="9" t="s">
        <v>33</v>
      </c>
      <c r="AE9" s="9">
        <v>2000.0</v>
      </c>
      <c r="BJ9" s="9">
        <v>2000.0</v>
      </c>
      <c r="BO9" s="9" t="s">
        <v>19</v>
      </c>
      <c r="BT9" s="37" t="s">
        <v>16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