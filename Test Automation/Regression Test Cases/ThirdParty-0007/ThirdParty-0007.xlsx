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ThirdPartyGenerate" sheetId="5" r:id="rId7"/>
    <sheet state="visible" name="VerifyThirdPartyGenerate" sheetId="6" r:id="rId8"/>
    <sheet state="visible" name="GetDataAllocation" sheetId="7" r:id="rId9"/>
    <sheet state="visible" name="Unallocate" sheetId="8" r:id="rId10"/>
    <sheet state="visible" name="ViewThirdParty" sheetId="9" r:id="rId11"/>
    <sheet state="visible" name="VerifyThirdPartyView" sheetId="10" r:id="rId12"/>
    <sheet state="visible" name="SelectUnallocatedGroup" sheetId="11" r:id="rId13"/>
    <sheet state="visible" name="EnterAccountValuesToAllocate" sheetId="12" r:id="rId14"/>
    <sheet state="visible" name="ViewThirdParty1" sheetId="13" r:id="rId15"/>
    <sheet state="visible" name="VerifyThirdPartyView1" sheetId="14" r:id="rId16"/>
  </sheets>
  <definedNames/>
  <calcPr/>
</workbook>
</file>

<file path=xl/sharedStrings.xml><?xml version="1.0" encoding="utf-8"?>
<sst xmlns="http://schemas.openxmlformats.org/spreadsheetml/2006/main" count="144" uniqueCount="40">
  <si>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</si>
  <si>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</si>
  <si>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</si>
  <si>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</si>
  <si>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</si>
  <si>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</si>
  <si>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</si>
  <si>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</si>
  <si>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</si>
  <si>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</si>
  <si>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</si>
  <si>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</si>
  <si>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</si>
  <si>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</si>
  <si>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</si>
  <si>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</si>
  <si>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</si>
  <si>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</si>
  <si>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</si>
  <si>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</si>
  <si>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AAPL</t>
  </si>
  <si>
    <t>ThirdParty</t>
  </si>
  <si>
    <t>ThirdPartyGenerate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</si>
  <si>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</si>
  <si>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</si>
  <si>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</si>
  <si>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</si>
  <si>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</si>
  <si>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</si>
  <si>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</si>
  <si>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VerifyThirdPartyGenerate</t>
  </si>
  <si>
    <t>Allocated</t>
  </si>
  <si>
    <t>Allocation</t>
  </si>
  <si>
    <t>GetDataAllocation</t>
  </si>
  <si>
    <t>Current</t>
  </si>
  <si>
    <t>Unallocate</t>
  </si>
  <si>
    <t>ViewThirdParty</t>
  </si>
  <si>
    <t>VerifyThirdPartyView</t>
  </si>
  <si>
    <t>SelectUnallocatedGroup</t>
  </si>
  <si>
    <t>EnterAccountValuesToAllocate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</si>
</sst>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5" fillId="4" fontId="14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IFERROR(__xludf.DUMMYFUNCTION("""COMPUTED_VALUE"""),"ToggleBlombergOnRA")</f>
        <v>ToggleBlombergOnRA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IFERROR(__xludf.DUMMYFUNCTION("""COMPUTED_VALUE"""),"GetExecutionReportOrders")</f>
        <v>GetExecutionReportOrders</v>
      </c>
      <c r="C495" t="str">
        <f>IFERROR(__xludf.DUMMYFUNCTION("""COMPUTED_VALUE"""),"1hQPEUlOvv9Vi1KsbHsN6z0TIt4-v9Ckko9Z170M5bto")</f>
        <v>1hQPEUlOvv9Vi1KsbHsN6z0TIt4-v9Ckko9Z170M5bto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IFERROR(__xludf.DUMMYFUNCTION("""COMPUTED_VALUE"""),"VerifyExecutionReport")</f>
        <v>VerifyExecutionReport</v>
      </c>
      <c r="C496" t="str">
        <f>IFERROR(__xludf.DUMMYFUNCTION("""COMPUTED_VALUE"""),"15sKQ6yRs5rA6j70FvZOyg9HBsLCsZF-psuPGXdEFJSg")</f>
        <v>15sKQ6yRs5rA6j70FvZOyg9HBsLCsZF-psuPGXdEFJSg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IFERROR(__xludf.DUMMYFUNCTION("""COMPUTED_VALUE"""),"EnableDisableModule")</f>
        <v>EnableDisableModule</v>
      </c>
      <c r="C497" t="str">
        <f>IFERROR(__xludf.DUMMYFUNCTION("""COMPUTED_VALUE"""),"15tD_fIpFjzJbtr_OxvY-KeLg88908v4fXmpVzi9shPk")</f>
        <v>15tD_fIpFjzJbtr_OxvY-KeLg88908v4fXmpVzi9shPk</v>
      </c>
    </row>
    <row r="498" ht="15.75" customHeight="1">
      <c r="A498" t="str">
        <f>IFERROR(__xludf.DUMMYFUNCTION("""COMPUTED_VALUE"""),"Compliance")</f>
        <v>Compliance</v>
      </c>
      <c r="B498" t="str">
        <f>IFERROR(__xludf.DUMMYFUNCTION("""COMPUTED_VALUE"""),"VerifyRowCalculationBaseWindow")</f>
        <v>VerifyRowCalculationBaseWindow</v>
      </c>
      <c r="C498" t="str">
        <f>IFERROR(__xludf.DUMMYFUNCTION("""COMPUTED_VALUE"""),"16bZAwMHOfN8bD2TadtVor3HvDM0dtF51XYU1iRUEXpQ")</f>
        <v>16bZAwMHOfN8bD2TadtVor3HvDM0dtF51XYU1iRUEXpQ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IFERROR(__xludf.DUMMYFUNCTION("""COMPUTED_VALUE"""),"IsImportOverrideOnShortLocate")</f>
        <v>IsImportOverrideOnShortLocate</v>
      </c>
      <c r="C499" t="str">
        <f>IFERROR(__xludf.DUMMYFUNCTION("""COMPUTED_VALUE"""),"1HBroiXC_lXdWfzSFEUhcmVdGFqF-7ioRbfzMIhd-D84")</f>
        <v>1HBroiXC_lXdWfzSFEUhcmVdGFqF-7ioRbfzMIhd-D84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IFERROR(__xludf.DUMMYFUNCTION("""COMPUTED_VALUE"""),"SetShortLocateStructures")</f>
        <v>SetShortLocateStructures</v>
      </c>
      <c r="C500" t="str">
        <f>IFERROR(__xludf.DUMMYFUNCTION("""COMPUTED_VALUE"""),"1GBfDhS1Qx5z0a-XwiuVZHmjNQQNldS_oLDTK5hBKigQ")</f>
        <v>1GBfDhS1Qx5z0a-XwiuVZHmjNQQNldS_oLDTK5hBKigQ</v>
      </c>
    </row>
    <row r="501" ht="15.75" customHeight="1">
      <c r="A501" t="str">
        <f>IFERROR(__xludf.DUMMYFUNCTION("""COMPUTED_VALUE"""),"ShortLocate")</f>
        <v>ShortLocate</v>
      </c>
      <c r="B501" t="str">
        <f>IFERROR(__xludf.DUMMYFUNCTION("""COMPUTED_VALUE"""),"DownloadFile")</f>
        <v>DownloadFile</v>
      </c>
      <c r="C501" t="str">
        <f>IFERROR(__xludf.DUMMYFUNCTION("""COMPUTED_VALUE"""),"1C33h6u9nbxbc0Ij8SAALe10U-bitzt_AQkClLAmfans")</f>
        <v>1C33h6u9nbxbc0Ij8SAALe10U-bitzt_AQkClLAmfans</v>
      </c>
    </row>
    <row r="502" ht="15.75" customHeight="1">
      <c r="A502" t="str">
        <f>IFERROR(__xludf.DUMMYFUNCTION("""COMPUTED_VALUE"""),"ShortLocate")</f>
        <v>ShortLocate</v>
      </c>
      <c r="B502" t="str">
        <f>IFERROR(__xludf.DUMMYFUNCTION("""COMPUTED_VALUE"""),"SearchShortLocateUI")</f>
        <v>SearchShortLocateUI</v>
      </c>
      <c r="C502" t="str">
        <f>IFERROR(__xludf.DUMMYFUNCTION("""COMPUTED_VALUE"""),"1LYgsVcCeDjfFd0czp2BHUCNhrmdgLKWUrkF_leE2jjo")</f>
        <v>1LYgsVcCeDjfFd0czp2BHUCNhrmdgLKWUrkF_leE2jjo</v>
      </c>
    </row>
    <row r="503" ht="15.75" customHeight="1">
      <c r="A503" t="str">
        <f>IFERROR(__xludf.DUMMYFUNCTION("""COMPUTED_VALUE"""),"ShortLocate")</f>
        <v>ShortLocate</v>
      </c>
      <c r="B503" t="str">
        <f>IFERROR(__xludf.DUMMYFUNCTION("""COMPUTED_VALUE"""),"SetShortLocatePreferences")</f>
        <v>SetShortLocatePreferences</v>
      </c>
      <c r="C503" t="str">
        <f>IFERROR(__xludf.DUMMYFUNCTION("""COMPUTED_VALUE"""),"1Bb8XumY_W8vYN4wPCQjnCEQbJs1H7qhZYGScbFljlsE")</f>
        <v>1Bb8XumY_W8vYN4wPCQjnCEQbJs1H7qhZYGScbFljlsE</v>
      </c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3"/>
      <c r="F6" s="33" t="s">
        <v>18</v>
      </c>
      <c r="G6" s="33" t="s">
        <v>19</v>
      </c>
      <c r="H6" s="33"/>
      <c r="I6" s="33"/>
      <c r="J6" s="35">
        <v>10.0</v>
      </c>
      <c r="K6" s="33"/>
      <c r="L6" s="33"/>
      <c r="M6" s="33"/>
      <c r="N6" s="36">
        <f t="shared" ref="N6:N7" si="1">today()</f>
        <v>44396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13" t="s">
        <v>20</v>
      </c>
      <c r="C7" s="13" t="s">
        <v>17</v>
      </c>
      <c r="D7" s="13">
        <v>150.0</v>
      </c>
      <c r="E7" s="8"/>
      <c r="F7" s="13" t="s">
        <v>18</v>
      </c>
      <c r="G7" s="13" t="s">
        <v>19</v>
      </c>
      <c r="H7" s="8"/>
      <c r="I7" s="8"/>
      <c r="J7" s="13">
        <v>20.0</v>
      </c>
      <c r="K7" s="8"/>
      <c r="L7" s="8"/>
      <c r="M7" s="8"/>
      <c r="N7" s="38">
        <f t="shared" si="1"/>
        <v>44396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23</v>
      </c>
      <c r="C6" s="33" t="s">
        <v>24</v>
      </c>
      <c r="D6" s="32" t="s">
        <v>25</v>
      </c>
      <c r="E6" s="33" t="s">
        <v>26</v>
      </c>
      <c r="F6" s="33" t="s">
        <v>27</v>
      </c>
      <c r="G6" s="33" t="s">
        <v>28</v>
      </c>
      <c r="H6" s="33" t="s">
        <v>29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ThirdPartyGenerate!$4:$4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16</v>
      </c>
      <c r="D6" s="32" t="s">
        <v>17</v>
      </c>
      <c r="E6" s="35">
        <v>10.0</v>
      </c>
      <c r="F6" s="39">
        <f t="shared" ref="F6:F7" si="1">today()</f>
        <v>44396</v>
      </c>
      <c r="G6" s="35">
        <v>100.0</v>
      </c>
      <c r="H6" s="33" t="s">
        <v>31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13" t="s">
        <v>18</v>
      </c>
      <c r="C7" s="13" t="s">
        <v>20</v>
      </c>
      <c r="D7" s="13" t="s">
        <v>17</v>
      </c>
      <c r="E7" s="13">
        <v>20.0</v>
      </c>
      <c r="F7" s="38">
        <f t="shared" si="1"/>
        <v>44396</v>
      </c>
      <c r="G7" s="13">
        <v>150.0</v>
      </c>
      <c r="H7" s="13" t="s">
        <v>31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VerifyThirdPartyGenerate!$4:$4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 Base)")</f>
        <v>Avg Price( 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13" t="s">
        <v>18</v>
      </c>
      <c r="F6" s="13" t="s">
        <v>17</v>
      </c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23</v>
      </c>
      <c r="C6" s="33" t="s">
        <v>24</v>
      </c>
      <c r="D6" s="32" t="s">
        <v>25</v>
      </c>
      <c r="E6" s="33" t="s">
        <v>26</v>
      </c>
      <c r="F6" s="33" t="s">
        <v>27</v>
      </c>
      <c r="G6" s="33" t="s">
        <v>28</v>
      </c>
      <c r="H6" s="33" t="s">
        <v>29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ViewThirdParty!$4:$4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41" t="s">
        <v>20</v>
      </c>
      <c r="D6" s="32" t="s">
        <v>17</v>
      </c>
      <c r="E6" s="42">
        <v>20.0</v>
      </c>
      <c r="F6" s="43">
        <f>today()</f>
        <v>44396</v>
      </c>
      <c r="G6" s="42">
        <v>150.0</v>
      </c>
      <c r="H6" s="41" t="s">
        <v>31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VerifyThirdPartyView!$4:$4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40"/>
      <c r="F6" s="8"/>
      <c r="G6" s="8"/>
      <c r="H6" s="8"/>
      <c r="I6" s="8"/>
      <c r="J6" s="8"/>
      <c r="K6" s="8"/>
      <c r="L6" s="8"/>
      <c r="M6" s="8"/>
      <c r="N6" s="8"/>
      <c r="O6" s="13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23</v>
      </c>
      <c r="C6" s="33" t="s">
        <v>24</v>
      </c>
      <c r="D6" s="32" t="s">
        <v>25</v>
      </c>
      <c r="E6" s="33" t="s">
        <v>26</v>
      </c>
      <c r="F6" s="33" t="s">
        <v>27</v>
      </c>
      <c r="G6" s="33" t="s">
        <v>28</v>
      </c>
      <c r="H6" s="33" t="s">
        <v>29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ViewThirdParty1!$4:$4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41" t="s">
        <v>16</v>
      </c>
      <c r="D6" s="32" t="s">
        <v>17</v>
      </c>
      <c r="E6" s="44">
        <v>10.0</v>
      </c>
      <c r="F6" s="43">
        <f t="shared" ref="F6:F7" si="1">today()</f>
        <v>44396</v>
      </c>
      <c r="G6" s="44">
        <v>100.0</v>
      </c>
      <c r="H6" s="41" t="s">
        <v>31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32" t="s">
        <v>18</v>
      </c>
      <c r="C7" s="41" t="s">
        <v>20</v>
      </c>
      <c r="D7" s="32" t="s">
        <v>17</v>
      </c>
      <c r="E7" s="42">
        <v>20.0</v>
      </c>
      <c r="F7" s="43">
        <f t="shared" si="1"/>
        <v>44396</v>
      </c>
      <c r="G7" s="42">
        <v>150.0</v>
      </c>
      <c r="H7" s="41" t="s">
        <v>31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VerifyThirdPartyView1!$4:$4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