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ata" sheetId="1" r:id="rId3"/>
    <sheet state="visible" name="_Modules" sheetId="2" r:id="rId4"/>
    <sheet state="visible" name="_Settings" sheetId="3" r:id="rId5"/>
    <sheet state="visible" name="_MasterData" sheetId="4" r:id="rId6"/>
    <sheet state="visible" name="CreateDoneAwayOrder" sheetId="5" r:id="rId7"/>
    <sheet state="visible" name="GetNonTradingTransaction" sheetId="6" r:id="rId8"/>
    <sheet state="visible" name="AddNonTradingTransaction" sheetId="7" r:id="rId9"/>
    <sheet state="visible" name="AddNonTradingTransaction1" sheetId="8" r:id="rId10"/>
    <sheet state="visible" name="AddNonTradingTransaction2" sheetId="9" r:id="rId11"/>
    <sheet state="visible" name="UpdateForexConversionMonthly" sheetId="10" r:id="rId12"/>
    <sheet state="visible" name="VerifyNonTradingTransaction" sheetId="11" r:id="rId13"/>
    <sheet state="visible" name="GetForexConversion" sheetId="12" r:id="rId14"/>
    <sheet state="visible" name="GetMarkPriceData" sheetId="13" r:id="rId15"/>
    <sheet state="visible" name="UpdateMarkPriceMonthly" sheetId="14" r:id="rId16"/>
    <sheet state="visible" name="GetDataAllocation" sheetId="15" r:id="rId17"/>
    <sheet state="visible" name="SetGeneralPreferences" sheetId="16" r:id="rId18"/>
    <sheet state="visible" name="EnterAllocatePreference" sheetId="17" r:id="rId19"/>
    <sheet state="visible" name="SelectUnallocatedGroup" sheetId="18" r:id="rId20"/>
    <sheet state="visible" name="GetDataClosing" sheetId="19" r:id="rId21"/>
    <sheet state="visible" name="EnterAccountValuesToAllocate" sheetId="20" r:id="rId22"/>
    <sheet state="visible" name="SelectAllocatedGroup2" sheetId="21" r:id="rId23"/>
    <sheet state="visible" name="CommissionBulkChangeOnGroups" sheetId="22" r:id="rId24"/>
    <sheet state="visible" name="AutomaticClosing" sheetId="23" r:id="rId25"/>
    <sheet state="visible" name="GetActivityData" sheetId="24" r:id="rId26"/>
    <sheet state="visible" name="VerifyActivity" sheetId="25" r:id="rId27"/>
    <sheet state="visible" name="GetTradingTransaction" sheetId="26" r:id="rId28"/>
    <sheet state="visible" name="VerifyTradingTransaction" sheetId="27" r:id="rId29"/>
    <sheet state="visible" name="GetDailyCalculationsData" sheetId="28" r:id="rId30"/>
    <sheet state="visible" name="VerifyDayEndCash" sheetId="29" r:id="rId31"/>
    <sheet state="visible" name="VerifyDailyCalTransactions" sheetId="30" r:id="rId32"/>
    <sheet state="visible" name="GetDayEndCash" sheetId="31" r:id="rId33"/>
    <sheet state="visible" name="GetDailyCash" sheetId="32" r:id="rId34"/>
    <sheet state="visible" name="GetAccountBalance" sheetId="33" r:id="rId35"/>
    <sheet state="visible" name="_VerifyAccountBalances" sheetId="34" r:id="rId36"/>
    <sheet state="visible" name="VerifyActivity1" sheetId="35" r:id="rId37"/>
    <sheet state="visible" name="VerifyTradingTransaction1" sheetId="36" r:id="rId38"/>
    <sheet state="visible" name="GetRevaluationData" sheetId="37" r:id="rId39"/>
    <sheet state="visible" name="VerifyRevaluationData" sheetId="38" r:id="rId40"/>
  </sheets>
  <definedNames>
    <definedName hidden="1" localSheetId="34" name="Z_8C967F92_8139_4370_83DA_AC59E488A3DC_.wvu.FilterData">VerifyActivity1!$B$1:$BD$95</definedName>
    <definedName hidden="1" localSheetId="34" name="Z_A055CC05_AAD3_4886_B0A8_AFDBDCA4213D_.wvu.FilterData">VerifyActivity1!$A$1:$H$1</definedName>
  </definedNames>
  <calcPr/>
  <customWorkbookViews>
    <customWorkbookView activeSheetId="0" maximized="1" windowHeight="0" windowWidth="0" guid="{8C967F92-8139-4370-83DA-AC59E488A3DC}" name="Filter 2"/>
    <customWorkbookView activeSheetId="0" maximized="1" windowHeight="0" windowWidth="0" guid="{A055CC05-AAD3-4886-B0A8-AFDBDCA4213D}" name="Filter 1"/>
  </customWorkbookViews>
</workbook>
</file>

<file path=xl/sharedStrings.xml><?xml version="1.0" encoding="utf-8"?>
<sst xmlns="http://schemas.openxmlformats.org/spreadsheetml/2006/main" count="3181" uniqueCount="189">
  <si>
    <t>Data</t>
  </si>
  <si>
    <t>Module</t>
  </si>
  <si>
    <t>GeneralLedger</t>
  </si>
  <si>
    <t>Step</t>
  </si>
  <si>
    <t>GetDividendData</t>
  </si>
  <si>
    <t>Data Format</t>
  </si>
  <si>
    <t>Input Format</t>
  </si>
  <si>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</si>
  <si>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</si>
  <si>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</si>
  <si>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</si>
  <si>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</si>
  <si>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</si>
  <si>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</si>
  <si>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</si>
  <si>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Master Data Sheet</t>
  </si>
  <si>
    <t>TradingTicket</t>
  </si>
  <si>
    <t>CreateDoneAwayOrder</t>
  </si>
  <si>
    <t>AZN-LON</t>
  </si>
  <si>
    <t>Sell short</t>
  </si>
  <si>
    <t>Unallocated</t>
  </si>
  <si>
    <t>GS</t>
  </si>
  <si>
    <t>Market</t>
  </si>
  <si>
    <t>Flat Amount</t>
  </si>
  <si>
    <t>NASDAQ</t>
  </si>
  <si>
    <t>GBP</t>
  </si>
  <si>
    <t>EF828225</t>
  </si>
  <si>
    <t>Buy</t>
  </si>
  <si>
    <t>Auto</t>
  </si>
  <si>
    <t>AUD</t>
  </si>
  <si>
    <t>BAX1D G18-1C</t>
  </si>
  <si>
    <t>CAD</t>
  </si>
  <si>
    <t>Buy to Close</t>
  </si>
  <si>
    <t>Sell</t>
  </si>
  <si>
    <t>GetNonTradingTransaction</t>
  </si>
  <si>
    <t>LP C/O</t>
  </si>
  <si>
    <t>AddNonTradingTransaction</t>
  </si>
  <si>
    <t>Cash [Cash]</t>
  </si>
  <si>
    <t>DR</t>
  </si>
  <si>
    <t>M</t>
  </si>
  <si>
    <t>USD</t>
  </si>
  <si>
    <t>CR</t>
  </si>
  <si>
    <t>DailyValuation</t>
  </si>
  <si>
    <t>UpdateForexConversionMonthly</t>
  </si>
  <si>
    <t>AUD A0-FX</t>
  </si>
  <si>
    <t>CAD A0-FX</t>
  </si>
  <si>
    <t>GBP A0-FX</t>
  </si>
  <si>
    <t>VerifyNonTradingTransaction</t>
  </si>
  <si>
    <t>Manual Journal Entry</t>
  </si>
  <si>
    <t>GetForexConversion</t>
  </si>
  <si>
    <t>GetMarkPriceData</t>
  </si>
  <si>
    <t>UpdateMarkPriceMonthly</t>
  </si>
  <si>
    <t>Allocation</t>
  </si>
  <si>
    <t>GetDataAllocation</t>
  </si>
  <si>
    <t>Historical</t>
  </si>
  <si>
    <t>SetGeneralPreferences</t>
  </si>
  <si>
    <t>EnterAllocatePreference</t>
  </si>
  <si>
    <t>SelectUnallocatedGroup</t>
  </si>
  <si>
    <t>Closing</t>
  </si>
  <si>
    <t>GetDataClosing</t>
  </si>
  <si>
    <t>EnterAccountValuesToAllocate</t>
  </si>
  <si>
    <t>SelectAllocatedGroup</t>
  </si>
  <si>
    <t>CommissionBulkChangeOnGroups</t>
  </si>
  <si>
    <t>Specify</t>
  </si>
  <si>
    <t>Shares</t>
  </si>
  <si>
    <t>Notional</t>
  </si>
  <si>
    <t>FlatAmount</t>
  </si>
  <si>
    <t>AutomaticClosing</t>
  </si>
  <si>
    <t>FIFO</t>
  </si>
  <si>
    <t>None</t>
  </si>
  <si>
    <t>Default</t>
  </si>
  <si>
    <t>GetActivityData</t>
  </si>
  <si>
    <t>Yes</t>
  </si>
  <si>
    <t>VerifyActivity</t>
  </si>
  <si>
    <t>NonTrading</t>
  </si>
  <si>
    <t>UnknownActivity</t>
  </si>
  <si>
    <t>Cash</t>
  </si>
  <si>
    <t>Trading</t>
  </si>
  <si>
    <t>BondL</t>
  </si>
  <si>
    <t>Bond_Trading_Interest</t>
  </si>
  <si>
    <t>FutureL</t>
  </si>
  <si>
    <t>D</t>
  </si>
  <si>
    <t>EquityS</t>
  </si>
  <si>
    <t>Bond_Interest_Received</t>
  </si>
  <si>
    <t>GetTradingTransaction</t>
  </si>
  <si>
    <t>VerifyTradingTransaction</t>
  </si>
  <si>
    <t>Investment - Long Future [Asset]</t>
  </si>
  <si>
    <t>Investment - Short Equity [Liability]</t>
  </si>
  <si>
    <t>Investment - Long Bond [Asset]</t>
  </si>
  <si>
    <t>Interest - Payable [Liability]</t>
  </si>
  <si>
    <t>Interest - Receivable [Asset]</t>
  </si>
  <si>
    <t>GetDailyCalculationsData</t>
  </si>
  <si>
    <t>NewMF1</t>
  </si>
  <si>
    <t>VerifyDayEndCash</t>
  </si>
  <si>
    <t>VerifyDailyCalTransactions</t>
  </si>
  <si>
    <t>Bond_Interest_Receivable</t>
  </si>
  <si>
    <t>DailyCalculation</t>
  </si>
  <si>
    <t>M2MProfit</t>
  </si>
  <si>
    <t>M2MLoss</t>
  </si>
  <si>
    <t>GetDayEndCash</t>
  </si>
  <si>
    <t>GetDailyCash</t>
  </si>
  <si>
    <t>GetAccountBalance</t>
  </si>
  <si>
    <t>VerifyAccountBalances</t>
  </si>
  <si>
    <t>Account</t>
  </si>
  <si>
    <t>A/c</t>
  </si>
  <si>
    <t>Master A/c</t>
  </si>
  <si>
    <t>A/c Type</t>
  </si>
  <si>
    <t>Currency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</si>
  <si>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</si>
  <si>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</si>
  <si>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</si>
  <si>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</si>
  <si>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</si>
  <si>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</si>
  <si>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</si>
  <si>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</si>
  <si>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</si>
  <si>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</si>
  <si>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</si>
  <si>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</si>
  <si>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</si>
  <si>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Base (Dr)</t>
  </si>
  <si>
    <t>Day Balance Base (Cr)</t>
  </si>
  <si>
    <t>Interest - Receivable</t>
  </si>
  <si>
    <t>Asset</t>
  </si>
  <si>
    <t>Accrued Balance</t>
  </si>
  <si>
    <t>ShortTermAsset</t>
  </si>
  <si>
    <t>Interest - Payable</t>
  </si>
  <si>
    <t>Liability</t>
  </si>
  <si>
    <t>ShortTermLiability</t>
  </si>
  <si>
    <t>Investment - Short Equity</t>
  </si>
  <si>
    <t>Trade Transaction</t>
  </si>
  <si>
    <t>Investment - Long Future</t>
  </si>
  <si>
    <t>Investment - Long Bond</t>
  </si>
  <si>
    <t>LongTermAsset</t>
  </si>
  <si>
    <t>Interest - Income</t>
  </si>
  <si>
    <t>Income</t>
  </si>
  <si>
    <t>Equity Realized Profit And Loss</t>
  </si>
  <si>
    <t>Profit And Loss</t>
  </si>
  <si>
    <t>Bond Realized Profit And Loss</t>
  </si>
  <si>
    <t>M2M - Income</t>
  </si>
  <si>
    <t>Misc Income</t>
  </si>
  <si>
    <t>M2M - Expense</t>
  </si>
  <si>
    <t>Expenses</t>
  </si>
  <si>
    <t>Misc Expense</t>
  </si>
  <si>
    <t>Equity Short Revaluation</t>
  </si>
  <si>
    <t>Asset Revaluation</t>
  </si>
  <si>
    <t>Cash UnRealized Profit And Loss</t>
  </si>
  <si>
    <t>Gross Trading Profit And Loss</t>
  </si>
  <si>
    <t>Accruals UnRealized Profit And Loss</t>
  </si>
  <si>
    <t>Equity UnRealized Profit And Loss</t>
  </si>
  <si>
    <t>Bond UnRealized Profit And Loss</t>
  </si>
  <si>
    <t>Bond Long Revaluation</t>
  </si>
  <si>
    <t>M2M - Margin</t>
  </si>
  <si>
    <t>Revaluation</t>
  </si>
  <si>
    <t>EquityShortUnRealizedPNL</t>
  </si>
  <si>
    <t>BondLongUnRealizedPNL</t>
  </si>
  <si>
    <t>UnRealized PNL Entry</t>
  </si>
  <si>
    <t>CashUnRealizedPNL</t>
  </si>
  <si>
    <t>Accrual</t>
  </si>
  <si>
    <t>Daily Calculation</t>
  </si>
  <si>
    <t>AccrualsRevaluation</t>
  </si>
  <si>
    <t>Contra Accrual DayEnd FXRate PNL Entry</t>
  </si>
  <si>
    <t>Accrual to Unrealized DayEnd FXRate PNL Entry</t>
  </si>
  <si>
    <t>EquityShortRealizedPNL</t>
  </si>
  <si>
    <t>Contra UnRealized PNL Entry</t>
  </si>
  <si>
    <t>Accruals PNL Entry</t>
  </si>
  <si>
    <t>Contra Accruals PNL Entry</t>
  </si>
  <si>
    <t>BondLongRealizedPNL</t>
  </si>
  <si>
    <t>Realized PNL Entry</t>
  </si>
  <si>
    <t>M2M - Margin [Cash]</t>
  </si>
  <si>
    <t>M2M - Income [Income]</t>
  </si>
  <si>
    <t>M2M - Expense [Expenses]</t>
  </si>
  <si>
    <t>Interest - Income [Income]</t>
  </si>
  <si>
    <t>GetRevaluationData</t>
  </si>
  <si>
    <t>VerifyRevaluationData</t>
  </si>
  <si>
    <t>Equity Realized Profit And Loss [Income]</t>
  </si>
  <si>
    <t>Equity Short Revaluation [Asset]</t>
  </si>
  <si>
    <t>Equity UnRealized Profit And Loss [Income]</t>
  </si>
  <si>
    <t>Bond Long Revaluation [Asset]</t>
  </si>
  <si>
    <t>Bond UnRealized Profit And Loss [Income]</t>
  </si>
  <si>
    <t>Bond Realized Profit And Loss [Income]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</si>
  <si>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</si>
  <si>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</si>
  <si>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</si>
  <si>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</si>
  <si>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</si>
  <si>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</si>
  <si>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Accruals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</si>
</sst>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"/>
    <numFmt numFmtId="167" formatCode="m/d/yyyy h:mm:ss am/p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sz val="11.0"/>
      <color rgb="FFFFFFFF"/>
      <name val="Inconsolata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  <font>
      <sz val="14.0"/>
      <color rgb="FFFFFFFF"/>
      <name val="Calibri"/>
    </font>
    <font>
      <color rgb="FF000000"/>
      <name val="Calibri"/>
    </font>
    <font>
      <b/>
      <color rgb="FFFFFFFF"/>
      <name val="Arial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</border>
    <border>
      <top/>
    </border>
    <border>
      <top style="thin">
        <color rgb="FF000000"/>
      </top>
    </border>
    <border>
      <right/>
      <top/>
    </border>
    <border>
      <right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3" fontId="4" numFmtId="0" xfId="0" applyFill="1" applyFont="1"/>
    <xf borderId="0" fillId="0" fontId="5" numFmtId="0" xfId="0" applyAlignment="1" applyFont="1">
      <alignment shrinkToFit="0" wrapText="0"/>
    </xf>
    <xf borderId="0" fillId="4" fontId="6" numFmtId="0" xfId="0" applyAlignment="1" applyFill="1" applyFont="1">
      <alignment shrinkToFit="0" wrapText="0"/>
    </xf>
    <xf borderId="4" fillId="4" fontId="6" numFmtId="0" xfId="0" applyAlignment="1" applyBorder="1" applyFont="1">
      <alignment shrinkToFit="0" wrapText="0"/>
    </xf>
    <xf borderId="4" fillId="4" fontId="5" numFmtId="0" xfId="0" applyAlignment="1" applyBorder="1" applyFont="1">
      <alignment readingOrder="0" shrinkToFit="0" wrapText="0"/>
    </xf>
    <xf borderId="4" fillId="4" fontId="5" numFmtId="0" xfId="0" applyAlignment="1" applyBorder="1" applyFont="1">
      <alignment shrinkToFit="0" wrapText="0"/>
    </xf>
    <xf borderId="0" fillId="4" fontId="7" numFmtId="0" xfId="0" applyFont="1"/>
    <xf borderId="0" fillId="5" fontId="8" numFmtId="0" xfId="0" applyAlignment="1" applyFill="1" applyFont="1">
      <alignment shrinkToFit="0" wrapText="0"/>
    </xf>
    <xf borderId="0" fillId="5" fontId="9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7" numFmtId="0" xfId="0" applyFont="1"/>
    <xf borderId="0" fillId="0" fontId="10" numFmtId="0" xfId="0" applyAlignment="1" applyFont="1">
      <alignment shrinkToFit="0" wrapText="0"/>
    </xf>
    <xf borderId="4" fillId="4" fontId="10" numFmtId="0" xfId="0" applyAlignment="1" applyBorder="1" applyFont="1">
      <alignment readingOrder="0" shrinkToFit="0" wrapText="0"/>
    </xf>
    <xf borderId="4" fillId="4" fontId="10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1" fillId="2" fontId="11" numFmtId="0" xfId="0" applyAlignment="1" applyBorder="1" applyFont="1">
      <alignment horizontal="center" shrinkToFit="0" wrapText="0"/>
    </xf>
    <xf borderId="0" fillId="3" fontId="12" numFmtId="0" xfId="0" applyAlignment="1" applyFont="1">
      <alignment horizontal="left" readingOrder="0"/>
    </xf>
    <xf borderId="4" fillId="4" fontId="6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4" fillId="4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vertical="bottom"/>
    </xf>
    <xf borderId="6" fillId="4" fontId="6" numFmtId="0" xfId="0" applyAlignment="1" applyBorder="1" applyFont="1">
      <alignment shrinkToFit="0" vertical="bottom" wrapText="0"/>
    </xf>
    <xf borderId="7" fillId="4" fontId="13" numFmtId="0" xfId="0" applyAlignment="1" applyBorder="1" applyFont="1">
      <alignment shrinkToFit="0" vertical="bottom" wrapText="0"/>
    </xf>
    <xf borderId="7" fillId="4" fontId="10" numFmtId="0" xfId="0" applyAlignment="1" applyBorder="1" applyFont="1">
      <alignment vertical="bottom"/>
    </xf>
    <xf borderId="8" fillId="6" fontId="6" numFmtId="0" xfId="0" applyAlignment="1" applyBorder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vertical="bottom"/>
    </xf>
    <xf borderId="9" fillId="0" fontId="14" numFmtId="0" xfId="0" applyAlignment="1" applyBorder="1" applyFont="1">
      <alignment horizontal="right" vertical="bottom"/>
    </xf>
    <xf borderId="9" fillId="0" fontId="10" numFmtId="0" xfId="0" applyAlignment="1" applyBorder="1" applyFont="1">
      <alignment vertical="bottom"/>
    </xf>
    <xf borderId="0" fillId="0" fontId="14" numFmtId="0" xfId="0" applyFont="1"/>
    <xf borderId="0" fillId="0" fontId="10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4" fillId="6" fontId="6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0" fillId="3" fontId="14" numFmtId="0" xfId="0" applyAlignment="1" applyFont="1">
      <alignment shrinkToFit="0" wrapText="0"/>
    </xf>
    <xf borderId="0" fillId="3" fontId="14" numFmtId="164" xfId="0" applyAlignment="1" applyFont="1" applyNumberFormat="1">
      <alignment horizontal="right" readingOrder="0" vertical="bottom"/>
    </xf>
    <xf borderId="0" fillId="3" fontId="14" numFmtId="0" xfId="0" applyAlignment="1" applyFont="1">
      <alignment readingOrder="0"/>
    </xf>
    <xf borderId="0" fillId="3" fontId="14" numFmtId="0" xfId="0" applyFont="1"/>
    <xf borderId="0" fillId="3" fontId="14" numFmtId="165" xfId="0" applyAlignment="1" applyFont="1" applyNumberFormat="1">
      <alignment readingOrder="0"/>
    </xf>
    <xf borderId="0" fillId="3" fontId="14" numFmtId="0" xfId="0" applyAlignment="1" applyFont="1">
      <alignment readingOrder="0" shrinkToFit="0" wrapText="0"/>
    </xf>
    <xf borderId="0" fillId="3" fontId="14" numFmtId="165" xfId="0" applyAlignment="1" applyFont="1" applyNumberFormat="1">
      <alignment readingOrder="0" shrinkToFit="0" wrapText="0"/>
    </xf>
    <xf borderId="9" fillId="0" fontId="10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9" fillId="0" fontId="10" numFmtId="164" xfId="0" applyAlignment="1" applyBorder="1" applyFont="1" applyNumberFormat="1">
      <alignment horizontal="right" readingOrder="0" vertical="bottom"/>
    </xf>
    <xf borderId="9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9" fillId="0" fontId="14" numFmtId="0" xfId="0" applyAlignment="1" applyBorder="1" applyFont="1">
      <alignment vertical="bottom"/>
    </xf>
    <xf borderId="9" fillId="0" fontId="10" numFmtId="0" xfId="0" applyAlignment="1" applyBorder="1" applyFont="1">
      <alignment readingOrder="0" vertical="bottom"/>
    </xf>
    <xf borderId="9" fillId="0" fontId="10" numFmtId="0" xfId="0" applyAlignment="1" applyBorder="1" applyFont="1">
      <alignment horizontal="right" vertical="bottom"/>
    </xf>
    <xf borderId="0" fillId="3" fontId="0" numFmtId="0" xfId="0" applyAlignment="1" applyFont="1">
      <alignment horizontal="left" readingOrder="0"/>
    </xf>
    <xf borderId="0" fillId="3" fontId="0" numFmtId="0" xfId="0" applyAlignment="1" applyFont="1">
      <alignment horizontal="left"/>
    </xf>
    <xf borderId="0" fillId="3" fontId="0" numFmtId="165" xfId="0" applyAlignment="1" applyFont="1" applyNumberFormat="1">
      <alignment horizontal="left" readingOrder="0"/>
    </xf>
    <xf borderId="0" fillId="3" fontId="0" numFmtId="166" xfId="0" applyAlignment="1" applyFont="1" applyNumberFormat="1">
      <alignment horizontal="left" readingOrder="0"/>
    </xf>
    <xf borderId="0" fillId="3" fontId="0" numFmtId="0" xfId="0" applyAlignment="1" applyFont="1">
      <alignment horizontal="left"/>
    </xf>
    <xf borderId="0" fillId="3" fontId="0" numFmtId="164" xfId="0" applyAlignment="1" applyFont="1" applyNumberFormat="1">
      <alignment horizontal="left" readingOrder="0"/>
    </xf>
    <xf borderId="0" fillId="3" fontId="0" numFmtId="164" xfId="0" applyAlignment="1" applyFont="1" applyNumberFormat="1">
      <alignment horizontal="left"/>
    </xf>
    <xf borderId="0" fillId="3" fontId="0" numFmtId="0" xfId="0" applyAlignment="1" applyFont="1">
      <alignment horizontal="right" readingOrder="0"/>
    </xf>
    <xf borderId="0" fillId="3" fontId="15" numFmtId="0" xfId="0" applyAlignment="1" applyFont="1">
      <alignment horizontal="right" readingOrder="0"/>
    </xf>
    <xf borderId="0" fillId="3" fontId="16" numFmtId="0" xfId="0" applyAlignment="1" applyFont="1">
      <alignment horizontal="right" readingOrder="0"/>
    </xf>
    <xf borderId="10" fillId="0" fontId="10" numFmtId="164" xfId="0" applyAlignment="1" applyBorder="1" applyFont="1" applyNumberFormat="1">
      <alignment horizontal="right" vertical="bottom"/>
    </xf>
    <xf borderId="8" fillId="6" fontId="6" numFmtId="0" xfId="0" applyAlignment="1" applyBorder="1" applyFont="1">
      <alignment vertical="bottom"/>
    </xf>
    <xf borderId="11" fillId="6" fontId="6" numFmtId="0" xfId="0" applyAlignment="1" applyBorder="1" applyFont="1">
      <alignment vertical="bottom"/>
    </xf>
    <xf borderId="0" fillId="6" fontId="5" numFmtId="0" xfId="0" applyAlignment="1" applyFont="1">
      <alignment vertical="bottom"/>
    </xf>
    <xf borderId="12" fillId="6" fontId="5" numFmtId="0" xfId="0" applyAlignment="1" applyBorder="1" applyFont="1">
      <alignment shrinkToFit="0" vertical="bottom" wrapText="0"/>
    </xf>
    <xf borderId="0" fillId="3" fontId="0" numFmtId="167" xfId="0" applyAlignment="1" applyFont="1" applyNumberFormat="1">
      <alignment horizontal="left" readingOrder="0"/>
    </xf>
    <xf borderId="0" fillId="7" fontId="17" numFmtId="0" xfId="0" applyAlignment="1" applyFill="1" applyFont="1">
      <alignment horizontal="right" readingOrder="0" shrinkToFit="0" wrapText="0"/>
    </xf>
    <xf borderId="0" fillId="3" fontId="0" numFmtId="166" xfId="0" applyAlignment="1" applyFont="1" applyNumberFormat="1">
      <alignment horizontal="left"/>
    </xf>
    <xf borderId="0" fillId="8" fontId="18" numFmtId="166" xfId="0" applyAlignment="1" applyFill="1" applyFont="1" applyNumberFormat="1">
      <alignment horizontal="right" readingOrder="0" shrinkToFit="0" wrapText="0"/>
    </xf>
    <xf borderId="0" fillId="8" fontId="18" numFmtId="0" xfId="0" applyAlignment="1" applyFont="1">
      <alignment horizontal="right" readingOrder="0" shrinkToFit="0" wrapText="0"/>
    </xf>
    <xf borderId="0" fillId="8" fontId="19" numFmtId="0" xfId="0" applyAlignment="1" applyFont="1">
      <alignment horizontal="right" readingOrder="0" shrinkToFit="0" wrapText="0"/>
    </xf>
    <xf borderId="0" fillId="9" fontId="20" numFmtId="0" xfId="0" applyAlignment="1" applyFill="1" applyFont="1">
      <alignment horizontal="right" readingOrder="0" shrinkToFit="0" wrapText="0"/>
    </xf>
    <xf borderId="0" fillId="9" fontId="18" numFmtId="0" xfId="0" applyAlignment="1" applyFont="1">
      <alignment horizontal="righ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4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IFERROR(__xludf.DUMMYFUNCTION("""COMPUTED_VALUE"""),"From")</f>
        <v>From</v>
      </c>
      <c r="E5" s="17" t="str">
        <f>IFERROR(__xludf.DUMMYFUNCTION("""COMPUTED_VALUE"""),"To")</f>
        <v>To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2" t="s">
        <v>7</v>
      </c>
      <c r="B1" s="3"/>
      <c r="C1" s="3"/>
      <c r="D1" s="3"/>
      <c r="E1" s="3"/>
      <c r="F1" s="4"/>
    </row>
    <row r="2" ht="15.75" customHeight="1">
      <c r="A2" s="19"/>
      <c r="B2" s="19"/>
      <c r="C2" s="19"/>
      <c r="D2" s="19"/>
      <c r="E2" s="19"/>
      <c r="F2" s="19"/>
    </row>
    <row r="3" ht="15.75" customHeight="1">
      <c r="A3" s="10" t="s">
        <v>8</v>
      </c>
      <c r="B3" s="20"/>
      <c r="C3" s="21"/>
      <c r="D3" s="21"/>
      <c r="E3" s="21"/>
      <c r="F3" s="21"/>
    </row>
    <row r="4" ht="15.75" customHeight="1">
      <c r="A4" s="6" t="str">
        <f>IFERROR(__xludf.DUMMYFUNCTION("IMPORTRANGE('_Settings'!B3,""Modules!A4:L1000"")"),"Allocation")</f>
        <v>Allocation</v>
      </c>
      <c r="B4" s="19" t="str">
        <f>IFERROR(__xludf.DUMMYFUNCTION("""COMPUTED_VALUE"""),"Allocate")</f>
        <v>Allocate</v>
      </c>
      <c r="C4" s="19" t="str">
        <f>IFERROR(__xludf.DUMMYFUNCTION("""COMPUTED_VALUE"""),"undefined")</f>
        <v>undefined</v>
      </c>
      <c r="D4" s="19"/>
      <c r="E4" s="19"/>
      <c r="F4" s="19"/>
    </row>
    <row r="5" ht="15.75" customHeight="1">
      <c r="A5" s="6" t="str">
        <f>IFERROR(__xludf.DUMMYFUNCTION("""COMPUTED_VALUE"""),"Allocation")</f>
        <v>Allocation</v>
      </c>
      <c r="B5" s="19" t="str">
        <f>IFERROR(__xludf.DUMMYFUNCTION("""COMPUTED_VALUE"""),"CheckAllocatedGroups")</f>
        <v>CheckAllocatedGroups</v>
      </c>
      <c r="C5" s="19" t="str">
        <f>IFERROR(__xludf.DUMMYFUNCTION("""COMPUTED_VALUE"""),"1aecq-HMDoDkIInONjPC11z5TBFHyJhv4ro66e2ZOphg")</f>
        <v>1aecq-HMDoDkIInONjPC11z5TBFHyJhv4ro66e2ZOphg</v>
      </c>
      <c r="D5" s="19"/>
      <c r="E5" s="19"/>
      <c r="F5" s="19"/>
    </row>
    <row r="6" ht="15.75" customHeight="1">
      <c r="A6" s="19" t="str">
        <f>IFERROR(__xludf.DUMMYFUNCTION("""COMPUTED_VALUE"""),"Allocation")</f>
        <v>Allocation</v>
      </c>
      <c r="B6" s="19" t="str">
        <f>IFERROR(__xludf.DUMMYFUNCTION("""COMPUTED_VALUE"""),"Unallocate")</f>
        <v>Unallocate</v>
      </c>
      <c r="C6" s="19" t="str">
        <f>IFERROR(__xludf.DUMMYFUNCTION("""COMPUTED_VALUE"""),"1eDZq-_vllq4jwvwpk9qGnwQUhlb-sFvyFKPBriT2dA0")</f>
        <v>1eDZq-_vllq4jwvwpk9qGnwQUhlb-sFvyFKPBriT2dA0</v>
      </c>
      <c r="D6" s="19"/>
      <c r="E6" s="19"/>
      <c r="F6" s="19"/>
    </row>
    <row r="7" ht="15.75" customHeight="1">
      <c r="A7" s="19" t="str">
        <f>IFERROR(__xludf.DUMMYFUNCTION("""COMPUTED_VALUE"""),"Allocation")</f>
        <v>Allocation</v>
      </c>
      <c r="B7" s="19" t="str">
        <f>IFERROR(__xludf.DUMMYFUNCTION("""COMPUTED_VALUE"""),"GetDataAllocation")</f>
        <v>GetDataAllocation</v>
      </c>
      <c r="C7" s="19" t="str">
        <f>IFERROR(__xludf.DUMMYFUNCTION("""COMPUTED_VALUE"""),"1FBTO3wCB7odq-jpQMbYHgSrAL5-rFO2_kp9Kr2iXqXE")</f>
        <v>1FBTO3wCB7odq-jpQMbYHgSrAL5-rFO2_kp9Kr2iXqXE</v>
      </c>
      <c r="D7" s="19"/>
      <c r="E7" s="19"/>
      <c r="F7" s="19"/>
    </row>
    <row r="8" ht="15.75" customHeight="1">
      <c r="A8" s="19" t="str">
        <f>IFERROR(__xludf.DUMMYFUNCTION("""COMPUTED_VALUE"""),"Allocation")</f>
        <v>Allocation</v>
      </c>
      <c r="B8" s="19" t="str">
        <f>IFERROR(__xludf.DUMMYFUNCTION("""COMPUTED_VALUE"""),"SelectAllocatedGroup")</f>
        <v>SelectAllocatedGroup</v>
      </c>
      <c r="C8" s="19" t="str">
        <f>IFERROR(__xludf.DUMMYFUNCTION("""COMPUTED_VALUE"""),"1G0ZkXDrIDX_loGmAyLs_Shy8hExtTELtFXERbX-HdPo")</f>
        <v>1G0ZkXDrIDX_loGmAyLs_Shy8hExtTELtFXERbX-HdPo</v>
      </c>
      <c r="D8" s="19"/>
      <c r="E8" s="19"/>
      <c r="F8" s="19"/>
    </row>
    <row r="9" ht="15.75" customHeight="1">
      <c r="A9" s="19" t="str">
        <f>IFERROR(__xludf.DUMMYFUNCTION("""COMPUTED_VALUE"""),"Allocation")</f>
        <v>Allocation</v>
      </c>
      <c r="B9" s="19" t="str">
        <f>IFERROR(__xludf.DUMMYFUNCTION("""COMPUTED_VALUE"""),"EditTradesAllocated")</f>
        <v>EditTradesAllocated</v>
      </c>
      <c r="C9" s="19" t="str">
        <f>IFERROR(__xludf.DUMMYFUNCTION("""COMPUTED_VALUE"""),"1YgVZ1jEVgjUF1Dp8FAj_W_zLEZCyqvNMlWJIg0Tmkq4")</f>
        <v>1YgVZ1jEVgjUF1Dp8FAj_W_zLEZCyqvNMlWJIg0Tmkq4</v>
      </c>
      <c r="D9" s="19"/>
      <c r="E9" s="19"/>
      <c r="F9" s="19"/>
    </row>
    <row r="10" ht="15.75" customHeight="1">
      <c r="A10" s="19" t="str">
        <f>IFERROR(__xludf.DUMMYFUNCTION("""COMPUTED_VALUE"""),"Allocation")</f>
        <v>Allocation</v>
      </c>
      <c r="B10" s="19" t="str">
        <f>IFERROR(__xludf.DUMMYFUNCTION("""COMPUTED_VALUE"""),"EditTradesUnallocated")</f>
        <v>EditTradesUnallocated</v>
      </c>
      <c r="C10" s="19" t="str">
        <f>IFERROR(__xludf.DUMMYFUNCTION("""COMPUTED_VALUE"""),"1MyB61T39MDAUyQqCUJLATzUT2f5UlE8nFq4ltWy_DJ4")</f>
        <v>1MyB61T39MDAUyQqCUJLATzUT2f5UlE8nFq4ltWy_DJ4</v>
      </c>
      <c r="D10" s="19"/>
      <c r="E10" s="19"/>
      <c r="F10" s="19"/>
    </row>
    <row r="11" ht="15.75" customHeight="1">
      <c r="A11" s="19" t="str">
        <f>IFERROR(__xludf.DUMMYFUNCTION("""COMPUTED_VALUE"""),"Allocation")</f>
        <v>Allocation</v>
      </c>
      <c r="B11" s="19" t="str">
        <f>IFERROR(__xludf.DUMMYFUNCTION("""COMPUTED_VALUE"""),"Reallocate")</f>
        <v>Reallocate</v>
      </c>
      <c r="C11" s="19" t="str">
        <f>IFERROR(__xludf.DUMMYFUNCTION("""COMPUTED_VALUE"""),"undefined")</f>
        <v>undefined</v>
      </c>
      <c r="D11" s="19"/>
      <c r="E11" s="19"/>
      <c r="F11" s="19"/>
    </row>
    <row r="12" ht="15.75" customHeight="1">
      <c r="A12" s="19" t="str">
        <f>IFERROR(__xludf.DUMMYFUNCTION("""COMPUTED_VALUE"""),"Blotter")</f>
        <v>Blotter</v>
      </c>
      <c r="B12" s="19" t="str">
        <f>IFERROR(__xludf.DUMMYFUNCTION("""COMPUTED_VALUE"""),"ReplaceFillsOnBlotter")</f>
        <v>ReplaceFillsOnBlotter</v>
      </c>
      <c r="C12" s="19" t="str">
        <f>IFERROR(__xludf.DUMMYFUNCTION("""COMPUTED_VALUE"""),"undefined")</f>
        <v>undefined</v>
      </c>
      <c r="D12" s="19"/>
      <c r="E12" s="19"/>
      <c r="F12" s="19"/>
    </row>
    <row r="13" ht="15.75" customHeight="1">
      <c r="A13" s="19" t="str">
        <f>IFERROR(__xludf.DUMMYFUNCTION("""COMPUTED_VALUE"""),"Blotter")</f>
        <v>Blotter</v>
      </c>
      <c r="B13" s="19" t="str">
        <f>IFERROR(__xludf.DUMMYFUNCTION("""COMPUTED_VALUE"""),"CheckBlotter")</f>
        <v>CheckBlotter</v>
      </c>
      <c r="C13" s="19" t="str">
        <f>IFERROR(__xludf.DUMMYFUNCTION("""COMPUTED_VALUE"""),"16qheLbvgC92hKxalWDlpWfHBMyDDVqHERUCc7bQiO2A")</f>
        <v>16qheLbvgC92hKxalWDlpWfHBMyDDVqHERUCc7bQiO2A</v>
      </c>
      <c r="D13" s="19"/>
      <c r="E13" s="19"/>
      <c r="F13" s="19"/>
    </row>
    <row r="14" ht="15.75" customHeight="1">
      <c r="A14" s="19" t="str">
        <f>IFERROR(__xludf.DUMMYFUNCTION("""COMPUTED_VALUE"""),"GeneralLedger")</f>
        <v>GeneralLedger</v>
      </c>
      <c r="B14" s="19" t="str">
        <f>IFERROR(__xludf.DUMMYFUNCTION("""COMPUTED_VALUE"""),"GetDataCash")</f>
        <v>GetDataCash</v>
      </c>
      <c r="C14" s="19" t="str">
        <f>IFERROR(__xludf.DUMMYFUNCTION("""COMPUTED_VALUE"""),"1zLd3ju-mV8f6PZiQUYLU-cAgAUwLwyoIAKuu0WgG2zI")</f>
        <v>1zLd3ju-mV8f6PZiQUYLU-cAgAUwLwyoIAKuu0WgG2zI</v>
      </c>
      <c r="D14" s="19"/>
      <c r="E14" s="19"/>
      <c r="F14" s="19"/>
    </row>
    <row r="15" ht="15.75" customHeight="1">
      <c r="A15" s="19" t="str">
        <f>IFERROR(__xludf.DUMMYFUNCTION("""COMPUTED_VALUE"""),"GeneralLedger")</f>
        <v>GeneralLedger</v>
      </c>
      <c r="B15" s="19" t="str">
        <f>IFERROR(__xludf.DUMMYFUNCTION("""COMPUTED_VALUE"""),"EnterCashDividends")</f>
        <v>EnterCashDividends</v>
      </c>
      <c r="C15" s="19" t="str">
        <f>IFERROR(__xludf.DUMMYFUNCTION("""COMPUTED_VALUE"""),"1sjDsI5FIL_l_G6osMJQ7e8auBgYd3R3JDaKWKV_8Og0")</f>
        <v>1sjDsI5FIL_l_G6osMJQ7e8auBgYd3R3JDaKWKV_8Og0</v>
      </c>
      <c r="D15" s="19"/>
      <c r="E15" s="19"/>
      <c r="F15" s="19"/>
    </row>
    <row r="16" ht="15.75" customHeight="1">
      <c r="A16" s="19" t="str">
        <f>IFERROR(__xludf.DUMMYFUNCTION("""COMPUTED_VALUE"""),"GeneralLedger")</f>
        <v>GeneralLedger</v>
      </c>
      <c r="B16" s="19" t="str">
        <f>IFERROR(__xludf.DUMMYFUNCTION("""COMPUTED_VALUE"""),"EnterNonTradingTransaction")</f>
        <v>EnterNonTradingTransaction</v>
      </c>
      <c r="C16" s="19" t="str">
        <f>IFERROR(__xludf.DUMMYFUNCTION("""COMPUTED_VALUE"""),"1xn1P_Z-3N4d2BC1SUPly2HiVZazly5ZQcS18BfaTyho")</f>
        <v>1xn1P_Z-3N4d2BC1SUPly2HiVZazly5ZQcS18BfaTyho</v>
      </c>
      <c r="D16" s="19"/>
      <c r="E16" s="19"/>
      <c r="F16" s="19"/>
    </row>
    <row r="17" ht="15.75" customHeight="1">
      <c r="A17" s="19" t="str">
        <f>IFERROR(__xludf.DUMMYFUNCTION("""COMPUTED_VALUE"""),"GeneralLedger")</f>
        <v>GeneralLedger</v>
      </c>
      <c r="B17" s="19" t="str">
        <f>IFERROR(__xludf.DUMMYFUNCTION("""COMPUTED_VALUE"""),"VerifyCash")</f>
        <v>VerifyCash</v>
      </c>
      <c r="C17" s="19" t="str">
        <f>IFERROR(__xludf.DUMMYFUNCTION("""COMPUTED_VALUE"""),"1vlvYPsiFAWjsnFrbkGn_fAvkwF00V3e7htalalU6QN4")</f>
        <v>1vlvYPsiFAWjsnFrbkGn_fAvkwF00V3e7htalalU6QN4</v>
      </c>
      <c r="D17" s="19"/>
      <c r="E17" s="19"/>
      <c r="F17" s="19"/>
    </row>
    <row r="18" ht="15.75" customHeight="1">
      <c r="A18" s="19" t="str">
        <f>IFERROR(__xludf.DUMMYFUNCTION("""COMPUTED_VALUE"""),"GeneralLedger")</f>
        <v>GeneralLedger</v>
      </c>
      <c r="B18" s="19" t="str">
        <f>IFERROR(__xludf.DUMMYFUNCTION("""COMPUTED_VALUE"""),"VerifyActivity")</f>
        <v>VerifyActivity</v>
      </c>
      <c r="C18" s="19" t="str">
        <f>IFERROR(__xludf.DUMMYFUNCTION("""COMPUTED_VALUE"""),"1o2rCg2FuoAOT5Pl8i4iFP_TwpPm0UB1dd49GbpkytfM")</f>
        <v>1o2rCg2FuoAOT5Pl8i4iFP_TwpPm0UB1dd49GbpkytfM</v>
      </c>
      <c r="D18" s="19"/>
      <c r="E18" s="19"/>
      <c r="F18" s="19"/>
    </row>
    <row r="19" ht="15.75" customHeight="1">
      <c r="A19" s="19" t="str">
        <f>IFERROR(__xludf.DUMMYFUNCTION("""COMPUTED_VALUE"""),"GeneralLedger")</f>
        <v>GeneralLedger</v>
      </c>
      <c r="B19" s="19" t="str">
        <f>IFERROR(__xludf.DUMMYFUNCTION("""COMPUTED_VALUE"""),"VerifyTradingTransaction")</f>
        <v>VerifyTradingTransaction</v>
      </c>
      <c r="C19" s="19" t="str">
        <f>IFERROR(__xludf.DUMMYFUNCTION("""COMPUTED_VALUE"""),"1_v2niCJ9VGNvgEBpvz030BFqEISSUhYRHyWcAJAn_Eg")</f>
        <v>1_v2niCJ9VGNvgEBpvz030BFqEISSUhYRHyWcAJAn_Eg</v>
      </c>
      <c r="D19" s="19"/>
      <c r="E19" s="19"/>
      <c r="F19" s="19"/>
    </row>
    <row r="20" ht="15.75" customHeight="1">
      <c r="A20" s="19" t="str">
        <f>IFERROR(__xludf.DUMMYFUNCTION("""COMPUTED_VALUE"""),"GeneralLedger")</f>
        <v>GeneralLedger</v>
      </c>
      <c r="B20" s="19" t="str">
        <f>IFERROR(__xludf.DUMMYFUNCTION("""COMPUTED_VALUE"""),"VerifyRevaluationData")</f>
        <v>VerifyRevaluationData</v>
      </c>
      <c r="C20" s="19" t="str">
        <f>IFERROR(__xludf.DUMMYFUNCTION("""COMPUTED_VALUE"""),"1hsRs1-LY0akTrMe91ArnbLtk6GUy_bKxVwMYCaiMs-8")</f>
        <v>1hsRs1-LY0akTrMe91ArnbLtk6GUy_bKxVwMYCaiMs-8</v>
      </c>
      <c r="D20" s="19"/>
      <c r="E20" s="19"/>
      <c r="F20" s="19"/>
    </row>
    <row r="21" ht="15.75" customHeight="1">
      <c r="A21" s="19" t="str">
        <f>IFERROR(__xludf.DUMMYFUNCTION("""COMPUTED_VALUE"""),"CorporateAction")</f>
        <v>CorporateAction</v>
      </c>
      <c r="B21" s="19" t="str">
        <f>IFERROR(__xludf.DUMMYFUNCTION("""COMPUTED_VALUE"""),"CorporateAction")</f>
        <v>CorporateAction</v>
      </c>
      <c r="C21" s="19" t="str">
        <f>IFERROR(__xludf.DUMMYFUNCTION("""COMPUTED_VALUE"""),"14rwUHTx4auE_hf60WN-tNOx3atNg7QGvErWNwVQIRqE")</f>
        <v>14rwUHTx4auE_hf60WN-tNOx3atNg7QGvErWNwVQIRqE</v>
      </c>
      <c r="D21" s="19"/>
      <c r="E21" s="19"/>
      <c r="F21" s="19"/>
    </row>
    <row r="22" ht="15.75" customHeight="1">
      <c r="A22" s="19" t="str">
        <f>IFERROR(__xludf.DUMMYFUNCTION("""COMPUTED_VALUE"""),"CreateTransaction")</f>
        <v>CreateTransaction</v>
      </c>
      <c r="B22" s="19" t="str">
        <f>IFERROR(__xludf.DUMMYFUNCTION("""COMPUTED_VALUE"""),"CreateTransaction")</f>
        <v>CreateTransaction</v>
      </c>
      <c r="C22" s="19" t="str">
        <f>IFERROR(__xludf.DUMMYFUNCTION("""COMPUTED_VALUE"""),"1amshi8Ns36lsDpccBK0y_9bL_pQ2rHdGNYypcgzceUg")</f>
        <v>1amshi8Ns36lsDpccBK0y_9bL_pQ2rHdGNYypcgzceUg</v>
      </c>
      <c r="D22" s="19"/>
      <c r="E22" s="19"/>
      <c r="F22" s="19"/>
    </row>
    <row r="23" ht="15.75" customHeight="1">
      <c r="A23" s="19" t="str">
        <f>IFERROR(__xludf.DUMMYFUNCTION("""COMPUTED_VALUE"""),"DailyValuation")</f>
        <v>DailyValuation</v>
      </c>
      <c r="B23" s="19" t="str">
        <f>IFERROR(__xludf.DUMMYFUNCTION("""COMPUTED_VALUE"""),"UpdateBeta")</f>
        <v>UpdateBeta</v>
      </c>
      <c r="C23" s="19" t="str">
        <f>IFERROR(__xludf.DUMMYFUNCTION("""COMPUTED_VALUE"""),"1YKttwHsdIskNDoo0Sl7HF2DWikROW-KA05qfT3GLIyI")</f>
        <v>1YKttwHsdIskNDoo0Sl7HF2DWikROW-KA05qfT3GLIyI</v>
      </c>
      <c r="D23" s="19"/>
      <c r="E23" s="19"/>
      <c r="F23" s="19"/>
    </row>
    <row r="24" ht="15.75" customHeight="1">
      <c r="A24" s="19" t="str">
        <f>IFERROR(__xludf.DUMMYFUNCTION("""COMPUTED_VALUE"""),"DailyValuation")</f>
        <v>DailyValuation</v>
      </c>
      <c r="B24" s="19" t="str">
        <f>IFERROR(__xludf.DUMMYFUNCTION("""COMPUTED_VALUE"""),"UpdateDailyCash")</f>
        <v>UpdateDailyCash</v>
      </c>
      <c r="C24" s="19" t="str">
        <f>IFERROR(__xludf.DUMMYFUNCTION("""COMPUTED_VALUE"""),"1YJ2rTp-OqQTGjubvs_cBC6fl0l94pyHI2eaLJzbddS4")</f>
        <v>1YJ2rTp-OqQTGjubvs_cBC6fl0l94pyHI2eaLJzbddS4</v>
      </c>
      <c r="D24" s="19"/>
      <c r="E24" s="19"/>
      <c r="F24" s="19"/>
    </row>
    <row r="25" ht="15.75" customHeight="1">
      <c r="A25" s="19" t="str">
        <f>IFERROR(__xludf.DUMMYFUNCTION("""COMPUTED_VALUE"""),"DailyValuation")</f>
        <v>DailyValuation</v>
      </c>
      <c r="B25" s="19" t="str">
        <f>IFERROR(__xludf.DUMMYFUNCTION("""COMPUTED_VALUE"""),"UpdateForexConversion")</f>
        <v>UpdateForexConversion</v>
      </c>
      <c r="C25" s="19" t="str">
        <f>IFERROR(__xludf.DUMMYFUNCTION("""COMPUTED_VALUE"""),"1mLyEfNTVFd65cnE6GfgCRD6TdpKg1BgqNIDjHCFzyO4")</f>
        <v>1mLyEfNTVFd65cnE6GfgCRD6TdpKg1BgqNIDjHCFzyO4</v>
      </c>
      <c r="D25" s="19"/>
      <c r="E25" s="19"/>
      <c r="F25" s="19"/>
    </row>
    <row r="26" ht="15.75" customHeight="1">
      <c r="A26" s="19" t="str">
        <f>IFERROR(__xludf.DUMMYFUNCTION("""COMPUTED_VALUE"""),"DailyValuation")</f>
        <v>DailyValuation</v>
      </c>
      <c r="B26" s="19" t="str">
        <f>IFERROR(__xludf.DUMMYFUNCTION("""COMPUTED_VALUE"""),"UpdateMarkPrice")</f>
        <v>UpdateMarkPrice</v>
      </c>
      <c r="C26" s="19" t="str">
        <f>IFERROR(__xludf.DUMMYFUNCTION("""COMPUTED_VALUE"""),"1M8d9TyOhMnA65NSIYvS6dR68SH5RL6oKahd6uz7yp6c")</f>
        <v>1M8d9TyOhMnA65NSIYvS6dR68SH5RL6oKahd6uz7yp6c</v>
      </c>
      <c r="D26" s="19"/>
      <c r="E26" s="19"/>
      <c r="F26" s="19"/>
    </row>
    <row r="27" ht="15.75" customHeight="1">
      <c r="A27" s="19" t="str">
        <f>IFERROR(__xludf.DUMMYFUNCTION("""COMPUTED_VALUE"""),"Import")</f>
        <v>Import</v>
      </c>
      <c r="B27" s="19" t="str">
        <f>IFERROR(__xludf.DUMMYFUNCTION("""COMPUTED_VALUE"""),"Import")</f>
        <v>Import</v>
      </c>
      <c r="C27" s="19" t="str">
        <f>IFERROR(__xludf.DUMMYFUNCTION("""COMPUTED_VALUE"""),"1Q5uOVYo1NMRks6hQRJuV8XWMPb6VFEAbSzpgP1dot1I")</f>
        <v>1Q5uOVYo1NMRks6hQRJuV8XWMPb6VFEAbSzpgP1dot1I</v>
      </c>
      <c r="D27" s="19"/>
      <c r="E27" s="19"/>
      <c r="F27" s="19"/>
    </row>
    <row r="28" ht="15.75" customHeight="1">
      <c r="A28" s="19" t="str">
        <f>IFERROR(__xludf.DUMMYFUNCTION("""COMPUTED_VALUE"""),"PortfolioManagement")</f>
        <v>PortfolioManagement</v>
      </c>
      <c r="B28" s="19" t="str">
        <f>IFERROR(__xludf.DUMMYFUNCTION("""COMPUTED_VALUE"""),"CheckDashboardPM")</f>
        <v>CheckDashboardPM</v>
      </c>
      <c r="C28" s="19" t="str">
        <f>IFERROR(__xludf.DUMMYFUNCTION("""COMPUTED_VALUE"""),"1iqfUyYqyebXIeNBGljH7-T8whBcywTlkBBU3dBZV06s")</f>
        <v>1iqfUyYqyebXIeNBGljH7-T8whBcywTlkBBU3dBZV06s</v>
      </c>
      <c r="D28" s="19"/>
      <c r="E28" s="19"/>
      <c r="F28" s="19"/>
    </row>
    <row r="29" ht="15.75" customHeight="1">
      <c r="A29" s="19" t="str">
        <f>IFERROR(__xludf.DUMMYFUNCTION("""COMPUTED_VALUE"""),"PortfolioManagement")</f>
        <v>PortfolioManagement</v>
      </c>
      <c r="B29" s="19" t="str">
        <f>IFERROR(__xludf.DUMMYFUNCTION("""COMPUTED_VALUE"""),"CheckPortfolioManagement")</f>
        <v>CheckPortfolioManagement</v>
      </c>
      <c r="C29" s="19" t="str">
        <f>IFERROR(__xludf.DUMMYFUNCTION("""COMPUTED_VALUE"""),"1u0XMlZJy_Slp7uXMwirinW7StOOdTcWD-D8V07sO0VA")</f>
        <v>1u0XMlZJy_Slp7uXMwirinW7StOOdTcWD-D8V07sO0VA</v>
      </c>
      <c r="D29" s="19"/>
      <c r="E29" s="19"/>
      <c r="F29" s="19"/>
    </row>
    <row r="30" ht="15.75" customHeight="1">
      <c r="A30" s="19" t="str">
        <f>IFERROR(__xludf.DUMMYFUNCTION("""COMPUTED_VALUE"""),"PricingInput")</f>
        <v>PricingInput</v>
      </c>
      <c r="B30" s="19" t="str">
        <f>IFERROR(__xludf.DUMMYFUNCTION("""COMPUTED_VALUE"""),"PricingInput")</f>
        <v>PricingInput</v>
      </c>
      <c r="C30" s="19" t="str">
        <f>IFERROR(__xludf.DUMMYFUNCTION("""COMPUTED_VALUE"""),"1mh3Z5PifhJ3yzX8TPeoc3H3nteNiA0V2tWFse0rVChE")</f>
        <v>1mh3Z5PifhJ3yzX8TPeoc3H3nteNiA0V2tWFse0rVChE</v>
      </c>
      <c r="D30" s="19"/>
      <c r="E30" s="19"/>
      <c r="F30" s="19"/>
    </row>
    <row r="31" ht="15.75" customHeight="1">
      <c r="A31" s="19" t="str">
        <f>IFERROR(__xludf.DUMMYFUNCTION("""COMPUTED_VALUE"""),"PricingInput")</f>
        <v>PricingInput</v>
      </c>
      <c r="B31" s="19" t="str">
        <f>IFERROR(__xludf.DUMMYFUNCTION("""COMPUTED_VALUE"""),"UpdateSharesOutstanding")</f>
        <v>UpdateSharesOutstanding</v>
      </c>
      <c r="C31" s="19" t="str">
        <f>IFERROR(__xludf.DUMMYFUNCTION("""COMPUTED_VALUE"""),"1vmZ6v1OyZ8SSi8bqqjK3ap3KtM_yPA_SEcIQgYiRInY")</f>
        <v>1vmZ6v1OyZ8SSi8bqqjK3ap3KtM_yPA_SEcIQgYiRInY</v>
      </c>
      <c r="D31" s="19"/>
      <c r="E31" s="19"/>
      <c r="F31" s="19"/>
    </row>
    <row r="32" ht="15.75" customHeight="1">
      <c r="A32" s="19" t="str">
        <f>IFERROR(__xludf.DUMMYFUNCTION("""COMPUTED_VALUE"""),"SymbolLookup")</f>
        <v>SymbolLookup</v>
      </c>
      <c r="B32" s="19" t="str">
        <f>IFERROR(__xludf.DUMMYFUNCTION("""COMPUTED_VALUE"""),"VerifySymbolLookUp")</f>
        <v>VerifySymbolLookUp</v>
      </c>
      <c r="C32" s="19" t="str">
        <f>IFERROR(__xludf.DUMMYFUNCTION("""COMPUTED_VALUE"""),"1OiI1Pi_JAFOFi8ByMaD3_qqEXSv6yQMo_u6aGTozbl8")</f>
        <v>1OiI1Pi_JAFOFi8ByMaD3_qqEXSv6yQMo_u6aGTozbl8</v>
      </c>
      <c r="D32" s="19"/>
      <c r="E32" s="19"/>
      <c r="F32" s="19"/>
    </row>
    <row r="33" ht="15.75" customHeight="1">
      <c r="A33" s="19" t="str">
        <f>IFERROR(__xludf.DUMMYFUNCTION("""COMPUTED_VALUE"""),"SymbolLookup")</f>
        <v>SymbolLookup</v>
      </c>
      <c r="B33" s="19" t="str">
        <f>IFERROR(__xludf.DUMMYFUNCTION("""COMPUTED_VALUE"""),"SymbolLookupFromTT")</f>
        <v>SymbolLookupFromTT</v>
      </c>
      <c r="C33" s="19" t="str">
        <f>IFERROR(__xludf.DUMMYFUNCTION("""COMPUTED_VALUE"""),"1ubfvE9sHq5KpJ9NazeH96CrVMJqAuol5Ya9GPjxWrgI")</f>
        <v>1ubfvE9sHq5KpJ9NazeH96CrVMJqAuol5Ya9GPjxWrgI</v>
      </c>
      <c r="D33" s="19"/>
      <c r="E33" s="19"/>
      <c r="F33" s="19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2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38.88"/>
    <col customWidth="1" min="3" max="23" width="12.63"/>
  </cols>
  <sheetData>
    <row r="1" ht="15.75" customHeight="1">
      <c r="A1" s="23" t="s">
        <v>9</v>
      </c>
      <c r="B1" s="3"/>
      <c r="C1" s="4"/>
    </row>
    <row r="2" ht="15.75" customHeight="1">
      <c r="A2" s="6"/>
      <c r="B2" s="6"/>
      <c r="C2" s="6"/>
    </row>
    <row r="3" ht="15.75" customHeight="1">
      <c r="A3" s="10" t="s">
        <v>10</v>
      </c>
      <c r="B3" s="24" t="s">
        <v>11</v>
      </c>
      <c r="C3" s="6"/>
    </row>
    <row r="4" ht="15.75" customHeight="1">
      <c r="A4" s="25" t="s">
        <v>12</v>
      </c>
      <c r="B4" s="26" t="s">
        <v>13</v>
      </c>
      <c r="C4" s="6"/>
    </row>
    <row r="5" ht="15.75" customHeight="1">
      <c r="A5" s="27"/>
      <c r="B5" s="6"/>
      <c r="C5" s="6"/>
    </row>
    <row r="6" ht="15.75" customHeight="1">
      <c r="A6" s="27"/>
      <c r="B6" s="6"/>
      <c r="C6" s="6"/>
    </row>
    <row r="7" ht="15.75" customHeight="1">
      <c r="A7" s="27"/>
      <c r="B7" s="6"/>
      <c r="C7" s="6"/>
    </row>
    <row r="8" ht="15.75" customHeight="1">
      <c r="A8" s="27"/>
      <c r="B8" s="6"/>
      <c r="C8" s="6"/>
    </row>
    <row r="9" ht="15.75" customHeight="1">
      <c r="A9" s="27"/>
      <c r="B9" s="6"/>
      <c r="C9" s="6"/>
    </row>
    <row r="10" ht="15.75" customHeight="1">
      <c r="A10" s="27"/>
      <c r="B10" s="6"/>
      <c r="C10" s="6"/>
    </row>
    <row r="11" ht="15.75" customHeight="1">
      <c r="A11" s="27"/>
      <c r="B11" s="6"/>
      <c r="C11" s="6"/>
    </row>
    <row r="12" ht="15.75" customHeight="1">
      <c r="A12" s="27"/>
      <c r="B12" s="6"/>
      <c r="C12" s="6"/>
    </row>
    <row r="13" ht="15.75" customHeight="1">
      <c r="A13" s="27"/>
      <c r="B13" s="6"/>
      <c r="C13" s="6"/>
    </row>
    <row r="14" ht="15.75" customHeight="1">
      <c r="A14" s="27"/>
      <c r="B14" s="6"/>
      <c r="C14" s="6"/>
    </row>
    <row r="15" ht="15.75" customHeight="1">
      <c r="A15" s="27"/>
      <c r="B15" s="6"/>
      <c r="C15" s="6"/>
    </row>
    <row r="16" ht="15.75" customHeight="1">
      <c r="A16" s="27"/>
      <c r="B16" s="6"/>
      <c r="C16" s="6"/>
    </row>
    <row r="17" ht="15.75" customHeight="1">
      <c r="A17" s="27"/>
      <c r="B17" s="6"/>
      <c r="C17" s="6"/>
    </row>
    <row r="18" ht="15.75" customHeight="1">
      <c r="A18" s="27"/>
      <c r="B18" s="6"/>
      <c r="C18" s="6"/>
    </row>
    <row r="19" ht="15.75" customHeight="1">
      <c r="A19" s="27"/>
      <c r="B19" s="6"/>
      <c r="C19" s="6"/>
    </row>
    <row r="20" ht="15.75" customHeight="1">
      <c r="A20" s="27"/>
      <c r="B20" s="6"/>
      <c r="C20" s="6"/>
    </row>
    <row r="21" ht="15.75" customHeight="1">
      <c r="A21" s="27"/>
      <c r="B21" s="6"/>
      <c r="C21" s="6"/>
    </row>
    <row r="22" ht="15.75" customHeight="1">
      <c r="A22" s="27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>
      <c r="A1" s="28" t="s">
        <v>14</v>
      </c>
      <c r="B1" s="3"/>
      <c r="C1" s="3"/>
      <c r="D1" s="3"/>
      <c r="E1" s="3"/>
      <c r="F1" s="4"/>
    </row>
    <row r="2">
      <c r="A2" s="29"/>
      <c r="B2" s="29"/>
      <c r="C2" s="29"/>
      <c r="D2" s="29"/>
      <c r="E2" s="29"/>
      <c r="F2" s="29"/>
    </row>
    <row r="3">
      <c r="A3" s="30" t="s">
        <v>1</v>
      </c>
      <c r="B3" s="31" t="s">
        <v>3</v>
      </c>
      <c r="C3" s="31" t="s">
        <v>15</v>
      </c>
      <c r="D3" s="32"/>
      <c r="E3" s="32"/>
      <c r="F3" s="3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31" width="12.63"/>
    <col customWidth="1" min="32" max="32" width="15.38"/>
    <col customWidth="1" min="33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1b5S4Xpp4fgZ1ez6cK92QFnVBylqz8jhwxdAyEvwDqUI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16</v>
      </c>
      <c r="D3" s="10" t="s">
        <v>3</v>
      </c>
      <c r="E3" s="11" t="s">
        <v>17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IFERROR(__xludf.DUMMYFUNCTION("IF(C3="""","""",Transpose(IMPORTRANGE('_Settings'!$B$3,C3&amp;""!A4:A1000"")))"),"OpenTTFromPST")</f>
        <v>OpenTTFromPST</v>
      </c>
      <c r="C4" s="14" t="str">
        <f>IFERROR(__xludf.DUMMYFUNCTION("""COMPUTED_VALUE"""),"EnterDetailsOnTT")</f>
        <v>EnterDetailsOnTT</v>
      </c>
      <c r="D4" s="14" t="str">
        <f>IFERROR(__xludf.DUMMYFUNCTION("""COMPUTED_VALUE"""),"ValidateSymbolTT")</f>
        <v>ValidateSymbolTT</v>
      </c>
      <c r="E4" s="14" t="str">
        <f>IFERROR(__xludf.DUMMYFUNCTION("""COMPUTED_VALUE"""),"VerifyDataTT")</f>
        <v>VerifyDataTT</v>
      </c>
      <c r="F4" s="14" t="str">
        <f>IFERROR(__xludf.DUMMYFUNCTION("""COMPUTED_VALUE"""),"SetUIPreferencesTT")</f>
        <v>SetUIPreferencesTT</v>
      </c>
      <c r="G4" s="14" t="str">
        <f>IFERROR(__xludf.DUMMYFUNCTION("""COMPUTED_VALUE"""),"SetBrokerWisePreferencesTT")</f>
        <v>SetBrokerWisePreferencesTT</v>
      </c>
      <c r="H4" s="14" t="str">
        <f>IFERROR(__xludf.DUMMYFUNCTION("""COMPUTED_VALUE"""),"TradeNewSub")</f>
        <v>TradeNewSub</v>
      </c>
      <c r="I4" s="14" t="str">
        <f>IFERROR(__xludf.DUMMYFUNCTION("""COMPUTED_VALUE"""),"CreateStageOrder")</f>
        <v>CreateStageOrder</v>
      </c>
      <c r="J4" s="14" t="str">
        <f>IFERROR(__xludf.DUMMYFUNCTION("""COMPUTED_VALUE"""),"CreateReplaceOrder")</f>
        <v>CreateReplaceOrder</v>
      </c>
      <c r="K4" s="14" t="str">
        <f>IFERROR(__xludf.DUMMYFUNCTION("""COMPUTED_VALUE"""),"SetGeneralPreference")</f>
        <v>SetGeneralPreference</v>
      </c>
      <c r="L4" s="14" t="str">
        <f>IFERROR(__xludf.DUMMYFUNCTION("""COMPUTED_VALUE"""),"CreateNewSubOrder")</f>
        <v>CreateNewSubOrder</v>
      </c>
      <c r="M4" s="14" t="str">
        <f>IFERROR(__xludf.DUMMYFUNCTION("""COMPUTED_VALUE"""),"TradeBloomberg")</f>
        <v>TradeBloomberg</v>
      </c>
      <c r="N4" s="14" t="str">
        <f>IFERROR(__xludf.DUMMYFUNCTION("""COMPUTED_VALUE"""),"ClickSymbolLookup")</f>
        <v>ClickSymbolLookup</v>
      </c>
      <c r="O4" s="14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IFERROR(__xludf.DUMMYFUNCTION("""COMPUTED_VALUE"""),"ShowMasterFundOnTT")</f>
        <v>ShowMasterFundOnTT</v>
      </c>
      <c r="R4" s="15" t="str">
        <f>IFERROR(__xludf.DUMMYFUNCTION("""COMPUTED_VALUE"""),"UpdateMasterFundOnTT")</f>
        <v>UpdateMasterFundOnTT</v>
      </c>
      <c r="S4" s="15" t="str">
        <f>IFERROR(__xludf.DUMMYFUNCTION("""COMPUTED_VALUE"""),"SetTTCompliancePreference")</f>
        <v>SetTTCompliancePreference</v>
      </c>
      <c r="T4" s="15" t="str">
        <f>IFERROR(__xludf.DUMMYFUNCTION("""COMPUTED_VALUE"""),"ImportSymbol")</f>
        <v>ImportSymbol</v>
      </c>
      <c r="U4" s="15" t="str">
        <f>IFERROR(__xludf.DUMMYFUNCTION("""COMPUTED_VALUE"""),"ExportSymbolFromRAList")</f>
        <v>ExportSymbolFromRAList</v>
      </c>
      <c r="V4" s="15" t="str">
        <f>IFERROR(__xludf.DUMMYFUNCTION("""COMPUTED_VALUE"""),"CheckPendingNewOrderAlert")</f>
        <v>CheckPendingNewOrderAlert</v>
      </c>
      <c r="W4" s="15" t="str">
        <f>IFERROR(__xludf.DUMMYFUNCTION("""COMPUTED_VALUE"""),"AddSymbolOnRAList")</f>
        <v>AddSymbolOnRAList</v>
      </c>
      <c r="X4" s="15" t="str">
        <f>IFERROR(__xludf.DUMMYFUNCTION("""COMPUTED_VALUE"""),"DeleteSymbolListFromRA")</f>
        <v>DeleteSymbolListFromRA</v>
      </c>
      <c r="Y4" s="15" t="str">
        <f>IFERROR(__xludf.DUMMYFUNCTION("""COMPUTED_VALUE"""),"RemoveSymbolFromRAList")</f>
        <v>RemoveSymbolFromRAList</v>
      </c>
      <c r="Z4" s="15" t="str">
        <f>IFERROR(__xludf.DUMMYFUNCTION("""COMPUTED_VALUE"""),"ToggleBlombergOnRA")</f>
        <v>ToggleBlombergOnRA</v>
      </c>
      <c r="AA4" s="15" t="str">
        <f>IFERROR(__xludf.DUMMYFUNCTION("""COMPUTED_VALUE"""),"CreateDoneAway")</f>
        <v>CreateDoneAway</v>
      </c>
      <c r="AB4" s="15" t="str">
        <f>IFERROR(__xludf.DUMMYFUNCTION("""COMPUTED_VALUE"""),"CreateDoneAwayOrder")</f>
        <v>CreateDoneAwayOrder</v>
      </c>
      <c r="AC4" s="15" t="str">
        <f>IFERROR(__xludf.DUMMYFUNCTION("""COMPUTED_VALUE"""),"SendLiveBloomberg")</f>
        <v>SendLiveBloomberg</v>
      </c>
      <c r="AD4" s="15" t="str">
        <f>IFERROR(__xludf.DUMMYFUNCTION("""COMPUTED_VALUE"""),"AddOptionTrade")</f>
        <v>AddOptionTrade</v>
      </c>
      <c r="AE4" s="15" t="str">
        <f>IFERROR(__xludf.DUMMYFUNCTION("""COMPUTED_VALUE"""),"ViewAllocation")</f>
        <v>ViewAllocation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33" t="str">
        <f>IFERROR(__xludf.DUMMYFUNCTION("""COMPUTED_VALUE"""),"Order Side")</f>
        <v>Order Side</v>
      </c>
      <c r="D5" s="17" t="str">
        <f>IFERROR(__xludf.DUMMYFUNCTION("""COMPUTED_VALUE"""),"Quantity")</f>
        <v>Quantity</v>
      </c>
      <c r="E5" s="17" t="str">
        <f>IFERROR(__xludf.DUMMYFUNCTION("""COMPUTED_VALUE"""),"TargetQuantityIn")</f>
        <v>TargetQuantityIn</v>
      </c>
      <c r="F5" s="17" t="str">
        <f>IFERROR(__xludf.DUMMYFUNCTION("""COMPUTED_VALUE"""),"AllocationMethod")</f>
        <v>AllocationMethod</v>
      </c>
      <c r="G5" s="17" t="str">
        <f>IFERROR(__xludf.DUMMYFUNCTION("""COMPUTED_VALUE"""),"Broker")</f>
        <v>Broker</v>
      </c>
      <c r="H5" s="17" t="str">
        <f>IFERROR(__xludf.DUMMYFUNCTION("""COMPUTED_VALUE"""),"TIF")</f>
        <v>TIF</v>
      </c>
      <c r="I5" s="17" t="str">
        <f>IFERROR(__xludf.DUMMYFUNCTION("""COMPUTED_VALUE"""),"Order Type")</f>
        <v>Order Type</v>
      </c>
      <c r="J5" s="17" t="str">
        <f>IFERROR(__xludf.DUMMYFUNCTION("""COMPUTED_VALUE"""),"Price")</f>
        <v>Price</v>
      </c>
      <c r="K5" s="17" t="str">
        <f>IFERROR(__xludf.DUMMYFUNCTION("""COMPUTED_VALUE"""),"Stop")</f>
        <v>Stop</v>
      </c>
      <c r="L5" s="17" t="str">
        <f>IFERROR(__xludf.DUMMYFUNCTION("""COMPUTED_VALUE"""),"Limit")</f>
        <v>Limit</v>
      </c>
      <c r="M5" s="17" t="str">
        <f>IFERROR(__xludf.DUMMYFUNCTION("""COMPUTED_VALUE"""),"Strategy")</f>
        <v>Strategy</v>
      </c>
      <c r="N5" s="17" t="str">
        <f>IFERROR(__xludf.DUMMYFUNCTION("""COMPUTED_VALUE"""),"Trade Date")</f>
        <v>Trade Date</v>
      </c>
      <c r="O5" s="17" t="str">
        <f>IFERROR(__xludf.DUMMYFUNCTION("""COMPUTED_VALUE"""),"FxRate")</f>
        <v>FxRate</v>
      </c>
      <c r="P5" s="17" t="str">
        <f>IFERROR(__xludf.DUMMYFUNCTION("""COMPUTED_VALUE"""),"Notes")</f>
        <v>Notes</v>
      </c>
      <c r="Q5" s="17" t="str">
        <f>IFERROR(__xludf.DUMMYFUNCTION("""COMPUTED_VALUE"""),"Broker Notes")</f>
        <v>Broker Notes</v>
      </c>
      <c r="R5" s="17" t="str">
        <f>IFERROR(__xludf.DUMMYFUNCTION("""COMPUTED_VALUE"""),"CommissionBasis")</f>
        <v>CommissionBasis</v>
      </c>
      <c r="S5" s="17" t="str">
        <f>IFERROR(__xludf.DUMMYFUNCTION("""COMPUTED_VALUE"""),"CommissionRate")</f>
        <v>CommissionRate</v>
      </c>
      <c r="T5" s="18" t="str">
        <f>IFERROR(__xludf.DUMMYFUNCTION("""COMPUTED_VALUE"""),"SoftBasis")</f>
        <v>SoftBasis</v>
      </c>
      <c r="U5" s="18" t="str">
        <f>IFERROR(__xludf.DUMMYFUNCTION("""COMPUTED_VALUE"""),"SoftRate")</f>
        <v>SoftRate</v>
      </c>
      <c r="V5" s="18" t="str">
        <f>IFERROR(__xludf.DUMMYFUNCTION("""COMPUTED_VALUE"""),"TradeAttribute1")</f>
        <v>TradeAttribute1</v>
      </c>
      <c r="W5" s="18" t="str">
        <f>IFERROR(__xludf.DUMMYFUNCTION("""COMPUTED_VALUE"""),"TradeAttribute2")</f>
        <v>TradeAttribute2</v>
      </c>
      <c r="X5" s="18" t="str">
        <f>IFERROR(__xludf.DUMMYFUNCTION("""COMPUTED_VALUE"""),"TradeAttribute3")</f>
        <v>TradeAttribute3</v>
      </c>
      <c r="Y5" s="18" t="str">
        <f>IFERROR(__xludf.DUMMYFUNCTION("""COMPUTED_VALUE"""),"TradeAttribute4")</f>
        <v>TradeAttribute4</v>
      </c>
      <c r="Z5" s="18" t="str">
        <f>IFERROR(__xludf.DUMMYFUNCTION("""COMPUTED_VALUE"""),"TradeAttribute5")</f>
        <v>TradeAttribute5</v>
      </c>
      <c r="AA5" s="18" t="str">
        <f>IFERROR(__xludf.DUMMYFUNCTION("""COMPUTED_VALUE"""),"TradeAttribute6")</f>
        <v>TradeAttribute6</v>
      </c>
      <c r="AB5" s="18" t="str">
        <f>IFERROR(__xludf.DUMMYFUNCTION("""COMPUTED_VALUE"""),"Venue")</f>
        <v>Venue</v>
      </c>
      <c r="AC5" s="18" t="str">
        <f>IFERROR(__xludf.DUMMYFUNCTION("""COMPUTED_VALUE"""),"ExecutionInstructions")</f>
        <v>ExecutionInstructions</v>
      </c>
      <c r="AD5" s="18" t="str">
        <f>IFERROR(__xludf.DUMMYFUNCTION("""COMPUTED_VALUE"""),"HandlingInstructions")</f>
        <v>HandlingInstructions</v>
      </c>
      <c r="AE5" s="18" t="str">
        <f>IFERROR(__xludf.DUMMYFUNCTION("""COMPUTED_VALUE"""),"Trader")</f>
        <v>Trader</v>
      </c>
      <c r="AF5" s="18" t="str">
        <f>IFERROR(__xludf.DUMMYFUNCTION("""COMPUTED_VALUE"""),"SettlementCurrency")</f>
        <v>SettlementCurrency</v>
      </c>
      <c r="AG5" s="18" t="str">
        <f>IFERROR(__xludf.DUMMYFUNCTION("""COMPUTED_VALUE"""),"SettlementFXRate")</f>
        <v>SettlementFXRate</v>
      </c>
      <c r="AH5" s="18" t="str">
        <f>IFERROR(__xludf.DUMMYFUNCTION("""COMPUTED_VALUE"""),"SettlementAmount")</f>
        <v>SettlementAmount</v>
      </c>
      <c r="AI5" s="18" t="str">
        <f>IFERROR(__xludf.DUMMYFUNCTION("""COMPUTED_VALUE"""),"SettlementFXOperator")</f>
        <v>SettlementFXOperator</v>
      </c>
      <c r="AJ5" s="18" t="str">
        <f>IFERROR(__xludf.DUMMYFUNCTION("""COMPUTED_VALUE"""),"SettleByBroker")</f>
        <v>SettleByBroker</v>
      </c>
      <c r="AK5" s="18" t="str">
        <f>IFERROR(__xludf.DUMMYFUNCTION("""COMPUTED_VALUE"""),"Account")</f>
        <v>Account</v>
      </c>
      <c r="AL5" s="18" t="str">
        <f>IFERROR(__xludf.DUMMYFUNCTION("""COMPUTED_VALUE"""),"Account %")</f>
        <v>Account %</v>
      </c>
      <c r="AM5" s="18" t="str">
        <f>IFERROR(__xludf.DUMMYFUNCTION("""COMPUTED_VALUE"""),"Deal In")</f>
        <v>Deal In</v>
      </c>
      <c r="AN5" s="18" t="str">
        <f>IFERROR(__xludf.DUMMYFUNCTION("""COMPUTED_VALUE"""),"ChkBoxBookAsSwap")</f>
        <v>ChkBoxBookAsSwap</v>
      </c>
      <c r="AO5" s="18" t="str">
        <f>IFERROR(__xludf.DUMMYFUNCTION("""COMPUTED_VALUE"""),"PopUpQuantity")</f>
        <v>PopUpQuantity</v>
      </c>
      <c r="AP5" s="18" t="str">
        <f>IFERROR(__xludf.DUMMYFUNCTION("""COMPUTED_VALUE"""),"ShortLocate")</f>
        <v>ShortLocate</v>
      </c>
      <c r="AQ5" s="18" t="str">
        <f>IFERROR(__xludf.DUMMYFUNCTION("""COMPUTED_VALUE"""),"AllowTrade")</f>
        <v>AllowTrade</v>
      </c>
      <c r="AR5" s="18" t="str">
        <f>IFERROR(__xludf.DUMMYFUNCTION("""COMPUTED_VALUE"""),"Rate(%)")</f>
        <v>Rate(%)</v>
      </c>
      <c r="AS5" s="18" t="str">
        <f>IFERROR(__xludf.DUMMYFUNCTION("""COMPUTED_VALUE"""),"SharesOutstandingPopUpQty")</f>
        <v>SharesOutstandingPopUpQty</v>
      </c>
      <c r="AT5" s="18" t="str">
        <f>IFERROR(__xludf.DUMMYFUNCTION("""COMPUTED_VALUE"""),"SharesOutstandingPopUp")</f>
        <v>SharesOutstandingPopUp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34"/>
      <c r="B6" s="35" t="s">
        <v>18</v>
      </c>
      <c r="C6" s="36" t="s">
        <v>19</v>
      </c>
      <c r="D6" s="37">
        <v>100.0</v>
      </c>
      <c r="E6" s="37">
        <v>100.0</v>
      </c>
      <c r="F6" s="38" t="s">
        <v>20</v>
      </c>
      <c r="G6" s="38" t="s">
        <v>21</v>
      </c>
      <c r="H6" s="38"/>
      <c r="I6" s="38" t="s">
        <v>22</v>
      </c>
      <c r="J6" s="35">
        <v>10.0</v>
      </c>
      <c r="K6" s="39"/>
      <c r="L6" s="39"/>
      <c r="M6" s="39"/>
      <c r="N6" s="40">
        <v>42919.0</v>
      </c>
      <c r="O6" s="35">
        <v>1.5</v>
      </c>
      <c r="P6" s="39"/>
      <c r="Q6" s="39"/>
      <c r="R6" s="41" t="s">
        <v>23</v>
      </c>
      <c r="S6" s="35">
        <v>15.0</v>
      </c>
      <c r="T6" s="41" t="s">
        <v>23</v>
      </c>
      <c r="U6" s="35">
        <v>15.0</v>
      </c>
      <c r="V6" s="39"/>
      <c r="W6" s="39"/>
      <c r="X6" s="39"/>
      <c r="Y6" s="39"/>
      <c r="Z6" s="39"/>
      <c r="AA6" s="39"/>
      <c r="AB6" s="41" t="s">
        <v>24</v>
      </c>
      <c r="AC6" s="39"/>
      <c r="AD6" s="39"/>
      <c r="AE6" s="39"/>
      <c r="AF6" s="35" t="s">
        <v>25</v>
      </c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34"/>
      <c r="B7" s="42" t="s">
        <v>26</v>
      </c>
      <c r="C7" s="36" t="s">
        <v>27</v>
      </c>
      <c r="D7" s="43">
        <v>100.0</v>
      </c>
      <c r="E7" s="43">
        <v>100.0</v>
      </c>
      <c r="F7" s="41" t="s">
        <v>20</v>
      </c>
      <c r="G7" s="41" t="s">
        <v>21</v>
      </c>
      <c r="H7" s="41"/>
      <c r="I7" s="41" t="s">
        <v>22</v>
      </c>
      <c r="J7" s="42">
        <v>11.0</v>
      </c>
      <c r="K7" s="34"/>
      <c r="L7" s="34"/>
      <c r="M7" s="34"/>
      <c r="N7" s="40">
        <v>42919.0</v>
      </c>
      <c r="O7" s="42">
        <v>1.7</v>
      </c>
      <c r="P7" s="39"/>
      <c r="Q7" s="39"/>
      <c r="R7" s="41" t="s">
        <v>28</v>
      </c>
      <c r="S7" s="35">
        <v>0.0</v>
      </c>
      <c r="T7" s="41" t="s">
        <v>28</v>
      </c>
      <c r="U7" s="35">
        <v>0.0</v>
      </c>
      <c r="V7" s="39"/>
      <c r="W7" s="39"/>
      <c r="X7" s="39"/>
      <c r="Y7" s="39"/>
      <c r="Z7" s="39"/>
      <c r="AA7" s="39"/>
      <c r="AB7" s="41" t="s">
        <v>24</v>
      </c>
      <c r="AC7" s="39"/>
      <c r="AD7" s="39"/>
      <c r="AE7" s="39"/>
      <c r="AF7" s="35" t="s">
        <v>29</v>
      </c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</row>
    <row r="8" ht="15.75" customHeight="1">
      <c r="A8" s="34"/>
      <c r="B8" s="42" t="s">
        <v>30</v>
      </c>
      <c r="C8" s="36" t="s">
        <v>27</v>
      </c>
      <c r="D8" s="43">
        <v>100.0</v>
      </c>
      <c r="E8" s="43">
        <v>100.0</v>
      </c>
      <c r="F8" s="41" t="s">
        <v>20</v>
      </c>
      <c r="G8" s="41" t="s">
        <v>21</v>
      </c>
      <c r="H8" s="41"/>
      <c r="I8" s="41" t="s">
        <v>22</v>
      </c>
      <c r="J8" s="42">
        <v>12.0</v>
      </c>
      <c r="K8" s="34"/>
      <c r="L8" s="34"/>
      <c r="M8" s="34"/>
      <c r="N8" s="40">
        <v>42919.0</v>
      </c>
      <c r="O8" s="42">
        <v>1.69</v>
      </c>
      <c r="P8" s="39"/>
      <c r="Q8" s="39"/>
      <c r="R8" s="41" t="s">
        <v>28</v>
      </c>
      <c r="S8" s="35">
        <v>0.0</v>
      </c>
      <c r="T8" s="41" t="s">
        <v>28</v>
      </c>
      <c r="U8" s="35">
        <v>0.0</v>
      </c>
      <c r="V8" s="39"/>
      <c r="W8" s="39"/>
      <c r="X8" s="39"/>
      <c r="Y8" s="39"/>
      <c r="Z8" s="39"/>
      <c r="AA8" s="39"/>
      <c r="AB8" s="41" t="s">
        <v>24</v>
      </c>
      <c r="AC8" s="39"/>
      <c r="AD8" s="39"/>
      <c r="AE8" s="39"/>
      <c r="AF8" s="35" t="s">
        <v>31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</row>
    <row r="9" ht="15.75" customHeight="1">
      <c r="A9" s="34"/>
      <c r="B9" s="35" t="s">
        <v>18</v>
      </c>
      <c r="C9" s="36" t="s">
        <v>32</v>
      </c>
      <c r="D9" s="44">
        <v>50.0</v>
      </c>
      <c r="E9" s="44">
        <v>50.0</v>
      </c>
      <c r="F9" s="41" t="s">
        <v>20</v>
      </c>
      <c r="G9" s="41" t="s">
        <v>21</v>
      </c>
      <c r="H9" s="41"/>
      <c r="I9" s="41" t="s">
        <v>22</v>
      </c>
      <c r="J9" s="42">
        <v>13.0</v>
      </c>
      <c r="K9" s="34"/>
      <c r="L9" s="34"/>
      <c r="M9" s="34"/>
      <c r="N9" s="40">
        <v>42920.0</v>
      </c>
      <c r="O9" s="35">
        <v>1.5</v>
      </c>
      <c r="P9" s="39"/>
      <c r="Q9" s="39"/>
      <c r="R9" s="41" t="s">
        <v>23</v>
      </c>
      <c r="S9" s="35">
        <v>20.0</v>
      </c>
      <c r="T9" s="41" t="s">
        <v>23</v>
      </c>
      <c r="U9" s="35">
        <v>20.0</v>
      </c>
      <c r="V9" s="39"/>
      <c r="W9" s="39"/>
      <c r="X9" s="39"/>
      <c r="Y9" s="39"/>
      <c r="Z9" s="39"/>
      <c r="AA9" s="39"/>
      <c r="AB9" s="41" t="s">
        <v>24</v>
      </c>
      <c r="AC9" s="39"/>
      <c r="AD9" s="39"/>
      <c r="AE9" s="39"/>
      <c r="AF9" s="35" t="s">
        <v>25</v>
      </c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</row>
    <row r="10" ht="15.75" customHeight="1">
      <c r="A10" s="34"/>
      <c r="B10" s="42" t="s">
        <v>26</v>
      </c>
      <c r="C10" s="36" t="s">
        <v>33</v>
      </c>
      <c r="D10" s="42">
        <v>50.0</v>
      </c>
      <c r="E10" s="42">
        <v>50.0</v>
      </c>
      <c r="F10" s="41" t="s">
        <v>20</v>
      </c>
      <c r="G10" s="41" t="s">
        <v>21</v>
      </c>
      <c r="H10" s="41"/>
      <c r="I10" s="41" t="s">
        <v>22</v>
      </c>
      <c r="J10" s="42">
        <v>14.0</v>
      </c>
      <c r="K10" s="34"/>
      <c r="L10" s="34"/>
      <c r="M10" s="34"/>
      <c r="N10" s="40">
        <v>42920.0</v>
      </c>
      <c r="O10" s="42">
        <v>1.7</v>
      </c>
      <c r="P10" s="39"/>
      <c r="Q10" s="39"/>
      <c r="R10" s="41" t="s">
        <v>28</v>
      </c>
      <c r="S10" s="35">
        <v>0.0</v>
      </c>
      <c r="T10" s="41" t="s">
        <v>28</v>
      </c>
      <c r="U10" s="35">
        <v>0.0</v>
      </c>
      <c r="V10" s="39"/>
      <c r="W10" s="39"/>
      <c r="X10" s="39"/>
      <c r="Y10" s="39"/>
      <c r="Z10" s="39"/>
      <c r="AA10" s="39"/>
      <c r="AB10" s="41" t="s">
        <v>24</v>
      </c>
      <c r="AC10" s="39"/>
      <c r="AD10" s="39"/>
      <c r="AE10" s="39"/>
      <c r="AF10" s="35" t="s">
        <v>29</v>
      </c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</row>
    <row r="11" ht="15.75" customHeight="1">
      <c r="A11" s="34"/>
      <c r="B11" s="42" t="s">
        <v>30</v>
      </c>
      <c r="C11" s="36" t="s">
        <v>33</v>
      </c>
      <c r="D11" s="42">
        <v>50.0</v>
      </c>
      <c r="E11" s="42">
        <v>50.0</v>
      </c>
      <c r="F11" s="41" t="s">
        <v>20</v>
      </c>
      <c r="G11" s="41" t="s">
        <v>21</v>
      </c>
      <c r="H11" s="41"/>
      <c r="I11" s="41" t="s">
        <v>22</v>
      </c>
      <c r="J11" s="42">
        <v>15.0</v>
      </c>
      <c r="K11" s="34"/>
      <c r="L11" s="34"/>
      <c r="M11" s="34"/>
      <c r="N11" s="40">
        <v>42920.0</v>
      </c>
      <c r="O11" s="42">
        <v>1.69</v>
      </c>
      <c r="P11" s="39"/>
      <c r="Q11" s="39"/>
      <c r="R11" s="41" t="s">
        <v>28</v>
      </c>
      <c r="S11" s="35">
        <v>0.0</v>
      </c>
      <c r="T11" s="41" t="s">
        <v>28</v>
      </c>
      <c r="U11" s="35">
        <v>0.0</v>
      </c>
      <c r="V11" s="39"/>
      <c r="W11" s="39"/>
      <c r="X11" s="39"/>
      <c r="Y11" s="39"/>
      <c r="Z11" s="39"/>
      <c r="AA11" s="39"/>
      <c r="AB11" s="41" t="s">
        <v>24</v>
      </c>
      <c r="AC11" s="39"/>
      <c r="AD11" s="39"/>
      <c r="AE11" s="39"/>
      <c r="AF11" s="35" t="s">
        <v>31</v>
      </c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AB12" s="41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AB13" s="41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34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 Date")</f>
        <v>From Date</v>
      </c>
      <c r="E5" s="17" t="str">
        <f>IFERROR(__xludf.DUMMYFUNCTION("""COMPUTED_VALUE"""),"To Date")</f>
        <v>To Date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/>
      <c r="C6" s="22" t="s">
        <v>35</v>
      </c>
      <c r="D6" s="40">
        <v>42919.0</v>
      </c>
      <c r="E6" s="45">
        <v>42921.0</v>
      </c>
    </row>
    <row r="7" ht="15.75" customHeight="1">
      <c r="A7" s="6"/>
      <c r="B7" s="6"/>
      <c r="C7" s="6"/>
      <c r="D7" s="40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conditionalFormatting sqref="D6">
    <cfRule type="notContainsBlanks" dxfId="0" priority="1">
      <formula>LEN(TRIM(D6))&gt;0</formula>
    </cfRule>
  </conditionalFormatting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46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36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IFERROR(__xludf.DUMMYFUNCTION("""COMPUTED_VALUE"""),"Date")</f>
        <v>Date</v>
      </c>
      <c r="C5" s="17" t="str">
        <f>IFERROR(__xludf.DUMMYFUNCTION("""COMPUTED_VALUE"""),"Account")</f>
        <v>Account</v>
      </c>
      <c r="D5" s="17" t="str">
        <f>IFERROR(__xludf.DUMMYFUNCTION("""COMPUTED_VALUE"""),"Symbol")</f>
        <v>Symbol</v>
      </c>
      <c r="E5" s="17" t="str">
        <f>IFERROR(__xludf.DUMMYFUNCTION("""COMPUTED_VALUE"""),"Currency")</f>
        <v>Currency</v>
      </c>
      <c r="F5" s="17" t="str">
        <f>IFERROR(__xludf.DUMMYFUNCTION("""COMPUTED_VALUE"""),"Cash Sub-Account")</f>
        <v>Cash Sub-Account</v>
      </c>
      <c r="G5" s="17" t="str">
        <f>IFERROR(__xludf.DUMMYFUNCTION("""COMPUTED_VALUE"""),"Account Side")</f>
        <v>Account Side</v>
      </c>
      <c r="H5" s="17" t="str">
        <f>IFERROR(__xludf.DUMMYFUNCTION("""COMPUTED_VALUE"""),"DR")</f>
        <v>DR</v>
      </c>
      <c r="I5" s="17" t="str">
        <f>IFERROR(__xludf.DUMMYFUNCTION("""COMPUTED_VALUE"""),"CR")</f>
        <v>CR</v>
      </c>
      <c r="J5" s="17" t="str">
        <f>IFERROR(__xludf.DUMMYFUNCTION("""COMPUTED_VALUE"""),"Fx Rate")</f>
        <v>Fx Rate</v>
      </c>
      <c r="K5" s="17" t="str">
        <f>IFERROR(__xludf.DUMMYFUNCTION("""COMPUTED_VALUE"""),"FX Conversion Method Operator")</f>
        <v>FX Conversion Method Operator</v>
      </c>
      <c r="L5" s="17" t="str">
        <f>IFERROR(__xludf.DUMMYFUNCTION("""COMPUTED_VALUE"""),"Description")</f>
        <v>Description</v>
      </c>
      <c r="M5" s="17" t="str">
        <f>IFERROR(__xludf.DUMMYFUNCTION("""COMPUTED_VALUE"""),"Modify Date")</f>
        <v>Modify Date</v>
      </c>
      <c r="N5" s="17" t="str">
        <f>IFERROR(__xludf.DUMMYFUNCTION("""COMPUTED_VALUE"""),"Entry Date")</f>
        <v>Entry Date</v>
      </c>
      <c r="O5" s="17" t="str">
        <f>IFERROR(__xludf.DUMMYFUNCTION("""COMPUTED_VALUE"""),"User")</f>
        <v>User</v>
      </c>
      <c r="P5" s="17" t="str">
        <f>IFERROR(__xludf.DUMMYFUNCTION("""COMPUTED_VALUE"""),"TransactionSource")</f>
        <v>TransactionSource</v>
      </c>
      <c r="Q5" s="17" t="str">
        <f>IFERROR(__xludf.DUMMYFUNCTION("""COMPUTED_VALUE"""),"Base Currency")</f>
        <v>Base Currency</v>
      </c>
      <c r="R5" s="17" t="str">
        <f>IFERROR(__xludf.DUMMYFUNCTION("""COMPUTED_VALUE"""),"DR (Base)")</f>
        <v>DR (Base)</v>
      </c>
      <c r="S5" s="17" t="str">
        <f>IFERROR(__xludf.DUMMYFUNCTION("""COMPUTED_VALUE"""),"CR (Base)")</f>
        <v>CR (Base)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34"/>
      <c r="B6" s="47">
        <v>42919.0</v>
      </c>
      <c r="C6" s="35" t="s">
        <v>35</v>
      </c>
      <c r="D6" s="39"/>
      <c r="E6" s="35" t="s">
        <v>29</v>
      </c>
      <c r="F6" s="35" t="s">
        <v>37</v>
      </c>
      <c r="G6" s="35" t="s">
        <v>38</v>
      </c>
      <c r="H6" s="35">
        <v>15180.0</v>
      </c>
      <c r="I6" s="39"/>
      <c r="J6" s="42">
        <v>0.7878</v>
      </c>
      <c r="K6" s="35" t="s">
        <v>39</v>
      </c>
      <c r="L6" s="39"/>
      <c r="M6" s="39"/>
      <c r="N6" s="39"/>
      <c r="O6" s="39"/>
      <c r="P6" s="39"/>
      <c r="Q6" s="39"/>
      <c r="R6" s="35">
        <v>11958.804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34"/>
      <c r="B7" s="47">
        <v>42919.0</v>
      </c>
      <c r="C7" s="35" t="s">
        <v>35</v>
      </c>
      <c r="D7" s="34"/>
      <c r="E7" s="42" t="s">
        <v>40</v>
      </c>
      <c r="F7" s="35" t="s">
        <v>37</v>
      </c>
      <c r="G7" s="42" t="s">
        <v>41</v>
      </c>
      <c r="H7" s="34"/>
      <c r="I7" s="35">
        <v>11958.804</v>
      </c>
      <c r="J7" s="42">
        <v>1.0</v>
      </c>
      <c r="K7" s="42" t="s">
        <v>39</v>
      </c>
      <c r="L7" s="34"/>
      <c r="M7" s="34"/>
      <c r="N7" s="34"/>
      <c r="O7" s="34"/>
      <c r="P7" s="39"/>
      <c r="Q7" s="39"/>
      <c r="R7" s="39"/>
      <c r="S7" s="35">
        <v>11958.804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36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IFERROR(__xludf.DUMMYFUNCTION("""COMPUTED_VALUE"""),"Date")</f>
        <v>Date</v>
      </c>
      <c r="C5" s="17" t="str">
        <f>IFERROR(__xludf.DUMMYFUNCTION("""COMPUTED_VALUE"""),"Account")</f>
        <v>Account</v>
      </c>
      <c r="D5" s="17" t="str">
        <f>IFERROR(__xludf.DUMMYFUNCTION("""COMPUTED_VALUE"""),"Symbol")</f>
        <v>Symbol</v>
      </c>
      <c r="E5" s="17" t="str">
        <f>IFERROR(__xludf.DUMMYFUNCTION("""COMPUTED_VALUE"""),"Currency")</f>
        <v>Currency</v>
      </c>
      <c r="F5" s="17" t="str">
        <f>IFERROR(__xludf.DUMMYFUNCTION("""COMPUTED_VALUE"""),"Cash Sub-Account")</f>
        <v>Cash Sub-Account</v>
      </c>
      <c r="G5" s="17" t="str">
        <f>IFERROR(__xludf.DUMMYFUNCTION("""COMPUTED_VALUE"""),"Account Side")</f>
        <v>Account Side</v>
      </c>
      <c r="H5" s="17" t="str">
        <f>IFERROR(__xludf.DUMMYFUNCTION("""COMPUTED_VALUE"""),"DR")</f>
        <v>DR</v>
      </c>
      <c r="I5" s="17" t="str">
        <f>IFERROR(__xludf.DUMMYFUNCTION("""COMPUTED_VALUE"""),"CR")</f>
        <v>CR</v>
      </c>
      <c r="J5" s="17" t="str">
        <f>IFERROR(__xludf.DUMMYFUNCTION("""COMPUTED_VALUE"""),"Fx Rate")</f>
        <v>Fx Rate</v>
      </c>
      <c r="K5" s="17" t="str">
        <f>IFERROR(__xludf.DUMMYFUNCTION("""COMPUTED_VALUE"""),"FX Conversion Method Operator")</f>
        <v>FX Conversion Method Operator</v>
      </c>
      <c r="L5" s="17" t="str">
        <f>IFERROR(__xludf.DUMMYFUNCTION("""COMPUTED_VALUE"""),"Description")</f>
        <v>Description</v>
      </c>
      <c r="M5" s="17" t="str">
        <f>IFERROR(__xludf.DUMMYFUNCTION("""COMPUTED_VALUE"""),"Modify Date")</f>
        <v>Modify Date</v>
      </c>
      <c r="N5" s="17" t="str">
        <f>IFERROR(__xludf.DUMMYFUNCTION("""COMPUTED_VALUE"""),"Entry Date")</f>
        <v>Entry Date</v>
      </c>
      <c r="O5" s="17" t="str">
        <f>IFERROR(__xludf.DUMMYFUNCTION("""COMPUTED_VALUE"""),"User")</f>
        <v>User</v>
      </c>
      <c r="P5" s="17" t="str">
        <f>IFERROR(__xludf.DUMMYFUNCTION("""COMPUTED_VALUE"""),"TransactionSource")</f>
        <v>TransactionSource</v>
      </c>
      <c r="Q5" s="17" t="str">
        <f>IFERROR(__xludf.DUMMYFUNCTION("""COMPUTED_VALUE"""),"Base Currency")</f>
        <v>Base Currency</v>
      </c>
      <c r="R5" s="17" t="str">
        <f>IFERROR(__xludf.DUMMYFUNCTION("""COMPUTED_VALUE"""),"DR (Base)")</f>
        <v>DR (Base)</v>
      </c>
      <c r="S5" s="17" t="str">
        <f>IFERROR(__xludf.DUMMYFUNCTION("""COMPUTED_VALUE"""),"CR (Base)")</f>
        <v>CR (Base)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34"/>
      <c r="B6" s="48">
        <v>42920.0</v>
      </c>
      <c r="C6" s="35" t="s">
        <v>35</v>
      </c>
      <c r="D6" s="39"/>
      <c r="E6" s="35" t="s">
        <v>40</v>
      </c>
      <c r="F6" s="35" t="s">
        <v>37</v>
      </c>
      <c r="G6" s="35" t="s">
        <v>38</v>
      </c>
      <c r="H6" s="35">
        <v>32187.613</v>
      </c>
      <c r="I6" s="39"/>
      <c r="J6" s="35">
        <v>1.0</v>
      </c>
      <c r="K6" s="35" t="s">
        <v>39</v>
      </c>
      <c r="L6" s="39"/>
      <c r="M6" s="39"/>
      <c r="N6" s="39"/>
      <c r="O6" s="39"/>
      <c r="P6" s="39"/>
      <c r="Q6" s="39"/>
      <c r="R6" s="35">
        <v>32187.613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34"/>
      <c r="B7" s="48">
        <v>42920.0</v>
      </c>
      <c r="C7" s="35" t="s">
        <v>35</v>
      </c>
      <c r="D7" s="34"/>
      <c r="E7" s="42" t="s">
        <v>31</v>
      </c>
      <c r="F7" s="35" t="s">
        <v>37</v>
      </c>
      <c r="G7" s="42" t="s">
        <v>41</v>
      </c>
      <c r="H7" s="34"/>
      <c r="I7" s="35">
        <v>25670.0</v>
      </c>
      <c r="J7" s="42">
        <v>1.2539</v>
      </c>
      <c r="K7" s="42" t="s">
        <v>39</v>
      </c>
      <c r="L7" s="34"/>
      <c r="M7" s="34"/>
      <c r="N7" s="34"/>
      <c r="O7" s="34"/>
      <c r="P7" s="39"/>
      <c r="Q7" s="39"/>
      <c r="R7" s="39"/>
      <c r="S7" s="35">
        <v>32187.613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36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IFERROR(__xludf.DUMMYFUNCTION("""COMPUTED_VALUE"""),"Date")</f>
        <v>Date</v>
      </c>
      <c r="C5" s="17" t="str">
        <f>IFERROR(__xludf.DUMMYFUNCTION("""COMPUTED_VALUE"""),"Account")</f>
        <v>Account</v>
      </c>
      <c r="D5" s="17" t="str">
        <f>IFERROR(__xludf.DUMMYFUNCTION("""COMPUTED_VALUE"""),"Symbol")</f>
        <v>Symbol</v>
      </c>
      <c r="E5" s="17" t="str">
        <f>IFERROR(__xludf.DUMMYFUNCTION("""COMPUTED_VALUE"""),"Currency")</f>
        <v>Currency</v>
      </c>
      <c r="F5" s="17" t="str">
        <f>IFERROR(__xludf.DUMMYFUNCTION("""COMPUTED_VALUE"""),"Cash Sub-Account")</f>
        <v>Cash Sub-Account</v>
      </c>
      <c r="G5" s="17" t="str">
        <f>IFERROR(__xludf.DUMMYFUNCTION("""COMPUTED_VALUE"""),"Account Side")</f>
        <v>Account Side</v>
      </c>
      <c r="H5" s="17" t="str">
        <f>IFERROR(__xludf.DUMMYFUNCTION("""COMPUTED_VALUE"""),"DR")</f>
        <v>DR</v>
      </c>
      <c r="I5" s="17" t="str">
        <f>IFERROR(__xludf.DUMMYFUNCTION("""COMPUTED_VALUE"""),"CR")</f>
        <v>CR</v>
      </c>
      <c r="J5" s="17" t="str">
        <f>IFERROR(__xludf.DUMMYFUNCTION("""COMPUTED_VALUE"""),"Fx Rate")</f>
        <v>Fx Rate</v>
      </c>
      <c r="K5" s="17" t="str">
        <f>IFERROR(__xludf.DUMMYFUNCTION("""COMPUTED_VALUE"""),"FX Conversion Method Operator")</f>
        <v>FX Conversion Method Operator</v>
      </c>
      <c r="L5" s="17" t="str">
        <f>IFERROR(__xludf.DUMMYFUNCTION("""COMPUTED_VALUE"""),"Description")</f>
        <v>Description</v>
      </c>
      <c r="M5" s="17" t="str">
        <f>IFERROR(__xludf.DUMMYFUNCTION("""COMPUTED_VALUE"""),"Modify Date")</f>
        <v>Modify Date</v>
      </c>
      <c r="N5" s="17" t="str">
        <f>IFERROR(__xludf.DUMMYFUNCTION("""COMPUTED_VALUE"""),"Entry Date")</f>
        <v>Entry Date</v>
      </c>
      <c r="O5" s="17" t="str">
        <f>IFERROR(__xludf.DUMMYFUNCTION("""COMPUTED_VALUE"""),"User")</f>
        <v>User</v>
      </c>
      <c r="P5" s="17" t="str">
        <f>IFERROR(__xludf.DUMMYFUNCTION("""COMPUTED_VALUE"""),"TransactionSource")</f>
        <v>TransactionSource</v>
      </c>
      <c r="Q5" s="17" t="str">
        <f>IFERROR(__xludf.DUMMYFUNCTION("""COMPUTED_VALUE"""),"Base Currency")</f>
        <v>Base Currency</v>
      </c>
      <c r="R5" s="17" t="str">
        <f>IFERROR(__xludf.DUMMYFUNCTION("""COMPUTED_VALUE"""),"DR (Base)")</f>
        <v>DR (Base)</v>
      </c>
      <c r="S5" s="17" t="str">
        <f>IFERROR(__xludf.DUMMYFUNCTION("""COMPUTED_VALUE"""),"CR (Base)")</f>
        <v>CR (Base)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19"/>
      <c r="B6" s="48">
        <v>42920.0</v>
      </c>
      <c r="C6" s="35" t="s">
        <v>35</v>
      </c>
      <c r="D6" s="49"/>
      <c r="E6" s="50" t="s">
        <v>25</v>
      </c>
      <c r="F6" s="35" t="s">
        <v>37</v>
      </c>
      <c r="G6" s="35" t="s">
        <v>38</v>
      </c>
      <c r="H6" s="50">
        <v>20000.0</v>
      </c>
      <c r="I6" s="49"/>
      <c r="J6" s="50">
        <v>1.403</v>
      </c>
      <c r="K6" s="35" t="s">
        <v>39</v>
      </c>
      <c r="L6" s="49"/>
      <c r="M6" s="49"/>
      <c r="N6" s="49"/>
      <c r="O6" s="49"/>
      <c r="P6" s="49"/>
      <c r="Q6" s="49"/>
      <c r="R6" s="51">
        <v>28060.0</v>
      </c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</row>
    <row r="7" ht="15.75" customHeight="1">
      <c r="A7" s="19"/>
      <c r="B7" s="48">
        <v>42920.0</v>
      </c>
      <c r="C7" s="35" t="s">
        <v>35</v>
      </c>
      <c r="D7" s="19"/>
      <c r="E7" s="51" t="s">
        <v>40</v>
      </c>
      <c r="F7" s="35" t="s">
        <v>37</v>
      </c>
      <c r="G7" s="42" t="s">
        <v>41</v>
      </c>
      <c r="H7" s="19"/>
      <c r="I7" s="51">
        <v>28060.0</v>
      </c>
      <c r="J7" s="51">
        <v>1.0</v>
      </c>
      <c r="K7" s="42" t="s">
        <v>39</v>
      </c>
      <c r="L7" s="19"/>
      <c r="M7" s="19"/>
      <c r="N7" s="19"/>
      <c r="O7" s="19"/>
      <c r="P7" s="49"/>
      <c r="Q7" s="49"/>
      <c r="R7" s="49"/>
      <c r="S7" s="51">
        <v>28060.0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8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42</v>
      </c>
      <c r="D3" s="10" t="s">
        <v>3</v>
      </c>
      <c r="E3" s="11" t="s">
        <v>43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>
      <c r="A4" s="14"/>
      <c r="B4" s="14" t="str">
        <f>IFERROR(__xludf.DUMMYFUNCTION("IF(C3="""","""",Transpose(IMPORTRANGE('_Settings'!$B$3,C3&amp;""!A4:A1000"")))"),"UpdateBeta")</f>
        <v>UpdateBeta</v>
      </c>
      <c r="C4" s="14" t="str">
        <f>IFERROR(__xludf.DUMMYFUNCTION("""COMPUTED_VALUE"""),"UpdateDailyCash")</f>
        <v>UpdateDailyCash</v>
      </c>
      <c r="D4" s="14" t="str">
        <f>IFERROR(__xludf.DUMMYFUNCTION("""COMPUTED_VALUE"""),"UpdateForexConversion")</f>
        <v>UpdateForexConversion</v>
      </c>
      <c r="E4" s="14" t="str">
        <f>IFERROR(__xludf.DUMMYFUNCTION("""COMPUTED_VALUE"""),"UpdateMarkPrice")</f>
        <v>UpdateMarkPrice</v>
      </c>
      <c r="F4" s="14" t="str">
        <f>IFERROR(__xludf.DUMMYFUNCTION("""COMPUTED_VALUE"""),"CleanUp")</f>
        <v>CleanUp</v>
      </c>
      <c r="G4" s="14" t="str">
        <f>IFERROR(__xludf.DUMMYFUNCTION("""COMPUTED_VALUE"""),"GetMarkPriceData")</f>
        <v>GetMarkPriceData</v>
      </c>
      <c r="H4" s="14" t="str">
        <f>IFERROR(__xludf.DUMMYFUNCTION("""COMPUTED_VALUE"""),"GetForwardPoints")</f>
        <v>GetForwardPoints</v>
      </c>
      <c r="I4" s="14" t="str">
        <f>IFERROR(__xludf.DUMMYFUNCTION("""COMPUTED_VALUE"""),"UpdateForwardPoints")</f>
        <v>UpdateForwardPoints</v>
      </c>
      <c r="J4" s="14" t="str">
        <f>IFERROR(__xludf.DUMMYFUNCTION("""COMPUTED_VALUE"""),"GetForexConversion")</f>
        <v>GetForexConversion</v>
      </c>
      <c r="K4" s="14" t="str">
        <f>IFERROR(__xludf.DUMMYFUNCTION("""COMPUTED_VALUE"""),"DeleteNAV")</f>
        <v>DeleteNAV</v>
      </c>
      <c r="L4" s="14" t="str">
        <f>IFERROR(__xludf.DUMMYFUNCTION("""COMPUTED_VALUE"""),"GetDailyCash")</f>
        <v>GetDailyCash</v>
      </c>
      <c r="M4" s="14" t="str">
        <f>IFERROR(__xludf.DUMMYFUNCTION("""COMPUTED_VALUE"""),"GetDailyBeta")</f>
        <v>GetDailyBeta</v>
      </c>
      <c r="N4" s="14" t="str">
        <f>IFERROR(__xludf.DUMMYFUNCTION("""COMPUTED_VALUE"""),"GetDailyVolatility")</f>
        <v>GetDailyVolatility</v>
      </c>
      <c r="O4" s="14" t="str">
        <f>IFERROR(__xludf.DUMMYFUNCTION("""COMPUTED_VALUE"""),"GetDailyDividendYield")</f>
        <v>GetDailyDividendYield</v>
      </c>
      <c r="P4" s="15" t="str">
        <f>IFERROR(__xludf.DUMMYFUNCTION("""COMPUTED_VALUE"""),"GetDailyTradingVolume")</f>
        <v>GetDailyTradingVolume</v>
      </c>
      <c r="Q4" s="15" t="str">
        <f>IFERROR(__xludf.DUMMYFUNCTION("""COMPUTED_VALUE"""),"GetDailyOutstandings")</f>
        <v>GetDailyOutstandings</v>
      </c>
      <c r="R4" s="15" t="str">
        <f>IFERROR(__xludf.DUMMYFUNCTION("""COMPUTED_VALUE"""),"GetDailyDelta")</f>
        <v>GetDailyDelta</v>
      </c>
      <c r="S4" s="15" t="str">
        <f>IFERROR(__xludf.DUMMYFUNCTION("""COMPUTED_VALUE"""),"UpdateDailyVolatility")</f>
        <v>UpdateDailyVolatility</v>
      </c>
      <c r="T4" s="15" t="str">
        <f>IFERROR(__xludf.DUMMYFUNCTION("""COMPUTED_VALUE"""),"UpdateDividendYield")</f>
        <v>UpdateDividendYield</v>
      </c>
      <c r="U4" s="15" t="str">
        <f>IFERROR(__xludf.DUMMYFUNCTION("""COMPUTED_VALUE"""),"UpdateTradingVolume")</f>
        <v>UpdateTradingVolume</v>
      </c>
      <c r="V4" s="15" t="str">
        <f>IFERROR(__xludf.DUMMYFUNCTION("""COMPUTED_VALUE"""),"UpdateDailyDelta")</f>
        <v>UpdateDailyDelta</v>
      </c>
      <c r="W4" s="15" t="str">
        <f>IFERROR(__xludf.DUMMYFUNCTION("""COMPUTED_VALUE"""),"UpdateDailyOutstandings")</f>
        <v>UpdateDailyOutstandings</v>
      </c>
      <c r="X4" s="15" t="str">
        <f>IFERROR(__xludf.DUMMYFUNCTION("""COMPUTED_VALUE"""),"UpdateBeta")</f>
        <v>UpdateBeta</v>
      </c>
      <c r="Y4" s="15" t="str">
        <f>IFERROR(__xludf.DUMMYFUNCTION("""COMPUTED_VALUE"""),"UpdateNAV")</f>
        <v>UpdateNAV</v>
      </c>
      <c r="Z4" s="15" t="str">
        <f>IFERROR(__xludf.DUMMYFUNCTION("""COMPUTED_VALUE"""),"UpdateDailyCash")</f>
        <v>UpdateDailyCash</v>
      </c>
      <c r="AA4" s="15" t="str">
        <f>IFERROR(__xludf.DUMMYFUNCTION("""COMPUTED_VALUE"""),"UpdateDailyCreditLimt")</f>
        <v>UpdateDailyCreditLimt</v>
      </c>
      <c r="AB4" s="15" t="str">
        <f>IFERROR(__xludf.DUMMYFUNCTION("""COMPUTED_VALUE"""),"RemoveDailyCreditLimit")</f>
        <v>RemoveDailyCreditLimit</v>
      </c>
      <c r="AC4" s="15" t="str">
        <f>IFERROR(__xludf.DUMMYFUNCTION("""COMPUTED_VALUE"""),"RemoveDailyCash")</f>
        <v>RemoveDailyCash</v>
      </c>
      <c r="AD4" s="15" t="str">
        <f>IFERROR(__xludf.DUMMYFUNCTION("""COMPUTED_VALUE"""),"RemoveNAV")</f>
        <v>RemoveNAV</v>
      </c>
      <c r="AE4" s="15" t="str">
        <f>IFERROR(__xludf.DUMMYFUNCTION("""COMPUTED_VALUE"""),"UpdateForexConversionMonthly")</f>
        <v>UpdateForexConversionMonthly</v>
      </c>
      <c r="AF4" s="15" t="str">
        <f>IFERROR(__xludf.DUMMYFUNCTION("""COMPUTED_VALUE"""),"UpdateMarkPriceMonthly")</f>
        <v>UpdateMarkPriceMonthly</v>
      </c>
      <c r="AG4" s="15" t="str">
        <f>IFERROR(__xludf.DUMMYFUNCTION("""COMPUTED_VALUE"""),"VerifyDailyCash")</f>
        <v>VerifyDailyCash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IFERROR(__xludf.DUMMYFUNCTION("""COMPUTED_VALUE"""),"From Currency")</f>
        <v>From Currency</v>
      </c>
      <c r="C5" s="17" t="str">
        <f>IFERROR(__xludf.DUMMYFUNCTION("""COMPUTED_VALUE"""),"To Currency")</f>
        <v>To Currency</v>
      </c>
      <c r="D5" s="17" t="str">
        <f>IFERROR(__xludf.DUMMYFUNCTION("""COMPUTED_VALUE"""),"Symbol")</f>
        <v>Symbol</v>
      </c>
      <c r="E5" s="33" t="str">
        <f>IFERROR(__xludf.DUMMYFUNCTION("""COMPUTED_VALUE"""),"Date")</f>
        <v>Date</v>
      </c>
      <c r="F5" s="52" t="str">
        <f>IFERROR(__xludf.DUMMYFUNCTION("""COMPUTED_VALUE"""),"Price")</f>
        <v>Price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2" t="s">
        <v>29</v>
      </c>
      <c r="C6" s="22" t="s">
        <v>40</v>
      </c>
      <c r="D6" s="22" t="s">
        <v>44</v>
      </c>
      <c r="E6" s="40">
        <v>42919.0</v>
      </c>
      <c r="F6" s="22">
        <v>0.7878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53" t="s">
        <v>40</v>
      </c>
      <c r="C7" s="53" t="s">
        <v>31</v>
      </c>
      <c r="D7" s="41" t="s">
        <v>45</v>
      </c>
      <c r="E7" s="40">
        <v>42919.0</v>
      </c>
      <c r="F7" s="22">
        <v>1.259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51" t="s">
        <v>25</v>
      </c>
      <c r="C8" s="51" t="s">
        <v>40</v>
      </c>
      <c r="D8" s="51" t="s">
        <v>46</v>
      </c>
      <c r="E8" s="40">
        <v>42919.0</v>
      </c>
      <c r="F8" s="51">
        <v>1.403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22" t="s">
        <v>29</v>
      </c>
      <c r="C9" s="22" t="s">
        <v>40</v>
      </c>
      <c r="D9" s="22" t="s">
        <v>44</v>
      </c>
      <c r="E9" s="45">
        <v>42920.0</v>
      </c>
      <c r="F9" s="22">
        <v>0.7896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53" t="s">
        <v>40</v>
      </c>
      <c r="C10" s="53" t="s">
        <v>31</v>
      </c>
      <c r="D10" s="41" t="s">
        <v>45</v>
      </c>
      <c r="E10" s="45">
        <v>42920.0</v>
      </c>
      <c r="F10" s="22">
        <v>1.252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41" t="s">
        <v>25</v>
      </c>
      <c r="C11" s="41" t="s">
        <v>40</v>
      </c>
      <c r="D11" s="41" t="s">
        <v>46</v>
      </c>
      <c r="E11" s="45">
        <v>42920.0</v>
      </c>
      <c r="F11" s="54">
        <v>1.413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53"/>
      <c r="C13" s="53"/>
      <c r="D13" s="41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41"/>
      <c r="C14" s="41"/>
      <c r="D14" s="41"/>
      <c r="E14" s="54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47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IFERROR(__xludf.DUMMYFUNCTION("""COMPUTED_VALUE"""),"Date")</f>
        <v>Date</v>
      </c>
      <c r="C5" s="33" t="str">
        <f>IFERROR(__xludf.DUMMYFUNCTION("""COMPUTED_VALUE"""),"Account")</f>
        <v>Account</v>
      </c>
      <c r="D5" s="33" t="str">
        <f>IFERROR(__xludf.DUMMYFUNCTION("""COMPUTED_VALUE"""),"Symbol")</f>
        <v>Symbol</v>
      </c>
      <c r="E5" s="33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3" t="str">
        <f>IFERROR(__xludf.DUMMYFUNCTION("""COMPUTED_VALUE"""),"DR")</f>
        <v>DR</v>
      </c>
      <c r="H5" s="33" t="str">
        <f>IFERROR(__xludf.DUMMYFUNCTION("""COMPUTED_VALUE"""),"CR")</f>
        <v>CR</v>
      </c>
      <c r="I5" s="33" t="str">
        <f>IFERROR(__xludf.DUMMYFUNCTION("""COMPUTED_VALUE"""),"Modify Date")</f>
        <v>Modify Date</v>
      </c>
      <c r="J5" s="33" t="str">
        <f>IFERROR(__xludf.DUMMYFUNCTION("""COMPUTED_VALUE"""),"Entry Date")</f>
        <v>Entry Date</v>
      </c>
      <c r="K5" s="33" t="str">
        <f>IFERROR(__xludf.DUMMYFUNCTION("""COMPUTED_VALUE"""),"User")</f>
        <v>User</v>
      </c>
      <c r="L5" s="33" t="str">
        <f>IFERROR(__xludf.DUMMYFUNCTION("""COMPUTED_VALUE"""),"Fx Rate")</f>
        <v>Fx Rate</v>
      </c>
      <c r="M5" s="33" t="str">
        <f>IFERROR(__xludf.DUMMYFUNCTION("""COMPUTED_VALUE"""),"FX Conversion Method Operator")</f>
        <v>FX Conversion Method Operator</v>
      </c>
      <c r="N5" s="33" t="str">
        <f>IFERROR(__xludf.DUMMYFUNCTION("""COMPUTED_VALUE"""),"Account Side")</f>
        <v>Account Side</v>
      </c>
      <c r="O5" s="33" t="str">
        <f>IFERROR(__xludf.DUMMYFUNCTION("""COMPUTED_VALUE"""),"TransactionSource")</f>
        <v>TransactionSource</v>
      </c>
      <c r="P5" s="33" t="str">
        <f>IFERROR(__xludf.DUMMYFUNCTION("""COMPUTED_VALUE"""),"Base Currency")</f>
        <v>Base Currency</v>
      </c>
      <c r="Q5" s="33" t="str">
        <f>IFERROR(__xludf.DUMMYFUNCTION("""COMPUTED_VALUE"""),"Description")</f>
        <v>Description</v>
      </c>
      <c r="R5" s="33" t="str">
        <f>IFERROR(__xludf.DUMMYFUNCTION("""COMPUTED_VALUE"""),"DR (Base)")</f>
        <v>DR (Base)</v>
      </c>
      <c r="S5" s="33" t="str">
        <f>IFERROR(__xludf.DUMMYFUNCTION("""COMPUTED_VALUE"""),"CR (Base)")</f>
        <v>CR (Base)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55"/>
      <c r="B6" s="56">
        <v>42919.0</v>
      </c>
      <c r="C6" s="57" t="s">
        <v>35</v>
      </c>
      <c r="D6" s="58"/>
      <c r="E6" s="57" t="s">
        <v>29</v>
      </c>
      <c r="F6" s="57" t="s">
        <v>37</v>
      </c>
      <c r="G6" s="57">
        <v>15180.0</v>
      </c>
      <c r="H6" s="57">
        <v>0.0</v>
      </c>
      <c r="I6" s="59"/>
      <c r="J6" s="59"/>
      <c r="K6" s="57"/>
      <c r="L6" s="60">
        <v>0.7878</v>
      </c>
      <c r="M6" s="57" t="s">
        <v>39</v>
      </c>
      <c r="N6" s="57" t="s">
        <v>38</v>
      </c>
      <c r="O6" s="57" t="s">
        <v>48</v>
      </c>
      <c r="P6" s="57" t="s">
        <v>40</v>
      </c>
      <c r="Q6" s="58"/>
      <c r="R6" s="57">
        <v>11958.8</v>
      </c>
      <c r="S6" s="57">
        <v>0.0</v>
      </c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</row>
    <row r="7" ht="15.75" customHeight="1">
      <c r="A7" s="55"/>
      <c r="B7" s="56">
        <v>42919.0</v>
      </c>
      <c r="C7" s="57" t="s">
        <v>35</v>
      </c>
      <c r="D7" s="55"/>
      <c r="E7" s="60" t="s">
        <v>40</v>
      </c>
      <c r="F7" s="57" t="s">
        <v>37</v>
      </c>
      <c r="G7" s="60">
        <v>0.0</v>
      </c>
      <c r="H7" s="57">
        <v>11958.8</v>
      </c>
      <c r="I7" s="61"/>
      <c r="J7" s="61"/>
      <c r="K7" s="60"/>
      <c r="L7" s="60">
        <v>1.0</v>
      </c>
      <c r="M7" s="60" t="s">
        <v>39</v>
      </c>
      <c r="N7" s="60" t="s">
        <v>41</v>
      </c>
      <c r="O7" s="60" t="s">
        <v>48</v>
      </c>
      <c r="P7" s="57" t="s">
        <v>40</v>
      </c>
      <c r="Q7" s="58"/>
      <c r="R7" s="57">
        <v>0.0</v>
      </c>
      <c r="S7" s="57">
        <v>11958.8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</row>
    <row r="8" ht="15.75" customHeight="1">
      <c r="A8" s="55"/>
      <c r="B8" s="56">
        <v>42920.0</v>
      </c>
      <c r="C8" s="57" t="s">
        <v>35</v>
      </c>
      <c r="D8" s="58"/>
      <c r="E8" s="57" t="s">
        <v>40</v>
      </c>
      <c r="F8" s="57" t="s">
        <v>37</v>
      </c>
      <c r="G8" s="57">
        <v>32187.61</v>
      </c>
      <c r="H8" s="57">
        <v>0.0</v>
      </c>
      <c r="I8" s="61"/>
      <c r="J8" s="61"/>
      <c r="K8" s="60"/>
      <c r="L8" s="57">
        <v>1.0</v>
      </c>
      <c r="M8" s="57" t="s">
        <v>39</v>
      </c>
      <c r="N8" s="60" t="s">
        <v>38</v>
      </c>
      <c r="O8" s="60" t="s">
        <v>48</v>
      </c>
      <c r="P8" s="57" t="s">
        <v>40</v>
      </c>
      <c r="Q8" s="58"/>
      <c r="R8" s="57">
        <v>32187.61</v>
      </c>
      <c r="S8" s="57">
        <v>0.0</v>
      </c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</row>
    <row r="9" ht="15.75" customHeight="1">
      <c r="A9" s="55"/>
      <c r="B9" s="56">
        <v>42920.0</v>
      </c>
      <c r="C9" s="57" t="s">
        <v>35</v>
      </c>
      <c r="D9" s="55"/>
      <c r="E9" s="60" t="s">
        <v>31</v>
      </c>
      <c r="F9" s="57" t="s">
        <v>37</v>
      </c>
      <c r="G9" s="60">
        <v>0.0</v>
      </c>
      <c r="H9" s="57">
        <v>25670.0</v>
      </c>
      <c r="I9" s="61"/>
      <c r="J9" s="61"/>
      <c r="K9" s="60"/>
      <c r="L9" s="60">
        <v>1.2539</v>
      </c>
      <c r="M9" s="60" t="s">
        <v>39</v>
      </c>
      <c r="N9" s="60" t="s">
        <v>41</v>
      </c>
      <c r="O9" s="60" t="s">
        <v>48</v>
      </c>
      <c r="P9" s="57" t="s">
        <v>40</v>
      </c>
      <c r="Q9" s="58"/>
      <c r="R9" s="57">
        <v>0.0</v>
      </c>
      <c r="S9" s="57">
        <v>32187.61</v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</row>
    <row r="10" ht="15.75" customHeight="1">
      <c r="A10" s="55"/>
      <c r="B10" s="56">
        <v>42920.0</v>
      </c>
      <c r="C10" s="57" t="s">
        <v>35</v>
      </c>
      <c r="D10" s="58"/>
      <c r="E10" s="57" t="s">
        <v>25</v>
      </c>
      <c r="F10" s="57" t="s">
        <v>37</v>
      </c>
      <c r="G10" s="57">
        <v>20000.0</v>
      </c>
      <c r="H10" s="57">
        <v>0.0</v>
      </c>
      <c r="I10" s="59"/>
      <c r="J10" s="59"/>
      <c r="K10" s="60"/>
      <c r="L10" s="57">
        <v>1.403</v>
      </c>
      <c r="M10" s="57" t="s">
        <v>39</v>
      </c>
      <c r="N10" s="60" t="s">
        <v>38</v>
      </c>
      <c r="O10" s="60" t="s">
        <v>48</v>
      </c>
      <c r="P10" s="57" t="s">
        <v>40</v>
      </c>
      <c r="Q10" s="58"/>
      <c r="R10" s="60">
        <v>28060.0</v>
      </c>
      <c r="S10" s="57">
        <v>0.0</v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ht="15.75" customHeight="1">
      <c r="A11" s="55"/>
      <c r="B11" s="56">
        <v>42920.0</v>
      </c>
      <c r="C11" s="57" t="s">
        <v>35</v>
      </c>
      <c r="D11" s="55"/>
      <c r="E11" s="60" t="s">
        <v>40</v>
      </c>
      <c r="F11" s="57" t="s">
        <v>37</v>
      </c>
      <c r="G11" s="60">
        <v>0.0</v>
      </c>
      <c r="H11" s="60">
        <v>28060.0</v>
      </c>
      <c r="I11" s="61"/>
      <c r="J11" s="61"/>
      <c r="K11" s="60"/>
      <c r="L11" s="60">
        <v>1.0</v>
      </c>
      <c r="M11" s="60" t="s">
        <v>39</v>
      </c>
      <c r="N11" s="60" t="s">
        <v>41</v>
      </c>
      <c r="O11" s="60" t="s">
        <v>48</v>
      </c>
      <c r="P11" s="57" t="s">
        <v>40</v>
      </c>
      <c r="Q11" s="58"/>
      <c r="R11" s="57">
        <v>0.0</v>
      </c>
      <c r="S11" s="60">
        <v>28060.0</v>
      </c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42</v>
      </c>
      <c r="D3" s="10" t="s">
        <v>3</v>
      </c>
      <c r="E3" s="11" t="s">
        <v>49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IFERROR(__xludf.DUMMYFUNCTION("IF(C3="""","""",Transpose(IMPORTRANGE('_Settings'!$B$3,C3&amp;""!A4:A1000"")))"),"UpdateBeta")</f>
        <v>UpdateBeta</v>
      </c>
      <c r="C4" s="14" t="str">
        <f>IFERROR(__xludf.DUMMYFUNCTION("""COMPUTED_VALUE"""),"UpdateDailyCash")</f>
        <v>UpdateDailyCash</v>
      </c>
      <c r="D4" s="14" t="str">
        <f>IFERROR(__xludf.DUMMYFUNCTION("""COMPUTED_VALUE"""),"UpdateForexConversion")</f>
        <v>UpdateForexConversion</v>
      </c>
      <c r="E4" s="14" t="str">
        <f>IFERROR(__xludf.DUMMYFUNCTION("""COMPUTED_VALUE"""),"UpdateMarkPrice")</f>
        <v>UpdateMarkPrice</v>
      </c>
      <c r="F4" s="14" t="str">
        <f>IFERROR(__xludf.DUMMYFUNCTION("""COMPUTED_VALUE"""),"CleanUp")</f>
        <v>CleanUp</v>
      </c>
      <c r="G4" s="14" t="str">
        <f>IFERROR(__xludf.DUMMYFUNCTION("""COMPUTED_VALUE"""),"GetMarkPriceData")</f>
        <v>GetMarkPriceData</v>
      </c>
      <c r="H4" s="14" t="str">
        <f>IFERROR(__xludf.DUMMYFUNCTION("""COMPUTED_VALUE"""),"GetForwardPoints")</f>
        <v>GetForwardPoints</v>
      </c>
      <c r="I4" s="14" t="str">
        <f>IFERROR(__xludf.DUMMYFUNCTION("""COMPUTED_VALUE"""),"UpdateForwardPoints")</f>
        <v>UpdateForwardPoints</v>
      </c>
      <c r="J4" s="14" t="str">
        <f>IFERROR(__xludf.DUMMYFUNCTION("""COMPUTED_VALUE"""),"GetForexConversion")</f>
        <v>GetForexConversion</v>
      </c>
      <c r="K4" s="14" t="str">
        <f>IFERROR(__xludf.DUMMYFUNCTION("""COMPUTED_VALUE"""),"DeleteNAV")</f>
        <v>DeleteNAV</v>
      </c>
      <c r="L4" s="14" t="str">
        <f>IFERROR(__xludf.DUMMYFUNCTION("""COMPUTED_VALUE"""),"GetDailyCash")</f>
        <v>GetDailyCash</v>
      </c>
      <c r="M4" s="14" t="str">
        <f>IFERROR(__xludf.DUMMYFUNCTION("""COMPUTED_VALUE"""),"GetDailyBeta")</f>
        <v>GetDailyBeta</v>
      </c>
      <c r="N4" s="14" t="str">
        <f>IFERROR(__xludf.DUMMYFUNCTION("""COMPUTED_VALUE"""),"GetDailyVolatility")</f>
        <v>GetDailyVolatility</v>
      </c>
      <c r="O4" s="14" t="str">
        <f>IFERROR(__xludf.DUMMYFUNCTION("""COMPUTED_VALUE"""),"GetDailyDividendYield")</f>
        <v>GetDailyDividendYield</v>
      </c>
      <c r="P4" s="15" t="str">
        <f>IFERROR(__xludf.DUMMYFUNCTION("""COMPUTED_VALUE"""),"GetDailyTradingVolume")</f>
        <v>GetDailyTradingVolume</v>
      </c>
      <c r="Q4" s="15" t="str">
        <f>IFERROR(__xludf.DUMMYFUNCTION("""COMPUTED_VALUE"""),"GetDailyOutstandings")</f>
        <v>GetDailyOutstandings</v>
      </c>
      <c r="R4" s="15" t="str">
        <f>IFERROR(__xludf.DUMMYFUNCTION("""COMPUTED_VALUE"""),"GetDailyDelta")</f>
        <v>GetDailyDelta</v>
      </c>
      <c r="S4" s="15" t="str">
        <f>IFERROR(__xludf.DUMMYFUNCTION("""COMPUTED_VALUE"""),"UpdateDailyVolatility")</f>
        <v>UpdateDailyVolatility</v>
      </c>
      <c r="T4" s="15" t="str">
        <f>IFERROR(__xludf.DUMMYFUNCTION("""COMPUTED_VALUE"""),"UpdateDividendYield")</f>
        <v>UpdateDividendYield</v>
      </c>
      <c r="U4" s="15" t="str">
        <f>IFERROR(__xludf.DUMMYFUNCTION("""COMPUTED_VALUE"""),"UpdateTradingVolume")</f>
        <v>UpdateTradingVolume</v>
      </c>
      <c r="V4" s="15" t="str">
        <f>IFERROR(__xludf.DUMMYFUNCTION("""COMPUTED_VALUE"""),"UpdateDailyDelta")</f>
        <v>UpdateDailyDelta</v>
      </c>
      <c r="W4" s="15" t="str">
        <f>IFERROR(__xludf.DUMMYFUNCTION("""COMPUTED_VALUE"""),"UpdateDailyOutstandings")</f>
        <v>UpdateDailyOutstandings</v>
      </c>
      <c r="X4" s="15" t="str">
        <f>IFERROR(__xludf.DUMMYFUNCTION("""COMPUTED_VALUE"""),"UpdateBeta")</f>
        <v>UpdateBeta</v>
      </c>
      <c r="Y4" s="15" t="str">
        <f>IFERROR(__xludf.DUMMYFUNCTION("""COMPUTED_VALUE"""),"UpdateNAV")</f>
        <v>UpdateNAV</v>
      </c>
      <c r="Z4" s="15" t="str">
        <f>IFERROR(__xludf.DUMMYFUNCTION("""COMPUTED_VALUE"""),"UpdateDailyCash")</f>
        <v>UpdateDailyCash</v>
      </c>
      <c r="AA4" s="15" t="str">
        <f>IFERROR(__xludf.DUMMYFUNCTION("""COMPUTED_VALUE"""),"UpdateDailyCreditLimt")</f>
        <v>UpdateDailyCreditLimt</v>
      </c>
      <c r="AB4" s="15" t="str">
        <f>IFERROR(__xludf.DUMMYFUNCTION("""COMPUTED_VALUE"""),"RemoveDailyCreditLimit")</f>
        <v>RemoveDailyCreditLimit</v>
      </c>
      <c r="AC4" s="15" t="str">
        <f>IFERROR(__xludf.DUMMYFUNCTION("""COMPUTED_VALUE"""),"RemoveDailyCash")</f>
        <v>RemoveDailyCash</v>
      </c>
      <c r="AD4" s="15" t="str">
        <f>IFERROR(__xludf.DUMMYFUNCTION("""COMPUTED_VALUE"""),"RemoveNAV")</f>
        <v>RemoveNAV</v>
      </c>
      <c r="AE4" s="15" t="str">
        <f>IFERROR(__xludf.DUMMYFUNCTION("""COMPUTED_VALUE"""),"UpdateForexConversionMonthly")</f>
        <v>UpdateForexConversionMonthly</v>
      </c>
      <c r="AF4" s="15" t="str">
        <f>IFERROR(__xludf.DUMMYFUNCTION("""COMPUTED_VALUE"""),"UpdateMarkPriceMonthly")</f>
        <v>UpdateMarkPriceMonthly</v>
      </c>
      <c r="AG4" s="15" t="str">
        <f>IFERROR(__xludf.DUMMYFUNCTION("""COMPUTED_VALUE"""),"VerifyDailyCash")</f>
        <v>VerifyDailyCash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IFERROR(__xludf.DUMMYFUNCTION("""COMPUTED_VALUE"""),"Select Date")</f>
        <v>Select Date</v>
      </c>
      <c r="C5" s="17" t="str">
        <f>IFERROR(__xludf.DUMMYFUNCTION("""COMPUTED_VALUE"""),"Copy Date")</f>
        <v>Copy Date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62">
        <v>42919.0</v>
      </c>
      <c r="C6" s="6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42</v>
      </c>
      <c r="D3" s="10" t="s">
        <v>3</v>
      </c>
      <c r="E3" s="11" t="s">
        <v>50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IFERROR(__xludf.DUMMYFUNCTION("IF(C3="""","""",Transpose(IMPORTRANGE('_Settings'!$B$3,C3&amp;""!A4:A1000"")))"),"UpdateBeta")</f>
        <v>UpdateBeta</v>
      </c>
      <c r="C4" s="14" t="str">
        <f>IFERROR(__xludf.DUMMYFUNCTION("""COMPUTED_VALUE"""),"UpdateDailyCash")</f>
        <v>UpdateDailyCash</v>
      </c>
      <c r="D4" s="14" t="str">
        <f>IFERROR(__xludf.DUMMYFUNCTION("""COMPUTED_VALUE"""),"UpdateForexConversion")</f>
        <v>UpdateForexConversion</v>
      </c>
      <c r="E4" s="14" t="str">
        <f>IFERROR(__xludf.DUMMYFUNCTION("""COMPUTED_VALUE"""),"UpdateMarkPrice")</f>
        <v>UpdateMarkPrice</v>
      </c>
      <c r="F4" s="14" t="str">
        <f>IFERROR(__xludf.DUMMYFUNCTION("""COMPUTED_VALUE"""),"CleanUp")</f>
        <v>CleanUp</v>
      </c>
      <c r="G4" s="14" t="str">
        <f>IFERROR(__xludf.DUMMYFUNCTION("""COMPUTED_VALUE"""),"GetMarkPriceData")</f>
        <v>GetMarkPriceData</v>
      </c>
      <c r="H4" s="14" t="str">
        <f>IFERROR(__xludf.DUMMYFUNCTION("""COMPUTED_VALUE"""),"GetForwardPoints")</f>
        <v>GetForwardPoints</v>
      </c>
      <c r="I4" s="14" t="str">
        <f>IFERROR(__xludf.DUMMYFUNCTION("""COMPUTED_VALUE"""),"UpdateForwardPoints")</f>
        <v>UpdateForwardPoints</v>
      </c>
      <c r="J4" s="14" t="str">
        <f>IFERROR(__xludf.DUMMYFUNCTION("""COMPUTED_VALUE"""),"GetForexConversion")</f>
        <v>GetForexConversion</v>
      </c>
      <c r="K4" s="14" t="str">
        <f>IFERROR(__xludf.DUMMYFUNCTION("""COMPUTED_VALUE"""),"DeleteNAV")</f>
        <v>DeleteNAV</v>
      </c>
      <c r="L4" s="14" t="str">
        <f>IFERROR(__xludf.DUMMYFUNCTION("""COMPUTED_VALUE"""),"GetDailyCash")</f>
        <v>GetDailyCash</v>
      </c>
      <c r="M4" s="14" t="str">
        <f>IFERROR(__xludf.DUMMYFUNCTION("""COMPUTED_VALUE"""),"GetDailyBeta")</f>
        <v>GetDailyBeta</v>
      </c>
      <c r="N4" s="14" t="str">
        <f>IFERROR(__xludf.DUMMYFUNCTION("""COMPUTED_VALUE"""),"GetDailyVolatility")</f>
        <v>GetDailyVolatility</v>
      </c>
      <c r="O4" s="14" t="str">
        <f>IFERROR(__xludf.DUMMYFUNCTION("""COMPUTED_VALUE"""),"GetDailyDividendYield")</f>
        <v>GetDailyDividendYield</v>
      </c>
      <c r="P4" s="15" t="str">
        <f>IFERROR(__xludf.DUMMYFUNCTION("""COMPUTED_VALUE"""),"GetDailyTradingVolume")</f>
        <v>GetDailyTradingVolume</v>
      </c>
      <c r="Q4" s="15" t="str">
        <f>IFERROR(__xludf.DUMMYFUNCTION("""COMPUTED_VALUE"""),"GetDailyOutstandings")</f>
        <v>GetDailyOutstandings</v>
      </c>
      <c r="R4" s="15" t="str">
        <f>IFERROR(__xludf.DUMMYFUNCTION("""COMPUTED_VALUE"""),"GetDailyDelta")</f>
        <v>GetDailyDelta</v>
      </c>
      <c r="S4" s="15" t="str">
        <f>IFERROR(__xludf.DUMMYFUNCTION("""COMPUTED_VALUE"""),"UpdateDailyVolatility")</f>
        <v>UpdateDailyVolatility</v>
      </c>
      <c r="T4" s="15" t="str">
        <f>IFERROR(__xludf.DUMMYFUNCTION("""COMPUTED_VALUE"""),"UpdateDividendYield")</f>
        <v>UpdateDividendYield</v>
      </c>
      <c r="U4" s="15" t="str">
        <f>IFERROR(__xludf.DUMMYFUNCTION("""COMPUTED_VALUE"""),"UpdateTradingVolume")</f>
        <v>UpdateTradingVolume</v>
      </c>
      <c r="V4" s="15" t="str">
        <f>IFERROR(__xludf.DUMMYFUNCTION("""COMPUTED_VALUE"""),"UpdateDailyDelta")</f>
        <v>UpdateDailyDelta</v>
      </c>
      <c r="W4" s="15" t="str">
        <f>IFERROR(__xludf.DUMMYFUNCTION("""COMPUTED_VALUE"""),"UpdateDailyOutstandings")</f>
        <v>UpdateDailyOutstandings</v>
      </c>
      <c r="X4" s="15" t="str">
        <f>IFERROR(__xludf.DUMMYFUNCTION("""COMPUTED_VALUE"""),"UpdateBeta")</f>
        <v>UpdateBeta</v>
      </c>
      <c r="Y4" s="15" t="str">
        <f>IFERROR(__xludf.DUMMYFUNCTION("""COMPUTED_VALUE"""),"UpdateNAV")</f>
        <v>UpdateNAV</v>
      </c>
      <c r="Z4" s="15" t="str">
        <f>IFERROR(__xludf.DUMMYFUNCTION("""COMPUTED_VALUE"""),"UpdateDailyCash")</f>
        <v>UpdateDailyCash</v>
      </c>
      <c r="AA4" s="15" t="str">
        <f>IFERROR(__xludf.DUMMYFUNCTION("""COMPUTED_VALUE"""),"UpdateDailyCreditLimt")</f>
        <v>UpdateDailyCreditLimt</v>
      </c>
      <c r="AB4" s="15" t="str">
        <f>IFERROR(__xludf.DUMMYFUNCTION("""COMPUTED_VALUE"""),"RemoveDailyCreditLimit")</f>
        <v>RemoveDailyCreditLimit</v>
      </c>
      <c r="AC4" s="15" t="str">
        <f>IFERROR(__xludf.DUMMYFUNCTION("""COMPUTED_VALUE"""),"RemoveDailyCash")</f>
        <v>RemoveDailyCash</v>
      </c>
      <c r="AD4" s="15" t="str">
        <f>IFERROR(__xludf.DUMMYFUNCTION("""COMPUTED_VALUE"""),"RemoveNAV")</f>
        <v>RemoveNAV</v>
      </c>
      <c r="AE4" s="15" t="str">
        <f>IFERROR(__xludf.DUMMYFUNCTION("""COMPUTED_VALUE"""),"UpdateForexConversionMonthly")</f>
        <v>UpdateForexConversionMonthly</v>
      </c>
      <c r="AF4" s="15" t="str">
        <f>IFERROR(__xludf.DUMMYFUNCTION("""COMPUTED_VALUE"""),"UpdateMarkPriceMonthly")</f>
        <v>UpdateMarkPriceMonthly</v>
      </c>
      <c r="AG4" s="15" t="str">
        <f>IFERROR(__xludf.DUMMYFUNCTION("""COMPUTED_VALUE"""),"VerifyDailyCash")</f>
        <v>VerifyDailyCash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IFERROR(__xludf.DUMMYFUNCTION("""COMPUTED_VALUE"""),"Select Date")</f>
        <v>Select Date</v>
      </c>
      <c r="C5" s="17" t="str">
        <f>IFERROR(__xludf.DUMMYFUNCTION("""COMPUTED_VALUE"""),"Copy Date ")</f>
        <v>Copy Date 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62">
        <v>42919.0</v>
      </c>
      <c r="C6" s="6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8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42</v>
      </c>
      <c r="D3" s="10" t="s">
        <v>3</v>
      </c>
      <c r="E3" s="11" t="s">
        <v>51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>
      <c r="A4" s="14"/>
      <c r="B4" s="14" t="str">
        <f>IFERROR(__xludf.DUMMYFUNCTION("IF(C3="""","""",Transpose(IMPORTRANGE('_Settings'!$B$3,C3&amp;""!A4:A1000"")))"),"UpdateBeta")</f>
        <v>UpdateBeta</v>
      </c>
      <c r="C4" s="14" t="str">
        <f>IFERROR(__xludf.DUMMYFUNCTION("""COMPUTED_VALUE"""),"UpdateDailyCash")</f>
        <v>UpdateDailyCash</v>
      </c>
      <c r="D4" s="14" t="str">
        <f>IFERROR(__xludf.DUMMYFUNCTION("""COMPUTED_VALUE"""),"UpdateForexConversion")</f>
        <v>UpdateForexConversion</v>
      </c>
      <c r="E4" s="14" t="str">
        <f>IFERROR(__xludf.DUMMYFUNCTION("""COMPUTED_VALUE"""),"UpdateMarkPrice")</f>
        <v>UpdateMarkPrice</v>
      </c>
      <c r="F4" s="14" t="str">
        <f>IFERROR(__xludf.DUMMYFUNCTION("""COMPUTED_VALUE"""),"CleanUp")</f>
        <v>CleanUp</v>
      </c>
      <c r="G4" s="14" t="str">
        <f>IFERROR(__xludf.DUMMYFUNCTION("""COMPUTED_VALUE"""),"GetMarkPriceData")</f>
        <v>GetMarkPriceData</v>
      </c>
      <c r="H4" s="14" t="str">
        <f>IFERROR(__xludf.DUMMYFUNCTION("""COMPUTED_VALUE"""),"GetForwardPoints")</f>
        <v>GetForwardPoints</v>
      </c>
      <c r="I4" s="14" t="str">
        <f>IFERROR(__xludf.DUMMYFUNCTION("""COMPUTED_VALUE"""),"UpdateForwardPoints")</f>
        <v>UpdateForwardPoints</v>
      </c>
      <c r="J4" s="14" t="str">
        <f>IFERROR(__xludf.DUMMYFUNCTION("""COMPUTED_VALUE"""),"GetForexConversion")</f>
        <v>GetForexConversion</v>
      </c>
      <c r="K4" s="14" t="str">
        <f>IFERROR(__xludf.DUMMYFUNCTION("""COMPUTED_VALUE"""),"DeleteNAV")</f>
        <v>DeleteNAV</v>
      </c>
      <c r="L4" s="14" t="str">
        <f>IFERROR(__xludf.DUMMYFUNCTION("""COMPUTED_VALUE"""),"GetDailyCash")</f>
        <v>GetDailyCash</v>
      </c>
      <c r="M4" s="14" t="str">
        <f>IFERROR(__xludf.DUMMYFUNCTION("""COMPUTED_VALUE"""),"GetDailyBeta")</f>
        <v>GetDailyBeta</v>
      </c>
      <c r="N4" s="14" t="str">
        <f>IFERROR(__xludf.DUMMYFUNCTION("""COMPUTED_VALUE"""),"GetDailyVolatility")</f>
        <v>GetDailyVolatility</v>
      </c>
      <c r="O4" s="14" t="str">
        <f>IFERROR(__xludf.DUMMYFUNCTION("""COMPUTED_VALUE"""),"GetDailyDividendYield")</f>
        <v>GetDailyDividendYield</v>
      </c>
      <c r="P4" s="15" t="str">
        <f>IFERROR(__xludf.DUMMYFUNCTION("""COMPUTED_VALUE"""),"GetDailyTradingVolume")</f>
        <v>GetDailyTradingVolume</v>
      </c>
      <c r="Q4" s="15" t="str">
        <f>IFERROR(__xludf.DUMMYFUNCTION("""COMPUTED_VALUE"""),"GetDailyOutstandings")</f>
        <v>GetDailyOutstandings</v>
      </c>
      <c r="R4" s="15" t="str">
        <f>IFERROR(__xludf.DUMMYFUNCTION("""COMPUTED_VALUE"""),"GetDailyDelta")</f>
        <v>GetDailyDelta</v>
      </c>
      <c r="S4" s="15" t="str">
        <f>IFERROR(__xludf.DUMMYFUNCTION("""COMPUTED_VALUE"""),"UpdateDailyVolatility")</f>
        <v>UpdateDailyVolatility</v>
      </c>
      <c r="T4" s="15" t="str">
        <f>IFERROR(__xludf.DUMMYFUNCTION("""COMPUTED_VALUE"""),"UpdateDividendYield")</f>
        <v>UpdateDividendYield</v>
      </c>
      <c r="U4" s="15" t="str">
        <f>IFERROR(__xludf.DUMMYFUNCTION("""COMPUTED_VALUE"""),"UpdateTradingVolume")</f>
        <v>UpdateTradingVolume</v>
      </c>
      <c r="V4" s="15" t="str">
        <f>IFERROR(__xludf.DUMMYFUNCTION("""COMPUTED_VALUE"""),"UpdateDailyDelta")</f>
        <v>UpdateDailyDelta</v>
      </c>
      <c r="W4" s="15" t="str">
        <f>IFERROR(__xludf.DUMMYFUNCTION("""COMPUTED_VALUE"""),"UpdateDailyOutstandings")</f>
        <v>UpdateDailyOutstandings</v>
      </c>
      <c r="X4" s="15" t="str">
        <f>IFERROR(__xludf.DUMMYFUNCTION("""COMPUTED_VALUE"""),"UpdateBeta")</f>
        <v>UpdateBeta</v>
      </c>
      <c r="Y4" s="15" t="str">
        <f>IFERROR(__xludf.DUMMYFUNCTION("""COMPUTED_VALUE"""),"UpdateNAV")</f>
        <v>UpdateNAV</v>
      </c>
      <c r="Z4" s="15" t="str">
        <f>IFERROR(__xludf.DUMMYFUNCTION("""COMPUTED_VALUE"""),"UpdateDailyCash")</f>
        <v>UpdateDailyCash</v>
      </c>
      <c r="AA4" s="15" t="str">
        <f>IFERROR(__xludf.DUMMYFUNCTION("""COMPUTED_VALUE"""),"UpdateDailyCreditLimt")</f>
        <v>UpdateDailyCreditLimt</v>
      </c>
      <c r="AB4" s="15" t="str">
        <f>IFERROR(__xludf.DUMMYFUNCTION("""COMPUTED_VALUE"""),"RemoveDailyCreditLimit")</f>
        <v>RemoveDailyCreditLimit</v>
      </c>
      <c r="AC4" s="15" t="str">
        <f>IFERROR(__xludf.DUMMYFUNCTION("""COMPUTED_VALUE"""),"RemoveDailyCash")</f>
        <v>RemoveDailyCash</v>
      </c>
      <c r="AD4" s="15" t="str">
        <f>IFERROR(__xludf.DUMMYFUNCTION("""COMPUTED_VALUE"""),"RemoveNAV")</f>
        <v>RemoveNAV</v>
      </c>
      <c r="AE4" s="15" t="str">
        <f>IFERROR(__xludf.DUMMYFUNCTION("""COMPUTED_VALUE"""),"UpdateForexConversionMonthly")</f>
        <v>UpdateForexConversionMonthly</v>
      </c>
      <c r="AF4" s="15" t="str">
        <f>IFERROR(__xludf.DUMMYFUNCTION("""COMPUTED_VALUE"""),"UpdateMarkPriceMonthly")</f>
        <v>UpdateMarkPriceMonthly</v>
      </c>
      <c r="AG4" s="15" t="str">
        <f>IFERROR(__xludf.DUMMYFUNCTION("""COMPUTED_VALUE"""),"VerifyDailyCash")</f>
        <v>VerifyDailyCash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IFERROR(__xludf.DUMMYFUNCTION("""COMPUTED_VALUE"""),"Price")</f>
        <v>Price</v>
      </c>
      <c r="D5" s="33" t="str">
        <f>IFERROR(__xludf.DUMMYFUNCTION("""COMPUTED_VALUE"""),"Date")</f>
        <v>Date</v>
      </c>
      <c r="E5" s="17"/>
      <c r="F5" s="52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35" t="s">
        <v>18</v>
      </c>
      <c r="C6" s="22">
        <v>50.0</v>
      </c>
      <c r="D6" s="40">
        <v>42919.0</v>
      </c>
      <c r="E6" s="6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2" t="s">
        <v>26</v>
      </c>
      <c r="C7" s="51">
        <v>65.0</v>
      </c>
      <c r="D7" s="40">
        <v>42919.0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2" t="s">
        <v>30</v>
      </c>
      <c r="C8" s="51">
        <v>80.0</v>
      </c>
      <c r="D8" s="40">
        <v>42919.0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5" t="s">
        <v>18</v>
      </c>
      <c r="C9" s="50">
        <v>45.0</v>
      </c>
      <c r="D9" s="45">
        <v>42920.0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42" t="s">
        <v>26</v>
      </c>
      <c r="C10" s="51">
        <v>75.0</v>
      </c>
      <c r="D10" s="45">
        <v>42920.0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42" t="s">
        <v>30</v>
      </c>
      <c r="C11" s="51">
        <v>90.0</v>
      </c>
      <c r="D11" s="45">
        <v>42920.0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53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 t="s">
        <v>54</v>
      </c>
      <c r="C6" s="64">
        <v>42919.0</v>
      </c>
      <c r="D6" s="62">
        <v>42921.0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7" width="12.63"/>
    <col customWidth="1" min="18" max="18" width="24.25"/>
    <col customWidth="1" min="19" max="19" width="28.5"/>
    <col customWidth="1" min="20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1lI4loUxqzsE3IjuxIjsVY3cB4J_eTKFPPDuXngut4FE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55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IFERROR(__xludf.DUMMYFUNCTION("""COMPUTED_VALUE"""),"ValidateCheckSide")</f>
        <v>ValidateCheckSide</v>
      </c>
      <c r="C5" s="17" t="str">
        <f>IFERROR(__xludf.DUMMYFUNCTION("""COMPUTED_VALUE"""),"DisabledChecksideAssets")</f>
        <v>DisabledChecksideAssets</v>
      </c>
      <c r="D5" s="17" t="str">
        <f>IFERROR(__xludf.DUMMYFUNCTION("""COMPUTED_VALUE"""),"PrecisionValue")</f>
        <v>PrecisionValue</v>
      </c>
      <c r="E5" s="17" t="str">
        <f>IFERROR(__xludf.DUMMYFUNCTION("""COMPUTED_VALUE"""),"UseCommissionInNetAmount")</f>
        <v>UseCommissionInNetAmount</v>
      </c>
      <c r="F5" s="17" t="str">
        <f>IFERROR(__xludf.DUMMYFUNCTION("""COMPUTED_VALUE"""),"SaveWithoutState")</f>
        <v>SaveWithoutState</v>
      </c>
      <c r="G5" s="17" t="str">
        <f>IFERROR(__xludf.DUMMYFUNCTION("""COMPUTED_VALUE"""),"SaveWithState")</f>
        <v>SaveWithState</v>
      </c>
      <c r="H5" s="17" t="str">
        <f>IFERROR(__xludf.DUMMYFUNCTION("""COMPUTED_VALUE"""),"ClearQuantities")</f>
        <v>ClearQuantities</v>
      </c>
      <c r="I5" s="17" t="str">
        <f>IFERROR(__xludf.DUMMYFUNCTION("""COMPUTED_VALUE"""),"ReapplyAllocation")</f>
        <v>ReapplyAllocation</v>
      </c>
      <c r="J5" s="17" t="str">
        <f>IFERROR(__xludf.DUMMYFUNCTION("""COMPUTED_VALUE"""),"DefaultAllocation")</f>
        <v>DefaultAllocation</v>
      </c>
      <c r="K5" s="17" t="str">
        <f>IFERROR(__xludf.DUMMYFUNCTION("""COMPUTED_VALUE"""),"IsCustomPreference")</f>
        <v>IsCustomPreference</v>
      </c>
      <c r="L5" s="17" t="str">
        <f>IFERROR(__xludf.DUMMYFUNCTION("""COMPUTED_VALUE"""),"AllocationMethod")</f>
        <v>AllocationMethod</v>
      </c>
      <c r="M5" s="17" t="str">
        <f>IFERROR(__xludf.DUMMYFUNCTION("""COMPUTED_VALUE"""),"RemainderAllocationTo")</f>
        <v>RemainderAllocationTo</v>
      </c>
      <c r="N5" s="17" t="str">
        <f>IFERROR(__xludf.DUMMYFUNCTION("""COMPUTED_VALUE"""),"Target%AsOf")</f>
        <v>Target%AsOf</v>
      </c>
      <c r="O5" s="17" t="str">
        <f>IFERROR(__xludf.DUMMYFUNCTION("""COMPUTED_VALUE"""),"ProrataAccounts")</f>
        <v>ProrataAccounts</v>
      </c>
      <c r="P5" s="17" t="str">
        <f>IFERROR(__xludf.DUMMYFUNCTION("""COMPUTED_VALUE"""),"DateUptoDays")</f>
        <v>DateUptoDays</v>
      </c>
      <c r="Q5" s="17" t="str">
        <f>IFERROR(__xludf.DUMMYFUNCTION("""COMPUTED_VALUE"""),"MatchClosing")</f>
        <v>MatchClosing</v>
      </c>
      <c r="R5" s="17" t="str">
        <f>IFERROR(__xludf.DUMMYFUNCTION("""COMPUTED_VALUE"""),"CommissionAlertOnBrokerChange")</f>
        <v>CommissionAlertOnBrokerChange</v>
      </c>
      <c r="S5" s="17" t="str">
        <f>IFERROR(__xludf.DUMMYFUNCTION("""COMPUTED_VALUE"""),"RecalculateCommissionOnBrokerChange")</f>
        <v>RecalculateCommissionOnBrokerChange</v>
      </c>
      <c r="T5" s="18" t="str">
        <f>IFERROR(__xludf.DUMMYFUNCTION("""COMPUTED_VALUE"""),"CommissionAlertOnAllocation")</f>
        <v>CommissionAlertOnAllocation</v>
      </c>
      <c r="U5" s="18" t="str">
        <f>IFERROR(__xludf.DUMMYFUNCTION("""COMPUTED_VALUE"""),"RecalculateCommissionOnAllocation")</f>
        <v>RecalculateCommissionOnAllocation</v>
      </c>
      <c r="V5" s="18" t="str">
        <f>IFERROR(__xludf.DUMMYFUNCTION("""COMPUTED_VALUE"""),"EnableMasterFund")</f>
        <v>EnableMasterFund</v>
      </c>
      <c r="W5" s="18" t="str">
        <f>IFERROR(__xludf.DUMMYFUNCTION("""COMPUTED_VALUE"""),"1MasterFund/1Symbol")</f>
        <v>1MasterFund/1Symbol</v>
      </c>
      <c r="X5" s="18" t="str">
        <f>IFERROR(__xludf.DUMMYFUNCTION("""COMPUTED_VALUE"""),"ProrataSchemeName")</f>
        <v>ProrataSchemeName</v>
      </c>
      <c r="Y5" s="18" t="str">
        <f>IFERROR(__xludf.DUMMYFUNCTION("""COMPUTED_VALUE"""),"ProrataAllocationSchemeBasis")</f>
        <v>ProrataAllocationSchemeBasis</v>
      </c>
      <c r="Z5" s="18" t="str">
        <f>IFERROR(__xludf.DUMMYFUNCTION("""COMPUTED_VALUE"""),"ShowAdvancedProrataUI")</f>
        <v>ShowAdvancedProrataUI</v>
      </c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41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65" t="b">
        <v>0</v>
      </c>
      <c r="S6" s="38"/>
      <c r="T6" s="66" t="b">
        <v>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56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IFERROR(__xludf.DUMMYFUNCTION("""COMPUTED_VALUE"""),"PreferenceType")</f>
        <v>PreferenceType</v>
      </c>
      <c r="C5" s="17" t="str">
        <f>IFERROR(__xludf.DUMMYFUNCTION("""COMPUTED_VALUE"""),"PreferenceName")</f>
        <v>PreferenceName</v>
      </c>
      <c r="D5" s="17" t="str">
        <f>IFERROR(__xludf.DUMMYFUNCTION("""COMPUTED_VALUE"""),"PTTPrefNeeded")</f>
        <v>PTTPrefNeeded</v>
      </c>
      <c r="E5" s="17" t="str">
        <f>IFERROR(__xludf.DUMMYFUNCTION("""COMPUTED_VALUE"""),"IsForceAllocation")</f>
        <v>IsForceAllocation</v>
      </c>
      <c r="F5" s="17" t="str">
        <f>IFERROR(__xludf.DUMMYFUNCTION("""COMPUTED_VALUE"""),"AllocationMethod")</f>
        <v>AllocationMethod</v>
      </c>
      <c r="G5" s="17" t="str">
        <f>IFERROR(__xludf.DUMMYFUNCTION("""COMPUTED_VALUE"""),"RemainderAllocationTo")</f>
        <v>RemainderAllocationTo</v>
      </c>
      <c r="H5" s="17" t="str">
        <f>IFERROR(__xludf.DUMMYFUNCTION("""COMPUTED_VALUE"""),"Target%AsOf")</f>
        <v>Target%AsOf</v>
      </c>
      <c r="I5" s="17" t="str">
        <f>IFERROR(__xludf.DUMMYFUNCTION("""COMPUTED_VALUE"""),"AccountsForProrata")</f>
        <v>AccountsForProrata</v>
      </c>
      <c r="J5" s="17" t="str">
        <f>IFERROR(__xludf.DUMMYFUNCTION("""COMPUTED_VALUE"""),"DateUptoDays")</f>
        <v>DateUptoDays</v>
      </c>
      <c r="K5" s="17" t="str">
        <f>IFERROR(__xludf.DUMMYFUNCTION("""COMPUTED_VALUE"""),"MatchClosingTransactions")</f>
        <v>MatchClosingTransactions</v>
      </c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41"/>
      <c r="B6" s="38"/>
      <c r="C6" s="38"/>
      <c r="D6" s="38"/>
      <c r="E6" s="65" t="b">
        <v>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1-RJhOo2E5PhyqaiMEjsPi8RpfYBuiSqE9fj_-bRpkKw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57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IFERROR(__xludf.DUMMYFUNCTION("""COMPUTED_VALUE"""),"Side")</f>
        <v>Side</v>
      </c>
      <c r="D5" s="17" t="str">
        <f>IFERROR(__xludf.DUMMYFUNCTION("""COMPUTED_VALUE"""),"Quantity")</f>
        <v>Quantity</v>
      </c>
      <c r="E5" s="17" t="str">
        <f>IFERROR(__xludf.DUMMYFUNCTION("""COMPUTED_VALUE"""),"Executed Qty")</f>
        <v>Executed Qty</v>
      </c>
      <c r="F5" s="17" t="str">
        <f>IFERROR(__xludf.DUMMYFUNCTION("""COMPUTED_VALUE"""),"Trade Date")</f>
        <v>Trade Date</v>
      </c>
      <c r="G5" s="17" t="str">
        <f>IFERROR(__xludf.DUMMYFUNCTION("""COMPUTED_VALUE"""),"Net Amount( Local)")</f>
        <v>Net Amount( Local)</v>
      </c>
      <c r="H5" s="17" t="str">
        <f>IFERROR(__xludf.DUMMYFUNCTION("""COMPUTED_VALUE"""),"Net Amount( Base)")</f>
        <v>Net Amount( Base)</v>
      </c>
      <c r="I5" s="17" t="str">
        <f>IFERROR(__xludf.DUMMYFUNCTION("""COMPUTED_VALUE"""),"Principal Amount( Local)")</f>
        <v>Principal Amount( Local)</v>
      </c>
      <c r="J5" s="17" t="str">
        <f>IFERROR(__xludf.DUMMYFUNCTION("""COMPUTED_VALUE"""),"Transaction Type")</f>
        <v>Transaction Type</v>
      </c>
      <c r="K5" s="17" t="str">
        <f>IFERROR(__xludf.DUMMYFUNCTION("""COMPUTED_VALUE"""),"Principal Amount( Base)")</f>
        <v>Principal Amount( Base)</v>
      </c>
      <c r="L5" s="17" t="str">
        <f>IFERROR(__xludf.DUMMYFUNCTION("""COMPUTED_VALUE"""),"Execution Time")</f>
        <v>Execution Time</v>
      </c>
      <c r="M5" s="17" t="str">
        <f>IFERROR(__xludf.DUMMYFUNCTION("""COMPUTED_VALUE"""),"Trading Account")</f>
        <v>Trading Account</v>
      </c>
      <c r="N5" s="17" t="str">
        <f>IFERROR(__xludf.DUMMYFUNCTION("""COMPUTED_VALUE"""),"Avg Price(Local)")</f>
        <v>Avg Price(Local)</v>
      </c>
      <c r="O5" s="17" t="str">
        <f>IFERROR(__xludf.DUMMYFUNCTION("""COMPUTED_VALUE"""),"Avg Price(Base)")</f>
        <v>Avg Price(Base)</v>
      </c>
      <c r="P5" s="17" t="str">
        <f>IFERROR(__xludf.DUMMYFUNCTION("""COMPUTED_VALUE"""),"Broker")</f>
        <v>Broker</v>
      </c>
      <c r="Q5" s="17" t="str">
        <f>IFERROR(__xludf.DUMMYFUNCTION("""COMPUTED_VALUE"""),"FX Rate")</f>
        <v>FX Rate</v>
      </c>
      <c r="R5" s="17" t="str">
        <f>IFERROR(__xludf.DUMMYFUNCTION("""COMPUTED_VALUE"""),"Venue")</f>
        <v>Venue</v>
      </c>
      <c r="S5" s="17" t="str">
        <f>IFERROR(__xludf.DUMMYFUNCTION("""COMPUTED_VALUE"""),"FX Conversion Operator")</f>
        <v>FX Conversion Operator</v>
      </c>
      <c r="T5" s="18" t="str">
        <f>IFERROR(__xludf.DUMMYFUNCTION("""COMPUTED_VALUE"""),"User")</f>
        <v>User</v>
      </c>
      <c r="U5" s="18" t="str">
        <f>IFERROR(__xludf.DUMMYFUNCTION("""COMPUTED_VALUE"""),"Asset Category")</f>
        <v>Asset Category</v>
      </c>
      <c r="V5" s="18" t="str">
        <f>IFERROR(__xludf.DUMMYFUNCTION("""COMPUTED_VALUE"""),"Settlement Currency")</f>
        <v>Settlement Currency</v>
      </c>
      <c r="W5" s="18" t="str">
        <f>IFERROR(__xludf.DUMMYFUNCTION("""COMPUTED_VALUE"""),"Commission Per Share")</f>
        <v>Commission Per Share</v>
      </c>
      <c r="X5" s="18" t="str">
        <f>IFERROR(__xludf.DUMMYFUNCTION("""COMPUTED_VALUE"""),"Soft Commission Per Share")</f>
        <v>Soft Commission Per Share</v>
      </c>
      <c r="Y5" s="18" t="str">
        <f>IFERROR(__xludf.DUMMYFUNCTION("""COMPUTED_VALUE"""),"Total Commission Per Share")</f>
        <v>Total Commission Per Share</v>
      </c>
      <c r="Z5" s="18" t="str">
        <f>IFERROR(__xludf.DUMMYFUNCTION("""COMPUTED_VALUE"""),"Change Type")</f>
        <v>Change Type</v>
      </c>
      <c r="AA5" s="18" t="str">
        <f>IFERROR(__xludf.DUMMYFUNCTION("""COMPUTED_VALUE"""),"Trade Attribute 1")</f>
        <v>Trade Attribute 1</v>
      </c>
      <c r="AB5" s="18" t="str">
        <f>IFERROR(__xludf.DUMMYFUNCTION("""COMPUTED_VALUE"""),"Trade Attribute 2")</f>
        <v>Trade Attribute 2</v>
      </c>
      <c r="AC5" s="18" t="str">
        <f>IFERROR(__xludf.DUMMYFUNCTION("""COMPUTED_VALUE"""),"Trade Attribute 3")</f>
        <v>Trade Attribute 3</v>
      </c>
      <c r="AD5" s="18" t="str">
        <f>IFERROR(__xludf.DUMMYFUNCTION("""COMPUTED_VALUE"""),"Trade Attribute 4")</f>
        <v>Trade Attribute 4</v>
      </c>
      <c r="AE5" s="18" t="str">
        <f>IFERROR(__xludf.DUMMYFUNCTION("""COMPUTED_VALUE"""),"Trade Attribute 5")</f>
        <v>Trade Attribute 5</v>
      </c>
      <c r="AF5" s="18" t="str">
        <f>IFERROR(__xludf.DUMMYFUNCTION("""COMPUTED_VALUE"""),"Trade Attribute 6")</f>
        <v>Trade Attribute 6</v>
      </c>
      <c r="AG5" s="18" t="str">
        <f>IFERROR(__xludf.DUMMYFUNCTION("""COMPUTED_VALUE"""),"IsPreAllocated")</f>
        <v>IsPreAllocated</v>
      </c>
      <c r="AH5" s="18" t="str">
        <f>IFERROR(__xludf.DUMMYFUNCTION("""COMPUTED_VALUE"""),"IsManual Group")</f>
        <v>IsManual Group</v>
      </c>
      <c r="AI5" s="18" t="str">
        <f>IFERROR(__xludf.DUMMYFUNCTION("""COMPUTED_VALUE"""),"IsAnotherTaxlotAttributesUpdated")</f>
        <v>IsAnotherTaxlotAttributesUpdated</v>
      </c>
      <c r="AJ5" s="18" t="str">
        <f>IFERROR(__xludf.DUMMYFUNCTION("""COMPUTED_VALUE"""),"ISNDF")</f>
        <v>ISNDF</v>
      </c>
      <c r="AK5" s="18" t="str">
        <f>IFERROR(__xludf.DUMMYFUNCTION("""COMPUTED_VALUE"""),"M2MProfitLoss")</f>
        <v>M2MProfitLoss</v>
      </c>
      <c r="AL5" s="18" t="str">
        <f>IFERROR(__xludf.DUMMYFUNCTION("""COMPUTED_VALUE"""),"Put Or Call")</f>
        <v>Put Or Call</v>
      </c>
      <c r="AM5" s="18" t="str">
        <f>IFERROR(__xludf.DUMMYFUNCTION("""COMPUTED_VALUE"""),"GroupID")</f>
        <v>GroupID</v>
      </c>
      <c r="AN5" s="18" t="str">
        <f>IFERROR(__xludf.DUMMYFUNCTION("""COMPUTED_VALUE"""),"UnAllocatedQty")</f>
        <v>UnAllocatedQty</v>
      </c>
      <c r="AO5" s="18" t="str">
        <f>IFERROR(__xludf.DUMMYFUNCTION("""COMPUTED_VALUE"""),"Allocated Qty")</f>
        <v>Allocated Qty</v>
      </c>
      <c r="AP5" s="18" t="str">
        <f>IFERROR(__xludf.DUMMYFUNCTION("""COMPUTED_VALUE"""),"Commission")</f>
        <v>Commission</v>
      </c>
      <c r="AQ5" s="18" t="str">
        <f>IFERROR(__xludf.DUMMYFUNCTION("""COMPUTED_VALUE"""),"Soft Commission")</f>
        <v>Soft Commission</v>
      </c>
      <c r="AR5" s="18" t="str">
        <f>IFERROR(__xludf.DUMMYFUNCTION("""COMPUTED_VALUE"""),"Other Broker Fees")</f>
        <v>Other Broker Fees</v>
      </c>
      <c r="AS5" s="18" t="str">
        <f>IFERROR(__xludf.DUMMYFUNCTION("""COMPUTED_VALUE"""),"Clearing Broker Fee")</f>
        <v>Clearing Broker Fee</v>
      </c>
      <c r="AT5" s="18" t="str">
        <f>IFERROR(__xludf.DUMMYFUNCTION("""COMPUTED_VALUE"""),"Total Commission And Fee")</f>
        <v>Total Commission And Fee</v>
      </c>
      <c r="AU5" s="18" t="str">
        <f>IFERROR(__xludf.DUMMYFUNCTION("""COMPUTED_VALUE"""),"Transaction Levy")</f>
        <v>Transaction Levy</v>
      </c>
      <c r="AV5" s="18" t="str">
        <f>IFERROR(__xludf.DUMMYFUNCTION("""COMPUTED_VALUE"""),"Stamp Duty")</f>
        <v>Stamp Duty</v>
      </c>
      <c r="AW5" s="18" t="str">
        <f>IFERROR(__xludf.DUMMYFUNCTION("""COMPUTED_VALUE"""),"AUEC Fee1")</f>
        <v>AUEC Fee1</v>
      </c>
      <c r="AX5" s="18" t="str">
        <f>IFERROR(__xludf.DUMMYFUNCTION("""COMPUTED_VALUE"""),"Tax On Commissions")</f>
        <v>Tax On Commissions</v>
      </c>
      <c r="AY5" s="18" t="str">
        <f>IFERROR(__xludf.DUMMYFUNCTION("""COMPUTED_VALUE"""),"AUEC Fee2")</f>
        <v>AUEC Fee2</v>
      </c>
      <c r="AZ5" s="18" t="str">
        <f>IFERROR(__xludf.DUMMYFUNCTION("""COMPUTED_VALUE"""),"SEC Fee")</f>
        <v>SEC Fee</v>
      </c>
      <c r="BA5" s="18" t="str">
        <f>IFERROR(__xludf.DUMMYFUNCTION("""COMPUTED_VALUE"""),"OCC Fee")</f>
        <v>OCC Fee</v>
      </c>
      <c r="BB5" s="18" t="str">
        <f>IFERROR(__xludf.DUMMYFUNCTION("""COMPUTED_VALUE"""),"ORF Fee")</f>
        <v>ORF Fee</v>
      </c>
      <c r="BC5" s="18" t="str">
        <f>IFERROR(__xludf.DUMMYFUNCTION("""COMPUTED_VALUE"""),"Option Premium Adjustment")</f>
        <v>Option Premium Adjustment</v>
      </c>
      <c r="BD5" s="18" t="str">
        <f>IFERROR(__xludf.DUMMYFUNCTION("""COMPUTED_VALUE"""),"Prana Msg Type")</f>
        <v>Prana Msg Type</v>
      </c>
      <c r="BE5" s="18" t="str">
        <f>IFERROR(__xludf.DUMMYFUNCTION("""COMPUTED_VALUE"""),"Total Commission")</f>
        <v>Total Commission</v>
      </c>
      <c r="BF5" s="18" t="str">
        <f>IFERROR(__xludf.DUMMYFUNCTION("""COMPUTED_VALUE"""),"Closing Status")</f>
        <v>Closing Status</v>
      </c>
      <c r="BG5" s="18" t="str">
        <f>IFERROR(__xludf.DUMMYFUNCTION("""COMPUTED_VALUE"""),"Closing Method")</f>
        <v>Closing Method</v>
      </c>
      <c r="BH5" s="18" t="str">
        <f>IFERROR(__xludf.DUMMYFUNCTION("""COMPUTED_VALUE"""),"Group Status")</f>
        <v>Group Status</v>
      </c>
      <c r="BI5" s="18" t="str">
        <f>IFERROR(__xludf.DUMMYFUNCTION("""COMPUTED_VALUE"""),"Allocation Scheme Name")</f>
        <v>Allocation Scheme Name</v>
      </c>
      <c r="BJ5" s="18" t="str">
        <f>IFERROR(__xludf.DUMMYFUNCTION("""COMPUTED_VALUE"""),"Change Comment")</f>
        <v>Change Comment</v>
      </c>
      <c r="BK5" s="18" t="str">
        <f>IFERROR(__xludf.DUMMYFUNCTION("""COMPUTED_VALUE"""),"Order Type")</f>
        <v>Order Type</v>
      </c>
      <c r="BL5" s="18" t="str">
        <f>IFERROR(__xludf.DUMMYFUNCTION("""COMPUTED_VALUE"""),"Underlying")</f>
        <v>Underlying</v>
      </c>
      <c r="BM5" s="18" t="str">
        <f>IFERROR(__xludf.DUMMYFUNCTION("""COMPUTED_VALUE"""),"Exchange")</f>
        <v>Exchange</v>
      </c>
      <c r="BN5" s="18" t="str">
        <f>IFERROR(__xludf.DUMMYFUNCTION("""COMPUTED_VALUE"""),"Currency")</f>
        <v>Currency</v>
      </c>
      <c r="BO5" s="18" t="str">
        <f>IFERROR(__xludf.DUMMYFUNCTION("""COMPUTED_VALUE"""),"AUECID")</f>
        <v>AUECID</v>
      </c>
      <c r="BP5" s="18" t="str">
        <f>IFERROR(__xludf.DUMMYFUNCTION("""COMPUTED_VALUE"""),"Cum Qty For Sub Order")</f>
        <v>Cum Qty For Sub Order</v>
      </c>
      <c r="BQ5" s="18" t="str">
        <f>IFERROR(__xludf.DUMMYFUNCTION("""COMPUTED_VALUE"""),"Contract Multiplier")</f>
        <v>Contract Multiplier</v>
      </c>
      <c r="BR5" s="18" t="str">
        <f>IFERROR(__xludf.DUMMYFUNCTION("""COMPUTED_VALUE"""),"Company")</f>
        <v>Company</v>
      </c>
      <c r="BS5" s="18" t="str">
        <f>IFERROR(__xludf.DUMMYFUNCTION("""COMPUTED_VALUE"""),"Nirvana Process Date")</f>
        <v>Nirvana Process Date</v>
      </c>
      <c r="BT5" s="18" t="str">
        <f>IFERROR(__xludf.DUMMYFUNCTION("""COMPUTED_VALUE"""),"Process Date")</f>
        <v>Process Date</v>
      </c>
      <c r="BU5" s="18" t="str">
        <f>IFERROR(__xludf.DUMMYFUNCTION("""COMPUTED_VALUE"""),"Original Purchase Date")</f>
        <v>Original Purchase Date</v>
      </c>
      <c r="BV5" s="18" t="str">
        <f>IFERROR(__xludf.DUMMYFUNCTION("""COMPUTED_VALUE"""),"Closing Date")</f>
        <v>Closing Date</v>
      </c>
      <c r="BW5" s="18" t="str">
        <f>IFERROR(__xludf.DUMMYFUNCTION("""COMPUTED_VALUE"""),"Settlement Date")</f>
        <v>Settlement Date</v>
      </c>
      <c r="BX5" s="18" t="str">
        <f>IFERROR(__xludf.DUMMYFUNCTION("""COMPUTED_VALUE"""),"Expiration Date")</f>
        <v>Expiration Date</v>
      </c>
      <c r="BY5" s="18" t="str">
        <f>IFERROR(__xludf.DUMMYFUNCTION("""COMPUTED_VALUE"""),"Description")</f>
        <v>Description</v>
      </c>
      <c r="BZ5" s="18" t="str">
        <f>IFERROR(__xludf.DUMMYFUNCTION("""COMPUTED_VALUE"""),"Underlying Symbol")</f>
        <v>Underlying Symbol</v>
      </c>
      <c r="CA5" s="18" t="str">
        <f>IFERROR(__xludf.DUMMYFUNCTION("""COMPUTED_VALUE"""),"Accrued Interest")</f>
        <v>Accrued Interest</v>
      </c>
      <c r="CB5" s="18" t="str">
        <f>IFERROR(__xludf.DUMMYFUNCTION("""COMPUTED_VALUE"""),"Accrual Basis")</f>
        <v>Accrual Basis</v>
      </c>
      <c r="CC5" s="18" t="str">
        <f>IFERROR(__xludf.DUMMYFUNCTION("""COMPUTED_VALUE"""),"Bond Type")</f>
        <v>Bond Type</v>
      </c>
      <c r="CD5" s="18" t="str">
        <f>IFERROR(__xludf.DUMMYFUNCTION("""COMPUTED_VALUE"""),"Coupon Rate")</f>
        <v>Coupon Rate</v>
      </c>
      <c r="CE5" s="18" t="str">
        <f>IFERROR(__xludf.DUMMYFUNCTION("""COMPUTED_VALUE"""),"Delta")</f>
        <v>Delta</v>
      </c>
      <c r="CF5" s="18" t="str">
        <f>IFERROR(__xludf.DUMMYFUNCTION("""COMPUTED_VALUE"""),"Bloomberg")</f>
        <v>Bloomberg</v>
      </c>
      <c r="CG5" s="18" t="str">
        <f>IFERROR(__xludf.DUMMYFUNCTION("""COMPUTED_VALUE"""),"Sedol Symbol")</f>
        <v>Sedol Symbol</v>
      </c>
      <c r="CH5" s="18" t="str">
        <f>IFERROR(__xludf.DUMMYFUNCTION("""COMPUTED_VALUE"""),"Cusip Symbol")</f>
        <v>Cusip Symbol</v>
      </c>
      <c r="CI5" s="18" t="str">
        <f>IFERROR(__xludf.DUMMYFUNCTION("""COMPUTED_VALUE"""),"ISIN")</f>
        <v>ISIN</v>
      </c>
      <c r="CJ5" s="18" t="str">
        <f>IFERROR(__xludf.DUMMYFUNCTION("""COMPUTED_VALUE"""),"OSISSymbol")</f>
        <v>OSISSymbol</v>
      </c>
      <c r="CK5" s="18" t="str">
        <f>IFERROR(__xludf.DUMMYFUNCTION("""COMPUTED_VALUE"""),"IDCOSymbol")</f>
        <v>IDCOSymbol</v>
      </c>
      <c r="CL5" s="18" t="str">
        <f>IFERROR(__xludf.DUMMYFUNCTION("""COMPUTED_VALUE"""),"Underlying Delta")</f>
        <v>Underlying Delta</v>
      </c>
      <c r="CM5" s="18" t="str">
        <f>IFERROR(__xludf.DUMMYFUNCTION("""COMPUTED_VALUE"""),"Internal Comments")</f>
        <v>Internal Comments</v>
      </c>
      <c r="CN5" s="18" t="str">
        <f>IFERROR(__xludf.DUMMYFUNCTION("""COMPUTED_VALUE"""),"Proxy Symbol")</f>
        <v>Proxy Symbol</v>
      </c>
      <c r="CO5" s="18" t="str">
        <f>IFERROR(__xludf.DUMMYFUNCTION("""COMPUTED_VALUE"""),"Transaction Source")</f>
        <v>Transaction Source</v>
      </c>
      <c r="CP5" s="18" t="str">
        <f>IFERROR(__xludf.DUMMYFUNCTION("""COMPUTED_VALUE"""),"Import File Name")</f>
        <v>Import File Name</v>
      </c>
      <c r="CQ5" s="18" t="str">
        <f>IFERROR(__xludf.DUMMYFUNCTION("""COMPUTED_VALUE"""),"Master Fund")</f>
        <v>Master Fund</v>
      </c>
      <c r="CR5" s="18" t="str">
        <f>IFERROR(__xludf.DUMMYFUNCTION("""COMPUTED_VALUE"""),"Client")</f>
        <v>Client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5" t="s">
        <v>18</v>
      </c>
      <c r="C6" s="36" t="s">
        <v>19</v>
      </c>
      <c r="D6" s="37">
        <v>100.0</v>
      </c>
    </row>
    <row r="7" ht="15.75" customHeight="1">
      <c r="A7" s="6"/>
      <c r="B7" s="42" t="s">
        <v>26</v>
      </c>
      <c r="C7" s="67" t="s">
        <v>27</v>
      </c>
      <c r="D7" s="43">
        <v>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2" t="s">
        <v>30</v>
      </c>
      <c r="C8" s="36" t="s">
        <v>27</v>
      </c>
      <c r="D8" s="43">
        <v>100.0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5" t="s">
        <v>18</v>
      </c>
      <c r="C9" s="36" t="s">
        <v>32</v>
      </c>
      <c r="D9" s="44">
        <v>50.0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42" t="s">
        <v>26</v>
      </c>
      <c r="C10" s="36" t="s">
        <v>33</v>
      </c>
      <c r="D10" s="42">
        <v>50.0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42" t="s">
        <v>30</v>
      </c>
      <c r="C11" s="36" t="s">
        <v>33</v>
      </c>
      <c r="D11" s="42">
        <v>50.0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58</v>
      </c>
      <c r="D3" s="10" t="s">
        <v>3</v>
      </c>
      <c r="E3" s="11" t="s">
        <v>59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IFERROR(__xludf.DUMMYFUNCTION("IF(C3="""","""",Transpose(IMPORTRANGE('_Settings'!$B$3,C3&amp;""!A4:A1000"")))"),"SwapExpire")</f>
        <v>SwapExpire</v>
      </c>
      <c r="C4" s="14" t="str">
        <f>IFERROR(__xludf.DUMMYFUNCTION("""COMPUTED_VALUE"""),"GetDataClosing")</f>
        <v>GetDataClosing</v>
      </c>
      <c r="D4" s="14" t="str">
        <f>IFERROR(__xludf.DUMMYFUNCTION("""COMPUTED_VALUE"""),"ManualClosing")</f>
        <v>ManualClosing</v>
      </c>
      <c r="E4" s="14" t="str">
        <f>IFERROR(__xludf.DUMMYFUNCTION("""COMPUTED_VALUE"""),"AutomaticClosing")</f>
        <v>AutomaticClosing</v>
      </c>
      <c r="F4" s="14" t="str">
        <f>IFERROR(__xludf.DUMMYFUNCTION("""COMPUTED_VALUE"""),"UnwindClosing")</f>
        <v>UnwindClosing</v>
      </c>
      <c r="G4" s="14" t="str">
        <f>IFERROR(__xludf.DUMMYFUNCTION("""COMPUTED_VALUE"""),"VerifyClosedTrades")</f>
        <v>VerifyClosedTrades</v>
      </c>
      <c r="H4" s="14" t="str">
        <f>IFERROR(__xludf.DUMMYFUNCTION("""COMPUTED_VALUE"""),"VerifyLongPositionsGrid")</f>
        <v>VerifyLongPositionsGrid</v>
      </c>
      <c r="I4" s="14" t="str">
        <f>IFERROR(__xludf.DUMMYFUNCTION("""COMPUTED_VALUE"""),"VerifyShortPositionsGrid")</f>
        <v>VerifyShortPositionsGrid</v>
      </c>
      <c r="J4" s="14" t="str">
        <f>IFERROR(__xludf.DUMMYFUNCTION("""COMPUTED_VALUE"""),"SelectTradeUnexpiredUnsettled")</f>
        <v>SelectTradeUnexpiredUnsettled</v>
      </c>
      <c r="K4" s="14" t="str">
        <f>IFERROR(__xludf.DUMMYFUNCTION("""COMPUTED_VALUE"""),"CashSettlementAtCost")</f>
        <v>CashSettlementAtCost</v>
      </c>
      <c r="L4" s="14" t="str">
        <f>IFERROR(__xludf.DUMMYFUNCTION("""COMPUTED_VALUE"""),"CashSettlementAtZeroPrice")</f>
        <v>CashSettlementAtZeroPrice</v>
      </c>
      <c r="M4" s="14" t="str">
        <f>IFERROR(__xludf.DUMMYFUNCTION("""COMPUTED_VALUE"""),"CashSettlementAtClosingDtSpotPx")</f>
        <v>CashSettlementAtClosingDtSpotPx</v>
      </c>
      <c r="N4" s="14" t="str">
        <f>IFERROR(__xludf.DUMMYFUNCTION("""COMPUTED_VALUE"""),"PhysicalSettlement")</f>
        <v>PhysicalSettlement</v>
      </c>
      <c r="O4" s="14" t="str">
        <f>IFERROR(__xludf.DUMMYFUNCTION("""COMPUTED_VALUE"""),"Expire")</f>
        <v>Expire</v>
      </c>
      <c r="P4" s="15" t="str">
        <f>IFERROR(__xludf.DUMMYFUNCTION("""COMPUTED_VALUE"""),"ExerciseAssignment")</f>
        <v>ExerciseAssignment</v>
      </c>
      <c r="Q4" s="15" t="str">
        <f>IFERROR(__xludf.DUMMYFUNCTION("""COMPUTED_VALUE"""),"ExerciseAssignmentAtZero")</f>
        <v>ExerciseAssignmentAtZero</v>
      </c>
      <c r="R4" s="15" t="str">
        <f>IFERROR(__xludf.DUMMYFUNCTION("""COMPUTED_VALUE"""),"SwapExpireAndRollover")</f>
        <v>SwapExpireAndRollover</v>
      </c>
      <c r="S4" s="15" t="str">
        <f>IFERROR(__xludf.DUMMYFUNCTION("""COMPUTED_VALUE"""),"SwapExpire")</f>
        <v>SwapExpire</v>
      </c>
      <c r="T4" s="15" t="str">
        <f>IFERROR(__xludf.DUMMYFUNCTION("""COMPUTED_VALUE"""),"VerifyExpiredSettledGrid")</f>
        <v>VerifyExpiredSettledGrid</v>
      </c>
      <c r="U4" s="15" t="str">
        <f>IFERROR(__xludf.DUMMYFUNCTION("""COMPUTED_VALUE"""),"VerifyUnExpiredUnSettledGrid")</f>
        <v>VerifyUnExpiredUnSettledGrid</v>
      </c>
      <c r="V4" s="15" t="str">
        <f>IFERROR(__xludf.DUMMYFUNCTION("""COMPUTED_VALUE"""),"UnWindTradeSettlement")</f>
        <v>UnWindTradeSettlement</v>
      </c>
      <c r="W4" s="15" t="str">
        <f>IFERROR(__xludf.DUMMYFUNCTION("""COMPUTED_VALUE"""),"CloseOrder")</f>
        <v>CloseOrder</v>
      </c>
      <c r="X4" s="15" t="str">
        <f>IFERROR(__xludf.DUMMYFUNCTION("""COMPUTED_VALUE"""),"VerifyCloseOrder")</f>
        <v>VerifyCloseOrder</v>
      </c>
      <c r="Y4" s="15" t="str">
        <f>IFERROR(__xludf.DUMMYFUNCTION("""COMPUTED_VALUE"""),"UnWindCloseOrder")</f>
        <v>UnWindCloseOrder</v>
      </c>
      <c r="Z4" s="15" t="str">
        <f>IFERROR(__xludf.DUMMYFUNCTION("""COMPUTED_VALUE"""),"ClosingCleanUp")</f>
        <v>ClosingCleanUp</v>
      </c>
      <c r="AA4" s="15" t="str">
        <f>IFERROR(__xludf.DUMMYFUNCTION("""COMPUTED_VALUE"""),"CloseClosingUI")</f>
        <v>CloseClosingUI</v>
      </c>
      <c r="AB4" s="15" t="str">
        <f>IFERROR(__xludf.DUMMYFUNCTION("""COMPUTED_VALUE"""),"SetClosingPreference")</f>
        <v>SetClosingPreference</v>
      </c>
      <c r="AC4" s="15" t="str">
        <f>IFERROR(__xludf.DUMMYFUNCTION("""COMPUTED_VALUE"""),"EditTradeUnexpiredUnsettled")</f>
        <v>EditTradeUnexpiredUnsettled</v>
      </c>
      <c r="AD4" s="15" t="str">
        <f>IFERROR(__xludf.DUMMYFUNCTION("""COMPUTED_VALUE"""),"AutoExercise")</f>
        <v>AutoExercise</v>
      </c>
      <c r="AE4" s="15" t="str">
        <f>IFERROR(__xludf.DUMMYFUNCTION("""COMPUTED_VALUE"""),"EditMultipleCloseQuantity")</f>
        <v>EditMultipleCloseQuantity</v>
      </c>
      <c r="AF4" s="15" t="str">
        <f>IFERROR(__xludf.DUMMYFUNCTION("""COMPUTED_VALUE"""),"ManualCloseOrder")</f>
        <v>ManualCloseOrder</v>
      </c>
      <c r="AG4" s="15" t="str">
        <f>IFERROR(__xludf.DUMMYFUNCTION("""COMPUTED_VALUE"""),"PreviewDataWithFilters")</f>
        <v>PreviewDataWithFilters</v>
      </c>
      <c r="AH4" s="15" t="str">
        <f>IFERROR(__xludf.DUMMYFUNCTION("""COMPUTED_VALUE"""),"CreateClosingTemplate")</f>
        <v>CreateClosingTemplate</v>
      </c>
      <c r="AI4" s="15" t="str">
        <f>IFERROR(__xludf.DUMMYFUNCTION("""COMPUTED_VALUE"""),"CreateUnwindingTemplate")</f>
        <v>CreateUnwindingTemplate</v>
      </c>
      <c r="AJ4" s="15" t="str">
        <f>IFERROR(__xludf.DUMMYFUNCTION("""COMPUTED_VALUE"""),"EditTemplate")</f>
        <v>EditTemplate</v>
      </c>
      <c r="AK4" s="15" t="str">
        <f>IFERROR(__xludf.DUMMYFUNCTION("""COMPUTED_VALUE"""),"DeleteTemplate")</f>
        <v>DeleteTemplate</v>
      </c>
      <c r="AL4" s="15" t="str">
        <f>IFERROR(__xludf.DUMMYFUNCTION("""COMPUTED_VALUE"""),"RunTemplate")</f>
        <v>RunTemplate</v>
      </c>
      <c r="AM4" s="15" t="str">
        <f>IFERROR(__xludf.DUMMYFUNCTION("""COMPUTED_VALUE"""),"CreateClosingTemplate")</f>
        <v>CreateClosingTemplate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IFERROR(__xludf.DUMMYFUNCTION("""COMPUTED_VALUE"""),"Account Filter")</f>
        <v>Account Filter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 t="s">
        <v>54</v>
      </c>
      <c r="C6" s="64">
        <v>42919.0</v>
      </c>
      <c r="D6" s="62">
        <v>42921.0</v>
      </c>
      <c r="E6" s="22" t="s">
        <v>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1mOtszotVOdqHquQTLi-4CBnAUrtAF2MEABuvYJh_hzw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60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IFERROR(__xludf.DUMMYFUNCTION("""COMPUTED_VALUE"""),"Account Percentage")</f>
        <v>Account Percentage</v>
      </c>
      <c r="D5" s="17" t="str">
        <f>IFERROR(__xludf.DUMMYFUNCTION("""COMPUTED_VALUE"""),"Account Quantity")</f>
        <v>Account Quantity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22" t="s">
        <v>35</v>
      </c>
      <c r="C6" s="22">
        <v>100.0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1-RJhOo2E5PhyqaiMEjsPi8RpfYBuiSqE9fj_-bRpkKw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61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IFERROR(__xludf.DUMMYFUNCTION("""COMPUTED_VALUE"""),"Trade Date")</f>
        <v>Trade Date</v>
      </c>
      <c r="E5" s="17" t="str">
        <f>IFERROR(__xludf.DUMMYFUNCTION("""COMPUTED_VALUE"""),"Account Name")</f>
        <v>Account Name</v>
      </c>
      <c r="F5" s="33" t="str">
        <f>IFERROR(__xludf.DUMMYFUNCTION("""COMPUTED_VALUE"""),"Side")</f>
        <v>Side</v>
      </c>
      <c r="G5" s="17" t="str">
        <f>IFERROR(__xludf.DUMMYFUNCTION("""COMPUTED_VALUE"""),"Group Status")</f>
        <v>Group Status</v>
      </c>
      <c r="H5" s="17" t="str">
        <f>IFERROR(__xludf.DUMMYFUNCTION("""COMPUTED_VALUE"""),"Avg Price(Base)")</f>
        <v>Avg Price(Base)</v>
      </c>
      <c r="I5" s="17" t="str">
        <f>IFERROR(__xludf.DUMMYFUNCTION("""COMPUTED_VALUE"""),"Execution Time")</f>
        <v>Execution Time</v>
      </c>
      <c r="J5" s="17" t="str">
        <f>IFERROR(__xludf.DUMMYFUNCTION("""COMPUTED_VALUE"""),"Trade Attribute 1")</f>
        <v>Trade Attribute 1</v>
      </c>
      <c r="K5" s="17" t="str">
        <f>IFERROR(__xludf.DUMMYFUNCTION("""COMPUTED_VALUE"""),"Avg Price(Local)")</f>
        <v>Avg Price(Local)</v>
      </c>
      <c r="L5" s="17" t="str">
        <f>IFERROR(__xludf.DUMMYFUNCTION("""COMPUTED_VALUE"""),"Trade Attribute 2")</f>
        <v>Trade Attribute 2</v>
      </c>
      <c r="M5" s="17" t="str">
        <f>IFERROR(__xludf.DUMMYFUNCTION("""COMPUTED_VALUE"""),"Accrued Interest")</f>
        <v>Accrued Interest</v>
      </c>
      <c r="N5" s="17" t="str">
        <f>IFERROR(__xludf.DUMMYFUNCTION("""COMPUTED_VALUE"""),"Commission")</f>
        <v>Commission</v>
      </c>
      <c r="O5" s="17" t="str">
        <f>IFERROR(__xludf.DUMMYFUNCTION("""COMPUTED_VALUE"""),"Soft Commission")</f>
        <v>Soft Commission</v>
      </c>
      <c r="P5" s="17" t="str">
        <f>IFERROR(__xludf.DUMMYFUNCTION("""COMPUTED_VALUE"""),"Broker")</f>
        <v>Broker</v>
      </c>
      <c r="Q5" s="17" t="str">
        <f>IFERROR(__xludf.DUMMYFUNCTION("""COMPUTED_VALUE"""),"Transaction Type")</f>
        <v>Transaction Type</v>
      </c>
      <c r="R5" s="17" t="str">
        <f>IFERROR(__xludf.DUMMYFUNCTION("""COMPUTED_VALUE"""),"AUEC Fee1")</f>
        <v>AUEC Fee1</v>
      </c>
      <c r="S5" s="17" t="str">
        <f>IFERROR(__xludf.DUMMYFUNCTION("""COMPUTED_VALUE"""),"AUEC Fee2")</f>
        <v>AUEC Fee2</v>
      </c>
      <c r="T5" s="18" t="str">
        <f>IFERROR(__xludf.DUMMYFUNCTION("""COMPUTED_VALUE"""),"Clearing Broker Fee")</f>
        <v>Clearing Broker Fee</v>
      </c>
      <c r="U5" s="18" t="str">
        <f>IFERROR(__xludf.DUMMYFUNCTION("""COMPUTED_VALUE"""),"Other Broker Fees")</f>
        <v>Other Broker Fees</v>
      </c>
      <c r="V5" s="18" t="str">
        <f>IFERROR(__xludf.DUMMYFUNCTION("""COMPUTED_VALUE"""),"OCC Fee")</f>
        <v>OCC Fee</v>
      </c>
      <c r="W5" s="18" t="str">
        <f>IFERROR(__xludf.DUMMYFUNCTION("""COMPUTED_VALUE"""),"SEC Fee")</f>
        <v>SEC Fee</v>
      </c>
      <c r="X5" s="18" t="str">
        <f>IFERROR(__xludf.DUMMYFUNCTION("""COMPUTED_VALUE"""),"ORF Fee")</f>
        <v>ORF Fee</v>
      </c>
      <c r="Y5" s="18" t="str">
        <f>IFERROR(__xludf.DUMMYFUNCTION("""COMPUTED_VALUE"""),"IsPreAllocated")</f>
        <v>IsPreAllocated</v>
      </c>
      <c r="Z5" s="18" t="str">
        <f>IFERROR(__xludf.DUMMYFUNCTION("""COMPUTED_VALUE"""),"Stamp Duty")</f>
        <v>Stamp Duty</v>
      </c>
      <c r="AA5" s="18" t="str">
        <f>IFERROR(__xludf.DUMMYFUNCTION("""COMPUTED_VALUE"""),"IsManual Group")</f>
        <v>IsManual Group</v>
      </c>
      <c r="AB5" s="18" t="str">
        <f>IFERROR(__xludf.DUMMYFUNCTION("""COMPUTED_VALUE"""),"Tax On Commissions")</f>
        <v>Tax On Commissions</v>
      </c>
      <c r="AC5" s="18" t="str">
        <f>IFERROR(__xludf.DUMMYFUNCTION("""COMPUTED_VALUE"""),"IsAnotherTaxlotAttributesUpdated")</f>
        <v>IsAnotherTaxlotAttributesUpdated</v>
      </c>
      <c r="AD5" s="18" t="str">
        <f>IFERROR(__xludf.DUMMYFUNCTION("""COMPUTED_VALUE"""),"ISNDF")</f>
        <v>ISNDF</v>
      </c>
      <c r="AE5" s="18" t="str">
        <f>IFERROR(__xludf.DUMMYFUNCTION("""COMPUTED_VALUE"""),"Transaction Levy")</f>
        <v>Transaction Levy</v>
      </c>
      <c r="AF5" s="18" t="str">
        <f>IFERROR(__xludf.DUMMYFUNCTION("""COMPUTED_VALUE"""),"Description")</f>
        <v>Description</v>
      </c>
      <c r="AG5" s="18" t="str">
        <f>IFERROR(__xludf.DUMMYFUNCTION("""COMPUTED_VALUE"""),"GroupID")</f>
        <v>GroupID</v>
      </c>
      <c r="AH5" s="18" t="str">
        <f>IFERROR(__xludf.DUMMYFUNCTION("""COMPUTED_VALUE"""),"Internal Comments")</f>
        <v>Internal Comments</v>
      </c>
      <c r="AI5" s="18" t="str">
        <f>IFERROR(__xludf.DUMMYFUNCTION("""COMPUTED_VALUE"""),"M2MProfitLoss")</f>
        <v>M2MProfitLoss</v>
      </c>
      <c r="AJ5" s="18" t="str">
        <f>IFERROR(__xludf.DUMMYFUNCTION("""COMPUTED_VALUE"""),"FX Rate")</f>
        <v>FX Rate</v>
      </c>
      <c r="AK5" s="18" t="str">
        <f>IFERROR(__xludf.DUMMYFUNCTION("""COMPUTED_VALUE"""),"FX Conversion Operator")</f>
        <v>FX Conversion Operator</v>
      </c>
      <c r="AL5" s="18" t="str">
        <f>IFERROR(__xludf.DUMMYFUNCTION("""COMPUTED_VALUE"""),"Trade Attribute 3")</f>
        <v>Trade Attribute 3</v>
      </c>
      <c r="AM5" s="18" t="str">
        <f>IFERROR(__xludf.DUMMYFUNCTION("""COMPUTED_VALUE"""),"Trade Attribute 4")</f>
        <v>Trade Attribute 4</v>
      </c>
      <c r="AN5" s="18" t="str">
        <f>IFERROR(__xludf.DUMMYFUNCTION("""COMPUTED_VALUE"""),"Trade Attribute 5")</f>
        <v>Trade Attribute 5</v>
      </c>
      <c r="AO5" s="18" t="str">
        <f>IFERROR(__xludf.DUMMYFUNCTION("""COMPUTED_VALUE"""),"Trade Attribute 6")</f>
        <v>Trade Attribute 6</v>
      </c>
      <c r="AP5" s="18" t="str">
        <f>IFERROR(__xludf.DUMMYFUNCTION("""COMPUTED_VALUE"""),"Put Or Call")</f>
        <v>Put Or Call</v>
      </c>
      <c r="AQ5" s="18" t="str">
        <f>IFERROR(__xludf.DUMMYFUNCTION("""COMPUTED_VALUE"""),"Allocated Qty")</f>
        <v>Allocated Qty</v>
      </c>
      <c r="AR5" s="18" t="str">
        <f>IFERROR(__xludf.DUMMYFUNCTION("""COMPUTED_VALUE"""),"Total Commission And Fee")</f>
        <v>Total Commission And Fee</v>
      </c>
      <c r="AS5" s="18" t="str">
        <f>IFERROR(__xludf.DUMMYFUNCTION("""COMPUTED_VALUE"""),"Executed Qty")</f>
        <v>Executed Qty</v>
      </c>
      <c r="AT5" s="18" t="str">
        <f>IFERROR(__xludf.DUMMYFUNCTION("""COMPUTED_VALUE"""),"Net Amount( Local)")</f>
        <v>Net Amount( Local)</v>
      </c>
      <c r="AU5" s="18" t="str">
        <f>IFERROR(__xludf.DUMMYFUNCTION("""COMPUTED_VALUE"""),"Net Amount( Base)")</f>
        <v>Net Amount( Base)</v>
      </c>
      <c r="AV5" s="18" t="str">
        <f>IFERROR(__xludf.DUMMYFUNCTION("""COMPUTED_VALUE"""),"UnAllocatedQty")</f>
        <v>UnAllocatedQty</v>
      </c>
      <c r="AW5" s="18" t="str">
        <f>IFERROR(__xludf.DUMMYFUNCTION("""COMPUTED_VALUE"""),"Option Premium Adjustment")</f>
        <v>Option Premium Adjustment</v>
      </c>
      <c r="AX5" s="18" t="str">
        <f>IFERROR(__xludf.DUMMYFUNCTION("""COMPUTED_VALUE"""),"Principal Amount( Local)")</f>
        <v>Principal Amount( Local)</v>
      </c>
      <c r="AY5" s="18" t="str">
        <f>IFERROR(__xludf.DUMMYFUNCTION("""COMPUTED_VALUE"""),"Principal Amount( Base)")</f>
        <v>Principal Amount( Base)</v>
      </c>
      <c r="AZ5" s="18" t="str">
        <f>IFERROR(__xludf.DUMMYFUNCTION("""COMPUTED_VALUE"""),"Settlement Currency")</f>
        <v>Settlement Currency</v>
      </c>
      <c r="BA5" s="18" t="str">
        <f>IFERROR(__xludf.DUMMYFUNCTION("""COMPUTED_VALUE"""),"User")</f>
        <v>User</v>
      </c>
      <c r="BB5" s="18" t="str">
        <f>IFERROR(__xludf.DUMMYFUNCTION("""COMPUTED_VALUE"""),"Asset Category")</f>
        <v>Asset Category</v>
      </c>
      <c r="BC5" s="18" t="str">
        <f>IFERROR(__xludf.DUMMYFUNCTION("""COMPUTED_VALUE"""),"Change Type")</f>
        <v>Change Type</v>
      </c>
      <c r="BD5" s="18" t="str">
        <f>IFERROR(__xludf.DUMMYFUNCTION("""COMPUTED_VALUE"""),"Strategy Name")</f>
        <v>Strategy Name</v>
      </c>
      <c r="BE5" s="18" t="str">
        <f>IFERROR(__xludf.DUMMYFUNCTION("""COMPUTED_VALUE"""),"Prana Msg Type")</f>
        <v>Prana Msg Type</v>
      </c>
      <c r="BF5" s="18" t="str">
        <f>IFERROR(__xludf.DUMMYFUNCTION("""COMPUTED_VALUE"""),"Total Commission")</f>
        <v>Total Commission</v>
      </c>
      <c r="BG5" s="18" t="str">
        <f>IFERROR(__xludf.DUMMYFUNCTION("""COMPUTED_VALUE"""),"Commission Per Share")</f>
        <v>Commission Per Share</v>
      </c>
      <c r="BH5" s="18" t="str">
        <f>IFERROR(__xludf.DUMMYFUNCTION("""COMPUTED_VALUE"""),"Soft Commission Per Share")</f>
        <v>Soft Commission Per Share</v>
      </c>
      <c r="BI5" s="18" t="str">
        <f>IFERROR(__xludf.DUMMYFUNCTION("""COMPUTED_VALUE"""),"Total Commission Per Share")</f>
        <v>Total Commission Per Share</v>
      </c>
      <c r="BJ5" s="18" t="str">
        <f>IFERROR(__xludf.DUMMYFUNCTION("""COMPUTED_VALUE"""),"Closing Status")</f>
        <v>Closing Status</v>
      </c>
      <c r="BK5" s="18" t="str">
        <f>IFERROR(__xludf.DUMMYFUNCTION("""COMPUTED_VALUE"""),"Closing Method")</f>
        <v>Closing Method</v>
      </c>
      <c r="BL5" s="18" t="str">
        <f>IFERROR(__xludf.DUMMYFUNCTION("""COMPUTED_VALUE"""),"Allocation Scheme Name")</f>
        <v>Allocation Scheme Name</v>
      </c>
      <c r="BM5" s="18" t="str">
        <f>IFERROR(__xludf.DUMMYFUNCTION("""COMPUTED_VALUE"""),"Change Comment")</f>
        <v>Change Comment</v>
      </c>
      <c r="BN5" s="18" t="str">
        <f>IFERROR(__xludf.DUMMYFUNCTION("""COMPUTED_VALUE"""),"Order Type")</f>
        <v>Order Type</v>
      </c>
      <c r="BO5" s="18" t="str">
        <f>IFERROR(__xludf.DUMMYFUNCTION("""COMPUTED_VALUE"""),"Underlying")</f>
        <v>Underlying</v>
      </c>
      <c r="BP5" s="18" t="str">
        <f>IFERROR(__xludf.DUMMYFUNCTION("""COMPUTED_VALUE"""),"Exchange")</f>
        <v>Exchange</v>
      </c>
      <c r="BQ5" s="18" t="str">
        <f>IFERROR(__xludf.DUMMYFUNCTION("""COMPUTED_VALUE"""),"Currency")</f>
        <v>Currency</v>
      </c>
      <c r="BR5" s="18" t="str">
        <f>IFERROR(__xludf.DUMMYFUNCTION("""COMPUTED_VALUE"""),"AUECID")</f>
        <v>AUECID</v>
      </c>
      <c r="BS5" s="18" t="str">
        <f>IFERROR(__xludf.DUMMYFUNCTION("""COMPUTED_VALUE"""),"Trading Account")</f>
        <v>Trading Account</v>
      </c>
      <c r="BT5" s="18" t="str">
        <f>IFERROR(__xludf.DUMMYFUNCTION("""COMPUTED_VALUE"""),"Venue")</f>
        <v>Venue</v>
      </c>
      <c r="BU5" s="18" t="str">
        <f>IFERROR(__xludf.DUMMYFUNCTION("""COMPUTED_VALUE"""),"Cum Qty For Sub Order")</f>
        <v>Cum Qty For Sub Order</v>
      </c>
      <c r="BV5" s="18" t="str">
        <f>IFERROR(__xludf.DUMMYFUNCTION("""COMPUTED_VALUE"""),"Contract Multiplier")</f>
        <v>Contract Multiplier</v>
      </c>
      <c r="BW5" s="18" t="str">
        <f>IFERROR(__xludf.DUMMYFUNCTION("""COMPUTED_VALUE"""),"Company")</f>
        <v>Company</v>
      </c>
      <c r="BX5" s="18" t="str">
        <f>IFERROR(__xludf.DUMMYFUNCTION("""COMPUTED_VALUE"""),"Nirvana Process Date")</f>
        <v>Nirvana Process Date</v>
      </c>
      <c r="BY5" s="18" t="str">
        <f>IFERROR(__xludf.DUMMYFUNCTION("""COMPUTED_VALUE"""),"Process Date")</f>
        <v>Process Date</v>
      </c>
      <c r="BZ5" s="18" t="str">
        <f>IFERROR(__xludf.DUMMYFUNCTION("""COMPUTED_VALUE"""),"Original Purchase Date")</f>
        <v>Original Purchase Date</v>
      </c>
      <c r="CA5" s="18" t="str">
        <f>IFERROR(__xludf.DUMMYFUNCTION("""COMPUTED_VALUE"""),"Closing Date")</f>
        <v>Closing Date</v>
      </c>
      <c r="CB5" s="18" t="str">
        <f>IFERROR(__xludf.DUMMYFUNCTION("""COMPUTED_VALUE"""),"Settlement Date")</f>
        <v>Settlement Date</v>
      </c>
      <c r="CC5" s="18" t="str">
        <f>IFERROR(__xludf.DUMMYFUNCTION("""COMPUTED_VALUE"""),"Expiration Date")</f>
        <v>Expiration Date</v>
      </c>
      <c r="CD5" s="18" t="str">
        <f>IFERROR(__xludf.DUMMYFUNCTION("""COMPUTED_VALUE"""),"Underlying Symbol")</f>
        <v>Underlying Symbol</v>
      </c>
      <c r="CE5" s="18" t="str">
        <f>IFERROR(__xludf.DUMMYFUNCTION("""COMPUTED_VALUE"""),"Accrual Basis")</f>
        <v>Accrual Basis</v>
      </c>
      <c r="CF5" s="18" t="str">
        <f>IFERROR(__xludf.DUMMYFUNCTION("""COMPUTED_VALUE"""),"Bond Type")</f>
        <v>Bond Type</v>
      </c>
      <c r="CG5" s="18" t="str">
        <f>IFERROR(__xludf.DUMMYFUNCTION("""COMPUTED_VALUE"""),"Coupon Rate")</f>
        <v>Coupon Rate</v>
      </c>
      <c r="CH5" s="18" t="str">
        <f>IFERROR(__xludf.DUMMYFUNCTION("""COMPUTED_VALUE"""),"Delta")</f>
        <v>Delta</v>
      </c>
      <c r="CI5" s="18" t="str">
        <f>IFERROR(__xludf.DUMMYFUNCTION("""COMPUTED_VALUE"""),"Bloomberg")</f>
        <v>Bloomberg</v>
      </c>
      <c r="CJ5" s="18" t="str">
        <f>IFERROR(__xludf.DUMMYFUNCTION("""COMPUTED_VALUE"""),"Sedol Symbol")</f>
        <v>Sedol Symbol</v>
      </c>
      <c r="CK5" s="18" t="str">
        <f>IFERROR(__xludf.DUMMYFUNCTION("""COMPUTED_VALUE"""),"Cusip Symbol")</f>
        <v>Cusip Symbol</v>
      </c>
      <c r="CL5" s="18" t="str">
        <f>IFERROR(__xludf.DUMMYFUNCTION("""COMPUTED_VALUE"""),"ISIN")</f>
        <v>ISIN</v>
      </c>
      <c r="CM5" s="18" t="str">
        <f>IFERROR(__xludf.DUMMYFUNCTION("""COMPUTED_VALUE"""),"OSISSymbol")</f>
        <v>OSISSymbol</v>
      </c>
      <c r="CN5" s="18" t="str">
        <f>IFERROR(__xludf.DUMMYFUNCTION("""COMPUTED_VALUE"""),"IDCOSymbol")</f>
        <v>IDCOSymbol</v>
      </c>
      <c r="CO5" s="18" t="str">
        <f>IFERROR(__xludf.DUMMYFUNCTION("""COMPUTED_VALUE"""),"Underlying Delta")</f>
        <v>Underlying Delta</v>
      </c>
      <c r="CP5" s="18" t="str">
        <f>IFERROR(__xludf.DUMMYFUNCTION("""COMPUTED_VALUE"""),"Proxy Symbol")</f>
        <v>Proxy Symbol</v>
      </c>
      <c r="CQ5" s="18" t="str">
        <f>IFERROR(__xludf.DUMMYFUNCTION("""COMPUTED_VALUE"""),"Transaction Source")</f>
        <v>Transaction Source</v>
      </c>
      <c r="CR5" s="18" t="str">
        <f>IFERROR(__xludf.DUMMYFUNCTION("""COMPUTED_VALUE"""),"Import File Name")</f>
        <v>Import File Name</v>
      </c>
      <c r="CS5" s="18" t="str">
        <f>IFERROR(__xludf.DUMMYFUNCTION("""COMPUTED_VALUE"""),"MasterFund")</f>
        <v>MasterFund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68" t="s">
        <v>18</v>
      </c>
      <c r="C6" s="69">
        <v>100.0</v>
      </c>
      <c r="D6" s="62">
        <v>42919.0</v>
      </c>
      <c r="E6" s="22" t="s">
        <v>35</v>
      </c>
      <c r="F6" s="36" t="s">
        <v>19</v>
      </c>
    </row>
    <row r="7" ht="15.75" customHeight="1">
      <c r="A7" s="6"/>
      <c r="B7" s="41" t="s">
        <v>26</v>
      </c>
      <c r="C7" s="54">
        <v>100.0</v>
      </c>
      <c r="D7" s="40">
        <v>42919.0</v>
      </c>
      <c r="E7" s="22" t="s">
        <v>35</v>
      </c>
      <c r="F7" s="36" t="s">
        <v>27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1" t="s">
        <v>30</v>
      </c>
      <c r="C8" s="54">
        <v>100.0</v>
      </c>
      <c r="D8" s="40">
        <v>42919.0</v>
      </c>
      <c r="E8" s="22" t="s">
        <v>35</v>
      </c>
      <c r="F8" s="36" t="s">
        <v>27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53" t="s">
        <v>18</v>
      </c>
      <c r="C9" s="54">
        <v>50.0</v>
      </c>
      <c r="D9" s="40">
        <v>42920.0</v>
      </c>
      <c r="E9" s="22" t="s">
        <v>35</v>
      </c>
      <c r="F9" s="36" t="s">
        <v>32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41" t="s">
        <v>26</v>
      </c>
      <c r="C10" s="54">
        <v>50.0</v>
      </c>
      <c r="D10" s="40">
        <v>42920.0</v>
      </c>
      <c r="E10" s="22" t="s">
        <v>35</v>
      </c>
      <c r="F10" s="36" t="s">
        <v>33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41" t="s">
        <v>30</v>
      </c>
      <c r="C11" s="54">
        <v>50.0</v>
      </c>
      <c r="D11" s="40">
        <v>42920.0</v>
      </c>
      <c r="E11" s="22" t="s">
        <v>35</v>
      </c>
      <c r="F11" s="36" t="s">
        <v>33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52</v>
      </c>
      <c r="D3" s="10" t="s">
        <v>3</v>
      </c>
      <c r="E3" s="11" t="s">
        <v>62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IFERROR(__xludf.DUMMYFUNCTION("IF(C3="""","""",Transpose(IMPORTRANGE('_Settings'!$B$3,C3&amp;""!A4:A1000"")))"),"Allocate")</f>
        <v>Allocate</v>
      </c>
      <c r="C4" s="14" t="str">
        <f>IFERROR(__xludf.DUMMYFUNCTION("""COMPUTED_VALUE"""),"CheckAllocatedGroups")</f>
        <v>CheckAllocatedGroups</v>
      </c>
      <c r="D4" s="14" t="str">
        <f>IFERROR(__xludf.DUMMYFUNCTION("""COMPUTED_VALUE"""),"Unallocate")</f>
        <v>Unallocate</v>
      </c>
      <c r="E4" s="14" t="str">
        <f>IFERROR(__xludf.DUMMYFUNCTION("""COMPUTED_VALUE"""),"GetDataAllocation")</f>
        <v>GetDataAllocation</v>
      </c>
      <c r="F4" s="14" t="str">
        <f>IFERROR(__xludf.DUMMYFUNCTION("""COMPUTED_VALUE"""),"SelectAllocatedGroup")</f>
        <v>SelectAllocatedGroup</v>
      </c>
      <c r="G4" s="14" t="str">
        <f>IFERROR(__xludf.DUMMYFUNCTION("""COMPUTED_VALUE"""),"EditTradesAllocated")</f>
        <v>EditTradesAllocated</v>
      </c>
      <c r="H4" s="14" t="str">
        <f>IFERROR(__xludf.DUMMYFUNCTION("""COMPUTED_VALUE"""),"EditTradesUnallocated")</f>
        <v>EditTradesUnallocated</v>
      </c>
      <c r="I4" s="14" t="str">
        <f>IFERROR(__xludf.DUMMYFUNCTION("""COMPUTED_VALUE"""),"Reallocate")</f>
        <v>Reallocate</v>
      </c>
      <c r="J4" s="14" t="str">
        <f>IFERROR(__xludf.DUMMYFUNCTION("""COMPUTED_VALUE"""),"EditUnallocatedGroupSidePanel")</f>
        <v>EditUnallocatedGroupSidePanel</v>
      </c>
      <c r="K4" s="14" t="str">
        <f>IFERROR(__xludf.DUMMYFUNCTION("""COMPUTED_VALUE"""),"TradeAttributeBulkChange")</f>
        <v>TradeAttributeBulkChange</v>
      </c>
      <c r="L4" s="14" t="str">
        <f>IFERROR(__xludf.DUMMYFUNCTION("""COMPUTED_VALUE"""),"ApplyBulkUpdateOnGroups")</f>
        <v>ApplyBulkUpdateOnGroups</v>
      </c>
      <c r="M4" s="14" t="str">
        <f>IFERROR(__xludf.DUMMYFUNCTION("""COMPUTED_VALUE"""),"ApplyPrefetchFilters")</f>
        <v>ApplyPrefetchFilters</v>
      </c>
      <c r="N4" s="14" t="str">
        <f>IFERROR(__xludf.DUMMYFUNCTION("""COMPUTED_VALUE"""),"GeneralPreferencesDefaultRule")</f>
        <v>GeneralPreferencesDefaultRule</v>
      </c>
      <c r="O4" s="14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IFERROR(__xludf.DUMMYFUNCTION("""COMPUTED_VALUE"""),"CopyCalculatedPreferenceToolbar")</f>
        <v>CopyCalculatedPreferenceToolbar</v>
      </c>
      <c r="CX4" s="15" t="str">
        <f>IFERROR(__xludf.DUMMYFUNCTION("""COMPUTED_VALUE"""),"CloseOrder")</f>
        <v>CloseOrder</v>
      </c>
      <c r="CY4" s="15" t="str">
        <f>IFERROR(__xludf.DUMMYFUNCTION("""COMPUTED_VALUE"""),"DisableChecksideForAsset")</f>
        <v>DisableChecksideForAsset</v>
      </c>
      <c r="CZ4" s="15" t="str">
        <f>IFERROR(__xludf.DUMMYFUNCTION("""COMPUTED_VALUE"""),"DisableChecksideForAccount")</f>
        <v>DisableChecksideForAccount</v>
      </c>
      <c r="DA4" s="15" t="str">
        <f>IFERROR(__xludf.DUMMYFUNCTION("""COMPUTED_VALUE"""),"DisableChecksideForCounterParty")</f>
        <v>DisableChecksideForCounterParty</v>
      </c>
      <c r="DB4" s="15" t="str">
        <f>IFERROR(__xludf.DUMMYFUNCTION("""COMPUTED_VALUE"""),"DisableCheckside")</f>
        <v>DisableCheckside</v>
      </c>
      <c r="DC4" s="15" t="str">
        <f>IFERROR(__xludf.DUMMYFUNCTION("""COMPUTED_VALUE"""),"ApplyMasterFundFilter")</f>
        <v>ApplyMasterFundFilter</v>
      </c>
      <c r="DD4" s="15" t="str">
        <f>IFERROR(__xludf.DUMMYFUNCTION("""COMPUTED_VALUE"""),"ShowMasterFundOnTT")</f>
        <v>ShowMasterFundOnTT</v>
      </c>
      <c r="DE4" s="15" t="str">
        <f>IFERROR(__xludf.DUMMYFUNCTION("""COMPUTED_VALUE"""),"ShowMasterFundAsClient")</f>
        <v>ShowMasterFundAsClient</v>
      </c>
      <c r="DF4" s="15" t="str">
        <f>IFERROR(__xludf.DUMMYFUNCTION("""COMPUTED_VALUE"""),"SetBrokerAccountMapping")</f>
        <v>SetBrokerAccountMapping</v>
      </c>
      <c r="DG4" s="15" t="str">
        <f>IFERROR(__xludf.DUMMYFUNCTION("""COMPUTED_VALUE"""),"EditUnallocatedGridWPF")</f>
        <v>EditUnallocatedGridWPF</v>
      </c>
      <c r="DH4" s="15" t="str">
        <f>IFERROR(__xludf.DUMMYFUNCTION("""COMPUTED_VALUE"""),"EditAllocatedGridWPF")</f>
        <v>EditAllocatedGridWPF</v>
      </c>
      <c r="DI4" s="15" t="str">
        <f>IFERROR(__xludf.DUMMYFUNCTION("""COMPUTED_VALUE"""),"EditAllocatedGridTaxlot")</f>
        <v>EditAllocatedGridTaxlot</v>
      </c>
      <c r="DJ4" s="15" t="str">
        <f>IFERROR(__xludf.DUMMYFUNCTION("""COMPUTED_VALUE"""),"ExpandCollapseAllocatedGrid")</f>
        <v>ExpandCollapseAllocatedGrid</v>
      </c>
      <c r="DK4" s="15" t="str">
        <f>IFERROR(__xludf.DUMMYFUNCTION("""COMPUTED_VALUE"""),"ExpandCollapseUnallocatedGrid")</f>
        <v>ExpandCollapseUnallocatedGrid</v>
      </c>
      <c r="DL4" s="15" t="str">
        <f>IFERROR(__xludf.DUMMYFUNCTION("""COMPUTED_VALUE"""),"SetTradeAttributePreferences")</f>
        <v>SetTradeAttributePreferences</v>
      </c>
      <c r="DM4" s="15" t="str">
        <f>IFERROR(__xludf.DUMMYFUNCTION("""COMPUTED_VALUE"""),"EnterCustomAllocatePreference")</f>
        <v>EnterCustomAllocatePreference</v>
      </c>
      <c r="DN4" s="15" t="str">
        <f>IFERROR(__xludf.DUMMYFUNCTION("""COMPUTED_VALUE"""),"SetAutoGroupingPreferences")</f>
        <v>SetAutoGroupingPreferences</v>
      </c>
      <c r="DO4" s="15" t="str">
        <f>IFERROR(__xludf.DUMMYFUNCTION("""COMPUTED_VALUE"""),"SetAutoGroupingAccount")</f>
        <v>SetAutoGroupingAccount</v>
      </c>
      <c r="DP4" s="15" t="str">
        <f>IFERROR(__xludf.DUMMYFUNCTION("""COMPUTED_VALUE"""),"SetAvgPriceRounding")</f>
        <v>SetAvgPriceRounding</v>
      </c>
      <c r="DQ4" s="15" t="str">
        <f>IFERROR(__xludf.DUMMYFUNCTION("""COMPUTED_VALUE"""),"IsAllocationOpen")</f>
        <v>IsAllocationOpen</v>
      </c>
      <c r="DR4" s="15" t="str">
        <f>IFERROR(__xludf.DUMMYFUNCTION("""COMPUTED_VALUE"""),"AllocationAuditTrail")</f>
        <v>AllocationAuditTrail</v>
      </c>
      <c r="DS4" s="15" t="str">
        <f>IFERROR(__xludf.DUMMYFUNCTION("""COMPUTED_VALUE"""),"GetAuditTrailData")</f>
        <v>GetAuditTrailData</v>
      </c>
      <c r="DT4" s="15" t="str">
        <f>IFERROR(__xludf.DUMMYFUNCTION("""COMPUTED_VALUE"""),"CheckAuditTrailData")</f>
        <v>CheckAuditTrailData</v>
      </c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IFERROR(__xludf.DUMMYFUNCTION("""COMPUTED_VALUE"""),"Use/Select/Specify")</f>
        <v>Use/Select/Specify</v>
      </c>
      <c r="C5" s="17" t="str">
        <f>IFERROR(__xludf.DUMMYFUNCTION("""COMPUTED_VALUE"""),"CommissionRule")</f>
        <v>CommissionRule</v>
      </c>
      <c r="D5" s="17" t="str">
        <f>IFERROR(__xludf.DUMMYFUNCTION("""COMPUTED_VALUE"""),"Commission")</f>
        <v>Commission</v>
      </c>
      <c r="E5" s="17" t="str">
        <f>IFERROR(__xludf.DUMMYFUNCTION("""COMPUTED_VALUE"""),"CommissionValue")</f>
        <v>CommissionValue</v>
      </c>
      <c r="F5" s="17" t="str">
        <f>IFERROR(__xludf.DUMMYFUNCTION("""COMPUTED_VALUE"""),"SoftCommission")</f>
        <v>SoftCommission</v>
      </c>
      <c r="G5" s="17" t="str">
        <f>IFERROR(__xludf.DUMMYFUNCTION("""COMPUTED_VALUE"""),"SoftCommissionValue")</f>
        <v>SoftCommissionValue</v>
      </c>
      <c r="H5" s="17" t="str">
        <f>IFERROR(__xludf.DUMMYFUNCTION("""COMPUTED_VALUE"""),"OtherBrokerFees")</f>
        <v>OtherBrokerFees</v>
      </c>
      <c r="I5" s="17" t="str">
        <f>IFERROR(__xludf.DUMMYFUNCTION("""COMPUTED_VALUE"""),"OtherBrokerFeesValue")</f>
        <v>OtherBrokerFeesValue</v>
      </c>
      <c r="J5" s="17" t="str">
        <f>IFERROR(__xludf.DUMMYFUNCTION("""COMPUTED_VALUE"""),"ClearingBrokerFees")</f>
        <v>ClearingBrokerFees</v>
      </c>
      <c r="K5" s="17" t="str">
        <f>IFERROR(__xludf.DUMMYFUNCTION("""COMPUTED_VALUE"""),"ClearingBrokerFeesValue")</f>
        <v>ClearingBrokerFeesValue</v>
      </c>
      <c r="L5" s="17" t="str">
        <f>IFERROR(__xludf.DUMMYFUNCTION("""COMPUTED_VALUE"""),"TransactionLevy")</f>
        <v>TransactionLevy</v>
      </c>
      <c r="M5" s="17" t="str">
        <f>IFERROR(__xludf.DUMMYFUNCTION("""COMPUTED_VALUE"""),"TransactionLevyValue")</f>
        <v>TransactionLevyValue</v>
      </c>
      <c r="N5" s="17" t="str">
        <f>IFERROR(__xludf.DUMMYFUNCTION("""COMPUTED_VALUE"""),"TaxOnCommission")</f>
        <v>TaxOnCommission</v>
      </c>
      <c r="O5" s="17" t="str">
        <f>IFERROR(__xludf.DUMMYFUNCTION("""COMPUTED_VALUE"""),"TaxOnCommissionValue")</f>
        <v>TaxOnCommissionValue</v>
      </c>
      <c r="P5" s="17" t="str">
        <f>IFERROR(__xludf.DUMMYFUNCTION("""COMPUTED_VALUE"""),"StampDuty")</f>
        <v>StampDuty</v>
      </c>
      <c r="Q5" s="17" t="str">
        <f>IFERROR(__xludf.DUMMYFUNCTION("""COMPUTED_VALUE"""),"StampDutyValue")</f>
        <v>StampDutyValue</v>
      </c>
      <c r="R5" s="17" t="str">
        <f>IFERROR(__xludf.DUMMYFUNCTION("""COMPUTED_VALUE"""),"AUECFee1")</f>
        <v>AUECFee1</v>
      </c>
      <c r="S5" s="17" t="str">
        <f>IFERROR(__xludf.DUMMYFUNCTION("""COMPUTED_VALUE"""),"AUECFee1Value")</f>
        <v>AUECFee1Value</v>
      </c>
      <c r="T5" s="18" t="str">
        <f>IFERROR(__xludf.DUMMYFUNCTION("""COMPUTED_VALUE"""),"AUECFee2")</f>
        <v>AUECFee2</v>
      </c>
      <c r="U5" s="18" t="str">
        <f>IFERROR(__xludf.DUMMYFUNCTION("""COMPUTED_VALUE"""),"AUECFee2Value")</f>
        <v>AUECFee2Value</v>
      </c>
      <c r="V5" s="18" t="str">
        <f>IFERROR(__xludf.DUMMYFUNCTION("""COMPUTED_VALUE"""),"SECFee")</f>
        <v>SECFee</v>
      </c>
      <c r="W5" s="18" t="str">
        <f>IFERROR(__xludf.DUMMYFUNCTION("""COMPUTED_VALUE"""),"SECFeeValue")</f>
        <v>SECFeeValue</v>
      </c>
      <c r="X5" s="18" t="str">
        <f>IFERROR(__xludf.DUMMYFUNCTION("""COMPUTED_VALUE"""),"OCCFee")</f>
        <v>OCCFee</v>
      </c>
      <c r="Y5" s="18" t="str">
        <f>IFERROR(__xludf.DUMMYFUNCTION("""COMPUTED_VALUE"""),"OCCFeeValue")</f>
        <v>OCCFeeValue</v>
      </c>
      <c r="Z5" s="18" t="str">
        <f>IFERROR(__xludf.DUMMYFUNCTION("""COMPUTED_VALUE"""),"ORFFee")</f>
        <v>ORFFee</v>
      </c>
      <c r="AA5" s="18" t="str">
        <f>IFERROR(__xludf.DUMMYFUNCTION("""COMPUTED_VALUE"""),"ORFFeeValue")</f>
        <v>ORFFeeValue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22" t="s">
        <v>63</v>
      </c>
      <c r="D6" s="22" t="s">
        <v>64</v>
      </c>
      <c r="E6" s="22">
        <v>0.5</v>
      </c>
      <c r="F6" s="22" t="s">
        <v>65</v>
      </c>
      <c r="G6" s="22">
        <v>14.0</v>
      </c>
      <c r="H6" s="22" t="s">
        <v>66</v>
      </c>
      <c r="I6" s="22">
        <v>35.0</v>
      </c>
      <c r="J6" s="22" t="s">
        <v>64</v>
      </c>
      <c r="K6" s="22">
        <v>0.3</v>
      </c>
      <c r="L6" s="22" t="s">
        <v>65</v>
      </c>
      <c r="M6" s="22">
        <v>23.0</v>
      </c>
      <c r="N6" s="22" t="s">
        <v>66</v>
      </c>
      <c r="O6" s="22">
        <v>40.0</v>
      </c>
      <c r="P6" s="22" t="s">
        <v>64</v>
      </c>
      <c r="Q6" s="22">
        <v>0.7</v>
      </c>
      <c r="R6" s="22" t="s">
        <v>65</v>
      </c>
      <c r="S6" s="22">
        <v>44.0</v>
      </c>
      <c r="T6" s="22" t="s">
        <v>66</v>
      </c>
      <c r="U6" s="22">
        <v>54.0</v>
      </c>
      <c r="V6" s="22" t="s">
        <v>64</v>
      </c>
      <c r="W6" s="22">
        <v>0.8</v>
      </c>
      <c r="X6" s="22" t="s">
        <v>65</v>
      </c>
      <c r="Y6" s="22">
        <v>12.0</v>
      </c>
      <c r="Z6" s="22" t="s">
        <v>66</v>
      </c>
      <c r="AA6" s="22">
        <v>62.0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CommissionBulkChangeOnGroups!$4:$4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7.63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1zwv-aZp-DRCpq8bqLR0XRiyt0av-GAm0ORqbhnV-FKI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58</v>
      </c>
      <c r="D3" s="10" t="s">
        <v>3</v>
      </c>
      <c r="E3" s="11" t="s">
        <v>67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IFERROR(__xludf.DUMMYFUNCTION("IF(C3="""","""",Transpose(IMPORTRANGE('_Settings'!$B$3,C3&amp;""!A4:A1000"")))"),"SwapExpire")</f>
        <v>SwapExpire</v>
      </c>
      <c r="C4" s="14" t="str">
        <f>IFERROR(__xludf.DUMMYFUNCTION("""COMPUTED_VALUE"""),"GetDataClosing")</f>
        <v>GetDataClosing</v>
      </c>
      <c r="D4" s="14" t="str">
        <f>IFERROR(__xludf.DUMMYFUNCTION("""COMPUTED_VALUE"""),"ManualClosing")</f>
        <v>ManualClosing</v>
      </c>
      <c r="E4" s="14" t="str">
        <f>IFERROR(__xludf.DUMMYFUNCTION("""COMPUTED_VALUE"""),"AutomaticClosing")</f>
        <v>AutomaticClosing</v>
      </c>
      <c r="F4" s="14" t="str">
        <f>IFERROR(__xludf.DUMMYFUNCTION("""COMPUTED_VALUE"""),"UnwindClosing")</f>
        <v>UnwindClosing</v>
      </c>
      <c r="G4" s="14" t="str">
        <f>IFERROR(__xludf.DUMMYFUNCTION("""COMPUTED_VALUE"""),"VerifyClosedTrades")</f>
        <v>VerifyClosedTrades</v>
      </c>
      <c r="H4" s="14" t="str">
        <f>IFERROR(__xludf.DUMMYFUNCTION("""COMPUTED_VALUE"""),"VerifyLongPositionsGrid")</f>
        <v>VerifyLongPositionsGrid</v>
      </c>
      <c r="I4" s="14" t="str">
        <f>IFERROR(__xludf.DUMMYFUNCTION("""COMPUTED_VALUE"""),"VerifyShortPositionsGrid")</f>
        <v>VerifyShortPositionsGrid</v>
      </c>
      <c r="J4" s="14" t="str">
        <f>IFERROR(__xludf.DUMMYFUNCTION("""COMPUTED_VALUE"""),"SelectTradeUnexpiredUnsettled")</f>
        <v>SelectTradeUnexpiredUnsettled</v>
      </c>
      <c r="K4" s="14" t="str">
        <f>IFERROR(__xludf.DUMMYFUNCTION("""COMPUTED_VALUE"""),"CashSettlementAtCost")</f>
        <v>CashSettlementAtCost</v>
      </c>
      <c r="L4" s="14" t="str">
        <f>IFERROR(__xludf.DUMMYFUNCTION("""COMPUTED_VALUE"""),"CashSettlementAtZeroPrice")</f>
        <v>CashSettlementAtZeroPrice</v>
      </c>
      <c r="M4" s="14" t="str">
        <f>IFERROR(__xludf.DUMMYFUNCTION("""COMPUTED_VALUE"""),"CashSettlementAtClosingDtSpotPx")</f>
        <v>CashSettlementAtClosingDtSpotPx</v>
      </c>
      <c r="N4" s="14" t="str">
        <f>IFERROR(__xludf.DUMMYFUNCTION("""COMPUTED_VALUE"""),"PhysicalSettlement")</f>
        <v>PhysicalSettlement</v>
      </c>
      <c r="O4" s="14" t="str">
        <f>IFERROR(__xludf.DUMMYFUNCTION("""COMPUTED_VALUE"""),"Expire")</f>
        <v>Expire</v>
      </c>
      <c r="P4" s="15" t="str">
        <f>IFERROR(__xludf.DUMMYFUNCTION("""COMPUTED_VALUE"""),"ExerciseAssignment")</f>
        <v>ExerciseAssignment</v>
      </c>
      <c r="Q4" s="15" t="str">
        <f>IFERROR(__xludf.DUMMYFUNCTION("""COMPUTED_VALUE"""),"ExerciseAssignmentAtZero")</f>
        <v>ExerciseAssignmentAtZero</v>
      </c>
      <c r="R4" s="15" t="str">
        <f>IFERROR(__xludf.DUMMYFUNCTION("""COMPUTED_VALUE"""),"SwapExpireAndRollover")</f>
        <v>SwapExpireAndRollover</v>
      </c>
      <c r="S4" s="15" t="str">
        <f>IFERROR(__xludf.DUMMYFUNCTION("""COMPUTED_VALUE"""),"SwapExpire")</f>
        <v>SwapExpire</v>
      </c>
      <c r="T4" s="15" t="str">
        <f>IFERROR(__xludf.DUMMYFUNCTION("""COMPUTED_VALUE"""),"VerifyExpiredSettledGrid")</f>
        <v>VerifyExpiredSettledGrid</v>
      </c>
      <c r="U4" s="15" t="str">
        <f>IFERROR(__xludf.DUMMYFUNCTION("""COMPUTED_VALUE"""),"VerifyUnExpiredUnSettledGrid")</f>
        <v>VerifyUnExpiredUnSettledGrid</v>
      </c>
      <c r="V4" s="15" t="str">
        <f>IFERROR(__xludf.DUMMYFUNCTION("""COMPUTED_VALUE"""),"UnWindTradeSettlement")</f>
        <v>UnWindTradeSettlement</v>
      </c>
      <c r="W4" s="15" t="str">
        <f>IFERROR(__xludf.DUMMYFUNCTION("""COMPUTED_VALUE"""),"CloseOrder")</f>
        <v>CloseOrder</v>
      </c>
      <c r="X4" s="15" t="str">
        <f>IFERROR(__xludf.DUMMYFUNCTION("""COMPUTED_VALUE"""),"VerifyCloseOrder")</f>
        <v>VerifyCloseOrder</v>
      </c>
      <c r="Y4" s="15" t="str">
        <f>IFERROR(__xludf.DUMMYFUNCTION("""COMPUTED_VALUE"""),"UnWindCloseOrder")</f>
        <v>UnWindCloseOrder</v>
      </c>
      <c r="Z4" s="15" t="str">
        <f>IFERROR(__xludf.DUMMYFUNCTION("""COMPUTED_VALUE"""),"ClosingCleanUp")</f>
        <v>ClosingCleanUp</v>
      </c>
      <c r="AA4" s="15" t="str">
        <f>IFERROR(__xludf.DUMMYFUNCTION("""COMPUTED_VALUE"""),"CloseClosingUI")</f>
        <v>CloseClosingUI</v>
      </c>
      <c r="AB4" s="15" t="str">
        <f>IFERROR(__xludf.DUMMYFUNCTION("""COMPUTED_VALUE"""),"SetClosingPreference")</f>
        <v>SetClosingPreference</v>
      </c>
      <c r="AC4" s="15" t="str">
        <f>IFERROR(__xludf.DUMMYFUNCTION("""COMPUTED_VALUE"""),"EditTradeUnexpiredUnsettled")</f>
        <v>EditTradeUnexpiredUnsettled</v>
      </c>
      <c r="AD4" s="15" t="str">
        <f>IFERROR(__xludf.DUMMYFUNCTION("""COMPUTED_VALUE"""),"AutoExercise")</f>
        <v>AutoExercise</v>
      </c>
      <c r="AE4" s="15" t="str">
        <f>IFERROR(__xludf.DUMMYFUNCTION("""COMPUTED_VALUE"""),"EditMultipleCloseQuantity")</f>
        <v>EditMultipleCloseQuantity</v>
      </c>
      <c r="AF4" s="15" t="str">
        <f>IFERROR(__xludf.DUMMYFUNCTION("""COMPUTED_VALUE"""),"ManualCloseOrder")</f>
        <v>ManualCloseOrder</v>
      </c>
      <c r="AG4" s="15" t="str">
        <f>IFERROR(__xludf.DUMMYFUNCTION("""COMPUTED_VALUE"""),"PreviewDataWithFilters")</f>
        <v>PreviewDataWithFilters</v>
      </c>
      <c r="AH4" s="15" t="str">
        <f>IFERROR(__xludf.DUMMYFUNCTION("""COMPUTED_VALUE"""),"CreateClosingTemplate")</f>
        <v>CreateClosingTemplate</v>
      </c>
      <c r="AI4" s="15" t="str">
        <f>IFERROR(__xludf.DUMMYFUNCTION("""COMPUTED_VALUE"""),"CreateUnwindingTemplate")</f>
        <v>CreateUnwindingTemplate</v>
      </c>
      <c r="AJ4" s="15" t="str">
        <f>IFERROR(__xludf.DUMMYFUNCTION("""COMPUTED_VALUE"""),"EditTemplate")</f>
        <v>EditTemplate</v>
      </c>
      <c r="AK4" s="15" t="str">
        <f>IFERROR(__xludf.DUMMYFUNCTION("""COMPUTED_VALUE"""),"DeleteTemplate")</f>
        <v>DeleteTemplate</v>
      </c>
      <c r="AL4" s="15" t="str">
        <f>IFERROR(__xludf.DUMMYFUNCTION("""COMPUTED_VALUE"""),"RunTemplate")</f>
        <v>RunTemplate</v>
      </c>
      <c r="AM4" s="15" t="str">
        <f>IFERROR(__xludf.DUMMYFUNCTION("""COMPUTED_VALUE"""),"CreateClosingTemplate")</f>
        <v>CreateClosingTemplate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IFERROR(__xludf.DUMMYFUNCTION("""COMPUTED_VALUE"""),"CloseSSw/BuyBTO ")</f>
        <v>CloseSSw/BuyBTO </v>
      </c>
      <c r="C5" s="17" t="str">
        <f>IFERROR(__xludf.DUMMYFUNCTION("""COMPUTED_VALUE"""),"AutoCloseStrategy")</f>
        <v>AutoCloseStrategy</v>
      </c>
      <c r="D5" s="17" t="str">
        <f>IFERROR(__xludf.DUMMYFUNCTION("""COMPUTED_VALUE"""),"Algorithm")</f>
        <v>Algorithm</v>
      </c>
      <c r="E5" s="17" t="str">
        <f>IFERROR(__xludf.DUMMYFUNCTION("""COMPUTED_VALUE"""),"SecondarySortCriteria")</f>
        <v>SecondarySortCriteria</v>
      </c>
      <c r="F5" s="17" t="str">
        <f>IFERROR(__xludf.DUMMYFUNCTION("""COMPUTED_VALUE"""),"ClosingField")</f>
        <v>ClosingField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65" t="b">
        <v>1</v>
      </c>
      <c r="C6" s="65" t="b">
        <v>1</v>
      </c>
      <c r="D6" s="38" t="s">
        <v>68</v>
      </c>
      <c r="E6" s="38" t="s">
        <v>69</v>
      </c>
      <c r="F6" s="38" t="s">
        <v>70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71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IFERROR(__xludf.DUMMYFUNCTION("""COMPUTED_VALUE"""),"From")</f>
        <v>From</v>
      </c>
      <c r="E5" s="17" t="str">
        <f>IFERROR(__xludf.DUMMYFUNCTION("""COMPUTED_VALUE"""),"To")</f>
        <v>To</v>
      </c>
      <c r="F5" s="17" t="str">
        <f>IFERROR(__xludf.DUMMYFUNCTION("""COMPUTED_VALUE"""),"SettlementDate")</f>
        <v>SettlementDate</v>
      </c>
      <c r="G5" s="17" t="str">
        <f>IFERROR(__xludf.DUMMYFUNCTION("""COMPUTED_VALUE"""),"TradeDate")</f>
        <v>TradeDate</v>
      </c>
      <c r="H5" s="17" t="str">
        <f>IFERROR(__xludf.DUMMYFUNCTION("""COMPUTED_VALUE"""),"All")</f>
        <v>All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/>
      <c r="C6" s="22" t="s">
        <v>35</v>
      </c>
      <c r="D6" s="64">
        <v>42919.0</v>
      </c>
      <c r="E6" s="62">
        <v>42921.0</v>
      </c>
      <c r="F6" s="38"/>
      <c r="G6" s="38" t="s">
        <v>72</v>
      </c>
      <c r="H6" s="3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3" width="12.63"/>
    <col customWidth="1" min="4" max="4" width="18.5"/>
    <col customWidth="1" min="5" max="8" width="12.63"/>
    <col customWidth="1" min="9" max="9" width="15.88"/>
    <col customWidth="1" min="10" max="11" width="15.25"/>
    <col customWidth="1" min="12" max="25" width="12.63"/>
    <col customWidth="1" min="26" max="26" width="19.13"/>
    <col customWidth="1" min="27" max="27" width="21.38"/>
    <col customWidth="1" min="28" max="35" width="12.63"/>
    <col customWidth="1" min="36" max="36" width="26.0"/>
    <col customWidth="1" min="37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73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IFERROR(__xludf.DUMMYFUNCTION("""COMPUTED_VALUE"""),"Account")</f>
        <v>Account</v>
      </c>
      <c r="C5" s="33" t="str">
        <f>IFERROR(__xludf.DUMMYFUNCTION("""COMPUTED_VALUE"""),"Activity Source")</f>
        <v>Activity Source</v>
      </c>
      <c r="D5" s="33" t="str">
        <f>IFERROR(__xludf.DUMMYFUNCTION("""COMPUTED_VALUE"""),"ActivityType")</f>
        <v>ActivityType</v>
      </c>
      <c r="E5" s="33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3" t="str">
        <f>IFERROR(__xludf.DUMMYFUNCTION("""COMPUTED_VALUE"""),"AUEC Fee2")</f>
        <v>AUEC Fee2</v>
      </c>
      <c r="H5" s="33" t="str">
        <f>IFERROR(__xludf.DUMMYFUNCTION("""COMPUTED_VALUE"""),"Balance Type")</f>
        <v>Balance Type</v>
      </c>
      <c r="I5" s="33" t="str">
        <f>IFERROR(__xludf.DUMMYFUNCTION("""COMPUTED_VALUE"""),"Clearing Broker Fees")</f>
        <v>Clearing Broker Fees</v>
      </c>
      <c r="J5" s="33" t="str">
        <f>IFERROR(__xludf.DUMMYFUNCTION("""COMPUTED_VALUE"""),"Commission")</f>
        <v>Commission</v>
      </c>
      <c r="K5" s="33" t="str">
        <f>IFERROR(__xludf.DUMMYFUNCTION("""COMPUTED_VALUE"""),"Currency")</f>
        <v>Currency</v>
      </c>
      <c r="L5" s="33" t="str">
        <f>IFERROR(__xludf.DUMMYFUNCTION("""COMPUTED_VALUE"""),"Description")</f>
        <v>Description</v>
      </c>
      <c r="M5" s="33" t="str">
        <f>IFERROR(__xludf.DUMMYFUNCTION("""COMPUTED_VALUE"""),"Entry Date")</f>
        <v>Entry Date</v>
      </c>
      <c r="N5" s="33" t="str">
        <f>IFERROR(__xludf.DUMMYFUNCTION("""COMPUTED_VALUE"""),"FX Conversion Method Operator")</f>
        <v>FX Conversion Method Operator</v>
      </c>
      <c r="O5" s="33" t="str">
        <f>IFERROR(__xludf.DUMMYFUNCTION("""COMPUTED_VALUE"""),"Fx Rate")</f>
        <v>Fx Rate</v>
      </c>
      <c r="P5" s="33" t="str">
        <f>IFERROR(__xludf.DUMMYFUNCTION("""COMPUTED_VALUE"""),"Lead Currency")</f>
        <v>Lead Currency</v>
      </c>
      <c r="Q5" s="33" t="str">
        <f>IFERROR(__xludf.DUMMYFUNCTION("""COMPUTED_VALUE"""),"Modify date")</f>
        <v>Modify date</v>
      </c>
      <c r="R5" s="33" t="str">
        <f>IFERROR(__xludf.DUMMYFUNCTION("""COMPUTED_VALUE"""),"OCC Fee")</f>
        <v>OCC Fee</v>
      </c>
      <c r="S5" s="33" t="str">
        <f>IFERROR(__xludf.DUMMYFUNCTION("""COMPUTED_VALUE"""),"OptionPremiumAdjustment")</f>
        <v>OptionPremiumAdjustment</v>
      </c>
      <c r="T5" s="18" t="str">
        <f>IFERROR(__xludf.DUMMYFUNCTION("""COMPUTED_VALUE"""),"ORF Fee")</f>
        <v>ORF Fee</v>
      </c>
      <c r="U5" s="18" t="str">
        <f>IFERROR(__xludf.DUMMYFUNCTION("""COMPUTED_VALUE"""),"Other Broker Fees")</f>
        <v>Other Broker Fees</v>
      </c>
      <c r="V5" s="18" t="str">
        <f>IFERROR(__xludf.DUMMYFUNCTION("""COMPUTED_VALUE"""),"Quantity")</f>
        <v>Quantity</v>
      </c>
      <c r="W5" s="18" t="str">
        <f>IFERROR(__xludf.DUMMYFUNCTION("""COMPUTED_VALUE"""),"SEC Fee")</f>
        <v>SEC Fee</v>
      </c>
      <c r="X5" s="18" t="str">
        <f>IFERROR(__xludf.DUMMYFUNCTION("""COMPUTED_VALUE"""),"Settlement Currency")</f>
        <v>Settlement Currency</v>
      </c>
      <c r="Y5" s="18" t="str">
        <f>IFERROR(__xludf.DUMMYFUNCTION("""COMPUTED_VALUE"""),"Settlement Date")</f>
        <v>Settlement Date</v>
      </c>
      <c r="Z5" s="18" t="str">
        <f>IFERROR(__xludf.DUMMYFUNCTION("""COMPUTED_VALUE"""),"Soft Commission")</f>
        <v>Soft Commission</v>
      </c>
      <c r="AA5" s="18" t="str">
        <f>IFERROR(__xludf.DUMMYFUNCTION("""COMPUTED_VALUE"""),"Stamp Duty")</f>
        <v>Stamp Duty</v>
      </c>
      <c r="AB5" s="18" t="str">
        <f>IFERROR(__xludf.DUMMYFUNCTION("""COMPUTED_VALUE"""),"Symbol")</f>
        <v>Symbol</v>
      </c>
      <c r="AC5" s="18" t="str">
        <f>IFERROR(__xludf.DUMMYFUNCTION("""COMPUTED_VALUE"""),"Tax On Commissions")</f>
        <v>Tax On Commissions</v>
      </c>
      <c r="AD5" s="18" t="str">
        <f>IFERROR(__xludf.DUMMYFUNCTION("""COMPUTED_VALUE"""),"Total Commissions")</f>
        <v>Total Commissions</v>
      </c>
      <c r="AE5" s="18" t="str">
        <f>IFERROR(__xludf.DUMMYFUNCTION("""COMPUTED_VALUE"""),"Trade Date")</f>
        <v>Trade Date</v>
      </c>
      <c r="AF5" s="18" t="str">
        <f>IFERROR(__xludf.DUMMYFUNCTION("""COMPUTED_VALUE"""),"Transaction Levy")</f>
        <v>Transaction Levy</v>
      </c>
      <c r="AG5" s="18" t="str">
        <f>IFERROR(__xludf.DUMMYFUNCTION("""COMPUTED_VALUE"""),"Transaction Source")</f>
        <v>Transaction Source</v>
      </c>
      <c r="AH5" s="18" t="str">
        <f>IFERROR(__xludf.DUMMYFUNCTION("""COMPUTED_VALUE"""),"User")</f>
        <v>User</v>
      </c>
      <c r="AI5" s="18" t="str">
        <f>IFERROR(__xludf.DUMMYFUNCTION("""COMPUTED_VALUE"""),"Vs Currency")</f>
        <v>Vs Currency</v>
      </c>
      <c r="AJ5" s="18" t="str">
        <f>IFERROR(__xludf.DUMMYFUNCTION("""COMPUTED_VALUE"""),"SettlCurrencyID")</f>
        <v>SettlCurrencyID</v>
      </c>
      <c r="AK5" s="18" t="str">
        <f>IFERROR(__xludf.DUMMYFUNCTION("""COMPUTED_VALUE"""),"isRowCountCheck")</f>
        <v>isRowCountCheck</v>
      </c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55"/>
      <c r="B6" s="70" t="s">
        <v>35</v>
      </c>
      <c r="C6" s="70" t="s">
        <v>74</v>
      </c>
      <c r="D6" s="70" t="s">
        <v>75</v>
      </c>
      <c r="E6" s="70">
        <v>-11958.8</v>
      </c>
      <c r="F6" s="70">
        <v>0.0</v>
      </c>
      <c r="G6" s="70">
        <v>0.0</v>
      </c>
      <c r="H6" s="70" t="s">
        <v>76</v>
      </c>
      <c r="I6" s="70">
        <v>0.0</v>
      </c>
      <c r="J6" s="70">
        <v>0.0</v>
      </c>
      <c r="K6" s="70" t="s">
        <v>40</v>
      </c>
      <c r="L6" s="71"/>
      <c r="M6" s="72"/>
      <c r="N6" s="70" t="s">
        <v>39</v>
      </c>
      <c r="O6" s="70">
        <v>1.0</v>
      </c>
      <c r="P6" s="71"/>
      <c r="Q6" s="72"/>
      <c r="R6" s="70">
        <v>0.0</v>
      </c>
      <c r="S6" s="70">
        <v>0.0</v>
      </c>
      <c r="T6" s="70">
        <v>0.0</v>
      </c>
      <c r="U6" s="70">
        <v>0.0</v>
      </c>
      <c r="V6" s="70">
        <v>0.0</v>
      </c>
      <c r="W6" s="70">
        <v>0.0</v>
      </c>
      <c r="X6" s="71"/>
      <c r="Y6" s="73"/>
      <c r="Z6" s="70">
        <v>0.0</v>
      </c>
      <c r="AA6" s="70">
        <v>0.0</v>
      </c>
      <c r="AB6" s="74"/>
      <c r="AC6" s="70">
        <v>0.0</v>
      </c>
      <c r="AD6" s="70">
        <v>0.0</v>
      </c>
      <c r="AE6" s="75">
        <v>42919.0</v>
      </c>
      <c r="AF6" s="70">
        <v>0.0</v>
      </c>
      <c r="AG6" s="70" t="s">
        <v>48</v>
      </c>
      <c r="AH6" s="70"/>
      <c r="AI6" s="74"/>
      <c r="AJ6" s="70">
        <v>0.0</v>
      </c>
      <c r="AK6" s="70"/>
      <c r="AL6" s="71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</row>
    <row r="7" ht="15.75" customHeight="1">
      <c r="A7" s="55"/>
      <c r="B7" s="70" t="s">
        <v>35</v>
      </c>
      <c r="C7" s="70" t="s">
        <v>74</v>
      </c>
      <c r="D7" s="70" t="s">
        <v>75</v>
      </c>
      <c r="E7" s="70">
        <v>15180.0</v>
      </c>
      <c r="F7" s="70">
        <v>0.0</v>
      </c>
      <c r="G7" s="70">
        <v>0.0</v>
      </c>
      <c r="H7" s="70" t="s">
        <v>76</v>
      </c>
      <c r="I7" s="70">
        <v>0.0</v>
      </c>
      <c r="J7" s="70">
        <v>0.0</v>
      </c>
      <c r="K7" s="70" t="s">
        <v>29</v>
      </c>
      <c r="L7" s="71"/>
      <c r="M7" s="72"/>
      <c r="N7" s="70" t="s">
        <v>39</v>
      </c>
      <c r="O7" s="70">
        <v>0.79</v>
      </c>
      <c r="P7" s="71"/>
      <c r="Q7" s="72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71"/>
      <c r="Y7" s="73"/>
      <c r="Z7" s="70">
        <v>0.0</v>
      </c>
      <c r="AA7" s="70">
        <v>0.0</v>
      </c>
      <c r="AB7" s="74"/>
      <c r="AC7" s="70">
        <v>0.0</v>
      </c>
      <c r="AD7" s="70">
        <v>0.0</v>
      </c>
      <c r="AE7" s="75">
        <v>42919.0</v>
      </c>
      <c r="AF7" s="70">
        <v>0.0</v>
      </c>
      <c r="AG7" s="70" t="s">
        <v>48</v>
      </c>
      <c r="AH7" s="70"/>
      <c r="AI7" s="74"/>
      <c r="AJ7" s="70">
        <v>0.0</v>
      </c>
      <c r="AK7" s="70"/>
      <c r="AL7" s="71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</row>
    <row r="8" ht="15.75" customHeight="1">
      <c r="A8" s="55"/>
      <c r="B8" s="70" t="s">
        <v>35</v>
      </c>
      <c r="C8" s="70" t="s">
        <v>77</v>
      </c>
      <c r="D8" s="70" t="s">
        <v>78</v>
      </c>
      <c r="E8" s="70">
        <v>-1564.54</v>
      </c>
      <c r="F8" s="70">
        <v>4.9852</v>
      </c>
      <c r="G8" s="70">
        <v>54.0</v>
      </c>
      <c r="H8" s="70" t="s">
        <v>76</v>
      </c>
      <c r="I8" s="70">
        <v>30.0</v>
      </c>
      <c r="J8" s="70">
        <v>50.0</v>
      </c>
      <c r="K8" s="70" t="s">
        <v>29</v>
      </c>
      <c r="L8" s="74"/>
      <c r="M8" s="72"/>
      <c r="N8" s="70" t="s">
        <v>39</v>
      </c>
      <c r="O8" s="70">
        <v>1.7</v>
      </c>
      <c r="P8" s="71"/>
      <c r="Q8" s="72"/>
      <c r="R8" s="70">
        <v>1.3596</v>
      </c>
      <c r="S8" s="70">
        <v>0.0</v>
      </c>
      <c r="T8" s="70">
        <v>62.0</v>
      </c>
      <c r="U8" s="70">
        <v>35.0</v>
      </c>
      <c r="V8" s="70">
        <v>100.0</v>
      </c>
      <c r="W8" s="70">
        <v>80.0</v>
      </c>
      <c r="X8" s="70" t="s">
        <v>29</v>
      </c>
      <c r="Y8" s="72"/>
      <c r="Z8" s="70">
        <v>1.5862</v>
      </c>
      <c r="AA8" s="70">
        <v>70.0</v>
      </c>
      <c r="AB8" s="70" t="s">
        <v>26</v>
      </c>
      <c r="AC8" s="70">
        <v>40.0</v>
      </c>
      <c r="AD8" s="70">
        <v>431.5369</v>
      </c>
      <c r="AE8" s="75">
        <v>42919.0</v>
      </c>
      <c r="AF8" s="70">
        <v>2.6059</v>
      </c>
      <c r="AG8" s="70" t="s">
        <v>77</v>
      </c>
      <c r="AH8" s="76"/>
      <c r="AI8" s="74"/>
      <c r="AJ8" s="70">
        <v>14.0</v>
      </c>
      <c r="AK8" s="70"/>
      <c r="AL8" s="71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</row>
    <row r="9" ht="15.75" customHeight="1">
      <c r="A9" s="55"/>
      <c r="B9" s="70" t="s">
        <v>35</v>
      </c>
      <c r="C9" s="70" t="s">
        <v>77</v>
      </c>
      <c r="D9" s="70" t="s">
        <v>79</v>
      </c>
      <c r="E9" s="70">
        <v>-70.55</v>
      </c>
      <c r="F9" s="70">
        <v>0.0</v>
      </c>
      <c r="G9" s="70">
        <v>0.0</v>
      </c>
      <c r="H9" s="70" t="s">
        <v>76</v>
      </c>
      <c r="I9" s="70">
        <v>0.0</v>
      </c>
      <c r="J9" s="70">
        <v>0.0</v>
      </c>
      <c r="K9" s="70" t="s">
        <v>29</v>
      </c>
      <c r="L9" s="74"/>
      <c r="M9" s="72"/>
      <c r="N9" s="70" t="s">
        <v>39</v>
      </c>
      <c r="O9" s="70">
        <v>1.7</v>
      </c>
      <c r="P9" s="71"/>
      <c r="Q9" s="72"/>
      <c r="R9" s="70">
        <v>0.0</v>
      </c>
      <c r="S9" s="70">
        <v>0.0</v>
      </c>
      <c r="T9" s="70">
        <v>0.0</v>
      </c>
      <c r="U9" s="70">
        <v>0.0</v>
      </c>
      <c r="V9" s="70">
        <v>100.0</v>
      </c>
      <c r="W9" s="70">
        <v>0.0</v>
      </c>
      <c r="X9" s="70" t="s">
        <v>29</v>
      </c>
      <c r="Y9" s="72"/>
      <c r="Z9" s="70">
        <v>0.0</v>
      </c>
      <c r="AA9" s="70">
        <v>0.0</v>
      </c>
      <c r="AB9" s="70" t="s">
        <v>26</v>
      </c>
      <c r="AC9" s="70">
        <v>0.0</v>
      </c>
      <c r="AD9" s="70">
        <v>0.0</v>
      </c>
      <c r="AE9" s="75">
        <v>42919.0</v>
      </c>
      <c r="AF9" s="70">
        <v>0.0</v>
      </c>
      <c r="AG9" s="70" t="s">
        <v>77</v>
      </c>
      <c r="AH9" s="76"/>
      <c r="AI9" s="74"/>
      <c r="AJ9" s="70">
        <v>14.0</v>
      </c>
      <c r="AK9" s="70"/>
      <c r="AL9" s="71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</row>
    <row r="10" ht="15.75" customHeight="1">
      <c r="A10" s="55"/>
      <c r="B10" s="70" t="s">
        <v>35</v>
      </c>
      <c r="C10" s="70" t="s">
        <v>77</v>
      </c>
      <c r="D10" s="70" t="s">
        <v>80</v>
      </c>
      <c r="E10" s="70">
        <v>-432.72</v>
      </c>
      <c r="F10" s="70">
        <v>5.544</v>
      </c>
      <c r="G10" s="70">
        <v>54.0</v>
      </c>
      <c r="H10" s="70" t="s">
        <v>76</v>
      </c>
      <c r="I10" s="70">
        <v>30.0</v>
      </c>
      <c r="J10" s="70">
        <v>50.0</v>
      </c>
      <c r="K10" s="70" t="s">
        <v>31</v>
      </c>
      <c r="L10" s="74"/>
      <c r="M10" s="72"/>
      <c r="N10" s="70" t="s">
        <v>81</v>
      </c>
      <c r="O10" s="70">
        <v>1.69</v>
      </c>
      <c r="P10" s="71"/>
      <c r="Q10" s="72"/>
      <c r="R10" s="70">
        <v>1.512</v>
      </c>
      <c r="S10" s="70">
        <v>0.0</v>
      </c>
      <c r="T10" s="70">
        <v>62.0</v>
      </c>
      <c r="U10" s="70">
        <v>35.0</v>
      </c>
      <c r="V10" s="70">
        <v>100.0</v>
      </c>
      <c r="W10" s="70">
        <v>80.0</v>
      </c>
      <c r="X10" s="70" t="s">
        <v>31</v>
      </c>
      <c r="Y10" s="72"/>
      <c r="Z10" s="70">
        <v>1.764</v>
      </c>
      <c r="AA10" s="70">
        <v>70.0</v>
      </c>
      <c r="AB10" s="70" t="s">
        <v>30</v>
      </c>
      <c r="AC10" s="70">
        <v>40.0</v>
      </c>
      <c r="AD10" s="70">
        <v>432.718</v>
      </c>
      <c r="AE10" s="75">
        <v>42919.0</v>
      </c>
      <c r="AF10" s="70">
        <v>2.898</v>
      </c>
      <c r="AG10" s="70" t="s">
        <v>77</v>
      </c>
      <c r="AH10" s="76"/>
      <c r="AI10" s="74"/>
      <c r="AJ10" s="70">
        <v>7.0</v>
      </c>
      <c r="AK10" s="71"/>
      <c r="AL10" s="71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ht="15.75" customHeight="1">
      <c r="A11" s="55"/>
      <c r="B11" s="70" t="s">
        <v>35</v>
      </c>
      <c r="C11" s="70" t="s">
        <v>77</v>
      </c>
      <c r="D11" s="70" t="s">
        <v>82</v>
      </c>
      <c r="E11" s="70">
        <v>569.7</v>
      </c>
      <c r="F11" s="70">
        <v>4.4</v>
      </c>
      <c r="G11" s="70">
        <v>54.0</v>
      </c>
      <c r="H11" s="70" t="s">
        <v>76</v>
      </c>
      <c r="I11" s="70">
        <v>30.0</v>
      </c>
      <c r="J11" s="70">
        <v>50.0</v>
      </c>
      <c r="K11" s="70" t="s">
        <v>25</v>
      </c>
      <c r="L11" s="74"/>
      <c r="M11" s="72"/>
      <c r="N11" s="70" t="s">
        <v>39</v>
      </c>
      <c r="O11" s="70">
        <v>1.5</v>
      </c>
      <c r="P11" s="71"/>
      <c r="Q11" s="72"/>
      <c r="R11" s="70">
        <v>1.2</v>
      </c>
      <c r="S11" s="70">
        <v>0.0</v>
      </c>
      <c r="T11" s="70">
        <v>62.0</v>
      </c>
      <c r="U11" s="70">
        <v>35.0</v>
      </c>
      <c r="V11" s="70">
        <v>100.0</v>
      </c>
      <c r="W11" s="70">
        <v>80.0</v>
      </c>
      <c r="X11" s="70" t="s">
        <v>25</v>
      </c>
      <c r="Y11" s="72"/>
      <c r="Z11" s="70">
        <v>1.4</v>
      </c>
      <c r="AA11" s="70">
        <v>70.0</v>
      </c>
      <c r="AB11" s="70" t="s">
        <v>18</v>
      </c>
      <c r="AC11" s="70">
        <v>40.0</v>
      </c>
      <c r="AD11" s="70">
        <v>430.3</v>
      </c>
      <c r="AE11" s="75">
        <v>42919.0</v>
      </c>
      <c r="AF11" s="70">
        <v>2.3</v>
      </c>
      <c r="AG11" s="70" t="s">
        <v>77</v>
      </c>
      <c r="AH11" s="76"/>
      <c r="AI11" s="74"/>
      <c r="AJ11" s="70">
        <v>4.0</v>
      </c>
      <c r="AK11" s="71"/>
      <c r="AL11" s="71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</row>
    <row r="12" ht="15.75" customHeight="1">
      <c r="A12" s="55"/>
      <c r="B12" s="70" t="s">
        <v>35</v>
      </c>
      <c r="C12" s="70" t="s">
        <v>74</v>
      </c>
      <c r="D12" s="70" t="s">
        <v>75</v>
      </c>
      <c r="E12" s="70">
        <v>32187.61</v>
      </c>
      <c r="F12" s="70">
        <v>0.0</v>
      </c>
      <c r="G12" s="70">
        <v>0.0</v>
      </c>
      <c r="H12" s="70" t="s">
        <v>76</v>
      </c>
      <c r="I12" s="70">
        <v>0.0</v>
      </c>
      <c r="J12" s="70">
        <v>0.0</v>
      </c>
      <c r="K12" s="70" t="s">
        <v>40</v>
      </c>
      <c r="L12" s="71"/>
      <c r="M12" s="72"/>
      <c r="N12" s="70" t="s">
        <v>39</v>
      </c>
      <c r="O12" s="70">
        <v>1.0</v>
      </c>
      <c r="P12" s="71"/>
      <c r="Q12" s="72"/>
      <c r="R12" s="70">
        <v>0.0</v>
      </c>
      <c r="S12" s="70">
        <v>0.0</v>
      </c>
      <c r="T12" s="70">
        <v>0.0</v>
      </c>
      <c r="U12" s="70">
        <v>0.0</v>
      </c>
      <c r="V12" s="70">
        <v>0.0</v>
      </c>
      <c r="W12" s="70">
        <v>0.0</v>
      </c>
      <c r="X12" s="74"/>
      <c r="Y12" s="73"/>
      <c r="Z12" s="70">
        <v>0.0</v>
      </c>
      <c r="AA12" s="70">
        <v>0.0</v>
      </c>
      <c r="AB12" s="74"/>
      <c r="AC12" s="70">
        <v>0.0</v>
      </c>
      <c r="AD12" s="70">
        <v>0.0</v>
      </c>
      <c r="AE12" s="75">
        <v>42920.0</v>
      </c>
      <c r="AF12" s="70">
        <v>0.0</v>
      </c>
      <c r="AG12" s="70" t="s">
        <v>48</v>
      </c>
      <c r="AH12" s="70"/>
      <c r="AI12" s="74"/>
      <c r="AJ12" s="70">
        <v>0.0</v>
      </c>
      <c r="AK12" s="74"/>
      <c r="AL12" s="71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</row>
    <row r="13" ht="15.75" customHeight="1">
      <c r="A13" s="55"/>
      <c r="B13" s="70" t="s">
        <v>35</v>
      </c>
      <c r="C13" s="70" t="s">
        <v>74</v>
      </c>
      <c r="D13" s="70" t="s">
        <v>75</v>
      </c>
      <c r="E13" s="70">
        <v>-25670.0</v>
      </c>
      <c r="F13" s="70">
        <v>0.0</v>
      </c>
      <c r="G13" s="70">
        <v>0.0</v>
      </c>
      <c r="H13" s="70" t="s">
        <v>76</v>
      </c>
      <c r="I13" s="70">
        <v>0.0</v>
      </c>
      <c r="J13" s="70">
        <v>0.0</v>
      </c>
      <c r="K13" s="70" t="s">
        <v>31</v>
      </c>
      <c r="L13" s="71"/>
      <c r="M13" s="72"/>
      <c r="N13" s="70" t="s">
        <v>39</v>
      </c>
      <c r="O13" s="70">
        <v>1.25</v>
      </c>
      <c r="P13" s="71"/>
      <c r="Q13" s="72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74"/>
      <c r="Y13" s="73"/>
      <c r="Z13" s="70">
        <v>0.0</v>
      </c>
      <c r="AA13" s="70">
        <v>0.0</v>
      </c>
      <c r="AB13" s="74"/>
      <c r="AC13" s="70">
        <v>0.0</v>
      </c>
      <c r="AD13" s="70">
        <v>0.0</v>
      </c>
      <c r="AE13" s="75">
        <v>42920.0</v>
      </c>
      <c r="AF13" s="70">
        <v>0.0</v>
      </c>
      <c r="AG13" s="70" t="s">
        <v>48</v>
      </c>
      <c r="AH13" s="70"/>
      <c r="AI13" s="74"/>
      <c r="AJ13" s="70">
        <v>0.0</v>
      </c>
      <c r="AK13" s="74"/>
      <c r="AL13" s="71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</row>
    <row r="14" ht="15.75" customHeight="1">
      <c r="A14" s="55"/>
      <c r="B14" s="70" t="s">
        <v>35</v>
      </c>
      <c r="C14" s="70" t="s">
        <v>74</v>
      </c>
      <c r="D14" s="70" t="s">
        <v>75</v>
      </c>
      <c r="E14" s="70">
        <v>-28060.0</v>
      </c>
      <c r="F14" s="70">
        <v>0.0</v>
      </c>
      <c r="G14" s="70">
        <v>0.0</v>
      </c>
      <c r="H14" s="70" t="s">
        <v>76</v>
      </c>
      <c r="I14" s="70">
        <v>0.0</v>
      </c>
      <c r="J14" s="70">
        <v>0.0</v>
      </c>
      <c r="K14" s="70" t="s">
        <v>40</v>
      </c>
      <c r="L14" s="74"/>
      <c r="M14" s="72"/>
      <c r="N14" s="70" t="s">
        <v>39</v>
      </c>
      <c r="O14" s="70">
        <v>1.0</v>
      </c>
      <c r="P14" s="71"/>
      <c r="Q14" s="72"/>
      <c r="R14" s="70">
        <v>0.0</v>
      </c>
      <c r="S14" s="70">
        <v>0.0</v>
      </c>
      <c r="T14" s="70">
        <v>0.0</v>
      </c>
      <c r="U14" s="70">
        <v>0.0</v>
      </c>
      <c r="V14" s="70">
        <v>0.0</v>
      </c>
      <c r="W14" s="70">
        <v>0.0</v>
      </c>
      <c r="X14" s="74"/>
      <c r="Y14" s="73"/>
      <c r="Z14" s="70">
        <v>0.0</v>
      </c>
      <c r="AA14" s="70">
        <v>0.0</v>
      </c>
      <c r="AB14" s="74"/>
      <c r="AC14" s="70">
        <v>0.0</v>
      </c>
      <c r="AD14" s="70">
        <v>0.0</v>
      </c>
      <c r="AE14" s="75">
        <v>42920.0</v>
      </c>
      <c r="AF14" s="70">
        <v>0.0</v>
      </c>
      <c r="AG14" s="70" t="s">
        <v>48</v>
      </c>
      <c r="AH14" s="70"/>
      <c r="AI14" s="74"/>
      <c r="AJ14" s="70">
        <v>0.0</v>
      </c>
      <c r="AK14" s="70"/>
      <c r="AL14" s="71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</row>
    <row r="15" ht="15.75" customHeight="1">
      <c r="A15" s="55"/>
      <c r="B15" s="70" t="s">
        <v>35</v>
      </c>
      <c r="C15" s="70" t="s">
        <v>74</v>
      </c>
      <c r="D15" s="70" t="s">
        <v>75</v>
      </c>
      <c r="E15" s="70">
        <v>20000.0</v>
      </c>
      <c r="F15" s="70">
        <v>0.0</v>
      </c>
      <c r="G15" s="70">
        <v>0.0</v>
      </c>
      <c r="H15" s="70" t="s">
        <v>76</v>
      </c>
      <c r="I15" s="70">
        <v>0.0</v>
      </c>
      <c r="J15" s="70">
        <v>0.0</v>
      </c>
      <c r="K15" s="70" t="s">
        <v>25</v>
      </c>
      <c r="L15" s="74"/>
      <c r="M15" s="72"/>
      <c r="N15" s="70" t="s">
        <v>39</v>
      </c>
      <c r="O15" s="70">
        <v>1.4</v>
      </c>
      <c r="P15" s="71"/>
      <c r="Q15" s="72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74"/>
      <c r="Y15" s="73"/>
      <c r="Z15" s="70">
        <v>0.0</v>
      </c>
      <c r="AA15" s="70">
        <v>0.0</v>
      </c>
      <c r="AB15" s="74"/>
      <c r="AC15" s="70">
        <v>0.0</v>
      </c>
      <c r="AD15" s="70">
        <v>0.0</v>
      </c>
      <c r="AE15" s="75">
        <v>42920.0</v>
      </c>
      <c r="AF15" s="70">
        <v>0.0</v>
      </c>
      <c r="AG15" s="70" t="s">
        <v>48</v>
      </c>
      <c r="AH15" s="70"/>
      <c r="AI15" s="74"/>
      <c r="AJ15" s="70">
        <v>0.0</v>
      </c>
      <c r="AK15" s="70"/>
      <c r="AL15" s="71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</row>
    <row r="16" ht="15.75" customHeight="1">
      <c r="A16" s="55"/>
      <c r="B16" s="70" t="s">
        <v>35</v>
      </c>
      <c r="C16" s="70" t="s">
        <v>77</v>
      </c>
      <c r="D16" s="70" t="s">
        <v>78</v>
      </c>
      <c r="E16" s="70">
        <v>408.29</v>
      </c>
      <c r="F16" s="70">
        <v>3.1724</v>
      </c>
      <c r="G16" s="70">
        <v>54.0</v>
      </c>
      <c r="H16" s="70" t="s">
        <v>76</v>
      </c>
      <c r="I16" s="70">
        <v>15.0</v>
      </c>
      <c r="J16" s="70">
        <v>25.0</v>
      </c>
      <c r="K16" s="70" t="s">
        <v>29</v>
      </c>
      <c r="L16" s="74"/>
      <c r="M16" s="72"/>
      <c r="N16" s="70" t="s">
        <v>39</v>
      </c>
      <c r="O16" s="70">
        <v>1.7</v>
      </c>
      <c r="P16" s="71"/>
      <c r="Q16" s="72"/>
      <c r="R16" s="70">
        <v>0.8652</v>
      </c>
      <c r="S16" s="70">
        <v>0.0</v>
      </c>
      <c r="T16" s="70">
        <v>62.0</v>
      </c>
      <c r="U16" s="70">
        <v>35.0</v>
      </c>
      <c r="V16" s="70">
        <v>50.0</v>
      </c>
      <c r="W16" s="70">
        <v>40.0</v>
      </c>
      <c r="X16" s="70" t="s">
        <v>29</v>
      </c>
      <c r="Y16" s="72"/>
      <c r="Z16" s="70">
        <v>1.0094</v>
      </c>
      <c r="AA16" s="70">
        <v>35.0</v>
      </c>
      <c r="AB16" s="70" t="s">
        <v>26</v>
      </c>
      <c r="AC16" s="70">
        <v>40.0</v>
      </c>
      <c r="AD16" s="70">
        <v>312.7053</v>
      </c>
      <c r="AE16" s="75">
        <v>42920.0</v>
      </c>
      <c r="AF16" s="70">
        <v>1.6583</v>
      </c>
      <c r="AG16" s="70" t="s">
        <v>77</v>
      </c>
      <c r="AH16" s="76"/>
      <c r="AI16" s="74"/>
      <c r="AJ16" s="70">
        <v>14.0</v>
      </c>
      <c r="AK16" s="71"/>
      <c r="AL16" s="71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</row>
    <row r="17" ht="15.75" customHeight="1">
      <c r="A17" s="55"/>
      <c r="B17" s="70" t="s">
        <v>35</v>
      </c>
      <c r="C17" s="70" t="s">
        <v>77</v>
      </c>
      <c r="D17" s="70" t="s">
        <v>83</v>
      </c>
      <c r="E17" s="70">
        <v>35.56</v>
      </c>
      <c r="F17" s="70">
        <v>0.0</v>
      </c>
      <c r="G17" s="70">
        <v>0.0</v>
      </c>
      <c r="H17" s="70" t="s">
        <v>76</v>
      </c>
      <c r="I17" s="70">
        <v>0.0</v>
      </c>
      <c r="J17" s="70">
        <v>0.0</v>
      </c>
      <c r="K17" s="70" t="s">
        <v>29</v>
      </c>
      <c r="L17" s="74"/>
      <c r="M17" s="72"/>
      <c r="N17" s="70" t="s">
        <v>39</v>
      </c>
      <c r="O17" s="70">
        <v>1.7</v>
      </c>
      <c r="P17" s="71"/>
      <c r="Q17" s="72"/>
      <c r="R17" s="70">
        <v>0.0</v>
      </c>
      <c r="S17" s="70">
        <v>0.0</v>
      </c>
      <c r="T17" s="70">
        <v>0.0</v>
      </c>
      <c r="U17" s="70">
        <v>0.0</v>
      </c>
      <c r="V17" s="70">
        <v>50.0</v>
      </c>
      <c r="W17" s="70">
        <v>0.0</v>
      </c>
      <c r="X17" s="70" t="s">
        <v>29</v>
      </c>
      <c r="Y17" s="72"/>
      <c r="Z17" s="70">
        <v>0.0</v>
      </c>
      <c r="AA17" s="70">
        <v>0.0</v>
      </c>
      <c r="AB17" s="70" t="s">
        <v>26</v>
      </c>
      <c r="AC17" s="70">
        <v>0.0</v>
      </c>
      <c r="AD17" s="70">
        <v>0.0</v>
      </c>
      <c r="AE17" s="75">
        <v>42920.0</v>
      </c>
      <c r="AF17" s="70">
        <v>0.0</v>
      </c>
      <c r="AG17" s="70" t="s">
        <v>77</v>
      </c>
      <c r="AH17" s="76"/>
      <c r="AI17" s="74"/>
      <c r="AJ17" s="70">
        <v>14.0</v>
      </c>
      <c r="AK17" s="71"/>
      <c r="AL17" s="71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</row>
    <row r="18" ht="15.75" customHeight="1">
      <c r="A18" s="55"/>
      <c r="B18" s="70" t="s">
        <v>35</v>
      </c>
      <c r="C18" s="70" t="s">
        <v>77</v>
      </c>
      <c r="D18" s="70" t="s">
        <v>82</v>
      </c>
      <c r="E18" s="70">
        <v>-962.05</v>
      </c>
      <c r="F18" s="70">
        <v>2.86</v>
      </c>
      <c r="G18" s="70">
        <v>54.0</v>
      </c>
      <c r="H18" s="70" t="s">
        <v>76</v>
      </c>
      <c r="I18" s="70">
        <v>15.0</v>
      </c>
      <c r="J18" s="70">
        <v>25.0</v>
      </c>
      <c r="K18" s="70" t="s">
        <v>25</v>
      </c>
      <c r="L18" s="71"/>
      <c r="M18" s="72"/>
      <c r="N18" s="70" t="s">
        <v>39</v>
      </c>
      <c r="O18" s="70">
        <v>1.5</v>
      </c>
      <c r="P18" s="71"/>
      <c r="Q18" s="72"/>
      <c r="R18" s="70">
        <v>0.78</v>
      </c>
      <c r="S18" s="70">
        <v>0.0</v>
      </c>
      <c r="T18" s="70">
        <v>62.0</v>
      </c>
      <c r="U18" s="70">
        <v>35.0</v>
      </c>
      <c r="V18" s="70">
        <v>50.0</v>
      </c>
      <c r="W18" s="70">
        <v>40.0</v>
      </c>
      <c r="X18" s="70" t="s">
        <v>25</v>
      </c>
      <c r="Y18" s="72"/>
      <c r="Z18" s="70">
        <v>0.91</v>
      </c>
      <c r="AA18" s="70">
        <v>35.0</v>
      </c>
      <c r="AB18" s="70" t="s">
        <v>18</v>
      </c>
      <c r="AC18" s="70">
        <v>40.0</v>
      </c>
      <c r="AD18" s="70">
        <v>312.045</v>
      </c>
      <c r="AE18" s="75">
        <v>42920.0</v>
      </c>
      <c r="AF18" s="70">
        <v>1.495</v>
      </c>
      <c r="AG18" s="70" t="s">
        <v>77</v>
      </c>
      <c r="AH18" s="76"/>
      <c r="AI18" s="74"/>
      <c r="AJ18" s="70">
        <v>4.0</v>
      </c>
      <c r="AK18" s="71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</row>
    <row r="19" ht="15.75" customHeight="1">
      <c r="A19" s="55"/>
      <c r="B19" s="70" t="s">
        <v>35</v>
      </c>
      <c r="C19" s="70" t="s">
        <v>77</v>
      </c>
      <c r="D19" s="70" t="s">
        <v>80</v>
      </c>
      <c r="E19" s="70">
        <v>-313.32</v>
      </c>
      <c r="F19" s="70">
        <v>3.465</v>
      </c>
      <c r="G19" s="70">
        <v>54.0</v>
      </c>
      <c r="H19" s="70" t="s">
        <v>76</v>
      </c>
      <c r="I19" s="70">
        <v>15.0</v>
      </c>
      <c r="J19" s="70">
        <v>25.0</v>
      </c>
      <c r="K19" s="70" t="s">
        <v>31</v>
      </c>
      <c r="L19" s="71"/>
      <c r="M19" s="72"/>
      <c r="N19" s="70" t="s">
        <v>81</v>
      </c>
      <c r="O19" s="70">
        <v>1.69</v>
      </c>
      <c r="P19" s="71"/>
      <c r="Q19" s="72"/>
      <c r="R19" s="70">
        <v>0.945</v>
      </c>
      <c r="S19" s="70">
        <v>0.0</v>
      </c>
      <c r="T19" s="70">
        <v>62.0</v>
      </c>
      <c r="U19" s="70">
        <v>35.0</v>
      </c>
      <c r="V19" s="70">
        <v>50.0</v>
      </c>
      <c r="W19" s="70">
        <v>40.0</v>
      </c>
      <c r="X19" s="70" t="s">
        <v>31</v>
      </c>
      <c r="Y19" s="72"/>
      <c r="Z19" s="70">
        <v>1.1025</v>
      </c>
      <c r="AA19" s="70">
        <v>35.0</v>
      </c>
      <c r="AB19" s="70" t="s">
        <v>30</v>
      </c>
      <c r="AC19" s="70">
        <v>40.0</v>
      </c>
      <c r="AD19" s="70">
        <v>313.32375</v>
      </c>
      <c r="AE19" s="75">
        <v>42920.0</v>
      </c>
      <c r="AF19" s="70">
        <v>1.81125</v>
      </c>
      <c r="AG19" s="70" t="s">
        <v>77</v>
      </c>
      <c r="AH19" s="76"/>
      <c r="AI19" s="74"/>
      <c r="AJ19" s="70">
        <v>7.0</v>
      </c>
      <c r="AK19" s="71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</row>
    <row r="20" ht="15.75" customHeight="1">
      <c r="A20" s="55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1"/>
      <c r="M20" s="72"/>
      <c r="N20" s="70"/>
      <c r="O20" s="70"/>
      <c r="P20" s="71"/>
      <c r="Q20" s="72"/>
      <c r="R20" s="70"/>
      <c r="S20" s="70"/>
      <c r="T20" s="70"/>
      <c r="U20" s="70"/>
      <c r="V20" s="70"/>
      <c r="W20" s="70"/>
      <c r="X20" s="70"/>
      <c r="Y20" s="72"/>
      <c r="Z20" s="70"/>
      <c r="AA20" s="70"/>
      <c r="AB20" s="70"/>
      <c r="AC20" s="70"/>
      <c r="AD20" s="70"/>
      <c r="AE20" s="70"/>
      <c r="AF20" s="70"/>
      <c r="AG20" s="70"/>
      <c r="AH20" s="72"/>
      <c r="AI20" s="70"/>
      <c r="AJ20" s="70"/>
      <c r="AK20" s="71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</row>
    <row r="21" ht="15.75" customHeight="1">
      <c r="A21" s="55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  <c r="M21" s="72"/>
      <c r="N21" s="70"/>
      <c r="O21" s="70"/>
      <c r="P21" s="71"/>
      <c r="Q21" s="72"/>
      <c r="R21" s="70"/>
      <c r="S21" s="70"/>
      <c r="T21" s="70"/>
      <c r="U21" s="70"/>
      <c r="V21" s="70"/>
      <c r="W21" s="70"/>
      <c r="X21" s="70"/>
      <c r="Y21" s="72"/>
      <c r="Z21" s="70"/>
      <c r="AA21" s="70"/>
      <c r="AB21" s="70"/>
      <c r="AC21" s="70"/>
      <c r="AD21" s="70"/>
      <c r="AE21" s="70"/>
      <c r="AF21" s="70"/>
      <c r="AG21" s="70"/>
      <c r="AH21" s="72"/>
      <c r="AI21" s="70"/>
      <c r="AJ21" s="70"/>
      <c r="AK21" s="71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1IuJkgEDoDUSnmXhZVZdA_x-3VnlMPyzRsUMpf_eRTTQ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84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 Date")</f>
        <v>From Date</v>
      </c>
      <c r="E5" s="17" t="str">
        <f>IFERROR(__xludf.DUMMYFUNCTION("""COMPUTED_VALUE"""),"To Date")</f>
        <v>To Date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/>
      <c r="C6" s="22" t="s">
        <v>35</v>
      </c>
      <c r="D6" s="64">
        <v>42919.0</v>
      </c>
      <c r="E6" s="62">
        <v>42921.0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85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IFERROR(__xludf.DUMMYFUNCTION("""COMPUTED_VALUE"""),"Date")</f>
        <v>Date</v>
      </c>
      <c r="C5" s="33" t="str">
        <f>IFERROR(__xludf.DUMMYFUNCTION("""COMPUTED_VALUE"""),"Modify Date")</f>
        <v>Modify Date</v>
      </c>
      <c r="D5" s="33" t="str">
        <f>IFERROR(__xludf.DUMMYFUNCTION("""COMPUTED_VALUE"""),"Entry Date")</f>
        <v>Entry Date</v>
      </c>
      <c r="E5" s="33" t="str">
        <f>IFERROR(__xludf.DUMMYFUNCTION("""COMPUTED_VALUE"""),"DR")</f>
        <v>DR</v>
      </c>
      <c r="F5" s="33" t="str">
        <f>IFERROR(__xludf.DUMMYFUNCTION("""COMPUTED_VALUE"""),"CR")</f>
        <v>CR</v>
      </c>
      <c r="G5" s="33" t="str">
        <f>IFERROR(__xludf.DUMMYFUNCTION("""COMPUTED_VALUE"""),"Fx Rate")</f>
        <v>Fx Rate</v>
      </c>
      <c r="H5" s="33" t="str">
        <f>IFERROR(__xludf.DUMMYFUNCTION("""COMPUTED_VALUE"""),"FX Conversion Method Operator")</f>
        <v>FX Conversion Method Operator</v>
      </c>
      <c r="I5" s="33" t="str">
        <f>IFERROR(__xludf.DUMMYFUNCTION("""COMPUTED_VALUE"""),"Account Side")</f>
        <v>Account Side</v>
      </c>
      <c r="J5" s="33" t="str">
        <f>IFERROR(__xludf.DUMMYFUNCTION("""COMPUTED_VALUE"""),"TransactionSource")</f>
        <v>TransactionSource</v>
      </c>
      <c r="K5" s="33" t="str">
        <f>IFERROR(__xludf.DUMMYFUNCTION("""COMPUTED_VALUE"""),"Currency")</f>
        <v>Currency</v>
      </c>
      <c r="L5" s="33" t="str">
        <f>IFERROR(__xludf.DUMMYFUNCTION("""COMPUTED_VALUE"""),"Base Currency")</f>
        <v>Base Currency</v>
      </c>
      <c r="M5" s="33" t="str">
        <f>IFERROR(__xludf.DUMMYFUNCTION("""COMPUTED_VALUE"""),"Symbol")</f>
        <v>Symbol</v>
      </c>
      <c r="N5" s="33" t="str">
        <f>IFERROR(__xludf.DUMMYFUNCTION("""COMPUTED_VALUE"""),"Description")</f>
        <v>Description</v>
      </c>
      <c r="O5" s="33" t="str">
        <f>IFERROR(__xludf.DUMMYFUNCTION("""COMPUTED_VALUE"""),"DR (Base)")</f>
        <v>DR (Base)</v>
      </c>
      <c r="P5" s="33" t="str">
        <f>IFERROR(__xludf.DUMMYFUNCTION("""COMPUTED_VALUE"""),"CR (Base)")</f>
        <v>CR (Base)</v>
      </c>
      <c r="Q5" s="33" t="str">
        <f>IFERROR(__xludf.DUMMYFUNCTION("""COMPUTED_VALUE"""),"Cash Sub-Account")</f>
        <v>Cash Sub-Account</v>
      </c>
      <c r="R5" s="33" t="str">
        <f>IFERROR(__xludf.DUMMYFUNCTION("""COMPUTED_VALUE"""),"Account")</f>
        <v>Account</v>
      </c>
      <c r="S5" s="33" t="str">
        <f>IFERROR(__xludf.DUMMYFUNCTION("""COMPUTED_VALUE"""),"TaxLotId")</f>
        <v>TaxLotId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55"/>
      <c r="B6" s="75">
        <v>42919.0</v>
      </c>
      <c r="C6" s="72"/>
      <c r="D6" s="72"/>
      <c r="E6" s="77">
        <v>432.72</v>
      </c>
      <c r="F6" s="78">
        <v>0.0</v>
      </c>
      <c r="G6" s="70">
        <v>1.69</v>
      </c>
      <c r="H6" s="70" t="s">
        <v>81</v>
      </c>
      <c r="I6" s="70" t="s">
        <v>38</v>
      </c>
      <c r="J6" s="70" t="s">
        <v>77</v>
      </c>
      <c r="K6" s="70" t="s">
        <v>31</v>
      </c>
      <c r="L6" s="70" t="s">
        <v>40</v>
      </c>
      <c r="M6" s="70" t="s">
        <v>30</v>
      </c>
      <c r="N6" s="74"/>
      <c r="O6" s="77">
        <v>256.05</v>
      </c>
      <c r="P6" s="77">
        <v>0.0</v>
      </c>
      <c r="Q6" s="70" t="s">
        <v>86</v>
      </c>
      <c r="R6" s="70" t="s">
        <v>35</v>
      </c>
      <c r="S6" s="70"/>
      <c r="T6" s="70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</row>
    <row r="7" ht="15.75" customHeight="1">
      <c r="A7" s="55"/>
      <c r="B7" s="75">
        <v>42919.0</v>
      </c>
      <c r="C7" s="72"/>
      <c r="D7" s="72"/>
      <c r="E7" s="79">
        <v>0.0</v>
      </c>
      <c r="F7" s="77">
        <v>432.72</v>
      </c>
      <c r="G7" s="70">
        <v>1.69</v>
      </c>
      <c r="H7" s="70" t="s">
        <v>81</v>
      </c>
      <c r="I7" s="70" t="s">
        <v>41</v>
      </c>
      <c r="J7" s="70" t="s">
        <v>77</v>
      </c>
      <c r="K7" s="70" t="s">
        <v>31</v>
      </c>
      <c r="L7" s="70" t="s">
        <v>40</v>
      </c>
      <c r="M7" s="70" t="s">
        <v>30</v>
      </c>
      <c r="N7" s="74"/>
      <c r="O7" s="77">
        <v>0.0</v>
      </c>
      <c r="P7" s="77">
        <v>256.05</v>
      </c>
      <c r="Q7" s="70" t="s">
        <v>37</v>
      </c>
      <c r="R7" s="70" t="s">
        <v>35</v>
      </c>
      <c r="S7" s="70"/>
      <c r="T7" s="70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</row>
    <row r="8" ht="15.75" customHeight="1">
      <c r="A8" s="55"/>
      <c r="B8" s="75">
        <v>42919.0</v>
      </c>
      <c r="C8" s="72"/>
      <c r="D8" s="72"/>
      <c r="E8" s="77">
        <v>430.3</v>
      </c>
      <c r="F8" s="78">
        <v>0.0</v>
      </c>
      <c r="G8" s="70">
        <v>1.5</v>
      </c>
      <c r="H8" s="70" t="s">
        <v>39</v>
      </c>
      <c r="I8" s="70" t="s">
        <v>38</v>
      </c>
      <c r="J8" s="70" t="s">
        <v>77</v>
      </c>
      <c r="K8" s="70" t="s">
        <v>25</v>
      </c>
      <c r="L8" s="70" t="s">
        <v>40</v>
      </c>
      <c r="M8" s="70" t="s">
        <v>18</v>
      </c>
      <c r="N8" s="74"/>
      <c r="O8" s="77">
        <v>645.45</v>
      </c>
      <c r="P8" s="77">
        <v>0.0</v>
      </c>
      <c r="Q8" s="70" t="s">
        <v>87</v>
      </c>
      <c r="R8" s="70" t="s">
        <v>35</v>
      </c>
      <c r="S8" s="70"/>
      <c r="T8" s="70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</row>
    <row r="9" ht="15.75" customHeight="1">
      <c r="A9" s="55"/>
      <c r="B9" s="75">
        <v>42919.0</v>
      </c>
      <c r="C9" s="72"/>
      <c r="D9" s="72"/>
      <c r="E9" s="79">
        <v>0.0</v>
      </c>
      <c r="F9" s="77">
        <v>430.3</v>
      </c>
      <c r="G9" s="70">
        <v>1.5</v>
      </c>
      <c r="H9" s="70" t="s">
        <v>39</v>
      </c>
      <c r="I9" s="70" t="s">
        <v>41</v>
      </c>
      <c r="J9" s="70" t="s">
        <v>77</v>
      </c>
      <c r="K9" s="70" t="s">
        <v>25</v>
      </c>
      <c r="L9" s="70" t="s">
        <v>40</v>
      </c>
      <c r="M9" s="70" t="s">
        <v>18</v>
      </c>
      <c r="N9" s="74"/>
      <c r="O9" s="77">
        <v>0.0</v>
      </c>
      <c r="P9" s="77">
        <v>645.45</v>
      </c>
      <c r="Q9" s="70" t="s">
        <v>37</v>
      </c>
      <c r="R9" s="70" t="s">
        <v>35</v>
      </c>
      <c r="S9" s="70"/>
      <c r="T9" s="70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</row>
    <row r="10" ht="15.75" customHeight="1">
      <c r="A10" s="55"/>
      <c r="B10" s="75">
        <v>42919.0</v>
      </c>
      <c r="C10" s="72"/>
      <c r="D10" s="72"/>
      <c r="E10" s="77">
        <v>1000.0</v>
      </c>
      <c r="F10" s="78">
        <v>0.0</v>
      </c>
      <c r="G10" s="70">
        <v>1.5</v>
      </c>
      <c r="H10" s="70" t="s">
        <v>39</v>
      </c>
      <c r="I10" s="70" t="s">
        <v>38</v>
      </c>
      <c r="J10" s="70" t="s">
        <v>77</v>
      </c>
      <c r="K10" s="70" t="s">
        <v>25</v>
      </c>
      <c r="L10" s="70" t="s">
        <v>40</v>
      </c>
      <c r="M10" s="70" t="s">
        <v>18</v>
      </c>
      <c r="N10" s="74"/>
      <c r="O10" s="77">
        <v>1500.0</v>
      </c>
      <c r="P10" s="77">
        <v>0.0</v>
      </c>
      <c r="Q10" s="70" t="s">
        <v>37</v>
      </c>
      <c r="R10" s="70" t="s">
        <v>35</v>
      </c>
      <c r="S10" s="70"/>
      <c r="T10" s="70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</row>
    <row r="11" ht="15.75" customHeight="1">
      <c r="A11" s="55"/>
      <c r="B11" s="75">
        <v>42919.0</v>
      </c>
      <c r="C11" s="72"/>
      <c r="D11" s="72"/>
      <c r="E11" s="79">
        <v>0.0</v>
      </c>
      <c r="F11" s="77">
        <v>1000.0</v>
      </c>
      <c r="G11" s="70">
        <v>1.5</v>
      </c>
      <c r="H11" s="70" t="s">
        <v>39</v>
      </c>
      <c r="I11" s="70" t="s">
        <v>41</v>
      </c>
      <c r="J11" s="70" t="s">
        <v>77</v>
      </c>
      <c r="K11" s="70" t="s">
        <v>25</v>
      </c>
      <c r="L11" s="70" t="s">
        <v>40</v>
      </c>
      <c r="M11" s="70" t="s">
        <v>18</v>
      </c>
      <c r="N11" s="74"/>
      <c r="O11" s="77">
        <v>0.0</v>
      </c>
      <c r="P11" s="77">
        <v>1500.0</v>
      </c>
      <c r="Q11" s="70" t="s">
        <v>87</v>
      </c>
      <c r="R11" s="70" t="s">
        <v>35</v>
      </c>
      <c r="S11" s="70"/>
      <c r="T11" s="70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</row>
    <row r="12" ht="15.75" customHeight="1">
      <c r="A12" s="55"/>
      <c r="B12" s="75">
        <v>42920.0</v>
      </c>
      <c r="C12" s="72"/>
      <c r="D12" s="72"/>
      <c r="E12" s="77">
        <v>962.05</v>
      </c>
      <c r="F12" s="78">
        <v>0.0</v>
      </c>
      <c r="G12" s="70">
        <v>1.5</v>
      </c>
      <c r="H12" s="70" t="s">
        <v>39</v>
      </c>
      <c r="I12" s="70" t="s">
        <v>38</v>
      </c>
      <c r="J12" s="70" t="s">
        <v>77</v>
      </c>
      <c r="K12" s="70" t="s">
        <v>25</v>
      </c>
      <c r="L12" s="70" t="s">
        <v>40</v>
      </c>
      <c r="M12" s="70" t="s">
        <v>18</v>
      </c>
      <c r="N12" s="74"/>
      <c r="O12" s="77">
        <v>1443.07</v>
      </c>
      <c r="P12" s="77">
        <v>0.0</v>
      </c>
      <c r="Q12" s="70" t="s">
        <v>87</v>
      </c>
      <c r="R12" s="70" t="s">
        <v>35</v>
      </c>
      <c r="S12" s="70"/>
      <c r="T12" s="70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</row>
    <row r="13" ht="15.75" customHeight="1">
      <c r="A13" s="55"/>
      <c r="B13" s="75">
        <v>42920.0</v>
      </c>
      <c r="C13" s="72"/>
      <c r="D13" s="72"/>
      <c r="E13" s="79">
        <v>0.0</v>
      </c>
      <c r="F13" s="77">
        <v>962.05</v>
      </c>
      <c r="G13" s="70">
        <v>1.5</v>
      </c>
      <c r="H13" s="70" t="s">
        <v>39</v>
      </c>
      <c r="I13" s="70" t="s">
        <v>41</v>
      </c>
      <c r="J13" s="70" t="s">
        <v>77</v>
      </c>
      <c r="K13" s="70" t="s">
        <v>25</v>
      </c>
      <c r="L13" s="70" t="s">
        <v>40</v>
      </c>
      <c r="M13" s="70" t="s">
        <v>18</v>
      </c>
      <c r="N13" s="74"/>
      <c r="O13" s="77">
        <v>0.0</v>
      </c>
      <c r="P13" s="77">
        <v>1443.07</v>
      </c>
      <c r="Q13" s="70" t="s">
        <v>37</v>
      </c>
      <c r="R13" s="70" t="s">
        <v>35</v>
      </c>
      <c r="S13" s="70"/>
      <c r="T13" s="70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</row>
    <row r="14" ht="15.75" customHeight="1">
      <c r="A14" s="55"/>
      <c r="B14" s="75">
        <v>42920.0</v>
      </c>
      <c r="C14" s="72"/>
      <c r="D14" s="72"/>
      <c r="E14" s="77">
        <v>313.32</v>
      </c>
      <c r="F14" s="78">
        <v>0.0</v>
      </c>
      <c r="G14" s="70">
        <v>1.69</v>
      </c>
      <c r="H14" s="70" t="s">
        <v>81</v>
      </c>
      <c r="I14" s="70" t="s">
        <v>38</v>
      </c>
      <c r="J14" s="70" t="s">
        <v>77</v>
      </c>
      <c r="K14" s="70" t="s">
        <v>31</v>
      </c>
      <c r="L14" s="70" t="s">
        <v>40</v>
      </c>
      <c r="M14" s="70" t="s">
        <v>30</v>
      </c>
      <c r="N14" s="74"/>
      <c r="O14" s="77">
        <v>185.4</v>
      </c>
      <c r="P14" s="77">
        <v>0.0</v>
      </c>
      <c r="Q14" s="70" t="s">
        <v>86</v>
      </c>
      <c r="R14" s="70" t="s">
        <v>35</v>
      </c>
      <c r="S14" s="70"/>
      <c r="T14" s="70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</row>
    <row r="15" ht="15.75" customHeight="1">
      <c r="A15" s="55"/>
      <c r="B15" s="75">
        <v>42920.0</v>
      </c>
      <c r="C15" s="72"/>
      <c r="D15" s="72"/>
      <c r="E15" s="79">
        <v>0.0</v>
      </c>
      <c r="F15" s="77">
        <v>313.32</v>
      </c>
      <c r="G15" s="70">
        <v>1.69</v>
      </c>
      <c r="H15" s="70" t="s">
        <v>81</v>
      </c>
      <c r="I15" s="70" t="s">
        <v>41</v>
      </c>
      <c r="J15" s="70" t="s">
        <v>77</v>
      </c>
      <c r="K15" s="70" t="s">
        <v>31</v>
      </c>
      <c r="L15" s="70" t="s">
        <v>40</v>
      </c>
      <c r="M15" s="70" t="s">
        <v>30</v>
      </c>
      <c r="N15" s="74"/>
      <c r="O15" s="77">
        <v>0.0</v>
      </c>
      <c r="P15" s="77">
        <v>185.4</v>
      </c>
      <c r="Q15" s="70" t="s">
        <v>37</v>
      </c>
      <c r="R15" s="70" t="s">
        <v>35</v>
      </c>
      <c r="S15" s="70"/>
      <c r="T15" s="70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</row>
    <row r="16" ht="15.75" customHeight="1">
      <c r="A16" s="55"/>
      <c r="B16" s="75">
        <v>42919.0</v>
      </c>
      <c r="C16" s="72"/>
      <c r="D16" s="72"/>
      <c r="E16" s="77">
        <v>1564.54</v>
      </c>
      <c r="F16" s="78">
        <v>0.0</v>
      </c>
      <c r="G16" s="70">
        <v>1.7</v>
      </c>
      <c r="H16" s="70" t="s">
        <v>39</v>
      </c>
      <c r="I16" s="70" t="s">
        <v>38</v>
      </c>
      <c r="J16" s="70" t="s">
        <v>77</v>
      </c>
      <c r="K16" s="70" t="s">
        <v>29</v>
      </c>
      <c r="L16" s="70" t="s">
        <v>40</v>
      </c>
      <c r="M16" s="70" t="s">
        <v>26</v>
      </c>
      <c r="N16" s="74"/>
      <c r="O16" s="77">
        <v>2659.71</v>
      </c>
      <c r="P16" s="77">
        <v>0.0</v>
      </c>
      <c r="Q16" s="70" t="s">
        <v>88</v>
      </c>
      <c r="R16" s="70" t="s">
        <v>35</v>
      </c>
      <c r="S16" s="70"/>
      <c r="T16" s="70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</row>
    <row r="17" ht="15.75" customHeight="1">
      <c r="A17" s="55"/>
      <c r="B17" s="75">
        <v>42919.0</v>
      </c>
      <c r="C17" s="72"/>
      <c r="D17" s="72"/>
      <c r="E17" s="79">
        <v>0.0</v>
      </c>
      <c r="F17" s="77">
        <v>1564.54</v>
      </c>
      <c r="G17" s="70">
        <v>1.7</v>
      </c>
      <c r="H17" s="70" t="s">
        <v>39</v>
      </c>
      <c r="I17" s="70" t="s">
        <v>41</v>
      </c>
      <c r="J17" s="70" t="s">
        <v>77</v>
      </c>
      <c r="K17" s="70" t="s">
        <v>29</v>
      </c>
      <c r="L17" s="70" t="s">
        <v>40</v>
      </c>
      <c r="M17" s="70" t="s">
        <v>26</v>
      </c>
      <c r="N17" s="74"/>
      <c r="O17" s="77">
        <v>0.0</v>
      </c>
      <c r="P17" s="77">
        <v>2659.71</v>
      </c>
      <c r="Q17" s="70" t="s">
        <v>37</v>
      </c>
      <c r="R17" s="70" t="s">
        <v>35</v>
      </c>
      <c r="S17" s="70"/>
      <c r="T17" s="70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</row>
    <row r="18" ht="15.75" customHeight="1">
      <c r="A18" s="55"/>
      <c r="B18" s="75">
        <v>42919.0</v>
      </c>
      <c r="C18" s="72"/>
      <c r="D18" s="72"/>
      <c r="E18" s="77">
        <v>70.55</v>
      </c>
      <c r="F18" s="78">
        <v>0.0</v>
      </c>
      <c r="G18" s="70">
        <v>1.7</v>
      </c>
      <c r="H18" s="70" t="s">
        <v>39</v>
      </c>
      <c r="I18" s="70" t="s">
        <v>38</v>
      </c>
      <c r="J18" s="70" t="s">
        <v>77</v>
      </c>
      <c r="K18" s="70" t="s">
        <v>29</v>
      </c>
      <c r="L18" s="70" t="s">
        <v>40</v>
      </c>
      <c r="M18" s="70" t="s">
        <v>26</v>
      </c>
      <c r="N18" s="74"/>
      <c r="O18" s="77">
        <v>119.93</v>
      </c>
      <c r="P18" s="77">
        <v>0.0</v>
      </c>
      <c r="Q18" s="70" t="s">
        <v>89</v>
      </c>
      <c r="R18" s="70" t="s">
        <v>35</v>
      </c>
      <c r="S18" s="70"/>
      <c r="T18" s="70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</row>
    <row r="19" ht="15.75" customHeight="1">
      <c r="A19" s="55"/>
      <c r="B19" s="75">
        <v>42919.0</v>
      </c>
      <c r="C19" s="72"/>
      <c r="D19" s="72"/>
      <c r="E19" s="79">
        <v>0.0</v>
      </c>
      <c r="F19" s="77">
        <v>70.55</v>
      </c>
      <c r="G19" s="70">
        <v>1.7</v>
      </c>
      <c r="H19" s="70" t="s">
        <v>39</v>
      </c>
      <c r="I19" s="70" t="s">
        <v>41</v>
      </c>
      <c r="J19" s="70" t="s">
        <v>77</v>
      </c>
      <c r="K19" s="70" t="s">
        <v>29</v>
      </c>
      <c r="L19" s="70" t="s">
        <v>40</v>
      </c>
      <c r="M19" s="70" t="s">
        <v>26</v>
      </c>
      <c r="N19" s="74"/>
      <c r="O19" s="77">
        <v>0.0</v>
      </c>
      <c r="P19" s="77">
        <v>119.93</v>
      </c>
      <c r="Q19" s="70" t="s">
        <v>37</v>
      </c>
      <c r="R19" s="70" t="s">
        <v>35</v>
      </c>
      <c r="S19" s="70"/>
      <c r="T19" s="70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</row>
    <row r="20" ht="15.75" customHeight="1">
      <c r="A20" s="55"/>
      <c r="B20" s="75">
        <v>42920.0</v>
      </c>
      <c r="C20" s="72"/>
      <c r="D20" s="72"/>
      <c r="E20" s="77">
        <v>312.71</v>
      </c>
      <c r="F20" s="78">
        <v>0.0</v>
      </c>
      <c r="G20" s="70">
        <v>1.7</v>
      </c>
      <c r="H20" s="70" t="s">
        <v>39</v>
      </c>
      <c r="I20" s="70" t="s">
        <v>38</v>
      </c>
      <c r="J20" s="70" t="s">
        <v>77</v>
      </c>
      <c r="K20" s="70" t="s">
        <v>29</v>
      </c>
      <c r="L20" s="70" t="s">
        <v>40</v>
      </c>
      <c r="M20" s="70" t="s">
        <v>26</v>
      </c>
      <c r="N20" s="74"/>
      <c r="O20" s="77">
        <v>531.6</v>
      </c>
      <c r="P20" s="77">
        <v>0.0</v>
      </c>
      <c r="Q20" s="70" t="s">
        <v>88</v>
      </c>
      <c r="R20" s="70" t="s">
        <v>35</v>
      </c>
      <c r="S20" s="70"/>
      <c r="T20" s="70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</row>
    <row r="21" ht="15.75" customHeight="1">
      <c r="A21" s="55"/>
      <c r="B21" s="75">
        <v>42920.0</v>
      </c>
      <c r="C21" s="72"/>
      <c r="D21" s="72"/>
      <c r="E21" s="79">
        <v>0.0</v>
      </c>
      <c r="F21" s="77">
        <v>312.71</v>
      </c>
      <c r="G21" s="70">
        <v>1.7</v>
      </c>
      <c r="H21" s="70" t="s">
        <v>39</v>
      </c>
      <c r="I21" s="70" t="s">
        <v>41</v>
      </c>
      <c r="J21" s="70" t="s">
        <v>77</v>
      </c>
      <c r="K21" s="70" t="s">
        <v>29</v>
      </c>
      <c r="L21" s="70" t="s">
        <v>40</v>
      </c>
      <c r="M21" s="70" t="s">
        <v>26</v>
      </c>
      <c r="N21" s="74"/>
      <c r="O21" s="77">
        <v>0.0</v>
      </c>
      <c r="P21" s="77">
        <v>531.6</v>
      </c>
      <c r="Q21" s="70" t="s">
        <v>37</v>
      </c>
      <c r="R21" s="70" t="s">
        <v>35</v>
      </c>
      <c r="S21" s="70"/>
      <c r="T21" s="70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</row>
    <row r="22" ht="15.75" customHeight="1">
      <c r="A22" s="55"/>
      <c r="B22" s="75">
        <v>42920.0</v>
      </c>
      <c r="C22" s="72"/>
      <c r="D22" s="72"/>
      <c r="E22" s="77">
        <v>721.0</v>
      </c>
      <c r="F22" s="78">
        <v>0.0</v>
      </c>
      <c r="G22" s="70">
        <v>1.7</v>
      </c>
      <c r="H22" s="70" t="s">
        <v>39</v>
      </c>
      <c r="I22" s="70" t="s">
        <v>38</v>
      </c>
      <c r="J22" s="70" t="s">
        <v>77</v>
      </c>
      <c r="K22" s="70" t="s">
        <v>29</v>
      </c>
      <c r="L22" s="70" t="s">
        <v>40</v>
      </c>
      <c r="M22" s="70" t="s">
        <v>26</v>
      </c>
      <c r="N22" s="74"/>
      <c r="O22" s="77">
        <v>1225.7</v>
      </c>
      <c r="P22" s="77">
        <v>0.0</v>
      </c>
      <c r="Q22" s="70" t="s">
        <v>37</v>
      </c>
      <c r="R22" s="70" t="s">
        <v>35</v>
      </c>
      <c r="S22" s="70"/>
      <c r="T22" s="70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</row>
    <row r="23" ht="15.75" customHeight="1">
      <c r="A23" s="55"/>
      <c r="B23" s="75">
        <v>42920.0</v>
      </c>
      <c r="C23" s="72"/>
      <c r="D23" s="72"/>
      <c r="E23" s="79">
        <v>0.0</v>
      </c>
      <c r="F23" s="77">
        <v>721.0</v>
      </c>
      <c r="G23" s="70">
        <v>1.7</v>
      </c>
      <c r="H23" s="70" t="s">
        <v>39</v>
      </c>
      <c r="I23" s="70" t="s">
        <v>41</v>
      </c>
      <c r="J23" s="70" t="s">
        <v>77</v>
      </c>
      <c r="K23" s="70" t="s">
        <v>29</v>
      </c>
      <c r="L23" s="70" t="s">
        <v>40</v>
      </c>
      <c r="M23" s="70" t="s">
        <v>26</v>
      </c>
      <c r="N23" s="74"/>
      <c r="O23" s="77">
        <v>0.0</v>
      </c>
      <c r="P23" s="77">
        <v>1225.7</v>
      </c>
      <c r="Q23" s="70" t="s">
        <v>88</v>
      </c>
      <c r="R23" s="70" t="s">
        <v>35</v>
      </c>
      <c r="S23" s="70"/>
      <c r="T23" s="70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</row>
    <row r="24" ht="15.75" customHeight="1">
      <c r="A24" s="55"/>
      <c r="B24" s="75">
        <v>42920.0</v>
      </c>
      <c r="C24" s="72"/>
      <c r="D24" s="72"/>
      <c r="E24" s="77">
        <v>35.56</v>
      </c>
      <c r="F24" s="78">
        <v>0.0</v>
      </c>
      <c r="G24" s="70">
        <v>1.7</v>
      </c>
      <c r="H24" s="70" t="s">
        <v>39</v>
      </c>
      <c r="I24" s="70" t="s">
        <v>38</v>
      </c>
      <c r="J24" s="70" t="s">
        <v>77</v>
      </c>
      <c r="K24" s="70" t="s">
        <v>29</v>
      </c>
      <c r="L24" s="70" t="s">
        <v>40</v>
      </c>
      <c r="M24" s="70" t="s">
        <v>26</v>
      </c>
      <c r="N24" s="74"/>
      <c r="O24" s="77">
        <v>60.45</v>
      </c>
      <c r="P24" s="77">
        <v>0.0</v>
      </c>
      <c r="Q24" s="70" t="s">
        <v>90</v>
      </c>
      <c r="R24" s="70" t="s">
        <v>35</v>
      </c>
      <c r="S24" s="70"/>
      <c r="T24" s="70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</row>
    <row r="25" ht="15.75" customHeight="1">
      <c r="A25" s="55"/>
      <c r="B25" s="75">
        <v>42920.0</v>
      </c>
      <c r="C25" s="72"/>
      <c r="D25" s="72"/>
      <c r="E25" s="79">
        <v>0.0</v>
      </c>
      <c r="F25" s="77">
        <v>35.56</v>
      </c>
      <c r="G25" s="70">
        <v>1.7</v>
      </c>
      <c r="H25" s="70" t="s">
        <v>39</v>
      </c>
      <c r="I25" s="70" t="s">
        <v>41</v>
      </c>
      <c r="J25" s="70" t="s">
        <v>77</v>
      </c>
      <c r="K25" s="70" t="s">
        <v>29</v>
      </c>
      <c r="L25" s="70" t="s">
        <v>40</v>
      </c>
      <c r="M25" s="70" t="s">
        <v>26</v>
      </c>
      <c r="N25" s="74"/>
      <c r="O25" s="77">
        <v>0.0</v>
      </c>
      <c r="P25" s="77">
        <v>60.45</v>
      </c>
      <c r="Q25" s="70" t="s">
        <v>37</v>
      </c>
      <c r="R25" s="70" t="s">
        <v>35</v>
      </c>
      <c r="S25" s="70"/>
      <c r="T25" s="70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91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 Date")</f>
        <v>From Date</v>
      </c>
      <c r="E5" s="17" t="str">
        <f>IFERROR(__xludf.DUMMYFUNCTION("""COMPUTED_VALUE"""),"To Date")</f>
        <v>To Date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 t="s">
        <v>92</v>
      </c>
      <c r="C6" s="22" t="s">
        <v>35</v>
      </c>
      <c r="D6" s="64">
        <v>42919.0</v>
      </c>
      <c r="E6" s="62">
        <v>42921.0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93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IFERROR(__xludf.DUMMYFUNCTION("""COMPUTED_VALUE"""),"Account")</f>
        <v>Account</v>
      </c>
      <c r="C5" s="17" t="str">
        <f>IFERROR(__xludf.DUMMYFUNCTION("""COMPUTED_VALUE"""),"Date")</f>
        <v>Date</v>
      </c>
      <c r="D5" s="17" t="str">
        <f>IFERROR(__xludf.DUMMYFUNCTION("""COMPUTED_VALUE"""),"Currency (Local)")</f>
        <v>Currency (Local)</v>
      </c>
      <c r="E5" s="17" t="str">
        <f>IFERROR(__xludf.DUMMYFUNCTION("""COMPUTED_VALUE"""),"Cash (Local)")</f>
        <v>Cash (Local)</v>
      </c>
      <c r="F5" s="17" t="str">
        <f>IFERROR(__xludf.DUMMYFUNCTION("""COMPUTED_VALUE"""),"Currency (Base)")</f>
        <v>Currency (Base)</v>
      </c>
      <c r="G5" s="17" t="str">
        <f>IFERROR(__xludf.DUMMYFUNCTION("""COMPUTED_VALUE"""),"Cash (Base)")</f>
        <v>Cash (Base)</v>
      </c>
      <c r="H5" s="17" t="str">
        <f>IFERROR(__xludf.DUMMYFUNCTION("""COMPUTED_VALUE"""),"BalanceType")</f>
        <v>BalanceType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34"/>
      <c r="B6" s="70" t="s">
        <v>35</v>
      </c>
      <c r="C6" s="75">
        <v>42919.0</v>
      </c>
      <c r="D6" s="35" t="s">
        <v>40</v>
      </c>
      <c r="E6" s="35">
        <v>-11958.8</v>
      </c>
      <c r="F6" s="35" t="s">
        <v>40</v>
      </c>
      <c r="G6" s="35">
        <v>-11958.8</v>
      </c>
      <c r="H6" s="35" t="s">
        <v>76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34"/>
      <c r="B7" s="70" t="s">
        <v>35</v>
      </c>
      <c r="C7" s="75">
        <v>42919.0</v>
      </c>
      <c r="D7" s="42" t="s">
        <v>29</v>
      </c>
      <c r="E7" s="42">
        <v>13544.92</v>
      </c>
      <c r="F7" s="35" t="s">
        <v>40</v>
      </c>
      <c r="G7" s="42">
        <v>10670.68</v>
      </c>
      <c r="H7" s="35" t="s">
        <v>76</v>
      </c>
      <c r="I7" s="34"/>
      <c r="J7" s="34"/>
      <c r="K7" s="34"/>
      <c r="L7" s="34"/>
      <c r="M7" s="34"/>
      <c r="N7" s="34"/>
      <c r="O7" s="34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</row>
    <row r="8" ht="15.75" customHeight="1">
      <c r="A8" s="34"/>
      <c r="B8" s="70" t="s">
        <v>35</v>
      </c>
      <c r="C8" s="75">
        <v>42919.0</v>
      </c>
      <c r="D8" s="42" t="s">
        <v>25</v>
      </c>
      <c r="E8" s="42">
        <v>569.7</v>
      </c>
      <c r="F8" s="35" t="s">
        <v>40</v>
      </c>
      <c r="G8" s="42">
        <v>799.29</v>
      </c>
      <c r="H8" s="35" t="s">
        <v>76</v>
      </c>
      <c r="I8" s="34"/>
      <c r="J8" s="34"/>
      <c r="K8" s="34"/>
      <c r="L8" s="34"/>
      <c r="M8" s="34"/>
      <c r="N8" s="34"/>
      <c r="O8" s="34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</row>
    <row r="9" ht="15.75" customHeight="1">
      <c r="A9" s="34"/>
      <c r="B9" s="70" t="s">
        <v>35</v>
      </c>
      <c r="C9" s="75">
        <v>42919.0</v>
      </c>
      <c r="D9" s="42" t="s">
        <v>31</v>
      </c>
      <c r="E9" s="42">
        <v>6707.28</v>
      </c>
      <c r="F9" s="35" t="s">
        <v>40</v>
      </c>
      <c r="G9" s="42">
        <v>5327.47</v>
      </c>
      <c r="H9" s="35" t="s">
        <v>76</v>
      </c>
      <c r="I9" s="34"/>
      <c r="J9" s="34"/>
      <c r="K9" s="34"/>
      <c r="L9" s="34"/>
      <c r="M9" s="34"/>
      <c r="N9" s="34"/>
      <c r="O9" s="34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</row>
    <row r="10" ht="15.75" customHeight="1">
      <c r="A10" s="6"/>
      <c r="B10" s="70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6" width="12.63"/>
    <col customWidth="1" min="7" max="7" width="20.38"/>
    <col customWidth="1" min="8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94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IFERROR(__xludf.DUMMYFUNCTION("""COMPUTED_VALUE"""),"Trade Date")</f>
        <v>Trade Date</v>
      </c>
      <c r="C5" s="17" t="str">
        <f>IFERROR(__xludf.DUMMYFUNCTION("""COMPUTED_VALUE"""),"Account")</f>
        <v>Account</v>
      </c>
      <c r="D5" s="17" t="str">
        <f>IFERROR(__xludf.DUMMYFUNCTION("""COMPUTED_VALUE"""),"Symbol")</f>
        <v>Symbol</v>
      </c>
      <c r="E5" s="17" t="str">
        <f>IFERROR(__xludf.DUMMYFUNCTION("""COMPUTED_VALUE"""),"Currency")</f>
        <v>Currency</v>
      </c>
      <c r="F5" s="17" t="str">
        <f>IFERROR(__xludf.DUMMYFUNCTION("""COMPUTED_VALUE"""),"Net Amount(Local)")</f>
        <v>Net Amount(Local)</v>
      </c>
      <c r="G5" s="17" t="str">
        <f>IFERROR(__xludf.DUMMYFUNCTION("""COMPUTED_VALUE"""),"ActivityType")</f>
        <v>ActivityType</v>
      </c>
      <c r="H5" s="33" t="str">
        <f>IFERROR(__xludf.DUMMYFUNCTION("""COMPUTED_VALUE"""),"Transaction Source")</f>
        <v>Transaction Source</v>
      </c>
      <c r="I5" s="17" t="str">
        <f>IFERROR(__xludf.DUMMYFUNCTION("""COMPUTED_VALUE"""),"Total Commissions")</f>
        <v>Total Commissions</v>
      </c>
      <c r="J5" s="17" t="str">
        <f>IFERROR(__xludf.DUMMYFUNCTION("""COMPUTED_VALUE"""),"Balance Type")</f>
        <v>Balance Type</v>
      </c>
      <c r="K5" s="17" t="str">
        <f>IFERROR(__xludf.DUMMYFUNCTION("""COMPUTED_VALUE"""),"Settlement Date")</f>
        <v>Settlement Date</v>
      </c>
      <c r="L5" s="17" t="str">
        <f>IFERROR(__xludf.DUMMYFUNCTION("""COMPUTED_VALUE"""),"Lead Currency")</f>
        <v>Lead Currency</v>
      </c>
      <c r="M5" s="17" t="str">
        <f>IFERROR(__xludf.DUMMYFUNCTION("""COMPUTED_VALUE"""),"Vs Currency")</f>
        <v>Vs Currency</v>
      </c>
      <c r="N5" s="17" t="str">
        <f>IFERROR(__xludf.DUMMYFUNCTION("""COMPUTED_VALUE"""),"Quantity")</f>
        <v>Quantity</v>
      </c>
      <c r="O5" s="17" t="str">
        <f>IFERROR(__xludf.DUMMYFUNCTION("""COMPUTED_VALUE"""),"Commission")</f>
        <v>Commission</v>
      </c>
      <c r="P5" s="17" t="str">
        <f>IFERROR(__xludf.DUMMYFUNCTION("""COMPUTED_VALUE"""),"Soft Commission")</f>
        <v>Soft Commission</v>
      </c>
      <c r="Q5" s="17" t="str">
        <f>IFERROR(__xludf.DUMMYFUNCTION("""COMPUTED_VALUE"""),"Other Broker Fees")</f>
        <v>Other Broker Fees</v>
      </c>
      <c r="R5" s="17" t="str">
        <f>IFERROR(__xludf.DUMMYFUNCTION("""COMPUTED_VALUE"""),"Clearing Broker Fees")</f>
        <v>Clearing Broker Fees</v>
      </c>
      <c r="S5" s="17" t="str">
        <f>IFERROR(__xludf.DUMMYFUNCTION("""COMPUTED_VALUE"""),"Stamp Duty")</f>
        <v>Stamp Duty</v>
      </c>
      <c r="T5" s="18" t="str">
        <f>IFERROR(__xludf.DUMMYFUNCTION("""COMPUTED_VALUE"""),"Transaction Levy")</f>
        <v>Transaction Levy</v>
      </c>
      <c r="U5" s="18" t="str">
        <f>IFERROR(__xludf.DUMMYFUNCTION("""COMPUTED_VALUE"""),"AUEC Fee1")</f>
        <v>AUEC Fee1</v>
      </c>
      <c r="V5" s="18" t="str">
        <f>IFERROR(__xludf.DUMMYFUNCTION("""COMPUTED_VALUE"""),"Tax On Commissions")</f>
        <v>Tax On Commissions</v>
      </c>
      <c r="W5" s="18" t="str">
        <f>IFERROR(__xludf.DUMMYFUNCTION("""COMPUTED_VALUE"""),"AUEC Fee2")</f>
        <v>AUEC Fee2</v>
      </c>
      <c r="X5" s="18" t="str">
        <f>IFERROR(__xludf.DUMMYFUNCTION("""COMPUTED_VALUE"""),"SEC Fee")</f>
        <v>SEC Fee</v>
      </c>
      <c r="Y5" s="18" t="str">
        <f>IFERROR(__xludf.DUMMYFUNCTION("""COMPUTED_VALUE"""),"OCC Fee")</f>
        <v>OCC Fee</v>
      </c>
      <c r="Z5" s="18" t="str">
        <f>IFERROR(__xludf.DUMMYFUNCTION("""COMPUTED_VALUE"""),"ORF Fee")</f>
        <v>ORF Fee</v>
      </c>
      <c r="AA5" s="18" t="str">
        <f>IFERROR(__xludf.DUMMYFUNCTION("""COMPUTED_VALUE"""),"Fx Rate")</f>
        <v>Fx Rate</v>
      </c>
      <c r="AB5" s="18" t="str">
        <f>IFERROR(__xludf.DUMMYFUNCTION("""COMPUTED_VALUE"""),"Modify Date")</f>
        <v>Modify Date</v>
      </c>
      <c r="AC5" s="18" t="str">
        <f>IFERROR(__xludf.DUMMYFUNCTION("""COMPUTED_VALUE"""),"Entry Date")</f>
        <v>Entry Date</v>
      </c>
      <c r="AD5" s="18" t="str">
        <f>IFERROR(__xludf.DUMMYFUNCTION("""COMPUTED_VALUE"""),"User")</f>
        <v>User</v>
      </c>
      <c r="AE5" s="18" t="str">
        <f>IFERROR(__xludf.DUMMYFUNCTION("""COMPUTED_VALUE"""),"FX Conversion Method Operator")</f>
        <v>FX Conversion Method Operator</v>
      </c>
      <c r="AF5" s="18" t="str">
        <f>IFERROR(__xludf.DUMMYFUNCTION("""COMPUTED_VALUE"""),"Description")</f>
        <v>Description</v>
      </c>
      <c r="AG5" s="18" t="str">
        <f>IFERROR(__xludf.DUMMYFUNCTION("""COMPUTED_VALUE"""),"Activity Source")</f>
        <v>Activity Source</v>
      </c>
      <c r="AH5" s="18" t="str">
        <f>IFERROR(__xludf.DUMMYFUNCTION("""COMPUTED_VALUE"""),"OptionPremiumAdjustment")</f>
        <v>OptionPremiumAdjustment</v>
      </c>
      <c r="AI5" s="18" t="str">
        <f>IFERROR(__xludf.DUMMYFUNCTION("""COMPUTED_VALUE"""),"Settlement Currency")</f>
        <v>Settlement Currency</v>
      </c>
      <c r="AJ5" s="18" t="str">
        <f>IFERROR(__xludf.DUMMYFUNCTION("""COMPUTED_VALUE"""),"SettlCurrencyID")</f>
        <v>SettlCurrencyID</v>
      </c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34"/>
      <c r="B6" s="75">
        <v>42920.0</v>
      </c>
      <c r="C6" s="70" t="s">
        <v>35</v>
      </c>
      <c r="D6" s="35" t="s">
        <v>26</v>
      </c>
      <c r="E6" s="35" t="s">
        <v>29</v>
      </c>
      <c r="F6" s="39"/>
      <c r="G6" s="35" t="s">
        <v>95</v>
      </c>
      <c r="H6" s="36" t="s">
        <v>96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34"/>
      <c r="B7" s="75">
        <v>42920.0</v>
      </c>
      <c r="C7" s="70" t="s">
        <v>35</v>
      </c>
      <c r="D7" s="70" t="s">
        <v>30</v>
      </c>
      <c r="E7" s="42" t="s">
        <v>31</v>
      </c>
      <c r="F7" s="42">
        <v>1050.0</v>
      </c>
      <c r="G7" s="42" t="s">
        <v>97</v>
      </c>
      <c r="H7" s="36" t="s">
        <v>96</v>
      </c>
      <c r="I7" s="34"/>
      <c r="J7" s="34"/>
      <c r="K7" s="34"/>
      <c r="L7" s="34"/>
      <c r="M7" s="34"/>
      <c r="N7" s="34"/>
      <c r="O7" s="34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</row>
    <row r="8" ht="15.75" customHeight="1">
      <c r="A8" s="34"/>
      <c r="B8" s="75">
        <v>42920.0</v>
      </c>
      <c r="C8" s="70" t="s">
        <v>35</v>
      </c>
      <c r="D8" s="35" t="s">
        <v>26</v>
      </c>
      <c r="E8" s="42" t="s">
        <v>29</v>
      </c>
      <c r="F8" s="34"/>
      <c r="G8" s="35" t="s">
        <v>95</v>
      </c>
      <c r="H8" s="36" t="s">
        <v>96</v>
      </c>
      <c r="I8" s="34"/>
      <c r="J8" s="34"/>
      <c r="K8" s="34"/>
      <c r="L8" s="34"/>
      <c r="M8" s="34"/>
      <c r="N8" s="34"/>
      <c r="O8" s="34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</row>
    <row r="9" ht="15.75" customHeight="1">
      <c r="A9" s="34"/>
      <c r="B9" s="75">
        <v>42920.0</v>
      </c>
      <c r="C9" s="70" t="s">
        <v>35</v>
      </c>
      <c r="D9" s="70" t="s">
        <v>30</v>
      </c>
      <c r="E9" s="42" t="s">
        <v>31</v>
      </c>
      <c r="F9" s="42">
        <v>-3937.5</v>
      </c>
      <c r="G9" s="42" t="s">
        <v>98</v>
      </c>
      <c r="H9" s="36" t="s">
        <v>96</v>
      </c>
      <c r="I9" s="34"/>
      <c r="J9" s="34"/>
      <c r="K9" s="34"/>
      <c r="L9" s="34"/>
      <c r="M9" s="34"/>
      <c r="N9" s="34"/>
      <c r="O9" s="34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</row>
    <row r="10" ht="15.75" customHeight="1">
      <c r="A10" s="34"/>
      <c r="B10" s="75">
        <v>42921.0</v>
      </c>
      <c r="C10" s="70" t="s">
        <v>35</v>
      </c>
      <c r="D10" s="35" t="s">
        <v>26</v>
      </c>
      <c r="E10" s="35" t="s">
        <v>29</v>
      </c>
      <c r="F10" s="42">
        <v>0.28</v>
      </c>
      <c r="G10" s="35" t="s">
        <v>95</v>
      </c>
      <c r="H10" s="36" t="s">
        <v>96</v>
      </c>
      <c r="I10" s="34"/>
      <c r="J10" s="34"/>
      <c r="K10" s="34"/>
      <c r="L10" s="34"/>
      <c r="M10" s="34"/>
      <c r="N10" s="34"/>
      <c r="O10" s="34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</row>
    <row r="11" ht="15.75" customHeight="1">
      <c r="A11" s="34"/>
      <c r="B11" s="75">
        <v>42921.0</v>
      </c>
      <c r="C11" s="70" t="s">
        <v>35</v>
      </c>
      <c r="D11" s="70" t="s">
        <v>30</v>
      </c>
      <c r="E11" s="42" t="s">
        <v>31</v>
      </c>
      <c r="F11" s="42">
        <v>-4725.0</v>
      </c>
      <c r="G11" s="42" t="s">
        <v>98</v>
      </c>
      <c r="H11" s="36" t="s">
        <v>96</v>
      </c>
      <c r="I11" s="34"/>
      <c r="J11" s="34"/>
      <c r="K11" s="34"/>
      <c r="L11" s="34"/>
      <c r="M11" s="34"/>
      <c r="N11" s="34"/>
      <c r="O11" s="34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</row>
    <row r="12" ht="15.75" customHeight="1">
      <c r="A12" s="34"/>
      <c r="B12" s="75">
        <v>42919.0</v>
      </c>
      <c r="C12" s="70" t="s">
        <v>35</v>
      </c>
      <c r="D12" s="35" t="s">
        <v>26</v>
      </c>
      <c r="E12" s="42" t="s">
        <v>29</v>
      </c>
      <c r="F12" s="34"/>
      <c r="G12" s="35" t="s">
        <v>95</v>
      </c>
      <c r="H12" s="36" t="s">
        <v>96</v>
      </c>
      <c r="I12" s="34"/>
      <c r="J12" s="34"/>
      <c r="K12" s="34"/>
      <c r="L12" s="34"/>
      <c r="M12" s="34"/>
      <c r="N12" s="34"/>
      <c r="O12" s="34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</row>
    <row r="13" ht="15.75" customHeight="1">
      <c r="A13" s="34"/>
      <c r="B13" s="75">
        <v>42919.0</v>
      </c>
      <c r="C13" s="70" t="s">
        <v>35</v>
      </c>
      <c r="D13" s="70" t="s">
        <v>30</v>
      </c>
      <c r="E13" s="42" t="s">
        <v>31</v>
      </c>
      <c r="F13" s="42">
        <v>7140.0</v>
      </c>
      <c r="G13" s="42" t="s">
        <v>97</v>
      </c>
      <c r="H13" s="36" t="s">
        <v>96</v>
      </c>
      <c r="I13" s="34"/>
      <c r="J13" s="34"/>
      <c r="K13" s="34"/>
      <c r="L13" s="34"/>
      <c r="M13" s="34"/>
      <c r="N13" s="34"/>
      <c r="O13" s="34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VerifyDailyCalTransactions!$4:$4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99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 Date")</f>
        <v>From Date</v>
      </c>
      <c r="E5" s="17" t="str">
        <f>IFERROR(__xludf.DUMMYFUNCTION("""COMPUTED_VALUE"""),"To Date")</f>
        <v>To Date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 t="s">
        <v>92</v>
      </c>
      <c r="C6" s="22" t="s">
        <v>35</v>
      </c>
      <c r="D6" s="64">
        <v>42919.0</v>
      </c>
      <c r="E6" s="62">
        <v>42921.0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42</v>
      </c>
      <c r="D3" s="10" t="s">
        <v>3</v>
      </c>
      <c r="E3" s="11" t="s">
        <v>100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IFERROR(__xludf.DUMMYFUNCTION("IF(C3="""","""",Transpose(IMPORTRANGE('_Settings'!$B$3,C3&amp;""!A4:A1000"")))"),"UpdateBeta")</f>
        <v>UpdateBeta</v>
      </c>
      <c r="C4" s="14" t="str">
        <f>IFERROR(__xludf.DUMMYFUNCTION("""COMPUTED_VALUE"""),"UpdateDailyCash")</f>
        <v>UpdateDailyCash</v>
      </c>
      <c r="D4" s="14" t="str">
        <f>IFERROR(__xludf.DUMMYFUNCTION("""COMPUTED_VALUE"""),"UpdateForexConversion")</f>
        <v>UpdateForexConversion</v>
      </c>
      <c r="E4" s="14" t="str">
        <f>IFERROR(__xludf.DUMMYFUNCTION("""COMPUTED_VALUE"""),"UpdateMarkPrice")</f>
        <v>UpdateMarkPrice</v>
      </c>
      <c r="F4" s="14" t="str">
        <f>IFERROR(__xludf.DUMMYFUNCTION("""COMPUTED_VALUE"""),"CleanUp")</f>
        <v>CleanUp</v>
      </c>
      <c r="G4" s="14" t="str">
        <f>IFERROR(__xludf.DUMMYFUNCTION("""COMPUTED_VALUE"""),"GetMarkPriceData")</f>
        <v>GetMarkPriceData</v>
      </c>
      <c r="H4" s="14" t="str">
        <f>IFERROR(__xludf.DUMMYFUNCTION("""COMPUTED_VALUE"""),"GetForwardPoints")</f>
        <v>GetForwardPoints</v>
      </c>
      <c r="I4" s="14" t="str">
        <f>IFERROR(__xludf.DUMMYFUNCTION("""COMPUTED_VALUE"""),"UpdateForwardPoints")</f>
        <v>UpdateForwardPoints</v>
      </c>
      <c r="J4" s="14" t="str">
        <f>IFERROR(__xludf.DUMMYFUNCTION("""COMPUTED_VALUE"""),"GetForexConversion")</f>
        <v>GetForexConversion</v>
      </c>
      <c r="K4" s="14" t="str">
        <f>IFERROR(__xludf.DUMMYFUNCTION("""COMPUTED_VALUE"""),"DeleteNAV")</f>
        <v>DeleteNAV</v>
      </c>
      <c r="L4" s="14" t="str">
        <f>IFERROR(__xludf.DUMMYFUNCTION("""COMPUTED_VALUE"""),"GetDailyCash")</f>
        <v>GetDailyCash</v>
      </c>
      <c r="M4" s="14" t="str">
        <f>IFERROR(__xludf.DUMMYFUNCTION("""COMPUTED_VALUE"""),"GetDailyBeta")</f>
        <v>GetDailyBeta</v>
      </c>
      <c r="N4" s="14" t="str">
        <f>IFERROR(__xludf.DUMMYFUNCTION("""COMPUTED_VALUE"""),"GetDailyVolatility")</f>
        <v>GetDailyVolatility</v>
      </c>
      <c r="O4" s="14" t="str">
        <f>IFERROR(__xludf.DUMMYFUNCTION("""COMPUTED_VALUE"""),"GetDailyDividendYield")</f>
        <v>GetDailyDividendYield</v>
      </c>
      <c r="P4" s="15" t="str">
        <f>IFERROR(__xludf.DUMMYFUNCTION("""COMPUTED_VALUE"""),"GetDailyTradingVolume")</f>
        <v>GetDailyTradingVolume</v>
      </c>
      <c r="Q4" s="15" t="str">
        <f>IFERROR(__xludf.DUMMYFUNCTION("""COMPUTED_VALUE"""),"GetDailyOutstandings")</f>
        <v>GetDailyOutstandings</v>
      </c>
      <c r="R4" s="15" t="str">
        <f>IFERROR(__xludf.DUMMYFUNCTION("""COMPUTED_VALUE"""),"GetDailyDelta")</f>
        <v>GetDailyDelta</v>
      </c>
      <c r="S4" s="15" t="str">
        <f>IFERROR(__xludf.DUMMYFUNCTION("""COMPUTED_VALUE"""),"UpdateDailyVolatility")</f>
        <v>UpdateDailyVolatility</v>
      </c>
      <c r="T4" s="15" t="str">
        <f>IFERROR(__xludf.DUMMYFUNCTION("""COMPUTED_VALUE"""),"UpdateDividendYield")</f>
        <v>UpdateDividendYield</v>
      </c>
      <c r="U4" s="15" t="str">
        <f>IFERROR(__xludf.DUMMYFUNCTION("""COMPUTED_VALUE"""),"UpdateTradingVolume")</f>
        <v>UpdateTradingVolume</v>
      </c>
      <c r="V4" s="15" t="str">
        <f>IFERROR(__xludf.DUMMYFUNCTION("""COMPUTED_VALUE"""),"UpdateDailyDelta")</f>
        <v>UpdateDailyDelta</v>
      </c>
      <c r="W4" s="15" t="str">
        <f>IFERROR(__xludf.DUMMYFUNCTION("""COMPUTED_VALUE"""),"UpdateDailyOutstandings")</f>
        <v>UpdateDailyOutstandings</v>
      </c>
      <c r="X4" s="15" t="str">
        <f>IFERROR(__xludf.DUMMYFUNCTION("""COMPUTED_VALUE"""),"UpdateBeta")</f>
        <v>UpdateBeta</v>
      </c>
      <c r="Y4" s="15" t="str">
        <f>IFERROR(__xludf.DUMMYFUNCTION("""COMPUTED_VALUE"""),"UpdateNAV")</f>
        <v>UpdateNAV</v>
      </c>
      <c r="Z4" s="15" t="str">
        <f>IFERROR(__xludf.DUMMYFUNCTION("""COMPUTED_VALUE"""),"UpdateDailyCash")</f>
        <v>UpdateDailyCash</v>
      </c>
      <c r="AA4" s="15" t="str">
        <f>IFERROR(__xludf.DUMMYFUNCTION("""COMPUTED_VALUE"""),"UpdateDailyCreditLimt")</f>
        <v>UpdateDailyCreditLimt</v>
      </c>
      <c r="AB4" s="15" t="str">
        <f>IFERROR(__xludf.DUMMYFUNCTION("""COMPUTED_VALUE"""),"RemoveDailyCreditLimit")</f>
        <v>RemoveDailyCreditLimit</v>
      </c>
      <c r="AC4" s="15" t="str">
        <f>IFERROR(__xludf.DUMMYFUNCTION("""COMPUTED_VALUE"""),"RemoveDailyCash")</f>
        <v>RemoveDailyCash</v>
      </c>
      <c r="AD4" s="15" t="str">
        <f>IFERROR(__xludf.DUMMYFUNCTION("""COMPUTED_VALUE"""),"RemoveNAV")</f>
        <v>RemoveNAV</v>
      </c>
      <c r="AE4" s="15" t="str">
        <f>IFERROR(__xludf.DUMMYFUNCTION("""COMPUTED_VALUE"""),"UpdateForexConversionMonthly")</f>
        <v>UpdateForexConversionMonthly</v>
      </c>
      <c r="AF4" s="15" t="str">
        <f>IFERROR(__xludf.DUMMYFUNCTION("""COMPUTED_VALUE"""),"UpdateMarkPriceMonthly")</f>
        <v>UpdateMarkPriceMonthly</v>
      </c>
      <c r="AG4" s="15" t="str">
        <f>IFERROR(__xludf.DUMMYFUNCTION("""COMPUTED_VALUE"""),"VerifyDailyCash")</f>
        <v>VerifyDailyCash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IFERROR(__xludf.DUMMYFUNCTION("""COMPUTED_VALUE"""),"Select Date")</f>
        <v>Select Date</v>
      </c>
      <c r="C5" s="17" t="str">
        <f>IFERROR(__xludf.DUMMYFUNCTION("""COMPUTED_VALUE"""),"Copy From")</f>
        <v>Copy From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80">
        <v>42919.0</v>
      </c>
      <c r="C6" s="80">
        <v>42919.0</v>
      </c>
    </row>
    <row r="7" ht="15.75" customHeight="1">
      <c r="A7" s="6"/>
      <c r="B7" s="40">
        <v>42920.0</v>
      </c>
      <c r="C7" s="40">
        <v>42920.0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0">
        <v>42921.0</v>
      </c>
      <c r="C8" s="40">
        <v>42921.0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101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IFERROR(__xludf.DUMMYFUNCTION("""COMPUTED_VALUE"""),"Balances as on date")</f>
        <v>Balances as on date</v>
      </c>
      <c r="E5" s="17" t="str">
        <f>IFERROR(__xludf.DUMMYFUNCTION("""COMPUTED_VALUE"""),"IsRunRevalOnGetAccountBalances")</f>
        <v>IsRunRevalOnGetAccountBalances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/>
      <c r="C6" s="22" t="s">
        <v>35</v>
      </c>
      <c r="D6" s="80">
        <v>42947.0</v>
      </c>
      <c r="E6" s="65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6" width="12.63"/>
    <col customWidth="1" min="7" max="7" width="20.38"/>
    <col customWidth="1" min="8" max="8" width="15.13"/>
    <col customWidth="1" min="9" max="9" width="20.38"/>
    <col customWidth="1" min="10" max="10" width="17.75"/>
    <col customWidth="1" min="11" max="11" width="15.25"/>
    <col customWidth="1" min="12" max="13" width="12.63"/>
    <col customWidth="1" min="14" max="14" width="15.38"/>
    <col customWidth="1" min="15" max="15" width="15.13"/>
    <col customWidth="1" min="16" max="17" width="12.63"/>
    <col customWidth="1" min="18" max="18" width="19.63"/>
    <col customWidth="1" min="19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102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/>
      <c r="B5" s="81" t="s">
        <v>103</v>
      </c>
      <c r="C5" s="82" t="s">
        <v>104</v>
      </c>
      <c r="D5" s="82" t="s">
        <v>105</v>
      </c>
      <c r="E5" s="82" t="s">
        <v>106</v>
      </c>
      <c r="F5" s="82" t="s">
        <v>107</v>
      </c>
      <c r="G5" s="82" t="s">
        <v>108</v>
      </c>
      <c r="H5" s="82" t="s">
        <v>109</v>
      </c>
      <c r="I5" s="82" t="s">
        <v>110</v>
      </c>
      <c r="J5" s="82" t="s">
        <v>111</v>
      </c>
      <c r="K5" s="82" t="s">
        <v>112</v>
      </c>
      <c r="L5" s="82" t="s">
        <v>113</v>
      </c>
      <c r="M5" s="82" t="s">
        <v>114</v>
      </c>
      <c r="N5" s="82" t="s">
        <v>115</v>
      </c>
      <c r="O5" s="82" t="s">
        <v>116</v>
      </c>
      <c r="P5" s="82" t="s">
        <v>117</v>
      </c>
      <c r="Q5" s="82" t="s">
        <v>118</v>
      </c>
      <c r="R5" s="82" t="s">
        <v>119</v>
      </c>
      <c r="S5" s="82" t="s">
        <v>120</v>
      </c>
      <c r="T5" s="83" t="s">
        <v>121</v>
      </c>
      <c r="U5" s="84" t="s">
        <v>122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55"/>
      <c r="B6" s="70" t="s">
        <v>35</v>
      </c>
      <c r="C6" s="70" t="s">
        <v>123</v>
      </c>
      <c r="D6" s="70" t="s">
        <v>124</v>
      </c>
      <c r="E6" s="70" t="s">
        <v>125</v>
      </c>
      <c r="F6" s="70" t="s">
        <v>29</v>
      </c>
      <c r="G6" s="70">
        <v>35.84</v>
      </c>
      <c r="H6" s="70">
        <v>0.0</v>
      </c>
      <c r="I6" s="70">
        <v>0.0</v>
      </c>
      <c r="J6" s="70">
        <v>0.0</v>
      </c>
      <c r="K6" s="70" t="s">
        <v>126</v>
      </c>
      <c r="L6" s="73"/>
      <c r="M6" s="73"/>
      <c r="N6" s="70">
        <v>35.83835616</v>
      </c>
      <c r="O6" s="70">
        <v>0.0</v>
      </c>
      <c r="P6" s="70">
        <v>0.0</v>
      </c>
      <c r="Q6" s="70">
        <v>0.0</v>
      </c>
      <c r="R6" s="70">
        <v>0.0</v>
      </c>
      <c r="S6" s="70">
        <v>0.003061028</v>
      </c>
      <c r="T6" s="70">
        <v>0.0</v>
      </c>
      <c r="U6" s="70">
        <v>0.0</v>
      </c>
      <c r="V6" s="70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</row>
    <row r="7" ht="15.75" customHeight="1">
      <c r="A7" s="55"/>
      <c r="B7" s="70" t="s">
        <v>35</v>
      </c>
      <c r="C7" s="70" t="s">
        <v>127</v>
      </c>
      <c r="D7" s="70" t="s">
        <v>128</v>
      </c>
      <c r="E7" s="70" t="s">
        <v>125</v>
      </c>
      <c r="F7" s="70" t="s">
        <v>29</v>
      </c>
      <c r="G7" s="70">
        <v>70.55</v>
      </c>
      <c r="H7" s="70">
        <v>0.0</v>
      </c>
      <c r="I7" s="70">
        <v>0.0</v>
      </c>
      <c r="J7" s="70">
        <v>0.0</v>
      </c>
      <c r="K7" s="70" t="s">
        <v>129</v>
      </c>
      <c r="L7" s="73"/>
      <c r="M7" s="73"/>
      <c r="N7" s="70">
        <v>70.54794521</v>
      </c>
      <c r="O7" s="70">
        <v>0.0</v>
      </c>
      <c r="P7" s="70">
        <v>0.0</v>
      </c>
      <c r="Q7" s="70">
        <v>0.0</v>
      </c>
      <c r="R7" s="70">
        <v>0.0</v>
      </c>
      <c r="S7" s="70">
        <v>0.001577531</v>
      </c>
      <c r="T7" s="70">
        <v>0.0</v>
      </c>
      <c r="U7" s="70">
        <v>0.0</v>
      </c>
      <c r="V7" s="70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</row>
    <row r="8" ht="15.75" customHeight="1">
      <c r="A8" s="55"/>
      <c r="B8" s="70" t="s">
        <v>35</v>
      </c>
      <c r="C8" s="70" t="s">
        <v>130</v>
      </c>
      <c r="D8" s="70" t="s">
        <v>128</v>
      </c>
      <c r="E8" s="70" t="s">
        <v>131</v>
      </c>
      <c r="F8" s="70" t="s">
        <v>25</v>
      </c>
      <c r="G8" s="70">
        <v>0.0</v>
      </c>
      <c r="H8" s="70">
        <v>284.86</v>
      </c>
      <c r="I8" s="70">
        <v>0.0</v>
      </c>
      <c r="J8" s="70">
        <v>427.28</v>
      </c>
      <c r="K8" s="70" t="s">
        <v>129</v>
      </c>
      <c r="L8" s="73"/>
      <c r="M8" s="73"/>
      <c r="N8" s="70">
        <v>0.0</v>
      </c>
      <c r="O8" s="70">
        <v>284.855</v>
      </c>
      <c r="P8" s="70">
        <v>0.0</v>
      </c>
      <c r="Q8" s="70">
        <v>0.0</v>
      </c>
      <c r="R8" s="70">
        <v>0.0</v>
      </c>
      <c r="S8" s="70">
        <v>427.2825</v>
      </c>
      <c r="T8" s="70">
        <v>0.0</v>
      </c>
      <c r="U8" s="70">
        <v>0.0</v>
      </c>
      <c r="V8" s="70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</row>
    <row r="9" ht="15.75" customHeight="1">
      <c r="A9" s="55"/>
      <c r="B9" s="70" t="s">
        <v>35</v>
      </c>
      <c r="C9" s="70" t="s">
        <v>132</v>
      </c>
      <c r="D9" s="70" t="s">
        <v>124</v>
      </c>
      <c r="E9" s="70" t="s">
        <v>131</v>
      </c>
      <c r="F9" s="70" t="s">
        <v>31</v>
      </c>
      <c r="G9" s="70">
        <v>746.04</v>
      </c>
      <c r="H9" s="70">
        <v>0.0</v>
      </c>
      <c r="I9" s="70">
        <v>441.44</v>
      </c>
      <c r="J9" s="70">
        <v>0.0</v>
      </c>
      <c r="K9" s="70" t="s">
        <v>126</v>
      </c>
      <c r="L9" s="73"/>
      <c r="M9" s="73"/>
      <c r="N9" s="70">
        <v>746.04175</v>
      </c>
      <c r="O9" s="70">
        <v>0.0</v>
      </c>
      <c r="P9" s="70">
        <v>0.0</v>
      </c>
      <c r="Q9" s="70">
        <v>0.0</v>
      </c>
      <c r="R9" s="70">
        <v>441.4448225</v>
      </c>
      <c r="S9" s="70">
        <v>0.0</v>
      </c>
      <c r="T9" s="70">
        <v>0.0</v>
      </c>
      <c r="U9" s="70">
        <v>0.0</v>
      </c>
      <c r="V9" s="70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</row>
    <row r="10" ht="15.75" customHeight="1">
      <c r="A10" s="55"/>
      <c r="B10" s="70" t="s">
        <v>35</v>
      </c>
      <c r="C10" s="70" t="s">
        <v>133</v>
      </c>
      <c r="D10" s="70" t="s">
        <v>124</v>
      </c>
      <c r="E10" s="70" t="s">
        <v>131</v>
      </c>
      <c r="F10" s="70" t="s">
        <v>29</v>
      </c>
      <c r="G10" s="70">
        <v>782.26</v>
      </c>
      <c r="H10" s="70">
        <v>0.0</v>
      </c>
      <c r="I10" s="70">
        <v>1329.85</v>
      </c>
      <c r="J10" s="70">
        <v>0.0</v>
      </c>
      <c r="K10" s="70" t="s">
        <v>134</v>
      </c>
      <c r="L10" s="73"/>
      <c r="M10" s="73"/>
      <c r="N10" s="70">
        <v>782.2622</v>
      </c>
      <c r="O10" s="70">
        <v>0.0</v>
      </c>
      <c r="P10" s="70">
        <v>0.0</v>
      </c>
      <c r="Q10" s="70">
        <v>0.0</v>
      </c>
      <c r="R10" s="70">
        <v>1329.84574</v>
      </c>
      <c r="S10" s="70">
        <v>0.0</v>
      </c>
      <c r="T10" s="70">
        <v>0.0</v>
      </c>
      <c r="U10" s="70">
        <v>0.0</v>
      </c>
      <c r="V10" s="70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ht="15.75" customHeight="1">
      <c r="A11" s="55"/>
      <c r="B11" s="70" t="s">
        <v>35</v>
      </c>
      <c r="C11" s="70" t="s">
        <v>135</v>
      </c>
      <c r="D11" s="70" t="s">
        <v>136</v>
      </c>
      <c r="E11" s="70" t="s">
        <v>131</v>
      </c>
      <c r="F11" s="70" t="s">
        <v>29</v>
      </c>
      <c r="G11" s="70">
        <v>0.0</v>
      </c>
      <c r="H11" s="70">
        <v>0.28</v>
      </c>
      <c r="I11" s="70">
        <v>0.0</v>
      </c>
      <c r="J11" s="70">
        <v>0.0</v>
      </c>
      <c r="K11" s="70" t="s">
        <v>136</v>
      </c>
      <c r="L11" s="73"/>
      <c r="M11" s="73"/>
      <c r="N11" s="70">
        <v>0.0</v>
      </c>
      <c r="O11" s="70">
        <v>0.282191781</v>
      </c>
      <c r="P11" s="70">
        <v>0.0</v>
      </c>
      <c r="Q11" s="70">
        <v>0.0</v>
      </c>
      <c r="R11" s="70">
        <v>0.0</v>
      </c>
      <c r="S11" s="70">
        <v>0.0</v>
      </c>
      <c r="T11" s="70">
        <v>0.0</v>
      </c>
      <c r="U11" s="70">
        <v>0.0</v>
      </c>
      <c r="V11" s="70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</row>
    <row r="12" ht="15.75" customHeight="1">
      <c r="A12" s="55"/>
      <c r="B12" s="70" t="s">
        <v>35</v>
      </c>
      <c r="C12" s="70" t="s">
        <v>137</v>
      </c>
      <c r="D12" s="70" t="s">
        <v>136</v>
      </c>
      <c r="E12" s="70" t="s">
        <v>131</v>
      </c>
      <c r="F12" s="70" t="s">
        <v>25</v>
      </c>
      <c r="G12" s="70">
        <v>677.2</v>
      </c>
      <c r="H12" s="70">
        <v>0.0</v>
      </c>
      <c r="I12" s="70">
        <v>1015.8</v>
      </c>
      <c r="J12" s="70">
        <v>0.0</v>
      </c>
      <c r="K12" s="70" t="s">
        <v>138</v>
      </c>
      <c r="L12" s="73"/>
      <c r="M12" s="73"/>
      <c r="N12" s="70">
        <v>677.2</v>
      </c>
      <c r="O12" s="70">
        <v>0.0</v>
      </c>
      <c r="P12" s="70">
        <v>0.0</v>
      </c>
      <c r="Q12" s="70">
        <v>0.0</v>
      </c>
      <c r="R12" s="70">
        <v>1015.8</v>
      </c>
      <c r="S12" s="70">
        <v>0.0</v>
      </c>
      <c r="T12" s="70">
        <v>0.0</v>
      </c>
      <c r="U12" s="70">
        <v>0.0</v>
      </c>
      <c r="V12" s="70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</row>
    <row r="13" ht="15.75" customHeight="1">
      <c r="A13" s="55"/>
      <c r="B13" s="70" t="s">
        <v>35</v>
      </c>
      <c r="C13" s="70" t="s">
        <v>139</v>
      </c>
      <c r="D13" s="70" t="s">
        <v>136</v>
      </c>
      <c r="E13" s="70" t="s">
        <v>131</v>
      </c>
      <c r="F13" s="70" t="s">
        <v>29</v>
      </c>
      <c r="G13" s="70">
        <v>373.98</v>
      </c>
      <c r="H13" s="70">
        <v>0.0</v>
      </c>
      <c r="I13" s="70">
        <v>635.77</v>
      </c>
      <c r="J13" s="70">
        <v>0.0</v>
      </c>
      <c r="K13" s="70" t="s">
        <v>138</v>
      </c>
      <c r="L13" s="73"/>
      <c r="M13" s="73"/>
      <c r="N13" s="70">
        <v>373.98</v>
      </c>
      <c r="O13" s="70">
        <v>0.0</v>
      </c>
      <c r="P13" s="70">
        <v>0.0</v>
      </c>
      <c r="Q13" s="70">
        <v>0.0</v>
      </c>
      <c r="R13" s="70">
        <v>635.766</v>
      </c>
      <c r="S13" s="70">
        <v>0.0</v>
      </c>
      <c r="T13" s="70">
        <v>0.0</v>
      </c>
      <c r="U13" s="70">
        <v>0.0</v>
      </c>
      <c r="V13" s="70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</row>
    <row r="14" ht="15.75" customHeight="1">
      <c r="A14" s="55"/>
      <c r="B14" s="70" t="s">
        <v>35</v>
      </c>
      <c r="C14" s="70" t="s">
        <v>140</v>
      </c>
      <c r="D14" s="70" t="s">
        <v>136</v>
      </c>
      <c r="E14" s="70" t="s">
        <v>131</v>
      </c>
      <c r="F14" s="70" t="s">
        <v>31</v>
      </c>
      <c r="G14" s="70">
        <v>0.0</v>
      </c>
      <c r="H14" s="70">
        <v>8190.0</v>
      </c>
      <c r="I14" s="70">
        <v>0.0</v>
      </c>
      <c r="J14" s="70">
        <v>5539.45</v>
      </c>
      <c r="K14" s="70" t="s">
        <v>141</v>
      </c>
      <c r="L14" s="73"/>
      <c r="M14" s="73"/>
      <c r="N14" s="70">
        <v>0.0</v>
      </c>
      <c r="O14" s="70">
        <v>8190.0</v>
      </c>
      <c r="P14" s="70">
        <v>0.0</v>
      </c>
      <c r="Q14" s="70">
        <v>0.0</v>
      </c>
      <c r="R14" s="70">
        <v>0.0</v>
      </c>
      <c r="S14" s="70">
        <v>5539.452071</v>
      </c>
      <c r="T14" s="70">
        <v>0.0</v>
      </c>
      <c r="U14" s="70">
        <v>0.0</v>
      </c>
      <c r="V14" s="70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</row>
    <row r="15" ht="15.75" customHeight="1">
      <c r="A15" s="55"/>
      <c r="B15" s="70" t="s">
        <v>35</v>
      </c>
      <c r="C15" s="70" t="s">
        <v>142</v>
      </c>
      <c r="D15" s="70" t="s">
        <v>143</v>
      </c>
      <c r="E15" s="70" t="s">
        <v>131</v>
      </c>
      <c r="F15" s="70" t="s">
        <v>31</v>
      </c>
      <c r="G15" s="70">
        <v>8662.5</v>
      </c>
      <c r="H15" s="70">
        <v>0.0</v>
      </c>
      <c r="I15" s="70">
        <v>2329.88</v>
      </c>
      <c r="J15" s="70">
        <v>0.0</v>
      </c>
      <c r="K15" s="70" t="s">
        <v>144</v>
      </c>
      <c r="L15" s="73"/>
      <c r="M15" s="73"/>
      <c r="N15" s="70">
        <v>8662.5</v>
      </c>
      <c r="O15" s="70">
        <v>0.0</v>
      </c>
      <c r="P15" s="70">
        <v>0.0</v>
      </c>
      <c r="Q15" s="70">
        <v>0.0</v>
      </c>
      <c r="R15" s="70">
        <v>2329.881657</v>
      </c>
      <c r="S15" s="70">
        <v>0.0</v>
      </c>
      <c r="T15" s="70">
        <v>0.0</v>
      </c>
      <c r="U15" s="70">
        <v>0.0</v>
      </c>
      <c r="V15" s="70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</row>
    <row r="16" ht="15.75" customHeight="1">
      <c r="A16" s="55"/>
      <c r="B16" s="70" t="s">
        <v>35</v>
      </c>
      <c r="C16" s="70" t="s">
        <v>145</v>
      </c>
      <c r="D16" s="70" t="s">
        <v>124</v>
      </c>
      <c r="E16" s="70" t="s">
        <v>131</v>
      </c>
      <c r="F16" s="70" t="s">
        <v>40</v>
      </c>
      <c r="G16" s="70">
        <v>427.26</v>
      </c>
      <c r="H16" s="70">
        <v>0.0</v>
      </c>
      <c r="I16" s="70">
        <v>427.26</v>
      </c>
      <c r="J16" s="70">
        <v>0.0</v>
      </c>
      <c r="K16" s="70" t="s">
        <v>146</v>
      </c>
      <c r="L16" s="73"/>
      <c r="M16" s="73"/>
      <c r="N16" s="70">
        <v>427.26</v>
      </c>
      <c r="O16" s="70">
        <v>0.0</v>
      </c>
      <c r="P16" s="70">
        <v>0.0</v>
      </c>
      <c r="Q16" s="70">
        <v>0.0</v>
      </c>
      <c r="R16" s="70">
        <v>427.26</v>
      </c>
      <c r="S16" s="70">
        <v>0.0</v>
      </c>
      <c r="T16" s="70">
        <v>0.0</v>
      </c>
      <c r="U16" s="70">
        <v>0.0</v>
      </c>
      <c r="V16" s="70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</row>
    <row r="17" ht="15.75" customHeight="1">
      <c r="A17" s="55"/>
      <c r="B17" s="70" t="s">
        <v>35</v>
      </c>
      <c r="C17" s="70" t="s">
        <v>145</v>
      </c>
      <c r="D17" s="70" t="s">
        <v>124</v>
      </c>
      <c r="E17" s="70" t="s">
        <v>131</v>
      </c>
      <c r="F17" s="70" t="s">
        <v>25</v>
      </c>
      <c r="G17" s="70">
        <v>284.85</v>
      </c>
      <c r="H17" s="70">
        <v>0.0</v>
      </c>
      <c r="I17" s="70">
        <v>0.0</v>
      </c>
      <c r="J17" s="70">
        <v>0.0</v>
      </c>
      <c r="K17" s="70" t="s">
        <v>146</v>
      </c>
      <c r="L17" s="73"/>
      <c r="M17" s="73"/>
      <c r="N17" s="70">
        <v>284.85</v>
      </c>
      <c r="O17" s="70">
        <v>0.0</v>
      </c>
      <c r="P17" s="70">
        <v>284.85</v>
      </c>
      <c r="Q17" s="70">
        <v>284.85</v>
      </c>
      <c r="R17" s="70">
        <v>0.0</v>
      </c>
      <c r="S17" s="70">
        <v>0.0</v>
      </c>
      <c r="T17" s="70">
        <v>0.0</v>
      </c>
      <c r="U17" s="70">
        <v>0.0</v>
      </c>
      <c r="V17" s="70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</row>
    <row r="18" ht="15.75" customHeight="1">
      <c r="A18" s="55"/>
      <c r="B18" s="70" t="s">
        <v>35</v>
      </c>
      <c r="C18" s="70" t="s">
        <v>147</v>
      </c>
      <c r="D18" s="70" t="s">
        <v>136</v>
      </c>
      <c r="E18" s="70" t="s">
        <v>131</v>
      </c>
      <c r="F18" s="70" t="s">
        <v>25</v>
      </c>
      <c r="G18" s="70">
        <v>0.0</v>
      </c>
      <c r="H18" s="70">
        <v>0.0</v>
      </c>
      <c r="I18" s="70">
        <v>27471.55</v>
      </c>
      <c r="J18" s="70">
        <v>0.0</v>
      </c>
      <c r="K18" s="70" t="s">
        <v>148</v>
      </c>
      <c r="L18" s="73"/>
      <c r="M18" s="73"/>
      <c r="N18" s="70">
        <v>0.0</v>
      </c>
      <c r="O18" s="70">
        <v>0.0</v>
      </c>
      <c r="P18" s="70">
        <v>0.0</v>
      </c>
      <c r="Q18" s="70">
        <v>0.0</v>
      </c>
      <c r="R18" s="70">
        <v>27471.54609</v>
      </c>
      <c r="S18" s="70">
        <v>0.0</v>
      </c>
      <c r="T18" s="70">
        <v>0.0</v>
      </c>
      <c r="U18" s="70">
        <v>0.0</v>
      </c>
      <c r="V18" s="70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</row>
    <row r="19" ht="15.75" customHeight="1">
      <c r="A19" s="55"/>
      <c r="B19" s="70" t="s">
        <v>35</v>
      </c>
      <c r="C19" s="70" t="s">
        <v>147</v>
      </c>
      <c r="D19" s="70" t="s">
        <v>136</v>
      </c>
      <c r="E19" s="70" t="s">
        <v>131</v>
      </c>
      <c r="F19" s="70" t="s">
        <v>31</v>
      </c>
      <c r="G19" s="70">
        <v>0.0</v>
      </c>
      <c r="H19" s="70">
        <v>0.0</v>
      </c>
      <c r="I19" s="70">
        <v>0.0</v>
      </c>
      <c r="J19" s="70">
        <v>33260.25</v>
      </c>
      <c r="K19" s="70" t="s">
        <v>148</v>
      </c>
      <c r="L19" s="73"/>
      <c r="M19" s="73"/>
      <c r="N19" s="70">
        <v>0.0</v>
      </c>
      <c r="O19" s="70">
        <v>0.0</v>
      </c>
      <c r="P19" s="70">
        <v>0.0</v>
      </c>
      <c r="Q19" s="70">
        <v>0.0</v>
      </c>
      <c r="R19" s="70">
        <v>0.0</v>
      </c>
      <c r="S19" s="70">
        <v>33260.25354</v>
      </c>
      <c r="T19" s="70">
        <v>0.0</v>
      </c>
      <c r="U19" s="70">
        <v>0.0</v>
      </c>
      <c r="V19" s="70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</row>
    <row r="20" ht="15.75" customHeight="1">
      <c r="A20" s="55"/>
      <c r="B20" s="70" t="s">
        <v>35</v>
      </c>
      <c r="C20" s="70" t="s">
        <v>147</v>
      </c>
      <c r="D20" s="70" t="s">
        <v>136</v>
      </c>
      <c r="E20" s="70" t="s">
        <v>131</v>
      </c>
      <c r="F20" s="70" t="s">
        <v>29</v>
      </c>
      <c r="G20" s="70">
        <v>0.0</v>
      </c>
      <c r="H20" s="70">
        <v>0.0</v>
      </c>
      <c r="I20" s="70">
        <v>9812.85</v>
      </c>
      <c r="J20" s="70">
        <v>0.0</v>
      </c>
      <c r="K20" s="70" t="s">
        <v>148</v>
      </c>
      <c r="L20" s="73"/>
      <c r="M20" s="73"/>
      <c r="N20" s="70">
        <v>0.0</v>
      </c>
      <c r="O20" s="70">
        <v>0.0</v>
      </c>
      <c r="P20" s="70">
        <v>0.0</v>
      </c>
      <c r="Q20" s="70">
        <v>0.0</v>
      </c>
      <c r="R20" s="70">
        <v>9812.849321</v>
      </c>
      <c r="S20" s="70">
        <v>0.0</v>
      </c>
      <c r="T20" s="70">
        <v>0.0</v>
      </c>
      <c r="U20" s="70">
        <v>0.0</v>
      </c>
      <c r="V20" s="70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</row>
    <row r="21" ht="15.75" customHeight="1">
      <c r="A21" s="55"/>
      <c r="B21" s="70" t="s">
        <v>35</v>
      </c>
      <c r="C21" s="70" t="s">
        <v>149</v>
      </c>
      <c r="D21" s="70" t="s">
        <v>136</v>
      </c>
      <c r="E21" s="70" t="s">
        <v>131</v>
      </c>
      <c r="F21" s="70" t="s">
        <v>29</v>
      </c>
      <c r="G21" s="70">
        <v>0.0</v>
      </c>
      <c r="H21" s="70">
        <v>0.0</v>
      </c>
      <c r="I21" s="70">
        <v>180.38</v>
      </c>
      <c r="J21" s="70">
        <v>0.0</v>
      </c>
      <c r="K21" s="70" t="s">
        <v>148</v>
      </c>
      <c r="L21" s="73"/>
      <c r="M21" s="73"/>
      <c r="N21" s="70">
        <v>0.0</v>
      </c>
      <c r="O21" s="70">
        <v>0.0</v>
      </c>
      <c r="P21" s="70">
        <v>0.0</v>
      </c>
      <c r="Q21" s="70">
        <v>0.0</v>
      </c>
      <c r="R21" s="70">
        <v>180.3816249</v>
      </c>
      <c r="S21" s="70">
        <v>0.0</v>
      </c>
      <c r="T21" s="70">
        <v>0.0</v>
      </c>
      <c r="U21" s="70">
        <v>0.0</v>
      </c>
      <c r="V21" s="70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</row>
    <row r="22" ht="15.75" customHeight="1">
      <c r="A22" s="55"/>
      <c r="B22" s="70" t="s">
        <v>35</v>
      </c>
      <c r="C22" s="70" t="s">
        <v>150</v>
      </c>
      <c r="D22" s="70" t="s">
        <v>136</v>
      </c>
      <c r="E22" s="70" t="s">
        <v>131</v>
      </c>
      <c r="F22" s="70" t="s">
        <v>40</v>
      </c>
      <c r="G22" s="70">
        <v>0.0</v>
      </c>
      <c r="H22" s="70">
        <v>427.26</v>
      </c>
      <c r="I22" s="70">
        <v>0.0</v>
      </c>
      <c r="J22" s="70">
        <v>427.26</v>
      </c>
      <c r="K22" s="70" t="s">
        <v>138</v>
      </c>
      <c r="L22" s="73"/>
      <c r="M22" s="73"/>
      <c r="N22" s="70">
        <v>0.0</v>
      </c>
      <c r="O22" s="70">
        <v>427.26</v>
      </c>
      <c r="P22" s="70">
        <v>0.0</v>
      </c>
      <c r="Q22" s="70">
        <v>0.0</v>
      </c>
      <c r="R22" s="70">
        <v>0.0</v>
      </c>
      <c r="S22" s="70">
        <v>427.26</v>
      </c>
      <c r="T22" s="70">
        <v>0.0</v>
      </c>
      <c r="U22" s="70">
        <v>0.0</v>
      </c>
      <c r="V22" s="70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</row>
    <row r="23" ht="15.75" customHeight="1">
      <c r="A23" s="55"/>
      <c r="B23" s="70" t="s">
        <v>35</v>
      </c>
      <c r="C23" s="70" t="s">
        <v>150</v>
      </c>
      <c r="D23" s="70" t="s">
        <v>136</v>
      </c>
      <c r="E23" s="70" t="s">
        <v>131</v>
      </c>
      <c r="F23" s="70" t="s">
        <v>25</v>
      </c>
      <c r="G23" s="70">
        <v>0.0</v>
      </c>
      <c r="H23" s="70">
        <v>284.85</v>
      </c>
      <c r="I23" s="70">
        <v>0.0</v>
      </c>
      <c r="J23" s="70">
        <v>0.0</v>
      </c>
      <c r="K23" s="70" t="s">
        <v>138</v>
      </c>
      <c r="L23" s="73"/>
      <c r="M23" s="73"/>
      <c r="N23" s="70">
        <v>0.0</v>
      </c>
      <c r="O23" s="70">
        <v>284.85</v>
      </c>
      <c r="P23" s="70">
        <v>284.85</v>
      </c>
      <c r="Q23" s="70">
        <v>284.85</v>
      </c>
      <c r="R23" s="70">
        <v>0.0</v>
      </c>
      <c r="S23" s="70">
        <v>0.0</v>
      </c>
      <c r="T23" s="70">
        <v>0.0</v>
      </c>
      <c r="U23" s="70">
        <v>0.0</v>
      </c>
      <c r="V23" s="70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</row>
    <row r="24" ht="15.75" customHeight="1">
      <c r="A24" s="55"/>
      <c r="B24" s="70" t="s">
        <v>35</v>
      </c>
      <c r="C24" s="70" t="s">
        <v>151</v>
      </c>
      <c r="D24" s="70" t="s">
        <v>136</v>
      </c>
      <c r="E24" s="70" t="s">
        <v>131</v>
      </c>
      <c r="F24" s="70" t="s">
        <v>40</v>
      </c>
      <c r="G24" s="70">
        <v>1329.85</v>
      </c>
      <c r="H24" s="70">
        <v>0.0</v>
      </c>
      <c r="I24" s="70">
        <v>1329.85</v>
      </c>
      <c r="J24" s="70">
        <v>0.0</v>
      </c>
      <c r="K24" s="70" t="s">
        <v>138</v>
      </c>
      <c r="L24" s="73"/>
      <c r="M24" s="73"/>
      <c r="N24" s="70">
        <v>1329.85</v>
      </c>
      <c r="O24" s="70">
        <v>0.0</v>
      </c>
      <c r="P24" s="70">
        <v>0.0</v>
      </c>
      <c r="Q24" s="70">
        <v>0.0</v>
      </c>
      <c r="R24" s="70">
        <v>1329.85</v>
      </c>
      <c r="S24" s="70">
        <v>0.0</v>
      </c>
      <c r="T24" s="70">
        <v>0.0</v>
      </c>
      <c r="U24" s="70">
        <v>0.0</v>
      </c>
      <c r="V24" s="70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</row>
    <row r="25" ht="15.75" customHeight="1">
      <c r="A25" s="55"/>
      <c r="B25" s="70" t="s">
        <v>35</v>
      </c>
      <c r="C25" s="70" t="s">
        <v>151</v>
      </c>
      <c r="D25" s="70" t="s">
        <v>136</v>
      </c>
      <c r="E25" s="70" t="s">
        <v>131</v>
      </c>
      <c r="F25" s="70" t="s">
        <v>29</v>
      </c>
      <c r="G25" s="70">
        <v>782.27</v>
      </c>
      <c r="H25" s="70">
        <v>0.0</v>
      </c>
      <c r="I25" s="70">
        <v>0.0</v>
      </c>
      <c r="J25" s="70">
        <v>0.0</v>
      </c>
      <c r="K25" s="70" t="s">
        <v>138</v>
      </c>
      <c r="L25" s="73"/>
      <c r="M25" s="73"/>
      <c r="N25" s="70">
        <v>782.27</v>
      </c>
      <c r="O25" s="70">
        <v>0.0</v>
      </c>
      <c r="P25" s="70">
        <v>782.27</v>
      </c>
      <c r="Q25" s="70">
        <v>782.27</v>
      </c>
      <c r="R25" s="70">
        <v>0.0</v>
      </c>
      <c r="S25" s="70">
        <v>0.0</v>
      </c>
      <c r="T25" s="70">
        <v>0.0</v>
      </c>
      <c r="U25" s="70">
        <v>0.0</v>
      </c>
      <c r="V25" s="70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</row>
    <row r="26" ht="15.75" customHeight="1">
      <c r="A26" s="55"/>
      <c r="B26" s="70" t="s">
        <v>35</v>
      </c>
      <c r="C26" s="70" t="s">
        <v>152</v>
      </c>
      <c r="D26" s="70" t="s">
        <v>124</v>
      </c>
      <c r="E26" s="70" t="s">
        <v>131</v>
      </c>
      <c r="F26" s="70" t="s">
        <v>40</v>
      </c>
      <c r="G26" s="70">
        <v>0.0</v>
      </c>
      <c r="H26" s="70">
        <v>1329.85</v>
      </c>
      <c r="I26" s="70">
        <v>0.0</v>
      </c>
      <c r="J26" s="70">
        <v>1329.85</v>
      </c>
      <c r="K26" s="70" t="s">
        <v>146</v>
      </c>
      <c r="L26" s="73"/>
      <c r="M26" s="73"/>
      <c r="N26" s="70">
        <v>0.0</v>
      </c>
      <c r="O26" s="70">
        <v>1329.85</v>
      </c>
      <c r="P26" s="70">
        <v>0.0</v>
      </c>
      <c r="Q26" s="70">
        <v>0.0</v>
      </c>
      <c r="R26" s="70">
        <v>0.0</v>
      </c>
      <c r="S26" s="70">
        <v>1329.85</v>
      </c>
      <c r="T26" s="70">
        <v>0.0</v>
      </c>
      <c r="U26" s="70">
        <v>0.0</v>
      </c>
      <c r="V26" s="70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</row>
    <row r="27" ht="15.75" customHeight="1">
      <c r="A27" s="55"/>
      <c r="B27" s="70" t="s">
        <v>35</v>
      </c>
      <c r="C27" s="70" t="s">
        <v>152</v>
      </c>
      <c r="D27" s="70" t="s">
        <v>124</v>
      </c>
      <c r="E27" s="70" t="s">
        <v>131</v>
      </c>
      <c r="F27" s="70" t="s">
        <v>29</v>
      </c>
      <c r="G27" s="70">
        <v>0.0</v>
      </c>
      <c r="H27" s="70">
        <v>782.27</v>
      </c>
      <c r="I27" s="70">
        <v>0.0</v>
      </c>
      <c r="J27" s="70">
        <v>0.0</v>
      </c>
      <c r="K27" s="70" t="s">
        <v>146</v>
      </c>
      <c r="L27" s="73"/>
      <c r="M27" s="73"/>
      <c r="N27" s="70">
        <v>0.0</v>
      </c>
      <c r="O27" s="70">
        <v>782.27</v>
      </c>
      <c r="P27" s="70">
        <v>782.27</v>
      </c>
      <c r="Q27" s="70">
        <v>782.27</v>
      </c>
      <c r="R27" s="70">
        <v>0.0</v>
      </c>
      <c r="S27" s="70">
        <v>0.0</v>
      </c>
      <c r="T27" s="70">
        <v>0.0</v>
      </c>
      <c r="U27" s="70">
        <v>0.0</v>
      </c>
      <c r="V27" s="70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</row>
    <row r="28" ht="15.75" customHeight="1">
      <c r="A28" s="55"/>
      <c r="B28" s="70" t="s">
        <v>35</v>
      </c>
      <c r="C28" s="70" t="s">
        <v>76</v>
      </c>
      <c r="D28" s="70" t="s">
        <v>76</v>
      </c>
      <c r="E28" s="70" t="s">
        <v>76</v>
      </c>
      <c r="F28" s="70" t="s">
        <v>40</v>
      </c>
      <c r="G28" s="70">
        <v>0.0</v>
      </c>
      <c r="H28" s="70">
        <v>7831.19</v>
      </c>
      <c r="I28" s="70">
        <v>0.0</v>
      </c>
      <c r="J28" s="70">
        <v>7831.19</v>
      </c>
      <c r="K28" s="70" t="s">
        <v>76</v>
      </c>
      <c r="L28" s="73"/>
      <c r="M28" s="73"/>
      <c r="N28" s="70">
        <v>0.0</v>
      </c>
      <c r="O28" s="70">
        <v>7831.191</v>
      </c>
      <c r="P28" s="70">
        <v>0.0</v>
      </c>
      <c r="Q28" s="70">
        <v>0.0</v>
      </c>
      <c r="R28" s="70">
        <v>0.0</v>
      </c>
      <c r="S28" s="70">
        <v>7831.191</v>
      </c>
      <c r="T28" s="70">
        <v>0.0</v>
      </c>
      <c r="U28" s="70">
        <v>0.0</v>
      </c>
      <c r="V28" s="70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</row>
    <row r="29" ht="15.75" customHeight="1">
      <c r="A29" s="55"/>
      <c r="B29" s="70" t="s">
        <v>35</v>
      </c>
      <c r="C29" s="70" t="s">
        <v>76</v>
      </c>
      <c r="D29" s="70" t="s">
        <v>76</v>
      </c>
      <c r="E29" s="70" t="s">
        <v>76</v>
      </c>
      <c r="F29" s="70" t="s">
        <v>25</v>
      </c>
      <c r="G29" s="70">
        <v>19607.66</v>
      </c>
      <c r="H29" s="70">
        <v>0.0</v>
      </c>
      <c r="I29" s="70">
        <v>0.0</v>
      </c>
      <c r="J29" s="70">
        <v>0.06</v>
      </c>
      <c r="K29" s="70" t="s">
        <v>76</v>
      </c>
      <c r="L29" s="73"/>
      <c r="M29" s="73"/>
      <c r="N29" s="70">
        <v>19607.655</v>
      </c>
      <c r="O29" s="70">
        <v>0.0</v>
      </c>
      <c r="P29" s="70">
        <v>0.0</v>
      </c>
      <c r="Q29" s="70">
        <v>0.0</v>
      </c>
      <c r="R29" s="70">
        <v>0.0</v>
      </c>
      <c r="S29" s="70">
        <v>0.063585</v>
      </c>
      <c r="T29" s="70">
        <v>0.0</v>
      </c>
      <c r="U29" s="70">
        <v>0.0</v>
      </c>
      <c r="V29" s="70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</row>
    <row r="30" ht="15.75" customHeight="1">
      <c r="A30" s="55"/>
      <c r="B30" s="70" t="s">
        <v>35</v>
      </c>
      <c r="C30" s="70" t="s">
        <v>76</v>
      </c>
      <c r="D30" s="70" t="s">
        <v>76</v>
      </c>
      <c r="E30" s="70" t="s">
        <v>76</v>
      </c>
      <c r="F30" s="70" t="s">
        <v>31</v>
      </c>
      <c r="G30" s="70">
        <v>0.0</v>
      </c>
      <c r="H30" s="70">
        <v>26416.04</v>
      </c>
      <c r="I30" s="70">
        <v>631.2</v>
      </c>
      <c r="J30" s="70">
        <v>0.0</v>
      </c>
      <c r="K30" s="70" t="s">
        <v>76</v>
      </c>
      <c r="L30" s="73"/>
      <c r="M30" s="73"/>
      <c r="N30" s="70">
        <v>0.0</v>
      </c>
      <c r="O30" s="70">
        <v>26416.04175</v>
      </c>
      <c r="P30" s="70">
        <v>0.0</v>
      </c>
      <c r="Q30" s="70">
        <v>0.0</v>
      </c>
      <c r="R30" s="70">
        <v>631.1957207</v>
      </c>
      <c r="S30" s="70">
        <v>0.0</v>
      </c>
      <c r="T30" s="70">
        <v>0.0</v>
      </c>
      <c r="U30" s="70">
        <v>0.0</v>
      </c>
      <c r="V30" s="70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</row>
    <row r="31" ht="15.75" customHeight="1">
      <c r="A31" s="55"/>
      <c r="B31" s="70" t="s">
        <v>35</v>
      </c>
      <c r="C31" s="70" t="s">
        <v>76</v>
      </c>
      <c r="D31" s="70" t="s">
        <v>76</v>
      </c>
      <c r="E31" s="70" t="s">
        <v>76</v>
      </c>
      <c r="F31" s="70" t="s">
        <v>29</v>
      </c>
      <c r="G31" s="70">
        <v>13917.65</v>
      </c>
      <c r="H31" s="70">
        <v>0.0</v>
      </c>
      <c r="I31" s="70">
        <v>0.0</v>
      </c>
      <c r="J31" s="70">
        <v>0.03</v>
      </c>
      <c r="K31" s="70" t="s">
        <v>76</v>
      </c>
      <c r="L31" s="73"/>
      <c r="M31" s="73"/>
      <c r="N31" s="70">
        <v>13917.65369</v>
      </c>
      <c r="O31" s="70">
        <v>0.0</v>
      </c>
      <c r="P31" s="70">
        <v>0.0</v>
      </c>
      <c r="Q31" s="70">
        <v>0.0</v>
      </c>
      <c r="R31" s="70">
        <v>0.0</v>
      </c>
      <c r="S31" s="70">
        <v>0.034047441</v>
      </c>
      <c r="T31" s="70">
        <v>0.0</v>
      </c>
      <c r="U31" s="70">
        <v>0.0</v>
      </c>
      <c r="V31" s="70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</row>
    <row r="32" ht="15.75" customHeight="1">
      <c r="A32" s="55"/>
      <c r="B32" s="70" t="s">
        <v>35</v>
      </c>
      <c r="C32" s="70" t="s">
        <v>153</v>
      </c>
      <c r="D32" s="70" t="s">
        <v>76</v>
      </c>
      <c r="E32" s="70" t="s">
        <v>76</v>
      </c>
      <c r="F32" s="70" t="s">
        <v>31</v>
      </c>
      <c r="G32" s="70">
        <v>0.0</v>
      </c>
      <c r="H32" s="70">
        <v>472.5</v>
      </c>
      <c r="I32" s="70">
        <v>3209.57</v>
      </c>
      <c r="J32" s="70">
        <v>0.0</v>
      </c>
      <c r="K32" s="70" t="s">
        <v>76</v>
      </c>
      <c r="L32" s="73"/>
      <c r="M32" s="73"/>
      <c r="N32" s="70">
        <v>0.0</v>
      </c>
      <c r="O32" s="70">
        <v>472.5</v>
      </c>
      <c r="P32" s="70">
        <v>0.0</v>
      </c>
      <c r="Q32" s="70">
        <v>0.0</v>
      </c>
      <c r="R32" s="70">
        <v>3209.570414</v>
      </c>
      <c r="S32" s="70">
        <v>0.0</v>
      </c>
      <c r="T32" s="70">
        <v>0.0</v>
      </c>
      <c r="U32" s="70">
        <v>0.0</v>
      </c>
      <c r="V32" s="70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</row>
    <row r="33" ht="15.75" customHeight="1">
      <c r="A33" s="55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3"/>
      <c r="M33" s="73"/>
      <c r="N33" s="70"/>
      <c r="O33" s="70"/>
      <c r="P33" s="70"/>
      <c r="Q33" s="70"/>
      <c r="R33" s="70"/>
      <c r="S33" s="70"/>
      <c r="T33" s="70"/>
      <c r="U33" s="70"/>
      <c r="V33" s="70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</row>
    <row r="34" ht="15.75" customHeight="1">
      <c r="A34" s="55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3"/>
      <c r="M34" s="73"/>
      <c r="N34" s="70"/>
      <c r="O34" s="70"/>
      <c r="P34" s="70"/>
      <c r="Q34" s="70"/>
      <c r="R34" s="70"/>
      <c r="S34" s="70"/>
      <c r="T34" s="70"/>
      <c r="U34" s="70"/>
      <c r="V34" s="70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</row>
    <row r="35" ht="15.75" customHeight="1">
      <c r="A35" s="55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3"/>
      <c r="M35" s="73"/>
      <c r="N35" s="70"/>
      <c r="O35" s="70"/>
      <c r="P35" s="70"/>
      <c r="Q35" s="70"/>
      <c r="R35" s="70"/>
      <c r="S35" s="70"/>
      <c r="T35" s="70"/>
      <c r="U35" s="70"/>
      <c r="V35" s="70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</row>
    <row r="36" ht="15.75" customHeight="1">
      <c r="A36" s="55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3"/>
      <c r="M36" s="73"/>
      <c r="N36" s="70"/>
      <c r="O36" s="70"/>
      <c r="P36" s="70"/>
      <c r="Q36" s="70"/>
      <c r="R36" s="70"/>
      <c r="S36" s="70"/>
      <c r="T36" s="70"/>
      <c r="U36" s="70"/>
      <c r="V36" s="70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3" width="12.63"/>
    <col customWidth="1" min="4" max="4" width="27.88"/>
    <col customWidth="1" min="5" max="5" width="21.7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73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IFERROR(__xludf.DUMMYFUNCTION("""COMPUTED_VALUE"""),"Account")</f>
        <v>Account</v>
      </c>
      <c r="C5" s="33" t="str">
        <f>IFERROR(__xludf.DUMMYFUNCTION("""COMPUTED_VALUE"""),"Activity Source")</f>
        <v>Activity Source</v>
      </c>
      <c r="D5" s="33" t="str">
        <f>IFERROR(__xludf.DUMMYFUNCTION("""COMPUTED_VALUE"""),"ActivityType")</f>
        <v>ActivityType</v>
      </c>
      <c r="E5" s="33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3" t="str">
        <f>IFERROR(__xludf.DUMMYFUNCTION("""COMPUTED_VALUE"""),"AUEC Fee2")</f>
        <v>AUEC Fee2</v>
      </c>
      <c r="H5" s="33" t="str">
        <f>IFERROR(__xludf.DUMMYFUNCTION("""COMPUTED_VALUE"""),"Balance Type")</f>
        <v>Balance Type</v>
      </c>
      <c r="I5" s="33" t="str">
        <f>IFERROR(__xludf.DUMMYFUNCTION("""COMPUTED_VALUE"""),"Clearing Broker Fees")</f>
        <v>Clearing Broker Fees</v>
      </c>
      <c r="J5" s="33" t="str">
        <f>IFERROR(__xludf.DUMMYFUNCTION("""COMPUTED_VALUE"""),"Commission")</f>
        <v>Commission</v>
      </c>
      <c r="K5" s="33" t="str">
        <f>IFERROR(__xludf.DUMMYFUNCTION("""COMPUTED_VALUE"""),"Currency")</f>
        <v>Currency</v>
      </c>
      <c r="L5" s="33" t="str">
        <f>IFERROR(__xludf.DUMMYFUNCTION("""COMPUTED_VALUE"""),"Description")</f>
        <v>Description</v>
      </c>
      <c r="M5" s="33" t="str">
        <f>IFERROR(__xludf.DUMMYFUNCTION("""COMPUTED_VALUE"""),"Entry Date")</f>
        <v>Entry Date</v>
      </c>
      <c r="N5" s="33" t="str">
        <f>IFERROR(__xludf.DUMMYFUNCTION("""COMPUTED_VALUE"""),"FX Conversion Method Operator")</f>
        <v>FX Conversion Method Operator</v>
      </c>
      <c r="O5" s="33" t="str">
        <f>IFERROR(__xludf.DUMMYFUNCTION("""COMPUTED_VALUE"""),"Fx Rate")</f>
        <v>Fx Rate</v>
      </c>
      <c r="P5" s="33" t="str">
        <f>IFERROR(__xludf.DUMMYFUNCTION("""COMPUTED_VALUE"""),"Lead Currency")</f>
        <v>Lead Currency</v>
      </c>
      <c r="Q5" s="33" t="str">
        <f>IFERROR(__xludf.DUMMYFUNCTION("""COMPUTED_VALUE"""),"Modify date")</f>
        <v>Modify date</v>
      </c>
      <c r="R5" s="33" t="str">
        <f>IFERROR(__xludf.DUMMYFUNCTION("""COMPUTED_VALUE"""),"OCC Fee")</f>
        <v>OCC Fee</v>
      </c>
      <c r="S5" s="33" t="str">
        <f>IFERROR(__xludf.DUMMYFUNCTION("""COMPUTED_VALUE"""),"OptionPremiumAdjustment")</f>
        <v>OptionPremiumAdjustment</v>
      </c>
      <c r="T5" s="18" t="str">
        <f>IFERROR(__xludf.DUMMYFUNCTION("""COMPUTED_VALUE"""),"ORF Fee")</f>
        <v>ORF Fee</v>
      </c>
      <c r="U5" s="18" t="str">
        <f>IFERROR(__xludf.DUMMYFUNCTION("""COMPUTED_VALUE"""),"Other Broker Fees")</f>
        <v>Other Broker Fees</v>
      </c>
      <c r="V5" s="18" t="str">
        <f>IFERROR(__xludf.DUMMYFUNCTION("""COMPUTED_VALUE"""),"Quantity")</f>
        <v>Quantity</v>
      </c>
      <c r="W5" s="18" t="str">
        <f>IFERROR(__xludf.DUMMYFUNCTION("""COMPUTED_VALUE"""),"SEC Fee")</f>
        <v>SEC Fee</v>
      </c>
      <c r="X5" s="18" t="str">
        <f>IFERROR(__xludf.DUMMYFUNCTION("""COMPUTED_VALUE"""),"Settlement Currency")</f>
        <v>Settlement Currency</v>
      </c>
      <c r="Y5" s="18" t="str">
        <f>IFERROR(__xludf.DUMMYFUNCTION("""COMPUTED_VALUE"""),"Settlement Date")</f>
        <v>Settlement Date</v>
      </c>
      <c r="Z5" s="18" t="str">
        <f>IFERROR(__xludf.DUMMYFUNCTION("""COMPUTED_VALUE"""),"Soft Commission")</f>
        <v>Soft Commission</v>
      </c>
      <c r="AA5" s="18" t="str">
        <f>IFERROR(__xludf.DUMMYFUNCTION("""COMPUTED_VALUE"""),"Stamp Duty")</f>
        <v>Stamp Duty</v>
      </c>
      <c r="AB5" s="18" t="str">
        <f>IFERROR(__xludf.DUMMYFUNCTION("""COMPUTED_VALUE"""),"Symbol")</f>
        <v>Symbol</v>
      </c>
      <c r="AC5" s="18" t="str">
        <f>IFERROR(__xludf.DUMMYFUNCTION("""COMPUTED_VALUE"""),"Tax On Commissions")</f>
        <v>Tax On Commissions</v>
      </c>
      <c r="AD5" s="18" t="str">
        <f>IFERROR(__xludf.DUMMYFUNCTION("""COMPUTED_VALUE"""),"Total Commissions")</f>
        <v>Total Commissions</v>
      </c>
      <c r="AE5" s="18" t="str">
        <f>IFERROR(__xludf.DUMMYFUNCTION("""COMPUTED_VALUE"""),"Trade Date")</f>
        <v>Trade Date</v>
      </c>
      <c r="AF5" s="18" t="str">
        <f>IFERROR(__xludf.DUMMYFUNCTION("""COMPUTED_VALUE"""),"Transaction Levy")</f>
        <v>Transaction Levy</v>
      </c>
      <c r="AG5" s="18" t="str">
        <f>IFERROR(__xludf.DUMMYFUNCTION("""COMPUTED_VALUE"""),"Transaction Source")</f>
        <v>Transaction Source</v>
      </c>
      <c r="AH5" s="18" t="str">
        <f>IFERROR(__xludf.DUMMYFUNCTION("""COMPUTED_VALUE"""),"User")</f>
        <v>User</v>
      </c>
      <c r="AI5" s="18" t="str">
        <f>IFERROR(__xludf.DUMMYFUNCTION("""COMPUTED_VALUE"""),"Vs Currency")</f>
        <v>Vs Currency</v>
      </c>
      <c r="AJ5" s="18" t="str">
        <f>IFERROR(__xludf.DUMMYFUNCTION("""COMPUTED_VALUE"""),"SettlCurrencyID")</f>
        <v>SettlCurrencyID</v>
      </c>
      <c r="AK5" s="18" t="str">
        <f>IFERROR(__xludf.DUMMYFUNCTION("""COMPUTED_VALUE"""),"isRowCountCheck")</f>
        <v>isRowCountCheck</v>
      </c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55"/>
      <c r="B6" s="70" t="s">
        <v>35</v>
      </c>
      <c r="C6" s="70" t="s">
        <v>154</v>
      </c>
      <c r="D6" s="70" t="s">
        <v>155</v>
      </c>
      <c r="E6" s="70">
        <v>-4430.3</v>
      </c>
      <c r="F6" s="70">
        <v>0.0</v>
      </c>
      <c r="G6" s="70">
        <v>0.0</v>
      </c>
      <c r="H6" s="70" t="s">
        <v>76</v>
      </c>
      <c r="I6" s="70">
        <v>0.0</v>
      </c>
      <c r="J6" s="70">
        <v>0.0</v>
      </c>
      <c r="K6" s="70" t="s">
        <v>25</v>
      </c>
      <c r="L6" s="70"/>
      <c r="M6" s="72"/>
      <c r="N6" s="70" t="s">
        <v>39</v>
      </c>
      <c r="O6" s="70">
        <v>1.4</v>
      </c>
      <c r="P6" s="71"/>
      <c r="Q6" s="72"/>
      <c r="R6" s="70">
        <v>0.0</v>
      </c>
      <c r="S6" s="70">
        <v>0.0</v>
      </c>
      <c r="T6" s="70">
        <v>0.0</v>
      </c>
      <c r="U6" s="70">
        <v>0.0</v>
      </c>
      <c r="V6" s="70">
        <v>0.0</v>
      </c>
      <c r="W6" s="70">
        <v>0.0</v>
      </c>
      <c r="X6" s="71"/>
      <c r="Y6" s="85"/>
      <c r="Z6" s="70">
        <v>0.0</v>
      </c>
      <c r="AA6" s="70">
        <v>0.0</v>
      </c>
      <c r="AB6" s="70" t="s">
        <v>18</v>
      </c>
      <c r="AC6" s="70">
        <v>0.0</v>
      </c>
      <c r="AD6" s="70">
        <v>0.0</v>
      </c>
      <c r="AE6" s="75">
        <v>42919.0</v>
      </c>
      <c r="AF6" s="70">
        <v>0.0</v>
      </c>
      <c r="AG6" s="70" t="s">
        <v>154</v>
      </c>
      <c r="AH6" s="70"/>
      <c r="AI6" s="74"/>
      <c r="AJ6" s="70">
        <v>0.0</v>
      </c>
      <c r="AK6" s="70"/>
      <c r="AL6" s="71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</row>
    <row r="7" ht="15.75" customHeight="1">
      <c r="A7" s="55"/>
      <c r="B7" s="70" t="s">
        <v>35</v>
      </c>
      <c r="C7" s="70" t="s">
        <v>154</v>
      </c>
      <c r="D7" s="70" t="s">
        <v>155</v>
      </c>
      <c r="E7" s="70">
        <v>55.26</v>
      </c>
      <c r="F7" s="70">
        <v>0.0</v>
      </c>
      <c r="G7" s="70">
        <v>0.0</v>
      </c>
      <c r="H7" s="70" t="s">
        <v>76</v>
      </c>
      <c r="I7" s="70">
        <v>0.0</v>
      </c>
      <c r="J7" s="70">
        <v>0.0</v>
      </c>
      <c r="K7" s="70" t="s">
        <v>40</v>
      </c>
      <c r="L7" s="70"/>
      <c r="M7" s="72"/>
      <c r="N7" s="70" t="s">
        <v>39</v>
      </c>
      <c r="O7" s="70">
        <v>1.0</v>
      </c>
      <c r="P7" s="71"/>
      <c r="Q7" s="72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71"/>
      <c r="Y7" s="85"/>
      <c r="Z7" s="70">
        <v>0.0</v>
      </c>
      <c r="AA7" s="70">
        <v>0.0</v>
      </c>
      <c r="AB7" s="70" t="s">
        <v>25</v>
      </c>
      <c r="AC7" s="70">
        <v>0.0</v>
      </c>
      <c r="AD7" s="70">
        <v>0.0</v>
      </c>
      <c r="AE7" s="75">
        <v>42919.0</v>
      </c>
      <c r="AF7" s="70">
        <v>0.0</v>
      </c>
      <c r="AG7" s="70" t="s">
        <v>154</v>
      </c>
      <c r="AH7" s="70"/>
      <c r="AI7" s="74"/>
      <c r="AJ7" s="70">
        <v>0.0</v>
      </c>
      <c r="AK7" s="70"/>
      <c r="AL7" s="71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</row>
    <row r="8" ht="15.75" customHeight="1">
      <c r="A8" s="55"/>
      <c r="B8" s="70" t="s">
        <v>35</v>
      </c>
      <c r="C8" s="70" t="s">
        <v>154</v>
      </c>
      <c r="D8" s="70" t="s">
        <v>156</v>
      </c>
      <c r="E8" s="70">
        <v>-1427.17</v>
      </c>
      <c r="F8" s="70">
        <v>0.0</v>
      </c>
      <c r="G8" s="70">
        <v>0.0</v>
      </c>
      <c r="H8" s="70" t="s">
        <v>76</v>
      </c>
      <c r="I8" s="70">
        <v>0.0</v>
      </c>
      <c r="J8" s="70">
        <v>0.0</v>
      </c>
      <c r="K8" s="70" t="s">
        <v>40</v>
      </c>
      <c r="L8" s="70" t="s">
        <v>157</v>
      </c>
      <c r="M8" s="72"/>
      <c r="N8" s="70" t="s">
        <v>39</v>
      </c>
      <c r="O8" s="70">
        <v>1.0</v>
      </c>
      <c r="P8" s="71"/>
      <c r="Q8" s="72"/>
      <c r="R8" s="70">
        <v>0.0</v>
      </c>
      <c r="S8" s="70">
        <v>0.0</v>
      </c>
      <c r="T8" s="70">
        <v>0.0</v>
      </c>
      <c r="U8" s="70">
        <v>0.0</v>
      </c>
      <c r="V8" s="70">
        <v>0.0</v>
      </c>
      <c r="W8" s="70">
        <v>0.0</v>
      </c>
      <c r="X8" s="71"/>
      <c r="Y8" s="85"/>
      <c r="Z8" s="70">
        <v>0.0</v>
      </c>
      <c r="AA8" s="70">
        <v>0.0</v>
      </c>
      <c r="AB8" s="70" t="s">
        <v>29</v>
      </c>
      <c r="AC8" s="70">
        <v>0.0</v>
      </c>
      <c r="AD8" s="70">
        <v>0.0</v>
      </c>
      <c r="AE8" s="75">
        <v>42919.0</v>
      </c>
      <c r="AF8" s="70">
        <v>0.0</v>
      </c>
      <c r="AG8" s="70" t="s">
        <v>154</v>
      </c>
      <c r="AH8" s="70"/>
      <c r="AI8" s="74"/>
      <c r="AJ8" s="70">
        <v>0.0</v>
      </c>
      <c r="AK8" s="70"/>
      <c r="AL8" s="71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</row>
    <row r="9" ht="15.75" customHeight="1">
      <c r="A9" s="55"/>
      <c r="B9" s="70" t="s">
        <v>35</v>
      </c>
      <c r="C9" s="70" t="s">
        <v>154</v>
      </c>
      <c r="D9" s="70" t="s">
        <v>156</v>
      </c>
      <c r="E9" s="70">
        <v>5130.46</v>
      </c>
      <c r="F9" s="70">
        <v>0.0</v>
      </c>
      <c r="G9" s="70">
        <v>0.0</v>
      </c>
      <c r="H9" s="70" t="s">
        <v>76</v>
      </c>
      <c r="I9" s="70">
        <v>0.0</v>
      </c>
      <c r="J9" s="70">
        <v>0.0</v>
      </c>
      <c r="K9" s="70" t="s">
        <v>29</v>
      </c>
      <c r="L9" s="70" t="s">
        <v>157</v>
      </c>
      <c r="M9" s="72"/>
      <c r="N9" s="70" t="s">
        <v>39</v>
      </c>
      <c r="O9" s="70">
        <v>0.79</v>
      </c>
      <c r="P9" s="71"/>
      <c r="Q9" s="72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71"/>
      <c r="Y9" s="85"/>
      <c r="Z9" s="70">
        <v>0.0</v>
      </c>
      <c r="AA9" s="70">
        <v>0.0</v>
      </c>
      <c r="AB9" s="70" t="s">
        <v>26</v>
      </c>
      <c r="AC9" s="70">
        <v>0.0</v>
      </c>
      <c r="AD9" s="70">
        <v>0.0</v>
      </c>
      <c r="AE9" s="75">
        <v>42919.0</v>
      </c>
      <c r="AF9" s="70">
        <v>0.0</v>
      </c>
      <c r="AG9" s="70" t="s">
        <v>154</v>
      </c>
      <c r="AH9" s="70"/>
      <c r="AI9" s="74"/>
      <c r="AJ9" s="70">
        <v>0.0</v>
      </c>
      <c r="AK9" s="70"/>
      <c r="AL9" s="71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</row>
    <row r="10" ht="15.75" customHeight="1">
      <c r="A10" s="55"/>
      <c r="B10" s="70" t="s">
        <v>35</v>
      </c>
      <c r="C10" s="70" t="s">
        <v>154</v>
      </c>
      <c r="D10" s="70" t="s">
        <v>158</v>
      </c>
      <c r="E10" s="70">
        <v>-7140.0</v>
      </c>
      <c r="F10" s="70">
        <v>0.0</v>
      </c>
      <c r="G10" s="70">
        <v>0.0</v>
      </c>
      <c r="H10" s="70" t="s">
        <v>76</v>
      </c>
      <c r="I10" s="70">
        <v>0.0</v>
      </c>
      <c r="J10" s="70">
        <v>0.0</v>
      </c>
      <c r="K10" s="70" t="s">
        <v>31</v>
      </c>
      <c r="L10" s="70"/>
      <c r="M10" s="72"/>
      <c r="N10" s="70" t="s">
        <v>81</v>
      </c>
      <c r="O10" s="70">
        <v>1.69</v>
      </c>
      <c r="P10" s="71"/>
      <c r="Q10" s="72"/>
      <c r="R10" s="70">
        <v>0.0</v>
      </c>
      <c r="S10" s="70">
        <v>0.0</v>
      </c>
      <c r="T10" s="70">
        <v>0.0</v>
      </c>
      <c r="U10" s="70">
        <v>0.0</v>
      </c>
      <c r="V10" s="70">
        <v>0.0</v>
      </c>
      <c r="W10" s="70">
        <v>0.0</v>
      </c>
      <c r="X10" s="71"/>
      <c r="Y10" s="85"/>
      <c r="Z10" s="70">
        <v>0.0</v>
      </c>
      <c r="AA10" s="70">
        <v>0.0</v>
      </c>
      <c r="AB10" s="70" t="s">
        <v>30</v>
      </c>
      <c r="AC10" s="70">
        <v>0.0</v>
      </c>
      <c r="AD10" s="70">
        <v>0.0</v>
      </c>
      <c r="AE10" s="75">
        <v>42919.0</v>
      </c>
      <c r="AF10" s="70">
        <v>0.0</v>
      </c>
      <c r="AG10" s="70" t="s">
        <v>154</v>
      </c>
      <c r="AH10" s="70"/>
      <c r="AI10" s="74"/>
      <c r="AJ10" s="70">
        <v>0.0</v>
      </c>
      <c r="AK10" s="70"/>
      <c r="AL10" s="71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ht="15.75" customHeight="1">
      <c r="A11" s="55"/>
      <c r="B11" s="70" t="s">
        <v>35</v>
      </c>
      <c r="C11" s="70" t="s">
        <v>154</v>
      </c>
      <c r="D11" s="70" t="s">
        <v>158</v>
      </c>
      <c r="E11" s="70">
        <v>7140.0</v>
      </c>
      <c r="F11" s="70">
        <v>0.0</v>
      </c>
      <c r="G11" s="70">
        <v>0.0</v>
      </c>
      <c r="H11" s="70" t="s">
        <v>76</v>
      </c>
      <c r="I11" s="70">
        <v>0.0</v>
      </c>
      <c r="J11" s="70">
        <v>0.0</v>
      </c>
      <c r="K11" s="70" t="s">
        <v>31</v>
      </c>
      <c r="L11" s="70"/>
      <c r="M11" s="72"/>
      <c r="N11" s="70" t="s">
        <v>39</v>
      </c>
      <c r="O11" s="70">
        <v>0.79</v>
      </c>
      <c r="P11" s="71"/>
      <c r="Q11" s="72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71"/>
      <c r="Y11" s="85"/>
      <c r="Z11" s="70">
        <v>0.0</v>
      </c>
      <c r="AA11" s="70">
        <v>0.0</v>
      </c>
      <c r="AB11" s="70" t="s">
        <v>30</v>
      </c>
      <c r="AC11" s="70">
        <v>0.0</v>
      </c>
      <c r="AD11" s="70">
        <v>0.0</v>
      </c>
      <c r="AE11" s="75">
        <v>42919.0</v>
      </c>
      <c r="AF11" s="70">
        <v>0.0</v>
      </c>
      <c r="AG11" s="70" t="s">
        <v>154</v>
      </c>
      <c r="AH11" s="70"/>
      <c r="AI11" s="74"/>
      <c r="AJ11" s="70">
        <v>0.0</v>
      </c>
      <c r="AK11" s="70"/>
      <c r="AL11" s="71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</row>
    <row r="12" ht="15.75" customHeight="1">
      <c r="A12" s="55"/>
      <c r="B12" s="70" t="s">
        <v>35</v>
      </c>
      <c r="C12" s="70" t="s">
        <v>74</v>
      </c>
      <c r="D12" s="70" t="s">
        <v>75</v>
      </c>
      <c r="E12" s="70">
        <v>-11958.8</v>
      </c>
      <c r="F12" s="70">
        <v>0.0</v>
      </c>
      <c r="G12" s="70">
        <v>0.0</v>
      </c>
      <c r="H12" s="70" t="s">
        <v>76</v>
      </c>
      <c r="I12" s="70">
        <v>0.0</v>
      </c>
      <c r="J12" s="70">
        <v>0.0</v>
      </c>
      <c r="K12" s="70" t="s">
        <v>40</v>
      </c>
      <c r="L12" s="70"/>
      <c r="M12" s="72"/>
      <c r="N12" s="70" t="s">
        <v>39</v>
      </c>
      <c r="O12" s="70">
        <v>1.0</v>
      </c>
      <c r="P12" s="71"/>
      <c r="Q12" s="72"/>
      <c r="R12" s="70">
        <v>0.0</v>
      </c>
      <c r="S12" s="70">
        <v>0.0</v>
      </c>
      <c r="T12" s="70">
        <v>0.0</v>
      </c>
      <c r="U12" s="70">
        <v>0.0</v>
      </c>
      <c r="V12" s="70">
        <v>0.0</v>
      </c>
      <c r="W12" s="70">
        <v>0.0</v>
      </c>
      <c r="X12" s="71"/>
      <c r="Y12" s="73"/>
      <c r="Z12" s="70">
        <v>0.0</v>
      </c>
      <c r="AA12" s="70">
        <v>0.0</v>
      </c>
      <c r="AB12" s="74"/>
      <c r="AC12" s="70">
        <v>0.0</v>
      </c>
      <c r="AD12" s="70">
        <v>0.0</v>
      </c>
      <c r="AE12" s="75">
        <v>42919.0</v>
      </c>
      <c r="AF12" s="70">
        <v>0.0</v>
      </c>
      <c r="AG12" s="70" t="s">
        <v>48</v>
      </c>
      <c r="AH12" s="70"/>
      <c r="AI12" s="74"/>
      <c r="AJ12" s="70">
        <v>0.0</v>
      </c>
      <c r="AK12" s="70"/>
      <c r="AL12" s="71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</row>
    <row r="13" ht="15.75" customHeight="1">
      <c r="A13" s="55"/>
      <c r="B13" s="70" t="s">
        <v>35</v>
      </c>
      <c r="C13" s="70" t="s">
        <v>74</v>
      </c>
      <c r="D13" s="70" t="s">
        <v>75</v>
      </c>
      <c r="E13" s="70">
        <v>15180.0</v>
      </c>
      <c r="F13" s="70">
        <v>0.0</v>
      </c>
      <c r="G13" s="70">
        <v>0.0</v>
      </c>
      <c r="H13" s="70" t="s">
        <v>76</v>
      </c>
      <c r="I13" s="70">
        <v>0.0</v>
      </c>
      <c r="J13" s="70">
        <v>0.0</v>
      </c>
      <c r="K13" s="70" t="s">
        <v>29</v>
      </c>
      <c r="L13" s="70"/>
      <c r="M13" s="72"/>
      <c r="N13" s="70" t="s">
        <v>39</v>
      </c>
      <c r="O13" s="70">
        <v>0.79</v>
      </c>
      <c r="P13" s="71"/>
      <c r="Q13" s="72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71"/>
      <c r="Y13" s="73"/>
      <c r="Z13" s="70">
        <v>0.0</v>
      </c>
      <c r="AA13" s="70">
        <v>0.0</v>
      </c>
      <c r="AB13" s="74"/>
      <c r="AC13" s="70">
        <v>0.0</v>
      </c>
      <c r="AD13" s="70">
        <v>0.0</v>
      </c>
      <c r="AE13" s="75">
        <v>42919.0</v>
      </c>
      <c r="AF13" s="70">
        <v>0.0</v>
      </c>
      <c r="AG13" s="70" t="s">
        <v>48</v>
      </c>
      <c r="AH13" s="70"/>
      <c r="AI13" s="74"/>
      <c r="AJ13" s="70">
        <v>0.0</v>
      </c>
      <c r="AK13" s="70"/>
      <c r="AL13" s="71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</row>
    <row r="14" ht="15.75" customHeight="1">
      <c r="A14" s="55"/>
      <c r="B14" s="70" t="s">
        <v>35</v>
      </c>
      <c r="C14" s="70" t="s">
        <v>77</v>
      </c>
      <c r="D14" s="70" t="s">
        <v>95</v>
      </c>
      <c r="E14" s="70">
        <v>0.0</v>
      </c>
      <c r="F14" s="70">
        <v>0.0</v>
      </c>
      <c r="G14" s="70">
        <v>0.0</v>
      </c>
      <c r="H14" s="70" t="s">
        <v>159</v>
      </c>
      <c r="I14" s="70">
        <v>0.0</v>
      </c>
      <c r="J14" s="70">
        <v>0.0</v>
      </c>
      <c r="K14" s="70" t="s">
        <v>29</v>
      </c>
      <c r="L14" s="74"/>
      <c r="M14" s="73"/>
      <c r="N14" s="70" t="s">
        <v>39</v>
      </c>
      <c r="O14" s="70">
        <v>1.7</v>
      </c>
      <c r="P14" s="71"/>
      <c r="Q14" s="72"/>
      <c r="R14" s="70">
        <v>0.0</v>
      </c>
      <c r="S14" s="70">
        <v>0.0</v>
      </c>
      <c r="T14" s="70">
        <v>0.0</v>
      </c>
      <c r="U14" s="70">
        <v>0.0</v>
      </c>
      <c r="V14" s="70">
        <v>100.0</v>
      </c>
      <c r="W14" s="70">
        <v>0.0</v>
      </c>
      <c r="X14" s="70" t="s">
        <v>29</v>
      </c>
      <c r="Y14" s="72"/>
      <c r="Z14" s="70">
        <v>0.0</v>
      </c>
      <c r="AA14" s="70">
        <v>0.0</v>
      </c>
      <c r="AB14" s="70" t="s">
        <v>26</v>
      </c>
      <c r="AC14" s="70">
        <v>0.0</v>
      </c>
      <c r="AD14" s="70">
        <v>0.0</v>
      </c>
      <c r="AE14" s="75">
        <v>42919.0</v>
      </c>
      <c r="AF14" s="70">
        <v>0.0</v>
      </c>
      <c r="AG14" s="70" t="s">
        <v>160</v>
      </c>
      <c r="AH14" s="76"/>
      <c r="AI14" s="74"/>
      <c r="AJ14" s="70">
        <v>14.0</v>
      </c>
      <c r="AK14" s="70"/>
      <c r="AL14" s="71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</row>
    <row r="15" ht="15.75" customHeight="1">
      <c r="A15" s="55"/>
      <c r="B15" s="70" t="s">
        <v>35</v>
      </c>
      <c r="C15" s="70" t="s">
        <v>77</v>
      </c>
      <c r="D15" s="70" t="s">
        <v>97</v>
      </c>
      <c r="E15" s="70">
        <v>7140.0</v>
      </c>
      <c r="F15" s="70">
        <v>0.0</v>
      </c>
      <c r="G15" s="70">
        <v>0.0</v>
      </c>
      <c r="H15" s="70" t="s">
        <v>76</v>
      </c>
      <c r="I15" s="70">
        <v>0.0</v>
      </c>
      <c r="J15" s="70">
        <v>0.0</v>
      </c>
      <c r="K15" s="70" t="s">
        <v>31</v>
      </c>
      <c r="L15" s="74"/>
      <c r="M15" s="73"/>
      <c r="N15" s="70" t="s">
        <v>81</v>
      </c>
      <c r="O15" s="70">
        <v>1.69</v>
      </c>
      <c r="P15" s="71"/>
      <c r="Q15" s="72"/>
      <c r="R15" s="70">
        <v>0.0</v>
      </c>
      <c r="S15" s="70">
        <v>0.0</v>
      </c>
      <c r="T15" s="70">
        <v>0.0</v>
      </c>
      <c r="U15" s="70">
        <v>0.0</v>
      </c>
      <c r="V15" s="70">
        <v>100.0</v>
      </c>
      <c r="W15" s="70">
        <v>0.0</v>
      </c>
      <c r="X15" s="70" t="s">
        <v>31</v>
      </c>
      <c r="Y15" s="85"/>
      <c r="Z15" s="70">
        <v>0.0</v>
      </c>
      <c r="AA15" s="70">
        <v>0.0</v>
      </c>
      <c r="AB15" s="70" t="s">
        <v>30</v>
      </c>
      <c r="AC15" s="70">
        <v>0.0</v>
      </c>
      <c r="AD15" s="70">
        <v>0.0</v>
      </c>
      <c r="AE15" s="75">
        <v>42919.0</v>
      </c>
      <c r="AF15" s="70">
        <v>0.0</v>
      </c>
      <c r="AG15" s="70" t="s">
        <v>160</v>
      </c>
      <c r="AH15" s="76"/>
      <c r="AI15" s="74"/>
      <c r="AJ15" s="70">
        <v>7.0</v>
      </c>
      <c r="AK15" s="70"/>
      <c r="AL15" s="71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</row>
    <row r="16" ht="15.75" customHeight="1">
      <c r="A16" s="55"/>
      <c r="B16" s="70" t="s">
        <v>35</v>
      </c>
      <c r="C16" s="70" t="s">
        <v>154</v>
      </c>
      <c r="D16" s="70" t="s">
        <v>158</v>
      </c>
      <c r="E16" s="70">
        <v>-432.72</v>
      </c>
      <c r="F16" s="70">
        <v>0.0</v>
      </c>
      <c r="G16" s="70">
        <v>0.0</v>
      </c>
      <c r="H16" s="70" t="s">
        <v>76</v>
      </c>
      <c r="I16" s="70">
        <v>0.0</v>
      </c>
      <c r="J16" s="70">
        <v>0.0</v>
      </c>
      <c r="K16" s="70" t="s">
        <v>31</v>
      </c>
      <c r="L16" s="70"/>
      <c r="M16" s="72"/>
      <c r="N16" s="70" t="s">
        <v>39</v>
      </c>
      <c r="O16" s="70">
        <v>0.79</v>
      </c>
      <c r="P16" s="71"/>
      <c r="Q16" s="72"/>
      <c r="R16" s="70">
        <v>0.0</v>
      </c>
      <c r="S16" s="70">
        <v>0.0</v>
      </c>
      <c r="T16" s="70">
        <v>0.0</v>
      </c>
      <c r="U16" s="70">
        <v>0.0</v>
      </c>
      <c r="V16" s="70">
        <v>0.0</v>
      </c>
      <c r="W16" s="70">
        <v>0.0</v>
      </c>
      <c r="X16" s="74"/>
      <c r="Y16" s="85"/>
      <c r="Z16" s="70">
        <v>0.0</v>
      </c>
      <c r="AA16" s="70">
        <v>0.0</v>
      </c>
      <c r="AB16" s="70" t="s">
        <v>30</v>
      </c>
      <c r="AC16" s="70">
        <v>0.0</v>
      </c>
      <c r="AD16" s="70">
        <v>0.0</v>
      </c>
      <c r="AE16" s="75">
        <v>42919.0</v>
      </c>
      <c r="AF16" s="70">
        <v>0.0</v>
      </c>
      <c r="AG16" s="70" t="s">
        <v>154</v>
      </c>
      <c r="AH16" s="70"/>
      <c r="AI16" s="74"/>
      <c r="AJ16" s="70">
        <v>0.0</v>
      </c>
      <c r="AK16" s="74"/>
      <c r="AL16" s="71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</row>
    <row r="17" ht="15.75" customHeight="1">
      <c r="A17" s="55"/>
      <c r="B17" s="70" t="s">
        <v>35</v>
      </c>
      <c r="C17" s="70" t="s">
        <v>154</v>
      </c>
      <c r="D17" s="70" t="s">
        <v>158</v>
      </c>
      <c r="E17" s="70">
        <v>1564.54</v>
      </c>
      <c r="F17" s="70">
        <v>0.0</v>
      </c>
      <c r="G17" s="70">
        <v>0.0</v>
      </c>
      <c r="H17" s="70" t="s">
        <v>76</v>
      </c>
      <c r="I17" s="70">
        <v>0.0</v>
      </c>
      <c r="J17" s="70">
        <v>0.0</v>
      </c>
      <c r="K17" s="70" t="s">
        <v>29</v>
      </c>
      <c r="L17" s="70"/>
      <c r="M17" s="72"/>
      <c r="N17" s="70" t="s">
        <v>39</v>
      </c>
      <c r="O17" s="70">
        <v>1.7</v>
      </c>
      <c r="P17" s="71"/>
      <c r="Q17" s="72"/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W17" s="70">
        <v>0.0</v>
      </c>
      <c r="X17" s="74"/>
      <c r="Y17" s="85"/>
      <c r="Z17" s="70">
        <v>0.0</v>
      </c>
      <c r="AA17" s="70">
        <v>0.0</v>
      </c>
      <c r="AB17" s="70" t="s">
        <v>26</v>
      </c>
      <c r="AC17" s="70">
        <v>0.0</v>
      </c>
      <c r="AD17" s="70">
        <v>0.0</v>
      </c>
      <c r="AE17" s="75">
        <v>42919.0</v>
      </c>
      <c r="AF17" s="70">
        <v>0.0</v>
      </c>
      <c r="AG17" s="70" t="s">
        <v>154</v>
      </c>
      <c r="AH17" s="70"/>
      <c r="AI17" s="74"/>
      <c r="AJ17" s="70">
        <v>0.0</v>
      </c>
      <c r="AK17" s="74"/>
      <c r="AL17" s="71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</row>
    <row r="18" ht="15.75" customHeight="1">
      <c r="A18" s="55"/>
      <c r="B18" s="70" t="s">
        <v>35</v>
      </c>
      <c r="C18" s="70" t="s">
        <v>154</v>
      </c>
      <c r="D18" s="70" t="s">
        <v>158</v>
      </c>
      <c r="E18" s="70">
        <v>70.55</v>
      </c>
      <c r="F18" s="70">
        <v>0.0</v>
      </c>
      <c r="G18" s="70">
        <v>0.0</v>
      </c>
      <c r="H18" s="70" t="s">
        <v>76</v>
      </c>
      <c r="I18" s="70">
        <v>0.0</v>
      </c>
      <c r="J18" s="70">
        <v>0.0</v>
      </c>
      <c r="K18" s="70" t="s">
        <v>29</v>
      </c>
      <c r="L18" s="70"/>
      <c r="M18" s="72"/>
      <c r="N18" s="70" t="s">
        <v>39</v>
      </c>
      <c r="O18" s="70">
        <v>1.7</v>
      </c>
      <c r="P18" s="71"/>
      <c r="Q18" s="72"/>
      <c r="R18" s="70">
        <v>0.0</v>
      </c>
      <c r="S18" s="70">
        <v>0.0</v>
      </c>
      <c r="T18" s="70">
        <v>0.0</v>
      </c>
      <c r="U18" s="70">
        <v>0.0</v>
      </c>
      <c r="V18" s="70">
        <v>0.0</v>
      </c>
      <c r="W18" s="70">
        <v>0.0</v>
      </c>
      <c r="X18" s="74"/>
      <c r="Y18" s="85"/>
      <c r="Z18" s="70">
        <v>0.0</v>
      </c>
      <c r="AA18" s="70">
        <v>0.0</v>
      </c>
      <c r="AB18" s="70" t="s">
        <v>26</v>
      </c>
      <c r="AC18" s="70">
        <v>0.0</v>
      </c>
      <c r="AD18" s="70">
        <v>0.0</v>
      </c>
      <c r="AE18" s="75">
        <v>42919.0</v>
      </c>
      <c r="AF18" s="70">
        <v>0.0</v>
      </c>
      <c r="AG18" s="70" t="s">
        <v>154</v>
      </c>
      <c r="AH18" s="70"/>
      <c r="AI18" s="74"/>
      <c r="AJ18" s="70">
        <v>0.0</v>
      </c>
      <c r="AK18" s="74"/>
      <c r="AL18" s="71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</row>
    <row r="19" ht="15.75" customHeight="1">
      <c r="A19" s="55"/>
      <c r="B19" s="70" t="s">
        <v>35</v>
      </c>
      <c r="C19" s="70" t="s">
        <v>154</v>
      </c>
      <c r="D19" s="70" t="s">
        <v>158</v>
      </c>
      <c r="E19" s="70">
        <v>-1564.54</v>
      </c>
      <c r="F19" s="70">
        <v>0.0</v>
      </c>
      <c r="G19" s="70">
        <v>0.0</v>
      </c>
      <c r="H19" s="70" t="s">
        <v>76</v>
      </c>
      <c r="I19" s="70">
        <v>0.0</v>
      </c>
      <c r="J19" s="70">
        <v>0.0</v>
      </c>
      <c r="K19" s="70" t="s">
        <v>29</v>
      </c>
      <c r="L19" s="70"/>
      <c r="M19" s="72"/>
      <c r="N19" s="70" t="s">
        <v>39</v>
      </c>
      <c r="O19" s="70">
        <v>0.79</v>
      </c>
      <c r="P19" s="71"/>
      <c r="Q19" s="72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74"/>
      <c r="Y19" s="85"/>
      <c r="Z19" s="70">
        <v>0.0</v>
      </c>
      <c r="AA19" s="70">
        <v>0.0</v>
      </c>
      <c r="AB19" s="70" t="s">
        <v>26</v>
      </c>
      <c r="AC19" s="70">
        <v>0.0</v>
      </c>
      <c r="AD19" s="70">
        <v>0.0</v>
      </c>
      <c r="AE19" s="75">
        <v>42919.0</v>
      </c>
      <c r="AF19" s="70">
        <v>0.0</v>
      </c>
      <c r="AG19" s="70" t="s">
        <v>154</v>
      </c>
      <c r="AH19" s="70"/>
      <c r="AI19" s="74"/>
      <c r="AJ19" s="70">
        <v>0.0</v>
      </c>
      <c r="AK19" s="74"/>
      <c r="AL19" s="71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</row>
    <row r="20" ht="15.75" customHeight="1">
      <c r="A20" s="55"/>
      <c r="B20" s="70" t="s">
        <v>35</v>
      </c>
      <c r="C20" s="70" t="s">
        <v>154</v>
      </c>
      <c r="D20" s="70" t="s">
        <v>158</v>
      </c>
      <c r="E20" s="70">
        <v>-70.55</v>
      </c>
      <c r="F20" s="70">
        <v>0.0</v>
      </c>
      <c r="G20" s="70">
        <v>0.0</v>
      </c>
      <c r="H20" s="70" t="s">
        <v>76</v>
      </c>
      <c r="I20" s="70">
        <v>0.0</v>
      </c>
      <c r="J20" s="70">
        <v>0.0</v>
      </c>
      <c r="K20" s="70" t="s">
        <v>29</v>
      </c>
      <c r="L20" s="70"/>
      <c r="M20" s="72"/>
      <c r="N20" s="70" t="s">
        <v>39</v>
      </c>
      <c r="O20" s="70">
        <v>0.79</v>
      </c>
      <c r="P20" s="71"/>
      <c r="Q20" s="72"/>
      <c r="R20" s="70">
        <v>0.0</v>
      </c>
      <c r="S20" s="70">
        <v>0.0</v>
      </c>
      <c r="T20" s="70">
        <v>0.0</v>
      </c>
      <c r="U20" s="70">
        <v>0.0</v>
      </c>
      <c r="V20" s="70">
        <v>0.0</v>
      </c>
      <c r="W20" s="70">
        <v>0.0</v>
      </c>
      <c r="X20" s="74"/>
      <c r="Y20" s="85"/>
      <c r="Z20" s="70">
        <v>0.0</v>
      </c>
      <c r="AA20" s="70">
        <v>0.0</v>
      </c>
      <c r="AB20" s="70" t="s">
        <v>26</v>
      </c>
      <c r="AC20" s="70">
        <v>0.0</v>
      </c>
      <c r="AD20" s="70">
        <v>0.0</v>
      </c>
      <c r="AE20" s="75">
        <v>42919.0</v>
      </c>
      <c r="AF20" s="70">
        <v>0.0</v>
      </c>
      <c r="AG20" s="70" t="s">
        <v>154</v>
      </c>
      <c r="AH20" s="70"/>
      <c r="AI20" s="74"/>
      <c r="AJ20" s="70">
        <v>0.0</v>
      </c>
      <c r="AK20" s="74"/>
      <c r="AL20" s="71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</row>
    <row r="21" ht="15.75" customHeight="1">
      <c r="A21" s="55"/>
      <c r="B21" s="70" t="s">
        <v>35</v>
      </c>
      <c r="C21" s="70" t="s">
        <v>154</v>
      </c>
      <c r="D21" s="70" t="s">
        <v>161</v>
      </c>
      <c r="E21" s="70">
        <v>-70.55</v>
      </c>
      <c r="F21" s="70">
        <v>0.0</v>
      </c>
      <c r="G21" s="70">
        <v>0.0</v>
      </c>
      <c r="H21" s="70" t="s">
        <v>76</v>
      </c>
      <c r="I21" s="70">
        <v>0.0</v>
      </c>
      <c r="J21" s="70">
        <v>0.0</v>
      </c>
      <c r="K21" s="70" t="s">
        <v>29</v>
      </c>
      <c r="L21" s="70" t="s">
        <v>162</v>
      </c>
      <c r="M21" s="72"/>
      <c r="N21" s="70" t="s">
        <v>39</v>
      </c>
      <c r="O21" s="70">
        <v>1.7</v>
      </c>
      <c r="P21" s="71"/>
      <c r="Q21" s="72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74"/>
      <c r="Y21" s="72"/>
      <c r="Z21" s="70">
        <v>0.0</v>
      </c>
      <c r="AA21" s="70">
        <v>0.0</v>
      </c>
      <c r="AB21" s="70" t="s">
        <v>26</v>
      </c>
      <c r="AC21" s="70">
        <v>0.0</v>
      </c>
      <c r="AD21" s="70">
        <v>0.0</v>
      </c>
      <c r="AE21" s="75">
        <v>42919.0</v>
      </c>
      <c r="AF21" s="70">
        <v>0.0</v>
      </c>
      <c r="AG21" s="70" t="s">
        <v>154</v>
      </c>
      <c r="AH21" s="70"/>
      <c r="AI21" s="74"/>
      <c r="AJ21" s="70">
        <v>0.0</v>
      </c>
      <c r="AK21" s="74"/>
      <c r="AL21" s="71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</row>
    <row r="22" ht="15.75" customHeight="1">
      <c r="A22" s="55"/>
      <c r="B22" s="70" t="s">
        <v>35</v>
      </c>
      <c r="C22" s="70" t="s">
        <v>154</v>
      </c>
      <c r="D22" s="70" t="s">
        <v>161</v>
      </c>
      <c r="E22" s="70">
        <v>70.55</v>
      </c>
      <c r="F22" s="70">
        <v>0.0</v>
      </c>
      <c r="G22" s="70">
        <v>0.0</v>
      </c>
      <c r="H22" s="70" t="s">
        <v>76</v>
      </c>
      <c r="I22" s="70">
        <v>0.0</v>
      </c>
      <c r="J22" s="70">
        <v>0.0</v>
      </c>
      <c r="K22" s="70" t="s">
        <v>29</v>
      </c>
      <c r="L22" s="70" t="s">
        <v>163</v>
      </c>
      <c r="M22" s="72"/>
      <c r="N22" s="70" t="s">
        <v>39</v>
      </c>
      <c r="O22" s="70">
        <v>0.79</v>
      </c>
      <c r="P22" s="71"/>
      <c r="Q22" s="72"/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4"/>
      <c r="Y22" s="72"/>
      <c r="Z22" s="70">
        <v>0.0</v>
      </c>
      <c r="AA22" s="70">
        <v>0.0</v>
      </c>
      <c r="AB22" s="70" t="s">
        <v>26</v>
      </c>
      <c r="AC22" s="70">
        <v>0.0</v>
      </c>
      <c r="AD22" s="70">
        <v>0.0</v>
      </c>
      <c r="AE22" s="75">
        <v>42919.0</v>
      </c>
      <c r="AF22" s="70">
        <v>0.0</v>
      </c>
      <c r="AG22" s="70" t="s">
        <v>154</v>
      </c>
      <c r="AH22" s="70"/>
      <c r="AI22" s="74"/>
      <c r="AJ22" s="70">
        <v>0.0</v>
      </c>
      <c r="AK22" s="74"/>
      <c r="AL22" s="71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</row>
    <row r="23" ht="15.75" customHeight="1">
      <c r="A23" s="55"/>
      <c r="B23" s="70" t="s">
        <v>35</v>
      </c>
      <c r="C23" s="70" t="s">
        <v>154</v>
      </c>
      <c r="D23" s="70" t="s">
        <v>158</v>
      </c>
      <c r="E23" s="70">
        <v>-569.7</v>
      </c>
      <c r="F23" s="70">
        <v>0.0</v>
      </c>
      <c r="G23" s="70">
        <v>0.0</v>
      </c>
      <c r="H23" s="70" t="s">
        <v>76</v>
      </c>
      <c r="I23" s="70">
        <v>0.0</v>
      </c>
      <c r="J23" s="70">
        <v>0.0</v>
      </c>
      <c r="K23" s="70" t="s">
        <v>25</v>
      </c>
      <c r="L23" s="70"/>
      <c r="M23" s="72"/>
      <c r="N23" s="70" t="s">
        <v>39</v>
      </c>
      <c r="O23" s="70">
        <v>1.5</v>
      </c>
      <c r="P23" s="71"/>
      <c r="Q23" s="72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4"/>
      <c r="Y23" s="85"/>
      <c r="Z23" s="70">
        <v>0.0</v>
      </c>
      <c r="AA23" s="70">
        <v>0.0</v>
      </c>
      <c r="AB23" s="70" t="s">
        <v>18</v>
      </c>
      <c r="AC23" s="70">
        <v>0.0</v>
      </c>
      <c r="AD23" s="70">
        <v>0.0</v>
      </c>
      <c r="AE23" s="75">
        <v>42919.0</v>
      </c>
      <c r="AF23" s="70">
        <v>0.0</v>
      </c>
      <c r="AG23" s="70" t="s">
        <v>154</v>
      </c>
      <c r="AH23" s="70"/>
      <c r="AI23" s="74"/>
      <c r="AJ23" s="70">
        <v>0.0</v>
      </c>
      <c r="AK23" s="74"/>
      <c r="AL23" s="71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</row>
    <row r="24" ht="15.75" customHeight="1">
      <c r="A24" s="55"/>
      <c r="B24" s="70" t="s">
        <v>35</v>
      </c>
      <c r="C24" s="70" t="s">
        <v>154</v>
      </c>
      <c r="D24" s="70" t="s">
        <v>158</v>
      </c>
      <c r="E24" s="70">
        <v>569.7</v>
      </c>
      <c r="F24" s="70">
        <v>0.0</v>
      </c>
      <c r="G24" s="70">
        <v>0.0</v>
      </c>
      <c r="H24" s="70" t="s">
        <v>76</v>
      </c>
      <c r="I24" s="70">
        <v>0.0</v>
      </c>
      <c r="J24" s="70">
        <v>0.0</v>
      </c>
      <c r="K24" s="70" t="s">
        <v>25</v>
      </c>
      <c r="L24" s="70"/>
      <c r="M24" s="72"/>
      <c r="N24" s="70" t="s">
        <v>39</v>
      </c>
      <c r="O24" s="70">
        <v>1.4</v>
      </c>
      <c r="P24" s="71"/>
      <c r="Q24" s="72"/>
      <c r="R24" s="70">
        <v>0.0</v>
      </c>
      <c r="S24" s="70">
        <v>0.0</v>
      </c>
      <c r="T24" s="70">
        <v>0.0</v>
      </c>
      <c r="U24" s="70">
        <v>0.0</v>
      </c>
      <c r="V24" s="70">
        <v>0.0</v>
      </c>
      <c r="W24" s="70">
        <v>0.0</v>
      </c>
      <c r="X24" s="71"/>
      <c r="Y24" s="85"/>
      <c r="Z24" s="70">
        <v>0.0</v>
      </c>
      <c r="AA24" s="70">
        <v>0.0</v>
      </c>
      <c r="AB24" s="70" t="s">
        <v>18</v>
      </c>
      <c r="AC24" s="70">
        <v>0.0</v>
      </c>
      <c r="AD24" s="70">
        <v>0.0</v>
      </c>
      <c r="AE24" s="75">
        <v>42919.0</v>
      </c>
      <c r="AF24" s="70">
        <v>0.0</v>
      </c>
      <c r="AG24" s="70" t="s">
        <v>154</v>
      </c>
      <c r="AH24" s="70"/>
      <c r="AI24" s="74"/>
      <c r="AJ24" s="70">
        <v>0.0</v>
      </c>
      <c r="AK24" s="70"/>
      <c r="AL24" s="71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</row>
    <row r="25" ht="15.75" customHeight="1">
      <c r="A25" s="55"/>
      <c r="B25" s="70" t="s">
        <v>35</v>
      </c>
      <c r="C25" s="70" t="s">
        <v>154</v>
      </c>
      <c r="D25" s="70" t="s">
        <v>158</v>
      </c>
      <c r="E25" s="70">
        <v>432.72</v>
      </c>
      <c r="F25" s="70">
        <v>0.0</v>
      </c>
      <c r="G25" s="70">
        <v>0.0</v>
      </c>
      <c r="H25" s="70" t="s">
        <v>76</v>
      </c>
      <c r="I25" s="70">
        <v>0.0</v>
      </c>
      <c r="J25" s="70">
        <v>0.0</v>
      </c>
      <c r="K25" s="70" t="s">
        <v>31</v>
      </c>
      <c r="L25" s="70"/>
      <c r="M25" s="72"/>
      <c r="N25" s="70" t="s">
        <v>81</v>
      </c>
      <c r="O25" s="70">
        <v>1.69</v>
      </c>
      <c r="P25" s="71"/>
      <c r="Q25" s="72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74"/>
      <c r="Y25" s="72"/>
      <c r="Z25" s="70">
        <v>0.0</v>
      </c>
      <c r="AA25" s="70">
        <v>0.0</v>
      </c>
      <c r="AB25" s="70" t="s">
        <v>30</v>
      </c>
      <c r="AC25" s="70">
        <v>0.0</v>
      </c>
      <c r="AD25" s="70">
        <v>0.0</v>
      </c>
      <c r="AE25" s="75">
        <v>42919.0</v>
      </c>
      <c r="AF25" s="70">
        <v>0.0</v>
      </c>
      <c r="AG25" s="70" t="s">
        <v>154</v>
      </c>
      <c r="AH25" s="70"/>
      <c r="AI25" s="74"/>
      <c r="AJ25" s="70">
        <v>0.0</v>
      </c>
      <c r="AK25" s="70"/>
      <c r="AL25" s="71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</row>
    <row r="26" ht="15.75" customHeight="1">
      <c r="A26" s="55"/>
      <c r="B26" s="70" t="s">
        <v>35</v>
      </c>
      <c r="C26" s="70" t="s">
        <v>77</v>
      </c>
      <c r="D26" s="70" t="s">
        <v>78</v>
      </c>
      <c r="E26" s="70">
        <v>-1564.54</v>
      </c>
      <c r="F26" s="70">
        <v>4.9852</v>
      </c>
      <c r="G26" s="70">
        <v>54.0</v>
      </c>
      <c r="H26" s="70" t="s">
        <v>76</v>
      </c>
      <c r="I26" s="70">
        <v>30.0</v>
      </c>
      <c r="J26" s="70">
        <v>50.0</v>
      </c>
      <c r="K26" s="70" t="s">
        <v>29</v>
      </c>
      <c r="L26" s="74"/>
      <c r="M26" s="72"/>
      <c r="N26" s="70" t="s">
        <v>39</v>
      </c>
      <c r="O26" s="70">
        <v>1.7</v>
      </c>
      <c r="P26" s="71"/>
      <c r="Q26" s="72"/>
      <c r="R26" s="70">
        <v>1.3596</v>
      </c>
      <c r="S26" s="70">
        <v>0.0</v>
      </c>
      <c r="T26" s="70">
        <v>62.0</v>
      </c>
      <c r="U26" s="70">
        <v>35.0</v>
      </c>
      <c r="V26" s="70">
        <v>100.0</v>
      </c>
      <c r="W26" s="70">
        <v>80.0</v>
      </c>
      <c r="X26" s="70" t="s">
        <v>29</v>
      </c>
      <c r="Y26" s="85"/>
      <c r="Z26" s="70">
        <v>1.5862</v>
      </c>
      <c r="AA26" s="70">
        <v>70.0</v>
      </c>
      <c r="AB26" s="70" t="s">
        <v>26</v>
      </c>
      <c r="AC26" s="70">
        <v>40.0</v>
      </c>
      <c r="AD26" s="70">
        <v>431.5369</v>
      </c>
      <c r="AE26" s="75">
        <v>42919.0</v>
      </c>
      <c r="AF26" s="70">
        <v>2.6059</v>
      </c>
      <c r="AG26" s="70" t="s">
        <v>77</v>
      </c>
      <c r="AH26" s="76"/>
      <c r="AI26" s="74"/>
      <c r="AJ26" s="70">
        <v>14.0</v>
      </c>
      <c r="AK26" s="70"/>
      <c r="AL26" s="71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</row>
    <row r="27" ht="15.75" customHeight="1">
      <c r="A27" s="55"/>
      <c r="B27" s="70" t="s">
        <v>35</v>
      </c>
      <c r="C27" s="70" t="s">
        <v>77</v>
      </c>
      <c r="D27" s="70" t="s">
        <v>79</v>
      </c>
      <c r="E27" s="70">
        <v>-70.55</v>
      </c>
      <c r="F27" s="70">
        <v>0.0</v>
      </c>
      <c r="G27" s="70">
        <v>0.0</v>
      </c>
      <c r="H27" s="70" t="s">
        <v>76</v>
      </c>
      <c r="I27" s="70">
        <v>0.0</v>
      </c>
      <c r="J27" s="70">
        <v>0.0</v>
      </c>
      <c r="K27" s="70" t="s">
        <v>29</v>
      </c>
      <c r="L27" s="74"/>
      <c r="M27" s="72"/>
      <c r="N27" s="70" t="s">
        <v>39</v>
      </c>
      <c r="O27" s="70">
        <v>1.7</v>
      </c>
      <c r="P27" s="71"/>
      <c r="Q27" s="72"/>
      <c r="R27" s="70">
        <v>0.0</v>
      </c>
      <c r="S27" s="70">
        <v>0.0</v>
      </c>
      <c r="T27" s="70">
        <v>0.0</v>
      </c>
      <c r="U27" s="70">
        <v>0.0</v>
      </c>
      <c r="V27" s="70">
        <v>100.0</v>
      </c>
      <c r="W27" s="70">
        <v>0.0</v>
      </c>
      <c r="X27" s="70" t="s">
        <v>29</v>
      </c>
      <c r="Y27" s="85"/>
      <c r="Z27" s="70">
        <v>0.0</v>
      </c>
      <c r="AA27" s="70">
        <v>0.0</v>
      </c>
      <c r="AB27" s="70" t="s">
        <v>26</v>
      </c>
      <c r="AC27" s="70">
        <v>0.0</v>
      </c>
      <c r="AD27" s="70">
        <v>0.0</v>
      </c>
      <c r="AE27" s="75">
        <v>42919.0</v>
      </c>
      <c r="AF27" s="70">
        <v>0.0</v>
      </c>
      <c r="AG27" s="70" t="s">
        <v>77</v>
      </c>
      <c r="AH27" s="76"/>
      <c r="AI27" s="74"/>
      <c r="AJ27" s="70">
        <v>14.0</v>
      </c>
      <c r="AK27" s="70"/>
      <c r="AL27" s="71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</row>
    <row r="28" ht="15.75" customHeight="1">
      <c r="A28" s="55"/>
      <c r="B28" s="70" t="s">
        <v>35</v>
      </c>
      <c r="C28" s="70" t="s">
        <v>77</v>
      </c>
      <c r="D28" s="70" t="s">
        <v>80</v>
      </c>
      <c r="E28" s="70">
        <v>-432.72</v>
      </c>
      <c r="F28" s="70">
        <v>5.544</v>
      </c>
      <c r="G28" s="70">
        <v>54.0</v>
      </c>
      <c r="H28" s="70" t="s">
        <v>76</v>
      </c>
      <c r="I28" s="70">
        <v>30.0</v>
      </c>
      <c r="J28" s="70">
        <v>50.0</v>
      </c>
      <c r="K28" s="70" t="s">
        <v>31</v>
      </c>
      <c r="L28" s="74"/>
      <c r="M28" s="72"/>
      <c r="N28" s="70" t="s">
        <v>81</v>
      </c>
      <c r="O28" s="70">
        <v>1.69</v>
      </c>
      <c r="P28" s="71"/>
      <c r="Q28" s="72"/>
      <c r="R28" s="70">
        <v>1.512</v>
      </c>
      <c r="S28" s="70">
        <v>0.0</v>
      </c>
      <c r="T28" s="70">
        <v>62.0</v>
      </c>
      <c r="U28" s="70">
        <v>35.0</v>
      </c>
      <c r="V28" s="70">
        <v>100.0</v>
      </c>
      <c r="W28" s="70">
        <v>80.0</v>
      </c>
      <c r="X28" s="70" t="s">
        <v>31</v>
      </c>
      <c r="Y28" s="85"/>
      <c r="Z28" s="70">
        <v>1.764</v>
      </c>
      <c r="AA28" s="70">
        <v>70.0</v>
      </c>
      <c r="AB28" s="70" t="s">
        <v>30</v>
      </c>
      <c r="AC28" s="70">
        <v>40.0</v>
      </c>
      <c r="AD28" s="70">
        <v>432.718</v>
      </c>
      <c r="AE28" s="75">
        <v>42919.0</v>
      </c>
      <c r="AF28" s="70">
        <v>2.898</v>
      </c>
      <c r="AG28" s="70" t="s">
        <v>77</v>
      </c>
      <c r="AH28" s="76"/>
      <c r="AI28" s="74"/>
      <c r="AJ28" s="70">
        <v>7.0</v>
      </c>
      <c r="AK28" s="70"/>
      <c r="AL28" s="71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</row>
    <row r="29" ht="15.75" customHeight="1">
      <c r="A29" s="55"/>
      <c r="B29" s="70" t="s">
        <v>35</v>
      </c>
      <c r="C29" s="70" t="s">
        <v>77</v>
      </c>
      <c r="D29" s="70" t="s">
        <v>82</v>
      </c>
      <c r="E29" s="70">
        <v>569.7</v>
      </c>
      <c r="F29" s="70">
        <v>4.4</v>
      </c>
      <c r="G29" s="70">
        <v>54.0</v>
      </c>
      <c r="H29" s="70" t="s">
        <v>76</v>
      </c>
      <c r="I29" s="70">
        <v>30.0</v>
      </c>
      <c r="J29" s="70">
        <v>50.0</v>
      </c>
      <c r="K29" s="70" t="s">
        <v>25</v>
      </c>
      <c r="L29" s="70"/>
      <c r="M29" s="72"/>
      <c r="N29" s="70" t="s">
        <v>39</v>
      </c>
      <c r="O29" s="70">
        <v>1.5</v>
      </c>
      <c r="P29" s="71"/>
      <c r="Q29" s="72"/>
      <c r="R29" s="70">
        <v>1.2</v>
      </c>
      <c r="S29" s="70">
        <v>0.0</v>
      </c>
      <c r="T29" s="70">
        <v>62.0</v>
      </c>
      <c r="U29" s="70">
        <v>35.0</v>
      </c>
      <c r="V29" s="70">
        <v>100.0</v>
      </c>
      <c r="W29" s="70">
        <v>80.0</v>
      </c>
      <c r="X29" s="70" t="s">
        <v>25</v>
      </c>
      <c r="Y29" s="85"/>
      <c r="Z29" s="70">
        <v>1.4</v>
      </c>
      <c r="AA29" s="70">
        <v>70.0</v>
      </c>
      <c r="AB29" s="70" t="s">
        <v>18</v>
      </c>
      <c r="AC29" s="70">
        <v>40.0</v>
      </c>
      <c r="AD29" s="70">
        <v>430.3</v>
      </c>
      <c r="AE29" s="75">
        <v>42919.0</v>
      </c>
      <c r="AF29" s="70">
        <v>2.3</v>
      </c>
      <c r="AG29" s="70" t="s">
        <v>77</v>
      </c>
      <c r="AH29" s="76"/>
      <c r="AI29" s="74"/>
      <c r="AJ29" s="70">
        <v>4.0</v>
      </c>
      <c r="AK29" s="70"/>
      <c r="AL29" s="71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</row>
    <row r="30" ht="15.75" customHeight="1">
      <c r="A30" s="55"/>
      <c r="B30" s="70" t="s">
        <v>35</v>
      </c>
      <c r="C30" s="70" t="s">
        <v>154</v>
      </c>
      <c r="D30" s="70" t="s">
        <v>164</v>
      </c>
      <c r="E30" s="70">
        <v>-677.2</v>
      </c>
      <c r="F30" s="70">
        <v>0.0</v>
      </c>
      <c r="G30" s="70">
        <v>0.0</v>
      </c>
      <c r="H30" s="70" t="s">
        <v>76</v>
      </c>
      <c r="I30" s="70">
        <v>0.0</v>
      </c>
      <c r="J30" s="70">
        <v>0.0</v>
      </c>
      <c r="K30" s="70" t="s">
        <v>25</v>
      </c>
      <c r="L30" s="70"/>
      <c r="M30" s="72"/>
      <c r="N30" s="70" t="s">
        <v>39</v>
      </c>
      <c r="O30" s="70">
        <v>1.5</v>
      </c>
      <c r="P30" s="71"/>
      <c r="Q30" s="72"/>
      <c r="R30" s="70">
        <v>0.0</v>
      </c>
      <c r="S30" s="70">
        <v>0.0</v>
      </c>
      <c r="T30" s="70">
        <v>0.0</v>
      </c>
      <c r="U30" s="70">
        <v>0.0</v>
      </c>
      <c r="V30" s="70">
        <v>0.0</v>
      </c>
      <c r="W30" s="70">
        <v>0.0</v>
      </c>
      <c r="X30" s="71"/>
      <c r="Y30" s="85"/>
      <c r="Z30" s="70">
        <v>0.0</v>
      </c>
      <c r="AA30" s="70">
        <v>0.0</v>
      </c>
      <c r="AB30" s="70" t="s">
        <v>18</v>
      </c>
      <c r="AC30" s="70">
        <v>0.0</v>
      </c>
      <c r="AD30" s="70">
        <v>0.0</v>
      </c>
      <c r="AE30" s="75">
        <v>42920.0</v>
      </c>
      <c r="AF30" s="70">
        <v>0.0</v>
      </c>
      <c r="AG30" s="70" t="s">
        <v>154</v>
      </c>
      <c r="AH30" s="70"/>
      <c r="AI30" s="74"/>
      <c r="AJ30" s="70">
        <v>0.0</v>
      </c>
      <c r="AK30" s="70"/>
      <c r="AL30" s="71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</row>
    <row r="31" ht="15.75" customHeight="1">
      <c r="A31" s="55"/>
      <c r="B31" s="70" t="s">
        <v>35</v>
      </c>
      <c r="C31" s="70" t="s">
        <v>154</v>
      </c>
      <c r="D31" s="70" t="s">
        <v>155</v>
      </c>
      <c r="E31" s="70">
        <v>4430.3</v>
      </c>
      <c r="F31" s="70">
        <v>0.0</v>
      </c>
      <c r="G31" s="70">
        <v>0.0</v>
      </c>
      <c r="H31" s="70" t="s">
        <v>76</v>
      </c>
      <c r="I31" s="70">
        <v>0.0</v>
      </c>
      <c r="J31" s="70">
        <v>0.0</v>
      </c>
      <c r="K31" s="70" t="s">
        <v>25</v>
      </c>
      <c r="L31" s="70"/>
      <c r="M31" s="72"/>
      <c r="N31" s="70" t="s">
        <v>39</v>
      </c>
      <c r="O31" s="70">
        <v>1.4</v>
      </c>
      <c r="P31" s="71"/>
      <c r="Q31" s="72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71"/>
      <c r="Y31" s="85"/>
      <c r="Z31" s="70">
        <v>0.0</v>
      </c>
      <c r="AA31" s="70">
        <v>0.0</v>
      </c>
      <c r="AB31" s="70" t="s">
        <v>18</v>
      </c>
      <c r="AC31" s="70">
        <v>0.0</v>
      </c>
      <c r="AD31" s="70">
        <v>0.0</v>
      </c>
      <c r="AE31" s="75">
        <v>42920.0</v>
      </c>
      <c r="AF31" s="70">
        <v>0.0</v>
      </c>
      <c r="AG31" s="70" t="s">
        <v>154</v>
      </c>
      <c r="AH31" s="70"/>
      <c r="AI31" s="74"/>
      <c r="AJ31" s="70">
        <v>0.0</v>
      </c>
      <c r="AK31" s="70"/>
      <c r="AL31" s="71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</row>
    <row r="32" ht="15.75" customHeight="1">
      <c r="A32" s="55"/>
      <c r="B32" s="70" t="s">
        <v>35</v>
      </c>
      <c r="C32" s="70" t="s">
        <v>154</v>
      </c>
      <c r="D32" s="70" t="s">
        <v>155</v>
      </c>
      <c r="E32" s="70">
        <v>-55.28</v>
      </c>
      <c r="F32" s="70">
        <v>0.0</v>
      </c>
      <c r="G32" s="70">
        <v>0.0</v>
      </c>
      <c r="H32" s="70" t="s">
        <v>76</v>
      </c>
      <c r="I32" s="70">
        <v>0.0</v>
      </c>
      <c r="J32" s="70">
        <v>0.0</v>
      </c>
      <c r="K32" s="70" t="s">
        <v>40</v>
      </c>
      <c r="L32" s="70"/>
      <c r="M32" s="72"/>
      <c r="N32" s="70" t="s">
        <v>39</v>
      </c>
      <c r="O32" s="70">
        <v>1.0</v>
      </c>
      <c r="P32" s="71"/>
      <c r="Q32" s="72"/>
      <c r="R32" s="70">
        <v>0.0</v>
      </c>
      <c r="S32" s="70">
        <v>0.0</v>
      </c>
      <c r="T32" s="70">
        <v>0.0</v>
      </c>
      <c r="U32" s="70">
        <v>0.0</v>
      </c>
      <c r="V32" s="70">
        <v>0.0</v>
      </c>
      <c r="W32" s="70">
        <v>0.0</v>
      </c>
      <c r="X32" s="71"/>
      <c r="Y32" s="85"/>
      <c r="Z32" s="70">
        <v>0.0</v>
      </c>
      <c r="AA32" s="70">
        <v>0.0</v>
      </c>
      <c r="AB32" s="70" t="s">
        <v>25</v>
      </c>
      <c r="AC32" s="70">
        <v>0.0</v>
      </c>
      <c r="AD32" s="70">
        <v>0.0</v>
      </c>
      <c r="AE32" s="75">
        <v>42920.0</v>
      </c>
      <c r="AF32" s="70">
        <v>0.0</v>
      </c>
      <c r="AG32" s="70" t="s">
        <v>154</v>
      </c>
      <c r="AH32" s="70"/>
      <c r="AI32" s="74"/>
      <c r="AJ32" s="70">
        <v>0.0</v>
      </c>
      <c r="AK32" s="70"/>
      <c r="AL32" s="71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</row>
    <row r="33" ht="15.75" customHeight="1">
      <c r="A33" s="55"/>
      <c r="B33" s="70" t="s">
        <v>35</v>
      </c>
      <c r="C33" s="70" t="s">
        <v>154</v>
      </c>
      <c r="D33" s="70" t="s">
        <v>158</v>
      </c>
      <c r="E33" s="70">
        <v>569.7</v>
      </c>
      <c r="F33" s="70">
        <v>0.0</v>
      </c>
      <c r="G33" s="70">
        <v>0.0</v>
      </c>
      <c r="H33" s="70" t="s">
        <v>76</v>
      </c>
      <c r="I33" s="70">
        <v>0.0</v>
      </c>
      <c r="J33" s="70">
        <v>0.0</v>
      </c>
      <c r="K33" s="70" t="s">
        <v>25</v>
      </c>
      <c r="L33" s="70"/>
      <c r="M33" s="72"/>
      <c r="N33" s="70" t="s">
        <v>39</v>
      </c>
      <c r="O33" s="70">
        <v>1.41</v>
      </c>
      <c r="P33" s="71"/>
      <c r="Q33" s="72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71"/>
      <c r="Y33" s="85"/>
      <c r="Z33" s="70">
        <v>0.0</v>
      </c>
      <c r="AA33" s="70">
        <v>0.0</v>
      </c>
      <c r="AB33" s="70" t="s">
        <v>25</v>
      </c>
      <c r="AC33" s="70">
        <v>0.0</v>
      </c>
      <c r="AD33" s="70">
        <v>0.0</v>
      </c>
      <c r="AE33" s="75">
        <v>42920.0</v>
      </c>
      <c r="AF33" s="70">
        <v>0.0</v>
      </c>
      <c r="AG33" s="70" t="s">
        <v>154</v>
      </c>
      <c r="AH33" s="70"/>
      <c r="AI33" s="74"/>
      <c r="AJ33" s="70">
        <v>0.0</v>
      </c>
      <c r="AK33" s="70"/>
      <c r="AL33" s="71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</row>
    <row r="34" ht="15.75" customHeight="1">
      <c r="A34" s="55"/>
      <c r="B34" s="70" t="s">
        <v>35</v>
      </c>
      <c r="C34" s="70" t="s">
        <v>154</v>
      </c>
      <c r="D34" s="70" t="s">
        <v>158</v>
      </c>
      <c r="E34" s="70">
        <v>-569.7</v>
      </c>
      <c r="F34" s="70">
        <v>0.0</v>
      </c>
      <c r="G34" s="70">
        <v>0.0</v>
      </c>
      <c r="H34" s="70" t="s">
        <v>76</v>
      </c>
      <c r="I34" s="70">
        <v>0.0</v>
      </c>
      <c r="J34" s="70">
        <v>0.0</v>
      </c>
      <c r="K34" s="70" t="s">
        <v>25</v>
      </c>
      <c r="L34" s="70"/>
      <c r="M34" s="72"/>
      <c r="N34" s="70" t="s">
        <v>39</v>
      </c>
      <c r="O34" s="70">
        <v>1.4</v>
      </c>
      <c r="P34" s="71"/>
      <c r="Q34" s="72"/>
      <c r="R34" s="70">
        <v>0.0</v>
      </c>
      <c r="S34" s="70">
        <v>0.0</v>
      </c>
      <c r="T34" s="70">
        <v>0.0</v>
      </c>
      <c r="U34" s="70">
        <v>0.0</v>
      </c>
      <c r="V34" s="70">
        <v>0.0</v>
      </c>
      <c r="W34" s="70">
        <v>0.0</v>
      </c>
      <c r="X34" s="71"/>
      <c r="Y34" s="85"/>
      <c r="Z34" s="70">
        <v>0.0</v>
      </c>
      <c r="AA34" s="70">
        <v>0.0</v>
      </c>
      <c r="AB34" s="70" t="s">
        <v>25</v>
      </c>
      <c r="AC34" s="70">
        <v>0.0</v>
      </c>
      <c r="AD34" s="70">
        <v>0.0</v>
      </c>
      <c r="AE34" s="75">
        <v>42920.0</v>
      </c>
      <c r="AF34" s="70">
        <v>0.0</v>
      </c>
      <c r="AG34" s="70" t="s">
        <v>154</v>
      </c>
      <c r="AH34" s="70"/>
      <c r="AI34" s="74"/>
      <c r="AJ34" s="70">
        <v>0.0</v>
      </c>
      <c r="AK34" s="70"/>
      <c r="AL34" s="71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</row>
    <row r="35" ht="15.75" customHeight="1">
      <c r="A35" s="55"/>
      <c r="B35" s="70" t="s">
        <v>35</v>
      </c>
      <c r="C35" s="70" t="s">
        <v>154</v>
      </c>
      <c r="D35" s="70" t="s">
        <v>158</v>
      </c>
      <c r="E35" s="70">
        <v>-20000.0</v>
      </c>
      <c r="F35" s="70">
        <v>0.0</v>
      </c>
      <c r="G35" s="70">
        <v>0.0</v>
      </c>
      <c r="H35" s="70" t="s">
        <v>76</v>
      </c>
      <c r="I35" s="70">
        <v>0.0</v>
      </c>
      <c r="J35" s="70">
        <v>0.0</v>
      </c>
      <c r="K35" s="70" t="s">
        <v>25</v>
      </c>
      <c r="L35" s="70"/>
      <c r="M35" s="72"/>
      <c r="N35" s="70" t="s">
        <v>39</v>
      </c>
      <c r="O35" s="70">
        <v>1.4</v>
      </c>
      <c r="P35" s="71"/>
      <c r="Q35" s="72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1"/>
      <c r="Y35" s="85"/>
      <c r="Z35" s="70">
        <v>0.0</v>
      </c>
      <c r="AA35" s="70">
        <v>0.0</v>
      </c>
      <c r="AB35" s="74"/>
      <c r="AC35" s="70">
        <v>0.0</v>
      </c>
      <c r="AD35" s="70">
        <v>0.0</v>
      </c>
      <c r="AE35" s="75">
        <v>42920.0</v>
      </c>
      <c r="AF35" s="70">
        <v>0.0</v>
      </c>
      <c r="AG35" s="70" t="s">
        <v>154</v>
      </c>
      <c r="AH35" s="70"/>
      <c r="AI35" s="74"/>
      <c r="AJ35" s="70">
        <v>0.0</v>
      </c>
      <c r="AK35" s="70"/>
      <c r="AL35" s="71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</row>
    <row r="36" ht="15.75" customHeight="1">
      <c r="A36" s="55"/>
      <c r="B36" s="70" t="s">
        <v>35</v>
      </c>
      <c r="C36" s="70" t="s">
        <v>154</v>
      </c>
      <c r="D36" s="70" t="s">
        <v>156</v>
      </c>
      <c r="E36" s="70">
        <v>-712.18</v>
      </c>
      <c r="F36" s="70">
        <v>0.0</v>
      </c>
      <c r="G36" s="70">
        <v>0.0</v>
      </c>
      <c r="H36" s="70" t="s">
        <v>76</v>
      </c>
      <c r="I36" s="70">
        <v>0.0</v>
      </c>
      <c r="J36" s="70">
        <v>0.0</v>
      </c>
      <c r="K36" s="70" t="s">
        <v>40</v>
      </c>
      <c r="L36" s="70" t="s">
        <v>157</v>
      </c>
      <c r="M36" s="72"/>
      <c r="N36" s="70" t="s">
        <v>39</v>
      </c>
      <c r="O36" s="70">
        <v>1.0</v>
      </c>
      <c r="P36" s="71"/>
      <c r="Q36" s="72"/>
      <c r="R36" s="70">
        <v>0.0</v>
      </c>
      <c r="S36" s="70">
        <v>0.0</v>
      </c>
      <c r="T36" s="70">
        <v>0.0</v>
      </c>
      <c r="U36" s="70">
        <v>0.0</v>
      </c>
      <c r="V36" s="70">
        <v>0.0</v>
      </c>
      <c r="W36" s="70">
        <v>0.0</v>
      </c>
      <c r="X36" s="71"/>
      <c r="Y36" s="85"/>
      <c r="Z36" s="70">
        <v>0.0</v>
      </c>
      <c r="AA36" s="70">
        <v>0.0</v>
      </c>
      <c r="AB36" s="70" t="s">
        <v>29</v>
      </c>
      <c r="AC36" s="70">
        <v>0.0</v>
      </c>
      <c r="AD36" s="70">
        <v>0.0</v>
      </c>
      <c r="AE36" s="75">
        <v>42920.0</v>
      </c>
      <c r="AF36" s="70">
        <v>0.0</v>
      </c>
      <c r="AG36" s="70" t="s">
        <v>154</v>
      </c>
      <c r="AH36" s="70"/>
      <c r="AI36" s="74"/>
      <c r="AJ36" s="70">
        <v>0.0</v>
      </c>
      <c r="AK36" s="70"/>
      <c r="AL36" s="7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</row>
    <row r="37" ht="15.75" customHeight="1">
      <c r="A37" s="55"/>
      <c r="B37" s="70" t="s">
        <v>35</v>
      </c>
      <c r="C37" s="70" t="s">
        <v>154</v>
      </c>
      <c r="D37" s="70" t="s">
        <v>156</v>
      </c>
      <c r="E37" s="70">
        <v>3080.23</v>
      </c>
      <c r="F37" s="70">
        <v>0.0</v>
      </c>
      <c r="G37" s="70">
        <v>0.0</v>
      </c>
      <c r="H37" s="70" t="s">
        <v>76</v>
      </c>
      <c r="I37" s="70">
        <v>0.0</v>
      </c>
      <c r="J37" s="70">
        <v>0.0</v>
      </c>
      <c r="K37" s="70" t="s">
        <v>29</v>
      </c>
      <c r="L37" s="70" t="s">
        <v>157</v>
      </c>
      <c r="M37" s="72"/>
      <c r="N37" s="70" t="s">
        <v>39</v>
      </c>
      <c r="O37" s="70">
        <v>0.79</v>
      </c>
      <c r="P37" s="71"/>
      <c r="Q37" s="72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71"/>
      <c r="Y37" s="85"/>
      <c r="Z37" s="70">
        <v>0.0</v>
      </c>
      <c r="AA37" s="70">
        <v>0.0</v>
      </c>
      <c r="AB37" s="70" t="s">
        <v>26</v>
      </c>
      <c r="AC37" s="70">
        <v>0.0</v>
      </c>
      <c r="AD37" s="70">
        <v>0.0</v>
      </c>
      <c r="AE37" s="75">
        <v>42920.0</v>
      </c>
      <c r="AF37" s="70">
        <v>0.0</v>
      </c>
      <c r="AG37" s="70" t="s">
        <v>154</v>
      </c>
      <c r="AH37" s="70"/>
      <c r="AI37" s="74"/>
      <c r="AJ37" s="70">
        <v>0.0</v>
      </c>
      <c r="AK37" s="70"/>
      <c r="AL37" s="71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</row>
    <row r="38" ht="15.75" customHeight="1">
      <c r="A38" s="55"/>
      <c r="B38" s="70" t="s">
        <v>35</v>
      </c>
      <c r="C38" s="70" t="s">
        <v>154</v>
      </c>
      <c r="D38" s="70" t="s">
        <v>155</v>
      </c>
      <c r="E38" s="70">
        <v>-1965.15</v>
      </c>
      <c r="F38" s="70">
        <v>0.0</v>
      </c>
      <c r="G38" s="70">
        <v>0.0</v>
      </c>
      <c r="H38" s="70" t="s">
        <v>76</v>
      </c>
      <c r="I38" s="70">
        <v>0.0</v>
      </c>
      <c r="J38" s="70">
        <v>0.0</v>
      </c>
      <c r="K38" s="70" t="s">
        <v>25</v>
      </c>
      <c r="L38" s="70"/>
      <c r="M38" s="72"/>
      <c r="N38" s="70" t="s">
        <v>39</v>
      </c>
      <c r="O38" s="70">
        <v>1.41</v>
      </c>
      <c r="P38" s="71"/>
      <c r="Q38" s="72"/>
      <c r="R38" s="70">
        <v>0.0</v>
      </c>
      <c r="S38" s="70">
        <v>0.0</v>
      </c>
      <c r="T38" s="70">
        <v>0.0</v>
      </c>
      <c r="U38" s="70">
        <v>0.0</v>
      </c>
      <c r="V38" s="70">
        <v>0.0</v>
      </c>
      <c r="W38" s="70">
        <v>0.0</v>
      </c>
      <c r="X38" s="71"/>
      <c r="Y38" s="85"/>
      <c r="Z38" s="70">
        <v>0.0</v>
      </c>
      <c r="AA38" s="70">
        <v>0.0</v>
      </c>
      <c r="AB38" s="70" t="s">
        <v>18</v>
      </c>
      <c r="AC38" s="70">
        <v>0.0</v>
      </c>
      <c r="AD38" s="70">
        <v>0.0</v>
      </c>
      <c r="AE38" s="75">
        <v>42920.0</v>
      </c>
      <c r="AF38" s="70">
        <v>0.0</v>
      </c>
      <c r="AG38" s="70" t="s">
        <v>154</v>
      </c>
      <c r="AH38" s="70"/>
      <c r="AI38" s="74"/>
      <c r="AJ38" s="70">
        <v>0.0</v>
      </c>
      <c r="AK38" s="70"/>
      <c r="AL38" s="71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</row>
    <row r="39" ht="15.75" customHeight="1">
      <c r="A39" s="55"/>
      <c r="B39" s="70" t="s">
        <v>35</v>
      </c>
      <c r="C39" s="70" t="s">
        <v>154</v>
      </c>
      <c r="D39" s="70" t="s">
        <v>155</v>
      </c>
      <c r="E39" s="70">
        <v>24.79</v>
      </c>
      <c r="F39" s="70">
        <v>0.0</v>
      </c>
      <c r="G39" s="70">
        <v>0.0</v>
      </c>
      <c r="H39" s="70" t="s">
        <v>76</v>
      </c>
      <c r="I39" s="70">
        <v>0.0</v>
      </c>
      <c r="J39" s="70">
        <v>0.0</v>
      </c>
      <c r="K39" s="70" t="s">
        <v>40</v>
      </c>
      <c r="L39" s="70"/>
      <c r="M39" s="72"/>
      <c r="N39" s="70" t="s">
        <v>39</v>
      </c>
      <c r="O39" s="70">
        <v>1.0</v>
      </c>
      <c r="P39" s="71"/>
      <c r="Q39" s="72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1"/>
      <c r="Y39" s="85"/>
      <c r="Z39" s="70">
        <v>0.0</v>
      </c>
      <c r="AA39" s="70">
        <v>0.0</v>
      </c>
      <c r="AB39" s="70" t="s">
        <v>25</v>
      </c>
      <c r="AC39" s="70">
        <v>0.0</v>
      </c>
      <c r="AD39" s="70">
        <v>0.0</v>
      </c>
      <c r="AE39" s="75">
        <v>42920.0</v>
      </c>
      <c r="AF39" s="70">
        <v>0.0</v>
      </c>
      <c r="AG39" s="70" t="s">
        <v>154</v>
      </c>
      <c r="AH39" s="70"/>
      <c r="AI39" s="74"/>
      <c r="AJ39" s="70">
        <v>0.0</v>
      </c>
      <c r="AK39" s="70"/>
      <c r="AL39" s="71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</row>
    <row r="40" ht="15.75" customHeight="1">
      <c r="A40" s="55"/>
      <c r="B40" s="70" t="s">
        <v>35</v>
      </c>
      <c r="C40" s="70" t="s">
        <v>154</v>
      </c>
      <c r="D40" s="70" t="s">
        <v>156</v>
      </c>
      <c r="E40" s="70">
        <v>1427.18</v>
      </c>
      <c r="F40" s="70">
        <v>0.0</v>
      </c>
      <c r="G40" s="70">
        <v>0.0</v>
      </c>
      <c r="H40" s="70" t="s">
        <v>76</v>
      </c>
      <c r="I40" s="70">
        <v>0.0</v>
      </c>
      <c r="J40" s="70">
        <v>0.0</v>
      </c>
      <c r="K40" s="70" t="s">
        <v>40</v>
      </c>
      <c r="L40" s="70" t="s">
        <v>165</v>
      </c>
      <c r="M40" s="72"/>
      <c r="N40" s="70" t="s">
        <v>39</v>
      </c>
      <c r="O40" s="70">
        <v>1.0</v>
      </c>
      <c r="P40" s="71"/>
      <c r="Q40" s="72"/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1"/>
      <c r="Y40" s="85"/>
      <c r="Z40" s="70">
        <v>0.0</v>
      </c>
      <c r="AA40" s="70">
        <v>0.0</v>
      </c>
      <c r="AB40" s="70" t="s">
        <v>29</v>
      </c>
      <c r="AC40" s="70">
        <v>0.0</v>
      </c>
      <c r="AD40" s="70">
        <v>0.0</v>
      </c>
      <c r="AE40" s="75">
        <v>42920.0</v>
      </c>
      <c r="AF40" s="70">
        <v>0.0</v>
      </c>
      <c r="AG40" s="70" t="s">
        <v>154</v>
      </c>
      <c r="AH40" s="70"/>
      <c r="AI40" s="74"/>
      <c r="AJ40" s="70">
        <v>0.0</v>
      </c>
      <c r="AK40" s="70"/>
      <c r="AL40" s="71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</row>
    <row r="41" ht="15.75" customHeight="1">
      <c r="A41" s="55"/>
      <c r="B41" s="70" t="s">
        <v>35</v>
      </c>
      <c r="C41" s="70" t="s">
        <v>154</v>
      </c>
      <c r="D41" s="70" t="s">
        <v>156</v>
      </c>
      <c r="E41" s="70">
        <v>-5130.46</v>
      </c>
      <c r="F41" s="70">
        <v>0.0</v>
      </c>
      <c r="G41" s="70">
        <v>0.0</v>
      </c>
      <c r="H41" s="70" t="s">
        <v>76</v>
      </c>
      <c r="I41" s="70">
        <v>0.0</v>
      </c>
      <c r="J41" s="70">
        <v>0.0</v>
      </c>
      <c r="K41" s="70" t="s">
        <v>29</v>
      </c>
      <c r="L41" s="70" t="s">
        <v>165</v>
      </c>
      <c r="M41" s="72"/>
      <c r="N41" s="70" t="s">
        <v>39</v>
      </c>
      <c r="O41" s="70">
        <v>0.79</v>
      </c>
      <c r="P41" s="71"/>
      <c r="Q41" s="72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71"/>
      <c r="Y41" s="85"/>
      <c r="Z41" s="70">
        <v>0.0</v>
      </c>
      <c r="AA41" s="70">
        <v>0.0</v>
      </c>
      <c r="AB41" s="70" t="s">
        <v>26</v>
      </c>
      <c r="AC41" s="70">
        <v>0.0</v>
      </c>
      <c r="AD41" s="70">
        <v>0.0</v>
      </c>
      <c r="AE41" s="75">
        <v>42920.0</v>
      </c>
      <c r="AF41" s="70">
        <v>0.0</v>
      </c>
      <c r="AG41" s="70" t="s">
        <v>154</v>
      </c>
      <c r="AH41" s="70"/>
      <c r="AI41" s="74"/>
      <c r="AJ41" s="70">
        <v>0.0</v>
      </c>
      <c r="AK41" s="70"/>
      <c r="AL41" s="71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</row>
    <row r="42" ht="15.75" customHeight="1">
      <c r="A42" s="55"/>
      <c r="B42" s="70" t="s">
        <v>35</v>
      </c>
      <c r="C42" s="70" t="s">
        <v>154</v>
      </c>
      <c r="D42" s="70" t="s">
        <v>158</v>
      </c>
      <c r="E42" s="70">
        <v>13544.92</v>
      </c>
      <c r="F42" s="70">
        <v>0.0</v>
      </c>
      <c r="G42" s="70">
        <v>0.0</v>
      </c>
      <c r="H42" s="70" t="s">
        <v>76</v>
      </c>
      <c r="I42" s="70">
        <v>0.0</v>
      </c>
      <c r="J42" s="70">
        <v>0.0</v>
      </c>
      <c r="K42" s="70" t="s">
        <v>29</v>
      </c>
      <c r="L42" s="70"/>
      <c r="M42" s="72"/>
      <c r="N42" s="70" t="s">
        <v>39</v>
      </c>
      <c r="O42" s="70">
        <v>0.79</v>
      </c>
      <c r="P42" s="71"/>
      <c r="Q42" s="72"/>
      <c r="R42" s="70">
        <v>0.0</v>
      </c>
      <c r="S42" s="70">
        <v>0.0</v>
      </c>
      <c r="T42" s="70">
        <v>0.0</v>
      </c>
      <c r="U42" s="70">
        <v>0.0</v>
      </c>
      <c r="V42" s="70">
        <v>0.0</v>
      </c>
      <c r="W42" s="70">
        <v>0.0</v>
      </c>
      <c r="X42" s="71"/>
      <c r="Y42" s="85"/>
      <c r="Z42" s="70">
        <v>0.0</v>
      </c>
      <c r="AA42" s="70">
        <v>0.0</v>
      </c>
      <c r="AB42" s="70" t="s">
        <v>29</v>
      </c>
      <c r="AC42" s="70">
        <v>0.0</v>
      </c>
      <c r="AD42" s="70">
        <v>0.0</v>
      </c>
      <c r="AE42" s="75">
        <v>42920.0</v>
      </c>
      <c r="AF42" s="70">
        <v>0.0</v>
      </c>
      <c r="AG42" s="70" t="s">
        <v>154</v>
      </c>
      <c r="AH42" s="70"/>
      <c r="AI42" s="74"/>
      <c r="AJ42" s="70">
        <v>0.0</v>
      </c>
      <c r="AK42" s="70"/>
      <c r="AL42" s="71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</row>
    <row r="43" ht="15.75" customHeight="1">
      <c r="A43" s="55"/>
      <c r="B43" s="70" t="s">
        <v>35</v>
      </c>
      <c r="C43" s="70" t="s">
        <v>154</v>
      </c>
      <c r="D43" s="70" t="s">
        <v>158</v>
      </c>
      <c r="E43" s="70">
        <v>-13544.92</v>
      </c>
      <c r="F43" s="70">
        <v>0.0</v>
      </c>
      <c r="G43" s="70">
        <v>0.0</v>
      </c>
      <c r="H43" s="70" t="s">
        <v>76</v>
      </c>
      <c r="I43" s="70">
        <v>0.0</v>
      </c>
      <c r="J43" s="70">
        <v>0.0</v>
      </c>
      <c r="K43" s="70" t="s">
        <v>29</v>
      </c>
      <c r="L43" s="70"/>
      <c r="M43" s="72"/>
      <c r="N43" s="70" t="s">
        <v>39</v>
      </c>
      <c r="O43" s="70">
        <v>0.79</v>
      </c>
      <c r="P43" s="71"/>
      <c r="Q43" s="72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71"/>
      <c r="Y43" s="85"/>
      <c r="Z43" s="70">
        <v>0.0</v>
      </c>
      <c r="AA43" s="70">
        <v>0.0</v>
      </c>
      <c r="AB43" s="70" t="s">
        <v>29</v>
      </c>
      <c r="AC43" s="70">
        <v>0.0</v>
      </c>
      <c r="AD43" s="70">
        <v>0.0</v>
      </c>
      <c r="AE43" s="75">
        <v>42920.0</v>
      </c>
      <c r="AF43" s="70">
        <v>0.0</v>
      </c>
      <c r="AG43" s="70" t="s">
        <v>154</v>
      </c>
      <c r="AH43" s="70"/>
      <c r="AI43" s="74"/>
      <c r="AJ43" s="70">
        <v>0.0</v>
      </c>
      <c r="AK43" s="70"/>
      <c r="AL43" s="71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</row>
    <row r="44" ht="15.75" customHeight="1">
      <c r="A44" s="55"/>
      <c r="B44" s="70" t="s">
        <v>35</v>
      </c>
      <c r="C44" s="70" t="s">
        <v>154</v>
      </c>
      <c r="D44" s="70" t="s">
        <v>161</v>
      </c>
      <c r="E44" s="70">
        <v>70.55</v>
      </c>
      <c r="F44" s="70">
        <v>0.0</v>
      </c>
      <c r="G44" s="70">
        <v>0.0</v>
      </c>
      <c r="H44" s="70" t="s">
        <v>76</v>
      </c>
      <c r="I44" s="70">
        <v>0.0</v>
      </c>
      <c r="J44" s="70">
        <v>0.0</v>
      </c>
      <c r="K44" s="70" t="s">
        <v>29</v>
      </c>
      <c r="L44" s="70" t="s">
        <v>166</v>
      </c>
      <c r="M44" s="72"/>
      <c r="N44" s="70" t="s">
        <v>39</v>
      </c>
      <c r="O44" s="70">
        <v>0.79</v>
      </c>
      <c r="P44" s="71"/>
      <c r="Q44" s="72"/>
      <c r="R44" s="70">
        <v>0.0</v>
      </c>
      <c r="S44" s="70">
        <v>0.0</v>
      </c>
      <c r="T44" s="70">
        <v>0.0</v>
      </c>
      <c r="U44" s="70">
        <v>0.0</v>
      </c>
      <c r="V44" s="70">
        <v>0.0</v>
      </c>
      <c r="W44" s="70">
        <v>0.0</v>
      </c>
      <c r="X44" s="71"/>
      <c r="Y44" s="85"/>
      <c r="Z44" s="70">
        <v>0.0</v>
      </c>
      <c r="AA44" s="70">
        <v>0.0</v>
      </c>
      <c r="AB44" s="70" t="s">
        <v>29</v>
      </c>
      <c r="AC44" s="70">
        <v>0.0</v>
      </c>
      <c r="AD44" s="70">
        <v>0.0</v>
      </c>
      <c r="AE44" s="75">
        <v>42920.0</v>
      </c>
      <c r="AF44" s="70">
        <v>0.0</v>
      </c>
      <c r="AG44" s="70" t="s">
        <v>154</v>
      </c>
      <c r="AH44" s="70"/>
      <c r="AI44" s="74"/>
      <c r="AJ44" s="70">
        <v>0.0</v>
      </c>
      <c r="AK44" s="70"/>
      <c r="AL44" s="71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</row>
    <row r="45" ht="15.75" customHeight="1">
      <c r="A45" s="55"/>
      <c r="B45" s="70" t="s">
        <v>35</v>
      </c>
      <c r="C45" s="70" t="s">
        <v>154</v>
      </c>
      <c r="D45" s="70" t="s">
        <v>161</v>
      </c>
      <c r="E45" s="70">
        <v>-70.55</v>
      </c>
      <c r="F45" s="70">
        <v>0.0</v>
      </c>
      <c r="G45" s="70">
        <v>0.0</v>
      </c>
      <c r="H45" s="70" t="s">
        <v>76</v>
      </c>
      <c r="I45" s="70">
        <v>0.0</v>
      </c>
      <c r="J45" s="70">
        <v>0.0</v>
      </c>
      <c r="K45" s="70" t="s">
        <v>29</v>
      </c>
      <c r="L45" s="70" t="s">
        <v>167</v>
      </c>
      <c r="M45" s="72"/>
      <c r="N45" s="70" t="s">
        <v>39</v>
      </c>
      <c r="O45" s="70">
        <v>0.79</v>
      </c>
      <c r="P45" s="71"/>
      <c r="Q45" s="72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71"/>
      <c r="Y45" s="85"/>
      <c r="Z45" s="70">
        <v>0.0</v>
      </c>
      <c r="AA45" s="70">
        <v>0.0</v>
      </c>
      <c r="AB45" s="70" t="s">
        <v>29</v>
      </c>
      <c r="AC45" s="70">
        <v>0.0</v>
      </c>
      <c r="AD45" s="70">
        <v>0.0</v>
      </c>
      <c r="AE45" s="75">
        <v>42920.0</v>
      </c>
      <c r="AF45" s="70">
        <v>0.0</v>
      </c>
      <c r="AG45" s="70" t="s">
        <v>154</v>
      </c>
      <c r="AH45" s="70"/>
      <c r="AI45" s="74"/>
      <c r="AJ45" s="70">
        <v>0.0</v>
      </c>
      <c r="AK45" s="70"/>
      <c r="AL45" s="71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</row>
    <row r="46" ht="15.75" customHeight="1">
      <c r="A46" s="55"/>
      <c r="B46" s="70" t="s">
        <v>35</v>
      </c>
      <c r="C46" s="70" t="s">
        <v>154</v>
      </c>
      <c r="D46" s="70" t="s">
        <v>168</v>
      </c>
      <c r="E46" s="70">
        <v>-373.98</v>
      </c>
      <c r="F46" s="70">
        <v>0.0</v>
      </c>
      <c r="G46" s="70">
        <v>0.0</v>
      </c>
      <c r="H46" s="70" t="s">
        <v>76</v>
      </c>
      <c r="I46" s="70">
        <v>0.0</v>
      </c>
      <c r="J46" s="70">
        <v>0.0</v>
      </c>
      <c r="K46" s="70" t="s">
        <v>29</v>
      </c>
      <c r="L46" s="70" t="s">
        <v>169</v>
      </c>
      <c r="M46" s="72"/>
      <c r="N46" s="70" t="s">
        <v>39</v>
      </c>
      <c r="O46" s="70">
        <v>1.7</v>
      </c>
      <c r="P46" s="71"/>
      <c r="Q46" s="72"/>
      <c r="R46" s="70">
        <v>0.0</v>
      </c>
      <c r="S46" s="70">
        <v>0.0</v>
      </c>
      <c r="T46" s="70">
        <v>0.0</v>
      </c>
      <c r="U46" s="70">
        <v>0.0</v>
      </c>
      <c r="V46" s="70">
        <v>0.0</v>
      </c>
      <c r="W46" s="70">
        <v>0.0</v>
      </c>
      <c r="X46" s="71"/>
      <c r="Y46" s="85"/>
      <c r="Z46" s="70">
        <v>0.0</v>
      </c>
      <c r="AA46" s="70">
        <v>0.0</v>
      </c>
      <c r="AB46" s="70" t="s">
        <v>26</v>
      </c>
      <c r="AC46" s="70">
        <v>0.0</v>
      </c>
      <c r="AD46" s="70">
        <v>0.0</v>
      </c>
      <c r="AE46" s="75">
        <v>42920.0</v>
      </c>
      <c r="AF46" s="70">
        <v>0.0</v>
      </c>
      <c r="AG46" s="70" t="s">
        <v>154</v>
      </c>
      <c r="AH46" s="70"/>
      <c r="AI46" s="74"/>
      <c r="AJ46" s="70">
        <v>0.0</v>
      </c>
      <c r="AK46" s="70"/>
      <c r="AL46" s="71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</row>
    <row r="47" ht="15.75" customHeight="1">
      <c r="A47" s="55"/>
      <c r="B47" s="70" t="s">
        <v>35</v>
      </c>
      <c r="C47" s="70" t="s">
        <v>154</v>
      </c>
      <c r="D47" s="70" t="s">
        <v>158</v>
      </c>
      <c r="E47" s="70">
        <v>20000.0</v>
      </c>
      <c r="F47" s="70">
        <v>0.0</v>
      </c>
      <c r="G47" s="70">
        <v>0.0</v>
      </c>
      <c r="H47" s="70" t="s">
        <v>76</v>
      </c>
      <c r="I47" s="70">
        <v>0.0</v>
      </c>
      <c r="J47" s="70">
        <v>0.0</v>
      </c>
      <c r="K47" s="70" t="s">
        <v>25</v>
      </c>
      <c r="L47" s="70"/>
      <c r="M47" s="72"/>
      <c r="N47" s="70" t="s">
        <v>39</v>
      </c>
      <c r="O47" s="70">
        <v>1.41</v>
      </c>
      <c r="P47" s="71"/>
      <c r="Q47" s="72"/>
      <c r="R47" s="70">
        <v>0.0</v>
      </c>
      <c r="S47" s="70">
        <v>0.0</v>
      </c>
      <c r="T47" s="70">
        <v>0.0</v>
      </c>
      <c r="U47" s="70">
        <v>0.0</v>
      </c>
      <c r="V47" s="70">
        <v>0.0</v>
      </c>
      <c r="W47" s="70">
        <v>0.0</v>
      </c>
      <c r="X47" s="71"/>
      <c r="Y47" s="85"/>
      <c r="Z47" s="70">
        <v>0.0</v>
      </c>
      <c r="AA47" s="70">
        <v>0.0</v>
      </c>
      <c r="AB47" s="74"/>
      <c r="AC47" s="70">
        <v>0.0</v>
      </c>
      <c r="AD47" s="70">
        <v>0.0</v>
      </c>
      <c r="AE47" s="75">
        <v>42920.0</v>
      </c>
      <c r="AF47" s="70">
        <v>0.0</v>
      </c>
      <c r="AG47" s="70" t="s">
        <v>154</v>
      </c>
      <c r="AH47" s="70"/>
      <c r="AI47" s="74"/>
      <c r="AJ47" s="70">
        <v>0.0</v>
      </c>
      <c r="AK47" s="70"/>
      <c r="AL47" s="71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</row>
    <row r="48" ht="15.75" customHeight="1">
      <c r="A48" s="55"/>
      <c r="B48" s="70" t="s">
        <v>35</v>
      </c>
      <c r="C48" s="70" t="s">
        <v>154</v>
      </c>
      <c r="D48" s="70" t="s">
        <v>158</v>
      </c>
      <c r="E48" s="70">
        <v>-432.72</v>
      </c>
      <c r="F48" s="70">
        <v>0.0</v>
      </c>
      <c r="G48" s="70">
        <v>0.0</v>
      </c>
      <c r="H48" s="70" t="s">
        <v>76</v>
      </c>
      <c r="I48" s="70">
        <v>0.0</v>
      </c>
      <c r="J48" s="70">
        <v>0.0</v>
      </c>
      <c r="K48" s="70" t="s">
        <v>31</v>
      </c>
      <c r="L48" s="70"/>
      <c r="M48" s="72"/>
      <c r="N48" s="70" t="s">
        <v>39</v>
      </c>
      <c r="O48" s="70">
        <v>0.8</v>
      </c>
      <c r="P48" s="71"/>
      <c r="Q48" s="72"/>
      <c r="R48" s="70">
        <v>0.0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4"/>
      <c r="Y48" s="85"/>
      <c r="Z48" s="70">
        <v>0.0</v>
      </c>
      <c r="AA48" s="70">
        <v>0.0</v>
      </c>
      <c r="AB48" s="70" t="s">
        <v>31</v>
      </c>
      <c r="AC48" s="70">
        <v>0.0</v>
      </c>
      <c r="AD48" s="70">
        <v>0.0</v>
      </c>
      <c r="AE48" s="75">
        <v>42920.0</v>
      </c>
      <c r="AF48" s="70">
        <v>0.0</v>
      </c>
      <c r="AG48" s="70" t="s">
        <v>154</v>
      </c>
      <c r="AH48" s="70"/>
      <c r="AI48" s="74"/>
      <c r="AJ48" s="70">
        <v>0.0</v>
      </c>
      <c r="AK48" s="70"/>
      <c r="AL48" s="71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</row>
    <row r="49" ht="15.75" customHeight="1">
      <c r="A49" s="55"/>
      <c r="B49" s="70" t="s">
        <v>35</v>
      </c>
      <c r="C49" s="70" t="s">
        <v>154</v>
      </c>
      <c r="D49" s="70" t="s">
        <v>158</v>
      </c>
      <c r="E49" s="70">
        <v>432.72</v>
      </c>
      <c r="F49" s="70">
        <v>0.0</v>
      </c>
      <c r="G49" s="70">
        <v>0.0</v>
      </c>
      <c r="H49" s="70" t="s">
        <v>76</v>
      </c>
      <c r="I49" s="70">
        <v>0.0</v>
      </c>
      <c r="J49" s="70">
        <v>0.0</v>
      </c>
      <c r="K49" s="70" t="s">
        <v>31</v>
      </c>
      <c r="L49" s="70"/>
      <c r="M49" s="72"/>
      <c r="N49" s="70" t="s">
        <v>39</v>
      </c>
      <c r="O49" s="70">
        <v>0.79</v>
      </c>
      <c r="P49" s="71"/>
      <c r="Q49" s="72"/>
      <c r="R49" s="70">
        <v>0.0</v>
      </c>
      <c r="S49" s="70">
        <v>0.0</v>
      </c>
      <c r="T49" s="70">
        <v>0.0</v>
      </c>
      <c r="U49" s="70">
        <v>0.0</v>
      </c>
      <c r="V49" s="70">
        <v>0.0</v>
      </c>
      <c r="W49" s="70">
        <v>0.0</v>
      </c>
      <c r="X49" s="74"/>
      <c r="Y49" s="72"/>
      <c r="Z49" s="70">
        <v>0.0</v>
      </c>
      <c r="AA49" s="70">
        <v>0.0</v>
      </c>
      <c r="AB49" s="70" t="s">
        <v>31</v>
      </c>
      <c r="AC49" s="70">
        <v>0.0</v>
      </c>
      <c r="AD49" s="70">
        <v>0.0</v>
      </c>
      <c r="AE49" s="75">
        <v>42920.0</v>
      </c>
      <c r="AF49" s="70">
        <v>0.0</v>
      </c>
      <c r="AG49" s="70" t="s">
        <v>154</v>
      </c>
      <c r="AH49" s="70"/>
      <c r="AI49" s="74"/>
      <c r="AJ49" s="70">
        <v>0.0</v>
      </c>
      <c r="AK49" s="70"/>
      <c r="AL49" s="71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</row>
    <row r="50" ht="15.75" customHeight="1">
      <c r="A50" s="55"/>
      <c r="B50" s="70" t="s">
        <v>35</v>
      </c>
      <c r="C50" s="70" t="s">
        <v>154</v>
      </c>
      <c r="D50" s="70" t="s">
        <v>158</v>
      </c>
      <c r="E50" s="70">
        <v>25670.0</v>
      </c>
      <c r="F50" s="70">
        <v>0.0</v>
      </c>
      <c r="G50" s="70">
        <v>0.0</v>
      </c>
      <c r="H50" s="70" t="s">
        <v>76</v>
      </c>
      <c r="I50" s="70">
        <v>0.0</v>
      </c>
      <c r="J50" s="70">
        <v>0.0</v>
      </c>
      <c r="K50" s="70" t="s">
        <v>31</v>
      </c>
      <c r="L50" s="70"/>
      <c r="M50" s="72"/>
      <c r="N50" s="70" t="s">
        <v>39</v>
      </c>
      <c r="O50" s="70">
        <v>1.25</v>
      </c>
      <c r="P50" s="71"/>
      <c r="Q50" s="72"/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4"/>
      <c r="Y50" s="85"/>
      <c r="Z50" s="70">
        <v>0.0</v>
      </c>
      <c r="AA50" s="70">
        <v>0.0</v>
      </c>
      <c r="AB50" s="74"/>
      <c r="AC50" s="70">
        <v>0.0</v>
      </c>
      <c r="AD50" s="70">
        <v>0.0</v>
      </c>
      <c r="AE50" s="75">
        <v>42920.0</v>
      </c>
      <c r="AF50" s="70">
        <v>0.0</v>
      </c>
      <c r="AG50" s="70" t="s">
        <v>154</v>
      </c>
      <c r="AH50" s="70"/>
      <c r="AI50" s="74"/>
      <c r="AJ50" s="70">
        <v>0.0</v>
      </c>
      <c r="AK50" s="70"/>
      <c r="AL50" s="71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</row>
    <row r="51" ht="15.75" customHeight="1">
      <c r="A51" s="55"/>
      <c r="B51" s="70" t="s">
        <v>35</v>
      </c>
      <c r="C51" s="70" t="s">
        <v>154</v>
      </c>
      <c r="D51" s="70" t="s">
        <v>158</v>
      </c>
      <c r="E51" s="70">
        <v>3937.5</v>
      </c>
      <c r="F51" s="70">
        <v>0.0</v>
      </c>
      <c r="G51" s="70">
        <v>0.0</v>
      </c>
      <c r="H51" s="70" t="s">
        <v>76</v>
      </c>
      <c r="I51" s="70">
        <v>0.0</v>
      </c>
      <c r="J51" s="70">
        <v>0.0</v>
      </c>
      <c r="K51" s="70" t="s">
        <v>31</v>
      </c>
      <c r="L51" s="70"/>
      <c r="M51" s="72"/>
      <c r="N51" s="70" t="s">
        <v>81</v>
      </c>
      <c r="O51" s="70">
        <v>1.69</v>
      </c>
      <c r="P51" s="71"/>
      <c r="Q51" s="72"/>
      <c r="R51" s="70">
        <v>0.0</v>
      </c>
      <c r="S51" s="70">
        <v>0.0</v>
      </c>
      <c r="T51" s="70">
        <v>0.0</v>
      </c>
      <c r="U51" s="70">
        <v>0.0</v>
      </c>
      <c r="V51" s="70">
        <v>0.0</v>
      </c>
      <c r="W51" s="70">
        <v>0.0</v>
      </c>
      <c r="X51" s="74"/>
      <c r="Y51" s="85"/>
      <c r="Z51" s="70">
        <v>0.0</v>
      </c>
      <c r="AA51" s="70">
        <v>0.0</v>
      </c>
      <c r="AB51" s="70" t="s">
        <v>30</v>
      </c>
      <c r="AC51" s="70">
        <v>0.0</v>
      </c>
      <c r="AD51" s="70">
        <v>0.0</v>
      </c>
      <c r="AE51" s="75">
        <v>42920.0</v>
      </c>
      <c r="AF51" s="70">
        <v>0.0</v>
      </c>
      <c r="AG51" s="70" t="s">
        <v>154</v>
      </c>
      <c r="AH51" s="70"/>
      <c r="AI51" s="74"/>
      <c r="AJ51" s="70">
        <v>0.0</v>
      </c>
      <c r="AK51" s="70"/>
      <c r="AL51" s="71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</row>
    <row r="52" ht="15.75" customHeight="1">
      <c r="A52" s="55"/>
      <c r="B52" s="70" t="s">
        <v>35</v>
      </c>
      <c r="C52" s="70" t="s">
        <v>154</v>
      </c>
      <c r="D52" s="70" t="s">
        <v>158</v>
      </c>
      <c r="E52" s="70">
        <v>-25670.0</v>
      </c>
      <c r="F52" s="70">
        <v>0.0</v>
      </c>
      <c r="G52" s="70">
        <v>0.0</v>
      </c>
      <c r="H52" s="70" t="s">
        <v>76</v>
      </c>
      <c r="I52" s="70">
        <v>0.0</v>
      </c>
      <c r="J52" s="70">
        <v>0.0</v>
      </c>
      <c r="K52" s="70" t="s">
        <v>31</v>
      </c>
      <c r="L52" s="70"/>
      <c r="M52" s="72"/>
      <c r="N52" s="70" t="s">
        <v>39</v>
      </c>
      <c r="O52" s="70">
        <v>0.8</v>
      </c>
      <c r="P52" s="71"/>
      <c r="Q52" s="72"/>
      <c r="R52" s="70">
        <v>0.0</v>
      </c>
      <c r="S52" s="70">
        <v>0.0</v>
      </c>
      <c r="T52" s="70">
        <v>0.0</v>
      </c>
      <c r="U52" s="70">
        <v>0.0</v>
      </c>
      <c r="V52" s="70">
        <v>0.0</v>
      </c>
      <c r="W52" s="70">
        <v>0.0</v>
      </c>
      <c r="X52" s="71"/>
      <c r="Y52" s="85"/>
      <c r="Z52" s="70">
        <v>0.0</v>
      </c>
      <c r="AA52" s="70">
        <v>0.0</v>
      </c>
      <c r="AB52" s="74"/>
      <c r="AC52" s="70">
        <v>0.0</v>
      </c>
      <c r="AD52" s="70">
        <v>0.0</v>
      </c>
      <c r="AE52" s="75">
        <v>42920.0</v>
      </c>
      <c r="AF52" s="70">
        <v>0.0</v>
      </c>
      <c r="AG52" s="70" t="s">
        <v>154</v>
      </c>
      <c r="AH52" s="70"/>
      <c r="AI52" s="74"/>
      <c r="AJ52" s="70">
        <v>0.0</v>
      </c>
      <c r="AK52" s="70"/>
      <c r="AL52" s="71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</row>
    <row r="53" ht="15.75" customHeight="1">
      <c r="A53" s="55"/>
      <c r="B53" s="70" t="s">
        <v>35</v>
      </c>
      <c r="C53" s="70" t="s">
        <v>154</v>
      </c>
      <c r="D53" s="70" t="s">
        <v>158</v>
      </c>
      <c r="E53" s="70">
        <v>-3937.5</v>
      </c>
      <c r="F53" s="70">
        <v>0.0</v>
      </c>
      <c r="G53" s="70">
        <v>0.0</v>
      </c>
      <c r="H53" s="70" t="s">
        <v>76</v>
      </c>
      <c r="I53" s="70">
        <v>0.0</v>
      </c>
      <c r="J53" s="70">
        <v>0.0</v>
      </c>
      <c r="K53" s="70" t="s">
        <v>31</v>
      </c>
      <c r="L53" s="70"/>
      <c r="M53" s="72"/>
      <c r="N53" s="70" t="s">
        <v>39</v>
      </c>
      <c r="O53" s="70">
        <v>0.8</v>
      </c>
      <c r="P53" s="71"/>
      <c r="Q53" s="72"/>
      <c r="R53" s="70">
        <v>0.0</v>
      </c>
      <c r="S53" s="70">
        <v>0.0</v>
      </c>
      <c r="T53" s="70">
        <v>0.0</v>
      </c>
      <c r="U53" s="70">
        <v>0.0</v>
      </c>
      <c r="V53" s="70">
        <v>0.0</v>
      </c>
      <c r="W53" s="70">
        <v>0.0</v>
      </c>
      <c r="X53" s="74"/>
      <c r="Y53" s="72"/>
      <c r="Z53" s="70">
        <v>0.0</v>
      </c>
      <c r="AA53" s="70">
        <v>0.0</v>
      </c>
      <c r="AB53" s="70" t="s">
        <v>30</v>
      </c>
      <c r="AC53" s="70">
        <v>0.0</v>
      </c>
      <c r="AD53" s="70">
        <v>0.0</v>
      </c>
      <c r="AE53" s="75">
        <v>42920.0</v>
      </c>
      <c r="AF53" s="70">
        <v>0.0</v>
      </c>
      <c r="AG53" s="70" t="s">
        <v>154</v>
      </c>
      <c r="AH53" s="70"/>
      <c r="AI53" s="74"/>
      <c r="AJ53" s="70">
        <v>0.0</v>
      </c>
      <c r="AK53" s="70"/>
      <c r="AL53" s="71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</row>
    <row r="54" ht="15.75" customHeight="1">
      <c r="A54" s="55"/>
      <c r="B54" s="70" t="s">
        <v>35</v>
      </c>
      <c r="C54" s="70" t="s">
        <v>74</v>
      </c>
      <c r="D54" s="70" t="s">
        <v>75</v>
      </c>
      <c r="E54" s="70">
        <v>32187.61</v>
      </c>
      <c r="F54" s="70">
        <v>0.0</v>
      </c>
      <c r="G54" s="70">
        <v>0.0</v>
      </c>
      <c r="H54" s="70" t="s">
        <v>76</v>
      </c>
      <c r="I54" s="70">
        <v>0.0</v>
      </c>
      <c r="J54" s="70">
        <v>0.0</v>
      </c>
      <c r="K54" s="70" t="s">
        <v>40</v>
      </c>
      <c r="L54" s="70"/>
      <c r="M54" s="72"/>
      <c r="N54" s="70" t="s">
        <v>39</v>
      </c>
      <c r="O54" s="70">
        <v>1.0</v>
      </c>
      <c r="P54" s="71"/>
      <c r="Q54" s="72"/>
      <c r="R54" s="70">
        <v>0.0</v>
      </c>
      <c r="S54" s="70">
        <v>0.0</v>
      </c>
      <c r="T54" s="70">
        <v>0.0</v>
      </c>
      <c r="U54" s="70">
        <v>0.0</v>
      </c>
      <c r="V54" s="70">
        <v>0.0</v>
      </c>
      <c r="W54" s="70">
        <v>0.0</v>
      </c>
      <c r="X54" s="74"/>
      <c r="Y54" s="73"/>
      <c r="Z54" s="70">
        <v>0.0</v>
      </c>
      <c r="AA54" s="70">
        <v>0.0</v>
      </c>
      <c r="AB54" s="74"/>
      <c r="AC54" s="70">
        <v>0.0</v>
      </c>
      <c r="AD54" s="70">
        <v>0.0</v>
      </c>
      <c r="AE54" s="75">
        <v>42920.0</v>
      </c>
      <c r="AF54" s="70">
        <v>0.0</v>
      </c>
      <c r="AG54" s="70" t="s">
        <v>48</v>
      </c>
      <c r="AH54" s="70"/>
      <c r="AI54" s="74"/>
      <c r="AJ54" s="70">
        <v>0.0</v>
      </c>
      <c r="AK54" s="70"/>
      <c r="AL54" s="71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</row>
    <row r="55" ht="15.75" customHeight="1">
      <c r="A55" s="55"/>
      <c r="B55" s="70" t="s">
        <v>35</v>
      </c>
      <c r="C55" s="70" t="s">
        <v>74</v>
      </c>
      <c r="D55" s="70" t="s">
        <v>75</v>
      </c>
      <c r="E55" s="70">
        <v>-25670.0</v>
      </c>
      <c r="F55" s="70">
        <v>0.0</v>
      </c>
      <c r="G55" s="70">
        <v>0.0</v>
      </c>
      <c r="H55" s="70" t="s">
        <v>76</v>
      </c>
      <c r="I55" s="70">
        <v>0.0</v>
      </c>
      <c r="J55" s="70">
        <v>0.0</v>
      </c>
      <c r="K55" s="70" t="s">
        <v>31</v>
      </c>
      <c r="L55" s="70"/>
      <c r="M55" s="72"/>
      <c r="N55" s="70" t="s">
        <v>39</v>
      </c>
      <c r="O55" s="70">
        <v>1.25</v>
      </c>
      <c r="P55" s="71"/>
      <c r="Q55" s="72"/>
      <c r="R55" s="70">
        <v>0.0</v>
      </c>
      <c r="S55" s="70">
        <v>0.0</v>
      </c>
      <c r="T55" s="70">
        <v>0.0</v>
      </c>
      <c r="U55" s="70">
        <v>0.0</v>
      </c>
      <c r="V55" s="70">
        <v>0.0</v>
      </c>
      <c r="W55" s="70">
        <v>0.0</v>
      </c>
      <c r="X55" s="71"/>
      <c r="Y55" s="73"/>
      <c r="Z55" s="70">
        <v>0.0</v>
      </c>
      <c r="AA55" s="70">
        <v>0.0</v>
      </c>
      <c r="AB55" s="74"/>
      <c r="AC55" s="70">
        <v>0.0</v>
      </c>
      <c r="AD55" s="70">
        <v>0.0</v>
      </c>
      <c r="AE55" s="75">
        <v>42920.0</v>
      </c>
      <c r="AF55" s="70">
        <v>0.0</v>
      </c>
      <c r="AG55" s="70" t="s">
        <v>48</v>
      </c>
      <c r="AH55" s="70"/>
      <c r="AI55" s="74"/>
      <c r="AJ55" s="70">
        <v>0.0</v>
      </c>
      <c r="AK55" s="70"/>
      <c r="AL55" s="71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</row>
    <row r="56" ht="15.75" customHeight="1">
      <c r="A56" s="55"/>
      <c r="B56" s="70" t="s">
        <v>35</v>
      </c>
      <c r="C56" s="70" t="s">
        <v>74</v>
      </c>
      <c r="D56" s="70" t="s">
        <v>75</v>
      </c>
      <c r="E56" s="70">
        <v>-28060.0</v>
      </c>
      <c r="F56" s="70">
        <v>0.0</v>
      </c>
      <c r="G56" s="70">
        <v>0.0</v>
      </c>
      <c r="H56" s="70" t="s">
        <v>76</v>
      </c>
      <c r="I56" s="70">
        <v>0.0</v>
      </c>
      <c r="J56" s="70">
        <v>0.0</v>
      </c>
      <c r="K56" s="70" t="s">
        <v>40</v>
      </c>
      <c r="L56" s="70"/>
      <c r="M56" s="72"/>
      <c r="N56" s="70" t="s">
        <v>39</v>
      </c>
      <c r="O56" s="70">
        <v>1.0</v>
      </c>
      <c r="P56" s="71"/>
      <c r="Q56" s="72"/>
      <c r="R56" s="70">
        <v>0.0</v>
      </c>
      <c r="S56" s="70">
        <v>0.0</v>
      </c>
      <c r="T56" s="70">
        <v>0.0</v>
      </c>
      <c r="U56" s="70">
        <v>0.0</v>
      </c>
      <c r="V56" s="70">
        <v>0.0</v>
      </c>
      <c r="W56" s="70">
        <v>0.0</v>
      </c>
      <c r="X56" s="71"/>
      <c r="Y56" s="73"/>
      <c r="Z56" s="70">
        <v>0.0</v>
      </c>
      <c r="AA56" s="70">
        <v>0.0</v>
      </c>
      <c r="AB56" s="74"/>
      <c r="AC56" s="70">
        <v>0.0</v>
      </c>
      <c r="AD56" s="70">
        <v>0.0</v>
      </c>
      <c r="AE56" s="75">
        <v>42920.0</v>
      </c>
      <c r="AF56" s="70">
        <v>0.0</v>
      </c>
      <c r="AG56" s="70" t="s">
        <v>48</v>
      </c>
      <c r="AH56" s="70"/>
      <c r="AI56" s="74"/>
      <c r="AJ56" s="70">
        <v>0.0</v>
      </c>
      <c r="AK56" s="70"/>
      <c r="AL56" s="71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</row>
    <row r="57" ht="15.75" customHeight="1">
      <c r="A57" s="55"/>
      <c r="B57" s="70" t="s">
        <v>35</v>
      </c>
      <c r="C57" s="70" t="s">
        <v>74</v>
      </c>
      <c r="D57" s="70" t="s">
        <v>75</v>
      </c>
      <c r="E57" s="70">
        <v>20000.0</v>
      </c>
      <c r="F57" s="70">
        <v>0.0</v>
      </c>
      <c r="G57" s="70">
        <v>0.0</v>
      </c>
      <c r="H57" s="70" t="s">
        <v>76</v>
      </c>
      <c r="I57" s="70">
        <v>0.0</v>
      </c>
      <c r="J57" s="70">
        <v>0.0</v>
      </c>
      <c r="K57" s="70" t="s">
        <v>25</v>
      </c>
      <c r="L57" s="70"/>
      <c r="M57" s="72"/>
      <c r="N57" s="70" t="s">
        <v>39</v>
      </c>
      <c r="O57" s="70">
        <v>1.4</v>
      </c>
      <c r="P57" s="71"/>
      <c r="Q57" s="72"/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74"/>
      <c r="Y57" s="73"/>
      <c r="Z57" s="70">
        <v>0.0</v>
      </c>
      <c r="AA57" s="70">
        <v>0.0</v>
      </c>
      <c r="AB57" s="74"/>
      <c r="AC57" s="70">
        <v>0.0</v>
      </c>
      <c r="AD57" s="70">
        <v>0.0</v>
      </c>
      <c r="AE57" s="75">
        <v>42920.0</v>
      </c>
      <c r="AF57" s="70">
        <v>0.0</v>
      </c>
      <c r="AG57" s="70" t="s">
        <v>48</v>
      </c>
      <c r="AH57" s="70"/>
      <c r="AI57" s="74"/>
      <c r="AJ57" s="70">
        <v>0.0</v>
      </c>
      <c r="AK57" s="70"/>
      <c r="AL57" s="71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</row>
    <row r="58" ht="15.75" customHeight="1">
      <c r="A58" s="55"/>
      <c r="B58" s="70" t="s">
        <v>35</v>
      </c>
      <c r="C58" s="70" t="s">
        <v>77</v>
      </c>
      <c r="D58" s="70" t="s">
        <v>95</v>
      </c>
      <c r="E58" s="70">
        <v>0.0</v>
      </c>
      <c r="F58" s="70">
        <v>0.0</v>
      </c>
      <c r="G58" s="70">
        <v>0.0</v>
      </c>
      <c r="H58" s="70" t="s">
        <v>159</v>
      </c>
      <c r="I58" s="70">
        <v>0.0</v>
      </c>
      <c r="J58" s="70">
        <v>0.0</v>
      </c>
      <c r="K58" s="70" t="s">
        <v>29</v>
      </c>
      <c r="L58" s="74"/>
      <c r="M58" s="73"/>
      <c r="N58" s="70" t="s">
        <v>39</v>
      </c>
      <c r="O58" s="70">
        <v>0.79</v>
      </c>
      <c r="P58" s="71"/>
      <c r="Q58" s="72"/>
      <c r="R58" s="70">
        <v>0.0</v>
      </c>
      <c r="S58" s="70">
        <v>0.0</v>
      </c>
      <c r="T58" s="70">
        <v>0.0</v>
      </c>
      <c r="U58" s="70">
        <v>0.0</v>
      </c>
      <c r="V58" s="70">
        <v>100.0</v>
      </c>
      <c r="W58" s="70">
        <v>0.0</v>
      </c>
      <c r="X58" s="70" t="s">
        <v>29</v>
      </c>
      <c r="Y58" s="85"/>
      <c r="Z58" s="70">
        <v>0.0</v>
      </c>
      <c r="AA58" s="70">
        <v>0.0</v>
      </c>
      <c r="AB58" s="70" t="s">
        <v>26</v>
      </c>
      <c r="AC58" s="70">
        <v>0.0</v>
      </c>
      <c r="AD58" s="70">
        <v>0.0</v>
      </c>
      <c r="AE58" s="75">
        <v>42920.0</v>
      </c>
      <c r="AF58" s="70">
        <v>0.0</v>
      </c>
      <c r="AG58" s="70" t="s">
        <v>160</v>
      </c>
      <c r="AH58" s="76"/>
      <c r="AI58" s="74"/>
      <c r="AJ58" s="70">
        <v>14.0</v>
      </c>
      <c r="AK58" s="70"/>
      <c r="AL58" s="71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</row>
    <row r="59" ht="15.75" customHeight="1">
      <c r="A59" s="55"/>
      <c r="B59" s="70" t="s">
        <v>35</v>
      </c>
      <c r="C59" s="70" t="s">
        <v>77</v>
      </c>
      <c r="D59" s="70" t="s">
        <v>95</v>
      </c>
      <c r="E59" s="70">
        <v>0.0</v>
      </c>
      <c r="F59" s="70">
        <v>0.0</v>
      </c>
      <c r="G59" s="70">
        <v>0.0</v>
      </c>
      <c r="H59" s="70" t="s">
        <v>159</v>
      </c>
      <c r="I59" s="70">
        <v>0.0</v>
      </c>
      <c r="J59" s="70">
        <v>0.0</v>
      </c>
      <c r="K59" s="70" t="s">
        <v>29</v>
      </c>
      <c r="L59" s="74"/>
      <c r="M59" s="73"/>
      <c r="N59" s="70" t="s">
        <v>39</v>
      </c>
      <c r="O59" s="70">
        <v>1.7</v>
      </c>
      <c r="P59" s="71"/>
      <c r="Q59" s="72"/>
      <c r="R59" s="70">
        <v>0.0</v>
      </c>
      <c r="S59" s="70">
        <v>0.0</v>
      </c>
      <c r="T59" s="70">
        <v>0.0</v>
      </c>
      <c r="U59" s="70">
        <v>0.0</v>
      </c>
      <c r="V59" s="70">
        <v>50.0</v>
      </c>
      <c r="W59" s="70">
        <v>0.0</v>
      </c>
      <c r="X59" s="70" t="s">
        <v>29</v>
      </c>
      <c r="Y59" s="85"/>
      <c r="Z59" s="70">
        <v>0.0</v>
      </c>
      <c r="AA59" s="70">
        <v>0.0</v>
      </c>
      <c r="AB59" s="70" t="s">
        <v>26</v>
      </c>
      <c r="AC59" s="70">
        <v>0.0</v>
      </c>
      <c r="AD59" s="70">
        <v>0.0</v>
      </c>
      <c r="AE59" s="75">
        <v>42920.0</v>
      </c>
      <c r="AF59" s="70">
        <v>0.0</v>
      </c>
      <c r="AG59" s="70" t="s">
        <v>160</v>
      </c>
      <c r="AH59" s="76"/>
      <c r="AI59" s="74"/>
      <c r="AJ59" s="70">
        <v>14.0</v>
      </c>
      <c r="AK59" s="70"/>
      <c r="AL59" s="71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</row>
    <row r="60" ht="15.75" customHeight="1">
      <c r="A60" s="55"/>
      <c r="B60" s="70" t="s">
        <v>35</v>
      </c>
      <c r="C60" s="70" t="s">
        <v>77</v>
      </c>
      <c r="D60" s="70" t="s">
        <v>97</v>
      </c>
      <c r="E60" s="70">
        <v>1050.0</v>
      </c>
      <c r="F60" s="70">
        <v>0.0</v>
      </c>
      <c r="G60" s="70">
        <v>0.0</v>
      </c>
      <c r="H60" s="70" t="s">
        <v>76</v>
      </c>
      <c r="I60" s="70">
        <v>0.0</v>
      </c>
      <c r="J60" s="70">
        <v>0.0</v>
      </c>
      <c r="K60" s="70" t="s">
        <v>31</v>
      </c>
      <c r="L60" s="70"/>
      <c r="M60" s="73"/>
      <c r="N60" s="70" t="s">
        <v>39</v>
      </c>
      <c r="O60" s="86">
        <v>0.8</v>
      </c>
      <c r="P60" s="71"/>
      <c r="Q60" s="72"/>
      <c r="R60" s="70">
        <v>0.0</v>
      </c>
      <c r="S60" s="70">
        <v>0.0</v>
      </c>
      <c r="T60" s="70">
        <v>0.0</v>
      </c>
      <c r="U60" s="70">
        <v>0.0</v>
      </c>
      <c r="V60" s="70">
        <v>100.0</v>
      </c>
      <c r="W60" s="70">
        <v>0.0</v>
      </c>
      <c r="X60" s="70" t="s">
        <v>31</v>
      </c>
      <c r="Y60" s="85"/>
      <c r="Z60" s="70">
        <v>0.0</v>
      </c>
      <c r="AA60" s="70">
        <v>0.0</v>
      </c>
      <c r="AB60" s="70" t="s">
        <v>30</v>
      </c>
      <c r="AC60" s="70">
        <v>0.0</v>
      </c>
      <c r="AD60" s="70">
        <v>0.0</v>
      </c>
      <c r="AE60" s="75">
        <v>42920.0</v>
      </c>
      <c r="AF60" s="70">
        <v>0.0</v>
      </c>
      <c r="AG60" s="70" t="s">
        <v>160</v>
      </c>
      <c r="AH60" s="76"/>
      <c r="AI60" s="74"/>
      <c r="AJ60" s="70">
        <v>7.0</v>
      </c>
      <c r="AK60" s="70"/>
      <c r="AL60" s="71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</row>
    <row r="61" ht="15.75" customHeight="1">
      <c r="A61" s="55"/>
      <c r="B61" s="70" t="s">
        <v>35</v>
      </c>
      <c r="C61" s="70" t="s">
        <v>77</v>
      </c>
      <c r="D61" s="70" t="s">
        <v>98</v>
      </c>
      <c r="E61" s="70">
        <v>-3937.5</v>
      </c>
      <c r="F61" s="70">
        <v>0.0</v>
      </c>
      <c r="G61" s="70">
        <v>0.0</v>
      </c>
      <c r="H61" s="70" t="s">
        <v>76</v>
      </c>
      <c r="I61" s="70">
        <v>0.0</v>
      </c>
      <c r="J61" s="70">
        <v>0.0</v>
      </c>
      <c r="K61" s="70" t="s">
        <v>31</v>
      </c>
      <c r="L61" s="74"/>
      <c r="M61" s="73"/>
      <c r="N61" s="70" t="s">
        <v>81</v>
      </c>
      <c r="O61" s="70">
        <v>1.69</v>
      </c>
      <c r="P61" s="71"/>
      <c r="Q61" s="72"/>
      <c r="R61" s="70">
        <v>0.0</v>
      </c>
      <c r="S61" s="70">
        <v>0.0</v>
      </c>
      <c r="T61" s="70">
        <v>0.0</v>
      </c>
      <c r="U61" s="70">
        <v>0.0</v>
      </c>
      <c r="V61" s="70">
        <v>50.0</v>
      </c>
      <c r="W61" s="70">
        <v>0.0</v>
      </c>
      <c r="X61" s="70" t="s">
        <v>31</v>
      </c>
      <c r="Y61" s="85"/>
      <c r="Z61" s="70">
        <v>0.0</v>
      </c>
      <c r="AA61" s="70">
        <v>0.0</v>
      </c>
      <c r="AB61" s="70" t="s">
        <v>30</v>
      </c>
      <c r="AC61" s="70">
        <v>0.0</v>
      </c>
      <c r="AD61" s="70">
        <v>0.0</v>
      </c>
      <c r="AE61" s="75">
        <v>42920.0</v>
      </c>
      <c r="AF61" s="70">
        <v>0.0</v>
      </c>
      <c r="AG61" s="70" t="s">
        <v>160</v>
      </c>
      <c r="AH61" s="76"/>
      <c r="AI61" s="74"/>
      <c r="AJ61" s="70">
        <v>7.0</v>
      </c>
      <c r="AK61" s="70"/>
      <c r="AL61" s="71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</row>
    <row r="62" ht="15.75" customHeight="1">
      <c r="A62" s="55"/>
      <c r="B62" s="70" t="s">
        <v>35</v>
      </c>
      <c r="C62" s="70" t="s">
        <v>154</v>
      </c>
      <c r="D62" s="70" t="s">
        <v>158</v>
      </c>
      <c r="E62" s="70">
        <v>962.05</v>
      </c>
      <c r="F62" s="70">
        <v>0.0</v>
      </c>
      <c r="G62" s="70">
        <v>0.0</v>
      </c>
      <c r="H62" s="70" t="s">
        <v>76</v>
      </c>
      <c r="I62" s="70">
        <v>0.0</v>
      </c>
      <c r="J62" s="70">
        <v>0.0</v>
      </c>
      <c r="K62" s="70" t="s">
        <v>25</v>
      </c>
      <c r="L62" s="70"/>
      <c r="M62" s="72"/>
      <c r="N62" s="70" t="s">
        <v>39</v>
      </c>
      <c r="O62" s="70">
        <v>1.5</v>
      </c>
      <c r="P62" s="71"/>
      <c r="Q62" s="72"/>
      <c r="R62" s="70">
        <v>0.0</v>
      </c>
      <c r="S62" s="70">
        <v>0.0</v>
      </c>
      <c r="T62" s="70">
        <v>0.0</v>
      </c>
      <c r="U62" s="70">
        <v>0.0</v>
      </c>
      <c r="V62" s="70">
        <v>0.0</v>
      </c>
      <c r="W62" s="70">
        <v>0.0</v>
      </c>
      <c r="X62" s="71"/>
      <c r="Y62" s="85"/>
      <c r="Z62" s="70">
        <v>0.0</v>
      </c>
      <c r="AA62" s="70">
        <v>0.0</v>
      </c>
      <c r="AB62" s="70" t="s">
        <v>18</v>
      </c>
      <c r="AC62" s="70">
        <v>0.0</v>
      </c>
      <c r="AD62" s="70">
        <v>0.0</v>
      </c>
      <c r="AE62" s="75">
        <v>42920.0</v>
      </c>
      <c r="AF62" s="70">
        <v>0.0</v>
      </c>
      <c r="AG62" s="70" t="s">
        <v>154</v>
      </c>
      <c r="AH62" s="70"/>
      <c r="AI62" s="74"/>
      <c r="AJ62" s="70">
        <v>0.0</v>
      </c>
      <c r="AK62" s="70"/>
      <c r="AL62" s="71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</row>
    <row r="63" ht="15.75" customHeight="1">
      <c r="A63" s="55"/>
      <c r="B63" s="70" t="s">
        <v>35</v>
      </c>
      <c r="C63" s="70" t="s">
        <v>154</v>
      </c>
      <c r="D63" s="70" t="s">
        <v>158</v>
      </c>
      <c r="E63" s="70">
        <v>-313.32</v>
      </c>
      <c r="F63" s="70">
        <v>0.0</v>
      </c>
      <c r="G63" s="70">
        <v>0.0</v>
      </c>
      <c r="H63" s="70" t="s">
        <v>76</v>
      </c>
      <c r="I63" s="70">
        <v>0.0</v>
      </c>
      <c r="J63" s="70">
        <v>0.0</v>
      </c>
      <c r="K63" s="70" t="s">
        <v>31</v>
      </c>
      <c r="L63" s="70"/>
      <c r="M63" s="72"/>
      <c r="N63" s="70" t="s">
        <v>39</v>
      </c>
      <c r="O63" s="70">
        <v>0.8</v>
      </c>
      <c r="P63" s="71"/>
      <c r="Q63" s="72"/>
      <c r="R63" s="70">
        <v>0.0</v>
      </c>
      <c r="S63" s="70">
        <v>0.0</v>
      </c>
      <c r="T63" s="70">
        <v>0.0</v>
      </c>
      <c r="U63" s="70">
        <v>0.0</v>
      </c>
      <c r="V63" s="70">
        <v>0.0</v>
      </c>
      <c r="W63" s="70">
        <v>0.0</v>
      </c>
      <c r="X63" s="71"/>
      <c r="Y63" s="85"/>
      <c r="Z63" s="70">
        <v>0.0</v>
      </c>
      <c r="AA63" s="70">
        <v>0.0</v>
      </c>
      <c r="AB63" s="70" t="s">
        <v>30</v>
      </c>
      <c r="AC63" s="70">
        <v>0.0</v>
      </c>
      <c r="AD63" s="70">
        <v>0.0</v>
      </c>
      <c r="AE63" s="75">
        <v>42920.0</v>
      </c>
      <c r="AF63" s="70">
        <v>0.0</v>
      </c>
      <c r="AG63" s="70" t="s">
        <v>154</v>
      </c>
      <c r="AH63" s="70"/>
      <c r="AI63" s="74"/>
      <c r="AJ63" s="70">
        <v>0.0</v>
      </c>
      <c r="AK63" s="70"/>
      <c r="AL63" s="71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</row>
    <row r="64" ht="15.75" customHeight="1">
      <c r="A64" s="55"/>
      <c r="B64" s="70" t="s">
        <v>35</v>
      </c>
      <c r="C64" s="70" t="s">
        <v>154</v>
      </c>
      <c r="D64" s="70" t="s">
        <v>158</v>
      </c>
      <c r="E64" s="70">
        <v>313.32</v>
      </c>
      <c r="F64" s="70">
        <v>0.0</v>
      </c>
      <c r="G64" s="70">
        <v>0.0</v>
      </c>
      <c r="H64" s="70" t="s">
        <v>76</v>
      </c>
      <c r="I64" s="70">
        <v>0.0</v>
      </c>
      <c r="J64" s="70">
        <v>0.0</v>
      </c>
      <c r="K64" s="70" t="s">
        <v>31</v>
      </c>
      <c r="L64" s="70"/>
      <c r="M64" s="72"/>
      <c r="N64" s="70" t="s">
        <v>81</v>
      </c>
      <c r="O64" s="70">
        <v>1.69</v>
      </c>
      <c r="P64" s="71"/>
      <c r="Q64" s="72"/>
      <c r="R64" s="70">
        <v>0.0</v>
      </c>
      <c r="S64" s="70">
        <v>0.0</v>
      </c>
      <c r="T64" s="70">
        <v>0.0</v>
      </c>
      <c r="U64" s="70">
        <v>0.0</v>
      </c>
      <c r="V64" s="70">
        <v>0.0</v>
      </c>
      <c r="W64" s="70">
        <v>0.0</v>
      </c>
      <c r="X64" s="71"/>
      <c r="Y64" s="85"/>
      <c r="Z64" s="70">
        <v>0.0</v>
      </c>
      <c r="AA64" s="70">
        <v>0.0</v>
      </c>
      <c r="AB64" s="70" t="s">
        <v>30</v>
      </c>
      <c r="AC64" s="70">
        <v>0.0</v>
      </c>
      <c r="AD64" s="70">
        <v>0.0</v>
      </c>
      <c r="AE64" s="75">
        <v>42920.0</v>
      </c>
      <c r="AF64" s="70">
        <v>0.0</v>
      </c>
      <c r="AG64" s="70" t="s">
        <v>154</v>
      </c>
      <c r="AH64" s="70"/>
      <c r="AI64" s="74"/>
      <c r="AJ64" s="70">
        <v>0.0</v>
      </c>
      <c r="AK64" s="70"/>
      <c r="AL64" s="71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</row>
    <row r="65" ht="15.75" customHeight="1">
      <c r="A65" s="55"/>
      <c r="B65" s="70" t="s">
        <v>35</v>
      </c>
      <c r="C65" s="70" t="s">
        <v>154</v>
      </c>
      <c r="D65" s="70" t="s">
        <v>158</v>
      </c>
      <c r="E65" s="70">
        <v>-962.05</v>
      </c>
      <c r="F65" s="70">
        <v>0.0</v>
      </c>
      <c r="G65" s="70">
        <v>0.0</v>
      </c>
      <c r="H65" s="70" t="s">
        <v>76</v>
      </c>
      <c r="I65" s="70">
        <v>0.0</v>
      </c>
      <c r="J65" s="70">
        <v>0.0</v>
      </c>
      <c r="K65" s="70" t="s">
        <v>25</v>
      </c>
      <c r="L65" s="70"/>
      <c r="M65" s="72"/>
      <c r="N65" s="70" t="s">
        <v>39</v>
      </c>
      <c r="O65" s="70">
        <v>1.41</v>
      </c>
      <c r="P65" s="71"/>
      <c r="Q65" s="72"/>
      <c r="R65" s="70">
        <v>0.0</v>
      </c>
      <c r="S65" s="70">
        <v>0.0</v>
      </c>
      <c r="T65" s="70">
        <v>0.0</v>
      </c>
      <c r="U65" s="70">
        <v>0.0</v>
      </c>
      <c r="V65" s="70">
        <v>0.0</v>
      </c>
      <c r="W65" s="70">
        <v>0.0</v>
      </c>
      <c r="X65" s="71"/>
      <c r="Y65" s="85"/>
      <c r="Z65" s="70">
        <v>0.0</v>
      </c>
      <c r="AA65" s="70">
        <v>0.0</v>
      </c>
      <c r="AB65" s="70" t="s">
        <v>18</v>
      </c>
      <c r="AC65" s="70">
        <v>0.0</v>
      </c>
      <c r="AD65" s="70">
        <v>0.0</v>
      </c>
      <c r="AE65" s="75">
        <v>42920.0</v>
      </c>
      <c r="AF65" s="70">
        <v>0.0</v>
      </c>
      <c r="AG65" s="70" t="s">
        <v>154</v>
      </c>
      <c r="AH65" s="70"/>
      <c r="AI65" s="74"/>
      <c r="AJ65" s="70">
        <v>0.0</v>
      </c>
      <c r="AK65" s="70"/>
      <c r="AL65" s="71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</row>
    <row r="66" ht="15.75" customHeight="1">
      <c r="A66" s="55"/>
      <c r="B66" s="70" t="s">
        <v>35</v>
      </c>
      <c r="C66" s="70" t="s">
        <v>154</v>
      </c>
      <c r="D66" s="70" t="s">
        <v>158</v>
      </c>
      <c r="E66" s="70">
        <v>-408.29</v>
      </c>
      <c r="F66" s="70">
        <v>0.0</v>
      </c>
      <c r="G66" s="70">
        <v>0.0</v>
      </c>
      <c r="H66" s="70" t="s">
        <v>76</v>
      </c>
      <c r="I66" s="70">
        <v>0.0</v>
      </c>
      <c r="J66" s="70">
        <v>0.0</v>
      </c>
      <c r="K66" s="70" t="s">
        <v>29</v>
      </c>
      <c r="L66" s="70"/>
      <c r="M66" s="72"/>
      <c r="N66" s="70" t="s">
        <v>39</v>
      </c>
      <c r="O66" s="70">
        <v>1.7</v>
      </c>
      <c r="P66" s="71"/>
      <c r="Q66" s="72"/>
      <c r="R66" s="70">
        <v>0.0</v>
      </c>
      <c r="S66" s="70">
        <v>0.0</v>
      </c>
      <c r="T66" s="70">
        <v>0.0</v>
      </c>
      <c r="U66" s="70">
        <v>0.0</v>
      </c>
      <c r="V66" s="70">
        <v>0.0</v>
      </c>
      <c r="W66" s="70">
        <v>0.0</v>
      </c>
      <c r="X66" s="71"/>
      <c r="Y66" s="85"/>
      <c r="Z66" s="70">
        <v>0.0</v>
      </c>
      <c r="AA66" s="70">
        <v>0.0</v>
      </c>
      <c r="AB66" s="70" t="s">
        <v>26</v>
      </c>
      <c r="AC66" s="70">
        <v>0.0</v>
      </c>
      <c r="AD66" s="70">
        <v>0.0</v>
      </c>
      <c r="AE66" s="75">
        <v>42920.0</v>
      </c>
      <c r="AF66" s="70">
        <v>0.0</v>
      </c>
      <c r="AG66" s="70" t="s">
        <v>154</v>
      </c>
      <c r="AH66" s="70"/>
      <c r="AI66" s="74"/>
      <c r="AJ66" s="70">
        <v>0.0</v>
      </c>
      <c r="AK66" s="70"/>
      <c r="AL66" s="71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</row>
    <row r="67" ht="15.75" customHeight="1">
      <c r="A67" s="55"/>
      <c r="B67" s="70" t="s">
        <v>35</v>
      </c>
      <c r="C67" s="70" t="s">
        <v>154</v>
      </c>
      <c r="D67" s="70" t="s">
        <v>158</v>
      </c>
      <c r="E67" s="70">
        <v>35.56</v>
      </c>
      <c r="F67" s="70">
        <v>0.0</v>
      </c>
      <c r="G67" s="70">
        <v>0.0</v>
      </c>
      <c r="H67" s="70" t="s">
        <v>76</v>
      </c>
      <c r="I67" s="70">
        <v>0.0</v>
      </c>
      <c r="J67" s="70">
        <v>0.0</v>
      </c>
      <c r="K67" s="70" t="s">
        <v>29</v>
      </c>
      <c r="L67" s="70"/>
      <c r="M67" s="72"/>
      <c r="N67" s="70" t="s">
        <v>39</v>
      </c>
      <c r="O67" s="70">
        <v>1.7</v>
      </c>
      <c r="P67" s="71"/>
      <c r="Q67" s="72"/>
      <c r="R67" s="70">
        <v>0.0</v>
      </c>
      <c r="S67" s="70">
        <v>0.0</v>
      </c>
      <c r="T67" s="70">
        <v>0.0</v>
      </c>
      <c r="U67" s="70">
        <v>0.0</v>
      </c>
      <c r="V67" s="70">
        <v>0.0</v>
      </c>
      <c r="W67" s="70">
        <v>0.0</v>
      </c>
      <c r="X67" s="74"/>
      <c r="Y67" s="85"/>
      <c r="Z67" s="70">
        <v>0.0</v>
      </c>
      <c r="AA67" s="70">
        <v>0.0</v>
      </c>
      <c r="AB67" s="70" t="s">
        <v>26</v>
      </c>
      <c r="AC67" s="70">
        <v>0.0</v>
      </c>
      <c r="AD67" s="70">
        <v>0.0</v>
      </c>
      <c r="AE67" s="75">
        <v>42920.0</v>
      </c>
      <c r="AF67" s="70">
        <v>0.0</v>
      </c>
      <c r="AG67" s="70" t="s">
        <v>154</v>
      </c>
      <c r="AH67" s="70"/>
      <c r="AI67" s="74"/>
      <c r="AJ67" s="70">
        <v>0.0</v>
      </c>
      <c r="AK67" s="70"/>
      <c r="AL67" s="71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</row>
    <row r="68" ht="15.75" customHeight="1">
      <c r="A68" s="55"/>
      <c r="B68" s="70" t="s">
        <v>35</v>
      </c>
      <c r="C68" s="70" t="s">
        <v>154</v>
      </c>
      <c r="D68" s="70" t="s">
        <v>158</v>
      </c>
      <c r="E68" s="70">
        <v>408.29</v>
      </c>
      <c r="F68" s="70">
        <v>0.0</v>
      </c>
      <c r="G68" s="70">
        <v>0.0</v>
      </c>
      <c r="H68" s="70" t="s">
        <v>76</v>
      </c>
      <c r="I68" s="70">
        <v>0.0</v>
      </c>
      <c r="J68" s="70">
        <v>0.0</v>
      </c>
      <c r="K68" s="70" t="s">
        <v>29</v>
      </c>
      <c r="L68" s="70"/>
      <c r="M68" s="72"/>
      <c r="N68" s="70" t="s">
        <v>39</v>
      </c>
      <c r="O68" s="70">
        <v>0.79</v>
      </c>
      <c r="P68" s="71"/>
      <c r="Q68" s="72"/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4"/>
      <c r="Y68" s="72"/>
      <c r="Z68" s="70">
        <v>0.0</v>
      </c>
      <c r="AA68" s="70">
        <v>0.0</v>
      </c>
      <c r="AB68" s="70" t="s">
        <v>26</v>
      </c>
      <c r="AC68" s="70">
        <v>0.0</v>
      </c>
      <c r="AD68" s="70">
        <v>0.0</v>
      </c>
      <c r="AE68" s="75">
        <v>42920.0</v>
      </c>
      <c r="AF68" s="70">
        <v>0.0</v>
      </c>
      <c r="AG68" s="70" t="s">
        <v>154</v>
      </c>
      <c r="AH68" s="70"/>
      <c r="AI68" s="74"/>
      <c r="AJ68" s="70">
        <v>0.0</v>
      </c>
      <c r="AK68" s="70"/>
      <c r="AL68" s="71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</row>
    <row r="69" ht="15.75" customHeight="1">
      <c r="A69" s="55"/>
      <c r="B69" s="70" t="s">
        <v>35</v>
      </c>
      <c r="C69" s="70" t="s">
        <v>154</v>
      </c>
      <c r="D69" s="70" t="s">
        <v>158</v>
      </c>
      <c r="E69" s="70">
        <v>-35.56</v>
      </c>
      <c r="F69" s="70">
        <v>0.0</v>
      </c>
      <c r="G69" s="70">
        <v>0.0</v>
      </c>
      <c r="H69" s="70" t="s">
        <v>76</v>
      </c>
      <c r="I69" s="70">
        <v>0.0</v>
      </c>
      <c r="J69" s="70">
        <v>0.0</v>
      </c>
      <c r="K69" s="70" t="s">
        <v>29</v>
      </c>
      <c r="L69" s="70"/>
      <c r="M69" s="72"/>
      <c r="N69" s="70" t="s">
        <v>39</v>
      </c>
      <c r="O69" s="70">
        <v>0.79</v>
      </c>
      <c r="P69" s="71"/>
      <c r="Q69" s="72"/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1"/>
      <c r="Y69" s="85"/>
      <c r="Z69" s="70">
        <v>0.0</v>
      </c>
      <c r="AA69" s="70">
        <v>0.0</v>
      </c>
      <c r="AB69" s="70" t="s">
        <v>26</v>
      </c>
      <c r="AC69" s="70">
        <v>0.0</v>
      </c>
      <c r="AD69" s="70">
        <v>0.0</v>
      </c>
      <c r="AE69" s="75">
        <v>42920.0</v>
      </c>
      <c r="AF69" s="70">
        <v>0.0</v>
      </c>
      <c r="AG69" s="70" t="s">
        <v>154</v>
      </c>
      <c r="AH69" s="70"/>
      <c r="AI69" s="74"/>
      <c r="AJ69" s="70">
        <v>0.0</v>
      </c>
      <c r="AK69" s="70"/>
      <c r="AL69" s="71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</row>
    <row r="70" ht="15.75" customHeight="1">
      <c r="A70" s="55"/>
      <c r="B70" s="70" t="s">
        <v>35</v>
      </c>
      <c r="C70" s="70" t="s">
        <v>154</v>
      </c>
      <c r="D70" s="70" t="s">
        <v>161</v>
      </c>
      <c r="E70" s="70">
        <v>-35.56</v>
      </c>
      <c r="F70" s="70">
        <v>0.0</v>
      </c>
      <c r="G70" s="70">
        <v>0.0</v>
      </c>
      <c r="H70" s="70" t="s">
        <v>76</v>
      </c>
      <c r="I70" s="70">
        <v>0.0</v>
      </c>
      <c r="J70" s="70">
        <v>0.0</v>
      </c>
      <c r="K70" s="70" t="s">
        <v>29</v>
      </c>
      <c r="L70" s="70" t="s">
        <v>162</v>
      </c>
      <c r="M70" s="72"/>
      <c r="N70" s="70" t="s">
        <v>39</v>
      </c>
      <c r="O70" s="70">
        <v>1.7</v>
      </c>
      <c r="P70" s="71"/>
      <c r="Q70" s="72"/>
      <c r="R70" s="70">
        <v>0.0</v>
      </c>
      <c r="S70" s="70">
        <v>0.0</v>
      </c>
      <c r="T70" s="70">
        <v>0.0</v>
      </c>
      <c r="U70" s="70">
        <v>0.0</v>
      </c>
      <c r="V70" s="70">
        <v>0.0</v>
      </c>
      <c r="W70" s="70">
        <v>0.0</v>
      </c>
      <c r="X70" s="71"/>
      <c r="Y70" s="85"/>
      <c r="Z70" s="70">
        <v>0.0</v>
      </c>
      <c r="AA70" s="70">
        <v>0.0</v>
      </c>
      <c r="AB70" s="70" t="s">
        <v>26</v>
      </c>
      <c r="AC70" s="70">
        <v>0.0</v>
      </c>
      <c r="AD70" s="70">
        <v>0.0</v>
      </c>
      <c r="AE70" s="75">
        <v>42920.0</v>
      </c>
      <c r="AF70" s="70">
        <v>0.0</v>
      </c>
      <c r="AG70" s="70" t="s">
        <v>154</v>
      </c>
      <c r="AH70" s="70"/>
      <c r="AI70" s="74"/>
      <c r="AJ70" s="70">
        <v>0.0</v>
      </c>
      <c r="AK70" s="70"/>
      <c r="AL70" s="71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</row>
    <row r="71" ht="15.75" customHeight="1">
      <c r="A71" s="55"/>
      <c r="B71" s="70" t="s">
        <v>35</v>
      </c>
      <c r="C71" s="70" t="s">
        <v>154</v>
      </c>
      <c r="D71" s="70" t="s">
        <v>161</v>
      </c>
      <c r="E71" s="70">
        <v>35.56</v>
      </c>
      <c r="F71" s="70">
        <v>0.0</v>
      </c>
      <c r="G71" s="70">
        <v>0.0</v>
      </c>
      <c r="H71" s="70" t="s">
        <v>76</v>
      </c>
      <c r="I71" s="70">
        <v>0.0</v>
      </c>
      <c r="J71" s="70">
        <v>0.0</v>
      </c>
      <c r="K71" s="70" t="s">
        <v>29</v>
      </c>
      <c r="L71" s="70" t="s">
        <v>163</v>
      </c>
      <c r="M71" s="72"/>
      <c r="N71" s="70" t="s">
        <v>39</v>
      </c>
      <c r="O71" s="70">
        <v>0.79</v>
      </c>
      <c r="P71" s="71"/>
      <c r="Q71" s="72"/>
      <c r="R71" s="70">
        <v>0.0</v>
      </c>
      <c r="S71" s="70">
        <v>0.0</v>
      </c>
      <c r="T71" s="70">
        <v>0.0</v>
      </c>
      <c r="U71" s="70">
        <v>0.0</v>
      </c>
      <c r="V71" s="70">
        <v>0.0</v>
      </c>
      <c r="W71" s="70">
        <v>0.0</v>
      </c>
      <c r="X71" s="74"/>
      <c r="Y71" s="72"/>
      <c r="Z71" s="70">
        <v>0.0</v>
      </c>
      <c r="AA71" s="70">
        <v>0.0</v>
      </c>
      <c r="AB71" s="70" t="s">
        <v>26</v>
      </c>
      <c r="AC71" s="70">
        <v>0.0</v>
      </c>
      <c r="AD71" s="70">
        <v>0.0</v>
      </c>
      <c r="AE71" s="75">
        <v>42920.0</v>
      </c>
      <c r="AF71" s="70">
        <v>0.0</v>
      </c>
      <c r="AG71" s="70" t="s">
        <v>154</v>
      </c>
      <c r="AH71" s="70"/>
      <c r="AI71" s="74"/>
      <c r="AJ71" s="70">
        <v>0.0</v>
      </c>
      <c r="AK71" s="70"/>
      <c r="AL71" s="71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</row>
    <row r="72" ht="15.75" customHeight="1">
      <c r="A72" s="55"/>
      <c r="B72" s="70" t="s">
        <v>35</v>
      </c>
      <c r="C72" s="70" t="s">
        <v>77</v>
      </c>
      <c r="D72" s="70" t="s">
        <v>78</v>
      </c>
      <c r="E72" s="70">
        <v>408.29</v>
      </c>
      <c r="F72" s="70">
        <v>3.1724</v>
      </c>
      <c r="G72" s="70">
        <v>54.0</v>
      </c>
      <c r="H72" s="70" t="s">
        <v>76</v>
      </c>
      <c r="I72" s="70">
        <v>15.0</v>
      </c>
      <c r="J72" s="70">
        <v>25.0</v>
      </c>
      <c r="K72" s="70" t="s">
        <v>29</v>
      </c>
      <c r="L72" s="74"/>
      <c r="M72" s="72"/>
      <c r="N72" s="70" t="s">
        <v>39</v>
      </c>
      <c r="O72" s="70">
        <v>1.7</v>
      </c>
      <c r="P72" s="71"/>
      <c r="Q72" s="72"/>
      <c r="R72" s="70">
        <v>0.8652</v>
      </c>
      <c r="S72" s="70">
        <v>0.0</v>
      </c>
      <c r="T72" s="70">
        <v>62.0</v>
      </c>
      <c r="U72" s="70">
        <v>35.0</v>
      </c>
      <c r="V72" s="70">
        <v>50.0</v>
      </c>
      <c r="W72" s="70">
        <v>40.0</v>
      </c>
      <c r="X72" s="70" t="s">
        <v>29</v>
      </c>
      <c r="Y72" s="85"/>
      <c r="Z72" s="70">
        <v>1.0094</v>
      </c>
      <c r="AA72" s="70">
        <v>35.0</v>
      </c>
      <c r="AB72" s="70" t="s">
        <v>26</v>
      </c>
      <c r="AC72" s="70">
        <v>40.0</v>
      </c>
      <c r="AD72" s="70">
        <v>312.7053</v>
      </c>
      <c r="AE72" s="75">
        <v>42920.0</v>
      </c>
      <c r="AF72" s="70">
        <v>1.6583</v>
      </c>
      <c r="AG72" s="70" t="s">
        <v>77</v>
      </c>
      <c r="AH72" s="76"/>
      <c r="AI72" s="74"/>
      <c r="AJ72" s="70">
        <v>14.0</v>
      </c>
      <c r="AK72" s="70"/>
      <c r="AL72" s="71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</row>
    <row r="73" ht="15.75" customHeight="1">
      <c r="A73" s="55"/>
      <c r="B73" s="70" t="s">
        <v>35</v>
      </c>
      <c r="C73" s="70" t="s">
        <v>77</v>
      </c>
      <c r="D73" s="70" t="s">
        <v>83</v>
      </c>
      <c r="E73" s="70">
        <v>35.56</v>
      </c>
      <c r="F73" s="70">
        <v>0.0</v>
      </c>
      <c r="G73" s="70">
        <v>0.0</v>
      </c>
      <c r="H73" s="70" t="s">
        <v>76</v>
      </c>
      <c r="I73" s="70">
        <v>0.0</v>
      </c>
      <c r="J73" s="70">
        <v>0.0</v>
      </c>
      <c r="K73" s="70" t="s">
        <v>29</v>
      </c>
      <c r="L73" s="74"/>
      <c r="M73" s="72"/>
      <c r="N73" s="70" t="s">
        <v>39</v>
      </c>
      <c r="O73" s="70">
        <v>1.7</v>
      </c>
      <c r="P73" s="71"/>
      <c r="Q73" s="72"/>
      <c r="R73" s="70">
        <v>0.0</v>
      </c>
      <c r="S73" s="70">
        <v>0.0</v>
      </c>
      <c r="T73" s="70">
        <v>0.0</v>
      </c>
      <c r="U73" s="70">
        <v>0.0</v>
      </c>
      <c r="V73" s="70">
        <v>50.0</v>
      </c>
      <c r="W73" s="70">
        <v>0.0</v>
      </c>
      <c r="X73" s="70" t="s">
        <v>29</v>
      </c>
      <c r="Y73" s="85"/>
      <c r="Z73" s="70">
        <v>0.0</v>
      </c>
      <c r="AA73" s="70">
        <v>0.0</v>
      </c>
      <c r="AB73" s="70" t="s">
        <v>26</v>
      </c>
      <c r="AC73" s="70">
        <v>0.0</v>
      </c>
      <c r="AD73" s="70">
        <v>0.0</v>
      </c>
      <c r="AE73" s="75">
        <v>42920.0</v>
      </c>
      <c r="AF73" s="70">
        <v>0.0</v>
      </c>
      <c r="AG73" s="70" t="s">
        <v>77</v>
      </c>
      <c r="AH73" s="76"/>
      <c r="AI73" s="74"/>
      <c r="AJ73" s="70">
        <v>14.0</v>
      </c>
      <c r="AK73" s="74"/>
      <c r="AL73" s="71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</row>
    <row r="74" ht="15.75" customHeight="1">
      <c r="A74" s="55"/>
      <c r="B74" s="70" t="s">
        <v>35</v>
      </c>
      <c r="C74" s="70" t="s">
        <v>77</v>
      </c>
      <c r="D74" s="70" t="s">
        <v>82</v>
      </c>
      <c r="E74" s="70">
        <v>-962.05</v>
      </c>
      <c r="F74" s="70">
        <v>2.86</v>
      </c>
      <c r="G74" s="70">
        <v>54.0</v>
      </c>
      <c r="H74" s="70" t="s">
        <v>76</v>
      </c>
      <c r="I74" s="70">
        <v>15.0</v>
      </c>
      <c r="J74" s="70">
        <v>25.0</v>
      </c>
      <c r="K74" s="70" t="s">
        <v>25</v>
      </c>
      <c r="L74" s="70"/>
      <c r="M74" s="72"/>
      <c r="N74" s="70" t="s">
        <v>39</v>
      </c>
      <c r="O74" s="70">
        <v>1.5</v>
      </c>
      <c r="P74" s="71"/>
      <c r="Q74" s="72"/>
      <c r="R74" s="70">
        <v>0.78</v>
      </c>
      <c r="S74" s="70">
        <v>0.0</v>
      </c>
      <c r="T74" s="70">
        <v>62.0</v>
      </c>
      <c r="U74" s="70">
        <v>35.0</v>
      </c>
      <c r="V74" s="70">
        <v>50.0</v>
      </c>
      <c r="W74" s="70">
        <v>40.0</v>
      </c>
      <c r="X74" s="70" t="s">
        <v>25</v>
      </c>
      <c r="Y74" s="85"/>
      <c r="Z74" s="70">
        <v>0.91</v>
      </c>
      <c r="AA74" s="70">
        <v>35.0</v>
      </c>
      <c r="AB74" s="70" t="s">
        <v>18</v>
      </c>
      <c r="AC74" s="70">
        <v>40.0</v>
      </c>
      <c r="AD74" s="70">
        <v>312.045</v>
      </c>
      <c r="AE74" s="75">
        <v>42920.0</v>
      </c>
      <c r="AF74" s="70">
        <v>1.495</v>
      </c>
      <c r="AG74" s="70" t="s">
        <v>77</v>
      </c>
      <c r="AH74" s="76"/>
      <c r="AI74" s="74"/>
      <c r="AJ74" s="70">
        <v>4.0</v>
      </c>
      <c r="AK74" s="74"/>
      <c r="AL74" s="71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</row>
    <row r="75" ht="15.75" customHeight="1">
      <c r="A75" s="55"/>
      <c r="B75" s="70" t="s">
        <v>35</v>
      </c>
      <c r="C75" s="70" t="s">
        <v>77</v>
      </c>
      <c r="D75" s="70" t="s">
        <v>80</v>
      </c>
      <c r="E75" s="70">
        <v>-313.32</v>
      </c>
      <c r="F75" s="70">
        <v>3.465</v>
      </c>
      <c r="G75" s="70">
        <v>54.0</v>
      </c>
      <c r="H75" s="70" t="s">
        <v>76</v>
      </c>
      <c r="I75" s="70">
        <v>15.0</v>
      </c>
      <c r="J75" s="70">
        <v>25.0</v>
      </c>
      <c r="K75" s="70" t="s">
        <v>31</v>
      </c>
      <c r="L75" s="74"/>
      <c r="M75" s="72"/>
      <c r="N75" s="70" t="s">
        <v>81</v>
      </c>
      <c r="O75" s="70">
        <v>1.69</v>
      </c>
      <c r="P75" s="71"/>
      <c r="Q75" s="72"/>
      <c r="R75" s="70">
        <v>0.945</v>
      </c>
      <c r="S75" s="70">
        <v>0.0</v>
      </c>
      <c r="T75" s="70">
        <v>62.0</v>
      </c>
      <c r="U75" s="70">
        <v>35.0</v>
      </c>
      <c r="V75" s="70">
        <v>50.0</v>
      </c>
      <c r="W75" s="70">
        <v>40.0</v>
      </c>
      <c r="X75" s="70" t="s">
        <v>31</v>
      </c>
      <c r="Y75" s="85"/>
      <c r="Z75" s="70">
        <v>1.1025</v>
      </c>
      <c r="AA75" s="70">
        <v>35.0</v>
      </c>
      <c r="AB75" s="70" t="s">
        <v>30</v>
      </c>
      <c r="AC75" s="70">
        <v>40.0</v>
      </c>
      <c r="AD75" s="70">
        <v>313.32375</v>
      </c>
      <c r="AE75" s="75">
        <v>42920.0</v>
      </c>
      <c r="AF75" s="70">
        <v>1.81125</v>
      </c>
      <c r="AG75" s="70" t="s">
        <v>77</v>
      </c>
      <c r="AH75" s="76"/>
      <c r="AI75" s="74"/>
      <c r="AJ75" s="70">
        <v>7.0</v>
      </c>
      <c r="AK75" s="70"/>
      <c r="AL75" s="71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</row>
    <row r="76" ht="15.75" customHeight="1">
      <c r="A76" s="55"/>
      <c r="B76" s="70" t="s">
        <v>35</v>
      </c>
      <c r="C76" s="70" t="s">
        <v>154</v>
      </c>
      <c r="D76" s="70" t="s">
        <v>155</v>
      </c>
      <c r="E76" s="70">
        <v>1965.15</v>
      </c>
      <c r="F76" s="70">
        <v>0.0</v>
      </c>
      <c r="G76" s="70">
        <v>0.0</v>
      </c>
      <c r="H76" s="70" t="s">
        <v>76</v>
      </c>
      <c r="I76" s="70">
        <v>0.0</v>
      </c>
      <c r="J76" s="70">
        <v>0.0</v>
      </c>
      <c r="K76" s="70" t="s">
        <v>25</v>
      </c>
      <c r="L76" s="70"/>
      <c r="M76" s="72"/>
      <c r="N76" s="70" t="s">
        <v>39</v>
      </c>
      <c r="O76" s="70">
        <v>1.41</v>
      </c>
      <c r="P76" s="71"/>
      <c r="Q76" s="72"/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1"/>
      <c r="Y76" s="85"/>
      <c r="Z76" s="70">
        <v>0.0</v>
      </c>
      <c r="AA76" s="70">
        <v>0.0</v>
      </c>
      <c r="AB76" s="70" t="s">
        <v>18</v>
      </c>
      <c r="AC76" s="70">
        <v>0.0</v>
      </c>
      <c r="AD76" s="70">
        <v>0.0</v>
      </c>
      <c r="AE76" s="75">
        <v>42921.0</v>
      </c>
      <c r="AF76" s="70">
        <v>0.0</v>
      </c>
      <c r="AG76" s="70" t="s">
        <v>154</v>
      </c>
      <c r="AH76" s="70"/>
      <c r="AI76" s="74"/>
      <c r="AJ76" s="70">
        <v>0.0</v>
      </c>
      <c r="AK76" s="70"/>
      <c r="AL76" s="71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</row>
    <row r="77" ht="15.75" customHeight="1">
      <c r="A77" s="55"/>
      <c r="B77" s="70" t="s">
        <v>35</v>
      </c>
      <c r="C77" s="70" t="s">
        <v>154</v>
      </c>
      <c r="D77" s="70" t="s">
        <v>155</v>
      </c>
      <c r="E77" s="70">
        <v>-24.79</v>
      </c>
      <c r="F77" s="70">
        <v>0.0</v>
      </c>
      <c r="G77" s="70">
        <v>0.0</v>
      </c>
      <c r="H77" s="70" t="s">
        <v>76</v>
      </c>
      <c r="I77" s="70">
        <v>0.0</v>
      </c>
      <c r="J77" s="70">
        <v>0.0</v>
      </c>
      <c r="K77" s="70" t="s">
        <v>40</v>
      </c>
      <c r="L77" s="70"/>
      <c r="M77" s="72"/>
      <c r="N77" s="70" t="s">
        <v>39</v>
      </c>
      <c r="O77" s="70">
        <v>1.0</v>
      </c>
      <c r="P77" s="71"/>
      <c r="Q77" s="72"/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1"/>
      <c r="Y77" s="85"/>
      <c r="Z77" s="70">
        <v>0.0</v>
      </c>
      <c r="AA77" s="70">
        <v>0.0</v>
      </c>
      <c r="AB77" s="70" t="s">
        <v>25</v>
      </c>
      <c r="AC77" s="70">
        <v>0.0</v>
      </c>
      <c r="AD77" s="70">
        <v>0.0</v>
      </c>
      <c r="AE77" s="75">
        <v>42921.0</v>
      </c>
      <c r="AF77" s="70">
        <v>0.0</v>
      </c>
      <c r="AG77" s="70" t="s">
        <v>154</v>
      </c>
      <c r="AH77" s="70"/>
      <c r="AI77" s="74"/>
      <c r="AJ77" s="70">
        <v>0.0</v>
      </c>
      <c r="AK77" s="70"/>
      <c r="AL77" s="71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</row>
    <row r="78" ht="15.75" customHeight="1">
      <c r="A78" s="55"/>
      <c r="B78" s="70" t="s">
        <v>35</v>
      </c>
      <c r="C78" s="70" t="s">
        <v>154</v>
      </c>
      <c r="D78" s="70" t="s">
        <v>156</v>
      </c>
      <c r="E78" s="70">
        <v>-1329.86</v>
      </c>
      <c r="F78" s="70">
        <v>0.0</v>
      </c>
      <c r="G78" s="70">
        <v>0.0</v>
      </c>
      <c r="H78" s="70" t="s">
        <v>76</v>
      </c>
      <c r="I78" s="70">
        <v>0.0</v>
      </c>
      <c r="J78" s="70">
        <v>0.0</v>
      </c>
      <c r="K78" s="70" t="s">
        <v>40</v>
      </c>
      <c r="L78" s="70" t="s">
        <v>157</v>
      </c>
      <c r="M78" s="72"/>
      <c r="N78" s="70" t="s">
        <v>39</v>
      </c>
      <c r="O78" s="70">
        <v>1.0</v>
      </c>
      <c r="P78" s="71"/>
      <c r="Q78" s="72"/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1"/>
      <c r="Y78" s="85"/>
      <c r="Z78" s="70">
        <v>0.0</v>
      </c>
      <c r="AA78" s="70">
        <v>0.0</v>
      </c>
      <c r="AB78" s="70" t="s">
        <v>29</v>
      </c>
      <c r="AC78" s="70">
        <v>0.0</v>
      </c>
      <c r="AD78" s="70">
        <v>0.0</v>
      </c>
      <c r="AE78" s="75">
        <v>42921.0</v>
      </c>
      <c r="AF78" s="70">
        <v>0.0</v>
      </c>
      <c r="AG78" s="70" t="s">
        <v>154</v>
      </c>
      <c r="AH78" s="70"/>
      <c r="AI78" s="74"/>
      <c r="AJ78" s="70">
        <v>0.0</v>
      </c>
      <c r="AK78" s="70"/>
      <c r="AL78" s="71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</row>
    <row r="79" ht="15.75" customHeight="1">
      <c r="A79" s="55"/>
      <c r="B79" s="70" t="s">
        <v>35</v>
      </c>
      <c r="C79" s="70" t="s">
        <v>154</v>
      </c>
      <c r="D79" s="70" t="s">
        <v>156</v>
      </c>
      <c r="E79" s="70">
        <v>-782.27</v>
      </c>
      <c r="F79" s="70">
        <v>0.0</v>
      </c>
      <c r="G79" s="70">
        <v>0.0</v>
      </c>
      <c r="H79" s="70" t="s">
        <v>76</v>
      </c>
      <c r="I79" s="70">
        <v>0.0</v>
      </c>
      <c r="J79" s="70">
        <v>0.0</v>
      </c>
      <c r="K79" s="70" t="s">
        <v>29</v>
      </c>
      <c r="L79" s="70" t="s">
        <v>157</v>
      </c>
      <c r="M79" s="72"/>
      <c r="N79" s="70" t="s">
        <v>39</v>
      </c>
      <c r="O79" s="70">
        <v>0.0</v>
      </c>
      <c r="P79" s="71"/>
      <c r="Q79" s="72"/>
      <c r="R79" s="70">
        <v>0.0</v>
      </c>
      <c r="S79" s="70">
        <v>0.0</v>
      </c>
      <c r="T79" s="70">
        <v>0.0</v>
      </c>
      <c r="U79" s="70">
        <v>0.0</v>
      </c>
      <c r="V79" s="70">
        <v>0.0</v>
      </c>
      <c r="W79" s="70">
        <v>0.0</v>
      </c>
      <c r="X79" s="71"/>
      <c r="Y79" s="85"/>
      <c r="Z79" s="70">
        <v>0.0</v>
      </c>
      <c r="AA79" s="70">
        <v>0.0</v>
      </c>
      <c r="AB79" s="70" t="s">
        <v>26</v>
      </c>
      <c r="AC79" s="70">
        <v>0.0</v>
      </c>
      <c r="AD79" s="70">
        <v>0.0</v>
      </c>
      <c r="AE79" s="75">
        <v>42921.0</v>
      </c>
      <c r="AF79" s="70">
        <v>0.0</v>
      </c>
      <c r="AG79" s="70" t="s">
        <v>154</v>
      </c>
      <c r="AH79" s="70"/>
      <c r="AI79" s="74"/>
      <c r="AJ79" s="70">
        <v>0.0</v>
      </c>
      <c r="AK79" s="70"/>
      <c r="AL79" s="71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</row>
    <row r="80" ht="15.75" customHeight="1">
      <c r="A80" s="55"/>
      <c r="B80" s="70" t="s">
        <v>35</v>
      </c>
      <c r="C80" s="70" t="s">
        <v>154</v>
      </c>
      <c r="D80" s="70" t="s">
        <v>156</v>
      </c>
      <c r="E80" s="70">
        <v>712.18</v>
      </c>
      <c r="F80" s="70">
        <v>0.0</v>
      </c>
      <c r="G80" s="70">
        <v>0.0</v>
      </c>
      <c r="H80" s="70" t="s">
        <v>76</v>
      </c>
      <c r="I80" s="70">
        <v>0.0</v>
      </c>
      <c r="J80" s="70">
        <v>0.0</v>
      </c>
      <c r="K80" s="70" t="s">
        <v>40</v>
      </c>
      <c r="L80" s="70" t="s">
        <v>165</v>
      </c>
      <c r="M80" s="72"/>
      <c r="N80" s="70" t="s">
        <v>39</v>
      </c>
      <c r="O80" s="70">
        <v>1.0</v>
      </c>
      <c r="P80" s="71"/>
      <c r="Q80" s="72"/>
      <c r="R80" s="70">
        <v>0.0</v>
      </c>
      <c r="S80" s="70">
        <v>0.0</v>
      </c>
      <c r="T80" s="70">
        <v>0.0</v>
      </c>
      <c r="U80" s="70">
        <v>0.0</v>
      </c>
      <c r="V80" s="70">
        <v>0.0</v>
      </c>
      <c r="W80" s="70">
        <v>0.0</v>
      </c>
      <c r="X80" s="71"/>
      <c r="Y80" s="85"/>
      <c r="Z80" s="70">
        <v>0.0</v>
      </c>
      <c r="AA80" s="70">
        <v>0.0</v>
      </c>
      <c r="AB80" s="70" t="s">
        <v>29</v>
      </c>
      <c r="AC80" s="70">
        <v>0.0</v>
      </c>
      <c r="AD80" s="70">
        <v>0.0</v>
      </c>
      <c r="AE80" s="75">
        <v>42921.0</v>
      </c>
      <c r="AF80" s="70">
        <v>0.0</v>
      </c>
      <c r="AG80" s="70" t="s">
        <v>154</v>
      </c>
      <c r="AH80" s="70"/>
      <c r="AI80" s="74"/>
      <c r="AJ80" s="70">
        <v>0.0</v>
      </c>
      <c r="AK80" s="70"/>
      <c r="AL80" s="71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</row>
    <row r="81" ht="15.75" customHeight="1">
      <c r="A81" s="55"/>
      <c r="B81" s="70" t="s">
        <v>35</v>
      </c>
      <c r="C81" s="70" t="s">
        <v>154</v>
      </c>
      <c r="D81" s="70" t="s">
        <v>156</v>
      </c>
      <c r="E81" s="70">
        <v>-3080.23</v>
      </c>
      <c r="F81" s="70">
        <v>0.0</v>
      </c>
      <c r="G81" s="70">
        <v>0.0</v>
      </c>
      <c r="H81" s="70" t="s">
        <v>76</v>
      </c>
      <c r="I81" s="70">
        <v>0.0</v>
      </c>
      <c r="J81" s="70">
        <v>0.0</v>
      </c>
      <c r="K81" s="70" t="s">
        <v>29</v>
      </c>
      <c r="L81" s="70" t="s">
        <v>165</v>
      </c>
      <c r="M81" s="72"/>
      <c r="N81" s="70" t="s">
        <v>39</v>
      </c>
      <c r="O81" s="70">
        <v>0.79</v>
      </c>
      <c r="P81" s="71"/>
      <c r="Q81" s="72"/>
      <c r="R81" s="70">
        <v>0.0</v>
      </c>
      <c r="S81" s="70">
        <v>0.0</v>
      </c>
      <c r="T81" s="70">
        <v>0.0</v>
      </c>
      <c r="U81" s="70">
        <v>0.0</v>
      </c>
      <c r="V81" s="70">
        <v>0.0</v>
      </c>
      <c r="W81" s="70">
        <v>0.0</v>
      </c>
      <c r="X81" s="71"/>
      <c r="Y81" s="85"/>
      <c r="Z81" s="70">
        <v>0.0</v>
      </c>
      <c r="AA81" s="70">
        <v>0.0</v>
      </c>
      <c r="AB81" s="70" t="s">
        <v>26</v>
      </c>
      <c r="AC81" s="70">
        <v>0.0</v>
      </c>
      <c r="AD81" s="70">
        <v>0.0</v>
      </c>
      <c r="AE81" s="75">
        <v>42921.0</v>
      </c>
      <c r="AF81" s="70">
        <v>0.0</v>
      </c>
      <c r="AG81" s="70" t="s">
        <v>154</v>
      </c>
      <c r="AH81" s="70"/>
      <c r="AI81" s="74"/>
      <c r="AJ81" s="70">
        <v>0.0</v>
      </c>
      <c r="AK81" s="70"/>
      <c r="AL81" s="71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</row>
    <row r="82" ht="15.75" customHeight="1">
      <c r="A82" s="55"/>
      <c r="B82" s="70" t="s">
        <v>35</v>
      </c>
      <c r="C82" s="70" t="s">
        <v>154</v>
      </c>
      <c r="D82" s="70" t="s">
        <v>155</v>
      </c>
      <c r="E82" s="70">
        <v>284.85</v>
      </c>
      <c r="F82" s="70">
        <v>0.0</v>
      </c>
      <c r="G82" s="70">
        <v>0.0</v>
      </c>
      <c r="H82" s="70" t="s">
        <v>76</v>
      </c>
      <c r="I82" s="70">
        <v>0.0</v>
      </c>
      <c r="J82" s="70">
        <v>0.0</v>
      </c>
      <c r="K82" s="70" t="s">
        <v>25</v>
      </c>
      <c r="L82" s="70"/>
      <c r="M82" s="72"/>
      <c r="N82" s="70" t="s">
        <v>39</v>
      </c>
      <c r="O82" s="70">
        <v>0.0</v>
      </c>
      <c r="P82" s="71"/>
      <c r="Q82" s="72"/>
      <c r="R82" s="70">
        <v>0.0</v>
      </c>
      <c r="S82" s="70">
        <v>0.0</v>
      </c>
      <c r="T82" s="70">
        <v>0.0</v>
      </c>
      <c r="U82" s="70">
        <v>0.0</v>
      </c>
      <c r="V82" s="70">
        <v>0.0</v>
      </c>
      <c r="W82" s="70">
        <v>0.0</v>
      </c>
      <c r="X82" s="71"/>
      <c r="Y82" s="85"/>
      <c r="Z82" s="70">
        <v>0.0</v>
      </c>
      <c r="AA82" s="70">
        <v>0.0</v>
      </c>
      <c r="AB82" s="70" t="s">
        <v>18</v>
      </c>
      <c r="AC82" s="70">
        <v>0.0</v>
      </c>
      <c r="AD82" s="70">
        <v>0.0</v>
      </c>
      <c r="AE82" s="75">
        <v>42921.0</v>
      </c>
      <c r="AF82" s="70">
        <v>0.0</v>
      </c>
      <c r="AG82" s="70" t="s">
        <v>154</v>
      </c>
      <c r="AH82" s="70"/>
      <c r="AI82" s="74"/>
      <c r="AJ82" s="70">
        <v>0.0</v>
      </c>
      <c r="AK82" s="70"/>
      <c r="AL82" s="71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</row>
    <row r="83" ht="15.75" customHeight="1">
      <c r="A83" s="55"/>
      <c r="B83" s="70" t="s">
        <v>35</v>
      </c>
      <c r="C83" s="70" t="s">
        <v>154</v>
      </c>
      <c r="D83" s="70" t="s">
        <v>155</v>
      </c>
      <c r="E83" s="70">
        <v>427.28</v>
      </c>
      <c r="F83" s="70">
        <v>0.0</v>
      </c>
      <c r="G83" s="70">
        <v>0.0</v>
      </c>
      <c r="H83" s="70" t="s">
        <v>76</v>
      </c>
      <c r="I83" s="70">
        <v>0.0</v>
      </c>
      <c r="J83" s="70">
        <v>0.0</v>
      </c>
      <c r="K83" s="70" t="s">
        <v>40</v>
      </c>
      <c r="L83" s="70"/>
      <c r="M83" s="72"/>
      <c r="N83" s="70" t="s">
        <v>39</v>
      </c>
      <c r="O83" s="70">
        <v>1.0</v>
      </c>
      <c r="P83" s="71"/>
      <c r="Q83" s="72"/>
      <c r="R83" s="70">
        <v>0.0</v>
      </c>
      <c r="S83" s="70">
        <v>0.0</v>
      </c>
      <c r="T83" s="70">
        <v>0.0</v>
      </c>
      <c r="U83" s="70">
        <v>0.0</v>
      </c>
      <c r="V83" s="70">
        <v>0.0</v>
      </c>
      <c r="W83" s="70">
        <v>0.0</v>
      </c>
      <c r="X83" s="71"/>
      <c r="Y83" s="85"/>
      <c r="Z83" s="70">
        <v>0.0</v>
      </c>
      <c r="AA83" s="70">
        <v>0.0</v>
      </c>
      <c r="AB83" s="70" t="s">
        <v>25</v>
      </c>
      <c r="AC83" s="70">
        <v>0.0</v>
      </c>
      <c r="AD83" s="70">
        <v>0.0</v>
      </c>
      <c r="AE83" s="75">
        <v>42921.0</v>
      </c>
      <c r="AF83" s="70">
        <v>0.0</v>
      </c>
      <c r="AG83" s="70" t="s">
        <v>154</v>
      </c>
      <c r="AH83" s="70"/>
      <c r="AI83" s="74"/>
      <c r="AJ83" s="70">
        <v>0.0</v>
      </c>
      <c r="AK83" s="70"/>
      <c r="AL83" s="71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</row>
    <row r="84" ht="15.75" customHeight="1">
      <c r="A84" s="55"/>
      <c r="B84" s="70" t="s">
        <v>35</v>
      </c>
      <c r="C84" s="70" t="s">
        <v>154</v>
      </c>
      <c r="D84" s="70" t="s">
        <v>158</v>
      </c>
      <c r="E84" s="70">
        <v>13917.65</v>
      </c>
      <c r="F84" s="70">
        <v>0.0</v>
      </c>
      <c r="G84" s="70">
        <v>0.0</v>
      </c>
      <c r="H84" s="70" t="s">
        <v>76</v>
      </c>
      <c r="I84" s="70">
        <v>0.0</v>
      </c>
      <c r="J84" s="70">
        <v>0.0</v>
      </c>
      <c r="K84" s="70" t="s">
        <v>29</v>
      </c>
      <c r="L84" s="70"/>
      <c r="M84" s="72"/>
      <c r="N84" s="70" t="s">
        <v>39</v>
      </c>
      <c r="O84" s="70">
        <v>0.0</v>
      </c>
      <c r="P84" s="71"/>
      <c r="Q84" s="72"/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1"/>
      <c r="Y84" s="85"/>
      <c r="Z84" s="70">
        <v>0.0</v>
      </c>
      <c r="AA84" s="70">
        <v>0.0</v>
      </c>
      <c r="AB84" s="70" t="s">
        <v>29</v>
      </c>
      <c r="AC84" s="70">
        <v>0.0</v>
      </c>
      <c r="AD84" s="70">
        <v>0.0</v>
      </c>
      <c r="AE84" s="75">
        <v>42921.0</v>
      </c>
      <c r="AF84" s="70">
        <v>0.0</v>
      </c>
      <c r="AG84" s="70" t="s">
        <v>154</v>
      </c>
      <c r="AH84" s="70"/>
      <c r="AI84" s="74"/>
      <c r="AJ84" s="70">
        <v>0.0</v>
      </c>
      <c r="AK84" s="70"/>
      <c r="AL84" s="71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</row>
    <row r="85" ht="15.75" customHeight="1">
      <c r="A85" s="55"/>
      <c r="B85" s="70" t="s">
        <v>35</v>
      </c>
      <c r="C85" s="70" t="s">
        <v>154</v>
      </c>
      <c r="D85" s="70" t="s">
        <v>158</v>
      </c>
      <c r="E85" s="70">
        <v>13917.65</v>
      </c>
      <c r="F85" s="70">
        <v>0.0</v>
      </c>
      <c r="G85" s="70">
        <v>0.0</v>
      </c>
      <c r="H85" s="70" t="s">
        <v>76</v>
      </c>
      <c r="I85" s="70">
        <v>0.0</v>
      </c>
      <c r="J85" s="70">
        <v>0.0</v>
      </c>
      <c r="K85" s="70" t="s">
        <v>29</v>
      </c>
      <c r="L85" s="70"/>
      <c r="M85" s="72"/>
      <c r="N85" s="70" t="s">
        <v>39</v>
      </c>
      <c r="O85" s="70">
        <v>0.0</v>
      </c>
      <c r="P85" s="71"/>
      <c r="Q85" s="72"/>
      <c r="R85" s="70">
        <v>0.0</v>
      </c>
      <c r="S85" s="70">
        <v>0.0</v>
      </c>
      <c r="T85" s="70">
        <v>0.0</v>
      </c>
      <c r="U85" s="70">
        <v>0.0</v>
      </c>
      <c r="V85" s="70">
        <v>0.0</v>
      </c>
      <c r="W85" s="70">
        <v>0.0</v>
      </c>
      <c r="X85" s="71"/>
      <c r="Y85" s="85"/>
      <c r="Z85" s="70">
        <v>0.0</v>
      </c>
      <c r="AA85" s="70">
        <v>0.0</v>
      </c>
      <c r="AB85" s="70" t="s">
        <v>29</v>
      </c>
      <c r="AC85" s="70">
        <v>0.0</v>
      </c>
      <c r="AD85" s="70">
        <v>0.0</v>
      </c>
      <c r="AE85" s="75">
        <v>42921.0</v>
      </c>
      <c r="AF85" s="70">
        <v>0.0</v>
      </c>
      <c r="AG85" s="70" t="s">
        <v>154</v>
      </c>
      <c r="AH85" s="70"/>
      <c r="AI85" s="74"/>
      <c r="AJ85" s="70">
        <v>0.0</v>
      </c>
      <c r="AK85" s="70"/>
      <c r="AL85" s="71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</row>
    <row r="86" ht="15.75" customHeight="1">
      <c r="A86" s="55"/>
      <c r="B86" s="70" t="s">
        <v>35</v>
      </c>
      <c r="C86" s="70" t="s">
        <v>154</v>
      </c>
      <c r="D86" s="70" t="s">
        <v>161</v>
      </c>
      <c r="E86" s="70">
        <v>35.56</v>
      </c>
      <c r="F86" s="70">
        <v>0.0</v>
      </c>
      <c r="G86" s="70">
        <v>0.0</v>
      </c>
      <c r="H86" s="70" t="s">
        <v>76</v>
      </c>
      <c r="I86" s="70">
        <v>0.0</v>
      </c>
      <c r="J86" s="70">
        <v>0.0</v>
      </c>
      <c r="K86" s="70" t="s">
        <v>29</v>
      </c>
      <c r="L86" s="70" t="s">
        <v>166</v>
      </c>
      <c r="M86" s="72"/>
      <c r="N86" s="70" t="s">
        <v>39</v>
      </c>
      <c r="O86" s="70">
        <v>0.0</v>
      </c>
      <c r="P86" s="71"/>
      <c r="Q86" s="72"/>
      <c r="R86" s="70">
        <v>0.0</v>
      </c>
      <c r="S86" s="70">
        <v>0.0</v>
      </c>
      <c r="T86" s="70">
        <v>0.0</v>
      </c>
      <c r="U86" s="70">
        <v>0.0</v>
      </c>
      <c r="V86" s="70">
        <v>0.0</v>
      </c>
      <c r="W86" s="70">
        <v>0.0</v>
      </c>
      <c r="X86" s="74"/>
      <c r="Y86" s="72"/>
      <c r="Z86" s="70">
        <v>0.0</v>
      </c>
      <c r="AA86" s="70">
        <v>0.0</v>
      </c>
      <c r="AB86" s="70" t="s">
        <v>29</v>
      </c>
      <c r="AC86" s="70">
        <v>0.0</v>
      </c>
      <c r="AD86" s="70">
        <v>0.0</v>
      </c>
      <c r="AE86" s="75">
        <v>42921.0</v>
      </c>
      <c r="AF86" s="70">
        <v>0.0</v>
      </c>
      <c r="AG86" s="70" t="s">
        <v>154</v>
      </c>
      <c r="AH86" s="70"/>
      <c r="AI86" s="74"/>
      <c r="AJ86" s="70">
        <v>0.0</v>
      </c>
      <c r="AK86" s="70"/>
      <c r="AL86" s="71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</row>
    <row r="87" ht="15.75" customHeight="1">
      <c r="A87" s="55"/>
      <c r="B87" s="70" t="s">
        <v>35</v>
      </c>
      <c r="C87" s="70" t="s">
        <v>154</v>
      </c>
      <c r="D87" s="70" t="s">
        <v>161</v>
      </c>
      <c r="E87" s="70">
        <v>70.55</v>
      </c>
      <c r="F87" s="70">
        <v>0.0</v>
      </c>
      <c r="G87" s="70">
        <v>0.0</v>
      </c>
      <c r="H87" s="70" t="s">
        <v>76</v>
      </c>
      <c r="I87" s="70">
        <v>0.0</v>
      </c>
      <c r="J87" s="70">
        <v>0.0</v>
      </c>
      <c r="K87" s="70" t="s">
        <v>29</v>
      </c>
      <c r="L87" s="70" t="s">
        <v>166</v>
      </c>
      <c r="M87" s="72"/>
      <c r="N87" s="70" t="s">
        <v>39</v>
      </c>
      <c r="O87" s="70">
        <v>0.0</v>
      </c>
      <c r="P87" s="71"/>
      <c r="Q87" s="72"/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4"/>
      <c r="Y87" s="72"/>
      <c r="Z87" s="70">
        <v>0.0</v>
      </c>
      <c r="AA87" s="70">
        <v>0.0</v>
      </c>
      <c r="AB87" s="70" t="s">
        <v>29</v>
      </c>
      <c r="AC87" s="70">
        <v>0.0</v>
      </c>
      <c r="AD87" s="70">
        <v>0.0</v>
      </c>
      <c r="AE87" s="75">
        <v>42921.0</v>
      </c>
      <c r="AF87" s="70">
        <v>0.0</v>
      </c>
      <c r="AG87" s="70" t="s">
        <v>154</v>
      </c>
      <c r="AH87" s="70"/>
      <c r="AI87" s="74"/>
      <c r="AJ87" s="70">
        <v>0.0</v>
      </c>
      <c r="AK87" s="70"/>
      <c r="AL87" s="71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</row>
    <row r="88" ht="15.75" customHeight="1">
      <c r="A88" s="55"/>
      <c r="B88" s="70" t="s">
        <v>35</v>
      </c>
      <c r="C88" s="70" t="s">
        <v>154</v>
      </c>
      <c r="D88" s="70" t="s">
        <v>161</v>
      </c>
      <c r="E88" s="70">
        <v>-35.56</v>
      </c>
      <c r="F88" s="70">
        <v>0.0</v>
      </c>
      <c r="G88" s="70">
        <v>0.0</v>
      </c>
      <c r="H88" s="70" t="s">
        <v>76</v>
      </c>
      <c r="I88" s="70">
        <v>0.0</v>
      </c>
      <c r="J88" s="70">
        <v>0.0</v>
      </c>
      <c r="K88" s="70" t="s">
        <v>29</v>
      </c>
      <c r="L88" s="70" t="s">
        <v>167</v>
      </c>
      <c r="M88" s="72"/>
      <c r="N88" s="70" t="s">
        <v>39</v>
      </c>
      <c r="O88" s="70">
        <v>0.79</v>
      </c>
      <c r="P88" s="71"/>
      <c r="Q88" s="72"/>
      <c r="R88" s="70">
        <v>0.0</v>
      </c>
      <c r="S88" s="70">
        <v>0.0</v>
      </c>
      <c r="T88" s="70">
        <v>0.0</v>
      </c>
      <c r="U88" s="70">
        <v>0.0</v>
      </c>
      <c r="V88" s="70">
        <v>0.0</v>
      </c>
      <c r="W88" s="70">
        <v>0.0</v>
      </c>
      <c r="X88" s="74"/>
      <c r="Y88" s="72"/>
      <c r="Z88" s="70">
        <v>0.0</v>
      </c>
      <c r="AA88" s="70">
        <v>0.0</v>
      </c>
      <c r="AB88" s="70" t="s">
        <v>29</v>
      </c>
      <c r="AC88" s="70">
        <v>0.0</v>
      </c>
      <c r="AD88" s="70">
        <v>0.0</v>
      </c>
      <c r="AE88" s="75">
        <v>42921.0</v>
      </c>
      <c r="AF88" s="70">
        <v>0.0</v>
      </c>
      <c r="AG88" s="70" t="s">
        <v>154</v>
      </c>
      <c r="AH88" s="70"/>
      <c r="AI88" s="74"/>
      <c r="AJ88" s="70">
        <v>0.0</v>
      </c>
      <c r="AK88" s="74"/>
      <c r="AL88" s="71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</row>
    <row r="89" ht="15.75" customHeight="1">
      <c r="A89" s="55"/>
      <c r="B89" s="70" t="s">
        <v>35</v>
      </c>
      <c r="C89" s="70" t="s">
        <v>154</v>
      </c>
      <c r="D89" s="70" t="s">
        <v>161</v>
      </c>
      <c r="E89" s="70">
        <v>-70.55</v>
      </c>
      <c r="F89" s="70">
        <v>0.0</v>
      </c>
      <c r="G89" s="70">
        <v>0.0</v>
      </c>
      <c r="H89" s="70" t="s">
        <v>76</v>
      </c>
      <c r="I89" s="70">
        <v>0.0</v>
      </c>
      <c r="J89" s="70">
        <v>0.0</v>
      </c>
      <c r="K89" s="70" t="s">
        <v>29</v>
      </c>
      <c r="L89" s="70" t="s">
        <v>167</v>
      </c>
      <c r="M89" s="72"/>
      <c r="N89" s="70" t="s">
        <v>39</v>
      </c>
      <c r="O89" s="70">
        <v>0.79</v>
      </c>
      <c r="P89" s="71"/>
      <c r="Q89" s="72"/>
      <c r="R89" s="70">
        <v>0.0</v>
      </c>
      <c r="S89" s="70">
        <v>0.0</v>
      </c>
      <c r="T89" s="70">
        <v>0.0</v>
      </c>
      <c r="U89" s="70">
        <v>0.0</v>
      </c>
      <c r="V89" s="70">
        <v>0.0</v>
      </c>
      <c r="W89" s="70">
        <v>0.0</v>
      </c>
      <c r="X89" s="74"/>
      <c r="Y89" s="72"/>
      <c r="Z89" s="70">
        <v>0.0</v>
      </c>
      <c r="AA89" s="70">
        <v>0.0</v>
      </c>
      <c r="AB89" s="70" t="s">
        <v>29</v>
      </c>
      <c r="AC89" s="70">
        <v>0.0</v>
      </c>
      <c r="AD89" s="70">
        <v>0.0</v>
      </c>
      <c r="AE89" s="75">
        <v>42921.0</v>
      </c>
      <c r="AF89" s="70">
        <v>0.0</v>
      </c>
      <c r="AG89" s="70" t="s">
        <v>154</v>
      </c>
      <c r="AH89" s="70"/>
      <c r="AI89" s="74"/>
      <c r="AJ89" s="70">
        <v>0.0</v>
      </c>
      <c r="AK89" s="74"/>
      <c r="AL89" s="71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</row>
    <row r="90" ht="15.75" customHeight="1">
      <c r="A90" s="55"/>
      <c r="B90" s="70" t="s">
        <v>35</v>
      </c>
      <c r="C90" s="70" t="s">
        <v>154</v>
      </c>
      <c r="D90" s="70" t="s">
        <v>158</v>
      </c>
      <c r="E90" s="70">
        <v>19607.65</v>
      </c>
      <c r="F90" s="70">
        <v>0.0</v>
      </c>
      <c r="G90" s="70">
        <v>0.0</v>
      </c>
      <c r="H90" s="70" t="s">
        <v>76</v>
      </c>
      <c r="I90" s="70">
        <v>0.0</v>
      </c>
      <c r="J90" s="70">
        <v>0.0</v>
      </c>
      <c r="K90" s="70" t="s">
        <v>25</v>
      </c>
      <c r="L90" s="70"/>
      <c r="M90" s="72"/>
      <c r="N90" s="70" t="s">
        <v>39</v>
      </c>
      <c r="O90" s="70">
        <v>0.0</v>
      </c>
      <c r="P90" s="71"/>
      <c r="Q90" s="72"/>
      <c r="R90" s="70">
        <v>0.0</v>
      </c>
      <c r="S90" s="70">
        <v>0.0</v>
      </c>
      <c r="T90" s="70">
        <v>0.0</v>
      </c>
      <c r="U90" s="70">
        <v>0.0</v>
      </c>
      <c r="V90" s="70">
        <v>0.0</v>
      </c>
      <c r="W90" s="70">
        <v>0.0</v>
      </c>
      <c r="X90" s="74"/>
      <c r="Y90" s="72"/>
      <c r="Z90" s="70">
        <v>0.0</v>
      </c>
      <c r="AA90" s="70">
        <v>0.0</v>
      </c>
      <c r="AB90" s="70" t="s">
        <v>25</v>
      </c>
      <c r="AC90" s="70">
        <v>0.0</v>
      </c>
      <c r="AD90" s="70">
        <v>0.0</v>
      </c>
      <c r="AE90" s="75">
        <v>42921.0</v>
      </c>
      <c r="AF90" s="70">
        <v>0.0</v>
      </c>
      <c r="AG90" s="70" t="s">
        <v>154</v>
      </c>
      <c r="AH90" s="70"/>
      <c r="AI90" s="74"/>
      <c r="AJ90" s="70">
        <v>0.0</v>
      </c>
      <c r="AK90" s="74"/>
      <c r="AL90" s="71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</row>
    <row r="91" ht="15.75" customHeight="1">
      <c r="A91" s="55"/>
      <c r="B91" s="70" t="s">
        <v>35</v>
      </c>
      <c r="C91" s="70" t="s">
        <v>154</v>
      </c>
      <c r="D91" s="70" t="s">
        <v>158</v>
      </c>
      <c r="E91" s="70">
        <v>-19607.65</v>
      </c>
      <c r="F91" s="70">
        <v>0.0</v>
      </c>
      <c r="G91" s="70">
        <v>0.0</v>
      </c>
      <c r="H91" s="70" t="s">
        <v>76</v>
      </c>
      <c r="I91" s="70">
        <v>0.0</v>
      </c>
      <c r="J91" s="70">
        <v>0.0</v>
      </c>
      <c r="K91" s="70" t="s">
        <v>25</v>
      </c>
      <c r="L91" s="70"/>
      <c r="M91" s="72"/>
      <c r="N91" s="70" t="s">
        <v>39</v>
      </c>
      <c r="O91" s="70">
        <v>1.41</v>
      </c>
      <c r="P91" s="71"/>
      <c r="Q91" s="72"/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4"/>
      <c r="Y91" s="72"/>
      <c r="Z91" s="70">
        <v>0.0</v>
      </c>
      <c r="AA91" s="70">
        <v>0.0</v>
      </c>
      <c r="AB91" s="70" t="s">
        <v>25</v>
      </c>
      <c r="AC91" s="70">
        <v>0.0</v>
      </c>
      <c r="AD91" s="70">
        <v>0.0</v>
      </c>
      <c r="AE91" s="75">
        <v>42921.0</v>
      </c>
      <c r="AF91" s="70">
        <v>0.0</v>
      </c>
      <c r="AG91" s="70" t="s">
        <v>154</v>
      </c>
      <c r="AH91" s="70"/>
      <c r="AI91" s="74"/>
      <c r="AJ91" s="70">
        <v>0.0</v>
      </c>
      <c r="AK91" s="74"/>
      <c r="AL91" s="71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</row>
    <row r="92" ht="15.75" customHeight="1">
      <c r="A92" s="55"/>
      <c r="B92" s="70" t="s">
        <v>35</v>
      </c>
      <c r="C92" s="70" t="s">
        <v>154</v>
      </c>
      <c r="D92" s="70" t="s">
        <v>158</v>
      </c>
      <c r="E92" s="70">
        <v>-26416.04</v>
      </c>
      <c r="F92" s="70">
        <v>0.0</v>
      </c>
      <c r="G92" s="70">
        <v>0.0</v>
      </c>
      <c r="H92" s="70" t="s">
        <v>76</v>
      </c>
      <c r="I92" s="70">
        <v>0.0</v>
      </c>
      <c r="J92" s="70">
        <v>0.0</v>
      </c>
      <c r="K92" s="70" t="s">
        <v>31</v>
      </c>
      <c r="L92" s="70"/>
      <c r="M92" s="72"/>
      <c r="N92" s="70" t="s">
        <v>39</v>
      </c>
      <c r="O92" s="70">
        <v>0.0</v>
      </c>
      <c r="P92" s="71"/>
      <c r="Q92" s="72"/>
      <c r="R92" s="70">
        <v>0.0</v>
      </c>
      <c r="S92" s="70">
        <v>0.0</v>
      </c>
      <c r="T92" s="70">
        <v>0.0</v>
      </c>
      <c r="U92" s="70">
        <v>0.0</v>
      </c>
      <c r="V92" s="70">
        <v>0.0</v>
      </c>
      <c r="W92" s="70">
        <v>0.0</v>
      </c>
      <c r="X92" s="74"/>
      <c r="Y92" s="72"/>
      <c r="Z92" s="70">
        <v>0.0</v>
      </c>
      <c r="AA92" s="70">
        <v>0.0</v>
      </c>
      <c r="AB92" s="70" t="s">
        <v>31</v>
      </c>
      <c r="AC92" s="70">
        <v>0.0</v>
      </c>
      <c r="AD92" s="70">
        <v>0.0</v>
      </c>
      <c r="AE92" s="75">
        <v>42921.0</v>
      </c>
      <c r="AF92" s="70">
        <v>0.0</v>
      </c>
      <c r="AG92" s="70" t="s">
        <v>154</v>
      </c>
      <c r="AH92" s="70"/>
      <c r="AI92" s="74"/>
      <c r="AJ92" s="70">
        <v>0.0</v>
      </c>
      <c r="AK92" s="74"/>
      <c r="AL92" s="71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</row>
    <row r="93" ht="15.75" customHeight="1">
      <c r="A93" s="55"/>
      <c r="B93" s="70" t="s">
        <v>35</v>
      </c>
      <c r="C93" s="70" t="s">
        <v>154</v>
      </c>
      <c r="D93" s="70" t="s">
        <v>158</v>
      </c>
      <c r="E93" s="70">
        <v>26416.04</v>
      </c>
      <c r="F93" s="70">
        <v>0.0</v>
      </c>
      <c r="G93" s="70">
        <v>0.0</v>
      </c>
      <c r="H93" s="70" t="s">
        <v>76</v>
      </c>
      <c r="I93" s="70">
        <v>0.0</v>
      </c>
      <c r="J93" s="70">
        <v>0.0</v>
      </c>
      <c r="K93" s="70" t="s">
        <v>31</v>
      </c>
      <c r="L93" s="70"/>
      <c r="M93" s="72"/>
      <c r="N93" s="70" t="s">
        <v>39</v>
      </c>
      <c r="O93" s="70">
        <v>0.8</v>
      </c>
      <c r="P93" s="71"/>
      <c r="Q93" s="72"/>
      <c r="R93" s="70">
        <v>0.0</v>
      </c>
      <c r="S93" s="70">
        <v>0.0</v>
      </c>
      <c r="T93" s="70">
        <v>0.0</v>
      </c>
      <c r="U93" s="70">
        <v>0.0</v>
      </c>
      <c r="V93" s="70">
        <v>0.0</v>
      </c>
      <c r="W93" s="70">
        <v>0.0</v>
      </c>
      <c r="X93" s="74"/>
      <c r="Y93" s="72"/>
      <c r="Z93" s="70">
        <v>0.0</v>
      </c>
      <c r="AA93" s="70">
        <v>0.0</v>
      </c>
      <c r="AB93" s="70" t="s">
        <v>31</v>
      </c>
      <c r="AC93" s="70">
        <v>0.0</v>
      </c>
      <c r="AD93" s="70">
        <v>0.0</v>
      </c>
      <c r="AE93" s="75">
        <v>42921.0</v>
      </c>
      <c r="AF93" s="70">
        <v>0.0</v>
      </c>
      <c r="AG93" s="70" t="s">
        <v>154</v>
      </c>
      <c r="AH93" s="70"/>
      <c r="AI93" s="74"/>
      <c r="AJ93" s="70">
        <v>0.0</v>
      </c>
      <c r="AK93" s="74"/>
      <c r="AL93" s="71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</row>
    <row r="94" ht="15.75" customHeight="1">
      <c r="A94" s="55"/>
      <c r="B94" s="70" t="s">
        <v>35</v>
      </c>
      <c r="C94" s="70" t="s">
        <v>77</v>
      </c>
      <c r="D94" s="70" t="s">
        <v>95</v>
      </c>
      <c r="E94" s="70">
        <v>0.28</v>
      </c>
      <c r="F94" s="70">
        <v>0.0</v>
      </c>
      <c r="G94" s="70">
        <v>0.0</v>
      </c>
      <c r="H94" s="70" t="s">
        <v>159</v>
      </c>
      <c r="I94" s="70">
        <v>0.0</v>
      </c>
      <c r="J94" s="70">
        <v>0.0</v>
      </c>
      <c r="K94" s="70" t="s">
        <v>29</v>
      </c>
      <c r="L94" s="74"/>
      <c r="M94" s="73"/>
      <c r="N94" s="70" t="s">
        <v>39</v>
      </c>
      <c r="O94" s="70">
        <v>0.0</v>
      </c>
      <c r="P94" s="71"/>
      <c r="Q94" s="72"/>
      <c r="R94" s="70">
        <v>0.0</v>
      </c>
      <c r="S94" s="70">
        <v>0.0</v>
      </c>
      <c r="T94" s="70">
        <v>0.0</v>
      </c>
      <c r="U94" s="70">
        <v>0.0</v>
      </c>
      <c r="V94" s="70">
        <v>50.0</v>
      </c>
      <c r="W94" s="70">
        <v>0.0</v>
      </c>
      <c r="X94" s="70" t="s">
        <v>29</v>
      </c>
      <c r="Y94" s="72"/>
      <c r="Z94" s="70">
        <v>0.0</v>
      </c>
      <c r="AA94" s="70">
        <v>0.0</v>
      </c>
      <c r="AB94" s="70" t="s">
        <v>26</v>
      </c>
      <c r="AC94" s="70">
        <v>0.0</v>
      </c>
      <c r="AD94" s="70">
        <v>0.0</v>
      </c>
      <c r="AE94" s="75">
        <v>42921.0</v>
      </c>
      <c r="AF94" s="70">
        <v>0.0</v>
      </c>
      <c r="AG94" s="70" t="s">
        <v>160</v>
      </c>
      <c r="AH94" s="87"/>
      <c r="AI94" s="74"/>
      <c r="AJ94" s="70">
        <v>14.0</v>
      </c>
      <c r="AK94" s="70"/>
      <c r="AL94" s="71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</row>
    <row r="95" ht="15.75" customHeight="1">
      <c r="A95" s="55"/>
      <c r="B95" s="70" t="s">
        <v>35</v>
      </c>
      <c r="C95" s="70" t="s">
        <v>77</v>
      </c>
      <c r="D95" s="70" t="s">
        <v>98</v>
      </c>
      <c r="E95" s="70">
        <v>-4725.0</v>
      </c>
      <c r="F95" s="70">
        <v>0.0</v>
      </c>
      <c r="G95" s="70">
        <v>0.0</v>
      </c>
      <c r="H95" s="70" t="s">
        <v>76</v>
      </c>
      <c r="I95" s="70">
        <v>0.0</v>
      </c>
      <c r="J95" s="70">
        <v>0.0</v>
      </c>
      <c r="K95" s="70" t="s">
        <v>31</v>
      </c>
      <c r="L95" s="70"/>
      <c r="M95" s="73"/>
      <c r="N95" s="70" t="s">
        <v>39</v>
      </c>
      <c r="O95" s="70">
        <v>0.0</v>
      </c>
      <c r="P95" s="71"/>
      <c r="Q95" s="72"/>
      <c r="R95" s="70">
        <v>0.0</v>
      </c>
      <c r="S95" s="70">
        <v>0.0</v>
      </c>
      <c r="T95" s="70">
        <v>0.0</v>
      </c>
      <c r="U95" s="70">
        <v>0.0</v>
      </c>
      <c r="V95" s="70">
        <v>50.0</v>
      </c>
      <c r="W95" s="70">
        <v>0.0</v>
      </c>
      <c r="X95" s="70" t="s">
        <v>31</v>
      </c>
      <c r="Y95" s="72"/>
      <c r="Z95" s="70">
        <v>0.0</v>
      </c>
      <c r="AA95" s="70">
        <v>0.0</v>
      </c>
      <c r="AB95" s="70" t="s">
        <v>30</v>
      </c>
      <c r="AC95" s="70">
        <v>0.0</v>
      </c>
      <c r="AD95" s="70">
        <v>0.0</v>
      </c>
      <c r="AE95" s="75">
        <v>42921.0</v>
      </c>
      <c r="AF95" s="70">
        <v>0.0</v>
      </c>
      <c r="AG95" s="70" t="s">
        <v>160</v>
      </c>
      <c r="AH95" s="87"/>
      <c r="AI95" s="74"/>
      <c r="AJ95" s="70">
        <v>7.0</v>
      </c>
      <c r="AK95" s="70"/>
      <c r="AL95" s="71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</row>
    <row r="96" ht="15.75" customHeight="1">
      <c r="A96" s="55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4"/>
      <c r="M96" s="72"/>
      <c r="N96" s="70"/>
      <c r="O96" s="70"/>
      <c r="P96" s="71"/>
      <c r="Q96" s="72"/>
      <c r="R96" s="70"/>
      <c r="S96" s="70"/>
      <c r="T96" s="70"/>
      <c r="U96" s="70"/>
      <c r="V96" s="70"/>
      <c r="W96" s="70"/>
      <c r="X96" s="74"/>
      <c r="Y96" s="73"/>
      <c r="Z96" s="70"/>
      <c r="AA96" s="70"/>
      <c r="AB96" s="70"/>
      <c r="AC96" s="70"/>
      <c r="AD96" s="70"/>
      <c r="AE96" s="74"/>
      <c r="AF96" s="70"/>
      <c r="AG96" s="70"/>
      <c r="AH96" s="73"/>
      <c r="AI96" s="70"/>
      <c r="AJ96" s="70"/>
      <c r="AK96" s="70"/>
      <c r="AL96" s="71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</row>
    <row r="97" ht="15.75" customHeight="1">
      <c r="A97" s="55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4"/>
      <c r="M97" s="72"/>
      <c r="N97" s="70"/>
      <c r="O97" s="70"/>
      <c r="P97" s="71"/>
      <c r="Q97" s="72"/>
      <c r="R97" s="70"/>
      <c r="S97" s="70"/>
      <c r="T97" s="70"/>
      <c r="U97" s="70"/>
      <c r="V97" s="70"/>
      <c r="W97" s="70"/>
      <c r="X97" s="74"/>
      <c r="Y97" s="73"/>
      <c r="Z97" s="70"/>
      <c r="AA97" s="70"/>
      <c r="AB97" s="70"/>
      <c r="AC97" s="70"/>
      <c r="AD97" s="70"/>
      <c r="AE97" s="74"/>
      <c r="AF97" s="70"/>
      <c r="AG97" s="70"/>
      <c r="AH97" s="73"/>
      <c r="AI97" s="70"/>
      <c r="AJ97" s="70"/>
      <c r="AK97" s="70"/>
      <c r="AL97" s="71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</row>
    <row r="98" ht="15.75" customHeight="1">
      <c r="A98" s="55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4"/>
      <c r="M98" s="72"/>
      <c r="N98" s="70"/>
      <c r="O98" s="70"/>
      <c r="P98" s="71"/>
      <c r="Q98" s="72"/>
      <c r="R98" s="70"/>
      <c r="S98" s="70"/>
      <c r="T98" s="70"/>
      <c r="U98" s="70"/>
      <c r="V98" s="70"/>
      <c r="W98" s="70"/>
      <c r="X98" s="74"/>
      <c r="Y98" s="73"/>
      <c r="Z98" s="70"/>
      <c r="AA98" s="70"/>
      <c r="AB98" s="70"/>
      <c r="AC98" s="70"/>
      <c r="AD98" s="70"/>
      <c r="AE98" s="74"/>
      <c r="AF98" s="70"/>
      <c r="AG98" s="70"/>
      <c r="AH98" s="73"/>
      <c r="AI98" s="70"/>
      <c r="AJ98" s="70"/>
      <c r="AK98" s="70"/>
      <c r="AL98" s="71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</row>
    <row r="99" ht="15.75" customHeight="1">
      <c r="A99" s="55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4"/>
      <c r="M99" s="72"/>
      <c r="N99" s="70"/>
      <c r="O99" s="70"/>
      <c r="P99" s="71"/>
      <c r="Q99" s="72"/>
      <c r="R99" s="70"/>
      <c r="S99" s="70"/>
      <c r="T99" s="70"/>
      <c r="U99" s="70"/>
      <c r="V99" s="70"/>
      <c r="W99" s="70"/>
      <c r="X99" s="74"/>
      <c r="Y99" s="73"/>
      <c r="Z99" s="70"/>
      <c r="AA99" s="70"/>
      <c r="AB99" s="70"/>
      <c r="AC99" s="70"/>
      <c r="AD99" s="70"/>
      <c r="AE99" s="74"/>
      <c r="AF99" s="70"/>
      <c r="AG99" s="70"/>
      <c r="AH99" s="73"/>
      <c r="AI99" s="70"/>
      <c r="AJ99" s="70"/>
      <c r="AK99" s="70"/>
      <c r="AL99" s="71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</row>
    <row r="100" ht="15.75" customHeight="1">
      <c r="A100" s="55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4"/>
      <c r="M100" s="72"/>
      <c r="N100" s="70"/>
      <c r="O100" s="70"/>
      <c r="P100" s="71"/>
      <c r="Q100" s="72"/>
      <c r="R100" s="70"/>
      <c r="S100" s="70"/>
      <c r="T100" s="70"/>
      <c r="U100" s="70"/>
      <c r="V100" s="70"/>
      <c r="W100" s="70"/>
      <c r="X100" s="74"/>
      <c r="Y100" s="73"/>
      <c r="Z100" s="70"/>
      <c r="AA100" s="70"/>
      <c r="AB100" s="70"/>
      <c r="AC100" s="70"/>
      <c r="AD100" s="70"/>
      <c r="AE100" s="74"/>
      <c r="AF100" s="70"/>
      <c r="AG100" s="70"/>
      <c r="AH100" s="73"/>
      <c r="AI100" s="70"/>
      <c r="AJ100" s="70"/>
      <c r="AK100" s="70"/>
      <c r="AL100" s="71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</row>
    <row r="101" ht="15.75" customHeight="1">
      <c r="A101" s="55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4"/>
      <c r="M101" s="72"/>
      <c r="N101" s="70"/>
      <c r="O101" s="70"/>
      <c r="P101" s="71"/>
      <c r="Q101" s="72"/>
      <c r="R101" s="70"/>
      <c r="S101" s="70"/>
      <c r="T101" s="70"/>
      <c r="U101" s="70"/>
      <c r="V101" s="70"/>
      <c r="W101" s="70"/>
      <c r="X101" s="74"/>
      <c r="Y101" s="73"/>
      <c r="Z101" s="70"/>
      <c r="AA101" s="70"/>
      <c r="AB101" s="70"/>
      <c r="AC101" s="70"/>
      <c r="AD101" s="70"/>
      <c r="AE101" s="74"/>
      <c r="AF101" s="70"/>
      <c r="AG101" s="70"/>
      <c r="AH101" s="73"/>
      <c r="AI101" s="70"/>
      <c r="AJ101" s="70"/>
      <c r="AK101" s="70"/>
      <c r="AL101" s="71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</row>
    <row r="102" ht="15.75" customHeight="1">
      <c r="A102" s="55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4"/>
      <c r="M102" s="72"/>
      <c r="N102" s="70"/>
      <c r="O102" s="70"/>
      <c r="P102" s="71"/>
      <c r="Q102" s="72"/>
      <c r="R102" s="70"/>
      <c r="S102" s="70"/>
      <c r="T102" s="70"/>
      <c r="U102" s="70"/>
      <c r="V102" s="70"/>
      <c r="W102" s="70"/>
      <c r="X102" s="74"/>
      <c r="Y102" s="73"/>
      <c r="Z102" s="70"/>
      <c r="AA102" s="70"/>
      <c r="AB102" s="70"/>
      <c r="AC102" s="70"/>
      <c r="AD102" s="70"/>
      <c r="AE102" s="74"/>
      <c r="AF102" s="70"/>
      <c r="AG102" s="70"/>
      <c r="AH102" s="73"/>
      <c r="AI102" s="70"/>
      <c r="AJ102" s="70"/>
      <c r="AK102" s="70"/>
      <c r="AL102" s="71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</row>
    <row r="103" ht="15.75" customHeight="1">
      <c r="A103" s="55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4"/>
      <c r="M103" s="72"/>
      <c r="N103" s="70"/>
      <c r="O103" s="70"/>
      <c r="P103" s="71"/>
      <c r="Q103" s="72"/>
      <c r="R103" s="70"/>
      <c r="S103" s="70"/>
      <c r="T103" s="70"/>
      <c r="U103" s="70"/>
      <c r="V103" s="70"/>
      <c r="W103" s="70"/>
      <c r="X103" s="74"/>
      <c r="Y103" s="73"/>
      <c r="Z103" s="70"/>
      <c r="AA103" s="70"/>
      <c r="AB103" s="70"/>
      <c r="AC103" s="70"/>
      <c r="AD103" s="70"/>
      <c r="AE103" s="74"/>
      <c r="AF103" s="70"/>
      <c r="AG103" s="70"/>
      <c r="AH103" s="73"/>
      <c r="AI103" s="70"/>
      <c r="AJ103" s="70"/>
      <c r="AK103" s="70"/>
      <c r="AL103" s="71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</row>
    <row r="104" ht="15.75" customHeight="1">
      <c r="A104" s="55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4"/>
      <c r="M104" s="72"/>
      <c r="N104" s="70"/>
      <c r="O104" s="70"/>
      <c r="P104" s="71"/>
      <c r="Q104" s="72"/>
      <c r="R104" s="70"/>
      <c r="S104" s="70"/>
      <c r="T104" s="70"/>
      <c r="U104" s="70"/>
      <c r="V104" s="70"/>
      <c r="W104" s="70"/>
      <c r="X104" s="74"/>
      <c r="Y104" s="73"/>
      <c r="Z104" s="70"/>
      <c r="AA104" s="70"/>
      <c r="AB104" s="70"/>
      <c r="AC104" s="70"/>
      <c r="AD104" s="70"/>
      <c r="AE104" s="74"/>
      <c r="AF104" s="70"/>
      <c r="AG104" s="70"/>
      <c r="AH104" s="73"/>
      <c r="AI104" s="70"/>
      <c r="AJ104" s="70"/>
      <c r="AK104" s="70"/>
      <c r="AL104" s="71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</row>
  </sheetData>
  <customSheetViews>
    <customSheetView guid="{A055CC05-AAD3-4886-B0A8-AFDBDCA4213D}" filter="1" showAutoFilter="1">
      <autoFilter ref="$A$1:$H$1"/>
    </customSheetView>
    <customSheetView guid="{8C967F92-8139-4370-83DA-AC59E488A3DC}" filter="1" showAutoFilter="1">
      <autoFilter ref="$B$1:$BD$95">
        <filterColumn colId="26">
          <filters>
            <filter val="Symbol"/>
            <filter val="BAX1D G18-1C"/>
          </filters>
        </filterColumn>
        <filterColumn colId="31">
          <filters blank="1">
            <filter val="Daily Calculation"/>
            <filter val="Manual Journal Entry"/>
            <filter val="VerifyDayEndCash"/>
          </filters>
        </filterColumn>
      </autoFilter>
    </customSheetView>
  </customSheetViews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85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IFERROR(__xludf.DUMMYFUNCTION("""COMPUTED_VALUE"""),"Date")</f>
        <v>Date</v>
      </c>
      <c r="C5" s="33" t="str">
        <f>IFERROR(__xludf.DUMMYFUNCTION("""COMPUTED_VALUE"""),"Modify Date")</f>
        <v>Modify Date</v>
      </c>
      <c r="D5" s="33" t="str">
        <f>IFERROR(__xludf.DUMMYFUNCTION("""COMPUTED_VALUE"""),"Entry Date")</f>
        <v>Entry Date</v>
      </c>
      <c r="E5" s="33" t="str">
        <f>IFERROR(__xludf.DUMMYFUNCTION("""COMPUTED_VALUE"""),"DR")</f>
        <v>DR</v>
      </c>
      <c r="F5" s="33" t="str">
        <f>IFERROR(__xludf.DUMMYFUNCTION("""COMPUTED_VALUE"""),"CR")</f>
        <v>CR</v>
      </c>
      <c r="G5" s="33" t="str">
        <f>IFERROR(__xludf.DUMMYFUNCTION("""COMPUTED_VALUE"""),"Fx Rate")</f>
        <v>Fx Rate</v>
      </c>
      <c r="H5" s="33" t="str">
        <f>IFERROR(__xludf.DUMMYFUNCTION("""COMPUTED_VALUE"""),"FX Conversion Method Operator")</f>
        <v>FX Conversion Method Operator</v>
      </c>
      <c r="I5" s="33" t="str">
        <f>IFERROR(__xludf.DUMMYFUNCTION("""COMPUTED_VALUE"""),"Account Side")</f>
        <v>Account Side</v>
      </c>
      <c r="J5" s="33" t="str">
        <f>IFERROR(__xludf.DUMMYFUNCTION("""COMPUTED_VALUE"""),"TransactionSource")</f>
        <v>TransactionSource</v>
      </c>
      <c r="K5" s="33" t="str">
        <f>IFERROR(__xludf.DUMMYFUNCTION("""COMPUTED_VALUE"""),"Currency")</f>
        <v>Currency</v>
      </c>
      <c r="L5" s="33" t="str">
        <f>IFERROR(__xludf.DUMMYFUNCTION("""COMPUTED_VALUE"""),"Base Currency")</f>
        <v>Base Currency</v>
      </c>
      <c r="M5" s="33" t="str">
        <f>IFERROR(__xludf.DUMMYFUNCTION("""COMPUTED_VALUE"""),"Symbol")</f>
        <v>Symbol</v>
      </c>
      <c r="N5" s="33" t="str">
        <f>IFERROR(__xludf.DUMMYFUNCTION("""COMPUTED_VALUE"""),"Description")</f>
        <v>Description</v>
      </c>
      <c r="O5" s="33" t="str">
        <f>IFERROR(__xludf.DUMMYFUNCTION("""COMPUTED_VALUE"""),"DR (Base)")</f>
        <v>DR (Base)</v>
      </c>
      <c r="P5" s="33" t="str">
        <f>IFERROR(__xludf.DUMMYFUNCTION("""COMPUTED_VALUE"""),"CR (Base)")</f>
        <v>CR (Base)</v>
      </c>
      <c r="Q5" s="33" t="str">
        <f>IFERROR(__xludf.DUMMYFUNCTION("""COMPUTED_VALUE"""),"Cash Sub-Account")</f>
        <v>Cash Sub-Account</v>
      </c>
      <c r="R5" s="33" t="str">
        <f>IFERROR(__xludf.DUMMYFUNCTION("""COMPUTED_VALUE"""),"Account")</f>
        <v>Account</v>
      </c>
      <c r="S5" s="33" t="str">
        <f>IFERROR(__xludf.DUMMYFUNCTION("""COMPUTED_VALUE"""),"TaxLotId")</f>
        <v>TaxLotId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ht="15.75" customHeight="1">
      <c r="A6" s="55"/>
      <c r="B6" s="75">
        <v>42919.0</v>
      </c>
      <c r="C6" s="72"/>
      <c r="D6" s="72"/>
      <c r="E6" s="77">
        <v>432.72</v>
      </c>
      <c r="F6" s="78">
        <v>0.0</v>
      </c>
      <c r="G6" s="70">
        <v>1.69</v>
      </c>
      <c r="H6" s="70" t="s">
        <v>81</v>
      </c>
      <c r="I6" s="70" t="s">
        <v>38</v>
      </c>
      <c r="J6" s="70" t="s">
        <v>77</v>
      </c>
      <c r="K6" s="70" t="s">
        <v>31</v>
      </c>
      <c r="L6" s="70" t="s">
        <v>40</v>
      </c>
      <c r="M6" s="70" t="s">
        <v>30</v>
      </c>
      <c r="N6" s="71"/>
      <c r="O6" s="77">
        <v>256.05</v>
      </c>
      <c r="P6" s="77">
        <v>0.0</v>
      </c>
      <c r="Q6" s="70" t="s">
        <v>86</v>
      </c>
      <c r="R6" s="70" t="s">
        <v>35</v>
      </c>
      <c r="S6" s="70"/>
      <c r="T6" s="70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</row>
    <row r="7" ht="15.75" customHeight="1">
      <c r="A7" s="55"/>
      <c r="B7" s="75">
        <v>42919.0</v>
      </c>
      <c r="C7" s="72"/>
      <c r="D7" s="72"/>
      <c r="E7" s="79">
        <v>0.0</v>
      </c>
      <c r="F7" s="77">
        <v>432.72</v>
      </c>
      <c r="G7" s="70">
        <v>1.69</v>
      </c>
      <c r="H7" s="70" t="s">
        <v>81</v>
      </c>
      <c r="I7" s="70" t="s">
        <v>41</v>
      </c>
      <c r="J7" s="70" t="s">
        <v>77</v>
      </c>
      <c r="K7" s="70" t="s">
        <v>31</v>
      </c>
      <c r="L7" s="70" t="s">
        <v>40</v>
      </c>
      <c r="M7" s="70" t="s">
        <v>30</v>
      </c>
      <c r="N7" s="71"/>
      <c r="O7" s="77">
        <v>0.0</v>
      </c>
      <c r="P7" s="77">
        <v>256.05</v>
      </c>
      <c r="Q7" s="70" t="s">
        <v>37</v>
      </c>
      <c r="R7" s="70" t="s">
        <v>35</v>
      </c>
      <c r="S7" s="70"/>
      <c r="T7" s="70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</row>
    <row r="8" ht="15.75" customHeight="1">
      <c r="A8" s="55"/>
      <c r="B8" s="75">
        <v>42919.0</v>
      </c>
      <c r="C8" s="72"/>
      <c r="D8" s="72"/>
      <c r="E8" s="77">
        <v>430.3</v>
      </c>
      <c r="F8" s="78">
        <v>0.0</v>
      </c>
      <c r="G8" s="70">
        <v>1.5</v>
      </c>
      <c r="H8" s="70" t="s">
        <v>39</v>
      </c>
      <c r="I8" s="70" t="s">
        <v>38</v>
      </c>
      <c r="J8" s="70" t="s">
        <v>77</v>
      </c>
      <c r="K8" s="70" t="s">
        <v>25</v>
      </c>
      <c r="L8" s="70" t="s">
        <v>40</v>
      </c>
      <c r="M8" s="70" t="s">
        <v>18</v>
      </c>
      <c r="N8" s="71"/>
      <c r="O8" s="77">
        <v>645.45</v>
      </c>
      <c r="P8" s="77">
        <v>0.0</v>
      </c>
      <c r="Q8" s="70" t="s">
        <v>87</v>
      </c>
      <c r="R8" s="70" t="s">
        <v>35</v>
      </c>
      <c r="S8" s="70"/>
      <c r="T8" s="70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</row>
    <row r="9" ht="15.75" customHeight="1">
      <c r="A9" s="55"/>
      <c r="B9" s="75">
        <v>42919.0</v>
      </c>
      <c r="C9" s="72"/>
      <c r="D9" s="72"/>
      <c r="E9" s="79">
        <v>0.0</v>
      </c>
      <c r="F9" s="77">
        <v>430.3</v>
      </c>
      <c r="G9" s="70">
        <v>1.5</v>
      </c>
      <c r="H9" s="70" t="s">
        <v>39</v>
      </c>
      <c r="I9" s="70" t="s">
        <v>41</v>
      </c>
      <c r="J9" s="70" t="s">
        <v>77</v>
      </c>
      <c r="K9" s="70" t="s">
        <v>25</v>
      </c>
      <c r="L9" s="70" t="s">
        <v>40</v>
      </c>
      <c r="M9" s="70" t="s">
        <v>18</v>
      </c>
      <c r="N9" s="71"/>
      <c r="O9" s="77">
        <v>0.0</v>
      </c>
      <c r="P9" s="77">
        <v>645.45</v>
      </c>
      <c r="Q9" s="70" t="s">
        <v>37</v>
      </c>
      <c r="R9" s="70" t="s">
        <v>35</v>
      </c>
      <c r="S9" s="70"/>
      <c r="T9" s="70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</row>
    <row r="10" ht="15.75" customHeight="1">
      <c r="A10" s="55"/>
      <c r="B10" s="75">
        <v>42919.0</v>
      </c>
      <c r="C10" s="72"/>
      <c r="D10" s="72"/>
      <c r="E10" s="77">
        <v>1000.0</v>
      </c>
      <c r="F10" s="78">
        <v>0.0</v>
      </c>
      <c r="G10" s="70">
        <v>1.5</v>
      </c>
      <c r="H10" s="70" t="s">
        <v>39</v>
      </c>
      <c r="I10" s="70" t="s">
        <v>38</v>
      </c>
      <c r="J10" s="70" t="s">
        <v>77</v>
      </c>
      <c r="K10" s="70" t="s">
        <v>25</v>
      </c>
      <c r="L10" s="70" t="s">
        <v>40</v>
      </c>
      <c r="M10" s="70" t="s">
        <v>18</v>
      </c>
      <c r="N10" s="71"/>
      <c r="O10" s="77">
        <v>1500.0</v>
      </c>
      <c r="P10" s="77">
        <v>0.0</v>
      </c>
      <c r="Q10" s="70" t="s">
        <v>37</v>
      </c>
      <c r="R10" s="70" t="s">
        <v>35</v>
      </c>
      <c r="S10" s="70"/>
      <c r="T10" s="70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</row>
    <row r="11" ht="15.75" customHeight="1">
      <c r="A11" s="55"/>
      <c r="B11" s="75">
        <v>42919.0</v>
      </c>
      <c r="C11" s="72"/>
      <c r="D11" s="72"/>
      <c r="E11" s="79">
        <v>0.0</v>
      </c>
      <c r="F11" s="77">
        <v>1000.0</v>
      </c>
      <c r="G11" s="70">
        <v>1.5</v>
      </c>
      <c r="H11" s="70" t="s">
        <v>39</v>
      </c>
      <c r="I11" s="70" t="s">
        <v>41</v>
      </c>
      <c r="J11" s="70" t="s">
        <v>77</v>
      </c>
      <c r="K11" s="70" t="s">
        <v>25</v>
      </c>
      <c r="L11" s="70" t="s">
        <v>40</v>
      </c>
      <c r="M11" s="70" t="s">
        <v>18</v>
      </c>
      <c r="N11" s="71"/>
      <c r="O11" s="77">
        <v>0.0</v>
      </c>
      <c r="P11" s="77">
        <v>1500.0</v>
      </c>
      <c r="Q11" s="70" t="s">
        <v>87</v>
      </c>
      <c r="R11" s="70" t="s">
        <v>35</v>
      </c>
      <c r="S11" s="70"/>
      <c r="T11" s="70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</row>
    <row r="12" ht="15.75" customHeight="1">
      <c r="A12" s="55"/>
      <c r="B12" s="75">
        <v>42920.0</v>
      </c>
      <c r="C12" s="72"/>
      <c r="D12" s="72"/>
      <c r="E12" s="77">
        <v>962.05</v>
      </c>
      <c r="F12" s="78">
        <v>0.0</v>
      </c>
      <c r="G12" s="70">
        <v>1.5</v>
      </c>
      <c r="H12" s="70" t="s">
        <v>39</v>
      </c>
      <c r="I12" s="70" t="s">
        <v>38</v>
      </c>
      <c r="J12" s="70" t="s">
        <v>77</v>
      </c>
      <c r="K12" s="70" t="s">
        <v>25</v>
      </c>
      <c r="L12" s="70" t="s">
        <v>40</v>
      </c>
      <c r="M12" s="70" t="s">
        <v>18</v>
      </c>
      <c r="N12" s="71"/>
      <c r="O12" s="77">
        <v>1443.07</v>
      </c>
      <c r="P12" s="77">
        <v>0.0</v>
      </c>
      <c r="Q12" s="70" t="s">
        <v>87</v>
      </c>
      <c r="R12" s="70" t="s">
        <v>35</v>
      </c>
      <c r="S12" s="70"/>
      <c r="T12" s="70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</row>
    <row r="13" ht="15.75" customHeight="1">
      <c r="A13" s="55"/>
      <c r="B13" s="75">
        <v>42920.0</v>
      </c>
      <c r="C13" s="72"/>
      <c r="D13" s="72"/>
      <c r="E13" s="79">
        <v>0.0</v>
      </c>
      <c r="F13" s="77">
        <v>962.05</v>
      </c>
      <c r="G13" s="70">
        <v>1.5</v>
      </c>
      <c r="H13" s="70" t="s">
        <v>39</v>
      </c>
      <c r="I13" s="70" t="s">
        <v>41</v>
      </c>
      <c r="J13" s="70" t="s">
        <v>77</v>
      </c>
      <c r="K13" s="70" t="s">
        <v>25</v>
      </c>
      <c r="L13" s="70" t="s">
        <v>40</v>
      </c>
      <c r="M13" s="70" t="s">
        <v>18</v>
      </c>
      <c r="N13" s="71"/>
      <c r="O13" s="77">
        <v>0.0</v>
      </c>
      <c r="P13" s="77">
        <v>1443.07</v>
      </c>
      <c r="Q13" s="70" t="s">
        <v>37</v>
      </c>
      <c r="R13" s="70" t="s">
        <v>35</v>
      </c>
      <c r="S13" s="70"/>
      <c r="T13" s="70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</row>
    <row r="14" ht="15.75" customHeight="1">
      <c r="A14" s="55"/>
      <c r="B14" s="75">
        <v>42920.0</v>
      </c>
      <c r="C14" s="72"/>
      <c r="D14" s="72"/>
      <c r="E14" s="77">
        <v>313.32</v>
      </c>
      <c r="F14" s="78">
        <v>0.0</v>
      </c>
      <c r="G14" s="70">
        <v>1.69</v>
      </c>
      <c r="H14" s="70" t="s">
        <v>81</v>
      </c>
      <c r="I14" s="70" t="s">
        <v>38</v>
      </c>
      <c r="J14" s="70" t="s">
        <v>77</v>
      </c>
      <c r="K14" s="70" t="s">
        <v>31</v>
      </c>
      <c r="L14" s="70" t="s">
        <v>40</v>
      </c>
      <c r="M14" s="70" t="s">
        <v>30</v>
      </c>
      <c r="N14" s="71"/>
      <c r="O14" s="77">
        <v>185.4</v>
      </c>
      <c r="P14" s="77">
        <v>0.0</v>
      </c>
      <c r="Q14" s="70" t="s">
        <v>86</v>
      </c>
      <c r="R14" s="70" t="s">
        <v>35</v>
      </c>
      <c r="S14" s="70"/>
      <c r="T14" s="70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</row>
    <row r="15" ht="15.75" customHeight="1">
      <c r="A15" s="55"/>
      <c r="B15" s="75">
        <v>42920.0</v>
      </c>
      <c r="C15" s="72"/>
      <c r="D15" s="72"/>
      <c r="E15" s="79">
        <v>0.0</v>
      </c>
      <c r="F15" s="77">
        <v>313.32</v>
      </c>
      <c r="G15" s="70">
        <v>1.69</v>
      </c>
      <c r="H15" s="70" t="s">
        <v>81</v>
      </c>
      <c r="I15" s="70" t="s">
        <v>41</v>
      </c>
      <c r="J15" s="70" t="s">
        <v>77</v>
      </c>
      <c r="K15" s="70" t="s">
        <v>31</v>
      </c>
      <c r="L15" s="70" t="s">
        <v>40</v>
      </c>
      <c r="M15" s="70" t="s">
        <v>30</v>
      </c>
      <c r="N15" s="71"/>
      <c r="O15" s="77">
        <v>0.0</v>
      </c>
      <c r="P15" s="77">
        <v>185.4</v>
      </c>
      <c r="Q15" s="70" t="s">
        <v>37</v>
      </c>
      <c r="R15" s="70" t="s">
        <v>35</v>
      </c>
      <c r="S15" s="70"/>
      <c r="T15" s="70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</row>
    <row r="16" ht="15.75" customHeight="1">
      <c r="A16" s="55"/>
      <c r="B16" s="75">
        <v>42919.0</v>
      </c>
      <c r="C16" s="72"/>
      <c r="D16" s="72"/>
      <c r="E16" s="77">
        <v>1564.54</v>
      </c>
      <c r="F16" s="78">
        <v>0.0</v>
      </c>
      <c r="G16" s="70">
        <v>1.7</v>
      </c>
      <c r="H16" s="70" t="s">
        <v>39</v>
      </c>
      <c r="I16" s="70" t="s">
        <v>38</v>
      </c>
      <c r="J16" s="70" t="s">
        <v>77</v>
      </c>
      <c r="K16" s="70" t="s">
        <v>29</v>
      </c>
      <c r="L16" s="70" t="s">
        <v>40</v>
      </c>
      <c r="M16" s="70" t="s">
        <v>26</v>
      </c>
      <c r="N16" s="71"/>
      <c r="O16" s="77">
        <v>2659.71</v>
      </c>
      <c r="P16" s="77">
        <v>0.0</v>
      </c>
      <c r="Q16" s="70" t="s">
        <v>88</v>
      </c>
      <c r="R16" s="70" t="s">
        <v>35</v>
      </c>
      <c r="S16" s="70"/>
      <c r="T16" s="70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</row>
    <row r="17" ht="15.75" customHeight="1">
      <c r="A17" s="55"/>
      <c r="B17" s="75">
        <v>42919.0</v>
      </c>
      <c r="C17" s="72"/>
      <c r="D17" s="72"/>
      <c r="E17" s="79">
        <v>0.0</v>
      </c>
      <c r="F17" s="77">
        <v>1564.54</v>
      </c>
      <c r="G17" s="70">
        <v>1.7</v>
      </c>
      <c r="H17" s="70" t="s">
        <v>39</v>
      </c>
      <c r="I17" s="70" t="s">
        <v>41</v>
      </c>
      <c r="J17" s="70" t="s">
        <v>77</v>
      </c>
      <c r="K17" s="70" t="s">
        <v>29</v>
      </c>
      <c r="L17" s="70" t="s">
        <v>40</v>
      </c>
      <c r="M17" s="70" t="s">
        <v>26</v>
      </c>
      <c r="N17" s="71"/>
      <c r="O17" s="77">
        <v>0.0</v>
      </c>
      <c r="P17" s="77">
        <v>2659.71</v>
      </c>
      <c r="Q17" s="70" t="s">
        <v>37</v>
      </c>
      <c r="R17" s="70" t="s">
        <v>35</v>
      </c>
      <c r="S17" s="70"/>
      <c r="T17" s="70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</row>
    <row r="18" ht="15.75" customHeight="1">
      <c r="A18" s="55"/>
      <c r="B18" s="75">
        <v>42919.0</v>
      </c>
      <c r="C18" s="72"/>
      <c r="D18" s="72"/>
      <c r="E18" s="77">
        <v>70.55</v>
      </c>
      <c r="F18" s="78">
        <v>0.0</v>
      </c>
      <c r="G18" s="70">
        <v>1.7</v>
      </c>
      <c r="H18" s="70" t="s">
        <v>39</v>
      </c>
      <c r="I18" s="70" t="s">
        <v>38</v>
      </c>
      <c r="J18" s="70" t="s">
        <v>77</v>
      </c>
      <c r="K18" s="70" t="s">
        <v>29</v>
      </c>
      <c r="L18" s="70" t="s">
        <v>40</v>
      </c>
      <c r="M18" s="70" t="s">
        <v>26</v>
      </c>
      <c r="N18" s="71"/>
      <c r="O18" s="77">
        <v>119.93</v>
      </c>
      <c r="P18" s="77">
        <v>0.0</v>
      </c>
      <c r="Q18" s="70" t="s">
        <v>89</v>
      </c>
      <c r="R18" s="70" t="s">
        <v>35</v>
      </c>
      <c r="S18" s="70"/>
      <c r="T18" s="70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</row>
    <row r="19" ht="15.75" customHeight="1">
      <c r="A19" s="55"/>
      <c r="B19" s="75">
        <v>42919.0</v>
      </c>
      <c r="C19" s="72"/>
      <c r="D19" s="72"/>
      <c r="E19" s="79">
        <v>0.0</v>
      </c>
      <c r="F19" s="77">
        <v>70.55</v>
      </c>
      <c r="G19" s="70">
        <v>1.7</v>
      </c>
      <c r="H19" s="70" t="s">
        <v>39</v>
      </c>
      <c r="I19" s="70" t="s">
        <v>41</v>
      </c>
      <c r="J19" s="70" t="s">
        <v>77</v>
      </c>
      <c r="K19" s="70" t="s">
        <v>29</v>
      </c>
      <c r="L19" s="70" t="s">
        <v>40</v>
      </c>
      <c r="M19" s="70" t="s">
        <v>26</v>
      </c>
      <c r="N19" s="71"/>
      <c r="O19" s="77">
        <v>0.0</v>
      </c>
      <c r="P19" s="77">
        <v>119.93</v>
      </c>
      <c r="Q19" s="70" t="s">
        <v>37</v>
      </c>
      <c r="R19" s="70" t="s">
        <v>35</v>
      </c>
      <c r="S19" s="70"/>
      <c r="T19" s="70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</row>
    <row r="20" ht="15.75" customHeight="1">
      <c r="A20" s="55"/>
      <c r="B20" s="75">
        <v>42920.0</v>
      </c>
      <c r="C20" s="72"/>
      <c r="D20" s="72"/>
      <c r="E20" s="77">
        <v>312.71</v>
      </c>
      <c r="F20" s="78">
        <v>0.0</v>
      </c>
      <c r="G20" s="70">
        <v>1.7</v>
      </c>
      <c r="H20" s="70" t="s">
        <v>39</v>
      </c>
      <c r="I20" s="70" t="s">
        <v>38</v>
      </c>
      <c r="J20" s="70" t="s">
        <v>77</v>
      </c>
      <c r="K20" s="70" t="s">
        <v>29</v>
      </c>
      <c r="L20" s="70" t="s">
        <v>40</v>
      </c>
      <c r="M20" s="70" t="s">
        <v>26</v>
      </c>
      <c r="N20" s="71"/>
      <c r="O20" s="77">
        <v>531.6</v>
      </c>
      <c r="P20" s="77">
        <v>0.0</v>
      </c>
      <c r="Q20" s="70" t="s">
        <v>88</v>
      </c>
      <c r="R20" s="70" t="s">
        <v>35</v>
      </c>
      <c r="S20" s="70"/>
      <c r="T20" s="70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</row>
    <row r="21" ht="15.75" customHeight="1">
      <c r="A21" s="55"/>
      <c r="B21" s="75">
        <v>42920.0</v>
      </c>
      <c r="C21" s="72"/>
      <c r="D21" s="72"/>
      <c r="E21" s="79">
        <v>0.0</v>
      </c>
      <c r="F21" s="77">
        <v>312.71</v>
      </c>
      <c r="G21" s="70">
        <v>1.7</v>
      </c>
      <c r="H21" s="70" t="s">
        <v>39</v>
      </c>
      <c r="I21" s="70" t="s">
        <v>41</v>
      </c>
      <c r="J21" s="70" t="s">
        <v>77</v>
      </c>
      <c r="K21" s="70" t="s">
        <v>29</v>
      </c>
      <c r="L21" s="70" t="s">
        <v>40</v>
      </c>
      <c r="M21" s="70" t="s">
        <v>26</v>
      </c>
      <c r="N21" s="71"/>
      <c r="O21" s="77">
        <v>0.0</v>
      </c>
      <c r="P21" s="77">
        <v>531.6</v>
      </c>
      <c r="Q21" s="70" t="s">
        <v>37</v>
      </c>
      <c r="R21" s="70" t="s">
        <v>35</v>
      </c>
      <c r="S21" s="70"/>
      <c r="T21" s="70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</row>
    <row r="22" ht="15.75" customHeight="1">
      <c r="A22" s="55"/>
      <c r="B22" s="75">
        <v>42920.0</v>
      </c>
      <c r="C22" s="72"/>
      <c r="D22" s="72"/>
      <c r="E22" s="77">
        <v>721.0</v>
      </c>
      <c r="F22" s="78">
        <v>0.0</v>
      </c>
      <c r="G22" s="70">
        <v>1.7</v>
      </c>
      <c r="H22" s="70" t="s">
        <v>39</v>
      </c>
      <c r="I22" s="70" t="s">
        <v>38</v>
      </c>
      <c r="J22" s="70" t="s">
        <v>77</v>
      </c>
      <c r="K22" s="70" t="s">
        <v>29</v>
      </c>
      <c r="L22" s="70" t="s">
        <v>40</v>
      </c>
      <c r="M22" s="70" t="s">
        <v>26</v>
      </c>
      <c r="N22" s="71"/>
      <c r="O22" s="77">
        <v>1225.7</v>
      </c>
      <c r="P22" s="77">
        <v>0.0</v>
      </c>
      <c r="Q22" s="70" t="s">
        <v>37</v>
      </c>
      <c r="R22" s="70" t="s">
        <v>35</v>
      </c>
      <c r="S22" s="70"/>
      <c r="T22" s="70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</row>
    <row r="23" ht="15.75" customHeight="1">
      <c r="A23" s="55"/>
      <c r="B23" s="75">
        <v>42920.0</v>
      </c>
      <c r="C23" s="72"/>
      <c r="D23" s="72"/>
      <c r="E23" s="79">
        <v>0.0</v>
      </c>
      <c r="F23" s="77">
        <v>721.0</v>
      </c>
      <c r="G23" s="70">
        <v>1.7</v>
      </c>
      <c r="H23" s="70" t="s">
        <v>39</v>
      </c>
      <c r="I23" s="70" t="s">
        <v>41</v>
      </c>
      <c r="J23" s="70" t="s">
        <v>77</v>
      </c>
      <c r="K23" s="70" t="s">
        <v>29</v>
      </c>
      <c r="L23" s="70" t="s">
        <v>40</v>
      </c>
      <c r="M23" s="70" t="s">
        <v>26</v>
      </c>
      <c r="N23" s="71"/>
      <c r="O23" s="77">
        <v>0.0</v>
      </c>
      <c r="P23" s="77">
        <v>1225.7</v>
      </c>
      <c r="Q23" s="70" t="s">
        <v>88</v>
      </c>
      <c r="R23" s="70" t="s">
        <v>35</v>
      </c>
      <c r="S23" s="70"/>
      <c r="T23" s="70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</row>
    <row r="24" ht="15.75" customHeight="1">
      <c r="A24" s="55"/>
      <c r="B24" s="75">
        <v>42920.0</v>
      </c>
      <c r="C24" s="72"/>
      <c r="D24" s="72"/>
      <c r="E24" s="77">
        <v>35.56</v>
      </c>
      <c r="F24" s="78">
        <v>0.0</v>
      </c>
      <c r="G24" s="70">
        <v>1.7</v>
      </c>
      <c r="H24" s="70" t="s">
        <v>39</v>
      </c>
      <c r="I24" s="70" t="s">
        <v>38</v>
      </c>
      <c r="J24" s="70" t="s">
        <v>77</v>
      </c>
      <c r="K24" s="70" t="s">
        <v>29</v>
      </c>
      <c r="L24" s="70" t="s">
        <v>40</v>
      </c>
      <c r="M24" s="70" t="s">
        <v>26</v>
      </c>
      <c r="N24" s="71"/>
      <c r="O24" s="77">
        <v>60.45</v>
      </c>
      <c r="P24" s="77">
        <v>0.0</v>
      </c>
      <c r="Q24" s="70" t="s">
        <v>90</v>
      </c>
      <c r="R24" s="70" t="s">
        <v>35</v>
      </c>
      <c r="S24" s="70"/>
      <c r="T24" s="70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</row>
    <row r="25" ht="15.75" customHeight="1">
      <c r="A25" s="55"/>
      <c r="B25" s="75">
        <v>42920.0</v>
      </c>
      <c r="C25" s="72"/>
      <c r="D25" s="72"/>
      <c r="E25" s="79">
        <v>0.0</v>
      </c>
      <c r="F25" s="77">
        <v>35.56</v>
      </c>
      <c r="G25" s="70">
        <v>1.7</v>
      </c>
      <c r="H25" s="70" t="s">
        <v>39</v>
      </c>
      <c r="I25" s="70" t="s">
        <v>41</v>
      </c>
      <c r="J25" s="70" t="s">
        <v>77</v>
      </c>
      <c r="K25" s="70" t="s">
        <v>29</v>
      </c>
      <c r="L25" s="70" t="s">
        <v>40</v>
      </c>
      <c r="M25" s="70" t="s">
        <v>26</v>
      </c>
      <c r="N25" s="71"/>
      <c r="O25" s="77">
        <v>0.0</v>
      </c>
      <c r="P25" s="77">
        <v>60.45</v>
      </c>
      <c r="Q25" s="70" t="s">
        <v>37</v>
      </c>
      <c r="R25" s="70" t="s">
        <v>35</v>
      </c>
      <c r="S25" s="70"/>
      <c r="T25" s="70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</row>
    <row r="26" ht="15.75" customHeight="1">
      <c r="A26" s="55"/>
      <c r="B26" s="75">
        <v>42920.0</v>
      </c>
      <c r="C26" s="72"/>
      <c r="D26" s="73"/>
      <c r="E26" s="77">
        <v>1050.0</v>
      </c>
      <c r="F26" s="78">
        <v>0.0</v>
      </c>
      <c r="G26" s="70">
        <v>0.798722044728435</v>
      </c>
      <c r="H26" s="70" t="s">
        <v>81</v>
      </c>
      <c r="I26" s="70" t="s">
        <v>38</v>
      </c>
      <c r="J26" s="70" t="s">
        <v>160</v>
      </c>
      <c r="K26" s="70" t="s">
        <v>31</v>
      </c>
      <c r="L26" s="70" t="s">
        <v>40</v>
      </c>
      <c r="M26" s="70" t="s">
        <v>30</v>
      </c>
      <c r="N26" s="71"/>
      <c r="O26" s="77">
        <v>1314.6</v>
      </c>
      <c r="P26" s="77">
        <v>0.0</v>
      </c>
      <c r="Q26" s="70" t="s">
        <v>170</v>
      </c>
      <c r="R26" s="70" t="s">
        <v>35</v>
      </c>
      <c r="S26" s="70"/>
      <c r="T26" s="70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</row>
    <row r="27" ht="15.75" customHeight="1">
      <c r="A27" s="55"/>
      <c r="B27" s="75">
        <v>42920.0</v>
      </c>
      <c r="C27" s="72"/>
      <c r="D27" s="73"/>
      <c r="E27" s="79">
        <v>0.0</v>
      </c>
      <c r="F27" s="77">
        <v>1050.0</v>
      </c>
      <c r="G27" s="70">
        <v>0.798722044728435</v>
      </c>
      <c r="H27" s="70" t="s">
        <v>81</v>
      </c>
      <c r="I27" s="70" t="s">
        <v>41</v>
      </c>
      <c r="J27" s="70" t="s">
        <v>160</v>
      </c>
      <c r="K27" s="70" t="s">
        <v>31</v>
      </c>
      <c r="L27" s="70" t="s">
        <v>40</v>
      </c>
      <c r="M27" s="70" t="s">
        <v>30</v>
      </c>
      <c r="N27" s="71"/>
      <c r="O27" s="77">
        <v>0.0</v>
      </c>
      <c r="P27" s="77">
        <v>1314.6</v>
      </c>
      <c r="Q27" s="70" t="s">
        <v>171</v>
      </c>
      <c r="R27" s="70" t="s">
        <v>35</v>
      </c>
      <c r="S27" s="70"/>
      <c r="T27" s="70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</row>
    <row r="28" ht="15.75" customHeight="1">
      <c r="A28" s="55"/>
      <c r="B28" s="75">
        <v>42920.0</v>
      </c>
      <c r="C28" s="72"/>
      <c r="D28" s="73"/>
      <c r="E28" s="77">
        <v>3937.5</v>
      </c>
      <c r="F28" s="78">
        <v>0.0</v>
      </c>
      <c r="G28" s="70">
        <v>1.69</v>
      </c>
      <c r="H28" s="70" t="s">
        <v>39</v>
      </c>
      <c r="I28" s="70" t="s">
        <v>38</v>
      </c>
      <c r="J28" s="70" t="s">
        <v>160</v>
      </c>
      <c r="K28" s="70" t="s">
        <v>31</v>
      </c>
      <c r="L28" s="70" t="s">
        <v>40</v>
      </c>
      <c r="M28" s="70" t="s">
        <v>30</v>
      </c>
      <c r="N28" s="71"/>
      <c r="O28" s="77">
        <v>2329.88</v>
      </c>
      <c r="P28" s="77">
        <v>0.0</v>
      </c>
      <c r="Q28" s="70" t="s">
        <v>172</v>
      </c>
      <c r="R28" s="70" t="s">
        <v>35</v>
      </c>
      <c r="S28" s="70"/>
      <c r="T28" s="70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</row>
    <row r="29" ht="15.75" customHeight="1">
      <c r="A29" s="55"/>
      <c r="B29" s="75">
        <v>42920.0</v>
      </c>
      <c r="C29" s="72"/>
      <c r="D29" s="73"/>
      <c r="E29" s="79">
        <v>0.0</v>
      </c>
      <c r="F29" s="77">
        <v>3937.5</v>
      </c>
      <c r="G29" s="70">
        <v>1.69</v>
      </c>
      <c r="H29" s="70" t="s">
        <v>39</v>
      </c>
      <c r="I29" s="70" t="s">
        <v>41</v>
      </c>
      <c r="J29" s="70" t="s">
        <v>160</v>
      </c>
      <c r="K29" s="70" t="s">
        <v>31</v>
      </c>
      <c r="L29" s="70" t="s">
        <v>40</v>
      </c>
      <c r="M29" s="70" t="s">
        <v>30</v>
      </c>
      <c r="N29" s="71"/>
      <c r="O29" s="77">
        <v>0.0</v>
      </c>
      <c r="P29" s="77">
        <v>2329.88</v>
      </c>
      <c r="Q29" s="70" t="s">
        <v>170</v>
      </c>
      <c r="R29" s="70" t="s">
        <v>35</v>
      </c>
      <c r="S29" s="70"/>
      <c r="T29" s="70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</row>
    <row r="30" ht="15.75" customHeight="1">
      <c r="A30" s="55"/>
      <c r="B30" s="75">
        <v>42921.0</v>
      </c>
      <c r="C30" s="72"/>
      <c r="D30" s="73"/>
      <c r="E30" s="77">
        <v>0.28</v>
      </c>
      <c r="F30" s="78">
        <v>0.0</v>
      </c>
      <c r="G30" s="70">
        <v>0.0</v>
      </c>
      <c r="H30" s="70" t="s">
        <v>39</v>
      </c>
      <c r="I30" s="70" t="s">
        <v>38</v>
      </c>
      <c r="J30" s="70" t="s">
        <v>160</v>
      </c>
      <c r="K30" s="70" t="s">
        <v>29</v>
      </c>
      <c r="L30" s="70" t="s">
        <v>40</v>
      </c>
      <c r="M30" s="70" t="s">
        <v>26</v>
      </c>
      <c r="N30" s="71"/>
      <c r="O30" s="77">
        <v>0.0</v>
      </c>
      <c r="P30" s="77">
        <v>0.0</v>
      </c>
      <c r="Q30" s="70" t="s">
        <v>90</v>
      </c>
      <c r="R30" s="70" t="s">
        <v>35</v>
      </c>
      <c r="S30" s="70"/>
      <c r="T30" s="70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</row>
    <row r="31" ht="15.75" customHeight="1">
      <c r="A31" s="55"/>
      <c r="B31" s="75">
        <v>42921.0</v>
      </c>
      <c r="C31" s="72"/>
      <c r="D31" s="73"/>
      <c r="E31" s="79">
        <v>0.0</v>
      </c>
      <c r="F31" s="77">
        <v>0.28</v>
      </c>
      <c r="G31" s="70">
        <v>0.0</v>
      </c>
      <c r="H31" s="70" t="s">
        <v>39</v>
      </c>
      <c r="I31" s="70" t="s">
        <v>41</v>
      </c>
      <c r="J31" s="70" t="s">
        <v>160</v>
      </c>
      <c r="K31" s="70" t="s">
        <v>29</v>
      </c>
      <c r="L31" s="70" t="s">
        <v>40</v>
      </c>
      <c r="M31" s="70" t="s">
        <v>26</v>
      </c>
      <c r="N31" s="71"/>
      <c r="O31" s="77">
        <v>0.0</v>
      </c>
      <c r="P31" s="77">
        <v>0.0</v>
      </c>
      <c r="Q31" s="70" t="s">
        <v>173</v>
      </c>
      <c r="R31" s="70" t="s">
        <v>35</v>
      </c>
      <c r="S31" s="70"/>
      <c r="T31" s="70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</row>
    <row r="32" ht="15.75" customHeight="1">
      <c r="A32" s="55"/>
      <c r="B32" s="75">
        <v>42921.0</v>
      </c>
      <c r="C32" s="72"/>
      <c r="D32" s="73"/>
      <c r="E32" s="77">
        <v>4725.0</v>
      </c>
      <c r="F32" s="78">
        <v>0.0</v>
      </c>
      <c r="G32" s="70">
        <v>0.0</v>
      </c>
      <c r="H32" s="70" t="s">
        <v>39</v>
      </c>
      <c r="I32" s="70" t="s">
        <v>38</v>
      </c>
      <c r="J32" s="70" t="s">
        <v>160</v>
      </c>
      <c r="K32" s="70" t="s">
        <v>31</v>
      </c>
      <c r="L32" s="70" t="s">
        <v>40</v>
      </c>
      <c r="M32" s="70" t="s">
        <v>30</v>
      </c>
      <c r="N32" s="71"/>
      <c r="O32" s="77">
        <v>0.0</v>
      </c>
      <c r="P32" s="77">
        <v>0.0</v>
      </c>
      <c r="Q32" s="70" t="s">
        <v>172</v>
      </c>
      <c r="R32" s="70" t="s">
        <v>35</v>
      </c>
      <c r="S32" s="70"/>
      <c r="T32" s="70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</row>
    <row r="33" ht="15.75" customHeight="1">
      <c r="A33" s="55"/>
      <c r="B33" s="75">
        <v>42921.0</v>
      </c>
      <c r="C33" s="72"/>
      <c r="D33" s="73"/>
      <c r="E33" s="79">
        <v>0.0</v>
      </c>
      <c r="F33" s="77">
        <v>4725.0</v>
      </c>
      <c r="G33" s="70">
        <v>0.0</v>
      </c>
      <c r="H33" s="70" t="s">
        <v>39</v>
      </c>
      <c r="I33" s="70" t="s">
        <v>41</v>
      </c>
      <c r="J33" s="70" t="s">
        <v>160</v>
      </c>
      <c r="K33" s="70" t="s">
        <v>31</v>
      </c>
      <c r="L33" s="70" t="s">
        <v>40</v>
      </c>
      <c r="M33" s="70" t="s">
        <v>30</v>
      </c>
      <c r="N33" s="71"/>
      <c r="O33" s="77">
        <v>0.0</v>
      </c>
      <c r="P33" s="77">
        <v>0.0</v>
      </c>
      <c r="Q33" s="70" t="s">
        <v>170</v>
      </c>
      <c r="R33" s="70" t="s">
        <v>35</v>
      </c>
      <c r="S33" s="70"/>
      <c r="T33" s="70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</row>
    <row r="34" ht="15.75" customHeight="1">
      <c r="A34" s="55"/>
      <c r="B34" s="75">
        <v>42919.0</v>
      </c>
      <c r="C34" s="72"/>
      <c r="D34" s="73"/>
      <c r="E34" s="77">
        <v>7140.0</v>
      </c>
      <c r="F34" s="78">
        <v>0.0</v>
      </c>
      <c r="G34" s="70">
        <v>1.69</v>
      </c>
      <c r="H34" s="70" t="s">
        <v>81</v>
      </c>
      <c r="I34" s="70" t="s">
        <v>38</v>
      </c>
      <c r="J34" s="70" t="s">
        <v>160</v>
      </c>
      <c r="K34" s="70" t="s">
        <v>31</v>
      </c>
      <c r="L34" s="70" t="s">
        <v>40</v>
      </c>
      <c r="M34" s="70" t="s">
        <v>30</v>
      </c>
      <c r="N34" s="71"/>
      <c r="O34" s="77">
        <v>4224.85</v>
      </c>
      <c r="P34" s="77">
        <v>0.0</v>
      </c>
      <c r="Q34" s="70" t="s">
        <v>170</v>
      </c>
      <c r="R34" s="70" t="s">
        <v>35</v>
      </c>
      <c r="S34" s="70"/>
      <c r="T34" s="70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</row>
    <row r="35" ht="15.75" customHeight="1">
      <c r="A35" s="55"/>
      <c r="B35" s="75">
        <v>42919.0</v>
      </c>
      <c r="C35" s="72"/>
      <c r="D35" s="73"/>
      <c r="E35" s="79">
        <v>0.0</v>
      </c>
      <c r="F35" s="77">
        <v>7140.0</v>
      </c>
      <c r="G35" s="70">
        <v>1.69</v>
      </c>
      <c r="H35" s="70" t="s">
        <v>81</v>
      </c>
      <c r="I35" s="70" t="s">
        <v>41</v>
      </c>
      <c r="J35" s="70" t="s">
        <v>160</v>
      </c>
      <c r="K35" s="70" t="s">
        <v>31</v>
      </c>
      <c r="L35" s="70" t="s">
        <v>40</v>
      </c>
      <c r="M35" s="70" t="s">
        <v>30</v>
      </c>
      <c r="N35" s="71"/>
      <c r="O35" s="77">
        <v>0.0</v>
      </c>
      <c r="P35" s="77">
        <v>4224.85</v>
      </c>
      <c r="Q35" s="70" t="s">
        <v>171</v>
      </c>
      <c r="R35" s="70" t="s">
        <v>35</v>
      </c>
      <c r="S35" s="70"/>
      <c r="T35" s="70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</row>
    <row r="36" ht="15.75" customHeight="1">
      <c r="A36" s="55"/>
      <c r="B36" s="75"/>
      <c r="C36" s="72"/>
      <c r="D36" s="72"/>
      <c r="E36" s="79"/>
      <c r="F36" s="77"/>
      <c r="G36" s="70"/>
      <c r="H36" s="70"/>
      <c r="I36" s="70"/>
      <c r="J36" s="70"/>
      <c r="K36" s="70"/>
      <c r="L36" s="70"/>
      <c r="M36" s="70"/>
      <c r="N36" s="71"/>
      <c r="O36" s="77"/>
      <c r="P36" s="77"/>
      <c r="Q36" s="70"/>
      <c r="R36" s="70"/>
      <c r="S36" s="70"/>
      <c r="T36" s="70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</row>
    <row r="37">
      <c r="B37" s="88"/>
      <c r="E37" s="89"/>
      <c r="F37" s="90"/>
      <c r="G37" s="89"/>
      <c r="H37" s="89"/>
      <c r="I37" s="89"/>
      <c r="J37" s="89"/>
      <c r="K37" s="89"/>
      <c r="L37" s="70"/>
      <c r="M37" s="89"/>
      <c r="O37" s="89"/>
      <c r="P37" s="89"/>
      <c r="Q37" s="89"/>
      <c r="R37" s="89"/>
      <c r="EX37" s="58"/>
    </row>
    <row r="38">
      <c r="B38" s="88"/>
      <c r="E38" s="91"/>
      <c r="F38" s="92"/>
      <c r="G38" s="92"/>
      <c r="H38" s="92"/>
      <c r="I38" s="92"/>
      <c r="J38" s="92"/>
      <c r="K38" s="89"/>
      <c r="L38" s="70"/>
      <c r="M38" s="89"/>
      <c r="O38" s="92"/>
      <c r="P38" s="92"/>
      <c r="Q38" s="92"/>
      <c r="R38" s="89"/>
      <c r="EX38" s="58"/>
    </row>
    <row r="39">
      <c r="B39" s="88"/>
      <c r="E39" s="89"/>
      <c r="F39" s="90"/>
      <c r="G39" s="89"/>
      <c r="H39" s="89"/>
      <c r="I39" s="89"/>
      <c r="J39" s="89"/>
      <c r="K39" s="89"/>
      <c r="L39" s="70"/>
      <c r="M39" s="89"/>
      <c r="O39" s="89"/>
      <c r="P39" s="89"/>
      <c r="Q39" s="89"/>
      <c r="R39" s="89"/>
      <c r="EX39" s="58"/>
    </row>
    <row r="40">
      <c r="B40" s="88"/>
      <c r="E40" s="91"/>
      <c r="F40" s="92"/>
      <c r="G40" s="92"/>
      <c r="H40" s="92"/>
      <c r="I40" s="92"/>
      <c r="J40" s="92"/>
      <c r="K40" s="89"/>
      <c r="L40" s="70"/>
      <c r="M40" s="89"/>
      <c r="O40" s="92"/>
      <c r="P40" s="92"/>
      <c r="Q40" s="92"/>
      <c r="R40" s="89"/>
      <c r="EX40" s="58"/>
    </row>
    <row r="41">
      <c r="B41" s="88"/>
      <c r="E41" s="89"/>
      <c r="F41" s="90"/>
      <c r="G41" s="89"/>
      <c r="H41" s="89"/>
      <c r="I41" s="89"/>
      <c r="J41" s="89"/>
      <c r="K41" s="89"/>
      <c r="L41" s="70"/>
      <c r="M41" s="89"/>
      <c r="O41" s="89"/>
      <c r="P41" s="89"/>
      <c r="Q41" s="89"/>
      <c r="R41" s="89"/>
      <c r="EX41" s="58"/>
    </row>
    <row r="42">
      <c r="B42" s="88"/>
      <c r="F42" s="92"/>
      <c r="G42" s="92"/>
      <c r="H42" s="92"/>
      <c r="I42" s="92"/>
      <c r="J42" s="92"/>
      <c r="K42" s="89"/>
      <c r="L42" s="70"/>
      <c r="M42" s="89"/>
      <c r="O42" s="92"/>
      <c r="P42" s="92"/>
      <c r="Q42" s="92"/>
      <c r="R42" s="89"/>
      <c r="EX42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174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IFERROR(__xludf.DUMMYFUNCTION("""COMPUTED_VALUE"""),"MasterFund")</f>
        <v>MasterFund</v>
      </c>
      <c r="C5" s="17" t="str">
        <f>IFERROR(__xludf.DUMMYFUNCTION("""COMPUTED_VALUE"""),"Accounts")</f>
        <v>Accounts</v>
      </c>
      <c r="D5" s="17" t="str">
        <f>IFERROR(__xludf.DUMMYFUNCTION("""COMPUTED_VALUE"""),"From Date")</f>
        <v>From Date</v>
      </c>
      <c r="E5" s="17" t="str">
        <f>IFERROR(__xludf.DUMMYFUNCTION("""COMPUTED_VALUE"""),"To Date")</f>
        <v>To Date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6"/>
      <c r="B6" s="38"/>
      <c r="C6" s="22" t="s">
        <v>35</v>
      </c>
      <c r="D6" s="64">
        <v>42919.0</v>
      </c>
      <c r="E6" s="62">
        <v>42921.0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2" width="15.75"/>
    <col customWidth="1" min="13" max="153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8"/>
      <c r="L2" s="6"/>
      <c r="M2" s="6"/>
      <c r="N2" s="6"/>
      <c r="O2" s="6"/>
    </row>
    <row r="3" ht="15.75" customHeight="1">
      <c r="A3" s="9"/>
      <c r="B3" s="10" t="s">
        <v>1</v>
      </c>
      <c r="C3" s="11" t="s">
        <v>2</v>
      </c>
      <c r="D3" s="10" t="s">
        <v>3</v>
      </c>
      <c r="E3" s="11" t="s">
        <v>175</v>
      </c>
      <c r="F3" s="10" t="s">
        <v>5</v>
      </c>
      <c r="G3" s="12" t="s">
        <v>6</v>
      </c>
      <c r="H3" s="10"/>
      <c r="I3" s="9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ht="15.75" customHeight="1">
      <c r="A4" s="14"/>
      <c r="B4" s="14" t="str">
        <f>IFERROR(__xludf.DUMMYFUNCTION("IF(C3="""","""",Transpose(IMPORTRANGE('_Settings'!$B$3,C3&amp;""!A4:A1000"")))"),"GetDataCash")</f>
        <v>GetDataCash</v>
      </c>
      <c r="C4" s="14" t="str">
        <f>IFERROR(__xludf.DUMMYFUNCTION("""COMPUTED_VALUE"""),"EnterCashDividends")</f>
        <v>EnterCashDividends</v>
      </c>
      <c r="D4" s="14" t="str">
        <f>IFERROR(__xludf.DUMMYFUNCTION("""COMPUTED_VALUE"""),"EnterNonTradingTransaction")</f>
        <v>EnterNonTradingTransaction</v>
      </c>
      <c r="E4" s="14" t="str">
        <f>IFERROR(__xludf.DUMMYFUNCTION("""COMPUTED_VALUE"""),"VerifyCash")</f>
        <v>VerifyCash</v>
      </c>
      <c r="F4" s="14" t="str">
        <f>IFERROR(__xludf.DUMMYFUNCTION("""COMPUTED_VALUE"""),"VerifyActivity")</f>
        <v>VerifyActivity</v>
      </c>
      <c r="G4" s="14" t="str">
        <f>IFERROR(__xludf.DUMMYFUNCTION("""COMPUTED_VALUE"""),"VerifyTradingTransaction")</f>
        <v>VerifyTradingTransaction</v>
      </c>
      <c r="H4" s="14" t="str">
        <f>IFERROR(__xludf.DUMMYFUNCTION("""COMPUTED_VALUE"""),"VerifyRevaluationData")</f>
        <v>VerifyRevaluationData</v>
      </c>
      <c r="I4" s="14" t="str">
        <f>IFERROR(__xludf.DUMMYFUNCTION("""COMPUTED_VALUE"""),"GetTradingTransaction")</f>
        <v>GetTradingTransaction</v>
      </c>
      <c r="J4" s="14" t="str">
        <f>IFERROR(__xludf.DUMMYFUNCTION("""COMPUTED_VALUE"""),"GetActivityData")</f>
        <v>GetActivityData</v>
      </c>
      <c r="K4" s="14" t="str">
        <f>IFERROR(__xludf.DUMMYFUNCTION("""COMPUTED_VALUE"""),"GetRevaluationData")</f>
        <v>GetRevaluationData</v>
      </c>
      <c r="L4" s="14" t="str">
        <f>IFERROR(__xludf.DUMMYFUNCTION("""COMPUTED_VALUE"""),"GetAccountDetails")</f>
        <v>GetAccountDetails</v>
      </c>
      <c r="M4" s="14" t="str">
        <f>IFERROR(__xludf.DUMMYFUNCTION("""COMPUTED_VALUE"""),"GetNonTradingTransaction")</f>
        <v>GetNonTradingTransaction</v>
      </c>
      <c r="N4" s="14" t="str">
        <f>IFERROR(__xludf.DUMMYFUNCTION("""COMPUTED_VALUE"""),"GetDividendData")</f>
        <v>GetDividendData</v>
      </c>
      <c r="O4" s="14" t="str">
        <f>IFERROR(__xludf.DUMMYFUNCTION("""COMPUTED_VALUE"""),"VerifyNonTradingTransaction")</f>
        <v>VerifyNonTradingTransaction</v>
      </c>
      <c r="P4" s="15" t="str">
        <f>IFERROR(__xludf.DUMMYFUNCTION("""COMPUTED_VALUE"""),"VerifyDividend")</f>
        <v>VerifyDividend</v>
      </c>
      <c r="Q4" s="15" t="str">
        <f>IFERROR(__xludf.DUMMYFUNCTION("""COMPUTED_VALUE"""),"GetOpeningBalanceData")</f>
        <v>GetOpeningBalanceData</v>
      </c>
      <c r="R4" s="15" t="str">
        <f>IFERROR(__xludf.DUMMYFUNCTION("""COMPUTED_VALUE"""),"GetAccountBalance")</f>
        <v>GetAccountBalance</v>
      </c>
      <c r="S4" s="15" t="str">
        <f>IFERROR(__xludf.DUMMYFUNCTION("""COMPUTED_VALUE"""),"SelectNonTradingTransaction")</f>
        <v>SelectNonTradingTransaction</v>
      </c>
      <c r="T4" s="15" t="str">
        <f>IFERROR(__xludf.DUMMYFUNCTION("""COMPUTED_VALUE"""),"SelectNonTradingTranItem")</f>
        <v>SelectNonTradingTranItem</v>
      </c>
      <c r="U4" s="15" t="str">
        <f>IFERROR(__xludf.DUMMYFUNCTION("""COMPUTED_VALUE"""),"DeleteNonTradingTransaction")</f>
        <v>DeleteNonTradingTransaction</v>
      </c>
      <c r="V4" s="15" t="str">
        <f>IFERROR(__xludf.DUMMYFUNCTION("""COMPUTED_VALUE"""),"DeleteNonTradingTranItem")</f>
        <v>DeleteNonTradingTranItem</v>
      </c>
      <c r="W4" s="15" t="str">
        <f>IFERROR(__xludf.DUMMYFUNCTION("""COMPUTED_VALUE"""),"AddNonTradingTransaction")</f>
        <v>AddNonTradingTransaction</v>
      </c>
      <c r="X4" s="15" t="str">
        <f>IFERROR(__xludf.DUMMYFUNCTION("""COMPUTED_VALUE"""),"AddNonTradingTranItem")</f>
        <v>AddNonTradingTranItem</v>
      </c>
      <c r="Y4" s="15" t="str">
        <f>IFERROR(__xludf.DUMMYFUNCTION("""COMPUTED_VALUE"""),"VerifyOpeningBalanceData")</f>
        <v>VerifyOpeningBalanceData</v>
      </c>
      <c r="Z4" s="15" t="str">
        <f>IFERROR(__xludf.DUMMYFUNCTION("""COMPUTED_VALUE"""),"SelectOpeningBalanceTransaction")</f>
        <v>SelectOpeningBalanceTransaction</v>
      </c>
      <c r="AA4" s="15" t="str">
        <f>IFERROR(__xludf.DUMMYFUNCTION("""COMPUTED_VALUE"""),"SelectOpeningBalanceTranItem")</f>
        <v>SelectOpeningBalanceTranItem</v>
      </c>
      <c r="AB4" s="15" t="str">
        <f>IFERROR(__xludf.DUMMYFUNCTION("""COMPUTED_VALUE"""),"EditNonTradingTransaction")</f>
        <v>EditNonTradingTransaction</v>
      </c>
      <c r="AC4" s="15" t="str">
        <f>IFERROR(__xludf.DUMMYFUNCTION("""COMPUTED_VALUE"""),"EditNonTradingTranItem")</f>
        <v>EditNonTradingTranItem</v>
      </c>
      <c r="AD4" s="15" t="str">
        <f>IFERROR(__xludf.DUMMYFUNCTION("""COMPUTED_VALUE"""),"DeleteOpeningBalanceTransaction")</f>
        <v>DeleteOpeningBalanceTransaction</v>
      </c>
      <c r="AE4" s="15" t="str">
        <f>IFERROR(__xludf.DUMMYFUNCTION("""COMPUTED_VALUE"""),"DeleteOpeningBalanceTranItem")</f>
        <v>DeleteOpeningBalanceTranItem</v>
      </c>
      <c r="AF4" s="15" t="str">
        <f>IFERROR(__xludf.DUMMYFUNCTION("""COMPUTED_VALUE"""),"GetDayEndCash")</f>
        <v>GetDayEndCash</v>
      </c>
      <c r="AG4" s="15" t="str">
        <f>IFERROR(__xludf.DUMMYFUNCTION("""COMPUTED_VALUE"""),"VerifyDayEndCash")</f>
        <v>VerifyDayEndCash</v>
      </c>
      <c r="AH4" s="15" t="str">
        <f>IFERROR(__xludf.DUMMYFUNCTION("""COMPUTED_VALUE"""),"RunRevaluation")</f>
        <v>RunRevaluation</v>
      </c>
      <c r="AI4" s="15" t="str">
        <f>IFERROR(__xludf.DUMMYFUNCTION("""COMPUTED_VALUE"""),"CalculateDayEndCash")</f>
        <v>CalculateDayEndCash</v>
      </c>
      <c r="AJ4" s="15" t="str">
        <f>IFERROR(__xludf.DUMMYFUNCTION("""COMPUTED_VALUE"""),"GetCashTransaction")</f>
        <v>GetCashTransaction</v>
      </c>
      <c r="AK4" s="15" t="str">
        <f>IFERROR(__xludf.DUMMYFUNCTION("""COMPUTED_VALUE"""),"SelectCashTransaction")</f>
        <v>SelectCashTransaction</v>
      </c>
      <c r="AL4" s="15" t="str">
        <f>IFERROR(__xludf.DUMMYFUNCTION("""COMPUTED_VALUE"""),"DeleteCashTransaction")</f>
        <v>DeleteCashTransaction</v>
      </c>
      <c r="AM4" s="15" t="str">
        <f>IFERROR(__xludf.DUMMYFUNCTION("""COMPUTED_VALUE"""),"EditCashTransaction")</f>
        <v>EditCashTransaction</v>
      </c>
      <c r="AN4" s="15" t="str">
        <f>IFERROR(__xludf.DUMMYFUNCTION("""COMPUTED_VALUE"""),"AddCashTransaction")</f>
        <v>AddCashTransaction</v>
      </c>
      <c r="AO4" s="15" t="str">
        <f>IFERROR(__xludf.DUMMYFUNCTION("""COMPUTED_VALUE"""),"AddOpeningBalanceTransaction")</f>
        <v>AddOpeningBalanceTransaction</v>
      </c>
      <c r="AP4" s="15" t="str">
        <f>IFERROR(__xludf.DUMMYFUNCTION("""COMPUTED_VALUE"""),"AddOpeningBalanceTranItem")</f>
        <v>AddOpeningBalanceTranItem</v>
      </c>
      <c r="AQ4" s="15" t="str">
        <f>IFERROR(__xludf.DUMMYFUNCTION("""COMPUTED_VALUE"""),"GetDailyCalculationsData")</f>
        <v>GetDailyCalculationsData</v>
      </c>
      <c r="AR4" s="15" t="str">
        <f>IFERROR(__xludf.DUMMYFUNCTION("""COMPUTED_VALUE"""),"CalculateDailyCalculations")</f>
        <v>CalculateDailyCalculations</v>
      </c>
      <c r="AS4" s="15" t="str">
        <f>IFERROR(__xludf.DUMMYFUNCTION("""COMPUTED_VALUE"""),"EditOpeningBalanceTransaction")</f>
        <v>EditOpeningBalanceTransaction</v>
      </c>
      <c r="AT4" s="15" t="str">
        <f>IFERROR(__xludf.DUMMYFUNCTION("""COMPUTED_VALUE"""),"EditOpeningBalanceTranItem")</f>
        <v>EditOpeningBalanceTranItem</v>
      </c>
      <c r="AU4" s="15" t="str">
        <f>IFERROR(__xludf.DUMMYFUNCTION("""COMPUTED_VALUE"""),"VerifyDailyCalTransactions")</f>
        <v>VerifyDailyCalTransactions</v>
      </c>
      <c r="AV4" s="15" t="str">
        <f>IFERROR(__xludf.DUMMYFUNCTION("""COMPUTED_VALUE"""),"CloseGeneralLedger")</f>
        <v>CloseGeneralLedger</v>
      </c>
      <c r="AW4" s="15" t="str">
        <f>IFERROR(__xludf.DUMMYFUNCTION("""COMPUTED_VALUE"""),"VerifyAccountDetails")</f>
        <v>VerifyAccountDetails</v>
      </c>
      <c r="AX4" s="15" t="str">
        <f>IFERROR(__xludf.DUMMYFUNCTION("""COMPUTED_VALUE"""),"SaveTransaction")</f>
        <v>SaveTransaction</v>
      </c>
      <c r="AY4" s="15" t="str">
        <f>IFERROR(__xludf.DUMMYFUNCTION("""COMPUTED_VALUE"""),"VerifyCashTransaction")</f>
        <v>VerifyCashTransaction</v>
      </c>
      <c r="AZ4" s="15" t="str">
        <f>IFERROR(__xludf.DUMMYFUNCTION("""COMPUTED_VALUE"""),"CalculateDayEndCash")</f>
        <v>CalculateDayEndCash</v>
      </c>
      <c r="BA4" s="15" t="str">
        <f>IFERROR(__xludf.DUMMYFUNCTION("""COMPUTED_VALUE"""),"CalculateDayEndCash")</f>
        <v>CalculateDayEndCash</v>
      </c>
      <c r="BB4" s="15" t="str">
        <f>IFERROR(__xludf.DUMMYFUNCTION("""COMPUTED_VALUE"""),"VerifyOpeningBalanceData")</f>
        <v>VerifyOpeningBalanceData</v>
      </c>
      <c r="BC4" s="15" t="str">
        <f>IFERROR(__xludf.DUMMYFUNCTION("""COMPUTED_VALUE"""),"VerifyAccountBalances")</f>
        <v>VerifyAccountBalances</v>
      </c>
      <c r="BD4" s="15" t="str">
        <f>IFERROR(__xludf.DUMMYFUNCTION("""COMPUTED_VALUE"""),"AddMultipleOpeningBalTranItem")</f>
        <v>AddMultipleOpeningBalTranItem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IFERROR(__xludf.DUMMYFUNCTION("""COMPUTED_VALUE"""),"Date")</f>
        <v>Date</v>
      </c>
      <c r="C5" s="33" t="str">
        <f>IFERROR(__xludf.DUMMYFUNCTION("""COMPUTED_VALUE"""),"Account")</f>
        <v>Account</v>
      </c>
      <c r="D5" s="33" t="str">
        <f>IFERROR(__xludf.DUMMYFUNCTION("""COMPUTED_VALUE"""),"Symbol")</f>
        <v>Symbol</v>
      </c>
      <c r="E5" s="33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3" t="str">
        <f>IFERROR(__xludf.DUMMYFUNCTION("""COMPUTED_VALUE"""),"DR")</f>
        <v>DR</v>
      </c>
      <c r="H5" s="33" t="str">
        <f>IFERROR(__xludf.DUMMYFUNCTION("""COMPUTED_VALUE"""),"CR")</f>
        <v>CR</v>
      </c>
      <c r="I5" s="33" t="str">
        <f>IFERROR(__xludf.DUMMYFUNCTION("""COMPUTED_VALUE"""),"Modify Date")</f>
        <v>Modify Date</v>
      </c>
      <c r="J5" s="33" t="str">
        <f>IFERROR(__xludf.DUMMYFUNCTION("""COMPUTED_VALUE"""),"Entry Date")</f>
        <v>Entry Date</v>
      </c>
      <c r="K5" s="33" t="str">
        <f>IFERROR(__xludf.DUMMYFUNCTION("""COMPUTED_VALUE"""),"User")</f>
        <v>User</v>
      </c>
      <c r="L5" s="33" t="str">
        <f>IFERROR(__xludf.DUMMYFUNCTION("""COMPUTED_VALUE"""),"Fx Rate")</f>
        <v>Fx Rate</v>
      </c>
      <c r="M5" s="33" t="str">
        <f>IFERROR(__xludf.DUMMYFUNCTION("""COMPUTED_VALUE"""),"FX Conversion Method Operator")</f>
        <v>FX Conversion Method Operator</v>
      </c>
      <c r="N5" s="33" t="str">
        <f>IFERROR(__xludf.DUMMYFUNCTION("""COMPUTED_VALUE"""),"Account Side")</f>
        <v>Account Side</v>
      </c>
      <c r="O5" s="33" t="str">
        <f>IFERROR(__xludf.DUMMYFUNCTION("""COMPUTED_VALUE"""),"TransactionSource")</f>
        <v>TransactionSource</v>
      </c>
      <c r="P5" s="33" t="str">
        <f>IFERROR(__xludf.DUMMYFUNCTION("""COMPUTED_VALUE"""),"Base Currency")</f>
        <v>Base Currency</v>
      </c>
      <c r="Q5" s="33" t="str">
        <f>IFERROR(__xludf.DUMMYFUNCTION("""COMPUTED_VALUE"""),"Description")</f>
        <v>Description</v>
      </c>
      <c r="R5" s="33" t="str">
        <f>IFERROR(__xludf.DUMMYFUNCTION("""COMPUTED_VALUE"""),"DR (Base)")</f>
        <v>DR (Base)</v>
      </c>
      <c r="S5" s="33" t="str">
        <f>IFERROR(__xludf.DUMMYFUNCTION("""COMPUTED_VALUE"""),"CR (Base)")</f>
        <v>CR (Base)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</row>
    <row r="6" ht="15.75" customHeight="1">
      <c r="A6" s="55"/>
      <c r="B6" s="75">
        <v>42920.0</v>
      </c>
      <c r="C6" s="70" t="s">
        <v>35</v>
      </c>
      <c r="D6" s="70" t="s">
        <v>18</v>
      </c>
      <c r="E6" s="70" t="s">
        <v>25</v>
      </c>
      <c r="F6" s="70" t="s">
        <v>176</v>
      </c>
      <c r="G6" s="77">
        <v>677.2</v>
      </c>
      <c r="H6" s="78">
        <v>0.0</v>
      </c>
      <c r="I6" s="72"/>
      <c r="J6" s="72"/>
      <c r="K6" s="70"/>
      <c r="L6" s="70">
        <v>1.5</v>
      </c>
      <c r="M6" s="70" t="s">
        <v>39</v>
      </c>
      <c r="N6" s="70" t="s">
        <v>38</v>
      </c>
      <c r="O6" s="70" t="s">
        <v>154</v>
      </c>
      <c r="P6" s="70" t="s">
        <v>40</v>
      </c>
      <c r="Q6" s="70" t="s">
        <v>169</v>
      </c>
      <c r="R6" s="77">
        <v>1015.8</v>
      </c>
      <c r="S6" s="77">
        <v>0.0</v>
      </c>
      <c r="T6" s="70"/>
      <c r="U6" s="70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</row>
    <row r="7" ht="15.75" customHeight="1">
      <c r="A7" s="55"/>
      <c r="B7" s="75">
        <v>42920.0</v>
      </c>
      <c r="C7" s="70" t="s">
        <v>35</v>
      </c>
      <c r="D7" s="70" t="s">
        <v>18</v>
      </c>
      <c r="E7" s="70" t="s">
        <v>25</v>
      </c>
      <c r="F7" s="70" t="s">
        <v>87</v>
      </c>
      <c r="G7" s="79">
        <v>0.0</v>
      </c>
      <c r="H7" s="77">
        <v>677.2</v>
      </c>
      <c r="I7" s="72"/>
      <c r="J7" s="72"/>
      <c r="K7" s="70"/>
      <c r="L7" s="70">
        <v>1.5</v>
      </c>
      <c r="M7" s="70" t="s">
        <v>39</v>
      </c>
      <c r="N7" s="70" t="s">
        <v>41</v>
      </c>
      <c r="O7" s="70" t="s">
        <v>154</v>
      </c>
      <c r="P7" s="70" t="s">
        <v>40</v>
      </c>
      <c r="Q7" s="70" t="s">
        <v>169</v>
      </c>
      <c r="R7" s="77">
        <v>0.0</v>
      </c>
      <c r="S7" s="77">
        <v>1015.8</v>
      </c>
      <c r="T7" s="70"/>
      <c r="U7" s="70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</row>
    <row r="8" ht="15.75" customHeight="1">
      <c r="A8" s="55"/>
      <c r="B8" s="75">
        <v>42920.0</v>
      </c>
      <c r="C8" s="70" t="s">
        <v>35</v>
      </c>
      <c r="D8" s="70" t="s">
        <v>18</v>
      </c>
      <c r="E8" s="70" t="s">
        <v>25</v>
      </c>
      <c r="F8" s="70" t="s">
        <v>177</v>
      </c>
      <c r="G8" s="77">
        <v>4430.3</v>
      </c>
      <c r="H8" s="78">
        <v>0.0</v>
      </c>
      <c r="I8" s="72"/>
      <c r="J8" s="72"/>
      <c r="K8" s="70"/>
      <c r="L8" s="70">
        <v>1.403</v>
      </c>
      <c r="M8" s="70" t="s">
        <v>39</v>
      </c>
      <c r="N8" s="70" t="s">
        <v>38</v>
      </c>
      <c r="O8" s="70" t="s">
        <v>154</v>
      </c>
      <c r="P8" s="70" t="s">
        <v>40</v>
      </c>
      <c r="Q8" s="70" t="s">
        <v>165</v>
      </c>
      <c r="R8" s="77">
        <v>6215.71</v>
      </c>
      <c r="S8" s="77">
        <v>0.0</v>
      </c>
      <c r="T8" s="70"/>
      <c r="U8" s="70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</row>
    <row r="9" ht="15.75" customHeight="1">
      <c r="A9" s="55"/>
      <c r="B9" s="75">
        <v>42920.0</v>
      </c>
      <c r="C9" s="70" t="s">
        <v>35</v>
      </c>
      <c r="D9" s="70" t="s">
        <v>18</v>
      </c>
      <c r="E9" s="70" t="s">
        <v>25</v>
      </c>
      <c r="F9" s="70" t="s">
        <v>178</v>
      </c>
      <c r="G9" s="79">
        <v>0.0</v>
      </c>
      <c r="H9" s="77">
        <v>4430.3</v>
      </c>
      <c r="I9" s="72"/>
      <c r="J9" s="72"/>
      <c r="K9" s="70"/>
      <c r="L9" s="70">
        <v>1.403</v>
      </c>
      <c r="M9" s="70" t="s">
        <v>39</v>
      </c>
      <c r="N9" s="70" t="s">
        <v>41</v>
      </c>
      <c r="O9" s="70" t="s">
        <v>154</v>
      </c>
      <c r="P9" s="70" t="s">
        <v>40</v>
      </c>
      <c r="Q9" s="70" t="s">
        <v>165</v>
      </c>
      <c r="R9" s="77">
        <v>0.0</v>
      </c>
      <c r="S9" s="77">
        <v>6215.71</v>
      </c>
      <c r="T9" s="70"/>
      <c r="U9" s="70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</row>
    <row r="10" ht="15.75" customHeight="1">
      <c r="A10" s="55"/>
      <c r="B10" s="75">
        <v>42920.0</v>
      </c>
      <c r="C10" s="70" t="s">
        <v>35</v>
      </c>
      <c r="D10" s="70" t="s">
        <v>25</v>
      </c>
      <c r="E10" s="70" t="s">
        <v>40</v>
      </c>
      <c r="F10" s="70" t="s">
        <v>178</v>
      </c>
      <c r="G10" s="77">
        <v>55.28</v>
      </c>
      <c r="H10" s="78">
        <v>0.0</v>
      </c>
      <c r="I10" s="72"/>
      <c r="J10" s="72"/>
      <c r="K10" s="70"/>
      <c r="L10" s="70">
        <v>1.0</v>
      </c>
      <c r="M10" s="70" t="s">
        <v>39</v>
      </c>
      <c r="N10" s="70" t="s">
        <v>38</v>
      </c>
      <c r="O10" s="70" t="s">
        <v>154</v>
      </c>
      <c r="P10" s="70" t="s">
        <v>40</v>
      </c>
      <c r="Q10" s="70" t="s">
        <v>165</v>
      </c>
      <c r="R10" s="77">
        <v>55.28</v>
      </c>
      <c r="S10" s="77">
        <v>0.0</v>
      </c>
      <c r="T10" s="70"/>
      <c r="U10" s="70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ht="15.75" customHeight="1">
      <c r="A11" s="55"/>
      <c r="B11" s="75">
        <v>42920.0</v>
      </c>
      <c r="C11" s="70" t="s">
        <v>35</v>
      </c>
      <c r="D11" s="70" t="s">
        <v>25</v>
      </c>
      <c r="E11" s="70" t="s">
        <v>40</v>
      </c>
      <c r="F11" s="70" t="s">
        <v>177</v>
      </c>
      <c r="G11" s="79">
        <v>0.0</v>
      </c>
      <c r="H11" s="77">
        <v>55.28</v>
      </c>
      <c r="I11" s="72"/>
      <c r="J11" s="72"/>
      <c r="K11" s="70"/>
      <c r="L11" s="70">
        <v>1.0</v>
      </c>
      <c r="M11" s="70" t="s">
        <v>39</v>
      </c>
      <c r="N11" s="70" t="s">
        <v>41</v>
      </c>
      <c r="O11" s="70" t="s">
        <v>154</v>
      </c>
      <c r="P11" s="70" t="s">
        <v>40</v>
      </c>
      <c r="Q11" s="70" t="s">
        <v>165</v>
      </c>
      <c r="R11" s="77">
        <v>0.0</v>
      </c>
      <c r="S11" s="77">
        <v>55.28</v>
      </c>
      <c r="T11" s="70"/>
      <c r="U11" s="70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</row>
    <row r="12" ht="15.75" customHeight="1">
      <c r="A12" s="55"/>
      <c r="B12" s="75">
        <v>42921.0</v>
      </c>
      <c r="C12" s="70" t="s">
        <v>35</v>
      </c>
      <c r="D12" s="70" t="s">
        <v>18</v>
      </c>
      <c r="E12" s="70" t="s">
        <v>25</v>
      </c>
      <c r="F12" s="70" t="s">
        <v>177</v>
      </c>
      <c r="G12" s="77">
        <v>1965.15</v>
      </c>
      <c r="H12" s="78">
        <v>0.0</v>
      </c>
      <c r="I12" s="72"/>
      <c r="J12" s="72"/>
      <c r="K12" s="70"/>
      <c r="L12" s="70">
        <v>1.413</v>
      </c>
      <c r="M12" s="70" t="s">
        <v>39</v>
      </c>
      <c r="N12" s="70" t="s">
        <v>38</v>
      </c>
      <c r="O12" s="70" t="s">
        <v>154</v>
      </c>
      <c r="P12" s="70" t="s">
        <v>40</v>
      </c>
      <c r="Q12" s="70" t="s">
        <v>165</v>
      </c>
      <c r="R12" s="77">
        <v>2776.76</v>
      </c>
      <c r="S12" s="77">
        <v>0.0</v>
      </c>
      <c r="T12" s="70"/>
      <c r="U12" s="70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</row>
    <row r="13" ht="15.75" customHeight="1">
      <c r="A13" s="55"/>
      <c r="B13" s="75">
        <v>42921.0</v>
      </c>
      <c r="C13" s="70" t="s">
        <v>35</v>
      </c>
      <c r="D13" s="70" t="s">
        <v>18</v>
      </c>
      <c r="E13" s="70" t="s">
        <v>25</v>
      </c>
      <c r="F13" s="70" t="s">
        <v>178</v>
      </c>
      <c r="G13" s="79">
        <v>0.0</v>
      </c>
      <c r="H13" s="77">
        <v>1965.15</v>
      </c>
      <c r="I13" s="72"/>
      <c r="J13" s="72"/>
      <c r="K13" s="70"/>
      <c r="L13" s="70">
        <v>1.413</v>
      </c>
      <c r="M13" s="70" t="s">
        <v>39</v>
      </c>
      <c r="N13" s="70" t="s">
        <v>41</v>
      </c>
      <c r="O13" s="70" t="s">
        <v>154</v>
      </c>
      <c r="P13" s="70" t="s">
        <v>40</v>
      </c>
      <c r="Q13" s="70" t="s">
        <v>165</v>
      </c>
      <c r="R13" s="77">
        <v>0.0</v>
      </c>
      <c r="S13" s="77">
        <v>2776.76</v>
      </c>
      <c r="T13" s="70"/>
      <c r="U13" s="70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</row>
    <row r="14" ht="15.75" customHeight="1">
      <c r="A14" s="55"/>
      <c r="B14" s="75">
        <v>42921.0</v>
      </c>
      <c r="C14" s="70" t="s">
        <v>35</v>
      </c>
      <c r="D14" s="70" t="s">
        <v>25</v>
      </c>
      <c r="E14" s="70" t="s">
        <v>40</v>
      </c>
      <c r="F14" s="70" t="s">
        <v>178</v>
      </c>
      <c r="G14" s="77">
        <v>24.79</v>
      </c>
      <c r="H14" s="78">
        <v>0.0</v>
      </c>
      <c r="I14" s="72"/>
      <c r="J14" s="72"/>
      <c r="K14" s="70"/>
      <c r="L14" s="70">
        <v>1.0</v>
      </c>
      <c r="M14" s="70" t="s">
        <v>39</v>
      </c>
      <c r="N14" s="70" t="s">
        <v>38</v>
      </c>
      <c r="O14" s="70" t="s">
        <v>154</v>
      </c>
      <c r="P14" s="70" t="s">
        <v>40</v>
      </c>
      <c r="Q14" s="70" t="s">
        <v>165</v>
      </c>
      <c r="R14" s="77">
        <v>24.79</v>
      </c>
      <c r="S14" s="77">
        <v>0.0</v>
      </c>
      <c r="T14" s="70"/>
      <c r="U14" s="70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</row>
    <row r="15" ht="15.75" customHeight="1">
      <c r="A15" s="55"/>
      <c r="B15" s="75">
        <v>42921.0</v>
      </c>
      <c r="C15" s="70" t="s">
        <v>35</v>
      </c>
      <c r="D15" s="70" t="s">
        <v>25</v>
      </c>
      <c r="E15" s="70" t="s">
        <v>40</v>
      </c>
      <c r="F15" s="70" t="s">
        <v>177</v>
      </c>
      <c r="G15" s="79">
        <v>0.0</v>
      </c>
      <c r="H15" s="77">
        <v>24.79</v>
      </c>
      <c r="I15" s="72"/>
      <c r="J15" s="72"/>
      <c r="K15" s="70"/>
      <c r="L15" s="70">
        <v>1.0</v>
      </c>
      <c r="M15" s="70" t="s">
        <v>39</v>
      </c>
      <c r="N15" s="70" t="s">
        <v>41</v>
      </c>
      <c r="O15" s="70" t="s">
        <v>154</v>
      </c>
      <c r="P15" s="70" t="s">
        <v>40</v>
      </c>
      <c r="Q15" s="70" t="s">
        <v>165</v>
      </c>
      <c r="R15" s="77">
        <v>0.0</v>
      </c>
      <c r="S15" s="77">
        <v>24.79</v>
      </c>
      <c r="T15" s="70"/>
      <c r="U15" s="70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</row>
    <row r="16" ht="15.75" customHeight="1">
      <c r="A16" s="55"/>
      <c r="B16" s="75">
        <v>42919.0</v>
      </c>
      <c r="C16" s="70" t="s">
        <v>35</v>
      </c>
      <c r="D16" s="70" t="s">
        <v>18</v>
      </c>
      <c r="E16" s="70" t="s">
        <v>25</v>
      </c>
      <c r="F16" s="70" t="s">
        <v>178</v>
      </c>
      <c r="G16" s="77">
        <v>4430.3</v>
      </c>
      <c r="H16" s="78">
        <v>0.0</v>
      </c>
      <c r="I16" s="72"/>
      <c r="J16" s="72"/>
      <c r="K16" s="70"/>
      <c r="L16" s="70">
        <v>1.403</v>
      </c>
      <c r="M16" s="70" t="s">
        <v>39</v>
      </c>
      <c r="N16" s="70" t="s">
        <v>38</v>
      </c>
      <c r="O16" s="70" t="s">
        <v>154</v>
      </c>
      <c r="P16" s="70" t="s">
        <v>40</v>
      </c>
      <c r="Q16" s="70" t="s">
        <v>157</v>
      </c>
      <c r="R16" s="77">
        <v>6215.71</v>
      </c>
      <c r="S16" s="77">
        <v>0.0</v>
      </c>
      <c r="T16" s="70"/>
      <c r="U16" s="70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</row>
    <row r="17" ht="15.75" customHeight="1">
      <c r="A17" s="55"/>
      <c r="B17" s="75">
        <v>42919.0</v>
      </c>
      <c r="C17" s="70" t="s">
        <v>35</v>
      </c>
      <c r="D17" s="70" t="s">
        <v>18</v>
      </c>
      <c r="E17" s="70" t="s">
        <v>25</v>
      </c>
      <c r="F17" s="70" t="s">
        <v>177</v>
      </c>
      <c r="G17" s="79">
        <v>0.0</v>
      </c>
      <c r="H17" s="77">
        <v>4430.3</v>
      </c>
      <c r="I17" s="72"/>
      <c r="J17" s="72"/>
      <c r="K17" s="70"/>
      <c r="L17" s="70">
        <v>1.403</v>
      </c>
      <c r="M17" s="70" t="s">
        <v>39</v>
      </c>
      <c r="N17" s="70" t="s">
        <v>41</v>
      </c>
      <c r="O17" s="70" t="s">
        <v>154</v>
      </c>
      <c r="P17" s="70" t="s">
        <v>40</v>
      </c>
      <c r="Q17" s="70" t="s">
        <v>157</v>
      </c>
      <c r="R17" s="77">
        <v>0.0</v>
      </c>
      <c r="S17" s="77">
        <v>6215.71</v>
      </c>
      <c r="T17" s="70"/>
      <c r="U17" s="70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</row>
    <row r="18" ht="15.75" customHeight="1">
      <c r="A18" s="55"/>
      <c r="B18" s="75">
        <v>42919.0</v>
      </c>
      <c r="C18" s="70" t="s">
        <v>35</v>
      </c>
      <c r="D18" s="70" t="s">
        <v>25</v>
      </c>
      <c r="E18" s="70" t="s">
        <v>40</v>
      </c>
      <c r="F18" s="70" t="s">
        <v>177</v>
      </c>
      <c r="G18" s="77">
        <v>55.26</v>
      </c>
      <c r="H18" s="78">
        <v>0.0</v>
      </c>
      <c r="I18" s="72"/>
      <c r="J18" s="72"/>
      <c r="K18" s="70"/>
      <c r="L18" s="70">
        <v>1.0</v>
      </c>
      <c r="M18" s="70" t="s">
        <v>39</v>
      </c>
      <c r="N18" s="70" t="s">
        <v>38</v>
      </c>
      <c r="O18" s="70" t="s">
        <v>154</v>
      </c>
      <c r="P18" s="70" t="s">
        <v>40</v>
      </c>
      <c r="Q18" s="70" t="s">
        <v>157</v>
      </c>
      <c r="R18" s="77">
        <v>55.26</v>
      </c>
      <c r="S18" s="77">
        <v>0.0</v>
      </c>
      <c r="T18" s="70"/>
      <c r="U18" s="70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</row>
    <row r="19" ht="15.75" customHeight="1">
      <c r="A19" s="55"/>
      <c r="B19" s="75">
        <v>42919.0</v>
      </c>
      <c r="C19" s="70" t="s">
        <v>35</v>
      </c>
      <c r="D19" s="70" t="s">
        <v>25</v>
      </c>
      <c r="E19" s="70" t="s">
        <v>40</v>
      </c>
      <c r="F19" s="70" t="s">
        <v>178</v>
      </c>
      <c r="G19" s="79">
        <v>0.0</v>
      </c>
      <c r="H19" s="77">
        <v>55.26</v>
      </c>
      <c r="I19" s="72"/>
      <c r="J19" s="72"/>
      <c r="K19" s="70"/>
      <c r="L19" s="70">
        <v>1.0</v>
      </c>
      <c r="M19" s="70" t="s">
        <v>39</v>
      </c>
      <c r="N19" s="70" t="s">
        <v>41</v>
      </c>
      <c r="O19" s="70" t="s">
        <v>154</v>
      </c>
      <c r="P19" s="70" t="s">
        <v>40</v>
      </c>
      <c r="Q19" s="70" t="s">
        <v>157</v>
      </c>
      <c r="R19" s="77">
        <v>0.0</v>
      </c>
      <c r="S19" s="77">
        <v>55.26</v>
      </c>
      <c r="T19" s="70"/>
      <c r="U19" s="70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</row>
    <row r="20" ht="15.75" customHeight="1">
      <c r="A20" s="55"/>
      <c r="B20" s="75">
        <v>42920.0</v>
      </c>
      <c r="C20" s="70" t="s">
        <v>35</v>
      </c>
      <c r="D20" s="70" t="s">
        <v>18</v>
      </c>
      <c r="E20" s="70" t="s">
        <v>25</v>
      </c>
      <c r="F20" s="70" t="s">
        <v>178</v>
      </c>
      <c r="G20" s="77">
        <v>1965.15</v>
      </c>
      <c r="H20" s="78">
        <v>0.0</v>
      </c>
      <c r="I20" s="72"/>
      <c r="J20" s="72"/>
      <c r="K20" s="70"/>
      <c r="L20" s="70">
        <v>1.413</v>
      </c>
      <c r="M20" s="70" t="s">
        <v>39</v>
      </c>
      <c r="N20" s="70" t="s">
        <v>38</v>
      </c>
      <c r="O20" s="70" t="s">
        <v>154</v>
      </c>
      <c r="P20" s="70" t="s">
        <v>40</v>
      </c>
      <c r="Q20" s="70" t="s">
        <v>157</v>
      </c>
      <c r="R20" s="77">
        <v>2776.76</v>
      </c>
      <c r="S20" s="77">
        <v>0.0</v>
      </c>
      <c r="T20" s="70"/>
      <c r="U20" s="70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</row>
    <row r="21" ht="15.75" customHeight="1">
      <c r="A21" s="55"/>
      <c r="B21" s="75">
        <v>42920.0</v>
      </c>
      <c r="C21" s="70" t="s">
        <v>35</v>
      </c>
      <c r="D21" s="70" t="s">
        <v>18</v>
      </c>
      <c r="E21" s="70" t="s">
        <v>25</v>
      </c>
      <c r="F21" s="70" t="s">
        <v>177</v>
      </c>
      <c r="G21" s="79">
        <v>0.0</v>
      </c>
      <c r="H21" s="77">
        <v>1965.15</v>
      </c>
      <c r="I21" s="72"/>
      <c r="J21" s="72"/>
      <c r="K21" s="70"/>
      <c r="L21" s="70">
        <v>1.413</v>
      </c>
      <c r="M21" s="70" t="s">
        <v>39</v>
      </c>
      <c r="N21" s="70" t="s">
        <v>41</v>
      </c>
      <c r="O21" s="70" t="s">
        <v>154</v>
      </c>
      <c r="P21" s="70" t="s">
        <v>40</v>
      </c>
      <c r="Q21" s="70" t="s">
        <v>157</v>
      </c>
      <c r="R21" s="77">
        <v>0.0</v>
      </c>
      <c r="S21" s="77">
        <v>2776.76</v>
      </c>
      <c r="T21" s="70"/>
      <c r="U21" s="70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</row>
    <row r="22" ht="15.75" customHeight="1">
      <c r="A22" s="55"/>
      <c r="B22" s="75">
        <v>42920.0</v>
      </c>
      <c r="C22" s="70" t="s">
        <v>35</v>
      </c>
      <c r="D22" s="70" t="s">
        <v>25</v>
      </c>
      <c r="E22" s="70" t="s">
        <v>40</v>
      </c>
      <c r="F22" s="70" t="s">
        <v>177</v>
      </c>
      <c r="G22" s="77">
        <v>24.79</v>
      </c>
      <c r="H22" s="78">
        <v>0.0</v>
      </c>
      <c r="I22" s="72"/>
      <c r="J22" s="72"/>
      <c r="K22" s="70"/>
      <c r="L22" s="70">
        <v>1.0</v>
      </c>
      <c r="M22" s="70" t="s">
        <v>39</v>
      </c>
      <c r="N22" s="70" t="s">
        <v>38</v>
      </c>
      <c r="O22" s="70" t="s">
        <v>154</v>
      </c>
      <c r="P22" s="70" t="s">
        <v>40</v>
      </c>
      <c r="Q22" s="70" t="s">
        <v>157</v>
      </c>
      <c r="R22" s="77">
        <v>24.79</v>
      </c>
      <c r="S22" s="77">
        <v>0.0</v>
      </c>
      <c r="T22" s="70"/>
      <c r="U22" s="70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</row>
    <row r="23" ht="15.75" customHeight="1">
      <c r="A23" s="55"/>
      <c r="B23" s="75">
        <v>42920.0</v>
      </c>
      <c r="C23" s="70" t="s">
        <v>35</v>
      </c>
      <c r="D23" s="70" t="s">
        <v>25</v>
      </c>
      <c r="E23" s="70" t="s">
        <v>40</v>
      </c>
      <c r="F23" s="70" t="s">
        <v>178</v>
      </c>
      <c r="G23" s="79">
        <v>0.0</v>
      </c>
      <c r="H23" s="77">
        <v>24.79</v>
      </c>
      <c r="I23" s="72"/>
      <c r="J23" s="72"/>
      <c r="K23" s="70"/>
      <c r="L23" s="70">
        <v>1.0</v>
      </c>
      <c r="M23" s="70" t="s">
        <v>39</v>
      </c>
      <c r="N23" s="70" t="s">
        <v>41</v>
      </c>
      <c r="O23" s="70" t="s">
        <v>154</v>
      </c>
      <c r="P23" s="70" t="s">
        <v>40</v>
      </c>
      <c r="Q23" s="70" t="s">
        <v>157</v>
      </c>
      <c r="R23" s="77">
        <v>0.0</v>
      </c>
      <c r="S23" s="77">
        <v>24.79</v>
      </c>
      <c r="T23" s="70"/>
      <c r="U23" s="70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</row>
    <row r="24" ht="15.75" customHeight="1">
      <c r="A24" s="55"/>
      <c r="B24" s="75">
        <v>42921.0</v>
      </c>
      <c r="C24" s="70" t="s">
        <v>35</v>
      </c>
      <c r="D24" s="70" t="s">
        <v>18</v>
      </c>
      <c r="E24" s="70" t="s">
        <v>25</v>
      </c>
      <c r="F24" s="70" t="s">
        <v>177</v>
      </c>
      <c r="G24" s="77">
        <v>284.85</v>
      </c>
      <c r="H24" s="78">
        <v>0.0</v>
      </c>
      <c r="I24" s="72"/>
      <c r="J24" s="72"/>
      <c r="K24" s="70"/>
      <c r="L24" s="70">
        <v>0.0</v>
      </c>
      <c r="M24" s="70" t="s">
        <v>39</v>
      </c>
      <c r="N24" s="70" t="s">
        <v>38</v>
      </c>
      <c r="O24" s="70" t="s">
        <v>154</v>
      </c>
      <c r="P24" s="70" t="s">
        <v>40</v>
      </c>
      <c r="Q24" s="70" t="s">
        <v>157</v>
      </c>
      <c r="R24" s="77">
        <v>0.0</v>
      </c>
      <c r="S24" s="77">
        <v>0.0</v>
      </c>
      <c r="T24" s="70"/>
      <c r="U24" s="70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</row>
    <row r="25" ht="15.75" customHeight="1">
      <c r="A25" s="55"/>
      <c r="B25" s="75">
        <v>42921.0</v>
      </c>
      <c r="C25" s="70" t="s">
        <v>35</v>
      </c>
      <c r="D25" s="70" t="s">
        <v>18</v>
      </c>
      <c r="E25" s="70" t="s">
        <v>25</v>
      </c>
      <c r="F25" s="70" t="s">
        <v>178</v>
      </c>
      <c r="G25" s="79">
        <v>0.0</v>
      </c>
      <c r="H25" s="77">
        <v>284.85</v>
      </c>
      <c r="I25" s="72"/>
      <c r="J25" s="72"/>
      <c r="K25" s="70"/>
      <c r="L25" s="70">
        <v>0.0</v>
      </c>
      <c r="M25" s="70" t="s">
        <v>39</v>
      </c>
      <c r="N25" s="70" t="s">
        <v>41</v>
      </c>
      <c r="O25" s="70" t="s">
        <v>154</v>
      </c>
      <c r="P25" s="70" t="s">
        <v>40</v>
      </c>
      <c r="Q25" s="70" t="s">
        <v>157</v>
      </c>
      <c r="R25" s="77">
        <v>0.0</v>
      </c>
      <c r="S25" s="77">
        <v>0.0</v>
      </c>
      <c r="T25" s="70"/>
      <c r="U25" s="70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</row>
    <row r="26" ht="15.75" customHeight="1">
      <c r="A26" s="55"/>
      <c r="B26" s="75">
        <v>42921.0</v>
      </c>
      <c r="C26" s="70" t="s">
        <v>35</v>
      </c>
      <c r="D26" s="70" t="s">
        <v>25</v>
      </c>
      <c r="E26" s="70" t="s">
        <v>40</v>
      </c>
      <c r="F26" s="70" t="s">
        <v>177</v>
      </c>
      <c r="G26" s="77">
        <v>427.28</v>
      </c>
      <c r="H26" s="78">
        <v>0.0</v>
      </c>
      <c r="I26" s="72"/>
      <c r="J26" s="72"/>
      <c r="K26" s="70"/>
      <c r="L26" s="70">
        <v>1.0</v>
      </c>
      <c r="M26" s="70" t="s">
        <v>39</v>
      </c>
      <c r="N26" s="70" t="s">
        <v>38</v>
      </c>
      <c r="O26" s="70" t="s">
        <v>154</v>
      </c>
      <c r="P26" s="70" t="s">
        <v>40</v>
      </c>
      <c r="Q26" s="70" t="s">
        <v>157</v>
      </c>
      <c r="R26" s="77">
        <v>427.28</v>
      </c>
      <c r="S26" s="77">
        <v>0.0</v>
      </c>
      <c r="T26" s="70"/>
      <c r="U26" s="70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</row>
    <row r="27" ht="15.75" customHeight="1">
      <c r="A27" s="55"/>
      <c r="B27" s="75">
        <v>42921.0</v>
      </c>
      <c r="C27" s="70" t="s">
        <v>35</v>
      </c>
      <c r="D27" s="70" t="s">
        <v>25</v>
      </c>
      <c r="E27" s="70" t="s">
        <v>40</v>
      </c>
      <c r="F27" s="70" t="s">
        <v>178</v>
      </c>
      <c r="G27" s="79">
        <v>0.0</v>
      </c>
      <c r="H27" s="77">
        <v>427.28</v>
      </c>
      <c r="I27" s="72"/>
      <c r="J27" s="72"/>
      <c r="K27" s="70"/>
      <c r="L27" s="70">
        <v>1.0</v>
      </c>
      <c r="M27" s="70" t="s">
        <v>39</v>
      </c>
      <c r="N27" s="70" t="s">
        <v>41</v>
      </c>
      <c r="O27" s="70" t="s">
        <v>154</v>
      </c>
      <c r="P27" s="70" t="s">
        <v>40</v>
      </c>
      <c r="Q27" s="70" t="s">
        <v>157</v>
      </c>
      <c r="R27" s="77">
        <v>0.0</v>
      </c>
      <c r="S27" s="77">
        <v>427.28</v>
      </c>
      <c r="T27" s="70"/>
      <c r="U27" s="70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</row>
    <row r="28" ht="15.75" customHeight="1">
      <c r="A28" s="55"/>
      <c r="B28" s="75">
        <v>42920.0</v>
      </c>
      <c r="C28" s="70" t="s">
        <v>35</v>
      </c>
      <c r="D28" s="70" t="s">
        <v>29</v>
      </c>
      <c r="E28" s="70" t="s">
        <v>40</v>
      </c>
      <c r="F28" s="70" t="s">
        <v>179</v>
      </c>
      <c r="G28" s="77">
        <v>1427.18</v>
      </c>
      <c r="H28" s="78">
        <v>0.0</v>
      </c>
      <c r="I28" s="72"/>
      <c r="J28" s="72"/>
      <c r="K28" s="70"/>
      <c r="L28" s="70">
        <v>1.0</v>
      </c>
      <c r="M28" s="70" t="s">
        <v>39</v>
      </c>
      <c r="N28" s="70" t="s">
        <v>38</v>
      </c>
      <c r="O28" s="70" t="s">
        <v>154</v>
      </c>
      <c r="P28" s="70" t="s">
        <v>40</v>
      </c>
      <c r="Q28" s="70" t="s">
        <v>165</v>
      </c>
      <c r="R28" s="77">
        <v>1427.18</v>
      </c>
      <c r="S28" s="77">
        <v>0.0</v>
      </c>
      <c r="T28" s="70"/>
      <c r="U28" s="70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</row>
    <row r="29" ht="15.75" customHeight="1">
      <c r="A29" s="55"/>
      <c r="B29" s="75">
        <v>42920.0</v>
      </c>
      <c r="C29" s="70" t="s">
        <v>35</v>
      </c>
      <c r="D29" s="70" t="s">
        <v>29</v>
      </c>
      <c r="E29" s="70" t="s">
        <v>40</v>
      </c>
      <c r="F29" s="70" t="s">
        <v>180</v>
      </c>
      <c r="G29" s="79">
        <v>0.0</v>
      </c>
      <c r="H29" s="77">
        <v>1427.18</v>
      </c>
      <c r="I29" s="72"/>
      <c r="J29" s="72"/>
      <c r="K29" s="70"/>
      <c r="L29" s="70">
        <v>1.0</v>
      </c>
      <c r="M29" s="70" t="s">
        <v>39</v>
      </c>
      <c r="N29" s="70" t="s">
        <v>41</v>
      </c>
      <c r="O29" s="70" t="s">
        <v>154</v>
      </c>
      <c r="P29" s="70" t="s">
        <v>40</v>
      </c>
      <c r="Q29" s="70" t="s">
        <v>165</v>
      </c>
      <c r="R29" s="77">
        <v>0.0</v>
      </c>
      <c r="S29" s="77">
        <v>1427.18</v>
      </c>
      <c r="T29" s="70"/>
      <c r="U29" s="70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</row>
    <row r="30" ht="15.75" customHeight="1">
      <c r="A30" s="55"/>
      <c r="B30" s="75">
        <v>42920.0</v>
      </c>
      <c r="C30" s="70" t="s">
        <v>35</v>
      </c>
      <c r="D30" s="70" t="s">
        <v>26</v>
      </c>
      <c r="E30" s="70" t="s">
        <v>29</v>
      </c>
      <c r="F30" s="70" t="s">
        <v>180</v>
      </c>
      <c r="G30" s="77">
        <v>5130.46</v>
      </c>
      <c r="H30" s="78">
        <v>0.0</v>
      </c>
      <c r="I30" s="72"/>
      <c r="J30" s="72"/>
      <c r="K30" s="70"/>
      <c r="L30" s="70">
        <v>0.7878</v>
      </c>
      <c r="M30" s="70" t="s">
        <v>39</v>
      </c>
      <c r="N30" s="70" t="s">
        <v>38</v>
      </c>
      <c r="O30" s="70" t="s">
        <v>154</v>
      </c>
      <c r="P30" s="70" t="s">
        <v>40</v>
      </c>
      <c r="Q30" s="70" t="s">
        <v>165</v>
      </c>
      <c r="R30" s="77">
        <v>4041.78</v>
      </c>
      <c r="S30" s="77">
        <v>0.0</v>
      </c>
      <c r="T30" s="70"/>
      <c r="U30" s="70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</row>
    <row r="31" ht="15.75" customHeight="1">
      <c r="A31" s="55"/>
      <c r="B31" s="75">
        <v>42920.0</v>
      </c>
      <c r="C31" s="70" t="s">
        <v>35</v>
      </c>
      <c r="D31" s="70" t="s">
        <v>26</v>
      </c>
      <c r="E31" s="70" t="s">
        <v>29</v>
      </c>
      <c r="F31" s="70" t="s">
        <v>179</v>
      </c>
      <c r="G31" s="79">
        <v>0.0</v>
      </c>
      <c r="H31" s="77">
        <v>5130.46</v>
      </c>
      <c r="I31" s="72"/>
      <c r="J31" s="72"/>
      <c r="K31" s="70"/>
      <c r="L31" s="70">
        <v>0.7878</v>
      </c>
      <c r="M31" s="70" t="s">
        <v>39</v>
      </c>
      <c r="N31" s="70" t="s">
        <v>41</v>
      </c>
      <c r="O31" s="70" t="s">
        <v>154</v>
      </c>
      <c r="P31" s="70" t="s">
        <v>40</v>
      </c>
      <c r="Q31" s="70" t="s">
        <v>165</v>
      </c>
      <c r="R31" s="77">
        <v>0.0</v>
      </c>
      <c r="S31" s="77">
        <v>4041.78</v>
      </c>
      <c r="T31" s="70"/>
      <c r="U31" s="70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</row>
    <row r="32" ht="15.75" customHeight="1">
      <c r="A32" s="55"/>
      <c r="B32" s="75">
        <v>42921.0</v>
      </c>
      <c r="C32" s="70" t="s">
        <v>35</v>
      </c>
      <c r="D32" s="70" t="s">
        <v>29</v>
      </c>
      <c r="E32" s="70" t="s">
        <v>40</v>
      </c>
      <c r="F32" s="70" t="s">
        <v>179</v>
      </c>
      <c r="G32" s="77">
        <v>712.18</v>
      </c>
      <c r="H32" s="78">
        <v>0.0</v>
      </c>
      <c r="I32" s="72"/>
      <c r="J32" s="72"/>
      <c r="K32" s="70"/>
      <c r="L32" s="70">
        <v>1.0</v>
      </c>
      <c r="M32" s="70" t="s">
        <v>39</v>
      </c>
      <c r="N32" s="70" t="s">
        <v>38</v>
      </c>
      <c r="O32" s="70" t="s">
        <v>154</v>
      </c>
      <c r="P32" s="70" t="s">
        <v>40</v>
      </c>
      <c r="Q32" s="70" t="s">
        <v>165</v>
      </c>
      <c r="R32" s="77">
        <v>712.18</v>
      </c>
      <c r="S32" s="77">
        <v>0.0</v>
      </c>
      <c r="T32" s="70"/>
      <c r="U32" s="70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</row>
    <row r="33" ht="15.75" customHeight="1">
      <c r="A33" s="55"/>
      <c r="B33" s="75">
        <v>42921.0</v>
      </c>
      <c r="C33" s="70" t="s">
        <v>35</v>
      </c>
      <c r="D33" s="70" t="s">
        <v>29</v>
      </c>
      <c r="E33" s="70" t="s">
        <v>40</v>
      </c>
      <c r="F33" s="70" t="s">
        <v>180</v>
      </c>
      <c r="G33" s="79">
        <v>0.0</v>
      </c>
      <c r="H33" s="77">
        <v>712.18</v>
      </c>
      <c r="I33" s="72"/>
      <c r="J33" s="72"/>
      <c r="K33" s="70"/>
      <c r="L33" s="70">
        <v>1.0</v>
      </c>
      <c r="M33" s="70" t="s">
        <v>39</v>
      </c>
      <c r="N33" s="70" t="s">
        <v>41</v>
      </c>
      <c r="O33" s="70" t="s">
        <v>154</v>
      </c>
      <c r="P33" s="70" t="s">
        <v>40</v>
      </c>
      <c r="Q33" s="70" t="s">
        <v>165</v>
      </c>
      <c r="R33" s="77">
        <v>0.0</v>
      </c>
      <c r="S33" s="77">
        <v>712.18</v>
      </c>
      <c r="T33" s="70"/>
      <c r="U33" s="70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</row>
    <row r="34" ht="15.75" customHeight="1">
      <c r="A34" s="55"/>
      <c r="B34" s="75">
        <v>42921.0</v>
      </c>
      <c r="C34" s="70" t="s">
        <v>35</v>
      </c>
      <c r="D34" s="70" t="s">
        <v>26</v>
      </c>
      <c r="E34" s="70" t="s">
        <v>29</v>
      </c>
      <c r="F34" s="70" t="s">
        <v>180</v>
      </c>
      <c r="G34" s="77">
        <v>3080.23</v>
      </c>
      <c r="H34" s="78">
        <v>0.0</v>
      </c>
      <c r="I34" s="72"/>
      <c r="J34" s="72"/>
      <c r="K34" s="70"/>
      <c r="L34" s="70">
        <v>0.7896</v>
      </c>
      <c r="M34" s="70" t="s">
        <v>39</v>
      </c>
      <c r="N34" s="70" t="s">
        <v>38</v>
      </c>
      <c r="O34" s="70" t="s">
        <v>154</v>
      </c>
      <c r="P34" s="70" t="s">
        <v>40</v>
      </c>
      <c r="Q34" s="70" t="s">
        <v>165</v>
      </c>
      <c r="R34" s="77">
        <v>2432.15</v>
      </c>
      <c r="S34" s="77">
        <v>0.0</v>
      </c>
      <c r="T34" s="70"/>
      <c r="U34" s="70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</row>
    <row r="35" ht="15.75" customHeight="1">
      <c r="A35" s="55"/>
      <c r="B35" s="75">
        <v>42921.0</v>
      </c>
      <c r="C35" s="70" t="s">
        <v>35</v>
      </c>
      <c r="D35" s="70" t="s">
        <v>26</v>
      </c>
      <c r="E35" s="70" t="s">
        <v>29</v>
      </c>
      <c r="F35" s="70" t="s">
        <v>179</v>
      </c>
      <c r="G35" s="79">
        <v>0.0</v>
      </c>
      <c r="H35" s="77">
        <v>3080.23</v>
      </c>
      <c r="I35" s="72"/>
      <c r="J35" s="72"/>
      <c r="K35" s="70"/>
      <c r="L35" s="70">
        <v>0.7896</v>
      </c>
      <c r="M35" s="70" t="s">
        <v>39</v>
      </c>
      <c r="N35" s="70" t="s">
        <v>41</v>
      </c>
      <c r="O35" s="70" t="s">
        <v>154</v>
      </c>
      <c r="P35" s="70" t="s">
        <v>40</v>
      </c>
      <c r="Q35" s="70" t="s">
        <v>165</v>
      </c>
      <c r="R35" s="77">
        <v>0.0</v>
      </c>
      <c r="S35" s="77">
        <v>2432.15</v>
      </c>
      <c r="T35" s="70"/>
      <c r="U35" s="70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</row>
    <row r="36" ht="15.75" customHeight="1">
      <c r="A36" s="55"/>
      <c r="B36" s="75">
        <v>42919.0</v>
      </c>
      <c r="C36" s="70" t="s">
        <v>35</v>
      </c>
      <c r="D36" s="70" t="s">
        <v>29</v>
      </c>
      <c r="E36" s="70" t="s">
        <v>40</v>
      </c>
      <c r="F36" s="70" t="s">
        <v>180</v>
      </c>
      <c r="G36" s="77">
        <v>1427.17</v>
      </c>
      <c r="H36" s="78">
        <v>0.0</v>
      </c>
      <c r="I36" s="72"/>
      <c r="J36" s="72"/>
      <c r="K36" s="70"/>
      <c r="L36" s="70">
        <v>1.0</v>
      </c>
      <c r="M36" s="70" t="s">
        <v>39</v>
      </c>
      <c r="N36" s="70" t="s">
        <v>38</v>
      </c>
      <c r="O36" s="70" t="s">
        <v>154</v>
      </c>
      <c r="P36" s="70" t="s">
        <v>40</v>
      </c>
      <c r="Q36" s="70" t="s">
        <v>157</v>
      </c>
      <c r="R36" s="77">
        <v>1427.17</v>
      </c>
      <c r="S36" s="77">
        <v>0.0</v>
      </c>
      <c r="T36" s="70"/>
      <c r="U36" s="70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</row>
    <row r="37" ht="15.75" customHeight="1">
      <c r="A37" s="55"/>
      <c r="B37" s="75">
        <v>42919.0</v>
      </c>
      <c r="C37" s="70" t="s">
        <v>35</v>
      </c>
      <c r="D37" s="70" t="s">
        <v>29</v>
      </c>
      <c r="E37" s="70" t="s">
        <v>40</v>
      </c>
      <c r="F37" s="70" t="s">
        <v>179</v>
      </c>
      <c r="G37" s="79">
        <v>0.0</v>
      </c>
      <c r="H37" s="77">
        <v>1427.17</v>
      </c>
      <c r="I37" s="72"/>
      <c r="J37" s="72"/>
      <c r="K37" s="70"/>
      <c r="L37" s="70">
        <v>1.0</v>
      </c>
      <c r="M37" s="70" t="s">
        <v>39</v>
      </c>
      <c r="N37" s="70" t="s">
        <v>41</v>
      </c>
      <c r="O37" s="70" t="s">
        <v>154</v>
      </c>
      <c r="P37" s="70" t="s">
        <v>40</v>
      </c>
      <c r="Q37" s="70" t="s">
        <v>157</v>
      </c>
      <c r="R37" s="77">
        <v>0.0</v>
      </c>
      <c r="S37" s="77">
        <v>1427.17</v>
      </c>
      <c r="T37" s="70"/>
      <c r="U37" s="70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</row>
    <row r="38" ht="15.75" customHeight="1">
      <c r="A38" s="55"/>
      <c r="B38" s="75">
        <v>42919.0</v>
      </c>
      <c r="C38" s="70" t="s">
        <v>35</v>
      </c>
      <c r="D38" s="70" t="s">
        <v>26</v>
      </c>
      <c r="E38" s="70" t="s">
        <v>29</v>
      </c>
      <c r="F38" s="70" t="s">
        <v>179</v>
      </c>
      <c r="G38" s="77">
        <v>5130.46</v>
      </c>
      <c r="H38" s="78">
        <v>0.0</v>
      </c>
      <c r="I38" s="72"/>
      <c r="J38" s="72"/>
      <c r="K38" s="70"/>
      <c r="L38" s="70">
        <v>0.7878</v>
      </c>
      <c r="M38" s="70" t="s">
        <v>39</v>
      </c>
      <c r="N38" s="70" t="s">
        <v>38</v>
      </c>
      <c r="O38" s="70" t="s">
        <v>154</v>
      </c>
      <c r="P38" s="70" t="s">
        <v>40</v>
      </c>
      <c r="Q38" s="70" t="s">
        <v>157</v>
      </c>
      <c r="R38" s="77">
        <v>4041.78</v>
      </c>
      <c r="S38" s="77">
        <v>0.0</v>
      </c>
      <c r="T38" s="70"/>
      <c r="U38" s="70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</row>
    <row r="39" ht="15.75" customHeight="1">
      <c r="A39" s="55"/>
      <c r="B39" s="75">
        <v>42919.0</v>
      </c>
      <c r="C39" s="70" t="s">
        <v>35</v>
      </c>
      <c r="D39" s="70" t="s">
        <v>26</v>
      </c>
      <c r="E39" s="70" t="s">
        <v>29</v>
      </c>
      <c r="F39" s="70" t="s">
        <v>180</v>
      </c>
      <c r="G39" s="79">
        <v>0.0</v>
      </c>
      <c r="H39" s="77">
        <v>5130.46</v>
      </c>
      <c r="I39" s="72"/>
      <c r="J39" s="72"/>
      <c r="K39" s="70"/>
      <c r="L39" s="70">
        <v>0.7878</v>
      </c>
      <c r="M39" s="70" t="s">
        <v>39</v>
      </c>
      <c r="N39" s="70" t="s">
        <v>41</v>
      </c>
      <c r="O39" s="70" t="s">
        <v>154</v>
      </c>
      <c r="P39" s="70" t="s">
        <v>40</v>
      </c>
      <c r="Q39" s="70" t="s">
        <v>157</v>
      </c>
      <c r="R39" s="77">
        <v>0.0</v>
      </c>
      <c r="S39" s="77">
        <v>4041.78</v>
      </c>
      <c r="T39" s="70"/>
      <c r="U39" s="70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</row>
    <row r="40" ht="15.75" customHeight="1">
      <c r="A40" s="55"/>
      <c r="B40" s="75">
        <v>42920.0</v>
      </c>
      <c r="C40" s="70" t="s">
        <v>35</v>
      </c>
      <c r="D40" s="70" t="s">
        <v>29</v>
      </c>
      <c r="E40" s="70" t="s">
        <v>40</v>
      </c>
      <c r="F40" s="70" t="s">
        <v>180</v>
      </c>
      <c r="G40" s="77">
        <v>712.18</v>
      </c>
      <c r="H40" s="78">
        <v>0.0</v>
      </c>
      <c r="I40" s="72"/>
      <c r="J40" s="72"/>
      <c r="K40" s="70"/>
      <c r="L40" s="70">
        <v>1.0</v>
      </c>
      <c r="M40" s="70" t="s">
        <v>39</v>
      </c>
      <c r="N40" s="70" t="s">
        <v>38</v>
      </c>
      <c r="O40" s="70" t="s">
        <v>154</v>
      </c>
      <c r="P40" s="70" t="s">
        <v>40</v>
      </c>
      <c r="Q40" s="70" t="s">
        <v>157</v>
      </c>
      <c r="R40" s="77">
        <v>712.18</v>
      </c>
      <c r="S40" s="77">
        <v>0.0</v>
      </c>
      <c r="T40" s="70"/>
      <c r="U40" s="70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</row>
    <row r="41" ht="15.75" customHeight="1">
      <c r="A41" s="55"/>
      <c r="B41" s="75">
        <v>42920.0</v>
      </c>
      <c r="C41" s="70" t="s">
        <v>35</v>
      </c>
      <c r="D41" s="70" t="s">
        <v>29</v>
      </c>
      <c r="E41" s="70" t="s">
        <v>40</v>
      </c>
      <c r="F41" s="70" t="s">
        <v>179</v>
      </c>
      <c r="G41" s="79">
        <v>0.0</v>
      </c>
      <c r="H41" s="77">
        <v>712.18</v>
      </c>
      <c r="I41" s="72"/>
      <c r="J41" s="72"/>
      <c r="K41" s="70"/>
      <c r="L41" s="70">
        <v>1.0</v>
      </c>
      <c r="M41" s="70" t="s">
        <v>39</v>
      </c>
      <c r="N41" s="70" t="s">
        <v>41</v>
      </c>
      <c r="O41" s="70" t="s">
        <v>154</v>
      </c>
      <c r="P41" s="70" t="s">
        <v>40</v>
      </c>
      <c r="Q41" s="70" t="s">
        <v>157</v>
      </c>
      <c r="R41" s="77">
        <v>0.0</v>
      </c>
      <c r="S41" s="77">
        <v>712.18</v>
      </c>
      <c r="T41" s="70"/>
      <c r="U41" s="70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</row>
    <row r="42" ht="15.75" customHeight="1">
      <c r="A42" s="55"/>
      <c r="B42" s="75">
        <v>42920.0</v>
      </c>
      <c r="C42" s="70" t="s">
        <v>35</v>
      </c>
      <c r="D42" s="70" t="s">
        <v>26</v>
      </c>
      <c r="E42" s="70" t="s">
        <v>29</v>
      </c>
      <c r="F42" s="70" t="s">
        <v>179</v>
      </c>
      <c r="G42" s="77">
        <v>3080.23</v>
      </c>
      <c r="H42" s="78">
        <v>0.0</v>
      </c>
      <c r="I42" s="72"/>
      <c r="J42" s="72"/>
      <c r="K42" s="70"/>
      <c r="L42" s="70">
        <v>0.7896</v>
      </c>
      <c r="M42" s="70" t="s">
        <v>39</v>
      </c>
      <c r="N42" s="70" t="s">
        <v>38</v>
      </c>
      <c r="O42" s="70" t="s">
        <v>154</v>
      </c>
      <c r="P42" s="70" t="s">
        <v>40</v>
      </c>
      <c r="Q42" s="70" t="s">
        <v>157</v>
      </c>
      <c r="R42" s="77">
        <v>2432.15</v>
      </c>
      <c r="S42" s="77">
        <v>0.0</v>
      </c>
      <c r="T42" s="70"/>
      <c r="U42" s="70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</row>
    <row r="43" ht="15.75" customHeight="1">
      <c r="A43" s="55"/>
      <c r="B43" s="75">
        <v>42920.0</v>
      </c>
      <c r="C43" s="70" t="s">
        <v>35</v>
      </c>
      <c r="D43" s="70" t="s">
        <v>26</v>
      </c>
      <c r="E43" s="70" t="s">
        <v>29</v>
      </c>
      <c r="F43" s="70" t="s">
        <v>180</v>
      </c>
      <c r="G43" s="79">
        <v>0.0</v>
      </c>
      <c r="H43" s="77">
        <v>3080.23</v>
      </c>
      <c r="I43" s="72"/>
      <c r="J43" s="72"/>
      <c r="K43" s="70"/>
      <c r="L43" s="70">
        <v>0.7896</v>
      </c>
      <c r="M43" s="70" t="s">
        <v>39</v>
      </c>
      <c r="N43" s="70" t="s">
        <v>41</v>
      </c>
      <c r="O43" s="70" t="s">
        <v>154</v>
      </c>
      <c r="P43" s="70" t="s">
        <v>40</v>
      </c>
      <c r="Q43" s="70" t="s">
        <v>157</v>
      </c>
      <c r="R43" s="77">
        <v>0.0</v>
      </c>
      <c r="S43" s="77">
        <v>2432.15</v>
      </c>
      <c r="T43" s="70"/>
      <c r="U43" s="70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</row>
    <row r="44" ht="15.75" customHeight="1">
      <c r="A44" s="55"/>
      <c r="B44" s="75">
        <v>42921.0</v>
      </c>
      <c r="C44" s="70" t="s">
        <v>35</v>
      </c>
      <c r="D44" s="70" t="s">
        <v>29</v>
      </c>
      <c r="E44" s="70" t="s">
        <v>40</v>
      </c>
      <c r="F44" s="70" t="s">
        <v>180</v>
      </c>
      <c r="G44" s="77">
        <v>1329.86</v>
      </c>
      <c r="H44" s="78">
        <v>0.0</v>
      </c>
      <c r="I44" s="72"/>
      <c r="J44" s="72"/>
      <c r="K44" s="70"/>
      <c r="L44" s="70">
        <v>1.0</v>
      </c>
      <c r="M44" s="70" t="s">
        <v>39</v>
      </c>
      <c r="N44" s="70" t="s">
        <v>38</v>
      </c>
      <c r="O44" s="70" t="s">
        <v>154</v>
      </c>
      <c r="P44" s="70" t="s">
        <v>40</v>
      </c>
      <c r="Q44" s="70" t="s">
        <v>157</v>
      </c>
      <c r="R44" s="77">
        <v>1329.86</v>
      </c>
      <c r="S44" s="77">
        <v>0.0</v>
      </c>
      <c r="T44" s="70"/>
      <c r="U44" s="70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</row>
    <row r="45" ht="15.75" customHeight="1">
      <c r="A45" s="55"/>
      <c r="B45" s="75">
        <v>42921.0</v>
      </c>
      <c r="C45" s="70" t="s">
        <v>35</v>
      </c>
      <c r="D45" s="70" t="s">
        <v>29</v>
      </c>
      <c r="E45" s="70" t="s">
        <v>40</v>
      </c>
      <c r="F45" s="70" t="s">
        <v>179</v>
      </c>
      <c r="G45" s="79">
        <v>0.0</v>
      </c>
      <c r="H45" s="77">
        <v>1329.86</v>
      </c>
      <c r="I45" s="72"/>
      <c r="J45" s="72"/>
      <c r="K45" s="70"/>
      <c r="L45" s="70">
        <v>1.0</v>
      </c>
      <c r="M45" s="70" t="s">
        <v>39</v>
      </c>
      <c r="N45" s="70" t="s">
        <v>41</v>
      </c>
      <c r="O45" s="70" t="s">
        <v>154</v>
      </c>
      <c r="P45" s="70" t="s">
        <v>40</v>
      </c>
      <c r="Q45" s="70" t="s">
        <v>157</v>
      </c>
      <c r="R45" s="77">
        <v>0.0</v>
      </c>
      <c r="S45" s="77">
        <v>1329.86</v>
      </c>
      <c r="T45" s="70"/>
      <c r="U45" s="70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</row>
    <row r="46" ht="15.75" customHeight="1">
      <c r="A46" s="55"/>
      <c r="B46" s="75">
        <v>42921.0</v>
      </c>
      <c r="C46" s="70" t="s">
        <v>35</v>
      </c>
      <c r="D46" s="70" t="s">
        <v>26</v>
      </c>
      <c r="E46" s="70" t="s">
        <v>29</v>
      </c>
      <c r="F46" s="70" t="s">
        <v>180</v>
      </c>
      <c r="G46" s="77">
        <v>782.27</v>
      </c>
      <c r="H46" s="78">
        <v>0.0</v>
      </c>
      <c r="I46" s="72"/>
      <c r="J46" s="72"/>
      <c r="K46" s="70"/>
      <c r="L46" s="70">
        <v>0.0</v>
      </c>
      <c r="M46" s="70" t="s">
        <v>39</v>
      </c>
      <c r="N46" s="70" t="s">
        <v>38</v>
      </c>
      <c r="O46" s="70" t="s">
        <v>154</v>
      </c>
      <c r="P46" s="70" t="s">
        <v>40</v>
      </c>
      <c r="Q46" s="70" t="s">
        <v>157</v>
      </c>
      <c r="R46" s="77">
        <v>0.0</v>
      </c>
      <c r="S46" s="77">
        <v>0.0</v>
      </c>
      <c r="T46" s="70"/>
      <c r="U46" s="70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</row>
    <row r="47" ht="15.75" customHeight="1">
      <c r="A47" s="55"/>
      <c r="B47" s="75">
        <v>42921.0</v>
      </c>
      <c r="C47" s="70" t="s">
        <v>35</v>
      </c>
      <c r="D47" s="70" t="s">
        <v>26</v>
      </c>
      <c r="E47" s="70" t="s">
        <v>29</v>
      </c>
      <c r="F47" s="70" t="s">
        <v>179</v>
      </c>
      <c r="G47" s="79">
        <v>0.0</v>
      </c>
      <c r="H47" s="77">
        <v>782.27</v>
      </c>
      <c r="I47" s="72"/>
      <c r="J47" s="72"/>
      <c r="K47" s="70"/>
      <c r="L47" s="70">
        <v>0.0</v>
      </c>
      <c r="M47" s="70" t="s">
        <v>39</v>
      </c>
      <c r="N47" s="70" t="s">
        <v>41</v>
      </c>
      <c r="O47" s="70" t="s">
        <v>154</v>
      </c>
      <c r="P47" s="70" t="s">
        <v>40</v>
      </c>
      <c r="Q47" s="70" t="s">
        <v>157</v>
      </c>
      <c r="R47" s="77">
        <v>0.0</v>
      </c>
      <c r="S47" s="77">
        <v>0.0</v>
      </c>
      <c r="T47" s="70"/>
      <c r="U47" s="70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</row>
    <row r="48" ht="15.75" customHeight="1">
      <c r="A48" s="55"/>
      <c r="B48" s="75">
        <v>42920.0</v>
      </c>
      <c r="C48" s="70" t="s">
        <v>35</v>
      </c>
      <c r="D48" s="70" t="s">
        <v>26</v>
      </c>
      <c r="E48" s="70" t="s">
        <v>29</v>
      </c>
      <c r="F48" s="70" t="s">
        <v>181</v>
      </c>
      <c r="G48" s="77">
        <v>373.98</v>
      </c>
      <c r="H48" s="78">
        <v>0.0</v>
      </c>
      <c r="I48" s="72"/>
      <c r="J48" s="72"/>
      <c r="K48" s="70"/>
      <c r="L48" s="70">
        <v>1.7</v>
      </c>
      <c r="M48" s="70" t="s">
        <v>39</v>
      </c>
      <c r="N48" s="70" t="s">
        <v>38</v>
      </c>
      <c r="O48" s="70" t="s">
        <v>154</v>
      </c>
      <c r="P48" s="70" t="s">
        <v>40</v>
      </c>
      <c r="Q48" s="70" t="s">
        <v>169</v>
      </c>
      <c r="R48" s="77">
        <v>635.77</v>
      </c>
      <c r="S48" s="77">
        <v>0.0</v>
      </c>
      <c r="T48" s="70"/>
      <c r="U48" s="70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</row>
    <row r="49" ht="15.75" customHeight="1">
      <c r="A49" s="55"/>
      <c r="B49" s="75">
        <v>42920.0</v>
      </c>
      <c r="C49" s="70" t="s">
        <v>35</v>
      </c>
      <c r="D49" s="70" t="s">
        <v>26</v>
      </c>
      <c r="E49" s="70" t="s">
        <v>29</v>
      </c>
      <c r="F49" s="70" t="s">
        <v>88</v>
      </c>
      <c r="G49" s="79">
        <v>0.0</v>
      </c>
      <c r="H49" s="77">
        <v>373.98</v>
      </c>
      <c r="I49" s="72"/>
      <c r="J49" s="72"/>
      <c r="K49" s="70"/>
      <c r="L49" s="70">
        <v>1.7</v>
      </c>
      <c r="M49" s="70" t="s">
        <v>39</v>
      </c>
      <c r="N49" s="70" t="s">
        <v>41</v>
      </c>
      <c r="O49" s="70" t="s">
        <v>154</v>
      </c>
      <c r="P49" s="70" t="s">
        <v>40</v>
      </c>
      <c r="Q49" s="70" t="s">
        <v>169</v>
      </c>
      <c r="R49" s="77">
        <v>0.0</v>
      </c>
      <c r="S49" s="77">
        <v>635.77</v>
      </c>
      <c r="T49" s="70"/>
      <c r="U49" s="70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</row>
    <row r="50" ht="15.75" customHeight="1">
      <c r="A50" s="55"/>
      <c r="B50" s="75">
        <v>42919.0</v>
      </c>
      <c r="C50" s="70" t="s">
        <v>35</v>
      </c>
      <c r="D50" s="70" t="s">
        <v>18</v>
      </c>
      <c r="E50" s="70" t="s">
        <v>25</v>
      </c>
      <c r="F50" s="70" t="s">
        <v>182</v>
      </c>
      <c r="G50" s="77">
        <v>569.7</v>
      </c>
      <c r="H50" s="78">
        <v>0.0</v>
      </c>
      <c r="I50" s="72"/>
      <c r="J50" s="72"/>
      <c r="K50" s="70"/>
      <c r="L50" s="70">
        <v>1.5</v>
      </c>
      <c r="M50" s="70" t="s">
        <v>39</v>
      </c>
      <c r="N50" s="70" t="s">
        <v>38</v>
      </c>
      <c r="O50" s="70" t="s">
        <v>154</v>
      </c>
      <c r="P50" s="70" t="s">
        <v>40</v>
      </c>
      <c r="Q50" s="70" t="s">
        <v>183</v>
      </c>
      <c r="R50" s="77">
        <v>854.55</v>
      </c>
      <c r="S50" s="77">
        <v>0.0</v>
      </c>
      <c r="T50" s="70"/>
      <c r="U50" s="70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</row>
    <row r="51" ht="15.75" customHeight="1">
      <c r="A51" s="55"/>
      <c r="B51" s="75">
        <v>42919.0</v>
      </c>
      <c r="C51" s="70" t="s">
        <v>35</v>
      </c>
      <c r="D51" s="70" t="s">
        <v>18</v>
      </c>
      <c r="E51" s="70" t="s">
        <v>25</v>
      </c>
      <c r="F51" s="70" t="s">
        <v>37</v>
      </c>
      <c r="G51" s="79">
        <v>0.0</v>
      </c>
      <c r="H51" s="77">
        <v>569.7</v>
      </c>
      <c r="I51" s="72"/>
      <c r="J51" s="72"/>
      <c r="K51" s="70"/>
      <c r="L51" s="70">
        <v>1.5</v>
      </c>
      <c r="M51" s="70" t="s">
        <v>39</v>
      </c>
      <c r="N51" s="70" t="s">
        <v>41</v>
      </c>
      <c r="O51" s="70" t="s">
        <v>154</v>
      </c>
      <c r="P51" s="70" t="s">
        <v>40</v>
      </c>
      <c r="Q51" s="70" t="s">
        <v>183</v>
      </c>
      <c r="R51" s="77">
        <v>0.0</v>
      </c>
      <c r="S51" s="77">
        <v>854.55</v>
      </c>
      <c r="T51" s="70"/>
      <c r="U51" s="70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</row>
    <row r="52" ht="15.75" customHeight="1">
      <c r="A52" s="55"/>
      <c r="B52" s="75">
        <v>42919.0</v>
      </c>
      <c r="C52" s="70" t="s">
        <v>35</v>
      </c>
      <c r="D52" s="70" t="s">
        <v>18</v>
      </c>
      <c r="E52" s="70" t="s">
        <v>25</v>
      </c>
      <c r="F52" s="70" t="s">
        <v>37</v>
      </c>
      <c r="G52" s="77">
        <v>569.7</v>
      </c>
      <c r="H52" s="78">
        <v>0.0</v>
      </c>
      <c r="I52" s="72"/>
      <c r="J52" s="72"/>
      <c r="K52" s="70"/>
      <c r="L52" s="70">
        <v>1.403</v>
      </c>
      <c r="M52" s="70" t="s">
        <v>39</v>
      </c>
      <c r="N52" s="70" t="s">
        <v>38</v>
      </c>
      <c r="O52" s="70" t="s">
        <v>154</v>
      </c>
      <c r="P52" s="70" t="s">
        <v>40</v>
      </c>
      <c r="Q52" s="70" t="s">
        <v>184</v>
      </c>
      <c r="R52" s="77">
        <v>799.29</v>
      </c>
      <c r="S52" s="77">
        <v>0.0</v>
      </c>
      <c r="T52" s="70"/>
      <c r="U52" s="70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</row>
    <row r="53" ht="15.75" customHeight="1">
      <c r="A53" s="55"/>
      <c r="B53" s="75">
        <v>42919.0</v>
      </c>
      <c r="C53" s="70" t="s">
        <v>35</v>
      </c>
      <c r="D53" s="70" t="s">
        <v>18</v>
      </c>
      <c r="E53" s="70" t="s">
        <v>25</v>
      </c>
      <c r="F53" s="70" t="s">
        <v>182</v>
      </c>
      <c r="G53" s="79">
        <v>0.0</v>
      </c>
      <c r="H53" s="77">
        <v>569.7</v>
      </c>
      <c r="I53" s="72"/>
      <c r="J53" s="72"/>
      <c r="K53" s="70"/>
      <c r="L53" s="70">
        <v>1.403</v>
      </c>
      <c r="M53" s="70" t="s">
        <v>39</v>
      </c>
      <c r="N53" s="70" t="s">
        <v>41</v>
      </c>
      <c r="O53" s="70" t="s">
        <v>154</v>
      </c>
      <c r="P53" s="70" t="s">
        <v>40</v>
      </c>
      <c r="Q53" s="70" t="s">
        <v>184</v>
      </c>
      <c r="R53" s="77">
        <v>0.0</v>
      </c>
      <c r="S53" s="77">
        <v>799.29</v>
      </c>
      <c r="T53" s="70"/>
      <c r="U53" s="70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</row>
    <row r="54" ht="15.75" customHeight="1">
      <c r="A54" s="55"/>
      <c r="B54" s="75">
        <v>42920.0</v>
      </c>
      <c r="C54" s="70" t="s">
        <v>35</v>
      </c>
      <c r="D54" s="70" t="s">
        <v>25</v>
      </c>
      <c r="E54" s="70" t="s">
        <v>25</v>
      </c>
      <c r="F54" s="70" t="s">
        <v>37</v>
      </c>
      <c r="G54" s="77">
        <v>569.7</v>
      </c>
      <c r="H54" s="78">
        <v>0.0</v>
      </c>
      <c r="I54" s="72"/>
      <c r="J54" s="72"/>
      <c r="K54" s="70"/>
      <c r="L54" s="70">
        <v>1.413</v>
      </c>
      <c r="M54" s="70" t="s">
        <v>39</v>
      </c>
      <c r="N54" s="70" t="s">
        <v>38</v>
      </c>
      <c r="O54" s="70" t="s">
        <v>154</v>
      </c>
      <c r="P54" s="70" t="s">
        <v>40</v>
      </c>
      <c r="Q54" s="70" t="s">
        <v>185</v>
      </c>
      <c r="R54" s="77">
        <v>804.99</v>
      </c>
      <c r="S54" s="77">
        <v>0.0</v>
      </c>
      <c r="T54" s="70"/>
      <c r="U54" s="70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</row>
    <row r="55" ht="15.75" customHeight="1">
      <c r="A55" s="55"/>
      <c r="B55" s="75">
        <v>42920.0</v>
      </c>
      <c r="C55" s="70" t="s">
        <v>35</v>
      </c>
      <c r="D55" s="70" t="s">
        <v>25</v>
      </c>
      <c r="E55" s="70" t="s">
        <v>25</v>
      </c>
      <c r="F55" s="70" t="s">
        <v>182</v>
      </c>
      <c r="G55" s="79">
        <v>0.0</v>
      </c>
      <c r="H55" s="77">
        <v>569.7</v>
      </c>
      <c r="I55" s="72"/>
      <c r="J55" s="72"/>
      <c r="K55" s="70"/>
      <c r="L55" s="70">
        <v>1.413</v>
      </c>
      <c r="M55" s="70" t="s">
        <v>39</v>
      </c>
      <c r="N55" s="70" t="s">
        <v>41</v>
      </c>
      <c r="O55" s="70" t="s">
        <v>154</v>
      </c>
      <c r="P55" s="70" t="s">
        <v>40</v>
      </c>
      <c r="Q55" s="70" t="s">
        <v>185</v>
      </c>
      <c r="R55" s="77">
        <v>0.0</v>
      </c>
      <c r="S55" s="77">
        <v>804.99</v>
      </c>
      <c r="T55" s="70"/>
      <c r="U55" s="70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</row>
    <row r="56" ht="15.75" customHeight="1">
      <c r="A56" s="55"/>
      <c r="B56" s="75">
        <v>42920.0</v>
      </c>
      <c r="C56" s="70" t="s">
        <v>35</v>
      </c>
      <c r="D56" s="70" t="s">
        <v>25</v>
      </c>
      <c r="E56" s="70" t="s">
        <v>25</v>
      </c>
      <c r="F56" s="70" t="s">
        <v>182</v>
      </c>
      <c r="G56" s="77">
        <v>569.7</v>
      </c>
      <c r="H56" s="78">
        <v>0.0</v>
      </c>
      <c r="I56" s="72"/>
      <c r="J56" s="72"/>
      <c r="K56" s="70"/>
      <c r="L56" s="70">
        <v>1.403</v>
      </c>
      <c r="M56" s="70" t="s">
        <v>39</v>
      </c>
      <c r="N56" s="70" t="s">
        <v>38</v>
      </c>
      <c r="O56" s="70" t="s">
        <v>154</v>
      </c>
      <c r="P56" s="70" t="s">
        <v>40</v>
      </c>
      <c r="Q56" s="70" t="s">
        <v>186</v>
      </c>
      <c r="R56" s="77">
        <v>799.29</v>
      </c>
      <c r="S56" s="77">
        <v>0.0</v>
      </c>
      <c r="T56" s="70"/>
      <c r="U56" s="70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</row>
    <row r="57" ht="15.75" customHeight="1">
      <c r="A57" s="55"/>
      <c r="B57" s="75">
        <v>42920.0</v>
      </c>
      <c r="C57" s="70" t="s">
        <v>35</v>
      </c>
      <c r="D57" s="70" t="s">
        <v>25</v>
      </c>
      <c r="E57" s="70" t="s">
        <v>25</v>
      </c>
      <c r="F57" s="70" t="s">
        <v>37</v>
      </c>
      <c r="G57" s="79">
        <v>0.0</v>
      </c>
      <c r="H57" s="77">
        <v>569.7</v>
      </c>
      <c r="I57" s="72"/>
      <c r="J57" s="72"/>
      <c r="K57" s="70"/>
      <c r="L57" s="70">
        <v>1.403</v>
      </c>
      <c r="M57" s="70" t="s">
        <v>39</v>
      </c>
      <c r="N57" s="70" t="s">
        <v>41</v>
      </c>
      <c r="O57" s="70" t="s">
        <v>154</v>
      </c>
      <c r="P57" s="70" t="s">
        <v>40</v>
      </c>
      <c r="Q57" s="70" t="s">
        <v>186</v>
      </c>
      <c r="R57" s="77">
        <v>0.0</v>
      </c>
      <c r="S57" s="77">
        <v>799.29</v>
      </c>
      <c r="T57" s="70"/>
      <c r="U57" s="70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</row>
    <row r="58" ht="15.75" customHeight="1">
      <c r="A58" s="55"/>
      <c r="B58" s="75">
        <v>42920.0</v>
      </c>
      <c r="C58" s="70" t="s">
        <v>35</v>
      </c>
      <c r="D58" s="74"/>
      <c r="E58" s="70" t="s">
        <v>25</v>
      </c>
      <c r="F58" s="70" t="s">
        <v>182</v>
      </c>
      <c r="G58" s="77">
        <v>20000.0</v>
      </c>
      <c r="H58" s="78">
        <v>0.0</v>
      </c>
      <c r="I58" s="72"/>
      <c r="J58" s="72"/>
      <c r="K58" s="70"/>
      <c r="L58" s="70">
        <v>1.403</v>
      </c>
      <c r="M58" s="70" t="s">
        <v>39</v>
      </c>
      <c r="N58" s="70" t="s">
        <v>38</v>
      </c>
      <c r="O58" s="70" t="s">
        <v>154</v>
      </c>
      <c r="P58" s="70" t="s">
        <v>40</v>
      </c>
      <c r="Q58" s="70" t="s">
        <v>183</v>
      </c>
      <c r="R58" s="77">
        <v>28060.0</v>
      </c>
      <c r="S58" s="77">
        <v>0.0</v>
      </c>
      <c r="T58" s="70"/>
      <c r="U58" s="70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</row>
    <row r="59" ht="15.75" customHeight="1">
      <c r="A59" s="55"/>
      <c r="B59" s="75">
        <v>42920.0</v>
      </c>
      <c r="C59" s="70" t="s">
        <v>35</v>
      </c>
      <c r="D59" s="74"/>
      <c r="E59" s="70" t="s">
        <v>25</v>
      </c>
      <c r="F59" s="70" t="s">
        <v>37</v>
      </c>
      <c r="G59" s="79">
        <v>0.0</v>
      </c>
      <c r="H59" s="77">
        <v>20000.0</v>
      </c>
      <c r="I59" s="72"/>
      <c r="J59" s="72"/>
      <c r="K59" s="70"/>
      <c r="L59" s="70">
        <v>1.403</v>
      </c>
      <c r="M59" s="70" t="s">
        <v>39</v>
      </c>
      <c r="N59" s="70" t="s">
        <v>41</v>
      </c>
      <c r="O59" s="70" t="s">
        <v>154</v>
      </c>
      <c r="P59" s="70" t="s">
        <v>40</v>
      </c>
      <c r="Q59" s="70" t="s">
        <v>183</v>
      </c>
      <c r="R59" s="77">
        <v>0.0</v>
      </c>
      <c r="S59" s="77">
        <v>28060.0</v>
      </c>
      <c r="T59" s="70"/>
      <c r="U59" s="70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</row>
    <row r="60" ht="15.75" customHeight="1">
      <c r="A60" s="55"/>
      <c r="B60" s="75">
        <v>42920.0</v>
      </c>
      <c r="C60" s="70" t="s">
        <v>35</v>
      </c>
      <c r="D60" s="70" t="s">
        <v>18</v>
      </c>
      <c r="E60" s="70" t="s">
        <v>25</v>
      </c>
      <c r="F60" s="70" t="s">
        <v>37</v>
      </c>
      <c r="G60" s="77">
        <v>962.05</v>
      </c>
      <c r="H60" s="78">
        <v>0.0</v>
      </c>
      <c r="I60" s="72"/>
      <c r="J60" s="72"/>
      <c r="K60" s="70"/>
      <c r="L60" s="70">
        <v>1.5</v>
      </c>
      <c r="M60" s="70" t="s">
        <v>39</v>
      </c>
      <c r="N60" s="70" t="s">
        <v>38</v>
      </c>
      <c r="O60" s="70" t="s">
        <v>154</v>
      </c>
      <c r="P60" s="70" t="s">
        <v>40</v>
      </c>
      <c r="Q60" s="70" t="s">
        <v>183</v>
      </c>
      <c r="R60" s="77">
        <v>1443.07</v>
      </c>
      <c r="S60" s="77">
        <v>0.0</v>
      </c>
      <c r="T60" s="70"/>
      <c r="U60" s="70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</row>
    <row r="61" ht="15.75" customHeight="1">
      <c r="A61" s="55"/>
      <c r="B61" s="75">
        <v>42920.0</v>
      </c>
      <c r="C61" s="70" t="s">
        <v>35</v>
      </c>
      <c r="D61" s="70" t="s">
        <v>18</v>
      </c>
      <c r="E61" s="70" t="s">
        <v>25</v>
      </c>
      <c r="F61" s="70" t="s">
        <v>182</v>
      </c>
      <c r="G61" s="79">
        <v>0.0</v>
      </c>
      <c r="H61" s="77">
        <v>962.05</v>
      </c>
      <c r="I61" s="72"/>
      <c r="J61" s="72"/>
      <c r="K61" s="70"/>
      <c r="L61" s="70">
        <v>1.5</v>
      </c>
      <c r="M61" s="70" t="s">
        <v>39</v>
      </c>
      <c r="N61" s="70" t="s">
        <v>41</v>
      </c>
      <c r="O61" s="70" t="s">
        <v>154</v>
      </c>
      <c r="P61" s="70" t="s">
        <v>40</v>
      </c>
      <c r="Q61" s="70" t="s">
        <v>183</v>
      </c>
      <c r="R61" s="77">
        <v>0.0</v>
      </c>
      <c r="S61" s="77">
        <v>1443.07</v>
      </c>
      <c r="T61" s="70"/>
      <c r="U61" s="70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</row>
    <row r="62" ht="15.75" customHeight="1">
      <c r="A62" s="55"/>
      <c r="B62" s="75">
        <v>42920.0</v>
      </c>
      <c r="C62" s="70" t="s">
        <v>35</v>
      </c>
      <c r="D62" s="74"/>
      <c r="E62" s="70" t="s">
        <v>25</v>
      </c>
      <c r="F62" s="70" t="s">
        <v>37</v>
      </c>
      <c r="G62" s="77">
        <v>20000.0</v>
      </c>
      <c r="H62" s="78">
        <v>0.0</v>
      </c>
      <c r="I62" s="72"/>
      <c r="J62" s="72"/>
      <c r="K62" s="70"/>
      <c r="L62" s="70">
        <v>1.413</v>
      </c>
      <c r="M62" s="70" t="s">
        <v>39</v>
      </c>
      <c r="N62" s="70" t="s">
        <v>38</v>
      </c>
      <c r="O62" s="70" t="s">
        <v>154</v>
      </c>
      <c r="P62" s="70" t="s">
        <v>40</v>
      </c>
      <c r="Q62" s="70" t="s">
        <v>184</v>
      </c>
      <c r="R62" s="77">
        <v>28260.0</v>
      </c>
      <c r="S62" s="77">
        <v>0.0</v>
      </c>
      <c r="T62" s="70"/>
      <c r="U62" s="70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</row>
    <row r="63" ht="15.75" customHeight="1">
      <c r="A63" s="55"/>
      <c r="B63" s="75">
        <v>42920.0</v>
      </c>
      <c r="C63" s="70" t="s">
        <v>35</v>
      </c>
      <c r="D63" s="74"/>
      <c r="E63" s="70" t="s">
        <v>25</v>
      </c>
      <c r="F63" s="70" t="s">
        <v>182</v>
      </c>
      <c r="G63" s="79">
        <v>0.0</v>
      </c>
      <c r="H63" s="77">
        <v>20000.0</v>
      </c>
      <c r="I63" s="72"/>
      <c r="J63" s="72"/>
      <c r="K63" s="70"/>
      <c r="L63" s="70">
        <v>1.413</v>
      </c>
      <c r="M63" s="70" t="s">
        <v>39</v>
      </c>
      <c r="N63" s="70" t="s">
        <v>41</v>
      </c>
      <c r="O63" s="70" t="s">
        <v>154</v>
      </c>
      <c r="P63" s="70" t="s">
        <v>40</v>
      </c>
      <c r="Q63" s="70" t="s">
        <v>184</v>
      </c>
      <c r="R63" s="77">
        <v>0.0</v>
      </c>
      <c r="S63" s="77">
        <v>28260.0</v>
      </c>
      <c r="T63" s="70"/>
      <c r="U63" s="70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</row>
    <row r="64" ht="15.75" customHeight="1">
      <c r="A64" s="55"/>
      <c r="B64" s="75">
        <v>42920.0</v>
      </c>
      <c r="C64" s="70" t="s">
        <v>35</v>
      </c>
      <c r="D64" s="70" t="s">
        <v>18</v>
      </c>
      <c r="E64" s="70" t="s">
        <v>25</v>
      </c>
      <c r="F64" s="70" t="s">
        <v>182</v>
      </c>
      <c r="G64" s="77">
        <v>962.05</v>
      </c>
      <c r="H64" s="78">
        <v>0.0</v>
      </c>
      <c r="I64" s="72"/>
      <c r="J64" s="72"/>
      <c r="K64" s="70"/>
      <c r="L64" s="70">
        <v>1.413</v>
      </c>
      <c r="M64" s="70" t="s">
        <v>39</v>
      </c>
      <c r="N64" s="70" t="s">
        <v>38</v>
      </c>
      <c r="O64" s="70" t="s">
        <v>154</v>
      </c>
      <c r="P64" s="70" t="s">
        <v>40</v>
      </c>
      <c r="Q64" s="70" t="s">
        <v>187</v>
      </c>
      <c r="R64" s="77">
        <v>1359.37</v>
      </c>
      <c r="S64" s="77">
        <v>0.0</v>
      </c>
      <c r="T64" s="70"/>
      <c r="U64" s="70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</row>
    <row r="65" ht="15.75" customHeight="1">
      <c r="A65" s="55"/>
      <c r="B65" s="75">
        <v>42920.0</v>
      </c>
      <c r="C65" s="70" t="s">
        <v>35</v>
      </c>
      <c r="D65" s="70" t="s">
        <v>18</v>
      </c>
      <c r="E65" s="70" t="s">
        <v>25</v>
      </c>
      <c r="F65" s="70" t="s">
        <v>37</v>
      </c>
      <c r="G65" s="79">
        <v>0.0</v>
      </c>
      <c r="H65" s="77">
        <v>962.05</v>
      </c>
      <c r="I65" s="72"/>
      <c r="J65" s="72"/>
      <c r="K65" s="70"/>
      <c r="L65" s="70">
        <v>1.413</v>
      </c>
      <c r="M65" s="70" t="s">
        <v>39</v>
      </c>
      <c r="N65" s="70" t="s">
        <v>41</v>
      </c>
      <c r="O65" s="70" t="s">
        <v>154</v>
      </c>
      <c r="P65" s="70" t="s">
        <v>40</v>
      </c>
      <c r="Q65" s="70" t="s">
        <v>187</v>
      </c>
      <c r="R65" s="77">
        <v>0.0</v>
      </c>
      <c r="S65" s="77">
        <v>1359.37</v>
      </c>
      <c r="T65" s="70"/>
      <c r="U65" s="70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</row>
    <row r="66" ht="15.75" customHeight="1">
      <c r="A66" s="55"/>
      <c r="B66" s="75">
        <v>42921.0</v>
      </c>
      <c r="C66" s="70" t="s">
        <v>35</v>
      </c>
      <c r="D66" s="70" t="s">
        <v>25</v>
      </c>
      <c r="E66" s="70" t="s">
        <v>25</v>
      </c>
      <c r="F66" s="70" t="s">
        <v>37</v>
      </c>
      <c r="G66" s="77">
        <v>19607.65</v>
      </c>
      <c r="H66" s="78">
        <v>0.0</v>
      </c>
      <c r="I66" s="72"/>
      <c r="J66" s="72"/>
      <c r="K66" s="70"/>
      <c r="L66" s="70">
        <v>0.0</v>
      </c>
      <c r="M66" s="70" t="s">
        <v>39</v>
      </c>
      <c r="N66" s="70" t="s">
        <v>38</v>
      </c>
      <c r="O66" s="70" t="s">
        <v>154</v>
      </c>
      <c r="P66" s="70" t="s">
        <v>40</v>
      </c>
      <c r="Q66" s="70" t="s">
        <v>185</v>
      </c>
      <c r="R66" s="77">
        <v>0.0</v>
      </c>
      <c r="S66" s="77">
        <v>0.0</v>
      </c>
      <c r="T66" s="70"/>
      <c r="U66" s="70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</row>
    <row r="67" ht="15.75" customHeight="1">
      <c r="A67" s="55"/>
      <c r="B67" s="75">
        <v>42921.0</v>
      </c>
      <c r="C67" s="70" t="s">
        <v>35</v>
      </c>
      <c r="D67" s="70" t="s">
        <v>25</v>
      </c>
      <c r="E67" s="70" t="s">
        <v>25</v>
      </c>
      <c r="F67" s="70" t="s">
        <v>182</v>
      </c>
      <c r="G67" s="79">
        <v>0.0</v>
      </c>
      <c r="H67" s="77">
        <v>19607.65</v>
      </c>
      <c r="I67" s="72"/>
      <c r="J67" s="72"/>
      <c r="K67" s="70"/>
      <c r="L67" s="70">
        <v>0.0</v>
      </c>
      <c r="M67" s="70" t="s">
        <v>39</v>
      </c>
      <c r="N67" s="70" t="s">
        <v>41</v>
      </c>
      <c r="O67" s="70" t="s">
        <v>154</v>
      </c>
      <c r="P67" s="70" t="s">
        <v>40</v>
      </c>
      <c r="Q67" s="70" t="s">
        <v>185</v>
      </c>
      <c r="R67" s="77">
        <v>0.0</v>
      </c>
      <c r="S67" s="77">
        <v>0.0</v>
      </c>
      <c r="T67" s="70"/>
      <c r="U67" s="70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</row>
    <row r="68" ht="15.75" customHeight="1">
      <c r="A68" s="55"/>
      <c r="B68" s="75">
        <v>42921.0</v>
      </c>
      <c r="C68" s="70" t="s">
        <v>35</v>
      </c>
      <c r="D68" s="70" t="s">
        <v>25</v>
      </c>
      <c r="E68" s="70" t="s">
        <v>25</v>
      </c>
      <c r="F68" s="70" t="s">
        <v>182</v>
      </c>
      <c r="G68" s="77">
        <v>19607.65</v>
      </c>
      <c r="H68" s="78">
        <v>0.0</v>
      </c>
      <c r="I68" s="72"/>
      <c r="J68" s="72"/>
      <c r="K68" s="70"/>
      <c r="L68" s="70">
        <v>1.413</v>
      </c>
      <c r="M68" s="70" t="s">
        <v>39</v>
      </c>
      <c r="N68" s="70" t="s">
        <v>38</v>
      </c>
      <c r="O68" s="70" t="s">
        <v>154</v>
      </c>
      <c r="P68" s="70" t="s">
        <v>40</v>
      </c>
      <c r="Q68" s="70" t="s">
        <v>186</v>
      </c>
      <c r="R68" s="77">
        <v>27705.61</v>
      </c>
      <c r="S68" s="77">
        <v>0.0</v>
      </c>
      <c r="T68" s="70"/>
      <c r="U68" s="70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</row>
    <row r="69" ht="15.75" customHeight="1">
      <c r="A69" s="55"/>
      <c r="B69" s="75">
        <v>42921.0</v>
      </c>
      <c r="C69" s="70" t="s">
        <v>35</v>
      </c>
      <c r="D69" s="70" t="s">
        <v>25</v>
      </c>
      <c r="E69" s="70" t="s">
        <v>25</v>
      </c>
      <c r="F69" s="70" t="s">
        <v>37</v>
      </c>
      <c r="G69" s="79">
        <v>0.0</v>
      </c>
      <c r="H69" s="77">
        <v>19607.65</v>
      </c>
      <c r="I69" s="72"/>
      <c r="J69" s="72"/>
      <c r="K69" s="70"/>
      <c r="L69" s="70">
        <v>1.413</v>
      </c>
      <c r="M69" s="70" t="s">
        <v>39</v>
      </c>
      <c r="N69" s="70" t="s">
        <v>41</v>
      </c>
      <c r="O69" s="70" t="s">
        <v>154</v>
      </c>
      <c r="P69" s="70" t="s">
        <v>40</v>
      </c>
      <c r="Q69" s="70" t="s">
        <v>186</v>
      </c>
      <c r="R69" s="77">
        <v>0.0</v>
      </c>
      <c r="S69" s="77">
        <v>27705.61</v>
      </c>
      <c r="T69" s="70"/>
      <c r="U69" s="70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</row>
    <row r="70" ht="15.75" customHeight="1">
      <c r="A70" s="55"/>
      <c r="B70" s="75">
        <v>42919.0</v>
      </c>
      <c r="C70" s="70" t="s">
        <v>35</v>
      </c>
      <c r="D70" s="70" t="s">
        <v>30</v>
      </c>
      <c r="E70" s="70" t="s">
        <v>31</v>
      </c>
      <c r="F70" s="70" t="s">
        <v>37</v>
      </c>
      <c r="G70" s="77">
        <v>432.72</v>
      </c>
      <c r="H70" s="78">
        <v>0.0</v>
      </c>
      <c r="I70" s="72"/>
      <c r="J70" s="72"/>
      <c r="K70" s="70"/>
      <c r="L70" s="70">
        <v>1.69</v>
      </c>
      <c r="M70" s="70" t="s">
        <v>81</v>
      </c>
      <c r="N70" s="70" t="s">
        <v>38</v>
      </c>
      <c r="O70" s="70" t="s">
        <v>154</v>
      </c>
      <c r="P70" s="70" t="s">
        <v>40</v>
      </c>
      <c r="Q70" s="70" t="s">
        <v>183</v>
      </c>
      <c r="R70" s="77">
        <v>256.05</v>
      </c>
      <c r="S70" s="77">
        <v>0.0</v>
      </c>
      <c r="T70" s="70"/>
      <c r="U70" s="70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</row>
    <row r="71" ht="15.75" customHeight="1">
      <c r="A71" s="55"/>
      <c r="B71" s="75">
        <v>42919.0</v>
      </c>
      <c r="C71" s="70" t="s">
        <v>35</v>
      </c>
      <c r="D71" s="70" t="s">
        <v>30</v>
      </c>
      <c r="E71" s="70" t="s">
        <v>31</v>
      </c>
      <c r="F71" s="70" t="s">
        <v>182</v>
      </c>
      <c r="G71" s="79">
        <v>0.0</v>
      </c>
      <c r="H71" s="77">
        <v>432.72</v>
      </c>
      <c r="I71" s="72"/>
      <c r="J71" s="72"/>
      <c r="K71" s="70"/>
      <c r="L71" s="70">
        <v>1.69</v>
      </c>
      <c r="M71" s="70" t="s">
        <v>81</v>
      </c>
      <c r="N71" s="70" t="s">
        <v>41</v>
      </c>
      <c r="O71" s="70" t="s">
        <v>154</v>
      </c>
      <c r="P71" s="70" t="s">
        <v>40</v>
      </c>
      <c r="Q71" s="70" t="s">
        <v>183</v>
      </c>
      <c r="R71" s="77">
        <v>0.0</v>
      </c>
      <c r="S71" s="77">
        <v>256.05</v>
      </c>
      <c r="T71" s="70"/>
      <c r="U71" s="70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</row>
    <row r="72" ht="15.75" customHeight="1">
      <c r="A72" s="55"/>
      <c r="B72" s="75">
        <v>42919.0</v>
      </c>
      <c r="C72" s="70" t="s">
        <v>35</v>
      </c>
      <c r="D72" s="70" t="s">
        <v>30</v>
      </c>
      <c r="E72" s="70" t="s">
        <v>31</v>
      </c>
      <c r="F72" s="70" t="s">
        <v>182</v>
      </c>
      <c r="G72" s="77">
        <v>7140.0</v>
      </c>
      <c r="H72" s="78">
        <v>0.0</v>
      </c>
      <c r="I72" s="72"/>
      <c r="J72" s="72"/>
      <c r="K72" s="70"/>
      <c r="L72" s="70">
        <v>1.69</v>
      </c>
      <c r="M72" s="70" t="s">
        <v>81</v>
      </c>
      <c r="N72" s="70" t="s">
        <v>38</v>
      </c>
      <c r="O72" s="70" t="s">
        <v>154</v>
      </c>
      <c r="P72" s="70" t="s">
        <v>40</v>
      </c>
      <c r="Q72" s="70" t="s">
        <v>183</v>
      </c>
      <c r="R72" s="77">
        <v>4224.85</v>
      </c>
      <c r="S72" s="77">
        <v>0.0</v>
      </c>
      <c r="T72" s="70"/>
      <c r="U72" s="70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</row>
    <row r="73" ht="15.75" customHeight="1">
      <c r="A73" s="55"/>
      <c r="B73" s="75">
        <v>42919.0</v>
      </c>
      <c r="C73" s="70" t="s">
        <v>35</v>
      </c>
      <c r="D73" s="70" t="s">
        <v>30</v>
      </c>
      <c r="E73" s="70" t="s">
        <v>31</v>
      </c>
      <c r="F73" s="70" t="s">
        <v>37</v>
      </c>
      <c r="G73" s="79">
        <v>0.0</v>
      </c>
      <c r="H73" s="77">
        <v>7140.0</v>
      </c>
      <c r="I73" s="72"/>
      <c r="J73" s="72"/>
      <c r="K73" s="70"/>
      <c r="L73" s="70">
        <v>1.69</v>
      </c>
      <c r="M73" s="70" t="s">
        <v>81</v>
      </c>
      <c r="N73" s="70" t="s">
        <v>41</v>
      </c>
      <c r="O73" s="70" t="s">
        <v>154</v>
      </c>
      <c r="P73" s="70" t="s">
        <v>40</v>
      </c>
      <c r="Q73" s="70" t="s">
        <v>183</v>
      </c>
      <c r="R73" s="77">
        <v>0.0</v>
      </c>
      <c r="S73" s="77">
        <v>4224.85</v>
      </c>
      <c r="T73" s="70"/>
      <c r="U73" s="70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</row>
    <row r="74" ht="15.75" customHeight="1">
      <c r="A74" s="55"/>
      <c r="B74" s="75">
        <v>42919.0</v>
      </c>
      <c r="C74" s="70" t="s">
        <v>35</v>
      </c>
      <c r="D74" s="70" t="s">
        <v>30</v>
      </c>
      <c r="E74" s="70" t="s">
        <v>31</v>
      </c>
      <c r="F74" s="70" t="s">
        <v>182</v>
      </c>
      <c r="G74" s="77">
        <v>432.72</v>
      </c>
      <c r="H74" s="78">
        <v>0.0</v>
      </c>
      <c r="I74" s="72"/>
      <c r="J74" s="72"/>
      <c r="K74" s="70"/>
      <c r="L74" s="70">
        <v>0.7942811755361</v>
      </c>
      <c r="M74" s="70" t="s">
        <v>39</v>
      </c>
      <c r="N74" s="70" t="s">
        <v>38</v>
      </c>
      <c r="O74" s="70" t="s">
        <v>154</v>
      </c>
      <c r="P74" s="70" t="s">
        <v>40</v>
      </c>
      <c r="Q74" s="70" t="s">
        <v>187</v>
      </c>
      <c r="R74" s="77">
        <v>343.7</v>
      </c>
      <c r="S74" s="77">
        <v>0.0</v>
      </c>
      <c r="T74" s="70"/>
      <c r="U74" s="70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</row>
    <row r="75" ht="15.75" customHeight="1">
      <c r="A75" s="55"/>
      <c r="B75" s="75">
        <v>42919.0</v>
      </c>
      <c r="C75" s="70" t="s">
        <v>35</v>
      </c>
      <c r="D75" s="70" t="s">
        <v>30</v>
      </c>
      <c r="E75" s="70" t="s">
        <v>31</v>
      </c>
      <c r="F75" s="70" t="s">
        <v>37</v>
      </c>
      <c r="G75" s="79">
        <v>0.0</v>
      </c>
      <c r="H75" s="77">
        <v>432.72</v>
      </c>
      <c r="I75" s="72"/>
      <c r="J75" s="72"/>
      <c r="K75" s="70"/>
      <c r="L75" s="70">
        <v>0.7942811755361</v>
      </c>
      <c r="M75" s="70" t="s">
        <v>39</v>
      </c>
      <c r="N75" s="70" t="s">
        <v>41</v>
      </c>
      <c r="O75" s="70" t="s">
        <v>154</v>
      </c>
      <c r="P75" s="70" t="s">
        <v>40</v>
      </c>
      <c r="Q75" s="70" t="s">
        <v>187</v>
      </c>
      <c r="R75" s="77">
        <v>0.0</v>
      </c>
      <c r="S75" s="77">
        <v>343.7</v>
      </c>
      <c r="T75" s="70"/>
      <c r="U75" s="70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</row>
    <row r="76" ht="15.75" customHeight="1">
      <c r="A76" s="55"/>
      <c r="B76" s="75">
        <v>42919.0</v>
      </c>
      <c r="C76" s="70" t="s">
        <v>35</v>
      </c>
      <c r="D76" s="70" t="s">
        <v>30</v>
      </c>
      <c r="E76" s="70" t="s">
        <v>31</v>
      </c>
      <c r="F76" s="70" t="s">
        <v>37</v>
      </c>
      <c r="G76" s="77">
        <v>7140.0</v>
      </c>
      <c r="H76" s="78">
        <v>0.0</v>
      </c>
      <c r="I76" s="72"/>
      <c r="J76" s="72"/>
      <c r="K76" s="70"/>
      <c r="L76" s="70">
        <v>0.7942811755361</v>
      </c>
      <c r="M76" s="70" t="s">
        <v>39</v>
      </c>
      <c r="N76" s="70" t="s">
        <v>38</v>
      </c>
      <c r="O76" s="70" t="s">
        <v>154</v>
      </c>
      <c r="P76" s="70" t="s">
        <v>40</v>
      </c>
      <c r="Q76" s="70" t="s">
        <v>184</v>
      </c>
      <c r="R76" s="77">
        <v>5671.17</v>
      </c>
      <c r="S76" s="77">
        <v>0.0</v>
      </c>
      <c r="T76" s="70"/>
      <c r="U76" s="70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</row>
    <row r="77" ht="15.75" customHeight="1">
      <c r="A77" s="55"/>
      <c r="B77" s="75">
        <v>42919.0</v>
      </c>
      <c r="C77" s="70" t="s">
        <v>35</v>
      </c>
      <c r="D77" s="70" t="s">
        <v>30</v>
      </c>
      <c r="E77" s="70" t="s">
        <v>31</v>
      </c>
      <c r="F77" s="70" t="s">
        <v>182</v>
      </c>
      <c r="G77" s="79">
        <v>0.0</v>
      </c>
      <c r="H77" s="77">
        <v>7140.0</v>
      </c>
      <c r="I77" s="72"/>
      <c r="J77" s="72"/>
      <c r="K77" s="70"/>
      <c r="L77" s="70">
        <v>0.7942811755361</v>
      </c>
      <c r="M77" s="70" t="s">
        <v>39</v>
      </c>
      <c r="N77" s="70" t="s">
        <v>41</v>
      </c>
      <c r="O77" s="70" t="s">
        <v>154</v>
      </c>
      <c r="P77" s="70" t="s">
        <v>40</v>
      </c>
      <c r="Q77" s="70" t="s">
        <v>184</v>
      </c>
      <c r="R77" s="77">
        <v>0.0</v>
      </c>
      <c r="S77" s="77">
        <v>5671.17</v>
      </c>
      <c r="T77" s="70"/>
      <c r="U77" s="70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</row>
    <row r="78" ht="15.75" customHeight="1">
      <c r="A78" s="55"/>
      <c r="B78" s="75">
        <v>42920.0</v>
      </c>
      <c r="C78" s="70" t="s">
        <v>35</v>
      </c>
      <c r="D78" s="70" t="s">
        <v>31</v>
      </c>
      <c r="E78" s="70" t="s">
        <v>31</v>
      </c>
      <c r="F78" s="70" t="s">
        <v>182</v>
      </c>
      <c r="G78" s="77">
        <v>432.72</v>
      </c>
      <c r="H78" s="78">
        <v>0.0</v>
      </c>
      <c r="I78" s="72"/>
      <c r="J78" s="72"/>
      <c r="K78" s="70"/>
      <c r="L78" s="70">
        <v>0.7987220447284</v>
      </c>
      <c r="M78" s="70" t="s">
        <v>39</v>
      </c>
      <c r="N78" s="70" t="s">
        <v>38</v>
      </c>
      <c r="O78" s="70" t="s">
        <v>154</v>
      </c>
      <c r="P78" s="70" t="s">
        <v>40</v>
      </c>
      <c r="Q78" s="70" t="s">
        <v>185</v>
      </c>
      <c r="R78" s="77">
        <v>345.62</v>
      </c>
      <c r="S78" s="77">
        <v>0.0</v>
      </c>
      <c r="T78" s="70"/>
      <c r="U78" s="70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</row>
    <row r="79" ht="15.75" customHeight="1">
      <c r="A79" s="55"/>
      <c r="B79" s="75">
        <v>42920.0</v>
      </c>
      <c r="C79" s="70" t="s">
        <v>35</v>
      </c>
      <c r="D79" s="70" t="s">
        <v>31</v>
      </c>
      <c r="E79" s="70" t="s">
        <v>31</v>
      </c>
      <c r="F79" s="70" t="s">
        <v>37</v>
      </c>
      <c r="G79" s="79">
        <v>0.0</v>
      </c>
      <c r="H79" s="77">
        <v>432.72</v>
      </c>
      <c r="I79" s="72"/>
      <c r="J79" s="72"/>
      <c r="K79" s="70"/>
      <c r="L79" s="70">
        <v>0.7987220447284</v>
      </c>
      <c r="M79" s="70" t="s">
        <v>39</v>
      </c>
      <c r="N79" s="70" t="s">
        <v>41</v>
      </c>
      <c r="O79" s="70" t="s">
        <v>154</v>
      </c>
      <c r="P79" s="70" t="s">
        <v>40</v>
      </c>
      <c r="Q79" s="70" t="s">
        <v>185</v>
      </c>
      <c r="R79" s="77">
        <v>0.0</v>
      </c>
      <c r="S79" s="77">
        <v>345.62</v>
      </c>
      <c r="T79" s="70"/>
      <c r="U79" s="70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</row>
    <row r="80" ht="15.75" customHeight="1">
      <c r="A80" s="55"/>
      <c r="B80" s="75">
        <v>42920.0</v>
      </c>
      <c r="C80" s="70" t="s">
        <v>35</v>
      </c>
      <c r="D80" s="70" t="s">
        <v>31</v>
      </c>
      <c r="E80" s="70" t="s">
        <v>31</v>
      </c>
      <c r="F80" s="70" t="s">
        <v>37</v>
      </c>
      <c r="G80" s="77">
        <v>432.72</v>
      </c>
      <c r="H80" s="78">
        <v>0.0</v>
      </c>
      <c r="I80" s="72"/>
      <c r="J80" s="72"/>
      <c r="K80" s="70"/>
      <c r="L80" s="70">
        <v>0.7942811755361</v>
      </c>
      <c r="M80" s="70" t="s">
        <v>39</v>
      </c>
      <c r="N80" s="70" t="s">
        <v>38</v>
      </c>
      <c r="O80" s="70" t="s">
        <v>154</v>
      </c>
      <c r="P80" s="70" t="s">
        <v>40</v>
      </c>
      <c r="Q80" s="70" t="s">
        <v>186</v>
      </c>
      <c r="R80" s="77">
        <v>343.7</v>
      </c>
      <c r="S80" s="77">
        <v>0.0</v>
      </c>
      <c r="T80" s="70"/>
      <c r="U80" s="70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</row>
    <row r="81" ht="15.75" customHeight="1">
      <c r="A81" s="55"/>
      <c r="B81" s="75">
        <v>42920.0</v>
      </c>
      <c r="C81" s="70" t="s">
        <v>35</v>
      </c>
      <c r="D81" s="70" t="s">
        <v>31</v>
      </c>
      <c r="E81" s="70" t="s">
        <v>31</v>
      </c>
      <c r="F81" s="70" t="s">
        <v>182</v>
      </c>
      <c r="G81" s="79">
        <v>0.0</v>
      </c>
      <c r="H81" s="77">
        <v>432.72</v>
      </c>
      <c r="I81" s="72"/>
      <c r="J81" s="72"/>
      <c r="K81" s="70"/>
      <c r="L81" s="70">
        <v>0.7942811755361</v>
      </c>
      <c r="M81" s="70" t="s">
        <v>39</v>
      </c>
      <c r="N81" s="70" t="s">
        <v>41</v>
      </c>
      <c r="O81" s="70" t="s">
        <v>154</v>
      </c>
      <c r="P81" s="70" t="s">
        <v>40</v>
      </c>
      <c r="Q81" s="70" t="s">
        <v>186</v>
      </c>
      <c r="R81" s="77">
        <v>0.0</v>
      </c>
      <c r="S81" s="77">
        <v>343.7</v>
      </c>
      <c r="T81" s="70"/>
      <c r="U81" s="70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</row>
    <row r="82" ht="15.75" customHeight="1">
      <c r="A82" s="55"/>
      <c r="B82" s="75">
        <v>42920.0</v>
      </c>
      <c r="C82" s="70" t="s">
        <v>35</v>
      </c>
      <c r="D82" s="74"/>
      <c r="E82" s="70" t="s">
        <v>31</v>
      </c>
      <c r="F82" s="70" t="s">
        <v>37</v>
      </c>
      <c r="G82" s="77">
        <v>25670.0</v>
      </c>
      <c r="H82" s="78">
        <v>0.0</v>
      </c>
      <c r="I82" s="72"/>
      <c r="J82" s="72"/>
      <c r="K82" s="70"/>
      <c r="L82" s="70">
        <v>1.2539</v>
      </c>
      <c r="M82" s="70" t="s">
        <v>39</v>
      </c>
      <c r="N82" s="70" t="s">
        <v>38</v>
      </c>
      <c r="O82" s="70" t="s">
        <v>154</v>
      </c>
      <c r="P82" s="70" t="s">
        <v>40</v>
      </c>
      <c r="Q82" s="70" t="s">
        <v>183</v>
      </c>
      <c r="R82" s="77">
        <v>32187.61</v>
      </c>
      <c r="S82" s="77">
        <v>0.0</v>
      </c>
      <c r="T82" s="70"/>
      <c r="U82" s="70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</row>
    <row r="83" ht="15.75" customHeight="1">
      <c r="A83" s="55"/>
      <c r="B83" s="75">
        <v>42920.0</v>
      </c>
      <c r="C83" s="70" t="s">
        <v>35</v>
      </c>
      <c r="D83" s="74"/>
      <c r="E83" s="70" t="s">
        <v>31</v>
      </c>
      <c r="F83" s="70" t="s">
        <v>182</v>
      </c>
      <c r="G83" s="79">
        <v>0.0</v>
      </c>
      <c r="H83" s="77">
        <v>25670.0</v>
      </c>
      <c r="I83" s="72"/>
      <c r="J83" s="72"/>
      <c r="K83" s="70"/>
      <c r="L83" s="70">
        <v>1.2539</v>
      </c>
      <c r="M83" s="70" t="s">
        <v>39</v>
      </c>
      <c r="N83" s="70" t="s">
        <v>41</v>
      </c>
      <c r="O83" s="70" t="s">
        <v>154</v>
      </c>
      <c r="P83" s="70" t="s">
        <v>40</v>
      </c>
      <c r="Q83" s="70" t="s">
        <v>183</v>
      </c>
      <c r="R83" s="77">
        <v>0.0</v>
      </c>
      <c r="S83" s="77">
        <v>32187.61</v>
      </c>
      <c r="T83" s="70"/>
      <c r="U83" s="70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</row>
    <row r="84" ht="15.75" customHeight="1">
      <c r="A84" s="55"/>
      <c r="B84" s="75">
        <v>42920.0</v>
      </c>
      <c r="C84" s="70" t="s">
        <v>35</v>
      </c>
      <c r="D84" s="70" t="s">
        <v>30</v>
      </c>
      <c r="E84" s="70" t="s">
        <v>31</v>
      </c>
      <c r="F84" s="70" t="s">
        <v>37</v>
      </c>
      <c r="G84" s="77">
        <v>313.32</v>
      </c>
      <c r="H84" s="78">
        <v>0.0</v>
      </c>
      <c r="I84" s="72"/>
      <c r="J84" s="72"/>
      <c r="K84" s="70"/>
      <c r="L84" s="70">
        <v>1.69</v>
      </c>
      <c r="M84" s="70" t="s">
        <v>81</v>
      </c>
      <c r="N84" s="70" t="s">
        <v>38</v>
      </c>
      <c r="O84" s="70" t="s">
        <v>154</v>
      </c>
      <c r="P84" s="70" t="s">
        <v>40</v>
      </c>
      <c r="Q84" s="70" t="s">
        <v>183</v>
      </c>
      <c r="R84" s="77">
        <v>185.4</v>
      </c>
      <c r="S84" s="77">
        <v>0.0</v>
      </c>
      <c r="T84" s="70"/>
      <c r="U84" s="70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</row>
    <row r="85" ht="15.75" customHeight="1">
      <c r="A85" s="55"/>
      <c r="B85" s="75">
        <v>42920.0</v>
      </c>
      <c r="C85" s="70" t="s">
        <v>35</v>
      </c>
      <c r="D85" s="70" t="s">
        <v>30</v>
      </c>
      <c r="E85" s="70" t="s">
        <v>31</v>
      </c>
      <c r="F85" s="70" t="s">
        <v>182</v>
      </c>
      <c r="G85" s="79">
        <v>0.0</v>
      </c>
      <c r="H85" s="77">
        <v>313.32</v>
      </c>
      <c r="I85" s="72"/>
      <c r="J85" s="72"/>
      <c r="K85" s="70"/>
      <c r="L85" s="70">
        <v>1.69</v>
      </c>
      <c r="M85" s="70" t="s">
        <v>81</v>
      </c>
      <c r="N85" s="70" t="s">
        <v>41</v>
      </c>
      <c r="O85" s="70" t="s">
        <v>154</v>
      </c>
      <c r="P85" s="70" t="s">
        <v>40</v>
      </c>
      <c r="Q85" s="70" t="s">
        <v>183</v>
      </c>
      <c r="R85" s="77">
        <v>0.0</v>
      </c>
      <c r="S85" s="77">
        <v>185.4</v>
      </c>
      <c r="T85" s="70"/>
      <c r="U85" s="70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</row>
    <row r="86" ht="15.75" customHeight="1">
      <c r="A86" s="55"/>
      <c r="B86" s="75">
        <v>42920.0</v>
      </c>
      <c r="C86" s="70" t="s">
        <v>35</v>
      </c>
      <c r="D86" s="70" t="s">
        <v>30</v>
      </c>
      <c r="E86" s="70" t="s">
        <v>31</v>
      </c>
      <c r="F86" s="70" t="s">
        <v>37</v>
      </c>
      <c r="G86" s="77">
        <v>3937.5</v>
      </c>
      <c r="H86" s="78">
        <v>0.0</v>
      </c>
      <c r="I86" s="72"/>
      <c r="J86" s="72"/>
      <c r="K86" s="70"/>
      <c r="L86" s="70">
        <v>1.69</v>
      </c>
      <c r="M86" s="70" t="s">
        <v>81</v>
      </c>
      <c r="N86" s="70" t="s">
        <v>38</v>
      </c>
      <c r="O86" s="70" t="s">
        <v>154</v>
      </c>
      <c r="P86" s="70" t="s">
        <v>40</v>
      </c>
      <c r="Q86" s="70" t="s">
        <v>183</v>
      </c>
      <c r="R86" s="77">
        <v>2329.88</v>
      </c>
      <c r="S86" s="77">
        <v>0.0</v>
      </c>
      <c r="T86" s="70"/>
      <c r="U86" s="70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</row>
    <row r="87" ht="15.75" customHeight="1">
      <c r="A87" s="55"/>
      <c r="B87" s="75">
        <v>42920.0</v>
      </c>
      <c r="C87" s="70" t="s">
        <v>35</v>
      </c>
      <c r="D87" s="70" t="s">
        <v>30</v>
      </c>
      <c r="E87" s="70" t="s">
        <v>31</v>
      </c>
      <c r="F87" s="70" t="s">
        <v>182</v>
      </c>
      <c r="G87" s="79">
        <v>0.0</v>
      </c>
      <c r="H87" s="77">
        <v>3937.5</v>
      </c>
      <c r="I87" s="72"/>
      <c r="J87" s="72"/>
      <c r="K87" s="70"/>
      <c r="L87" s="70">
        <v>1.69</v>
      </c>
      <c r="M87" s="70" t="s">
        <v>81</v>
      </c>
      <c r="N87" s="70" t="s">
        <v>41</v>
      </c>
      <c r="O87" s="70" t="s">
        <v>154</v>
      </c>
      <c r="P87" s="70" t="s">
        <v>40</v>
      </c>
      <c r="Q87" s="70" t="s">
        <v>183</v>
      </c>
      <c r="R87" s="77">
        <v>0.0</v>
      </c>
      <c r="S87" s="77">
        <v>2329.88</v>
      </c>
      <c r="T87" s="70"/>
      <c r="U87" s="70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</row>
    <row r="88" ht="15.75" customHeight="1">
      <c r="A88" s="55"/>
      <c r="B88" s="75">
        <v>42920.0</v>
      </c>
      <c r="C88" s="70" t="s">
        <v>35</v>
      </c>
      <c r="D88" s="74"/>
      <c r="E88" s="70" t="s">
        <v>31</v>
      </c>
      <c r="F88" s="70" t="s">
        <v>182</v>
      </c>
      <c r="G88" s="77">
        <v>25670.0</v>
      </c>
      <c r="H88" s="78">
        <v>0.0</v>
      </c>
      <c r="I88" s="72"/>
      <c r="J88" s="72"/>
      <c r="K88" s="70"/>
      <c r="L88" s="70">
        <v>0.7987220447284</v>
      </c>
      <c r="M88" s="70" t="s">
        <v>39</v>
      </c>
      <c r="N88" s="70" t="s">
        <v>38</v>
      </c>
      <c r="O88" s="70" t="s">
        <v>154</v>
      </c>
      <c r="P88" s="70" t="s">
        <v>40</v>
      </c>
      <c r="Q88" s="70" t="s">
        <v>187</v>
      </c>
      <c r="R88" s="77">
        <v>20503.19</v>
      </c>
      <c r="S88" s="77">
        <v>0.0</v>
      </c>
      <c r="T88" s="70"/>
      <c r="U88" s="70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</row>
    <row r="89" ht="15.75" customHeight="1">
      <c r="A89" s="55"/>
      <c r="B89" s="75">
        <v>42920.0</v>
      </c>
      <c r="C89" s="70" t="s">
        <v>35</v>
      </c>
      <c r="D89" s="74"/>
      <c r="E89" s="70" t="s">
        <v>31</v>
      </c>
      <c r="F89" s="70" t="s">
        <v>37</v>
      </c>
      <c r="G89" s="79">
        <v>0.0</v>
      </c>
      <c r="H89" s="77">
        <v>25670.0</v>
      </c>
      <c r="I89" s="72"/>
      <c r="J89" s="72"/>
      <c r="K89" s="70"/>
      <c r="L89" s="70">
        <v>0.7987220447284</v>
      </c>
      <c r="M89" s="70" t="s">
        <v>39</v>
      </c>
      <c r="N89" s="70" t="s">
        <v>41</v>
      </c>
      <c r="O89" s="70" t="s">
        <v>154</v>
      </c>
      <c r="P89" s="70" t="s">
        <v>40</v>
      </c>
      <c r="Q89" s="70" t="s">
        <v>187</v>
      </c>
      <c r="R89" s="77">
        <v>0.0</v>
      </c>
      <c r="S89" s="77">
        <v>20503.19</v>
      </c>
      <c r="T89" s="70"/>
      <c r="U89" s="70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</row>
    <row r="90" ht="15.75" customHeight="1">
      <c r="A90" s="55"/>
      <c r="B90" s="75">
        <v>42920.0</v>
      </c>
      <c r="C90" s="70" t="s">
        <v>35</v>
      </c>
      <c r="D90" s="70" t="s">
        <v>30</v>
      </c>
      <c r="E90" s="70" t="s">
        <v>31</v>
      </c>
      <c r="F90" s="70" t="s">
        <v>182</v>
      </c>
      <c r="G90" s="77">
        <v>313.32</v>
      </c>
      <c r="H90" s="78">
        <v>0.0</v>
      </c>
      <c r="I90" s="72"/>
      <c r="J90" s="72"/>
      <c r="K90" s="70"/>
      <c r="L90" s="70">
        <v>0.7987220447284</v>
      </c>
      <c r="M90" s="70" t="s">
        <v>39</v>
      </c>
      <c r="N90" s="70" t="s">
        <v>38</v>
      </c>
      <c r="O90" s="70" t="s">
        <v>154</v>
      </c>
      <c r="P90" s="70" t="s">
        <v>40</v>
      </c>
      <c r="Q90" s="70" t="s">
        <v>187</v>
      </c>
      <c r="R90" s="77">
        <v>250.26</v>
      </c>
      <c r="S90" s="77">
        <v>0.0</v>
      </c>
      <c r="T90" s="70"/>
      <c r="U90" s="70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</row>
    <row r="91" ht="15.75" customHeight="1">
      <c r="A91" s="55"/>
      <c r="B91" s="75">
        <v>42920.0</v>
      </c>
      <c r="C91" s="70" t="s">
        <v>35</v>
      </c>
      <c r="D91" s="70" t="s">
        <v>30</v>
      </c>
      <c r="E91" s="70" t="s">
        <v>31</v>
      </c>
      <c r="F91" s="70" t="s">
        <v>37</v>
      </c>
      <c r="G91" s="79">
        <v>0.0</v>
      </c>
      <c r="H91" s="77">
        <v>313.32</v>
      </c>
      <c r="I91" s="72"/>
      <c r="J91" s="72"/>
      <c r="K91" s="70"/>
      <c r="L91" s="70">
        <v>0.7987220447284</v>
      </c>
      <c r="M91" s="70" t="s">
        <v>39</v>
      </c>
      <c r="N91" s="70" t="s">
        <v>41</v>
      </c>
      <c r="O91" s="70" t="s">
        <v>154</v>
      </c>
      <c r="P91" s="70" t="s">
        <v>40</v>
      </c>
      <c r="Q91" s="70" t="s">
        <v>187</v>
      </c>
      <c r="R91" s="77">
        <v>0.0</v>
      </c>
      <c r="S91" s="77">
        <v>250.26</v>
      </c>
      <c r="T91" s="70"/>
      <c r="U91" s="70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</row>
    <row r="92" ht="15.75" customHeight="1">
      <c r="A92" s="55"/>
      <c r="B92" s="75">
        <v>42920.0</v>
      </c>
      <c r="C92" s="70" t="s">
        <v>35</v>
      </c>
      <c r="D92" s="70" t="s">
        <v>30</v>
      </c>
      <c r="E92" s="70" t="s">
        <v>31</v>
      </c>
      <c r="F92" s="70" t="s">
        <v>182</v>
      </c>
      <c r="G92" s="77">
        <v>3937.5</v>
      </c>
      <c r="H92" s="78">
        <v>0.0</v>
      </c>
      <c r="I92" s="72"/>
      <c r="J92" s="72"/>
      <c r="K92" s="70"/>
      <c r="L92" s="70">
        <v>0.7987220447284</v>
      </c>
      <c r="M92" s="70" t="s">
        <v>39</v>
      </c>
      <c r="N92" s="70" t="s">
        <v>38</v>
      </c>
      <c r="O92" s="70" t="s">
        <v>154</v>
      </c>
      <c r="P92" s="70" t="s">
        <v>40</v>
      </c>
      <c r="Q92" s="70" t="s">
        <v>187</v>
      </c>
      <c r="R92" s="77">
        <v>3144.97</v>
      </c>
      <c r="S92" s="77">
        <v>0.0</v>
      </c>
      <c r="T92" s="70"/>
      <c r="U92" s="70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</row>
    <row r="93" ht="15.75" customHeight="1">
      <c r="A93" s="55"/>
      <c r="B93" s="75">
        <v>42920.0</v>
      </c>
      <c r="C93" s="70" t="s">
        <v>35</v>
      </c>
      <c r="D93" s="70" t="s">
        <v>30</v>
      </c>
      <c r="E93" s="70" t="s">
        <v>31</v>
      </c>
      <c r="F93" s="70" t="s">
        <v>37</v>
      </c>
      <c r="G93" s="79">
        <v>0.0</v>
      </c>
      <c r="H93" s="77">
        <v>3937.5</v>
      </c>
      <c r="I93" s="72"/>
      <c r="J93" s="72"/>
      <c r="K93" s="70"/>
      <c r="L93" s="70">
        <v>0.7987220447284</v>
      </c>
      <c r="M93" s="70" t="s">
        <v>39</v>
      </c>
      <c r="N93" s="70" t="s">
        <v>41</v>
      </c>
      <c r="O93" s="70" t="s">
        <v>154</v>
      </c>
      <c r="P93" s="70" t="s">
        <v>40</v>
      </c>
      <c r="Q93" s="70" t="s">
        <v>187</v>
      </c>
      <c r="R93" s="77">
        <v>0.0</v>
      </c>
      <c r="S93" s="77">
        <v>3144.97</v>
      </c>
      <c r="T93" s="70"/>
      <c r="U93" s="70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</row>
    <row r="94" ht="15.75" customHeight="1">
      <c r="A94" s="55"/>
      <c r="B94" s="75">
        <v>42921.0</v>
      </c>
      <c r="C94" s="70" t="s">
        <v>35</v>
      </c>
      <c r="D94" s="70" t="s">
        <v>31</v>
      </c>
      <c r="E94" s="70" t="s">
        <v>31</v>
      </c>
      <c r="F94" s="70" t="s">
        <v>182</v>
      </c>
      <c r="G94" s="77">
        <v>26416.04</v>
      </c>
      <c r="H94" s="78">
        <v>0.0</v>
      </c>
      <c r="I94" s="72"/>
      <c r="J94" s="72"/>
      <c r="K94" s="70"/>
      <c r="L94" s="70">
        <v>0.0</v>
      </c>
      <c r="M94" s="70" t="s">
        <v>39</v>
      </c>
      <c r="N94" s="70" t="s">
        <v>38</v>
      </c>
      <c r="O94" s="70" t="s">
        <v>154</v>
      </c>
      <c r="P94" s="70" t="s">
        <v>40</v>
      </c>
      <c r="Q94" s="70" t="s">
        <v>185</v>
      </c>
      <c r="R94" s="77">
        <v>0.0</v>
      </c>
      <c r="S94" s="77">
        <v>0.0</v>
      </c>
      <c r="T94" s="70"/>
      <c r="U94" s="70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</row>
    <row r="95" ht="15.75" customHeight="1">
      <c r="A95" s="55"/>
      <c r="B95" s="75">
        <v>42921.0</v>
      </c>
      <c r="C95" s="70" t="s">
        <v>35</v>
      </c>
      <c r="D95" s="70" t="s">
        <v>31</v>
      </c>
      <c r="E95" s="70" t="s">
        <v>31</v>
      </c>
      <c r="F95" s="70" t="s">
        <v>37</v>
      </c>
      <c r="G95" s="79">
        <v>0.0</v>
      </c>
      <c r="H95" s="77">
        <v>26416.04</v>
      </c>
      <c r="I95" s="72"/>
      <c r="J95" s="72"/>
      <c r="K95" s="70"/>
      <c r="L95" s="70">
        <v>0.0</v>
      </c>
      <c r="M95" s="70" t="s">
        <v>39</v>
      </c>
      <c r="N95" s="70" t="s">
        <v>41</v>
      </c>
      <c r="O95" s="70" t="s">
        <v>154</v>
      </c>
      <c r="P95" s="70" t="s">
        <v>40</v>
      </c>
      <c r="Q95" s="70" t="s">
        <v>185</v>
      </c>
      <c r="R95" s="77">
        <v>0.0</v>
      </c>
      <c r="S95" s="77">
        <v>0.0</v>
      </c>
      <c r="T95" s="70"/>
      <c r="U95" s="70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</row>
    <row r="96" ht="15.75" customHeight="1">
      <c r="A96" s="55"/>
      <c r="B96" s="75">
        <v>42921.0</v>
      </c>
      <c r="C96" s="70" t="s">
        <v>35</v>
      </c>
      <c r="D96" s="70" t="s">
        <v>31</v>
      </c>
      <c r="E96" s="70" t="s">
        <v>31</v>
      </c>
      <c r="F96" s="70" t="s">
        <v>37</v>
      </c>
      <c r="G96" s="77">
        <v>26416.04</v>
      </c>
      <c r="H96" s="78">
        <v>0.0</v>
      </c>
      <c r="I96" s="72"/>
      <c r="J96" s="72"/>
      <c r="K96" s="70"/>
      <c r="L96" s="70">
        <v>0.7987220447284</v>
      </c>
      <c r="M96" s="70" t="s">
        <v>39</v>
      </c>
      <c r="N96" s="70" t="s">
        <v>38</v>
      </c>
      <c r="O96" s="70" t="s">
        <v>154</v>
      </c>
      <c r="P96" s="70" t="s">
        <v>40</v>
      </c>
      <c r="Q96" s="70" t="s">
        <v>186</v>
      </c>
      <c r="R96" s="77">
        <v>21099.07</v>
      </c>
      <c r="S96" s="77">
        <v>0.0</v>
      </c>
      <c r="T96" s="70"/>
      <c r="U96" s="70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</row>
    <row r="97" ht="15.75" customHeight="1">
      <c r="A97" s="55"/>
      <c r="B97" s="75">
        <v>42921.0</v>
      </c>
      <c r="C97" s="70" t="s">
        <v>35</v>
      </c>
      <c r="D97" s="70" t="s">
        <v>31</v>
      </c>
      <c r="E97" s="70" t="s">
        <v>31</v>
      </c>
      <c r="F97" s="70" t="s">
        <v>182</v>
      </c>
      <c r="G97" s="79">
        <v>0.0</v>
      </c>
      <c r="H97" s="77">
        <v>26416.04</v>
      </c>
      <c r="I97" s="72"/>
      <c r="J97" s="72"/>
      <c r="K97" s="70"/>
      <c r="L97" s="70">
        <v>0.7987220447284</v>
      </c>
      <c r="M97" s="70" t="s">
        <v>39</v>
      </c>
      <c r="N97" s="70" t="s">
        <v>41</v>
      </c>
      <c r="O97" s="70" t="s">
        <v>154</v>
      </c>
      <c r="P97" s="70" t="s">
        <v>40</v>
      </c>
      <c r="Q97" s="70" t="s">
        <v>186</v>
      </c>
      <c r="R97" s="77">
        <v>0.0</v>
      </c>
      <c r="S97" s="77">
        <v>21099.07</v>
      </c>
      <c r="T97" s="70"/>
      <c r="U97" s="70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</row>
    <row r="98" ht="15.75" customHeight="1">
      <c r="A98" s="55"/>
      <c r="B98" s="75">
        <v>42919.0</v>
      </c>
      <c r="C98" s="70" t="s">
        <v>35</v>
      </c>
      <c r="D98" s="70" t="s">
        <v>26</v>
      </c>
      <c r="E98" s="70" t="s">
        <v>29</v>
      </c>
      <c r="F98" s="70" t="s">
        <v>37</v>
      </c>
      <c r="G98" s="77">
        <v>1564.54</v>
      </c>
      <c r="H98" s="78">
        <v>0.0</v>
      </c>
      <c r="I98" s="72"/>
      <c r="J98" s="72"/>
      <c r="K98" s="70"/>
      <c r="L98" s="70">
        <v>1.7</v>
      </c>
      <c r="M98" s="70" t="s">
        <v>39</v>
      </c>
      <c r="N98" s="70" t="s">
        <v>38</v>
      </c>
      <c r="O98" s="70" t="s">
        <v>154</v>
      </c>
      <c r="P98" s="70" t="s">
        <v>40</v>
      </c>
      <c r="Q98" s="70" t="s">
        <v>183</v>
      </c>
      <c r="R98" s="77">
        <v>2659.71</v>
      </c>
      <c r="S98" s="77">
        <v>0.0</v>
      </c>
      <c r="T98" s="70"/>
      <c r="U98" s="70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</row>
    <row r="99" ht="15.75" customHeight="1">
      <c r="A99" s="55"/>
      <c r="B99" s="75">
        <v>42919.0</v>
      </c>
      <c r="C99" s="70" t="s">
        <v>35</v>
      </c>
      <c r="D99" s="70" t="s">
        <v>26</v>
      </c>
      <c r="E99" s="70" t="s">
        <v>29</v>
      </c>
      <c r="F99" s="70" t="s">
        <v>182</v>
      </c>
      <c r="G99" s="79">
        <v>0.0</v>
      </c>
      <c r="H99" s="77">
        <v>1564.54</v>
      </c>
      <c r="I99" s="72"/>
      <c r="J99" s="72"/>
      <c r="K99" s="70"/>
      <c r="L99" s="70">
        <v>1.7</v>
      </c>
      <c r="M99" s="70" t="s">
        <v>39</v>
      </c>
      <c r="N99" s="70" t="s">
        <v>41</v>
      </c>
      <c r="O99" s="70" t="s">
        <v>154</v>
      </c>
      <c r="P99" s="70" t="s">
        <v>40</v>
      </c>
      <c r="Q99" s="70" t="s">
        <v>183</v>
      </c>
      <c r="R99" s="77">
        <v>0.0</v>
      </c>
      <c r="S99" s="77">
        <v>2659.71</v>
      </c>
      <c r="T99" s="70"/>
      <c r="U99" s="70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</row>
    <row r="100" ht="15.75" customHeight="1">
      <c r="A100" s="55"/>
      <c r="B100" s="75">
        <v>42919.0</v>
      </c>
      <c r="C100" s="70" t="s">
        <v>35</v>
      </c>
      <c r="D100" s="70" t="s">
        <v>26</v>
      </c>
      <c r="E100" s="70" t="s">
        <v>29</v>
      </c>
      <c r="F100" s="70" t="s">
        <v>37</v>
      </c>
      <c r="G100" s="77">
        <v>70.55</v>
      </c>
      <c r="H100" s="78">
        <v>0.0</v>
      </c>
      <c r="I100" s="72"/>
      <c r="J100" s="72"/>
      <c r="K100" s="70"/>
      <c r="L100" s="70">
        <v>1.7</v>
      </c>
      <c r="M100" s="70" t="s">
        <v>39</v>
      </c>
      <c r="N100" s="70" t="s">
        <v>38</v>
      </c>
      <c r="O100" s="70" t="s">
        <v>154</v>
      </c>
      <c r="P100" s="70" t="s">
        <v>40</v>
      </c>
      <c r="Q100" s="70" t="s">
        <v>183</v>
      </c>
      <c r="R100" s="77">
        <v>119.93</v>
      </c>
      <c r="S100" s="77">
        <v>0.0</v>
      </c>
      <c r="T100" s="70"/>
      <c r="U100" s="70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</row>
    <row r="101" ht="15.75" customHeight="1">
      <c r="A101" s="55"/>
      <c r="B101" s="75">
        <v>42919.0</v>
      </c>
      <c r="C101" s="70" t="s">
        <v>35</v>
      </c>
      <c r="D101" s="70" t="s">
        <v>26</v>
      </c>
      <c r="E101" s="70" t="s">
        <v>29</v>
      </c>
      <c r="F101" s="70" t="s">
        <v>182</v>
      </c>
      <c r="G101" s="79">
        <v>0.0</v>
      </c>
      <c r="H101" s="77">
        <v>70.55</v>
      </c>
      <c r="I101" s="72"/>
      <c r="J101" s="72"/>
      <c r="K101" s="70"/>
      <c r="L101" s="70">
        <v>1.7</v>
      </c>
      <c r="M101" s="70" t="s">
        <v>39</v>
      </c>
      <c r="N101" s="70" t="s">
        <v>41</v>
      </c>
      <c r="O101" s="70" t="s">
        <v>154</v>
      </c>
      <c r="P101" s="70" t="s">
        <v>40</v>
      </c>
      <c r="Q101" s="70" t="s">
        <v>183</v>
      </c>
      <c r="R101" s="77">
        <v>0.0</v>
      </c>
      <c r="S101" s="77">
        <v>119.93</v>
      </c>
      <c r="T101" s="70"/>
      <c r="U101" s="70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</row>
    <row r="102" ht="15.75" customHeight="1">
      <c r="A102" s="55"/>
      <c r="B102" s="75">
        <v>42919.0</v>
      </c>
      <c r="C102" s="70" t="s">
        <v>35</v>
      </c>
      <c r="D102" s="70" t="s">
        <v>26</v>
      </c>
      <c r="E102" s="70" t="s">
        <v>29</v>
      </c>
      <c r="F102" s="70" t="s">
        <v>182</v>
      </c>
      <c r="G102" s="77">
        <v>1564.54</v>
      </c>
      <c r="H102" s="78">
        <v>0.0</v>
      </c>
      <c r="I102" s="72"/>
      <c r="J102" s="72"/>
      <c r="K102" s="70"/>
      <c r="L102" s="70">
        <v>0.7878</v>
      </c>
      <c r="M102" s="70" t="s">
        <v>39</v>
      </c>
      <c r="N102" s="70" t="s">
        <v>38</v>
      </c>
      <c r="O102" s="70" t="s">
        <v>154</v>
      </c>
      <c r="P102" s="70" t="s">
        <v>40</v>
      </c>
      <c r="Q102" s="70" t="s">
        <v>187</v>
      </c>
      <c r="R102" s="77">
        <v>1232.54</v>
      </c>
      <c r="S102" s="77">
        <v>0.0</v>
      </c>
      <c r="T102" s="70"/>
      <c r="U102" s="70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</row>
    <row r="103" ht="15.75" customHeight="1">
      <c r="A103" s="55"/>
      <c r="B103" s="75">
        <v>42919.0</v>
      </c>
      <c r="C103" s="70" t="s">
        <v>35</v>
      </c>
      <c r="D103" s="70" t="s">
        <v>26</v>
      </c>
      <c r="E103" s="70" t="s">
        <v>29</v>
      </c>
      <c r="F103" s="70" t="s">
        <v>37</v>
      </c>
      <c r="G103" s="79">
        <v>0.0</v>
      </c>
      <c r="H103" s="77">
        <v>1564.54</v>
      </c>
      <c r="I103" s="72"/>
      <c r="J103" s="72"/>
      <c r="K103" s="70"/>
      <c r="L103" s="70">
        <v>0.7878</v>
      </c>
      <c r="M103" s="70" t="s">
        <v>39</v>
      </c>
      <c r="N103" s="70" t="s">
        <v>41</v>
      </c>
      <c r="O103" s="70" t="s">
        <v>154</v>
      </c>
      <c r="P103" s="70" t="s">
        <v>40</v>
      </c>
      <c r="Q103" s="70" t="s">
        <v>187</v>
      </c>
      <c r="R103" s="77">
        <v>0.0</v>
      </c>
      <c r="S103" s="77">
        <v>1232.54</v>
      </c>
      <c r="T103" s="70"/>
      <c r="U103" s="70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</row>
    <row r="104" ht="15.75" customHeight="1">
      <c r="A104" s="55"/>
      <c r="B104" s="75">
        <v>42919.0</v>
      </c>
      <c r="C104" s="70" t="s">
        <v>35</v>
      </c>
      <c r="D104" s="70" t="s">
        <v>26</v>
      </c>
      <c r="E104" s="70" t="s">
        <v>29</v>
      </c>
      <c r="F104" s="70" t="s">
        <v>182</v>
      </c>
      <c r="G104" s="77">
        <v>70.55</v>
      </c>
      <c r="H104" s="78">
        <v>0.0</v>
      </c>
      <c r="I104" s="72"/>
      <c r="J104" s="72"/>
      <c r="K104" s="70"/>
      <c r="L104" s="70">
        <v>0.7878</v>
      </c>
      <c r="M104" s="70" t="s">
        <v>39</v>
      </c>
      <c r="N104" s="70" t="s">
        <v>38</v>
      </c>
      <c r="O104" s="70" t="s">
        <v>154</v>
      </c>
      <c r="P104" s="70" t="s">
        <v>40</v>
      </c>
      <c r="Q104" s="70" t="s">
        <v>187</v>
      </c>
      <c r="R104" s="77">
        <v>55.58</v>
      </c>
      <c r="S104" s="77">
        <v>0.0</v>
      </c>
      <c r="T104" s="70"/>
      <c r="U104" s="70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</row>
    <row r="105" ht="15.75" customHeight="1">
      <c r="A105" s="55"/>
      <c r="B105" s="75">
        <v>42919.0</v>
      </c>
      <c r="C105" s="70" t="s">
        <v>35</v>
      </c>
      <c r="D105" s="70" t="s">
        <v>26</v>
      </c>
      <c r="E105" s="70" t="s">
        <v>29</v>
      </c>
      <c r="F105" s="70" t="s">
        <v>37</v>
      </c>
      <c r="G105" s="79">
        <v>0.0</v>
      </c>
      <c r="H105" s="77">
        <v>70.55</v>
      </c>
      <c r="I105" s="72"/>
      <c r="J105" s="72"/>
      <c r="K105" s="70"/>
      <c r="L105" s="70">
        <v>0.7878</v>
      </c>
      <c r="M105" s="70" t="s">
        <v>39</v>
      </c>
      <c r="N105" s="70" t="s">
        <v>41</v>
      </c>
      <c r="O105" s="70" t="s">
        <v>154</v>
      </c>
      <c r="P105" s="70" t="s">
        <v>40</v>
      </c>
      <c r="Q105" s="70" t="s">
        <v>187</v>
      </c>
      <c r="R105" s="77">
        <v>0.0</v>
      </c>
      <c r="S105" s="77">
        <v>55.58</v>
      </c>
      <c r="T105" s="70"/>
      <c r="U105" s="70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</row>
    <row r="106" ht="15.75" customHeight="1">
      <c r="A106" s="55"/>
      <c r="B106" s="75">
        <v>42919.0</v>
      </c>
      <c r="C106" s="70" t="s">
        <v>35</v>
      </c>
      <c r="D106" s="70" t="s">
        <v>26</v>
      </c>
      <c r="E106" s="70" t="s">
        <v>29</v>
      </c>
      <c r="F106" s="70" t="s">
        <v>188</v>
      </c>
      <c r="G106" s="77">
        <v>70.55</v>
      </c>
      <c r="H106" s="78">
        <v>0.0</v>
      </c>
      <c r="I106" s="72"/>
      <c r="J106" s="72"/>
      <c r="K106" s="70"/>
      <c r="L106" s="70">
        <v>1.7</v>
      </c>
      <c r="M106" s="70" t="s">
        <v>39</v>
      </c>
      <c r="N106" s="70" t="s">
        <v>38</v>
      </c>
      <c r="O106" s="70" t="s">
        <v>154</v>
      </c>
      <c r="P106" s="70" t="s">
        <v>40</v>
      </c>
      <c r="Q106" s="70" t="s">
        <v>162</v>
      </c>
      <c r="R106" s="77">
        <v>119.93</v>
      </c>
      <c r="S106" s="77">
        <v>0.0</v>
      </c>
      <c r="T106" s="70"/>
      <c r="U106" s="70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</row>
    <row r="107" ht="15.75" customHeight="1">
      <c r="A107" s="55"/>
      <c r="B107" s="75">
        <v>42919.0</v>
      </c>
      <c r="C107" s="70" t="s">
        <v>35</v>
      </c>
      <c r="D107" s="70" t="s">
        <v>26</v>
      </c>
      <c r="E107" s="70" t="s">
        <v>29</v>
      </c>
      <c r="F107" s="70" t="s">
        <v>89</v>
      </c>
      <c r="G107" s="79">
        <v>0.0</v>
      </c>
      <c r="H107" s="77">
        <v>70.55</v>
      </c>
      <c r="I107" s="72"/>
      <c r="J107" s="72"/>
      <c r="K107" s="70"/>
      <c r="L107" s="70">
        <v>1.7</v>
      </c>
      <c r="M107" s="70" t="s">
        <v>39</v>
      </c>
      <c r="N107" s="70" t="s">
        <v>41</v>
      </c>
      <c r="O107" s="70" t="s">
        <v>154</v>
      </c>
      <c r="P107" s="70" t="s">
        <v>40</v>
      </c>
      <c r="Q107" s="70" t="s">
        <v>162</v>
      </c>
      <c r="R107" s="77">
        <v>0.0</v>
      </c>
      <c r="S107" s="77">
        <v>119.93</v>
      </c>
      <c r="T107" s="70"/>
      <c r="U107" s="70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</row>
    <row r="108" ht="15.75" customHeight="1">
      <c r="A108" s="55"/>
      <c r="B108" s="75">
        <v>42919.0</v>
      </c>
      <c r="C108" s="70" t="s">
        <v>35</v>
      </c>
      <c r="D108" s="70" t="s">
        <v>26</v>
      </c>
      <c r="E108" s="70" t="s">
        <v>29</v>
      </c>
      <c r="F108" s="70" t="s">
        <v>89</v>
      </c>
      <c r="G108" s="77">
        <v>70.55</v>
      </c>
      <c r="H108" s="78">
        <v>0.0</v>
      </c>
      <c r="I108" s="72"/>
      <c r="J108" s="72"/>
      <c r="K108" s="70"/>
      <c r="L108" s="70">
        <v>0.7878</v>
      </c>
      <c r="M108" s="70" t="s">
        <v>39</v>
      </c>
      <c r="N108" s="70" t="s">
        <v>38</v>
      </c>
      <c r="O108" s="70" t="s">
        <v>154</v>
      </c>
      <c r="P108" s="70" t="s">
        <v>40</v>
      </c>
      <c r="Q108" s="70" t="s">
        <v>163</v>
      </c>
      <c r="R108" s="77">
        <v>55.58</v>
      </c>
      <c r="S108" s="77">
        <v>0.0</v>
      </c>
      <c r="T108" s="70"/>
      <c r="U108" s="70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</row>
    <row r="109" ht="15.75" customHeight="1">
      <c r="A109" s="55"/>
      <c r="B109" s="75">
        <v>42919.0</v>
      </c>
      <c r="C109" s="70" t="s">
        <v>35</v>
      </c>
      <c r="D109" s="70" t="s">
        <v>26</v>
      </c>
      <c r="E109" s="70" t="s">
        <v>29</v>
      </c>
      <c r="F109" s="70" t="s">
        <v>188</v>
      </c>
      <c r="G109" s="79">
        <v>0.0</v>
      </c>
      <c r="H109" s="77">
        <v>70.55</v>
      </c>
      <c r="I109" s="72"/>
      <c r="J109" s="72"/>
      <c r="K109" s="70"/>
      <c r="L109" s="70">
        <v>0.7878</v>
      </c>
      <c r="M109" s="70" t="s">
        <v>39</v>
      </c>
      <c r="N109" s="70" t="s">
        <v>41</v>
      </c>
      <c r="O109" s="70" t="s">
        <v>154</v>
      </c>
      <c r="P109" s="70" t="s">
        <v>40</v>
      </c>
      <c r="Q109" s="70" t="s">
        <v>163</v>
      </c>
      <c r="R109" s="77">
        <v>0.0</v>
      </c>
      <c r="S109" s="77">
        <v>55.58</v>
      </c>
      <c r="T109" s="70"/>
      <c r="U109" s="70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</row>
    <row r="110" ht="15.75" customHeight="1">
      <c r="A110" s="55"/>
      <c r="B110" s="75">
        <v>42920.0</v>
      </c>
      <c r="C110" s="70" t="s">
        <v>35</v>
      </c>
      <c r="D110" s="70" t="s">
        <v>29</v>
      </c>
      <c r="E110" s="70" t="s">
        <v>29</v>
      </c>
      <c r="F110" s="70" t="s">
        <v>37</v>
      </c>
      <c r="G110" s="77">
        <v>13544.92</v>
      </c>
      <c r="H110" s="78">
        <v>0.0</v>
      </c>
      <c r="I110" s="72"/>
      <c r="J110" s="72"/>
      <c r="K110" s="70"/>
      <c r="L110" s="70">
        <v>0.7896</v>
      </c>
      <c r="M110" s="70" t="s">
        <v>39</v>
      </c>
      <c r="N110" s="70" t="s">
        <v>38</v>
      </c>
      <c r="O110" s="70" t="s">
        <v>154</v>
      </c>
      <c r="P110" s="70" t="s">
        <v>40</v>
      </c>
      <c r="Q110" s="70" t="s">
        <v>185</v>
      </c>
      <c r="R110" s="77">
        <v>10695.07</v>
      </c>
      <c r="S110" s="77">
        <v>0.0</v>
      </c>
      <c r="T110" s="70"/>
      <c r="U110" s="70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</row>
    <row r="111" ht="15.75" customHeight="1">
      <c r="A111" s="55"/>
      <c r="B111" s="75">
        <v>42920.0</v>
      </c>
      <c r="C111" s="70" t="s">
        <v>35</v>
      </c>
      <c r="D111" s="70" t="s">
        <v>29</v>
      </c>
      <c r="E111" s="70" t="s">
        <v>29</v>
      </c>
      <c r="F111" s="70" t="s">
        <v>182</v>
      </c>
      <c r="G111" s="79">
        <v>0.0</v>
      </c>
      <c r="H111" s="77">
        <v>13544.92</v>
      </c>
      <c r="I111" s="72"/>
      <c r="J111" s="72"/>
      <c r="K111" s="70"/>
      <c r="L111" s="70">
        <v>0.7896</v>
      </c>
      <c r="M111" s="70" t="s">
        <v>39</v>
      </c>
      <c r="N111" s="70" t="s">
        <v>41</v>
      </c>
      <c r="O111" s="70" t="s">
        <v>154</v>
      </c>
      <c r="P111" s="70" t="s">
        <v>40</v>
      </c>
      <c r="Q111" s="70" t="s">
        <v>185</v>
      </c>
      <c r="R111" s="77">
        <v>0.0</v>
      </c>
      <c r="S111" s="77">
        <v>10695.07</v>
      </c>
      <c r="T111" s="70"/>
      <c r="U111" s="70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</row>
    <row r="112" ht="15.75" customHeight="1">
      <c r="A112" s="55"/>
      <c r="B112" s="75">
        <v>42920.0</v>
      </c>
      <c r="C112" s="70" t="s">
        <v>35</v>
      </c>
      <c r="D112" s="70" t="s">
        <v>29</v>
      </c>
      <c r="E112" s="70" t="s">
        <v>29</v>
      </c>
      <c r="F112" s="70" t="s">
        <v>182</v>
      </c>
      <c r="G112" s="77">
        <v>13544.92</v>
      </c>
      <c r="H112" s="78">
        <v>0.0</v>
      </c>
      <c r="I112" s="72"/>
      <c r="J112" s="72"/>
      <c r="K112" s="70"/>
      <c r="L112" s="70">
        <v>0.7878</v>
      </c>
      <c r="M112" s="70" t="s">
        <v>39</v>
      </c>
      <c r="N112" s="70" t="s">
        <v>38</v>
      </c>
      <c r="O112" s="70" t="s">
        <v>154</v>
      </c>
      <c r="P112" s="70" t="s">
        <v>40</v>
      </c>
      <c r="Q112" s="70" t="s">
        <v>186</v>
      </c>
      <c r="R112" s="77">
        <v>10670.69</v>
      </c>
      <c r="S112" s="77">
        <v>0.0</v>
      </c>
      <c r="T112" s="70"/>
      <c r="U112" s="70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</row>
    <row r="113" ht="15.75" customHeight="1">
      <c r="A113" s="55"/>
      <c r="B113" s="75">
        <v>42920.0</v>
      </c>
      <c r="C113" s="70" t="s">
        <v>35</v>
      </c>
      <c r="D113" s="70" t="s">
        <v>29</v>
      </c>
      <c r="E113" s="70" t="s">
        <v>29</v>
      </c>
      <c r="F113" s="70" t="s">
        <v>37</v>
      </c>
      <c r="G113" s="79">
        <v>0.0</v>
      </c>
      <c r="H113" s="77">
        <v>13544.92</v>
      </c>
      <c r="I113" s="72"/>
      <c r="J113" s="72"/>
      <c r="K113" s="70"/>
      <c r="L113" s="70">
        <v>0.7878</v>
      </c>
      <c r="M113" s="70" t="s">
        <v>39</v>
      </c>
      <c r="N113" s="70" t="s">
        <v>41</v>
      </c>
      <c r="O113" s="70" t="s">
        <v>154</v>
      </c>
      <c r="P113" s="70" t="s">
        <v>40</v>
      </c>
      <c r="Q113" s="70" t="s">
        <v>186</v>
      </c>
      <c r="R113" s="77">
        <v>0.0</v>
      </c>
      <c r="S113" s="77">
        <v>10670.69</v>
      </c>
      <c r="T113" s="70"/>
      <c r="U113" s="70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</row>
    <row r="114" ht="15.75" customHeight="1">
      <c r="A114" s="55"/>
      <c r="B114" s="75">
        <v>42920.0</v>
      </c>
      <c r="C114" s="70" t="s">
        <v>35</v>
      </c>
      <c r="D114" s="70" t="s">
        <v>29</v>
      </c>
      <c r="E114" s="70" t="s">
        <v>29</v>
      </c>
      <c r="F114" s="70" t="s">
        <v>89</v>
      </c>
      <c r="G114" s="77">
        <v>70.55</v>
      </c>
      <c r="H114" s="78">
        <v>0.0</v>
      </c>
      <c r="I114" s="72"/>
      <c r="J114" s="72"/>
      <c r="K114" s="70"/>
      <c r="L114" s="70">
        <v>0.7896</v>
      </c>
      <c r="M114" s="70" t="s">
        <v>39</v>
      </c>
      <c r="N114" s="70" t="s">
        <v>38</v>
      </c>
      <c r="O114" s="70" t="s">
        <v>154</v>
      </c>
      <c r="P114" s="70" t="s">
        <v>40</v>
      </c>
      <c r="Q114" s="70" t="s">
        <v>166</v>
      </c>
      <c r="R114" s="77">
        <v>55.71</v>
      </c>
      <c r="S114" s="77">
        <v>0.0</v>
      </c>
      <c r="T114" s="70"/>
      <c r="U114" s="70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</row>
    <row r="115" ht="15.75" customHeight="1">
      <c r="A115" s="55"/>
      <c r="B115" s="75">
        <v>42920.0</v>
      </c>
      <c r="C115" s="70" t="s">
        <v>35</v>
      </c>
      <c r="D115" s="70" t="s">
        <v>29</v>
      </c>
      <c r="E115" s="70" t="s">
        <v>29</v>
      </c>
      <c r="F115" s="70" t="s">
        <v>188</v>
      </c>
      <c r="G115" s="79">
        <v>0.0</v>
      </c>
      <c r="H115" s="77">
        <v>70.55</v>
      </c>
      <c r="I115" s="72"/>
      <c r="J115" s="72"/>
      <c r="K115" s="70"/>
      <c r="L115" s="70">
        <v>0.7896</v>
      </c>
      <c r="M115" s="70" t="s">
        <v>39</v>
      </c>
      <c r="N115" s="70" t="s">
        <v>41</v>
      </c>
      <c r="O115" s="70" t="s">
        <v>154</v>
      </c>
      <c r="P115" s="70" t="s">
        <v>40</v>
      </c>
      <c r="Q115" s="70" t="s">
        <v>166</v>
      </c>
      <c r="R115" s="77">
        <v>0.0</v>
      </c>
      <c r="S115" s="77">
        <v>55.71</v>
      </c>
      <c r="T115" s="70"/>
      <c r="U115" s="70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</row>
    <row r="116" ht="15.75" customHeight="1">
      <c r="A116" s="55"/>
      <c r="B116" s="75">
        <v>42920.0</v>
      </c>
      <c r="C116" s="70" t="s">
        <v>35</v>
      </c>
      <c r="D116" s="70" t="s">
        <v>29</v>
      </c>
      <c r="E116" s="70" t="s">
        <v>29</v>
      </c>
      <c r="F116" s="70" t="s">
        <v>188</v>
      </c>
      <c r="G116" s="77">
        <v>70.55</v>
      </c>
      <c r="H116" s="78">
        <v>0.0</v>
      </c>
      <c r="I116" s="72"/>
      <c r="J116" s="72"/>
      <c r="K116" s="70"/>
      <c r="L116" s="70">
        <v>0.7878</v>
      </c>
      <c r="M116" s="70" t="s">
        <v>39</v>
      </c>
      <c r="N116" s="70" t="s">
        <v>38</v>
      </c>
      <c r="O116" s="70" t="s">
        <v>154</v>
      </c>
      <c r="P116" s="70" t="s">
        <v>40</v>
      </c>
      <c r="Q116" s="70" t="s">
        <v>167</v>
      </c>
      <c r="R116" s="77">
        <v>55.58</v>
      </c>
      <c r="S116" s="77">
        <v>0.0</v>
      </c>
      <c r="T116" s="70"/>
      <c r="U116" s="70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</row>
    <row r="117" ht="15.75" customHeight="1">
      <c r="A117" s="55"/>
      <c r="B117" s="75">
        <v>42920.0</v>
      </c>
      <c r="C117" s="70" t="s">
        <v>35</v>
      </c>
      <c r="D117" s="70" t="s">
        <v>29</v>
      </c>
      <c r="E117" s="70" t="s">
        <v>29</v>
      </c>
      <c r="F117" s="70" t="s">
        <v>89</v>
      </c>
      <c r="G117" s="79">
        <v>0.0</v>
      </c>
      <c r="H117" s="77">
        <v>70.55</v>
      </c>
      <c r="I117" s="72"/>
      <c r="J117" s="72"/>
      <c r="K117" s="70"/>
      <c r="L117" s="70">
        <v>0.7878</v>
      </c>
      <c r="M117" s="70" t="s">
        <v>39</v>
      </c>
      <c r="N117" s="70" t="s">
        <v>41</v>
      </c>
      <c r="O117" s="70" t="s">
        <v>154</v>
      </c>
      <c r="P117" s="70" t="s">
        <v>40</v>
      </c>
      <c r="Q117" s="70" t="s">
        <v>167</v>
      </c>
      <c r="R117" s="77">
        <v>0.0</v>
      </c>
      <c r="S117" s="77">
        <v>55.58</v>
      </c>
      <c r="T117" s="70"/>
      <c r="U117" s="70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</row>
    <row r="118" ht="15.75" customHeight="1">
      <c r="A118" s="55"/>
      <c r="B118" s="75">
        <v>42920.0</v>
      </c>
      <c r="C118" s="70" t="s">
        <v>35</v>
      </c>
      <c r="D118" s="70" t="s">
        <v>26</v>
      </c>
      <c r="E118" s="70" t="s">
        <v>29</v>
      </c>
      <c r="F118" s="70" t="s">
        <v>182</v>
      </c>
      <c r="G118" s="77">
        <v>408.29</v>
      </c>
      <c r="H118" s="78">
        <v>0.0</v>
      </c>
      <c r="I118" s="72"/>
      <c r="J118" s="72"/>
      <c r="K118" s="70"/>
      <c r="L118" s="70">
        <v>1.7</v>
      </c>
      <c r="M118" s="70" t="s">
        <v>39</v>
      </c>
      <c r="N118" s="70" t="s">
        <v>38</v>
      </c>
      <c r="O118" s="70" t="s">
        <v>154</v>
      </c>
      <c r="P118" s="70" t="s">
        <v>40</v>
      </c>
      <c r="Q118" s="70" t="s">
        <v>183</v>
      </c>
      <c r="R118" s="77">
        <v>694.1</v>
      </c>
      <c r="S118" s="77">
        <v>0.0</v>
      </c>
      <c r="T118" s="70"/>
      <c r="U118" s="70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</row>
    <row r="119" ht="15.75" customHeight="1">
      <c r="A119" s="55"/>
      <c r="B119" s="75">
        <v>42920.0</v>
      </c>
      <c r="C119" s="70" t="s">
        <v>35</v>
      </c>
      <c r="D119" s="70" t="s">
        <v>26</v>
      </c>
      <c r="E119" s="70" t="s">
        <v>29</v>
      </c>
      <c r="F119" s="70" t="s">
        <v>37</v>
      </c>
      <c r="G119" s="79">
        <v>0.0</v>
      </c>
      <c r="H119" s="77">
        <v>408.29</v>
      </c>
      <c r="I119" s="72"/>
      <c r="J119" s="72"/>
      <c r="K119" s="70"/>
      <c r="L119" s="70">
        <v>1.7</v>
      </c>
      <c r="M119" s="70" t="s">
        <v>39</v>
      </c>
      <c r="N119" s="70" t="s">
        <v>41</v>
      </c>
      <c r="O119" s="70" t="s">
        <v>154</v>
      </c>
      <c r="P119" s="70" t="s">
        <v>40</v>
      </c>
      <c r="Q119" s="70" t="s">
        <v>183</v>
      </c>
      <c r="R119" s="77">
        <v>0.0</v>
      </c>
      <c r="S119" s="77">
        <v>694.1</v>
      </c>
      <c r="T119" s="70"/>
      <c r="U119" s="70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</row>
    <row r="120" ht="15.75" customHeight="1">
      <c r="A120" s="55"/>
      <c r="B120" s="75">
        <v>42920.0</v>
      </c>
      <c r="C120" s="70" t="s">
        <v>35</v>
      </c>
      <c r="D120" s="70" t="s">
        <v>26</v>
      </c>
      <c r="E120" s="70" t="s">
        <v>29</v>
      </c>
      <c r="F120" s="70" t="s">
        <v>37</v>
      </c>
      <c r="G120" s="77">
        <v>35.56</v>
      </c>
      <c r="H120" s="78">
        <v>0.0</v>
      </c>
      <c r="I120" s="72"/>
      <c r="J120" s="72"/>
      <c r="K120" s="70"/>
      <c r="L120" s="70">
        <v>1.7</v>
      </c>
      <c r="M120" s="70" t="s">
        <v>39</v>
      </c>
      <c r="N120" s="70" t="s">
        <v>38</v>
      </c>
      <c r="O120" s="70" t="s">
        <v>154</v>
      </c>
      <c r="P120" s="70" t="s">
        <v>40</v>
      </c>
      <c r="Q120" s="70" t="s">
        <v>183</v>
      </c>
      <c r="R120" s="77">
        <v>60.45</v>
      </c>
      <c r="S120" s="77">
        <v>0.0</v>
      </c>
      <c r="T120" s="70"/>
      <c r="U120" s="70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</row>
    <row r="121" ht="15.75" customHeight="1">
      <c r="A121" s="55"/>
      <c r="B121" s="75">
        <v>42920.0</v>
      </c>
      <c r="C121" s="70" t="s">
        <v>35</v>
      </c>
      <c r="D121" s="70" t="s">
        <v>26</v>
      </c>
      <c r="E121" s="70" t="s">
        <v>29</v>
      </c>
      <c r="F121" s="70" t="s">
        <v>182</v>
      </c>
      <c r="G121" s="79">
        <v>0.0</v>
      </c>
      <c r="H121" s="77">
        <v>35.56</v>
      </c>
      <c r="I121" s="72"/>
      <c r="J121" s="72"/>
      <c r="K121" s="70"/>
      <c r="L121" s="70">
        <v>1.7</v>
      </c>
      <c r="M121" s="70" t="s">
        <v>39</v>
      </c>
      <c r="N121" s="70" t="s">
        <v>41</v>
      </c>
      <c r="O121" s="70" t="s">
        <v>154</v>
      </c>
      <c r="P121" s="70" t="s">
        <v>40</v>
      </c>
      <c r="Q121" s="70" t="s">
        <v>183</v>
      </c>
      <c r="R121" s="77">
        <v>0.0</v>
      </c>
      <c r="S121" s="77">
        <v>60.45</v>
      </c>
      <c r="T121" s="70"/>
      <c r="U121" s="70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</row>
    <row r="122" ht="15.75" customHeight="1">
      <c r="A122" s="55"/>
      <c r="B122" s="75">
        <v>42920.0</v>
      </c>
      <c r="C122" s="70" t="s">
        <v>35</v>
      </c>
      <c r="D122" s="70" t="s">
        <v>26</v>
      </c>
      <c r="E122" s="70" t="s">
        <v>29</v>
      </c>
      <c r="F122" s="70" t="s">
        <v>37</v>
      </c>
      <c r="G122" s="77">
        <v>408.29</v>
      </c>
      <c r="H122" s="78">
        <v>0.0</v>
      </c>
      <c r="I122" s="72"/>
      <c r="J122" s="72"/>
      <c r="K122" s="70"/>
      <c r="L122" s="70">
        <v>0.7896</v>
      </c>
      <c r="M122" s="70" t="s">
        <v>39</v>
      </c>
      <c r="N122" s="70" t="s">
        <v>38</v>
      </c>
      <c r="O122" s="70" t="s">
        <v>154</v>
      </c>
      <c r="P122" s="70" t="s">
        <v>40</v>
      </c>
      <c r="Q122" s="70" t="s">
        <v>184</v>
      </c>
      <c r="R122" s="77">
        <v>322.39</v>
      </c>
      <c r="S122" s="77">
        <v>0.0</v>
      </c>
      <c r="T122" s="70"/>
      <c r="U122" s="70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</row>
    <row r="123" ht="15.75" customHeight="1">
      <c r="A123" s="55"/>
      <c r="B123" s="75">
        <v>42920.0</v>
      </c>
      <c r="C123" s="70" t="s">
        <v>35</v>
      </c>
      <c r="D123" s="70" t="s">
        <v>26</v>
      </c>
      <c r="E123" s="70" t="s">
        <v>29</v>
      </c>
      <c r="F123" s="70" t="s">
        <v>182</v>
      </c>
      <c r="G123" s="79">
        <v>0.0</v>
      </c>
      <c r="H123" s="77">
        <v>408.29</v>
      </c>
      <c r="I123" s="72"/>
      <c r="J123" s="72"/>
      <c r="K123" s="70"/>
      <c r="L123" s="70">
        <v>0.7896</v>
      </c>
      <c r="M123" s="70" t="s">
        <v>39</v>
      </c>
      <c r="N123" s="70" t="s">
        <v>41</v>
      </c>
      <c r="O123" s="70" t="s">
        <v>154</v>
      </c>
      <c r="P123" s="70" t="s">
        <v>40</v>
      </c>
      <c r="Q123" s="70" t="s">
        <v>184</v>
      </c>
      <c r="R123" s="77">
        <v>0.0</v>
      </c>
      <c r="S123" s="77">
        <v>322.39</v>
      </c>
      <c r="T123" s="70"/>
      <c r="U123" s="70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</row>
    <row r="124" ht="15.75" customHeight="1">
      <c r="A124" s="55"/>
      <c r="B124" s="75">
        <v>42920.0</v>
      </c>
      <c r="C124" s="70" t="s">
        <v>35</v>
      </c>
      <c r="D124" s="70" t="s">
        <v>26</v>
      </c>
      <c r="E124" s="70" t="s">
        <v>29</v>
      </c>
      <c r="F124" s="70" t="s">
        <v>182</v>
      </c>
      <c r="G124" s="77">
        <v>35.56</v>
      </c>
      <c r="H124" s="78">
        <v>0.0</v>
      </c>
      <c r="I124" s="72"/>
      <c r="J124" s="72"/>
      <c r="K124" s="70"/>
      <c r="L124" s="70">
        <v>0.7896</v>
      </c>
      <c r="M124" s="70" t="s">
        <v>39</v>
      </c>
      <c r="N124" s="70" t="s">
        <v>38</v>
      </c>
      <c r="O124" s="70" t="s">
        <v>154</v>
      </c>
      <c r="P124" s="70" t="s">
        <v>40</v>
      </c>
      <c r="Q124" s="70" t="s">
        <v>187</v>
      </c>
      <c r="R124" s="77">
        <v>28.08</v>
      </c>
      <c r="S124" s="77">
        <v>0.0</v>
      </c>
      <c r="T124" s="70"/>
      <c r="U124" s="70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</row>
    <row r="125" ht="15.75" customHeight="1">
      <c r="A125" s="55"/>
      <c r="B125" s="75">
        <v>42920.0</v>
      </c>
      <c r="C125" s="70" t="s">
        <v>35</v>
      </c>
      <c r="D125" s="70" t="s">
        <v>26</v>
      </c>
      <c r="E125" s="70" t="s">
        <v>29</v>
      </c>
      <c r="F125" s="70" t="s">
        <v>37</v>
      </c>
      <c r="G125" s="79">
        <v>0.0</v>
      </c>
      <c r="H125" s="77">
        <v>35.56</v>
      </c>
      <c r="I125" s="72"/>
      <c r="J125" s="72"/>
      <c r="K125" s="70"/>
      <c r="L125" s="70">
        <v>0.7896</v>
      </c>
      <c r="M125" s="70" t="s">
        <v>39</v>
      </c>
      <c r="N125" s="70" t="s">
        <v>41</v>
      </c>
      <c r="O125" s="70" t="s">
        <v>154</v>
      </c>
      <c r="P125" s="70" t="s">
        <v>40</v>
      </c>
      <c r="Q125" s="70" t="s">
        <v>187</v>
      </c>
      <c r="R125" s="77">
        <v>0.0</v>
      </c>
      <c r="S125" s="77">
        <v>28.08</v>
      </c>
      <c r="T125" s="70"/>
      <c r="U125" s="70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</row>
    <row r="126" ht="15.75" customHeight="1">
      <c r="A126" s="55"/>
      <c r="B126" s="75">
        <v>42920.0</v>
      </c>
      <c r="C126" s="70" t="s">
        <v>35</v>
      </c>
      <c r="D126" s="70" t="s">
        <v>26</v>
      </c>
      <c r="E126" s="70" t="s">
        <v>29</v>
      </c>
      <c r="F126" s="70" t="s">
        <v>188</v>
      </c>
      <c r="G126" s="77">
        <v>35.56</v>
      </c>
      <c r="H126" s="78">
        <v>0.0</v>
      </c>
      <c r="I126" s="72"/>
      <c r="J126" s="72"/>
      <c r="K126" s="70"/>
      <c r="L126" s="70">
        <v>1.7</v>
      </c>
      <c r="M126" s="70" t="s">
        <v>39</v>
      </c>
      <c r="N126" s="70" t="s">
        <v>38</v>
      </c>
      <c r="O126" s="70" t="s">
        <v>154</v>
      </c>
      <c r="P126" s="70" t="s">
        <v>40</v>
      </c>
      <c r="Q126" s="70" t="s">
        <v>162</v>
      </c>
      <c r="R126" s="77">
        <v>60.45</v>
      </c>
      <c r="S126" s="77">
        <v>0.0</v>
      </c>
      <c r="T126" s="70"/>
      <c r="U126" s="70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</row>
    <row r="127" ht="15.75" customHeight="1">
      <c r="A127" s="55"/>
      <c r="B127" s="75">
        <v>42920.0</v>
      </c>
      <c r="C127" s="70" t="s">
        <v>35</v>
      </c>
      <c r="D127" s="70" t="s">
        <v>26</v>
      </c>
      <c r="E127" s="70" t="s">
        <v>29</v>
      </c>
      <c r="F127" s="70" t="s">
        <v>90</v>
      </c>
      <c r="G127" s="79">
        <v>0.0</v>
      </c>
      <c r="H127" s="77">
        <v>35.56</v>
      </c>
      <c r="I127" s="72"/>
      <c r="J127" s="72"/>
      <c r="K127" s="70"/>
      <c r="L127" s="70">
        <v>1.7</v>
      </c>
      <c r="M127" s="70" t="s">
        <v>39</v>
      </c>
      <c r="N127" s="70" t="s">
        <v>41</v>
      </c>
      <c r="O127" s="70" t="s">
        <v>154</v>
      </c>
      <c r="P127" s="70" t="s">
        <v>40</v>
      </c>
      <c r="Q127" s="70" t="s">
        <v>162</v>
      </c>
      <c r="R127" s="77">
        <v>0.0</v>
      </c>
      <c r="S127" s="77">
        <v>60.45</v>
      </c>
      <c r="T127" s="70"/>
      <c r="U127" s="70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</row>
    <row r="128" ht="15.75" customHeight="1">
      <c r="A128" s="55"/>
      <c r="B128" s="75">
        <v>42920.0</v>
      </c>
      <c r="C128" s="70" t="s">
        <v>35</v>
      </c>
      <c r="D128" s="70" t="s">
        <v>26</v>
      </c>
      <c r="E128" s="70" t="s">
        <v>29</v>
      </c>
      <c r="F128" s="70" t="s">
        <v>90</v>
      </c>
      <c r="G128" s="77">
        <v>35.56</v>
      </c>
      <c r="H128" s="78">
        <v>0.0</v>
      </c>
      <c r="I128" s="72"/>
      <c r="J128" s="72"/>
      <c r="K128" s="70"/>
      <c r="L128" s="70">
        <v>0.7896</v>
      </c>
      <c r="M128" s="70" t="s">
        <v>39</v>
      </c>
      <c r="N128" s="70" t="s">
        <v>38</v>
      </c>
      <c r="O128" s="70" t="s">
        <v>154</v>
      </c>
      <c r="P128" s="70" t="s">
        <v>40</v>
      </c>
      <c r="Q128" s="70" t="s">
        <v>163</v>
      </c>
      <c r="R128" s="77">
        <v>28.08</v>
      </c>
      <c r="S128" s="77">
        <v>0.0</v>
      </c>
      <c r="T128" s="70"/>
      <c r="U128" s="70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</row>
    <row r="129" ht="15.75" customHeight="1">
      <c r="A129" s="55"/>
      <c r="B129" s="75">
        <v>42920.0</v>
      </c>
      <c r="C129" s="70" t="s">
        <v>35</v>
      </c>
      <c r="D129" s="70" t="s">
        <v>26</v>
      </c>
      <c r="E129" s="70" t="s">
        <v>29</v>
      </c>
      <c r="F129" s="70" t="s">
        <v>188</v>
      </c>
      <c r="G129" s="79">
        <v>0.0</v>
      </c>
      <c r="H129" s="77">
        <v>35.56</v>
      </c>
      <c r="I129" s="72"/>
      <c r="J129" s="72"/>
      <c r="K129" s="70"/>
      <c r="L129" s="70">
        <v>0.7896</v>
      </c>
      <c r="M129" s="70" t="s">
        <v>39</v>
      </c>
      <c r="N129" s="70" t="s">
        <v>41</v>
      </c>
      <c r="O129" s="70" t="s">
        <v>154</v>
      </c>
      <c r="P129" s="70" t="s">
        <v>40</v>
      </c>
      <c r="Q129" s="70" t="s">
        <v>163</v>
      </c>
      <c r="R129" s="77">
        <v>0.0</v>
      </c>
      <c r="S129" s="77">
        <v>28.08</v>
      </c>
      <c r="T129" s="70"/>
      <c r="U129" s="70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</row>
    <row r="130" ht="15.75" customHeight="1">
      <c r="A130" s="55"/>
      <c r="B130" s="75">
        <v>42921.0</v>
      </c>
      <c r="C130" s="70" t="s">
        <v>35</v>
      </c>
      <c r="D130" s="70" t="s">
        <v>29</v>
      </c>
      <c r="E130" s="70" t="s">
        <v>29</v>
      </c>
      <c r="F130" s="70" t="s">
        <v>37</v>
      </c>
      <c r="G130" s="77">
        <v>13917.65</v>
      </c>
      <c r="H130" s="78">
        <v>0.0</v>
      </c>
      <c r="I130" s="72"/>
      <c r="J130" s="72"/>
      <c r="K130" s="70"/>
      <c r="L130" s="70">
        <v>0.0</v>
      </c>
      <c r="M130" s="70" t="s">
        <v>39</v>
      </c>
      <c r="N130" s="70" t="s">
        <v>38</v>
      </c>
      <c r="O130" s="70" t="s">
        <v>154</v>
      </c>
      <c r="P130" s="70" t="s">
        <v>40</v>
      </c>
      <c r="Q130" s="70" t="s">
        <v>185</v>
      </c>
      <c r="R130" s="77">
        <v>0.0</v>
      </c>
      <c r="S130" s="77">
        <v>0.0</v>
      </c>
      <c r="T130" s="70"/>
      <c r="U130" s="70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</row>
    <row r="131" ht="15.75" customHeight="1">
      <c r="A131" s="55"/>
      <c r="B131" s="75">
        <v>42921.0</v>
      </c>
      <c r="C131" s="70" t="s">
        <v>35</v>
      </c>
      <c r="D131" s="70" t="s">
        <v>29</v>
      </c>
      <c r="E131" s="70" t="s">
        <v>29</v>
      </c>
      <c r="F131" s="70" t="s">
        <v>182</v>
      </c>
      <c r="G131" s="79">
        <v>0.0</v>
      </c>
      <c r="H131" s="77">
        <v>13917.65</v>
      </c>
      <c r="I131" s="72"/>
      <c r="J131" s="72"/>
      <c r="K131" s="70"/>
      <c r="L131" s="70">
        <v>0.0</v>
      </c>
      <c r="M131" s="70" t="s">
        <v>39</v>
      </c>
      <c r="N131" s="70" t="s">
        <v>41</v>
      </c>
      <c r="O131" s="70" t="s">
        <v>154</v>
      </c>
      <c r="P131" s="70" t="s">
        <v>40</v>
      </c>
      <c r="Q131" s="70" t="s">
        <v>185</v>
      </c>
      <c r="R131" s="77">
        <v>0.0</v>
      </c>
      <c r="S131" s="77">
        <v>0.0</v>
      </c>
      <c r="T131" s="70"/>
      <c r="U131" s="70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</row>
    <row r="132" ht="15.75" customHeight="1">
      <c r="A132" s="55"/>
      <c r="B132" s="75">
        <v>42921.0</v>
      </c>
      <c r="C132" s="70" t="s">
        <v>35</v>
      </c>
      <c r="D132" s="70" t="s">
        <v>29</v>
      </c>
      <c r="E132" s="70" t="s">
        <v>29</v>
      </c>
      <c r="F132" s="70" t="s">
        <v>182</v>
      </c>
      <c r="G132" s="77">
        <v>13917.65</v>
      </c>
      <c r="H132" s="78">
        <v>0.0</v>
      </c>
      <c r="I132" s="72"/>
      <c r="J132" s="72"/>
      <c r="K132" s="70"/>
      <c r="L132" s="70">
        <v>0.7896</v>
      </c>
      <c r="M132" s="70" t="s">
        <v>39</v>
      </c>
      <c r="N132" s="70" t="s">
        <v>38</v>
      </c>
      <c r="O132" s="70" t="s">
        <v>154</v>
      </c>
      <c r="P132" s="70" t="s">
        <v>40</v>
      </c>
      <c r="Q132" s="70" t="s">
        <v>186</v>
      </c>
      <c r="R132" s="77">
        <v>10989.38</v>
      </c>
      <c r="S132" s="77">
        <v>0.0</v>
      </c>
      <c r="T132" s="70"/>
      <c r="U132" s="70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</row>
    <row r="133" ht="15.75" customHeight="1">
      <c r="A133" s="55"/>
      <c r="B133" s="75">
        <v>42921.0</v>
      </c>
      <c r="C133" s="70" t="s">
        <v>35</v>
      </c>
      <c r="D133" s="70" t="s">
        <v>29</v>
      </c>
      <c r="E133" s="70" t="s">
        <v>29</v>
      </c>
      <c r="F133" s="70" t="s">
        <v>37</v>
      </c>
      <c r="G133" s="79">
        <v>0.0</v>
      </c>
      <c r="H133" s="77">
        <v>13917.65</v>
      </c>
      <c r="I133" s="72"/>
      <c r="J133" s="72"/>
      <c r="K133" s="70"/>
      <c r="L133" s="70">
        <v>0.7896</v>
      </c>
      <c r="M133" s="70" t="s">
        <v>39</v>
      </c>
      <c r="N133" s="70" t="s">
        <v>41</v>
      </c>
      <c r="O133" s="70" t="s">
        <v>154</v>
      </c>
      <c r="P133" s="70" t="s">
        <v>40</v>
      </c>
      <c r="Q133" s="70" t="s">
        <v>186</v>
      </c>
      <c r="R133" s="77">
        <v>0.0</v>
      </c>
      <c r="S133" s="77">
        <v>10989.38</v>
      </c>
      <c r="T133" s="70"/>
      <c r="U133" s="70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</row>
    <row r="134" ht="15.75" customHeight="1">
      <c r="A134" s="55"/>
      <c r="B134" s="75">
        <v>42921.0</v>
      </c>
      <c r="C134" s="70" t="s">
        <v>35</v>
      </c>
      <c r="D134" s="70" t="s">
        <v>29</v>
      </c>
      <c r="E134" s="70" t="s">
        <v>29</v>
      </c>
      <c r="F134" s="70" t="s">
        <v>90</v>
      </c>
      <c r="G134" s="77">
        <v>35.56</v>
      </c>
      <c r="H134" s="78">
        <v>0.0</v>
      </c>
      <c r="I134" s="72"/>
      <c r="J134" s="72"/>
      <c r="K134" s="70"/>
      <c r="L134" s="70">
        <v>0.0</v>
      </c>
      <c r="M134" s="70" t="s">
        <v>39</v>
      </c>
      <c r="N134" s="70" t="s">
        <v>38</v>
      </c>
      <c r="O134" s="70" t="s">
        <v>154</v>
      </c>
      <c r="P134" s="70" t="s">
        <v>40</v>
      </c>
      <c r="Q134" s="70" t="s">
        <v>166</v>
      </c>
      <c r="R134" s="77">
        <v>0.0</v>
      </c>
      <c r="S134" s="77">
        <v>0.0</v>
      </c>
      <c r="T134" s="70"/>
      <c r="U134" s="70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</row>
    <row r="135" ht="15.75" customHeight="1">
      <c r="A135" s="55"/>
      <c r="B135" s="75">
        <v>42921.0</v>
      </c>
      <c r="C135" s="70" t="s">
        <v>35</v>
      </c>
      <c r="D135" s="70" t="s">
        <v>29</v>
      </c>
      <c r="E135" s="70" t="s">
        <v>29</v>
      </c>
      <c r="F135" s="70" t="s">
        <v>188</v>
      </c>
      <c r="G135" s="79">
        <v>0.0</v>
      </c>
      <c r="H135" s="77">
        <v>35.56</v>
      </c>
      <c r="I135" s="72"/>
      <c r="J135" s="72"/>
      <c r="K135" s="70"/>
      <c r="L135" s="70">
        <v>0.0</v>
      </c>
      <c r="M135" s="70" t="s">
        <v>39</v>
      </c>
      <c r="N135" s="70" t="s">
        <v>41</v>
      </c>
      <c r="O135" s="70" t="s">
        <v>154</v>
      </c>
      <c r="P135" s="70" t="s">
        <v>40</v>
      </c>
      <c r="Q135" s="70" t="s">
        <v>166</v>
      </c>
      <c r="R135" s="77">
        <v>0.0</v>
      </c>
      <c r="S135" s="77">
        <v>0.0</v>
      </c>
      <c r="T135" s="70"/>
      <c r="U135" s="70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</row>
    <row r="136" ht="15.75" customHeight="1">
      <c r="A136" s="55"/>
      <c r="B136" s="75">
        <v>42921.0</v>
      </c>
      <c r="C136" s="70" t="s">
        <v>35</v>
      </c>
      <c r="D136" s="70" t="s">
        <v>29</v>
      </c>
      <c r="E136" s="70" t="s">
        <v>29</v>
      </c>
      <c r="F136" s="70" t="s">
        <v>89</v>
      </c>
      <c r="G136" s="77">
        <v>70.55</v>
      </c>
      <c r="H136" s="78">
        <v>0.0</v>
      </c>
      <c r="I136" s="72"/>
      <c r="J136" s="72"/>
      <c r="K136" s="70"/>
      <c r="L136" s="70">
        <v>0.0</v>
      </c>
      <c r="M136" s="70" t="s">
        <v>39</v>
      </c>
      <c r="N136" s="70" t="s">
        <v>38</v>
      </c>
      <c r="O136" s="70" t="s">
        <v>154</v>
      </c>
      <c r="P136" s="70" t="s">
        <v>40</v>
      </c>
      <c r="Q136" s="70" t="s">
        <v>166</v>
      </c>
      <c r="R136" s="77">
        <v>0.0</v>
      </c>
      <c r="S136" s="77">
        <v>0.0</v>
      </c>
      <c r="T136" s="70"/>
      <c r="U136" s="70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</row>
    <row r="137" ht="15.75" customHeight="1">
      <c r="A137" s="55"/>
      <c r="B137" s="75">
        <v>42921.0</v>
      </c>
      <c r="C137" s="70" t="s">
        <v>35</v>
      </c>
      <c r="D137" s="70" t="s">
        <v>29</v>
      </c>
      <c r="E137" s="70" t="s">
        <v>29</v>
      </c>
      <c r="F137" s="70" t="s">
        <v>188</v>
      </c>
      <c r="G137" s="79">
        <v>0.0</v>
      </c>
      <c r="H137" s="77">
        <v>70.55</v>
      </c>
      <c r="I137" s="72"/>
      <c r="J137" s="72"/>
      <c r="K137" s="70"/>
      <c r="L137" s="70">
        <v>0.0</v>
      </c>
      <c r="M137" s="70" t="s">
        <v>39</v>
      </c>
      <c r="N137" s="70" t="s">
        <v>41</v>
      </c>
      <c r="O137" s="70" t="s">
        <v>154</v>
      </c>
      <c r="P137" s="70" t="s">
        <v>40</v>
      </c>
      <c r="Q137" s="70" t="s">
        <v>166</v>
      </c>
      <c r="R137" s="77">
        <v>0.0</v>
      </c>
      <c r="S137" s="77">
        <v>0.0</v>
      </c>
      <c r="T137" s="70"/>
      <c r="U137" s="70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</row>
    <row r="138" ht="15.75" customHeight="1">
      <c r="A138" s="55"/>
      <c r="B138" s="75">
        <v>42921.0</v>
      </c>
      <c r="C138" s="70" t="s">
        <v>35</v>
      </c>
      <c r="D138" s="70" t="s">
        <v>29</v>
      </c>
      <c r="E138" s="70" t="s">
        <v>29</v>
      </c>
      <c r="F138" s="70" t="s">
        <v>188</v>
      </c>
      <c r="G138" s="77">
        <v>35.56</v>
      </c>
      <c r="H138" s="78">
        <v>0.0</v>
      </c>
      <c r="I138" s="72"/>
      <c r="J138" s="72"/>
      <c r="K138" s="70"/>
      <c r="L138" s="70">
        <v>0.7896</v>
      </c>
      <c r="M138" s="70" t="s">
        <v>39</v>
      </c>
      <c r="N138" s="70" t="s">
        <v>38</v>
      </c>
      <c r="O138" s="70" t="s">
        <v>154</v>
      </c>
      <c r="P138" s="70" t="s">
        <v>40</v>
      </c>
      <c r="Q138" s="70" t="s">
        <v>167</v>
      </c>
      <c r="R138" s="77">
        <v>28.08</v>
      </c>
      <c r="S138" s="77">
        <v>0.0</v>
      </c>
      <c r="T138" s="70"/>
      <c r="U138" s="70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</row>
    <row r="139" ht="15.75" customHeight="1">
      <c r="A139" s="55"/>
      <c r="B139" s="75">
        <v>42921.0</v>
      </c>
      <c r="C139" s="70" t="s">
        <v>35</v>
      </c>
      <c r="D139" s="70" t="s">
        <v>29</v>
      </c>
      <c r="E139" s="70" t="s">
        <v>29</v>
      </c>
      <c r="F139" s="70" t="s">
        <v>90</v>
      </c>
      <c r="G139" s="79">
        <v>0.0</v>
      </c>
      <c r="H139" s="77">
        <v>35.56</v>
      </c>
      <c r="I139" s="72"/>
      <c r="J139" s="72"/>
      <c r="K139" s="70"/>
      <c r="L139" s="70">
        <v>0.7896</v>
      </c>
      <c r="M139" s="70" t="s">
        <v>39</v>
      </c>
      <c r="N139" s="70" t="s">
        <v>41</v>
      </c>
      <c r="O139" s="70" t="s">
        <v>154</v>
      </c>
      <c r="P139" s="70" t="s">
        <v>40</v>
      </c>
      <c r="Q139" s="70" t="s">
        <v>167</v>
      </c>
      <c r="R139" s="77">
        <v>0.0</v>
      </c>
      <c r="S139" s="77">
        <v>28.08</v>
      </c>
      <c r="T139" s="70"/>
      <c r="U139" s="70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</row>
    <row r="140" ht="15.75" customHeight="1">
      <c r="A140" s="55"/>
      <c r="B140" s="75">
        <v>42921.0</v>
      </c>
      <c r="C140" s="70" t="s">
        <v>35</v>
      </c>
      <c r="D140" s="70" t="s">
        <v>29</v>
      </c>
      <c r="E140" s="70" t="s">
        <v>29</v>
      </c>
      <c r="F140" s="70" t="s">
        <v>188</v>
      </c>
      <c r="G140" s="77">
        <v>70.55</v>
      </c>
      <c r="H140" s="78">
        <v>0.0</v>
      </c>
      <c r="I140" s="72"/>
      <c r="J140" s="72"/>
      <c r="K140" s="70"/>
      <c r="L140" s="70">
        <v>0.7896</v>
      </c>
      <c r="M140" s="70" t="s">
        <v>39</v>
      </c>
      <c r="N140" s="70" t="s">
        <v>38</v>
      </c>
      <c r="O140" s="70" t="s">
        <v>154</v>
      </c>
      <c r="P140" s="70" t="s">
        <v>40</v>
      </c>
      <c r="Q140" s="70" t="s">
        <v>167</v>
      </c>
      <c r="R140" s="77">
        <v>55.71</v>
      </c>
      <c r="S140" s="77">
        <v>0.0</v>
      </c>
      <c r="T140" s="70"/>
      <c r="U140" s="70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</row>
    <row r="141" ht="15.75" customHeight="1">
      <c r="A141" s="55"/>
      <c r="B141" s="75">
        <v>42921.0</v>
      </c>
      <c r="C141" s="70" t="s">
        <v>35</v>
      </c>
      <c r="D141" s="70" t="s">
        <v>29</v>
      </c>
      <c r="E141" s="70" t="s">
        <v>29</v>
      </c>
      <c r="F141" s="70" t="s">
        <v>89</v>
      </c>
      <c r="G141" s="79">
        <v>0.0</v>
      </c>
      <c r="H141" s="77">
        <v>70.55</v>
      </c>
      <c r="I141" s="72"/>
      <c r="J141" s="72"/>
      <c r="K141" s="70"/>
      <c r="L141" s="70">
        <v>0.7896</v>
      </c>
      <c r="M141" s="70" t="s">
        <v>39</v>
      </c>
      <c r="N141" s="70" t="s">
        <v>41</v>
      </c>
      <c r="O141" s="70" t="s">
        <v>154</v>
      </c>
      <c r="P141" s="70" t="s">
        <v>40</v>
      </c>
      <c r="Q141" s="70" t="s">
        <v>167</v>
      </c>
      <c r="R141" s="77">
        <v>0.0</v>
      </c>
      <c r="S141" s="77">
        <v>55.71</v>
      </c>
      <c r="T141" s="70"/>
      <c r="U141" s="70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</row>
    <row r="142" ht="15.75" customHeight="1">
      <c r="A142" s="55"/>
      <c r="B142" s="73"/>
      <c r="C142" s="70"/>
      <c r="D142" s="70"/>
      <c r="E142" s="70"/>
      <c r="F142" s="70"/>
      <c r="G142" s="77"/>
      <c r="H142" s="78"/>
      <c r="I142" s="72"/>
      <c r="J142" s="72"/>
      <c r="K142" s="70"/>
      <c r="L142" s="70"/>
      <c r="M142" s="70"/>
      <c r="N142" s="70"/>
      <c r="O142" s="70"/>
      <c r="P142" s="70"/>
      <c r="Q142" s="70"/>
      <c r="R142" s="77"/>
      <c r="S142" s="77"/>
      <c r="T142" s="70"/>
      <c r="U142" s="70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</row>
    <row r="143" ht="15.75" customHeight="1">
      <c r="A143" s="55"/>
      <c r="B143" s="73"/>
      <c r="C143" s="70"/>
      <c r="D143" s="70"/>
      <c r="E143" s="70"/>
      <c r="F143" s="70"/>
      <c r="G143" s="79"/>
      <c r="H143" s="77"/>
      <c r="I143" s="72"/>
      <c r="J143" s="72"/>
      <c r="K143" s="70"/>
      <c r="L143" s="70"/>
      <c r="M143" s="70"/>
      <c r="N143" s="70"/>
      <c r="O143" s="70"/>
      <c r="P143" s="70"/>
      <c r="Q143" s="70"/>
      <c r="R143" s="77"/>
      <c r="S143" s="77"/>
      <c r="T143" s="70"/>
      <c r="U143" s="70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</row>
    <row r="144" ht="15.75" customHeight="1">
      <c r="A144" s="55"/>
      <c r="B144" s="73"/>
      <c r="C144" s="70"/>
      <c r="D144" s="70"/>
      <c r="E144" s="70"/>
      <c r="F144" s="70"/>
      <c r="G144" s="77"/>
      <c r="H144" s="77"/>
      <c r="I144" s="72"/>
      <c r="J144" s="72"/>
      <c r="K144" s="70"/>
      <c r="L144" s="70"/>
      <c r="M144" s="70"/>
      <c r="N144" s="70"/>
      <c r="O144" s="70"/>
      <c r="P144" s="70"/>
      <c r="Q144" s="70"/>
      <c r="R144" s="77"/>
      <c r="S144" s="77"/>
      <c r="T144" s="70"/>
      <c r="U144" s="70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</row>
    <row r="145" ht="15.75" customHeight="1">
      <c r="A145" s="55"/>
      <c r="B145" s="73"/>
      <c r="C145" s="70"/>
      <c r="D145" s="70"/>
      <c r="E145" s="70"/>
      <c r="F145" s="70"/>
      <c r="G145" s="79"/>
      <c r="H145" s="77"/>
      <c r="I145" s="72"/>
      <c r="J145" s="72"/>
      <c r="K145" s="70"/>
      <c r="L145" s="70"/>
      <c r="M145" s="70"/>
      <c r="N145" s="70"/>
      <c r="O145" s="70"/>
      <c r="P145" s="70"/>
      <c r="Q145" s="70"/>
      <c r="R145" s="77"/>
      <c r="S145" s="77"/>
      <c r="T145" s="70"/>
      <c r="U145" s="70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