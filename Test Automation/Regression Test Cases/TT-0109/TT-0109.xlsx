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SelectTradeUsingMTT" sheetId="6" r:id="rId8"/>
    <sheet state="visible" name="EditTradeUsingMTT" sheetId="7" r:id="rId9"/>
    <sheet state="visible" name="DoneAwayUsingMTT" sheetId="8" r:id="rId10"/>
    <sheet state="visible" name="VerifyOrder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<sst xmlns="http://schemas.openxmlformats.org/spreadsheetml/2006/main" count="621" uniqueCount="75">
  <si>
    <t>Modules Info</t>
  </si>
  <si>
    <t>Modules</t>
  </si>
  <si>
    <t>Settings</t>
  </si>
  <si>
    <t>Module Step Setting File</t>
  </si>
  <si>
    <t>1rVyxvRBVkfAUUEv3QPVVeXMz3F0nVqXIFuJne5NE3xE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</si>
  <si>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</si>
  <si>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</si>
  <si>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</si>
  <si>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</si>
  <si>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</si>
  <si>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</si>
  <si>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</si>
  <si>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</si>
  <si>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</si>
  <si>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</si>
  <si>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</si>
  <si>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</si>
  <si>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</si>
  <si>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</si>
  <si>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MSFT</t>
  </si>
  <si>
    <t>Allocation2</t>
  </si>
  <si>
    <t>GOOG</t>
  </si>
  <si>
    <t>Allocation3</t>
  </si>
  <si>
    <t>Sell</t>
  </si>
  <si>
    <t>Blotter</t>
  </si>
  <si>
    <t>MultiTradingTicketFromBlotter</t>
  </si>
  <si>
    <t>AAPL US EQUITY</t>
  </si>
  <si>
    <t>Equity</t>
  </si>
  <si>
    <t>New</t>
  </si>
  <si>
    <t>MSFT US EQUITY</t>
  </si>
  <si>
    <t>GOOG US EQUITY</t>
  </si>
  <si>
    <t>MultiTradingTicket</t>
  </si>
  <si>
    <t>SelectTradeUsingMTT</t>
  </si>
  <si>
    <t>MS</t>
  </si>
  <si>
    <t>EditTradeUsingMTT</t>
  </si>
  <si>
    <t>DoneAwayUsingMTT</t>
  </si>
  <si>
    <t>VerifyOrder</t>
  </si>
  <si>
    <t>NASDAQ</t>
  </si>
  <si>
    <t>jpearce</t>
  </si>
  <si>
    <t>US</t>
  </si>
  <si>
    <t>GCCAP1</t>
  </si>
  <si>
    <t>USD</t>
  </si>
  <si>
    <t>NewMF</t>
  </si>
  <si>
    <t>M</t>
  </si>
  <si>
    <t>Filled</t>
  </si>
  <si>
    <t>Market</t>
  </si>
  <si>
    <t>Manual</t>
  </si>
  <si>
    <t>NewMF1</t>
  </si>
  <si>
    <t>Allocation</t>
  </si>
  <si>
    <t>GetDataAllocation</t>
  </si>
  <si>
    <t>Current</t>
  </si>
  <si>
    <t>CheckAllocatedGroups</t>
  </si>
  <si>
    <t>Open</t>
  </si>
  <si>
    <t>None</t>
  </si>
  <si>
    <t>Strategy Unallocated</t>
  </si>
  <si>
    <t>NONE</t>
  </si>
  <si>
    <t>PortfolioManagement</t>
  </si>
  <si>
    <t>CheckPortfolioManagement</t>
  </si>
  <si>
    <t>Short</t>
  </si>
  <si>
    <t>FIMAT</t>
  </si>
  <si>
    <t>Long</t>
  </si>
  <si>
    <t>New Hedge</t>
  </si>
  <si>
    <t>Small Cap</t>
  </si>
  <si>
    <t>Undefined</t>
  </si>
  <si>
    <t>Default</t>
  </si>
  <si>
    <t>test1</t>
  </si>
  <si>
    <t>india</t>
  </si>
  <si>
    <t>test 1</t>
  </si>
  <si>
    <t>APPLE</t>
  </si>
  <si>
    <t>Yes</t>
  </si>
  <si>
    <t>Equity General</t>
  </si>
  <si>
    <t>Information Technology</t>
  </si>
  <si>
    <t>Copper</t>
  </si>
  <si>
    <t>UNITED STATES</t>
  </si>
  <si>
    <t>MSFT UDA1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</si>
</sst>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"/>
    <numFmt numFmtId="165" formatCode="m/d/yyyy h:mm:ss am/pm"/>
    <numFmt numFmtId="166" formatCode="m/d/yyyy"/>
    <numFmt numFmtId="167" formatCode="yyyy-mm-dd"/>
  </numFmts>
  <fonts count="21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  <font>
      <sz val="9.0"/>
      <color rgb="FF00BFFF"/>
      <name val="&quot;Segoe UI&quot;"/>
    </font>
    <font>
      <sz val="9.0"/>
      <color rgb="FF00BFFF"/>
      <name val="Verdana"/>
    </font>
    <font>
      <sz val="9.0"/>
      <color rgb="FF00BFFF"/>
      <name val="Arial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6" fontId="13" numFmtId="0" xfId="0" applyAlignment="1" applyFill="1" applyFont="1">
      <alignment horizontal="left" readingOrder="0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7" fontId="14" numFmtId="0" xfId="0" applyAlignment="1" applyFill="1" applyFont="1">
      <alignment horizontal="right" readingOrder="0" shrinkToFit="0" vertical="top" wrapText="0"/>
    </xf>
    <xf borderId="0" fillId="7" fontId="15" numFmtId="0" xfId="0" applyAlignment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4" numFmtId="164" xfId="0" applyAlignment="1" applyFont="1" applyNumberFormat="1">
      <alignment horizontal="right" readingOrder="0" shrinkToFit="0" vertical="top" wrapText="0"/>
    </xf>
    <xf borderId="0" fillId="7" fontId="14" numFmtId="0" xfId="0" applyAlignment="1" applyFont="1">
      <alignment horizontal="right" shrinkToFit="0" vertical="top" wrapText="0"/>
    </xf>
    <xf borderId="0" fillId="8" fontId="14" numFmtId="0" xfId="0" applyAlignment="1" applyFill="1" applyFont="1">
      <alignment horizontal="right" readingOrder="0" shrinkToFit="0" vertical="top" wrapText="0"/>
    </xf>
    <xf borderId="0" fillId="8" fontId="15" numFmtId="0" xfId="0" applyAlignment="1" applyFont="1">
      <alignment horizontal="right" readingOrder="0" shrinkToFit="0" vertical="top" wrapText="0"/>
    </xf>
    <xf borderId="0" fillId="8" fontId="16" numFmtId="0" xfId="0" applyAlignment="1" applyFont="1">
      <alignment horizontal="right" readingOrder="0" shrinkToFit="0" vertical="top" wrapText="0"/>
    </xf>
    <xf borderId="0" fillId="8" fontId="14" numFmtId="164" xfId="0" applyAlignment="1" applyFont="1" applyNumberFormat="1">
      <alignment horizontal="right" readingOrder="0" shrinkToFit="0" vertical="top" wrapText="0"/>
    </xf>
    <xf borderId="0" fillId="8" fontId="14" numFmtId="0" xfId="0" applyAlignment="1" applyFont="1">
      <alignment horizontal="right" shrinkToFit="0" vertical="top" wrapText="0"/>
    </xf>
    <xf borderId="0" fillId="8" fontId="17" numFmtId="0" xfId="0" applyAlignment="1" applyFont="1">
      <alignment horizontal="right" readingOrder="0" shrinkToFit="0" vertical="top" wrapText="0"/>
    </xf>
    <xf borderId="0" fillId="8" fontId="18" numFmtId="0" xfId="0" applyAlignment="1" applyFont="1">
      <alignment horizontal="right" readingOrder="0" shrinkToFit="0" vertical="top" wrapText="0"/>
    </xf>
    <xf borderId="0" fillId="8" fontId="17" numFmtId="164" xfId="0" applyAlignment="1" applyFont="1" applyNumberFormat="1">
      <alignment horizontal="right" readingOrder="0" shrinkToFit="0" vertical="top" wrapText="0"/>
    </xf>
    <xf borderId="0" fillId="8" fontId="17" numFmtId="0" xfId="0" applyAlignment="1" applyFont="1">
      <alignment horizontal="right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7" fontId="18" numFmtId="0" xfId="0" applyAlignment="1" applyFont="1">
      <alignment horizontal="right" readingOrder="0" shrinkToFit="0" vertical="top" wrapText="0"/>
    </xf>
    <xf borderId="0" fillId="7" fontId="17" numFmtId="164" xfId="0" applyAlignment="1" applyFont="1" applyNumberFormat="1">
      <alignment horizontal="right" readingOrder="0" shrinkToFit="0" vertical="top" wrapText="0"/>
    </xf>
    <xf borderId="0" fillId="7" fontId="17" numFmtId="0" xfId="0" applyAlignment="1" applyFont="1">
      <alignment horizontal="right" shrinkToFit="0" vertical="top" wrapText="0"/>
    </xf>
    <xf borderId="0" fillId="8" fontId="19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wrapText="0"/>
    </xf>
    <xf borderId="0" fillId="0" fontId="20" numFmtId="0" xfId="0" applyAlignment="1" applyFont="1">
      <alignment readingOrder="0" shrinkToFit="0" vertical="bottom" wrapText="0"/>
    </xf>
    <xf borderId="0" fillId="0" fontId="20" numFmtId="0" xfId="0" applyAlignment="1" applyFont="1">
      <alignment horizontal="right" readingOrder="0" shrinkToFit="0" vertical="bottom" wrapText="0"/>
    </xf>
    <xf borderId="0" fillId="0" fontId="20" numFmtId="0" xfId="0" applyAlignment="1" applyFont="1">
      <alignment shrinkToFit="0" vertical="bottom" wrapText="0"/>
    </xf>
    <xf borderId="0" fillId="0" fontId="20" numFmtId="165" xfId="0" applyAlignment="1" applyFont="1" applyNumberFormat="1">
      <alignment readingOrder="0" shrinkToFit="0" vertical="bottom" wrapText="0"/>
    </xf>
    <xf borderId="0" fillId="0" fontId="20" numFmtId="164" xfId="0" applyAlignment="1" applyFont="1" applyNumberFormat="1">
      <alignment horizontal="right" readingOrder="0" shrinkToFit="0" vertical="bottom" wrapText="0"/>
    </xf>
    <xf borderId="0" fillId="0" fontId="20" numFmtId="4" xfId="0" applyAlignment="1" applyFont="1" applyNumberFormat="1">
      <alignment horizontal="right" readingOrder="0" shrinkToFit="0" vertical="bottom" wrapText="0"/>
    </xf>
    <xf borderId="5" fillId="0" fontId="20" numFmtId="0" xfId="0" applyAlignment="1" applyBorder="1" applyFont="1">
      <alignment vertical="bottom"/>
    </xf>
    <xf borderId="0" fillId="0" fontId="20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  <xf borderId="0" fillId="0" fontId="20" numFmtId="0" xfId="0" applyAlignment="1" applyFont="1">
      <alignment horizontal="center" vertical="bottom"/>
    </xf>
    <xf borderId="0" fillId="0" fontId="20" numFmtId="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20" numFmtId="3" xfId="0" applyAlignment="1" applyFont="1" applyNumberFormat="1">
      <alignment horizontal="right" readingOrder="0" shrinkToFit="0" vertical="bottom" wrapText="0"/>
    </xf>
    <xf borderId="0" fillId="0" fontId="20" numFmtId="167" xfId="0" applyAlignment="1" applyFont="1" applyNumberFormat="1">
      <alignment readingOrder="0" shrinkToFit="0" vertical="bottom" wrapText="0"/>
    </xf>
    <xf borderId="5" fillId="0" fontId="3" numFmtId="164" xfId="0" applyAlignment="1" applyBorder="1" applyFont="1" applyNumberFormat="1">
      <alignment vertical="bottom"/>
    </xf>
    <xf borderId="5" fillId="0" fontId="20" numFmtId="0" xfId="0" applyAlignment="1" applyBorder="1" applyFont="1">
      <alignment horizontal="right" vertical="bottom"/>
    </xf>
    <xf borderId="5" fillId="0" fontId="20" numFmtId="3" xfId="0" applyAlignment="1" applyBorder="1" applyFont="1" applyNumberFormat="1">
      <alignment horizontal="right" vertical="bottom"/>
    </xf>
    <xf borderId="0" fillId="0" fontId="20" numFmtId="0" xfId="0" applyAlignment="1" applyFont="1">
      <alignment horizontal="right" vertical="bottom"/>
    </xf>
    <xf borderId="0" fillId="0" fontId="20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IFERROR(__xludf.DUMMYFUNCTION("IF(C3="""","""",Transpose(IMPORTRANGE('_Settings'!$B$3,C3&amp;""!A4:A1000"")))"),"VerifyBasketExport")</f>
        <v>VerifyBasketExport</v>
      </c>
      <c r="C4" s="24" t="str">
        <f>IFERROR(__xludf.DUMMYFUNCTION("""COMPUTED_VALUE"""),"OpenTTFromPST")</f>
        <v>OpenTTFromPST</v>
      </c>
      <c r="D4" s="24" t="str">
        <f>IFERROR(__xludf.DUMMYFUNCTION("""COMPUTED_VALUE"""),"CreateNewSubLiveOrder")</f>
        <v>CreateNewSubLiveOrder</v>
      </c>
      <c r="E4" s="24" t="str">
        <f>IFERROR(__xludf.DUMMYFUNCTION("""COMPUTED_VALUE"""),"CreateReplaceLiveOrder")</f>
        <v>CreateReplaceLiveOrder</v>
      </c>
      <c r="F4" s="24" t="str">
        <f>IFERROR(__xludf.DUMMYFUNCTION("""COMPUTED_VALUE"""),"EnterDetailsOnTT")</f>
        <v>EnterDetailsOnTT</v>
      </c>
      <c r="G4" s="24" t="str">
        <f>IFERROR(__xludf.DUMMYFUNCTION("""COMPUTED_VALUE"""),"ViewAllocation")</f>
        <v>ViewAllocation</v>
      </c>
      <c r="H4" s="24" t="str">
        <f>IFERROR(__xludf.DUMMYFUNCTION("""COMPUTED_VALUE"""),"ValidateSymbolTT")</f>
        <v>ValidateSymbolTT</v>
      </c>
      <c r="I4" s="24" t="str">
        <f>IFERROR(__xludf.DUMMYFUNCTION("""COMPUTED_VALUE"""),"VerifyDataTT")</f>
        <v>VerifyDataTT</v>
      </c>
      <c r="J4" s="24" t="str">
        <f>IFERROR(__xludf.DUMMYFUNCTION("""COMPUTED_VALUE"""),"SetUIPreferencesTT")</f>
        <v>SetUIPreferencesTT</v>
      </c>
      <c r="K4" s="24" t="str">
        <f>IFERROR(__xludf.DUMMYFUNCTION("""COMPUTED_VALUE"""),"SetBrokerWisePreferencesTT")</f>
        <v>SetBrokerWisePreferencesTT</v>
      </c>
      <c r="L4" s="24" t="str">
        <f>IFERROR(__xludf.DUMMYFUNCTION("""COMPUTED_VALUE"""),"VerifyComplianceOrder")</f>
        <v>VerifyComplianceOrder</v>
      </c>
      <c r="M4" s="24" t="str">
        <f>IFERROR(__xludf.DUMMYFUNCTION("""COMPUTED_VALUE"""),"TradeNewSub")</f>
        <v>TradeNewSub</v>
      </c>
      <c r="N4" s="24" t="str">
        <f>IFERROR(__xludf.DUMMYFUNCTION("""COMPUTED_VALUE"""),"SendLiveBloomberg")</f>
        <v>SendLiveBloomberg</v>
      </c>
      <c r="O4" s="24" t="str">
        <f>IFERROR(__xludf.DUMMYFUNCTION("""COMPUTED_VALUE"""),"AddOptionTrade")</f>
        <v>AddOptionTrade</v>
      </c>
      <c r="P4" s="25" t="str">
        <f>IFERROR(__xludf.DUMMYFUNCTION("""COMPUTED_VALUE"""),"CreateComplianceOrder")</f>
        <v>CreateComplianceOrder</v>
      </c>
      <c r="Q4" s="25" t="str">
        <f>IFERROR(__xludf.DUMMYFUNCTION("""COMPUTED_VALUE"""),"CreateDoneAwayOrder")</f>
        <v>CreateDoneAwayOrder</v>
      </c>
      <c r="R4" s="25" t="str">
        <f>IFERROR(__xludf.DUMMYFUNCTION("""COMPUTED_VALUE"""),"CreateStageOrder")</f>
        <v>CreateStageOrder</v>
      </c>
      <c r="S4" s="25" t="str">
        <f>IFERROR(__xludf.DUMMYFUNCTION("""COMPUTED_VALUE"""),"ToggleBlombergOnRA")</f>
        <v>ToggleBlombergOnRA</v>
      </c>
      <c r="T4" s="25" t="str">
        <f>IFERROR(__xludf.DUMMYFUNCTION("""COMPUTED_VALUE"""),"CreateReplaceOrder")</f>
        <v>CreateReplaceOrder</v>
      </c>
      <c r="U4" s="25" t="str">
        <f>IFERROR(__xludf.DUMMYFUNCTION("""COMPUTED_VALUE"""),"RemoveSymbolFromRAList")</f>
        <v>RemoveSymbolFromRAList</v>
      </c>
      <c r="V4" s="25" t="str">
        <f>IFERROR(__xludf.DUMMYFUNCTION("""COMPUTED_VALUE"""),"DeleteSymbolListFromRA")</f>
        <v>DeleteSymbolListFromRA</v>
      </c>
      <c r="W4" s="25" t="str">
        <f>IFERROR(__xludf.DUMMYFUNCTION("""COMPUTED_VALUE"""),"AddSymbolOnRAList")</f>
        <v>AddSymbolOnRAList</v>
      </c>
      <c r="X4" s="25" t="str">
        <f>IFERROR(__xludf.DUMMYFUNCTION("""COMPUTED_VALUE"""),"CheckPendingNewOrderAlert")</f>
        <v>CheckPendingNewOrderAlert</v>
      </c>
      <c r="Y4" s="25" t="str">
        <f>IFERROR(__xludf.DUMMYFUNCTION("""COMPUTED_VALUE"""),"ExportSymbolFromRAList")</f>
        <v>ExportSymbolFromRAList</v>
      </c>
      <c r="Z4" s="25" t="str">
        <f>IFERROR(__xludf.DUMMYFUNCTION("""COMPUTED_VALUE"""),"ImportSymbol")</f>
        <v>ImportSymbol</v>
      </c>
      <c r="AA4" s="25" t="str">
        <f>IFERROR(__xludf.DUMMYFUNCTION("""COMPUTED_VALUE"""),"SetGeneralPreference")</f>
        <v>SetGeneralPreference</v>
      </c>
      <c r="AB4" s="25" t="str">
        <f>IFERROR(__xludf.DUMMYFUNCTION("""COMPUTED_VALUE"""),"SetTTCompliancePreference")</f>
        <v>SetTTCompliancePreference</v>
      </c>
      <c r="AC4" s="25" t="str">
        <f>IFERROR(__xludf.DUMMYFUNCTION("""COMPUTED_VALUE"""),"UpdateMasterFundOnTT")</f>
        <v>UpdateMasterFundOnTT</v>
      </c>
      <c r="AD4" s="25" t="str">
        <f>IFERROR(__xludf.DUMMYFUNCTION("""COMPUTED_VALUE"""),"CreateLiveOrder")</f>
        <v>CreateLiveOrder</v>
      </c>
      <c r="AE4" s="25" t="str">
        <f>IFERROR(__xludf.DUMMYFUNCTION("""COMPUTED_VALUE"""),"CreateNewSubOrder")</f>
        <v>CreateNewSubOrder</v>
      </c>
      <c r="AF4" s="25" t="str">
        <f>IFERROR(__xludf.DUMMYFUNCTION("""COMPUTED_VALUE"""),"TradeBloomberg")</f>
        <v>TradeBloomberg</v>
      </c>
      <c r="AG4" s="25" t="str">
        <f>IFERROR(__xludf.DUMMYFUNCTION("""COMPUTED_VALUE"""),"ClickSymbolLookup")</f>
        <v>ClickSymbolLookup</v>
      </c>
      <c r="AH4" s="25" t="str">
        <f>IFERROR(__xludf.DUMMYFUNCTION("""COMPUTED_VALUE"""),"VerifyTT")</f>
        <v>VerifyTT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100.35</v>
      </c>
      <c r="E6" s="32">
        <v>100.35</v>
      </c>
      <c r="F6" s="31" t="s">
        <v>18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19</v>
      </c>
      <c r="C7" s="35" t="s">
        <v>17</v>
      </c>
      <c r="D7" s="32">
        <v>4.56</v>
      </c>
      <c r="E7" s="32">
        <v>4.56</v>
      </c>
      <c r="F7" s="35" t="s">
        <v>20</v>
      </c>
      <c r="G7" s="34"/>
      <c r="H7" s="34"/>
      <c r="I7" s="34"/>
      <c r="J7" s="36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0"/>
      <c r="B8" s="37" t="s">
        <v>21</v>
      </c>
      <c r="C8" s="31" t="s">
        <v>17</v>
      </c>
      <c r="D8" s="32">
        <v>200.0</v>
      </c>
      <c r="E8" s="32">
        <v>200.0</v>
      </c>
      <c r="F8" s="37" t="s">
        <v>22</v>
      </c>
      <c r="G8" s="31"/>
      <c r="H8" s="31"/>
      <c r="I8" s="31"/>
      <c r="J8" s="33">
        <v>10.0</v>
      </c>
      <c r="K8" s="31"/>
      <c r="L8" s="31"/>
      <c r="M8" s="31"/>
      <c r="N8" s="31"/>
      <c r="O8" s="31"/>
      <c r="P8" s="31"/>
      <c r="Q8" s="31"/>
      <c r="R8" s="31"/>
      <c r="S8" s="31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0"/>
      <c r="B9" s="30" t="s">
        <v>16</v>
      </c>
      <c r="C9" s="37" t="s">
        <v>23</v>
      </c>
      <c r="D9" s="32">
        <v>1000.0</v>
      </c>
      <c r="E9" s="32">
        <v>1000.0</v>
      </c>
      <c r="F9" s="31" t="s">
        <v>18</v>
      </c>
      <c r="G9" s="31"/>
      <c r="H9" s="31"/>
      <c r="I9" s="31"/>
      <c r="J9" s="38">
        <v>11.0</v>
      </c>
      <c r="K9" s="31"/>
      <c r="L9" s="31"/>
      <c r="M9" s="31"/>
      <c r="N9" s="31"/>
      <c r="O9" s="31"/>
      <c r="P9" s="31"/>
      <c r="Q9" s="31"/>
      <c r="R9" s="31"/>
      <c r="S9" s="31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19</v>
      </c>
      <c r="C10" s="37" t="s">
        <v>23</v>
      </c>
      <c r="D10" s="32">
        <v>300.0</v>
      </c>
      <c r="E10" s="32">
        <v>300.0</v>
      </c>
      <c r="F10" s="35" t="s">
        <v>20</v>
      </c>
      <c r="G10" s="34"/>
      <c r="H10" s="34"/>
      <c r="I10" s="34"/>
      <c r="J10" s="39">
        <v>12.0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0"/>
      <c r="B11" s="37" t="s">
        <v>21</v>
      </c>
      <c r="C11" s="37" t="s">
        <v>23</v>
      </c>
      <c r="D11" s="32">
        <v>400.0</v>
      </c>
      <c r="E11" s="32">
        <v>400.0</v>
      </c>
      <c r="F11" s="37" t="s">
        <v>22</v>
      </c>
      <c r="G11" s="31"/>
      <c r="H11" s="31"/>
      <c r="I11" s="31"/>
      <c r="J11" s="38">
        <v>13.0</v>
      </c>
      <c r="K11" s="31"/>
      <c r="L11" s="31"/>
      <c r="M11" s="31"/>
      <c r="N11" s="31"/>
      <c r="O11" s="31"/>
      <c r="P11" s="31"/>
      <c r="Q11" s="31"/>
      <c r="R11" s="31"/>
      <c r="S11" s="31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IFERROR(__xludf.DUMMYFUNCTION("IF(C3="""","""",Transpose(IMPORTRANGE('_Settings'!$B$3,C3&amp;""!A4:A1000"")))"),"SelectCheckBoxOnOrderGrid")</f>
        <v>SelectCheckBoxOnOrderGrid</v>
      </c>
      <c r="C4" s="24" t="str">
        <f>IFERROR(__xludf.DUMMYFUNCTION("""COMPUTED_VALUE"""),"SaveOrRemoveInWorkingSubsTab")</f>
        <v>SaveOrRemoveInWorkingSubsTab</v>
      </c>
      <c r="D4" s="24" t="str">
        <f>IFERROR(__xludf.DUMMYFUNCTION("""COMPUTED_VALUE"""),"SaveOrRemoveInSummaryTab")</f>
        <v>SaveOrRemoveInSummaryTab</v>
      </c>
      <c r="E4" s="24" t="str">
        <f>IFERROR(__xludf.DUMMYFUNCTION("""COMPUTED_VALUE"""),"VerifyLowerStripBlotterUI")</f>
        <v>VerifyLowerStripBlotterUI</v>
      </c>
      <c r="F4" s="24" t="str">
        <f>IFERROR(__xludf.DUMMYFUNCTION("""COMPUTED_VALUE"""),"AddTabBlotter")</f>
        <v>AddTabBlotter</v>
      </c>
      <c r="G4" s="24" t="str">
        <f>IFERROR(__xludf.DUMMYFUNCTION("""COMPUTED_VALUE"""),"VerifyMergeOrder")</f>
        <v>VerifyMergeOrder</v>
      </c>
      <c r="H4" s="24" t="str">
        <f>IFERROR(__xludf.DUMMYFUNCTION("""COMPUTED_VALUE"""),"MergeOrder")</f>
        <v>MergeOrder</v>
      </c>
      <c r="I4" s="24" t="str">
        <f>IFERROR(__xludf.DUMMYFUNCTION("""COMPUTED_VALUE"""),"ReplaceFillsOnBlotter")</f>
        <v>ReplaceFillsOnBlotter</v>
      </c>
      <c r="J4" s="24" t="str">
        <f>IFERROR(__xludf.DUMMYFUNCTION("""COMPUTED_VALUE"""),"CheckBlotter")</f>
        <v>CheckBlotter</v>
      </c>
      <c r="K4" s="24" t="str">
        <f>IFERROR(__xludf.DUMMYFUNCTION("""COMPUTED_VALUE"""),"ViewPTTAllocationDetails")</f>
        <v>ViewPTTAllocationDetails</v>
      </c>
      <c r="L4" s="24" t="str">
        <f>IFERROR(__xludf.DUMMYFUNCTION("""COMPUTED_VALUE"""),"AllocateFromBlotter")</f>
        <v>AllocateFromBlotter</v>
      </c>
      <c r="M4" s="24" t="str">
        <f>IFERROR(__xludf.DUMMYFUNCTION("""COMPUTED_VALUE"""),"ModifyFills")</f>
        <v>ModifyFills</v>
      </c>
      <c r="N4" s="24" t="str">
        <f>IFERROR(__xludf.DUMMYFUNCTION("""COMPUTED_VALUE"""),"BlotterFunctionalities")</f>
        <v>BlotterFunctionalities</v>
      </c>
      <c r="O4" s="24" t="str">
        <f>IFERROR(__xludf.DUMMYFUNCTION("""COMPUTED_VALUE"""),"SelectFills")</f>
        <v>SelectFills</v>
      </c>
      <c r="P4" s="25" t="str">
        <f>IFERROR(__xludf.DUMMYFUNCTION("""COMPUTED_VALUE"""),"ReloadOrderFromWorkingSubs")</f>
        <v>ReloadOrderFromWorkingSubs</v>
      </c>
      <c r="Q4" s="25" t="str">
        <f>IFERROR(__xludf.DUMMYFUNCTION("""COMPUTED_VALUE"""),"ReloadOrderFromSubOrder")</f>
        <v>ReloadOrderFromSubOrder</v>
      </c>
      <c r="R4" s="25" t="str">
        <f>IFERROR(__xludf.DUMMYFUNCTION("""COMPUTED_VALUE"""),"ReloadOrderFromBlotter")</f>
        <v>ReloadOrderFromBlotter</v>
      </c>
      <c r="S4" s="25" t="str">
        <f>IFERROR(__xludf.DUMMYFUNCTION("""COMPUTED_VALUE"""),"MultipleTradeTransferToUser")</f>
        <v>MultipleTradeTransferToUser</v>
      </c>
      <c r="T4" s="25" t="str">
        <f>IFERROR(__xludf.DUMMYFUNCTION("""COMPUTED_VALUE"""),"BlotterExecutionReportSnapshot")</f>
        <v>BlotterExecutionReportSnapshot</v>
      </c>
      <c r="U4" s="25" t="str">
        <f>IFERROR(__xludf.DUMMYFUNCTION("""COMPUTED_VALUE"""),"VerifyExecutionReport")</f>
        <v>VerifyExecutionReport</v>
      </c>
      <c r="V4" s="25" t="str">
        <f>IFERROR(__xludf.DUMMYFUNCTION("""COMPUTED_VALUE"""),"ExportExecutionReportData")</f>
        <v>ExportExecutionReportData</v>
      </c>
      <c r="W4" s="25" t="str">
        <f>IFERROR(__xludf.DUMMYFUNCTION("""COMPUTED_VALUE"""),"GetExecutionReportDetails")</f>
        <v>GetExecutionReportDetails</v>
      </c>
      <c r="X4" s="25" t="str">
        <f>IFERROR(__xludf.DUMMYFUNCTION("""COMPUTED_VALUE"""),"GetExecutionReportOrders")</f>
        <v>GetExecutionReportOrders</v>
      </c>
      <c r="Y4" s="25" t="str">
        <f>IFERROR(__xludf.DUMMYFUNCTION("""COMPUTED_VALUE"""),"RemoveExecutionWorkingSubs")</f>
        <v>RemoveExecutionWorkingSubs</v>
      </c>
      <c r="Z4" s="25" t="str">
        <f>IFERROR(__xludf.DUMMYFUNCTION("""COMPUTED_VALUE"""),"RemoveManualExecution")</f>
        <v>RemoveManualExecution</v>
      </c>
      <c r="AA4" s="25" t="str">
        <f>IFERROR(__xludf.DUMMYFUNCTION("""COMPUTED_VALUE"""),"TransferToUserWorkingSubs")</f>
        <v>TransferToUserWorkingSubs</v>
      </c>
      <c r="AB4" s="25" t="str">
        <f>IFERROR(__xludf.DUMMYFUNCTION("""COMPUTED_VALUE"""),"OpenBlotter")</f>
        <v>OpenBlotter</v>
      </c>
      <c r="AC4" s="25" t="str">
        <f>IFERROR(__xludf.DUMMYFUNCTION("""COMPUTED_VALUE"""),"CancelWorkingSubs")</f>
        <v>CancelWorkingSubs</v>
      </c>
      <c r="AD4" s="25" t="str">
        <f>IFERROR(__xludf.DUMMYFUNCTION("""COMPUTED_VALUE"""),"ReplaceWorkingSubs")</f>
        <v>ReplaceWorkingSubs</v>
      </c>
      <c r="AE4" s="25" t="str">
        <f>IFERROR(__xludf.DUMMYFUNCTION("""COMPUTED_VALUE"""),"ViewAllocationDetailsWorkingSub")</f>
        <v>ViewAllocationDetailsWorkingSub</v>
      </c>
      <c r="AF4" s="25" t="str">
        <f>IFERROR(__xludf.DUMMYFUNCTION("""COMPUTED_VALUE"""),"OpenBlotter")</f>
        <v>OpenBlotter</v>
      </c>
      <c r="AG4" s="25" t="str">
        <f>IFERROR(__xludf.DUMMYFUNCTION("""COMPUTED_VALUE"""),"SelectTradeOnOrderGrid")</f>
        <v>SelectTradeOnOrderGrid</v>
      </c>
      <c r="AH4" s="25" t="str">
        <f>IFERROR(__xludf.DUMMYFUNCTION("""COMPUTED_VALUE"""),"ShowDetailsForAlgoTradeSubOrder")</f>
        <v>ShowDetailsForAlgoTradeSubOrder</v>
      </c>
      <c r="AI4" s="25" t="str">
        <f>IFERROR(__xludf.DUMMYFUNCTION("""COMPUTED_VALUE"""),"SelectTradeOrderBlotter")</f>
        <v>SelectTradeOrderBlotter</v>
      </c>
      <c r="AJ4" s="25" t="str">
        <f>IFERROR(__xludf.DUMMYFUNCTION("""COMPUTED_VALUE"""),"AddFillsWorkingSubs")</f>
        <v>AddFillsWorkingSubs</v>
      </c>
      <c r="AK4" s="25" t="str">
        <f>IFERROR(__xludf.DUMMYFUNCTION("""COMPUTED_VALUE"""),"EditAddFillsDetails")</f>
        <v>EditAddFillsDetails</v>
      </c>
      <c r="AL4" s="25" t="str">
        <f>IFERROR(__xludf.DUMMYFUNCTION("""COMPUTED_VALUE"""),"ShowDetailsForAlgoTradeWorkingSubs")</f>
        <v>ShowDetailsForAlgoTradeWorkingSubs</v>
      </c>
      <c r="AM4" s="25" t="str">
        <f>IFERROR(__xludf.DUMMYFUNCTION("""COMPUTED_VALUE"""),"VerifyWorkingSubs")</f>
        <v>VerifyWorkingSubs</v>
      </c>
      <c r="AN4" s="25" t="str">
        <f>IFERROR(__xludf.DUMMYFUNCTION("""COMPUTED_VALUE"""),"TransferToUserOrder")</f>
        <v>TransferToUserOrder</v>
      </c>
      <c r="AO4" s="25" t="str">
        <f>IFERROR(__xludf.DUMMYFUNCTION("""COMPUTED_VALUE"""),"EditOrder")</f>
        <v>EditOrder</v>
      </c>
      <c r="AP4" s="25" t="str">
        <f>IFERROR(__xludf.DUMMYFUNCTION("""COMPUTED_VALUE"""),"SelectTradeSubOrderBlotter")</f>
        <v>SelectTradeSubOrderBlotter</v>
      </c>
      <c r="AQ4" s="25" t="str">
        <f>IFERROR(__xludf.DUMMYFUNCTION("""COMPUTED_VALUE"""),"VerifyOrder")</f>
        <v>VerifyOrder</v>
      </c>
      <c r="AR4" s="25" t="str">
        <f>IFERROR(__xludf.DUMMYFUNCTION("""COMPUTED_VALUE"""),"VerifySubOrder")</f>
        <v>VerifySubOrder</v>
      </c>
      <c r="AS4" s="25" t="str">
        <f>IFERROR(__xludf.DUMMYFUNCTION("""COMPUTED_VALUE"""),"RemoveSelectedOrders")</f>
        <v>RemoveSelectedOrders</v>
      </c>
      <c r="AT4" s="25" t="str">
        <f>IFERROR(__xludf.DUMMYFUNCTION("""COMPUTED_VALUE"""),"CancelAllSelectedSubs")</f>
        <v>CancelAllSelectedSubs</v>
      </c>
      <c r="AU4" s="25" t="str">
        <f>IFERROR(__xludf.DUMMYFUNCTION("""COMPUTED_VALUE"""),"MultiTradingTicket")</f>
        <v>MultiTradingTicket</v>
      </c>
      <c r="AV4" s="25" t="str">
        <f>IFERROR(__xludf.DUMMYFUNCTION("""COMPUTED_VALUE"""),"AuditTrailOrderBlotter")</f>
        <v>AuditTrailOrderBlotter</v>
      </c>
      <c r="AW4" s="25" t="str">
        <f>IFERROR(__xludf.DUMMYFUNCTION("""COMPUTED_VALUE"""),"TradeNewSubOrder")</f>
        <v>TradeNewSubOrder</v>
      </c>
      <c r="AX4" s="25" t="str">
        <f>IFERROR(__xludf.DUMMYFUNCTION("""COMPUTED_VALUE"""),"RemoveStageOrder")</f>
        <v>RemoveStageOrder</v>
      </c>
      <c r="AY4" s="25" t="str">
        <f>IFERROR(__xludf.DUMMYFUNCTION("""COMPUTED_VALUE"""),"TransferToUserSubOrder")</f>
        <v>TransferToUserSubOrder</v>
      </c>
      <c r="AZ4" s="25" t="str">
        <f>IFERROR(__xludf.DUMMYFUNCTION("""COMPUTED_VALUE"""),"DetailsForAlgoTradeOrder")</f>
        <v>DetailsForAlgoTradeOrder</v>
      </c>
      <c r="BA4" s="25" t="str">
        <f>IFERROR(__xludf.DUMMYFUNCTION("""COMPUTED_VALUE"""),"AddFillsSubOrder")</f>
        <v>AddFillsSubOrder</v>
      </c>
      <c r="BB4" s="25" t="str">
        <f>IFERROR(__xludf.DUMMYFUNCTION("""COMPUTED_VALUE"""),"ViewAllocationDetailsSubOrder")</f>
        <v>ViewAllocationDetailsSubOrder</v>
      </c>
      <c r="BC4" s="25" t="str">
        <f>IFERROR(__xludf.DUMMYFUNCTION("""COMPUTED_VALUE"""),"VerifySubOrderAfterRollover")</f>
        <v>VerifySubOrderAfterRollover</v>
      </c>
      <c r="BD4" s="25" t="str">
        <f>IFERROR(__xludf.DUMMYFUNCTION("""COMPUTED_VALUE"""),"VerifyRollover")</f>
        <v>VerifyRollover</v>
      </c>
      <c r="BE4" s="25" t="str">
        <f>IFERROR(__xludf.DUMMYFUNCTION("""COMPUTED_VALUE"""),"CancelAllSubs")</f>
        <v>CancelAllSubs</v>
      </c>
      <c r="BF4" s="25" t="str">
        <f>IFERROR(__xludf.DUMMYFUNCTION("""COMPUTED_VALUE"""),"CancelSubOrder")</f>
        <v>CancelSubOrder</v>
      </c>
      <c r="BG4" s="25" t="str">
        <f>IFERROR(__xludf.DUMMYFUNCTION("""COMPUTED_VALUE"""),"EditStageOrder")</f>
        <v>EditStageOrder</v>
      </c>
      <c r="BH4" s="25" t="str">
        <f>IFERROR(__xludf.DUMMYFUNCTION("""COMPUTED_VALUE"""),"ReplaceSubOrder")</f>
        <v>ReplaceSubOrder</v>
      </c>
      <c r="BI4" s="25" t="str">
        <f>IFERROR(__xludf.DUMMYFUNCTION("""COMPUTED_VALUE"""),"SelectTradeWorkingSubsBlotter")</f>
        <v>SelectTradeWorkingSubsBlotter</v>
      </c>
      <c r="BJ4" s="25" t="str">
        <f>IFERROR(__xludf.DUMMYFUNCTION("""COMPUTED_VALUE"""),"GoToAllocation")</f>
        <v>GoToAllocation</v>
      </c>
      <c r="BK4" s="25" t="str">
        <f>IFERROR(__xludf.DUMMYFUNCTION("""COMPUTED_VALUE"""),"VerifyAlgoDetails")</f>
        <v>VerifyAlgoDetails</v>
      </c>
      <c r="BL4" s="25" t="str">
        <f>IFERROR(__xludf.DUMMYFUNCTION("""COMPUTED_VALUE"""),"VerifyTransferToUserOrder")</f>
        <v>VerifyTransferToUserOrder</v>
      </c>
      <c r="BM4" s="25" t="str">
        <f>IFERROR(__xludf.DUMMYFUNCTION("""COMPUTED_VALUE"""),"VerifyTransferToUserSubOdr")</f>
        <v>VerifyTransferToUserSubOdr</v>
      </c>
      <c r="BN4" s="25" t="str">
        <f>IFERROR(__xludf.DUMMYFUNCTION("""COMPUTED_VALUE"""),"VerifyTransferToUserWorkSub")</f>
        <v>VerifyTransferToUserWorkSub</v>
      </c>
      <c r="BO4" s="25" t="str">
        <f>IFERROR(__xludf.DUMMYFUNCTION("""COMPUTED_VALUE"""),"VerifyViewAllocationDetails")</f>
        <v>VerifyViewAllocationDetails</v>
      </c>
      <c r="BP4" s="25" t="str">
        <f>IFERROR(__xludf.DUMMYFUNCTION("""COMPUTED_VALUE"""),"SaveLayoutOrderGrid")</f>
        <v>SaveLayoutOrderGrid</v>
      </c>
      <c r="BQ4" s="25" t="str">
        <f>IFERROR(__xludf.DUMMYFUNCTION("""COMPUTED_VALUE"""),"ReplaceStageOrder")</f>
        <v>ReplaceStageOrder</v>
      </c>
      <c r="BR4" s="25" t="str">
        <f>IFERROR(__xludf.DUMMYFUNCTION("""COMPUTED_VALUE"""),"MultiTradingTicketFromBlotter")</f>
        <v>MultiTradingTicketFromBlotter</v>
      </c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11" t="s">
        <v>26</v>
      </c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27</v>
      </c>
      <c r="AI6" s="9" t="s">
        <v>16</v>
      </c>
      <c r="AJ6" s="9" t="s">
        <v>17</v>
      </c>
      <c r="AK6" s="9" t="s">
        <v>28</v>
      </c>
      <c r="AL6" s="9">
        <v>100.35</v>
      </c>
    </row>
    <row r="7" ht="15.75" customHeight="1">
      <c r="A7" s="8"/>
      <c r="B7" s="8"/>
      <c r="C7" s="8"/>
      <c r="D7" s="11">
        <v>0.0</v>
      </c>
      <c r="E7" s="11" t="s">
        <v>29</v>
      </c>
      <c r="F7" s="8"/>
      <c r="G7" s="8"/>
      <c r="H7" s="8"/>
      <c r="I7" s="8"/>
      <c r="J7" s="8"/>
      <c r="K7" s="8"/>
      <c r="L7" s="8"/>
      <c r="M7" s="8"/>
      <c r="N7" s="8"/>
      <c r="O7" s="8"/>
      <c r="AH7" s="9" t="s">
        <v>27</v>
      </c>
      <c r="AI7" s="9" t="s">
        <v>19</v>
      </c>
      <c r="AJ7" s="9" t="s">
        <v>17</v>
      </c>
      <c r="AK7" s="9" t="s">
        <v>28</v>
      </c>
      <c r="AL7" s="32">
        <v>4.56</v>
      </c>
    </row>
    <row r="8" ht="15.75" customHeight="1">
      <c r="A8" s="8"/>
      <c r="B8" s="8"/>
      <c r="C8" s="8"/>
      <c r="D8" s="11">
        <v>0.0</v>
      </c>
      <c r="E8" s="11" t="s">
        <v>30</v>
      </c>
      <c r="F8" s="8"/>
      <c r="G8" s="8"/>
      <c r="H8" s="8"/>
      <c r="I8" s="8"/>
      <c r="J8" s="8"/>
      <c r="K8" s="8"/>
      <c r="L8" s="8"/>
      <c r="M8" s="8"/>
      <c r="N8" s="8"/>
      <c r="O8" s="8"/>
      <c r="AH8" s="9" t="s">
        <v>27</v>
      </c>
      <c r="AI8" s="9" t="s">
        <v>21</v>
      </c>
      <c r="AJ8" s="9" t="s">
        <v>17</v>
      </c>
      <c r="AK8" s="9" t="s">
        <v>28</v>
      </c>
      <c r="AL8" s="9">
        <v>200.0</v>
      </c>
    </row>
    <row r="9" ht="15.75" customHeight="1">
      <c r="A9" s="8"/>
      <c r="B9" s="8"/>
      <c r="C9" s="8"/>
      <c r="D9" s="11">
        <v>0.0</v>
      </c>
      <c r="E9" s="11" t="s">
        <v>26</v>
      </c>
      <c r="F9" s="8"/>
      <c r="G9" s="8"/>
      <c r="H9" s="8"/>
      <c r="I9" s="8"/>
      <c r="J9" s="8"/>
      <c r="K9" s="8"/>
      <c r="L9" s="8"/>
      <c r="M9" s="8"/>
      <c r="N9" s="8"/>
      <c r="O9" s="8"/>
      <c r="AH9" s="9" t="s">
        <v>27</v>
      </c>
      <c r="AI9" s="9" t="s">
        <v>16</v>
      </c>
      <c r="AJ9" s="9" t="s">
        <v>23</v>
      </c>
      <c r="AK9" s="9" t="s">
        <v>28</v>
      </c>
      <c r="AL9" s="9">
        <v>1000.0</v>
      </c>
    </row>
    <row r="10" ht="15.75" customHeight="1">
      <c r="A10" s="8"/>
      <c r="B10" s="8"/>
      <c r="C10" s="8"/>
      <c r="D10" s="11">
        <v>0.0</v>
      </c>
      <c r="E10" s="11" t="s">
        <v>29</v>
      </c>
      <c r="F10" s="8"/>
      <c r="G10" s="8"/>
      <c r="H10" s="8"/>
      <c r="I10" s="8"/>
      <c r="J10" s="8"/>
      <c r="K10" s="8"/>
      <c r="L10" s="8"/>
      <c r="M10" s="8"/>
      <c r="N10" s="8"/>
      <c r="O10" s="8"/>
      <c r="AH10" s="9" t="s">
        <v>27</v>
      </c>
      <c r="AI10" s="9" t="s">
        <v>19</v>
      </c>
      <c r="AJ10" s="9" t="s">
        <v>23</v>
      </c>
      <c r="AK10" s="9" t="s">
        <v>28</v>
      </c>
      <c r="AL10" s="9">
        <v>300.0</v>
      </c>
    </row>
    <row r="11" ht="15.75" customHeight="1">
      <c r="A11" s="8"/>
      <c r="B11" s="8"/>
      <c r="C11" s="8"/>
      <c r="D11" s="11">
        <v>0.0</v>
      </c>
      <c r="E11" s="11" t="s">
        <v>30</v>
      </c>
      <c r="F11" s="8"/>
      <c r="G11" s="8"/>
      <c r="H11" s="8"/>
      <c r="I11" s="8"/>
      <c r="J11" s="8"/>
      <c r="K11" s="8"/>
      <c r="L11" s="8"/>
      <c r="M11" s="8"/>
      <c r="N11" s="8"/>
      <c r="O11" s="8"/>
      <c r="AH11" s="9" t="s">
        <v>27</v>
      </c>
      <c r="AI11" s="9" t="s">
        <v>21</v>
      </c>
      <c r="AJ11" s="9" t="s">
        <v>23</v>
      </c>
      <c r="AK11" s="9" t="s">
        <v>28</v>
      </c>
      <c r="AL11" s="9">
        <v>400.0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IFERROR(__xludf.DUMMYFUNCTION("IF(C3="""","""",Transpose(IMPORTRANGE('_Settings'!$B$3,C3&amp;""!A4:A1000"")))"),"BulkEditUpdateFromMTT")</f>
        <v>BulkEditUpdateFromMTT</v>
      </c>
      <c r="C4" s="24" t="str">
        <f>IFERROR(__xludf.DUMMYFUNCTION("""COMPUTED_VALUE"""),"EditTradeUsingMTT")</f>
        <v>EditTradeUsingMTT</v>
      </c>
      <c r="D4" s="24" t="str">
        <f>IFERROR(__xludf.DUMMYFUNCTION("""COMPUTED_VALUE"""),"SelectTradeUsingMTT")</f>
        <v>SelectTradeUsingMTT</v>
      </c>
      <c r="E4" s="24" t="str">
        <f>IFERROR(__xludf.DUMMYFUNCTION("""COMPUTED_VALUE"""),"GetPriceUsingMTT")</f>
        <v>GetPriceUsingMTT</v>
      </c>
      <c r="F4" s="24" t="str">
        <f>IFERROR(__xludf.DUMMYFUNCTION("""COMPUTED_VALUE"""),"DoneAwayUsingMTT")</f>
        <v>DoneAwayUsingMTT</v>
      </c>
      <c r="G4" s="24" t="str">
        <f>IFERROR(__xludf.DUMMYFUNCTION("""COMPUTED_VALUE"""),"SendOrderUsingMTT")</f>
        <v>SendOrderUsingMTT</v>
      </c>
      <c r="H4" s="24" t="str">
        <f>IFERROR(__xludf.DUMMYFUNCTION("""COMPUTED_VALUE"""),"BulkChangeTradeDoneAway")</f>
        <v>BulkChangeTradeDoneAway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21</v>
      </c>
      <c r="C6" s="31" t="s">
        <v>17</v>
      </c>
      <c r="D6" s="11">
        <v>200.0</v>
      </c>
      <c r="E6" s="11"/>
      <c r="F6" s="37" t="s">
        <v>22</v>
      </c>
      <c r="G6" s="31" t="s">
        <v>33</v>
      </c>
      <c r="H6" s="31"/>
      <c r="I6" s="31"/>
      <c r="J6" s="11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4"/>
      <c r="B8" s="31"/>
      <c r="C8" s="31"/>
      <c r="D8" s="33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IFERROR(__xludf.DUMMYFUNCTION("IF(C3="""","""",Transpose(IMPORTRANGE('_Settings'!$B$3,C3&amp;""!A4:A1000"")))"),"BulkEditUpdateFromMTT")</f>
        <v>BulkEditUpdateFromMTT</v>
      </c>
      <c r="C4" s="24" t="str">
        <f>IFERROR(__xludf.DUMMYFUNCTION("""COMPUTED_VALUE"""),"EditTradeUsingMTT")</f>
        <v>EditTradeUsingMTT</v>
      </c>
      <c r="D4" s="24" t="str">
        <f>IFERROR(__xludf.DUMMYFUNCTION("""COMPUTED_VALUE"""),"SelectTradeUsingMTT")</f>
        <v>SelectTradeUsingMTT</v>
      </c>
      <c r="E4" s="24" t="str">
        <f>IFERROR(__xludf.DUMMYFUNCTION("""COMPUTED_VALUE"""),"GetPriceUsingMTT")</f>
        <v>GetPriceUsingMTT</v>
      </c>
      <c r="F4" s="24" t="str">
        <f>IFERROR(__xludf.DUMMYFUNCTION("""COMPUTED_VALUE"""),"DoneAwayUsingMTT")</f>
        <v>DoneAwayUsingMTT</v>
      </c>
      <c r="G4" s="24" t="str">
        <f>IFERROR(__xludf.DUMMYFUNCTION("""COMPUTED_VALUE"""),"SendOrderUsingMTT")</f>
        <v>SendOrderUsingMTT</v>
      </c>
      <c r="H4" s="24" t="str">
        <f>IFERROR(__xludf.DUMMYFUNCTION("""COMPUTED_VALUE"""),"BulkChangeTradeDoneAway")</f>
        <v>BulkChangeTradeDoneAway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185.36</v>
      </c>
      <c r="E6" s="1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IFERROR(__xludf.DUMMYFUNCTION("IF(C3="""","""",Transpose(IMPORTRANGE('_Settings'!$B$3,C3&amp;""!A4:A1000"")))"),"BulkEditUpdateFromMTT")</f>
        <v>BulkEditUpdateFromMTT</v>
      </c>
      <c r="C4" s="24" t="str">
        <f>IFERROR(__xludf.DUMMYFUNCTION("""COMPUTED_VALUE"""),"EditTradeUsingMTT")</f>
        <v>EditTradeUsingMTT</v>
      </c>
      <c r="D4" s="24" t="str">
        <f>IFERROR(__xludf.DUMMYFUNCTION("""COMPUTED_VALUE"""),"SelectTradeUsingMTT")</f>
        <v>SelectTradeUsingMTT</v>
      </c>
      <c r="E4" s="24" t="str">
        <f>IFERROR(__xludf.DUMMYFUNCTION("""COMPUTED_VALUE"""),"GetPriceUsingMTT")</f>
        <v>GetPriceUsingMTT</v>
      </c>
      <c r="F4" s="24" t="str">
        <f>IFERROR(__xludf.DUMMYFUNCTION("""COMPUTED_VALUE"""),"DoneAwayUsingMTT")</f>
        <v>DoneAwayUsingMTT</v>
      </c>
      <c r="G4" s="24" t="str">
        <f>IFERROR(__xludf.DUMMYFUNCTION("""COMPUTED_VALUE"""),"SendOrderUsingMTT")</f>
        <v>SendOrderUsingMTT</v>
      </c>
      <c r="H4" s="24" t="str">
        <f>IFERROR(__xludf.DUMMYFUNCTION("""COMPUTED_VALUE"""),"BulkChangeTradeDoneAway")</f>
        <v>BulkChangeTradeDoneAway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16</v>
      </c>
      <c r="C6" s="9" t="s">
        <v>17</v>
      </c>
      <c r="D6" s="9">
        <v>100.35</v>
      </c>
      <c r="E6" s="9">
        <v>100.35</v>
      </c>
      <c r="F6" s="31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19</v>
      </c>
      <c r="C7" s="9" t="s">
        <v>17</v>
      </c>
      <c r="D7" s="32">
        <v>4.56</v>
      </c>
      <c r="E7" s="32">
        <v>4.56</v>
      </c>
      <c r="F7" s="35" t="s">
        <v>20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9" t="s">
        <v>21</v>
      </c>
      <c r="C8" s="9" t="s">
        <v>17</v>
      </c>
      <c r="D8" s="11">
        <v>185.36</v>
      </c>
      <c r="E8" s="11">
        <v>185.36</v>
      </c>
      <c r="F8" s="37" t="s">
        <v>22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9" t="s">
        <v>16</v>
      </c>
      <c r="C9" s="9" t="s">
        <v>23</v>
      </c>
      <c r="D9" s="9">
        <v>1000.0</v>
      </c>
      <c r="E9" s="9">
        <v>1000.0</v>
      </c>
      <c r="F9" s="31" t="s">
        <v>18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9" t="s">
        <v>19</v>
      </c>
      <c r="C10" s="9" t="s">
        <v>23</v>
      </c>
      <c r="D10" s="9">
        <v>300.0</v>
      </c>
      <c r="E10" s="9">
        <v>300.0</v>
      </c>
      <c r="F10" s="35" t="s">
        <v>20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9" t="s">
        <v>21</v>
      </c>
      <c r="C11" s="9" t="s">
        <v>23</v>
      </c>
      <c r="D11" s="9">
        <v>400.0</v>
      </c>
      <c r="E11" s="9">
        <v>400.0</v>
      </c>
      <c r="F11" s="37" t="s">
        <v>22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2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2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2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2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2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2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IFERROR(__xludf.DUMMYFUNCTION("IF(C3="""","""",Transpose(IMPORTRANGE('_Settings'!$B$3,C3&amp;""!A4:A1000"")))"),"SelectCheckBoxOnOrderGrid")</f>
        <v>SelectCheckBoxOnOrderGrid</v>
      </c>
      <c r="C4" s="24" t="str">
        <f>IFERROR(__xludf.DUMMYFUNCTION("""COMPUTED_VALUE"""),"SaveOrRemoveInWorkingSubsTab")</f>
        <v>SaveOrRemoveInWorkingSubsTab</v>
      </c>
      <c r="D4" s="24" t="str">
        <f>IFERROR(__xludf.DUMMYFUNCTION("""COMPUTED_VALUE"""),"SaveOrRemoveInSummaryTab")</f>
        <v>SaveOrRemoveInSummaryTab</v>
      </c>
      <c r="E4" s="24" t="str">
        <f>IFERROR(__xludf.DUMMYFUNCTION("""COMPUTED_VALUE"""),"VerifyLowerStripBlotterUI")</f>
        <v>VerifyLowerStripBlotterUI</v>
      </c>
      <c r="F4" s="24" t="str">
        <f>IFERROR(__xludf.DUMMYFUNCTION("""COMPUTED_VALUE"""),"AddTabBlotter")</f>
        <v>AddTabBlotter</v>
      </c>
      <c r="G4" s="24" t="str">
        <f>IFERROR(__xludf.DUMMYFUNCTION("""COMPUTED_VALUE"""),"VerifyMergeOrder")</f>
        <v>VerifyMergeOrder</v>
      </c>
      <c r="H4" s="24" t="str">
        <f>IFERROR(__xludf.DUMMYFUNCTION("""COMPUTED_VALUE"""),"MergeOrder")</f>
        <v>MergeOrder</v>
      </c>
      <c r="I4" s="24" t="str">
        <f>IFERROR(__xludf.DUMMYFUNCTION("""COMPUTED_VALUE"""),"ReplaceFillsOnBlotter")</f>
        <v>ReplaceFillsOnBlotter</v>
      </c>
      <c r="J4" s="24" t="str">
        <f>IFERROR(__xludf.DUMMYFUNCTION("""COMPUTED_VALUE"""),"CheckBlotter")</f>
        <v>CheckBlotter</v>
      </c>
      <c r="K4" s="24" t="str">
        <f>IFERROR(__xludf.DUMMYFUNCTION("""COMPUTED_VALUE"""),"ViewPTTAllocationDetails")</f>
        <v>ViewPTTAllocationDetails</v>
      </c>
      <c r="L4" s="24" t="str">
        <f>IFERROR(__xludf.DUMMYFUNCTION("""COMPUTED_VALUE"""),"AllocateFromBlotter")</f>
        <v>AllocateFromBlotter</v>
      </c>
      <c r="M4" s="24" t="str">
        <f>IFERROR(__xludf.DUMMYFUNCTION("""COMPUTED_VALUE"""),"ModifyFills")</f>
        <v>ModifyFills</v>
      </c>
      <c r="N4" s="24" t="str">
        <f>IFERROR(__xludf.DUMMYFUNCTION("""COMPUTED_VALUE"""),"BlotterFunctionalities")</f>
        <v>BlotterFunctionalities</v>
      </c>
      <c r="O4" s="24" t="str">
        <f>IFERROR(__xludf.DUMMYFUNCTION("""COMPUTED_VALUE"""),"SelectFills")</f>
        <v>SelectFills</v>
      </c>
      <c r="P4" s="25" t="str">
        <f>IFERROR(__xludf.DUMMYFUNCTION("""COMPUTED_VALUE"""),"ReloadOrderFromWorkingSubs")</f>
        <v>ReloadOrderFromWorkingSubs</v>
      </c>
      <c r="Q4" s="25" t="str">
        <f>IFERROR(__xludf.DUMMYFUNCTION("""COMPUTED_VALUE"""),"ReloadOrderFromSubOrder")</f>
        <v>ReloadOrderFromSubOrder</v>
      </c>
      <c r="R4" s="25" t="str">
        <f>IFERROR(__xludf.DUMMYFUNCTION("""COMPUTED_VALUE"""),"ReloadOrderFromBlotter")</f>
        <v>ReloadOrderFromBlotter</v>
      </c>
      <c r="S4" s="25" t="str">
        <f>IFERROR(__xludf.DUMMYFUNCTION("""COMPUTED_VALUE"""),"MultipleTradeTransferToUser")</f>
        <v>MultipleTradeTransferToUser</v>
      </c>
      <c r="T4" s="25" t="str">
        <f>IFERROR(__xludf.DUMMYFUNCTION("""COMPUTED_VALUE"""),"BlotterExecutionReportSnapshot")</f>
        <v>BlotterExecutionReportSnapshot</v>
      </c>
      <c r="U4" s="25" t="str">
        <f>IFERROR(__xludf.DUMMYFUNCTION("""COMPUTED_VALUE"""),"VerifyExecutionReport")</f>
        <v>VerifyExecutionReport</v>
      </c>
      <c r="V4" s="25" t="str">
        <f>IFERROR(__xludf.DUMMYFUNCTION("""COMPUTED_VALUE"""),"ExportExecutionReportData")</f>
        <v>ExportExecutionReportData</v>
      </c>
      <c r="W4" s="25" t="str">
        <f>IFERROR(__xludf.DUMMYFUNCTION("""COMPUTED_VALUE"""),"GetExecutionReportDetails")</f>
        <v>GetExecutionReportDetails</v>
      </c>
      <c r="X4" s="25" t="str">
        <f>IFERROR(__xludf.DUMMYFUNCTION("""COMPUTED_VALUE"""),"GetExecutionReportOrders")</f>
        <v>GetExecutionReportOrders</v>
      </c>
      <c r="Y4" s="25" t="str">
        <f>IFERROR(__xludf.DUMMYFUNCTION("""COMPUTED_VALUE"""),"RemoveExecutionWorkingSubs")</f>
        <v>RemoveExecutionWorkingSubs</v>
      </c>
      <c r="Z4" s="25" t="str">
        <f>IFERROR(__xludf.DUMMYFUNCTION("""COMPUTED_VALUE"""),"RemoveManualExecution")</f>
        <v>RemoveManualExecution</v>
      </c>
      <c r="AA4" s="25" t="str">
        <f>IFERROR(__xludf.DUMMYFUNCTION("""COMPUTED_VALUE"""),"TransferToUserWorkingSubs")</f>
        <v>TransferToUserWorkingSubs</v>
      </c>
      <c r="AB4" s="25" t="str">
        <f>IFERROR(__xludf.DUMMYFUNCTION("""COMPUTED_VALUE"""),"OpenBlotter")</f>
        <v>OpenBlotter</v>
      </c>
      <c r="AC4" s="25" t="str">
        <f>IFERROR(__xludf.DUMMYFUNCTION("""COMPUTED_VALUE"""),"CancelWorkingSubs")</f>
        <v>CancelWorkingSubs</v>
      </c>
      <c r="AD4" s="25" t="str">
        <f>IFERROR(__xludf.DUMMYFUNCTION("""COMPUTED_VALUE"""),"ReplaceWorkingSubs")</f>
        <v>ReplaceWorkingSubs</v>
      </c>
      <c r="AE4" s="25" t="str">
        <f>IFERROR(__xludf.DUMMYFUNCTION("""COMPUTED_VALUE"""),"ViewAllocationDetailsWorkingSub")</f>
        <v>ViewAllocationDetailsWorkingSub</v>
      </c>
      <c r="AF4" s="25" t="str">
        <f>IFERROR(__xludf.DUMMYFUNCTION("""COMPUTED_VALUE"""),"OpenBlotter")</f>
        <v>OpenBlotter</v>
      </c>
      <c r="AG4" s="25" t="str">
        <f>IFERROR(__xludf.DUMMYFUNCTION("""COMPUTED_VALUE"""),"SelectTradeOnOrderGrid")</f>
        <v>SelectTradeOnOrderGrid</v>
      </c>
      <c r="AH4" s="25" t="str">
        <f>IFERROR(__xludf.DUMMYFUNCTION("""COMPUTED_VALUE"""),"ShowDetailsForAlgoTradeSubOrder")</f>
        <v>ShowDetailsForAlgoTradeSubOrder</v>
      </c>
      <c r="AI4" s="25" t="str">
        <f>IFERROR(__xludf.DUMMYFUNCTION("""COMPUTED_VALUE"""),"SelectTradeOrderBlotter")</f>
        <v>SelectTradeOrderBlotter</v>
      </c>
      <c r="AJ4" s="25" t="str">
        <f>IFERROR(__xludf.DUMMYFUNCTION("""COMPUTED_VALUE"""),"AddFillsWorkingSubs")</f>
        <v>AddFillsWorkingSubs</v>
      </c>
      <c r="AK4" s="25" t="str">
        <f>IFERROR(__xludf.DUMMYFUNCTION("""COMPUTED_VALUE"""),"EditAddFillsDetails")</f>
        <v>EditAddFillsDetails</v>
      </c>
      <c r="AL4" s="25" t="str">
        <f>IFERROR(__xludf.DUMMYFUNCTION("""COMPUTED_VALUE"""),"ShowDetailsForAlgoTradeWorkingSubs")</f>
        <v>ShowDetailsForAlgoTradeWorkingSubs</v>
      </c>
      <c r="AM4" s="25" t="str">
        <f>IFERROR(__xludf.DUMMYFUNCTION("""COMPUTED_VALUE"""),"VerifyWorkingSubs")</f>
        <v>VerifyWorkingSubs</v>
      </c>
      <c r="AN4" s="25" t="str">
        <f>IFERROR(__xludf.DUMMYFUNCTION("""COMPUTED_VALUE"""),"TransferToUserOrder")</f>
        <v>TransferToUserOrder</v>
      </c>
      <c r="AO4" s="25" t="str">
        <f>IFERROR(__xludf.DUMMYFUNCTION("""COMPUTED_VALUE"""),"EditOrder")</f>
        <v>EditOrder</v>
      </c>
      <c r="AP4" s="25" t="str">
        <f>IFERROR(__xludf.DUMMYFUNCTION("""COMPUTED_VALUE"""),"SelectTradeSubOrderBlotter")</f>
        <v>SelectTradeSubOrderBlotter</v>
      </c>
      <c r="AQ4" s="25" t="str">
        <f>IFERROR(__xludf.DUMMYFUNCTION("""COMPUTED_VALUE"""),"VerifyOrder")</f>
        <v>VerifyOrder</v>
      </c>
      <c r="AR4" s="25" t="str">
        <f>IFERROR(__xludf.DUMMYFUNCTION("""COMPUTED_VALUE"""),"VerifySubOrder")</f>
        <v>VerifySubOrder</v>
      </c>
      <c r="AS4" s="25" t="str">
        <f>IFERROR(__xludf.DUMMYFUNCTION("""COMPUTED_VALUE"""),"RemoveSelectedOrders")</f>
        <v>RemoveSelectedOrders</v>
      </c>
      <c r="AT4" s="25" t="str">
        <f>IFERROR(__xludf.DUMMYFUNCTION("""COMPUTED_VALUE"""),"CancelAllSelectedSubs")</f>
        <v>CancelAllSelectedSubs</v>
      </c>
      <c r="AU4" s="25" t="str">
        <f>IFERROR(__xludf.DUMMYFUNCTION("""COMPUTED_VALUE"""),"MultiTradingTicket")</f>
        <v>MultiTradingTicket</v>
      </c>
      <c r="AV4" s="25" t="str">
        <f>IFERROR(__xludf.DUMMYFUNCTION("""COMPUTED_VALUE"""),"AuditTrailOrderBlotter")</f>
        <v>AuditTrailOrderBlotter</v>
      </c>
      <c r="AW4" s="25" t="str">
        <f>IFERROR(__xludf.DUMMYFUNCTION("""COMPUTED_VALUE"""),"TradeNewSubOrder")</f>
        <v>TradeNewSubOrder</v>
      </c>
      <c r="AX4" s="25" t="str">
        <f>IFERROR(__xludf.DUMMYFUNCTION("""COMPUTED_VALUE"""),"RemoveStageOrder")</f>
        <v>RemoveStageOrder</v>
      </c>
      <c r="AY4" s="25" t="str">
        <f>IFERROR(__xludf.DUMMYFUNCTION("""COMPUTED_VALUE"""),"TransferToUserSubOrder")</f>
        <v>TransferToUserSubOrder</v>
      </c>
      <c r="AZ4" s="25" t="str">
        <f>IFERROR(__xludf.DUMMYFUNCTION("""COMPUTED_VALUE"""),"DetailsForAlgoTradeOrder")</f>
        <v>DetailsForAlgoTradeOrder</v>
      </c>
      <c r="BA4" s="25" t="str">
        <f>IFERROR(__xludf.DUMMYFUNCTION("""COMPUTED_VALUE"""),"AddFillsSubOrder")</f>
        <v>AddFillsSubOrder</v>
      </c>
      <c r="BB4" s="25" t="str">
        <f>IFERROR(__xludf.DUMMYFUNCTION("""COMPUTED_VALUE"""),"ViewAllocationDetailsSubOrder")</f>
        <v>ViewAllocationDetailsSubOrder</v>
      </c>
      <c r="BC4" s="25" t="str">
        <f>IFERROR(__xludf.DUMMYFUNCTION("""COMPUTED_VALUE"""),"VerifySubOrderAfterRollover")</f>
        <v>VerifySubOrderAfterRollover</v>
      </c>
      <c r="BD4" s="25" t="str">
        <f>IFERROR(__xludf.DUMMYFUNCTION("""COMPUTED_VALUE"""),"VerifyRollover")</f>
        <v>VerifyRollover</v>
      </c>
      <c r="BE4" s="25" t="str">
        <f>IFERROR(__xludf.DUMMYFUNCTION("""COMPUTED_VALUE"""),"CancelAllSubs")</f>
        <v>CancelAllSubs</v>
      </c>
      <c r="BF4" s="25" t="str">
        <f>IFERROR(__xludf.DUMMYFUNCTION("""COMPUTED_VALUE"""),"CancelSubOrder")</f>
        <v>CancelSubOrder</v>
      </c>
      <c r="BG4" s="25" t="str">
        <f>IFERROR(__xludf.DUMMYFUNCTION("""COMPUTED_VALUE"""),"EditStageOrder")</f>
        <v>EditStageOrder</v>
      </c>
      <c r="BH4" s="25" t="str">
        <f>IFERROR(__xludf.DUMMYFUNCTION("""COMPUTED_VALUE"""),"ReplaceSubOrder")</f>
        <v>ReplaceSubOrder</v>
      </c>
      <c r="BI4" s="25" t="str">
        <f>IFERROR(__xludf.DUMMYFUNCTION("""COMPUTED_VALUE"""),"SelectTradeWorkingSubsBlotter")</f>
        <v>SelectTradeWorkingSubsBlotter</v>
      </c>
      <c r="BJ4" s="25" t="str">
        <f>IFERROR(__xludf.DUMMYFUNCTION("""COMPUTED_VALUE"""),"GoToAllocation")</f>
        <v>GoToAllocation</v>
      </c>
      <c r="BK4" s="25" t="str">
        <f>IFERROR(__xludf.DUMMYFUNCTION("""COMPUTED_VALUE"""),"VerifyAlgoDetails")</f>
        <v>VerifyAlgoDetails</v>
      </c>
      <c r="BL4" s="25" t="str">
        <f>IFERROR(__xludf.DUMMYFUNCTION("""COMPUTED_VALUE"""),"VerifyTransferToUserOrder")</f>
        <v>VerifyTransferToUserOrder</v>
      </c>
      <c r="BM4" s="25" t="str">
        <f>IFERROR(__xludf.DUMMYFUNCTION("""COMPUTED_VALUE"""),"VerifyTransferToUserSubOdr")</f>
        <v>VerifyTransferToUserSubOdr</v>
      </c>
      <c r="BN4" s="25" t="str">
        <f>IFERROR(__xludf.DUMMYFUNCTION("""COMPUTED_VALUE"""),"VerifyTransferToUserWorkSub")</f>
        <v>VerifyTransferToUserWorkSub</v>
      </c>
      <c r="BO4" s="25" t="str">
        <f>IFERROR(__xludf.DUMMYFUNCTION("""COMPUTED_VALUE"""),"VerifyViewAllocationDetails")</f>
        <v>VerifyViewAllocationDetails</v>
      </c>
      <c r="BP4" s="25" t="str">
        <f>IFERROR(__xludf.DUMMYFUNCTION("""COMPUTED_VALUE"""),"SaveLayoutOrderGrid")</f>
        <v>SaveLayoutOrderGrid</v>
      </c>
      <c r="BQ4" s="25" t="str">
        <f>IFERROR(__xludf.DUMMYFUNCTION("""COMPUTED_VALUE"""),"ReplaceStageOrder")</f>
        <v>ReplaceStageOrder</v>
      </c>
      <c r="BR4" s="25" t="str">
        <f>IFERROR(__xludf.DUMMYFUNCTION("""COMPUTED_VALUE"""),"MultiTradingTicketFromBlotter")</f>
        <v>MultiTradingTicketFromBlotter</v>
      </c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40">
        <v>0.0</v>
      </c>
      <c r="E6" s="40" t="s">
        <v>26</v>
      </c>
      <c r="F6" s="40">
        <v>0.0</v>
      </c>
      <c r="G6" s="40"/>
      <c r="H6" s="40" t="s">
        <v>37</v>
      </c>
      <c r="I6" s="40" t="s">
        <v>38</v>
      </c>
      <c r="J6" s="40" t="s">
        <v>16</v>
      </c>
      <c r="K6" s="40" t="s">
        <v>39</v>
      </c>
      <c r="L6" s="40" t="s">
        <v>40</v>
      </c>
      <c r="S6" s="40">
        <v>0.0</v>
      </c>
      <c r="T6" s="40">
        <v>0.0</v>
      </c>
      <c r="U6" s="41" t="s">
        <v>41</v>
      </c>
      <c r="V6" s="42"/>
      <c r="W6" s="40"/>
      <c r="X6" s="40">
        <v>0.0</v>
      </c>
      <c r="Y6" s="40"/>
      <c r="Z6" s="40"/>
      <c r="AA6" s="40" t="s">
        <v>42</v>
      </c>
      <c r="AB6" s="40"/>
      <c r="AC6" s="40"/>
      <c r="AD6" s="40">
        <v>1.0</v>
      </c>
      <c r="AE6" s="43"/>
      <c r="AF6" s="40" t="s">
        <v>43</v>
      </c>
      <c r="AG6" s="40">
        <v>0.0</v>
      </c>
      <c r="AH6" s="40" t="s">
        <v>27</v>
      </c>
      <c r="AI6" s="40" t="s">
        <v>16</v>
      </c>
      <c r="AJ6" s="40" t="s">
        <v>17</v>
      </c>
      <c r="AK6" s="40" t="s">
        <v>44</v>
      </c>
      <c r="AL6" s="40">
        <v>100.35</v>
      </c>
      <c r="AM6" s="40">
        <v>100.35</v>
      </c>
      <c r="AN6" s="40"/>
      <c r="AO6" s="40">
        <v>100.35</v>
      </c>
      <c r="AQ6" s="40">
        <v>0.0</v>
      </c>
      <c r="AR6" s="40">
        <v>0.0</v>
      </c>
      <c r="AS6" s="40" t="s">
        <v>33</v>
      </c>
      <c r="AT6" s="40" t="s">
        <v>18</v>
      </c>
      <c r="AU6" s="40" t="s">
        <v>45</v>
      </c>
      <c r="AV6" s="40">
        <v>0.0</v>
      </c>
      <c r="AW6" s="40">
        <v>0.0</v>
      </c>
      <c r="AX6" s="40" t="s">
        <v>46</v>
      </c>
      <c r="AY6" s="40">
        <v>100.35</v>
      </c>
      <c r="AZ6" s="43"/>
      <c r="BA6" s="44"/>
      <c r="BB6" s="44"/>
      <c r="BC6" s="40"/>
      <c r="BD6" s="44"/>
      <c r="BE6" s="44"/>
      <c r="BF6" s="40"/>
      <c r="BG6" s="44"/>
      <c r="BH6" s="40"/>
      <c r="BI6" s="40"/>
      <c r="BJ6" s="44"/>
      <c r="BK6" s="44"/>
      <c r="BL6" s="44"/>
      <c r="BM6" s="44"/>
    </row>
    <row r="7" ht="15.75" customHeight="1">
      <c r="A7" s="8"/>
      <c r="B7" s="8"/>
      <c r="C7" s="8"/>
      <c r="D7" s="45">
        <v>0.0</v>
      </c>
      <c r="E7" s="45" t="s">
        <v>29</v>
      </c>
      <c r="F7" s="45">
        <v>0.0</v>
      </c>
      <c r="G7" s="45"/>
      <c r="H7" s="45" t="s">
        <v>37</v>
      </c>
      <c r="I7" s="45" t="s">
        <v>38</v>
      </c>
      <c r="J7" s="45" t="s">
        <v>19</v>
      </c>
      <c r="K7" s="45" t="s">
        <v>39</v>
      </c>
      <c r="L7" s="45" t="s">
        <v>40</v>
      </c>
      <c r="S7" s="45">
        <v>0.0</v>
      </c>
      <c r="T7" s="45">
        <v>0.0</v>
      </c>
      <c r="U7" s="46" t="s">
        <v>41</v>
      </c>
      <c r="V7" s="47"/>
      <c r="W7" s="45"/>
      <c r="X7" s="45">
        <v>0.0</v>
      </c>
      <c r="Y7" s="45"/>
      <c r="Z7" s="45"/>
      <c r="AA7" s="45" t="s">
        <v>47</v>
      </c>
      <c r="AB7" s="45"/>
      <c r="AC7" s="45"/>
      <c r="AD7" s="45">
        <v>1.0</v>
      </c>
      <c r="AE7" s="48"/>
      <c r="AF7" s="45" t="s">
        <v>43</v>
      </c>
      <c r="AG7" s="45">
        <v>0.0</v>
      </c>
      <c r="AH7" s="45" t="s">
        <v>27</v>
      </c>
      <c r="AI7" s="45" t="s">
        <v>19</v>
      </c>
      <c r="AJ7" s="45" t="s">
        <v>17</v>
      </c>
      <c r="AK7" s="45" t="s">
        <v>44</v>
      </c>
      <c r="AL7" s="45">
        <v>4.56</v>
      </c>
      <c r="AM7" s="45">
        <v>4.56</v>
      </c>
      <c r="AN7" s="45"/>
      <c r="AO7" s="45">
        <v>4.56</v>
      </c>
      <c r="AQ7" s="45">
        <v>0.0</v>
      </c>
      <c r="AR7" s="45">
        <v>0.0</v>
      </c>
      <c r="AS7" s="45" t="s">
        <v>33</v>
      </c>
      <c r="AT7" s="45" t="s">
        <v>20</v>
      </c>
      <c r="AU7" s="45" t="s">
        <v>45</v>
      </c>
      <c r="AV7" s="45">
        <v>0.0</v>
      </c>
      <c r="AW7" s="45">
        <v>0.0</v>
      </c>
      <c r="AX7" s="45" t="s">
        <v>46</v>
      </c>
      <c r="AY7" s="45">
        <v>4.56</v>
      </c>
      <c r="AZ7" s="48"/>
      <c r="BA7" s="49"/>
      <c r="BB7" s="49"/>
      <c r="BC7" s="45"/>
      <c r="BD7" s="49"/>
      <c r="BE7" s="49"/>
      <c r="BF7" s="45"/>
      <c r="BG7" s="49"/>
      <c r="BH7" s="45"/>
      <c r="BI7" s="45"/>
      <c r="BJ7" s="49"/>
      <c r="BK7" s="49"/>
      <c r="BL7" s="49"/>
      <c r="BM7" s="49"/>
    </row>
    <row r="8" ht="15.75" customHeight="1">
      <c r="A8" s="8"/>
      <c r="B8" s="8"/>
      <c r="C8" s="8"/>
      <c r="D8" s="40">
        <v>0.0</v>
      </c>
      <c r="E8" s="40" t="s">
        <v>30</v>
      </c>
      <c r="F8" s="40">
        <v>0.0</v>
      </c>
      <c r="G8" s="40"/>
      <c r="H8" s="40" t="s">
        <v>37</v>
      </c>
      <c r="I8" s="40" t="s">
        <v>38</v>
      </c>
      <c r="J8" s="40" t="s">
        <v>21</v>
      </c>
      <c r="K8" s="40" t="s">
        <v>39</v>
      </c>
      <c r="L8" s="40" t="s">
        <v>40</v>
      </c>
      <c r="S8" s="40">
        <v>0.0</v>
      </c>
      <c r="T8" s="40">
        <v>0.0</v>
      </c>
      <c r="U8" s="41" t="s">
        <v>41</v>
      </c>
      <c r="V8" s="42"/>
      <c r="W8" s="40"/>
      <c r="X8" s="40">
        <v>0.0</v>
      </c>
      <c r="Y8" s="40"/>
      <c r="Z8" s="40"/>
      <c r="AA8" s="40" t="s">
        <v>42</v>
      </c>
      <c r="AB8" s="40"/>
      <c r="AC8" s="40"/>
      <c r="AD8" s="40">
        <v>1.0</v>
      </c>
      <c r="AE8" s="43"/>
      <c r="AF8" s="40" t="s">
        <v>43</v>
      </c>
      <c r="AG8" s="40">
        <v>0.0</v>
      </c>
      <c r="AH8" s="40" t="s">
        <v>27</v>
      </c>
      <c r="AI8" s="40" t="s">
        <v>21</v>
      </c>
      <c r="AJ8" s="40" t="s">
        <v>17</v>
      </c>
      <c r="AK8" s="45" t="s">
        <v>44</v>
      </c>
      <c r="AL8" s="40">
        <v>200.0</v>
      </c>
      <c r="AM8" s="40">
        <v>200.0</v>
      </c>
      <c r="AN8" s="40"/>
      <c r="AO8" s="40">
        <v>200.0</v>
      </c>
      <c r="AQ8" s="40">
        <v>0.0</v>
      </c>
      <c r="AR8" s="40">
        <v>0.0</v>
      </c>
      <c r="AS8" s="40" t="s">
        <v>33</v>
      </c>
      <c r="AT8" s="40" t="s">
        <v>22</v>
      </c>
      <c r="AU8" s="40" t="s">
        <v>45</v>
      </c>
      <c r="AV8" s="40">
        <v>0.0</v>
      </c>
      <c r="AW8" s="40">
        <v>0.0</v>
      </c>
      <c r="AX8" s="40" t="s">
        <v>46</v>
      </c>
      <c r="AY8" s="40">
        <v>200.0</v>
      </c>
      <c r="AZ8" s="43"/>
      <c r="BA8" s="44"/>
      <c r="BB8" s="44"/>
      <c r="BC8" s="40"/>
      <c r="BD8" s="44"/>
      <c r="BE8" s="44"/>
      <c r="BF8" s="40"/>
      <c r="BG8" s="44"/>
      <c r="BH8" s="40"/>
      <c r="BI8" s="40"/>
      <c r="BJ8" s="44"/>
      <c r="BK8" s="44"/>
      <c r="BL8" s="44"/>
      <c r="BM8" s="44"/>
    </row>
    <row r="9" ht="15.75" customHeight="1">
      <c r="A9" s="8"/>
      <c r="B9" s="8"/>
      <c r="C9" s="8"/>
      <c r="D9" s="50">
        <v>0.0</v>
      </c>
      <c r="E9" s="50" t="s">
        <v>26</v>
      </c>
      <c r="F9" s="50">
        <v>0.0</v>
      </c>
      <c r="G9" s="50"/>
      <c r="H9" s="50" t="s">
        <v>37</v>
      </c>
      <c r="I9" s="50" t="s">
        <v>38</v>
      </c>
      <c r="J9" s="50" t="s">
        <v>16</v>
      </c>
      <c r="K9" s="50" t="s">
        <v>39</v>
      </c>
      <c r="L9" s="50" t="s">
        <v>40</v>
      </c>
      <c r="S9" s="50">
        <v>0.0</v>
      </c>
      <c r="T9" s="50">
        <v>0.0</v>
      </c>
      <c r="U9" s="51" t="s">
        <v>41</v>
      </c>
      <c r="V9" s="47"/>
      <c r="W9" s="50"/>
      <c r="X9" s="50">
        <v>0.0</v>
      </c>
      <c r="Y9" s="50"/>
      <c r="Z9" s="50"/>
      <c r="AA9" s="50" t="s">
        <v>42</v>
      </c>
      <c r="AB9" s="50"/>
      <c r="AC9" s="50"/>
      <c r="AD9" s="50">
        <v>1.0</v>
      </c>
      <c r="AE9" s="52"/>
      <c r="AF9" s="50" t="s">
        <v>43</v>
      </c>
      <c r="AG9" s="50">
        <v>0.0</v>
      </c>
      <c r="AH9" s="50" t="s">
        <v>27</v>
      </c>
      <c r="AI9" s="50" t="s">
        <v>16</v>
      </c>
      <c r="AJ9" s="50" t="s">
        <v>23</v>
      </c>
      <c r="AK9" s="50" t="s">
        <v>44</v>
      </c>
      <c r="AL9" s="50">
        <v>1000.0</v>
      </c>
      <c r="AM9" s="50">
        <v>1000.0</v>
      </c>
      <c r="AN9" s="50"/>
      <c r="AO9" s="50">
        <v>1000.0</v>
      </c>
      <c r="AQ9" s="50">
        <v>0.0</v>
      </c>
      <c r="AR9" s="50">
        <v>0.0</v>
      </c>
      <c r="AS9" s="50" t="s">
        <v>33</v>
      </c>
      <c r="AT9" s="50" t="s">
        <v>18</v>
      </c>
      <c r="AU9" s="50" t="s">
        <v>45</v>
      </c>
      <c r="AV9" s="50">
        <v>0.0</v>
      </c>
      <c r="AW9" s="50">
        <v>0.0</v>
      </c>
      <c r="AX9" s="50" t="s">
        <v>46</v>
      </c>
      <c r="AY9" s="50">
        <v>1000.0</v>
      </c>
      <c r="AZ9" s="52"/>
      <c r="BA9" s="53"/>
      <c r="BB9" s="53"/>
      <c r="BC9" s="50"/>
      <c r="BD9" s="53"/>
      <c r="BE9" s="53"/>
      <c r="BF9" s="50"/>
      <c r="BG9" s="53"/>
      <c r="BH9" s="50"/>
      <c r="BI9" s="50"/>
      <c r="BJ9" s="53"/>
      <c r="BK9" s="53"/>
      <c r="BL9" s="53"/>
      <c r="BM9" s="53"/>
    </row>
    <row r="10" ht="15.75" customHeight="1">
      <c r="A10" s="8"/>
      <c r="B10" s="8"/>
      <c r="C10" s="8"/>
      <c r="D10" s="54">
        <v>0.0</v>
      </c>
      <c r="E10" s="54" t="s">
        <v>29</v>
      </c>
      <c r="F10" s="54">
        <v>0.0</v>
      </c>
      <c r="G10" s="54"/>
      <c r="H10" s="54" t="s">
        <v>37</v>
      </c>
      <c r="I10" s="54" t="s">
        <v>38</v>
      </c>
      <c r="J10" s="54" t="s">
        <v>19</v>
      </c>
      <c r="K10" s="54" t="s">
        <v>39</v>
      </c>
      <c r="L10" s="54" t="s">
        <v>40</v>
      </c>
      <c r="S10" s="54">
        <v>0.0</v>
      </c>
      <c r="T10" s="54">
        <v>0.0</v>
      </c>
      <c r="U10" s="55" t="s">
        <v>41</v>
      </c>
      <c r="V10" s="42"/>
      <c r="W10" s="54"/>
      <c r="X10" s="54">
        <v>0.0</v>
      </c>
      <c r="Y10" s="54"/>
      <c r="Z10" s="54"/>
      <c r="AA10" s="54" t="s">
        <v>47</v>
      </c>
      <c r="AB10" s="54"/>
      <c r="AC10" s="54"/>
      <c r="AD10" s="54">
        <v>1.0</v>
      </c>
      <c r="AE10" s="56"/>
      <c r="AF10" s="54" t="s">
        <v>43</v>
      </c>
      <c r="AG10" s="54">
        <v>0.0</v>
      </c>
      <c r="AH10" s="54" t="s">
        <v>27</v>
      </c>
      <c r="AI10" s="54" t="s">
        <v>19</v>
      </c>
      <c r="AJ10" s="54" t="s">
        <v>23</v>
      </c>
      <c r="AK10" s="54" t="s">
        <v>44</v>
      </c>
      <c r="AL10" s="54">
        <v>300.0</v>
      </c>
      <c r="AM10" s="54">
        <v>300.0</v>
      </c>
      <c r="AN10" s="54"/>
      <c r="AO10" s="54">
        <v>300.0</v>
      </c>
      <c r="AQ10" s="54">
        <v>0.0</v>
      </c>
      <c r="AR10" s="54">
        <v>0.0</v>
      </c>
      <c r="AS10" s="54" t="s">
        <v>33</v>
      </c>
      <c r="AT10" s="54" t="s">
        <v>20</v>
      </c>
      <c r="AU10" s="54" t="s">
        <v>45</v>
      </c>
      <c r="AV10" s="54">
        <v>0.0</v>
      </c>
      <c r="AW10" s="54">
        <v>0.0</v>
      </c>
      <c r="AX10" s="54" t="s">
        <v>46</v>
      </c>
      <c r="AY10" s="54">
        <v>300.0</v>
      </c>
      <c r="AZ10" s="56"/>
      <c r="BA10" s="57"/>
      <c r="BB10" s="57"/>
      <c r="BC10" s="54"/>
      <c r="BD10" s="57"/>
      <c r="BE10" s="57"/>
      <c r="BF10" s="54"/>
      <c r="BG10" s="57"/>
      <c r="BH10" s="54"/>
      <c r="BI10" s="54"/>
      <c r="BJ10" s="57"/>
      <c r="BK10" s="57"/>
      <c r="BL10" s="57"/>
      <c r="BM10" s="57"/>
    </row>
    <row r="11" ht="15.75" customHeight="1">
      <c r="A11" s="8"/>
      <c r="B11" s="8"/>
      <c r="C11" s="8"/>
      <c r="D11" s="50">
        <v>0.0</v>
      </c>
      <c r="E11" s="50" t="s">
        <v>30</v>
      </c>
      <c r="F11" s="50">
        <v>0.0</v>
      </c>
      <c r="G11" s="50"/>
      <c r="H11" s="50" t="s">
        <v>37</v>
      </c>
      <c r="I11" s="50" t="s">
        <v>38</v>
      </c>
      <c r="J11" s="50" t="s">
        <v>21</v>
      </c>
      <c r="K11" s="50" t="s">
        <v>39</v>
      </c>
      <c r="L11" s="50" t="s">
        <v>40</v>
      </c>
      <c r="S11" s="50">
        <v>0.0</v>
      </c>
      <c r="T11" s="50">
        <v>0.0</v>
      </c>
      <c r="U11" s="51" t="s">
        <v>41</v>
      </c>
      <c r="V11" s="47"/>
      <c r="W11" s="50"/>
      <c r="X11" s="50">
        <v>0.0</v>
      </c>
      <c r="Y11" s="50"/>
      <c r="Z11" s="50"/>
      <c r="AA11" s="40" t="s">
        <v>42</v>
      </c>
      <c r="AB11" s="50"/>
      <c r="AC11" s="50"/>
      <c r="AD11" s="50">
        <v>1.0</v>
      </c>
      <c r="AE11" s="52"/>
      <c r="AF11" s="50" t="s">
        <v>43</v>
      </c>
      <c r="AG11" s="50">
        <v>0.0</v>
      </c>
      <c r="AH11" s="50" t="s">
        <v>27</v>
      </c>
      <c r="AI11" s="50" t="s">
        <v>21</v>
      </c>
      <c r="AJ11" s="50" t="s">
        <v>23</v>
      </c>
      <c r="AK11" s="50" t="s">
        <v>44</v>
      </c>
      <c r="AL11" s="50">
        <v>400.0</v>
      </c>
      <c r="AM11" s="50">
        <v>400.0</v>
      </c>
      <c r="AN11" s="50"/>
      <c r="AO11" s="50">
        <v>400.0</v>
      </c>
      <c r="AQ11" s="50">
        <v>0.0</v>
      </c>
      <c r="AR11" s="50">
        <v>0.0</v>
      </c>
      <c r="AS11" s="50" t="s">
        <v>33</v>
      </c>
      <c r="AT11" s="58" t="s">
        <v>22</v>
      </c>
      <c r="AU11" s="50" t="s">
        <v>45</v>
      </c>
      <c r="AV11" s="50">
        <v>0.0</v>
      </c>
      <c r="AW11" s="50">
        <v>0.0</v>
      </c>
      <c r="AX11" s="50" t="s">
        <v>46</v>
      </c>
      <c r="AY11" s="50">
        <v>400.0</v>
      </c>
      <c r="AZ11" s="52"/>
      <c r="BA11" s="53"/>
      <c r="BB11" s="53"/>
      <c r="BC11" s="50"/>
      <c r="BD11" s="53"/>
      <c r="BE11" s="53"/>
      <c r="BF11" s="50"/>
      <c r="BG11" s="53"/>
      <c r="BH11" s="50"/>
      <c r="BI11" s="50"/>
      <c r="BJ11" s="53"/>
      <c r="BK11" s="53"/>
      <c r="BL11" s="53"/>
      <c r="BM11" s="5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IFERROR(__xludf.DUMMYFUNCTION("""COMPUTED_VALUE"""),"SelectAllRowsAllocated")</f>
        <v>SelectAllRowsAllocated</v>
      </c>
      <c r="J4" s="24" t="str">
        <f>IFERROR(__xludf.DUMMYFUNCTION("""COMPUTED_VALUE"""),"AllocateWithPopUp")</f>
        <v>AllocateWithPopUp</v>
      </c>
      <c r="K4" s="24" t="str">
        <f>IFERROR(__xludf.DUMMYFUNCTION("""COMPUTED_VALUE"""),"EditUnallocatedGroupSidePanel")</f>
        <v>EditUnallocatedGroupSidePanel</v>
      </c>
      <c r="L4" s="24" t="str">
        <f>IFERROR(__xludf.DUMMYFUNCTION("""COMPUTED_VALUE"""),"CheckPreferences")</f>
        <v>CheckPreferences</v>
      </c>
      <c r="M4" s="24" t="str">
        <f>IFERROR(__xludf.DUMMYFUNCTION("""COMPUTED_VALUE"""),"DeleteGroupWithOutSave")</f>
        <v>DeleteGroupWithOutSave</v>
      </c>
      <c r="N4" s="24" t="str">
        <f>IFERROR(__xludf.DUMMYFUNCTION("""COMPUTED_VALUE"""),"TradeAttributeBulkChange")</f>
        <v>TradeAttributeBulkChange</v>
      </c>
      <c r="O4" s="24" t="str">
        <f>IFERROR(__xludf.DUMMYFUNCTION("""COMPUTED_VALUE"""),"ApplyBulkUpdateOnGroups")</f>
        <v>ApplyBulkUpdateOnGroups</v>
      </c>
      <c r="P4" s="25" t="str">
        <f>IFERROR(__xludf.DUMMYFUNCTION("""COMPUTED_VALUE"""),"ApplyPrefetchFilters")</f>
        <v>ApplyPrefetchFilters</v>
      </c>
      <c r="Q4" s="25" t="str">
        <f>IFERROR(__xludf.DUMMYFUNCTION("""COMPUTED_VALUE"""),"GeneralPreferencesDefaultRule")</f>
        <v>GeneralPreferencesDefaultRule</v>
      </c>
      <c r="R4" s="25" t="str">
        <f>IFERROR(__xludf.DUMMYFUNCTION("""COMPUTED_VALUE"""),"GeneralPrefCompanyUserWise")</f>
        <v>GeneralPrefCompanyUserWise</v>
      </c>
      <c r="S4" s="25" t="str">
        <f>IFERROR(__xludf.DUMMYFUNCTION("""COMPUTED_VALUE"""),"RenameTradeAttributes")</f>
        <v>RenameTradeAttributes</v>
      </c>
      <c r="T4" s="25" t="str">
        <f>IFERROR(__xludf.DUMMYFUNCTION("""COMPUTED_VALUE"""),"SetGroupingRules")</f>
        <v>SetGroupingRules</v>
      </c>
      <c r="U4" s="25" t="str">
        <f>IFERROR(__xludf.DUMMYFUNCTION("""COMPUTED_VALUE"""),"SetMasterFundRatio")</f>
        <v>SetMasterFundRatio</v>
      </c>
      <c r="V4" s="25" t="str">
        <f>IFERROR(__xludf.DUMMYFUNCTION("""COMPUTED_VALUE"""),"CheckFixedPreference")</f>
        <v>CheckFixedPreference</v>
      </c>
      <c r="W4" s="25" t="str">
        <f>IFERROR(__xludf.DUMMYFUNCTION("""COMPUTED_VALUE"""),"GetFixedPreference")</f>
        <v>GetFixedPreference</v>
      </c>
      <c r="X4" s="25" t="str">
        <f>IFERROR(__xludf.DUMMYFUNCTION("""COMPUTED_VALUE"""),"AddCalculatedPreferences")</f>
        <v>AddCalculatedPreferences</v>
      </c>
      <c r="Y4" s="25" t="str">
        <f>IFERROR(__xludf.DUMMYFUNCTION("""COMPUTED_VALUE"""),"BulkChangeCalculatedPreferences")</f>
        <v>BulkChangeCalculatedPreferences</v>
      </c>
      <c r="Z4" s="25" t="str">
        <f>IFERROR(__xludf.DUMMYFUNCTION("""COMPUTED_VALUE"""),"CheckAuditTrailData")</f>
        <v>CheckAuditTrailData</v>
      </c>
      <c r="AA4" s="25" t="str">
        <f>IFERROR(__xludf.DUMMYFUNCTION("""COMPUTED_VALUE"""),"DeleteCalculatedPreferences")</f>
        <v>DeleteCalculatedPreferences</v>
      </c>
      <c r="AB4" s="25" t="str">
        <f>IFERROR(__xludf.DUMMYFUNCTION("""COMPUTED_VALUE"""),"GetAuditTrailData")</f>
        <v>GetAuditTrailData</v>
      </c>
      <c r="AC4" s="25" t="str">
        <f>IFERROR(__xludf.DUMMYFUNCTION("""COMPUTED_VALUE"""),"RenameCalculatedPreferences")</f>
        <v>RenameCalculatedPreferences</v>
      </c>
      <c r="AD4" s="25" t="str">
        <f>IFERROR(__xludf.DUMMYFUNCTION("""COMPUTED_VALUE"""),"AllocationAuditTrail")</f>
        <v>AllocationAuditTrail</v>
      </c>
      <c r="AE4" s="25" t="str">
        <f>IFERROR(__xludf.DUMMYFUNCTION("""COMPUTED_VALUE"""),"CopyCalculatedPreferences")</f>
        <v>CopyCalculatedPreferences</v>
      </c>
      <c r="AF4" s="25" t="str">
        <f>IFERROR(__xludf.DUMMYFUNCTION("""COMPUTED_VALUE"""),"RunAutoGroup")</f>
        <v>RunAutoGroup</v>
      </c>
      <c r="AG4" s="25" t="str">
        <f>IFERROR(__xludf.DUMMYFUNCTION("""COMPUTED_VALUE"""),"BookOrUpdateSwap")</f>
        <v>BookOrUpdateSwap</v>
      </c>
      <c r="AH4" s="25" t="str">
        <f>IFERROR(__xludf.DUMMYFUNCTION("""COMPUTED_VALUE"""),"SetDefaultRuleCalculatedPref")</f>
        <v>SetDefaultRuleCalculatedPref</v>
      </c>
      <c r="AI4" s="25" t="str">
        <f>IFERROR(__xludf.DUMMYFUNCTION("""COMPUTED_VALUE"""),"RunProrata")</f>
        <v>RunProrata</v>
      </c>
      <c r="AJ4" s="25" t="str">
        <f>IFERROR(__xludf.DUMMYFUNCTION("""COMPUTED_VALUE"""),"SetAccountValueCalculatedPref")</f>
        <v>SetAccountValueCalculatedPref</v>
      </c>
      <c r="AK4" s="25" t="str">
        <f>IFERROR(__xludf.DUMMYFUNCTION("""COMPUTED_VALUE"""),"TradeAttributeBulkChangeGroups")</f>
        <v>TradeAttributeBulkChangeGroups</v>
      </c>
      <c r="AL4" s="25" t="str">
        <f>IFERROR(__xludf.DUMMYFUNCTION("""COMPUTED_VALUE"""),"TradeAttributeBulkChangeTaxlots")</f>
        <v>TradeAttributeBulkChangeTaxlots</v>
      </c>
      <c r="AM4" s="25" t="str">
        <f>IFERROR(__xludf.DUMMYFUNCTION("""COMPUTED_VALUE"""),"AddCalculatedPreferenceToolbar")</f>
        <v>AddCalculatedPreferenceToolbar</v>
      </c>
      <c r="AN4" s="25" t="str">
        <f>IFERROR(__xludf.DUMMYFUNCTION("""COMPUTED_VALUE"""),"SetStrategyValueCalculatedPref")</f>
        <v>SetStrategyValueCalculatedPref</v>
      </c>
      <c r="AO4" s="25" t="str">
        <f>IFERROR(__xludf.DUMMYFUNCTION("""COMPUTED_VALUE"""),"ApplyBulkUpdateOnTaxlots")</f>
        <v>ApplyBulkUpdateOnTaxlots</v>
      </c>
      <c r="AP4" s="25" t="str">
        <f>IFERROR(__xludf.DUMMYFUNCTION("""COMPUTED_VALUE"""),"CommissionBulkChangeOnGroups")</f>
        <v>CommissionBulkChangeOnGroups</v>
      </c>
      <c r="AQ4" s="25" t="str">
        <f>IFERROR(__xludf.DUMMYFUNCTION("""COMPUTED_VALUE"""),"CommissionBulkChangeOnTaxlots")</f>
        <v>CommissionBulkChangeOnTaxlots</v>
      </c>
      <c r="AR4" s="25" t="str">
        <f>IFERROR(__xludf.DUMMYFUNCTION("""COMPUTED_VALUE"""),"SelectUnallocatedGroup")</f>
        <v>SelectUnallocatedGroup</v>
      </c>
      <c r="AS4" s="25" t="str">
        <f>IFERROR(__xludf.DUMMYFUNCTION("""COMPUTED_VALUE"""),"EnterAccountValuesToAllocate")</f>
        <v>EnterAccountValuesToAllocate</v>
      </c>
      <c r="AT4" s="25" t="str">
        <f>IFERROR(__xludf.DUMMYFUNCTION("""COMPUTED_VALUE"""),"EnterAllocatePreference")</f>
        <v>EnterAllocatePreference</v>
      </c>
      <c r="AU4" s="25" t="str">
        <f>IFERROR(__xludf.DUMMYFUNCTION("""COMPUTED_VALUE"""),"EnterStrategyValuesToAllocate")</f>
        <v>EnterStrategyValuesToAllocate</v>
      </c>
      <c r="AV4" s="25" t="str">
        <f>IFERROR(__xludf.DUMMYFUNCTION("""COMPUTED_VALUE"""),"CopyCalculatedPreferenceToolbar")</f>
        <v>CopyCalculatedPreferenceToolbar</v>
      </c>
      <c r="AW4" s="25" t="str">
        <f>IFERROR(__xludf.DUMMYFUNCTION("""COMPUTED_VALUE"""),"SetGeneralRuleCalculatedPref")</f>
        <v>SetGeneralRuleCalculatedPref</v>
      </c>
      <c r="AX4" s="25" t="str">
        <f>IFERROR(__xludf.DUMMYFUNCTION("""COMPUTED_VALUE"""),"ExportAllCalculatedPreferences")</f>
        <v>ExportAllCalculatedPreferences</v>
      </c>
      <c r="AY4" s="25" t="str">
        <f>IFERROR(__xludf.DUMMYFUNCTION("""COMPUTED_VALUE"""),"SaveCalculatedPreferences")</f>
        <v>SaveCalculatedPreferences</v>
      </c>
      <c r="AZ4" s="25" t="str">
        <f>IFERROR(__xludf.DUMMYFUNCTION("""COMPUTED_VALUE"""),"CloseCalculatedPreferences")</f>
        <v>CloseCalculatedPreferences</v>
      </c>
      <c r="BA4" s="25" t="str">
        <f>IFERROR(__xludf.DUMMYFUNCTION("""COMPUTED_VALUE"""),"ExportCalculatedPreference")</f>
        <v>ExportCalculatedPreference</v>
      </c>
      <c r="BB4" s="25" t="str">
        <f>IFERROR(__xludf.DUMMYFUNCTION("""COMPUTED_VALUE"""),"ImportCalculatedPreferences")</f>
        <v>ImportCalculatedPreferences</v>
      </c>
      <c r="BC4" s="25" t="str">
        <f>IFERROR(__xludf.DUMMYFUNCTION("""COMPUTED_VALUE"""),"IsAllocationOpen")</f>
        <v>IsAllocationOpen</v>
      </c>
      <c r="BD4" s="25" t="str">
        <f>IFERROR(__xludf.DUMMYFUNCTION("""COMPUTED_VALUE"""),"OpenAuditTrailUnallocatedGroup")</f>
        <v>OpenAuditTrailUnallocatedGroup</v>
      </c>
      <c r="BE4" s="25" t="str">
        <f>IFERROR(__xludf.DUMMYFUNCTION("""COMPUTED_VALUE"""),"DeleteCalculatedPreferencesTool")</f>
        <v>DeleteCalculatedPreferencesTool</v>
      </c>
      <c r="BF4" s="25" t="str">
        <f>IFERROR(__xludf.DUMMYFUNCTION("""COMPUTED_VALUE"""),"ImportCalculatedPreferencesTool")</f>
        <v>ImportCalculatedPreferencesTool</v>
      </c>
      <c r="BG4" s="25" t="str">
        <f>IFERROR(__xludf.DUMMYFUNCTION("""COMPUTED_VALUE"""),"SetAvgPriceRounding")</f>
        <v>SetAvgPriceRounding</v>
      </c>
      <c r="BH4" s="25" t="str">
        <f>IFERROR(__xludf.DUMMYFUNCTION("""COMPUTED_VALUE"""),"SetAutoGroupingAccount")</f>
        <v>SetAutoGroupingAccount</v>
      </c>
      <c r="BI4" s="25" t="str">
        <f>IFERROR(__xludf.DUMMYFUNCTION("""COMPUTED_VALUE"""),"SetAutoGroupingPreferences")</f>
        <v>SetAutoGroupingPreferences</v>
      </c>
      <c r="BJ4" s="25" t="str">
        <f>IFERROR(__xludf.DUMMYFUNCTION("""COMPUTED_VALUE"""),"ExportAllCalculatedPreferTool")</f>
        <v>ExportAllCalculatedPreferTool</v>
      </c>
      <c r="BK4" s="25" t="str">
        <f>IFERROR(__xludf.DUMMYFUNCTION("""COMPUTED_VALUE"""),"EnterCustomAllocatePreference")</f>
        <v>EnterCustomAllocatePreference</v>
      </c>
      <c r="BL4" s="25" t="str">
        <f>IFERROR(__xludf.DUMMYFUNCTION("""COMPUTED_VALUE"""),"OpenSymbolLookupUnallocateGroup")</f>
        <v>OpenSymbolLookupUnallocateGroup</v>
      </c>
      <c r="BM4" s="25" t="str">
        <f>IFERROR(__xludf.DUMMYFUNCTION("""COMPUTED_VALUE"""),"OpenAuditTrailAllocatedGroup")</f>
        <v>OpenAuditTrailAllocatedGroup</v>
      </c>
      <c r="BN4" s="25" t="str">
        <f>IFERROR(__xludf.DUMMYFUNCTION("""COMPUTED_VALUE"""),"OpenSymbolLookupAllocatedGroup")</f>
        <v>OpenSymbolLookupAllocatedGroup</v>
      </c>
      <c r="BO4" s="25" t="str">
        <f>IFERROR(__xludf.DUMMYFUNCTION("""COMPUTED_VALUE"""),"DeleteFixedPreference")</f>
        <v>DeleteFixedPreference</v>
      </c>
      <c r="BP4" s="25" t="str">
        <f>IFERROR(__xludf.DUMMYFUNCTION("""COMPUTED_VALUE"""),"SetTradeAttributePreferences")</f>
        <v>SetTradeAttributePreferences</v>
      </c>
      <c r="BQ4" s="25" t="str">
        <f>IFERROR(__xludf.DUMMYFUNCTION("""COMPUTED_VALUE"""),"EditAllocatedGroupSidePanel")</f>
        <v>EditAllocatedGroupSidePanel</v>
      </c>
      <c r="BR4" s="25" t="str">
        <f>IFERROR(__xludf.DUMMYFUNCTION("""COMPUTED_VALUE"""),"ExpandCollapseAllocatedGrid")</f>
        <v>ExpandCollapseAllocatedGrid</v>
      </c>
      <c r="BS4" s="25" t="str">
        <f>IFERROR(__xludf.DUMMYFUNCTION("""COMPUTED_VALUE"""),"ExpandCollapseUnallocatedGrid")</f>
        <v>ExpandCollapseUnallocatedGrid</v>
      </c>
      <c r="BT4" s="25" t="str">
        <f>IFERROR(__xludf.DUMMYFUNCTION("""COMPUTED_VALUE"""),"EditAllocatedGridTaxlot")</f>
        <v>EditAllocatedGridTaxlot</v>
      </c>
      <c r="BU4" s="25" t="str">
        <f>IFERROR(__xludf.DUMMYFUNCTION("""COMPUTED_VALUE"""),"CheckUnallocatedGroups")</f>
        <v>CheckUnallocatedGroups</v>
      </c>
      <c r="BV4" s="25" t="str">
        <f>IFERROR(__xludf.DUMMYFUNCTION("""COMPUTED_VALUE"""),"EditAllocatedGridWPF")</f>
        <v>EditAllocatedGridWPF</v>
      </c>
      <c r="BW4" s="25" t="str">
        <f>IFERROR(__xludf.DUMMYFUNCTION("""COMPUTED_VALUE"""),"SetGeneralPreferences")</f>
        <v>SetGeneralPreferences</v>
      </c>
      <c r="BX4" s="25" t="str">
        <f>IFERROR(__xludf.DUMMYFUNCTION("""COMPUTED_VALUE"""),"EditUnallocatedGridWPF")</f>
        <v>EditUnallocatedGridWPF</v>
      </c>
      <c r="BY4" s="25" t="str">
        <f>IFERROR(__xludf.DUMMYFUNCTION("""COMPUTED_VALUE"""),"SetBrokerAccountMapping")</f>
        <v>SetBrokerAccountMapping</v>
      </c>
      <c r="BZ4" s="25" t="str">
        <f>IFERROR(__xludf.DUMMYFUNCTION("""COMPUTED_VALUE"""),"ShowMasterFundAsClient")</f>
        <v>ShowMasterFundAsClient</v>
      </c>
      <c r="CA4" s="25" t="str">
        <f>IFERROR(__xludf.DUMMYFUNCTION("""COMPUTED_VALUE"""),"ShowMasterFundOnTT")</f>
        <v>ShowMasterFundOnTT</v>
      </c>
      <c r="CB4" s="25" t="str">
        <f>IFERROR(__xludf.DUMMYFUNCTION("""COMPUTED_VALUE"""),"ApplyMasterFundFilter")</f>
        <v>ApplyMasterFundFilter</v>
      </c>
      <c r="CC4" s="25" t="str">
        <f>IFERROR(__xludf.DUMMYFUNCTION("""COMPUTED_VALUE"""),"GroupTrades")</f>
        <v>GroupTrades</v>
      </c>
      <c r="CD4" s="25" t="str">
        <f>IFERROR(__xludf.DUMMYFUNCTION("""COMPUTED_VALUE"""),"DisableCheckside")</f>
        <v>DisableCheckside</v>
      </c>
      <c r="CE4" s="25" t="str">
        <f>IFERROR(__xludf.DUMMYFUNCTION("""COMPUTED_VALUE"""),"UngroupTrades")</f>
        <v>UngroupTrades</v>
      </c>
      <c r="CF4" s="25" t="str">
        <f>IFERROR(__xludf.DUMMYFUNCTION("""COMPUTED_VALUE"""),"DisableChecksideForCounterParty")</f>
        <v>DisableChecksideForCounterParty</v>
      </c>
      <c r="CG4" s="25" t="str">
        <f>IFERROR(__xludf.DUMMYFUNCTION("""COMPUTED_VALUE"""),"DisableChecksideForAccount")</f>
        <v>DisableChecksideForAccount</v>
      </c>
      <c r="CH4" s="25" t="str">
        <f>IFERROR(__xludf.DUMMYFUNCTION("""COMPUTED_VALUE"""),"DeleteGroup")</f>
        <v>DeleteGroup</v>
      </c>
      <c r="CI4" s="25" t="str">
        <f>IFERROR(__xludf.DUMMYFUNCTION("""COMPUTED_VALUE"""),"DisableChecksideForAsset")</f>
        <v>DisableChecksideForAsset</v>
      </c>
      <c r="CJ4" s="25" t="str">
        <f>IFERROR(__xludf.DUMMYFUNCTION("""COMPUTED_VALUE"""),"CloseOrder")</f>
        <v>CloseOrder</v>
      </c>
      <c r="CK4" s="25" t="str">
        <f>IFERROR(__xludf.DUMMYFUNCTION("""COMPUTED_VALUE"""),"Unallocate")</f>
        <v>Unallocate</v>
      </c>
      <c r="CL4" s="25" t="str">
        <f>IFERROR(__xludf.DUMMYFUNCTION("""COMPUTED_VALUE"""),"CloseAllocation")</f>
        <v>CloseAllocation</v>
      </c>
      <c r="CM4" s="25" t="str">
        <f>IFERROR(__xludf.DUMMYFUNCTION("""COMPUTED_VALUE"""),"CheckAllocatedTaxlots")</f>
        <v>CheckAllocatedTaxlots</v>
      </c>
      <c r="CN4" s="25" t="str">
        <f>IFERROR(__xludf.DUMMYFUNCTION("""COMPUTED_VALUE"""),"CleanUp")</f>
        <v>CleanUp</v>
      </c>
      <c r="CO4" s="25" t="str">
        <f>IFERROR(__xludf.DUMMYFUNCTION("""COMPUTED_VALUE"""),"VerifyLayoutAllocatedGrid")</f>
        <v>VerifyLayoutAllocatedGrid</v>
      </c>
      <c r="CP4" s="25" t="str">
        <f>IFERROR(__xludf.DUMMYFUNCTION("""COMPUTED_VALUE"""),"VerifyLayoutUnallocatedGrid")</f>
        <v>VerifyLayoutUnallocatedGrid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IFERROR(__xludf.DUMMYFUNCTION("""COMPUTED_VALUE"""),"ClearFiltersAllocatedGrid")</f>
        <v>ClearFiltersAllocatedGrid</v>
      </c>
      <c r="CS4" s="25" t="str">
        <f>IFERROR(__xludf.DUMMYFUNCTION("""COMPUTED_VALUE"""),"UpdateGRAccountValue")</f>
        <v>UpdateGRAccountValue</v>
      </c>
      <c r="CT4" s="25" t="str">
        <f>IFERROR(__xludf.DUMMYFUNCTION("""COMPUTED_VALUE"""),"UpdateGRStrategyValue")</f>
        <v>UpdateGRStrategyValue</v>
      </c>
      <c r="CU4" s="25" t="str">
        <f>IFERROR(__xludf.DUMMYFUNCTION("""COMPUTED_VALUE"""),"UpdateGRDefaultRule")</f>
        <v>UpdateGRDefaultRule</v>
      </c>
      <c r="CV4" s="25" t="str">
        <f>IFERROR(__xludf.DUMMYFUNCTION("""COMPUTED_VALUE"""),"UpdateGeneralRulePref")</f>
        <v>UpdateGeneralRulePref</v>
      </c>
      <c r="CW4" s="25" t="str">
        <f>IFERROR(__xludf.DUMMYFUNCTION("""COMPUTED_VALUE"""),"AddMFPreferences")</f>
        <v>AddMFPreferences</v>
      </c>
      <c r="CX4" s="25" t="str">
        <f>IFERROR(__xludf.DUMMYFUNCTION("""COMPUTED_VALUE"""),"ModifyGRPreferenceValues")</f>
        <v>ModifyGRPreferenceValues</v>
      </c>
      <c r="CY4" s="25" t="str">
        <f>IFERROR(__xludf.DUMMYFUNCTION("""COMPUTED_VALUE"""),"AddMFPreferenceToolbar")</f>
        <v>AddMFPreferenceToolbar</v>
      </c>
      <c r="CZ4" s="25" t="str">
        <f>IFERROR(__xludf.DUMMYFUNCTION("""COMPUTED_VALUE"""),"DeleteMFPreferences")</f>
        <v>DeleteMFPreferences</v>
      </c>
      <c r="DA4" s="25" t="str">
        <f>IFERROR(__xludf.DUMMYFUNCTION("""COMPUTED_VALUE"""),"SaveLayoutAllocationUI")</f>
        <v>SaveLayoutAllocationUI</v>
      </c>
      <c r="DB4" s="25" t="str">
        <f>IFERROR(__xludf.DUMMYFUNCTION("""COMPUTED_VALUE"""),"DeleteMFPreferenceToolbar")</f>
        <v>DeleteMFPreferenceToolbar</v>
      </c>
      <c r="DC4" s="25" t="str">
        <f>IFERROR(__xludf.DUMMYFUNCTION("""COMPUTED_VALUE"""),"SaveLayoutUnallocatedGrid")</f>
        <v>SaveLayoutUnallocatedGrid</v>
      </c>
      <c r="DD4" s="25" t="str">
        <f>IFERROR(__xludf.DUMMYFUNCTION("""COMPUTED_VALUE"""),"SaveLayoutAllocatedGrid")</f>
        <v>SaveLayoutAllocatedGrid</v>
      </c>
      <c r="DE4" s="25" t="str">
        <f>IFERROR(__xludf.DUMMYFUNCTION("""COMPUTED_VALUE"""),"EditAllocatedGrid")</f>
        <v>EditAllocatedGrid</v>
      </c>
      <c r="DF4" s="25" t="str">
        <f>IFERROR(__xludf.DUMMYFUNCTION("""COMPUTED_VALUE"""),"EditUnallocatedGrid")</f>
        <v>EditUnallocatedGrid</v>
      </c>
      <c r="DG4" s="25" t="str">
        <f>IFERROR(__xludf.DUMMYFUNCTION("""COMPUTED_VALUE"""),"UnallocateWithOutSave")</f>
        <v>UnallocateWithOutSave</v>
      </c>
      <c r="DH4" s="25" t="str">
        <f>IFERROR(__xludf.DUMMYFUNCTION("""COMPUTED_VALUE"""),"SaveAllocation")</f>
        <v>SaveAllocation</v>
      </c>
      <c r="DI4" s="25" t="str">
        <f>IFERROR(__xludf.DUMMYFUNCTION("""COMPUTED_VALUE"""),"GenerateCashTransaction")</f>
        <v>GenerateCashTransaction</v>
      </c>
      <c r="DJ4" s="25" t="str">
        <f>IFERROR(__xludf.DUMMYFUNCTION("""COMPUTED_VALUE"""),"ExpandCollapseAllAllocated")</f>
        <v>ExpandCollapseAllAllocated</v>
      </c>
      <c r="DK4" s="25" t="str">
        <f>IFERROR(__xludf.DUMMYFUNCTION("""COMPUTED_VALUE"""),"ExpandCollapseAllUnallocated")</f>
        <v>ExpandCollapseAllUnallocated</v>
      </c>
      <c r="DL4" s="25" t="str">
        <f>IFERROR(__xludf.DUMMYFUNCTION("""COMPUTED_VALUE"""),"ClearPrefetchFilters")</f>
        <v>ClearPrefetchFilters</v>
      </c>
      <c r="DM4" s="25" t="str">
        <f>IFERROR(__xludf.DUMMYFUNCTION("""COMPUTED_VALUE"""),"RenameMFPreferences")</f>
        <v>RenameMFPreferences</v>
      </c>
      <c r="DN4" s="25" t="str">
        <f>IFERROR(__xludf.DUMMYFUNCTION("""COMPUTED_VALUE"""),"SetMFPrefFundDefaultRule")</f>
        <v>SetMFPrefFundDefaultRule</v>
      </c>
      <c r="DO4" s="25" t="str">
        <f>IFERROR(__xludf.DUMMYFUNCTION("""COMPUTED_VALUE"""),"SaveCloseMFPreference")</f>
        <v>SaveCloseMFPreference</v>
      </c>
      <c r="DP4" s="25" t="str">
        <f>IFERROR(__xludf.DUMMYFUNCTION("""COMPUTED_VALUE"""),"SetMFPrefAccountValues")</f>
        <v>SetMFPrefAccountValues</v>
      </c>
      <c r="DQ4" s="25" t="str">
        <f>IFERROR(__xludf.DUMMYFUNCTION("""COMPUTED_VALUE"""),"SetMFPreferencesDefaultRule")</f>
        <v>SetMFPreferencesDefaultRule</v>
      </c>
      <c r="DR4" s="25" t="str">
        <f>IFERROR(__xludf.DUMMYFUNCTION("""COMPUTED_VALUE"""),"SetMFPrefFundDistribution")</f>
        <v>SetMFPrefFundDistribution</v>
      </c>
      <c r="DS4" s="25" t="str">
        <f>IFERROR(__xludf.DUMMYFUNCTION("""COMPUTED_VALUE"""),"SetMFPrefGeneralRule")</f>
        <v>SetMFPrefGeneralRule</v>
      </c>
      <c r="DT4" s="25" t="str">
        <f>IFERROR(__xludf.DUMMYFUNCTION("""COMPUTED_VALUE"""),"ModifyMFPrefGeneralRuleValues")</f>
        <v>ModifyMFPrefGeneralRuleValues</v>
      </c>
      <c r="DU4" s="25" t="str">
        <f>IFERROR(__xludf.DUMMYFUNCTION("""COMPUTED_VALUE"""),"SetMFPrefStrategyValues")</f>
        <v>SetMFPrefStrategyValues</v>
      </c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50</v>
      </c>
      <c r="C6" s="8"/>
      <c r="D6" s="11"/>
      <c r="E6" s="5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IFERROR(__xludf.DUMMYFUNCTION("""COMPUTED_VALUE"""),"SelectAllRowsAllocated")</f>
        <v>SelectAllRowsAllocated</v>
      </c>
      <c r="J4" s="24" t="str">
        <f>IFERROR(__xludf.DUMMYFUNCTION("""COMPUTED_VALUE"""),"AllocateWithPopUp")</f>
        <v>AllocateWithPopUp</v>
      </c>
      <c r="K4" s="24" t="str">
        <f>IFERROR(__xludf.DUMMYFUNCTION("""COMPUTED_VALUE"""),"EditUnallocatedGroupSidePanel")</f>
        <v>EditUnallocatedGroupSidePanel</v>
      </c>
      <c r="L4" s="24" t="str">
        <f>IFERROR(__xludf.DUMMYFUNCTION("""COMPUTED_VALUE"""),"CheckPreferences")</f>
        <v>CheckPreferences</v>
      </c>
      <c r="M4" s="24" t="str">
        <f>IFERROR(__xludf.DUMMYFUNCTION("""COMPUTED_VALUE"""),"DeleteGroupWithOutSave")</f>
        <v>DeleteGroupWithOutSave</v>
      </c>
      <c r="N4" s="24" t="str">
        <f>IFERROR(__xludf.DUMMYFUNCTION("""COMPUTED_VALUE"""),"TradeAttributeBulkChange")</f>
        <v>TradeAttributeBulkChange</v>
      </c>
      <c r="O4" s="24" t="str">
        <f>IFERROR(__xludf.DUMMYFUNCTION("""COMPUTED_VALUE"""),"ApplyBulkUpdateOnGroups")</f>
        <v>ApplyBulkUpdateOnGroups</v>
      </c>
      <c r="P4" s="25" t="str">
        <f>IFERROR(__xludf.DUMMYFUNCTION("""COMPUTED_VALUE"""),"ApplyPrefetchFilters")</f>
        <v>ApplyPrefetchFilters</v>
      </c>
      <c r="Q4" s="25" t="str">
        <f>IFERROR(__xludf.DUMMYFUNCTION("""COMPUTED_VALUE"""),"GeneralPreferencesDefaultRule")</f>
        <v>GeneralPreferencesDefaultRule</v>
      </c>
      <c r="R4" s="25" t="str">
        <f>IFERROR(__xludf.DUMMYFUNCTION("""COMPUTED_VALUE"""),"GeneralPrefCompanyUserWise")</f>
        <v>GeneralPrefCompanyUserWise</v>
      </c>
      <c r="S4" s="25" t="str">
        <f>IFERROR(__xludf.DUMMYFUNCTION("""COMPUTED_VALUE"""),"RenameTradeAttributes")</f>
        <v>RenameTradeAttributes</v>
      </c>
      <c r="T4" s="25" t="str">
        <f>IFERROR(__xludf.DUMMYFUNCTION("""COMPUTED_VALUE"""),"SetGroupingRules")</f>
        <v>SetGroupingRules</v>
      </c>
      <c r="U4" s="25" t="str">
        <f>IFERROR(__xludf.DUMMYFUNCTION("""COMPUTED_VALUE"""),"SetMasterFundRatio")</f>
        <v>SetMasterFundRatio</v>
      </c>
      <c r="V4" s="25" t="str">
        <f>IFERROR(__xludf.DUMMYFUNCTION("""COMPUTED_VALUE"""),"CheckFixedPreference")</f>
        <v>CheckFixedPreference</v>
      </c>
      <c r="W4" s="25" t="str">
        <f>IFERROR(__xludf.DUMMYFUNCTION("""COMPUTED_VALUE"""),"GetFixedPreference")</f>
        <v>GetFixedPreference</v>
      </c>
      <c r="X4" s="25" t="str">
        <f>IFERROR(__xludf.DUMMYFUNCTION("""COMPUTED_VALUE"""),"AddCalculatedPreferences")</f>
        <v>AddCalculatedPreferences</v>
      </c>
      <c r="Y4" s="25" t="str">
        <f>IFERROR(__xludf.DUMMYFUNCTION("""COMPUTED_VALUE"""),"BulkChangeCalculatedPreferences")</f>
        <v>BulkChangeCalculatedPreferences</v>
      </c>
      <c r="Z4" s="25" t="str">
        <f>IFERROR(__xludf.DUMMYFUNCTION("""COMPUTED_VALUE"""),"CheckAuditTrailData")</f>
        <v>CheckAuditTrailData</v>
      </c>
      <c r="AA4" s="25" t="str">
        <f>IFERROR(__xludf.DUMMYFUNCTION("""COMPUTED_VALUE"""),"DeleteCalculatedPreferences")</f>
        <v>DeleteCalculatedPreferences</v>
      </c>
      <c r="AB4" s="25" t="str">
        <f>IFERROR(__xludf.DUMMYFUNCTION("""COMPUTED_VALUE"""),"GetAuditTrailData")</f>
        <v>GetAuditTrailData</v>
      </c>
      <c r="AC4" s="25" t="str">
        <f>IFERROR(__xludf.DUMMYFUNCTION("""COMPUTED_VALUE"""),"RenameCalculatedPreferences")</f>
        <v>RenameCalculatedPreferences</v>
      </c>
      <c r="AD4" s="25" t="str">
        <f>IFERROR(__xludf.DUMMYFUNCTION("""COMPUTED_VALUE"""),"AllocationAuditTrail")</f>
        <v>AllocationAuditTrail</v>
      </c>
      <c r="AE4" s="25" t="str">
        <f>IFERROR(__xludf.DUMMYFUNCTION("""COMPUTED_VALUE"""),"CopyCalculatedPreferences")</f>
        <v>CopyCalculatedPreferences</v>
      </c>
      <c r="AF4" s="25" t="str">
        <f>IFERROR(__xludf.DUMMYFUNCTION("""COMPUTED_VALUE"""),"RunAutoGroup")</f>
        <v>RunAutoGroup</v>
      </c>
      <c r="AG4" s="25" t="str">
        <f>IFERROR(__xludf.DUMMYFUNCTION("""COMPUTED_VALUE"""),"BookOrUpdateSwap")</f>
        <v>BookOrUpdateSwap</v>
      </c>
      <c r="AH4" s="25" t="str">
        <f>IFERROR(__xludf.DUMMYFUNCTION("""COMPUTED_VALUE"""),"SetDefaultRuleCalculatedPref")</f>
        <v>SetDefaultRuleCalculatedPref</v>
      </c>
      <c r="AI4" s="25" t="str">
        <f>IFERROR(__xludf.DUMMYFUNCTION("""COMPUTED_VALUE"""),"RunProrata")</f>
        <v>RunProrata</v>
      </c>
      <c r="AJ4" s="25" t="str">
        <f>IFERROR(__xludf.DUMMYFUNCTION("""COMPUTED_VALUE"""),"SetAccountValueCalculatedPref")</f>
        <v>SetAccountValueCalculatedPref</v>
      </c>
      <c r="AK4" s="25" t="str">
        <f>IFERROR(__xludf.DUMMYFUNCTION("""COMPUTED_VALUE"""),"TradeAttributeBulkChangeGroups")</f>
        <v>TradeAttributeBulkChangeGroups</v>
      </c>
      <c r="AL4" s="25" t="str">
        <f>IFERROR(__xludf.DUMMYFUNCTION("""COMPUTED_VALUE"""),"TradeAttributeBulkChangeTaxlots")</f>
        <v>TradeAttributeBulkChangeTaxlots</v>
      </c>
      <c r="AM4" s="25" t="str">
        <f>IFERROR(__xludf.DUMMYFUNCTION("""COMPUTED_VALUE"""),"AddCalculatedPreferenceToolbar")</f>
        <v>AddCalculatedPreferenceToolbar</v>
      </c>
      <c r="AN4" s="25" t="str">
        <f>IFERROR(__xludf.DUMMYFUNCTION("""COMPUTED_VALUE"""),"SetStrategyValueCalculatedPref")</f>
        <v>SetStrategyValueCalculatedPref</v>
      </c>
      <c r="AO4" s="25" t="str">
        <f>IFERROR(__xludf.DUMMYFUNCTION("""COMPUTED_VALUE"""),"ApplyBulkUpdateOnTaxlots")</f>
        <v>ApplyBulkUpdateOnTaxlots</v>
      </c>
      <c r="AP4" s="25" t="str">
        <f>IFERROR(__xludf.DUMMYFUNCTION("""COMPUTED_VALUE"""),"CommissionBulkChangeOnGroups")</f>
        <v>CommissionBulkChangeOnGroups</v>
      </c>
      <c r="AQ4" s="25" t="str">
        <f>IFERROR(__xludf.DUMMYFUNCTION("""COMPUTED_VALUE"""),"CommissionBulkChangeOnTaxlots")</f>
        <v>CommissionBulkChangeOnTaxlots</v>
      </c>
      <c r="AR4" s="25" t="str">
        <f>IFERROR(__xludf.DUMMYFUNCTION("""COMPUTED_VALUE"""),"SelectUnallocatedGroup")</f>
        <v>SelectUnallocatedGroup</v>
      </c>
      <c r="AS4" s="25" t="str">
        <f>IFERROR(__xludf.DUMMYFUNCTION("""COMPUTED_VALUE"""),"EnterAccountValuesToAllocate")</f>
        <v>EnterAccountValuesToAllocate</v>
      </c>
      <c r="AT4" s="25" t="str">
        <f>IFERROR(__xludf.DUMMYFUNCTION("""COMPUTED_VALUE"""),"EnterAllocatePreference")</f>
        <v>EnterAllocatePreference</v>
      </c>
      <c r="AU4" s="25" t="str">
        <f>IFERROR(__xludf.DUMMYFUNCTION("""COMPUTED_VALUE"""),"EnterStrategyValuesToAllocate")</f>
        <v>EnterStrategyValuesToAllocate</v>
      </c>
      <c r="AV4" s="25" t="str">
        <f>IFERROR(__xludf.DUMMYFUNCTION("""COMPUTED_VALUE"""),"CopyCalculatedPreferenceToolbar")</f>
        <v>CopyCalculatedPreferenceToolbar</v>
      </c>
      <c r="AW4" s="25" t="str">
        <f>IFERROR(__xludf.DUMMYFUNCTION("""COMPUTED_VALUE"""),"SetGeneralRuleCalculatedPref")</f>
        <v>SetGeneralRuleCalculatedPref</v>
      </c>
      <c r="AX4" s="25" t="str">
        <f>IFERROR(__xludf.DUMMYFUNCTION("""COMPUTED_VALUE"""),"ExportAllCalculatedPreferences")</f>
        <v>ExportAllCalculatedPreferences</v>
      </c>
      <c r="AY4" s="25" t="str">
        <f>IFERROR(__xludf.DUMMYFUNCTION("""COMPUTED_VALUE"""),"SaveCalculatedPreferences")</f>
        <v>SaveCalculatedPreferences</v>
      </c>
      <c r="AZ4" s="25" t="str">
        <f>IFERROR(__xludf.DUMMYFUNCTION("""COMPUTED_VALUE"""),"CloseCalculatedPreferences")</f>
        <v>CloseCalculatedPreferences</v>
      </c>
      <c r="BA4" s="25" t="str">
        <f>IFERROR(__xludf.DUMMYFUNCTION("""COMPUTED_VALUE"""),"ExportCalculatedPreference")</f>
        <v>ExportCalculatedPreference</v>
      </c>
      <c r="BB4" s="25" t="str">
        <f>IFERROR(__xludf.DUMMYFUNCTION("""COMPUTED_VALUE"""),"ImportCalculatedPreferences")</f>
        <v>ImportCalculatedPreferences</v>
      </c>
      <c r="BC4" s="25" t="str">
        <f>IFERROR(__xludf.DUMMYFUNCTION("""COMPUTED_VALUE"""),"IsAllocationOpen")</f>
        <v>IsAllocationOpen</v>
      </c>
      <c r="BD4" s="25" t="str">
        <f>IFERROR(__xludf.DUMMYFUNCTION("""COMPUTED_VALUE"""),"OpenAuditTrailUnallocatedGroup")</f>
        <v>OpenAuditTrailUnallocatedGroup</v>
      </c>
      <c r="BE4" s="25" t="str">
        <f>IFERROR(__xludf.DUMMYFUNCTION("""COMPUTED_VALUE"""),"DeleteCalculatedPreferencesTool")</f>
        <v>DeleteCalculatedPreferencesTool</v>
      </c>
      <c r="BF4" s="25" t="str">
        <f>IFERROR(__xludf.DUMMYFUNCTION("""COMPUTED_VALUE"""),"ImportCalculatedPreferencesTool")</f>
        <v>ImportCalculatedPreferencesTool</v>
      </c>
      <c r="BG4" s="25" t="str">
        <f>IFERROR(__xludf.DUMMYFUNCTION("""COMPUTED_VALUE"""),"SetAvgPriceRounding")</f>
        <v>SetAvgPriceRounding</v>
      </c>
      <c r="BH4" s="25" t="str">
        <f>IFERROR(__xludf.DUMMYFUNCTION("""COMPUTED_VALUE"""),"SetAutoGroupingAccount")</f>
        <v>SetAutoGroupingAccount</v>
      </c>
      <c r="BI4" s="25" t="str">
        <f>IFERROR(__xludf.DUMMYFUNCTION("""COMPUTED_VALUE"""),"SetAutoGroupingPreferences")</f>
        <v>SetAutoGroupingPreferences</v>
      </c>
      <c r="BJ4" s="25" t="str">
        <f>IFERROR(__xludf.DUMMYFUNCTION("""COMPUTED_VALUE"""),"ExportAllCalculatedPreferTool")</f>
        <v>ExportAllCalculatedPreferTool</v>
      </c>
      <c r="BK4" s="25" t="str">
        <f>IFERROR(__xludf.DUMMYFUNCTION("""COMPUTED_VALUE"""),"EnterCustomAllocatePreference")</f>
        <v>EnterCustomAllocatePreference</v>
      </c>
      <c r="BL4" s="25" t="str">
        <f>IFERROR(__xludf.DUMMYFUNCTION("""COMPUTED_VALUE"""),"OpenSymbolLookupUnallocateGroup")</f>
        <v>OpenSymbolLookupUnallocateGroup</v>
      </c>
      <c r="BM4" s="25" t="str">
        <f>IFERROR(__xludf.DUMMYFUNCTION("""COMPUTED_VALUE"""),"OpenAuditTrailAllocatedGroup")</f>
        <v>OpenAuditTrailAllocatedGroup</v>
      </c>
      <c r="BN4" s="25" t="str">
        <f>IFERROR(__xludf.DUMMYFUNCTION("""COMPUTED_VALUE"""),"OpenSymbolLookupAllocatedGroup")</f>
        <v>OpenSymbolLookupAllocatedGroup</v>
      </c>
      <c r="BO4" s="25" t="str">
        <f>IFERROR(__xludf.DUMMYFUNCTION("""COMPUTED_VALUE"""),"DeleteFixedPreference")</f>
        <v>DeleteFixedPreference</v>
      </c>
      <c r="BP4" s="25" t="str">
        <f>IFERROR(__xludf.DUMMYFUNCTION("""COMPUTED_VALUE"""),"SetTradeAttributePreferences")</f>
        <v>SetTradeAttributePreferences</v>
      </c>
      <c r="BQ4" s="25" t="str">
        <f>IFERROR(__xludf.DUMMYFUNCTION("""COMPUTED_VALUE"""),"EditAllocatedGroupSidePanel")</f>
        <v>EditAllocatedGroupSidePanel</v>
      </c>
      <c r="BR4" s="25" t="str">
        <f>IFERROR(__xludf.DUMMYFUNCTION("""COMPUTED_VALUE"""),"ExpandCollapseAllocatedGrid")</f>
        <v>ExpandCollapseAllocatedGrid</v>
      </c>
      <c r="BS4" s="25" t="str">
        <f>IFERROR(__xludf.DUMMYFUNCTION("""COMPUTED_VALUE"""),"ExpandCollapseUnallocatedGrid")</f>
        <v>ExpandCollapseUnallocatedGrid</v>
      </c>
      <c r="BT4" s="25" t="str">
        <f>IFERROR(__xludf.DUMMYFUNCTION("""COMPUTED_VALUE"""),"EditAllocatedGridTaxlot")</f>
        <v>EditAllocatedGridTaxlot</v>
      </c>
      <c r="BU4" s="25" t="str">
        <f>IFERROR(__xludf.DUMMYFUNCTION("""COMPUTED_VALUE"""),"CheckUnallocatedGroups")</f>
        <v>CheckUnallocatedGroups</v>
      </c>
      <c r="BV4" s="25" t="str">
        <f>IFERROR(__xludf.DUMMYFUNCTION("""COMPUTED_VALUE"""),"EditAllocatedGridWPF")</f>
        <v>EditAllocatedGridWPF</v>
      </c>
      <c r="BW4" s="25" t="str">
        <f>IFERROR(__xludf.DUMMYFUNCTION("""COMPUTED_VALUE"""),"SetGeneralPreferences")</f>
        <v>SetGeneralPreferences</v>
      </c>
      <c r="BX4" s="25" t="str">
        <f>IFERROR(__xludf.DUMMYFUNCTION("""COMPUTED_VALUE"""),"EditUnallocatedGridWPF")</f>
        <v>EditUnallocatedGridWPF</v>
      </c>
      <c r="BY4" s="25" t="str">
        <f>IFERROR(__xludf.DUMMYFUNCTION("""COMPUTED_VALUE"""),"SetBrokerAccountMapping")</f>
        <v>SetBrokerAccountMapping</v>
      </c>
      <c r="BZ4" s="25" t="str">
        <f>IFERROR(__xludf.DUMMYFUNCTION("""COMPUTED_VALUE"""),"ShowMasterFundAsClient")</f>
        <v>ShowMasterFundAsClient</v>
      </c>
      <c r="CA4" s="25" t="str">
        <f>IFERROR(__xludf.DUMMYFUNCTION("""COMPUTED_VALUE"""),"ShowMasterFundOnTT")</f>
        <v>ShowMasterFundOnTT</v>
      </c>
      <c r="CB4" s="25" t="str">
        <f>IFERROR(__xludf.DUMMYFUNCTION("""COMPUTED_VALUE"""),"ApplyMasterFundFilter")</f>
        <v>ApplyMasterFundFilter</v>
      </c>
      <c r="CC4" s="25" t="str">
        <f>IFERROR(__xludf.DUMMYFUNCTION("""COMPUTED_VALUE"""),"GroupTrades")</f>
        <v>GroupTrades</v>
      </c>
      <c r="CD4" s="25" t="str">
        <f>IFERROR(__xludf.DUMMYFUNCTION("""COMPUTED_VALUE"""),"DisableCheckside")</f>
        <v>DisableCheckside</v>
      </c>
      <c r="CE4" s="25" t="str">
        <f>IFERROR(__xludf.DUMMYFUNCTION("""COMPUTED_VALUE"""),"UngroupTrades")</f>
        <v>UngroupTrades</v>
      </c>
      <c r="CF4" s="25" t="str">
        <f>IFERROR(__xludf.DUMMYFUNCTION("""COMPUTED_VALUE"""),"DisableChecksideForCounterParty")</f>
        <v>DisableChecksideForCounterParty</v>
      </c>
      <c r="CG4" s="25" t="str">
        <f>IFERROR(__xludf.DUMMYFUNCTION("""COMPUTED_VALUE"""),"DisableChecksideForAccount")</f>
        <v>DisableChecksideForAccount</v>
      </c>
      <c r="CH4" s="25" t="str">
        <f>IFERROR(__xludf.DUMMYFUNCTION("""COMPUTED_VALUE"""),"DeleteGroup")</f>
        <v>DeleteGroup</v>
      </c>
      <c r="CI4" s="25" t="str">
        <f>IFERROR(__xludf.DUMMYFUNCTION("""COMPUTED_VALUE"""),"DisableChecksideForAsset")</f>
        <v>DisableChecksideForAsset</v>
      </c>
      <c r="CJ4" s="25" t="str">
        <f>IFERROR(__xludf.DUMMYFUNCTION("""COMPUTED_VALUE"""),"CloseOrder")</f>
        <v>CloseOrder</v>
      </c>
      <c r="CK4" s="25" t="str">
        <f>IFERROR(__xludf.DUMMYFUNCTION("""COMPUTED_VALUE"""),"Unallocate")</f>
        <v>Unallocate</v>
      </c>
      <c r="CL4" s="25" t="str">
        <f>IFERROR(__xludf.DUMMYFUNCTION("""COMPUTED_VALUE"""),"CloseAllocation")</f>
        <v>CloseAllocation</v>
      </c>
      <c r="CM4" s="25" t="str">
        <f>IFERROR(__xludf.DUMMYFUNCTION("""COMPUTED_VALUE"""),"CheckAllocatedTaxlots")</f>
        <v>CheckAllocatedTaxlots</v>
      </c>
      <c r="CN4" s="25" t="str">
        <f>IFERROR(__xludf.DUMMYFUNCTION("""COMPUTED_VALUE"""),"CleanUp")</f>
        <v>CleanUp</v>
      </c>
      <c r="CO4" s="25" t="str">
        <f>IFERROR(__xludf.DUMMYFUNCTION("""COMPUTED_VALUE"""),"VerifyLayoutAllocatedGrid")</f>
        <v>VerifyLayoutAllocatedGrid</v>
      </c>
      <c r="CP4" s="25" t="str">
        <f>IFERROR(__xludf.DUMMYFUNCTION("""COMPUTED_VALUE"""),"VerifyLayoutUnallocatedGrid")</f>
        <v>VerifyLayoutUnallocatedGrid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IFERROR(__xludf.DUMMYFUNCTION("""COMPUTED_VALUE"""),"ClearFiltersAllocatedGrid")</f>
        <v>ClearFiltersAllocatedGrid</v>
      </c>
      <c r="CS4" s="25" t="str">
        <f>IFERROR(__xludf.DUMMYFUNCTION("""COMPUTED_VALUE"""),"UpdateGRAccountValue")</f>
        <v>UpdateGRAccountValue</v>
      </c>
      <c r="CT4" s="25" t="str">
        <f>IFERROR(__xludf.DUMMYFUNCTION("""COMPUTED_VALUE"""),"UpdateGRStrategyValue")</f>
        <v>UpdateGRStrategyValue</v>
      </c>
      <c r="CU4" s="25" t="str">
        <f>IFERROR(__xludf.DUMMYFUNCTION("""COMPUTED_VALUE"""),"UpdateGRDefaultRule")</f>
        <v>UpdateGRDefaultRule</v>
      </c>
      <c r="CV4" s="25" t="str">
        <f>IFERROR(__xludf.DUMMYFUNCTION("""COMPUTED_VALUE"""),"UpdateGeneralRulePref")</f>
        <v>UpdateGeneralRulePref</v>
      </c>
      <c r="CW4" s="25" t="str">
        <f>IFERROR(__xludf.DUMMYFUNCTION("""COMPUTED_VALUE"""),"AddMFPreferences")</f>
        <v>AddMFPreferences</v>
      </c>
      <c r="CX4" s="25" t="str">
        <f>IFERROR(__xludf.DUMMYFUNCTION("""COMPUTED_VALUE"""),"ModifyGRPreferenceValues")</f>
        <v>ModifyGRPreferenceValues</v>
      </c>
      <c r="CY4" s="25" t="str">
        <f>IFERROR(__xludf.DUMMYFUNCTION("""COMPUTED_VALUE"""),"AddMFPreferenceToolbar")</f>
        <v>AddMFPreferenceToolbar</v>
      </c>
      <c r="CZ4" s="25" t="str">
        <f>IFERROR(__xludf.DUMMYFUNCTION("""COMPUTED_VALUE"""),"DeleteMFPreferences")</f>
        <v>DeleteMFPreferences</v>
      </c>
      <c r="DA4" s="25" t="str">
        <f>IFERROR(__xludf.DUMMYFUNCTION("""COMPUTED_VALUE"""),"SaveLayoutAllocationUI")</f>
        <v>SaveLayoutAllocationUI</v>
      </c>
      <c r="DB4" s="25" t="str">
        <f>IFERROR(__xludf.DUMMYFUNCTION("""COMPUTED_VALUE"""),"DeleteMFPreferenceToolbar")</f>
        <v>DeleteMFPreferenceToolbar</v>
      </c>
      <c r="DC4" s="25" t="str">
        <f>IFERROR(__xludf.DUMMYFUNCTION("""COMPUTED_VALUE"""),"SaveLayoutUnallocatedGrid")</f>
        <v>SaveLayoutUnallocatedGrid</v>
      </c>
      <c r="DD4" s="25" t="str">
        <f>IFERROR(__xludf.DUMMYFUNCTION("""COMPUTED_VALUE"""),"SaveLayoutAllocatedGrid")</f>
        <v>SaveLayoutAllocatedGrid</v>
      </c>
      <c r="DE4" s="25" t="str">
        <f>IFERROR(__xludf.DUMMYFUNCTION("""COMPUTED_VALUE"""),"EditAllocatedGrid")</f>
        <v>EditAllocatedGrid</v>
      </c>
      <c r="DF4" s="25" t="str">
        <f>IFERROR(__xludf.DUMMYFUNCTION("""COMPUTED_VALUE"""),"EditUnallocatedGrid")</f>
        <v>EditUnallocatedGrid</v>
      </c>
      <c r="DG4" s="25" t="str">
        <f>IFERROR(__xludf.DUMMYFUNCTION("""COMPUTED_VALUE"""),"UnallocateWithOutSave")</f>
        <v>UnallocateWithOutSave</v>
      </c>
      <c r="DH4" s="25" t="str">
        <f>IFERROR(__xludf.DUMMYFUNCTION("""COMPUTED_VALUE"""),"SaveAllocation")</f>
        <v>SaveAllocation</v>
      </c>
      <c r="DI4" s="25" t="str">
        <f>IFERROR(__xludf.DUMMYFUNCTION("""COMPUTED_VALUE"""),"GenerateCashTransaction")</f>
        <v>GenerateCashTransaction</v>
      </c>
      <c r="DJ4" s="25" t="str">
        <f>IFERROR(__xludf.DUMMYFUNCTION("""COMPUTED_VALUE"""),"ExpandCollapseAllAllocated")</f>
        <v>ExpandCollapseAllAllocated</v>
      </c>
      <c r="DK4" s="25" t="str">
        <f>IFERROR(__xludf.DUMMYFUNCTION("""COMPUTED_VALUE"""),"ExpandCollapseAllUnallocated")</f>
        <v>ExpandCollapseAllUnallocated</v>
      </c>
      <c r="DL4" s="25" t="str">
        <f>IFERROR(__xludf.DUMMYFUNCTION("""COMPUTED_VALUE"""),"ClearPrefetchFilters")</f>
        <v>ClearPrefetchFilters</v>
      </c>
      <c r="DM4" s="25" t="str">
        <f>IFERROR(__xludf.DUMMYFUNCTION("""COMPUTED_VALUE"""),"RenameMFPreferences")</f>
        <v>RenameMFPreferences</v>
      </c>
      <c r="DN4" s="25" t="str">
        <f>IFERROR(__xludf.DUMMYFUNCTION("""COMPUTED_VALUE"""),"SetMFPrefFundDefaultRule")</f>
        <v>SetMFPrefFundDefaultRule</v>
      </c>
      <c r="DO4" s="25" t="str">
        <f>IFERROR(__xludf.DUMMYFUNCTION("""COMPUTED_VALUE"""),"SaveCloseMFPreference")</f>
        <v>SaveCloseMFPreference</v>
      </c>
      <c r="DP4" s="25" t="str">
        <f>IFERROR(__xludf.DUMMYFUNCTION("""COMPUTED_VALUE"""),"SetMFPrefAccountValues")</f>
        <v>SetMFPrefAccountValues</v>
      </c>
      <c r="DQ4" s="25" t="str">
        <f>IFERROR(__xludf.DUMMYFUNCTION("""COMPUTED_VALUE"""),"SetMFPreferencesDefaultRule")</f>
        <v>SetMFPreferencesDefaultRule</v>
      </c>
      <c r="DR4" s="25" t="str">
        <f>IFERROR(__xludf.DUMMYFUNCTION("""COMPUTED_VALUE"""),"SetMFPrefFundDistribution")</f>
        <v>SetMFPrefFundDistribution</v>
      </c>
      <c r="DS4" s="25" t="str">
        <f>IFERROR(__xludf.DUMMYFUNCTION("""COMPUTED_VALUE"""),"SetMFPrefGeneralRule")</f>
        <v>SetMFPrefGeneralRule</v>
      </c>
      <c r="DT4" s="25" t="str">
        <f>IFERROR(__xludf.DUMMYFUNCTION("""COMPUTED_VALUE"""),"ModifyMFPrefGeneralRuleValues")</f>
        <v>ModifyMFPrefGeneralRuleValues</v>
      </c>
      <c r="DU4" s="25" t="str">
        <f>IFERROR(__xludf.DUMMYFUNCTION("""COMPUTED_VALUE"""),"SetMFPrefStrategyValues")</f>
        <v>SetMFPrefStrategyValues</v>
      </c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0" t="s">
        <v>18</v>
      </c>
      <c r="C6" s="60"/>
      <c r="D6" s="61"/>
      <c r="E6" s="61">
        <v>100.35</v>
      </c>
      <c r="F6" s="60" t="s">
        <v>46</v>
      </c>
      <c r="G6" s="60" t="s">
        <v>27</v>
      </c>
      <c r="H6" s="61">
        <v>4.0</v>
      </c>
      <c r="I6" s="61">
        <v>5.0</v>
      </c>
      <c r="J6" s="61">
        <v>1.0</v>
      </c>
      <c r="K6" s="61">
        <v>0.0</v>
      </c>
      <c r="L6" s="61">
        <v>0.0</v>
      </c>
      <c r="M6" s="60" t="s">
        <v>26</v>
      </c>
      <c r="N6" s="60"/>
      <c r="O6" s="60" t="s">
        <v>33</v>
      </c>
      <c r="P6" s="62"/>
      <c r="Q6" s="61"/>
      <c r="R6" s="61">
        <v>0.0</v>
      </c>
      <c r="S6" s="60" t="s">
        <v>52</v>
      </c>
      <c r="T6" s="61">
        <v>0.0</v>
      </c>
      <c r="U6" s="61">
        <v>0.0</v>
      </c>
      <c r="V6" s="60"/>
      <c r="W6" s="61"/>
      <c r="X6" s="61"/>
      <c r="Y6" s="62"/>
      <c r="Z6" s="60" t="s">
        <v>41</v>
      </c>
      <c r="AA6" s="60"/>
      <c r="AB6" s="61">
        <v>1.0</v>
      </c>
      <c r="AC6" s="60"/>
      <c r="AD6" s="60" t="s">
        <v>37</v>
      </c>
      <c r="AE6" s="61">
        <v>100.35</v>
      </c>
      <c r="AF6" s="63"/>
      <c r="AG6" s="63"/>
      <c r="AH6" s="60" t="s">
        <v>43</v>
      </c>
      <c r="AI6" s="61">
        <v>1.0</v>
      </c>
      <c r="AJ6" s="60" t="s">
        <v>53</v>
      </c>
      <c r="AK6" s="62"/>
      <c r="AL6" s="62"/>
      <c r="AM6" s="60"/>
      <c r="AN6" s="60" t="b">
        <v>0</v>
      </c>
      <c r="AO6" s="62"/>
      <c r="AP6" s="60" t="b">
        <v>1</v>
      </c>
      <c r="AQ6" s="60" t="b">
        <v>0</v>
      </c>
      <c r="AR6" s="60" t="b">
        <v>1</v>
      </c>
      <c r="AS6" s="61"/>
      <c r="AT6" s="61">
        <v>14.0</v>
      </c>
      <c r="AU6" s="61">
        <v>14.0</v>
      </c>
      <c r="AV6" s="64"/>
      <c r="AW6" s="61">
        <v>0.0</v>
      </c>
      <c r="AX6" s="61">
        <v>0.0</v>
      </c>
      <c r="AY6" s="60" t="s">
        <v>45</v>
      </c>
      <c r="AZ6" s="61">
        <v>0.0</v>
      </c>
      <c r="BA6" s="64"/>
      <c r="BB6" s="62"/>
      <c r="BC6" s="61">
        <v>0.0</v>
      </c>
      <c r="BD6" s="60"/>
      <c r="BE6" s="61">
        <v>0.0</v>
      </c>
      <c r="BF6" s="61">
        <v>0.0</v>
      </c>
      <c r="BG6" s="64"/>
      <c r="BH6" s="62"/>
      <c r="BI6" s="62"/>
      <c r="BJ6" s="61">
        <v>100.35</v>
      </c>
      <c r="BK6" s="61">
        <v>0.0</v>
      </c>
      <c r="BL6" s="60"/>
      <c r="BM6" s="60" t="s">
        <v>41</v>
      </c>
      <c r="BN6" s="64"/>
      <c r="BO6" s="60" t="s">
        <v>17</v>
      </c>
      <c r="BP6" s="61">
        <v>0.0</v>
      </c>
      <c r="BQ6" s="61">
        <v>0.0</v>
      </c>
      <c r="BR6" s="61">
        <v>0.0</v>
      </c>
      <c r="BS6" s="60" t="s">
        <v>54</v>
      </c>
      <c r="BT6" s="60" t="s">
        <v>16</v>
      </c>
      <c r="BU6" s="61">
        <v>3.0</v>
      </c>
      <c r="BV6" s="61">
        <v>0.0</v>
      </c>
      <c r="BW6" s="61">
        <v>14.0</v>
      </c>
      <c r="BX6" s="61">
        <v>0.0</v>
      </c>
      <c r="CF6" s="60" t="s">
        <v>40</v>
      </c>
      <c r="CG6" s="61">
        <v>2.0</v>
      </c>
      <c r="CH6" s="60" t="s">
        <v>12</v>
      </c>
      <c r="CI6" s="60" t="s">
        <v>17</v>
      </c>
      <c r="CJ6" s="61">
        <v>0.0</v>
      </c>
      <c r="CK6" s="60" t="s">
        <v>39</v>
      </c>
      <c r="CL6" s="61">
        <v>1.0</v>
      </c>
      <c r="CM6" s="60" t="s">
        <v>16</v>
      </c>
      <c r="CN6" s="60"/>
      <c r="CO6" s="60" t="s">
        <v>37</v>
      </c>
      <c r="CP6" s="60" t="s">
        <v>55</v>
      </c>
      <c r="CR6" s="62"/>
      <c r="CS6" s="61"/>
      <c r="CT6" s="62"/>
      <c r="CU6" s="62"/>
      <c r="CV6" s="64"/>
      <c r="CW6" s="63"/>
      <c r="CX6" s="62"/>
      <c r="CY6" s="62"/>
      <c r="CZ6" s="61"/>
      <c r="DA6" s="62"/>
      <c r="DB6" s="61"/>
      <c r="DC6" s="62"/>
      <c r="DD6" s="60"/>
    </row>
    <row r="7" ht="15.75" customHeight="1">
      <c r="A7" s="8"/>
      <c r="B7" s="60" t="s">
        <v>20</v>
      </c>
      <c r="C7" s="60"/>
      <c r="D7" s="61"/>
      <c r="E7" s="61">
        <v>4.56</v>
      </c>
      <c r="F7" s="60" t="s">
        <v>46</v>
      </c>
      <c r="G7" s="60" t="s">
        <v>27</v>
      </c>
      <c r="H7" s="61">
        <v>4.0</v>
      </c>
      <c r="I7" s="61">
        <v>5.0</v>
      </c>
      <c r="J7" s="61">
        <v>1.0</v>
      </c>
      <c r="K7" s="61">
        <v>0.0</v>
      </c>
      <c r="L7" s="61">
        <v>0.0</v>
      </c>
      <c r="M7" s="60" t="s">
        <v>29</v>
      </c>
      <c r="N7" s="60"/>
      <c r="O7" s="60" t="s">
        <v>33</v>
      </c>
      <c r="P7" s="62"/>
      <c r="Q7" s="61"/>
      <c r="R7" s="61">
        <v>0.0</v>
      </c>
      <c r="S7" s="60" t="s">
        <v>52</v>
      </c>
      <c r="T7" s="61">
        <v>0.0</v>
      </c>
      <c r="U7" s="61">
        <v>0.0</v>
      </c>
      <c r="V7" s="60"/>
      <c r="W7" s="61"/>
      <c r="X7" s="61"/>
      <c r="Y7" s="62"/>
      <c r="Z7" s="60" t="s">
        <v>41</v>
      </c>
      <c r="AA7" s="60"/>
      <c r="AB7" s="61">
        <v>1.0</v>
      </c>
      <c r="AC7" s="60"/>
      <c r="AD7" s="60" t="s">
        <v>37</v>
      </c>
      <c r="AE7" s="61">
        <v>4.56</v>
      </c>
      <c r="AF7" s="63"/>
      <c r="AG7" s="63"/>
      <c r="AH7" s="60" t="s">
        <v>43</v>
      </c>
      <c r="AI7" s="61">
        <v>1.0</v>
      </c>
      <c r="AJ7" s="60" t="s">
        <v>53</v>
      </c>
      <c r="AK7" s="62"/>
      <c r="AL7" s="62"/>
      <c r="AM7" s="60"/>
      <c r="AN7" s="60" t="b">
        <v>0</v>
      </c>
      <c r="AO7" s="60"/>
      <c r="AP7" s="60" t="b">
        <v>1</v>
      </c>
      <c r="AQ7" s="60" t="b">
        <v>0</v>
      </c>
      <c r="AR7" s="60" t="b">
        <v>1</v>
      </c>
      <c r="AS7" s="61"/>
      <c r="AT7" s="61">
        <v>14.0</v>
      </c>
      <c r="AU7" s="61">
        <v>14.0</v>
      </c>
      <c r="AV7" s="64"/>
      <c r="AW7" s="61">
        <v>0.0</v>
      </c>
      <c r="AX7" s="61">
        <v>0.0</v>
      </c>
      <c r="AY7" s="60" t="s">
        <v>45</v>
      </c>
      <c r="AZ7" s="61">
        <v>0.0</v>
      </c>
      <c r="BA7" s="64"/>
      <c r="BB7" s="62"/>
      <c r="BC7" s="61">
        <v>0.0</v>
      </c>
      <c r="BD7" s="60"/>
      <c r="BE7" s="61">
        <v>0.0</v>
      </c>
      <c r="BF7" s="61">
        <v>0.0</v>
      </c>
      <c r="BG7" s="64"/>
      <c r="BH7" s="62"/>
      <c r="BI7" s="62"/>
      <c r="BJ7" s="61">
        <v>4.56</v>
      </c>
      <c r="BK7" s="61">
        <v>0.0</v>
      </c>
      <c r="BL7" s="60"/>
      <c r="BM7" s="60" t="s">
        <v>41</v>
      </c>
      <c r="BN7" s="64"/>
      <c r="BO7" s="60" t="s">
        <v>17</v>
      </c>
      <c r="BP7" s="61">
        <v>0.0</v>
      </c>
      <c r="BQ7" s="61">
        <v>0.0</v>
      </c>
      <c r="BR7" s="61">
        <v>0.0</v>
      </c>
      <c r="BS7" s="60" t="s">
        <v>54</v>
      </c>
      <c r="BT7" s="60" t="s">
        <v>19</v>
      </c>
      <c r="BU7" s="61">
        <v>3.0</v>
      </c>
      <c r="BV7" s="61">
        <v>0.0</v>
      </c>
      <c r="BW7" s="61">
        <v>14.0</v>
      </c>
      <c r="BX7" s="61">
        <v>0.0</v>
      </c>
      <c r="CF7" s="60" t="s">
        <v>40</v>
      </c>
      <c r="CG7" s="61">
        <v>2.0</v>
      </c>
      <c r="CH7" s="60" t="s">
        <v>12</v>
      </c>
      <c r="CI7" s="60" t="s">
        <v>17</v>
      </c>
      <c r="CJ7" s="61">
        <v>0.0</v>
      </c>
      <c r="CK7" s="60" t="s">
        <v>39</v>
      </c>
      <c r="CL7" s="61">
        <v>1.0</v>
      </c>
      <c r="CM7" s="60" t="s">
        <v>19</v>
      </c>
      <c r="CN7" s="60"/>
      <c r="CO7" s="60" t="s">
        <v>37</v>
      </c>
      <c r="CP7" s="60" t="s">
        <v>55</v>
      </c>
      <c r="CR7" s="62"/>
      <c r="CS7" s="61"/>
      <c r="CT7" s="62"/>
      <c r="CU7" s="62"/>
      <c r="CV7" s="64"/>
      <c r="CW7" s="63"/>
      <c r="CX7" s="62"/>
      <c r="CY7" s="62"/>
      <c r="CZ7" s="61"/>
      <c r="DA7" s="62"/>
      <c r="DB7" s="61"/>
      <c r="DC7" s="62"/>
      <c r="DD7" s="60"/>
    </row>
    <row r="8" ht="15.75" customHeight="1">
      <c r="A8" s="8"/>
      <c r="B8" s="60" t="s">
        <v>22</v>
      </c>
      <c r="C8" s="60"/>
      <c r="D8" s="61"/>
      <c r="E8" s="61">
        <v>185.36</v>
      </c>
      <c r="F8" s="60" t="s">
        <v>46</v>
      </c>
      <c r="G8" s="60" t="s">
        <v>27</v>
      </c>
      <c r="H8" s="61">
        <v>4.0</v>
      </c>
      <c r="I8" s="61">
        <v>5.0</v>
      </c>
      <c r="J8" s="61">
        <v>1.0</v>
      </c>
      <c r="K8" s="61">
        <v>0.0</v>
      </c>
      <c r="L8" s="61">
        <v>0.0</v>
      </c>
      <c r="M8" s="60" t="s">
        <v>30</v>
      </c>
      <c r="N8" s="60"/>
      <c r="O8" s="60" t="s">
        <v>33</v>
      </c>
      <c r="P8" s="62"/>
      <c r="Q8" s="61"/>
      <c r="R8" s="61">
        <v>0.0</v>
      </c>
      <c r="S8" s="60" t="s">
        <v>52</v>
      </c>
      <c r="T8" s="61">
        <v>0.0</v>
      </c>
      <c r="U8" s="61">
        <v>0.0</v>
      </c>
      <c r="V8" s="60"/>
      <c r="W8" s="61"/>
      <c r="X8" s="61"/>
      <c r="Y8" s="62"/>
      <c r="Z8" s="60" t="s">
        <v>41</v>
      </c>
      <c r="AA8" s="60"/>
      <c r="AB8" s="61">
        <v>1.0</v>
      </c>
      <c r="AC8" s="60"/>
      <c r="AD8" s="60" t="s">
        <v>37</v>
      </c>
      <c r="AE8" s="61">
        <v>185.36</v>
      </c>
      <c r="AF8" s="63"/>
      <c r="AG8" s="63"/>
      <c r="AH8" s="60" t="s">
        <v>43</v>
      </c>
      <c r="AI8" s="61">
        <v>1.0</v>
      </c>
      <c r="AJ8" s="60" t="s">
        <v>53</v>
      </c>
      <c r="AK8" s="62"/>
      <c r="AL8" s="62"/>
      <c r="AM8" s="60"/>
      <c r="AN8" s="60" t="b">
        <v>0</v>
      </c>
      <c r="AO8" s="60"/>
      <c r="AP8" s="60" t="b">
        <v>1</v>
      </c>
      <c r="AQ8" s="60" t="b">
        <v>0</v>
      </c>
      <c r="AR8" s="60" t="b">
        <v>1</v>
      </c>
      <c r="AS8" s="61"/>
      <c r="AT8" s="61">
        <v>14.0</v>
      </c>
      <c r="AU8" s="61">
        <v>14.0</v>
      </c>
      <c r="AV8" s="64"/>
      <c r="AW8" s="61">
        <v>0.0</v>
      </c>
      <c r="AX8" s="61">
        <v>0.0</v>
      </c>
      <c r="AY8" s="60" t="s">
        <v>45</v>
      </c>
      <c r="AZ8" s="61">
        <v>0.0</v>
      </c>
      <c r="BA8" s="64"/>
      <c r="BB8" s="62"/>
      <c r="BC8" s="61">
        <v>0.0</v>
      </c>
      <c r="BD8" s="60"/>
      <c r="BE8" s="61">
        <v>0.0</v>
      </c>
      <c r="BF8" s="61">
        <v>0.0</v>
      </c>
      <c r="BG8" s="64"/>
      <c r="BH8" s="62"/>
      <c r="BI8" s="62"/>
      <c r="BJ8" s="61">
        <v>185.36</v>
      </c>
      <c r="BK8" s="61">
        <v>0.0</v>
      </c>
      <c r="BL8" s="60"/>
      <c r="BM8" s="60" t="s">
        <v>41</v>
      </c>
      <c r="BN8" s="64"/>
      <c r="BO8" s="60" t="s">
        <v>17</v>
      </c>
      <c r="BP8" s="61">
        <v>0.0</v>
      </c>
      <c r="BQ8" s="61">
        <v>0.0</v>
      </c>
      <c r="BR8" s="61">
        <v>0.0</v>
      </c>
      <c r="BS8" s="60" t="s">
        <v>54</v>
      </c>
      <c r="BT8" s="60" t="s">
        <v>21</v>
      </c>
      <c r="BU8" s="61">
        <v>3.0</v>
      </c>
      <c r="BV8" s="61">
        <v>0.0</v>
      </c>
      <c r="BW8" s="61">
        <v>14.0</v>
      </c>
      <c r="BX8" s="61">
        <v>0.0</v>
      </c>
      <c r="CF8" s="60" t="s">
        <v>40</v>
      </c>
      <c r="CG8" s="61">
        <v>2.0</v>
      </c>
      <c r="CH8" s="60" t="s">
        <v>12</v>
      </c>
      <c r="CI8" s="60" t="s">
        <v>17</v>
      </c>
      <c r="CJ8" s="61">
        <v>0.0</v>
      </c>
      <c r="CK8" s="60" t="s">
        <v>39</v>
      </c>
      <c r="CL8" s="61">
        <v>1.0</v>
      </c>
      <c r="CM8" s="60" t="s">
        <v>21</v>
      </c>
      <c r="CN8" s="60"/>
      <c r="CO8" s="60" t="s">
        <v>37</v>
      </c>
      <c r="CP8" s="60" t="s">
        <v>55</v>
      </c>
      <c r="CR8" s="62"/>
      <c r="CS8" s="61"/>
      <c r="CT8" s="62"/>
      <c r="CU8" s="62"/>
      <c r="CV8" s="64"/>
      <c r="CW8" s="63"/>
      <c r="CX8" s="62"/>
      <c r="CY8" s="62"/>
      <c r="CZ8" s="61"/>
      <c r="DA8" s="62"/>
      <c r="DB8" s="61"/>
      <c r="DC8" s="62"/>
      <c r="DD8" s="60"/>
    </row>
    <row r="9" ht="15.75" customHeight="1">
      <c r="A9" s="8"/>
      <c r="B9" s="60" t="s">
        <v>18</v>
      </c>
      <c r="C9" s="60"/>
      <c r="D9" s="61"/>
      <c r="E9" s="65">
        <v>1000.0</v>
      </c>
      <c r="F9" s="60" t="s">
        <v>46</v>
      </c>
      <c r="G9" s="60" t="s">
        <v>27</v>
      </c>
      <c r="H9" s="61">
        <v>4.0</v>
      </c>
      <c r="I9" s="61">
        <v>5.0</v>
      </c>
      <c r="J9" s="61">
        <v>1.0</v>
      </c>
      <c r="K9" s="61">
        <v>0.0</v>
      </c>
      <c r="L9" s="61">
        <v>0.0</v>
      </c>
      <c r="M9" s="60" t="s">
        <v>26</v>
      </c>
      <c r="N9" s="60"/>
      <c r="O9" s="60" t="s">
        <v>33</v>
      </c>
      <c r="P9" s="62"/>
      <c r="Q9" s="61"/>
      <c r="R9" s="61">
        <v>0.0</v>
      </c>
      <c r="S9" s="60" t="s">
        <v>52</v>
      </c>
      <c r="T9" s="61">
        <v>0.0</v>
      </c>
      <c r="U9" s="61">
        <v>0.0</v>
      </c>
      <c r="V9" s="60"/>
      <c r="W9" s="61"/>
      <c r="X9" s="61"/>
      <c r="Y9" s="62"/>
      <c r="Z9" s="60" t="s">
        <v>41</v>
      </c>
      <c r="AA9" s="60"/>
      <c r="AB9" s="61">
        <v>1.0</v>
      </c>
      <c r="AC9" s="60"/>
      <c r="AD9" s="60" t="s">
        <v>37</v>
      </c>
      <c r="AE9" s="65">
        <v>1000.0</v>
      </c>
      <c r="AF9" s="63"/>
      <c r="AG9" s="63"/>
      <c r="AH9" s="60" t="s">
        <v>43</v>
      </c>
      <c r="AI9" s="61">
        <v>1.0</v>
      </c>
      <c r="AJ9" s="60" t="s">
        <v>53</v>
      </c>
      <c r="AK9" s="62"/>
      <c r="AL9" s="62"/>
      <c r="AM9" s="60"/>
      <c r="AN9" s="60" t="b">
        <v>0</v>
      </c>
      <c r="AO9" s="62"/>
      <c r="AP9" s="60" t="b">
        <v>1</v>
      </c>
      <c r="AQ9" s="60" t="b">
        <v>0</v>
      </c>
      <c r="AR9" s="60" t="b">
        <v>1</v>
      </c>
      <c r="AS9" s="61"/>
      <c r="AT9" s="61">
        <v>-14.0</v>
      </c>
      <c r="AU9" s="61">
        <v>-14.0</v>
      </c>
      <c r="AV9" s="64"/>
      <c r="AW9" s="61">
        <v>0.0</v>
      </c>
      <c r="AX9" s="61">
        <v>0.0</v>
      </c>
      <c r="AY9" s="60" t="s">
        <v>45</v>
      </c>
      <c r="AZ9" s="61">
        <v>0.0</v>
      </c>
      <c r="BA9" s="64"/>
      <c r="BB9" s="62"/>
      <c r="BC9" s="61">
        <v>0.0</v>
      </c>
      <c r="BD9" s="60"/>
      <c r="BE9" s="61">
        <v>0.0</v>
      </c>
      <c r="BF9" s="61">
        <v>0.0</v>
      </c>
      <c r="BG9" s="64"/>
      <c r="BH9" s="62"/>
      <c r="BI9" s="62"/>
      <c r="BJ9" s="65">
        <v>1000.0</v>
      </c>
      <c r="BK9" s="61">
        <v>0.0</v>
      </c>
      <c r="BL9" s="60"/>
      <c r="BM9" s="60" t="s">
        <v>41</v>
      </c>
      <c r="BN9" s="64"/>
      <c r="BO9" s="60" t="s">
        <v>23</v>
      </c>
      <c r="BP9" s="61">
        <v>0.0</v>
      </c>
      <c r="BQ9" s="61">
        <v>0.0</v>
      </c>
      <c r="BR9" s="61">
        <v>0.0</v>
      </c>
      <c r="BS9" s="60" t="s">
        <v>54</v>
      </c>
      <c r="BT9" s="60" t="s">
        <v>16</v>
      </c>
      <c r="BU9" s="61">
        <v>3.0</v>
      </c>
      <c r="BV9" s="61">
        <v>0.0</v>
      </c>
      <c r="BW9" s="61">
        <v>14.0</v>
      </c>
      <c r="BX9" s="61">
        <v>0.0</v>
      </c>
      <c r="CF9" s="60" t="s">
        <v>40</v>
      </c>
      <c r="CG9" s="61">
        <v>2.0</v>
      </c>
      <c r="CH9" s="60" t="s">
        <v>12</v>
      </c>
      <c r="CI9" s="60" t="s">
        <v>23</v>
      </c>
      <c r="CJ9" s="61">
        <v>0.0</v>
      </c>
      <c r="CK9" s="60" t="s">
        <v>39</v>
      </c>
      <c r="CL9" s="61">
        <v>1.0</v>
      </c>
      <c r="CM9" s="60" t="s">
        <v>16</v>
      </c>
      <c r="CN9" s="60"/>
      <c r="CO9" s="60" t="s">
        <v>37</v>
      </c>
      <c r="CP9" s="60" t="s">
        <v>55</v>
      </c>
      <c r="CR9" s="62"/>
      <c r="CS9" s="61"/>
      <c r="CT9" s="62"/>
      <c r="CU9" s="62"/>
      <c r="CV9" s="64"/>
      <c r="CW9" s="63"/>
      <c r="CX9" s="62"/>
      <c r="CY9" s="62"/>
      <c r="CZ9" s="61"/>
      <c r="DA9" s="62"/>
      <c r="DB9" s="61"/>
      <c r="DC9" s="62"/>
      <c r="DD9" s="60"/>
    </row>
    <row r="10" ht="15.75" customHeight="1">
      <c r="A10" s="8"/>
      <c r="B10" s="60" t="s">
        <v>20</v>
      </c>
      <c r="C10" s="60"/>
      <c r="D10" s="61"/>
      <c r="E10" s="61">
        <v>300.0</v>
      </c>
      <c r="F10" s="60" t="s">
        <v>46</v>
      </c>
      <c r="G10" s="60" t="s">
        <v>27</v>
      </c>
      <c r="H10" s="61">
        <v>4.0</v>
      </c>
      <c r="I10" s="61">
        <v>5.0</v>
      </c>
      <c r="J10" s="61">
        <v>1.0</v>
      </c>
      <c r="K10" s="61">
        <v>0.0</v>
      </c>
      <c r="L10" s="61">
        <v>0.0</v>
      </c>
      <c r="M10" s="60" t="s">
        <v>29</v>
      </c>
      <c r="N10" s="60"/>
      <c r="O10" s="60" t="s">
        <v>33</v>
      </c>
      <c r="P10" s="62"/>
      <c r="Q10" s="61"/>
      <c r="R10" s="61">
        <v>0.0</v>
      </c>
      <c r="S10" s="60" t="s">
        <v>52</v>
      </c>
      <c r="T10" s="61">
        <v>0.0</v>
      </c>
      <c r="U10" s="61">
        <v>0.0</v>
      </c>
      <c r="V10" s="60"/>
      <c r="W10" s="61"/>
      <c r="X10" s="61"/>
      <c r="Y10" s="62"/>
      <c r="Z10" s="60" t="s">
        <v>41</v>
      </c>
      <c r="AA10" s="60"/>
      <c r="AB10" s="61">
        <v>1.0</v>
      </c>
      <c r="AC10" s="60"/>
      <c r="AD10" s="60" t="s">
        <v>37</v>
      </c>
      <c r="AE10" s="61">
        <v>300.0</v>
      </c>
      <c r="AF10" s="63"/>
      <c r="AG10" s="63"/>
      <c r="AH10" s="60" t="s">
        <v>43</v>
      </c>
      <c r="AI10" s="61">
        <v>1.0</v>
      </c>
      <c r="AJ10" s="60" t="s">
        <v>53</v>
      </c>
      <c r="AK10" s="62"/>
      <c r="AL10" s="62"/>
      <c r="AM10" s="60"/>
      <c r="AN10" s="60" t="b">
        <v>0</v>
      </c>
      <c r="AO10" s="60"/>
      <c r="AP10" s="60" t="b">
        <v>1</v>
      </c>
      <c r="AQ10" s="60" t="b">
        <v>0</v>
      </c>
      <c r="AR10" s="60" t="b">
        <v>1</v>
      </c>
      <c r="AS10" s="61"/>
      <c r="AT10" s="61">
        <v>-14.0</v>
      </c>
      <c r="AU10" s="61">
        <v>-14.0</v>
      </c>
      <c r="AV10" s="64"/>
      <c r="AW10" s="61">
        <v>0.0</v>
      </c>
      <c r="AX10" s="61">
        <v>0.0</v>
      </c>
      <c r="AY10" s="60" t="s">
        <v>45</v>
      </c>
      <c r="AZ10" s="61">
        <v>0.0</v>
      </c>
      <c r="BA10" s="64"/>
      <c r="BB10" s="62"/>
      <c r="BC10" s="61">
        <v>0.0</v>
      </c>
      <c r="BD10" s="60"/>
      <c r="BE10" s="61">
        <v>0.0</v>
      </c>
      <c r="BF10" s="61">
        <v>0.0</v>
      </c>
      <c r="BG10" s="64"/>
      <c r="BH10" s="62"/>
      <c r="BI10" s="62"/>
      <c r="BJ10" s="61">
        <v>300.0</v>
      </c>
      <c r="BK10" s="61">
        <v>0.0</v>
      </c>
      <c r="BL10" s="60"/>
      <c r="BM10" s="60" t="s">
        <v>41</v>
      </c>
      <c r="BN10" s="64"/>
      <c r="BO10" s="60" t="s">
        <v>23</v>
      </c>
      <c r="BP10" s="61">
        <v>0.0</v>
      </c>
      <c r="BQ10" s="61">
        <v>0.0</v>
      </c>
      <c r="BR10" s="61">
        <v>0.0</v>
      </c>
      <c r="BS10" s="60" t="s">
        <v>54</v>
      </c>
      <c r="BT10" s="60" t="s">
        <v>19</v>
      </c>
      <c r="BU10" s="61">
        <v>3.0</v>
      </c>
      <c r="BV10" s="61">
        <v>0.0</v>
      </c>
      <c r="BW10" s="61">
        <v>14.0</v>
      </c>
      <c r="BX10" s="61">
        <v>0.0</v>
      </c>
      <c r="CF10" s="60" t="s">
        <v>40</v>
      </c>
      <c r="CG10" s="61">
        <v>2.0</v>
      </c>
      <c r="CH10" s="60" t="s">
        <v>12</v>
      </c>
      <c r="CI10" s="60" t="s">
        <v>23</v>
      </c>
      <c r="CJ10" s="61">
        <v>0.0</v>
      </c>
      <c r="CK10" s="60" t="s">
        <v>39</v>
      </c>
      <c r="CL10" s="61">
        <v>1.0</v>
      </c>
      <c r="CM10" s="60" t="s">
        <v>19</v>
      </c>
      <c r="CN10" s="60"/>
      <c r="CO10" s="60" t="s">
        <v>37</v>
      </c>
      <c r="CP10" s="60" t="s">
        <v>55</v>
      </c>
      <c r="CR10" s="62"/>
      <c r="CS10" s="61"/>
      <c r="CT10" s="62"/>
      <c r="CU10" s="62"/>
      <c r="CV10" s="64"/>
      <c r="CW10" s="63"/>
      <c r="CX10" s="62"/>
      <c r="CY10" s="62"/>
      <c r="CZ10" s="61"/>
      <c r="DA10" s="62"/>
      <c r="DB10" s="61"/>
      <c r="DC10" s="62"/>
      <c r="DD10" s="60"/>
    </row>
    <row r="11" ht="15.75" customHeight="1">
      <c r="A11" s="8"/>
      <c r="B11" s="60" t="s">
        <v>22</v>
      </c>
      <c r="C11" s="60"/>
      <c r="D11" s="61"/>
      <c r="E11" s="61">
        <v>400.0</v>
      </c>
      <c r="F11" s="60" t="s">
        <v>46</v>
      </c>
      <c r="G11" s="60" t="s">
        <v>27</v>
      </c>
      <c r="H11" s="61">
        <v>4.0</v>
      </c>
      <c r="I11" s="61">
        <v>5.0</v>
      </c>
      <c r="J11" s="61">
        <v>1.0</v>
      </c>
      <c r="K11" s="61">
        <v>0.0</v>
      </c>
      <c r="L11" s="61">
        <v>0.0</v>
      </c>
      <c r="M11" s="60" t="s">
        <v>30</v>
      </c>
      <c r="N11" s="60"/>
      <c r="O11" s="60" t="s">
        <v>33</v>
      </c>
      <c r="P11" s="62"/>
      <c r="Q11" s="61"/>
      <c r="R11" s="61">
        <v>0.0</v>
      </c>
      <c r="S11" s="60" t="s">
        <v>52</v>
      </c>
      <c r="T11" s="61">
        <v>0.0</v>
      </c>
      <c r="U11" s="61">
        <v>0.0</v>
      </c>
      <c r="V11" s="60"/>
      <c r="W11" s="61"/>
      <c r="X11" s="61"/>
      <c r="Y11" s="62"/>
      <c r="Z11" s="60" t="s">
        <v>41</v>
      </c>
      <c r="AA11" s="60"/>
      <c r="AB11" s="61">
        <v>1.0</v>
      </c>
      <c r="AC11" s="60"/>
      <c r="AD11" s="60" t="s">
        <v>37</v>
      </c>
      <c r="AE11" s="61">
        <v>400.0</v>
      </c>
      <c r="AF11" s="63"/>
      <c r="AG11" s="63"/>
      <c r="AH11" s="60" t="s">
        <v>43</v>
      </c>
      <c r="AI11" s="61">
        <v>1.0</v>
      </c>
      <c r="AJ11" s="60" t="s">
        <v>53</v>
      </c>
      <c r="AK11" s="62"/>
      <c r="AL11" s="62"/>
      <c r="AM11" s="60"/>
      <c r="AN11" s="60" t="b">
        <v>0</v>
      </c>
      <c r="AO11" s="60"/>
      <c r="AP11" s="60" t="b">
        <v>1</v>
      </c>
      <c r="AQ11" s="60" t="b">
        <v>0</v>
      </c>
      <c r="AR11" s="60" t="b">
        <v>1</v>
      </c>
      <c r="AS11" s="61"/>
      <c r="AT11" s="61">
        <v>-14.0</v>
      </c>
      <c r="AU11" s="61">
        <v>-14.0</v>
      </c>
      <c r="AV11" s="64"/>
      <c r="AW11" s="61">
        <v>0.0</v>
      </c>
      <c r="AX11" s="61">
        <v>0.0</v>
      </c>
      <c r="AY11" s="60" t="s">
        <v>45</v>
      </c>
      <c r="AZ11" s="61">
        <v>0.0</v>
      </c>
      <c r="BA11" s="64"/>
      <c r="BB11" s="62"/>
      <c r="BC11" s="61">
        <v>0.0</v>
      </c>
      <c r="BD11" s="60"/>
      <c r="BE11" s="61">
        <v>0.0</v>
      </c>
      <c r="BF11" s="61">
        <v>0.0</v>
      </c>
      <c r="BG11" s="64"/>
      <c r="BH11" s="62"/>
      <c r="BI11" s="62"/>
      <c r="BJ11" s="61">
        <v>400.0</v>
      </c>
      <c r="BK11" s="61">
        <v>0.0</v>
      </c>
      <c r="BL11" s="60"/>
      <c r="BM11" s="60" t="s">
        <v>41</v>
      </c>
      <c r="BN11" s="64"/>
      <c r="BO11" s="60" t="s">
        <v>23</v>
      </c>
      <c r="BP11" s="61">
        <v>0.0</v>
      </c>
      <c r="BQ11" s="61">
        <v>0.0</v>
      </c>
      <c r="BR11" s="61">
        <v>0.0</v>
      </c>
      <c r="BS11" s="60" t="s">
        <v>54</v>
      </c>
      <c r="BT11" s="60" t="s">
        <v>21</v>
      </c>
      <c r="BU11" s="61">
        <v>3.0</v>
      </c>
      <c r="BV11" s="61">
        <v>0.0</v>
      </c>
      <c r="BW11" s="61">
        <v>14.0</v>
      </c>
      <c r="BX11" s="61">
        <v>0.0</v>
      </c>
      <c r="CF11" s="60" t="s">
        <v>40</v>
      </c>
      <c r="CG11" s="61">
        <v>2.0</v>
      </c>
      <c r="CH11" s="60" t="s">
        <v>12</v>
      </c>
      <c r="CI11" s="60" t="s">
        <v>23</v>
      </c>
      <c r="CJ11" s="61">
        <v>0.0</v>
      </c>
      <c r="CK11" s="60" t="s">
        <v>39</v>
      </c>
      <c r="CL11" s="61">
        <v>1.0</v>
      </c>
      <c r="CM11" s="60" t="s">
        <v>21</v>
      </c>
      <c r="CN11" s="60"/>
      <c r="CO11" s="60" t="s">
        <v>37</v>
      </c>
      <c r="CP11" s="60" t="s">
        <v>55</v>
      </c>
      <c r="CR11" s="62"/>
      <c r="CS11" s="61"/>
      <c r="CT11" s="62"/>
      <c r="CU11" s="62"/>
      <c r="CV11" s="64"/>
      <c r="CW11" s="63"/>
      <c r="CX11" s="62"/>
      <c r="CY11" s="62"/>
      <c r="CZ11" s="61"/>
      <c r="DA11" s="62"/>
      <c r="DB11" s="61"/>
      <c r="DC11" s="62"/>
      <c r="DD11" s="6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34"/>
      <c r="B13" s="66"/>
      <c r="C13" s="66"/>
      <c r="D13" s="31"/>
      <c r="E13" s="31"/>
      <c r="F13" s="66"/>
      <c r="G13" s="66"/>
      <c r="H13" s="31"/>
      <c r="I13" s="31"/>
      <c r="J13" s="31"/>
      <c r="K13" s="31"/>
      <c r="L13" s="31"/>
      <c r="M13" s="31"/>
      <c r="N13" s="66"/>
      <c r="O13" s="66"/>
      <c r="P13" s="31"/>
      <c r="Q13" s="31"/>
      <c r="R13" s="31"/>
      <c r="S13" s="66"/>
      <c r="T13" s="34"/>
      <c r="U13" s="34"/>
      <c r="V13" s="67"/>
      <c r="W13" s="34"/>
      <c r="X13" s="34"/>
      <c r="Y13" s="34"/>
      <c r="Z13" s="67"/>
      <c r="AA13" s="34"/>
      <c r="AB13" s="34"/>
      <c r="AC13" s="67"/>
      <c r="AD13" s="67"/>
      <c r="AE13" s="34"/>
      <c r="AF13" s="68"/>
      <c r="AG13" s="69"/>
      <c r="AH13" s="67"/>
      <c r="AI13" s="34"/>
      <c r="AJ13" s="67"/>
      <c r="AK13" s="34"/>
      <c r="AL13" s="34"/>
      <c r="AM13" s="67"/>
      <c r="AN13" s="70"/>
      <c r="AO13" s="34"/>
      <c r="AP13" s="70"/>
      <c r="AQ13" s="70"/>
      <c r="AR13" s="70"/>
      <c r="AS13" s="34"/>
      <c r="AT13" s="71"/>
      <c r="AU13" s="71"/>
      <c r="AV13" s="72"/>
      <c r="AW13" s="34"/>
      <c r="AX13" s="34"/>
      <c r="AY13" s="67"/>
      <c r="AZ13" s="34"/>
      <c r="BA13" s="72"/>
      <c r="BB13" s="34"/>
      <c r="BC13" s="34"/>
      <c r="BD13" s="67"/>
      <c r="BE13" s="71"/>
      <c r="BF13" s="71"/>
      <c r="BG13" s="72"/>
      <c r="BH13" s="34"/>
      <c r="BI13" s="67"/>
      <c r="BJ13" s="34"/>
      <c r="BK13" s="34"/>
      <c r="BL13" s="34"/>
      <c r="BM13" s="67"/>
      <c r="BN13" s="72"/>
      <c r="BO13" s="67"/>
      <c r="BP13" s="34"/>
      <c r="BQ13" s="34"/>
      <c r="BR13" s="34"/>
      <c r="BS13" s="67"/>
      <c r="BT13" s="67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67"/>
      <c r="CG13" s="34"/>
      <c r="CH13" s="67"/>
      <c r="CI13" s="67"/>
      <c r="CJ13" s="34"/>
      <c r="CK13" s="67"/>
      <c r="CL13" s="34"/>
      <c r="CM13" s="67"/>
      <c r="CN13" s="67"/>
      <c r="CO13" s="67"/>
      <c r="CP13" s="67"/>
      <c r="CQ13" s="34"/>
      <c r="CR13" s="34"/>
      <c r="CS13" s="34"/>
      <c r="CT13" s="34"/>
      <c r="CU13" s="34"/>
      <c r="CV13" s="72"/>
      <c r="CW13" s="68"/>
      <c r="CX13" s="34"/>
      <c r="CY13" s="34"/>
      <c r="CZ13" s="34"/>
      <c r="DA13" s="34"/>
      <c r="DB13" s="34"/>
      <c r="DC13" s="34"/>
      <c r="DD13" s="67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IFERROR(__xludf.DUMMYFUNCTION("""COMPUTED_VALUE"""),"IncreasePositionFromPM")</f>
        <v>IncreasePositionFromPM</v>
      </c>
      <c r="G4" s="24" t="str">
        <f>IFERROR(__xludf.DUMMYFUNCTION("""COMPUTED_VALUE"""),"ClosePM")</f>
        <v>ClosePM</v>
      </c>
      <c r="H4" s="24" t="str">
        <f>IFERROR(__xludf.DUMMYFUNCTION("""COMPUTED_VALUE"""),"RemoveGroupingFromPM")</f>
        <v>RemoveGroupingFromPM</v>
      </c>
      <c r="I4" s="24" t="str">
        <f>IFERROR(__xludf.DUMMYFUNCTION("""COMPUTED_VALUE"""),"OpenCreateTransactionFromPM")</f>
        <v>OpenCreateTransactionFromPM</v>
      </c>
      <c r="J4" s="24" t="str">
        <f>IFERROR(__xludf.DUMMYFUNCTION("""COMPUTED_VALUE"""),"FilterPM")</f>
        <v>FilterPM</v>
      </c>
      <c r="K4" s="24" t="str">
        <f>IFERROR(__xludf.DUMMYFUNCTION("""COMPUTED_VALUE"""),"GroupRowPM")</f>
        <v>GroupRowPM</v>
      </c>
      <c r="L4" s="24" t="str">
        <f>IFERROR(__xludf.DUMMYFUNCTION("""COMPUTED_VALUE"""),"CheckDashboardWithPM")</f>
        <v>CheckDashboardWithPM</v>
      </c>
      <c r="M4" s="24" t="str">
        <f>IFERROR(__xludf.DUMMYFUNCTION("""COMPUTED_VALUE"""),"RemoveFilterPM")</f>
        <v>RemoveFilterPM</v>
      </c>
      <c r="N4" s="24" t="str">
        <f>IFERROR(__xludf.DUMMYFUNCTION("""COMPUTED_VALUE"""),"CheckSummaryRowsPM")</f>
        <v>CheckSummaryRowsPM</v>
      </c>
      <c r="O4" s="24" t="str">
        <f>IFERROR(__xludf.DUMMYFUNCTION("""COMPUTED_VALUE"""),"OpenPTTFromPM")</f>
        <v>OpenPTTFromPM</v>
      </c>
      <c r="P4" s="25" t="str">
        <f>IFERROR(__xludf.DUMMYFUNCTION("""COMPUTED_VALUE"""),"DeleteCustomViewPM")</f>
        <v>DeleteCustomViewPM</v>
      </c>
      <c r="Q4" s="25" t="str">
        <f>IFERROR(__xludf.DUMMYFUNCTION("""COMPUTED_VALUE"""),"RenameCustomViewPM")</f>
        <v>RenameCustomViewPM</v>
      </c>
      <c r="R4" s="25" t="str">
        <f>IFERROR(__xludf.DUMMYFUNCTION("""COMPUTED_VALUE"""),"AddCustomViewRightClickPM")</f>
        <v>AddCustomViewRightClickPM</v>
      </c>
      <c r="S4" s="25" t="str">
        <f>IFERROR(__xludf.DUMMYFUNCTION("""COMPUTED_VALUE"""),"AddCustomViewPM")</f>
        <v>AddCustomViewPM</v>
      </c>
      <c r="T4" s="25" t="str">
        <f>IFERROR(__xludf.DUMMYFUNCTION("""COMPUTED_VALUE"""),"ExpandCollapsePM")</f>
        <v>ExpandCollapsePM</v>
      </c>
      <c r="U4" s="25" t="str">
        <f>IFERROR(__xludf.DUMMYFUNCTION("""COMPUTED_VALUE"""),"CloseSelectedTaxlotsFromPM")</f>
        <v>CloseSelectedTaxlotsFromPM</v>
      </c>
      <c r="V4" s="25" t="str">
        <f>IFERROR(__xludf.DUMMYFUNCTION("""COMPUTED_VALUE"""),"CloseAccountPositionFromPM")</f>
        <v>CloseAccountPositionFromPM</v>
      </c>
      <c r="W4" s="25" t="str">
        <f>IFERROR(__xludf.DUMMYFUNCTION("""COMPUTED_VALUE"""),"HideSummaryToolFromPM")</f>
        <v>HideSummaryToolFromPM</v>
      </c>
      <c r="X4" s="25" t="str">
        <f>IFERROR(__xludf.DUMMYFUNCTION("""COMPUTED_VALUE"""),"ShowSummaryToolFromPM")</f>
        <v>ShowSummaryToolFromPM</v>
      </c>
      <c r="Y4" s="25" t="str">
        <f>IFERROR(__xludf.DUMMYFUNCTION("""COMPUTED_VALUE"""),"ClosePositionFromPM")</f>
        <v>ClosePositionFromPM</v>
      </c>
      <c r="Z4" s="25" t="str">
        <f>IFERROR(__xludf.DUMMYFUNCTION("""COMPUTED_VALUE"""),"OpenDailyValuationFromPM")</f>
        <v>OpenDailyValuationFromPM</v>
      </c>
      <c r="AA4" s="25" t="str">
        <f>IFERROR(__xludf.DUMMYFUNCTION("""COMPUTED_VALUE"""),"OpenCorporateActionFromPM")</f>
        <v>OpenCorporateActionFromPM</v>
      </c>
      <c r="AB4" s="25" t="str">
        <f>IFERROR(__xludf.DUMMYFUNCTION("""COMPUTED_VALUE"""),"OpenClosingFromPM")</f>
        <v>OpenClosingFromPM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  <c r="FL5" s="29"/>
      <c r="FM5" s="29"/>
      <c r="FN5" s="29"/>
      <c r="FO5" s="29"/>
      <c r="FP5" s="29"/>
      <c r="FQ5" s="29"/>
      <c r="FR5" s="29"/>
    </row>
    <row r="6" ht="15.75" customHeight="1">
      <c r="A6" s="11"/>
      <c r="B6" s="64"/>
      <c r="C6" s="60" t="s">
        <v>16</v>
      </c>
      <c r="D6" s="60">
        <v>100.35</v>
      </c>
      <c r="E6" s="60" t="s">
        <v>18</v>
      </c>
      <c r="F6" s="60" t="s">
        <v>42</v>
      </c>
      <c r="G6" s="61">
        <v>0.0</v>
      </c>
      <c r="H6" s="60" t="s">
        <v>58</v>
      </c>
      <c r="I6" s="61">
        <v>0.0</v>
      </c>
      <c r="J6" s="61">
        <v>0.0</v>
      </c>
      <c r="K6" s="61">
        <v>0.0</v>
      </c>
      <c r="L6" s="61">
        <v>0.0</v>
      </c>
      <c r="M6" s="61"/>
      <c r="N6" s="61"/>
      <c r="O6" s="60"/>
      <c r="P6" s="60"/>
      <c r="Q6" s="61">
        <v>0.0</v>
      </c>
      <c r="R6" s="60" t="s">
        <v>59</v>
      </c>
      <c r="S6" s="60" t="s">
        <v>54</v>
      </c>
      <c r="T6" s="60" t="s">
        <v>27</v>
      </c>
      <c r="U6" s="60" t="s">
        <v>39</v>
      </c>
      <c r="V6" s="60" t="s">
        <v>37</v>
      </c>
      <c r="W6" s="60" t="s">
        <v>41</v>
      </c>
      <c r="X6" s="61">
        <v>1.0</v>
      </c>
      <c r="Y6" s="61">
        <v>1.0</v>
      </c>
      <c r="Z6" s="62"/>
      <c r="AA6" s="62"/>
      <c r="AB6" s="61">
        <v>0.0</v>
      </c>
      <c r="AC6" s="61">
        <v>0.0</v>
      </c>
      <c r="AD6" s="61">
        <v>0.0</v>
      </c>
      <c r="AE6" s="61">
        <v>0.0</v>
      </c>
      <c r="AF6" s="60">
        <v>100.35</v>
      </c>
      <c r="AG6" s="61">
        <v>0.0</v>
      </c>
      <c r="AH6" s="61">
        <v>0.0</v>
      </c>
      <c r="AI6" s="61">
        <v>0.0</v>
      </c>
      <c r="AJ6" s="61">
        <v>0.0</v>
      </c>
      <c r="AK6" s="61">
        <v>0.0</v>
      </c>
      <c r="AL6" s="61">
        <v>1.0</v>
      </c>
      <c r="AM6" s="61">
        <v>1.0</v>
      </c>
      <c r="AN6" s="60" t="s">
        <v>17</v>
      </c>
      <c r="AO6" s="62"/>
      <c r="AP6" s="60" t="s">
        <v>60</v>
      </c>
      <c r="AQ6" s="60" t="s">
        <v>16</v>
      </c>
      <c r="AR6" s="61">
        <v>0.0</v>
      </c>
      <c r="AS6" s="61">
        <v>1.0</v>
      </c>
      <c r="AT6" s="60"/>
      <c r="AU6" s="60"/>
      <c r="AV6" s="61">
        <v>1.0</v>
      </c>
      <c r="AW6" s="61">
        <v>0.0</v>
      </c>
      <c r="AX6" s="61">
        <v>0.0</v>
      </c>
      <c r="AY6" s="61">
        <v>0.0</v>
      </c>
      <c r="AZ6" s="61">
        <v>0.0</v>
      </c>
      <c r="BA6" s="61"/>
      <c r="BB6" s="63"/>
      <c r="BC6" s="61">
        <v>1.0</v>
      </c>
      <c r="BD6" s="61"/>
      <c r="BE6" s="60" t="s">
        <v>27</v>
      </c>
      <c r="BF6" s="60" t="s">
        <v>61</v>
      </c>
      <c r="BG6" s="60" t="s">
        <v>62</v>
      </c>
      <c r="BH6" s="60" t="s">
        <v>63</v>
      </c>
      <c r="BI6" s="61"/>
      <c r="BJ6" s="61">
        <v>0.0</v>
      </c>
      <c r="BK6" s="61">
        <v>0.0</v>
      </c>
      <c r="BL6" s="61">
        <v>0.0</v>
      </c>
      <c r="BM6" s="61">
        <v>0.0</v>
      </c>
      <c r="BN6" s="63"/>
      <c r="BO6" s="61"/>
      <c r="BP6" s="61">
        <v>0.0</v>
      </c>
      <c r="BQ6" s="60" t="s">
        <v>38</v>
      </c>
      <c r="BR6" s="60" t="s">
        <v>33</v>
      </c>
      <c r="BS6" s="61">
        <v>0.0</v>
      </c>
      <c r="BT6" s="61">
        <v>0.0</v>
      </c>
      <c r="BU6" s="60" t="s">
        <v>27</v>
      </c>
      <c r="BV6" s="61"/>
      <c r="BW6" s="61">
        <v>0.0</v>
      </c>
      <c r="BX6" s="61">
        <v>0.0</v>
      </c>
      <c r="BY6" s="61">
        <v>0.0</v>
      </c>
      <c r="BZ6" s="61">
        <v>0.0</v>
      </c>
      <c r="CA6" s="61">
        <v>0.0</v>
      </c>
      <c r="CB6" s="64"/>
      <c r="CC6" s="61">
        <v>0.0</v>
      </c>
      <c r="CD6" s="61">
        <v>0.0</v>
      </c>
      <c r="CE6" s="61">
        <v>0.0</v>
      </c>
      <c r="CF6" s="61">
        <v>0.0</v>
      </c>
      <c r="CG6" s="61">
        <v>0.0</v>
      </c>
      <c r="CH6" s="61">
        <v>0.0</v>
      </c>
      <c r="CI6" s="61">
        <v>0.0</v>
      </c>
      <c r="CJ6" s="61">
        <v>0.0</v>
      </c>
      <c r="CK6" s="60" t="b">
        <v>0</v>
      </c>
      <c r="CL6" s="62"/>
      <c r="CM6" s="62"/>
      <c r="CN6" s="60"/>
      <c r="CO6" s="60"/>
      <c r="CP6" s="60" t="s">
        <v>26</v>
      </c>
      <c r="CQ6" s="62"/>
      <c r="CR6" s="64"/>
      <c r="CS6" s="61">
        <v>0.0</v>
      </c>
      <c r="CT6" s="62"/>
      <c r="CU6" s="62"/>
      <c r="CV6" s="62"/>
      <c r="CW6" s="62"/>
      <c r="CX6" s="62"/>
      <c r="CY6" s="60" t="s">
        <v>53</v>
      </c>
      <c r="CZ6" s="60" t="s">
        <v>64</v>
      </c>
      <c r="DA6" s="61">
        <v>0.0</v>
      </c>
      <c r="DB6" s="61">
        <v>0.0</v>
      </c>
      <c r="DC6" s="63"/>
      <c r="DD6" s="61"/>
      <c r="DE6" s="61">
        <v>0.0</v>
      </c>
      <c r="DF6" s="61">
        <v>0.0</v>
      </c>
      <c r="DG6" s="61">
        <v>0.0</v>
      </c>
      <c r="DH6" s="60" t="s">
        <v>63</v>
      </c>
      <c r="DI6" s="61">
        <v>0.0</v>
      </c>
      <c r="DJ6" s="60" t="s">
        <v>17</v>
      </c>
      <c r="DK6" s="61">
        <v>0.0</v>
      </c>
      <c r="DL6" s="61">
        <v>0.0</v>
      </c>
      <c r="DM6" s="61">
        <v>1.0</v>
      </c>
      <c r="DN6" s="61">
        <v>0.0</v>
      </c>
      <c r="DO6" s="62"/>
      <c r="DP6" s="60" t="s">
        <v>60</v>
      </c>
      <c r="DQ6" s="60" t="s">
        <v>65</v>
      </c>
      <c r="DR6" s="60" t="s">
        <v>66</v>
      </c>
      <c r="DS6" s="60" t="s">
        <v>65</v>
      </c>
      <c r="DT6" s="60" t="s">
        <v>65</v>
      </c>
      <c r="DU6" s="60" t="s">
        <v>67</v>
      </c>
      <c r="DV6" s="60" t="s">
        <v>65</v>
      </c>
      <c r="DW6" s="60" t="s">
        <v>65</v>
      </c>
      <c r="DX6" s="60" t="s">
        <v>65</v>
      </c>
      <c r="DY6" s="60" t="s">
        <v>65</v>
      </c>
      <c r="DZ6" s="60" t="s">
        <v>68</v>
      </c>
      <c r="EA6" s="60" t="s">
        <v>67</v>
      </c>
      <c r="EB6" s="60" t="s">
        <v>65</v>
      </c>
      <c r="EC6" s="60" t="s">
        <v>65</v>
      </c>
      <c r="ED6" s="60" t="s">
        <v>41</v>
      </c>
      <c r="EE6" s="60" t="s">
        <v>69</v>
      </c>
      <c r="EF6" s="61">
        <v>0.0</v>
      </c>
      <c r="EG6" s="61">
        <v>0.0</v>
      </c>
      <c r="EH6" s="61">
        <v>0.0</v>
      </c>
      <c r="EI6" s="61">
        <v>0.0</v>
      </c>
      <c r="EJ6" s="61"/>
      <c r="EK6" s="61"/>
      <c r="EL6" s="60" t="s">
        <v>60</v>
      </c>
      <c r="EM6" s="61">
        <v>0.0</v>
      </c>
      <c r="EN6" s="61">
        <v>0.0</v>
      </c>
      <c r="EO6" s="61">
        <v>0.0</v>
      </c>
      <c r="EP6" s="61">
        <v>0.0</v>
      </c>
      <c r="EQ6" s="61">
        <v>0.0</v>
      </c>
      <c r="ER6" s="61">
        <v>0.0</v>
      </c>
      <c r="ES6" s="61">
        <v>0.0</v>
      </c>
      <c r="ET6" s="61">
        <v>0.0</v>
      </c>
      <c r="EU6" s="61">
        <v>0.0</v>
      </c>
      <c r="EV6" s="60" t="s">
        <v>60</v>
      </c>
      <c r="EW6" s="61">
        <v>0.0</v>
      </c>
      <c r="EX6" s="60" t="b">
        <v>0</v>
      </c>
      <c r="EY6" s="60"/>
      <c r="EZ6" s="61"/>
      <c r="FA6" s="61"/>
      <c r="FB6" s="61"/>
      <c r="FC6" s="61"/>
    </row>
    <row r="7" ht="15.75" customHeight="1">
      <c r="A7" s="8"/>
      <c r="B7" s="64"/>
      <c r="C7" s="60" t="s">
        <v>16</v>
      </c>
      <c r="D7" s="73">
        <v>-1000.0</v>
      </c>
      <c r="E7" s="60" t="s">
        <v>18</v>
      </c>
      <c r="F7" s="60" t="s">
        <v>42</v>
      </c>
      <c r="G7" s="61">
        <v>0.0</v>
      </c>
      <c r="H7" s="60" t="s">
        <v>58</v>
      </c>
      <c r="I7" s="61">
        <v>0.0</v>
      </c>
      <c r="J7" s="61">
        <v>0.0</v>
      </c>
      <c r="K7" s="61">
        <v>0.0</v>
      </c>
      <c r="L7" s="61">
        <v>0.0</v>
      </c>
      <c r="M7" s="61"/>
      <c r="N7" s="61"/>
      <c r="O7" s="60"/>
      <c r="P7" s="60"/>
      <c r="Q7" s="61">
        <v>0.0</v>
      </c>
      <c r="R7" s="60" t="s">
        <v>59</v>
      </c>
      <c r="S7" s="60" t="s">
        <v>54</v>
      </c>
      <c r="T7" s="60" t="s">
        <v>27</v>
      </c>
      <c r="U7" s="60" t="s">
        <v>39</v>
      </c>
      <c r="V7" s="60" t="s">
        <v>37</v>
      </c>
      <c r="W7" s="60" t="s">
        <v>41</v>
      </c>
      <c r="X7" s="61">
        <v>1.0</v>
      </c>
      <c r="Y7" s="61">
        <v>1.0</v>
      </c>
      <c r="Z7" s="62"/>
      <c r="AA7" s="62"/>
      <c r="AB7" s="61">
        <v>0.0</v>
      </c>
      <c r="AC7" s="61">
        <v>0.0</v>
      </c>
      <c r="AD7" s="61">
        <v>0.0</v>
      </c>
      <c r="AE7" s="61">
        <v>0.0</v>
      </c>
      <c r="AF7" s="73">
        <v>-1000.0</v>
      </c>
      <c r="AG7" s="61">
        <v>0.0</v>
      </c>
      <c r="AH7" s="61">
        <v>0.0</v>
      </c>
      <c r="AI7" s="61">
        <v>0.0</v>
      </c>
      <c r="AJ7" s="61">
        <v>0.0</v>
      </c>
      <c r="AK7" s="61">
        <v>0.0</v>
      </c>
      <c r="AL7" s="61">
        <v>1.0</v>
      </c>
      <c r="AM7" s="61">
        <v>1.0</v>
      </c>
      <c r="AN7" s="60" t="s">
        <v>23</v>
      </c>
      <c r="AO7" s="62"/>
      <c r="AP7" s="60" t="s">
        <v>60</v>
      </c>
      <c r="AQ7" s="60" t="s">
        <v>16</v>
      </c>
      <c r="AR7" s="61">
        <v>0.0</v>
      </c>
      <c r="AS7" s="61">
        <v>-1.0</v>
      </c>
      <c r="AT7" s="60"/>
      <c r="AU7" s="60"/>
      <c r="AV7" s="61">
        <v>1.0</v>
      </c>
      <c r="AW7" s="61">
        <v>0.0</v>
      </c>
      <c r="AX7" s="61">
        <v>0.0</v>
      </c>
      <c r="AY7" s="61">
        <v>0.0</v>
      </c>
      <c r="AZ7" s="61">
        <v>0.0</v>
      </c>
      <c r="BA7" s="61"/>
      <c r="BB7" s="63"/>
      <c r="BC7" s="61">
        <v>1.0</v>
      </c>
      <c r="BD7" s="61"/>
      <c r="BE7" s="60" t="s">
        <v>27</v>
      </c>
      <c r="BF7" s="60" t="s">
        <v>61</v>
      </c>
      <c r="BG7" s="60" t="s">
        <v>62</v>
      </c>
      <c r="BH7" s="60" t="s">
        <v>63</v>
      </c>
      <c r="BI7" s="61"/>
      <c r="BJ7" s="61">
        <v>0.0</v>
      </c>
      <c r="BK7" s="61">
        <v>0.0</v>
      </c>
      <c r="BL7" s="61">
        <v>0.0</v>
      </c>
      <c r="BM7" s="61">
        <v>0.0</v>
      </c>
      <c r="BN7" s="63"/>
      <c r="BO7" s="61"/>
      <c r="BP7" s="61">
        <v>0.0</v>
      </c>
      <c r="BQ7" s="60" t="s">
        <v>38</v>
      </c>
      <c r="BR7" s="60" t="s">
        <v>33</v>
      </c>
      <c r="BS7" s="61">
        <v>0.0</v>
      </c>
      <c r="BT7" s="61">
        <v>0.0</v>
      </c>
      <c r="BU7" s="60" t="s">
        <v>27</v>
      </c>
      <c r="BV7" s="61"/>
      <c r="BW7" s="61">
        <v>0.0</v>
      </c>
      <c r="BX7" s="61">
        <v>0.0</v>
      </c>
      <c r="BY7" s="61">
        <v>0.0</v>
      </c>
      <c r="BZ7" s="61">
        <v>0.0</v>
      </c>
      <c r="CA7" s="61">
        <v>0.0</v>
      </c>
      <c r="CB7" s="64"/>
      <c r="CC7" s="61">
        <v>0.0</v>
      </c>
      <c r="CD7" s="61">
        <v>0.0</v>
      </c>
      <c r="CE7" s="61">
        <v>0.0</v>
      </c>
      <c r="CF7" s="61">
        <v>0.0</v>
      </c>
      <c r="CG7" s="61">
        <v>0.0</v>
      </c>
      <c r="CH7" s="61">
        <v>0.0</v>
      </c>
      <c r="CI7" s="61">
        <v>0.0</v>
      </c>
      <c r="CJ7" s="61">
        <v>0.0</v>
      </c>
      <c r="CK7" s="60" t="b">
        <v>0</v>
      </c>
      <c r="CL7" s="62"/>
      <c r="CM7" s="62"/>
      <c r="CN7" s="60"/>
      <c r="CO7" s="60"/>
      <c r="CP7" s="60" t="s">
        <v>26</v>
      </c>
      <c r="CQ7" s="62"/>
      <c r="CR7" s="64"/>
      <c r="CS7" s="61">
        <v>0.0</v>
      </c>
      <c r="CT7" s="62"/>
      <c r="CU7" s="62"/>
      <c r="CV7" s="62"/>
      <c r="CW7" s="62"/>
      <c r="CX7" s="62"/>
      <c r="CY7" s="60" t="s">
        <v>53</v>
      </c>
      <c r="CZ7" s="60" t="s">
        <v>64</v>
      </c>
      <c r="DA7" s="61">
        <v>0.0</v>
      </c>
      <c r="DB7" s="61">
        <v>0.0</v>
      </c>
      <c r="DC7" s="63"/>
      <c r="DD7" s="73"/>
      <c r="DE7" s="61">
        <v>0.0</v>
      </c>
      <c r="DF7" s="61">
        <v>0.0</v>
      </c>
      <c r="DG7" s="61">
        <v>0.0</v>
      </c>
      <c r="DH7" s="60" t="s">
        <v>63</v>
      </c>
      <c r="DI7" s="61">
        <v>0.0</v>
      </c>
      <c r="DJ7" s="60" t="s">
        <v>23</v>
      </c>
      <c r="DK7" s="61">
        <v>0.0</v>
      </c>
      <c r="DL7" s="61">
        <v>0.0</v>
      </c>
      <c r="DM7" s="61">
        <v>1.0</v>
      </c>
      <c r="DN7" s="61">
        <v>0.0</v>
      </c>
      <c r="DO7" s="62"/>
      <c r="DP7" s="60" t="s">
        <v>60</v>
      </c>
      <c r="DQ7" s="60" t="s">
        <v>65</v>
      </c>
      <c r="DR7" s="60" t="s">
        <v>66</v>
      </c>
      <c r="DS7" s="60" t="s">
        <v>65</v>
      </c>
      <c r="DT7" s="60" t="s">
        <v>65</v>
      </c>
      <c r="DU7" s="60" t="s">
        <v>67</v>
      </c>
      <c r="DV7" s="60" t="s">
        <v>65</v>
      </c>
      <c r="DW7" s="60" t="s">
        <v>65</v>
      </c>
      <c r="DX7" s="60" t="s">
        <v>65</v>
      </c>
      <c r="DY7" s="60" t="s">
        <v>65</v>
      </c>
      <c r="DZ7" s="60" t="s">
        <v>68</v>
      </c>
      <c r="EA7" s="60" t="s">
        <v>67</v>
      </c>
      <c r="EB7" s="60" t="s">
        <v>65</v>
      </c>
      <c r="EC7" s="60" t="s">
        <v>65</v>
      </c>
      <c r="ED7" s="60" t="s">
        <v>41</v>
      </c>
      <c r="EE7" s="60" t="s">
        <v>69</v>
      </c>
      <c r="EF7" s="61">
        <v>0.0</v>
      </c>
      <c r="EG7" s="61">
        <v>0.0</v>
      </c>
      <c r="EH7" s="61">
        <v>0.0</v>
      </c>
      <c r="EI7" s="61">
        <v>0.0</v>
      </c>
      <c r="EJ7" s="61"/>
      <c r="EK7" s="61"/>
      <c r="EL7" s="60" t="s">
        <v>60</v>
      </c>
      <c r="EM7" s="61">
        <v>0.0</v>
      </c>
      <c r="EN7" s="61">
        <v>0.0</v>
      </c>
      <c r="EO7" s="61">
        <v>0.0</v>
      </c>
      <c r="EP7" s="61">
        <v>0.0</v>
      </c>
      <c r="EQ7" s="61">
        <v>0.0</v>
      </c>
      <c r="ER7" s="61">
        <v>0.0</v>
      </c>
      <c r="ES7" s="61">
        <v>0.0</v>
      </c>
      <c r="ET7" s="61">
        <v>0.0</v>
      </c>
      <c r="EU7" s="61">
        <v>0.0</v>
      </c>
      <c r="EV7" s="60" t="s">
        <v>60</v>
      </c>
      <c r="EW7" s="61">
        <v>0.0</v>
      </c>
      <c r="EX7" s="60" t="b">
        <v>0</v>
      </c>
      <c r="EY7" s="60"/>
      <c r="EZ7" s="61"/>
      <c r="FA7" s="61"/>
      <c r="FB7" s="61"/>
      <c r="FC7" s="61"/>
    </row>
    <row r="8" ht="15.75" customHeight="1">
      <c r="A8" s="8"/>
      <c r="B8" s="64"/>
      <c r="C8" s="60" t="s">
        <v>19</v>
      </c>
      <c r="D8" s="60">
        <v>4.56</v>
      </c>
      <c r="E8" s="60" t="s">
        <v>20</v>
      </c>
      <c r="F8" s="60" t="s">
        <v>47</v>
      </c>
      <c r="G8" s="61">
        <v>0.0</v>
      </c>
      <c r="H8" s="60" t="s">
        <v>58</v>
      </c>
      <c r="I8" s="61">
        <v>0.0</v>
      </c>
      <c r="J8" s="61">
        <v>0.0</v>
      </c>
      <c r="K8" s="61">
        <v>0.0</v>
      </c>
      <c r="L8" s="61">
        <v>0.0</v>
      </c>
      <c r="M8" s="61"/>
      <c r="N8" s="61"/>
      <c r="O8" s="60"/>
      <c r="P8" s="60"/>
      <c r="Q8" s="61">
        <v>0.0</v>
      </c>
      <c r="R8" s="60" t="s">
        <v>33</v>
      </c>
      <c r="S8" s="60" t="s">
        <v>54</v>
      </c>
      <c r="T8" s="60" t="s">
        <v>27</v>
      </c>
      <c r="U8" s="60" t="s">
        <v>39</v>
      </c>
      <c r="V8" s="60" t="s">
        <v>37</v>
      </c>
      <c r="W8" s="60" t="s">
        <v>41</v>
      </c>
      <c r="X8" s="61">
        <v>1.0</v>
      </c>
      <c r="Y8" s="61">
        <v>1.0</v>
      </c>
      <c r="Z8" s="62"/>
      <c r="AA8" s="62"/>
      <c r="AB8" s="61">
        <v>0.0</v>
      </c>
      <c r="AC8" s="61">
        <v>0.0</v>
      </c>
      <c r="AD8" s="61">
        <v>0.0</v>
      </c>
      <c r="AE8" s="61">
        <v>0.0</v>
      </c>
      <c r="AF8" s="60">
        <v>4.56</v>
      </c>
      <c r="AG8" s="61">
        <v>0.0</v>
      </c>
      <c r="AH8" s="61">
        <v>0.0</v>
      </c>
      <c r="AI8" s="61">
        <v>0.0</v>
      </c>
      <c r="AJ8" s="61">
        <v>0.0</v>
      </c>
      <c r="AK8" s="61">
        <v>0.0</v>
      </c>
      <c r="AL8" s="61">
        <v>1.0</v>
      </c>
      <c r="AM8" s="61">
        <v>1.0</v>
      </c>
      <c r="AN8" s="60" t="s">
        <v>17</v>
      </c>
      <c r="AO8" s="62"/>
      <c r="AP8" s="60" t="s">
        <v>60</v>
      </c>
      <c r="AQ8" s="60" t="s">
        <v>19</v>
      </c>
      <c r="AR8" s="61">
        <v>0.0</v>
      </c>
      <c r="AS8" s="61">
        <v>1.0</v>
      </c>
      <c r="AT8" s="60"/>
      <c r="AU8" s="60"/>
      <c r="AV8" s="61">
        <v>1.0</v>
      </c>
      <c r="AW8" s="61">
        <v>0.0</v>
      </c>
      <c r="AX8" s="61">
        <v>0.0</v>
      </c>
      <c r="AY8" s="61">
        <v>0.0</v>
      </c>
      <c r="AZ8" s="61">
        <v>0.0</v>
      </c>
      <c r="BA8" s="61"/>
      <c r="BB8" s="63"/>
      <c r="BC8" s="61">
        <v>1.0</v>
      </c>
      <c r="BD8" s="61"/>
      <c r="BE8" s="60" t="s">
        <v>27</v>
      </c>
      <c r="BF8" s="60" t="s">
        <v>70</v>
      </c>
      <c r="BG8" s="60" t="s">
        <v>71</v>
      </c>
      <c r="BH8" s="60" t="s">
        <v>72</v>
      </c>
      <c r="BI8" s="60"/>
      <c r="BJ8" s="61">
        <v>0.0</v>
      </c>
      <c r="BK8" s="61">
        <v>0.0</v>
      </c>
      <c r="BL8" s="61">
        <v>0.0</v>
      </c>
      <c r="BM8" s="61">
        <v>0.0</v>
      </c>
      <c r="BN8" s="63"/>
      <c r="BO8" s="61"/>
      <c r="BP8" s="61">
        <v>0.0</v>
      </c>
      <c r="BQ8" s="60" t="s">
        <v>38</v>
      </c>
      <c r="BR8" s="60" t="s">
        <v>33</v>
      </c>
      <c r="BS8" s="61">
        <v>0.0</v>
      </c>
      <c r="BT8" s="61">
        <v>0.0</v>
      </c>
      <c r="BU8" s="60" t="s">
        <v>27</v>
      </c>
      <c r="BV8" s="61"/>
      <c r="BW8" s="61">
        <v>0.0</v>
      </c>
      <c r="BX8" s="61">
        <v>0.0</v>
      </c>
      <c r="BY8" s="61">
        <v>0.0</v>
      </c>
      <c r="BZ8" s="61">
        <v>0.0</v>
      </c>
      <c r="CA8" s="61">
        <v>0.0</v>
      </c>
      <c r="CB8" s="64"/>
      <c r="CC8" s="61">
        <v>0.0</v>
      </c>
      <c r="CD8" s="61">
        <v>0.0</v>
      </c>
      <c r="CE8" s="61">
        <v>0.0</v>
      </c>
      <c r="CF8" s="61">
        <v>0.0</v>
      </c>
      <c r="CG8" s="61">
        <v>0.0</v>
      </c>
      <c r="CH8" s="61">
        <v>0.0</v>
      </c>
      <c r="CI8" s="61">
        <v>0.0</v>
      </c>
      <c r="CJ8" s="61">
        <v>0.0</v>
      </c>
      <c r="CK8" s="60" t="b">
        <v>0</v>
      </c>
      <c r="CL8" s="62"/>
      <c r="CM8" s="62"/>
      <c r="CN8" s="61"/>
      <c r="CO8" s="61"/>
      <c r="CP8" s="60" t="s">
        <v>29</v>
      </c>
      <c r="CQ8" s="60"/>
      <c r="CR8" s="64"/>
      <c r="CS8" s="61">
        <v>0.0</v>
      </c>
      <c r="CT8" s="62"/>
      <c r="CU8" s="62"/>
      <c r="CV8" s="62"/>
      <c r="CW8" s="62"/>
      <c r="CX8" s="62"/>
      <c r="CY8" s="60" t="s">
        <v>53</v>
      </c>
      <c r="CZ8" s="60" t="s">
        <v>64</v>
      </c>
      <c r="DA8" s="61">
        <v>0.0</v>
      </c>
      <c r="DB8" s="61">
        <v>0.0</v>
      </c>
      <c r="DC8" s="63"/>
      <c r="DD8" s="61"/>
      <c r="DE8" s="61">
        <v>0.0</v>
      </c>
      <c r="DF8" s="61">
        <v>0.0</v>
      </c>
      <c r="DG8" s="61">
        <v>0.0</v>
      </c>
      <c r="DH8" s="60" t="s">
        <v>63</v>
      </c>
      <c r="DI8" s="61">
        <v>0.0</v>
      </c>
      <c r="DJ8" s="60" t="s">
        <v>17</v>
      </c>
      <c r="DK8" s="61">
        <v>0.0</v>
      </c>
      <c r="DL8" s="61">
        <v>0.0</v>
      </c>
      <c r="DM8" s="61">
        <v>1.0</v>
      </c>
      <c r="DN8" s="61">
        <v>0.0</v>
      </c>
      <c r="DO8" s="60"/>
      <c r="DP8" s="60" t="s">
        <v>60</v>
      </c>
      <c r="DQ8" s="60" t="s">
        <v>63</v>
      </c>
      <c r="DR8" s="60" t="s">
        <v>73</v>
      </c>
      <c r="DS8" s="60" t="s">
        <v>74</v>
      </c>
      <c r="DT8" s="60" t="s">
        <v>63</v>
      </c>
      <c r="DU8" s="60" t="s">
        <v>63</v>
      </c>
      <c r="DV8" s="60" t="s">
        <v>63</v>
      </c>
      <c r="DW8" s="74"/>
      <c r="DX8" s="61"/>
      <c r="DY8" s="60"/>
      <c r="DZ8" s="60"/>
      <c r="EA8" s="60" t="s">
        <v>69</v>
      </c>
      <c r="EB8" s="60" t="s">
        <v>63</v>
      </c>
      <c r="EC8" s="60" t="s">
        <v>63</v>
      </c>
      <c r="ED8" s="60" t="s">
        <v>41</v>
      </c>
      <c r="EE8" s="60" t="s">
        <v>69</v>
      </c>
      <c r="EF8" s="61">
        <v>0.0</v>
      </c>
      <c r="EG8" s="61">
        <v>0.0</v>
      </c>
      <c r="EH8" s="61">
        <v>0.0</v>
      </c>
      <c r="EI8" s="61">
        <v>0.0</v>
      </c>
      <c r="EJ8" s="61"/>
      <c r="EK8" s="61"/>
      <c r="EL8" s="60" t="s">
        <v>60</v>
      </c>
      <c r="EM8" s="61">
        <v>0.0</v>
      </c>
      <c r="EN8" s="61">
        <v>0.0</v>
      </c>
      <c r="EO8" s="61">
        <v>0.0</v>
      </c>
      <c r="EP8" s="61">
        <v>0.0</v>
      </c>
      <c r="EQ8" s="61">
        <v>0.0</v>
      </c>
      <c r="ER8" s="61">
        <v>0.0</v>
      </c>
      <c r="ES8" s="61">
        <v>0.0</v>
      </c>
      <c r="ET8" s="61">
        <v>0.0</v>
      </c>
      <c r="EU8" s="61">
        <v>0.0</v>
      </c>
      <c r="EV8" s="60" t="s">
        <v>60</v>
      </c>
      <c r="EW8" s="61">
        <v>0.0</v>
      </c>
      <c r="EX8" s="60" t="b">
        <v>0</v>
      </c>
      <c r="EY8" s="60"/>
      <c r="EZ8" s="61"/>
      <c r="FA8" s="61"/>
      <c r="FB8" s="61"/>
      <c r="FC8" s="61"/>
    </row>
    <row r="9" ht="15.75" customHeight="1">
      <c r="A9" s="8"/>
      <c r="B9" s="64"/>
      <c r="C9" s="60" t="s">
        <v>19</v>
      </c>
      <c r="D9" s="61">
        <v>-300.0</v>
      </c>
      <c r="E9" s="60" t="s">
        <v>20</v>
      </c>
      <c r="F9" s="60" t="s">
        <v>47</v>
      </c>
      <c r="G9" s="61">
        <v>0.0</v>
      </c>
      <c r="H9" s="60" t="s">
        <v>58</v>
      </c>
      <c r="I9" s="61">
        <v>0.0</v>
      </c>
      <c r="J9" s="61">
        <v>0.0</v>
      </c>
      <c r="K9" s="61">
        <v>0.0</v>
      </c>
      <c r="L9" s="61">
        <v>0.0</v>
      </c>
      <c r="M9" s="61"/>
      <c r="N9" s="61"/>
      <c r="O9" s="60"/>
      <c r="P9" s="60"/>
      <c r="Q9" s="61">
        <v>0.0</v>
      </c>
      <c r="R9" s="60" t="s">
        <v>33</v>
      </c>
      <c r="S9" s="60" t="s">
        <v>54</v>
      </c>
      <c r="T9" s="60" t="s">
        <v>27</v>
      </c>
      <c r="U9" s="60" t="s">
        <v>39</v>
      </c>
      <c r="V9" s="60" t="s">
        <v>37</v>
      </c>
      <c r="W9" s="60" t="s">
        <v>41</v>
      </c>
      <c r="X9" s="61">
        <v>1.0</v>
      </c>
      <c r="Y9" s="61">
        <v>1.0</v>
      </c>
      <c r="Z9" s="62"/>
      <c r="AA9" s="62"/>
      <c r="AB9" s="61">
        <v>0.0</v>
      </c>
      <c r="AC9" s="61">
        <v>0.0</v>
      </c>
      <c r="AD9" s="61">
        <v>0.0</v>
      </c>
      <c r="AE9" s="61">
        <v>0.0</v>
      </c>
      <c r="AF9" s="61">
        <v>-300.0</v>
      </c>
      <c r="AG9" s="61">
        <v>0.0</v>
      </c>
      <c r="AH9" s="61">
        <v>0.0</v>
      </c>
      <c r="AI9" s="61">
        <v>0.0</v>
      </c>
      <c r="AJ9" s="61">
        <v>0.0</v>
      </c>
      <c r="AK9" s="61">
        <v>0.0</v>
      </c>
      <c r="AL9" s="61">
        <v>1.0</v>
      </c>
      <c r="AM9" s="61">
        <v>1.0</v>
      </c>
      <c r="AN9" s="60" t="s">
        <v>23</v>
      </c>
      <c r="AO9" s="62"/>
      <c r="AP9" s="60" t="s">
        <v>60</v>
      </c>
      <c r="AQ9" s="60" t="s">
        <v>19</v>
      </c>
      <c r="AR9" s="61">
        <v>0.0</v>
      </c>
      <c r="AS9" s="61">
        <v>-1.0</v>
      </c>
      <c r="AT9" s="60"/>
      <c r="AU9" s="60"/>
      <c r="AV9" s="61">
        <v>1.0</v>
      </c>
      <c r="AW9" s="61">
        <v>0.0</v>
      </c>
      <c r="AX9" s="61">
        <v>0.0</v>
      </c>
      <c r="AY9" s="61">
        <v>0.0</v>
      </c>
      <c r="AZ9" s="61">
        <v>0.0</v>
      </c>
      <c r="BA9" s="61"/>
      <c r="BB9" s="63"/>
      <c r="BC9" s="61">
        <v>1.0</v>
      </c>
      <c r="BD9" s="61"/>
      <c r="BE9" s="60" t="s">
        <v>27</v>
      </c>
      <c r="BF9" s="60" t="s">
        <v>70</v>
      </c>
      <c r="BG9" s="60" t="s">
        <v>71</v>
      </c>
      <c r="BH9" s="60" t="s">
        <v>72</v>
      </c>
      <c r="BI9" s="60"/>
      <c r="BJ9" s="61">
        <v>0.0</v>
      </c>
      <c r="BK9" s="61">
        <v>0.0</v>
      </c>
      <c r="BL9" s="61">
        <v>0.0</v>
      </c>
      <c r="BM9" s="61">
        <v>0.0</v>
      </c>
      <c r="BN9" s="63"/>
      <c r="BO9" s="61"/>
      <c r="BP9" s="61">
        <v>0.0</v>
      </c>
      <c r="BQ9" s="60" t="s">
        <v>38</v>
      </c>
      <c r="BR9" s="60" t="s">
        <v>33</v>
      </c>
      <c r="BS9" s="61">
        <v>0.0</v>
      </c>
      <c r="BT9" s="61">
        <v>0.0</v>
      </c>
      <c r="BU9" s="60" t="s">
        <v>27</v>
      </c>
      <c r="BV9" s="61"/>
      <c r="BW9" s="61">
        <v>0.0</v>
      </c>
      <c r="BX9" s="61">
        <v>0.0</v>
      </c>
      <c r="BY9" s="61">
        <v>0.0</v>
      </c>
      <c r="BZ9" s="61">
        <v>0.0</v>
      </c>
      <c r="CA9" s="61">
        <v>0.0</v>
      </c>
      <c r="CB9" s="64"/>
      <c r="CC9" s="61">
        <v>0.0</v>
      </c>
      <c r="CD9" s="61">
        <v>0.0</v>
      </c>
      <c r="CE9" s="61">
        <v>0.0</v>
      </c>
      <c r="CF9" s="61">
        <v>0.0</v>
      </c>
      <c r="CG9" s="61">
        <v>0.0</v>
      </c>
      <c r="CH9" s="61">
        <v>0.0</v>
      </c>
      <c r="CI9" s="61">
        <v>0.0</v>
      </c>
      <c r="CJ9" s="61">
        <v>0.0</v>
      </c>
      <c r="CK9" s="60" t="b">
        <v>0</v>
      </c>
      <c r="CL9" s="62"/>
      <c r="CM9" s="62"/>
      <c r="CN9" s="61"/>
      <c r="CO9" s="61"/>
      <c r="CP9" s="60" t="s">
        <v>29</v>
      </c>
      <c r="CQ9" s="60"/>
      <c r="CR9" s="64"/>
      <c r="CS9" s="61">
        <v>0.0</v>
      </c>
      <c r="CT9" s="62"/>
      <c r="CU9" s="62"/>
      <c r="CV9" s="62"/>
      <c r="CW9" s="62"/>
      <c r="CX9" s="62"/>
      <c r="CY9" s="60" t="s">
        <v>53</v>
      </c>
      <c r="CZ9" s="60" t="s">
        <v>64</v>
      </c>
      <c r="DA9" s="61">
        <v>0.0</v>
      </c>
      <c r="DB9" s="61">
        <v>0.0</v>
      </c>
      <c r="DC9" s="63"/>
      <c r="DD9" s="61"/>
      <c r="DE9" s="61">
        <v>0.0</v>
      </c>
      <c r="DF9" s="61">
        <v>0.0</v>
      </c>
      <c r="DG9" s="61">
        <v>0.0</v>
      </c>
      <c r="DH9" s="60" t="s">
        <v>63</v>
      </c>
      <c r="DI9" s="61">
        <v>0.0</v>
      </c>
      <c r="DJ9" s="60" t="s">
        <v>23</v>
      </c>
      <c r="DK9" s="61">
        <v>0.0</v>
      </c>
      <c r="DL9" s="61">
        <v>0.0</v>
      </c>
      <c r="DM9" s="61">
        <v>1.0</v>
      </c>
      <c r="DN9" s="61">
        <v>0.0</v>
      </c>
      <c r="DO9" s="60"/>
      <c r="DP9" s="60" t="s">
        <v>60</v>
      </c>
      <c r="DQ9" s="60" t="s">
        <v>63</v>
      </c>
      <c r="DR9" s="60" t="s">
        <v>73</v>
      </c>
      <c r="DS9" s="60" t="s">
        <v>74</v>
      </c>
      <c r="DT9" s="60" t="s">
        <v>63</v>
      </c>
      <c r="DU9" s="60" t="s">
        <v>63</v>
      </c>
      <c r="DV9" s="60" t="s">
        <v>63</v>
      </c>
      <c r="DW9" s="74"/>
      <c r="DX9" s="61"/>
      <c r="DY9" s="60"/>
      <c r="DZ9" s="60"/>
      <c r="EA9" s="60" t="s">
        <v>69</v>
      </c>
      <c r="EB9" s="60" t="s">
        <v>63</v>
      </c>
      <c r="EC9" s="60" t="s">
        <v>63</v>
      </c>
      <c r="ED9" s="60" t="s">
        <v>41</v>
      </c>
      <c r="EE9" s="60" t="s">
        <v>69</v>
      </c>
      <c r="EF9" s="61">
        <v>0.0</v>
      </c>
      <c r="EG9" s="61">
        <v>0.0</v>
      </c>
      <c r="EH9" s="61">
        <v>0.0</v>
      </c>
      <c r="EI9" s="61">
        <v>0.0</v>
      </c>
      <c r="EJ9" s="61"/>
      <c r="EK9" s="61"/>
      <c r="EL9" s="60" t="s">
        <v>60</v>
      </c>
      <c r="EM9" s="61">
        <v>0.0</v>
      </c>
      <c r="EN9" s="61">
        <v>0.0</v>
      </c>
      <c r="EO9" s="61">
        <v>0.0</v>
      </c>
      <c r="EP9" s="61">
        <v>0.0</v>
      </c>
      <c r="EQ9" s="61">
        <v>0.0</v>
      </c>
      <c r="ER9" s="61">
        <v>0.0</v>
      </c>
      <c r="ES9" s="61">
        <v>0.0</v>
      </c>
      <c r="ET9" s="61">
        <v>0.0</v>
      </c>
      <c r="EU9" s="61">
        <v>0.0</v>
      </c>
      <c r="EV9" s="60" t="s">
        <v>60</v>
      </c>
      <c r="EW9" s="61">
        <v>0.0</v>
      </c>
      <c r="EX9" s="60" t="b">
        <v>0</v>
      </c>
      <c r="EY9" s="60"/>
      <c r="EZ9" s="61"/>
      <c r="FA9" s="61"/>
      <c r="FB9" s="61"/>
      <c r="FC9" s="61"/>
    </row>
    <row r="10" ht="15.75" customHeight="1">
      <c r="A10" s="8"/>
      <c r="B10" s="64"/>
      <c r="C10" s="60" t="s">
        <v>21</v>
      </c>
      <c r="D10" s="61">
        <v>-400.0</v>
      </c>
      <c r="E10" s="60" t="s">
        <v>22</v>
      </c>
      <c r="F10" s="60" t="s">
        <v>42</v>
      </c>
      <c r="G10" s="61">
        <v>0.0</v>
      </c>
      <c r="H10" s="60" t="s">
        <v>58</v>
      </c>
      <c r="I10" s="61">
        <v>0.0</v>
      </c>
      <c r="J10" s="61">
        <v>0.0</v>
      </c>
      <c r="K10" s="61">
        <v>0.0</v>
      </c>
      <c r="L10" s="61">
        <v>0.0</v>
      </c>
      <c r="M10" s="61"/>
      <c r="N10" s="61"/>
      <c r="O10" s="60"/>
      <c r="P10" s="60"/>
      <c r="Q10" s="61">
        <v>0.0</v>
      </c>
      <c r="R10" s="60" t="s">
        <v>33</v>
      </c>
      <c r="S10" s="60" t="s">
        <v>54</v>
      </c>
      <c r="T10" s="60" t="s">
        <v>27</v>
      </c>
      <c r="U10" s="60" t="s">
        <v>39</v>
      </c>
      <c r="V10" s="60" t="s">
        <v>37</v>
      </c>
      <c r="W10" s="60" t="s">
        <v>41</v>
      </c>
      <c r="X10" s="61">
        <v>1.0</v>
      </c>
      <c r="Y10" s="61">
        <v>1.0</v>
      </c>
      <c r="Z10" s="62"/>
      <c r="AA10" s="62"/>
      <c r="AB10" s="61">
        <v>0.0</v>
      </c>
      <c r="AC10" s="61">
        <v>0.0</v>
      </c>
      <c r="AD10" s="61">
        <v>0.0</v>
      </c>
      <c r="AE10" s="61">
        <v>0.0</v>
      </c>
      <c r="AF10" s="61">
        <v>-400.0</v>
      </c>
      <c r="AG10" s="61">
        <v>0.0</v>
      </c>
      <c r="AH10" s="61">
        <v>0.0</v>
      </c>
      <c r="AI10" s="61">
        <v>0.0</v>
      </c>
      <c r="AJ10" s="61">
        <v>0.0</v>
      </c>
      <c r="AK10" s="61">
        <v>0.0</v>
      </c>
      <c r="AL10" s="61">
        <v>1.0</v>
      </c>
      <c r="AM10" s="61">
        <v>1.0</v>
      </c>
      <c r="AN10" s="60" t="s">
        <v>23</v>
      </c>
      <c r="AO10" s="62"/>
      <c r="AP10" s="60" t="s">
        <v>60</v>
      </c>
      <c r="AQ10" s="60" t="s">
        <v>21</v>
      </c>
      <c r="AR10" s="61">
        <v>0.0</v>
      </c>
      <c r="AS10" s="61">
        <v>-1.0</v>
      </c>
      <c r="AT10" s="60"/>
      <c r="AU10" s="60"/>
      <c r="AV10" s="61">
        <v>1.0</v>
      </c>
      <c r="AW10" s="61">
        <v>0.0</v>
      </c>
      <c r="AX10" s="61">
        <v>0.0</v>
      </c>
      <c r="AY10" s="61">
        <v>0.0</v>
      </c>
      <c r="AZ10" s="61">
        <v>0.0</v>
      </c>
      <c r="BA10" s="61"/>
      <c r="BB10" s="63"/>
      <c r="BC10" s="61">
        <v>1.0</v>
      </c>
      <c r="BD10" s="61"/>
      <c r="BE10" s="60" t="s">
        <v>27</v>
      </c>
      <c r="BF10" s="60" t="s">
        <v>70</v>
      </c>
      <c r="BG10" s="60" t="s">
        <v>71</v>
      </c>
      <c r="BH10" s="60" t="s">
        <v>63</v>
      </c>
      <c r="BI10" s="60"/>
      <c r="BJ10" s="61">
        <v>0.0</v>
      </c>
      <c r="BK10" s="61">
        <v>0.0</v>
      </c>
      <c r="BL10" s="61">
        <v>0.0</v>
      </c>
      <c r="BM10" s="61">
        <v>0.0</v>
      </c>
      <c r="BN10" s="63"/>
      <c r="BO10" s="61"/>
      <c r="BP10" s="61">
        <v>0.0</v>
      </c>
      <c r="BQ10" s="60" t="s">
        <v>38</v>
      </c>
      <c r="BR10" s="60" t="s">
        <v>33</v>
      </c>
      <c r="BS10" s="61">
        <v>0.0</v>
      </c>
      <c r="BT10" s="61">
        <v>0.0</v>
      </c>
      <c r="BU10" s="60" t="s">
        <v>27</v>
      </c>
      <c r="BV10" s="61"/>
      <c r="BW10" s="61">
        <v>0.0</v>
      </c>
      <c r="BX10" s="61">
        <v>0.0</v>
      </c>
      <c r="BY10" s="61">
        <v>0.0</v>
      </c>
      <c r="BZ10" s="61">
        <v>0.0</v>
      </c>
      <c r="CA10" s="61">
        <v>0.0</v>
      </c>
      <c r="CB10" s="64"/>
      <c r="CC10" s="61">
        <v>0.0</v>
      </c>
      <c r="CD10" s="61">
        <v>0.0</v>
      </c>
      <c r="CE10" s="61">
        <v>0.0</v>
      </c>
      <c r="CF10" s="61">
        <v>0.0</v>
      </c>
      <c r="CG10" s="61">
        <v>0.0</v>
      </c>
      <c r="CH10" s="61">
        <v>0.0</v>
      </c>
      <c r="CI10" s="61">
        <v>0.0</v>
      </c>
      <c r="CJ10" s="61">
        <v>0.0</v>
      </c>
      <c r="CK10" s="60" t="b">
        <v>0</v>
      </c>
      <c r="CL10" s="62"/>
      <c r="CM10" s="62"/>
      <c r="CN10" s="60"/>
      <c r="CO10" s="60"/>
      <c r="CP10" s="60" t="s">
        <v>30</v>
      </c>
      <c r="CQ10" s="60"/>
      <c r="CR10" s="64"/>
      <c r="CS10" s="61">
        <v>0.0</v>
      </c>
      <c r="CT10" s="62"/>
      <c r="CU10" s="62"/>
      <c r="CV10" s="62"/>
      <c r="CW10" s="62"/>
      <c r="CX10" s="62"/>
      <c r="CY10" s="60" t="s">
        <v>53</v>
      </c>
      <c r="CZ10" s="60" t="s">
        <v>64</v>
      </c>
      <c r="DA10" s="61">
        <v>0.0</v>
      </c>
      <c r="DB10" s="61">
        <v>0.0</v>
      </c>
      <c r="DC10" s="63"/>
      <c r="DD10" s="61"/>
      <c r="DE10" s="61">
        <v>0.0</v>
      </c>
      <c r="DF10" s="61">
        <v>0.0</v>
      </c>
      <c r="DG10" s="61">
        <v>0.0</v>
      </c>
      <c r="DH10" s="60" t="s">
        <v>63</v>
      </c>
      <c r="DI10" s="61">
        <v>0.0</v>
      </c>
      <c r="DJ10" s="60" t="s">
        <v>23</v>
      </c>
      <c r="DK10" s="61">
        <v>0.0</v>
      </c>
      <c r="DL10" s="61">
        <v>0.0</v>
      </c>
      <c r="DM10" s="61">
        <v>1.0</v>
      </c>
      <c r="DN10" s="61">
        <v>0.0</v>
      </c>
      <c r="DO10" s="60"/>
      <c r="DP10" s="60" t="s">
        <v>60</v>
      </c>
      <c r="DQ10" s="60" t="s">
        <v>63</v>
      </c>
      <c r="DR10" s="60" t="s">
        <v>73</v>
      </c>
      <c r="DS10" s="60" t="s">
        <v>63</v>
      </c>
      <c r="DT10" s="60" t="s">
        <v>63</v>
      </c>
      <c r="DU10" s="60" t="s">
        <v>63</v>
      </c>
      <c r="DV10" s="60" t="s">
        <v>63</v>
      </c>
      <c r="DW10" s="74"/>
      <c r="DX10" s="61"/>
      <c r="DY10" s="60"/>
      <c r="DZ10" s="60"/>
      <c r="EA10" s="60" t="s">
        <v>69</v>
      </c>
      <c r="EB10" s="60" t="s">
        <v>63</v>
      </c>
      <c r="EC10" s="60" t="s">
        <v>63</v>
      </c>
      <c r="ED10" s="60" t="s">
        <v>41</v>
      </c>
      <c r="EE10" s="60" t="s">
        <v>69</v>
      </c>
      <c r="EF10" s="61">
        <v>0.0</v>
      </c>
      <c r="EG10" s="61">
        <v>0.0</v>
      </c>
      <c r="EH10" s="61">
        <v>0.0</v>
      </c>
      <c r="EI10" s="61">
        <v>0.0</v>
      </c>
      <c r="EJ10" s="61"/>
      <c r="EK10" s="61"/>
      <c r="EL10" s="60" t="s">
        <v>60</v>
      </c>
      <c r="EM10" s="61">
        <v>0.0</v>
      </c>
      <c r="EN10" s="61">
        <v>0.0</v>
      </c>
      <c r="EO10" s="61">
        <v>0.0</v>
      </c>
      <c r="EP10" s="61">
        <v>0.0</v>
      </c>
      <c r="EQ10" s="61">
        <v>0.0</v>
      </c>
      <c r="ER10" s="61">
        <v>0.0</v>
      </c>
      <c r="ES10" s="61">
        <v>0.0</v>
      </c>
      <c r="ET10" s="61">
        <v>0.0</v>
      </c>
      <c r="EU10" s="61">
        <v>0.0</v>
      </c>
      <c r="EV10" s="60" t="s">
        <v>60</v>
      </c>
      <c r="EW10" s="61">
        <v>0.0</v>
      </c>
      <c r="EX10" s="60" t="b">
        <v>0</v>
      </c>
      <c r="EY10" s="60"/>
      <c r="EZ10" s="61"/>
      <c r="FA10" s="61"/>
      <c r="FB10" s="61"/>
      <c r="FC10" s="61"/>
    </row>
    <row r="11" ht="15.75" customHeight="1">
      <c r="A11" s="8"/>
      <c r="B11" s="64"/>
      <c r="C11" s="60" t="s">
        <v>21</v>
      </c>
      <c r="D11" s="60">
        <v>185.36</v>
      </c>
      <c r="E11" s="60" t="s">
        <v>22</v>
      </c>
      <c r="F11" s="60" t="s">
        <v>42</v>
      </c>
      <c r="G11" s="61">
        <v>0.0</v>
      </c>
      <c r="H11" s="60" t="s">
        <v>58</v>
      </c>
      <c r="I11" s="61">
        <v>0.0</v>
      </c>
      <c r="J11" s="61">
        <v>0.0</v>
      </c>
      <c r="K11" s="61">
        <v>0.0</v>
      </c>
      <c r="L11" s="61">
        <v>0.0</v>
      </c>
      <c r="M11" s="61"/>
      <c r="N11" s="61"/>
      <c r="O11" s="60"/>
      <c r="P11" s="60"/>
      <c r="Q11" s="61">
        <v>0.0</v>
      </c>
      <c r="R11" s="60" t="s">
        <v>33</v>
      </c>
      <c r="S11" s="60" t="s">
        <v>54</v>
      </c>
      <c r="T11" s="60" t="s">
        <v>27</v>
      </c>
      <c r="U11" s="60" t="s">
        <v>39</v>
      </c>
      <c r="V11" s="60" t="s">
        <v>37</v>
      </c>
      <c r="W11" s="60" t="s">
        <v>41</v>
      </c>
      <c r="X11" s="61">
        <v>1.0</v>
      </c>
      <c r="Y11" s="61">
        <v>1.0</v>
      </c>
      <c r="Z11" s="62"/>
      <c r="AA11" s="62"/>
      <c r="AB11" s="61">
        <v>0.0</v>
      </c>
      <c r="AC11" s="61">
        <v>0.0</v>
      </c>
      <c r="AD11" s="61">
        <v>0.0</v>
      </c>
      <c r="AE11" s="61">
        <v>0.0</v>
      </c>
      <c r="AF11" s="60">
        <v>185.36</v>
      </c>
      <c r="AG11" s="61">
        <v>0.0</v>
      </c>
      <c r="AH11" s="61">
        <v>0.0</v>
      </c>
      <c r="AI11" s="61">
        <v>0.0</v>
      </c>
      <c r="AJ11" s="61">
        <v>0.0</v>
      </c>
      <c r="AK11" s="61">
        <v>0.0</v>
      </c>
      <c r="AL11" s="61">
        <v>1.0</v>
      </c>
      <c r="AM11" s="61">
        <v>1.0</v>
      </c>
      <c r="AN11" s="60" t="s">
        <v>17</v>
      </c>
      <c r="AO11" s="62"/>
      <c r="AP11" s="60" t="s">
        <v>60</v>
      </c>
      <c r="AQ11" s="60" t="s">
        <v>21</v>
      </c>
      <c r="AR11" s="61">
        <v>0.0</v>
      </c>
      <c r="AS11" s="61">
        <v>1.0</v>
      </c>
      <c r="AT11" s="60"/>
      <c r="AU11" s="60"/>
      <c r="AV11" s="61">
        <v>1.0</v>
      </c>
      <c r="AW11" s="61">
        <v>0.0</v>
      </c>
      <c r="AX11" s="61">
        <v>0.0</v>
      </c>
      <c r="AY11" s="61">
        <v>0.0</v>
      </c>
      <c r="AZ11" s="61">
        <v>0.0</v>
      </c>
      <c r="BA11" s="61"/>
      <c r="BB11" s="63"/>
      <c r="BC11" s="61">
        <v>1.0</v>
      </c>
      <c r="BD11" s="61"/>
      <c r="BE11" s="60" t="s">
        <v>27</v>
      </c>
      <c r="BF11" s="60" t="s">
        <v>70</v>
      </c>
      <c r="BG11" s="60" t="s">
        <v>71</v>
      </c>
      <c r="BH11" s="60" t="s">
        <v>63</v>
      </c>
      <c r="BI11" s="60"/>
      <c r="BJ11" s="61">
        <v>0.0</v>
      </c>
      <c r="BK11" s="61">
        <v>0.0</v>
      </c>
      <c r="BL11" s="61">
        <v>0.0</v>
      </c>
      <c r="BM11" s="61">
        <v>0.0</v>
      </c>
      <c r="BN11" s="63"/>
      <c r="BO11" s="61"/>
      <c r="BP11" s="61">
        <v>0.0</v>
      </c>
      <c r="BQ11" s="60" t="s">
        <v>38</v>
      </c>
      <c r="BR11" s="60" t="s">
        <v>33</v>
      </c>
      <c r="BS11" s="61">
        <v>0.0</v>
      </c>
      <c r="BT11" s="61">
        <v>0.0</v>
      </c>
      <c r="BU11" s="60" t="s">
        <v>27</v>
      </c>
      <c r="BV11" s="61"/>
      <c r="BW11" s="61">
        <v>0.0</v>
      </c>
      <c r="BX11" s="61">
        <v>0.0</v>
      </c>
      <c r="BY11" s="61">
        <v>0.0</v>
      </c>
      <c r="BZ11" s="61">
        <v>0.0</v>
      </c>
      <c r="CA11" s="61">
        <v>0.0</v>
      </c>
      <c r="CB11" s="64"/>
      <c r="CC11" s="61">
        <v>0.0</v>
      </c>
      <c r="CD11" s="61">
        <v>0.0</v>
      </c>
      <c r="CE11" s="61">
        <v>0.0</v>
      </c>
      <c r="CF11" s="61">
        <v>0.0</v>
      </c>
      <c r="CG11" s="61">
        <v>0.0</v>
      </c>
      <c r="CH11" s="61">
        <v>0.0</v>
      </c>
      <c r="CI11" s="61">
        <v>0.0</v>
      </c>
      <c r="CJ11" s="61">
        <v>0.0</v>
      </c>
      <c r="CK11" s="60" t="b">
        <v>0</v>
      </c>
      <c r="CL11" s="62"/>
      <c r="CM11" s="62"/>
      <c r="CN11" s="60"/>
      <c r="CO11" s="60"/>
      <c r="CP11" s="60" t="s">
        <v>30</v>
      </c>
      <c r="CQ11" s="60"/>
      <c r="CR11" s="64"/>
      <c r="CS11" s="61">
        <v>0.0</v>
      </c>
      <c r="CT11" s="62"/>
      <c r="CU11" s="62"/>
      <c r="CV11" s="62"/>
      <c r="CW11" s="62"/>
      <c r="CX11" s="62"/>
      <c r="CY11" s="60" t="s">
        <v>53</v>
      </c>
      <c r="CZ11" s="60" t="s">
        <v>64</v>
      </c>
      <c r="DA11" s="61">
        <v>0.0</v>
      </c>
      <c r="DB11" s="61">
        <v>0.0</v>
      </c>
      <c r="DC11" s="63"/>
      <c r="DD11" s="61"/>
      <c r="DE11" s="61">
        <v>0.0</v>
      </c>
      <c r="DF11" s="61">
        <v>0.0</v>
      </c>
      <c r="DG11" s="61">
        <v>0.0</v>
      </c>
      <c r="DH11" s="60" t="s">
        <v>63</v>
      </c>
      <c r="DI11" s="61">
        <v>0.0</v>
      </c>
      <c r="DJ11" s="60" t="s">
        <v>17</v>
      </c>
      <c r="DK11" s="61">
        <v>0.0</v>
      </c>
      <c r="DL11" s="61">
        <v>0.0</v>
      </c>
      <c r="DM11" s="61">
        <v>1.0</v>
      </c>
      <c r="DN11" s="61">
        <v>0.0</v>
      </c>
      <c r="DO11" s="60"/>
      <c r="DP11" s="60" t="s">
        <v>60</v>
      </c>
      <c r="DQ11" s="60" t="s">
        <v>63</v>
      </c>
      <c r="DR11" s="60" t="s">
        <v>73</v>
      </c>
      <c r="DS11" s="60" t="s">
        <v>63</v>
      </c>
      <c r="DT11" s="60" t="s">
        <v>63</v>
      </c>
      <c r="DU11" s="60" t="s">
        <v>63</v>
      </c>
      <c r="DV11" s="60" t="s">
        <v>63</v>
      </c>
      <c r="DW11" s="74"/>
      <c r="DX11" s="61"/>
      <c r="DY11" s="60"/>
      <c r="DZ11" s="60"/>
      <c r="EA11" s="60" t="s">
        <v>69</v>
      </c>
      <c r="EB11" s="60" t="s">
        <v>63</v>
      </c>
      <c r="EC11" s="60" t="s">
        <v>63</v>
      </c>
      <c r="ED11" s="60" t="s">
        <v>41</v>
      </c>
      <c r="EE11" s="60" t="s">
        <v>69</v>
      </c>
      <c r="EF11" s="61">
        <v>0.0</v>
      </c>
      <c r="EG11" s="61">
        <v>0.0</v>
      </c>
      <c r="EH11" s="61">
        <v>0.0</v>
      </c>
      <c r="EI11" s="61">
        <v>0.0</v>
      </c>
      <c r="EJ11" s="61"/>
      <c r="EK11" s="61"/>
      <c r="EL11" s="60" t="s">
        <v>60</v>
      </c>
      <c r="EM11" s="61">
        <v>0.0</v>
      </c>
      <c r="EN11" s="61">
        <v>0.0</v>
      </c>
      <c r="EO11" s="61">
        <v>0.0</v>
      </c>
      <c r="EP11" s="61">
        <v>0.0</v>
      </c>
      <c r="EQ11" s="61">
        <v>0.0</v>
      </c>
      <c r="ER11" s="61">
        <v>0.0</v>
      </c>
      <c r="ES11" s="61">
        <v>0.0</v>
      </c>
      <c r="ET11" s="61">
        <v>0.0</v>
      </c>
      <c r="EU11" s="61">
        <v>0.0</v>
      </c>
      <c r="EV11" s="60" t="s">
        <v>60</v>
      </c>
      <c r="EW11" s="61">
        <v>0.0</v>
      </c>
      <c r="EX11" s="60" t="b">
        <v>0</v>
      </c>
      <c r="EY11" s="60"/>
      <c r="EZ11" s="61"/>
      <c r="FA11" s="61"/>
      <c r="FB11" s="61"/>
      <c r="FC11" s="6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34"/>
      <c r="B13" s="75"/>
      <c r="C13" s="66"/>
      <c r="D13" s="76"/>
      <c r="E13" s="66"/>
      <c r="F13" s="66"/>
      <c r="G13" s="76"/>
      <c r="H13" s="66"/>
      <c r="I13" s="77"/>
      <c r="J13" s="76"/>
      <c r="K13" s="76"/>
      <c r="L13" s="77"/>
      <c r="M13" s="76"/>
      <c r="N13" s="77"/>
      <c r="O13" s="66"/>
      <c r="P13" s="66"/>
      <c r="Q13" s="77"/>
      <c r="R13" s="66"/>
      <c r="S13" s="66"/>
      <c r="T13" s="67"/>
      <c r="U13" s="67"/>
      <c r="V13" s="67"/>
      <c r="W13" s="67"/>
      <c r="X13" s="78"/>
      <c r="Y13" s="78"/>
      <c r="Z13" s="34"/>
      <c r="AA13" s="34"/>
      <c r="AB13" s="78"/>
      <c r="AC13" s="78"/>
      <c r="AD13" s="78"/>
      <c r="AE13" s="79"/>
      <c r="AF13" s="78"/>
      <c r="AG13" s="78"/>
      <c r="AH13" s="78"/>
      <c r="AI13" s="78"/>
      <c r="AJ13" s="78"/>
      <c r="AK13" s="79"/>
      <c r="AL13" s="78"/>
      <c r="AM13" s="78"/>
      <c r="AN13" s="67"/>
      <c r="AO13" s="34"/>
      <c r="AP13" s="67"/>
      <c r="AQ13" s="67"/>
      <c r="AR13" s="78"/>
      <c r="AS13" s="78"/>
      <c r="AT13" s="67"/>
      <c r="AU13" s="67"/>
      <c r="AV13" s="78"/>
      <c r="AW13" s="79"/>
      <c r="AX13" s="78"/>
      <c r="AY13" s="78"/>
      <c r="AZ13" s="78"/>
      <c r="BA13" s="78"/>
      <c r="BB13" s="78"/>
      <c r="BC13" s="78"/>
      <c r="BD13" s="79"/>
      <c r="BE13" s="67"/>
      <c r="BF13" s="67"/>
      <c r="BG13" s="67"/>
      <c r="BH13" s="67"/>
      <c r="BI13" s="78"/>
      <c r="BJ13" s="78"/>
      <c r="BK13" s="78"/>
      <c r="BL13" s="78"/>
      <c r="BM13" s="78"/>
      <c r="BN13" s="68"/>
      <c r="BO13" s="79"/>
      <c r="BP13" s="78"/>
      <c r="BQ13" s="67"/>
      <c r="BR13" s="67"/>
      <c r="BS13" s="78"/>
      <c r="BT13" s="78"/>
      <c r="BU13" s="67"/>
      <c r="BV13" s="69"/>
      <c r="BW13" s="78"/>
      <c r="BX13" s="78"/>
      <c r="BY13" s="78"/>
      <c r="BZ13" s="78"/>
      <c r="CA13" s="78"/>
      <c r="CB13" s="72"/>
      <c r="CC13" s="78"/>
      <c r="CD13" s="79"/>
      <c r="CE13" s="78"/>
      <c r="CF13" s="78"/>
      <c r="CG13" s="79"/>
      <c r="CH13" s="78"/>
      <c r="CI13" s="78"/>
      <c r="CJ13" s="78"/>
      <c r="CK13" s="70"/>
      <c r="CL13" s="34"/>
      <c r="CM13" s="34"/>
      <c r="CN13" s="34"/>
      <c r="CO13" s="34"/>
      <c r="CP13" s="34"/>
      <c r="CQ13" s="34"/>
      <c r="CR13" s="72"/>
      <c r="CS13" s="78"/>
      <c r="CT13" s="34"/>
      <c r="CU13" s="34"/>
      <c r="CV13" s="34"/>
      <c r="CW13" s="34"/>
      <c r="CX13" s="34"/>
      <c r="CY13" s="67"/>
      <c r="CZ13" s="67"/>
      <c r="DA13" s="78"/>
      <c r="DB13" s="78"/>
      <c r="DC13" s="69"/>
      <c r="DD13" s="78"/>
      <c r="DE13" s="78"/>
      <c r="DF13" s="78"/>
      <c r="DG13" s="78"/>
      <c r="DH13" s="67"/>
      <c r="DI13" s="78"/>
      <c r="DJ13" s="67"/>
      <c r="DK13" s="78"/>
      <c r="DL13" s="78"/>
      <c r="DM13" s="78"/>
      <c r="DN13" s="78"/>
      <c r="DO13" s="34"/>
      <c r="DP13" s="67"/>
      <c r="DQ13" s="67"/>
      <c r="DR13" s="67"/>
      <c r="DS13" s="67"/>
      <c r="DT13" s="67"/>
      <c r="DU13" s="67"/>
      <c r="DV13" s="67"/>
      <c r="DW13" s="67"/>
      <c r="DX13" s="67"/>
      <c r="DY13" s="67"/>
      <c r="DZ13" s="67"/>
      <c r="EA13" s="67"/>
      <c r="EB13" s="67"/>
      <c r="EC13" s="67"/>
      <c r="ED13" s="67"/>
      <c r="EE13" s="67"/>
      <c r="EF13" s="78"/>
      <c r="EG13" s="78"/>
      <c r="EH13" s="78"/>
      <c r="EI13" s="78"/>
      <c r="EJ13" s="78"/>
      <c r="EK13" s="78"/>
      <c r="EL13" s="67"/>
      <c r="EM13" s="78"/>
      <c r="EN13" s="78"/>
      <c r="EO13" s="78"/>
      <c r="EP13" s="78"/>
      <c r="EQ13" s="78"/>
      <c r="ER13" s="78"/>
      <c r="ES13" s="79"/>
      <c r="ET13" s="78"/>
      <c r="EU13" s="78"/>
      <c r="EV13" s="67"/>
      <c r="EW13" s="79"/>
      <c r="EX13" s="70"/>
      <c r="EY13" s="34"/>
      <c r="EZ13" s="34"/>
      <c r="FA13" s="34"/>
      <c r="FB13" s="34"/>
      <c r="FC13" s="67"/>
      <c r="FD13" s="78"/>
      <c r="FE13" s="78"/>
      <c r="FF13" s="78"/>
      <c r="FG13" s="79"/>
      <c r="FH13" s="34"/>
      <c r="FI13" s="34"/>
      <c r="FJ13" s="34"/>
      <c r="FK13" s="34"/>
      <c r="FL13" s="34"/>
      <c r="FM13" s="34"/>
      <c r="FN13" s="34"/>
      <c r="FO13" s="34"/>
      <c r="FP13" s="34"/>
      <c r="FQ13" s="34"/>
      <c r="FR13" s="34"/>
    </row>
    <row r="14" ht="15.75" customHeight="1">
      <c r="A14" s="8"/>
      <c r="B14" s="8"/>
      <c r="C14" s="8"/>
      <c r="D14" s="60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60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60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