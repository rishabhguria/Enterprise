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AddCalculatedPreferences" sheetId="4" r:id="rId6"/>
    <sheet name="SetAccountValueCalculatedPref" sheetId="5" r:id="rId7"/>
    <sheet name="SetDefaultRuleCalculatedPref" sheetId="6" r:id="rId8"/>
    <sheet name="SetGeneralRuleCalculatedPref" sheetId="7" r:id="rId9"/>
    <sheet name="UpdateGRDefaultRule" sheetId="8" r:id="rId10"/>
    <sheet name="CreateDoneAwayOrder" sheetId="9" r:id="rId11"/>
    <sheet name="PricingInput" sheetId="10" r:id="rId12"/>
    <sheet name="GetDailyCash" sheetId="11" r:id="rId13"/>
    <sheet name="UpdateMultipleDailyCash" sheetId="12" r:id="rId14"/>
    <sheet name="UpdateRoundLot" sheetId="13" r:id="rId15"/>
    <sheet name="CreateLiveOrder" sheetId="14" r:id="rId16"/>
    <sheet name="SelectTrade" sheetId="15" r:id="rId17"/>
    <sheet name="AcknowledgeTrade" sheetId="16" r:id="rId18"/>
    <sheet name="ExecuteTrade" sheetId="17" r:id="rId19"/>
    <sheet name="CheckPortfolioManagement" sheetId="18" r:id="rId20"/>
    <sheet name="SelectTrade1" sheetId="19" r:id="rId21"/>
    <sheet name="ExecuteTrade1" sheetId="20" r:id="rId22"/>
    <sheet name="CheckPortfolioManagement1" sheetId="21" r:id="rId23"/>
    <sheet name="SelectTrade2" sheetId="22" r:id="rId24"/>
    <sheet name="ExecuteTrade2" sheetId="23" r:id="rId25"/>
    <sheet name="CheckPortfolioManagement2" sheetId="24" r:id="rId26"/>
  </sheets>
  <calcPr fullCalcOnLoad="1"/>
</workbook>
</file>

<file path=xl/sharedStrings.xml><?xml version="1.0" encoding="utf-8"?>
<sst xmlns="http://schemas.openxmlformats.org/spreadsheetml/2006/main" count="52" uniqueCount="52">
  <si>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</si>
  <si>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</si>
  <si>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</si>
  <si>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</si>
  <si>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</si>
  <si>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</si>
  <si>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</si>
  <si>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</si>
  <si>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</si>
  <si>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</si>
  <si>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</si>
  <si>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</si>
  <si>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</si>
  <si>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</si>
  <si>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</si>
  <si>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</si>
  <si>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</si>
  <si>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SetAccountValueCalculatedPref</t>
  </si>
  <si>
    <t>Allocation2</t>
  </si>
  <si>
    <t>Allocation3</t>
  </si>
  <si>
    <t>SetDefaultRuleCalculatedPref</t>
  </si>
  <si>
    <t>Leveling</t>
  </si>
  <si>
    <t>Allocation2,Allocation3</t>
  </si>
  <si>
    <t>SetGeneralRuleCalculatedPref</t>
  </si>
  <si>
    <t>Include</t>
  </si>
  <si>
    <t>NASDAQ</t>
  </si>
  <si>
    <t>Equity</t>
  </si>
  <si>
    <t>UpdateGRDefaultRule</t>
  </si>
  <si>
    <t>TradingTicket</t>
  </si>
  <si>
    <t>CreateDoneAwayOrder</t>
  </si>
  <si>
    <t>AAPL</t>
  </si>
  <si>
    <t>Buy</t>
  </si>
  <si>
    <t>PricingInput</t>
  </si>
  <si>
    <t>DailyValuation</t>
  </si>
  <si>
    <t>GetDailyCash</t>
  </si>
  <si>
    <t>UpdateMultipleDailyCash</t>
  </si>
  <si>
    <t>USD</t>
  </si>
  <si>
    <t>Admin</t>
  </si>
  <si>
    <t>UpdateRoundLot</t>
  </si>
  <si>
    <t>CreateLiveOrder</t>
  </si>
  <si>
    <t>Simulator</t>
  </si>
  <si>
    <t>SelectTrade</t>
  </si>
  <si>
    <t>AcknowledgeTrade</t>
  </si>
  <si>
    <t>ExecuteTrade</t>
  </si>
  <si>
    <t>PortfolioManagement</t>
  </si>
  <si>
    <t>CheckPortfolioManagement</t>
  </si>
  <si>
    <t>NewMF1</t>
  </si>
  <si>
    <t>Long</t>
  </si>
  <si>
    <t>MS</t>
  </si>
  <si>
    <t>Strategy Unallocated</t>
  </si>
  <si>
    <t>US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</si>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</sst>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6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"/>
      <color rgb="FF000000"/>
      <name val="&quot;Google Sans Mono&quot;"/>
    </font>
    <font>
      <sz val="11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3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5" applyFont="1" fillId="0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numFmtId="14" applyNumberFormat="1" fontId="5" applyFont="1" fillId="0" applyFill="1" borderId="0" applyBorder="1" xfId="0">
      <alignment horizontal="right"/>
    </xf>
    <xf numFmtId="14" applyNumberFormat="1" fontId="14" applyFont="1" fillId="6" applyFill="1" borderId="0" applyBorder="1" xfId="0">
      <alignment horizontal="right"/>
    </xf>
    <xf fontId="3" applyFont="1" fillId="0" applyFill="1" borderId="0" applyBorder="1" xfId="0"/>
    <xf fontId="15" applyFont="1" fillId="0" applyFill="1" borderId="0" applyBorder="1" xfId="0"/>
    <xf fontId="15" applyFont="1" fillId="0" applyFill="1" borderId="0" applyBorder="1" xfId="0">
      <alignment horizontal="right"/>
    </xf>
    <xf numFmtId="3" applyNumberFormat="1" fontId="15" applyFont="1" fillId="0" applyFill="1" borderId="0" applyBorder="1" xfId="0">
      <alignment horizontal="right"/>
    </xf>
    <xf fontId="1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7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3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9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>
      <c r="A644" s="0" t="str">
        <f>IFERROR(__xludf.DUMMYFUNCTION("""COMPUTED_VALUE"""),"Rebalancer")</f>
        <v>Rebalancer</v>
      </c>
      <c r="B644" s="0" t="str">
        <f>IFERROR(__xludf.DUMMYFUNCTION("""COMPUTED_VALUE"""),"ImportUsingRebalAccrossSec")</f>
        <v>ImportUsingRebalAccrossSec</v>
      </c>
      <c r="C644" s="0" t="str">
        <f>IFERROR(__xludf.DUMMYFUNCTION("""COMPUTED_VALUE"""),"1wqAINPqghzd-HB-5iMIqQiCzJj40pqhM2cTv6gahRwo")</f>
        <v>1wqAINPqghzd-HB-5iMIqQiCzJj40pqhM2cTv6gahRwo</v>
      </c>
    </row>
    <row r="645" ht="15.75" customHeight="1">
      <c r="A645" s="0" t="str">
        <f>IFERROR(__xludf.DUMMYFUNCTION("""COMPUTED_VALUE"""),"Rebalancer")</f>
        <v>Rebalancer</v>
      </c>
      <c r="B645" s="0" t="str">
        <f>IFERROR(__xludf.DUMMYFUNCTION("""COMPUTED_VALUE"""),"EditImportStatus")</f>
        <v>EditImportStatus</v>
      </c>
      <c r="C645" s="0" t="str">
        <f>IFERROR(__xludf.DUMMYFUNCTION("""COMPUTED_VALUE"""),"1Xkf1z6WsFfAEpWdBzMACVnTjRvtpZJ0Jbfvug1u1fb8")</f>
        <v>1Xkf1z6WsFfAEpWdBzMACVnTjRvtpZJ0Jbfvug1u1fb8</v>
      </c>
    </row>
    <row r="646" ht="15.75" customHeight="1">
      <c r="A646" s="0" t="str">
        <f>IFERROR(__xludf.DUMMYFUNCTION("""COMPUTED_VALUE"""),"Rebalancer")</f>
        <v>Rebalancer</v>
      </c>
      <c r="B646" s="0" t="str">
        <f>IFERROR(__xludf.DUMMYFUNCTION("""COMPUTED_VALUE"""),"SelectActionsOnImportStatus")</f>
        <v>SelectActionsOnImportStatus</v>
      </c>
      <c r="C646" s="0" t="str">
        <f>IFERROR(__xludf.DUMMYFUNCTION("""COMPUTED_VALUE"""),"10jCuA8F_28LjeoDXTbc5IgQjfWoEPTWq9svKzhi97OA")</f>
        <v>10jCuA8F_28LjeoDXTbc5IgQjfWoEPTWq9svKzhi97OA</v>
      </c>
    </row>
    <row r="647" ht="15.75" customHeight="1">
      <c r="A647" s="0" t="str">
        <f>IFERROR(__xludf.DUMMYFUNCTION("""COMPUTED_VALUE"""),"Rebalancer")</f>
        <v>Rebalancer</v>
      </c>
      <c r="B647" s="0" t="str">
        <f>IFERROR(__xludf.DUMMYFUNCTION("""COMPUTED_VALUE"""),"VerifyImportStatus")</f>
        <v>VerifyImportStatus</v>
      </c>
      <c r="C647" s="0" t="str">
        <f>IFERROR(__xludf.DUMMYFUNCTION("""COMPUTED_VALUE"""),"1cyg6XGf_AlQQ_g5DPcBgmBfH4Oz4BH6IUMfTD5nIhFQ")</f>
        <v>1cyg6XGf_AlQQ_g5DPcBgmBfH4Oz4BH6IUMfTD5nIhFQ</v>
      </c>
    </row>
    <row r="648" ht="15.75" customHeight="1">
      <c r="A648" s="0" t="str">
        <f>IFERROR(__xludf.DUMMYFUNCTION("""COMPUTED_VALUE"""),"PTT")</f>
        <v>PTT</v>
      </c>
      <c r="B648" s="0" t="str">
        <f>IFERROR(__xludf.DUMMYFUNCTION("""COMPUTED_VALUE"""),"OpenPreferencesFromPTT")</f>
        <v>OpenPreferencesFromPTT</v>
      </c>
      <c r="C648" s="0" t="str">
        <f>IFERROR(__xludf.DUMMYFUNCTION("""COMPUTED_VALUE"""),"Undefined")</f>
        <v>Undefined</v>
      </c>
    </row>
    <row r="649" ht="15.75" customHeight="1">
      <c r="A649" s="0" t="str">
        <f>IFERROR(__xludf.DUMMYFUNCTION("""COMPUTED_VALUE"""),"Watchlist")</f>
        <v>Watchlist</v>
      </c>
      <c r="B649" s="0" t="str">
        <f>IFERROR(__xludf.DUMMYFUNCTION("""COMPUTED_VALUE"""),"OpenPTTFromWatchlist")</f>
        <v>OpenPTTFromWatchlist</v>
      </c>
      <c r="C649" s="0" t="str">
        <f>IFERROR(__xludf.DUMMYFUNCTION("""COMPUTED_VALUE"""),"1CRJ_F5octCl23LyAw_CoHc_10OvrxRq8f7mNNzl_B6c")</f>
        <v>1CRJ_F5octCl23LyAw_CoHc_10OvrxRq8f7mNNzl_B6c</v>
      </c>
    </row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50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SetAccountValueCalculatedPref!$4:$4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21</v>
      </c>
      <c r="E6" s="13" t="s">
        <v>22</v>
      </c>
      <c r="F6" s="8"/>
      <c r="G6" s="8"/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IFERROR(__xludf.DUMMYFUNCTION("""COMPUTED_VALUE"""),"Exchange Selector")</f>
        <v>Exchange Selector</v>
      </c>
      <c r="C5" s="28" t="str">
        <f>IFERROR(__xludf.DUMMYFUNCTION("""COMPUTED_VALUE"""),"Exchange List")</f>
        <v>Exchange List</v>
      </c>
      <c r="D5" s="28" t="str">
        <f>IFERROR(__xludf.DUMMYFUNCTION("""COMPUTED_VALUE"""),"Asset Selector")</f>
        <v>Asset Selector</v>
      </c>
      <c r="E5" s="28" t="str">
        <f>IFERROR(__xludf.DUMMYFUNCTION("""COMPUTED_VALUE"""),"Asset List")</f>
        <v>Asset List</v>
      </c>
      <c r="F5" s="29" t="str">
        <f>IFERROR(__xludf.DUMMYFUNCTION("""COMPUTED_VALUE"""),"PR Selector")</f>
        <v>PR Selector</v>
      </c>
      <c r="G5" s="28" t="str">
        <f>IFERROR(__xludf.DUMMYFUNCTION("""COMPUTED_VALUE"""),"PR List")</f>
        <v>PR List</v>
      </c>
      <c r="H5" s="28" t="str">
        <f>IFERROR(__xludf.DUMMYFUNCTION("""COMPUTED_VALUE"""),"Order Side Selector")</f>
        <v>Order Side Selector</v>
      </c>
      <c r="I5" s="28" t="str">
        <f>IFERROR(__xludf.DUMMYFUNCTION("""COMPUTED_VALUE"""),"Order Side List")</f>
        <v>Order Side List</v>
      </c>
      <c r="J5" s="28" t="str">
        <f>IFERROR(__xludf.DUMMYFUNCTION("""COMPUTED_VALUE"""),"PreferenceName")</f>
        <v>PreferenceName</v>
      </c>
      <c r="K5" s="28" t="str">
        <f>IFERROR(__xludf.DUMMYFUNCTION("""COMPUTED_VALUE"""),"Update Preference")</f>
        <v>Update Preference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24</v>
      </c>
      <c r="C6" s="13" t="s">
        <v>25</v>
      </c>
      <c r="D6" s="13" t="s">
        <v>24</v>
      </c>
      <c r="E6" s="13" t="s">
        <v>26</v>
      </c>
      <c r="F6" s="8"/>
      <c r="G6" s="8"/>
      <c r="H6" s="8"/>
      <c r="I6" s="8"/>
      <c r="J6" s="13" t="s">
        <v>16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SetGeneralRuleCalculatedPref!$4:$4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13" t="b">
        <v>0</v>
      </c>
      <c r="H6" s="13" t="s">
        <v>16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UpdateGRDefaultRule!$4:$4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30</v>
      </c>
      <c r="C6" s="33" t="s">
        <v>31</v>
      </c>
      <c r="D6" s="34">
        <v>100</v>
      </c>
      <c r="E6" s="33"/>
      <c r="F6" s="33" t="s">
        <v>18</v>
      </c>
      <c r="G6" s="33"/>
      <c r="H6" s="33"/>
      <c r="I6" s="33"/>
      <c r="J6" s="35">
        <v>10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30</v>
      </c>
      <c r="C7" s="33" t="s">
        <v>31</v>
      </c>
      <c r="D7" s="35">
        <v>1000</v>
      </c>
      <c r="E7" s="33"/>
      <c r="F7" s="33" t="s">
        <v>19</v>
      </c>
      <c r="G7" s="33"/>
      <c r="H7" s="33"/>
      <c r="I7" s="33"/>
      <c r="J7" s="35">
        <v>10</v>
      </c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30</v>
      </c>
      <c r="C6" s="35">
        <v>175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6">
        <f>TODAY()-1</f>
        <v>45131</v>
      </c>
      <c r="C6" s="37">
        <f>TODAY()</f>
        <v>45132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36</v>
      </c>
      <c r="D6" s="34">
        <v>7500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36</v>
      </c>
      <c r="D7" s="35">
        <v>75000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37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30</v>
      </c>
      <c r="C6" s="35">
        <v>5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30</v>
      </c>
      <c r="C6" s="38" t="s">
        <v>31</v>
      </c>
      <c r="D6" s="34">
        <v>1000</v>
      </c>
      <c r="E6" s="33"/>
      <c r="F6" s="33" t="s">
        <v>16</v>
      </c>
      <c r="G6" s="33"/>
      <c r="H6" s="33"/>
      <c r="I6" s="33"/>
      <c r="J6" s="35">
        <v>10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U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7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9" t="s">
        <v>30</v>
      </c>
      <c r="D6" s="40">
        <v>100</v>
      </c>
      <c r="E6" s="39" t="s">
        <v>18</v>
      </c>
      <c r="F6" s="39" t="s">
        <v>46</v>
      </c>
      <c r="G6" s="13">
        <v>10</v>
      </c>
      <c r="H6" s="39" t="s">
        <v>47</v>
      </c>
      <c r="I6" s="8"/>
      <c r="J6" s="8"/>
      <c r="K6" s="8"/>
      <c r="L6" s="8"/>
      <c r="M6" s="8"/>
      <c r="N6" s="8"/>
      <c r="O6" s="8"/>
      <c r="R6" s="39" t="s">
        <v>48</v>
      </c>
      <c r="S6" s="39" t="s">
        <v>49</v>
      </c>
      <c r="T6" s="39" t="s">
        <v>26</v>
      </c>
      <c r="U6" s="39" t="s">
        <v>50</v>
      </c>
      <c r="V6" s="39" t="s">
        <v>25</v>
      </c>
      <c r="W6" s="39" t="s">
        <v>36</v>
      </c>
      <c r="AN6" s="39" t="s">
        <v>31</v>
      </c>
    </row>
    <row r="7" ht="15.75" customHeight="1">
      <c r="A7" s="8"/>
      <c r="B7" s="8"/>
      <c r="C7" s="39" t="s">
        <v>30</v>
      </c>
      <c r="D7" s="41">
        <v>1000</v>
      </c>
      <c r="E7" s="39" t="s">
        <v>19</v>
      </c>
      <c r="F7" s="39" t="s">
        <v>51</v>
      </c>
      <c r="G7" s="13">
        <v>10</v>
      </c>
      <c r="H7" s="39" t="s">
        <v>47</v>
      </c>
      <c r="I7" s="8"/>
      <c r="J7" s="8"/>
      <c r="K7" s="8"/>
      <c r="L7" s="8"/>
      <c r="M7" s="8"/>
      <c r="N7" s="8"/>
      <c r="O7" s="8"/>
      <c r="R7" s="39" t="s">
        <v>48</v>
      </c>
      <c r="S7" s="39" t="s">
        <v>49</v>
      </c>
      <c r="T7" s="39" t="s">
        <v>26</v>
      </c>
      <c r="U7" s="39" t="s">
        <v>50</v>
      </c>
      <c r="V7" s="39" t="s">
        <v>25</v>
      </c>
      <c r="W7" s="39" t="s">
        <v>36</v>
      </c>
      <c r="AN7" s="39" t="s">
        <v>31</v>
      </c>
    </row>
    <row r="8" ht="15.75" customHeight="1">
      <c r="A8" s="8"/>
      <c r="B8" s="8"/>
      <c r="C8" s="39" t="s">
        <v>30</v>
      </c>
      <c r="D8" s="40">
        <v>10</v>
      </c>
      <c r="E8" s="39" t="s">
        <v>19</v>
      </c>
      <c r="F8" s="39" t="s">
        <v>51</v>
      </c>
      <c r="G8" s="13">
        <v>10</v>
      </c>
      <c r="H8" s="39" t="s">
        <v>47</v>
      </c>
      <c r="I8" s="8"/>
      <c r="J8" s="8"/>
      <c r="K8" s="8"/>
      <c r="L8" s="8"/>
      <c r="M8" s="8"/>
      <c r="N8" s="8"/>
      <c r="O8" s="8"/>
      <c r="R8" s="39" t="s">
        <v>48</v>
      </c>
      <c r="S8" s="39" t="s">
        <v>49</v>
      </c>
      <c r="T8" s="39" t="s">
        <v>26</v>
      </c>
      <c r="U8" s="39" t="s">
        <v>50</v>
      </c>
      <c r="V8" s="39" t="s">
        <v>25</v>
      </c>
      <c r="W8" s="39" t="s">
        <v>36</v>
      </c>
      <c r="AN8" s="39" t="s">
        <v>31</v>
      </c>
    </row>
    <row r="9" ht="15.75" customHeight="1">
      <c r="A9" s="8"/>
      <c r="B9" s="8"/>
      <c r="C9" s="42"/>
      <c r="D9" s="42"/>
      <c r="E9" s="42"/>
      <c r="F9" s="42"/>
      <c r="G9" s="8"/>
      <c r="H9" s="42"/>
      <c r="I9" s="8"/>
      <c r="J9" s="8"/>
      <c r="K9" s="8"/>
      <c r="L9" s="8"/>
      <c r="M9" s="8"/>
      <c r="N9" s="8"/>
      <c r="O9" s="8"/>
      <c r="R9" s="42"/>
      <c r="S9" s="42"/>
      <c r="T9" s="42"/>
      <c r="U9" s="42"/>
      <c r="V9" s="42"/>
      <c r="W9" s="42"/>
      <c r="AN9" s="4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R10" s="4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</v>
      </c>
      <c r="C6" s="13">
        <v>90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U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7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9" t="s">
        <v>30</v>
      </c>
      <c r="D6" s="40">
        <v>100</v>
      </c>
      <c r="E6" s="39" t="s">
        <v>18</v>
      </c>
      <c r="F6" s="39" t="s">
        <v>46</v>
      </c>
      <c r="G6" s="40">
        <v>10</v>
      </c>
      <c r="H6" s="39" t="s">
        <v>47</v>
      </c>
      <c r="I6" s="8"/>
      <c r="J6" s="8"/>
      <c r="K6" s="8"/>
      <c r="L6" s="8"/>
      <c r="M6" s="8"/>
      <c r="N6" s="8"/>
      <c r="O6" s="8"/>
      <c r="R6" s="39" t="s">
        <v>48</v>
      </c>
      <c r="S6" s="39" t="s">
        <v>49</v>
      </c>
      <c r="T6" s="39" t="s">
        <v>26</v>
      </c>
      <c r="U6" s="39" t="s">
        <v>50</v>
      </c>
      <c r="V6" s="39" t="s">
        <v>25</v>
      </c>
      <c r="W6" s="39" t="s">
        <v>36</v>
      </c>
      <c r="AN6" s="39" t="s">
        <v>31</v>
      </c>
    </row>
    <row r="7" ht="15.75" customHeight="1">
      <c r="A7" s="8"/>
      <c r="B7" s="8"/>
      <c r="C7" s="39" t="s">
        <v>30</v>
      </c>
      <c r="D7" s="41">
        <v>5</v>
      </c>
      <c r="E7" s="39" t="s">
        <v>18</v>
      </c>
      <c r="F7" s="39" t="s">
        <v>46</v>
      </c>
      <c r="G7" s="40">
        <v>10</v>
      </c>
      <c r="H7" s="39" t="s">
        <v>47</v>
      </c>
      <c r="I7" s="8"/>
      <c r="J7" s="8"/>
      <c r="K7" s="8"/>
      <c r="L7" s="8"/>
      <c r="M7" s="8"/>
      <c r="N7" s="8"/>
      <c r="O7" s="8"/>
      <c r="R7" s="39" t="s">
        <v>48</v>
      </c>
      <c r="S7" s="39" t="s">
        <v>49</v>
      </c>
      <c r="T7" s="39" t="s">
        <v>26</v>
      </c>
      <c r="U7" s="39" t="s">
        <v>50</v>
      </c>
      <c r="V7" s="39" t="s">
        <v>25</v>
      </c>
      <c r="W7" s="39" t="s">
        <v>36</v>
      </c>
      <c r="AN7" s="39" t="s">
        <v>31</v>
      </c>
    </row>
    <row r="8" ht="15.75" customHeight="1">
      <c r="A8" s="8"/>
      <c r="B8" s="8"/>
      <c r="C8" s="39" t="s">
        <v>30</v>
      </c>
      <c r="D8" s="41">
        <v>1000</v>
      </c>
      <c r="E8" s="39" t="s">
        <v>19</v>
      </c>
      <c r="F8" s="39" t="s">
        <v>51</v>
      </c>
      <c r="G8" s="40">
        <v>10</v>
      </c>
      <c r="H8" s="39" t="s">
        <v>47</v>
      </c>
      <c r="I8" s="8"/>
      <c r="J8" s="8"/>
      <c r="K8" s="8"/>
      <c r="L8" s="8"/>
      <c r="M8" s="8"/>
      <c r="N8" s="8"/>
      <c r="O8" s="8"/>
      <c r="R8" s="39" t="s">
        <v>48</v>
      </c>
      <c r="S8" s="39" t="s">
        <v>49</v>
      </c>
      <c r="T8" s="39" t="s">
        <v>26</v>
      </c>
      <c r="U8" s="39" t="s">
        <v>50</v>
      </c>
      <c r="V8" s="39" t="s">
        <v>25</v>
      </c>
      <c r="W8" s="39" t="s">
        <v>36</v>
      </c>
      <c r="AN8" s="39" t="s">
        <v>31</v>
      </c>
    </row>
    <row r="9" ht="15.75" customHeight="1">
      <c r="A9" s="8"/>
      <c r="B9" s="8"/>
      <c r="C9" s="39" t="s">
        <v>30</v>
      </c>
      <c r="D9" s="40">
        <v>95</v>
      </c>
      <c r="E9" s="39" t="s">
        <v>19</v>
      </c>
      <c r="F9" s="39" t="s">
        <v>51</v>
      </c>
      <c r="G9" s="40">
        <v>10</v>
      </c>
      <c r="H9" s="39" t="s">
        <v>47</v>
      </c>
      <c r="I9" s="8"/>
      <c r="J9" s="8"/>
      <c r="K9" s="8"/>
      <c r="L9" s="8"/>
      <c r="M9" s="8"/>
      <c r="N9" s="8"/>
      <c r="O9" s="8"/>
      <c r="R9" s="39" t="s">
        <v>48</v>
      </c>
      <c r="S9" s="39" t="s">
        <v>49</v>
      </c>
      <c r="T9" s="39" t="s">
        <v>26</v>
      </c>
      <c r="U9" s="39" t="s">
        <v>50</v>
      </c>
      <c r="V9" s="39" t="s">
        <v>25</v>
      </c>
      <c r="W9" s="39" t="s">
        <v>36</v>
      </c>
      <c r="AN9" s="39" t="s">
        <v>31</v>
      </c>
    </row>
    <row r="10" ht="15.75" customHeight="1">
      <c r="A10" s="8"/>
      <c r="B10" s="8"/>
      <c r="C10" s="42"/>
      <c r="D10" s="42"/>
      <c r="E10" s="42"/>
      <c r="F10" s="42"/>
      <c r="G10" s="42"/>
      <c r="H10" s="42"/>
      <c r="I10" s="8"/>
      <c r="J10" s="8"/>
      <c r="K10" s="8"/>
      <c r="L10" s="8"/>
      <c r="M10" s="8"/>
      <c r="N10" s="8"/>
      <c r="O10" s="8"/>
      <c r="R10" s="42"/>
      <c r="S10" s="42"/>
      <c r="T10" s="42"/>
      <c r="U10" s="42"/>
      <c r="V10" s="42"/>
      <c r="W10" s="42"/>
      <c r="AN10" s="42"/>
    </row>
    <row r="11" ht="15.75" customHeight="1">
      <c r="A11" s="8"/>
      <c r="B11" s="8"/>
      <c r="C11" s="8"/>
      <c r="D11" s="8"/>
      <c r="E11" s="42"/>
      <c r="F11" s="42"/>
      <c r="G11" s="42"/>
      <c r="H11" s="42"/>
      <c r="I11" s="8"/>
      <c r="J11" s="8"/>
      <c r="K11" s="8"/>
      <c r="L11" s="8"/>
      <c r="M11" s="8"/>
      <c r="N11" s="8"/>
      <c r="O11" s="8"/>
      <c r="W11" s="42"/>
      <c r="AN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31</v>
      </c>
      <c r="C6" s="13" t="s">
        <v>30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40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</v>
      </c>
      <c r="C6" s="13">
        <v>900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U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77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44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</row>
    <row r="5" ht="15.75" customHeight="1">
      <c r="A5" s="27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</row>
    <row r="6" ht="15.75" customHeight="1">
      <c r="A6" s="13"/>
      <c r="B6" s="13"/>
      <c r="C6" s="39" t="s">
        <v>30</v>
      </c>
      <c r="D6" s="40">
        <v>100</v>
      </c>
      <c r="E6" s="39" t="s">
        <v>18</v>
      </c>
      <c r="F6" s="39" t="s">
        <v>46</v>
      </c>
      <c r="G6" s="40">
        <v>10</v>
      </c>
      <c r="H6" s="39" t="s">
        <v>47</v>
      </c>
      <c r="I6" s="8"/>
      <c r="J6" s="8"/>
      <c r="K6" s="8"/>
      <c r="L6" s="8"/>
      <c r="M6" s="8"/>
      <c r="N6" s="8"/>
      <c r="O6" s="8"/>
      <c r="R6" s="39" t="s">
        <v>48</v>
      </c>
      <c r="S6" s="39" t="s">
        <v>49</v>
      </c>
      <c r="T6" s="39" t="s">
        <v>26</v>
      </c>
      <c r="U6" s="39" t="s">
        <v>50</v>
      </c>
      <c r="V6" s="39" t="s">
        <v>25</v>
      </c>
      <c r="W6" s="39" t="s">
        <v>36</v>
      </c>
      <c r="AN6" s="39" t="s">
        <v>31</v>
      </c>
    </row>
    <row r="7" ht="15.75" customHeight="1">
      <c r="A7" s="8"/>
      <c r="B7" s="8"/>
      <c r="C7" s="39" t="s">
        <v>30</v>
      </c>
      <c r="D7" s="40">
        <v>85</v>
      </c>
      <c r="E7" s="39" t="s">
        <v>18</v>
      </c>
      <c r="F7" s="39" t="s">
        <v>46</v>
      </c>
      <c r="G7" s="40">
        <v>10</v>
      </c>
      <c r="H7" s="39" t="s">
        <v>47</v>
      </c>
      <c r="I7" s="8"/>
      <c r="J7" s="8"/>
      <c r="K7" s="8"/>
      <c r="L7" s="8"/>
      <c r="M7" s="8"/>
      <c r="N7" s="8"/>
      <c r="O7" s="8"/>
      <c r="R7" s="39" t="s">
        <v>48</v>
      </c>
      <c r="S7" s="39" t="s">
        <v>49</v>
      </c>
      <c r="T7" s="39" t="s">
        <v>26</v>
      </c>
      <c r="U7" s="39" t="s">
        <v>50</v>
      </c>
      <c r="V7" s="39" t="s">
        <v>25</v>
      </c>
      <c r="W7" s="39" t="s">
        <v>36</v>
      </c>
      <c r="AN7" s="39" t="s">
        <v>31</v>
      </c>
    </row>
    <row r="8" ht="15.75" customHeight="1">
      <c r="A8" s="8"/>
      <c r="B8" s="8"/>
      <c r="C8" s="39" t="s">
        <v>30</v>
      </c>
      <c r="D8" s="41">
        <v>1000</v>
      </c>
      <c r="E8" s="39" t="s">
        <v>19</v>
      </c>
      <c r="F8" s="39" t="s">
        <v>51</v>
      </c>
      <c r="G8" s="40">
        <v>10</v>
      </c>
      <c r="H8" s="39" t="s">
        <v>47</v>
      </c>
      <c r="I8" s="8"/>
      <c r="J8" s="8"/>
      <c r="K8" s="8"/>
      <c r="L8" s="8"/>
      <c r="M8" s="8"/>
      <c r="N8" s="8"/>
      <c r="O8" s="8"/>
      <c r="R8" s="39" t="s">
        <v>48</v>
      </c>
      <c r="S8" s="39" t="s">
        <v>49</v>
      </c>
      <c r="T8" s="39" t="s">
        <v>26</v>
      </c>
      <c r="U8" s="39" t="s">
        <v>50</v>
      </c>
      <c r="V8" s="39" t="s">
        <v>25</v>
      </c>
      <c r="W8" s="39" t="s">
        <v>36</v>
      </c>
      <c r="AN8" s="39" t="s">
        <v>31</v>
      </c>
    </row>
    <row r="9" ht="15.75" customHeight="1">
      <c r="A9" s="8"/>
      <c r="B9" s="8"/>
      <c r="C9" s="39" t="s">
        <v>30</v>
      </c>
      <c r="D9" s="40">
        <v>915</v>
      </c>
      <c r="E9" s="39" t="s">
        <v>19</v>
      </c>
      <c r="F9" s="39" t="s">
        <v>51</v>
      </c>
      <c r="G9" s="40">
        <v>10</v>
      </c>
      <c r="H9" s="39" t="s">
        <v>47</v>
      </c>
      <c r="I9" s="8"/>
      <c r="J9" s="8"/>
      <c r="K9" s="8"/>
      <c r="L9" s="8"/>
      <c r="M9" s="8"/>
      <c r="N9" s="8"/>
      <c r="O9" s="8"/>
      <c r="R9" s="39" t="s">
        <v>48</v>
      </c>
      <c r="S9" s="39" t="s">
        <v>49</v>
      </c>
      <c r="T9" s="39" t="s">
        <v>26</v>
      </c>
      <c r="U9" s="39" t="s">
        <v>50</v>
      </c>
      <c r="V9" s="39" t="s">
        <v>25</v>
      </c>
      <c r="W9" s="39" t="s">
        <v>36</v>
      </c>
      <c r="AN9" s="39" t="s">
        <v>31</v>
      </c>
    </row>
    <row r="10" ht="15.75" customHeight="1">
      <c r="A10" s="8"/>
      <c r="B10" s="8"/>
      <c r="C10" s="42"/>
      <c r="D10" s="42"/>
      <c r="E10" s="42"/>
      <c r="F10" s="42"/>
      <c r="G10" s="42"/>
      <c r="H10" s="42"/>
      <c r="I10" s="8"/>
      <c r="J10" s="8"/>
      <c r="K10" s="8"/>
      <c r="L10" s="8"/>
      <c r="M10" s="8"/>
      <c r="N10" s="8"/>
      <c r="O10" s="8"/>
      <c r="R10" s="42"/>
      <c r="S10" s="42"/>
      <c r="T10" s="42"/>
      <c r="U10" s="42"/>
      <c r="V10" s="42"/>
      <c r="W10" s="42"/>
      <c r="AN10" s="42"/>
    </row>
    <row r="11" ht="15.75" customHeight="1">
      <c r="A11" s="8"/>
      <c r="B11" s="8"/>
      <c r="C11" s="8"/>
      <c r="D11" s="8"/>
      <c r="E11" s="8"/>
      <c r="F11" s="42"/>
      <c r="G11" s="8"/>
      <c r="H11" s="8"/>
      <c r="I11" s="8"/>
      <c r="J11" s="8"/>
      <c r="K11" s="8"/>
      <c r="L11" s="8"/>
      <c r="M11" s="8"/>
      <c r="N11" s="8"/>
      <c r="O11" s="8"/>
      <c r="U11" s="42"/>
      <c r="V11" s="42"/>
      <c r="W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W12" s="42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