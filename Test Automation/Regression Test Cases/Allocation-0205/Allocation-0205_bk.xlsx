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Transaction" sheetId="4" r:id="rId6"/>
    <sheet state="visible" name="CreateDoneAwayOrder" sheetId="5" r:id="rId7"/>
    <sheet state="visible" name="CreateLiveOrder" sheetId="6" r:id="rId8"/>
    <sheet state="visible" name="GetDailyCash" sheetId="7" r:id="rId9"/>
    <sheet state="visible" name="UpdateDailyCash" sheetId="8" r:id="rId10"/>
    <sheet state="visible" name="PricingInput" sheetId="9" r:id="rId11"/>
    <sheet state="visible" name="TradePTT" sheetId="10" r:id="rId12"/>
    <sheet state="visible" name="CreateDoneAwayOrder1" sheetId="11" r:id="rId13"/>
    <sheet state="visible" name="SelectTrade" sheetId="12" r:id="rId14"/>
    <sheet state="visible" name="AcknowledgeTrade" sheetId="13" r:id="rId15"/>
    <sheet state="visible" name="ExecuteTrade" sheetId="14" r:id="rId16"/>
    <sheet state="visible" name="GetDataAllocation" sheetId="15" r:id="rId17"/>
    <sheet state="visible" name="CheckAllocatedGroups" sheetId="16" r:id="rId18"/>
    <sheet state="visible" name="UploadDropcopyFile" sheetId="17" r:id="rId19"/>
    <sheet state="visible" name="CheckUnallocatedGroups" sheetId="18" r:id="rId20"/>
    <sheet state="visible" name="GetDataAllocation1" sheetId="19" r:id="rId21"/>
  </sheets>
  <definedNames/>
  <calcPr/>
</workbook>
</file>

<file path=xl/sharedStrings.xml><?xml version="1.0" encoding="utf-8"?>
<sst xmlns="http://schemas.openxmlformats.org/spreadsheetml/2006/main" count="227" uniqueCount="63">
  <si>
    <t>Modules Info</t>
  </si>
  <si>
    <t>Modules</t>
  </si>
  <si>
    <t>Settings</t>
  </si>
  <si>
    <t>Module Step Setting File</t>
  </si>
  <si>
    <t>1A4nvUA70XV7nwLLy9uCdS62_PCdbRnANw708iN7WAuw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</si>
  <si>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</si>
  <si>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</si>
  <si>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</si>
  <si>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</si>
  <si>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</si>
  <si>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</si>
  <si>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</si>
  <si>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CreateTransaction</t>
  </si>
  <si>
    <t>Data Format</t>
  </si>
  <si>
    <t>Input Format</t>
  </si>
  <si>
    <t>AAPL</t>
  </si>
  <si>
    <t>Allocation1</t>
  </si>
  <si>
    <t>Buy</t>
  </si>
  <si>
    <t>TradingTicket</t>
  </si>
  <si>
    <t>CreateDoneAwayOrder</t>
  </si>
  <si>
    <t>MSFT</t>
  </si>
  <si>
    <t>CreateLiveOrder</t>
  </si>
  <si>
    <t>DailyValuation</t>
  </si>
  <si>
    <t>GetDailyCash</t>
  </si>
  <si>
    <t>UpdateDailyCash</t>
  </si>
  <si>
    <t>USD</t>
  </si>
  <si>
    <t>Allocation2</t>
  </si>
  <si>
    <t>PricingInput</t>
  </si>
  <si>
    <t>PTT</t>
  </si>
  <si>
    <t>TradePTT</t>
  </si>
  <si>
    <t>Increase</t>
  </si>
  <si>
    <t>Percentage</t>
  </si>
  <si>
    <t>No</t>
  </si>
  <si>
    <t>Account</t>
  </si>
  <si>
    <t>Simulator</t>
  </si>
  <si>
    <t>SelectTrade</t>
  </si>
  <si>
    <t>AcknowledgeTrade</t>
  </si>
  <si>
    <t>ExecuteTrade</t>
  </si>
  <si>
    <t>Allocation</t>
  </si>
  <si>
    <t>GetDataAllocation</t>
  </si>
  <si>
    <t>Historical</t>
  </si>
  <si>
    <t>CheckAllocatedGroups</t>
  </si>
  <si>
    <t>Equity</t>
  </si>
  <si>
    <t>APPLE</t>
  </si>
  <si>
    <t>NASDAQ</t>
  </si>
  <si>
    <t>M</t>
  </si>
  <si>
    <t>GCCAP1</t>
  </si>
  <si>
    <t>CreateTransactionUI</t>
  </si>
  <si>
    <t>US</t>
  </si>
  <si>
    <t>jpearce</t>
  </si>
  <si>
    <t>MICROSOFT INC</t>
  </si>
  <si>
    <t>FIX</t>
  </si>
  <si>
    <t>Dropcopy</t>
  </si>
  <si>
    <t>UploadDropcopyFile</t>
  </si>
  <si>
    <t>E:\DistributedAutomation\TestAutomationV2.5\Release\Import Cases\Perfectt file.xls</t>
  </si>
  <si>
    <t>CheckUnallocatedGroups</t>
  </si>
  <si>
    <t>GS</t>
  </si>
  <si>
    <t>Open</t>
  </si>
  <si>
    <t>SAP AG SP.ADR</t>
  </si>
  <si>
    <t>NYSE</t>
  </si>
  <si>
    <t>Limit</t>
  </si>
  <si>
    <t>SAP</t>
  </si>
  <si>
    <t>Current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</si>
</sst>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#,##0.0000"/>
    <numFmt numFmtId="166" formatCode="####,###,###,###,##0.00#############"/>
    <numFmt numFmtId="167" formatCode="#,##0.00000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8.0"/>
      <color rgb="FF000000"/>
      <name val="Calibri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14" xfId="0" applyAlignment="1" applyFont="1" applyNumberFormat="1">
      <alignment shrinkToFit="0" wrapText="0"/>
    </xf>
    <xf borderId="5" fillId="0" fontId="5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shrinkToFit="0" vertical="bottom" wrapText="0"/>
    </xf>
    <xf borderId="0" fillId="0" fontId="5" numFmtId="16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readingOrder="0" shrinkToFit="0" wrapText="0"/>
    </xf>
    <xf borderId="0" fillId="0" fontId="5" numFmtId="4" xfId="0" applyAlignment="1" applyFont="1" applyNumberFormat="1">
      <alignment shrinkToFit="0" wrapText="0"/>
    </xf>
    <xf borderId="5" fillId="0" fontId="14" numFmtId="4" xfId="0" applyAlignment="1" applyBorder="1" applyFont="1" applyNumberFormat="1">
      <alignment horizontal="right" vertical="bottom"/>
    </xf>
    <xf borderId="5" fillId="0" fontId="14" numFmtId="4" xfId="0" applyAlignment="1" applyBorder="1" applyFont="1" applyNumberFormat="1">
      <alignment vertical="bottom"/>
    </xf>
    <xf borderId="0" fillId="0" fontId="2" numFmtId="4" xfId="0" applyFont="1" applyNumberFormat="1"/>
    <xf borderId="5" fillId="0" fontId="15" numFmtId="4" xfId="0" applyAlignment="1" applyBorder="1" applyFont="1" applyNumberFormat="1">
      <alignment horizontal="right" vertical="bottom"/>
    </xf>
    <xf borderId="0" fillId="0" fontId="16" numFmtId="4" xfId="0" applyAlignment="1" applyFont="1" applyNumberFormat="1">
      <alignment horizontal="right" vertical="bottom"/>
    </xf>
    <xf borderId="0" fillId="0" fontId="2" numFmtId="4" xfId="0" applyAlignment="1" applyFont="1" applyNumberFormat="1">
      <alignment readingOrder="0"/>
    </xf>
    <xf borderId="0" fillId="0" fontId="3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vertical="bottom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vertical="bottom"/>
    </xf>
    <xf borderId="5" fillId="0" fontId="16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horizontal="right" vertical="bottom"/>
    </xf>
    <xf borderId="5" fillId="0" fontId="3" numFmtId="4" xfId="0" applyAlignment="1" applyBorder="1" applyFont="1" applyNumberFormat="1">
      <alignment vertical="bottom"/>
    </xf>
    <xf borderId="0" fillId="0" fontId="2" numFmtId="165" xfId="0" applyAlignment="1" applyFont="1" applyNumberFormat="1">
      <alignment readingOrder="0"/>
    </xf>
    <xf borderId="0" fillId="0" fontId="14" numFmtId="166" xfId="0" applyAlignment="1" applyFont="1" applyNumberFormat="1">
      <alignment horizontal="right" vertical="bottom"/>
    </xf>
    <xf borderId="5" fillId="0" fontId="14" numFmtId="166" xfId="0" applyAlignment="1" applyBorder="1" applyFont="1" applyNumberFormat="1">
      <alignment horizontal="right" vertical="bottom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IFERROR(__xludf.DUMMYFUNCTION("""COMPUTED_VALUE"""),"RemoveSymbolFromRAList")</f>
        <v>RemoveSymbolFromRAList</v>
      </c>
      <c r="C486" t="str">
        <f>IFERROR(__xludf.DUMMYFUNCTION("""COMPUTED_VALUE"""),"1esriqspMNcbGjPDPy2u7bJyQKd05b0Y9Sin8DcUfSEE")</f>
        <v>1esriqspMNcbGjPDPy2u7bJyQKd05b0Y9Sin8DcUfSEE</v>
      </c>
    </row>
    <row r="487" ht="15.75" customHeight="1">
      <c r="A487" t="str">
        <f>IFERROR(__xludf.DUMMYFUNCTION("""COMPUTED_VALUE"""),"Report")</f>
        <v>Report</v>
      </c>
      <c r="B487" t="str">
        <f>IFERROR(__xludf.DUMMYFUNCTION("""COMPUTED_VALUE"""),"ReportMatching")</f>
        <v>ReportMatching</v>
      </c>
      <c r="C487" t="str">
        <f>IFERROR(__xludf.DUMMYFUNCTION("""COMPUTED_VALUE"""),"1IURT1smTM6q7aOlSfUxXb-piLEDNEFM-Z_rxNUweXqU")</f>
        <v>1IURT1smTM6q7aOlSfUxXb-piLEDNEFM-Z_rxNUweXqU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IFERROR(__xludf.DUMMYFUNCTION("""COMPUTED_VALUE"""),"EnableBreakdownRealizedPNL")</f>
        <v>EnableBreakdownRealizedPNL</v>
      </c>
      <c r="C488" t="str">
        <f>IFERROR(__xludf.DUMMYFUNCTION("""COMPUTED_VALUE"""),"1MsdAMudFZTDN6c4GJMzmiY0zvgautsPJWcDY1jxOGP0")</f>
        <v>1MsdAMudFZTDN6c4GJMzmiY0zvgautsPJWcDY1jxOGP0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IFERROR(__xludf.DUMMYFUNCTION("""COMPUTED_VALUE"""),"SetTTGeneralPreferences")</f>
        <v>SetTTGeneralPreferences</v>
      </c>
      <c r="C489" t="str">
        <f>IFERROR(__xludf.DUMMYFUNCTION("""COMPUTED_VALUE"""),"1VU4CqD-ZRcRyvM1M2otqULbHS-fnUmcO_NcgQMsS9rE")</f>
        <v>1VU4CqD-ZRcRyvM1M2otqULbHS-fnUmcO_NcgQMsS9rE</v>
      </c>
    </row>
    <row r="490" ht="15.75" customHeight="1">
      <c r="A490" t="str">
        <f>IFERROR(__xludf.DUMMYFUNCTION("""COMPUTED_VALUE"""),"Blotter")</f>
        <v>Blotter</v>
      </c>
      <c r="B490" t="str">
        <f>IFERROR(__xludf.DUMMYFUNCTION("""COMPUTED_VALUE"""),"OpenBlotter")</f>
        <v>OpenBlotter</v>
      </c>
      <c r="C490" t="str">
        <f>IFERROR(__xludf.DUMMYFUNCTION("""COMPUTED_VALUE"""),"12ceIzEYIShy-_njSlPPAl07iNZK9EY7UC-GDAyLFzV4")</f>
        <v>12ceIzEYIShy-_njSlPPAl07iNZK9EY7UC-GDAyLFzV4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IFERROR(__xludf.DUMMYFUNCTION("""COMPUTED_VALUE"""),"undefined")</f>
        <v>undefined</v>
      </c>
    </row>
    <row r="492" ht="15.75" customHeight="1">
      <c r="A492" t="str">
        <f>IFERROR(__xludf.DUMMYFUNCTION("""COMPUTED_VALUE"""),"ExeExecutor")</f>
        <v>ExeExecutor</v>
      </c>
      <c r="B492" t="str">
        <f>IFERROR(__xludf.DUMMYFUNCTION("""COMPUTED_VALUE"""),"CallExeExecutor")</f>
        <v>CallExeExecutor</v>
      </c>
      <c r="C492" t="str">
        <f>IFERROR(__xludf.DUMMYFUNCTION("""COMPUTED_VALUE"""),"1hwFwcZT2KkLMWXu0X968AjDc83QETRSutmtdbAtWjRQ")</f>
        <v>1hwFwcZT2KkLMWXu0X968AjDc83QETRSutmtdbAtWjRQ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IFERROR(__xludf.DUMMYFUNCTION("""COMPUTED_VALUE"""),"ToggleBlombergOnRA")</f>
        <v>ToggleBlombergOnRA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IFERROR(__xludf.DUMMYFUNCTION("""COMPUTED_VALUE"""),"Blotter")</f>
        <v>Blotter</v>
      </c>
      <c r="B495" t="str">
        <f>IFERROR(__xludf.DUMMYFUNCTION("""COMPUTED_VALUE"""),"GetExecutionReportOrders")</f>
        <v>GetExecutionReportOrders</v>
      </c>
      <c r="C495" t="str">
        <f>IFERROR(__xludf.DUMMYFUNCTION("""COMPUTED_VALUE"""),"1hQPEUlOvv9Vi1KsbHsN6z0TIt4-v9Ckko9Z170M5bto")</f>
        <v>1hQPEUlOvv9Vi1KsbHsN6z0TIt4-v9Ckko9Z170M5bto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IFERROR(__xludf.DUMMYFUNCTION("""COMPUTED_VALUE"""),"VerifyExecutionReport")</f>
        <v>VerifyExecutionReport</v>
      </c>
      <c r="C496" t="str">
        <f>IFERROR(__xludf.DUMMYFUNCTION("""COMPUTED_VALUE"""),"15sKQ6yRs5rA6j70FvZOyg9HBsLCsZF-psuPGXdEFJSg")</f>
        <v>15sKQ6yRs5rA6j70FvZOyg9HBsLCsZF-psuPGXdEFJSg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IFERROR(__xludf.DUMMYFUNCTION("""COMPUTED_VALUE"""),"EnableDisableModule")</f>
        <v>EnableDisableModule</v>
      </c>
      <c r="C497" t="str">
        <f>IFERROR(__xludf.DUMMYFUNCTION("""COMPUTED_VALUE"""),"15tD_fIpFjzJbtr_OxvY-KeLg88908v4fXmpVzi9shPk")</f>
        <v>15tD_fIpFjzJbtr_OxvY-KeLg88908v4fXmpVzi9shPk</v>
      </c>
    </row>
    <row r="498" ht="15.75" customHeight="1">
      <c r="A498" t="str">
        <f>IFERROR(__xludf.DUMMYFUNCTION("""COMPUTED_VALUE"""),"Compliance")</f>
        <v>Compliance</v>
      </c>
      <c r="B498" t="str">
        <f>IFERROR(__xludf.DUMMYFUNCTION("""COMPUTED_VALUE"""),"VerifyRowCalculationBaseWindow")</f>
        <v>VerifyRowCalculationBaseWindow</v>
      </c>
      <c r="C498" t="str">
        <f>IFERROR(__xludf.DUMMYFUNCTION("""COMPUTED_VALUE"""),"16bZAwMHOfN8bD2TadtVor3HvDM0dtF51XYU1iRUEXpQ")</f>
        <v>16bZAwMHOfN8bD2TadtVor3HvDM0dtF51XYU1iRUEXpQ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IFERROR(__xludf.DUMMYFUNCTION("""COMPUTED_VALUE"""),"IsImportOverrideOnShortLocate")</f>
        <v>IsImportOverrideOnShortLocate</v>
      </c>
      <c r="C499" t="str">
        <f>IFERROR(__xludf.DUMMYFUNCTION("""COMPUTED_VALUE"""),"1HBroiXC_lXdWfzSFEUhcmVdGFqF-7ioRbfzMIhd-D84")</f>
        <v>1HBroiXC_lXdWfzSFEUhcmVdGFqF-7ioRbfzMIhd-D84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IFERROR(__xludf.DUMMYFUNCTION("""COMPUTED_VALUE"""),"SetShortLocateStructures")</f>
        <v>SetShortLocateStructures</v>
      </c>
      <c r="C500" t="str">
        <f>IFERROR(__xludf.DUMMYFUNCTION("""COMPUTED_VALUE"""),"1GBfDhS1Qx5z0a-XwiuVZHmjNQQNldS_oLDTK5hBKigQ")</f>
        <v>1GBfDhS1Qx5z0a-XwiuVZHmjNQQNldS_oLDTK5hBKigQ</v>
      </c>
    </row>
    <row r="501" ht="15.75" customHeight="1">
      <c r="A501" t="str">
        <f>IFERROR(__xludf.DUMMYFUNCTION("""COMPUTED_VALUE"""),"ShortLocate")</f>
        <v>ShortLocate</v>
      </c>
      <c r="B501" t="str">
        <f>IFERROR(__xludf.DUMMYFUNCTION("""COMPUTED_VALUE"""),"DownloadFile")</f>
        <v>DownloadFile</v>
      </c>
      <c r="C501" t="str">
        <f>IFERROR(__xludf.DUMMYFUNCTION("""COMPUTED_VALUE"""),"1C33h6u9nbxbc0Ij8SAALe10U-bitzt_AQkClLAmfans")</f>
        <v>1C33h6u9nbxbc0Ij8SAALe10U-bitzt_AQkClLAmfans</v>
      </c>
    </row>
    <row r="502" ht="15.75" customHeight="1">
      <c r="A502" t="str">
        <f>IFERROR(__xludf.DUMMYFUNCTION("""COMPUTED_VALUE"""),"ShortLocate")</f>
        <v>ShortLocate</v>
      </c>
      <c r="B502" t="str">
        <f>IFERROR(__xludf.DUMMYFUNCTION("""COMPUTED_VALUE"""),"SearchShortLocateUI")</f>
        <v>SearchShortLocateUI</v>
      </c>
      <c r="C502" t="str">
        <f>IFERROR(__xludf.DUMMYFUNCTION("""COMPUTED_VALUE"""),"1LYgsVcCeDjfFd0czp2BHUCNhrmdgLKWUrkF_leE2jjo")</f>
        <v>1LYgsVcCeDjfFd0czp2BHUCNhrmdgLKWUrkF_leE2jjo</v>
      </c>
    </row>
    <row r="503" ht="15.75" customHeight="1">
      <c r="A503" t="str">
        <f>IFERROR(__xludf.DUMMYFUNCTION("""COMPUTED_VALUE"""),"ShortLocate")</f>
        <v>ShortLocate</v>
      </c>
      <c r="B503" t="str">
        <f>IFERROR(__xludf.DUMMYFUNCTION("""COMPUTED_VALUE"""),"SetShortLocatePreferences")</f>
        <v>SetShortLocatePreferences</v>
      </c>
      <c r="C503" t="str">
        <f>IFERROR(__xludf.DUMMYFUNCTION("""COMPUTED_VALUE"""),"1Bb8XumY_W8vYN4wPCQjnCEQbJs1H7qhZYGScbFljlsE")</f>
        <v>1Bb8XumY_W8vYN4wPCQjnCEQbJs1H7qhZYGScbFljlsE</v>
      </c>
    </row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12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IFERROR(__xludf.DUMMYFUNCTION("""COMPUTED_VALUE"""),"CreateTransaction")</f>
        <v>CreateTransaction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15</v>
      </c>
      <c r="C6" s="32" t="s">
        <v>16</v>
      </c>
      <c r="D6" s="31" t="s">
        <v>17</v>
      </c>
      <c r="E6" s="33">
        <v>200.0</v>
      </c>
      <c r="F6" s="33"/>
      <c r="G6" s="33">
        <v>20.0</v>
      </c>
      <c r="H6" s="34"/>
      <c r="I6" s="35">
        <f>today()</f>
        <v>44314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CreateTransaction!$4:$4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 t="s">
        <v>17</v>
      </c>
      <c r="D6" s="13">
        <v>100.0</v>
      </c>
      <c r="E6" s="13">
        <v>100.0</v>
      </c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15</v>
      </c>
      <c r="C6" s="13" t="s">
        <v>17</v>
      </c>
      <c r="D6" s="13">
        <v>250.0</v>
      </c>
      <c r="E6" s="13">
        <v>250.0</v>
      </c>
      <c r="F6" s="13" t="s">
        <v>16</v>
      </c>
      <c r="G6" s="8"/>
      <c r="H6" s="8"/>
      <c r="I6" s="8"/>
      <c r="J6" s="13">
        <v>25.0</v>
      </c>
      <c r="K6" s="8"/>
      <c r="L6" s="8"/>
      <c r="M6" s="8"/>
      <c r="N6" s="36">
        <f>TODAY()</f>
        <v>44314</v>
      </c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7">
        <f t="shared" ref="B6:C6" si="1">TODAY()-1</f>
        <v>44313</v>
      </c>
      <c r="C6" s="37">
        <f t="shared" si="1"/>
        <v>44313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16</v>
      </c>
      <c r="C6" s="40" t="s">
        <v>25</v>
      </c>
      <c r="D6" s="41">
        <v>10000.0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2" t="s">
        <v>26</v>
      </c>
      <c r="C7" s="32" t="s">
        <v>25</v>
      </c>
      <c r="D7" s="3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20</v>
      </c>
      <c r="C6" s="40" t="s">
        <v>30</v>
      </c>
      <c r="D6" s="42" t="s">
        <v>31</v>
      </c>
      <c r="E6" s="43">
        <v>15.0</v>
      </c>
      <c r="F6" s="44">
        <v>10.0</v>
      </c>
      <c r="G6" s="40" t="s">
        <v>32</v>
      </c>
      <c r="H6" s="40" t="s">
        <v>33</v>
      </c>
      <c r="I6" s="45" t="s">
        <v>16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IFERROR(__xludf.DUMMYFUNCTION("""COMPUTED_VALUE"""),"CreateDoneAwayOrder")</f>
        <v>CreateDoneAwayOrder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IFERROR(__xludf.DUMMYFUNCTION("""COMPUTED_VALUE"""),"ShowMasterFundOnTT")</f>
        <v>ShowMasterFundOnTT</v>
      </c>
      <c r="S4" s="26" t="str">
        <f>IFERROR(__xludf.DUMMYFUNCTION("""COMPUTED_VALUE"""),"UpdateMasterFundOnTT")</f>
        <v>UpdateMasterFundOnTT</v>
      </c>
      <c r="T4" s="26" t="str">
        <f>IFERROR(__xludf.DUMMYFUNCTION("""COMPUTED_VALUE"""),"SetTTCompliancePreference")</f>
        <v>SetTTCompliancePreference</v>
      </c>
      <c r="U4" s="26" t="str">
        <f>IFERROR(__xludf.DUMMYFUNCTION("""COMPUTED_VALUE"""),"ImportSymbol")</f>
        <v>ImportSymbol</v>
      </c>
      <c r="V4" s="26" t="str">
        <f>IFERROR(__xludf.DUMMYFUNCTION("""COMPUTED_VALUE"""),"ExportSymbolFromRAList")</f>
        <v>ExportSymbolFromRAList</v>
      </c>
      <c r="W4" s="26" t="str">
        <f>IFERROR(__xludf.DUMMYFUNCTION("""COMPUTED_VALUE"""),"CheckPendingNewOrderAlert")</f>
        <v>CheckPendingNewOrderAlert</v>
      </c>
      <c r="X4" s="26" t="str">
        <f>IFERROR(__xludf.DUMMYFUNCTION("""COMPUTED_VALUE"""),"AddSymbolOnRAList")</f>
        <v>AddSymbolOnRAList</v>
      </c>
      <c r="Y4" s="26" t="str">
        <f>IFERROR(__xludf.DUMMYFUNCTION("""COMPUTED_VALUE"""),"DeleteSymbolListFromRA")</f>
        <v>DeleteSymbolListFromRA</v>
      </c>
      <c r="Z4" s="26" t="str">
        <f>IFERROR(__xludf.DUMMYFUNCTION("""COMPUTED_VALUE"""),"ToggleBlombergOnRA")</f>
        <v>ToggleBlombergOnRA</v>
      </c>
      <c r="AA4" s="26" t="str">
        <f>IFERROR(__xludf.DUMMYFUNCTION("""COMPUTED_VALUE"""),"RemoveSymbolFromRAList")</f>
        <v>RemoveSymbolFromRAList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15</v>
      </c>
      <c r="D6" s="13"/>
      <c r="E6" s="38"/>
      <c r="F6" s="8"/>
      <c r="G6" s="13">
        <v>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36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15</v>
      </c>
      <c r="D6" s="13"/>
      <c r="E6" s="38"/>
      <c r="F6" s="8"/>
      <c r="G6" s="13">
        <v>250.0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37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25.0</v>
      </c>
      <c r="C6" s="13">
        <v>250.0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40</v>
      </c>
      <c r="C6" s="46">
        <v>43101.0</v>
      </c>
      <c r="D6" s="47">
        <f>today()</f>
        <v>44314</v>
      </c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41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8" t="s">
        <v>16</v>
      </c>
      <c r="C6" s="49"/>
      <c r="D6" s="50">
        <v>0.0</v>
      </c>
      <c r="E6" s="48">
        <v>200.0</v>
      </c>
      <c r="F6" s="49"/>
      <c r="G6" s="51" t="s">
        <v>42</v>
      </c>
      <c r="H6" s="50">
        <v>0.0</v>
      </c>
      <c r="I6" s="50">
        <v>0.0</v>
      </c>
      <c r="J6" s="49"/>
      <c r="K6" s="48">
        <v>20.0</v>
      </c>
      <c r="L6" s="48">
        <v>20.0</v>
      </c>
      <c r="M6" s="49"/>
      <c r="N6" s="49"/>
      <c r="O6" s="48"/>
      <c r="P6" s="52"/>
      <c r="Q6" s="53">
        <v>3.0</v>
      </c>
      <c r="R6" s="50">
        <v>0.0</v>
      </c>
      <c r="S6" s="52"/>
      <c r="T6" s="54">
        <v>0.0</v>
      </c>
      <c r="U6" s="54">
        <v>0.0</v>
      </c>
      <c r="V6" s="55" t="s">
        <v>43</v>
      </c>
      <c r="W6" s="56">
        <v>1.0</v>
      </c>
      <c r="X6" s="52"/>
      <c r="Y6" s="52"/>
      <c r="Z6" s="57" t="s">
        <v>25</v>
      </c>
      <c r="AA6" s="52"/>
      <c r="AB6" s="56">
        <v>1.0</v>
      </c>
      <c r="AC6" s="52"/>
      <c r="AD6" s="58" t="s">
        <v>44</v>
      </c>
      <c r="AE6" s="55">
        <v>200.0</v>
      </c>
      <c r="AF6" s="52"/>
      <c r="AG6" s="52"/>
      <c r="AH6" s="57" t="s">
        <v>45</v>
      </c>
      <c r="AI6" s="56">
        <v>1.0</v>
      </c>
      <c r="AJ6" s="52"/>
      <c r="AK6" s="52"/>
      <c r="AL6" s="52"/>
      <c r="AM6" s="52"/>
      <c r="AN6" s="58"/>
      <c r="AO6" s="52"/>
      <c r="AP6" s="52"/>
      <c r="AQ6" s="58"/>
      <c r="AR6" s="58"/>
      <c r="AS6" s="54">
        <v>0.0</v>
      </c>
      <c r="AT6" s="55">
        <v>4000.0</v>
      </c>
      <c r="AU6" s="55">
        <v>4000.0</v>
      </c>
      <c r="AV6" s="52"/>
      <c r="AW6" s="54">
        <v>0.0</v>
      </c>
      <c r="AX6" s="54">
        <v>0.0</v>
      </c>
      <c r="AY6" s="52"/>
      <c r="AZ6" s="54">
        <v>0.0</v>
      </c>
      <c r="BA6" s="52"/>
      <c r="BB6" s="52"/>
      <c r="BC6" s="54">
        <v>0.0</v>
      </c>
      <c r="BD6" s="52"/>
      <c r="BE6" s="55">
        <v>4000.0</v>
      </c>
      <c r="BF6" s="55">
        <v>4000.0</v>
      </c>
      <c r="BG6" s="52"/>
      <c r="BH6" s="52"/>
      <c r="BI6" s="52"/>
      <c r="BJ6" s="55">
        <v>200.0</v>
      </c>
      <c r="BK6" s="54">
        <v>0.0</v>
      </c>
      <c r="BL6" s="52"/>
      <c r="BM6" s="57" t="s">
        <v>25</v>
      </c>
      <c r="BN6" s="52"/>
      <c r="BO6" s="55" t="s">
        <v>17</v>
      </c>
      <c r="BP6" s="54">
        <v>0.0</v>
      </c>
      <c r="BQ6" s="52"/>
      <c r="BR6" s="55">
        <v>0.0</v>
      </c>
      <c r="BS6" s="52"/>
      <c r="BT6" s="55" t="s">
        <v>15</v>
      </c>
      <c r="BU6" s="55">
        <v>0.0</v>
      </c>
      <c r="BV6" s="54">
        <v>0.0</v>
      </c>
      <c r="BW6" s="54">
        <v>0.0</v>
      </c>
      <c r="BX6" s="54">
        <v>0.0</v>
      </c>
      <c r="BY6" s="52"/>
      <c r="BZ6" s="52"/>
      <c r="CA6" s="52"/>
      <c r="CB6" s="52"/>
      <c r="CC6" s="52"/>
      <c r="CD6" s="52"/>
      <c r="CE6" s="52"/>
      <c r="CF6" s="58" t="s">
        <v>46</v>
      </c>
      <c r="CG6" s="55">
        <v>0.0</v>
      </c>
      <c r="CH6" s="55" t="s">
        <v>47</v>
      </c>
      <c r="CI6" s="59" t="s">
        <v>17</v>
      </c>
      <c r="CJ6" s="54">
        <v>0.0</v>
      </c>
      <c r="CK6" s="57" t="s">
        <v>48</v>
      </c>
      <c r="CL6" s="56">
        <v>1.0</v>
      </c>
      <c r="CM6" s="55" t="s">
        <v>15</v>
      </c>
      <c r="CN6" s="57" t="s">
        <v>49</v>
      </c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49"/>
      <c r="B7" s="48" t="s">
        <v>16</v>
      </c>
      <c r="C7" s="49"/>
      <c r="D7" s="50">
        <v>0.0</v>
      </c>
      <c r="E7" s="48">
        <v>100.0</v>
      </c>
      <c r="F7" s="49"/>
      <c r="G7" s="51" t="s">
        <v>42</v>
      </c>
      <c r="H7" s="60">
        <v>4.0</v>
      </c>
      <c r="I7" s="61">
        <v>5.0</v>
      </c>
      <c r="J7" s="49"/>
      <c r="K7" s="48">
        <v>10.0</v>
      </c>
      <c r="L7" s="48">
        <v>10.0</v>
      </c>
      <c r="M7" s="49"/>
      <c r="N7" s="49"/>
      <c r="O7" s="62"/>
      <c r="P7" s="52"/>
      <c r="Q7" s="53">
        <v>3.0</v>
      </c>
      <c r="R7" s="50">
        <v>0.0</v>
      </c>
      <c r="S7" s="52"/>
      <c r="T7" s="54">
        <v>0.0</v>
      </c>
      <c r="U7" s="54">
        <v>0.0</v>
      </c>
      <c r="V7" s="58" t="s">
        <v>50</v>
      </c>
      <c r="W7" s="56">
        <v>1.0</v>
      </c>
      <c r="X7" s="52"/>
      <c r="Y7" s="52"/>
      <c r="Z7" s="57" t="s">
        <v>25</v>
      </c>
      <c r="AA7" s="52"/>
      <c r="AB7" s="56">
        <v>1.0</v>
      </c>
      <c r="AC7" s="52"/>
      <c r="AD7" s="58" t="s">
        <v>44</v>
      </c>
      <c r="AE7" s="55">
        <v>100.0</v>
      </c>
      <c r="AF7" s="52"/>
      <c r="AG7" s="52"/>
      <c r="AH7" s="57" t="s">
        <v>45</v>
      </c>
      <c r="AI7" s="56">
        <v>1.0</v>
      </c>
      <c r="AJ7" s="52"/>
      <c r="AK7" s="52"/>
      <c r="AL7" s="52"/>
      <c r="AM7" s="52"/>
      <c r="AN7" s="58"/>
      <c r="AO7" s="52"/>
      <c r="AP7" s="52"/>
      <c r="AQ7" s="58"/>
      <c r="AR7" s="58"/>
      <c r="AS7" s="54">
        <v>0.0</v>
      </c>
      <c r="AT7" s="63">
        <v>1014.0006</v>
      </c>
      <c r="AU7" s="63">
        <v>1014.0006</v>
      </c>
      <c r="AV7" s="52"/>
      <c r="AW7" s="54">
        <v>0.0</v>
      </c>
      <c r="AX7" s="54">
        <v>0.0</v>
      </c>
      <c r="AY7" s="57"/>
      <c r="AZ7" s="54">
        <v>0.0</v>
      </c>
      <c r="BA7" s="52"/>
      <c r="BB7" s="52"/>
      <c r="BC7" s="54">
        <v>0.0</v>
      </c>
      <c r="BD7" s="52"/>
      <c r="BE7" s="55">
        <v>1000.0</v>
      </c>
      <c r="BF7" s="55">
        <v>1000.0</v>
      </c>
      <c r="BG7" s="52"/>
      <c r="BH7" s="52"/>
      <c r="BI7" s="52"/>
      <c r="BJ7" s="55">
        <v>100.0</v>
      </c>
      <c r="BK7" s="54">
        <v>0.0</v>
      </c>
      <c r="BL7" s="52"/>
      <c r="BM7" s="57" t="s">
        <v>25</v>
      </c>
      <c r="BN7" s="52"/>
      <c r="BO7" s="55" t="s">
        <v>17</v>
      </c>
      <c r="BP7" s="54">
        <v>0.0</v>
      </c>
      <c r="BQ7" s="52"/>
      <c r="BR7" s="63">
        <v>6.0E-4</v>
      </c>
      <c r="BS7" s="52"/>
      <c r="BT7" s="55" t="s">
        <v>20</v>
      </c>
      <c r="BU7" s="64">
        <v>3.0</v>
      </c>
      <c r="BV7" s="54">
        <v>0.0</v>
      </c>
      <c r="BW7" s="63">
        <v>14.0006</v>
      </c>
      <c r="BX7" s="54">
        <v>0.0</v>
      </c>
      <c r="BY7" s="52"/>
      <c r="BZ7" s="52"/>
      <c r="CA7" s="52"/>
      <c r="CB7" s="52"/>
      <c r="CC7" s="52"/>
      <c r="CD7" s="52"/>
      <c r="CE7" s="52"/>
      <c r="CF7" s="58" t="s">
        <v>46</v>
      </c>
      <c r="CG7" s="56">
        <v>2.0</v>
      </c>
      <c r="CH7" s="55" t="s">
        <v>18</v>
      </c>
      <c r="CI7" s="59" t="s">
        <v>17</v>
      </c>
      <c r="CJ7" s="54">
        <v>0.0</v>
      </c>
      <c r="CK7" s="57" t="s">
        <v>48</v>
      </c>
      <c r="CL7" s="56">
        <v>1.0</v>
      </c>
      <c r="CM7" s="55" t="s">
        <v>20</v>
      </c>
      <c r="CN7" s="57" t="s">
        <v>49</v>
      </c>
      <c r="CO7" s="57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</row>
    <row r="8" ht="15.75" customHeight="1">
      <c r="A8" s="49"/>
      <c r="B8" s="48" t="s">
        <v>16</v>
      </c>
      <c r="C8" s="49"/>
      <c r="D8" s="50">
        <v>0.0</v>
      </c>
      <c r="E8" s="48">
        <v>90.0</v>
      </c>
      <c r="F8" s="49"/>
      <c r="G8" s="51" t="s">
        <v>42</v>
      </c>
      <c r="H8" s="60">
        <v>4.0</v>
      </c>
      <c r="I8" s="61">
        <v>5.0</v>
      </c>
      <c r="J8" s="49"/>
      <c r="K8" s="48">
        <v>10.0</v>
      </c>
      <c r="L8" s="48">
        <v>10.0</v>
      </c>
      <c r="M8" s="49"/>
      <c r="N8" s="49"/>
      <c r="O8" s="62"/>
      <c r="P8" s="52"/>
      <c r="Q8" s="53">
        <v>3.0</v>
      </c>
      <c r="R8" s="50">
        <v>0.0</v>
      </c>
      <c r="S8" s="52"/>
      <c r="T8" s="54">
        <v>0.0</v>
      </c>
      <c r="U8" s="54">
        <v>0.0</v>
      </c>
      <c r="V8" s="58" t="s">
        <v>50</v>
      </c>
      <c r="W8" s="56">
        <v>1.0</v>
      </c>
      <c r="X8" s="52"/>
      <c r="Y8" s="52"/>
      <c r="Z8" s="57" t="s">
        <v>25</v>
      </c>
      <c r="AA8" s="52"/>
      <c r="AB8" s="56">
        <v>1.0</v>
      </c>
      <c r="AC8" s="52"/>
      <c r="AD8" s="58" t="s">
        <v>44</v>
      </c>
      <c r="AE8" s="55">
        <v>90.0</v>
      </c>
      <c r="AF8" s="52"/>
      <c r="AG8" s="52"/>
      <c r="AH8" s="57" t="s">
        <v>45</v>
      </c>
      <c r="AI8" s="56">
        <v>1.0</v>
      </c>
      <c r="AJ8" s="52"/>
      <c r="AK8" s="52"/>
      <c r="AL8" s="52"/>
      <c r="AM8" s="52"/>
      <c r="AN8" s="58"/>
      <c r="AO8" s="52"/>
      <c r="AP8" s="52"/>
      <c r="AQ8" s="58"/>
      <c r="AR8" s="58"/>
      <c r="AS8" s="54">
        <v>0.0</v>
      </c>
      <c r="AT8" s="63">
        <v>914.0005</v>
      </c>
      <c r="AU8" s="63">
        <v>914.0005</v>
      </c>
      <c r="AV8" s="52"/>
      <c r="AW8" s="54">
        <v>0.0</v>
      </c>
      <c r="AX8" s="54">
        <v>0.0</v>
      </c>
      <c r="AY8" s="57"/>
      <c r="AZ8" s="54">
        <v>0.0</v>
      </c>
      <c r="BA8" s="52"/>
      <c r="BB8" s="52"/>
      <c r="BC8" s="54">
        <v>0.0</v>
      </c>
      <c r="BD8" s="52"/>
      <c r="BE8" s="55">
        <v>900.0</v>
      </c>
      <c r="BF8" s="55">
        <v>900.0</v>
      </c>
      <c r="BG8" s="52"/>
      <c r="BH8" s="52"/>
      <c r="BI8" s="52"/>
      <c r="BJ8" s="55">
        <v>90.0</v>
      </c>
      <c r="BK8" s="54">
        <v>0.0</v>
      </c>
      <c r="BL8" s="52"/>
      <c r="BM8" s="57" t="s">
        <v>25</v>
      </c>
      <c r="BN8" s="52"/>
      <c r="BO8" s="55" t="s">
        <v>17</v>
      </c>
      <c r="BP8" s="54">
        <v>0.0</v>
      </c>
      <c r="BQ8" s="52"/>
      <c r="BR8" s="63">
        <v>5.0E-4</v>
      </c>
      <c r="BS8" s="52"/>
      <c r="BT8" s="55" t="s">
        <v>20</v>
      </c>
      <c r="BU8" s="64">
        <v>3.0</v>
      </c>
      <c r="BV8" s="54">
        <v>0.0</v>
      </c>
      <c r="BW8" s="63">
        <v>14.0005</v>
      </c>
      <c r="BX8" s="54">
        <v>0.0</v>
      </c>
      <c r="BY8" s="52"/>
      <c r="BZ8" s="52"/>
      <c r="CA8" s="52"/>
      <c r="CB8" s="52"/>
      <c r="CC8" s="52"/>
      <c r="CD8" s="52"/>
      <c r="CE8" s="52"/>
      <c r="CF8" s="58" t="s">
        <v>46</v>
      </c>
      <c r="CG8" s="56">
        <v>2.0</v>
      </c>
      <c r="CH8" s="55" t="s">
        <v>28</v>
      </c>
      <c r="CI8" s="59" t="s">
        <v>17</v>
      </c>
      <c r="CJ8" s="54">
        <v>0.0</v>
      </c>
      <c r="CK8" s="57" t="s">
        <v>48</v>
      </c>
      <c r="CL8" s="56">
        <v>1.0</v>
      </c>
      <c r="CM8" s="55" t="s">
        <v>20</v>
      </c>
      <c r="CN8" s="57" t="s">
        <v>49</v>
      </c>
      <c r="CO8" s="57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</row>
    <row r="9" ht="15.75" customHeight="1">
      <c r="A9" s="49"/>
      <c r="B9" s="48" t="s">
        <v>16</v>
      </c>
      <c r="C9" s="49"/>
      <c r="D9" s="50">
        <v>0.0</v>
      </c>
      <c r="E9" s="48">
        <v>250.0</v>
      </c>
      <c r="F9" s="49"/>
      <c r="G9" s="51" t="s">
        <v>42</v>
      </c>
      <c r="H9" s="60">
        <v>4.0</v>
      </c>
      <c r="I9" s="61">
        <v>5.0</v>
      </c>
      <c r="J9" s="49"/>
      <c r="K9" s="48">
        <v>25.0</v>
      </c>
      <c r="L9" s="48">
        <v>25.0</v>
      </c>
      <c r="M9" s="49"/>
      <c r="N9" s="49"/>
      <c r="O9" s="62"/>
      <c r="P9" s="52"/>
      <c r="Q9" s="53">
        <v>3.0</v>
      </c>
      <c r="R9" s="50">
        <v>0.0</v>
      </c>
      <c r="S9" s="52"/>
      <c r="T9" s="54">
        <v>0.0</v>
      </c>
      <c r="U9" s="54">
        <v>0.0</v>
      </c>
      <c r="V9" s="55" t="s">
        <v>43</v>
      </c>
      <c r="W9" s="56">
        <v>1.0</v>
      </c>
      <c r="X9" s="52"/>
      <c r="Y9" s="52"/>
      <c r="Z9" s="57" t="s">
        <v>25</v>
      </c>
      <c r="AA9" s="52"/>
      <c r="AB9" s="56">
        <v>1.0</v>
      </c>
      <c r="AC9" s="52"/>
      <c r="AD9" s="58" t="s">
        <v>44</v>
      </c>
      <c r="AE9" s="55">
        <v>250.0</v>
      </c>
      <c r="AF9" s="52"/>
      <c r="AG9" s="52"/>
      <c r="AH9" s="57" t="s">
        <v>45</v>
      </c>
      <c r="AI9" s="56">
        <v>1.0</v>
      </c>
      <c r="AJ9" s="52"/>
      <c r="AK9" s="52"/>
      <c r="AL9" s="52"/>
      <c r="AM9" s="52"/>
      <c r="AN9" s="58"/>
      <c r="AO9" s="52"/>
      <c r="AP9" s="52"/>
      <c r="AQ9" s="58"/>
      <c r="AR9" s="58"/>
      <c r="AS9" s="54">
        <v>0.0</v>
      </c>
      <c r="AT9" s="63">
        <v>6264.0035</v>
      </c>
      <c r="AU9" s="63">
        <v>6264.0035</v>
      </c>
      <c r="AV9" s="52"/>
      <c r="AW9" s="54">
        <v>0.0</v>
      </c>
      <c r="AX9" s="54">
        <v>0.0</v>
      </c>
      <c r="AY9" s="57"/>
      <c r="AZ9" s="54">
        <v>0.0</v>
      </c>
      <c r="BA9" s="52"/>
      <c r="BB9" s="52"/>
      <c r="BC9" s="54">
        <v>0.0</v>
      </c>
      <c r="BD9" s="52"/>
      <c r="BE9" s="55">
        <v>6250.0</v>
      </c>
      <c r="BF9" s="55">
        <v>6250.0</v>
      </c>
      <c r="BG9" s="52"/>
      <c r="BH9" s="52"/>
      <c r="BI9" s="52"/>
      <c r="BJ9" s="55">
        <v>250.0</v>
      </c>
      <c r="BK9" s="54">
        <v>0.0</v>
      </c>
      <c r="BL9" s="52"/>
      <c r="BM9" s="57" t="s">
        <v>25</v>
      </c>
      <c r="BN9" s="52"/>
      <c r="BO9" s="55" t="s">
        <v>17</v>
      </c>
      <c r="BP9" s="54">
        <v>0.0</v>
      </c>
      <c r="BQ9" s="52"/>
      <c r="BR9" s="63">
        <v>0.0035</v>
      </c>
      <c r="BS9" s="52"/>
      <c r="BT9" s="55" t="s">
        <v>15</v>
      </c>
      <c r="BU9" s="64">
        <v>3.0</v>
      </c>
      <c r="BV9" s="54">
        <v>0.0</v>
      </c>
      <c r="BW9" s="63">
        <v>14.0035</v>
      </c>
      <c r="BX9" s="54">
        <v>0.0</v>
      </c>
      <c r="BY9" s="52"/>
      <c r="BZ9" s="52"/>
      <c r="CA9" s="52"/>
      <c r="CB9" s="52"/>
      <c r="CC9" s="52"/>
      <c r="CD9" s="52"/>
      <c r="CE9" s="52"/>
      <c r="CF9" s="58" t="s">
        <v>46</v>
      </c>
      <c r="CG9" s="56">
        <v>2.0</v>
      </c>
      <c r="CH9" s="55" t="s">
        <v>51</v>
      </c>
      <c r="CI9" s="59" t="s">
        <v>17</v>
      </c>
      <c r="CJ9" s="54">
        <v>0.0</v>
      </c>
      <c r="CK9" s="57" t="s">
        <v>48</v>
      </c>
      <c r="CL9" s="56">
        <v>1.0</v>
      </c>
      <c r="CM9" s="55" t="s">
        <v>15</v>
      </c>
      <c r="CN9" s="57" t="s">
        <v>49</v>
      </c>
      <c r="CO9" s="57"/>
      <c r="CP9" s="52"/>
      <c r="CQ9" s="52"/>
      <c r="CR9" s="52"/>
      <c r="CS9" s="52"/>
      <c r="CT9" s="52"/>
      <c r="CU9" s="52"/>
      <c r="CV9" s="52"/>
      <c r="CW9" s="52"/>
      <c r="CX9" s="52"/>
      <c r="CY9" s="52"/>
      <c r="CZ9" s="52"/>
      <c r="DA9" s="52"/>
      <c r="DB9" s="52"/>
      <c r="DC9" s="52"/>
      <c r="DD9" s="52"/>
      <c r="DE9" s="52"/>
      <c r="DF9" s="52"/>
      <c r="DG9" s="52"/>
      <c r="DH9" s="52"/>
      <c r="DI9" s="52"/>
      <c r="DJ9" s="52"/>
      <c r="DK9" s="52"/>
      <c r="DL9" s="52"/>
      <c r="DM9" s="52"/>
      <c r="DN9" s="52"/>
      <c r="DO9" s="52"/>
      <c r="DP9" s="52"/>
      <c r="DQ9" s="52"/>
      <c r="DR9" s="52"/>
      <c r="DS9" s="52"/>
      <c r="DT9" s="52"/>
      <c r="DU9" s="52"/>
      <c r="DV9" s="52"/>
      <c r="DW9" s="52"/>
      <c r="DX9" s="52"/>
      <c r="DY9" s="52"/>
      <c r="DZ9" s="52"/>
      <c r="EA9" s="52"/>
      <c r="EB9" s="52"/>
      <c r="EC9" s="52"/>
      <c r="ED9" s="52"/>
      <c r="EE9" s="52"/>
      <c r="EF9" s="52"/>
      <c r="EG9" s="52"/>
      <c r="EH9" s="52"/>
      <c r="EI9" s="52"/>
      <c r="EJ9" s="52"/>
      <c r="EK9" s="52"/>
      <c r="EL9" s="52"/>
      <c r="EM9" s="52"/>
      <c r="EN9" s="52"/>
      <c r="EO9" s="52"/>
      <c r="EP9" s="52"/>
      <c r="EQ9" s="52"/>
      <c r="ER9" s="52"/>
      <c r="ES9" s="52"/>
      <c r="ET9" s="52"/>
      <c r="EU9" s="52"/>
      <c r="EV9" s="52"/>
      <c r="EW9" s="52"/>
      <c r="EX9" s="52"/>
    </row>
    <row r="10" ht="15.75" customHeight="1">
      <c r="A10" s="8"/>
      <c r="B10" s="8"/>
      <c r="C10" s="8"/>
      <c r="D10" s="50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52</v>
      </c>
      <c r="D3" s="5" t="s">
        <v>9</v>
      </c>
      <c r="E3" s="23" t="s">
        <v>53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IFERROR(__xludf.DUMMYFUNCTION("IF(C3="""","""",Transpose(IMPORTRANGE('_Settings'!$B$3,C3&amp;""!A4:A1000"")))"),"UploadDropcopyFile")</f>
        <v>UploadDropcopyFile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IFERROR(__xludf.DUMMYFUNCTION("""COMPUTED_VALUE"""),"AppendToOrderId")</f>
        <v>AppendToOrderId</v>
      </c>
      <c r="C5" s="28" t="str">
        <f>IFERROR(__xludf.DUMMYFUNCTION("""COMPUTED_VALUE"""),"UploadFile")</f>
        <v>UploadFile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>
        <v>1.0</v>
      </c>
      <c r="C6" s="45" t="s">
        <v>54</v>
      </c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UploadDropcopyFile!$4:$4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55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8"/>
      <c r="C6" s="50">
        <v>0.0</v>
      </c>
      <c r="D6" s="48">
        <v>0.0</v>
      </c>
      <c r="E6" s="48"/>
      <c r="F6" s="51" t="s">
        <v>42</v>
      </c>
      <c r="G6" s="48">
        <v>29.0</v>
      </c>
      <c r="H6" s="50">
        <v>0.0</v>
      </c>
      <c r="I6" s="49"/>
      <c r="J6" s="48">
        <v>10.16</v>
      </c>
      <c r="K6" s="48">
        <v>10.16</v>
      </c>
      <c r="L6" s="49"/>
      <c r="M6" s="49"/>
      <c r="N6" s="48" t="s">
        <v>56</v>
      </c>
      <c r="O6" s="49"/>
      <c r="P6" s="53">
        <v>3.0</v>
      </c>
      <c r="Q6" s="65">
        <v>0.0</v>
      </c>
      <c r="R6" s="52"/>
      <c r="S6" s="62" t="s">
        <v>57</v>
      </c>
      <c r="T6" s="54">
        <v>0.0</v>
      </c>
      <c r="U6" s="54">
        <v>0.0</v>
      </c>
      <c r="V6" s="55" t="s">
        <v>58</v>
      </c>
      <c r="W6" s="56">
        <v>1.0</v>
      </c>
      <c r="X6" s="52"/>
      <c r="Y6" s="52"/>
      <c r="Z6" s="57" t="s">
        <v>25</v>
      </c>
      <c r="AA6" s="52"/>
      <c r="AB6" s="56">
        <v>1.0</v>
      </c>
      <c r="AC6" s="52"/>
      <c r="AD6" s="55" t="s">
        <v>59</v>
      </c>
      <c r="AE6" s="55">
        <v>320.0</v>
      </c>
      <c r="AF6" s="52"/>
      <c r="AG6" s="57" t="s">
        <v>45</v>
      </c>
      <c r="AH6" s="56">
        <v>1.0</v>
      </c>
      <c r="AI6" s="52"/>
      <c r="AJ6" s="52"/>
      <c r="AK6" s="52"/>
      <c r="AL6" s="52"/>
      <c r="AM6" s="52"/>
      <c r="AN6" s="58"/>
      <c r="AO6" s="52"/>
      <c r="AP6" s="58"/>
      <c r="AQ6" s="58"/>
      <c r="AR6" s="52"/>
      <c r="AS6" s="56">
        <v>0.0</v>
      </c>
      <c r="AT6" s="66">
        <v>3281.76896</v>
      </c>
      <c r="AU6" s="66">
        <v>3281.76896</v>
      </c>
      <c r="AV6" s="52"/>
      <c r="AW6" s="56">
        <v>0.0</v>
      </c>
      <c r="AX6" s="52"/>
      <c r="AY6" s="55" t="s">
        <v>60</v>
      </c>
      <c r="AZ6" s="54">
        <v>0.0</v>
      </c>
      <c r="BA6" s="52"/>
      <c r="BB6" s="52"/>
      <c r="BC6" s="52"/>
      <c r="BD6" s="52"/>
      <c r="BE6" s="55">
        <v>3251.2</v>
      </c>
      <c r="BF6" s="55">
        <v>3251.2</v>
      </c>
      <c r="BG6" s="52"/>
      <c r="BH6" s="52"/>
      <c r="BI6" s="52"/>
      <c r="BJ6" s="55">
        <v>1000.0</v>
      </c>
      <c r="BK6" s="52"/>
      <c r="BL6" s="52"/>
      <c r="BM6" s="57" t="s">
        <v>25</v>
      </c>
      <c r="BN6" s="52"/>
      <c r="BO6" s="55" t="s">
        <v>17</v>
      </c>
      <c r="BP6" s="54">
        <v>0.0</v>
      </c>
      <c r="BQ6" s="52"/>
      <c r="BR6" s="52"/>
      <c r="BS6" s="55" t="s">
        <v>61</v>
      </c>
      <c r="BT6" s="55">
        <v>1.0</v>
      </c>
      <c r="BU6" s="64">
        <v>0.0</v>
      </c>
      <c r="BV6" s="66">
        <v>30.56896</v>
      </c>
      <c r="BW6" s="64">
        <v>0.0</v>
      </c>
      <c r="BX6" s="52"/>
      <c r="BY6" s="52"/>
      <c r="BZ6" s="52"/>
      <c r="CA6" s="52"/>
      <c r="CB6" s="52"/>
      <c r="CC6" s="52"/>
      <c r="CD6" s="52"/>
      <c r="CE6" s="58" t="s">
        <v>46</v>
      </c>
      <c r="CF6" s="52"/>
      <c r="CG6" s="55" t="s">
        <v>51</v>
      </c>
      <c r="CH6" s="59" t="s">
        <v>17</v>
      </c>
      <c r="CI6" s="55">
        <v>320.0</v>
      </c>
      <c r="CJ6" s="57" t="s">
        <v>48</v>
      </c>
      <c r="CK6" s="56">
        <v>1.0</v>
      </c>
      <c r="CL6" s="52"/>
      <c r="CM6" s="57" t="s">
        <v>49</v>
      </c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13</v>
      </c>
      <c r="G3" s="14" t="s">
        <v>14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62</v>
      </c>
      <c r="C6" s="8"/>
      <c r="D6" s="13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