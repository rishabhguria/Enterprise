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Allocation" sheetId="7" r:id="rId9"/>
    <sheet state="visible" name="CheckAllocatedGroups" sheetId="8" r:id="rId10"/>
    <sheet state="visible" name="GetDataClosing" sheetId="9" r:id="rId11"/>
    <sheet state="visible" name="AutomaticClosing" sheetId="10" r:id="rId12"/>
    <sheet state="visible" name="SelectTradeUnexpiredUnsettled" sheetId="11" r:id="rId13"/>
    <sheet state="visible" name="EditTradeUnexpiredUnsettled" sheetId="12" r:id="rId14"/>
    <sheet state="visible" name="ExerciseAssignmentAtZero" sheetId="13" r:id="rId15"/>
    <sheet state="visible" name="GetDataAllocation1" sheetId="14" r:id="rId16"/>
    <sheet state="visible" name="CheckAllocatedGroups1" sheetId="15" r:id="rId17"/>
    <sheet state="visible" name="CreateDoneAwayOrder1" sheetId="16" r:id="rId18"/>
    <sheet state="visible" name="GetDataClosing1" sheetId="17" r:id="rId19"/>
    <sheet state="visible" name="SelectTradeUnexpiredUnsettled1" sheetId="18" r:id="rId20"/>
    <sheet state="visible" name="EditTradeUnexpiredUnsettled1" sheetId="19" r:id="rId21"/>
    <sheet state="visible" name="ExerciseAssignment" sheetId="20" r:id="rId22"/>
    <sheet state="visible" name="SelectTradeUnexpiredUnsettled2" sheetId="21" r:id="rId23"/>
    <sheet state="visible" name="EditTradeUnexpiredUnsettled2" sheetId="22" r:id="rId24"/>
    <sheet state="visible" name="ExerciseAssignmentAtZero1" sheetId="23" r:id="rId25"/>
    <sheet state="visible" name="GetDataAllocation2" sheetId="24" r:id="rId26"/>
    <sheet state="visible" name="CheckAllocatedGroups2" sheetId="25" r:id="rId27"/>
    <sheet state="visible" name="GetActivityData" sheetId="26" r:id="rId28"/>
    <sheet state="visible" name="VerifyActivity" sheetId="27" r:id="rId29"/>
    <sheet state="visible" name="GetTradingTransaction" sheetId="28" r:id="rId30"/>
    <sheet state="visible" name="VerifyTradingTransaction" sheetId="29" r:id="rId31"/>
    <sheet state="visible" name="GetDayEndCash" sheetId="30" r:id="rId32"/>
    <sheet state="visible" name="VerifyDayEndCash" sheetId="31" r:id="rId33"/>
    <sheet state="visible" name="GetAccountBalance" sheetId="32" r:id="rId34"/>
    <sheet state="visible" name="GetActivityData1" sheetId="33" r:id="rId35"/>
    <sheet state="visible" name="VerifyActivity1" sheetId="34" r:id="rId36"/>
    <sheet state="visible" name="GetRevaluationData" sheetId="35" r:id="rId37"/>
    <sheet state="visible" name="VerifyRevaluationData" sheetId="36" r:id="rId38"/>
  </sheets>
  <definedNames/>
  <calcPr/>
</workbook>
</file>

<file path=xl/sharedStrings.xml><?xml version="1.0" encoding="utf-8"?>
<sst xmlns="http://schemas.openxmlformats.org/spreadsheetml/2006/main" count="2118" uniqueCount="94">
  <si>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</si>
  <si>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</si>
  <si>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</si>
  <si>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</si>
  <si>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</si>
  <si>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</si>
  <si>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</si>
  <si>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</si>
  <si>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</si>
  <si>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</si>
  <si>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</si>
  <si>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</si>
  <si>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</si>
  <si>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</si>
  <si>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</si>
  <si>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</si>
  <si>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Z3P1700</t>
  </si>
  <si>
    <t>Buy to Close</t>
  </si>
  <si>
    <t>Allocation1</t>
  </si>
  <si>
    <t xml:space="preserve">Sell to Open </t>
  </si>
  <si>
    <t>ES H9C670</t>
  </si>
  <si>
    <t>Buy to Open</t>
  </si>
  <si>
    <t>DailyValuation</t>
  </si>
  <si>
    <t>GetMarkPriceData</t>
  </si>
  <si>
    <t>UpdateMarkPriceMonthly</t>
  </si>
  <si>
    <t>Allocation</t>
  </si>
  <si>
    <t>GetDataAllocation</t>
  </si>
  <si>
    <t>Historical</t>
  </si>
  <si>
    <t>CheckAllocatedGroups</t>
  </si>
  <si>
    <t>FutureOption</t>
  </si>
  <si>
    <t>Open</t>
  </si>
  <si>
    <t>P</t>
  </si>
  <si>
    <t>Sell to Open</t>
  </si>
  <si>
    <t>C</t>
  </si>
  <si>
    <t>Closing</t>
  </si>
  <si>
    <t>GetDataClosing</t>
  </si>
  <si>
    <t>AutomaticClosing</t>
  </si>
  <si>
    <t>FIFO</t>
  </si>
  <si>
    <t>NONE</t>
  </si>
  <si>
    <t>SelectTradeUnexpiredUnsettled</t>
  </si>
  <si>
    <t>EditTradeUnexpiredUnsettled</t>
  </si>
  <si>
    <t>ExerciseAssignmentAtZero</t>
  </si>
  <si>
    <t>Sell to Close</t>
  </si>
  <si>
    <t>Future</t>
  </si>
  <si>
    <t>Buy</t>
  </si>
  <si>
    <t>ES H9</t>
  </si>
  <si>
    <t>Sell short</t>
  </si>
  <si>
    <t>ES Z3</t>
  </si>
  <si>
    <t>ExerciseAssignment</t>
  </si>
  <si>
    <t>BuytoClose</t>
  </si>
  <si>
    <t>SelltoOpen</t>
  </si>
  <si>
    <t>BuytoOpen</t>
  </si>
  <si>
    <t>Exercise</t>
  </si>
  <si>
    <t>SelltoClose</t>
  </si>
  <si>
    <t>Assignment</t>
  </si>
  <si>
    <t>Sell</t>
  </si>
  <si>
    <t>GeneralLedger</t>
  </si>
  <si>
    <t>GetActivityData</t>
  </si>
  <si>
    <t>VerifyActivity</t>
  </si>
  <si>
    <t>FutureOptionS</t>
  </si>
  <si>
    <t>USD</t>
  </si>
  <si>
    <t>Trading</t>
  </si>
  <si>
    <t>FutureOptionL</t>
  </si>
  <si>
    <t>FutureL</t>
  </si>
  <si>
    <t>FutureS</t>
  </si>
  <si>
    <t>GetTradingTransaction</t>
  </si>
  <si>
    <t>VerifyTradingTransaction</t>
  </si>
  <si>
    <t>M</t>
  </si>
  <si>
    <t>DR</t>
  </si>
  <si>
    <t>Investment - Short Future Option [Liability]</t>
  </si>
  <si>
    <t>CR</t>
  </si>
  <si>
    <t>Cash [Cash]</t>
  </si>
  <si>
    <t>Investment - Long Future Option [Asset]</t>
  </si>
  <si>
    <t>OptionPremiumAdjustment [Income]</t>
  </si>
  <si>
    <t>Investment - Long Future [Asset]</t>
  </si>
  <si>
    <t>GetDayEndCash</t>
  </si>
  <si>
    <t>VerifyDayEndCash</t>
  </si>
  <si>
    <t>Cash</t>
  </si>
  <si>
    <t>GetAccountBalance</t>
  </si>
  <si>
    <t>FutureOptionShortUnRealizedPNL</t>
  </si>
  <si>
    <t>UnRealized PNL Entry</t>
  </si>
  <si>
    <t>Revaluation</t>
  </si>
  <si>
    <t>BrokerNotes</t>
  </si>
  <si>
    <t>FutureOptionLongRealizedPNL</t>
  </si>
  <si>
    <t>Realized PNL Entry</t>
  </si>
  <si>
    <t>FutureOptionLongUnRealizedPNL</t>
  </si>
  <si>
    <t>Contra UnRealized PNL Entry</t>
  </si>
  <si>
    <t>FutureOptionShortRealizedPNL</t>
  </si>
  <si>
    <t>GetRevaluationData</t>
  </si>
  <si>
    <t>VerifyRevaluationData</t>
  </si>
  <si>
    <t>Future Option Long Revaluation [Asset]</t>
  </si>
  <si>
    <t>Future Option UnRealized Profit And Loss [Income]</t>
  </si>
  <si>
    <t>Future Option Realized Profit And Loss [Income]</t>
  </si>
  <si>
    <t>Future Option Short Revaluation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</si>
</sst>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5" fillId="0" fontId="5" numFmtId="0" xfId="0" applyAlignment="1" applyBorder="1" applyFon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0" fontId="3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readingOrder="0"/>
    </xf>
    <xf borderId="0" fillId="0" fontId="5" numFmtId="166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6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150.0</v>
      </c>
      <c r="E6" s="33">
        <v>150.0</v>
      </c>
      <c r="F6" s="31" t="s">
        <v>18</v>
      </c>
      <c r="G6" s="34"/>
      <c r="H6" s="34"/>
      <c r="I6" s="34"/>
      <c r="J6" s="33">
        <v>15.0</v>
      </c>
      <c r="K6" s="34"/>
      <c r="L6" s="34"/>
      <c r="M6" s="34"/>
      <c r="N6" s="35">
        <v>43045.0</v>
      </c>
      <c r="O6" s="34"/>
      <c r="P6" s="34"/>
    </row>
    <row r="7" ht="15.75" customHeight="1">
      <c r="A7" s="8"/>
      <c r="B7" s="36" t="s">
        <v>16</v>
      </c>
      <c r="C7" s="37" t="s">
        <v>19</v>
      </c>
      <c r="D7" s="33">
        <v>100.0</v>
      </c>
      <c r="E7" s="33">
        <v>100.0</v>
      </c>
      <c r="F7" s="31" t="s">
        <v>18</v>
      </c>
      <c r="G7" s="38"/>
      <c r="H7" s="38"/>
      <c r="I7" s="38"/>
      <c r="J7" s="39">
        <v>14.0</v>
      </c>
      <c r="K7" s="38"/>
      <c r="L7" s="38"/>
      <c r="M7" s="38"/>
      <c r="N7" s="40">
        <v>43046.0</v>
      </c>
      <c r="O7" s="38"/>
      <c r="P7" s="38"/>
    </row>
    <row r="8" ht="15.75" customHeight="1">
      <c r="A8" s="8"/>
      <c r="B8" s="36" t="s">
        <v>20</v>
      </c>
      <c r="C8" s="36" t="s">
        <v>21</v>
      </c>
      <c r="D8" s="33">
        <v>100.0</v>
      </c>
      <c r="E8" s="33">
        <v>100.0</v>
      </c>
      <c r="F8" s="31" t="s">
        <v>18</v>
      </c>
      <c r="G8" s="38"/>
      <c r="H8" s="38"/>
      <c r="I8" s="38"/>
      <c r="J8" s="39">
        <v>13.0</v>
      </c>
      <c r="K8" s="38"/>
      <c r="L8" s="38"/>
      <c r="M8" s="38"/>
      <c r="N8" s="40">
        <v>43047.0</v>
      </c>
      <c r="O8" s="38"/>
      <c r="P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43045.0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3">
        <v>30.0</v>
      </c>
      <c r="D6" s="35">
        <v>43045.0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16</v>
      </c>
      <c r="C7" s="39">
        <v>31.0</v>
      </c>
      <c r="D7" s="40">
        <v>43046.0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20</v>
      </c>
      <c r="C8" s="39">
        <v>32.0</v>
      </c>
      <c r="D8" s="40">
        <v>43047.0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20</v>
      </c>
      <c r="C9" s="39">
        <v>33.0</v>
      </c>
      <c r="D9" s="40">
        <v>43048.0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20</v>
      </c>
      <c r="C10" s="43">
        <v>34.0</v>
      </c>
      <c r="D10" s="44">
        <v>43049.0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27</v>
      </c>
      <c r="C6" s="35">
        <v>43045.0</v>
      </c>
      <c r="D6" s="35">
        <v>43048.0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S6" s="9" t="s">
        <v>30</v>
      </c>
      <c r="AE6" s="9">
        <v>150.0</v>
      </c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S7" s="9" t="s">
        <v>30</v>
      </c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</row>
    <row r="8" ht="15.75" customHeight="1">
      <c r="A8" s="8"/>
      <c r="B8" s="9" t="s">
        <v>18</v>
      </c>
      <c r="C8" s="8"/>
      <c r="D8" s="8"/>
      <c r="E8" s="9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S8" s="9" t="s">
        <v>30</v>
      </c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27</v>
      </c>
      <c r="C6" s="35">
        <v>43045.0</v>
      </c>
      <c r="D6" s="35">
        <v>43048.0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b">
        <v>1</v>
      </c>
      <c r="C6" s="47" t="b">
        <v>1</v>
      </c>
      <c r="D6" s="30" t="s">
        <v>37</v>
      </c>
      <c r="E6" s="31" t="s">
        <v>38</v>
      </c>
      <c r="F6" s="47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48">
        <v>100.0</v>
      </c>
      <c r="CG6" s="48">
        <v>100.0</v>
      </c>
      <c r="DH6" s="36" t="s">
        <v>20</v>
      </c>
    </row>
    <row r="7" ht="15.75" customHeight="1">
      <c r="A7" s="8"/>
      <c r="B7" s="11" t="s">
        <v>18</v>
      </c>
      <c r="C7" s="8"/>
      <c r="D7" s="8"/>
      <c r="E7" s="36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Q7" s="48">
        <v>150.0</v>
      </c>
      <c r="CG7" s="48">
        <v>50.0</v>
      </c>
      <c r="DH7" s="36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BP6" s="49">
        <v>43052.0</v>
      </c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P7" s="49">
        <v>43052.0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ExerciseAssignmentAtZero!$4:$4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27</v>
      </c>
      <c r="C6" s="35">
        <v>43045.0</v>
      </c>
      <c r="D6" s="35">
        <v>43052.0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AE6" s="9">
        <v>150.0</v>
      </c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</row>
    <row r="8" ht="15.75" customHeight="1">
      <c r="A8" s="8"/>
      <c r="B8" s="9" t="s">
        <v>18</v>
      </c>
      <c r="C8" s="8"/>
      <c r="D8" s="8"/>
      <c r="E8" s="9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9" t="s">
        <v>18</v>
      </c>
      <c r="C9" s="8"/>
      <c r="D9" s="8"/>
      <c r="E9" s="9">
        <v>30.0</v>
      </c>
      <c r="F9" s="8"/>
      <c r="G9" s="9" t="s">
        <v>29</v>
      </c>
      <c r="H9" s="8"/>
      <c r="I9" s="8"/>
      <c r="J9" s="8"/>
      <c r="K9" s="9">
        <v>0.0</v>
      </c>
      <c r="L9" s="9">
        <v>0.0</v>
      </c>
      <c r="M9" s="8"/>
      <c r="N9" s="8"/>
      <c r="O9" s="8"/>
      <c r="AE9" s="9">
        <v>30.0</v>
      </c>
      <c r="AT9" s="9">
        <v>0.0</v>
      </c>
      <c r="AU9" s="9">
        <v>0.0</v>
      </c>
      <c r="BE9" s="9">
        <v>0.0</v>
      </c>
      <c r="BF9" s="9">
        <v>0.0</v>
      </c>
      <c r="BI9" s="9" t="s">
        <v>31</v>
      </c>
      <c r="BJ9" s="9">
        <v>30.0</v>
      </c>
      <c r="BO9" s="9" t="s">
        <v>32</v>
      </c>
      <c r="BT9" s="9" t="s">
        <v>16</v>
      </c>
    </row>
    <row r="10" ht="15.75" customHeight="1">
      <c r="A10" s="8"/>
      <c r="B10" s="9" t="s">
        <v>18</v>
      </c>
      <c r="C10" s="8"/>
      <c r="D10" s="8"/>
      <c r="E10" s="9">
        <v>100.0</v>
      </c>
      <c r="F10" s="8"/>
      <c r="G10" s="9" t="s">
        <v>29</v>
      </c>
      <c r="H10" s="8"/>
      <c r="I10" s="8"/>
      <c r="J10" s="8"/>
      <c r="K10" s="9">
        <v>0.0</v>
      </c>
      <c r="L10" s="9">
        <v>0.0</v>
      </c>
      <c r="M10" s="8"/>
      <c r="N10" s="8"/>
      <c r="O10" s="8"/>
      <c r="AE10" s="9">
        <v>100.0</v>
      </c>
      <c r="AT10" s="9">
        <v>0.0</v>
      </c>
      <c r="AU10" s="9">
        <v>0.0</v>
      </c>
      <c r="BE10" s="9">
        <v>0.0</v>
      </c>
      <c r="BF10" s="9">
        <v>0.0</v>
      </c>
      <c r="BI10" s="9" t="s">
        <v>33</v>
      </c>
      <c r="BJ10" s="9">
        <v>100.0</v>
      </c>
      <c r="BO10" s="9" t="s">
        <v>42</v>
      </c>
      <c r="BT10" s="9" t="s">
        <v>20</v>
      </c>
    </row>
    <row r="11" ht="15.75" customHeight="1">
      <c r="A11" s="8"/>
      <c r="B11" s="9" t="s">
        <v>18</v>
      </c>
      <c r="C11" s="8"/>
      <c r="D11" s="8"/>
      <c r="E11" s="9">
        <v>100.0</v>
      </c>
      <c r="F11" s="8"/>
      <c r="G11" s="9" t="s">
        <v>43</v>
      </c>
      <c r="H11" s="8"/>
      <c r="I11" s="8"/>
      <c r="J11" s="8"/>
      <c r="K11" s="9">
        <v>30.0</v>
      </c>
      <c r="L11" s="9">
        <v>30.0</v>
      </c>
      <c r="M11" s="8"/>
      <c r="N11" s="8"/>
      <c r="O11" s="8"/>
      <c r="AE11" s="9">
        <v>100.0</v>
      </c>
      <c r="AT11" s="9">
        <v>150000.0</v>
      </c>
      <c r="AU11" s="9">
        <v>150000.0</v>
      </c>
      <c r="BE11" s="9">
        <v>150000.0</v>
      </c>
      <c r="BF11" s="9">
        <v>150000.0</v>
      </c>
      <c r="BJ11" s="9">
        <v>100.0</v>
      </c>
      <c r="BO11" s="9" t="s">
        <v>44</v>
      </c>
      <c r="BT11" s="9" t="s">
        <v>45</v>
      </c>
    </row>
    <row r="12" ht="15.75" customHeight="1">
      <c r="A12" s="8"/>
      <c r="B12" s="9" t="s">
        <v>18</v>
      </c>
      <c r="C12" s="8"/>
      <c r="D12" s="8"/>
      <c r="E12" s="9">
        <v>30.0</v>
      </c>
      <c r="F12" s="8"/>
      <c r="G12" s="9" t="s">
        <v>43</v>
      </c>
      <c r="H12" s="8"/>
      <c r="I12" s="8"/>
      <c r="J12" s="8"/>
      <c r="K12" s="9">
        <v>1700.0</v>
      </c>
      <c r="L12" s="9">
        <v>1700.0</v>
      </c>
      <c r="M12" s="8"/>
      <c r="N12" s="8"/>
      <c r="O12" s="8"/>
      <c r="AE12" s="9">
        <v>30.0</v>
      </c>
      <c r="AT12" s="9">
        <v>2550000.0</v>
      </c>
      <c r="AU12" s="9">
        <v>2550000.0</v>
      </c>
      <c r="BE12" s="9">
        <v>2550000.0</v>
      </c>
      <c r="BF12" s="9">
        <v>2550000.0</v>
      </c>
      <c r="BJ12" s="9">
        <v>30.0</v>
      </c>
      <c r="BO12" s="9" t="s">
        <v>46</v>
      </c>
      <c r="BT12" s="9" t="s">
        <v>47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20</v>
      </c>
      <c r="C6" s="31" t="s">
        <v>21</v>
      </c>
      <c r="D6" s="32">
        <v>100.0</v>
      </c>
      <c r="E6" s="33">
        <v>100.0</v>
      </c>
      <c r="F6" s="31" t="s">
        <v>18</v>
      </c>
      <c r="G6" s="34"/>
      <c r="H6" s="34"/>
      <c r="I6" s="34"/>
      <c r="J6" s="50">
        <v>12.0</v>
      </c>
      <c r="K6" s="34"/>
      <c r="L6" s="34"/>
      <c r="M6" s="34"/>
      <c r="N6" s="35">
        <v>43048.0</v>
      </c>
      <c r="O6" s="34"/>
      <c r="P6" s="34"/>
    </row>
    <row r="7" ht="15.75" customHeight="1">
      <c r="A7" s="8"/>
      <c r="B7" s="36" t="s">
        <v>20</v>
      </c>
      <c r="C7" s="36" t="s">
        <v>42</v>
      </c>
      <c r="D7" s="33">
        <v>100.0</v>
      </c>
      <c r="E7" s="33">
        <v>100.0</v>
      </c>
      <c r="F7" s="31" t="s">
        <v>18</v>
      </c>
      <c r="G7" s="38"/>
      <c r="H7" s="38"/>
      <c r="I7" s="38"/>
      <c r="J7" s="43">
        <v>11.0</v>
      </c>
      <c r="K7" s="38"/>
      <c r="L7" s="38"/>
      <c r="M7" s="38"/>
      <c r="N7" s="40">
        <v>43049.0</v>
      </c>
      <c r="O7" s="38"/>
      <c r="P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27</v>
      </c>
      <c r="C6" s="35">
        <v>43048.0</v>
      </c>
      <c r="D6" s="35">
        <v>43049.0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9">
        <v>100.0</v>
      </c>
      <c r="BV6" s="9" t="s">
        <v>21</v>
      </c>
      <c r="CG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BP6" s="51">
        <v>43054.0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48">
        <v>100.0</v>
      </c>
      <c r="BV6" s="38" t="s">
        <v>42</v>
      </c>
      <c r="CG6" s="48">
        <v>100.0</v>
      </c>
    </row>
    <row r="7" ht="15.75" customHeight="1">
      <c r="A7" s="8"/>
      <c r="B7" s="11" t="s">
        <v>18</v>
      </c>
      <c r="C7" s="8"/>
      <c r="D7" s="8"/>
      <c r="E7" s="36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Q7" s="48">
        <v>100.0</v>
      </c>
      <c r="BV7" s="38" t="s">
        <v>21</v>
      </c>
      <c r="CG7" s="48">
        <v>70.0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11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BP6" s="52">
        <v>43055.0</v>
      </c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P7" s="52">
        <v>43055.0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ExerciseAssignmentAtZero1!$4:$4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27</v>
      </c>
      <c r="C6" s="35">
        <v>43045.0</v>
      </c>
      <c r="D6" s="35">
        <v>43055.0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  <c r="CI6" s="9" t="s">
        <v>49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  <c r="CI7" s="9" t="s">
        <v>50</v>
      </c>
    </row>
    <row r="8" ht="15.75" customHeight="1">
      <c r="A8" s="8"/>
      <c r="B8" s="9" t="s">
        <v>18</v>
      </c>
      <c r="C8" s="8"/>
      <c r="D8" s="8"/>
      <c r="E8" s="9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  <c r="CI8" s="9" t="s">
        <v>51</v>
      </c>
    </row>
    <row r="9" ht="15.75" customHeight="1">
      <c r="A9" s="8"/>
      <c r="B9" s="9" t="s">
        <v>18</v>
      </c>
      <c r="C9" s="8"/>
      <c r="D9" s="8"/>
      <c r="E9" s="9">
        <v>30.0</v>
      </c>
      <c r="F9" s="8"/>
      <c r="G9" s="9" t="s">
        <v>29</v>
      </c>
      <c r="H9" s="8"/>
      <c r="I9" s="8"/>
      <c r="J9" s="8"/>
      <c r="K9" s="9">
        <v>0.0</v>
      </c>
      <c r="L9" s="9">
        <v>0.0</v>
      </c>
      <c r="M9" s="8"/>
      <c r="N9" s="8"/>
      <c r="O9" s="8"/>
      <c r="AT9" s="9">
        <v>0.0</v>
      </c>
      <c r="AU9" s="9">
        <v>0.0</v>
      </c>
      <c r="BE9" s="9">
        <v>0.0</v>
      </c>
      <c r="BF9" s="9">
        <v>0.0</v>
      </c>
      <c r="BI9" s="9" t="s">
        <v>31</v>
      </c>
      <c r="BJ9" s="9">
        <v>30.0</v>
      </c>
      <c r="BO9" s="9" t="s">
        <v>32</v>
      </c>
      <c r="BT9" s="9" t="s">
        <v>16</v>
      </c>
      <c r="CI9" s="9" t="s">
        <v>52</v>
      </c>
    </row>
    <row r="10" ht="15.75" customHeight="1">
      <c r="A10" s="8"/>
      <c r="B10" s="9" t="s">
        <v>18</v>
      </c>
      <c r="C10" s="8"/>
      <c r="D10" s="8"/>
      <c r="E10" s="9">
        <v>100.0</v>
      </c>
      <c r="F10" s="8"/>
      <c r="G10" s="9" t="s">
        <v>29</v>
      </c>
      <c r="H10" s="8"/>
      <c r="I10" s="8"/>
      <c r="J10" s="8"/>
      <c r="K10" s="9">
        <v>0.0</v>
      </c>
      <c r="L10" s="9">
        <v>0.0</v>
      </c>
      <c r="M10" s="8"/>
      <c r="N10" s="8"/>
      <c r="O10" s="8"/>
      <c r="AT10" s="9">
        <v>0.0</v>
      </c>
      <c r="AU10" s="9">
        <v>0.0</v>
      </c>
      <c r="BE10" s="9">
        <v>0.0</v>
      </c>
      <c r="BF10" s="9">
        <v>0.0</v>
      </c>
      <c r="BI10" s="9" t="s">
        <v>33</v>
      </c>
      <c r="BJ10" s="9">
        <v>100.0</v>
      </c>
      <c r="BO10" s="9" t="s">
        <v>42</v>
      </c>
      <c r="BT10" s="9" t="s">
        <v>20</v>
      </c>
      <c r="CI10" s="9" t="s">
        <v>52</v>
      </c>
    </row>
    <row r="11" ht="15.75" customHeight="1">
      <c r="A11" s="8"/>
      <c r="B11" s="9" t="s">
        <v>18</v>
      </c>
      <c r="C11" s="8"/>
      <c r="D11" s="8"/>
      <c r="E11" s="9">
        <v>100.0</v>
      </c>
      <c r="F11" s="8"/>
      <c r="G11" s="9" t="s">
        <v>43</v>
      </c>
      <c r="H11" s="8"/>
      <c r="I11" s="8"/>
      <c r="J11" s="8"/>
      <c r="K11" s="9">
        <v>30.0</v>
      </c>
      <c r="L11" s="9">
        <v>30.0</v>
      </c>
      <c r="M11" s="8"/>
      <c r="N11" s="8"/>
      <c r="O11" s="8"/>
      <c r="AT11" s="9">
        <v>150000.0</v>
      </c>
      <c r="AU11" s="9">
        <v>150000.0</v>
      </c>
      <c r="BE11" s="9">
        <v>150000.0</v>
      </c>
      <c r="BF11" s="9">
        <v>150000.0</v>
      </c>
      <c r="BJ11" s="9">
        <v>100.0</v>
      </c>
      <c r="BO11" s="9" t="s">
        <v>44</v>
      </c>
      <c r="BT11" s="9" t="s">
        <v>45</v>
      </c>
      <c r="CI11" s="9" t="s">
        <v>52</v>
      </c>
    </row>
    <row r="12" ht="15.75" customHeight="1">
      <c r="A12" s="8"/>
      <c r="B12" s="9" t="s">
        <v>18</v>
      </c>
      <c r="C12" s="8"/>
      <c r="D12" s="8"/>
      <c r="E12" s="9">
        <v>30.0</v>
      </c>
      <c r="F12" s="8"/>
      <c r="G12" s="9" t="s">
        <v>43</v>
      </c>
      <c r="H12" s="8"/>
      <c r="I12" s="8"/>
      <c r="J12" s="8"/>
      <c r="K12" s="9">
        <v>1700.0</v>
      </c>
      <c r="L12" s="9">
        <v>1700.0</v>
      </c>
      <c r="M12" s="8"/>
      <c r="N12" s="8"/>
      <c r="O12" s="8"/>
      <c r="AT12" s="9">
        <v>2550000.0</v>
      </c>
      <c r="AU12" s="9">
        <v>2550000.0</v>
      </c>
      <c r="BE12" s="9">
        <v>2550000.0</v>
      </c>
      <c r="BF12" s="9">
        <v>2550000.0</v>
      </c>
      <c r="BJ12" s="9">
        <v>30.0</v>
      </c>
      <c r="BO12" s="9" t="s">
        <v>46</v>
      </c>
      <c r="BT12" s="9" t="s">
        <v>47</v>
      </c>
      <c r="CI12" s="9" t="s">
        <v>52</v>
      </c>
    </row>
    <row r="13" ht="15.75" customHeight="1">
      <c r="A13" s="8"/>
      <c r="B13" s="9" t="s">
        <v>18</v>
      </c>
      <c r="C13" s="8"/>
      <c r="D13" s="8"/>
      <c r="E13" s="9">
        <v>100.0</v>
      </c>
      <c r="F13" s="8"/>
      <c r="G13" s="9" t="s">
        <v>29</v>
      </c>
      <c r="H13" s="8"/>
      <c r="I13" s="8"/>
      <c r="J13" s="8"/>
      <c r="K13" s="9">
        <v>12.0</v>
      </c>
      <c r="L13" s="9">
        <v>12.0</v>
      </c>
      <c r="M13" s="8"/>
      <c r="N13" s="8"/>
      <c r="O13" s="8"/>
      <c r="AT13" s="9">
        <v>60000.0</v>
      </c>
      <c r="AU13" s="9">
        <v>60000.0</v>
      </c>
      <c r="BE13" s="9">
        <v>60000.0</v>
      </c>
      <c r="BF13" s="9">
        <v>60000.0</v>
      </c>
      <c r="BI13" s="9" t="s">
        <v>33</v>
      </c>
      <c r="BJ13" s="9">
        <v>100.0</v>
      </c>
      <c r="BO13" s="9" t="s">
        <v>21</v>
      </c>
      <c r="BT13" s="9" t="s">
        <v>20</v>
      </c>
      <c r="CI13" s="9" t="s">
        <v>51</v>
      </c>
    </row>
    <row r="14" ht="15.75" customHeight="1">
      <c r="A14" s="8"/>
      <c r="B14" s="9" t="s">
        <v>18</v>
      </c>
      <c r="C14" s="8"/>
      <c r="D14" s="8"/>
      <c r="E14" s="9">
        <v>100.0</v>
      </c>
      <c r="F14" s="8"/>
      <c r="G14" s="9" t="s">
        <v>29</v>
      </c>
      <c r="H14" s="8"/>
      <c r="I14" s="8"/>
      <c r="J14" s="8"/>
      <c r="K14" s="9">
        <v>11.0</v>
      </c>
      <c r="L14" s="9">
        <v>11.0</v>
      </c>
      <c r="M14" s="8"/>
      <c r="N14" s="8"/>
      <c r="O14" s="8"/>
      <c r="AT14" s="9">
        <v>55000.0</v>
      </c>
      <c r="AU14" s="9">
        <v>55000.0</v>
      </c>
      <c r="BE14" s="9">
        <v>55000.0</v>
      </c>
      <c r="BF14" s="9">
        <v>55000.0</v>
      </c>
      <c r="BI14" s="9" t="s">
        <v>33</v>
      </c>
      <c r="BJ14" s="9">
        <v>100.0</v>
      </c>
      <c r="BO14" s="9" t="s">
        <v>42</v>
      </c>
      <c r="BT14" s="9" t="s">
        <v>20</v>
      </c>
      <c r="CI14" s="9" t="s">
        <v>53</v>
      </c>
    </row>
    <row r="15" ht="15.75" customHeight="1">
      <c r="A15" s="8"/>
      <c r="B15" s="9" t="s">
        <v>18</v>
      </c>
      <c r="C15" s="8"/>
      <c r="D15" s="8"/>
      <c r="E15" s="9">
        <v>30.0</v>
      </c>
      <c r="F15" s="8"/>
      <c r="G15" s="9" t="s">
        <v>29</v>
      </c>
      <c r="H15" s="8"/>
      <c r="I15" s="8"/>
      <c r="J15" s="8"/>
      <c r="K15" s="9">
        <v>0.0</v>
      </c>
      <c r="L15" s="9">
        <v>0.0</v>
      </c>
      <c r="M15" s="8"/>
      <c r="N15" s="8"/>
      <c r="O15" s="8"/>
      <c r="AT15" s="9">
        <v>18000.0</v>
      </c>
      <c r="AU15" s="9">
        <v>18000.0</v>
      </c>
      <c r="BE15" s="9">
        <v>0.0</v>
      </c>
      <c r="BF15" s="9">
        <v>0.0</v>
      </c>
      <c r="BI15" s="9" t="s">
        <v>33</v>
      </c>
      <c r="BJ15" s="9">
        <v>30.0</v>
      </c>
      <c r="BO15" s="9" t="s">
        <v>42</v>
      </c>
      <c r="BT15" s="9" t="s">
        <v>20</v>
      </c>
      <c r="CI15" s="9" t="s">
        <v>52</v>
      </c>
    </row>
    <row r="16" ht="15.75" customHeight="1">
      <c r="A16" s="8"/>
      <c r="B16" s="9" t="s">
        <v>18</v>
      </c>
      <c r="C16" s="8"/>
      <c r="D16" s="8"/>
      <c r="E16" s="9">
        <v>30.0</v>
      </c>
      <c r="F16" s="8"/>
      <c r="G16" s="9" t="s">
        <v>43</v>
      </c>
      <c r="H16" s="8"/>
      <c r="I16" s="8"/>
      <c r="J16" s="8"/>
      <c r="K16" s="9">
        <v>30.0</v>
      </c>
      <c r="L16" s="9">
        <v>30.0</v>
      </c>
      <c r="M16" s="8"/>
      <c r="N16" s="8"/>
      <c r="O16" s="8"/>
      <c r="AT16" s="9">
        <v>63000.0</v>
      </c>
      <c r="AU16" s="9">
        <v>63000.0</v>
      </c>
      <c r="BE16" s="9">
        <v>45000.0</v>
      </c>
      <c r="BF16" s="9">
        <v>45000.0</v>
      </c>
      <c r="BJ16" s="9">
        <v>30.0</v>
      </c>
      <c r="BO16" s="9" t="s">
        <v>44</v>
      </c>
      <c r="BT16" s="9" t="s">
        <v>45</v>
      </c>
      <c r="CI16" s="9" t="s">
        <v>52</v>
      </c>
    </row>
    <row r="17" ht="15.75" customHeight="1">
      <c r="A17" s="8"/>
      <c r="B17" s="9" t="s">
        <v>18</v>
      </c>
      <c r="C17" s="8"/>
      <c r="D17" s="8"/>
      <c r="E17" s="9">
        <v>50.0</v>
      </c>
      <c r="F17" s="8"/>
      <c r="G17" s="9" t="s">
        <v>29</v>
      </c>
      <c r="H17" s="8"/>
      <c r="I17" s="8"/>
      <c r="J17" s="8"/>
      <c r="K17" s="9">
        <v>0.0</v>
      </c>
      <c r="L17" s="9">
        <v>0.0</v>
      </c>
      <c r="M17" s="8"/>
      <c r="N17" s="8"/>
      <c r="O17" s="8"/>
      <c r="AT17" s="9">
        <v>0.0</v>
      </c>
      <c r="AU17" s="9">
        <v>0.0</v>
      </c>
      <c r="BE17" s="9">
        <v>0.0</v>
      </c>
      <c r="BF17" s="9">
        <v>0.0</v>
      </c>
      <c r="BI17" s="9" t="s">
        <v>33</v>
      </c>
      <c r="BJ17" s="9">
        <v>50.0</v>
      </c>
      <c r="BO17" s="9" t="s">
        <v>42</v>
      </c>
      <c r="BT17" s="9" t="s">
        <v>20</v>
      </c>
      <c r="CI17" s="9" t="s">
        <v>52</v>
      </c>
    </row>
    <row r="18" ht="15.75" customHeight="1">
      <c r="A18" s="8"/>
      <c r="B18" s="9" t="s">
        <v>18</v>
      </c>
      <c r="C18" s="8"/>
      <c r="D18" s="8"/>
      <c r="E18" s="9">
        <v>50.0</v>
      </c>
      <c r="F18" s="8"/>
      <c r="G18" s="9" t="s">
        <v>29</v>
      </c>
      <c r="H18" s="8"/>
      <c r="I18" s="8"/>
      <c r="J18" s="8"/>
      <c r="K18" s="9">
        <v>0.0</v>
      </c>
      <c r="L18" s="9">
        <v>0.0</v>
      </c>
      <c r="M18" s="8"/>
      <c r="N18" s="8"/>
      <c r="O18" s="8"/>
      <c r="AT18" s="9">
        <v>0.0</v>
      </c>
      <c r="AU18" s="9">
        <v>0.0</v>
      </c>
      <c r="BE18" s="9">
        <v>0.0</v>
      </c>
      <c r="BF18" s="9">
        <v>0.0</v>
      </c>
      <c r="BI18" s="9" t="s">
        <v>33</v>
      </c>
      <c r="BJ18" s="9">
        <v>50.0</v>
      </c>
      <c r="BO18" s="9" t="s">
        <v>21</v>
      </c>
      <c r="BT18" s="9" t="s">
        <v>20</v>
      </c>
      <c r="CI18" s="9" t="s">
        <v>54</v>
      </c>
    </row>
    <row r="19" ht="15.75" customHeight="1">
      <c r="A19" s="8"/>
      <c r="B19" s="9" t="s">
        <v>18</v>
      </c>
      <c r="C19" s="8"/>
      <c r="D19" s="8"/>
      <c r="E19" s="9">
        <v>50.0</v>
      </c>
      <c r="F19" s="8"/>
      <c r="G19" s="9" t="s">
        <v>43</v>
      </c>
      <c r="H19" s="8"/>
      <c r="I19" s="8"/>
      <c r="J19" s="8"/>
      <c r="K19" s="9">
        <v>30.0</v>
      </c>
      <c r="L19" s="9">
        <v>30.0</v>
      </c>
      <c r="M19" s="8"/>
      <c r="N19" s="8"/>
      <c r="O19" s="8"/>
      <c r="AT19" s="9">
        <v>75000.0</v>
      </c>
      <c r="AU19" s="9">
        <v>75000.0</v>
      </c>
      <c r="BE19" s="9">
        <v>75000.0</v>
      </c>
      <c r="BF19" s="9">
        <v>75000.0</v>
      </c>
      <c r="BJ19" s="9">
        <v>50.0</v>
      </c>
      <c r="BO19" s="9" t="s">
        <v>55</v>
      </c>
      <c r="BT19" s="9" t="s">
        <v>45</v>
      </c>
      <c r="CI19" s="9" t="s">
        <v>54</v>
      </c>
    </row>
    <row r="20" ht="15.75" customHeight="1">
      <c r="A20" s="8"/>
      <c r="B20" s="9" t="s">
        <v>18</v>
      </c>
      <c r="C20" s="8"/>
      <c r="D20" s="8"/>
      <c r="E20" s="9">
        <v>50.0</v>
      </c>
      <c r="F20" s="8"/>
      <c r="G20" s="9" t="s">
        <v>43</v>
      </c>
      <c r="H20" s="8"/>
      <c r="I20" s="8"/>
      <c r="J20" s="8"/>
      <c r="K20" s="9">
        <v>30.0</v>
      </c>
      <c r="L20" s="9">
        <v>30.0</v>
      </c>
      <c r="M20" s="8"/>
      <c r="N20" s="8"/>
      <c r="O20" s="8"/>
      <c r="AT20" s="9">
        <v>75000.0</v>
      </c>
      <c r="AU20" s="9">
        <v>75000.0</v>
      </c>
      <c r="BE20" s="9">
        <v>75000.0</v>
      </c>
      <c r="BF20" s="9">
        <v>75000.0</v>
      </c>
      <c r="BJ20" s="9">
        <v>50.0</v>
      </c>
      <c r="BO20" s="9" t="s">
        <v>44</v>
      </c>
      <c r="BT20" s="9" t="s">
        <v>45</v>
      </c>
      <c r="CI20" s="9" t="s">
        <v>52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43045.0</v>
      </c>
      <c r="E6" s="35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D6" s="9" t="s">
        <v>59</v>
      </c>
      <c r="E6" s="9">
        <v>-112500.0</v>
      </c>
      <c r="H6" s="8"/>
      <c r="I6" s="8"/>
      <c r="J6" s="8"/>
      <c r="K6" s="9" t="s">
        <v>60</v>
      </c>
      <c r="L6" s="8"/>
      <c r="M6" s="8"/>
      <c r="N6" s="8"/>
      <c r="O6" s="8"/>
      <c r="V6" s="9">
        <v>150.0</v>
      </c>
      <c r="AB6" s="9" t="s">
        <v>16</v>
      </c>
      <c r="AE6" s="53">
        <v>43045.0</v>
      </c>
      <c r="AG6" s="9" t="s">
        <v>61</v>
      </c>
    </row>
    <row r="7" ht="15.75" customHeight="1">
      <c r="A7" s="8"/>
      <c r="B7" s="9" t="s">
        <v>18</v>
      </c>
      <c r="D7" s="9" t="s">
        <v>59</v>
      </c>
      <c r="E7" s="9">
        <v>70000.0</v>
      </c>
      <c r="H7" s="8"/>
      <c r="I7" s="8"/>
      <c r="J7" s="8"/>
      <c r="K7" s="9" t="s">
        <v>60</v>
      </c>
      <c r="L7" s="8"/>
      <c r="M7" s="8"/>
      <c r="N7" s="8"/>
      <c r="O7" s="8"/>
      <c r="V7" s="9">
        <v>100.0</v>
      </c>
      <c r="AB7" s="9" t="s">
        <v>16</v>
      </c>
      <c r="AE7" s="53">
        <v>43046.0</v>
      </c>
      <c r="AG7" s="9" t="s">
        <v>61</v>
      </c>
    </row>
    <row r="8" ht="15.75" customHeight="1">
      <c r="A8" s="8"/>
      <c r="B8" s="9" t="s">
        <v>18</v>
      </c>
      <c r="D8" s="9" t="s">
        <v>62</v>
      </c>
      <c r="E8" s="9">
        <v>-65000.0</v>
      </c>
      <c r="H8" s="8"/>
      <c r="I8" s="8"/>
      <c r="J8" s="8"/>
      <c r="K8" s="9" t="s">
        <v>60</v>
      </c>
      <c r="L8" s="8"/>
      <c r="M8" s="8"/>
      <c r="N8" s="8"/>
      <c r="O8" s="8"/>
      <c r="V8" s="9">
        <v>100.0</v>
      </c>
      <c r="AB8" s="9" t="s">
        <v>20</v>
      </c>
      <c r="AE8" s="53">
        <v>43047.0</v>
      </c>
      <c r="AG8" s="9" t="s">
        <v>61</v>
      </c>
    </row>
    <row r="9" ht="15.75" customHeight="1">
      <c r="A9" s="8"/>
      <c r="B9" s="9" t="s">
        <v>18</v>
      </c>
      <c r="D9" s="9" t="s">
        <v>62</v>
      </c>
      <c r="E9" s="9">
        <v>-60000.0</v>
      </c>
      <c r="H9" s="8"/>
      <c r="I9" s="8"/>
      <c r="J9" s="8"/>
      <c r="K9" s="9" t="s">
        <v>60</v>
      </c>
      <c r="L9" s="8"/>
      <c r="M9" s="8"/>
      <c r="N9" s="8"/>
      <c r="O9" s="8"/>
      <c r="V9" s="9">
        <v>100.0</v>
      </c>
      <c r="AB9" s="9" t="s">
        <v>20</v>
      </c>
      <c r="AE9" s="53">
        <v>43048.0</v>
      </c>
      <c r="AG9" s="9" t="s">
        <v>61</v>
      </c>
    </row>
    <row r="10" ht="15.75" customHeight="1">
      <c r="A10" s="8"/>
      <c r="B10" s="9" t="s">
        <v>18</v>
      </c>
      <c r="D10" s="9" t="s">
        <v>62</v>
      </c>
      <c r="E10" s="9">
        <v>55000.0</v>
      </c>
      <c r="H10" s="8"/>
      <c r="I10" s="8"/>
      <c r="J10" s="8"/>
      <c r="K10" s="9" t="s">
        <v>60</v>
      </c>
      <c r="L10" s="8"/>
      <c r="M10" s="8"/>
      <c r="N10" s="8"/>
      <c r="O10" s="8"/>
      <c r="V10" s="9">
        <v>100.0</v>
      </c>
      <c r="AB10" s="9" t="s">
        <v>20</v>
      </c>
      <c r="AE10" s="51">
        <v>43049.0</v>
      </c>
      <c r="AG10" s="9" t="s">
        <v>61</v>
      </c>
    </row>
    <row r="11" ht="15.75" customHeight="1">
      <c r="A11" s="8"/>
      <c r="B11" s="9" t="s">
        <v>18</v>
      </c>
      <c r="D11" s="9" t="s">
        <v>63</v>
      </c>
      <c r="E11" s="9">
        <v>0.0</v>
      </c>
      <c r="H11" s="8"/>
      <c r="I11" s="8"/>
      <c r="J11" s="8"/>
      <c r="K11" s="9" t="s">
        <v>60</v>
      </c>
      <c r="L11" s="8"/>
      <c r="M11" s="8"/>
      <c r="N11" s="8"/>
      <c r="O11" s="8"/>
      <c r="V11" s="9">
        <v>100.0</v>
      </c>
      <c r="AB11" s="9" t="s">
        <v>45</v>
      </c>
      <c r="AE11" s="51">
        <v>43052.0</v>
      </c>
      <c r="AG11" s="9" t="s">
        <v>61</v>
      </c>
    </row>
    <row r="12" ht="15.75" customHeight="1">
      <c r="A12" s="8"/>
      <c r="B12" s="9" t="s">
        <v>18</v>
      </c>
      <c r="D12" s="9" t="s">
        <v>64</v>
      </c>
      <c r="E12" s="9">
        <v>0.0</v>
      </c>
      <c r="H12" s="8"/>
      <c r="I12" s="8"/>
      <c r="J12" s="8"/>
      <c r="K12" s="9" t="s">
        <v>60</v>
      </c>
      <c r="L12" s="8"/>
      <c r="M12" s="8"/>
      <c r="N12" s="8"/>
      <c r="O12" s="8"/>
      <c r="V12" s="9">
        <v>30.0</v>
      </c>
      <c r="AB12" s="9" t="s">
        <v>47</v>
      </c>
      <c r="AE12" s="51">
        <v>43052.0</v>
      </c>
      <c r="AG12" s="9" t="s">
        <v>61</v>
      </c>
    </row>
    <row r="13" ht="15.75" customHeight="1">
      <c r="A13" s="8"/>
      <c r="B13" s="9" t="s">
        <v>18</v>
      </c>
      <c r="D13" s="9" t="s">
        <v>59</v>
      </c>
      <c r="E13" s="9">
        <v>0.0</v>
      </c>
      <c r="H13" s="8"/>
      <c r="I13" s="8"/>
      <c r="J13" s="8"/>
      <c r="K13" s="9" t="s">
        <v>60</v>
      </c>
      <c r="L13" s="8"/>
      <c r="M13" s="8"/>
      <c r="N13" s="8"/>
      <c r="O13" s="8"/>
      <c r="V13" s="9">
        <v>30.0</v>
      </c>
      <c r="AB13" s="9" t="s">
        <v>16</v>
      </c>
      <c r="AE13" s="51">
        <v>43052.0</v>
      </c>
      <c r="AG13" s="9" t="s">
        <v>61</v>
      </c>
    </row>
    <row r="14" ht="15.75" customHeight="1">
      <c r="A14" s="8"/>
      <c r="B14" s="9" t="s">
        <v>18</v>
      </c>
      <c r="D14" s="9" t="s">
        <v>62</v>
      </c>
      <c r="E14" s="9">
        <v>0.0</v>
      </c>
      <c r="H14" s="8"/>
      <c r="I14" s="8"/>
      <c r="J14" s="8"/>
      <c r="K14" s="9" t="s">
        <v>60</v>
      </c>
      <c r="L14" s="8"/>
      <c r="M14" s="8"/>
      <c r="N14" s="8"/>
      <c r="O14" s="8"/>
      <c r="V14" s="9">
        <v>100.0</v>
      </c>
      <c r="AB14" s="9" t="s">
        <v>20</v>
      </c>
      <c r="AE14" s="51">
        <v>43052.0</v>
      </c>
      <c r="AG14" s="9" t="s">
        <v>61</v>
      </c>
    </row>
    <row r="15" ht="15.75" customHeight="1">
      <c r="A15" s="8"/>
      <c r="B15" s="9" t="s">
        <v>18</v>
      </c>
      <c r="D15" s="9" t="s">
        <v>63</v>
      </c>
      <c r="E15" s="9">
        <v>-18000.0</v>
      </c>
      <c r="H15" s="8"/>
      <c r="I15" s="8"/>
      <c r="J15" s="8"/>
      <c r="K15" s="9" t="s">
        <v>60</v>
      </c>
      <c r="L15" s="8"/>
      <c r="M15" s="8"/>
      <c r="N15" s="8"/>
      <c r="O15" s="8"/>
      <c r="V15" s="9">
        <v>30.0</v>
      </c>
      <c r="AB15" s="9" t="s">
        <v>45</v>
      </c>
      <c r="AE15" s="51">
        <v>43054.0</v>
      </c>
      <c r="AG15" s="9" t="s">
        <v>61</v>
      </c>
    </row>
    <row r="16" ht="15.75" customHeight="1">
      <c r="A16" s="8"/>
      <c r="B16" s="9" t="s">
        <v>18</v>
      </c>
      <c r="D16" s="9" t="s">
        <v>62</v>
      </c>
      <c r="E16" s="9">
        <v>18000.0</v>
      </c>
      <c r="H16" s="8"/>
      <c r="I16" s="8"/>
      <c r="J16" s="8"/>
      <c r="K16" s="9" t="s">
        <v>60</v>
      </c>
      <c r="L16" s="8"/>
      <c r="M16" s="8"/>
      <c r="N16" s="8"/>
      <c r="O16" s="8"/>
      <c r="V16" s="9">
        <v>30.0</v>
      </c>
      <c r="AB16" s="9" t="s">
        <v>20</v>
      </c>
      <c r="AE16" s="51">
        <v>43054.0</v>
      </c>
      <c r="AG16" s="9" t="s">
        <v>61</v>
      </c>
    </row>
    <row r="17" ht="15.75" customHeight="1">
      <c r="A17" s="8"/>
      <c r="B17" s="9" t="s">
        <v>18</v>
      </c>
      <c r="D17" s="9" t="s">
        <v>63</v>
      </c>
      <c r="E17" s="9">
        <v>0.0</v>
      </c>
      <c r="H17" s="8"/>
      <c r="I17" s="8"/>
      <c r="J17" s="8"/>
      <c r="K17" s="9" t="s">
        <v>60</v>
      </c>
      <c r="L17" s="8"/>
      <c r="M17" s="8"/>
      <c r="N17" s="8"/>
      <c r="O17" s="8"/>
      <c r="V17" s="9">
        <v>50.0</v>
      </c>
      <c r="AB17" s="9" t="s">
        <v>45</v>
      </c>
      <c r="AE17" s="51">
        <v>43055.0</v>
      </c>
      <c r="AG17" s="9" t="s">
        <v>61</v>
      </c>
    </row>
    <row r="18" ht="15.75" customHeight="1">
      <c r="A18" s="8"/>
      <c r="B18" s="9" t="s">
        <v>18</v>
      </c>
      <c r="D18" s="9" t="s">
        <v>63</v>
      </c>
      <c r="E18" s="9">
        <v>0.0</v>
      </c>
      <c r="H18" s="8"/>
      <c r="I18" s="8"/>
      <c r="J18" s="8"/>
      <c r="K18" s="9" t="s">
        <v>60</v>
      </c>
      <c r="L18" s="8"/>
      <c r="M18" s="8"/>
      <c r="N18" s="8"/>
      <c r="O18" s="8"/>
      <c r="V18" s="9">
        <v>50.0</v>
      </c>
      <c r="AB18" s="9" t="s">
        <v>45</v>
      </c>
      <c r="AE18" s="51">
        <v>43055.0</v>
      </c>
      <c r="AG18" s="9" t="s">
        <v>61</v>
      </c>
    </row>
    <row r="19" ht="15.75" customHeight="1">
      <c r="A19" s="8"/>
      <c r="B19" s="9" t="s">
        <v>18</v>
      </c>
      <c r="D19" s="9" t="s">
        <v>62</v>
      </c>
      <c r="E19" s="9">
        <v>0.0</v>
      </c>
      <c r="H19" s="8"/>
      <c r="I19" s="8"/>
      <c r="J19" s="8"/>
      <c r="K19" s="9" t="s">
        <v>60</v>
      </c>
      <c r="L19" s="8"/>
      <c r="M19" s="8"/>
      <c r="N19" s="8"/>
      <c r="O19" s="8"/>
      <c r="V19" s="9">
        <v>50.0</v>
      </c>
      <c r="AB19" s="9" t="s">
        <v>20</v>
      </c>
      <c r="AE19" s="51">
        <v>43055.0</v>
      </c>
      <c r="AG19" s="9" t="s">
        <v>61</v>
      </c>
    </row>
    <row r="20" ht="15.75" customHeight="1">
      <c r="A20" s="8"/>
      <c r="B20" s="9" t="s">
        <v>18</v>
      </c>
      <c r="D20" s="9" t="s">
        <v>62</v>
      </c>
      <c r="E20" s="9">
        <v>0.0</v>
      </c>
      <c r="H20" s="8"/>
      <c r="I20" s="8"/>
      <c r="J20" s="8"/>
      <c r="K20" s="9" t="s">
        <v>60</v>
      </c>
      <c r="L20" s="8"/>
      <c r="M20" s="8"/>
      <c r="N20" s="8"/>
      <c r="O20" s="8"/>
      <c r="V20" s="9">
        <v>50.0</v>
      </c>
      <c r="AB20" s="9" t="s">
        <v>20</v>
      </c>
      <c r="AE20" s="51">
        <v>43055.0</v>
      </c>
      <c r="AG20" s="9" t="s">
        <v>61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43045.0</v>
      </c>
      <c r="E6" s="35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43045.0</v>
      </c>
      <c r="E6" s="9">
        <v>112500.0</v>
      </c>
      <c r="F6" s="9">
        <v>0.0</v>
      </c>
      <c r="G6" s="9">
        <v>1.0</v>
      </c>
      <c r="H6" s="9" t="s">
        <v>67</v>
      </c>
      <c r="I6" s="9" t="s">
        <v>68</v>
      </c>
      <c r="J6" s="9" t="s">
        <v>61</v>
      </c>
      <c r="K6" s="9" t="s">
        <v>60</v>
      </c>
      <c r="L6" s="9" t="s">
        <v>60</v>
      </c>
      <c r="M6" s="9" t="s">
        <v>16</v>
      </c>
      <c r="N6" s="8"/>
      <c r="O6" s="9">
        <v>112500.0</v>
      </c>
      <c r="P6" s="9">
        <v>0.0</v>
      </c>
      <c r="Q6" s="9" t="s">
        <v>69</v>
      </c>
      <c r="R6" s="9" t="s">
        <v>18</v>
      </c>
    </row>
    <row r="7" ht="15.75" customHeight="1">
      <c r="A7" s="8"/>
      <c r="B7" s="53">
        <v>43045.0</v>
      </c>
      <c r="E7" s="9">
        <v>0.0</v>
      </c>
      <c r="F7" s="9">
        <v>112500.0</v>
      </c>
      <c r="G7" s="9">
        <v>1.0</v>
      </c>
      <c r="H7" s="9" t="s">
        <v>67</v>
      </c>
      <c r="I7" s="9" t="s">
        <v>70</v>
      </c>
      <c r="J7" s="9" t="s">
        <v>61</v>
      </c>
      <c r="K7" s="9" t="s">
        <v>60</v>
      </c>
      <c r="L7" s="9" t="s">
        <v>60</v>
      </c>
      <c r="M7" s="9" t="s">
        <v>16</v>
      </c>
      <c r="N7" s="8"/>
      <c r="O7" s="9">
        <v>0.0</v>
      </c>
      <c r="P7" s="9">
        <v>112500.0</v>
      </c>
      <c r="Q7" s="9" t="s">
        <v>71</v>
      </c>
      <c r="R7" s="9" t="s">
        <v>18</v>
      </c>
    </row>
    <row r="8" ht="15.75" customHeight="1">
      <c r="A8" s="8"/>
      <c r="B8" s="53">
        <v>43046.0</v>
      </c>
      <c r="E8" s="9">
        <v>70000.0</v>
      </c>
      <c r="F8" s="9">
        <v>0.0</v>
      </c>
      <c r="G8" s="9">
        <v>1.0</v>
      </c>
      <c r="H8" s="9" t="s">
        <v>67</v>
      </c>
      <c r="I8" s="9" t="s">
        <v>68</v>
      </c>
      <c r="J8" s="9" t="s">
        <v>61</v>
      </c>
      <c r="K8" s="9" t="s">
        <v>60</v>
      </c>
      <c r="L8" s="9" t="s">
        <v>60</v>
      </c>
      <c r="M8" s="9" t="s">
        <v>16</v>
      </c>
      <c r="N8" s="8"/>
      <c r="O8" s="9">
        <v>70000.0</v>
      </c>
      <c r="P8" s="9">
        <v>0.0</v>
      </c>
      <c r="Q8" s="9" t="s">
        <v>71</v>
      </c>
      <c r="R8" s="9" t="s">
        <v>18</v>
      </c>
    </row>
    <row r="9" ht="15.75" customHeight="1">
      <c r="A9" s="8"/>
      <c r="B9" s="53">
        <v>43046.0</v>
      </c>
      <c r="E9" s="9">
        <v>0.0</v>
      </c>
      <c r="F9" s="9">
        <v>70000.0</v>
      </c>
      <c r="G9" s="9">
        <v>1.0</v>
      </c>
      <c r="H9" s="9" t="s">
        <v>67</v>
      </c>
      <c r="I9" s="9" t="s">
        <v>70</v>
      </c>
      <c r="J9" s="9" t="s">
        <v>61</v>
      </c>
      <c r="K9" s="9" t="s">
        <v>60</v>
      </c>
      <c r="L9" s="9" t="s">
        <v>60</v>
      </c>
      <c r="M9" s="9" t="s">
        <v>16</v>
      </c>
      <c r="N9" s="8"/>
      <c r="O9" s="9">
        <v>0.0</v>
      </c>
      <c r="P9" s="9">
        <v>70000.0</v>
      </c>
      <c r="Q9" s="9" t="s">
        <v>69</v>
      </c>
      <c r="R9" s="9" t="s">
        <v>18</v>
      </c>
    </row>
    <row r="10" ht="15.75" customHeight="1">
      <c r="A10" s="8"/>
      <c r="B10" s="53">
        <v>43047.0</v>
      </c>
      <c r="E10" s="9">
        <v>65000.0</v>
      </c>
      <c r="F10" s="9">
        <v>0.0</v>
      </c>
      <c r="G10" s="9">
        <v>1.0</v>
      </c>
      <c r="H10" s="9" t="s">
        <v>67</v>
      </c>
      <c r="I10" s="9" t="s">
        <v>68</v>
      </c>
      <c r="J10" s="9" t="s">
        <v>61</v>
      </c>
      <c r="K10" s="9" t="s">
        <v>60</v>
      </c>
      <c r="L10" s="9" t="s">
        <v>60</v>
      </c>
      <c r="M10" s="9" t="s">
        <v>20</v>
      </c>
      <c r="N10" s="8"/>
      <c r="O10" s="9">
        <v>65000.0</v>
      </c>
      <c r="P10" s="9">
        <v>0.0</v>
      </c>
      <c r="Q10" s="9" t="s">
        <v>72</v>
      </c>
      <c r="R10" s="9" t="s">
        <v>18</v>
      </c>
    </row>
    <row r="11" ht="15.75" customHeight="1">
      <c r="A11" s="8"/>
      <c r="B11" s="53">
        <v>43047.0</v>
      </c>
      <c r="E11" s="9">
        <v>0.0</v>
      </c>
      <c r="F11" s="9">
        <v>65000.0</v>
      </c>
      <c r="G11" s="9">
        <v>1.0</v>
      </c>
      <c r="H11" s="9" t="s">
        <v>67</v>
      </c>
      <c r="I11" s="9" t="s">
        <v>70</v>
      </c>
      <c r="J11" s="9" t="s">
        <v>61</v>
      </c>
      <c r="K11" s="9" t="s">
        <v>60</v>
      </c>
      <c r="L11" s="9" t="s">
        <v>60</v>
      </c>
      <c r="M11" s="9" t="s">
        <v>20</v>
      </c>
      <c r="N11" s="8"/>
      <c r="O11" s="9">
        <v>0.0</v>
      </c>
      <c r="P11" s="9">
        <v>65000.0</v>
      </c>
      <c r="Q11" s="9" t="s">
        <v>71</v>
      </c>
      <c r="R11" s="9" t="s">
        <v>18</v>
      </c>
    </row>
    <row r="12" ht="15.75" customHeight="1">
      <c r="A12" s="8"/>
      <c r="B12" s="53">
        <v>43048.0</v>
      </c>
      <c r="E12" s="9">
        <v>60000.0</v>
      </c>
      <c r="F12" s="9">
        <v>0.0</v>
      </c>
      <c r="G12" s="9">
        <v>1.0</v>
      </c>
      <c r="H12" s="9" t="s">
        <v>67</v>
      </c>
      <c r="I12" s="9" t="s">
        <v>68</v>
      </c>
      <c r="J12" s="9" t="s">
        <v>61</v>
      </c>
      <c r="K12" s="9" t="s">
        <v>60</v>
      </c>
      <c r="L12" s="9" t="s">
        <v>60</v>
      </c>
      <c r="M12" s="9" t="s">
        <v>20</v>
      </c>
      <c r="N12" s="8"/>
      <c r="O12" s="9">
        <v>60000.0</v>
      </c>
      <c r="P12" s="9">
        <v>0.0</v>
      </c>
      <c r="Q12" s="9" t="s">
        <v>72</v>
      </c>
      <c r="R12" s="9" t="s">
        <v>18</v>
      </c>
    </row>
    <row r="13" ht="15.75" customHeight="1">
      <c r="A13" s="8"/>
      <c r="B13" s="53">
        <v>43048.0</v>
      </c>
      <c r="E13" s="9">
        <v>0.0</v>
      </c>
      <c r="F13" s="9">
        <v>60000.0</v>
      </c>
      <c r="G13" s="9">
        <v>1.0</v>
      </c>
      <c r="H13" s="9" t="s">
        <v>67</v>
      </c>
      <c r="I13" s="9" t="s">
        <v>70</v>
      </c>
      <c r="J13" s="9" t="s">
        <v>61</v>
      </c>
      <c r="K13" s="9" t="s">
        <v>60</v>
      </c>
      <c r="L13" s="9" t="s">
        <v>60</v>
      </c>
      <c r="M13" s="9" t="s">
        <v>20</v>
      </c>
      <c r="N13" s="8"/>
      <c r="O13" s="9">
        <v>0.0</v>
      </c>
      <c r="P13" s="9">
        <v>60000.0</v>
      </c>
      <c r="Q13" s="9" t="s">
        <v>71</v>
      </c>
      <c r="R13" s="9" t="s">
        <v>18</v>
      </c>
    </row>
    <row r="14" ht="15.75" customHeight="1">
      <c r="A14" s="8"/>
      <c r="B14" s="51">
        <v>43049.0</v>
      </c>
      <c r="E14" s="9">
        <v>55000.0</v>
      </c>
      <c r="F14" s="9">
        <v>0.0</v>
      </c>
      <c r="G14" s="9">
        <v>1.0</v>
      </c>
      <c r="H14" s="9" t="s">
        <v>67</v>
      </c>
      <c r="I14" s="9" t="s">
        <v>68</v>
      </c>
      <c r="J14" s="9" t="s">
        <v>61</v>
      </c>
      <c r="K14" s="9" t="s">
        <v>60</v>
      </c>
      <c r="L14" s="9" t="s">
        <v>60</v>
      </c>
      <c r="M14" s="9" t="s">
        <v>20</v>
      </c>
      <c r="N14" s="8"/>
      <c r="O14" s="9">
        <v>55000.0</v>
      </c>
      <c r="P14" s="9">
        <v>0.0</v>
      </c>
      <c r="Q14" s="9" t="s">
        <v>71</v>
      </c>
      <c r="R14" s="9" t="s">
        <v>18</v>
      </c>
    </row>
    <row r="15" ht="15.75" customHeight="1">
      <c r="A15" s="8"/>
      <c r="B15" s="51">
        <v>43049.0</v>
      </c>
      <c r="E15" s="9">
        <v>0.0</v>
      </c>
      <c r="F15" s="9">
        <v>55000.0</v>
      </c>
      <c r="G15" s="9">
        <v>1.0</v>
      </c>
      <c r="H15" s="9" t="s">
        <v>67</v>
      </c>
      <c r="I15" s="9" t="s">
        <v>70</v>
      </c>
      <c r="J15" s="9" t="s">
        <v>61</v>
      </c>
      <c r="K15" s="9" t="s">
        <v>60</v>
      </c>
      <c r="L15" s="9" t="s">
        <v>60</v>
      </c>
      <c r="M15" s="9" t="s">
        <v>20</v>
      </c>
      <c r="N15" s="8"/>
      <c r="O15" s="9">
        <v>0.0</v>
      </c>
      <c r="P15" s="9">
        <v>55000.0</v>
      </c>
      <c r="Q15" s="9" t="s">
        <v>72</v>
      </c>
      <c r="R15" s="9" t="s">
        <v>18</v>
      </c>
    </row>
    <row r="16" ht="15.75" customHeight="1">
      <c r="A16" s="8"/>
      <c r="B16" s="51">
        <v>43054.0</v>
      </c>
      <c r="E16" s="9">
        <v>18000.0</v>
      </c>
      <c r="F16" s="9">
        <v>0.0</v>
      </c>
      <c r="G16" s="9">
        <v>1.0</v>
      </c>
      <c r="H16" s="9" t="s">
        <v>67</v>
      </c>
      <c r="I16" s="9" t="s">
        <v>68</v>
      </c>
      <c r="J16" s="9" t="s">
        <v>61</v>
      </c>
      <c r="K16" s="9" t="s">
        <v>60</v>
      </c>
      <c r="L16" s="9" t="s">
        <v>60</v>
      </c>
      <c r="M16" s="9" t="s">
        <v>20</v>
      </c>
      <c r="N16" s="8"/>
      <c r="O16" s="9">
        <v>18000.0</v>
      </c>
      <c r="P16" s="9">
        <v>0.0</v>
      </c>
      <c r="Q16" s="9" t="s">
        <v>71</v>
      </c>
      <c r="R16" s="9" t="s">
        <v>18</v>
      </c>
    </row>
    <row r="17" ht="15.75" customHeight="1">
      <c r="A17" s="8"/>
      <c r="B17" s="51">
        <v>43054.0</v>
      </c>
      <c r="E17" s="9">
        <v>0.0</v>
      </c>
      <c r="F17" s="9">
        <v>18000.0</v>
      </c>
      <c r="G17" s="9">
        <v>1.0</v>
      </c>
      <c r="H17" s="9" t="s">
        <v>67</v>
      </c>
      <c r="I17" s="9" t="s">
        <v>70</v>
      </c>
      <c r="J17" s="9" t="s">
        <v>61</v>
      </c>
      <c r="K17" s="9" t="s">
        <v>60</v>
      </c>
      <c r="L17" s="9" t="s">
        <v>60</v>
      </c>
      <c r="M17" s="9" t="s">
        <v>20</v>
      </c>
      <c r="N17" s="8"/>
      <c r="O17" s="9">
        <v>0.0</v>
      </c>
      <c r="P17" s="9">
        <v>18000.0</v>
      </c>
      <c r="Q17" s="9" t="s">
        <v>73</v>
      </c>
      <c r="R17" s="9" t="s">
        <v>18</v>
      </c>
    </row>
    <row r="18" ht="15.75" customHeight="1">
      <c r="A18" s="8"/>
      <c r="B18" s="51">
        <v>43054.0</v>
      </c>
      <c r="E18" s="9">
        <v>18000.0</v>
      </c>
      <c r="F18" s="9">
        <v>0.0</v>
      </c>
      <c r="G18" s="9">
        <v>1.0</v>
      </c>
      <c r="H18" s="9" t="s">
        <v>67</v>
      </c>
      <c r="I18" s="9" t="s">
        <v>68</v>
      </c>
      <c r="J18" s="9" t="s">
        <v>61</v>
      </c>
      <c r="K18" s="9" t="s">
        <v>60</v>
      </c>
      <c r="L18" s="9" t="s">
        <v>60</v>
      </c>
      <c r="M18" s="9" t="s">
        <v>45</v>
      </c>
      <c r="N18" s="8"/>
      <c r="O18" s="9">
        <v>18000.0</v>
      </c>
      <c r="P18" s="9">
        <v>0.0</v>
      </c>
      <c r="Q18" s="9" t="s">
        <v>74</v>
      </c>
      <c r="R18" s="9" t="s">
        <v>18</v>
      </c>
    </row>
    <row r="19" ht="15.75" customHeight="1">
      <c r="A19" s="8"/>
      <c r="B19" s="51">
        <v>43054.0</v>
      </c>
      <c r="E19" s="9">
        <v>0.0</v>
      </c>
      <c r="F19" s="9">
        <v>18000.0</v>
      </c>
      <c r="G19" s="9">
        <v>1.0</v>
      </c>
      <c r="H19" s="9" t="s">
        <v>67</v>
      </c>
      <c r="I19" s="9" t="s">
        <v>70</v>
      </c>
      <c r="J19" s="9" t="s">
        <v>61</v>
      </c>
      <c r="K19" s="9" t="s">
        <v>60</v>
      </c>
      <c r="L19" s="9" t="s">
        <v>60</v>
      </c>
      <c r="M19" s="9" t="s">
        <v>45</v>
      </c>
      <c r="N19" s="8"/>
      <c r="O19" s="9">
        <v>0.0</v>
      </c>
      <c r="P19" s="9">
        <v>18000.0</v>
      </c>
      <c r="Q19" s="9" t="s">
        <v>71</v>
      </c>
      <c r="R19" s="9" t="s">
        <v>18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43045.0</v>
      </c>
      <c r="E6" s="35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IFERROR(__xludf.DUMMYFUNCTION("""COMPUTED_VALUE"""),"Date")</f>
        <v>Date</v>
      </c>
      <c r="D5" s="27" t="str">
        <f>IFERROR(__xludf.DUMMYFUNCTION("""COMPUTED_VALUE"""),"Currency (Local)")</f>
        <v>Currency (Local)</v>
      </c>
      <c r="E5" s="27" t="str">
        <f>IFERROR(__xludf.DUMMYFUNCTION("""COMPUTED_VALUE"""),"Cash (Local)")</f>
        <v>Cash (Local)</v>
      </c>
      <c r="F5" s="28" t="str">
        <f>IFERROR(__xludf.DUMMYFUNCTION("""COMPUTED_VALUE"""),"Currency (Base)")</f>
        <v>Currency (Base)</v>
      </c>
      <c r="G5" s="27" t="str">
        <f>IFERROR(__xludf.DUMMYFUNCTION("""COMPUTED_VALUE"""),"Cash (Base)")</f>
        <v>Cash (Base)</v>
      </c>
      <c r="H5" s="27" t="str">
        <f>IFERROR(__xludf.DUMMYFUNCTION("""COMPUTED_VALUE"""),"BalanceType")</f>
        <v>BalanceType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54">
        <v>43045.0</v>
      </c>
      <c r="D6" s="11" t="s">
        <v>60</v>
      </c>
      <c r="E6" s="11">
        <v>-112500.0</v>
      </c>
      <c r="F6" s="11" t="s">
        <v>60</v>
      </c>
      <c r="G6" s="11">
        <v>-112500.0</v>
      </c>
      <c r="H6" s="11" t="s">
        <v>77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43055.0</v>
      </c>
      <c r="E6" s="5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43045.0</v>
      </c>
      <c r="E6" s="35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D6" s="9" t="s">
        <v>79</v>
      </c>
      <c r="E6" s="9">
        <v>112500.0</v>
      </c>
      <c r="H6" s="8"/>
      <c r="I6" s="8"/>
      <c r="J6" s="8"/>
      <c r="K6" s="9" t="s">
        <v>60</v>
      </c>
      <c r="L6" s="9" t="s">
        <v>80</v>
      </c>
      <c r="M6" s="8"/>
      <c r="N6" s="8"/>
      <c r="O6" s="8"/>
      <c r="V6" s="9">
        <v>0.0</v>
      </c>
      <c r="AB6" s="9" t="s">
        <v>16</v>
      </c>
      <c r="AE6" s="53">
        <v>43045.0</v>
      </c>
      <c r="AG6" s="9" t="s">
        <v>81</v>
      </c>
    </row>
    <row r="7" ht="15.75" customHeight="1">
      <c r="A7" s="8"/>
      <c r="B7" s="9" t="s">
        <v>18</v>
      </c>
      <c r="D7" s="9" t="s">
        <v>59</v>
      </c>
      <c r="E7" s="9">
        <v>-112500.0</v>
      </c>
      <c r="H7" s="8"/>
      <c r="I7" s="8"/>
      <c r="J7" s="8"/>
      <c r="K7" s="9" t="s">
        <v>60</v>
      </c>
      <c r="L7" s="9" t="s">
        <v>82</v>
      </c>
      <c r="M7" s="8"/>
      <c r="N7" s="8"/>
      <c r="O7" s="8"/>
      <c r="V7" s="9">
        <v>150.0</v>
      </c>
      <c r="AB7" s="9" t="s">
        <v>16</v>
      </c>
      <c r="AE7" s="53">
        <v>43045.0</v>
      </c>
      <c r="AG7" s="9" t="s">
        <v>61</v>
      </c>
    </row>
    <row r="8" ht="15.75" customHeight="1">
      <c r="A8" s="8"/>
      <c r="B8" s="9" t="s">
        <v>18</v>
      </c>
      <c r="D8" s="9" t="s">
        <v>83</v>
      </c>
      <c r="E8" s="9">
        <v>-5000.0</v>
      </c>
      <c r="H8" s="8"/>
      <c r="I8" s="8"/>
      <c r="J8" s="8"/>
      <c r="K8" s="9" t="s">
        <v>60</v>
      </c>
      <c r="L8" s="9" t="s">
        <v>84</v>
      </c>
      <c r="M8" s="8"/>
      <c r="N8" s="8"/>
      <c r="O8" s="8"/>
      <c r="V8" s="9">
        <v>0.0</v>
      </c>
      <c r="AB8" s="9" t="s">
        <v>16</v>
      </c>
      <c r="AE8" s="53">
        <v>43046.0</v>
      </c>
      <c r="AG8" s="9" t="s">
        <v>81</v>
      </c>
    </row>
    <row r="9" ht="15.75" customHeight="1">
      <c r="A9" s="8"/>
      <c r="B9" s="9" t="s">
        <v>18</v>
      </c>
      <c r="D9" s="9" t="s">
        <v>79</v>
      </c>
      <c r="E9" s="9">
        <v>40000.0</v>
      </c>
      <c r="H9" s="8"/>
      <c r="I9" s="8"/>
      <c r="J9" s="8"/>
      <c r="K9" s="9" t="s">
        <v>60</v>
      </c>
      <c r="L9" s="9" t="s">
        <v>80</v>
      </c>
      <c r="M9" s="8"/>
      <c r="N9" s="8"/>
      <c r="O9" s="8"/>
      <c r="V9" s="9">
        <v>0.0</v>
      </c>
      <c r="AB9" s="9" t="s">
        <v>16</v>
      </c>
      <c r="AE9" s="53">
        <v>43046.0</v>
      </c>
      <c r="AG9" s="9" t="s">
        <v>81</v>
      </c>
    </row>
    <row r="10" ht="15.75" customHeight="1">
      <c r="A10" s="8"/>
      <c r="B10" s="9" t="s">
        <v>18</v>
      </c>
      <c r="D10" s="9" t="s">
        <v>85</v>
      </c>
      <c r="E10" s="9">
        <v>-75000.0</v>
      </c>
      <c r="H10" s="8"/>
      <c r="I10" s="8"/>
      <c r="J10" s="8"/>
      <c r="K10" s="9" t="s">
        <v>60</v>
      </c>
      <c r="L10" s="9" t="s">
        <v>86</v>
      </c>
      <c r="M10" s="8"/>
      <c r="N10" s="8"/>
      <c r="O10" s="8"/>
      <c r="V10" s="9">
        <v>0.0</v>
      </c>
      <c r="AB10" s="9" t="s">
        <v>16</v>
      </c>
      <c r="AE10" s="53">
        <v>43046.0</v>
      </c>
      <c r="AG10" s="9" t="s">
        <v>81</v>
      </c>
    </row>
    <row r="11" ht="15.75" customHeight="1">
      <c r="A11" s="8"/>
      <c r="B11" s="9" t="s">
        <v>18</v>
      </c>
      <c r="D11" s="9" t="s">
        <v>79</v>
      </c>
      <c r="E11" s="9">
        <v>-37500.0</v>
      </c>
      <c r="H11" s="8"/>
      <c r="I11" s="8"/>
      <c r="J11" s="8"/>
      <c r="K11" s="9" t="s">
        <v>60</v>
      </c>
      <c r="L11" s="9" t="s">
        <v>86</v>
      </c>
      <c r="M11" s="8"/>
      <c r="N11" s="8"/>
      <c r="O11" s="8"/>
      <c r="V11" s="9">
        <v>0.0</v>
      </c>
      <c r="AB11" s="9" t="s">
        <v>16</v>
      </c>
      <c r="AE11" s="53">
        <v>43046.0</v>
      </c>
      <c r="AG11" s="9" t="s">
        <v>81</v>
      </c>
    </row>
    <row r="12" ht="15.75" customHeight="1">
      <c r="A12" s="8"/>
      <c r="B12" s="9" t="s">
        <v>18</v>
      </c>
      <c r="D12" s="9" t="s">
        <v>59</v>
      </c>
      <c r="E12" s="9">
        <v>70000.0</v>
      </c>
      <c r="H12" s="8"/>
      <c r="I12" s="8"/>
      <c r="J12" s="8"/>
      <c r="K12" s="9" t="s">
        <v>60</v>
      </c>
      <c r="L12" s="9" t="s">
        <v>82</v>
      </c>
      <c r="M12" s="8"/>
      <c r="N12" s="8"/>
      <c r="O12" s="8"/>
      <c r="V12" s="9">
        <v>100.0</v>
      </c>
      <c r="AB12" s="9" t="s">
        <v>16</v>
      </c>
      <c r="AE12" s="53">
        <v>43046.0</v>
      </c>
      <c r="AG12" s="9" t="s">
        <v>61</v>
      </c>
    </row>
    <row r="13" ht="15.75" customHeight="1">
      <c r="A13" s="8"/>
      <c r="B13" s="9" t="s">
        <v>18</v>
      </c>
      <c r="D13" s="9" t="s">
        <v>79</v>
      </c>
      <c r="E13" s="9">
        <v>-37500.0</v>
      </c>
      <c r="H13" s="8"/>
      <c r="I13" s="8"/>
      <c r="J13" s="8"/>
      <c r="K13" s="9" t="s">
        <v>60</v>
      </c>
      <c r="L13" s="9" t="s">
        <v>80</v>
      </c>
      <c r="M13" s="8"/>
      <c r="N13" s="8"/>
      <c r="O13" s="8"/>
      <c r="V13" s="9">
        <v>0.0</v>
      </c>
      <c r="AB13" s="9" t="s">
        <v>16</v>
      </c>
      <c r="AE13" s="53">
        <v>43047.0</v>
      </c>
      <c r="AG13" s="9" t="s">
        <v>81</v>
      </c>
    </row>
    <row r="14" ht="15.75" customHeight="1">
      <c r="A14" s="8"/>
      <c r="B14" s="9" t="s">
        <v>18</v>
      </c>
      <c r="D14" s="9" t="s">
        <v>79</v>
      </c>
      <c r="E14" s="9">
        <v>-40000.0</v>
      </c>
      <c r="H14" s="8"/>
      <c r="I14" s="8"/>
      <c r="J14" s="8"/>
      <c r="K14" s="9" t="s">
        <v>60</v>
      </c>
      <c r="L14" s="9" t="s">
        <v>86</v>
      </c>
      <c r="M14" s="8"/>
      <c r="N14" s="8"/>
      <c r="O14" s="8"/>
      <c r="V14" s="9">
        <v>0.0</v>
      </c>
      <c r="AB14" s="9" t="s">
        <v>16</v>
      </c>
      <c r="AE14" s="53">
        <v>43047.0</v>
      </c>
      <c r="AG14" s="9" t="s">
        <v>81</v>
      </c>
    </row>
    <row r="15" ht="15.75" customHeight="1">
      <c r="A15" s="8"/>
      <c r="B15" s="9" t="s">
        <v>18</v>
      </c>
      <c r="D15" s="9" t="s">
        <v>85</v>
      </c>
      <c r="E15" s="9">
        <v>95000.0</v>
      </c>
      <c r="H15" s="8"/>
      <c r="I15" s="8"/>
      <c r="J15" s="8"/>
      <c r="K15" s="9" t="s">
        <v>60</v>
      </c>
      <c r="L15" s="9" t="s">
        <v>80</v>
      </c>
      <c r="M15" s="8"/>
      <c r="N15" s="8"/>
      <c r="O15" s="8"/>
      <c r="V15" s="9">
        <v>0.0</v>
      </c>
      <c r="AB15" s="9" t="s">
        <v>20</v>
      </c>
      <c r="AE15" s="53">
        <v>43047.0</v>
      </c>
      <c r="AG15" s="9" t="s">
        <v>81</v>
      </c>
    </row>
    <row r="16" ht="15.75" customHeight="1">
      <c r="A16" s="8"/>
      <c r="B16" s="9" t="s">
        <v>18</v>
      </c>
      <c r="D16" s="9" t="s">
        <v>62</v>
      </c>
      <c r="E16" s="9">
        <v>-65000.0</v>
      </c>
      <c r="H16" s="8"/>
      <c r="I16" s="8"/>
      <c r="J16" s="8"/>
      <c r="K16" s="9" t="s">
        <v>60</v>
      </c>
      <c r="L16" s="9" t="s">
        <v>82</v>
      </c>
      <c r="M16" s="8"/>
      <c r="N16" s="8"/>
      <c r="O16" s="8"/>
      <c r="V16" s="9">
        <v>100.0</v>
      </c>
      <c r="AB16" s="9" t="s">
        <v>20</v>
      </c>
      <c r="AE16" s="53">
        <v>43047.0</v>
      </c>
      <c r="AG16" s="9" t="s">
        <v>61</v>
      </c>
    </row>
    <row r="17" ht="15.75" customHeight="1">
      <c r="A17" s="8"/>
      <c r="B17" s="9" t="s">
        <v>18</v>
      </c>
      <c r="D17" s="9" t="s">
        <v>79</v>
      </c>
      <c r="E17" s="9">
        <v>-37500.0</v>
      </c>
      <c r="H17" s="8"/>
      <c r="I17" s="8"/>
      <c r="J17" s="8"/>
      <c r="K17" s="9" t="s">
        <v>60</v>
      </c>
      <c r="L17" s="9" t="s">
        <v>80</v>
      </c>
      <c r="M17" s="8"/>
      <c r="N17" s="8"/>
      <c r="O17" s="8"/>
      <c r="V17" s="9">
        <v>0.0</v>
      </c>
      <c r="AB17" s="9" t="s">
        <v>16</v>
      </c>
      <c r="AE17" s="53">
        <v>43048.0</v>
      </c>
      <c r="AG17" s="9" t="s">
        <v>81</v>
      </c>
    </row>
    <row r="18" ht="15.75" customHeight="1">
      <c r="A18" s="8"/>
      <c r="B18" s="9" t="s">
        <v>18</v>
      </c>
      <c r="D18" s="9" t="s">
        <v>79</v>
      </c>
      <c r="E18" s="9">
        <v>37500.0</v>
      </c>
      <c r="H18" s="8"/>
      <c r="I18" s="8"/>
      <c r="J18" s="8"/>
      <c r="K18" s="9" t="s">
        <v>60</v>
      </c>
      <c r="L18" s="9" t="s">
        <v>86</v>
      </c>
      <c r="M18" s="8"/>
      <c r="N18" s="8"/>
      <c r="O18" s="8"/>
      <c r="V18" s="9">
        <v>0.0</v>
      </c>
      <c r="AB18" s="9" t="s">
        <v>16</v>
      </c>
      <c r="AE18" s="53">
        <v>43048.0</v>
      </c>
      <c r="AG18" s="9" t="s">
        <v>81</v>
      </c>
    </row>
    <row r="19" ht="15.75" customHeight="1">
      <c r="A19" s="8"/>
      <c r="B19" s="9" t="s">
        <v>18</v>
      </c>
      <c r="D19" s="9" t="s">
        <v>85</v>
      </c>
      <c r="E19" s="9">
        <v>205000.0</v>
      </c>
      <c r="H19" s="8"/>
      <c r="I19" s="8"/>
      <c r="J19" s="8"/>
      <c r="K19" s="9" t="s">
        <v>60</v>
      </c>
      <c r="L19" s="9" t="s">
        <v>80</v>
      </c>
      <c r="M19" s="8"/>
      <c r="N19" s="8"/>
      <c r="O19" s="8"/>
      <c r="V19" s="9">
        <v>0.0</v>
      </c>
      <c r="AB19" s="9" t="s">
        <v>20</v>
      </c>
      <c r="AE19" s="53">
        <v>43048.0</v>
      </c>
      <c r="AG19" s="9" t="s">
        <v>81</v>
      </c>
    </row>
    <row r="20" ht="15.75" customHeight="1">
      <c r="A20" s="8"/>
      <c r="B20" s="9" t="s">
        <v>18</v>
      </c>
      <c r="D20" s="9" t="s">
        <v>85</v>
      </c>
      <c r="E20" s="9">
        <v>-95000.0</v>
      </c>
      <c r="H20" s="8"/>
      <c r="I20" s="8"/>
      <c r="J20" s="8"/>
      <c r="K20" s="9" t="s">
        <v>60</v>
      </c>
      <c r="L20" s="9" t="s">
        <v>86</v>
      </c>
      <c r="M20" s="8"/>
      <c r="N20" s="8"/>
      <c r="O20" s="8"/>
      <c r="V20" s="9">
        <v>0.0</v>
      </c>
      <c r="AB20" s="9" t="s">
        <v>20</v>
      </c>
      <c r="AE20" s="53">
        <v>43048.0</v>
      </c>
      <c r="AG20" s="9" t="s">
        <v>81</v>
      </c>
    </row>
    <row r="21" ht="15.75" customHeight="1">
      <c r="A21" s="8"/>
      <c r="B21" s="9" t="s">
        <v>18</v>
      </c>
      <c r="D21" s="9" t="s">
        <v>62</v>
      </c>
      <c r="E21" s="9">
        <v>-60000.0</v>
      </c>
      <c r="H21" s="8"/>
      <c r="I21" s="8"/>
      <c r="J21" s="8"/>
      <c r="K21" s="9" t="s">
        <v>60</v>
      </c>
      <c r="L21" s="9" t="s">
        <v>82</v>
      </c>
      <c r="M21" s="8"/>
      <c r="N21" s="8"/>
      <c r="O21" s="8"/>
      <c r="V21" s="9">
        <v>100.0</v>
      </c>
      <c r="AB21" s="9" t="s">
        <v>20</v>
      </c>
      <c r="AE21" s="53">
        <v>43048.0</v>
      </c>
      <c r="AG21" s="9" t="s">
        <v>61</v>
      </c>
    </row>
    <row r="22" ht="15.75" customHeight="1">
      <c r="A22" s="8"/>
      <c r="B22" s="9" t="s">
        <v>18</v>
      </c>
      <c r="D22" s="9" t="s">
        <v>79</v>
      </c>
      <c r="E22" s="9">
        <v>-37500.0</v>
      </c>
      <c r="H22" s="8"/>
      <c r="I22" s="8"/>
      <c r="J22" s="8"/>
      <c r="K22" s="9" t="s">
        <v>60</v>
      </c>
      <c r="L22" s="9" t="s">
        <v>80</v>
      </c>
      <c r="M22" s="8"/>
      <c r="N22" s="8"/>
      <c r="O22" s="8"/>
      <c r="V22" s="9">
        <v>0.0</v>
      </c>
      <c r="AB22" s="9" t="s">
        <v>16</v>
      </c>
      <c r="AE22" s="51">
        <v>43049.0</v>
      </c>
      <c r="AG22" s="9" t="s">
        <v>81</v>
      </c>
    </row>
    <row r="23" ht="15.75" customHeight="1">
      <c r="A23" s="8"/>
      <c r="B23" s="9" t="s">
        <v>18</v>
      </c>
      <c r="D23" s="9" t="s">
        <v>79</v>
      </c>
      <c r="E23" s="9">
        <v>37500.0</v>
      </c>
      <c r="H23" s="8"/>
      <c r="I23" s="8"/>
      <c r="J23" s="8"/>
      <c r="K23" s="9" t="s">
        <v>60</v>
      </c>
      <c r="L23" s="9" t="s">
        <v>86</v>
      </c>
      <c r="M23" s="8"/>
      <c r="N23" s="8"/>
      <c r="O23" s="8"/>
      <c r="V23" s="9">
        <v>0.0</v>
      </c>
      <c r="AB23" s="9" t="s">
        <v>16</v>
      </c>
      <c r="AE23" s="51">
        <v>43049.0</v>
      </c>
      <c r="AG23" s="9" t="s">
        <v>81</v>
      </c>
    </row>
    <row r="24" ht="15.75" customHeight="1">
      <c r="A24" s="8"/>
      <c r="B24" s="9" t="s">
        <v>18</v>
      </c>
      <c r="D24" s="9" t="s">
        <v>85</v>
      </c>
      <c r="E24" s="9">
        <v>215000.0</v>
      </c>
      <c r="H24" s="8"/>
      <c r="I24" s="8"/>
      <c r="J24" s="8"/>
      <c r="K24" s="9" t="s">
        <v>60</v>
      </c>
      <c r="L24" s="9" t="s">
        <v>80</v>
      </c>
      <c r="M24" s="8"/>
      <c r="N24" s="8"/>
      <c r="O24" s="8"/>
      <c r="V24" s="9">
        <v>0.0</v>
      </c>
      <c r="AB24" s="9" t="s">
        <v>20</v>
      </c>
      <c r="AE24" s="51">
        <v>43049.0</v>
      </c>
      <c r="AG24" s="9" t="s">
        <v>81</v>
      </c>
    </row>
    <row r="25" ht="15.75" customHeight="1">
      <c r="A25" s="8"/>
      <c r="B25" s="9" t="s">
        <v>18</v>
      </c>
      <c r="D25" s="9" t="s">
        <v>85</v>
      </c>
      <c r="E25" s="9">
        <v>-115000.0</v>
      </c>
      <c r="H25" s="8"/>
      <c r="I25" s="8"/>
      <c r="J25" s="8"/>
      <c r="K25" s="9" t="s">
        <v>60</v>
      </c>
      <c r="L25" s="9" t="s">
        <v>80</v>
      </c>
      <c r="M25" s="8"/>
      <c r="N25" s="8"/>
      <c r="O25" s="8"/>
      <c r="V25" s="9">
        <v>0.0</v>
      </c>
      <c r="AB25" s="9" t="s">
        <v>20</v>
      </c>
      <c r="AE25" s="51">
        <v>43049.0</v>
      </c>
      <c r="AG25" s="9" t="s">
        <v>81</v>
      </c>
    </row>
    <row r="26" ht="15.75" customHeight="1">
      <c r="A26" s="8"/>
      <c r="B26" s="9" t="s">
        <v>18</v>
      </c>
      <c r="D26" s="9" t="s">
        <v>85</v>
      </c>
      <c r="E26" s="9">
        <v>-205000.0</v>
      </c>
      <c r="H26" s="8"/>
      <c r="I26" s="8"/>
      <c r="J26" s="8"/>
      <c r="K26" s="9" t="s">
        <v>60</v>
      </c>
      <c r="L26" s="9" t="s">
        <v>86</v>
      </c>
      <c r="M26" s="8"/>
      <c r="N26" s="8"/>
      <c r="O26" s="8"/>
      <c r="V26" s="9">
        <v>0.0</v>
      </c>
      <c r="AB26" s="9" t="s">
        <v>20</v>
      </c>
      <c r="AE26" s="51">
        <v>43049.0</v>
      </c>
      <c r="AG26" s="9" t="s">
        <v>81</v>
      </c>
    </row>
    <row r="27" ht="15.75" customHeight="1">
      <c r="B27" s="9" t="s">
        <v>18</v>
      </c>
      <c r="D27" s="9" t="s">
        <v>62</v>
      </c>
      <c r="E27" s="9">
        <v>55000.0</v>
      </c>
      <c r="K27" s="9" t="s">
        <v>60</v>
      </c>
      <c r="L27" s="9" t="s">
        <v>82</v>
      </c>
      <c r="V27" s="9">
        <v>100.0</v>
      </c>
      <c r="AB27" s="9" t="s">
        <v>20</v>
      </c>
      <c r="AE27" s="51">
        <v>43049.0</v>
      </c>
      <c r="AG27" s="9" t="s">
        <v>61</v>
      </c>
    </row>
    <row r="28" ht="15.75" customHeight="1">
      <c r="B28" s="9" t="s">
        <v>18</v>
      </c>
      <c r="D28" s="9" t="s">
        <v>79</v>
      </c>
      <c r="E28" s="9">
        <v>-37500.0</v>
      </c>
      <c r="K28" s="9" t="s">
        <v>60</v>
      </c>
      <c r="L28" s="9" t="s">
        <v>80</v>
      </c>
      <c r="V28" s="9">
        <v>0.0</v>
      </c>
      <c r="AB28" s="9" t="s">
        <v>16</v>
      </c>
      <c r="AE28" s="51">
        <v>43050.0</v>
      </c>
      <c r="AG28" s="9" t="s">
        <v>81</v>
      </c>
    </row>
    <row r="29" ht="15.75" customHeight="1">
      <c r="B29" s="9" t="s">
        <v>18</v>
      </c>
      <c r="D29" s="9" t="s">
        <v>79</v>
      </c>
      <c r="E29" s="9">
        <v>37500.0</v>
      </c>
      <c r="K29" s="9" t="s">
        <v>60</v>
      </c>
      <c r="L29" s="9" t="s">
        <v>86</v>
      </c>
      <c r="V29" s="9">
        <v>0.0</v>
      </c>
      <c r="AB29" s="9" t="s">
        <v>16</v>
      </c>
      <c r="AE29" s="51">
        <v>43050.0</v>
      </c>
      <c r="AG29" s="9" t="s">
        <v>81</v>
      </c>
    </row>
    <row r="30" ht="15.75" customHeight="1">
      <c r="B30" s="9" t="s">
        <v>18</v>
      </c>
      <c r="D30" s="9" t="s">
        <v>85</v>
      </c>
      <c r="E30" s="9">
        <v>-125000.0</v>
      </c>
      <c r="K30" s="9" t="s">
        <v>60</v>
      </c>
      <c r="L30" s="9" t="s">
        <v>80</v>
      </c>
      <c r="V30" s="9">
        <v>0.0</v>
      </c>
      <c r="AB30" s="9" t="s">
        <v>20</v>
      </c>
      <c r="AE30" s="51">
        <v>43050.0</v>
      </c>
      <c r="AG30" s="9" t="s">
        <v>81</v>
      </c>
    </row>
    <row r="31" ht="15.75" customHeight="1">
      <c r="B31" s="9" t="s">
        <v>18</v>
      </c>
      <c r="D31" s="9" t="s">
        <v>85</v>
      </c>
      <c r="E31" s="9">
        <v>55000.0</v>
      </c>
      <c r="K31" s="9" t="s">
        <v>60</v>
      </c>
      <c r="L31" s="9" t="s">
        <v>80</v>
      </c>
      <c r="V31" s="9">
        <v>0.0</v>
      </c>
      <c r="AB31" s="9" t="s">
        <v>20</v>
      </c>
      <c r="AE31" s="51">
        <v>43050.0</v>
      </c>
      <c r="AG31" s="9" t="s">
        <v>81</v>
      </c>
    </row>
    <row r="32" ht="15.75" customHeight="1">
      <c r="B32" s="9" t="s">
        <v>18</v>
      </c>
      <c r="D32" s="9" t="s">
        <v>85</v>
      </c>
      <c r="E32" s="9">
        <v>-215000.0</v>
      </c>
      <c r="K32" s="9" t="s">
        <v>60</v>
      </c>
      <c r="L32" s="9" t="s">
        <v>86</v>
      </c>
      <c r="V32" s="9">
        <v>0.0</v>
      </c>
      <c r="AB32" s="9" t="s">
        <v>20</v>
      </c>
      <c r="AE32" s="51">
        <v>43050.0</v>
      </c>
      <c r="AG32" s="9" t="s">
        <v>81</v>
      </c>
    </row>
    <row r="33" ht="15.75" customHeight="1">
      <c r="B33" s="9" t="s">
        <v>18</v>
      </c>
      <c r="D33" s="9" t="s">
        <v>85</v>
      </c>
      <c r="E33" s="9">
        <v>115000.0</v>
      </c>
      <c r="K33" s="9" t="s">
        <v>60</v>
      </c>
      <c r="L33" s="9" t="s">
        <v>86</v>
      </c>
      <c r="V33" s="9">
        <v>0.0</v>
      </c>
      <c r="AB33" s="9" t="s">
        <v>20</v>
      </c>
      <c r="AE33" s="51">
        <v>43050.0</v>
      </c>
      <c r="AG33" s="9" t="s">
        <v>81</v>
      </c>
    </row>
    <row r="34" ht="15.75" customHeight="1">
      <c r="B34" s="9" t="s">
        <v>18</v>
      </c>
      <c r="D34" s="9" t="s">
        <v>85</v>
      </c>
      <c r="E34" s="9">
        <v>-125000.0</v>
      </c>
      <c r="K34" s="9" t="s">
        <v>60</v>
      </c>
      <c r="L34" s="9" t="s">
        <v>80</v>
      </c>
      <c r="V34" s="9">
        <v>0.0</v>
      </c>
      <c r="AB34" s="9" t="s">
        <v>20</v>
      </c>
      <c r="AE34" s="51">
        <v>43051.0</v>
      </c>
      <c r="AG34" s="9" t="s">
        <v>81</v>
      </c>
    </row>
    <row r="35" ht="15.75" customHeight="1">
      <c r="B35" s="9" t="s">
        <v>18</v>
      </c>
      <c r="D35" s="9" t="s">
        <v>85</v>
      </c>
      <c r="E35" s="9">
        <v>55000.0</v>
      </c>
      <c r="K35" s="9" t="s">
        <v>60</v>
      </c>
      <c r="L35" s="9" t="s">
        <v>80</v>
      </c>
      <c r="V35" s="9">
        <v>0.0</v>
      </c>
      <c r="AB35" s="9" t="s">
        <v>20</v>
      </c>
      <c r="AE35" s="51">
        <v>43051.0</v>
      </c>
      <c r="AG35" s="9" t="s">
        <v>81</v>
      </c>
    </row>
    <row r="36" ht="15.75" customHeight="1">
      <c r="B36" s="9" t="s">
        <v>18</v>
      </c>
      <c r="D36" s="9" t="s">
        <v>85</v>
      </c>
      <c r="E36" s="9">
        <v>125000.0</v>
      </c>
      <c r="K36" s="9" t="s">
        <v>60</v>
      </c>
      <c r="L36" s="9" t="s">
        <v>86</v>
      </c>
      <c r="V36" s="9">
        <v>0.0</v>
      </c>
      <c r="AB36" s="9" t="s">
        <v>20</v>
      </c>
      <c r="AE36" s="51">
        <v>43051.0</v>
      </c>
      <c r="AG36" s="9" t="s">
        <v>81</v>
      </c>
    </row>
    <row r="37" ht="15.75" customHeight="1">
      <c r="B37" s="9" t="s">
        <v>18</v>
      </c>
      <c r="D37" s="9" t="s">
        <v>85</v>
      </c>
      <c r="E37" s="9">
        <v>-55000.0</v>
      </c>
      <c r="K37" s="9" t="s">
        <v>60</v>
      </c>
      <c r="L37" s="9" t="s">
        <v>86</v>
      </c>
      <c r="V37" s="9">
        <v>0.0</v>
      </c>
      <c r="AB37" s="9" t="s">
        <v>20</v>
      </c>
      <c r="AE37" s="51">
        <v>43051.0</v>
      </c>
      <c r="AG37" s="9" t="s">
        <v>81</v>
      </c>
    </row>
    <row r="38" ht="15.75" customHeight="1">
      <c r="B38" s="9" t="s">
        <v>18</v>
      </c>
      <c r="D38" s="9" t="s">
        <v>79</v>
      </c>
      <c r="E38" s="9">
        <v>-37500.0</v>
      </c>
      <c r="K38" s="9" t="s">
        <v>60</v>
      </c>
      <c r="L38" s="9" t="s">
        <v>80</v>
      </c>
      <c r="V38" s="9">
        <v>0.0</v>
      </c>
      <c r="AB38" s="9" t="s">
        <v>16</v>
      </c>
      <c r="AE38" s="51">
        <v>43051.0</v>
      </c>
      <c r="AG38" s="9" t="s">
        <v>81</v>
      </c>
    </row>
    <row r="39" ht="15.75" customHeight="1">
      <c r="B39" s="9" t="s">
        <v>18</v>
      </c>
      <c r="D39" s="9" t="s">
        <v>79</v>
      </c>
      <c r="E39" s="9">
        <v>37500.0</v>
      </c>
      <c r="K39" s="9" t="s">
        <v>60</v>
      </c>
      <c r="L39" s="9" t="s">
        <v>86</v>
      </c>
      <c r="V39" s="9">
        <v>0.0</v>
      </c>
      <c r="AB39" s="9" t="s">
        <v>16</v>
      </c>
      <c r="AE39" s="51">
        <v>43051.0</v>
      </c>
      <c r="AG39" s="9" t="s">
        <v>81</v>
      </c>
    </row>
    <row r="40" ht="15.75" customHeight="1">
      <c r="B40" s="9" t="s">
        <v>18</v>
      </c>
      <c r="D40" s="9" t="s">
        <v>83</v>
      </c>
      <c r="E40" s="9">
        <v>-22500.0</v>
      </c>
      <c r="K40" s="9" t="s">
        <v>60</v>
      </c>
      <c r="L40" s="9" t="s">
        <v>84</v>
      </c>
      <c r="V40" s="9">
        <v>0.0</v>
      </c>
      <c r="AB40" s="9" t="s">
        <v>16</v>
      </c>
      <c r="AE40" s="51">
        <v>43052.0</v>
      </c>
      <c r="AG40" s="9" t="s">
        <v>81</v>
      </c>
    </row>
    <row r="41" ht="15.75" customHeight="1">
      <c r="B41" s="9" t="s">
        <v>18</v>
      </c>
      <c r="D41" s="9" t="s">
        <v>79</v>
      </c>
      <c r="E41" s="9">
        <v>-15000.0</v>
      </c>
      <c r="K41" s="9" t="s">
        <v>60</v>
      </c>
      <c r="L41" s="9" t="s">
        <v>80</v>
      </c>
      <c r="V41" s="9">
        <v>0.0</v>
      </c>
      <c r="AB41" s="9" t="s">
        <v>16</v>
      </c>
      <c r="AE41" s="51">
        <v>43052.0</v>
      </c>
      <c r="AG41" s="9" t="s">
        <v>81</v>
      </c>
    </row>
    <row r="42" ht="15.75" customHeight="1">
      <c r="B42" s="9" t="s">
        <v>18</v>
      </c>
      <c r="D42" s="9" t="s">
        <v>85</v>
      </c>
      <c r="E42" s="9">
        <v>22500.0</v>
      </c>
      <c r="K42" s="9" t="s">
        <v>60</v>
      </c>
      <c r="L42" s="9" t="s">
        <v>86</v>
      </c>
      <c r="V42" s="9">
        <v>0.0</v>
      </c>
      <c r="AB42" s="9" t="s">
        <v>16</v>
      </c>
      <c r="AE42" s="51">
        <v>43052.0</v>
      </c>
      <c r="AG42" s="9" t="s">
        <v>81</v>
      </c>
    </row>
    <row r="43" ht="15.75" customHeight="1">
      <c r="B43" s="9" t="s">
        <v>18</v>
      </c>
      <c r="D43" s="9" t="s">
        <v>79</v>
      </c>
      <c r="E43" s="9">
        <v>15000.0</v>
      </c>
      <c r="K43" s="9" t="s">
        <v>60</v>
      </c>
      <c r="L43" s="9" t="s">
        <v>86</v>
      </c>
      <c r="V43" s="9">
        <v>0.0</v>
      </c>
      <c r="AB43" s="9" t="s">
        <v>16</v>
      </c>
      <c r="AE43" s="51">
        <v>43052.0</v>
      </c>
      <c r="AG43" s="9" t="s">
        <v>81</v>
      </c>
    </row>
    <row r="44" ht="15.75" customHeight="1">
      <c r="B44" s="9" t="s">
        <v>18</v>
      </c>
      <c r="D44" s="9" t="s">
        <v>83</v>
      </c>
      <c r="E44" s="9">
        <v>-65000.0</v>
      </c>
      <c r="K44" s="9" t="s">
        <v>60</v>
      </c>
      <c r="L44" s="9" t="s">
        <v>84</v>
      </c>
      <c r="V44" s="9">
        <v>0.0</v>
      </c>
      <c r="AB44" s="9" t="s">
        <v>20</v>
      </c>
      <c r="AE44" s="51">
        <v>43052.0</v>
      </c>
      <c r="AG44" s="9" t="s">
        <v>81</v>
      </c>
    </row>
    <row r="45" ht="15.75" customHeight="1">
      <c r="B45" s="9" t="s">
        <v>18</v>
      </c>
      <c r="D45" s="9" t="s">
        <v>85</v>
      </c>
      <c r="E45" s="9">
        <v>-60000.0</v>
      </c>
      <c r="K45" s="9" t="s">
        <v>60</v>
      </c>
      <c r="L45" s="9" t="s">
        <v>80</v>
      </c>
      <c r="V45" s="9">
        <v>0.0</v>
      </c>
      <c r="AB45" s="9" t="s">
        <v>20</v>
      </c>
      <c r="AE45" s="51">
        <v>43052.0</v>
      </c>
      <c r="AG45" s="9" t="s">
        <v>81</v>
      </c>
    </row>
    <row r="46" ht="15.75" customHeight="1">
      <c r="B46" s="9" t="s">
        <v>18</v>
      </c>
      <c r="D46" s="9" t="s">
        <v>85</v>
      </c>
      <c r="E46" s="9">
        <v>55000.0</v>
      </c>
      <c r="K46" s="9" t="s">
        <v>60</v>
      </c>
      <c r="L46" s="9" t="s">
        <v>80</v>
      </c>
      <c r="V46" s="9">
        <v>0.0</v>
      </c>
      <c r="AB46" s="9" t="s">
        <v>20</v>
      </c>
      <c r="AE46" s="51">
        <v>43052.0</v>
      </c>
      <c r="AG46" s="9" t="s">
        <v>81</v>
      </c>
    </row>
    <row r="47" ht="15.75" customHeight="1">
      <c r="B47" s="9" t="s">
        <v>18</v>
      </c>
      <c r="D47" s="9" t="s">
        <v>85</v>
      </c>
      <c r="E47" s="9">
        <v>125000.0</v>
      </c>
      <c r="K47" s="9" t="s">
        <v>60</v>
      </c>
      <c r="L47" s="9" t="s">
        <v>86</v>
      </c>
      <c r="V47" s="9">
        <v>0.0</v>
      </c>
      <c r="AB47" s="9" t="s">
        <v>20</v>
      </c>
      <c r="AE47" s="51">
        <v>43052.0</v>
      </c>
      <c r="AG47" s="9" t="s">
        <v>81</v>
      </c>
    </row>
    <row r="48" ht="15.75" customHeight="1">
      <c r="B48" s="9" t="s">
        <v>18</v>
      </c>
      <c r="D48" s="9" t="s">
        <v>85</v>
      </c>
      <c r="E48" s="9">
        <v>-55000.0</v>
      </c>
      <c r="K48" s="9" t="s">
        <v>60</v>
      </c>
      <c r="L48" s="9" t="s">
        <v>86</v>
      </c>
      <c r="V48" s="9">
        <v>0.0</v>
      </c>
      <c r="AB48" s="9" t="s">
        <v>20</v>
      </c>
      <c r="AE48" s="51">
        <v>43052.0</v>
      </c>
      <c r="AG48" s="9" t="s">
        <v>81</v>
      </c>
    </row>
    <row r="49" ht="15.75" customHeight="1">
      <c r="B49" s="9" t="s">
        <v>18</v>
      </c>
      <c r="D49" s="9" t="s">
        <v>63</v>
      </c>
      <c r="E49" s="9">
        <v>0.0</v>
      </c>
      <c r="K49" s="9" t="s">
        <v>60</v>
      </c>
      <c r="V49" s="9">
        <v>100.0</v>
      </c>
      <c r="AB49" s="9" t="s">
        <v>45</v>
      </c>
      <c r="AE49" s="51">
        <v>43052.0</v>
      </c>
      <c r="AG49" s="9" t="s">
        <v>61</v>
      </c>
    </row>
    <row r="50" ht="15.75" customHeight="1">
      <c r="B50" s="9" t="s">
        <v>18</v>
      </c>
      <c r="D50" s="9" t="s">
        <v>64</v>
      </c>
      <c r="E50" s="9">
        <v>0.0</v>
      </c>
      <c r="K50" s="9" t="s">
        <v>60</v>
      </c>
      <c r="V50" s="9">
        <v>30.0</v>
      </c>
      <c r="AB50" s="9" t="s">
        <v>47</v>
      </c>
      <c r="AE50" s="51">
        <v>43052.0</v>
      </c>
      <c r="AG50" s="9" t="s">
        <v>61</v>
      </c>
    </row>
    <row r="51" ht="15.75" customHeight="1">
      <c r="B51" s="9" t="s">
        <v>18</v>
      </c>
      <c r="D51" s="9" t="s">
        <v>59</v>
      </c>
      <c r="E51" s="9">
        <v>0.0</v>
      </c>
      <c r="K51" s="9" t="s">
        <v>60</v>
      </c>
      <c r="V51" s="9">
        <v>30.0</v>
      </c>
      <c r="AB51" s="9" t="s">
        <v>16</v>
      </c>
      <c r="AE51" s="51">
        <v>43052.0</v>
      </c>
      <c r="AG51" s="9" t="s">
        <v>61</v>
      </c>
    </row>
    <row r="52" ht="15.75" customHeight="1">
      <c r="B52" s="9" t="s">
        <v>18</v>
      </c>
      <c r="D52" s="9" t="s">
        <v>62</v>
      </c>
      <c r="E52" s="9">
        <v>0.0</v>
      </c>
      <c r="K52" s="9" t="s">
        <v>60</v>
      </c>
      <c r="V52" s="9">
        <v>100.0</v>
      </c>
      <c r="AB52" s="9" t="s">
        <v>20</v>
      </c>
      <c r="AE52" s="51">
        <v>43052.0</v>
      </c>
      <c r="AG52" s="9" t="s">
        <v>61</v>
      </c>
    </row>
    <row r="53" ht="15.75" customHeight="1">
      <c r="B53" s="9" t="s">
        <v>18</v>
      </c>
      <c r="D53" s="9" t="s">
        <v>79</v>
      </c>
      <c r="E53" s="9">
        <v>-15000.0</v>
      </c>
      <c r="K53" s="9" t="s">
        <v>60</v>
      </c>
      <c r="L53" s="9" t="s">
        <v>80</v>
      </c>
      <c r="V53" s="9">
        <v>0.0</v>
      </c>
      <c r="AB53" s="9" t="s">
        <v>16</v>
      </c>
      <c r="AE53" s="51">
        <v>43053.0</v>
      </c>
      <c r="AG53" s="9" t="s">
        <v>81</v>
      </c>
    </row>
    <row r="54" ht="15.75" customHeight="1">
      <c r="B54" s="9" t="s">
        <v>18</v>
      </c>
      <c r="D54" s="9" t="s">
        <v>79</v>
      </c>
      <c r="E54" s="9">
        <v>15000.0</v>
      </c>
      <c r="K54" s="9" t="s">
        <v>60</v>
      </c>
      <c r="L54" s="9" t="s">
        <v>86</v>
      </c>
      <c r="V54" s="9">
        <v>0.0</v>
      </c>
      <c r="AB54" s="9" t="s">
        <v>16</v>
      </c>
      <c r="AE54" s="51">
        <v>43053.0</v>
      </c>
      <c r="AG54" s="9" t="s">
        <v>81</v>
      </c>
    </row>
    <row r="55" ht="15.75" customHeight="1">
      <c r="B55" s="9" t="s">
        <v>18</v>
      </c>
      <c r="D55" s="9" t="s">
        <v>85</v>
      </c>
      <c r="E55" s="9">
        <v>-60000.0</v>
      </c>
      <c r="K55" s="9" t="s">
        <v>60</v>
      </c>
      <c r="L55" s="9" t="s">
        <v>80</v>
      </c>
      <c r="V55" s="9">
        <v>0.0</v>
      </c>
      <c r="AB55" s="9" t="s">
        <v>20</v>
      </c>
      <c r="AE55" s="51">
        <v>43053.0</v>
      </c>
      <c r="AG55" s="9" t="s">
        <v>81</v>
      </c>
    </row>
    <row r="56" ht="15.75" customHeight="1">
      <c r="B56" s="9" t="s">
        <v>18</v>
      </c>
      <c r="D56" s="9" t="s">
        <v>85</v>
      </c>
      <c r="E56" s="9">
        <v>55000.0</v>
      </c>
      <c r="K56" s="9" t="s">
        <v>60</v>
      </c>
      <c r="L56" s="9" t="s">
        <v>80</v>
      </c>
      <c r="V56" s="9">
        <v>0.0</v>
      </c>
      <c r="AB56" s="9" t="s">
        <v>20</v>
      </c>
      <c r="AE56" s="51">
        <v>43053.0</v>
      </c>
      <c r="AG56" s="9" t="s">
        <v>81</v>
      </c>
    </row>
    <row r="57" ht="15.75" customHeight="1">
      <c r="B57" s="9" t="s">
        <v>18</v>
      </c>
      <c r="D57" s="9" t="s">
        <v>85</v>
      </c>
      <c r="E57" s="9">
        <v>60000.0</v>
      </c>
      <c r="K57" s="9" t="s">
        <v>60</v>
      </c>
      <c r="L57" s="9" t="s">
        <v>86</v>
      </c>
      <c r="V57" s="9">
        <v>0.0</v>
      </c>
      <c r="AB57" s="9" t="s">
        <v>20</v>
      </c>
      <c r="AE57" s="51">
        <v>43053.0</v>
      </c>
      <c r="AG57" s="9" t="s">
        <v>81</v>
      </c>
    </row>
    <row r="58" ht="15.75" customHeight="1">
      <c r="B58" s="9" t="s">
        <v>18</v>
      </c>
      <c r="D58" s="9" t="s">
        <v>85</v>
      </c>
      <c r="E58" s="9">
        <v>-55000.0</v>
      </c>
      <c r="K58" s="9" t="s">
        <v>60</v>
      </c>
      <c r="L58" s="9" t="s">
        <v>86</v>
      </c>
      <c r="V58" s="9">
        <v>0.0</v>
      </c>
      <c r="AB58" s="9" t="s">
        <v>20</v>
      </c>
      <c r="AE58" s="51">
        <v>43053.0</v>
      </c>
      <c r="AG58" s="9" t="s">
        <v>81</v>
      </c>
    </row>
    <row r="59" ht="15.75" customHeight="1">
      <c r="B59" s="9" t="s">
        <v>18</v>
      </c>
      <c r="D59" s="9" t="s">
        <v>85</v>
      </c>
      <c r="E59" s="9">
        <v>-42000.0</v>
      </c>
      <c r="K59" s="9" t="s">
        <v>60</v>
      </c>
      <c r="L59" s="9" t="s">
        <v>80</v>
      </c>
      <c r="V59" s="9">
        <v>0.0</v>
      </c>
      <c r="AB59" s="9" t="s">
        <v>20</v>
      </c>
      <c r="AE59" s="51">
        <v>43054.0</v>
      </c>
      <c r="AG59" s="9" t="s">
        <v>81</v>
      </c>
    </row>
    <row r="60" ht="15.75" customHeight="1">
      <c r="B60" s="9" t="s">
        <v>18</v>
      </c>
      <c r="D60" s="9" t="s">
        <v>85</v>
      </c>
      <c r="E60" s="9">
        <v>55000.0</v>
      </c>
      <c r="K60" s="9" t="s">
        <v>60</v>
      </c>
      <c r="L60" s="9" t="s">
        <v>80</v>
      </c>
      <c r="V60" s="9">
        <v>0.0</v>
      </c>
      <c r="AB60" s="9" t="s">
        <v>20</v>
      </c>
      <c r="AE60" s="51">
        <v>43054.0</v>
      </c>
      <c r="AG60" s="9" t="s">
        <v>81</v>
      </c>
    </row>
    <row r="61" ht="15.75" customHeight="1">
      <c r="B61" s="9" t="s">
        <v>18</v>
      </c>
      <c r="D61" s="9" t="s">
        <v>85</v>
      </c>
      <c r="E61" s="9">
        <v>60000.0</v>
      </c>
      <c r="K61" s="9" t="s">
        <v>60</v>
      </c>
      <c r="L61" s="9" t="s">
        <v>86</v>
      </c>
      <c r="V61" s="9">
        <v>0.0</v>
      </c>
      <c r="AB61" s="9" t="s">
        <v>20</v>
      </c>
      <c r="AE61" s="51">
        <v>43054.0</v>
      </c>
      <c r="AG61" s="9" t="s">
        <v>81</v>
      </c>
    </row>
    <row r="62" ht="15.75" customHeight="1">
      <c r="B62" s="9" t="s">
        <v>18</v>
      </c>
      <c r="D62" s="9" t="s">
        <v>85</v>
      </c>
      <c r="E62" s="9">
        <v>-55000.0</v>
      </c>
      <c r="K62" s="9" t="s">
        <v>60</v>
      </c>
      <c r="L62" s="9" t="s">
        <v>86</v>
      </c>
      <c r="V62" s="9">
        <v>0.0</v>
      </c>
      <c r="AB62" s="9" t="s">
        <v>20</v>
      </c>
      <c r="AE62" s="51">
        <v>43054.0</v>
      </c>
      <c r="AG62" s="9" t="s">
        <v>81</v>
      </c>
    </row>
    <row r="63" ht="15.75" customHeight="1">
      <c r="B63" s="9" t="s">
        <v>18</v>
      </c>
      <c r="D63" s="9" t="s">
        <v>79</v>
      </c>
      <c r="E63" s="9">
        <v>-15000.0</v>
      </c>
      <c r="K63" s="9" t="s">
        <v>60</v>
      </c>
      <c r="L63" s="9" t="s">
        <v>80</v>
      </c>
      <c r="V63" s="9">
        <v>0.0</v>
      </c>
      <c r="AB63" s="9" t="s">
        <v>16</v>
      </c>
      <c r="AE63" s="51">
        <v>43054.0</v>
      </c>
      <c r="AG63" s="9" t="s">
        <v>81</v>
      </c>
    </row>
    <row r="64" ht="15.75" customHeight="1">
      <c r="B64" s="9" t="s">
        <v>18</v>
      </c>
      <c r="D64" s="9" t="s">
        <v>79</v>
      </c>
      <c r="E64" s="9">
        <v>15000.0</v>
      </c>
      <c r="K64" s="9" t="s">
        <v>60</v>
      </c>
      <c r="L64" s="9" t="s">
        <v>86</v>
      </c>
      <c r="V64" s="9">
        <v>0.0</v>
      </c>
      <c r="AB64" s="9" t="s">
        <v>16</v>
      </c>
      <c r="AE64" s="51">
        <v>43054.0</v>
      </c>
      <c r="AG64" s="9" t="s">
        <v>81</v>
      </c>
    </row>
    <row r="65" ht="15.75" customHeight="1">
      <c r="B65" s="9" t="s">
        <v>18</v>
      </c>
      <c r="D65" s="9" t="s">
        <v>63</v>
      </c>
      <c r="E65" s="9">
        <v>-18000.0</v>
      </c>
      <c r="K65" s="9" t="s">
        <v>60</v>
      </c>
      <c r="V65" s="9">
        <v>30.0</v>
      </c>
      <c r="AB65" s="9" t="s">
        <v>45</v>
      </c>
      <c r="AE65" s="51">
        <v>43054.0</v>
      </c>
      <c r="AG65" s="9" t="s">
        <v>61</v>
      </c>
    </row>
    <row r="66" ht="15.75" customHeight="1">
      <c r="B66" s="9" t="s">
        <v>18</v>
      </c>
      <c r="D66" s="9" t="s">
        <v>62</v>
      </c>
      <c r="E66" s="9">
        <v>18000.0</v>
      </c>
      <c r="K66" s="9" t="s">
        <v>60</v>
      </c>
      <c r="V66" s="9">
        <v>30.0</v>
      </c>
      <c r="AB66" s="9" t="s">
        <v>20</v>
      </c>
      <c r="AE66" s="51">
        <v>43054.0</v>
      </c>
      <c r="AG66" s="9" t="s">
        <v>61</v>
      </c>
    </row>
    <row r="67" ht="15.75" customHeight="1">
      <c r="B67" s="9" t="s">
        <v>18</v>
      </c>
      <c r="D67" s="9" t="s">
        <v>79</v>
      </c>
      <c r="E67" s="9">
        <v>-15000.0</v>
      </c>
      <c r="K67" s="9" t="s">
        <v>60</v>
      </c>
      <c r="L67" s="9" t="s">
        <v>80</v>
      </c>
      <c r="V67" s="9">
        <v>0.0</v>
      </c>
      <c r="AB67" s="9" t="s">
        <v>16</v>
      </c>
      <c r="AE67" s="51">
        <v>43055.0</v>
      </c>
      <c r="AG67" s="9" t="s">
        <v>81</v>
      </c>
    </row>
    <row r="68" ht="15.75" customHeight="1">
      <c r="B68" s="9" t="s">
        <v>18</v>
      </c>
      <c r="D68" s="9" t="s">
        <v>79</v>
      </c>
      <c r="E68" s="9">
        <v>15000.0</v>
      </c>
      <c r="K68" s="9" t="s">
        <v>60</v>
      </c>
      <c r="L68" s="9" t="s">
        <v>86</v>
      </c>
      <c r="V68" s="9">
        <v>0.0</v>
      </c>
      <c r="AB68" s="9" t="s">
        <v>16</v>
      </c>
      <c r="AE68" s="51">
        <v>43055.0</v>
      </c>
      <c r="AG68" s="9" t="s">
        <v>81</v>
      </c>
    </row>
    <row r="69" ht="15.75" customHeight="1">
      <c r="B69" s="9" t="s">
        <v>18</v>
      </c>
      <c r="D69" s="9" t="s">
        <v>83</v>
      </c>
      <c r="E69" s="9">
        <v>-30000.0</v>
      </c>
      <c r="K69" s="9" t="s">
        <v>60</v>
      </c>
      <c r="L69" s="9" t="s">
        <v>84</v>
      </c>
      <c r="V69" s="9">
        <v>0.0</v>
      </c>
      <c r="AB69" s="9" t="s">
        <v>20</v>
      </c>
      <c r="AE69" s="51">
        <v>43055.0</v>
      </c>
      <c r="AG69" s="9" t="s">
        <v>81</v>
      </c>
    </row>
    <row r="70" ht="15.75" customHeight="1">
      <c r="B70" s="9" t="s">
        <v>18</v>
      </c>
      <c r="D70" s="9" t="s">
        <v>87</v>
      </c>
      <c r="E70" s="9">
        <v>27500.0</v>
      </c>
      <c r="K70" s="9" t="s">
        <v>60</v>
      </c>
      <c r="L70" s="9" t="s">
        <v>84</v>
      </c>
      <c r="V70" s="9">
        <v>0.0</v>
      </c>
      <c r="AB70" s="9" t="s">
        <v>20</v>
      </c>
      <c r="AE70" s="51">
        <v>43055.0</v>
      </c>
      <c r="AG70" s="9" t="s">
        <v>81</v>
      </c>
    </row>
    <row r="71" ht="15.75" customHeight="1">
      <c r="B71" s="9" t="s">
        <v>18</v>
      </c>
      <c r="D71" s="9" t="s">
        <v>85</v>
      </c>
      <c r="E71" s="9">
        <v>-12000.0</v>
      </c>
      <c r="K71" s="9" t="s">
        <v>60</v>
      </c>
      <c r="L71" s="9" t="s">
        <v>80</v>
      </c>
      <c r="V71" s="9">
        <v>0.0</v>
      </c>
      <c r="AB71" s="9" t="s">
        <v>20</v>
      </c>
      <c r="AE71" s="51">
        <v>43055.0</v>
      </c>
      <c r="AG71" s="9" t="s">
        <v>81</v>
      </c>
    </row>
    <row r="72" ht="15.75" customHeight="1">
      <c r="B72" s="9" t="s">
        <v>18</v>
      </c>
      <c r="D72" s="9" t="s">
        <v>85</v>
      </c>
      <c r="E72" s="9">
        <v>27500.0</v>
      </c>
      <c r="K72" s="9" t="s">
        <v>60</v>
      </c>
      <c r="L72" s="9" t="s">
        <v>80</v>
      </c>
      <c r="V72" s="9">
        <v>0.0</v>
      </c>
      <c r="AB72" s="9" t="s">
        <v>20</v>
      </c>
      <c r="AE72" s="51">
        <v>43055.0</v>
      </c>
      <c r="AG72" s="9" t="s">
        <v>81</v>
      </c>
    </row>
    <row r="73" ht="15.75" customHeight="1">
      <c r="B73" s="9" t="s">
        <v>18</v>
      </c>
      <c r="D73" s="9" t="s">
        <v>85</v>
      </c>
      <c r="E73" s="9">
        <v>42000.0</v>
      </c>
      <c r="K73" s="9" t="s">
        <v>60</v>
      </c>
      <c r="L73" s="9" t="s">
        <v>86</v>
      </c>
      <c r="V73" s="9">
        <v>0.0</v>
      </c>
      <c r="AB73" s="9" t="s">
        <v>20</v>
      </c>
      <c r="AE73" s="51">
        <v>43055.0</v>
      </c>
      <c r="AG73" s="9" t="s">
        <v>81</v>
      </c>
    </row>
    <row r="74" ht="15.75" customHeight="1">
      <c r="B74" s="9" t="s">
        <v>18</v>
      </c>
      <c r="D74" s="9" t="s">
        <v>85</v>
      </c>
      <c r="E74" s="9">
        <v>-27500.0</v>
      </c>
      <c r="K74" s="9" t="s">
        <v>60</v>
      </c>
      <c r="L74" s="9" t="s">
        <v>86</v>
      </c>
      <c r="V74" s="9">
        <v>0.0</v>
      </c>
      <c r="AB74" s="9" t="s">
        <v>20</v>
      </c>
      <c r="AE74" s="51">
        <v>43055.0</v>
      </c>
      <c r="AG74" s="9" t="s">
        <v>81</v>
      </c>
    </row>
    <row r="75" ht="15.75" customHeight="1">
      <c r="B75" s="9" t="s">
        <v>18</v>
      </c>
      <c r="D75" s="9" t="s">
        <v>79</v>
      </c>
      <c r="E75" s="9">
        <v>-27500.0</v>
      </c>
      <c r="K75" s="9" t="s">
        <v>60</v>
      </c>
      <c r="L75" s="9" t="s">
        <v>86</v>
      </c>
      <c r="V75" s="9">
        <v>0.0</v>
      </c>
      <c r="AB75" s="9" t="s">
        <v>20</v>
      </c>
      <c r="AE75" s="51">
        <v>43055.0</v>
      </c>
      <c r="AG75" s="9" t="s">
        <v>81</v>
      </c>
    </row>
    <row r="76" ht="15.75" customHeight="1">
      <c r="B76" s="9" t="s">
        <v>18</v>
      </c>
      <c r="D76" s="9" t="s">
        <v>63</v>
      </c>
      <c r="E76" s="9">
        <v>0.0</v>
      </c>
      <c r="K76" s="9" t="s">
        <v>60</v>
      </c>
      <c r="V76" s="9">
        <v>50.0</v>
      </c>
      <c r="AB76" s="9" t="s">
        <v>45</v>
      </c>
      <c r="AE76" s="51">
        <v>43055.0</v>
      </c>
      <c r="AG76" s="9" t="s">
        <v>61</v>
      </c>
    </row>
    <row r="77" ht="15.75" customHeight="1">
      <c r="B77" s="9" t="s">
        <v>18</v>
      </c>
      <c r="D77" s="9" t="s">
        <v>63</v>
      </c>
      <c r="E77" s="9">
        <v>0.0</v>
      </c>
      <c r="K77" s="9" t="s">
        <v>60</v>
      </c>
      <c r="V77" s="9">
        <v>50.0</v>
      </c>
      <c r="AB77" s="9" t="s">
        <v>45</v>
      </c>
      <c r="AE77" s="51">
        <v>43055.0</v>
      </c>
      <c r="AG77" s="9" t="s">
        <v>61</v>
      </c>
    </row>
    <row r="78" ht="15.75" customHeight="1">
      <c r="B78" s="9" t="s">
        <v>18</v>
      </c>
      <c r="D78" s="9" t="s">
        <v>62</v>
      </c>
      <c r="E78" s="9">
        <v>0.0</v>
      </c>
      <c r="K78" s="9" t="s">
        <v>60</v>
      </c>
      <c r="V78" s="9">
        <v>50.0</v>
      </c>
      <c r="AB78" s="9" t="s">
        <v>20</v>
      </c>
      <c r="AE78" s="51">
        <v>43055.0</v>
      </c>
      <c r="AG78" s="9" t="s">
        <v>61</v>
      </c>
    </row>
    <row r="79" ht="15.75" customHeight="1">
      <c r="B79" s="9" t="s">
        <v>18</v>
      </c>
      <c r="D79" s="9" t="s">
        <v>62</v>
      </c>
      <c r="E79" s="9">
        <v>0.0</v>
      </c>
      <c r="K79" s="9" t="s">
        <v>60</v>
      </c>
      <c r="V79" s="9">
        <v>50.0</v>
      </c>
      <c r="AB79" s="9" t="s">
        <v>20</v>
      </c>
      <c r="AE79" s="51">
        <v>43055.0</v>
      </c>
      <c r="AG79" s="9" t="s">
        <v>61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43045.0</v>
      </c>
      <c r="E6" s="35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43047.0</v>
      </c>
      <c r="C6" s="9" t="s">
        <v>18</v>
      </c>
      <c r="D6" s="9" t="s">
        <v>20</v>
      </c>
      <c r="E6" s="9" t="s">
        <v>60</v>
      </c>
      <c r="F6" s="9" t="s">
        <v>90</v>
      </c>
      <c r="G6" s="9">
        <v>95000.0</v>
      </c>
      <c r="H6" s="9">
        <v>0.0</v>
      </c>
      <c r="I6" s="8"/>
      <c r="J6" s="8"/>
      <c r="K6" s="8"/>
      <c r="L6" s="9">
        <v>1.0</v>
      </c>
      <c r="M6" s="9" t="s">
        <v>67</v>
      </c>
      <c r="N6" s="9" t="s">
        <v>68</v>
      </c>
      <c r="O6" s="9" t="s">
        <v>81</v>
      </c>
      <c r="P6" s="9" t="s">
        <v>60</v>
      </c>
      <c r="Q6" s="9" t="s">
        <v>80</v>
      </c>
      <c r="R6" s="9">
        <v>95000.0</v>
      </c>
      <c r="S6" s="9">
        <v>0.0</v>
      </c>
    </row>
    <row r="7" ht="15.75" customHeight="1">
      <c r="A7" s="8"/>
      <c r="B7" s="53">
        <v>43047.0</v>
      </c>
      <c r="C7" s="9" t="s">
        <v>18</v>
      </c>
      <c r="D7" s="9" t="s">
        <v>20</v>
      </c>
      <c r="E7" s="9" t="s">
        <v>60</v>
      </c>
      <c r="F7" s="9" t="s">
        <v>91</v>
      </c>
      <c r="G7" s="9">
        <v>0.0</v>
      </c>
      <c r="H7" s="9">
        <v>95000.0</v>
      </c>
      <c r="I7" s="8"/>
      <c r="J7" s="8"/>
      <c r="K7" s="8"/>
      <c r="L7" s="9">
        <v>1.0</v>
      </c>
      <c r="M7" s="9" t="s">
        <v>67</v>
      </c>
      <c r="N7" s="9" t="s">
        <v>70</v>
      </c>
      <c r="O7" s="9" t="s">
        <v>81</v>
      </c>
      <c r="P7" s="9" t="s">
        <v>60</v>
      </c>
      <c r="Q7" s="9" t="s">
        <v>80</v>
      </c>
      <c r="R7" s="9">
        <v>0.0</v>
      </c>
      <c r="S7" s="9">
        <v>95000.0</v>
      </c>
    </row>
    <row r="8" ht="15.75" customHeight="1">
      <c r="A8" s="8"/>
      <c r="B8" s="53">
        <v>43048.0</v>
      </c>
      <c r="C8" s="9" t="s">
        <v>18</v>
      </c>
      <c r="D8" s="9" t="s">
        <v>20</v>
      </c>
      <c r="E8" s="9" t="s">
        <v>60</v>
      </c>
      <c r="F8" s="9" t="s">
        <v>90</v>
      </c>
      <c r="G8" s="9">
        <v>205000.0</v>
      </c>
      <c r="H8" s="9">
        <v>0.0</v>
      </c>
      <c r="I8" s="8"/>
      <c r="J8" s="8"/>
      <c r="K8" s="8"/>
      <c r="L8" s="9">
        <v>1.0</v>
      </c>
      <c r="M8" s="9" t="s">
        <v>67</v>
      </c>
      <c r="N8" s="9" t="s">
        <v>68</v>
      </c>
      <c r="O8" s="9" t="s">
        <v>81</v>
      </c>
      <c r="P8" s="9" t="s">
        <v>60</v>
      </c>
      <c r="Q8" s="9" t="s">
        <v>80</v>
      </c>
      <c r="R8" s="9">
        <v>205000.0</v>
      </c>
      <c r="S8" s="9">
        <v>0.0</v>
      </c>
    </row>
    <row r="9" ht="15.75" customHeight="1">
      <c r="A9" s="8"/>
      <c r="B9" s="53">
        <v>43048.0</v>
      </c>
      <c r="C9" s="9" t="s">
        <v>18</v>
      </c>
      <c r="D9" s="9" t="s">
        <v>20</v>
      </c>
      <c r="E9" s="9" t="s">
        <v>60</v>
      </c>
      <c r="F9" s="9" t="s">
        <v>91</v>
      </c>
      <c r="G9" s="9">
        <v>0.0</v>
      </c>
      <c r="H9" s="9">
        <v>205000.0</v>
      </c>
      <c r="I9" s="8"/>
      <c r="J9" s="8"/>
      <c r="K9" s="8"/>
      <c r="L9" s="9">
        <v>1.0</v>
      </c>
      <c r="M9" s="9" t="s">
        <v>67</v>
      </c>
      <c r="N9" s="9" t="s">
        <v>70</v>
      </c>
      <c r="O9" s="9" t="s">
        <v>81</v>
      </c>
      <c r="P9" s="9" t="s">
        <v>60</v>
      </c>
      <c r="Q9" s="9" t="s">
        <v>80</v>
      </c>
      <c r="R9" s="9">
        <v>0.0</v>
      </c>
      <c r="S9" s="9">
        <v>205000.0</v>
      </c>
    </row>
    <row r="10" ht="15.75" customHeight="1">
      <c r="A10" s="8"/>
      <c r="B10" s="53">
        <v>43048.0</v>
      </c>
      <c r="C10" s="9" t="s">
        <v>18</v>
      </c>
      <c r="D10" s="9" t="s">
        <v>20</v>
      </c>
      <c r="E10" s="9" t="s">
        <v>60</v>
      </c>
      <c r="F10" s="9" t="s">
        <v>91</v>
      </c>
      <c r="G10" s="9">
        <v>95000.0</v>
      </c>
      <c r="H10" s="9">
        <v>0.0</v>
      </c>
      <c r="I10" s="8"/>
      <c r="J10" s="8"/>
      <c r="K10" s="8"/>
      <c r="L10" s="9">
        <v>1.0</v>
      </c>
      <c r="M10" s="9" t="s">
        <v>67</v>
      </c>
      <c r="N10" s="9" t="s">
        <v>68</v>
      </c>
      <c r="O10" s="9" t="s">
        <v>81</v>
      </c>
      <c r="P10" s="9" t="s">
        <v>60</v>
      </c>
      <c r="Q10" s="9" t="s">
        <v>86</v>
      </c>
      <c r="R10" s="9">
        <v>95000.0</v>
      </c>
      <c r="S10" s="9">
        <v>0.0</v>
      </c>
    </row>
    <row r="11" ht="15.75" customHeight="1">
      <c r="A11" s="8"/>
      <c r="B11" s="53">
        <v>43048.0</v>
      </c>
      <c r="C11" s="9" t="s">
        <v>18</v>
      </c>
      <c r="D11" s="9" t="s">
        <v>20</v>
      </c>
      <c r="E11" s="9" t="s">
        <v>60</v>
      </c>
      <c r="F11" s="9" t="s">
        <v>90</v>
      </c>
      <c r="G11" s="9">
        <v>0.0</v>
      </c>
      <c r="H11" s="9">
        <v>95000.0</v>
      </c>
      <c r="I11" s="8"/>
      <c r="J11" s="8"/>
      <c r="K11" s="8"/>
      <c r="L11" s="9">
        <v>1.0</v>
      </c>
      <c r="M11" s="9" t="s">
        <v>67</v>
      </c>
      <c r="N11" s="9" t="s">
        <v>70</v>
      </c>
      <c r="O11" s="9" t="s">
        <v>81</v>
      </c>
      <c r="P11" s="9" t="s">
        <v>60</v>
      </c>
      <c r="Q11" s="9" t="s">
        <v>86</v>
      </c>
      <c r="R11" s="9">
        <v>0.0</v>
      </c>
      <c r="S11" s="9">
        <v>95000.0</v>
      </c>
    </row>
    <row r="12" ht="15.75" customHeight="1">
      <c r="A12" s="8"/>
      <c r="B12" s="51">
        <v>43049.0</v>
      </c>
      <c r="C12" s="9" t="s">
        <v>18</v>
      </c>
      <c r="D12" s="9" t="s">
        <v>20</v>
      </c>
      <c r="E12" s="9" t="s">
        <v>60</v>
      </c>
      <c r="F12" s="9" t="s">
        <v>90</v>
      </c>
      <c r="G12" s="9">
        <v>215000.0</v>
      </c>
      <c r="H12" s="9">
        <v>0.0</v>
      </c>
      <c r="I12" s="8"/>
      <c r="J12" s="8"/>
      <c r="K12" s="8"/>
      <c r="L12" s="9">
        <v>1.0</v>
      </c>
      <c r="M12" s="9" t="s">
        <v>67</v>
      </c>
      <c r="N12" s="9" t="s">
        <v>68</v>
      </c>
      <c r="O12" s="9" t="s">
        <v>81</v>
      </c>
      <c r="P12" s="9" t="s">
        <v>60</v>
      </c>
      <c r="Q12" s="9" t="s">
        <v>80</v>
      </c>
      <c r="R12" s="9">
        <v>215000.0</v>
      </c>
      <c r="S12" s="9">
        <v>0.0</v>
      </c>
    </row>
    <row r="13" ht="15.75" customHeight="1">
      <c r="A13" s="8"/>
      <c r="B13" s="51">
        <v>43049.0</v>
      </c>
      <c r="C13" s="9" t="s">
        <v>18</v>
      </c>
      <c r="D13" s="9" t="s">
        <v>20</v>
      </c>
      <c r="E13" s="9" t="s">
        <v>60</v>
      </c>
      <c r="F13" s="9" t="s">
        <v>91</v>
      </c>
      <c r="G13" s="9">
        <v>0.0</v>
      </c>
      <c r="H13" s="9">
        <v>215000.0</v>
      </c>
      <c r="I13" s="8"/>
      <c r="J13" s="8"/>
      <c r="K13" s="8"/>
      <c r="L13" s="9">
        <v>1.0</v>
      </c>
      <c r="M13" s="9" t="s">
        <v>67</v>
      </c>
      <c r="N13" s="9" t="s">
        <v>70</v>
      </c>
      <c r="O13" s="9" t="s">
        <v>81</v>
      </c>
      <c r="P13" s="9" t="s">
        <v>60</v>
      </c>
      <c r="Q13" s="9" t="s">
        <v>80</v>
      </c>
      <c r="R13" s="9">
        <v>0.0</v>
      </c>
      <c r="S13" s="9">
        <v>215000.0</v>
      </c>
    </row>
    <row r="14" ht="15.75" customHeight="1">
      <c r="A14" s="8"/>
      <c r="B14" s="51">
        <v>43049.0</v>
      </c>
      <c r="C14" s="9" t="s">
        <v>18</v>
      </c>
      <c r="D14" s="9" t="s">
        <v>20</v>
      </c>
      <c r="E14" s="9" t="s">
        <v>60</v>
      </c>
      <c r="F14" s="9" t="s">
        <v>91</v>
      </c>
      <c r="G14" s="9">
        <v>115000.0</v>
      </c>
      <c r="H14" s="9">
        <v>0.0</v>
      </c>
      <c r="I14" s="8"/>
      <c r="J14" s="8"/>
      <c r="K14" s="8"/>
      <c r="L14" s="9">
        <v>1.0</v>
      </c>
      <c r="M14" s="9" t="s">
        <v>67</v>
      </c>
      <c r="N14" s="9" t="s">
        <v>68</v>
      </c>
      <c r="O14" s="9" t="s">
        <v>81</v>
      </c>
      <c r="P14" s="9" t="s">
        <v>60</v>
      </c>
      <c r="Q14" s="9" t="s">
        <v>80</v>
      </c>
      <c r="R14" s="9">
        <v>115000.0</v>
      </c>
      <c r="S14" s="9">
        <v>0.0</v>
      </c>
    </row>
    <row r="15" ht="15.75" customHeight="1">
      <c r="A15" s="8"/>
      <c r="B15" s="51">
        <v>43049.0</v>
      </c>
      <c r="C15" s="9" t="s">
        <v>18</v>
      </c>
      <c r="D15" s="9" t="s">
        <v>20</v>
      </c>
      <c r="E15" s="9" t="s">
        <v>60</v>
      </c>
      <c r="F15" s="9" t="s">
        <v>90</v>
      </c>
      <c r="G15" s="9">
        <v>0.0</v>
      </c>
      <c r="H15" s="9">
        <v>115000.0</v>
      </c>
      <c r="I15" s="8"/>
      <c r="J15" s="8"/>
      <c r="K15" s="8"/>
      <c r="L15" s="9">
        <v>1.0</v>
      </c>
      <c r="M15" s="9" t="s">
        <v>67</v>
      </c>
      <c r="N15" s="9" t="s">
        <v>70</v>
      </c>
      <c r="O15" s="9" t="s">
        <v>81</v>
      </c>
      <c r="P15" s="9" t="s">
        <v>60</v>
      </c>
      <c r="Q15" s="9" t="s">
        <v>80</v>
      </c>
      <c r="R15" s="9">
        <v>0.0</v>
      </c>
      <c r="S15" s="9">
        <v>115000.0</v>
      </c>
    </row>
    <row r="16" ht="15.75" customHeight="1">
      <c r="A16" s="8"/>
      <c r="B16" s="51">
        <v>43049.0</v>
      </c>
      <c r="C16" s="9" t="s">
        <v>18</v>
      </c>
      <c r="D16" s="9" t="s">
        <v>20</v>
      </c>
      <c r="E16" s="9" t="s">
        <v>60</v>
      </c>
      <c r="F16" s="9" t="s">
        <v>91</v>
      </c>
      <c r="G16" s="9">
        <v>205000.0</v>
      </c>
      <c r="H16" s="9">
        <v>0.0</v>
      </c>
      <c r="I16" s="8"/>
      <c r="J16" s="8"/>
      <c r="K16" s="8"/>
      <c r="L16" s="9">
        <v>1.0</v>
      </c>
      <c r="M16" s="9" t="s">
        <v>67</v>
      </c>
      <c r="N16" s="9" t="s">
        <v>68</v>
      </c>
      <c r="O16" s="9" t="s">
        <v>81</v>
      </c>
      <c r="P16" s="9" t="s">
        <v>60</v>
      </c>
      <c r="Q16" s="9" t="s">
        <v>86</v>
      </c>
      <c r="R16" s="9">
        <v>205000.0</v>
      </c>
      <c r="S16" s="9">
        <v>0.0</v>
      </c>
    </row>
    <row r="17" ht="15.75" customHeight="1">
      <c r="A17" s="8"/>
      <c r="B17" s="51">
        <v>43049.0</v>
      </c>
      <c r="C17" s="9" t="s">
        <v>18</v>
      </c>
      <c r="D17" s="9" t="s">
        <v>20</v>
      </c>
      <c r="E17" s="9" t="s">
        <v>60</v>
      </c>
      <c r="F17" s="9" t="s">
        <v>90</v>
      </c>
      <c r="G17" s="9">
        <v>0.0</v>
      </c>
      <c r="H17" s="9">
        <v>205000.0</v>
      </c>
      <c r="I17" s="8"/>
      <c r="J17" s="8"/>
      <c r="K17" s="8"/>
      <c r="L17" s="9">
        <v>1.0</v>
      </c>
      <c r="M17" s="9" t="s">
        <v>67</v>
      </c>
      <c r="N17" s="9" t="s">
        <v>70</v>
      </c>
      <c r="O17" s="9" t="s">
        <v>81</v>
      </c>
      <c r="P17" s="9" t="s">
        <v>60</v>
      </c>
      <c r="Q17" s="9" t="s">
        <v>86</v>
      </c>
      <c r="R17" s="9">
        <v>0.0</v>
      </c>
      <c r="S17" s="9">
        <v>205000.0</v>
      </c>
    </row>
    <row r="18" ht="15.75" customHeight="1">
      <c r="A18" s="8"/>
      <c r="B18" s="51">
        <v>43050.0</v>
      </c>
      <c r="C18" s="9" t="s">
        <v>18</v>
      </c>
      <c r="D18" s="9" t="s">
        <v>20</v>
      </c>
      <c r="E18" s="9" t="s">
        <v>60</v>
      </c>
      <c r="F18" s="9" t="s">
        <v>91</v>
      </c>
      <c r="G18" s="9">
        <v>125000.0</v>
      </c>
      <c r="H18" s="9">
        <v>0.0</v>
      </c>
      <c r="I18" s="8"/>
      <c r="J18" s="8"/>
      <c r="K18" s="8"/>
      <c r="L18" s="9">
        <v>1.0</v>
      </c>
      <c r="M18" s="9" t="s">
        <v>67</v>
      </c>
      <c r="N18" s="9" t="s">
        <v>68</v>
      </c>
      <c r="O18" s="9" t="s">
        <v>81</v>
      </c>
      <c r="P18" s="9" t="s">
        <v>60</v>
      </c>
      <c r="Q18" s="9" t="s">
        <v>80</v>
      </c>
      <c r="R18" s="9">
        <v>125000.0</v>
      </c>
      <c r="S18" s="9">
        <v>0.0</v>
      </c>
    </row>
    <row r="19" ht="15.75" customHeight="1">
      <c r="A19" s="8"/>
      <c r="B19" s="51">
        <v>43050.0</v>
      </c>
      <c r="C19" s="9" t="s">
        <v>18</v>
      </c>
      <c r="D19" s="9" t="s">
        <v>20</v>
      </c>
      <c r="E19" s="9" t="s">
        <v>60</v>
      </c>
      <c r="F19" s="9" t="s">
        <v>90</v>
      </c>
      <c r="G19" s="9">
        <v>0.0</v>
      </c>
      <c r="H19" s="9">
        <v>125000.0</v>
      </c>
      <c r="I19" s="8"/>
      <c r="J19" s="8"/>
      <c r="K19" s="8"/>
      <c r="L19" s="9">
        <v>1.0</v>
      </c>
      <c r="M19" s="9" t="s">
        <v>67</v>
      </c>
      <c r="N19" s="9" t="s">
        <v>70</v>
      </c>
      <c r="O19" s="9" t="s">
        <v>81</v>
      </c>
      <c r="P19" s="9" t="s">
        <v>60</v>
      </c>
      <c r="Q19" s="9" t="s">
        <v>80</v>
      </c>
      <c r="R19" s="9">
        <v>0.0</v>
      </c>
      <c r="S19" s="9">
        <v>125000.0</v>
      </c>
    </row>
    <row r="20" ht="15.75" customHeight="1">
      <c r="A20" s="8"/>
      <c r="B20" s="51">
        <v>43050.0</v>
      </c>
      <c r="C20" s="9" t="s">
        <v>18</v>
      </c>
      <c r="D20" s="9" t="s">
        <v>20</v>
      </c>
      <c r="E20" s="9" t="s">
        <v>60</v>
      </c>
      <c r="F20" s="9" t="s">
        <v>90</v>
      </c>
      <c r="G20" s="9">
        <v>55000.0</v>
      </c>
      <c r="H20" s="9">
        <v>0.0</v>
      </c>
      <c r="I20" s="8"/>
      <c r="J20" s="8"/>
      <c r="K20" s="8"/>
      <c r="L20" s="9">
        <v>1.0</v>
      </c>
      <c r="M20" s="9" t="s">
        <v>67</v>
      </c>
      <c r="N20" s="9" t="s">
        <v>68</v>
      </c>
      <c r="O20" s="9" t="s">
        <v>81</v>
      </c>
      <c r="P20" s="9" t="s">
        <v>60</v>
      </c>
      <c r="Q20" s="9" t="s">
        <v>80</v>
      </c>
      <c r="R20" s="9">
        <v>55000.0</v>
      </c>
      <c r="S20" s="9">
        <v>0.0</v>
      </c>
    </row>
    <row r="21" ht="15.75" customHeight="1">
      <c r="A21" s="8"/>
      <c r="B21" s="51">
        <v>43050.0</v>
      </c>
      <c r="C21" s="9" t="s">
        <v>18</v>
      </c>
      <c r="D21" s="9" t="s">
        <v>20</v>
      </c>
      <c r="E21" s="9" t="s">
        <v>60</v>
      </c>
      <c r="F21" s="9" t="s">
        <v>91</v>
      </c>
      <c r="G21" s="9">
        <v>0.0</v>
      </c>
      <c r="H21" s="9">
        <v>55000.0</v>
      </c>
      <c r="I21" s="8"/>
      <c r="J21" s="8"/>
      <c r="K21" s="8"/>
      <c r="L21" s="9">
        <v>1.0</v>
      </c>
      <c r="M21" s="9" t="s">
        <v>67</v>
      </c>
      <c r="N21" s="9" t="s">
        <v>70</v>
      </c>
      <c r="O21" s="9" t="s">
        <v>81</v>
      </c>
      <c r="P21" s="9" t="s">
        <v>60</v>
      </c>
      <c r="Q21" s="9" t="s">
        <v>80</v>
      </c>
      <c r="R21" s="9">
        <v>0.0</v>
      </c>
      <c r="S21" s="9">
        <v>55000.0</v>
      </c>
    </row>
    <row r="22" ht="15.75" customHeight="1">
      <c r="A22" s="8"/>
      <c r="B22" s="51">
        <v>43050.0</v>
      </c>
      <c r="C22" s="9" t="s">
        <v>18</v>
      </c>
      <c r="D22" s="9" t="s">
        <v>20</v>
      </c>
      <c r="E22" s="9" t="s">
        <v>60</v>
      </c>
      <c r="F22" s="9" t="s">
        <v>91</v>
      </c>
      <c r="G22" s="9">
        <v>215000.0</v>
      </c>
      <c r="H22" s="9">
        <v>0.0</v>
      </c>
      <c r="I22" s="8"/>
      <c r="J22" s="8"/>
      <c r="K22" s="8"/>
      <c r="L22" s="9">
        <v>1.0</v>
      </c>
      <c r="M22" s="9" t="s">
        <v>67</v>
      </c>
      <c r="N22" s="9" t="s">
        <v>68</v>
      </c>
      <c r="O22" s="9" t="s">
        <v>81</v>
      </c>
      <c r="P22" s="9" t="s">
        <v>60</v>
      </c>
      <c r="Q22" s="9" t="s">
        <v>86</v>
      </c>
      <c r="R22" s="9">
        <v>215000.0</v>
      </c>
      <c r="S22" s="9">
        <v>0.0</v>
      </c>
    </row>
    <row r="23" ht="15.75" customHeight="1">
      <c r="A23" s="8"/>
      <c r="B23" s="51">
        <v>43050.0</v>
      </c>
      <c r="C23" s="9" t="s">
        <v>18</v>
      </c>
      <c r="D23" s="9" t="s">
        <v>20</v>
      </c>
      <c r="E23" s="9" t="s">
        <v>60</v>
      </c>
      <c r="F23" s="9" t="s">
        <v>90</v>
      </c>
      <c r="G23" s="9">
        <v>0.0</v>
      </c>
      <c r="H23" s="9">
        <v>215000.0</v>
      </c>
      <c r="I23" s="8"/>
      <c r="J23" s="8"/>
      <c r="K23" s="8"/>
      <c r="L23" s="9">
        <v>1.0</v>
      </c>
      <c r="M23" s="9" t="s">
        <v>67</v>
      </c>
      <c r="N23" s="9" t="s">
        <v>70</v>
      </c>
      <c r="O23" s="9" t="s">
        <v>81</v>
      </c>
      <c r="P23" s="9" t="s">
        <v>60</v>
      </c>
      <c r="Q23" s="9" t="s">
        <v>86</v>
      </c>
      <c r="R23" s="9">
        <v>0.0</v>
      </c>
      <c r="S23" s="9">
        <v>215000.0</v>
      </c>
    </row>
    <row r="24" ht="15.75" customHeight="1">
      <c r="A24" s="8"/>
      <c r="B24" s="51">
        <v>43050.0</v>
      </c>
      <c r="C24" s="9" t="s">
        <v>18</v>
      </c>
      <c r="D24" s="9" t="s">
        <v>20</v>
      </c>
      <c r="E24" s="9" t="s">
        <v>60</v>
      </c>
      <c r="F24" s="9" t="s">
        <v>90</v>
      </c>
      <c r="G24" s="9">
        <v>115000.0</v>
      </c>
      <c r="H24" s="9">
        <v>0.0</v>
      </c>
      <c r="I24" s="8"/>
      <c r="J24" s="8"/>
      <c r="K24" s="8"/>
      <c r="L24" s="9">
        <v>1.0</v>
      </c>
      <c r="M24" s="9" t="s">
        <v>67</v>
      </c>
      <c r="N24" s="9" t="s">
        <v>68</v>
      </c>
      <c r="O24" s="9" t="s">
        <v>81</v>
      </c>
      <c r="P24" s="9" t="s">
        <v>60</v>
      </c>
      <c r="Q24" s="9" t="s">
        <v>86</v>
      </c>
      <c r="R24" s="9">
        <v>115000.0</v>
      </c>
      <c r="S24" s="9">
        <v>0.0</v>
      </c>
    </row>
    <row r="25" ht="15.75" customHeight="1">
      <c r="A25" s="8"/>
      <c r="B25" s="51">
        <v>43050.0</v>
      </c>
      <c r="C25" s="9" t="s">
        <v>18</v>
      </c>
      <c r="D25" s="9" t="s">
        <v>20</v>
      </c>
      <c r="E25" s="9" t="s">
        <v>60</v>
      </c>
      <c r="F25" s="9" t="s">
        <v>91</v>
      </c>
      <c r="G25" s="9">
        <v>0.0</v>
      </c>
      <c r="H25" s="9">
        <v>115000.0</v>
      </c>
      <c r="I25" s="8"/>
      <c r="J25" s="8"/>
      <c r="K25" s="8"/>
      <c r="L25" s="9">
        <v>1.0</v>
      </c>
      <c r="M25" s="9" t="s">
        <v>67</v>
      </c>
      <c r="N25" s="9" t="s">
        <v>70</v>
      </c>
      <c r="O25" s="9" t="s">
        <v>81</v>
      </c>
      <c r="P25" s="9" t="s">
        <v>60</v>
      </c>
      <c r="Q25" s="9" t="s">
        <v>86</v>
      </c>
      <c r="R25" s="9">
        <v>0.0</v>
      </c>
      <c r="S25" s="9">
        <v>115000.0</v>
      </c>
    </row>
    <row r="26" ht="15.75" customHeight="1">
      <c r="A26" s="8"/>
      <c r="B26" s="51">
        <v>43051.0</v>
      </c>
      <c r="C26" s="9" t="s">
        <v>18</v>
      </c>
      <c r="D26" s="9" t="s">
        <v>20</v>
      </c>
      <c r="E26" s="9" t="s">
        <v>60</v>
      </c>
      <c r="F26" s="9" t="s">
        <v>91</v>
      </c>
      <c r="G26" s="9">
        <v>125000.0</v>
      </c>
      <c r="H26" s="9">
        <v>0.0</v>
      </c>
      <c r="I26" s="8"/>
      <c r="J26" s="8"/>
      <c r="K26" s="8"/>
      <c r="L26" s="9">
        <v>1.0</v>
      </c>
      <c r="M26" s="9" t="s">
        <v>67</v>
      </c>
      <c r="N26" s="9" t="s">
        <v>68</v>
      </c>
      <c r="O26" s="9" t="s">
        <v>81</v>
      </c>
      <c r="P26" s="9" t="s">
        <v>60</v>
      </c>
      <c r="Q26" s="9" t="s">
        <v>80</v>
      </c>
      <c r="R26" s="9">
        <v>125000.0</v>
      </c>
      <c r="S26" s="9">
        <v>0.0</v>
      </c>
    </row>
    <row r="27" ht="15.75" customHeight="1">
      <c r="B27" s="51">
        <v>43051.0</v>
      </c>
      <c r="C27" s="9" t="s">
        <v>18</v>
      </c>
      <c r="D27" s="9" t="s">
        <v>20</v>
      </c>
      <c r="E27" s="9" t="s">
        <v>60</v>
      </c>
      <c r="F27" s="9" t="s">
        <v>90</v>
      </c>
      <c r="G27" s="9">
        <v>0.0</v>
      </c>
      <c r="H27" s="9">
        <v>125000.0</v>
      </c>
      <c r="L27" s="9">
        <v>1.0</v>
      </c>
      <c r="M27" s="9" t="s">
        <v>67</v>
      </c>
      <c r="N27" s="9" t="s">
        <v>70</v>
      </c>
      <c r="O27" s="9" t="s">
        <v>81</v>
      </c>
      <c r="P27" s="9" t="s">
        <v>60</v>
      </c>
      <c r="Q27" s="9" t="s">
        <v>80</v>
      </c>
      <c r="R27" s="9">
        <v>0.0</v>
      </c>
      <c r="S27" s="9">
        <v>125000.0</v>
      </c>
    </row>
    <row r="28" ht="15.75" customHeight="1">
      <c r="B28" s="51">
        <v>43051.0</v>
      </c>
      <c r="C28" s="9" t="s">
        <v>18</v>
      </c>
      <c r="D28" s="9" t="s">
        <v>20</v>
      </c>
      <c r="E28" s="9" t="s">
        <v>60</v>
      </c>
      <c r="F28" s="9" t="s">
        <v>90</v>
      </c>
      <c r="G28" s="9">
        <v>55000.0</v>
      </c>
      <c r="H28" s="9">
        <v>0.0</v>
      </c>
      <c r="L28" s="9">
        <v>1.0</v>
      </c>
      <c r="M28" s="9" t="s">
        <v>67</v>
      </c>
      <c r="N28" s="9" t="s">
        <v>68</v>
      </c>
      <c r="O28" s="9" t="s">
        <v>81</v>
      </c>
      <c r="P28" s="9" t="s">
        <v>60</v>
      </c>
      <c r="Q28" s="9" t="s">
        <v>80</v>
      </c>
      <c r="R28" s="9">
        <v>55000.0</v>
      </c>
      <c r="S28" s="9">
        <v>0.0</v>
      </c>
    </row>
    <row r="29" ht="15.75" customHeight="1">
      <c r="B29" s="51">
        <v>43051.0</v>
      </c>
      <c r="C29" s="9" t="s">
        <v>18</v>
      </c>
      <c r="D29" s="9" t="s">
        <v>20</v>
      </c>
      <c r="E29" s="9" t="s">
        <v>60</v>
      </c>
      <c r="F29" s="9" t="s">
        <v>91</v>
      </c>
      <c r="G29" s="9">
        <v>0.0</v>
      </c>
      <c r="H29" s="9">
        <v>55000.0</v>
      </c>
      <c r="L29" s="9">
        <v>1.0</v>
      </c>
      <c r="M29" s="9" t="s">
        <v>67</v>
      </c>
      <c r="N29" s="9" t="s">
        <v>70</v>
      </c>
      <c r="O29" s="9" t="s">
        <v>81</v>
      </c>
      <c r="P29" s="9" t="s">
        <v>60</v>
      </c>
      <c r="Q29" s="9" t="s">
        <v>80</v>
      </c>
      <c r="R29" s="9">
        <v>0.0</v>
      </c>
      <c r="S29" s="9">
        <v>55000.0</v>
      </c>
    </row>
    <row r="30" ht="15.75" customHeight="1">
      <c r="B30" s="51">
        <v>43051.0</v>
      </c>
      <c r="C30" s="9" t="s">
        <v>18</v>
      </c>
      <c r="D30" s="9" t="s">
        <v>20</v>
      </c>
      <c r="E30" s="9" t="s">
        <v>60</v>
      </c>
      <c r="F30" s="9" t="s">
        <v>90</v>
      </c>
      <c r="G30" s="9">
        <v>125000.0</v>
      </c>
      <c r="H30" s="9">
        <v>0.0</v>
      </c>
      <c r="L30" s="9">
        <v>1.0</v>
      </c>
      <c r="M30" s="9" t="s">
        <v>67</v>
      </c>
      <c r="N30" s="9" t="s">
        <v>68</v>
      </c>
      <c r="O30" s="9" t="s">
        <v>81</v>
      </c>
      <c r="P30" s="9" t="s">
        <v>60</v>
      </c>
      <c r="Q30" s="9" t="s">
        <v>86</v>
      </c>
      <c r="R30" s="9">
        <v>125000.0</v>
      </c>
      <c r="S30" s="9">
        <v>0.0</v>
      </c>
    </row>
    <row r="31" ht="15.75" customHeight="1">
      <c r="B31" s="51">
        <v>43051.0</v>
      </c>
      <c r="C31" s="9" t="s">
        <v>18</v>
      </c>
      <c r="D31" s="9" t="s">
        <v>20</v>
      </c>
      <c r="E31" s="9" t="s">
        <v>60</v>
      </c>
      <c r="F31" s="9" t="s">
        <v>91</v>
      </c>
      <c r="G31" s="9">
        <v>0.0</v>
      </c>
      <c r="H31" s="9">
        <v>125000.0</v>
      </c>
      <c r="L31" s="9">
        <v>1.0</v>
      </c>
      <c r="M31" s="9" t="s">
        <v>67</v>
      </c>
      <c r="N31" s="9" t="s">
        <v>70</v>
      </c>
      <c r="O31" s="9" t="s">
        <v>81</v>
      </c>
      <c r="P31" s="9" t="s">
        <v>60</v>
      </c>
      <c r="Q31" s="9" t="s">
        <v>86</v>
      </c>
      <c r="R31" s="9">
        <v>0.0</v>
      </c>
      <c r="S31" s="9">
        <v>125000.0</v>
      </c>
    </row>
    <row r="32" ht="15.75" customHeight="1">
      <c r="B32" s="51">
        <v>43051.0</v>
      </c>
      <c r="C32" s="9" t="s">
        <v>18</v>
      </c>
      <c r="D32" s="9" t="s">
        <v>20</v>
      </c>
      <c r="E32" s="9" t="s">
        <v>60</v>
      </c>
      <c r="F32" s="9" t="s">
        <v>91</v>
      </c>
      <c r="G32" s="9">
        <v>55000.0</v>
      </c>
      <c r="H32" s="9">
        <v>0.0</v>
      </c>
      <c r="L32" s="9">
        <v>1.0</v>
      </c>
      <c r="M32" s="9" t="s">
        <v>67</v>
      </c>
      <c r="N32" s="9" t="s">
        <v>68</v>
      </c>
      <c r="O32" s="9" t="s">
        <v>81</v>
      </c>
      <c r="P32" s="9" t="s">
        <v>60</v>
      </c>
      <c r="Q32" s="9" t="s">
        <v>86</v>
      </c>
      <c r="R32" s="9">
        <v>55000.0</v>
      </c>
      <c r="S32" s="9">
        <v>0.0</v>
      </c>
    </row>
    <row r="33" ht="15.75" customHeight="1">
      <c r="B33" s="51">
        <v>43051.0</v>
      </c>
      <c r="C33" s="9" t="s">
        <v>18</v>
      </c>
      <c r="D33" s="9" t="s">
        <v>20</v>
      </c>
      <c r="E33" s="9" t="s">
        <v>60</v>
      </c>
      <c r="F33" s="9" t="s">
        <v>90</v>
      </c>
      <c r="G33" s="9">
        <v>0.0</v>
      </c>
      <c r="H33" s="9">
        <v>55000.0</v>
      </c>
      <c r="L33" s="9">
        <v>1.0</v>
      </c>
      <c r="M33" s="9" t="s">
        <v>67</v>
      </c>
      <c r="N33" s="9" t="s">
        <v>70</v>
      </c>
      <c r="O33" s="9" t="s">
        <v>81</v>
      </c>
      <c r="P33" s="9" t="s">
        <v>60</v>
      </c>
      <c r="Q33" s="9" t="s">
        <v>86</v>
      </c>
      <c r="R33" s="9">
        <v>0.0</v>
      </c>
      <c r="S33" s="9">
        <v>55000.0</v>
      </c>
    </row>
    <row r="34" ht="15.75" customHeight="1">
      <c r="B34" s="51">
        <v>43052.0</v>
      </c>
      <c r="C34" s="9" t="s">
        <v>18</v>
      </c>
      <c r="D34" s="9" t="s">
        <v>20</v>
      </c>
      <c r="E34" s="9" t="s">
        <v>60</v>
      </c>
      <c r="F34" s="9" t="s">
        <v>92</v>
      </c>
      <c r="G34" s="9">
        <v>65000.0</v>
      </c>
      <c r="H34" s="9">
        <v>0.0</v>
      </c>
      <c r="L34" s="9">
        <v>1.0</v>
      </c>
      <c r="M34" s="9" t="s">
        <v>67</v>
      </c>
      <c r="N34" s="9" t="s">
        <v>68</v>
      </c>
      <c r="O34" s="9" t="s">
        <v>81</v>
      </c>
      <c r="P34" s="9" t="s">
        <v>60</v>
      </c>
      <c r="Q34" s="9" t="s">
        <v>84</v>
      </c>
      <c r="R34" s="9">
        <v>65000.0</v>
      </c>
      <c r="S34" s="9">
        <v>0.0</v>
      </c>
    </row>
    <row r="35" ht="15.75" customHeight="1">
      <c r="B35" s="51">
        <v>43052.0</v>
      </c>
      <c r="C35" s="9" t="s">
        <v>18</v>
      </c>
      <c r="D35" s="9" t="s">
        <v>20</v>
      </c>
      <c r="E35" s="9" t="s">
        <v>60</v>
      </c>
      <c r="F35" s="9" t="s">
        <v>72</v>
      </c>
      <c r="G35" s="9">
        <v>0.0</v>
      </c>
      <c r="H35" s="9">
        <v>65000.0</v>
      </c>
      <c r="L35" s="9">
        <v>1.0</v>
      </c>
      <c r="M35" s="9" t="s">
        <v>67</v>
      </c>
      <c r="N35" s="9" t="s">
        <v>70</v>
      </c>
      <c r="O35" s="9" t="s">
        <v>81</v>
      </c>
      <c r="P35" s="9" t="s">
        <v>60</v>
      </c>
      <c r="Q35" s="9" t="s">
        <v>84</v>
      </c>
      <c r="R35" s="9">
        <v>0.0</v>
      </c>
      <c r="S35" s="9">
        <v>65000.0</v>
      </c>
    </row>
    <row r="36" ht="15.75" customHeight="1">
      <c r="B36" s="51">
        <v>43052.0</v>
      </c>
      <c r="C36" s="9" t="s">
        <v>18</v>
      </c>
      <c r="D36" s="9" t="s">
        <v>20</v>
      </c>
      <c r="E36" s="9" t="s">
        <v>60</v>
      </c>
      <c r="F36" s="9" t="s">
        <v>91</v>
      </c>
      <c r="G36" s="9">
        <v>60000.0</v>
      </c>
      <c r="H36" s="9">
        <v>0.0</v>
      </c>
      <c r="L36" s="9">
        <v>1.0</v>
      </c>
      <c r="M36" s="9" t="s">
        <v>67</v>
      </c>
      <c r="N36" s="9" t="s">
        <v>68</v>
      </c>
      <c r="O36" s="9" t="s">
        <v>81</v>
      </c>
      <c r="P36" s="9" t="s">
        <v>60</v>
      </c>
      <c r="Q36" s="9" t="s">
        <v>80</v>
      </c>
      <c r="R36" s="9">
        <v>60000.0</v>
      </c>
      <c r="S36" s="9">
        <v>0.0</v>
      </c>
    </row>
    <row r="37" ht="15.75" customHeight="1">
      <c r="B37" s="51">
        <v>43052.0</v>
      </c>
      <c r="C37" s="9" t="s">
        <v>18</v>
      </c>
      <c r="D37" s="9" t="s">
        <v>20</v>
      </c>
      <c r="E37" s="9" t="s">
        <v>60</v>
      </c>
      <c r="F37" s="9" t="s">
        <v>90</v>
      </c>
      <c r="G37" s="9">
        <v>0.0</v>
      </c>
      <c r="H37" s="9">
        <v>60000.0</v>
      </c>
      <c r="L37" s="9">
        <v>1.0</v>
      </c>
      <c r="M37" s="9" t="s">
        <v>67</v>
      </c>
      <c r="N37" s="9" t="s">
        <v>70</v>
      </c>
      <c r="O37" s="9" t="s">
        <v>81</v>
      </c>
      <c r="P37" s="9" t="s">
        <v>60</v>
      </c>
      <c r="Q37" s="9" t="s">
        <v>80</v>
      </c>
      <c r="R37" s="9">
        <v>0.0</v>
      </c>
      <c r="S37" s="9">
        <v>60000.0</v>
      </c>
    </row>
    <row r="38" ht="15.75" customHeight="1">
      <c r="B38" s="51">
        <v>43052.0</v>
      </c>
      <c r="C38" s="9" t="s">
        <v>18</v>
      </c>
      <c r="D38" s="9" t="s">
        <v>20</v>
      </c>
      <c r="E38" s="9" t="s">
        <v>60</v>
      </c>
      <c r="F38" s="9" t="s">
        <v>90</v>
      </c>
      <c r="G38" s="9">
        <v>55000.0</v>
      </c>
      <c r="H38" s="9">
        <v>0.0</v>
      </c>
      <c r="L38" s="9">
        <v>1.0</v>
      </c>
      <c r="M38" s="9" t="s">
        <v>67</v>
      </c>
      <c r="N38" s="9" t="s">
        <v>68</v>
      </c>
      <c r="O38" s="9" t="s">
        <v>81</v>
      </c>
      <c r="P38" s="9" t="s">
        <v>60</v>
      </c>
      <c r="Q38" s="9" t="s">
        <v>80</v>
      </c>
      <c r="R38" s="9">
        <v>55000.0</v>
      </c>
      <c r="S38" s="9">
        <v>0.0</v>
      </c>
    </row>
    <row r="39" ht="15.75" customHeight="1">
      <c r="B39" s="51">
        <v>43052.0</v>
      </c>
      <c r="C39" s="9" t="s">
        <v>18</v>
      </c>
      <c r="D39" s="9" t="s">
        <v>20</v>
      </c>
      <c r="E39" s="9" t="s">
        <v>60</v>
      </c>
      <c r="F39" s="9" t="s">
        <v>91</v>
      </c>
      <c r="G39" s="9">
        <v>0.0</v>
      </c>
      <c r="H39" s="9">
        <v>55000.0</v>
      </c>
      <c r="L39" s="9">
        <v>1.0</v>
      </c>
      <c r="M39" s="9" t="s">
        <v>67</v>
      </c>
      <c r="N39" s="9" t="s">
        <v>70</v>
      </c>
      <c r="O39" s="9" t="s">
        <v>81</v>
      </c>
      <c r="P39" s="9" t="s">
        <v>60</v>
      </c>
      <c r="Q39" s="9" t="s">
        <v>80</v>
      </c>
      <c r="R39" s="9">
        <v>0.0</v>
      </c>
      <c r="S39" s="9">
        <v>55000.0</v>
      </c>
    </row>
    <row r="40" ht="15.75" customHeight="1">
      <c r="B40" s="51">
        <v>43052.0</v>
      </c>
      <c r="C40" s="9" t="s">
        <v>18</v>
      </c>
      <c r="D40" s="9" t="s">
        <v>20</v>
      </c>
      <c r="E40" s="9" t="s">
        <v>60</v>
      </c>
      <c r="F40" s="9" t="s">
        <v>90</v>
      </c>
      <c r="G40" s="9">
        <v>125000.0</v>
      </c>
      <c r="H40" s="9">
        <v>0.0</v>
      </c>
      <c r="L40" s="9">
        <v>1.0</v>
      </c>
      <c r="M40" s="9" t="s">
        <v>67</v>
      </c>
      <c r="N40" s="9" t="s">
        <v>68</v>
      </c>
      <c r="O40" s="9" t="s">
        <v>81</v>
      </c>
      <c r="P40" s="9" t="s">
        <v>60</v>
      </c>
      <c r="Q40" s="9" t="s">
        <v>86</v>
      </c>
      <c r="R40" s="9">
        <v>125000.0</v>
      </c>
      <c r="S40" s="9">
        <v>0.0</v>
      </c>
    </row>
    <row r="41" ht="15.75" customHeight="1">
      <c r="B41" s="51">
        <v>43052.0</v>
      </c>
      <c r="C41" s="9" t="s">
        <v>18</v>
      </c>
      <c r="D41" s="9" t="s">
        <v>20</v>
      </c>
      <c r="E41" s="9" t="s">
        <v>60</v>
      </c>
      <c r="F41" s="9" t="s">
        <v>91</v>
      </c>
      <c r="G41" s="9">
        <v>0.0</v>
      </c>
      <c r="H41" s="9">
        <v>125000.0</v>
      </c>
      <c r="L41" s="9">
        <v>1.0</v>
      </c>
      <c r="M41" s="9" t="s">
        <v>67</v>
      </c>
      <c r="N41" s="9" t="s">
        <v>70</v>
      </c>
      <c r="O41" s="9" t="s">
        <v>81</v>
      </c>
      <c r="P41" s="9" t="s">
        <v>60</v>
      </c>
      <c r="Q41" s="9" t="s">
        <v>86</v>
      </c>
      <c r="R41" s="9">
        <v>0.0</v>
      </c>
      <c r="S41" s="9">
        <v>125000.0</v>
      </c>
    </row>
    <row r="42" ht="15.75" customHeight="1">
      <c r="B42" s="51">
        <v>43052.0</v>
      </c>
      <c r="C42" s="9" t="s">
        <v>18</v>
      </c>
      <c r="D42" s="9" t="s">
        <v>20</v>
      </c>
      <c r="E42" s="9" t="s">
        <v>60</v>
      </c>
      <c r="F42" s="9" t="s">
        <v>91</v>
      </c>
      <c r="G42" s="9">
        <v>55000.0</v>
      </c>
      <c r="H42" s="9">
        <v>0.0</v>
      </c>
      <c r="L42" s="9">
        <v>1.0</v>
      </c>
      <c r="M42" s="9" t="s">
        <v>67</v>
      </c>
      <c r="N42" s="9" t="s">
        <v>68</v>
      </c>
      <c r="O42" s="9" t="s">
        <v>81</v>
      </c>
      <c r="P42" s="9" t="s">
        <v>60</v>
      </c>
      <c r="Q42" s="9" t="s">
        <v>86</v>
      </c>
      <c r="R42" s="9">
        <v>55000.0</v>
      </c>
      <c r="S42" s="9">
        <v>0.0</v>
      </c>
    </row>
    <row r="43" ht="15.75" customHeight="1">
      <c r="B43" s="51">
        <v>43052.0</v>
      </c>
      <c r="C43" s="9" t="s">
        <v>18</v>
      </c>
      <c r="D43" s="9" t="s">
        <v>20</v>
      </c>
      <c r="E43" s="9" t="s">
        <v>60</v>
      </c>
      <c r="F43" s="9" t="s">
        <v>90</v>
      </c>
      <c r="G43" s="9">
        <v>0.0</v>
      </c>
      <c r="H43" s="9">
        <v>55000.0</v>
      </c>
      <c r="L43" s="9">
        <v>1.0</v>
      </c>
      <c r="M43" s="9" t="s">
        <v>67</v>
      </c>
      <c r="N43" s="9" t="s">
        <v>70</v>
      </c>
      <c r="O43" s="9" t="s">
        <v>81</v>
      </c>
      <c r="P43" s="9" t="s">
        <v>60</v>
      </c>
      <c r="Q43" s="9" t="s">
        <v>86</v>
      </c>
      <c r="R43" s="9">
        <v>0.0</v>
      </c>
      <c r="S43" s="9">
        <v>55000.0</v>
      </c>
    </row>
    <row r="44" ht="15.75" customHeight="1">
      <c r="B44" s="51">
        <v>43053.0</v>
      </c>
      <c r="C44" s="9" t="s">
        <v>18</v>
      </c>
      <c r="D44" s="9" t="s">
        <v>20</v>
      </c>
      <c r="E44" s="9" t="s">
        <v>60</v>
      </c>
      <c r="F44" s="9" t="s">
        <v>91</v>
      </c>
      <c r="G44" s="9">
        <v>60000.0</v>
      </c>
      <c r="H44" s="9">
        <v>0.0</v>
      </c>
      <c r="L44" s="9">
        <v>1.0</v>
      </c>
      <c r="M44" s="9" t="s">
        <v>67</v>
      </c>
      <c r="N44" s="9" t="s">
        <v>68</v>
      </c>
      <c r="O44" s="9" t="s">
        <v>81</v>
      </c>
      <c r="P44" s="9" t="s">
        <v>60</v>
      </c>
      <c r="Q44" s="9" t="s">
        <v>80</v>
      </c>
      <c r="R44" s="9">
        <v>60000.0</v>
      </c>
      <c r="S44" s="9">
        <v>0.0</v>
      </c>
    </row>
    <row r="45" ht="15.75" customHeight="1">
      <c r="B45" s="51">
        <v>43053.0</v>
      </c>
      <c r="C45" s="9" t="s">
        <v>18</v>
      </c>
      <c r="D45" s="9" t="s">
        <v>20</v>
      </c>
      <c r="E45" s="9" t="s">
        <v>60</v>
      </c>
      <c r="F45" s="9" t="s">
        <v>90</v>
      </c>
      <c r="G45" s="9">
        <v>0.0</v>
      </c>
      <c r="H45" s="9">
        <v>60000.0</v>
      </c>
      <c r="L45" s="9">
        <v>1.0</v>
      </c>
      <c r="M45" s="9" t="s">
        <v>67</v>
      </c>
      <c r="N45" s="9" t="s">
        <v>70</v>
      </c>
      <c r="O45" s="9" t="s">
        <v>81</v>
      </c>
      <c r="P45" s="9" t="s">
        <v>60</v>
      </c>
      <c r="Q45" s="9" t="s">
        <v>80</v>
      </c>
      <c r="R45" s="9">
        <v>0.0</v>
      </c>
      <c r="S45" s="9">
        <v>60000.0</v>
      </c>
    </row>
    <row r="46" ht="15.75" customHeight="1">
      <c r="B46" s="51">
        <v>43053.0</v>
      </c>
      <c r="C46" s="9" t="s">
        <v>18</v>
      </c>
      <c r="D46" s="9" t="s">
        <v>20</v>
      </c>
      <c r="E46" s="9" t="s">
        <v>60</v>
      </c>
      <c r="F46" s="9" t="s">
        <v>90</v>
      </c>
      <c r="G46" s="9">
        <v>55000.0</v>
      </c>
      <c r="H46" s="9">
        <v>0.0</v>
      </c>
      <c r="L46" s="9">
        <v>1.0</v>
      </c>
      <c r="M46" s="9" t="s">
        <v>67</v>
      </c>
      <c r="N46" s="9" t="s">
        <v>68</v>
      </c>
      <c r="O46" s="9" t="s">
        <v>81</v>
      </c>
      <c r="P46" s="9" t="s">
        <v>60</v>
      </c>
      <c r="Q46" s="9" t="s">
        <v>80</v>
      </c>
      <c r="R46" s="9">
        <v>55000.0</v>
      </c>
      <c r="S46" s="9">
        <v>0.0</v>
      </c>
    </row>
    <row r="47" ht="15.75" customHeight="1">
      <c r="B47" s="51">
        <v>43053.0</v>
      </c>
      <c r="C47" s="9" t="s">
        <v>18</v>
      </c>
      <c r="D47" s="9" t="s">
        <v>20</v>
      </c>
      <c r="E47" s="9" t="s">
        <v>60</v>
      </c>
      <c r="F47" s="9" t="s">
        <v>91</v>
      </c>
      <c r="G47" s="9">
        <v>0.0</v>
      </c>
      <c r="H47" s="9">
        <v>55000.0</v>
      </c>
      <c r="L47" s="9">
        <v>1.0</v>
      </c>
      <c r="M47" s="9" t="s">
        <v>67</v>
      </c>
      <c r="N47" s="9" t="s">
        <v>70</v>
      </c>
      <c r="O47" s="9" t="s">
        <v>81</v>
      </c>
      <c r="P47" s="9" t="s">
        <v>60</v>
      </c>
      <c r="Q47" s="9" t="s">
        <v>80</v>
      </c>
      <c r="R47" s="9">
        <v>0.0</v>
      </c>
      <c r="S47" s="9">
        <v>55000.0</v>
      </c>
    </row>
    <row r="48" ht="15.75" customHeight="1">
      <c r="B48" s="51">
        <v>43053.0</v>
      </c>
      <c r="C48" s="9" t="s">
        <v>18</v>
      </c>
      <c r="D48" s="9" t="s">
        <v>20</v>
      </c>
      <c r="E48" s="9" t="s">
        <v>60</v>
      </c>
      <c r="F48" s="9" t="s">
        <v>90</v>
      </c>
      <c r="G48" s="9">
        <v>60000.0</v>
      </c>
      <c r="H48" s="9">
        <v>0.0</v>
      </c>
      <c r="L48" s="9">
        <v>1.0</v>
      </c>
      <c r="M48" s="9" t="s">
        <v>67</v>
      </c>
      <c r="N48" s="9" t="s">
        <v>68</v>
      </c>
      <c r="O48" s="9" t="s">
        <v>81</v>
      </c>
      <c r="P48" s="9" t="s">
        <v>60</v>
      </c>
      <c r="Q48" s="9" t="s">
        <v>86</v>
      </c>
      <c r="R48" s="9">
        <v>60000.0</v>
      </c>
      <c r="S48" s="9">
        <v>0.0</v>
      </c>
    </row>
    <row r="49" ht="15.75" customHeight="1">
      <c r="B49" s="51">
        <v>43053.0</v>
      </c>
      <c r="C49" s="9" t="s">
        <v>18</v>
      </c>
      <c r="D49" s="9" t="s">
        <v>20</v>
      </c>
      <c r="E49" s="9" t="s">
        <v>60</v>
      </c>
      <c r="F49" s="9" t="s">
        <v>91</v>
      </c>
      <c r="G49" s="9">
        <v>0.0</v>
      </c>
      <c r="H49" s="9">
        <v>60000.0</v>
      </c>
      <c r="L49" s="9">
        <v>1.0</v>
      </c>
      <c r="M49" s="9" t="s">
        <v>67</v>
      </c>
      <c r="N49" s="9" t="s">
        <v>70</v>
      </c>
      <c r="O49" s="9" t="s">
        <v>81</v>
      </c>
      <c r="P49" s="9" t="s">
        <v>60</v>
      </c>
      <c r="Q49" s="9" t="s">
        <v>86</v>
      </c>
      <c r="R49" s="9">
        <v>0.0</v>
      </c>
      <c r="S49" s="9">
        <v>60000.0</v>
      </c>
    </row>
    <row r="50" ht="15.75" customHeight="1">
      <c r="B50" s="51">
        <v>43053.0</v>
      </c>
      <c r="C50" s="9" t="s">
        <v>18</v>
      </c>
      <c r="D50" s="9" t="s">
        <v>20</v>
      </c>
      <c r="E50" s="9" t="s">
        <v>60</v>
      </c>
      <c r="F50" s="9" t="s">
        <v>91</v>
      </c>
      <c r="G50" s="9">
        <v>55000.0</v>
      </c>
      <c r="H50" s="9">
        <v>0.0</v>
      </c>
      <c r="L50" s="9">
        <v>1.0</v>
      </c>
      <c r="M50" s="9" t="s">
        <v>67</v>
      </c>
      <c r="N50" s="9" t="s">
        <v>68</v>
      </c>
      <c r="O50" s="9" t="s">
        <v>81</v>
      </c>
      <c r="P50" s="9" t="s">
        <v>60</v>
      </c>
      <c r="Q50" s="9" t="s">
        <v>86</v>
      </c>
      <c r="R50" s="9">
        <v>55000.0</v>
      </c>
      <c r="S50" s="9">
        <v>0.0</v>
      </c>
    </row>
    <row r="51" ht="15.75" customHeight="1">
      <c r="B51" s="51">
        <v>43053.0</v>
      </c>
      <c r="C51" s="9" t="s">
        <v>18</v>
      </c>
      <c r="D51" s="9" t="s">
        <v>20</v>
      </c>
      <c r="E51" s="9" t="s">
        <v>60</v>
      </c>
      <c r="F51" s="9" t="s">
        <v>90</v>
      </c>
      <c r="G51" s="9">
        <v>0.0</v>
      </c>
      <c r="H51" s="9">
        <v>55000.0</v>
      </c>
      <c r="L51" s="9">
        <v>1.0</v>
      </c>
      <c r="M51" s="9" t="s">
        <v>67</v>
      </c>
      <c r="N51" s="9" t="s">
        <v>70</v>
      </c>
      <c r="O51" s="9" t="s">
        <v>81</v>
      </c>
      <c r="P51" s="9" t="s">
        <v>60</v>
      </c>
      <c r="Q51" s="9" t="s">
        <v>86</v>
      </c>
      <c r="R51" s="9">
        <v>0.0</v>
      </c>
      <c r="S51" s="9">
        <v>55000.0</v>
      </c>
    </row>
    <row r="52" ht="15.75" customHeight="1">
      <c r="B52" s="51">
        <v>43054.0</v>
      </c>
      <c r="C52" s="9" t="s">
        <v>18</v>
      </c>
      <c r="D52" s="9" t="s">
        <v>20</v>
      </c>
      <c r="E52" s="9" t="s">
        <v>60</v>
      </c>
      <c r="F52" s="9" t="s">
        <v>91</v>
      </c>
      <c r="G52" s="9">
        <v>42000.0</v>
      </c>
      <c r="H52" s="9">
        <v>0.0</v>
      </c>
      <c r="L52" s="9">
        <v>1.0</v>
      </c>
      <c r="M52" s="9" t="s">
        <v>67</v>
      </c>
      <c r="N52" s="9" t="s">
        <v>68</v>
      </c>
      <c r="O52" s="9" t="s">
        <v>81</v>
      </c>
      <c r="P52" s="9" t="s">
        <v>60</v>
      </c>
      <c r="Q52" s="9" t="s">
        <v>80</v>
      </c>
      <c r="R52" s="9">
        <v>42000.0</v>
      </c>
      <c r="S52" s="9">
        <v>0.0</v>
      </c>
    </row>
    <row r="53" ht="15.75" customHeight="1">
      <c r="B53" s="51">
        <v>43054.0</v>
      </c>
      <c r="C53" s="9" t="s">
        <v>18</v>
      </c>
      <c r="D53" s="9" t="s">
        <v>20</v>
      </c>
      <c r="E53" s="9" t="s">
        <v>60</v>
      </c>
      <c r="F53" s="9" t="s">
        <v>90</v>
      </c>
      <c r="G53" s="9">
        <v>0.0</v>
      </c>
      <c r="H53" s="9">
        <v>42000.0</v>
      </c>
      <c r="L53" s="9">
        <v>1.0</v>
      </c>
      <c r="M53" s="9" t="s">
        <v>67</v>
      </c>
      <c r="N53" s="9" t="s">
        <v>70</v>
      </c>
      <c r="O53" s="9" t="s">
        <v>81</v>
      </c>
      <c r="P53" s="9" t="s">
        <v>60</v>
      </c>
      <c r="Q53" s="9" t="s">
        <v>80</v>
      </c>
      <c r="R53" s="9">
        <v>0.0</v>
      </c>
      <c r="S53" s="9">
        <v>42000.0</v>
      </c>
    </row>
    <row r="54" ht="15.75" customHeight="1">
      <c r="B54" s="51">
        <v>43054.0</v>
      </c>
      <c r="C54" s="9" t="s">
        <v>18</v>
      </c>
      <c r="D54" s="9" t="s">
        <v>20</v>
      </c>
      <c r="E54" s="9" t="s">
        <v>60</v>
      </c>
      <c r="F54" s="9" t="s">
        <v>90</v>
      </c>
      <c r="G54" s="9">
        <v>55000.0</v>
      </c>
      <c r="H54" s="9">
        <v>0.0</v>
      </c>
      <c r="L54" s="9">
        <v>1.0</v>
      </c>
      <c r="M54" s="9" t="s">
        <v>67</v>
      </c>
      <c r="N54" s="9" t="s">
        <v>68</v>
      </c>
      <c r="O54" s="9" t="s">
        <v>81</v>
      </c>
      <c r="P54" s="9" t="s">
        <v>60</v>
      </c>
      <c r="Q54" s="9" t="s">
        <v>80</v>
      </c>
      <c r="R54" s="9">
        <v>55000.0</v>
      </c>
      <c r="S54" s="9">
        <v>0.0</v>
      </c>
    </row>
    <row r="55" ht="15.75" customHeight="1">
      <c r="B55" s="51">
        <v>43054.0</v>
      </c>
      <c r="C55" s="9" t="s">
        <v>18</v>
      </c>
      <c r="D55" s="9" t="s">
        <v>20</v>
      </c>
      <c r="E55" s="9" t="s">
        <v>60</v>
      </c>
      <c r="F55" s="9" t="s">
        <v>91</v>
      </c>
      <c r="G55" s="9">
        <v>0.0</v>
      </c>
      <c r="H55" s="9">
        <v>55000.0</v>
      </c>
      <c r="L55" s="9">
        <v>1.0</v>
      </c>
      <c r="M55" s="9" t="s">
        <v>67</v>
      </c>
      <c r="N55" s="9" t="s">
        <v>70</v>
      </c>
      <c r="O55" s="9" t="s">
        <v>81</v>
      </c>
      <c r="P55" s="9" t="s">
        <v>60</v>
      </c>
      <c r="Q55" s="9" t="s">
        <v>80</v>
      </c>
      <c r="R55" s="9">
        <v>0.0</v>
      </c>
      <c r="S55" s="9">
        <v>55000.0</v>
      </c>
    </row>
    <row r="56" ht="15.75" customHeight="1">
      <c r="B56" s="51">
        <v>43054.0</v>
      </c>
      <c r="C56" s="9" t="s">
        <v>18</v>
      </c>
      <c r="D56" s="9" t="s">
        <v>20</v>
      </c>
      <c r="E56" s="9" t="s">
        <v>60</v>
      </c>
      <c r="F56" s="9" t="s">
        <v>90</v>
      </c>
      <c r="G56" s="9">
        <v>60000.0</v>
      </c>
      <c r="H56" s="9">
        <v>0.0</v>
      </c>
      <c r="L56" s="9">
        <v>1.0</v>
      </c>
      <c r="M56" s="9" t="s">
        <v>67</v>
      </c>
      <c r="N56" s="9" t="s">
        <v>68</v>
      </c>
      <c r="O56" s="9" t="s">
        <v>81</v>
      </c>
      <c r="P56" s="9" t="s">
        <v>60</v>
      </c>
      <c r="Q56" s="9" t="s">
        <v>86</v>
      </c>
      <c r="R56" s="9">
        <v>60000.0</v>
      </c>
      <c r="S56" s="9">
        <v>0.0</v>
      </c>
    </row>
    <row r="57" ht="15.75" customHeight="1">
      <c r="B57" s="51">
        <v>43054.0</v>
      </c>
      <c r="C57" s="9" t="s">
        <v>18</v>
      </c>
      <c r="D57" s="9" t="s">
        <v>20</v>
      </c>
      <c r="E57" s="9" t="s">
        <v>60</v>
      </c>
      <c r="F57" s="9" t="s">
        <v>91</v>
      </c>
      <c r="G57" s="9">
        <v>0.0</v>
      </c>
      <c r="H57" s="9">
        <v>60000.0</v>
      </c>
      <c r="L57" s="9">
        <v>1.0</v>
      </c>
      <c r="M57" s="9" t="s">
        <v>67</v>
      </c>
      <c r="N57" s="9" t="s">
        <v>70</v>
      </c>
      <c r="O57" s="9" t="s">
        <v>81</v>
      </c>
      <c r="P57" s="9" t="s">
        <v>60</v>
      </c>
      <c r="Q57" s="9" t="s">
        <v>86</v>
      </c>
      <c r="R57" s="9">
        <v>0.0</v>
      </c>
      <c r="S57" s="9">
        <v>60000.0</v>
      </c>
    </row>
    <row r="58" ht="15.75" customHeight="1">
      <c r="B58" s="51">
        <v>43054.0</v>
      </c>
      <c r="C58" s="9" t="s">
        <v>18</v>
      </c>
      <c r="D58" s="9" t="s">
        <v>20</v>
      </c>
      <c r="E58" s="9" t="s">
        <v>60</v>
      </c>
      <c r="F58" s="9" t="s">
        <v>91</v>
      </c>
      <c r="G58" s="9">
        <v>55000.0</v>
      </c>
      <c r="H58" s="9">
        <v>0.0</v>
      </c>
      <c r="L58" s="9">
        <v>1.0</v>
      </c>
      <c r="M58" s="9" t="s">
        <v>67</v>
      </c>
      <c r="N58" s="9" t="s">
        <v>68</v>
      </c>
      <c r="O58" s="9" t="s">
        <v>81</v>
      </c>
      <c r="P58" s="9" t="s">
        <v>60</v>
      </c>
      <c r="Q58" s="9" t="s">
        <v>86</v>
      </c>
      <c r="R58" s="9">
        <v>55000.0</v>
      </c>
      <c r="S58" s="9">
        <v>0.0</v>
      </c>
    </row>
    <row r="59" ht="15.75" customHeight="1">
      <c r="B59" s="51">
        <v>43054.0</v>
      </c>
      <c r="C59" s="9" t="s">
        <v>18</v>
      </c>
      <c r="D59" s="9" t="s">
        <v>20</v>
      </c>
      <c r="E59" s="9" t="s">
        <v>60</v>
      </c>
      <c r="F59" s="9" t="s">
        <v>90</v>
      </c>
      <c r="G59" s="9">
        <v>0.0</v>
      </c>
      <c r="H59" s="9">
        <v>55000.0</v>
      </c>
      <c r="L59" s="9">
        <v>1.0</v>
      </c>
      <c r="M59" s="9" t="s">
        <v>67</v>
      </c>
      <c r="N59" s="9" t="s">
        <v>70</v>
      </c>
      <c r="O59" s="9" t="s">
        <v>81</v>
      </c>
      <c r="P59" s="9" t="s">
        <v>60</v>
      </c>
      <c r="Q59" s="9" t="s">
        <v>86</v>
      </c>
      <c r="R59" s="9">
        <v>0.0</v>
      </c>
      <c r="S59" s="9">
        <v>55000.0</v>
      </c>
    </row>
    <row r="60" ht="15.75" customHeight="1">
      <c r="B60" s="51">
        <v>43055.0</v>
      </c>
      <c r="C60" s="9" t="s">
        <v>18</v>
      </c>
      <c r="D60" s="9" t="s">
        <v>20</v>
      </c>
      <c r="E60" s="9" t="s">
        <v>60</v>
      </c>
      <c r="F60" s="9" t="s">
        <v>92</v>
      </c>
      <c r="G60" s="9">
        <v>30000.0</v>
      </c>
      <c r="H60" s="9">
        <v>0.0</v>
      </c>
      <c r="L60" s="9">
        <v>1.0</v>
      </c>
      <c r="M60" s="9" t="s">
        <v>67</v>
      </c>
      <c r="N60" s="9" t="s">
        <v>68</v>
      </c>
      <c r="O60" s="9" t="s">
        <v>81</v>
      </c>
      <c r="P60" s="9" t="s">
        <v>60</v>
      </c>
      <c r="Q60" s="9" t="s">
        <v>84</v>
      </c>
      <c r="R60" s="9">
        <v>30000.0</v>
      </c>
      <c r="S60" s="9">
        <v>0.0</v>
      </c>
    </row>
    <row r="61" ht="15.75" customHeight="1">
      <c r="B61" s="51">
        <v>43055.0</v>
      </c>
      <c r="C61" s="9" t="s">
        <v>18</v>
      </c>
      <c r="D61" s="9" t="s">
        <v>20</v>
      </c>
      <c r="E61" s="9" t="s">
        <v>60</v>
      </c>
      <c r="F61" s="9" t="s">
        <v>72</v>
      </c>
      <c r="G61" s="9">
        <v>0.0</v>
      </c>
      <c r="H61" s="9">
        <v>30000.0</v>
      </c>
      <c r="L61" s="9">
        <v>1.0</v>
      </c>
      <c r="M61" s="9" t="s">
        <v>67</v>
      </c>
      <c r="N61" s="9" t="s">
        <v>70</v>
      </c>
      <c r="O61" s="9" t="s">
        <v>81</v>
      </c>
      <c r="P61" s="9" t="s">
        <v>60</v>
      </c>
      <c r="Q61" s="9" t="s">
        <v>84</v>
      </c>
      <c r="R61" s="9">
        <v>0.0</v>
      </c>
      <c r="S61" s="9">
        <v>30000.0</v>
      </c>
    </row>
    <row r="62" ht="15.75" customHeight="1">
      <c r="B62" s="51">
        <v>43055.0</v>
      </c>
      <c r="C62" s="9" t="s">
        <v>18</v>
      </c>
      <c r="D62" s="9" t="s">
        <v>20</v>
      </c>
      <c r="E62" s="9" t="s">
        <v>60</v>
      </c>
      <c r="F62" s="9" t="s">
        <v>69</v>
      </c>
      <c r="G62" s="9">
        <v>27500.0</v>
      </c>
      <c r="H62" s="9">
        <v>0.0</v>
      </c>
      <c r="L62" s="9">
        <v>1.0</v>
      </c>
      <c r="M62" s="9" t="s">
        <v>67</v>
      </c>
      <c r="N62" s="9" t="s">
        <v>68</v>
      </c>
      <c r="O62" s="9" t="s">
        <v>81</v>
      </c>
      <c r="P62" s="9" t="s">
        <v>60</v>
      </c>
      <c r="Q62" s="9" t="s">
        <v>84</v>
      </c>
      <c r="R62" s="9">
        <v>27500.0</v>
      </c>
      <c r="S62" s="9">
        <v>0.0</v>
      </c>
    </row>
    <row r="63" ht="15.75" customHeight="1">
      <c r="B63" s="51">
        <v>43055.0</v>
      </c>
      <c r="C63" s="9" t="s">
        <v>18</v>
      </c>
      <c r="D63" s="9" t="s">
        <v>20</v>
      </c>
      <c r="E63" s="9" t="s">
        <v>60</v>
      </c>
      <c r="F63" s="9" t="s">
        <v>92</v>
      </c>
      <c r="G63" s="9">
        <v>0.0</v>
      </c>
      <c r="H63" s="9">
        <v>27500.0</v>
      </c>
      <c r="L63" s="9">
        <v>1.0</v>
      </c>
      <c r="M63" s="9" t="s">
        <v>67</v>
      </c>
      <c r="N63" s="9" t="s">
        <v>70</v>
      </c>
      <c r="O63" s="9" t="s">
        <v>81</v>
      </c>
      <c r="P63" s="9" t="s">
        <v>60</v>
      </c>
      <c r="Q63" s="9" t="s">
        <v>84</v>
      </c>
      <c r="R63" s="9">
        <v>0.0</v>
      </c>
      <c r="S63" s="9">
        <v>27500.0</v>
      </c>
    </row>
    <row r="64" ht="15.75" customHeight="1">
      <c r="B64" s="51">
        <v>43055.0</v>
      </c>
      <c r="C64" s="9" t="s">
        <v>18</v>
      </c>
      <c r="D64" s="9" t="s">
        <v>20</v>
      </c>
      <c r="E64" s="9" t="s">
        <v>60</v>
      </c>
      <c r="F64" s="9" t="s">
        <v>91</v>
      </c>
      <c r="G64" s="9">
        <v>12000.0</v>
      </c>
      <c r="H64" s="9">
        <v>0.0</v>
      </c>
      <c r="L64" s="9">
        <v>1.0</v>
      </c>
      <c r="M64" s="9" t="s">
        <v>67</v>
      </c>
      <c r="N64" s="9" t="s">
        <v>68</v>
      </c>
      <c r="O64" s="9" t="s">
        <v>81</v>
      </c>
      <c r="P64" s="9" t="s">
        <v>60</v>
      </c>
      <c r="Q64" s="9" t="s">
        <v>80</v>
      </c>
      <c r="R64" s="9">
        <v>12000.0</v>
      </c>
      <c r="S64" s="9">
        <v>0.0</v>
      </c>
    </row>
    <row r="65" ht="15.75" customHeight="1">
      <c r="B65" s="51">
        <v>43055.0</v>
      </c>
      <c r="C65" s="9" t="s">
        <v>18</v>
      </c>
      <c r="D65" s="9" t="s">
        <v>20</v>
      </c>
      <c r="E65" s="9" t="s">
        <v>60</v>
      </c>
      <c r="F65" s="9" t="s">
        <v>90</v>
      </c>
      <c r="G65" s="9">
        <v>0.0</v>
      </c>
      <c r="H65" s="9">
        <v>12000.0</v>
      </c>
      <c r="L65" s="9">
        <v>1.0</v>
      </c>
      <c r="M65" s="9" t="s">
        <v>67</v>
      </c>
      <c r="N65" s="9" t="s">
        <v>70</v>
      </c>
      <c r="O65" s="9" t="s">
        <v>81</v>
      </c>
      <c r="P65" s="9" t="s">
        <v>60</v>
      </c>
      <c r="Q65" s="9" t="s">
        <v>80</v>
      </c>
      <c r="R65" s="9">
        <v>0.0</v>
      </c>
      <c r="S65" s="9">
        <v>12000.0</v>
      </c>
    </row>
    <row r="66" ht="15.75" customHeight="1">
      <c r="B66" s="51">
        <v>43055.0</v>
      </c>
      <c r="C66" s="9" t="s">
        <v>18</v>
      </c>
      <c r="D66" s="9" t="s">
        <v>20</v>
      </c>
      <c r="E66" s="9" t="s">
        <v>60</v>
      </c>
      <c r="F66" s="9" t="s">
        <v>90</v>
      </c>
      <c r="G66" s="9">
        <v>27500.0</v>
      </c>
      <c r="H66" s="9">
        <v>0.0</v>
      </c>
      <c r="L66" s="9">
        <v>1.0</v>
      </c>
      <c r="M66" s="9" t="s">
        <v>67</v>
      </c>
      <c r="N66" s="9" t="s">
        <v>68</v>
      </c>
      <c r="O66" s="9" t="s">
        <v>81</v>
      </c>
      <c r="P66" s="9" t="s">
        <v>60</v>
      </c>
      <c r="Q66" s="9" t="s">
        <v>80</v>
      </c>
      <c r="R66" s="9">
        <v>27500.0</v>
      </c>
      <c r="S66" s="9">
        <v>0.0</v>
      </c>
    </row>
    <row r="67" ht="15.75" customHeight="1">
      <c r="B67" s="51">
        <v>43055.0</v>
      </c>
      <c r="C67" s="9" t="s">
        <v>18</v>
      </c>
      <c r="D67" s="9" t="s">
        <v>20</v>
      </c>
      <c r="E67" s="9" t="s">
        <v>60</v>
      </c>
      <c r="F67" s="9" t="s">
        <v>91</v>
      </c>
      <c r="G67" s="9">
        <v>0.0</v>
      </c>
      <c r="H67" s="9">
        <v>27500.0</v>
      </c>
      <c r="L67" s="9">
        <v>1.0</v>
      </c>
      <c r="M67" s="9" t="s">
        <v>67</v>
      </c>
      <c r="N67" s="9" t="s">
        <v>70</v>
      </c>
      <c r="O67" s="9" t="s">
        <v>81</v>
      </c>
      <c r="P67" s="9" t="s">
        <v>60</v>
      </c>
      <c r="Q67" s="9" t="s">
        <v>80</v>
      </c>
      <c r="R67" s="9">
        <v>0.0</v>
      </c>
      <c r="S67" s="9">
        <v>27500.0</v>
      </c>
    </row>
    <row r="68" ht="15.75" customHeight="1">
      <c r="B68" s="51">
        <v>43055.0</v>
      </c>
      <c r="C68" s="9" t="s">
        <v>18</v>
      </c>
      <c r="D68" s="9" t="s">
        <v>20</v>
      </c>
      <c r="E68" s="9" t="s">
        <v>60</v>
      </c>
      <c r="F68" s="9" t="s">
        <v>90</v>
      </c>
      <c r="G68" s="9">
        <v>42000.0</v>
      </c>
      <c r="H68" s="9">
        <v>0.0</v>
      </c>
      <c r="L68" s="9">
        <v>1.0</v>
      </c>
      <c r="M68" s="9" t="s">
        <v>67</v>
      </c>
      <c r="N68" s="9" t="s">
        <v>68</v>
      </c>
      <c r="O68" s="9" t="s">
        <v>81</v>
      </c>
      <c r="P68" s="9" t="s">
        <v>60</v>
      </c>
      <c r="Q68" s="9" t="s">
        <v>86</v>
      </c>
      <c r="R68" s="9">
        <v>42000.0</v>
      </c>
      <c r="S68" s="9">
        <v>0.0</v>
      </c>
    </row>
    <row r="69" ht="15.75" customHeight="1">
      <c r="B69" s="51">
        <v>43055.0</v>
      </c>
      <c r="C69" s="9" t="s">
        <v>18</v>
      </c>
      <c r="D69" s="9" t="s">
        <v>20</v>
      </c>
      <c r="E69" s="9" t="s">
        <v>60</v>
      </c>
      <c r="F69" s="9" t="s">
        <v>91</v>
      </c>
      <c r="G69" s="9">
        <v>0.0</v>
      </c>
      <c r="H69" s="9">
        <v>42000.0</v>
      </c>
      <c r="L69" s="9">
        <v>1.0</v>
      </c>
      <c r="M69" s="9" t="s">
        <v>67</v>
      </c>
      <c r="N69" s="9" t="s">
        <v>70</v>
      </c>
      <c r="O69" s="9" t="s">
        <v>81</v>
      </c>
      <c r="P69" s="9" t="s">
        <v>60</v>
      </c>
      <c r="Q69" s="9" t="s">
        <v>86</v>
      </c>
      <c r="R69" s="9">
        <v>0.0</v>
      </c>
      <c r="S69" s="9">
        <v>42000.0</v>
      </c>
    </row>
    <row r="70" ht="15.75" customHeight="1">
      <c r="B70" s="51">
        <v>43055.0</v>
      </c>
      <c r="C70" s="9" t="s">
        <v>18</v>
      </c>
      <c r="D70" s="9" t="s">
        <v>20</v>
      </c>
      <c r="E70" s="9" t="s">
        <v>60</v>
      </c>
      <c r="F70" s="9" t="s">
        <v>91</v>
      </c>
      <c r="G70" s="9">
        <v>27500.0</v>
      </c>
      <c r="H70" s="9">
        <v>0.0</v>
      </c>
      <c r="L70" s="9">
        <v>1.0</v>
      </c>
      <c r="M70" s="9" t="s">
        <v>67</v>
      </c>
      <c r="N70" s="9" t="s">
        <v>68</v>
      </c>
      <c r="O70" s="9" t="s">
        <v>81</v>
      </c>
      <c r="P70" s="9" t="s">
        <v>60</v>
      </c>
      <c r="Q70" s="9" t="s">
        <v>86</v>
      </c>
      <c r="R70" s="9">
        <v>27500.0</v>
      </c>
      <c r="S70" s="9">
        <v>0.0</v>
      </c>
    </row>
    <row r="71" ht="15.75" customHeight="1">
      <c r="B71" s="51">
        <v>43055.0</v>
      </c>
      <c r="C71" s="9" t="s">
        <v>18</v>
      </c>
      <c r="D71" s="9" t="s">
        <v>20</v>
      </c>
      <c r="E71" s="9" t="s">
        <v>60</v>
      </c>
      <c r="F71" s="9" t="s">
        <v>90</v>
      </c>
      <c r="G71" s="9">
        <v>0.0</v>
      </c>
      <c r="H71" s="9">
        <v>27500.0</v>
      </c>
      <c r="L71" s="9">
        <v>1.0</v>
      </c>
      <c r="M71" s="9" t="s">
        <v>67</v>
      </c>
      <c r="N71" s="9" t="s">
        <v>70</v>
      </c>
      <c r="O71" s="9" t="s">
        <v>81</v>
      </c>
      <c r="P71" s="9" t="s">
        <v>60</v>
      </c>
      <c r="Q71" s="9" t="s">
        <v>86</v>
      </c>
      <c r="R71" s="9">
        <v>0.0</v>
      </c>
      <c r="S71" s="9">
        <v>27500.0</v>
      </c>
    </row>
    <row r="72" ht="15.75" customHeight="1">
      <c r="B72" s="51">
        <v>43055.0</v>
      </c>
      <c r="C72" s="9" t="s">
        <v>18</v>
      </c>
      <c r="D72" s="9" t="s">
        <v>20</v>
      </c>
      <c r="E72" s="9" t="s">
        <v>60</v>
      </c>
      <c r="F72" s="9" t="s">
        <v>91</v>
      </c>
      <c r="G72" s="9">
        <v>27500.0</v>
      </c>
      <c r="H72" s="9">
        <v>0.0</v>
      </c>
      <c r="L72" s="9">
        <v>1.0</v>
      </c>
      <c r="M72" s="9" t="s">
        <v>67</v>
      </c>
      <c r="N72" s="9" t="s">
        <v>68</v>
      </c>
      <c r="O72" s="9" t="s">
        <v>81</v>
      </c>
      <c r="P72" s="9" t="s">
        <v>60</v>
      </c>
      <c r="Q72" s="9" t="s">
        <v>86</v>
      </c>
      <c r="R72" s="9">
        <v>27500.0</v>
      </c>
      <c r="S72" s="9">
        <v>0.0</v>
      </c>
    </row>
    <row r="73" ht="15.75" customHeight="1">
      <c r="B73" s="51">
        <v>43055.0</v>
      </c>
      <c r="C73" s="9" t="s">
        <v>18</v>
      </c>
      <c r="D73" s="9" t="s">
        <v>20</v>
      </c>
      <c r="E73" s="9" t="s">
        <v>60</v>
      </c>
      <c r="F73" s="9" t="s">
        <v>93</v>
      </c>
      <c r="G73" s="9">
        <v>0.0</v>
      </c>
      <c r="H73" s="9">
        <v>27500.0</v>
      </c>
      <c r="L73" s="9">
        <v>1.0</v>
      </c>
      <c r="M73" s="9" t="s">
        <v>67</v>
      </c>
      <c r="N73" s="9" t="s">
        <v>70</v>
      </c>
      <c r="O73" s="9" t="s">
        <v>81</v>
      </c>
      <c r="P73" s="9" t="s">
        <v>60</v>
      </c>
      <c r="Q73" s="9" t="s">
        <v>86</v>
      </c>
      <c r="R73" s="9">
        <v>0.0</v>
      </c>
      <c r="S73" s="9">
        <v>27500.0</v>
      </c>
    </row>
    <row r="74" ht="15.75" customHeight="1">
      <c r="B74" s="53">
        <v>43045.0</v>
      </c>
      <c r="C74" s="9" t="s">
        <v>18</v>
      </c>
      <c r="D74" s="9" t="s">
        <v>16</v>
      </c>
      <c r="E74" s="9" t="s">
        <v>60</v>
      </c>
      <c r="F74" s="9" t="s">
        <v>93</v>
      </c>
      <c r="G74" s="9">
        <v>112500.0</v>
      </c>
      <c r="H74" s="9">
        <v>0.0</v>
      </c>
      <c r="L74" s="9">
        <v>1.0</v>
      </c>
      <c r="M74" s="9" t="s">
        <v>67</v>
      </c>
      <c r="N74" s="9" t="s">
        <v>68</v>
      </c>
      <c r="O74" s="9" t="s">
        <v>81</v>
      </c>
      <c r="P74" s="9" t="s">
        <v>60</v>
      </c>
      <c r="Q74" s="9" t="s">
        <v>80</v>
      </c>
      <c r="R74" s="9">
        <v>112500.0</v>
      </c>
      <c r="S74" s="9">
        <v>0.0</v>
      </c>
    </row>
    <row r="75" ht="15.75" customHeight="1">
      <c r="B75" s="53">
        <v>43045.0</v>
      </c>
      <c r="C75" s="9" t="s">
        <v>18</v>
      </c>
      <c r="D75" s="9" t="s">
        <v>16</v>
      </c>
      <c r="E75" s="9" t="s">
        <v>60</v>
      </c>
      <c r="F75" s="9" t="s">
        <v>91</v>
      </c>
      <c r="G75" s="9">
        <v>0.0</v>
      </c>
      <c r="H75" s="9">
        <v>112500.0</v>
      </c>
      <c r="L75" s="9">
        <v>1.0</v>
      </c>
      <c r="M75" s="9" t="s">
        <v>67</v>
      </c>
      <c r="N75" s="9" t="s">
        <v>70</v>
      </c>
      <c r="O75" s="9" t="s">
        <v>81</v>
      </c>
      <c r="P75" s="9" t="s">
        <v>60</v>
      </c>
      <c r="Q75" s="9" t="s">
        <v>80</v>
      </c>
      <c r="R75" s="9">
        <v>0.0</v>
      </c>
      <c r="S75" s="9">
        <v>112500.0</v>
      </c>
    </row>
    <row r="76" ht="15.75" customHeight="1">
      <c r="B76" s="53">
        <v>43046.0</v>
      </c>
      <c r="C76" s="9" t="s">
        <v>18</v>
      </c>
      <c r="D76" s="9" t="s">
        <v>16</v>
      </c>
      <c r="E76" s="9" t="s">
        <v>60</v>
      </c>
      <c r="F76" s="9" t="s">
        <v>92</v>
      </c>
      <c r="G76" s="9">
        <v>5000.0</v>
      </c>
      <c r="H76" s="9">
        <v>0.0</v>
      </c>
      <c r="L76" s="9">
        <v>1.0</v>
      </c>
      <c r="M76" s="9" t="s">
        <v>67</v>
      </c>
      <c r="N76" s="9" t="s">
        <v>68</v>
      </c>
      <c r="O76" s="9" t="s">
        <v>81</v>
      </c>
      <c r="P76" s="9" t="s">
        <v>60</v>
      </c>
      <c r="Q76" s="9" t="s">
        <v>84</v>
      </c>
      <c r="R76" s="9">
        <v>5000.0</v>
      </c>
      <c r="S76" s="9">
        <v>0.0</v>
      </c>
    </row>
    <row r="77" ht="15.75" customHeight="1">
      <c r="B77" s="53">
        <v>43046.0</v>
      </c>
      <c r="C77" s="9" t="s">
        <v>18</v>
      </c>
      <c r="D77" s="9" t="s">
        <v>16</v>
      </c>
      <c r="E77" s="9" t="s">
        <v>60</v>
      </c>
      <c r="F77" s="9" t="s">
        <v>72</v>
      </c>
      <c r="G77" s="9">
        <v>0.0</v>
      </c>
      <c r="H77" s="9">
        <v>5000.0</v>
      </c>
      <c r="L77" s="9">
        <v>1.0</v>
      </c>
      <c r="M77" s="9" t="s">
        <v>67</v>
      </c>
      <c r="N77" s="9" t="s">
        <v>70</v>
      </c>
      <c r="O77" s="9" t="s">
        <v>81</v>
      </c>
      <c r="P77" s="9" t="s">
        <v>60</v>
      </c>
      <c r="Q77" s="9" t="s">
        <v>84</v>
      </c>
      <c r="R77" s="9">
        <v>0.0</v>
      </c>
      <c r="S77" s="9">
        <v>5000.0</v>
      </c>
    </row>
    <row r="78" ht="15.75" customHeight="1">
      <c r="B78" s="53">
        <v>43046.0</v>
      </c>
      <c r="C78" s="9" t="s">
        <v>18</v>
      </c>
      <c r="D78" s="9" t="s">
        <v>16</v>
      </c>
      <c r="E78" s="9" t="s">
        <v>60</v>
      </c>
      <c r="F78" s="9" t="s">
        <v>93</v>
      </c>
      <c r="G78" s="9">
        <v>40000.0</v>
      </c>
      <c r="H78" s="9">
        <v>0.0</v>
      </c>
      <c r="L78" s="9">
        <v>1.0</v>
      </c>
      <c r="M78" s="9" t="s">
        <v>67</v>
      </c>
      <c r="N78" s="9" t="s">
        <v>68</v>
      </c>
      <c r="O78" s="9" t="s">
        <v>81</v>
      </c>
      <c r="P78" s="9" t="s">
        <v>60</v>
      </c>
      <c r="Q78" s="9" t="s">
        <v>80</v>
      </c>
      <c r="R78" s="9">
        <v>40000.0</v>
      </c>
      <c r="S78" s="9">
        <v>0.0</v>
      </c>
    </row>
    <row r="79" ht="15.75" customHeight="1">
      <c r="B79" s="53">
        <v>43046.0</v>
      </c>
      <c r="C79" s="9" t="s">
        <v>18</v>
      </c>
      <c r="D79" s="9" t="s">
        <v>16</v>
      </c>
      <c r="E79" s="9" t="s">
        <v>60</v>
      </c>
      <c r="F79" s="9" t="s">
        <v>91</v>
      </c>
      <c r="G79" s="9">
        <v>0.0</v>
      </c>
      <c r="H79" s="9">
        <v>40000.0</v>
      </c>
      <c r="L79" s="9">
        <v>1.0</v>
      </c>
      <c r="M79" s="9" t="s">
        <v>67</v>
      </c>
      <c r="N79" s="9" t="s">
        <v>70</v>
      </c>
      <c r="O79" s="9" t="s">
        <v>81</v>
      </c>
      <c r="P79" s="9" t="s">
        <v>60</v>
      </c>
      <c r="Q79" s="9" t="s">
        <v>80</v>
      </c>
      <c r="R79" s="9">
        <v>0.0</v>
      </c>
      <c r="S79" s="9">
        <v>40000.0</v>
      </c>
    </row>
    <row r="80" ht="15.75" customHeight="1">
      <c r="B80" s="53">
        <v>43046.0</v>
      </c>
      <c r="C80" s="9" t="s">
        <v>18</v>
      </c>
      <c r="D80" s="9" t="s">
        <v>16</v>
      </c>
      <c r="E80" s="9" t="s">
        <v>60</v>
      </c>
      <c r="F80" s="9" t="s">
        <v>91</v>
      </c>
      <c r="G80" s="9">
        <v>75000.0</v>
      </c>
      <c r="H80" s="9">
        <v>0.0</v>
      </c>
      <c r="L80" s="9">
        <v>1.0</v>
      </c>
      <c r="M80" s="9" t="s">
        <v>67</v>
      </c>
      <c r="N80" s="9" t="s">
        <v>68</v>
      </c>
      <c r="O80" s="9" t="s">
        <v>81</v>
      </c>
      <c r="P80" s="9" t="s">
        <v>60</v>
      </c>
      <c r="Q80" s="9" t="s">
        <v>86</v>
      </c>
      <c r="R80" s="9">
        <v>75000.0</v>
      </c>
      <c r="S80" s="9">
        <v>0.0</v>
      </c>
    </row>
    <row r="81" ht="15.75" customHeight="1">
      <c r="B81" s="53">
        <v>43046.0</v>
      </c>
      <c r="C81" s="9" t="s">
        <v>18</v>
      </c>
      <c r="D81" s="9" t="s">
        <v>16</v>
      </c>
      <c r="E81" s="9" t="s">
        <v>60</v>
      </c>
      <c r="F81" s="9" t="s">
        <v>90</v>
      </c>
      <c r="G81" s="9">
        <v>0.0</v>
      </c>
      <c r="H81" s="9">
        <v>75000.0</v>
      </c>
      <c r="L81" s="9">
        <v>1.0</v>
      </c>
      <c r="M81" s="9" t="s">
        <v>67</v>
      </c>
      <c r="N81" s="9" t="s">
        <v>70</v>
      </c>
      <c r="O81" s="9" t="s">
        <v>81</v>
      </c>
      <c r="P81" s="9" t="s">
        <v>60</v>
      </c>
      <c r="Q81" s="9" t="s">
        <v>86</v>
      </c>
      <c r="R81" s="9">
        <v>0.0</v>
      </c>
      <c r="S81" s="9">
        <v>75000.0</v>
      </c>
    </row>
    <row r="82" ht="15.75" customHeight="1">
      <c r="B82" s="53">
        <v>43046.0</v>
      </c>
      <c r="C82" s="9" t="s">
        <v>18</v>
      </c>
      <c r="D82" s="9" t="s">
        <v>16</v>
      </c>
      <c r="E82" s="9" t="s">
        <v>60</v>
      </c>
      <c r="F82" s="9" t="s">
        <v>91</v>
      </c>
      <c r="G82" s="9">
        <v>37500.0</v>
      </c>
      <c r="H82" s="9">
        <v>0.0</v>
      </c>
      <c r="L82" s="9">
        <v>1.0</v>
      </c>
      <c r="M82" s="9" t="s">
        <v>67</v>
      </c>
      <c r="N82" s="9" t="s">
        <v>68</v>
      </c>
      <c r="O82" s="9" t="s">
        <v>81</v>
      </c>
      <c r="P82" s="9" t="s">
        <v>60</v>
      </c>
      <c r="Q82" s="9" t="s">
        <v>86</v>
      </c>
      <c r="R82" s="9">
        <v>37500.0</v>
      </c>
      <c r="S82" s="9">
        <v>0.0</v>
      </c>
    </row>
    <row r="83" ht="15.75" customHeight="1">
      <c r="B83" s="53">
        <v>43046.0</v>
      </c>
      <c r="C83" s="9" t="s">
        <v>18</v>
      </c>
      <c r="D83" s="9" t="s">
        <v>16</v>
      </c>
      <c r="E83" s="9" t="s">
        <v>60</v>
      </c>
      <c r="F83" s="9" t="s">
        <v>93</v>
      </c>
      <c r="G83" s="9">
        <v>0.0</v>
      </c>
      <c r="H83" s="9">
        <v>37500.0</v>
      </c>
      <c r="L83" s="9">
        <v>1.0</v>
      </c>
      <c r="M83" s="9" t="s">
        <v>67</v>
      </c>
      <c r="N83" s="9" t="s">
        <v>70</v>
      </c>
      <c r="O83" s="9" t="s">
        <v>81</v>
      </c>
      <c r="P83" s="9" t="s">
        <v>60</v>
      </c>
      <c r="Q83" s="9" t="s">
        <v>86</v>
      </c>
      <c r="R83" s="9">
        <v>0.0</v>
      </c>
      <c r="S83" s="9">
        <v>37500.0</v>
      </c>
    </row>
    <row r="84" ht="15.75" customHeight="1">
      <c r="B84" s="53">
        <v>43047.0</v>
      </c>
      <c r="C84" s="9" t="s">
        <v>18</v>
      </c>
      <c r="D84" s="9" t="s">
        <v>16</v>
      </c>
      <c r="E84" s="9" t="s">
        <v>60</v>
      </c>
      <c r="F84" s="9" t="s">
        <v>91</v>
      </c>
      <c r="G84" s="9">
        <v>37500.0</v>
      </c>
      <c r="H84" s="9">
        <v>0.0</v>
      </c>
      <c r="L84" s="9">
        <v>1.0</v>
      </c>
      <c r="M84" s="9" t="s">
        <v>67</v>
      </c>
      <c r="N84" s="9" t="s">
        <v>68</v>
      </c>
      <c r="O84" s="9" t="s">
        <v>81</v>
      </c>
      <c r="P84" s="9" t="s">
        <v>60</v>
      </c>
      <c r="Q84" s="9" t="s">
        <v>80</v>
      </c>
      <c r="R84" s="9">
        <v>37500.0</v>
      </c>
      <c r="S84" s="9">
        <v>0.0</v>
      </c>
    </row>
    <row r="85" ht="15.75" customHeight="1">
      <c r="B85" s="53">
        <v>43047.0</v>
      </c>
      <c r="C85" s="9" t="s">
        <v>18</v>
      </c>
      <c r="D85" s="9" t="s">
        <v>16</v>
      </c>
      <c r="E85" s="9" t="s">
        <v>60</v>
      </c>
      <c r="F85" s="9" t="s">
        <v>93</v>
      </c>
      <c r="G85" s="9">
        <v>0.0</v>
      </c>
      <c r="H85" s="9">
        <v>37500.0</v>
      </c>
      <c r="L85" s="9">
        <v>1.0</v>
      </c>
      <c r="M85" s="9" t="s">
        <v>67</v>
      </c>
      <c r="N85" s="9" t="s">
        <v>70</v>
      </c>
      <c r="O85" s="9" t="s">
        <v>81</v>
      </c>
      <c r="P85" s="9" t="s">
        <v>60</v>
      </c>
      <c r="Q85" s="9" t="s">
        <v>80</v>
      </c>
      <c r="R85" s="9">
        <v>0.0</v>
      </c>
      <c r="S85" s="9">
        <v>37500.0</v>
      </c>
    </row>
    <row r="86" ht="15.75" customHeight="1">
      <c r="B86" s="53">
        <v>43047.0</v>
      </c>
      <c r="C86" s="9" t="s">
        <v>18</v>
      </c>
      <c r="D86" s="9" t="s">
        <v>16</v>
      </c>
      <c r="E86" s="9" t="s">
        <v>60</v>
      </c>
      <c r="F86" s="9" t="s">
        <v>91</v>
      </c>
      <c r="G86" s="9">
        <v>40000.0</v>
      </c>
      <c r="H86" s="9">
        <v>0.0</v>
      </c>
      <c r="L86" s="9">
        <v>1.0</v>
      </c>
      <c r="M86" s="9" t="s">
        <v>67</v>
      </c>
      <c r="N86" s="9" t="s">
        <v>68</v>
      </c>
      <c r="O86" s="9" t="s">
        <v>81</v>
      </c>
      <c r="P86" s="9" t="s">
        <v>60</v>
      </c>
      <c r="Q86" s="9" t="s">
        <v>86</v>
      </c>
      <c r="R86" s="9">
        <v>40000.0</v>
      </c>
      <c r="S86" s="9">
        <v>0.0</v>
      </c>
    </row>
    <row r="87" ht="15.75" customHeight="1">
      <c r="B87" s="53">
        <v>43047.0</v>
      </c>
      <c r="C87" s="9" t="s">
        <v>18</v>
      </c>
      <c r="D87" s="9" t="s">
        <v>16</v>
      </c>
      <c r="E87" s="9" t="s">
        <v>60</v>
      </c>
      <c r="F87" s="9" t="s">
        <v>93</v>
      </c>
      <c r="G87" s="9">
        <v>0.0</v>
      </c>
      <c r="H87" s="9">
        <v>40000.0</v>
      </c>
      <c r="L87" s="9">
        <v>1.0</v>
      </c>
      <c r="M87" s="9" t="s">
        <v>67</v>
      </c>
      <c r="N87" s="9" t="s">
        <v>70</v>
      </c>
      <c r="O87" s="9" t="s">
        <v>81</v>
      </c>
      <c r="P87" s="9" t="s">
        <v>60</v>
      </c>
      <c r="Q87" s="9" t="s">
        <v>86</v>
      </c>
      <c r="R87" s="9">
        <v>0.0</v>
      </c>
      <c r="S87" s="9">
        <v>40000.0</v>
      </c>
    </row>
    <row r="88" ht="15.75" customHeight="1">
      <c r="B88" s="53">
        <v>43048.0</v>
      </c>
      <c r="C88" s="9" t="s">
        <v>18</v>
      </c>
      <c r="D88" s="9" t="s">
        <v>16</v>
      </c>
      <c r="E88" s="9" t="s">
        <v>60</v>
      </c>
      <c r="F88" s="9" t="s">
        <v>91</v>
      </c>
      <c r="G88" s="9">
        <v>37500.0</v>
      </c>
      <c r="H88" s="9">
        <v>0.0</v>
      </c>
      <c r="L88" s="9">
        <v>1.0</v>
      </c>
      <c r="M88" s="9" t="s">
        <v>67</v>
      </c>
      <c r="N88" s="9" t="s">
        <v>68</v>
      </c>
      <c r="O88" s="9" t="s">
        <v>81</v>
      </c>
      <c r="P88" s="9" t="s">
        <v>60</v>
      </c>
      <c r="Q88" s="9" t="s">
        <v>80</v>
      </c>
      <c r="R88" s="9">
        <v>37500.0</v>
      </c>
      <c r="S88" s="9">
        <v>0.0</v>
      </c>
    </row>
    <row r="89" ht="15.75" customHeight="1">
      <c r="B89" s="53">
        <v>43048.0</v>
      </c>
      <c r="C89" s="9" t="s">
        <v>18</v>
      </c>
      <c r="D89" s="9" t="s">
        <v>16</v>
      </c>
      <c r="E89" s="9" t="s">
        <v>60</v>
      </c>
      <c r="F89" s="9" t="s">
        <v>93</v>
      </c>
      <c r="G89" s="9">
        <v>0.0</v>
      </c>
      <c r="H89" s="9">
        <v>37500.0</v>
      </c>
      <c r="L89" s="9">
        <v>1.0</v>
      </c>
      <c r="M89" s="9" t="s">
        <v>67</v>
      </c>
      <c r="N89" s="9" t="s">
        <v>70</v>
      </c>
      <c r="O89" s="9" t="s">
        <v>81</v>
      </c>
      <c r="P89" s="9" t="s">
        <v>60</v>
      </c>
      <c r="Q89" s="9" t="s">
        <v>80</v>
      </c>
      <c r="R89" s="9">
        <v>0.0</v>
      </c>
      <c r="S89" s="9">
        <v>37500.0</v>
      </c>
    </row>
    <row r="90" ht="15.75" customHeight="1">
      <c r="B90" s="53">
        <v>43048.0</v>
      </c>
      <c r="C90" s="9" t="s">
        <v>18</v>
      </c>
      <c r="D90" s="9" t="s">
        <v>16</v>
      </c>
      <c r="E90" s="9" t="s">
        <v>60</v>
      </c>
      <c r="F90" s="9" t="s">
        <v>93</v>
      </c>
      <c r="G90" s="9">
        <v>37500.0</v>
      </c>
      <c r="H90" s="9">
        <v>0.0</v>
      </c>
      <c r="L90" s="9">
        <v>1.0</v>
      </c>
      <c r="M90" s="9" t="s">
        <v>67</v>
      </c>
      <c r="N90" s="9" t="s">
        <v>68</v>
      </c>
      <c r="O90" s="9" t="s">
        <v>81</v>
      </c>
      <c r="P90" s="9" t="s">
        <v>60</v>
      </c>
      <c r="Q90" s="9" t="s">
        <v>86</v>
      </c>
      <c r="R90" s="9">
        <v>37500.0</v>
      </c>
      <c r="S90" s="9">
        <v>0.0</v>
      </c>
    </row>
    <row r="91" ht="15.75" customHeight="1">
      <c r="B91" s="53">
        <v>43048.0</v>
      </c>
      <c r="C91" s="9" t="s">
        <v>18</v>
      </c>
      <c r="D91" s="9" t="s">
        <v>16</v>
      </c>
      <c r="E91" s="9" t="s">
        <v>60</v>
      </c>
      <c r="F91" s="9" t="s">
        <v>91</v>
      </c>
      <c r="G91" s="9">
        <v>0.0</v>
      </c>
      <c r="H91" s="9">
        <v>37500.0</v>
      </c>
      <c r="L91" s="9">
        <v>1.0</v>
      </c>
      <c r="M91" s="9" t="s">
        <v>67</v>
      </c>
      <c r="N91" s="9" t="s">
        <v>70</v>
      </c>
      <c r="O91" s="9" t="s">
        <v>81</v>
      </c>
      <c r="P91" s="9" t="s">
        <v>60</v>
      </c>
      <c r="Q91" s="9" t="s">
        <v>86</v>
      </c>
      <c r="R91" s="9">
        <v>0.0</v>
      </c>
      <c r="S91" s="9">
        <v>37500.0</v>
      </c>
    </row>
    <row r="92" ht="15.75" customHeight="1">
      <c r="B92" s="51">
        <v>43049.0</v>
      </c>
      <c r="C92" s="9" t="s">
        <v>18</v>
      </c>
      <c r="D92" s="9" t="s">
        <v>16</v>
      </c>
      <c r="E92" s="9" t="s">
        <v>60</v>
      </c>
      <c r="F92" s="9" t="s">
        <v>91</v>
      </c>
      <c r="G92" s="9">
        <v>37500.0</v>
      </c>
      <c r="H92" s="9">
        <v>0.0</v>
      </c>
      <c r="L92" s="9">
        <v>1.0</v>
      </c>
      <c r="M92" s="9" t="s">
        <v>67</v>
      </c>
      <c r="N92" s="9" t="s">
        <v>68</v>
      </c>
      <c r="O92" s="9" t="s">
        <v>81</v>
      </c>
      <c r="P92" s="9" t="s">
        <v>60</v>
      </c>
      <c r="Q92" s="9" t="s">
        <v>80</v>
      </c>
      <c r="R92" s="9">
        <v>37500.0</v>
      </c>
      <c r="S92" s="9">
        <v>0.0</v>
      </c>
    </row>
    <row r="93" ht="15.75" customHeight="1">
      <c r="B93" s="51">
        <v>43049.0</v>
      </c>
      <c r="C93" s="9" t="s">
        <v>18</v>
      </c>
      <c r="D93" s="9" t="s">
        <v>16</v>
      </c>
      <c r="E93" s="9" t="s">
        <v>60</v>
      </c>
      <c r="F93" s="9" t="s">
        <v>93</v>
      </c>
      <c r="G93" s="9">
        <v>0.0</v>
      </c>
      <c r="H93" s="9">
        <v>37500.0</v>
      </c>
      <c r="L93" s="9">
        <v>1.0</v>
      </c>
      <c r="M93" s="9" t="s">
        <v>67</v>
      </c>
      <c r="N93" s="9" t="s">
        <v>70</v>
      </c>
      <c r="O93" s="9" t="s">
        <v>81</v>
      </c>
      <c r="P93" s="9" t="s">
        <v>60</v>
      </c>
      <c r="Q93" s="9" t="s">
        <v>80</v>
      </c>
      <c r="R93" s="9">
        <v>0.0</v>
      </c>
      <c r="S93" s="9">
        <v>37500.0</v>
      </c>
    </row>
    <row r="94" ht="15.75" customHeight="1">
      <c r="B94" s="51">
        <v>43049.0</v>
      </c>
      <c r="C94" s="9" t="s">
        <v>18</v>
      </c>
      <c r="D94" s="9" t="s">
        <v>16</v>
      </c>
      <c r="E94" s="9" t="s">
        <v>60</v>
      </c>
      <c r="F94" s="9" t="s">
        <v>93</v>
      </c>
      <c r="G94" s="9">
        <v>37500.0</v>
      </c>
      <c r="H94" s="9">
        <v>0.0</v>
      </c>
      <c r="L94" s="9">
        <v>1.0</v>
      </c>
      <c r="M94" s="9" t="s">
        <v>67</v>
      </c>
      <c r="N94" s="9" t="s">
        <v>68</v>
      </c>
      <c r="O94" s="9" t="s">
        <v>81</v>
      </c>
      <c r="P94" s="9" t="s">
        <v>60</v>
      </c>
      <c r="Q94" s="9" t="s">
        <v>86</v>
      </c>
      <c r="R94" s="9">
        <v>37500.0</v>
      </c>
      <c r="S94" s="9">
        <v>0.0</v>
      </c>
    </row>
    <row r="95" ht="15.75" customHeight="1">
      <c r="B95" s="51">
        <v>43049.0</v>
      </c>
      <c r="C95" s="9" t="s">
        <v>18</v>
      </c>
      <c r="D95" s="9" t="s">
        <v>16</v>
      </c>
      <c r="E95" s="9" t="s">
        <v>60</v>
      </c>
      <c r="F95" s="9" t="s">
        <v>91</v>
      </c>
      <c r="G95" s="9">
        <v>0.0</v>
      </c>
      <c r="H95" s="9">
        <v>37500.0</v>
      </c>
      <c r="L95" s="9">
        <v>1.0</v>
      </c>
      <c r="M95" s="9" t="s">
        <v>67</v>
      </c>
      <c r="N95" s="9" t="s">
        <v>70</v>
      </c>
      <c r="O95" s="9" t="s">
        <v>81</v>
      </c>
      <c r="P95" s="9" t="s">
        <v>60</v>
      </c>
      <c r="Q95" s="9" t="s">
        <v>86</v>
      </c>
      <c r="R95" s="9">
        <v>0.0</v>
      </c>
      <c r="S95" s="9">
        <v>37500.0</v>
      </c>
    </row>
    <row r="96" ht="15.75" customHeight="1">
      <c r="B96" s="51">
        <v>43050.0</v>
      </c>
      <c r="C96" s="9" t="s">
        <v>18</v>
      </c>
      <c r="D96" s="9" t="s">
        <v>16</v>
      </c>
      <c r="E96" s="9" t="s">
        <v>60</v>
      </c>
      <c r="F96" s="9" t="s">
        <v>91</v>
      </c>
      <c r="G96" s="9">
        <v>37500.0</v>
      </c>
      <c r="H96" s="9">
        <v>0.0</v>
      </c>
      <c r="L96" s="9">
        <v>1.0</v>
      </c>
      <c r="M96" s="9" t="s">
        <v>67</v>
      </c>
      <c r="N96" s="9" t="s">
        <v>68</v>
      </c>
      <c r="O96" s="9" t="s">
        <v>81</v>
      </c>
      <c r="P96" s="9" t="s">
        <v>60</v>
      </c>
      <c r="Q96" s="9" t="s">
        <v>80</v>
      </c>
      <c r="R96" s="9">
        <v>37500.0</v>
      </c>
      <c r="S96" s="9">
        <v>0.0</v>
      </c>
    </row>
    <row r="97" ht="15.75" customHeight="1">
      <c r="B97" s="51">
        <v>43050.0</v>
      </c>
      <c r="C97" s="9" t="s">
        <v>18</v>
      </c>
      <c r="D97" s="9" t="s">
        <v>16</v>
      </c>
      <c r="E97" s="9" t="s">
        <v>60</v>
      </c>
      <c r="F97" s="9" t="s">
        <v>93</v>
      </c>
      <c r="G97" s="9">
        <v>0.0</v>
      </c>
      <c r="H97" s="9">
        <v>37500.0</v>
      </c>
      <c r="L97" s="9">
        <v>1.0</v>
      </c>
      <c r="M97" s="9" t="s">
        <v>67</v>
      </c>
      <c r="N97" s="9" t="s">
        <v>70</v>
      </c>
      <c r="O97" s="9" t="s">
        <v>81</v>
      </c>
      <c r="P97" s="9" t="s">
        <v>60</v>
      </c>
      <c r="Q97" s="9" t="s">
        <v>80</v>
      </c>
      <c r="R97" s="9">
        <v>0.0</v>
      </c>
      <c r="S97" s="9">
        <v>37500.0</v>
      </c>
    </row>
    <row r="98" ht="15.75" customHeight="1">
      <c r="B98" s="51">
        <v>43050.0</v>
      </c>
      <c r="C98" s="9" t="s">
        <v>18</v>
      </c>
      <c r="D98" s="9" t="s">
        <v>16</v>
      </c>
      <c r="E98" s="9" t="s">
        <v>60</v>
      </c>
      <c r="F98" s="9" t="s">
        <v>93</v>
      </c>
      <c r="G98" s="9">
        <v>37500.0</v>
      </c>
      <c r="H98" s="9">
        <v>0.0</v>
      </c>
      <c r="L98" s="9">
        <v>1.0</v>
      </c>
      <c r="M98" s="9" t="s">
        <v>67</v>
      </c>
      <c r="N98" s="9" t="s">
        <v>68</v>
      </c>
      <c r="O98" s="9" t="s">
        <v>81</v>
      </c>
      <c r="P98" s="9" t="s">
        <v>60</v>
      </c>
      <c r="Q98" s="9" t="s">
        <v>86</v>
      </c>
      <c r="R98" s="9">
        <v>37500.0</v>
      </c>
      <c r="S98" s="9">
        <v>0.0</v>
      </c>
    </row>
    <row r="99" ht="15.75" customHeight="1">
      <c r="B99" s="51">
        <v>43050.0</v>
      </c>
      <c r="C99" s="9" t="s">
        <v>18</v>
      </c>
      <c r="D99" s="9" t="s">
        <v>16</v>
      </c>
      <c r="E99" s="9" t="s">
        <v>60</v>
      </c>
      <c r="F99" s="9" t="s">
        <v>91</v>
      </c>
      <c r="G99" s="9">
        <v>0.0</v>
      </c>
      <c r="H99" s="9">
        <v>37500.0</v>
      </c>
      <c r="L99" s="9">
        <v>1.0</v>
      </c>
      <c r="M99" s="9" t="s">
        <v>67</v>
      </c>
      <c r="N99" s="9" t="s">
        <v>70</v>
      </c>
      <c r="O99" s="9" t="s">
        <v>81</v>
      </c>
      <c r="P99" s="9" t="s">
        <v>60</v>
      </c>
      <c r="Q99" s="9" t="s">
        <v>86</v>
      </c>
      <c r="R99" s="9">
        <v>0.0</v>
      </c>
      <c r="S99" s="9">
        <v>37500.0</v>
      </c>
    </row>
    <row r="100" ht="15.75" customHeight="1">
      <c r="B100" s="51">
        <v>43051.0</v>
      </c>
      <c r="C100" s="9" t="s">
        <v>18</v>
      </c>
      <c r="D100" s="9" t="s">
        <v>16</v>
      </c>
      <c r="E100" s="9" t="s">
        <v>60</v>
      </c>
      <c r="F100" s="9" t="s">
        <v>91</v>
      </c>
      <c r="G100" s="9">
        <v>37500.0</v>
      </c>
      <c r="H100" s="9">
        <v>0.0</v>
      </c>
      <c r="L100" s="9">
        <v>1.0</v>
      </c>
      <c r="M100" s="9" t="s">
        <v>67</v>
      </c>
      <c r="N100" s="9" t="s">
        <v>68</v>
      </c>
      <c r="O100" s="9" t="s">
        <v>81</v>
      </c>
      <c r="P100" s="9" t="s">
        <v>60</v>
      </c>
      <c r="Q100" s="9" t="s">
        <v>80</v>
      </c>
      <c r="R100" s="9">
        <v>37500.0</v>
      </c>
      <c r="S100" s="9">
        <v>0.0</v>
      </c>
    </row>
    <row r="101" ht="15.75" customHeight="1">
      <c r="B101" s="51">
        <v>43051.0</v>
      </c>
      <c r="C101" s="9" t="s">
        <v>18</v>
      </c>
      <c r="D101" s="9" t="s">
        <v>16</v>
      </c>
      <c r="E101" s="9" t="s">
        <v>60</v>
      </c>
      <c r="F101" s="9" t="s">
        <v>93</v>
      </c>
      <c r="G101" s="9">
        <v>0.0</v>
      </c>
      <c r="H101" s="9">
        <v>37500.0</v>
      </c>
      <c r="L101" s="9">
        <v>1.0</v>
      </c>
      <c r="M101" s="9" t="s">
        <v>67</v>
      </c>
      <c r="N101" s="9" t="s">
        <v>70</v>
      </c>
      <c r="O101" s="9" t="s">
        <v>81</v>
      </c>
      <c r="P101" s="9" t="s">
        <v>60</v>
      </c>
      <c r="Q101" s="9" t="s">
        <v>80</v>
      </c>
      <c r="R101" s="9">
        <v>0.0</v>
      </c>
      <c r="S101" s="9">
        <v>37500.0</v>
      </c>
    </row>
    <row r="102" ht="15.75" customHeight="1">
      <c r="B102" s="51">
        <v>43051.0</v>
      </c>
      <c r="C102" s="9" t="s">
        <v>18</v>
      </c>
      <c r="D102" s="9" t="s">
        <v>16</v>
      </c>
      <c r="E102" s="9" t="s">
        <v>60</v>
      </c>
      <c r="F102" s="9" t="s">
        <v>93</v>
      </c>
      <c r="G102" s="9">
        <v>37500.0</v>
      </c>
      <c r="H102" s="9">
        <v>0.0</v>
      </c>
      <c r="L102" s="9">
        <v>1.0</v>
      </c>
      <c r="M102" s="9" t="s">
        <v>67</v>
      </c>
      <c r="N102" s="9" t="s">
        <v>68</v>
      </c>
      <c r="O102" s="9" t="s">
        <v>81</v>
      </c>
      <c r="P102" s="9" t="s">
        <v>60</v>
      </c>
      <c r="Q102" s="9" t="s">
        <v>86</v>
      </c>
      <c r="R102" s="9">
        <v>37500.0</v>
      </c>
      <c r="S102" s="9">
        <v>0.0</v>
      </c>
    </row>
    <row r="103" ht="15.75" customHeight="1">
      <c r="B103" s="51">
        <v>43051.0</v>
      </c>
      <c r="C103" s="9" t="s">
        <v>18</v>
      </c>
      <c r="D103" s="9" t="s">
        <v>16</v>
      </c>
      <c r="E103" s="9" t="s">
        <v>60</v>
      </c>
      <c r="F103" s="9" t="s">
        <v>91</v>
      </c>
      <c r="G103" s="9">
        <v>0.0</v>
      </c>
      <c r="H103" s="9">
        <v>37500.0</v>
      </c>
      <c r="L103" s="9">
        <v>1.0</v>
      </c>
      <c r="M103" s="9" t="s">
        <v>67</v>
      </c>
      <c r="N103" s="9" t="s">
        <v>70</v>
      </c>
      <c r="O103" s="9" t="s">
        <v>81</v>
      </c>
      <c r="P103" s="9" t="s">
        <v>60</v>
      </c>
      <c r="Q103" s="9" t="s">
        <v>86</v>
      </c>
      <c r="R103" s="9">
        <v>0.0</v>
      </c>
      <c r="S103" s="9">
        <v>37500.0</v>
      </c>
    </row>
    <row r="104" ht="15.75" customHeight="1">
      <c r="B104" s="51">
        <v>43052.0</v>
      </c>
      <c r="C104" s="9" t="s">
        <v>18</v>
      </c>
      <c r="D104" s="9" t="s">
        <v>16</v>
      </c>
      <c r="E104" s="9" t="s">
        <v>60</v>
      </c>
      <c r="F104" s="9" t="s">
        <v>92</v>
      </c>
      <c r="G104" s="9">
        <v>22500.0</v>
      </c>
      <c r="H104" s="9">
        <v>0.0</v>
      </c>
      <c r="L104" s="9">
        <v>1.0</v>
      </c>
      <c r="M104" s="9" t="s">
        <v>67</v>
      </c>
      <c r="N104" s="9" t="s">
        <v>68</v>
      </c>
      <c r="O104" s="9" t="s">
        <v>81</v>
      </c>
      <c r="P104" s="9" t="s">
        <v>60</v>
      </c>
      <c r="Q104" s="9" t="s">
        <v>84</v>
      </c>
      <c r="R104" s="9">
        <v>22500.0</v>
      </c>
      <c r="S104" s="9">
        <v>0.0</v>
      </c>
    </row>
    <row r="105" ht="15.75" customHeight="1">
      <c r="B105" s="51">
        <v>43052.0</v>
      </c>
      <c r="C105" s="9" t="s">
        <v>18</v>
      </c>
      <c r="D105" s="9" t="s">
        <v>16</v>
      </c>
      <c r="E105" s="9" t="s">
        <v>60</v>
      </c>
      <c r="F105" s="9" t="s">
        <v>72</v>
      </c>
      <c r="G105" s="9">
        <v>0.0</v>
      </c>
      <c r="H105" s="9">
        <v>22500.0</v>
      </c>
      <c r="L105" s="9">
        <v>1.0</v>
      </c>
      <c r="M105" s="9" t="s">
        <v>67</v>
      </c>
      <c r="N105" s="9" t="s">
        <v>70</v>
      </c>
      <c r="O105" s="9" t="s">
        <v>81</v>
      </c>
      <c r="P105" s="9" t="s">
        <v>60</v>
      </c>
      <c r="Q105" s="9" t="s">
        <v>84</v>
      </c>
      <c r="R105" s="9">
        <v>0.0</v>
      </c>
      <c r="S105" s="9">
        <v>22500.0</v>
      </c>
    </row>
    <row r="106" ht="15.75" customHeight="1">
      <c r="B106" s="51">
        <v>43052.0</v>
      </c>
      <c r="C106" s="9" t="s">
        <v>18</v>
      </c>
      <c r="D106" s="9" t="s">
        <v>16</v>
      </c>
      <c r="E106" s="9" t="s">
        <v>60</v>
      </c>
      <c r="F106" s="9" t="s">
        <v>91</v>
      </c>
      <c r="G106" s="9">
        <v>15000.0</v>
      </c>
      <c r="H106" s="9">
        <v>0.0</v>
      </c>
      <c r="L106" s="9">
        <v>1.0</v>
      </c>
      <c r="M106" s="9" t="s">
        <v>67</v>
      </c>
      <c r="N106" s="9" t="s">
        <v>68</v>
      </c>
      <c r="O106" s="9" t="s">
        <v>81</v>
      </c>
      <c r="P106" s="9" t="s">
        <v>60</v>
      </c>
      <c r="Q106" s="9" t="s">
        <v>80</v>
      </c>
      <c r="R106" s="9">
        <v>15000.0</v>
      </c>
      <c r="S106" s="9">
        <v>0.0</v>
      </c>
    </row>
    <row r="107" ht="15.75" customHeight="1">
      <c r="B107" s="51">
        <v>43052.0</v>
      </c>
      <c r="C107" s="9" t="s">
        <v>18</v>
      </c>
      <c r="D107" s="9" t="s">
        <v>16</v>
      </c>
      <c r="E107" s="9" t="s">
        <v>60</v>
      </c>
      <c r="F107" s="9" t="s">
        <v>93</v>
      </c>
      <c r="G107" s="9">
        <v>0.0</v>
      </c>
      <c r="H107" s="9">
        <v>15000.0</v>
      </c>
      <c r="L107" s="9">
        <v>1.0</v>
      </c>
      <c r="M107" s="9" t="s">
        <v>67</v>
      </c>
      <c r="N107" s="9" t="s">
        <v>70</v>
      </c>
      <c r="O107" s="9" t="s">
        <v>81</v>
      </c>
      <c r="P107" s="9" t="s">
        <v>60</v>
      </c>
      <c r="Q107" s="9" t="s">
        <v>80</v>
      </c>
      <c r="R107" s="9">
        <v>0.0</v>
      </c>
      <c r="S107" s="9">
        <v>15000.0</v>
      </c>
    </row>
    <row r="108" ht="15.75" customHeight="1">
      <c r="B108" s="51">
        <v>43052.0</v>
      </c>
      <c r="C108" s="9" t="s">
        <v>18</v>
      </c>
      <c r="D108" s="9" t="s">
        <v>16</v>
      </c>
      <c r="E108" s="9" t="s">
        <v>60</v>
      </c>
      <c r="F108" s="9" t="s">
        <v>90</v>
      </c>
      <c r="G108" s="9">
        <v>22500.0</v>
      </c>
      <c r="H108" s="9">
        <v>0.0</v>
      </c>
      <c r="L108" s="9">
        <v>1.0</v>
      </c>
      <c r="M108" s="9" t="s">
        <v>67</v>
      </c>
      <c r="N108" s="9" t="s">
        <v>68</v>
      </c>
      <c r="O108" s="9" t="s">
        <v>81</v>
      </c>
      <c r="P108" s="9" t="s">
        <v>60</v>
      </c>
      <c r="Q108" s="9" t="s">
        <v>86</v>
      </c>
      <c r="R108" s="9">
        <v>22500.0</v>
      </c>
      <c r="S108" s="9">
        <v>0.0</v>
      </c>
    </row>
    <row r="109" ht="15.75" customHeight="1">
      <c r="B109" s="51">
        <v>43052.0</v>
      </c>
      <c r="C109" s="9" t="s">
        <v>18</v>
      </c>
      <c r="D109" s="9" t="s">
        <v>16</v>
      </c>
      <c r="E109" s="9" t="s">
        <v>60</v>
      </c>
      <c r="F109" s="9" t="s">
        <v>91</v>
      </c>
      <c r="G109" s="9">
        <v>0.0</v>
      </c>
      <c r="H109" s="9">
        <v>22500.0</v>
      </c>
      <c r="L109" s="9">
        <v>1.0</v>
      </c>
      <c r="M109" s="9" t="s">
        <v>67</v>
      </c>
      <c r="N109" s="9" t="s">
        <v>70</v>
      </c>
      <c r="O109" s="9" t="s">
        <v>81</v>
      </c>
      <c r="P109" s="9" t="s">
        <v>60</v>
      </c>
      <c r="Q109" s="9" t="s">
        <v>86</v>
      </c>
      <c r="R109" s="9">
        <v>0.0</v>
      </c>
      <c r="S109" s="9">
        <v>22500.0</v>
      </c>
    </row>
    <row r="110" ht="15.75" customHeight="1">
      <c r="B110" s="51">
        <v>43052.0</v>
      </c>
      <c r="C110" s="9" t="s">
        <v>18</v>
      </c>
      <c r="D110" s="9" t="s">
        <v>16</v>
      </c>
      <c r="E110" s="9" t="s">
        <v>60</v>
      </c>
      <c r="F110" s="9" t="s">
        <v>93</v>
      </c>
      <c r="G110" s="9">
        <v>15000.0</v>
      </c>
      <c r="H110" s="9">
        <v>0.0</v>
      </c>
      <c r="L110" s="9">
        <v>1.0</v>
      </c>
      <c r="M110" s="9" t="s">
        <v>67</v>
      </c>
      <c r="N110" s="9" t="s">
        <v>68</v>
      </c>
      <c r="O110" s="9" t="s">
        <v>81</v>
      </c>
      <c r="P110" s="9" t="s">
        <v>60</v>
      </c>
      <c r="Q110" s="9" t="s">
        <v>86</v>
      </c>
      <c r="R110" s="9">
        <v>15000.0</v>
      </c>
      <c r="S110" s="9">
        <v>0.0</v>
      </c>
    </row>
    <row r="111" ht="15.75" customHeight="1">
      <c r="B111" s="51">
        <v>43052.0</v>
      </c>
      <c r="C111" s="9" t="s">
        <v>18</v>
      </c>
      <c r="D111" s="9" t="s">
        <v>16</v>
      </c>
      <c r="E111" s="9" t="s">
        <v>60</v>
      </c>
      <c r="F111" s="9" t="s">
        <v>91</v>
      </c>
      <c r="G111" s="9">
        <v>0.0</v>
      </c>
      <c r="H111" s="9">
        <v>15000.0</v>
      </c>
      <c r="L111" s="9">
        <v>1.0</v>
      </c>
      <c r="M111" s="9" t="s">
        <v>67</v>
      </c>
      <c r="N111" s="9" t="s">
        <v>70</v>
      </c>
      <c r="O111" s="9" t="s">
        <v>81</v>
      </c>
      <c r="P111" s="9" t="s">
        <v>60</v>
      </c>
      <c r="Q111" s="9" t="s">
        <v>86</v>
      </c>
      <c r="R111" s="9">
        <v>0.0</v>
      </c>
      <c r="S111" s="9">
        <v>15000.0</v>
      </c>
    </row>
    <row r="112" ht="15.75" customHeight="1">
      <c r="B112" s="51">
        <v>43053.0</v>
      </c>
      <c r="C112" s="9" t="s">
        <v>18</v>
      </c>
      <c r="D112" s="9" t="s">
        <v>16</v>
      </c>
      <c r="E112" s="9" t="s">
        <v>60</v>
      </c>
      <c r="F112" s="9" t="s">
        <v>91</v>
      </c>
      <c r="G112" s="9">
        <v>15000.0</v>
      </c>
      <c r="H112" s="9">
        <v>0.0</v>
      </c>
      <c r="L112" s="9">
        <v>1.0</v>
      </c>
      <c r="M112" s="9" t="s">
        <v>67</v>
      </c>
      <c r="N112" s="9" t="s">
        <v>68</v>
      </c>
      <c r="O112" s="9" t="s">
        <v>81</v>
      </c>
      <c r="P112" s="9" t="s">
        <v>60</v>
      </c>
      <c r="Q112" s="9" t="s">
        <v>80</v>
      </c>
      <c r="R112" s="9">
        <v>15000.0</v>
      </c>
      <c r="S112" s="9">
        <v>0.0</v>
      </c>
    </row>
    <row r="113" ht="15.75" customHeight="1">
      <c r="B113" s="51">
        <v>43053.0</v>
      </c>
      <c r="C113" s="9" t="s">
        <v>18</v>
      </c>
      <c r="D113" s="9" t="s">
        <v>16</v>
      </c>
      <c r="E113" s="9" t="s">
        <v>60</v>
      </c>
      <c r="F113" s="9" t="s">
        <v>93</v>
      </c>
      <c r="G113" s="9">
        <v>0.0</v>
      </c>
      <c r="H113" s="9">
        <v>15000.0</v>
      </c>
      <c r="L113" s="9">
        <v>1.0</v>
      </c>
      <c r="M113" s="9" t="s">
        <v>67</v>
      </c>
      <c r="N113" s="9" t="s">
        <v>70</v>
      </c>
      <c r="O113" s="9" t="s">
        <v>81</v>
      </c>
      <c r="P113" s="9" t="s">
        <v>60</v>
      </c>
      <c r="Q113" s="9" t="s">
        <v>80</v>
      </c>
      <c r="R113" s="9">
        <v>0.0</v>
      </c>
      <c r="S113" s="9">
        <v>15000.0</v>
      </c>
    </row>
    <row r="114" ht="15.75" customHeight="1">
      <c r="B114" s="51">
        <v>43053.0</v>
      </c>
      <c r="C114" s="9" t="s">
        <v>18</v>
      </c>
      <c r="D114" s="9" t="s">
        <v>16</v>
      </c>
      <c r="E114" s="9" t="s">
        <v>60</v>
      </c>
      <c r="F114" s="9" t="s">
        <v>93</v>
      </c>
      <c r="G114" s="9">
        <v>15000.0</v>
      </c>
      <c r="H114" s="9">
        <v>0.0</v>
      </c>
      <c r="L114" s="9">
        <v>1.0</v>
      </c>
      <c r="M114" s="9" t="s">
        <v>67</v>
      </c>
      <c r="N114" s="9" t="s">
        <v>68</v>
      </c>
      <c r="O114" s="9" t="s">
        <v>81</v>
      </c>
      <c r="P114" s="9" t="s">
        <v>60</v>
      </c>
      <c r="Q114" s="9" t="s">
        <v>86</v>
      </c>
      <c r="R114" s="9">
        <v>15000.0</v>
      </c>
      <c r="S114" s="9">
        <v>0.0</v>
      </c>
    </row>
    <row r="115" ht="15.75" customHeight="1">
      <c r="B115" s="51">
        <v>43053.0</v>
      </c>
      <c r="C115" s="9" t="s">
        <v>18</v>
      </c>
      <c r="D115" s="9" t="s">
        <v>16</v>
      </c>
      <c r="E115" s="9" t="s">
        <v>60</v>
      </c>
      <c r="F115" s="9" t="s">
        <v>91</v>
      </c>
      <c r="G115" s="9">
        <v>0.0</v>
      </c>
      <c r="H115" s="9">
        <v>15000.0</v>
      </c>
      <c r="L115" s="9">
        <v>1.0</v>
      </c>
      <c r="M115" s="9" t="s">
        <v>67</v>
      </c>
      <c r="N115" s="9" t="s">
        <v>70</v>
      </c>
      <c r="O115" s="9" t="s">
        <v>81</v>
      </c>
      <c r="P115" s="9" t="s">
        <v>60</v>
      </c>
      <c r="Q115" s="9" t="s">
        <v>86</v>
      </c>
      <c r="R115" s="9">
        <v>0.0</v>
      </c>
      <c r="S115" s="9">
        <v>15000.0</v>
      </c>
    </row>
    <row r="116" ht="15.75" customHeight="1">
      <c r="B116" s="51">
        <v>43054.0</v>
      </c>
      <c r="C116" s="9" t="s">
        <v>18</v>
      </c>
      <c r="D116" s="9" t="s">
        <v>16</v>
      </c>
      <c r="E116" s="9" t="s">
        <v>60</v>
      </c>
      <c r="F116" s="9" t="s">
        <v>91</v>
      </c>
      <c r="G116" s="9">
        <v>15000.0</v>
      </c>
      <c r="H116" s="9">
        <v>0.0</v>
      </c>
      <c r="L116" s="9">
        <v>1.0</v>
      </c>
      <c r="M116" s="9" t="s">
        <v>67</v>
      </c>
      <c r="N116" s="9" t="s">
        <v>68</v>
      </c>
      <c r="O116" s="9" t="s">
        <v>81</v>
      </c>
      <c r="P116" s="9" t="s">
        <v>60</v>
      </c>
      <c r="Q116" s="9" t="s">
        <v>80</v>
      </c>
      <c r="R116" s="9">
        <v>15000.0</v>
      </c>
      <c r="S116" s="9">
        <v>0.0</v>
      </c>
    </row>
    <row r="117" ht="15.75" customHeight="1">
      <c r="B117" s="51">
        <v>43054.0</v>
      </c>
      <c r="C117" s="9" t="s">
        <v>18</v>
      </c>
      <c r="D117" s="9" t="s">
        <v>16</v>
      </c>
      <c r="E117" s="9" t="s">
        <v>60</v>
      </c>
      <c r="F117" s="9" t="s">
        <v>93</v>
      </c>
      <c r="G117" s="9">
        <v>0.0</v>
      </c>
      <c r="H117" s="9">
        <v>15000.0</v>
      </c>
      <c r="L117" s="9">
        <v>1.0</v>
      </c>
      <c r="M117" s="9" t="s">
        <v>67</v>
      </c>
      <c r="N117" s="9" t="s">
        <v>70</v>
      </c>
      <c r="O117" s="9" t="s">
        <v>81</v>
      </c>
      <c r="P117" s="9" t="s">
        <v>60</v>
      </c>
      <c r="Q117" s="9" t="s">
        <v>80</v>
      </c>
      <c r="R117" s="9">
        <v>0.0</v>
      </c>
      <c r="S117" s="9">
        <v>15000.0</v>
      </c>
    </row>
    <row r="118" ht="15.75" customHeight="1">
      <c r="B118" s="51">
        <v>43054.0</v>
      </c>
      <c r="C118" s="9" t="s">
        <v>18</v>
      </c>
      <c r="D118" s="9" t="s">
        <v>16</v>
      </c>
      <c r="E118" s="9" t="s">
        <v>60</v>
      </c>
      <c r="F118" s="9" t="s">
        <v>93</v>
      </c>
      <c r="G118" s="9">
        <v>15000.0</v>
      </c>
      <c r="H118" s="9">
        <v>0.0</v>
      </c>
      <c r="L118" s="9">
        <v>1.0</v>
      </c>
      <c r="M118" s="9" t="s">
        <v>67</v>
      </c>
      <c r="N118" s="9" t="s">
        <v>68</v>
      </c>
      <c r="O118" s="9" t="s">
        <v>81</v>
      </c>
      <c r="P118" s="9" t="s">
        <v>60</v>
      </c>
      <c r="Q118" s="9" t="s">
        <v>86</v>
      </c>
      <c r="R118" s="9">
        <v>15000.0</v>
      </c>
      <c r="S118" s="9">
        <v>0.0</v>
      </c>
    </row>
    <row r="119" ht="15.75" customHeight="1">
      <c r="B119" s="51">
        <v>43054.0</v>
      </c>
      <c r="C119" s="9" t="s">
        <v>18</v>
      </c>
      <c r="D119" s="9" t="s">
        <v>16</v>
      </c>
      <c r="E119" s="9" t="s">
        <v>60</v>
      </c>
      <c r="F119" s="9" t="s">
        <v>91</v>
      </c>
      <c r="G119" s="9">
        <v>0.0</v>
      </c>
      <c r="H119" s="9">
        <v>15000.0</v>
      </c>
      <c r="L119" s="9">
        <v>1.0</v>
      </c>
      <c r="M119" s="9" t="s">
        <v>67</v>
      </c>
      <c r="N119" s="9" t="s">
        <v>70</v>
      </c>
      <c r="O119" s="9" t="s">
        <v>81</v>
      </c>
      <c r="P119" s="9" t="s">
        <v>60</v>
      </c>
      <c r="Q119" s="9" t="s">
        <v>86</v>
      </c>
      <c r="R119" s="9">
        <v>0.0</v>
      </c>
      <c r="S119" s="9">
        <v>15000.0</v>
      </c>
    </row>
    <row r="120" ht="15.75" customHeight="1">
      <c r="B120" s="51">
        <v>43055.0</v>
      </c>
      <c r="C120" s="9" t="s">
        <v>18</v>
      </c>
      <c r="D120" s="9" t="s">
        <v>16</v>
      </c>
      <c r="E120" s="9" t="s">
        <v>60</v>
      </c>
      <c r="F120" s="9" t="s">
        <v>91</v>
      </c>
      <c r="G120" s="9">
        <v>15000.0</v>
      </c>
      <c r="H120" s="9">
        <v>0.0</v>
      </c>
      <c r="L120" s="9">
        <v>1.0</v>
      </c>
      <c r="M120" s="9" t="s">
        <v>67</v>
      </c>
      <c r="N120" s="9" t="s">
        <v>68</v>
      </c>
      <c r="O120" s="9" t="s">
        <v>81</v>
      </c>
      <c r="P120" s="9" t="s">
        <v>60</v>
      </c>
      <c r="Q120" s="9" t="s">
        <v>80</v>
      </c>
      <c r="R120" s="9">
        <v>15000.0</v>
      </c>
      <c r="S120" s="9">
        <v>0.0</v>
      </c>
    </row>
    <row r="121" ht="15.75" customHeight="1">
      <c r="B121" s="51">
        <v>43055.0</v>
      </c>
      <c r="C121" s="9" t="s">
        <v>18</v>
      </c>
      <c r="D121" s="9" t="s">
        <v>16</v>
      </c>
      <c r="E121" s="9" t="s">
        <v>60</v>
      </c>
      <c r="F121" s="9" t="s">
        <v>93</v>
      </c>
      <c r="G121" s="9">
        <v>0.0</v>
      </c>
      <c r="H121" s="9">
        <v>15000.0</v>
      </c>
      <c r="L121" s="9">
        <v>1.0</v>
      </c>
      <c r="M121" s="9" t="s">
        <v>67</v>
      </c>
      <c r="N121" s="9" t="s">
        <v>70</v>
      </c>
      <c r="O121" s="9" t="s">
        <v>81</v>
      </c>
      <c r="P121" s="9" t="s">
        <v>60</v>
      </c>
      <c r="Q121" s="9" t="s">
        <v>80</v>
      </c>
      <c r="R121" s="9">
        <v>0.0</v>
      </c>
      <c r="S121" s="9">
        <v>15000.0</v>
      </c>
    </row>
    <row r="122" ht="15.75" customHeight="1">
      <c r="B122" s="51">
        <v>43055.0</v>
      </c>
      <c r="C122" s="9" t="s">
        <v>18</v>
      </c>
      <c r="D122" s="9" t="s">
        <v>16</v>
      </c>
      <c r="E122" s="9" t="s">
        <v>60</v>
      </c>
      <c r="F122" s="9" t="s">
        <v>93</v>
      </c>
      <c r="G122" s="9">
        <v>15000.0</v>
      </c>
      <c r="H122" s="9">
        <v>0.0</v>
      </c>
      <c r="L122" s="9">
        <v>1.0</v>
      </c>
      <c r="M122" s="9" t="s">
        <v>67</v>
      </c>
      <c r="N122" s="9" t="s">
        <v>68</v>
      </c>
      <c r="O122" s="9" t="s">
        <v>81</v>
      </c>
      <c r="P122" s="9" t="s">
        <v>60</v>
      </c>
      <c r="Q122" s="9" t="s">
        <v>86</v>
      </c>
      <c r="R122" s="9">
        <v>15000.0</v>
      </c>
      <c r="S122" s="9">
        <v>0.0</v>
      </c>
    </row>
    <row r="123" ht="15.75" customHeight="1">
      <c r="B123" s="51">
        <v>43055.0</v>
      </c>
      <c r="C123" s="9" t="s">
        <v>18</v>
      </c>
      <c r="D123" s="9" t="s">
        <v>16</v>
      </c>
      <c r="E123" s="9" t="s">
        <v>60</v>
      </c>
      <c r="F123" s="9" t="s">
        <v>91</v>
      </c>
      <c r="G123" s="9">
        <v>0.0</v>
      </c>
      <c r="H123" s="9">
        <v>15000.0</v>
      </c>
      <c r="L123" s="9">
        <v>1.0</v>
      </c>
      <c r="M123" s="9" t="s">
        <v>67</v>
      </c>
      <c r="N123" s="9" t="s">
        <v>70</v>
      </c>
      <c r="O123" s="9" t="s">
        <v>81</v>
      </c>
      <c r="P123" s="9" t="s">
        <v>60</v>
      </c>
      <c r="Q123" s="9" t="s">
        <v>86</v>
      </c>
      <c r="R123" s="9">
        <v>0.0</v>
      </c>
      <c r="S123" s="9">
        <v>15000.0</v>
      </c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