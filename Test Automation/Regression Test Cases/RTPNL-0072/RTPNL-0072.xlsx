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Unallocate" sheetId="6" r:id="rId8"/>
    <sheet state="visible" name="OpenRTPNL" sheetId="7" r:id="rId9"/>
    <sheet state="visible" name="CheckFundLevelAggregation" sheetId="8" r:id="rId10"/>
    <sheet state="visible" name="SelectTradeOnOrderGrid" sheetId="9" r:id="rId11"/>
    <sheet state="visible" name="AllocateFromBlotter" sheetId="10" r:id="rId12"/>
    <sheet state="visible" name="CheckFundLevelAggregation1" sheetId="11" r:id="rId13"/>
    <sheet state="visible" name="CustomOrderTT" sheetId="12" r:id="rId14"/>
    <sheet state="visible" name="PricingInput1" sheetId="13" r:id="rId15"/>
    <sheet state="visible" name="VerifyOrder" sheetId="14" r:id="rId16"/>
    <sheet state="visible" name="VerifyWorkingSubs" sheetId="15" r:id="rId17"/>
    <sheet state="visible" name="CheckRealTimeSymAccountMonitor" sheetId="16" r:id="rId18"/>
  </sheets>
  <definedNames/>
  <calcPr/>
</workbook>
</file>

<file path=xl/sharedStrings.xml><?xml version="1.0" encoding="utf-8"?>
<sst xmlns="http://schemas.openxmlformats.org/spreadsheetml/2006/main" count="158" uniqueCount="44">
  <si>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</si>
  <si>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</si>
  <si>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</si>
  <si>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</si>
  <si>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</si>
  <si>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</si>
  <si>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</si>
  <si>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</si>
  <si>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</si>
  <si>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</si>
  <si>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</si>
  <si>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</si>
  <si>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</si>
  <si>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</si>
  <si>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</si>
  <si>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</si>
  <si>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</si>
  <si>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</si>
  <si>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</si>
  <si>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Yes</t>
  </si>
  <si>
    <t>PricingInput</t>
  </si>
  <si>
    <t>Allocation</t>
  </si>
  <si>
    <t>Unallocate</t>
  </si>
  <si>
    <t>RTPNL</t>
  </si>
  <si>
    <t>OpenRTPNL</t>
  </si>
  <si>
    <t>Nirvana,PM</t>
  </si>
  <si>
    <t>CheckFundLevelAggregation</t>
  </si>
  <si>
    <t>Blotter</t>
  </si>
  <si>
    <t>SelectTradeOnOrderGrid</t>
  </si>
  <si>
    <t>Filled</t>
  </si>
  <si>
    <t>AllocateFromBlotter</t>
  </si>
  <si>
    <t>NewMF</t>
  </si>
  <si>
    <t>CustomOrderTT</t>
  </si>
  <si>
    <t>SAP</t>
  </si>
  <si>
    <t>DoneAway</t>
  </si>
  <si>
    <t>IBM</t>
  </si>
  <si>
    <t>Allocation2</t>
  </si>
  <si>
    <t>VerifyOrder</t>
  </si>
  <si>
    <t>Equity</t>
  </si>
  <si>
    <t>MS</t>
  </si>
  <si>
    <t>VerifyWorkingSubs</t>
  </si>
  <si>
    <t>CheckRealTimeSymAccountMonitor</t>
  </si>
  <si>
    <t>NewMF1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</si>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</sst>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shrinkToFit="0" vertical="bottom" wrapText="0"/>
    </xf>
    <xf borderId="0" fillId="0" fontId="13" numFmtId="4" xfId="0" applyAlignment="1" applyFont="1" applyNumberFormat="1">
      <alignment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10" xfId="0" applyAlignment="1" applyFont="1" applyNumberFormat="1">
      <alignment readingOrder="0" shrinkToFit="0" vertical="bottom" wrapText="0"/>
    </xf>
    <xf borderId="0" fillId="0" fontId="5" numFmtId="2" xfId="0" applyAlignment="1" applyFont="1" applyNumberFormat="1">
      <alignment readingOrder="0" shrinkToFit="0" wrapText="0"/>
    </xf>
    <xf borderId="0" fillId="0" fontId="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164" xfId="0" applyAlignment="1" applyFont="1" applyNumberFormat="1">
      <alignment readingOrder="0" shrinkToFit="0" wrapText="0"/>
    </xf>
    <xf borderId="0" fillId="0" fontId="2" numFmtId="164" xfId="0" applyAlignment="1" applyFont="1" applyNumberFormat="1">
      <alignment readingOrder="0"/>
    </xf>
    <xf borderId="0" fillId="0" fontId="13" numFmtId="164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1000.0</v>
      </c>
      <c r="E6" s="30"/>
      <c r="F6" s="12" t="s">
        <v>18</v>
      </c>
      <c r="G6" s="8"/>
      <c r="H6" s="8"/>
      <c r="I6" s="8"/>
      <c r="J6" s="12">
        <v>10.0</v>
      </c>
      <c r="K6" s="8"/>
      <c r="L6" s="8"/>
      <c r="M6" s="8"/>
      <c r="N6" s="8"/>
      <c r="O6" s="8"/>
      <c r="AQ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1000.0</v>
      </c>
      <c r="D6" s="12"/>
      <c r="E6" s="12" t="s">
        <v>18</v>
      </c>
      <c r="F6" s="12" t="s">
        <v>17</v>
      </c>
      <c r="G6" s="8"/>
      <c r="H6" s="12">
        <v>10.0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IFERROR(__xludf.DUMMYFUNCTION("""COMPUTED_VALUE"""),"Fund")</f>
        <v>Fund</v>
      </c>
      <c r="C5" s="27" t="str">
        <f>IFERROR(__xludf.DUMMYFUNCTION("""COMPUTED_VALUE"""),"Market Value")</f>
        <v>Market Value</v>
      </c>
      <c r="D5" s="27" t="str">
        <f>IFERROR(__xludf.DUMMYFUNCTION("""COMPUTED_VALUE"""),"P&amp;L")</f>
        <v>P&amp;L</v>
      </c>
      <c r="E5" s="27" t="str">
        <f>IFERROR(__xludf.DUMMYFUNCTION("""COMPUTED_VALUE"""),"Day P&amp;L")</f>
        <v>Day P&amp;L</v>
      </c>
      <c r="F5" s="28" t="str">
        <f>IFERROR(__xludf.DUMMYFUNCTION("""COMPUTED_VALUE"""),"Exposure")</f>
        <v>Exposure</v>
      </c>
      <c r="G5" s="27" t="str">
        <f>IFERROR(__xludf.DUMMYFUNCTION("""COMPUTED_VALUE"""),"% Gain/Loss Day")</f>
        <v>% Gain/Loss Day</v>
      </c>
      <c r="H5" s="27" t="str">
        <f>IFERROR(__xludf.DUMMYFUNCTION("""COMPUTED_VALUE"""),"% Gain/Loss Cost")</f>
        <v>% Gain/Loss Cost</v>
      </c>
      <c r="I5" s="27" t="str">
        <f>IFERROR(__xludf.DUMMYFUNCTION("""COMPUTED_VALUE"""),"% Market Value")</f>
        <v>% Market Value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IFERROR(__xludf.DUMMYFUNCTION("""COMPUTED_VALUE"""),"Long Exposure")</f>
        <v>Long Exposure</v>
      </c>
      <c r="N5" s="27" t="str">
        <f>IFERROR(__xludf.DUMMYFUNCTION("""COMPUTED_VALUE"""),"% Long Exposure")</f>
        <v>% Long Exposure</v>
      </c>
      <c r="O5" s="27" t="str">
        <f>IFERROR(__xludf.DUMMYFUNCTION("""COMPUTED_VALUE"""),"Accruals")</f>
        <v>Accruals</v>
      </c>
      <c r="P5" s="27" t="str">
        <f>IFERROR(__xludf.DUMMYFUNCTION("""COMPUTED_VALUE"""),"Cash")</f>
        <v>Cash</v>
      </c>
      <c r="Q5" s="27" t="str">
        <f>IFERROR(__xludf.DUMMYFUNCTION("""COMPUTED_VALUE"""),"NAV")</f>
        <v>NAV</v>
      </c>
      <c r="R5" s="27" t="str">
        <f>IFERROR(__xludf.DUMMYFUNCTION("""COMPUTED_VALUE"""),"Testing Type")</f>
        <v>Testing Type</v>
      </c>
      <c r="S5" s="27" t="str">
        <f>IFERROR(__xludf.DUMMYFUNCTION("""COMPUTED_VALUE"""),"Testing Column")</f>
        <v>Testing Column</v>
      </c>
      <c r="T5" s="29" t="str">
        <f>IFERROR(__xludf.DUMMYFUNCTION("""COMPUTED_VALUE"""),"Testing Col Value")</f>
        <v>Testing Col Value</v>
      </c>
      <c r="U5" s="29" t="str">
        <f>IFERROR(__xludf.DUMMYFUNCTION("""COMPUTED_VALUE"""),"DuplicateCountOnUI")</f>
        <v>DuplicateCountOnUI</v>
      </c>
      <c r="V5" s="29" t="str">
        <f>IFERROR(__xludf.DUMMYFUNCTION("""COMPUTED_VALUE"""),"DuplicateRow")</f>
        <v>DuplicateRow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/>
      <c r="C6" s="32">
        <v>10000.0</v>
      </c>
      <c r="D6" s="33"/>
      <c r="E6" s="32">
        <v>0.0</v>
      </c>
      <c r="F6" s="32">
        <v>10000.0</v>
      </c>
      <c r="G6" s="34"/>
      <c r="H6" s="35"/>
      <c r="I6" s="12"/>
      <c r="J6" s="12">
        <v>0.0</v>
      </c>
      <c r="K6" s="12"/>
      <c r="L6" s="12"/>
      <c r="M6" s="32">
        <v>10000.0</v>
      </c>
      <c r="N6" s="12"/>
      <c r="O6" s="12">
        <v>0.0</v>
      </c>
      <c r="P6" s="9">
        <v>-10000.0</v>
      </c>
      <c r="Q6" s="33">
        <v>0.0</v>
      </c>
    </row>
    <row r="7" ht="15.75" customHeight="1">
      <c r="A7" s="36"/>
      <c r="B7" s="33"/>
      <c r="C7" s="33"/>
      <c r="D7" s="33"/>
      <c r="E7" s="33"/>
      <c r="F7" s="33"/>
      <c r="G7" s="34"/>
      <c r="H7" s="37"/>
      <c r="I7" s="37"/>
      <c r="J7" s="37"/>
      <c r="K7" s="37"/>
      <c r="L7" s="37"/>
      <c r="M7" s="37"/>
      <c r="N7" s="37"/>
      <c r="O7" s="37"/>
      <c r="P7" s="37"/>
      <c r="Q7" s="37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3"/>
      <c r="C8" s="33"/>
      <c r="D8" s="33"/>
      <c r="E8" s="33"/>
      <c r="F8" s="32"/>
      <c r="G8" s="34"/>
      <c r="H8" s="37"/>
      <c r="I8" s="37"/>
      <c r="J8" s="37"/>
      <c r="K8" s="37"/>
      <c r="L8" s="37"/>
      <c r="M8" s="37"/>
      <c r="N8" s="37"/>
      <c r="O8" s="37"/>
      <c r="P8" s="37"/>
      <c r="Q8" s="37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3"/>
      <c r="C9" s="33"/>
      <c r="D9" s="33"/>
      <c r="E9" s="33"/>
      <c r="F9" s="33"/>
      <c r="G9" s="34"/>
      <c r="H9" s="37"/>
      <c r="I9" s="37"/>
      <c r="J9" s="37"/>
      <c r="K9" s="37"/>
      <c r="L9" s="37"/>
      <c r="M9" s="37"/>
      <c r="N9" s="37"/>
      <c r="O9" s="37"/>
      <c r="P9" s="37"/>
      <c r="Q9" s="37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3"/>
      <c r="C10" s="33"/>
      <c r="D10" s="33"/>
      <c r="E10" s="33"/>
      <c r="F10" s="33"/>
      <c r="G10" s="34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3"/>
      <c r="C11" s="33"/>
      <c r="D11" s="33"/>
      <c r="E11" s="33"/>
      <c r="F11" s="33"/>
      <c r="G11" s="34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33"/>
      <c r="C12" s="33"/>
      <c r="D12" s="33"/>
      <c r="E12" s="33"/>
      <c r="F12" s="33"/>
      <c r="G12" s="34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38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CheckFundLevelAggregation!$4:$4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17</v>
      </c>
      <c r="G6" s="12" t="s">
        <v>29</v>
      </c>
      <c r="H6" s="12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9"/>
      <c r="C6" s="40" t="s">
        <v>18</v>
      </c>
      <c r="D6" s="41">
        <v>100.0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IFERROR(__xludf.DUMMYFUNCTION("""COMPUTED_VALUE"""),"Fund")</f>
        <v>Fund</v>
      </c>
      <c r="C5" s="27" t="str">
        <f>IFERROR(__xludf.DUMMYFUNCTION("""COMPUTED_VALUE"""),"Market Value")</f>
        <v>Market Value</v>
      </c>
      <c r="D5" s="27" t="str">
        <f>IFERROR(__xludf.DUMMYFUNCTION("""COMPUTED_VALUE"""),"P&amp;L")</f>
        <v>P&amp;L</v>
      </c>
      <c r="E5" s="27" t="str">
        <f>IFERROR(__xludf.DUMMYFUNCTION("""COMPUTED_VALUE"""),"Day P&amp;L")</f>
        <v>Day P&amp;L</v>
      </c>
      <c r="F5" s="28" t="str">
        <f>IFERROR(__xludf.DUMMYFUNCTION("""COMPUTED_VALUE"""),"Exposure")</f>
        <v>Exposure</v>
      </c>
      <c r="G5" s="27" t="str">
        <f>IFERROR(__xludf.DUMMYFUNCTION("""COMPUTED_VALUE"""),"% Gain/Loss Day")</f>
        <v>% Gain/Loss Day</v>
      </c>
      <c r="H5" s="27" t="str">
        <f>IFERROR(__xludf.DUMMYFUNCTION("""COMPUTED_VALUE"""),"% Gain/Loss Cost")</f>
        <v>% Gain/Loss Cost</v>
      </c>
      <c r="I5" s="27" t="str">
        <f>IFERROR(__xludf.DUMMYFUNCTION("""COMPUTED_VALUE"""),"% Market Value")</f>
        <v>% Market Value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IFERROR(__xludf.DUMMYFUNCTION("""COMPUTED_VALUE"""),"Long Exposure")</f>
        <v>Long Exposure</v>
      </c>
      <c r="N5" s="27" t="str">
        <f>IFERROR(__xludf.DUMMYFUNCTION("""COMPUTED_VALUE"""),"% Long Exposure")</f>
        <v>% Long Exposure</v>
      </c>
      <c r="O5" s="27" t="str">
        <f>IFERROR(__xludf.DUMMYFUNCTION("""COMPUTED_VALUE"""),"Accruals")</f>
        <v>Accruals</v>
      </c>
      <c r="P5" s="27" t="str">
        <f>IFERROR(__xludf.DUMMYFUNCTION("""COMPUTED_VALUE"""),"Cash")</f>
        <v>Cash</v>
      </c>
      <c r="Q5" s="27" t="str">
        <f>IFERROR(__xludf.DUMMYFUNCTION("""COMPUTED_VALUE"""),"NAV")</f>
        <v>NAV</v>
      </c>
      <c r="R5" s="27" t="str">
        <f>IFERROR(__xludf.DUMMYFUNCTION("""COMPUTED_VALUE"""),"Testing Type")</f>
        <v>Testing Type</v>
      </c>
      <c r="S5" s="27" t="str">
        <f>IFERROR(__xludf.DUMMYFUNCTION("""COMPUTED_VALUE"""),"Testing Column")</f>
        <v>Testing Column</v>
      </c>
      <c r="T5" s="29" t="str">
        <f>IFERROR(__xludf.DUMMYFUNCTION("""COMPUTED_VALUE"""),"Testing Col Value")</f>
        <v>Testing Col Value</v>
      </c>
      <c r="U5" s="29" t="str">
        <f>IFERROR(__xludf.DUMMYFUNCTION("""COMPUTED_VALUE"""),"DuplicateCountOnUI")</f>
        <v>DuplicateCountOnUI</v>
      </c>
      <c r="V5" s="29" t="str">
        <f>IFERROR(__xludf.DUMMYFUNCTION("""COMPUTED_VALUE"""),"DuplicateRow")</f>
        <v>DuplicateRow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8" t="s">
        <v>31</v>
      </c>
      <c r="C6" s="32">
        <v>10000.0</v>
      </c>
      <c r="D6" s="33">
        <v>0.0</v>
      </c>
      <c r="E6" s="32"/>
      <c r="F6" s="32">
        <v>10000.0</v>
      </c>
      <c r="G6" s="34"/>
      <c r="H6" s="35"/>
      <c r="I6" s="12"/>
      <c r="J6" s="12">
        <v>0.0</v>
      </c>
      <c r="K6" s="12"/>
      <c r="L6" s="12"/>
      <c r="M6" s="32">
        <v>10000.0</v>
      </c>
      <c r="N6" s="12"/>
      <c r="O6" s="12">
        <v>0.0</v>
      </c>
      <c r="P6" s="9">
        <v>-10000.0</v>
      </c>
      <c r="Q6" s="33">
        <v>0.0</v>
      </c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8" ht="15.75" customHeight="1">
      <c r="A8" s="36"/>
      <c r="B8" s="38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8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8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8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CheckFundLevelAggregation1!$4:$4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>
        <v>100.0</v>
      </c>
      <c r="D6" s="12">
        <v>2.22</v>
      </c>
      <c r="E6" s="12" t="s">
        <v>34</v>
      </c>
      <c r="F6" s="8"/>
      <c r="G6" s="8"/>
      <c r="H6" s="8"/>
      <c r="I6" s="12" t="s">
        <v>18</v>
      </c>
      <c r="J6" s="12" t="s">
        <v>17</v>
      </c>
      <c r="K6" s="8"/>
      <c r="L6" s="8"/>
      <c r="M6" s="8"/>
      <c r="N6" s="8"/>
      <c r="O6" s="8"/>
    </row>
    <row r="7" ht="15.75" customHeight="1">
      <c r="A7" s="8"/>
      <c r="B7" s="12" t="s">
        <v>35</v>
      </c>
      <c r="C7" s="12">
        <v>100.0</v>
      </c>
      <c r="D7" s="35">
        <v>2.2</v>
      </c>
      <c r="E7" s="12" t="s">
        <v>34</v>
      </c>
      <c r="F7" s="8"/>
      <c r="G7" s="8"/>
      <c r="H7" s="8"/>
      <c r="I7" s="12" t="s">
        <v>36</v>
      </c>
      <c r="J7" s="12" t="s">
        <v>17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>
        <v>2.22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35</v>
      </c>
      <c r="C7" s="35">
        <v>2.2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42">
        <v>2.22</v>
      </c>
      <c r="E6" s="30"/>
      <c r="F6" s="8"/>
      <c r="G6" s="12"/>
      <c r="H6" s="8"/>
      <c r="I6" s="8"/>
      <c r="J6" s="8"/>
      <c r="K6" s="8"/>
      <c r="L6" s="8"/>
      <c r="M6" s="8"/>
      <c r="N6" s="8"/>
      <c r="O6" s="8"/>
      <c r="AH6" s="9" t="s">
        <v>38</v>
      </c>
      <c r="AI6" s="9" t="s">
        <v>33</v>
      </c>
      <c r="AJ6" s="9" t="s">
        <v>17</v>
      </c>
      <c r="AK6" s="9" t="s">
        <v>29</v>
      </c>
      <c r="AL6" s="9">
        <v>100.0</v>
      </c>
      <c r="AM6" s="9">
        <v>100.0</v>
      </c>
      <c r="AQ6" s="43">
        <v>2.22</v>
      </c>
      <c r="AR6" s="43">
        <v>2.22</v>
      </c>
      <c r="AS6" s="9" t="s">
        <v>39</v>
      </c>
      <c r="AT6" s="9" t="s">
        <v>18</v>
      </c>
    </row>
    <row r="7" ht="15.75" customHeight="1">
      <c r="A7" s="8"/>
      <c r="B7" s="8"/>
      <c r="C7" s="8"/>
      <c r="D7" s="42">
        <v>2.2</v>
      </c>
      <c r="E7" s="8"/>
      <c r="F7" s="8"/>
      <c r="G7" s="12"/>
      <c r="H7" s="8"/>
      <c r="I7" s="8"/>
      <c r="J7" s="8"/>
      <c r="K7" s="8"/>
      <c r="L7" s="8"/>
      <c r="M7" s="8"/>
      <c r="N7" s="8"/>
      <c r="O7" s="8"/>
      <c r="AH7" s="9" t="s">
        <v>38</v>
      </c>
      <c r="AI7" s="9" t="s">
        <v>35</v>
      </c>
      <c r="AJ7" s="9" t="s">
        <v>17</v>
      </c>
      <c r="AK7" s="9" t="s">
        <v>29</v>
      </c>
      <c r="AL7" s="9">
        <v>100.0</v>
      </c>
      <c r="AM7" s="9">
        <v>100.0</v>
      </c>
      <c r="AQ7" s="43">
        <v>2.2</v>
      </c>
      <c r="AR7" s="43">
        <v>2.2</v>
      </c>
      <c r="AS7" s="9" t="s">
        <v>39</v>
      </c>
      <c r="AT7" s="9" t="s">
        <v>36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 t="str">
        <f>IFERROR(__xludf.DUMMYFUNCTION("""COMPUTED_VALUE"""),"Testing Type")</f>
        <v>Testing Type</v>
      </c>
      <c r="BG5" s="29" t="str">
        <f>IFERROR(__xludf.DUMMYFUNCTION("""COMPUTED_VALUE"""),"Testing Column")</f>
        <v>Testing Column</v>
      </c>
      <c r="BH5" s="29" t="str">
        <f>IFERROR(__xludf.DUMMYFUNCTION("""COMPUTED_VALUE"""),"Testing Col Value")</f>
        <v>Testing Col Value</v>
      </c>
      <c r="BI5" s="29" t="str">
        <f>IFERROR(__xludf.DUMMYFUNCTION("""COMPUTED_VALUE"""),"DuplicateRow")</f>
        <v>DuplicateRow</v>
      </c>
      <c r="BJ5" s="29" t="str">
        <f>IFERROR(__xludf.DUMMYFUNCTION("""COMPUTED_VALUE"""),"DuplicateCountOnUI")</f>
        <v>DuplicateCountOnUI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33</v>
      </c>
      <c r="C6" s="9" t="s">
        <v>17</v>
      </c>
      <c r="D6" s="9">
        <v>100.0</v>
      </c>
      <c r="E6" s="9">
        <v>100.0</v>
      </c>
      <c r="F6" s="8"/>
      <c r="G6" s="9" t="s">
        <v>29</v>
      </c>
      <c r="H6" s="8"/>
      <c r="I6" s="43">
        <v>2.22</v>
      </c>
      <c r="J6" s="43">
        <v>2.22</v>
      </c>
      <c r="K6" s="9" t="s">
        <v>39</v>
      </c>
      <c r="L6" s="9" t="s">
        <v>18</v>
      </c>
      <c r="M6" s="8"/>
      <c r="N6" s="8"/>
      <c r="O6" s="43">
        <v>2.22</v>
      </c>
    </row>
    <row r="7" ht="15.75" customHeight="1">
      <c r="A7" s="8"/>
      <c r="B7" s="9" t="s">
        <v>35</v>
      </c>
      <c r="C7" s="9" t="s">
        <v>17</v>
      </c>
      <c r="D7" s="9">
        <v>100.0</v>
      </c>
      <c r="E7" s="9">
        <v>100.0</v>
      </c>
      <c r="F7" s="8"/>
      <c r="G7" s="9" t="s">
        <v>29</v>
      </c>
      <c r="H7" s="8"/>
      <c r="I7" s="43">
        <v>2.2</v>
      </c>
      <c r="J7" s="43">
        <v>2.2</v>
      </c>
      <c r="K7" s="9" t="s">
        <v>39</v>
      </c>
      <c r="L7" s="9" t="s">
        <v>36</v>
      </c>
      <c r="M7" s="8"/>
      <c r="N7" s="8"/>
      <c r="O7" s="43">
        <v>2.2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IFERROR(__xludf.DUMMYFUNCTION("""COMPUTED_VALUE"""),"Testing Type")</f>
        <v>Testing Type</v>
      </c>
      <c r="U5" s="29" t="str">
        <f>IFERROR(__xludf.DUMMYFUNCTION("""COMPUTED_VALUE"""),"Testing Column")</f>
        <v>Testing Column</v>
      </c>
      <c r="V5" s="29" t="str">
        <f>IFERROR(__xludf.DUMMYFUNCTION("""COMPUTED_VALUE"""),"Testing Col Value")</f>
        <v>Testing Col Value</v>
      </c>
      <c r="W5" s="29" t="str">
        <f>IFERROR(__xludf.DUMMYFUNCTION("""COMPUTED_VALUE"""),"DuplicateCountOnUI")</f>
        <v>DuplicateCountOnUI</v>
      </c>
      <c r="X5" s="29" t="str">
        <f>IFERROR(__xludf.DUMMYFUNCTION("""COMPUTED_VALUE"""),"DuplicateRow")</f>
        <v>DuplicateRow</v>
      </c>
      <c r="Y5" s="29" t="str">
        <f>IFERROR(__xludf.DUMMYFUNCTION("""COMPUTED_VALUE"""),"TabName")</f>
        <v>TabName</v>
      </c>
      <c r="Z5" s="29" t="str">
        <f>IFERROR(__xludf.DUMMYFUNCTION("""COMPUTED_VALUE"""),"GridDataWidgetName")</f>
        <v>GridDataWidgetName</v>
      </c>
      <c r="AA5" s="29" t="str">
        <f>IFERROR(__xludf.DUMMYFUNCTION("""COMPUTED_VALUE"""),"Bloomberg Symbol")</f>
        <v>Bloomberg Symbol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35</v>
      </c>
      <c r="C6" s="8"/>
      <c r="D6" s="33" t="s">
        <v>42</v>
      </c>
      <c r="E6" s="12" t="s">
        <v>36</v>
      </c>
      <c r="F6" s="9" t="s">
        <v>38</v>
      </c>
      <c r="G6" s="12">
        <v>100.0</v>
      </c>
      <c r="H6" s="44" t="s">
        <v>43</v>
      </c>
      <c r="I6" s="44">
        <v>2.2</v>
      </c>
      <c r="J6" s="44">
        <v>2.2</v>
      </c>
      <c r="K6" s="8"/>
      <c r="L6" s="8"/>
      <c r="M6" s="8"/>
      <c r="N6" s="8"/>
      <c r="O6" s="8"/>
    </row>
    <row r="7" ht="15.75" customHeight="1">
      <c r="A7" s="8"/>
      <c r="B7" s="33" t="s">
        <v>33</v>
      </c>
      <c r="C7" s="8"/>
      <c r="D7" s="33" t="s">
        <v>31</v>
      </c>
      <c r="E7" s="12" t="s">
        <v>18</v>
      </c>
      <c r="F7" s="9" t="s">
        <v>38</v>
      </c>
      <c r="G7" s="12">
        <v>100.0</v>
      </c>
      <c r="H7" s="44" t="s">
        <v>43</v>
      </c>
      <c r="I7" s="44">
        <v>2.22</v>
      </c>
      <c r="J7" s="44">
        <v>2.22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CheckRealTimeSymAccountMonitor!$4:$4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