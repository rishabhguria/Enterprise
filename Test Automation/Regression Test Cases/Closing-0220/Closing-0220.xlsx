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SetClosingPreference" sheetId="5" r:id="rId7"/>
    <sheet state="visible" name="CreateDoneAwayOrder" sheetId="6" r:id="rId8"/>
    <sheet state="visible" name="GetMarkPriceData" sheetId="7" r:id="rId9"/>
    <sheet state="visible" name="UpdateMarkPrice" sheetId="8" r:id="rId10"/>
    <sheet state="visible" name="GetDataClosing" sheetId="9" r:id="rId11"/>
    <sheet state="visible" name="SelectTradeUnexpiredUnsettled" sheetId="10" r:id="rId12"/>
    <sheet state="visible" name="ExerciseAssignment" sheetId="11" r:id="rId13"/>
    <sheet state="visible" name="GetDataAllocation" sheetId="12" r:id="rId14"/>
    <sheet state="visible" name="CheckAllocatedGroups" sheetId="13" r:id="rId15"/>
    <sheet state="visible" name="CheckAllocatedTaxlots" sheetId="14" r:id="rId16"/>
    <sheet state="visible" name="CheckPortfolioManagement" sheetId="15" r:id="rId17"/>
    <sheet state="visible" name="Copy of Data" sheetId="16" r:id="rId18"/>
  </sheets>
  <definedNames/>
  <calcPr/>
</workbook>
</file>

<file path=xl/sharedStrings.xml><?xml version="1.0" encoding="utf-8"?>
<sst xmlns="http://schemas.openxmlformats.org/spreadsheetml/2006/main" count="816" uniqueCount="87">
  <si>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</si>
  <si>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</si>
  <si>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</si>
  <si>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</si>
  <si>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</si>
  <si>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</si>
  <si>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</si>
  <si>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</si>
  <si>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</si>
  <si>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</si>
  <si>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</si>
  <si>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</si>
  <si>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</si>
  <si>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</si>
  <si>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</si>
  <si>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</si>
  <si>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O:AAPL 23P50.00D21</t>
  </si>
  <si>
    <t>O:AAPL 23D40.00D21</t>
  </si>
  <si>
    <t>O:AAPL 23P40.00D21</t>
  </si>
  <si>
    <t>Closing</t>
  </si>
  <si>
    <t>SetClosingPreference</t>
  </si>
  <si>
    <t>BTAX</t>
  </si>
  <si>
    <t>TradingTicket</t>
  </si>
  <si>
    <t>CreateDoneAwayOrder</t>
  </si>
  <si>
    <t>AAPL</t>
  </si>
  <si>
    <t>Buy</t>
  </si>
  <si>
    <t>Allocation1</t>
  </si>
  <si>
    <t>Sell to Open</t>
  </si>
  <si>
    <t>Buy to Open</t>
  </si>
  <si>
    <t>DailyValuation</t>
  </si>
  <si>
    <t>GetMarkPriceData</t>
  </si>
  <si>
    <t>UpdateMarkPrice</t>
  </si>
  <si>
    <t>GetDataClosing</t>
  </si>
  <si>
    <t>Historical</t>
  </si>
  <si>
    <t>1/1/1800</t>
  </si>
  <si>
    <t>SelectTradeUnexpiredUnsettled</t>
  </si>
  <si>
    <t>EquityOption</t>
  </si>
  <si>
    <t>ExerciseAssignment</t>
  </si>
  <si>
    <t>Allocation</t>
  </si>
  <si>
    <t>GetDataAllocation</t>
  </si>
  <si>
    <t>CheckAllocatedGroups</t>
  </si>
  <si>
    <t/>
  </si>
  <si>
    <t>Manual</t>
  </si>
  <si>
    <t>Equity</t>
  </si>
  <si>
    <t>AAPL US EQUITY</t>
  </si>
  <si>
    <t>MS</t>
  </si>
  <si>
    <t>APPLE</t>
  </si>
  <si>
    <t>USD</t>
  </si>
  <si>
    <t>BrokerNotes</t>
  </si>
  <si>
    <t>NASDAQ</t>
  </si>
  <si>
    <t>M</t>
  </si>
  <si>
    <t>DefaultNotes</t>
  </si>
  <si>
    <t>Market</t>
  </si>
  <si>
    <t>InternalOrder</t>
  </si>
  <si>
    <t>GCCAP1</t>
  </si>
  <si>
    <t>jpearce</t>
  </si>
  <si>
    <t>OPTS</t>
  </si>
  <si>
    <t>SelltoOpen</t>
  </si>
  <si>
    <t>BuytoOpen</t>
  </si>
  <si>
    <t>Buy to Close</t>
  </si>
  <si>
    <t>Assignment</t>
  </si>
  <si>
    <t>D</t>
  </si>
  <si>
    <t>Sell to Close</t>
  </si>
  <si>
    <t>Exercise</t>
  </si>
  <si>
    <t>CheckAllocatedTaxlots</t>
  </si>
  <si>
    <t>Open</t>
  </si>
  <si>
    <t>Closed</t>
  </si>
  <si>
    <t>PortfolioManagement</t>
  </si>
  <si>
    <t>CheckPortfolioManagement</t>
  </si>
  <si>
    <t>NewMF</t>
  </si>
  <si>
    <t>Long</t>
  </si>
  <si>
    <t>FIMAT</t>
  </si>
  <si>
    <t>Strategy Unallocated</t>
  </si>
  <si>
    <t>US</t>
  </si>
  <si>
    <t>New Hedge</t>
  </si>
  <si>
    <t>None</t>
  </si>
  <si>
    <t>Default</t>
  </si>
  <si>
    <t>Short</t>
  </si>
  <si>
    <t>Undefined</t>
  </si>
  <si>
    <t>Equity Put</t>
  </si>
  <si>
    <t>PUT</t>
  </si>
  <si>
    <t>ITM</t>
  </si>
  <si>
    <t>Equity Call</t>
  </si>
  <si>
    <t>CALL</t>
  </si>
  <si>
    <t>OTM</t>
  </si>
  <si>
    <t>msft</t>
  </si>
  <si>
    <t>buy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</si>
</sst>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16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28.63"/>
    <col customWidth="1" min="3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9" t="s">
        <v>16</v>
      </c>
      <c r="C6" s="31">
        <f>TODAY()+6</f>
        <v>45047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9" t="s">
        <v>17</v>
      </c>
      <c r="C7" s="31">
        <f>TODAY()+7</f>
        <v>45048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9" t="s">
        <v>18</v>
      </c>
      <c r="C8" s="31">
        <f>TODAY()+6</f>
        <v>45047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UpdateExpirationDate!$4:$4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/>
      <c r="C6" s="33" t="s">
        <v>21</v>
      </c>
      <c r="D6" s="32"/>
      <c r="E6" s="34" t="b">
        <v>1</v>
      </c>
      <c r="F6" s="32"/>
      <c r="G6" s="32"/>
      <c r="H6" s="32"/>
      <c r="I6" s="32"/>
      <c r="J6" s="34" t="b">
        <v>1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SetClosingPreference!$4:$4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27.13"/>
    <col customWidth="1" min="3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3" t="s">
        <v>24</v>
      </c>
      <c r="C6" s="33" t="s">
        <v>25</v>
      </c>
      <c r="D6" s="35">
        <v>1000.0</v>
      </c>
      <c r="E6" s="35">
        <v>1000.0</v>
      </c>
      <c r="F6" s="33" t="s">
        <v>26</v>
      </c>
      <c r="G6" s="32"/>
      <c r="H6" s="32"/>
      <c r="I6" s="32"/>
      <c r="J6" s="35">
        <v>1.0</v>
      </c>
      <c r="K6" s="32"/>
      <c r="L6" s="32"/>
      <c r="M6" s="32"/>
      <c r="N6" s="31">
        <f>TODAY()-10</f>
        <v>45031</v>
      </c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9" t="s">
        <v>16</v>
      </c>
      <c r="C7" s="36" t="s">
        <v>27</v>
      </c>
      <c r="D7" s="35">
        <v>10.0</v>
      </c>
      <c r="E7" s="35">
        <v>10.0</v>
      </c>
      <c r="F7" s="33" t="s">
        <v>26</v>
      </c>
      <c r="G7" s="32"/>
      <c r="H7" s="32"/>
      <c r="I7" s="32"/>
      <c r="J7" s="35">
        <v>10.0</v>
      </c>
      <c r="K7" s="32"/>
      <c r="L7" s="32"/>
      <c r="M7" s="32"/>
      <c r="N7" s="31">
        <f>TODAY()-8</f>
        <v>45033</v>
      </c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9" t="s">
        <v>17</v>
      </c>
      <c r="C8" s="33" t="s">
        <v>28</v>
      </c>
      <c r="D8" s="35">
        <v>10.0</v>
      </c>
      <c r="E8" s="35">
        <v>10.0</v>
      </c>
      <c r="F8" s="33" t="s">
        <v>26</v>
      </c>
      <c r="G8" s="32"/>
      <c r="H8" s="32"/>
      <c r="I8" s="32"/>
      <c r="J8" s="35">
        <v>10.0</v>
      </c>
      <c r="K8" s="32"/>
      <c r="L8" s="32"/>
      <c r="M8" s="32"/>
      <c r="N8" s="31">
        <f>TODAY()-7</f>
        <v>45034</v>
      </c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9" t="s">
        <v>18</v>
      </c>
      <c r="C9" s="36" t="s">
        <v>27</v>
      </c>
      <c r="D9" s="35">
        <v>10.0</v>
      </c>
      <c r="E9" s="35">
        <v>10.0</v>
      </c>
      <c r="F9" s="33" t="s">
        <v>26</v>
      </c>
      <c r="G9" s="32"/>
      <c r="H9" s="32"/>
      <c r="I9" s="32"/>
      <c r="J9" s="35">
        <v>10.0</v>
      </c>
      <c r="K9" s="32"/>
      <c r="L9" s="32"/>
      <c r="M9" s="32"/>
      <c r="N9" s="31">
        <f>TODAY()-8</f>
        <v>45033</v>
      </c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1">
        <f>today()-1</f>
        <v>45040</v>
      </c>
      <c r="C6" s="31">
        <f>today()</f>
        <v>45041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3" t="s">
        <v>24</v>
      </c>
      <c r="C6" s="35">
        <v>120.0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3" t="s">
        <v>33</v>
      </c>
      <c r="C6" s="31" t="s">
        <v>34</v>
      </c>
      <c r="D6" s="31">
        <f>TODAY()</f>
        <v>45041</v>
      </c>
      <c r="E6" s="32"/>
      <c r="F6" s="32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2"/>
      <c r="C7" s="32"/>
      <c r="D7" s="32"/>
      <c r="E7" s="32"/>
      <c r="F7" s="32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2"/>
      <c r="B6" s="33" t="s">
        <v>26</v>
      </c>
      <c r="C6" s="32"/>
      <c r="D6" s="32"/>
      <c r="E6" s="33" t="s">
        <v>36</v>
      </c>
      <c r="F6" s="32"/>
      <c r="G6" s="32"/>
      <c r="H6" s="32"/>
      <c r="I6" s="35">
        <v>10.0</v>
      </c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7">
        <v>10.0</v>
      </c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6" t="s">
        <v>27</v>
      </c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7">
        <v>10.0</v>
      </c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9" t="s">
        <v>16</v>
      </c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3" t="s">
        <v>26</v>
      </c>
      <c r="C7" s="32"/>
      <c r="D7" s="32"/>
      <c r="E7" s="33" t="s">
        <v>36</v>
      </c>
      <c r="F7" s="32"/>
      <c r="G7" s="32"/>
      <c r="H7" s="32"/>
      <c r="I7" s="35">
        <v>10.0</v>
      </c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7">
        <v>10.0</v>
      </c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3" t="s">
        <v>28</v>
      </c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7">
        <v>10.0</v>
      </c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9" t="s">
        <v>17</v>
      </c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3" t="s">
        <v>26</v>
      </c>
      <c r="C8" s="32"/>
      <c r="D8" s="32"/>
      <c r="E8" s="33" t="s">
        <v>36</v>
      </c>
      <c r="F8" s="32"/>
      <c r="G8" s="32"/>
      <c r="H8" s="32"/>
      <c r="I8" s="35">
        <v>10.0</v>
      </c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7">
        <v>10.0</v>
      </c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6" t="s">
        <v>27</v>
      </c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7">
        <v>10.0</v>
      </c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9" t="s">
        <v>18</v>
      </c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ExerciseAssignment!$4:$4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3" t="s">
        <v>33</v>
      </c>
      <c r="C6" s="31" t="s">
        <v>34</v>
      </c>
      <c r="D6" s="31">
        <f>TODAY()</f>
        <v>45041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 t="s">
        <v>26</v>
      </c>
      <c r="C6" s="8" t="s">
        <v>41</v>
      </c>
      <c r="D6" s="8"/>
      <c r="E6" s="8">
        <v>1000.0</v>
      </c>
      <c r="F6" s="8" t="s">
        <v>42</v>
      </c>
      <c r="G6" s="8" t="s">
        <v>43</v>
      </c>
      <c r="H6" s="8"/>
      <c r="I6" s="8"/>
      <c r="J6" s="8"/>
      <c r="K6" s="8">
        <v>1.0</v>
      </c>
      <c r="L6" s="8">
        <v>1.0</v>
      </c>
      <c r="M6" s="8" t="s">
        <v>44</v>
      </c>
      <c r="N6" s="8" t="s">
        <v>41</v>
      </c>
      <c r="O6" s="8" t="s">
        <v>45</v>
      </c>
      <c r="Q6">
        <v>3.0</v>
      </c>
      <c r="V6" t="s">
        <v>46</v>
      </c>
      <c r="Z6" t="s">
        <v>47</v>
      </c>
      <c r="AA6" t="s">
        <v>24</v>
      </c>
      <c r="AB6">
        <v>1.0</v>
      </c>
      <c r="AC6" t="s">
        <v>48</v>
      </c>
      <c r="AD6" t="s">
        <v>49</v>
      </c>
      <c r="AE6">
        <v>1000.0</v>
      </c>
      <c r="AF6" t="s">
        <v>41</v>
      </c>
      <c r="AH6" t="s">
        <v>50</v>
      </c>
      <c r="AI6">
        <v>1.0</v>
      </c>
      <c r="AM6" t="s">
        <v>51</v>
      </c>
      <c r="AY6" t="s">
        <v>52</v>
      </c>
      <c r="BD6" t="s">
        <v>53</v>
      </c>
      <c r="BE6">
        <v>1000.0</v>
      </c>
      <c r="BF6">
        <v>1000.0</v>
      </c>
      <c r="BJ6">
        <v>1000.0</v>
      </c>
      <c r="BL6" t="s">
        <v>41</v>
      </c>
      <c r="BM6" t="s">
        <v>47</v>
      </c>
      <c r="BO6" t="s">
        <v>25</v>
      </c>
      <c r="BT6" t="s">
        <v>24</v>
      </c>
      <c r="CF6" t="s">
        <v>54</v>
      </c>
      <c r="CH6" t="s">
        <v>22</v>
      </c>
      <c r="CI6" t="s">
        <v>25</v>
      </c>
      <c r="CL6">
        <v>1.0</v>
      </c>
      <c r="CM6" t="s">
        <v>24</v>
      </c>
      <c r="CN6" t="s">
        <v>55</v>
      </c>
    </row>
    <row r="7" ht="15.75" customHeight="1">
      <c r="A7" s="8"/>
      <c r="B7" s="8" t="s">
        <v>26</v>
      </c>
      <c r="C7" s="8" t="s">
        <v>41</v>
      </c>
      <c r="D7" s="8"/>
      <c r="E7" s="8">
        <v>10.0</v>
      </c>
      <c r="F7" s="8" t="s">
        <v>42</v>
      </c>
      <c r="G7" s="8" t="s">
        <v>36</v>
      </c>
      <c r="H7" s="8"/>
      <c r="I7" s="8"/>
      <c r="J7" s="8"/>
      <c r="K7" s="8">
        <v>10.0</v>
      </c>
      <c r="L7" s="8">
        <v>10.0</v>
      </c>
      <c r="M7" s="8"/>
      <c r="N7" s="8" t="s">
        <v>41</v>
      </c>
      <c r="O7" s="8" t="s">
        <v>45</v>
      </c>
      <c r="Q7">
        <v>3.0</v>
      </c>
      <c r="V7" t="s">
        <v>18</v>
      </c>
      <c r="Z7" t="s">
        <v>47</v>
      </c>
      <c r="AB7">
        <v>1.0</v>
      </c>
      <c r="AC7" t="s">
        <v>48</v>
      </c>
      <c r="AD7" t="s">
        <v>56</v>
      </c>
      <c r="AE7">
        <v>10.0</v>
      </c>
      <c r="AF7" t="s">
        <v>41</v>
      </c>
      <c r="AH7" t="s">
        <v>50</v>
      </c>
      <c r="AI7">
        <v>1.0</v>
      </c>
      <c r="AM7" t="s">
        <v>51</v>
      </c>
      <c r="AY7" t="s">
        <v>52</v>
      </c>
      <c r="BD7" t="s">
        <v>53</v>
      </c>
      <c r="BE7">
        <v>10000.0</v>
      </c>
      <c r="BF7">
        <v>10000.0</v>
      </c>
      <c r="BJ7">
        <v>10.0</v>
      </c>
      <c r="BL7" t="s">
        <v>41</v>
      </c>
      <c r="BM7" t="s">
        <v>47</v>
      </c>
      <c r="BO7" t="s">
        <v>27</v>
      </c>
      <c r="BT7" t="s">
        <v>18</v>
      </c>
      <c r="CF7" t="s">
        <v>54</v>
      </c>
      <c r="CH7" t="s">
        <v>22</v>
      </c>
      <c r="CI7" t="s">
        <v>57</v>
      </c>
      <c r="CL7">
        <v>1.0</v>
      </c>
      <c r="CM7" t="s">
        <v>24</v>
      </c>
      <c r="CN7" t="s">
        <v>55</v>
      </c>
    </row>
    <row r="8" ht="15.75" customHeight="1">
      <c r="A8" s="8"/>
      <c r="B8" s="8" t="s">
        <v>26</v>
      </c>
      <c r="C8" s="8" t="s">
        <v>41</v>
      </c>
      <c r="D8" s="8"/>
      <c r="E8" s="8">
        <v>10.0</v>
      </c>
      <c r="F8" s="8" t="s">
        <v>42</v>
      </c>
      <c r="G8" s="8" t="s">
        <v>36</v>
      </c>
      <c r="H8" s="8"/>
      <c r="I8" s="8"/>
      <c r="J8" s="8"/>
      <c r="K8" s="8">
        <v>10.0</v>
      </c>
      <c r="L8" s="8">
        <v>10.0</v>
      </c>
      <c r="M8" s="8"/>
      <c r="N8" s="8" t="s">
        <v>41</v>
      </c>
      <c r="O8" s="8" t="s">
        <v>45</v>
      </c>
      <c r="Q8">
        <v>3.0</v>
      </c>
      <c r="V8" t="s">
        <v>16</v>
      </c>
      <c r="Z8" t="s">
        <v>47</v>
      </c>
      <c r="AB8">
        <v>1.0</v>
      </c>
      <c r="AC8" t="s">
        <v>48</v>
      </c>
      <c r="AD8" t="s">
        <v>56</v>
      </c>
      <c r="AE8">
        <v>10.0</v>
      </c>
      <c r="AF8" t="s">
        <v>41</v>
      </c>
      <c r="AH8" t="s">
        <v>50</v>
      </c>
      <c r="AI8">
        <v>1.0</v>
      </c>
      <c r="AM8" t="s">
        <v>51</v>
      </c>
      <c r="AY8" t="s">
        <v>52</v>
      </c>
      <c r="BD8" t="s">
        <v>53</v>
      </c>
      <c r="BE8">
        <v>10000.0</v>
      </c>
      <c r="BF8">
        <v>10000.0</v>
      </c>
      <c r="BJ8">
        <v>10.0</v>
      </c>
      <c r="BL8" t="s">
        <v>41</v>
      </c>
      <c r="BM8" t="s">
        <v>47</v>
      </c>
      <c r="BO8" t="s">
        <v>27</v>
      </c>
      <c r="BT8" t="s">
        <v>16</v>
      </c>
      <c r="CF8" t="s">
        <v>54</v>
      </c>
      <c r="CH8" t="s">
        <v>22</v>
      </c>
      <c r="CI8" t="s">
        <v>57</v>
      </c>
      <c r="CL8">
        <v>1.0</v>
      </c>
      <c r="CM8" t="s">
        <v>24</v>
      </c>
      <c r="CN8" t="s">
        <v>55</v>
      </c>
    </row>
    <row r="9" ht="15.75" customHeight="1">
      <c r="A9" s="8"/>
      <c r="B9" s="8" t="s">
        <v>26</v>
      </c>
      <c r="C9" s="8" t="s">
        <v>41</v>
      </c>
      <c r="D9" s="8"/>
      <c r="E9" s="8">
        <v>10.0</v>
      </c>
      <c r="F9" s="8" t="s">
        <v>42</v>
      </c>
      <c r="G9" s="8" t="s">
        <v>36</v>
      </c>
      <c r="H9" s="8"/>
      <c r="I9" s="8"/>
      <c r="J9" s="8"/>
      <c r="K9" s="8">
        <v>10.0</v>
      </c>
      <c r="L9" s="8">
        <v>10.0</v>
      </c>
      <c r="M9" s="8"/>
      <c r="N9" s="8" t="s">
        <v>41</v>
      </c>
      <c r="O9" s="8" t="s">
        <v>45</v>
      </c>
      <c r="Q9">
        <v>3.0</v>
      </c>
      <c r="V9" t="s">
        <v>17</v>
      </c>
      <c r="Z9" t="s">
        <v>47</v>
      </c>
      <c r="AB9">
        <v>1.0</v>
      </c>
      <c r="AC9" t="s">
        <v>48</v>
      </c>
      <c r="AD9" t="s">
        <v>56</v>
      </c>
      <c r="AE9">
        <v>10.0</v>
      </c>
      <c r="AF9" t="s">
        <v>41</v>
      </c>
      <c r="AH9" t="s">
        <v>50</v>
      </c>
      <c r="AI9">
        <v>1.0</v>
      </c>
      <c r="AM9" t="s">
        <v>51</v>
      </c>
      <c r="AY9" t="s">
        <v>52</v>
      </c>
      <c r="BD9" t="s">
        <v>53</v>
      </c>
      <c r="BE9">
        <v>10000.0</v>
      </c>
      <c r="BF9">
        <v>10000.0</v>
      </c>
      <c r="BJ9">
        <v>10.0</v>
      </c>
      <c r="BL9" t="s">
        <v>41</v>
      </c>
      <c r="BM9" t="s">
        <v>47</v>
      </c>
      <c r="BO9" t="s">
        <v>28</v>
      </c>
      <c r="BT9" t="s">
        <v>17</v>
      </c>
      <c r="CF9" t="s">
        <v>54</v>
      </c>
      <c r="CH9" t="s">
        <v>22</v>
      </c>
      <c r="CI9" t="s">
        <v>58</v>
      </c>
      <c r="CL9">
        <v>1.0</v>
      </c>
      <c r="CM9" t="s">
        <v>24</v>
      </c>
      <c r="CN9" t="s">
        <v>55</v>
      </c>
    </row>
    <row r="10" ht="15.75" customHeight="1">
      <c r="A10" s="8"/>
      <c r="B10" s="8" t="s">
        <v>26</v>
      </c>
      <c r="C10" s="8" t="s">
        <v>41</v>
      </c>
      <c r="D10" s="8"/>
      <c r="E10" s="8">
        <v>10.0</v>
      </c>
      <c r="F10" s="8" t="s">
        <v>42</v>
      </c>
      <c r="G10" s="8" t="s">
        <v>36</v>
      </c>
      <c r="H10" s="8"/>
      <c r="I10" s="8"/>
      <c r="J10" s="8"/>
      <c r="K10" s="8">
        <v>0.0</v>
      </c>
      <c r="L10" s="8">
        <v>0.0</v>
      </c>
      <c r="M10" s="8"/>
      <c r="N10" s="8" t="s">
        <v>41</v>
      </c>
      <c r="O10" s="8" t="s">
        <v>45</v>
      </c>
      <c r="Q10">
        <v>3.0</v>
      </c>
      <c r="V10" t="s">
        <v>16</v>
      </c>
      <c r="Z10" t="s">
        <v>47</v>
      </c>
      <c r="AB10">
        <v>1.0</v>
      </c>
      <c r="AD10" t="s">
        <v>56</v>
      </c>
      <c r="AE10">
        <v>10.0</v>
      </c>
      <c r="AF10" t="s">
        <v>41</v>
      </c>
      <c r="AH10" t="s">
        <v>50</v>
      </c>
      <c r="AI10">
        <v>1.0</v>
      </c>
      <c r="AY10" t="s">
        <v>52</v>
      </c>
      <c r="BD10" t="s">
        <v>53</v>
      </c>
      <c r="BE10">
        <v>0.0</v>
      </c>
      <c r="BF10">
        <v>0.0</v>
      </c>
      <c r="BJ10">
        <v>10.0</v>
      </c>
      <c r="BL10" t="s">
        <v>41</v>
      </c>
      <c r="BM10" t="s">
        <v>47</v>
      </c>
      <c r="BO10" t="s">
        <v>59</v>
      </c>
      <c r="BT10" t="s">
        <v>16</v>
      </c>
      <c r="CH10" t="s">
        <v>19</v>
      </c>
      <c r="CI10" t="s">
        <v>60</v>
      </c>
      <c r="CL10">
        <v>1.0</v>
      </c>
      <c r="CM10" t="s">
        <v>24</v>
      </c>
    </row>
    <row r="11" ht="15.75" customHeight="1">
      <c r="A11" s="8"/>
      <c r="B11" s="8" t="s">
        <v>26</v>
      </c>
      <c r="C11" s="8" t="s">
        <v>41</v>
      </c>
      <c r="D11" s="8"/>
      <c r="E11" s="8">
        <v>1000.0</v>
      </c>
      <c r="F11" s="8" t="s">
        <v>42</v>
      </c>
      <c r="G11" s="8" t="s">
        <v>43</v>
      </c>
      <c r="H11" s="8"/>
      <c r="I11" s="8"/>
      <c r="J11" s="8"/>
      <c r="K11" s="8">
        <v>40.0</v>
      </c>
      <c r="L11" s="8">
        <v>40.0</v>
      </c>
      <c r="M11" s="8" t="s">
        <v>44</v>
      </c>
      <c r="N11" s="8" t="s">
        <v>41</v>
      </c>
      <c r="O11" s="8" t="s">
        <v>45</v>
      </c>
      <c r="Q11">
        <v>3.0</v>
      </c>
      <c r="V11" t="s">
        <v>46</v>
      </c>
      <c r="Z11" t="s">
        <v>47</v>
      </c>
      <c r="AA11" t="s">
        <v>24</v>
      </c>
      <c r="AB11">
        <v>1.0</v>
      </c>
      <c r="AD11" t="s">
        <v>49</v>
      </c>
      <c r="AE11">
        <v>1000.0</v>
      </c>
      <c r="AF11" t="s">
        <v>41</v>
      </c>
      <c r="AH11" t="s">
        <v>61</v>
      </c>
      <c r="AI11">
        <v>1.0</v>
      </c>
      <c r="BD11" t="s">
        <v>53</v>
      </c>
      <c r="BE11">
        <v>40000.0</v>
      </c>
      <c r="BF11">
        <v>40000.0</v>
      </c>
      <c r="BJ11">
        <v>1000.0</v>
      </c>
      <c r="BL11" t="s">
        <v>41</v>
      </c>
      <c r="BM11" t="s">
        <v>47</v>
      </c>
      <c r="BO11" t="s">
        <v>25</v>
      </c>
      <c r="BT11" t="s">
        <v>24</v>
      </c>
      <c r="CF11" t="s">
        <v>54</v>
      </c>
      <c r="CH11" t="s">
        <v>19</v>
      </c>
      <c r="CI11" t="s">
        <v>60</v>
      </c>
      <c r="CL11">
        <v>1.0</v>
      </c>
      <c r="CM11" t="s">
        <v>24</v>
      </c>
      <c r="CN11" t="s">
        <v>55</v>
      </c>
    </row>
    <row r="12" ht="15.75" customHeight="1">
      <c r="A12" s="8"/>
      <c r="B12" s="8" t="s">
        <v>26</v>
      </c>
      <c r="C12" s="8" t="s">
        <v>41</v>
      </c>
      <c r="D12" s="8"/>
      <c r="E12" s="8">
        <v>10.0</v>
      </c>
      <c r="F12" s="8" t="s">
        <v>42</v>
      </c>
      <c r="G12" s="8" t="s">
        <v>36</v>
      </c>
      <c r="H12" s="8"/>
      <c r="I12" s="8"/>
      <c r="J12" s="8"/>
      <c r="K12" s="8">
        <v>0.0</v>
      </c>
      <c r="L12" s="8">
        <v>0.0</v>
      </c>
      <c r="M12" s="8"/>
      <c r="N12" s="8" t="s">
        <v>41</v>
      </c>
      <c r="O12" s="8" t="s">
        <v>45</v>
      </c>
      <c r="Q12">
        <v>3.0</v>
      </c>
      <c r="V12" t="s">
        <v>18</v>
      </c>
      <c r="Z12" t="s">
        <v>47</v>
      </c>
      <c r="AB12">
        <v>1.0</v>
      </c>
      <c r="AD12" t="s">
        <v>56</v>
      </c>
      <c r="AE12">
        <v>10.0</v>
      </c>
      <c r="AF12" t="s">
        <v>41</v>
      </c>
      <c r="AH12" t="s">
        <v>50</v>
      </c>
      <c r="AI12">
        <v>1.0</v>
      </c>
      <c r="AY12" t="s">
        <v>52</v>
      </c>
      <c r="BD12" t="s">
        <v>53</v>
      </c>
      <c r="BE12">
        <v>0.0</v>
      </c>
      <c r="BF12">
        <v>0.0</v>
      </c>
      <c r="BJ12">
        <v>10.0</v>
      </c>
      <c r="BL12" t="s">
        <v>41</v>
      </c>
      <c r="BM12" t="s">
        <v>47</v>
      </c>
      <c r="BO12" t="s">
        <v>59</v>
      </c>
      <c r="BT12" t="s">
        <v>18</v>
      </c>
      <c r="CH12" t="s">
        <v>19</v>
      </c>
      <c r="CI12" t="s">
        <v>60</v>
      </c>
      <c r="CL12">
        <v>1.0</v>
      </c>
      <c r="CM12" t="s">
        <v>24</v>
      </c>
    </row>
    <row r="13" ht="15.75" customHeight="1">
      <c r="A13" s="8"/>
      <c r="B13" s="8" t="s">
        <v>26</v>
      </c>
      <c r="C13" s="8" t="s">
        <v>41</v>
      </c>
      <c r="D13" s="8"/>
      <c r="E13" s="8">
        <v>10.0</v>
      </c>
      <c r="F13" s="8" t="s">
        <v>42</v>
      </c>
      <c r="G13" s="8" t="s">
        <v>36</v>
      </c>
      <c r="H13" s="8"/>
      <c r="I13" s="8"/>
      <c r="J13" s="8"/>
      <c r="K13" s="8">
        <v>0.0</v>
      </c>
      <c r="L13" s="8">
        <v>0.0</v>
      </c>
      <c r="M13" s="8"/>
      <c r="N13" s="8" t="s">
        <v>41</v>
      </c>
      <c r="O13" s="8" t="s">
        <v>45</v>
      </c>
      <c r="Q13">
        <v>3.0</v>
      </c>
      <c r="V13" t="s">
        <v>17</v>
      </c>
      <c r="Z13" t="s">
        <v>47</v>
      </c>
      <c r="AB13">
        <v>1.0</v>
      </c>
      <c r="AD13" t="s">
        <v>56</v>
      </c>
      <c r="AE13">
        <v>10.0</v>
      </c>
      <c r="AF13" t="s">
        <v>41</v>
      </c>
      <c r="AH13" t="s">
        <v>50</v>
      </c>
      <c r="AI13">
        <v>1.0</v>
      </c>
      <c r="AY13" t="s">
        <v>52</v>
      </c>
      <c r="BD13" t="s">
        <v>53</v>
      </c>
      <c r="BE13">
        <v>0.0</v>
      </c>
      <c r="BF13">
        <v>0.0</v>
      </c>
      <c r="BJ13">
        <v>10.0</v>
      </c>
      <c r="BL13" t="s">
        <v>41</v>
      </c>
      <c r="BM13" t="s">
        <v>47</v>
      </c>
      <c r="BO13" t="s">
        <v>62</v>
      </c>
      <c r="BT13" t="s">
        <v>17</v>
      </c>
      <c r="CH13" t="s">
        <v>19</v>
      </c>
      <c r="CI13" t="s">
        <v>63</v>
      </c>
      <c r="CL13">
        <v>1.0</v>
      </c>
      <c r="CM13" t="s">
        <v>24</v>
      </c>
    </row>
    <row r="14" ht="15.75" customHeight="1">
      <c r="A14" s="8"/>
      <c r="B14" s="8" t="s">
        <v>26</v>
      </c>
      <c r="C14" s="8" t="s">
        <v>41</v>
      </c>
      <c r="D14" s="8"/>
      <c r="E14" s="8">
        <v>1000.0</v>
      </c>
      <c r="F14" s="8" t="s">
        <v>42</v>
      </c>
      <c r="G14" s="8" t="s">
        <v>43</v>
      </c>
      <c r="H14" s="8"/>
      <c r="I14" s="8"/>
      <c r="J14" s="8"/>
      <c r="K14" s="8">
        <v>40.0</v>
      </c>
      <c r="L14" s="8">
        <v>40.0</v>
      </c>
      <c r="M14" s="8" t="s">
        <v>44</v>
      </c>
      <c r="N14" s="8" t="s">
        <v>41</v>
      </c>
      <c r="O14" s="8" t="s">
        <v>45</v>
      </c>
      <c r="Q14">
        <v>3.0</v>
      </c>
      <c r="V14" t="s">
        <v>46</v>
      </c>
      <c r="Z14" t="s">
        <v>47</v>
      </c>
      <c r="AA14" t="s">
        <v>24</v>
      </c>
      <c r="AB14">
        <v>1.0</v>
      </c>
      <c r="AD14" t="s">
        <v>49</v>
      </c>
      <c r="AE14">
        <v>1000.0</v>
      </c>
      <c r="AF14" t="s">
        <v>41</v>
      </c>
      <c r="AH14" t="s">
        <v>61</v>
      </c>
      <c r="AI14">
        <v>1.0</v>
      </c>
      <c r="BD14" t="s">
        <v>53</v>
      </c>
      <c r="BE14">
        <v>40000.0</v>
      </c>
      <c r="BF14">
        <v>40000.0</v>
      </c>
      <c r="BJ14">
        <v>1000.0</v>
      </c>
      <c r="BL14" t="s">
        <v>41</v>
      </c>
      <c r="BM14" t="s">
        <v>47</v>
      </c>
      <c r="BO14" t="s">
        <v>25</v>
      </c>
      <c r="BT14" t="s">
        <v>24</v>
      </c>
      <c r="CF14" t="s">
        <v>54</v>
      </c>
      <c r="CH14" t="s">
        <v>19</v>
      </c>
      <c r="CI14" t="s">
        <v>63</v>
      </c>
      <c r="CL14">
        <v>1.0</v>
      </c>
      <c r="CM14" t="s">
        <v>24</v>
      </c>
      <c r="CN14" t="s">
        <v>55</v>
      </c>
    </row>
    <row r="15" ht="15.75" customHeight="1">
      <c r="A15" s="8"/>
      <c r="B15" s="8" t="s">
        <v>26</v>
      </c>
      <c r="C15" s="8" t="s">
        <v>41</v>
      </c>
      <c r="D15" s="8"/>
      <c r="E15" s="8">
        <v>1000.0</v>
      </c>
      <c r="F15" s="8" t="s">
        <v>42</v>
      </c>
      <c r="G15" s="8" t="s">
        <v>43</v>
      </c>
      <c r="H15" s="8"/>
      <c r="I15" s="8"/>
      <c r="J15" s="8"/>
      <c r="K15" s="8">
        <v>50.0</v>
      </c>
      <c r="L15" s="8">
        <v>50.0</v>
      </c>
      <c r="M15" s="8" t="s">
        <v>44</v>
      </c>
      <c r="N15" s="8" t="s">
        <v>41</v>
      </c>
      <c r="O15" s="8" t="s">
        <v>45</v>
      </c>
      <c r="Q15">
        <v>3.0</v>
      </c>
      <c r="V15" t="s">
        <v>46</v>
      </c>
      <c r="Z15" t="s">
        <v>47</v>
      </c>
      <c r="AA15" t="s">
        <v>24</v>
      </c>
      <c r="AB15">
        <v>1.0</v>
      </c>
      <c r="AD15" t="s">
        <v>49</v>
      </c>
      <c r="AE15">
        <v>1000.0</v>
      </c>
      <c r="AF15" t="s">
        <v>41</v>
      </c>
      <c r="AH15" t="s">
        <v>61</v>
      </c>
      <c r="AI15">
        <v>1.0</v>
      </c>
      <c r="BD15" t="s">
        <v>53</v>
      </c>
      <c r="BE15">
        <v>50000.0</v>
      </c>
      <c r="BF15">
        <v>50000.0</v>
      </c>
      <c r="BJ15">
        <v>1000.0</v>
      </c>
      <c r="BL15" t="s">
        <v>41</v>
      </c>
      <c r="BM15" t="s">
        <v>47</v>
      </c>
      <c r="BO15" t="s">
        <v>25</v>
      </c>
      <c r="BT15" t="s">
        <v>24</v>
      </c>
      <c r="CF15" t="s">
        <v>54</v>
      </c>
      <c r="CH15" t="s">
        <v>19</v>
      </c>
      <c r="CI15" t="s">
        <v>60</v>
      </c>
      <c r="CL15">
        <v>1.0</v>
      </c>
      <c r="CM15" t="s">
        <v>24</v>
      </c>
      <c r="CN15" t="s">
        <v>55</v>
      </c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64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>
        <v>1014.0006</v>
      </c>
      <c r="C6" s="8">
        <v>1014.0006</v>
      </c>
      <c r="D6" s="8">
        <v>1000.0</v>
      </c>
      <c r="E6" s="8">
        <v>1000.0</v>
      </c>
      <c r="F6" s="8" t="s">
        <v>50</v>
      </c>
      <c r="G6" s="8"/>
      <c r="H6" s="8" t="s">
        <v>47</v>
      </c>
      <c r="I6" s="8"/>
      <c r="J6" s="8"/>
      <c r="K6" s="8"/>
      <c r="L6" s="8"/>
      <c r="M6" s="8"/>
      <c r="N6" s="8"/>
      <c r="O6" s="8" t="s">
        <v>26</v>
      </c>
      <c r="Q6">
        <v>100.0</v>
      </c>
      <c r="R6">
        <v>1000.0</v>
      </c>
      <c r="AF6" t="s">
        <v>65</v>
      </c>
      <c r="AI6">
        <v>1.0</v>
      </c>
      <c r="AK6">
        <v>1.0</v>
      </c>
      <c r="AL6">
        <v>3.0</v>
      </c>
      <c r="AM6" t="s">
        <v>41</v>
      </c>
      <c r="AN6" t="s">
        <v>41</v>
      </c>
      <c r="AO6" t="s">
        <v>41</v>
      </c>
      <c r="AP6" t="s">
        <v>41</v>
      </c>
      <c r="AQ6" t="s">
        <v>41</v>
      </c>
      <c r="AR6" t="s">
        <v>41</v>
      </c>
      <c r="AS6" t="s">
        <v>41</v>
      </c>
      <c r="AT6" t="s">
        <v>41</v>
      </c>
      <c r="AU6" t="s">
        <v>41</v>
      </c>
      <c r="AV6" t="s">
        <v>41</v>
      </c>
      <c r="AW6" t="s">
        <v>41</v>
      </c>
      <c r="AX6" t="s">
        <v>41</v>
      </c>
      <c r="AY6" t="s">
        <v>41</v>
      </c>
    </row>
    <row r="7" ht="15.75" customHeight="1">
      <c r="A7" s="8"/>
      <c r="B7" s="8">
        <v>10000.0</v>
      </c>
      <c r="C7" s="8">
        <v>10000.0</v>
      </c>
      <c r="D7" s="8">
        <v>10000.0</v>
      </c>
      <c r="E7" s="8">
        <v>10000.0</v>
      </c>
      <c r="F7" s="8" t="s">
        <v>50</v>
      </c>
      <c r="G7" s="8"/>
      <c r="H7" s="8" t="s">
        <v>47</v>
      </c>
      <c r="I7" s="8"/>
      <c r="J7" s="8"/>
      <c r="K7" s="8"/>
      <c r="L7" s="8"/>
      <c r="M7" s="8"/>
      <c r="N7" s="8"/>
      <c r="O7" s="8" t="s">
        <v>26</v>
      </c>
      <c r="Q7">
        <v>100.0</v>
      </c>
      <c r="R7">
        <v>10.0</v>
      </c>
      <c r="AF7" t="s">
        <v>66</v>
      </c>
      <c r="AI7">
        <v>10.0</v>
      </c>
      <c r="AK7">
        <v>1.0</v>
      </c>
      <c r="AL7">
        <v>3.0</v>
      </c>
      <c r="AM7" t="s">
        <v>41</v>
      </c>
      <c r="AN7" t="s">
        <v>41</v>
      </c>
      <c r="AO7" t="s">
        <v>41</v>
      </c>
      <c r="AP7" t="s">
        <v>41</v>
      </c>
      <c r="AQ7" t="s">
        <v>41</v>
      </c>
      <c r="AR7" t="s">
        <v>41</v>
      </c>
      <c r="AS7" t="s">
        <v>41</v>
      </c>
      <c r="AT7" t="s">
        <v>41</v>
      </c>
      <c r="AU7" t="s">
        <v>41</v>
      </c>
      <c r="AV7" t="s">
        <v>41</v>
      </c>
      <c r="AW7" t="s">
        <v>41</v>
      </c>
      <c r="AX7" t="s">
        <v>41</v>
      </c>
      <c r="AY7" t="s">
        <v>41</v>
      </c>
    </row>
    <row r="8" ht="15.75" customHeight="1">
      <c r="A8" s="8"/>
      <c r="B8" s="8">
        <v>10000.0</v>
      </c>
      <c r="C8" s="8">
        <v>10000.0</v>
      </c>
      <c r="D8" s="8">
        <v>10000.0</v>
      </c>
      <c r="E8" s="8">
        <v>10000.0</v>
      </c>
      <c r="F8" s="8" t="s">
        <v>50</v>
      </c>
      <c r="G8" s="8"/>
      <c r="H8" s="8" t="s">
        <v>47</v>
      </c>
      <c r="I8" s="8"/>
      <c r="J8" s="8"/>
      <c r="K8" s="8"/>
      <c r="L8" s="8"/>
      <c r="M8" s="8"/>
      <c r="N8" s="8"/>
      <c r="O8" s="8" t="s">
        <v>26</v>
      </c>
      <c r="Q8">
        <v>100.0</v>
      </c>
      <c r="R8">
        <v>10.0</v>
      </c>
      <c r="AF8" t="s">
        <v>66</v>
      </c>
      <c r="AI8">
        <v>10.0</v>
      </c>
      <c r="AK8">
        <v>1.0</v>
      </c>
      <c r="AL8">
        <v>3.0</v>
      </c>
      <c r="AM8" t="s">
        <v>41</v>
      </c>
      <c r="AN8" t="s">
        <v>41</v>
      </c>
      <c r="AO8" t="s">
        <v>41</v>
      </c>
      <c r="AP8" t="s">
        <v>41</v>
      </c>
      <c r="AQ8" t="s">
        <v>41</v>
      </c>
      <c r="AR8" t="s">
        <v>41</v>
      </c>
      <c r="AS8" t="s">
        <v>41</v>
      </c>
      <c r="AT8" t="s">
        <v>41</v>
      </c>
      <c r="AU8" t="s">
        <v>41</v>
      </c>
      <c r="AV8" t="s">
        <v>41</v>
      </c>
      <c r="AW8" t="s">
        <v>41</v>
      </c>
      <c r="AX8" t="s">
        <v>41</v>
      </c>
      <c r="AY8" t="s">
        <v>41</v>
      </c>
    </row>
    <row r="9" ht="15.75" customHeight="1">
      <c r="A9" s="8"/>
      <c r="B9" s="8">
        <v>10000.0</v>
      </c>
      <c r="C9" s="8">
        <v>10000.0</v>
      </c>
      <c r="D9" s="8">
        <v>10000.0</v>
      </c>
      <c r="E9" s="8">
        <v>10000.0</v>
      </c>
      <c r="F9" s="8" t="s">
        <v>50</v>
      </c>
      <c r="G9" s="8"/>
      <c r="H9" s="8" t="s">
        <v>47</v>
      </c>
      <c r="I9" s="8"/>
      <c r="J9" s="8"/>
      <c r="K9" s="8"/>
      <c r="L9" s="8"/>
      <c r="M9" s="8"/>
      <c r="N9" s="8"/>
      <c r="O9" s="8" t="s">
        <v>26</v>
      </c>
      <c r="Q9">
        <v>100.0</v>
      </c>
      <c r="R9">
        <v>10.0</v>
      </c>
      <c r="AF9" t="s">
        <v>66</v>
      </c>
      <c r="AI9">
        <v>10.0</v>
      </c>
      <c r="AK9">
        <v>1.0</v>
      </c>
      <c r="AL9">
        <v>3.0</v>
      </c>
      <c r="AM9" t="s">
        <v>41</v>
      </c>
      <c r="AN9" t="s">
        <v>41</v>
      </c>
      <c r="AO9" t="s">
        <v>41</v>
      </c>
      <c r="AP9" t="s">
        <v>41</v>
      </c>
      <c r="AQ9" t="s">
        <v>41</v>
      </c>
      <c r="AR9" t="s">
        <v>41</v>
      </c>
      <c r="AS9" t="s">
        <v>41</v>
      </c>
      <c r="AT9" t="s">
        <v>41</v>
      </c>
      <c r="AU9" t="s">
        <v>41</v>
      </c>
      <c r="AV9" t="s">
        <v>41</v>
      </c>
      <c r="AW9" t="s">
        <v>41</v>
      </c>
      <c r="AX9" t="s">
        <v>41</v>
      </c>
      <c r="AY9" t="s">
        <v>41</v>
      </c>
    </row>
    <row r="10" ht="15.75" customHeight="1">
      <c r="A10" s="8"/>
      <c r="B10" s="8">
        <v>0.0</v>
      </c>
      <c r="C10" s="8">
        <v>0.0</v>
      </c>
      <c r="D10" s="8">
        <v>0.0</v>
      </c>
      <c r="E10" s="8">
        <v>0.0</v>
      </c>
      <c r="F10" s="8" t="s">
        <v>50</v>
      </c>
      <c r="G10" s="8"/>
      <c r="H10" s="8" t="s">
        <v>47</v>
      </c>
      <c r="I10" s="8"/>
      <c r="J10" s="8"/>
      <c r="K10" s="8"/>
      <c r="L10" s="8"/>
      <c r="M10" s="8"/>
      <c r="N10" s="8"/>
      <c r="O10" s="8" t="s">
        <v>26</v>
      </c>
      <c r="Q10">
        <v>100.0</v>
      </c>
      <c r="R10">
        <v>10.0</v>
      </c>
      <c r="AF10" t="s">
        <v>66</v>
      </c>
      <c r="AI10">
        <v>0.0</v>
      </c>
      <c r="AK10">
        <v>1.0</v>
      </c>
      <c r="AL10">
        <v>3.0</v>
      </c>
      <c r="AM10" t="s">
        <v>41</v>
      </c>
      <c r="AN10" t="s">
        <v>41</v>
      </c>
      <c r="AO10" t="s">
        <v>41</v>
      </c>
      <c r="AP10" t="s">
        <v>41</v>
      </c>
      <c r="AQ10" t="s">
        <v>41</v>
      </c>
      <c r="AR10" t="s">
        <v>41</v>
      </c>
      <c r="AS10" t="s">
        <v>41</v>
      </c>
      <c r="AT10" t="s">
        <v>41</v>
      </c>
      <c r="AU10" t="s">
        <v>41</v>
      </c>
      <c r="AV10" t="s">
        <v>41</v>
      </c>
      <c r="AW10" t="s">
        <v>41</v>
      </c>
      <c r="AX10" t="s">
        <v>41</v>
      </c>
      <c r="AY10" t="s">
        <v>41</v>
      </c>
    </row>
    <row r="11" ht="15.75" customHeight="1">
      <c r="A11" s="8"/>
      <c r="B11" s="8">
        <v>40000.0</v>
      </c>
      <c r="C11" s="8">
        <v>40000.0</v>
      </c>
      <c r="D11" s="8">
        <v>40000.0</v>
      </c>
      <c r="E11" s="8">
        <v>40000.0</v>
      </c>
      <c r="F11" s="8" t="s">
        <v>61</v>
      </c>
      <c r="G11" s="8"/>
      <c r="H11" s="8" t="s">
        <v>47</v>
      </c>
      <c r="I11" s="8"/>
      <c r="J11" s="8"/>
      <c r="K11" s="8"/>
      <c r="L11" s="8"/>
      <c r="M11" s="8"/>
      <c r="N11" s="8"/>
      <c r="O11" s="8" t="s">
        <v>26</v>
      </c>
      <c r="Q11">
        <v>100.0</v>
      </c>
      <c r="R11">
        <v>1000.0</v>
      </c>
      <c r="AF11" t="s">
        <v>65</v>
      </c>
      <c r="AI11">
        <v>40.0</v>
      </c>
      <c r="AK11">
        <v>1.0</v>
      </c>
      <c r="AL11">
        <v>3.0</v>
      </c>
      <c r="AM11" t="s">
        <v>41</v>
      </c>
      <c r="AN11" t="s">
        <v>41</v>
      </c>
      <c r="AO11" t="s">
        <v>41</v>
      </c>
      <c r="AP11" t="s">
        <v>41</v>
      </c>
      <c r="AQ11" t="s">
        <v>41</v>
      </c>
      <c r="AR11" t="s">
        <v>41</v>
      </c>
      <c r="AS11" t="s">
        <v>41</v>
      </c>
      <c r="AT11" t="s">
        <v>41</v>
      </c>
      <c r="AU11" t="s">
        <v>41</v>
      </c>
      <c r="AV11" t="s">
        <v>41</v>
      </c>
      <c r="AW11" t="s">
        <v>41</v>
      </c>
      <c r="AX11" t="s">
        <v>41</v>
      </c>
      <c r="AY11" t="s">
        <v>41</v>
      </c>
    </row>
    <row r="12" ht="15.75" customHeight="1">
      <c r="A12" s="8"/>
      <c r="B12" s="8">
        <v>0.0</v>
      </c>
      <c r="C12" s="8">
        <v>0.0</v>
      </c>
      <c r="D12" s="8">
        <v>0.0</v>
      </c>
      <c r="E12" s="8">
        <v>0.0</v>
      </c>
      <c r="F12" s="8" t="s">
        <v>50</v>
      </c>
      <c r="G12" s="8"/>
      <c r="H12" s="8" t="s">
        <v>47</v>
      </c>
      <c r="I12" s="8"/>
      <c r="J12" s="8"/>
      <c r="K12" s="8"/>
      <c r="L12" s="8"/>
      <c r="M12" s="8"/>
      <c r="N12" s="8"/>
      <c r="O12" s="8" t="s">
        <v>26</v>
      </c>
      <c r="Q12">
        <v>100.0</v>
      </c>
      <c r="R12">
        <v>10.0</v>
      </c>
      <c r="AF12" t="s">
        <v>66</v>
      </c>
      <c r="AI12">
        <v>0.0</v>
      </c>
      <c r="AK12">
        <v>1.0</v>
      </c>
      <c r="AL12">
        <v>3.0</v>
      </c>
      <c r="AM12" t="s">
        <v>41</v>
      </c>
      <c r="AN12" t="s">
        <v>41</v>
      </c>
      <c r="AO12" t="s">
        <v>41</v>
      </c>
      <c r="AP12" t="s">
        <v>41</v>
      </c>
      <c r="AQ12" t="s">
        <v>41</v>
      </c>
      <c r="AR12" t="s">
        <v>41</v>
      </c>
      <c r="AS12" t="s">
        <v>41</v>
      </c>
      <c r="AT12" t="s">
        <v>41</v>
      </c>
      <c r="AU12" t="s">
        <v>41</v>
      </c>
      <c r="AV12" t="s">
        <v>41</v>
      </c>
      <c r="AW12" t="s">
        <v>41</v>
      </c>
      <c r="AX12" t="s">
        <v>41</v>
      </c>
      <c r="AY12" t="s">
        <v>41</v>
      </c>
    </row>
    <row r="13" ht="15.75" customHeight="1">
      <c r="A13" s="8"/>
      <c r="B13" s="8">
        <v>0.0</v>
      </c>
      <c r="C13" s="8">
        <v>0.0</v>
      </c>
      <c r="D13" s="8">
        <v>0.0</v>
      </c>
      <c r="E13" s="8">
        <v>0.0</v>
      </c>
      <c r="F13" s="8" t="s">
        <v>50</v>
      </c>
      <c r="G13" s="8"/>
      <c r="H13" s="8" t="s">
        <v>47</v>
      </c>
      <c r="I13" s="8"/>
      <c r="J13" s="8"/>
      <c r="K13" s="8"/>
      <c r="L13" s="8"/>
      <c r="M13" s="8"/>
      <c r="N13" s="8"/>
      <c r="O13" s="8" t="s">
        <v>26</v>
      </c>
      <c r="Q13">
        <v>100.0</v>
      </c>
      <c r="R13">
        <v>10.0</v>
      </c>
      <c r="AF13" t="s">
        <v>66</v>
      </c>
      <c r="AI13">
        <v>0.0</v>
      </c>
      <c r="AK13">
        <v>1.0</v>
      </c>
      <c r="AL13">
        <v>3.0</v>
      </c>
      <c r="AM13" t="s">
        <v>41</v>
      </c>
      <c r="AN13" t="s">
        <v>41</v>
      </c>
      <c r="AO13" t="s">
        <v>41</v>
      </c>
      <c r="AP13" t="s">
        <v>41</v>
      </c>
      <c r="AQ13" t="s">
        <v>41</v>
      </c>
      <c r="AR13" t="s">
        <v>41</v>
      </c>
      <c r="AS13" t="s">
        <v>41</v>
      </c>
      <c r="AT13" t="s">
        <v>41</v>
      </c>
      <c r="AU13" t="s">
        <v>41</v>
      </c>
      <c r="AV13" t="s">
        <v>41</v>
      </c>
      <c r="AW13" t="s">
        <v>41</v>
      </c>
      <c r="AX13" t="s">
        <v>41</v>
      </c>
      <c r="AY13" t="s">
        <v>41</v>
      </c>
    </row>
    <row r="14" ht="15.75" customHeight="1">
      <c r="A14" s="8"/>
      <c r="B14" s="8">
        <v>40000.0</v>
      </c>
      <c r="C14" s="8">
        <v>40000.0</v>
      </c>
      <c r="D14" s="8">
        <v>40000.0</v>
      </c>
      <c r="E14" s="8">
        <v>40000.0</v>
      </c>
      <c r="F14" s="8" t="s">
        <v>61</v>
      </c>
      <c r="G14" s="8"/>
      <c r="H14" s="8" t="s">
        <v>47</v>
      </c>
      <c r="I14" s="8"/>
      <c r="J14" s="8"/>
      <c r="K14" s="8"/>
      <c r="L14" s="8"/>
      <c r="M14" s="8"/>
      <c r="N14" s="8"/>
      <c r="O14" s="8" t="s">
        <v>26</v>
      </c>
      <c r="Q14">
        <v>100.0</v>
      </c>
      <c r="R14">
        <v>1000.0</v>
      </c>
      <c r="AF14" t="s">
        <v>65</v>
      </c>
      <c r="AI14">
        <v>40.0</v>
      </c>
      <c r="AK14">
        <v>1.0</v>
      </c>
      <c r="AL14">
        <v>3.0</v>
      </c>
      <c r="AM14" t="s">
        <v>41</v>
      </c>
      <c r="AN14" t="s">
        <v>41</v>
      </c>
      <c r="AO14" t="s">
        <v>41</v>
      </c>
      <c r="AP14" t="s">
        <v>41</v>
      </c>
      <c r="AQ14" t="s">
        <v>41</v>
      </c>
      <c r="AR14" t="s">
        <v>41</v>
      </c>
      <c r="AS14" t="s">
        <v>41</v>
      </c>
      <c r="AT14" t="s">
        <v>41</v>
      </c>
      <c r="AU14" t="s">
        <v>41</v>
      </c>
      <c r="AV14" t="s">
        <v>41</v>
      </c>
      <c r="AW14" t="s">
        <v>41</v>
      </c>
      <c r="AX14" t="s">
        <v>41</v>
      </c>
      <c r="AY14" t="s">
        <v>41</v>
      </c>
    </row>
    <row r="15" ht="15.75" customHeight="1">
      <c r="A15" s="8"/>
      <c r="B15" s="8">
        <v>50000.0</v>
      </c>
      <c r="C15" s="8">
        <v>50000.0</v>
      </c>
      <c r="D15" s="8">
        <v>50000.0</v>
      </c>
      <c r="E15" s="8">
        <v>50000.0</v>
      </c>
      <c r="F15" s="8" t="s">
        <v>61</v>
      </c>
      <c r="G15" s="8"/>
      <c r="H15" s="8" t="s">
        <v>47</v>
      </c>
      <c r="I15" s="8"/>
      <c r="J15" s="8"/>
      <c r="K15" s="8"/>
      <c r="L15" s="8"/>
      <c r="M15" s="8"/>
      <c r="N15" s="8"/>
      <c r="O15" s="8" t="s">
        <v>26</v>
      </c>
      <c r="Q15">
        <v>100.0</v>
      </c>
      <c r="R15">
        <v>1000.0</v>
      </c>
      <c r="AF15" t="s">
        <v>65</v>
      </c>
      <c r="AI15">
        <v>50.0</v>
      </c>
      <c r="AK15">
        <v>1.0</v>
      </c>
      <c r="AL15">
        <v>3.0</v>
      </c>
      <c r="AM15" t="s">
        <v>41</v>
      </c>
      <c r="AN15" t="s">
        <v>41</v>
      </c>
      <c r="AO15" t="s">
        <v>41</v>
      </c>
      <c r="AP15" t="s">
        <v>41</v>
      </c>
      <c r="AQ15" t="s">
        <v>41</v>
      </c>
      <c r="AR15" t="s">
        <v>41</v>
      </c>
      <c r="AS15" t="s">
        <v>41</v>
      </c>
      <c r="AT15" t="s">
        <v>41</v>
      </c>
      <c r="AU15" t="s">
        <v>41</v>
      </c>
      <c r="AV15" t="s">
        <v>41</v>
      </c>
      <c r="AW15" t="s">
        <v>41</v>
      </c>
      <c r="AX15" t="s">
        <v>41</v>
      </c>
      <c r="AY15" t="s">
        <v>41</v>
      </c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CheckAllocatedTaxlots!$4:$4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67</v>
      </c>
      <c r="D3" s="5" t="s">
        <v>9</v>
      </c>
      <c r="E3" s="23" t="s">
        <v>68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8"/>
      <c r="B6" s="8"/>
      <c r="C6" s="8" t="s">
        <v>24</v>
      </c>
      <c r="D6" s="8">
        <v>1000.0</v>
      </c>
      <c r="E6" s="8" t="s">
        <v>26</v>
      </c>
      <c r="F6" s="8" t="s">
        <v>69</v>
      </c>
      <c r="G6" s="8">
        <v>1.0</v>
      </c>
      <c r="H6" s="8" t="s">
        <v>70</v>
      </c>
      <c r="I6" s="8"/>
      <c r="J6" s="8"/>
      <c r="K6" s="8"/>
      <c r="L6" s="8"/>
      <c r="M6" s="8"/>
      <c r="N6" s="8"/>
      <c r="O6" s="8" t="s">
        <v>46</v>
      </c>
      <c r="P6">
        <v>120.0</v>
      </c>
      <c r="R6" t="s">
        <v>71</v>
      </c>
      <c r="S6" t="s">
        <v>72</v>
      </c>
      <c r="T6" t="s">
        <v>43</v>
      </c>
      <c r="U6" t="s">
        <v>73</v>
      </c>
      <c r="V6" t="s">
        <v>49</v>
      </c>
      <c r="W6" t="s">
        <v>47</v>
      </c>
      <c r="X6">
        <v>1.0</v>
      </c>
      <c r="Y6">
        <v>1.0</v>
      </c>
      <c r="AN6" t="s">
        <v>25</v>
      </c>
      <c r="AP6" t="s">
        <v>70</v>
      </c>
      <c r="AQ6" t="s">
        <v>24</v>
      </c>
      <c r="AT6" t="s">
        <v>48</v>
      </c>
      <c r="AU6" t="s">
        <v>51</v>
      </c>
      <c r="AV6">
        <v>1.0</v>
      </c>
      <c r="AW6">
        <v>-1000.0</v>
      </c>
      <c r="BE6" t="s">
        <v>43</v>
      </c>
      <c r="BF6" t="s">
        <v>74</v>
      </c>
      <c r="BQ6" t="s">
        <v>55</v>
      </c>
      <c r="BR6" t="s">
        <v>45</v>
      </c>
      <c r="BU6" t="s">
        <v>43</v>
      </c>
      <c r="CJ6">
        <v>0.0</v>
      </c>
      <c r="CK6" t="b">
        <v>0</v>
      </c>
      <c r="CN6" t="s">
        <v>24</v>
      </c>
      <c r="CO6" t="s">
        <v>24</v>
      </c>
      <c r="CP6" t="s">
        <v>44</v>
      </c>
      <c r="CS6">
        <v>1.0</v>
      </c>
      <c r="CY6" t="s">
        <v>75</v>
      </c>
      <c r="CZ6" t="s">
        <v>76</v>
      </c>
      <c r="DJ6" t="s">
        <v>25</v>
      </c>
      <c r="DP6" t="s">
        <v>70</v>
      </c>
      <c r="ED6" t="s">
        <v>47</v>
      </c>
      <c r="EL6" t="s">
        <v>70</v>
      </c>
    </row>
    <row r="7" ht="15.75" customHeight="1">
      <c r="A7" s="8"/>
      <c r="B7" s="8"/>
      <c r="C7" s="8" t="s">
        <v>16</v>
      </c>
      <c r="D7" s="8">
        <v>-10.0</v>
      </c>
      <c r="E7" s="8" t="s">
        <v>26</v>
      </c>
      <c r="F7" s="8" t="s">
        <v>69</v>
      </c>
      <c r="G7" s="8">
        <v>10.0</v>
      </c>
      <c r="H7" s="8" t="s">
        <v>77</v>
      </c>
      <c r="I7" s="8"/>
      <c r="J7" s="8"/>
      <c r="K7" s="8"/>
      <c r="L7" s="8"/>
      <c r="M7" s="8"/>
      <c r="N7" s="8"/>
      <c r="O7" s="8" t="s">
        <v>16</v>
      </c>
      <c r="P7" t="s">
        <v>78</v>
      </c>
      <c r="R7" t="s">
        <v>71</v>
      </c>
      <c r="S7" t="s">
        <v>72</v>
      </c>
      <c r="T7" t="s">
        <v>36</v>
      </c>
      <c r="U7" t="s">
        <v>73</v>
      </c>
      <c r="V7" t="s">
        <v>56</v>
      </c>
      <c r="W7" t="s">
        <v>47</v>
      </c>
      <c r="X7">
        <v>100.0</v>
      </c>
      <c r="Y7">
        <v>1.0</v>
      </c>
      <c r="AN7" t="s">
        <v>27</v>
      </c>
      <c r="AP7" t="s">
        <v>70</v>
      </c>
      <c r="AQ7" t="s">
        <v>24</v>
      </c>
      <c r="AT7" t="s">
        <v>48</v>
      </c>
      <c r="AU7" t="s">
        <v>51</v>
      </c>
      <c r="AV7">
        <v>1.0</v>
      </c>
      <c r="AW7">
        <v>10000.0</v>
      </c>
      <c r="BE7" t="s">
        <v>79</v>
      </c>
      <c r="BF7" t="s">
        <v>78</v>
      </c>
      <c r="BQ7" t="s">
        <v>55</v>
      </c>
      <c r="BR7" t="s">
        <v>45</v>
      </c>
      <c r="BU7" t="s">
        <v>80</v>
      </c>
      <c r="CJ7">
        <v>0.0</v>
      </c>
      <c r="CK7" t="b">
        <v>0</v>
      </c>
      <c r="CS7">
        <v>10.0</v>
      </c>
      <c r="CY7" t="s">
        <v>75</v>
      </c>
      <c r="CZ7" t="s">
        <v>76</v>
      </c>
      <c r="DJ7" t="s">
        <v>27</v>
      </c>
      <c r="DP7" t="s">
        <v>70</v>
      </c>
      <c r="ED7" t="s">
        <v>47</v>
      </c>
      <c r="EL7" t="s">
        <v>70</v>
      </c>
      <c r="FC7" t="s">
        <v>81</v>
      </c>
    </row>
    <row r="8" ht="15.75" customHeight="1">
      <c r="A8" s="8"/>
      <c r="B8" s="8"/>
      <c r="C8" s="8" t="s">
        <v>17</v>
      </c>
      <c r="D8" s="8">
        <v>10.0</v>
      </c>
      <c r="E8" s="8" t="s">
        <v>26</v>
      </c>
      <c r="F8" s="8" t="s">
        <v>69</v>
      </c>
      <c r="G8" s="8">
        <v>10.0</v>
      </c>
      <c r="H8" s="8" t="s">
        <v>70</v>
      </c>
      <c r="I8" s="8"/>
      <c r="J8" s="8"/>
      <c r="K8" s="8"/>
      <c r="L8" s="8"/>
      <c r="M8" s="8"/>
      <c r="N8" s="8"/>
      <c r="O8" s="8" t="s">
        <v>17</v>
      </c>
      <c r="P8" t="s">
        <v>78</v>
      </c>
      <c r="R8" t="s">
        <v>71</v>
      </c>
      <c r="S8" t="s">
        <v>72</v>
      </c>
      <c r="T8" t="s">
        <v>36</v>
      </c>
      <c r="U8" t="s">
        <v>73</v>
      </c>
      <c r="V8" t="s">
        <v>56</v>
      </c>
      <c r="W8" t="s">
        <v>47</v>
      </c>
      <c r="X8">
        <v>100.0</v>
      </c>
      <c r="Y8">
        <v>1.0</v>
      </c>
      <c r="AN8" t="s">
        <v>28</v>
      </c>
      <c r="AP8" t="s">
        <v>70</v>
      </c>
      <c r="AQ8" t="s">
        <v>24</v>
      </c>
      <c r="AT8" t="s">
        <v>48</v>
      </c>
      <c r="AU8" t="s">
        <v>51</v>
      </c>
      <c r="AV8">
        <v>1.0</v>
      </c>
      <c r="AW8">
        <v>-10000.0</v>
      </c>
      <c r="BE8" t="s">
        <v>82</v>
      </c>
      <c r="BF8" t="s">
        <v>74</v>
      </c>
      <c r="BQ8" t="s">
        <v>55</v>
      </c>
      <c r="BR8" t="s">
        <v>45</v>
      </c>
      <c r="BU8" t="s">
        <v>83</v>
      </c>
      <c r="CJ8">
        <v>0.0</v>
      </c>
      <c r="CK8" t="b">
        <v>0</v>
      </c>
      <c r="CS8">
        <v>10.0</v>
      </c>
      <c r="CY8" t="s">
        <v>75</v>
      </c>
      <c r="CZ8" t="s">
        <v>76</v>
      </c>
      <c r="DJ8" t="s">
        <v>28</v>
      </c>
      <c r="DP8" t="s">
        <v>70</v>
      </c>
      <c r="ED8" t="s">
        <v>47</v>
      </c>
      <c r="EL8" t="s">
        <v>70</v>
      </c>
      <c r="FC8" t="s">
        <v>84</v>
      </c>
    </row>
    <row r="9" ht="15.75" customHeight="1">
      <c r="A9" s="8"/>
      <c r="B9" s="8"/>
      <c r="C9" s="8" t="s">
        <v>18</v>
      </c>
      <c r="D9" s="8">
        <v>-10.0</v>
      </c>
      <c r="E9" s="8" t="s">
        <v>26</v>
      </c>
      <c r="F9" s="8" t="s">
        <v>69</v>
      </c>
      <c r="G9" s="8">
        <v>10.0</v>
      </c>
      <c r="H9" s="8" t="s">
        <v>77</v>
      </c>
      <c r="I9" s="8"/>
      <c r="J9" s="8"/>
      <c r="K9" s="8"/>
      <c r="L9" s="8"/>
      <c r="M9" s="8"/>
      <c r="N9" s="8"/>
      <c r="O9" s="8" t="s">
        <v>18</v>
      </c>
      <c r="P9" t="s">
        <v>78</v>
      </c>
      <c r="R9" t="s">
        <v>71</v>
      </c>
      <c r="S9" t="s">
        <v>72</v>
      </c>
      <c r="T9" t="s">
        <v>36</v>
      </c>
      <c r="U9" t="s">
        <v>73</v>
      </c>
      <c r="V9" t="s">
        <v>56</v>
      </c>
      <c r="W9" t="s">
        <v>47</v>
      </c>
      <c r="X9">
        <v>100.0</v>
      </c>
      <c r="Y9">
        <v>1.0</v>
      </c>
      <c r="AN9" t="s">
        <v>27</v>
      </c>
      <c r="AP9" t="s">
        <v>70</v>
      </c>
      <c r="AQ9" t="s">
        <v>24</v>
      </c>
      <c r="AT9" t="s">
        <v>48</v>
      </c>
      <c r="AU9" t="s">
        <v>51</v>
      </c>
      <c r="AV9">
        <v>1.0</v>
      </c>
      <c r="AW9">
        <v>10000.0</v>
      </c>
      <c r="BE9" t="s">
        <v>79</v>
      </c>
      <c r="BF9" t="s">
        <v>78</v>
      </c>
      <c r="BQ9" t="s">
        <v>55</v>
      </c>
      <c r="BR9" t="s">
        <v>45</v>
      </c>
      <c r="BU9" t="s">
        <v>80</v>
      </c>
      <c r="CJ9">
        <v>0.0</v>
      </c>
      <c r="CK9" t="b">
        <v>0</v>
      </c>
      <c r="CS9">
        <v>10.0</v>
      </c>
      <c r="CY9" t="s">
        <v>75</v>
      </c>
      <c r="CZ9" t="s">
        <v>76</v>
      </c>
      <c r="DJ9" t="s">
        <v>27</v>
      </c>
      <c r="DP9" t="s">
        <v>70</v>
      </c>
      <c r="ED9" t="s">
        <v>47</v>
      </c>
      <c r="EL9" t="s">
        <v>70</v>
      </c>
      <c r="FC9" t="s">
        <v>81</v>
      </c>
    </row>
    <row r="10" ht="15.75" customHeight="1">
      <c r="A10" s="8"/>
      <c r="B10" s="8"/>
      <c r="C10" s="8" t="s">
        <v>16</v>
      </c>
      <c r="D10" s="8">
        <v>10.0</v>
      </c>
      <c r="E10" s="8" t="s">
        <v>26</v>
      </c>
      <c r="F10" s="8" t="s">
        <v>69</v>
      </c>
      <c r="G10" s="8">
        <v>0.0</v>
      </c>
      <c r="H10" s="8" t="s">
        <v>77</v>
      </c>
      <c r="I10" s="8"/>
      <c r="J10" s="8"/>
      <c r="K10" s="8"/>
      <c r="L10" s="8"/>
      <c r="M10" s="8"/>
      <c r="N10" s="8"/>
      <c r="O10" s="8" t="s">
        <v>16</v>
      </c>
      <c r="P10" t="s">
        <v>78</v>
      </c>
      <c r="R10" t="s">
        <v>71</v>
      </c>
      <c r="S10" t="s">
        <v>72</v>
      </c>
      <c r="T10" t="s">
        <v>36</v>
      </c>
      <c r="U10" t="s">
        <v>73</v>
      </c>
      <c r="V10" t="s">
        <v>56</v>
      </c>
      <c r="W10" t="s">
        <v>47</v>
      </c>
      <c r="X10">
        <v>100.0</v>
      </c>
      <c r="Y10">
        <v>1.0</v>
      </c>
      <c r="AN10" t="s">
        <v>59</v>
      </c>
      <c r="AP10" t="s">
        <v>70</v>
      </c>
      <c r="AQ10" t="s">
        <v>24</v>
      </c>
      <c r="AV10">
        <v>1.0</v>
      </c>
      <c r="BE10" t="s">
        <v>79</v>
      </c>
      <c r="BF10" t="s">
        <v>78</v>
      </c>
      <c r="BQ10" t="s">
        <v>55</v>
      </c>
      <c r="BR10" t="s">
        <v>45</v>
      </c>
      <c r="BU10" t="s">
        <v>80</v>
      </c>
      <c r="CJ10">
        <v>0.0</v>
      </c>
      <c r="CK10" t="b">
        <v>0</v>
      </c>
      <c r="CS10">
        <v>0.0</v>
      </c>
      <c r="CY10" t="s">
        <v>75</v>
      </c>
      <c r="CZ10" t="s">
        <v>76</v>
      </c>
      <c r="DJ10" t="s">
        <v>60</v>
      </c>
      <c r="DP10" t="s">
        <v>70</v>
      </c>
      <c r="ED10" t="s">
        <v>47</v>
      </c>
      <c r="EL10" t="s">
        <v>70</v>
      </c>
      <c r="FC10" t="s">
        <v>81</v>
      </c>
    </row>
    <row r="11" ht="15.75" customHeight="1">
      <c r="A11" s="8"/>
      <c r="B11" s="8"/>
      <c r="C11" s="8" t="s">
        <v>17</v>
      </c>
      <c r="D11" s="8">
        <v>-10.0</v>
      </c>
      <c r="E11" s="8" t="s">
        <v>26</v>
      </c>
      <c r="F11" s="8" t="s">
        <v>69</v>
      </c>
      <c r="G11" s="8">
        <v>0.0</v>
      </c>
      <c r="H11" s="8" t="s">
        <v>70</v>
      </c>
      <c r="I11" s="8"/>
      <c r="J11" s="8"/>
      <c r="K11" s="8"/>
      <c r="L11" s="8"/>
      <c r="M11" s="8"/>
      <c r="N11" s="8"/>
      <c r="O11" s="8" t="s">
        <v>17</v>
      </c>
      <c r="P11" t="s">
        <v>78</v>
      </c>
      <c r="R11" t="s">
        <v>71</v>
      </c>
      <c r="S11" t="s">
        <v>72</v>
      </c>
      <c r="T11" t="s">
        <v>36</v>
      </c>
      <c r="U11" t="s">
        <v>73</v>
      </c>
      <c r="V11" t="s">
        <v>56</v>
      </c>
      <c r="W11" t="s">
        <v>47</v>
      </c>
      <c r="X11">
        <v>100.0</v>
      </c>
      <c r="Y11">
        <v>1.0</v>
      </c>
      <c r="AN11" t="s">
        <v>62</v>
      </c>
      <c r="AP11" t="s">
        <v>70</v>
      </c>
      <c r="AQ11" t="s">
        <v>24</v>
      </c>
      <c r="AV11">
        <v>1.0</v>
      </c>
      <c r="BE11" t="s">
        <v>82</v>
      </c>
      <c r="BF11" t="s">
        <v>74</v>
      </c>
      <c r="BQ11" t="s">
        <v>55</v>
      </c>
      <c r="BR11" t="s">
        <v>45</v>
      </c>
      <c r="BU11" t="s">
        <v>83</v>
      </c>
      <c r="CJ11">
        <v>0.0</v>
      </c>
      <c r="CK11" t="b">
        <v>0</v>
      </c>
      <c r="CS11">
        <v>0.0</v>
      </c>
      <c r="CY11" t="s">
        <v>75</v>
      </c>
      <c r="CZ11" t="s">
        <v>76</v>
      </c>
      <c r="DJ11" t="s">
        <v>63</v>
      </c>
      <c r="DP11" t="s">
        <v>70</v>
      </c>
      <c r="ED11" t="s">
        <v>47</v>
      </c>
      <c r="EL11" t="s">
        <v>70</v>
      </c>
      <c r="FC11" t="s">
        <v>84</v>
      </c>
    </row>
    <row r="12" ht="15.75" customHeight="1">
      <c r="A12" s="8"/>
      <c r="B12" s="8"/>
      <c r="C12" s="8" t="s">
        <v>18</v>
      </c>
      <c r="D12" s="8">
        <v>10.0</v>
      </c>
      <c r="E12" s="8" t="s">
        <v>26</v>
      </c>
      <c r="F12" s="8" t="s">
        <v>69</v>
      </c>
      <c r="G12" s="8">
        <v>0.0</v>
      </c>
      <c r="H12" s="8" t="s">
        <v>77</v>
      </c>
      <c r="I12" s="8"/>
      <c r="J12" s="8"/>
      <c r="K12" s="8"/>
      <c r="L12" s="8"/>
      <c r="M12" s="8"/>
      <c r="N12" s="8"/>
      <c r="O12" s="8" t="s">
        <v>18</v>
      </c>
      <c r="P12" t="s">
        <v>78</v>
      </c>
      <c r="R12" t="s">
        <v>71</v>
      </c>
      <c r="S12" t="s">
        <v>72</v>
      </c>
      <c r="T12" t="s">
        <v>36</v>
      </c>
      <c r="U12" t="s">
        <v>73</v>
      </c>
      <c r="V12" t="s">
        <v>56</v>
      </c>
      <c r="W12" t="s">
        <v>47</v>
      </c>
      <c r="X12">
        <v>100.0</v>
      </c>
      <c r="Y12">
        <v>1.0</v>
      </c>
      <c r="AN12" t="s">
        <v>59</v>
      </c>
      <c r="AP12" t="s">
        <v>70</v>
      </c>
      <c r="AQ12" t="s">
        <v>24</v>
      </c>
      <c r="AV12">
        <v>1.0</v>
      </c>
      <c r="BE12" t="s">
        <v>79</v>
      </c>
      <c r="BF12" t="s">
        <v>78</v>
      </c>
      <c r="BQ12" t="s">
        <v>55</v>
      </c>
      <c r="BR12" t="s">
        <v>45</v>
      </c>
      <c r="BU12" t="s">
        <v>80</v>
      </c>
      <c r="CJ12">
        <v>0.0</v>
      </c>
      <c r="CK12" t="b">
        <v>0</v>
      </c>
      <c r="CS12">
        <v>0.0</v>
      </c>
      <c r="CY12" t="s">
        <v>75</v>
      </c>
      <c r="CZ12" t="s">
        <v>76</v>
      </c>
      <c r="DJ12" t="s">
        <v>60</v>
      </c>
      <c r="DP12" t="s">
        <v>70</v>
      </c>
      <c r="ED12" t="s">
        <v>47</v>
      </c>
      <c r="EL12" t="s">
        <v>70</v>
      </c>
      <c r="FC12" t="s">
        <v>81</v>
      </c>
    </row>
    <row r="13" ht="15.75" customHeight="1">
      <c r="A13" s="8"/>
      <c r="B13" s="8"/>
      <c r="C13" s="8" t="s">
        <v>24</v>
      </c>
      <c r="D13" s="8">
        <v>1000.0</v>
      </c>
      <c r="E13" s="8" t="s">
        <v>26</v>
      </c>
      <c r="F13" s="8" t="s">
        <v>69</v>
      </c>
      <c r="G13" s="8">
        <v>40.0</v>
      </c>
      <c r="H13" s="8" t="s">
        <v>70</v>
      </c>
      <c r="I13" s="8"/>
      <c r="J13" s="8"/>
      <c r="K13" s="8"/>
      <c r="L13" s="8"/>
      <c r="M13" s="8"/>
      <c r="N13" s="8"/>
      <c r="O13" s="8" t="s">
        <v>46</v>
      </c>
      <c r="P13">
        <v>120.0</v>
      </c>
      <c r="R13" t="s">
        <v>71</v>
      </c>
      <c r="S13" t="s">
        <v>72</v>
      </c>
      <c r="T13" t="s">
        <v>43</v>
      </c>
      <c r="U13" t="s">
        <v>73</v>
      </c>
      <c r="V13" t="s">
        <v>49</v>
      </c>
      <c r="W13" t="s">
        <v>47</v>
      </c>
      <c r="X13">
        <v>1.0</v>
      </c>
      <c r="Y13">
        <v>1.0</v>
      </c>
      <c r="AN13" t="s">
        <v>25</v>
      </c>
      <c r="AP13" t="s">
        <v>70</v>
      </c>
      <c r="AQ13" t="s">
        <v>24</v>
      </c>
      <c r="AV13">
        <v>1.0</v>
      </c>
      <c r="AW13">
        <v>-40000.0</v>
      </c>
      <c r="BE13" t="s">
        <v>43</v>
      </c>
      <c r="BF13" t="s">
        <v>74</v>
      </c>
      <c r="BQ13" t="s">
        <v>55</v>
      </c>
      <c r="BR13" t="s">
        <v>45</v>
      </c>
      <c r="BU13" t="s">
        <v>43</v>
      </c>
      <c r="CJ13">
        <v>0.0</v>
      </c>
      <c r="CK13" t="b">
        <v>0</v>
      </c>
      <c r="CN13" t="s">
        <v>24</v>
      </c>
      <c r="CO13" t="s">
        <v>24</v>
      </c>
      <c r="CP13" t="s">
        <v>44</v>
      </c>
      <c r="CS13">
        <v>40.0</v>
      </c>
      <c r="CY13" t="s">
        <v>75</v>
      </c>
      <c r="CZ13" t="s">
        <v>76</v>
      </c>
      <c r="DJ13" t="s">
        <v>60</v>
      </c>
      <c r="DP13" t="s">
        <v>70</v>
      </c>
      <c r="ED13" t="s">
        <v>47</v>
      </c>
      <c r="EL13" t="s">
        <v>70</v>
      </c>
    </row>
    <row r="14" ht="15.75" customHeight="1">
      <c r="A14" s="8"/>
      <c r="B14" s="8"/>
      <c r="C14" s="8" t="s">
        <v>24</v>
      </c>
      <c r="D14" s="8">
        <v>1000.0</v>
      </c>
      <c r="E14" s="8" t="s">
        <v>26</v>
      </c>
      <c r="F14" s="8" t="s">
        <v>69</v>
      </c>
      <c r="G14" s="8">
        <v>40.0</v>
      </c>
      <c r="H14" s="8" t="s">
        <v>70</v>
      </c>
      <c r="I14" s="8"/>
      <c r="J14" s="8"/>
      <c r="K14" s="8"/>
      <c r="L14" s="8"/>
      <c r="M14" s="8"/>
      <c r="N14" s="8"/>
      <c r="O14" s="8" t="s">
        <v>46</v>
      </c>
      <c r="P14">
        <v>120.0</v>
      </c>
      <c r="R14" t="s">
        <v>71</v>
      </c>
      <c r="S14" t="s">
        <v>72</v>
      </c>
      <c r="T14" t="s">
        <v>43</v>
      </c>
      <c r="U14" t="s">
        <v>73</v>
      </c>
      <c r="V14" t="s">
        <v>49</v>
      </c>
      <c r="W14" t="s">
        <v>47</v>
      </c>
      <c r="X14">
        <v>1.0</v>
      </c>
      <c r="Y14">
        <v>1.0</v>
      </c>
      <c r="AN14" t="s">
        <v>25</v>
      </c>
      <c r="AP14" t="s">
        <v>70</v>
      </c>
      <c r="AQ14" t="s">
        <v>24</v>
      </c>
      <c r="AV14">
        <v>1.0</v>
      </c>
      <c r="AW14">
        <v>-40000.0</v>
      </c>
      <c r="BE14" t="s">
        <v>43</v>
      </c>
      <c r="BF14" t="s">
        <v>74</v>
      </c>
      <c r="BQ14" t="s">
        <v>55</v>
      </c>
      <c r="BR14" t="s">
        <v>45</v>
      </c>
      <c r="BU14" t="s">
        <v>43</v>
      </c>
      <c r="CJ14">
        <v>0.0</v>
      </c>
      <c r="CK14" t="b">
        <v>0</v>
      </c>
      <c r="CN14" t="s">
        <v>24</v>
      </c>
      <c r="CO14" t="s">
        <v>24</v>
      </c>
      <c r="CP14" t="s">
        <v>44</v>
      </c>
      <c r="CS14">
        <v>40.0</v>
      </c>
      <c r="CY14" t="s">
        <v>75</v>
      </c>
      <c r="CZ14" t="s">
        <v>76</v>
      </c>
      <c r="DJ14" t="s">
        <v>63</v>
      </c>
      <c r="DP14" t="s">
        <v>70</v>
      </c>
      <c r="ED14" t="s">
        <v>47</v>
      </c>
      <c r="EL14" t="s">
        <v>70</v>
      </c>
    </row>
    <row r="15" ht="15.75" customHeight="1">
      <c r="A15" s="8"/>
      <c r="B15" s="8"/>
      <c r="C15" s="8" t="s">
        <v>24</v>
      </c>
      <c r="D15" s="8">
        <v>1000.0</v>
      </c>
      <c r="E15" s="8" t="s">
        <v>26</v>
      </c>
      <c r="F15" s="8" t="s">
        <v>69</v>
      </c>
      <c r="G15" s="8">
        <v>50.0</v>
      </c>
      <c r="H15" s="8" t="s">
        <v>70</v>
      </c>
      <c r="I15" s="8"/>
      <c r="J15" s="8"/>
      <c r="K15" s="8"/>
      <c r="L15" s="8"/>
      <c r="M15" s="8"/>
      <c r="N15" s="8"/>
      <c r="O15" s="8" t="s">
        <v>46</v>
      </c>
      <c r="P15">
        <v>120.0</v>
      </c>
      <c r="R15" t="s">
        <v>71</v>
      </c>
      <c r="S15" t="s">
        <v>72</v>
      </c>
      <c r="T15" t="s">
        <v>43</v>
      </c>
      <c r="U15" t="s">
        <v>73</v>
      </c>
      <c r="V15" t="s">
        <v>49</v>
      </c>
      <c r="W15" t="s">
        <v>47</v>
      </c>
      <c r="X15">
        <v>1.0</v>
      </c>
      <c r="Y15">
        <v>1.0</v>
      </c>
      <c r="AN15" t="s">
        <v>25</v>
      </c>
      <c r="AP15" t="s">
        <v>70</v>
      </c>
      <c r="AQ15" t="s">
        <v>24</v>
      </c>
      <c r="AV15">
        <v>1.0</v>
      </c>
      <c r="AW15">
        <v>-50000.0</v>
      </c>
      <c r="BE15" t="s">
        <v>43</v>
      </c>
      <c r="BF15" t="s">
        <v>74</v>
      </c>
      <c r="BQ15" t="s">
        <v>55</v>
      </c>
      <c r="BR15" t="s">
        <v>45</v>
      </c>
      <c r="BU15" t="s">
        <v>43</v>
      </c>
      <c r="CJ15">
        <v>0.0</v>
      </c>
      <c r="CK15" t="b">
        <v>0</v>
      </c>
      <c r="CN15" t="s">
        <v>24</v>
      </c>
      <c r="CO15" t="s">
        <v>24</v>
      </c>
      <c r="CP15" t="s">
        <v>44</v>
      </c>
      <c r="CS15">
        <v>50.0</v>
      </c>
      <c r="CY15" t="s">
        <v>75</v>
      </c>
      <c r="CZ15" t="s">
        <v>76</v>
      </c>
      <c r="DJ15" t="s">
        <v>60</v>
      </c>
      <c r="DP15" t="s">
        <v>70</v>
      </c>
      <c r="ED15" t="s">
        <v>47</v>
      </c>
      <c r="EL15" t="s">
        <v>70</v>
      </c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85</v>
      </c>
      <c r="C6" s="8"/>
      <c r="D6" s="13" t="s">
        <v>86</v>
      </c>
      <c r="E6" s="38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'Copy of Data'!$4:$4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