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reateLiveOrder" sheetId="8" r:id="rId10"/>
    <sheet state="visible" name="AcknowledgeTrade" sheetId="9" r:id="rId11"/>
    <sheet state="visible" name="SelectTrade" sheetId="10" r:id="rId12"/>
    <sheet state="visible" name="CreateComplianceOrder" sheetId="11" r:id="rId13"/>
    <sheet state="visible" name="VerifyComplianceOrder" sheetId="12" r:id="rId14"/>
    <sheet state="visible" name="SelectTradeOnOrderGrid" sheetId="13" r:id="rId15"/>
    <sheet state="visible" name="ReplaceSubOrder" sheetId="14" r:id="rId16"/>
    <sheet state="visible" name="CreateReplaceOrder" sheetId="15" r:id="rId17"/>
    <sheet state="visible" name="SetRollover" sheetId="16" r:id="rId18"/>
    <sheet state="visible" name="VerifyRollover" sheetId="17" r:id="rId19"/>
    <sheet state="visible" name="VerifyComplianceOrder1" sheetId="18" r:id="rId20"/>
    <sheet state="visible" name="VerifyComplianceOrder2" sheetId="19" r:id="rId21"/>
    <sheet state="visible" name="ReplaceSubOrder1" sheetId="20" r:id="rId22"/>
    <sheet state="visible" name="CreateReplaceOrder1" sheetId="21" r:id="rId23"/>
    <sheet state="visible" name="CancelSubOrder" sheetId="22" r:id="rId24"/>
    <sheet state="visible" name="RejectTrade" sheetId="23" r:id="rId25"/>
    <sheet state="visible" name="VerifyRollover1" sheetId="24" r:id="rId26"/>
    <sheet state="visible" name="VerifyRollover2" sheetId="25" r:id="rId27"/>
    <sheet state="visible" name="RestartReleasesAndServices" sheetId="26" r:id="rId28"/>
  </sheets>
  <definedNames/>
  <calcPr/>
</workbook>
</file>

<file path=xl/sharedStrings.xml><?xml version="1.0" encoding="utf-8"?>
<sst xmlns="http://schemas.openxmlformats.org/spreadsheetml/2006/main" count="309" uniqueCount="73">
  <si>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</si>
  <si>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</si>
  <si>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</si>
  <si>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</si>
  <si>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</si>
  <si>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</si>
  <si>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</si>
  <si>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</si>
  <si>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</si>
  <si>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</si>
  <si>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</si>
  <si>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</si>
  <si>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</si>
  <si>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</si>
  <si>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</si>
  <si>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</si>
  <si>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Allocation</t>
  </si>
  <si>
    <t>AddCalculatedPreferences</t>
  </si>
  <si>
    <t>PrefSt</t>
  </si>
  <si>
    <t>SetAccountValueCalculatedPref</t>
  </si>
  <si>
    <t>Allocation2</t>
  </si>
  <si>
    <t>Allocation3</t>
  </si>
  <si>
    <t>SetDefaultRuleCalculatedPref</t>
  </si>
  <si>
    <t>Trade Quantity</t>
  </si>
  <si>
    <t>Current Preference</t>
  </si>
  <si>
    <t>TradingTicket</t>
  </si>
  <si>
    <t>CreateLiveOrder</t>
  </si>
  <si>
    <t>GOOG</t>
  </si>
  <si>
    <t>Buy</t>
  </si>
  <si>
    <t>Yes</t>
  </si>
  <si>
    <t>Simulator</t>
  </si>
  <si>
    <t>AcknowledgeTrade</t>
  </si>
  <si>
    <t>SelectTrade</t>
  </si>
  <si>
    <t>CreateComplianceOrder</t>
  </si>
  <si>
    <t>Send</t>
  </si>
  <si>
    <t>VerifyComplianceOrder</t>
  </si>
  <si>
    <t>Soft</t>
  </si>
  <si>
    <t>Account_Symbol</t>
  </si>
  <si>
    <t>If Quantity not equals to -1234, Symbol equals to "GOOG", Then block the trade.</t>
  </si>
  <si>
    <t>Allocation3-GOOG</t>
  </si>
  <si>
    <t>quantity: 505.00, symbol: GOOG, AccountShortName: Allocation3</t>
  </si>
  <si>
    <t>No</t>
  </si>
  <si>
    <t>Allocation2-GOOG</t>
  </si>
  <si>
    <t>quantity: 505.00, symbol: GOOG, AccountShortName: Allocation2</t>
  </si>
  <si>
    <t>Symbol</t>
  </si>
  <si>
    <t>If Quantity not equals to -123466, Symbol equals to "GOOG", Then block the trade.</t>
  </si>
  <si>
    <t>quantity: 1,010.00, symbol: GOOG</t>
  </si>
  <si>
    <t>Trade</t>
  </si>
  <si>
    <t>quantity: 5.00, symbol: GOOG</t>
  </si>
  <si>
    <t>Blotter</t>
  </si>
  <si>
    <t>SelectTradeOnOrderGrid</t>
  </si>
  <si>
    <t>New</t>
  </si>
  <si>
    <t>ReplaceSubOrder</t>
  </si>
  <si>
    <t>CreateReplaceOrder</t>
  </si>
  <si>
    <t>SetRollover</t>
  </si>
  <si>
    <t>Equity</t>
  </si>
  <si>
    <t>US</t>
  </si>
  <si>
    <t>NASDAQ</t>
  </si>
  <si>
    <t>Right Now</t>
  </si>
  <si>
    <t>VerifyRollover</t>
  </si>
  <si>
    <t>PendingReplace</t>
  </si>
  <si>
    <t>RollOver</t>
  </si>
  <si>
    <t>quantity: 5.00, symbol: GOOG, AccountShortName: Allocation3</t>
  </si>
  <si>
    <t>quantity: 5.00, symbol: GOOG, AccountShortName: Allocation2</t>
  </si>
  <si>
    <t>quantity: 10.00, symbol: GOOG</t>
  </si>
  <si>
    <t>quantity: 405.00, symbol: GOOG, AccountShortName: Allocation2</t>
  </si>
  <si>
    <t>quantity: 405.00, symbol: GOOG, AccountShortName: Allocation3</t>
  </si>
  <si>
    <t>quantity: 810.00, symbol: GOOG</t>
  </si>
  <si>
    <t>Replaced</t>
  </si>
  <si>
    <t>CancelSubOrder</t>
  </si>
  <si>
    <t>RejectTrade</t>
  </si>
  <si>
    <t>Compliance</t>
  </si>
  <si>
    <t>RestartReleasesAndServices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</si>
</sst>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9.0"/>
      <color rgb="FFFFFFFF"/>
      <name val="&quot;Segoe UI&quot;"/>
    </font>
    <font>
      <sz val="9.0"/>
      <color rgb="FF000000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  <border>
      <right style="thin">
        <color rgb="FF535353"/>
      </right>
      <bottom style="thin">
        <color rgb="FF535353"/>
      </bottom>
    </border>
    <border>
      <bottom style="thin">
        <color rgb="FF53535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horizontal="center" vertical="bottom"/>
    </xf>
    <xf borderId="6" fillId="6" fontId="13" numFmtId="0" xfId="0" applyAlignment="1" applyBorder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8" fillId="0" fontId="3" numFmtId="0" xfId="0" applyAlignment="1" applyBorder="1" applyFont="1">
      <alignment vertical="bottom"/>
    </xf>
    <xf borderId="9" fillId="7" fontId="14" numFmtId="0" xfId="0" applyAlignment="1" applyBorder="1" applyFill="1" applyFont="1">
      <alignment vertical="top"/>
    </xf>
    <xf borderId="9" fillId="8" fontId="15" numFmtId="0" xfId="0" applyAlignment="1" applyBorder="1" applyFill="1" applyFont="1">
      <alignment vertical="top"/>
    </xf>
    <xf borderId="9" fillId="8" fontId="15" numFmtId="0" xfId="0" applyAlignment="1" applyBorder="1" applyFont="1">
      <alignment vertical="top"/>
    </xf>
    <xf borderId="10" fillId="8" fontId="15" numFmtId="0" xfId="0" applyAlignment="1" applyBorder="1" applyFont="1">
      <alignment shrinkToFit="0" vertical="top" wrapText="0"/>
    </xf>
    <xf borderId="8" fillId="0" fontId="3" numFmtId="0" xfId="0" applyAlignment="1" applyBorder="1" applyFont="1">
      <alignment vertical="bottom"/>
    </xf>
    <xf borderId="11" fillId="7" fontId="14" numFmtId="0" xfId="0" applyAlignment="1" applyBorder="1" applyFont="1">
      <alignment vertical="top"/>
    </xf>
    <xf borderId="11" fillId="9" fontId="15" numFmtId="0" xfId="0" applyAlignment="1" applyBorder="1" applyFill="1" applyFont="1">
      <alignment vertical="top"/>
    </xf>
    <xf borderId="12" fillId="9" fontId="15" numFmtId="0" xfId="0" applyAlignment="1" applyBorder="1" applyFont="1">
      <alignment shrinkToFit="0" vertical="top" wrapText="0"/>
    </xf>
    <xf borderId="11" fillId="8" fontId="15" numFmtId="0" xfId="0" applyAlignment="1" applyBorder="1" applyFont="1">
      <alignment vertical="top"/>
    </xf>
    <xf borderId="12" fillId="8" fontId="15" numFmtId="0" xfId="0" applyAlignment="1" applyBorder="1" applyFont="1">
      <alignment shrinkToFit="0" vertical="top" wrapText="0"/>
    </xf>
    <xf borderId="0" fillId="0" fontId="3" numFmtId="0" xfId="0" applyAlignment="1" applyFont="1">
      <alignment horizontal="right" vertical="bottom"/>
    </xf>
    <xf borderId="4" fillId="5" fontId="4" numFmtId="49" xfId="0" applyAlignment="1" applyBorder="1" applyFont="1" applyNumberFormat="1">
      <alignment shrinkToFit="0" wrapText="0"/>
    </xf>
    <xf borderId="13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0" fontId="3" numFmtId="0" xfId="0" applyAlignment="1" applyFont="1">
      <alignment horizontal="right" readingOrder="0" vertical="bottom"/>
    </xf>
    <xf borderId="10" fillId="8" fontId="3" numFmtId="0" xfId="0" applyAlignment="1" applyBorder="1" applyFont="1">
      <alignment vertical="top"/>
    </xf>
    <xf borderId="12" fillId="9" fontId="3" numFmtId="0" xfId="0" applyAlignment="1" applyBorder="1" applyFont="1">
      <alignment vertical="top"/>
    </xf>
    <xf borderId="11" fillId="8" fontId="3" numFmtId="0" xfId="0" applyAlignment="1" applyBorder="1" applyFont="1">
      <alignment vertical="top"/>
    </xf>
    <xf borderId="11" fillId="9" fontId="3" numFmtId="0" xfId="0" applyAlignment="1" applyBorder="1" applyFont="1">
      <alignment vertical="top"/>
    </xf>
    <xf borderId="9" fillId="8" fontId="15" numFmtId="0" xfId="0" applyAlignment="1" applyBorder="1" applyFont="1">
      <alignment horizontal="right" vertical="top"/>
    </xf>
    <xf borderId="11" fillId="9" fontId="15" numFmtId="0" xfId="0" applyAlignment="1" applyBorder="1" applyFont="1">
      <alignment horizontal="right" vertical="top"/>
    </xf>
    <xf borderId="11" fillId="8" fontId="15" numFmtId="0" xfId="0" applyAlignment="1" applyBorder="1" applyFont="1">
      <alignment horizontal="right" vertical="top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18</v>
      </c>
      <c r="C6" s="34" t="s">
        <v>20</v>
      </c>
      <c r="D6" s="35">
        <v>50.0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6" t="s">
        <v>18</v>
      </c>
      <c r="C7" s="31" t="s">
        <v>21</v>
      </c>
      <c r="D7" s="37">
        <v>50.0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8" t="s">
        <v>23</v>
      </c>
      <c r="C6" s="34"/>
      <c r="D6" s="39" t="s">
        <v>24</v>
      </c>
      <c r="E6" s="34"/>
      <c r="F6" s="34"/>
      <c r="G6" s="40" t="b">
        <v>0</v>
      </c>
      <c r="H6" s="41" t="s">
        <v>18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27</v>
      </c>
      <c r="C6" s="31" t="s">
        <v>28</v>
      </c>
      <c r="D6" s="42">
        <v>1000.0</v>
      </c>
      <c r="E6" s="31"/>
      <c r="F6" s="31" t="s">
        <v>18</v>
      </c>
      <c r="G6" s="31"/>
      <c r="H6" s="31"/>
      <c r="I6" s="31"/>
      <c r="J6" s="37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 t="s">
        <v>29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28</v>
      </c>
      <c r="C6" s="31" t="s">
        <v>27</v>
      </c>
      <c r="D6" s="30"/>
      <c r="E6" s="31"/>
      <c r="F6" s="31"/>
      <c r="G6" s="43">
        <v>1000.0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28</v>
      </c>
      <c r="C6" s="31" t="s">
        <v>27</v>
      </c>
      <c r="D6" s="30"/>
      <c r="E6" s="31"/>
      <c r="F6" s="31"/>
      <c r="G6" s="43">
        <v>1000.0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27</v>
      </c>
      <c r="C6" s="31" t="s">
        <v>28</v>
      </c>
      <c r="D6" s="42">
        <v>10.0</v>
      </c>
      <c r="E6" s="31"/>
      <c r="F6" s="31" t="s">
        <v>18</v>
      </c>
      <c r="G6" s="31"/>
      <c r="H6" s="31"/>
      <c r="I6" s="31"/>
      <c r="J6" s="37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 t="s">
        <v>34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7.5"/>
    <col customWidth="1" min="4" max="4" width="12.63"/>
    <col customWidth="1" min="5" max="5" width="16.25"/>
    <col customWidth="1" min="6" max="7" width="12.63"/>
    <col customWidth="1" min="8" max="8" width="20.0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45" t="s">
        <v>36</v>
      </c>
      <c r="C6" s="46" t="s">
        <v>37</v>
      </c>
      <c r="D6" s="47" t="s">
        <v>38</v>
      </c>
      <c r="E6" s="46" t="s">
        <v>39</v>
      </c>
      <c r="F6" s="46">
        <v>-1234.0</v>
      </c>
      <c r="G6" s="46">
        <v>505.0</v>
      </c>
      <c r="H6" s="48" t="s">
        <v>40</v>
      </c>
      <c r="I6" s="31"/>
      <c r="J6" s="31"/>
      <c r="K6" s="31" t="s">
        <v>41</v>
      </c>
      <c r="L6" s="31"/>
      <c r="M6" s="31" t="s">
        <v>34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9"/>
      <c r="B7" s="50" t="s">
        <v>36</v>
      </c>
      <c r="C7" s="51" t="s">
        <v>37</v>
      </c>
      <c r="D7" s="51" t="s">
        <v>38</v>
      </c>
      <c r="E7" s="51" t="s">
        <v>42</v>
      </c>
      <c r="F7" s="51">
        <v>-1234.0</v>
      </c>
      <c r="G7" s="51">
        <v>505.0</v>
      </c>
      <c r="H7" s="52" t="s">
        <v>43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49"/>
      <c r="B8" s="50" t="s">
        <v>36</v>
      </c>
      <c r="C8" s="53" t="s">
        <v>44</v>
      </c>
      <c r="D8" s="53" t="s">
        <v>45</v>
      </c>
      <c r="E8" s="53" t="s">
        <v>27</v>
      </c>
      <c r="F8" s="53">
        <v>-123466.0</v>
      </c>
      <c r="G8" s="53">
        <v>1010.0</v>
      </c>
      <c r="H8" s="54" t="s">
        <v>46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49"/>
      <c r="B9" s="50" t="s">
        <v>36</v>
      </c>
      <c r="C9" s="51" t="s">
        <v>47</v>
      </c>
      <c r="D9" s="51" t="s">
        <v>38</v>
      </c>
      <c r="E9" s="51" t="s">
        <v>27</v>
      </c>
      <c r="F9" s="51">
        <v>-1234.0</v>
      </c>
      <c r="G9" s="51">
        <v>5.0</v>
      </c>
      <c r="H9" s="52" t="s">
        <v>48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49"/>
      <c r="B10" s="50" t="s">
        <v>36</v>
      </c>
      <c r="C10" s="53" t="s">
        <v>47</v>
      </c>
      <c r="D10" s="53" t="s">
        <v>38</v>
      </c>
      <c r="E10" s="53" t="s">
        <v>27</v>
      </c>
      <c r="F10" s="53">
        <v>-1234.0</v>
      </c>
      <c r="G10" s="53">
        <v>5.0</v>
      </c>
      <c r="H10" s="54" t="s">
        <v>48</v>
      </c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 t="s">
        <v>27</v>
      </c>
      <c r="E6" s="31"/>
      <c r="F6" s="31" t="s">
        <v>28</v>
      </c>
      <c r="G6" s="31" t="s">
        <v>51</v>
      </c>
      <c r="H6" s="37">
        <v>1000.0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27</v>
      </c>
      <c r="AK6" s="31" t="s">
        <v>28</v>
      </c>
      <c r="AL6" s="31" t="s">
        <v>51</v>
      </c>
      <c r="AM6" s="55">
        <v>1000.0</v>
      </c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42">
        <v>800.0</v>
      </c>
      <c r="E6" s="31"/>
      <c r="F6" s="31"/>
      <c r="G6" s="31"/>
      <c r="H6" s="31"/>
      <c r="I6" s="31"/>
      <c r="J6" s="37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 t="s">
        <v>29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IFERROR(__xludf.DUMMYFUNCTION("""COMPUTED_VALUE"""),"AssetName")</f>
        <v>AssetName</v>
      </c>
      <c r="C5" s="27" t="str">
        <f>IFERROR(__xludf.DUMMYFUNCTION("""COMPUTED_VALUE"""),"UnderLyingName")</f>
        <v>UnderLyingName</v>
      </c>
      <c r="D5" s="27" t="str">
        <f>IFERROR(__xludf.DUMMYFUNCTION("""COMPUTED_VALUE"""),"DisplayName")</f>
        <v>DisplayName</v>
      </c>
      <c r="E5" s="56" t="str">
        <f>IFERROR(__xludf.DUMMYFUNCTION("""COMPUTED_VALUE"""),"ClearanceTime")</f>
        <v>ClearanceTime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7"/>
      <c r="B6" s="38" t="s">
        <v>55</v>
      </c>
      <c r="C6" s="58" t="s">
        <v>56</v>
      </c>
      <c r="D6" s="33" t="s">
        <v>57</v>
      </c>
      <c r="E6" s="34" t="s">
        <v>58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27</v>
      </c>
      <c r="AJ6" s="31" t="s">
        <v>28</v>
      </c>
      <c r="AK6" s="31" t="s">
        <v>60</v>
      </c>
      <c r="AL6" s="59">
        <v>800.0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 t="s">
        <v>61</v>
      </c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45" t="s">
        <v>36</v>
      </c>
      <c r="C6" s="46" t="s">
        <v>37</v>
      </c>
      <c r="D6" s="47" t="s">
        <v>38</v>
      </c>
      <c r="E6" s="46" t="s">
        <v>39</v>
      </c>
      <c r="F6" s="46">
        <v>-1234.0</v>
      </c>
      <c r="G6" s="46">
        <v>5.0</v>
      </c>
      <c r="H6" s="48" t="s">
        <v>62</v>
      </c>
      <c r="I6" s="60"/>
      <c r="J6" s="31"/>
      <c r="K6" s="31" t="s">
        <v>41</v>
      </c>
      <c r="L6" s="31"/>
      <c r="M6" s="31" t="s">
        <v>34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9"/>
      <c r="B7" s="50" t="s">
        <v>36</v>
      </c>
      <c r="C7" s="51" t="s">
        <v>37</v>
      </c>
      <c r="D7" s="51" t="s">
        <v>38</v>
      </c>
      <c r="E7" s="51" t="s">
        <v>42</v>
      </c>
      <c r="F7" s="51">
        <v>-1234.0</v>
      </c>
      <c r="G7" s="51">
        <v>5.0</v>
      </c>
      <c r="H7" s="52" t="s">
        <v>63</v>
      </c>
      <c r="I7" s="6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49"/>
      <c r="B8" s="50" t="s">
        <v>36</v>
      </c>
      <c r="C8" s="53" t="s">
        <v>44</v>
      </c>
      <c r="D8" s="53" t="s">
        <v>45</v>
      </c>
      <c r="E8" s="53" t="s">
        <v>27</v>
      </c>
      <c r="F8" s="53">
        <v>-123466.0</v>
      </c>
      <c r="G8" s="53">
        <v>10.0</v>
      </c>
      <c r="H8" s="54" t="s">
        <v>64</v>
      </c>
      <c r="I8" s="62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49"/>
      <c r="B9" s="50" t="s">
        <v>36</v>
      </c>
      <c r="C9" s="51" t="s">
        <v>47</v>
      </c>
      <c r="D9" s="51" t="s">
        <v>38</v>
      </c>
      <c r="E9" s="51" t="s">
        <v>27</v>
      </c>
      <c r="F9" s="51">
        <v>-1234.0</v>
      </c>
      <c r="G9" s="51">
        <v>5.0</v>
      </c>
      <c r="H9" s="52" t="s">
        <v>48</v>
      </c>
      <c r="I9" s="63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49"/>
      <c r="B10" s="50" t="s">
        <v>36</v>
      </c>
      <c r="C10" s="53" t="s">
        <v>47</v>
      </c>
      <c r="D10" s="53" t="s">
        <v>38</v>
      </c>
      <c r="E10" s="53" t="s">
        <v>27</v>
      </c>
      <c r="F10" s="53">
        <v>-1234.0</v>
      </c>
      <c r="G10" s="53">
        <v>5.0</v>
      </c>
      <c r="H10" s="54" t="s">
        <v>48</v>
      </c>
      <c r="I10" s="62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45" t="s">
        <v>36</v>
      </c>
      <c r="C6" s="46" t="s">
        <v>37</v>
      </c>
      <c r="D6" s="47" t="s">
        <v>38</v>
      </c>
      <c r="E6" s="46" t="s">
        <v>42</v>
      </c>
      <c r="F6" s="64">
        <v>-1234.0</v>
      </c>
      <c r="G6" s="64">
        <v>405.0</v>
      </c>
      <c r="H6" s="48" t="s">
        <v>65</v>
      </c>
      <c r="I6" s="60"/>
      <c r="J6" s="31"/>
      <c r="K6" s="36" t="s">
        <v>41</v>
      </c>
      <c r="L6" s="31"/>
      <c r="M6" s="36" t="s">
        <v>34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9"/>
      <c r="B7" s="50" t="s">
        <v>36</v>
      </c>
      <c r="C7" s="51" t="s">
        <v>37</v>
      </c>
      <c r="D7" s="51" t="s">
        <v>38</v>
      </c>
      <c r="E7" s="51" t="s">
        <v>39</v>
      </c>
      <c r="F7" s="65">
        <v>-1234.0</v>
      </c>
      <c r="G7" s="65">
        <v>405.0</v>
      </c>
      <c r="H7" s="52" t="s">
        <v>66</v>
      </c>
      <c r="I7" s="6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49"/>
      <c r="B8" s="50" t="s">
        <v>36</v>
      </c>
      <c r="C8" s="53" t="s">
        <v>47</v>
      </c>
      <c r="D8" s="53" t="s">
        <v>38</v>
      </c>
      <c r="E8" s="53" t="s">
        <v>27</v>
      </c>
      <c r="F8" s="66">
        <v>-1234.0</v>
      </c>
      <c r="G8" s="66">
        <v>5.0</v>
      </c>
      <c r="H8" s="54" t="s">
        <v>48</v>
      </c>
      <c r="I8" s="62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49"/>
      <c r="B9" s="50" t="s">
        <v>36</v>
      </c>
      <c r="C9" s="51" t="s">
        <v>47</v>
      </c>
      <c r="D9" s="51" t="s">
        <v>38</v>
      </c>
      <c r="E9" s="51" t="s">
        <v>27</v>
      </c>
      <c r="F9" s="65">
        <v>-1234.0</v>
      </c>
      <c r="G9" s="65">
        <v>5.0</v>
      </c>
      <c r="H9" s="52" t="s">
        <v>48</v>
      </c>
      <c r="I9" s="63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49"/>
      <c r="B10" s="50" t="s">
        <v>36</v>
      </c>
      <c r="C10" s="53" t="s">
        <v>44</v>
      </c>
      <c r="D10" s="53" t="s">
        <v>45</v>
      </c>
      <c r="E10" s="53" t="s">
        <v>27</v>
      </c>
      <c r="F10" s="66">
        <v>-123466.0</v>
      </c>
      <c r="G10" s="66">
        <v>810.0</v>
      </c>
      <c r="H10" s="54" t="s">
        <v>67</v>
      </c>
      <c r="I10" s="62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27</v>
      </c>
      <c r="AK6" s="31" t="s">
        <v>28</v>
      </c>
      <c r="AL6" s="31" t="s">
        <v>68</v>
      </c>
      <c r="AM6" s="55">
        <v>800.0</v>
      </c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D6" s="37">
        <v>600.0</v>
      </c>
      <c r="E6" s="30"/>
      <c r="F6" s="31"/>
      <c r="G6" s="31"/>
      <c r="H6" s="31"/>
      <c r="I6" s="31"/>
      <c r="J6" s="37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 t="s">
        <v>29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27</v>
      </c>
      <c r="AJ6" s="31" t="s">
        <v>28</v>
      </c>
      <c r="AK6" s="31" t="s">
        <v>51</v>
      </c>
      <c r="AL6" s="55">
        <v>1000.0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 t="s">
        <v>51</v>
      </c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27</v>
      </c>
      <c r="D6" s="12"/>
      <c r="E6" s="6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27</v>
      </c>
      <c r="AJ6" s="31" t="s">
        <v>28</v>
      </c>
      <c r="AK6" s="31" t="s">
        <v>60</v>
      </c>
      <c r="AL6" s="55">
        <v>600.0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 t="s">
        <v>61</v>
      </c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VerifyRollover1!$4:$4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27</v>
      </c>
      <c r="AJ6" s="31" t="s">
        <v>28</v>
      </c>
      <c r="AK6" s="31"/>
      <c r="AL6" s="59">
        <v>800.0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 t="s">
        <v>61</v>
      </c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VerifyRollover2!$4:$4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71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3" t="s">
        <v>29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27</v>
      </c>
      <c r="AJ6" s="31" t="s">
        <v>28</v>
      </c>
      <c r="AK6" s="31"/>
      <c r="AL6" s="55">
        <v>600.0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 t="s">
        <v>61</v>
      </c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