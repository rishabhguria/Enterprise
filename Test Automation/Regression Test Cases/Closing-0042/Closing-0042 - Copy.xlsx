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SelectTradeUnexpiredUnsettled" sheetId="7" r:id="rId9"/>
    <sheet state="visible" name="CashSettlementAtZeroPrice" sheetId="8" r:id="rId10"/>
    <sheet state="visible" name="VerifyExpiredSettledGrid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  <sheet state="visible" name="UnWindTradeSettlement" sheetId="13" r:id="rId15"/>
  </sheets>
  <definedNames/>
  <calcPr/>
</workbook>
</file>

<file path=xl/sharedStrings.xml><?xml version="1.0" encoding="utf-8"?>
<sst xmlns="http://schemas.openxmlformats.org/spreadsheetml/2006/main" count="111" uniqueCount="36">
  <si>
    <t>Modules Info</t>
  </si>
  <si>
    <t>Settings</t>
  </si>
  <si>
    <t>Master Data Info</t>
  </si>
  <si>
    <t>Modules</t>
  </si>
  <si>
    <t>Module Step Setting File</t>
  </si>
  <si>
    <t>1sG6uB28jAaiyaldDeMtbboQN41jJ2tAmE2rg6U9qH5o</t>
  </si>
  <si>
    <t>Master Data Settings File</t>
  </si>
  <si>
    <t>Module</t>
  </si>
  <si>
    <t>Step</t>
  </si>
  <si>
    <t>1hEhI9rg16D4Xvfk19pDaFUFF78jjfIG29BBaNg8kT0A</t>
  </si>
  <si>
    <t>Master Data Sheet</t>
  </si>
  <si>
    <t>Data</t>
  </si>
  <si>
    <t>TradingTicket</t>
  </si>
  <si>
    <t>CreateDoneAwayOrder</t>
  </si>
  <si>
    <t>Data Format</t>
  </si>
  <si>
    <t>Input Format</t>
  </si>
  <si>
    <t>CL H9</t>
  </si>
  <si>
    <t>Buy</t>
  </si>
  <si>
    <t>Allocation1</t>
  </si>
  <si>
    <t>Closing</t>
  </si>
  <si>
    <t>GetDataClosing</t>
  </si>
  <si>
    <t>Current</t>
  </si>
  <si>
    <t>VerifyLongPositionsGrid</t>
  </si>
  <si>
    <t>SelectTradeUnexpiredUnsettled</t>
  </si>
  <si>
    <t>Future</t>
  </si>
  <si>
    <t>CashSettlementAtZeroPrice</t>
  </si>
  <si>
    <t>VerifyExpiredSettledGrid</t>
  </si>
  <si>
    <t>Long</t>
  </si>
  <si>
    <t>Allocation</t>
  </si>
  <si>
    <t>GetDataAllocation</t>
  </si>
  <si>
    <t>CheckAllocatedGroups</t>
  </si>
  <si>
    <t>PortfolioManagement</t>
  </si>
  <si>
    <t>CheckPortfolioManagement</t>
  </si>
  <si>
    <t>Closed</t>
  </si>
  <si>
    <t>Strategy Unallocated</t>
  </si>
  <si>
    <t>UnWindTradeSettlement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</si>
</sst>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sz val="14.0"/>
      <color rgb="FFFFFFFF"/>
      <name val="Calibri"/>
    </font>
    <font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1" fillId="2" fontId="5" numFmtId="0" xfId="0" applyAlignment="1" applyBorder="1" applyFont="1">
      <alignment horizontal="center" shrinkToFit="0" wrapText="0"/>
    </xf>
    <xf borderId="4" fillId="3" fontId="3" numFmtId="0" xfId="0" applyAlignment="1" applyBorder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3" numFmtId="0" xfId="0" applyAlignment="1" applyBorder="1" applyFont="1">
      <alignment shrinkToFit="0" wrapText="0"/>
    </xf>
    <xf borderId="0" fillId="0" fontId="6" numFmtId="0" xfId="0" applyAlignment="1" applyFont="1">
      <alignment readingOrder="0"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6" numFmtId="0" xfId="0" applyAlignment="1" applyBorder="1" applyFont="1">
      <alignment horizontal="right" vertical="bottom"/>
    </xf>
    <xf borderId="5" fillId="0" fontId="6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6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6" numFmtId="14" xfId="0" applyAlignment="1" applyFont="1" applyNumberFormat="1">
      <alignment shrinkToFit="0" wrapText="0"/>
    </xf>
    <xf borderId="0" fillId="0" fontId="3" numFmtId="164" xfId="0" applyAlignment="1" applyFont="1" applyNumberFormat="1">
      <alignment horizontal="right" vertical="bottom"/>
    </xf>
    <xf borderId="5" fillId="0" fontId="6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3</v>
      </c>
      <c r="B3" s="7"/>
      <c r="C3" s="9"/>
      <c r="D3" s="9"/>
      <c r="E3" s="9"/>
      <c r="F3" s="9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IFERROR(__xludf.DUMMYFUNCTION("""COMPUTED_VALUE"""),"1ASulLlGAl--JRs7NVIiQ-6Q2Y2P3o7Y40cokKmMg-UA")</f>
        <v>1ASulLlGAl--JRs7NVIiQ-6Q2Y2P3o7Y40cokKmMg-UA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IFERROR(__xludf.DUMMYFUNCTION("""COMPUTED_VALUE"""),"153rAtnJuNh4UK26GjSOxUSjAHcOxzWv7CRGvmhrIJRs")</f>
        <v>153rAtnJuNh4UK26GjSOxUSjAHcOxzWv7CRGvmhrIJRs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IFERROR(__xludf.DUMMYFUNCTION("""COMPUTED_VALUE"""),"14c4GsPTH5D3eyeeKaMiqJQXOT6OiyIKnC2Ey2f-mzXU")</f>
        <v>14c4GsPTH5D3eyeeKaMiqJQXOT6OiyIKnC2Ey2f-mzXU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IFERROR(__xludf.DUMMYFUNCTION("""COMPUTED_VALUE"""),"1FoqTScZHaIaLmwoImnVY7WWuCKEwJNYw8_jsXiT_wz4")</f>
        <v>1FoqTScZHaIaLmwoImnVY7WWuCKEwJNYw8_jsXiT_wz4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IFERROR(__xludf.DUMMYFUNCTION("""COMPUTED_VALUE"""),"1nx-Ntcckcf-w1Yr5yyOw4Vmcr4UsalakHe-CHaRihg0")</f>
        <v>1nx-Ntcckcf-w1Yr5yyOw4Vmcr4UsalakHe-CHaRihg0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IFERROR(__xludf.DUMMYFUNCTION("""COMPUTED_VALUE"""),"1aOr-_cYT21IfJctqcBB50iQOXfB0qUo9bBesL3tt_2o")</f>
        <v>1aOr-_cYT21IfJctqcBB50iQOXfB0qUo9bBesL3tt_2o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IFERROR(__xludf.DUMMYFUNCTION("""COMPUTED_VALUE"""),"1NSNUZ7aVjKq-fJWvjMKU9f1Hhbf0UmIY3RQLFu0_U94")</f>
        <v>1NSNUZ7aVjKq-fJWvjMKU9f1Hhbf0UmIY3RQLFu0_U94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IFERROR(__xludf.DUMMYFUNCTION("""COMPUTED_VALUE"""),"1qcpgHRQFZbpv-NnW8K-CvX_auKXD5UD0KzrBvuBL6yQ")</f>
        <v>1qcpgHRQFZbpv-NnW8K-CvX_auKXD5UD0KzrBvuBL6yQ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IFERROR(__xludf.DUMMYFUNCTION("""COMPUTED_VALUE"""),"1AcxAZQwu6HAEJMCMK3bk08quIeXstZWKnCNeDGuqkgc")</f>
        <v>1AcxAZQwu6HAEJMCMK3bk08quIeXstZWKnCNeDGuqkgc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IFERROR(__xludf.DUMMYFUNCTION("""COMPUTED_VALUE"""),"1VLF0uNJJlumCyBscfuDhTN1tOv-0IRCkYlwfDU8GczQ")</f>
        <v>1VLF0uNJJlumCyBscfuDhTN1tOv-0IRCkYlwfDU8GczQ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IFERROR(__xludf.DUMMYFUNCTION("""COMPUTED_VALUE"""),"1_8MIcc2OK_ojl_V4NIwMLs9H7qkQkwyq9sDf1PpIqc8")</f>
        <v>1_8MIcc2OK_ojl_V4NIwMLs9H7qkQkwyq9sDf1PpIqc8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IFERROR(__xludf.DUMMYFUNCTION("""COMPUTED_VALUE"""),"1tN1tbsnXiVRytGN-WCzTnGTmfRxY2nBklQk3AQSJo2c")</f>
        <v>1tN1tbsnXiVRytGN-WCzTnGTmfRxY2nBklQk3AQSJo2c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IFERROR(__xludf.DUMMYFUNCTION("""COMPUTED_VALUE"""),"1VRRuQCPazoSKAv27NBzQzv_Yw_Kgakw-yyKn6w1zhKU")</f>
        <v>1VRRuQCPazoSKAv27NBzQzv_Yw_Kgakw-yyKn6w1zhKU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IFERROR(__xludf.DUMMYFUNCTION("""COMPUTED_VALUE"""),"1fGo94nf55bWXddEMlTwX902cb1V6cWr9GHWYy_sZ8IU")</f>
        <v>1fGo94nf55bWXddEMlTwX902cb1V6cWr9GHWYy_sZ8IU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IFERROR(__xludf.DUMMYFUNCTION("""COMPUTED_VALUE"""),"1rOMKu0Ez7NdxjtZC05lRrPUSa0tkOQSvbOhxjuijMsU")</f>
        <v>1rOMKu0Ez7NdxjtZC05lRrPUSa0tkOQSvbOhxjuijMsU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IFERROR(__xludf.DUMMYFUNCTION("""COMPUTED_VALUE"""),"1yBi-hp0jcYIFB6ymnlQIlx-pUUkfcjJU7Ap0azBbNcE")</f>
        <v>1yBi-hp0jcYIFB6ymnlQIlx-pUUkfcjJU7Ap0azBbNcE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IFERROR(__xludf.DUMMYFUNCTION("""COMPUTED_VALUE"""),"1x5iUjYB72ZJ35IOvQ_JQkWHV-d1FlgKY3bIxxTpk-f0")</f>
        <v>1x5iUjYB72ZJ35IOvQ_JQkWHV-d1FlgKY3bIxxTpk-f0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IFERROR(__xludf.DUMMYFUNCTION("""COMPUTED_VALUE"""),"1Li5RKULV7Lc2MLczTkVbzq0oDYcFGfTlBUO9__NoODc")</f>
        <v>1Li5RKULV7Lc2MLczTkVbzq0oDYcFGfTlBUO9__NoODc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IFERROR(__xludf.DUMMYFUNCTION("""COMPUTED_VALUE"""),"1vnIE6mL0eHSchRF1qTlJ2JL_Ylu6hiC6uOXpzq7M0BQ")</f>
        <v>1vnIE6mL0eHSchRF1qTlJ2JL_Ylu6hiC6uOXpzq7M0BQ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IFERROR(__xludf.DUMMYFUNCTION("""COMPUTED_VALUE"""),"1KCMHfIqMprTfc21JY7-_BuJZCbNmjdI-pAMs1UtHRgM")</f>
        <v>1KCMHfIqMprTfc21JY7-_BuJZCbNmjdI-pAMs1UtHRgM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IFERROR(__xludf.DUMMYFUNCTION("""COMPUTED_VALUE"""),"1tRgcAtzRVDm6tX53uSpBOxZNBYm4sTcJiDaR4fxdfwY")</f>
        <v>1tRgcAtzRVDm6tX53uSpBOxZNBYm4sTcJiDaR4fxdfwY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IFERROR(__xludf.DUMMYFUNCTION("""COMPUTED_VALUE"""),"12DQ8VFmnoIi6USj-pAupggGf1Uakm-iIEO9IboOJPds")</f>
        <v>12DQ8VFmnoIi6USj-pAupggGf1Uakm-iIEO9IboOJPds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IFERROR(__xludf.DUMMYFUNCTION("""COMPUTED_VALUE"""),"1EinrxkfbLK2Tdj1nGXu4y1H2zmS6g6G85Hm0vYSOHlA")</f>
        <v>1EinrxkfbLK2Tdj1nGXu4y1H2zmS6g6G85Hm0vYSOHlA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IFERROR(__xludf.DUMMYFUNCTION("""COMPUTED_VALUE"""),"1qeUVChEAj0eKA7tNZsUWM4FcqW347Jcsk_tvw1-FP3s")</f>
        <v>1qeUVChEAj0eKA7tNZsUWM4FcqW347Jcsk_tvw1-FP3s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IFERROR(__xludf.DUMMYFUNCTION("""COMPUTED_VALUE"""),"1aVxYFzFjJM4FVvXjfioQc67hI5XgzzCTHLg8f7lbJhU")</f>
        <v>1aVxYFzFjJM4FVvXjfioQc67hI5XgzzCTHLg8f7lbJhU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IFERROR(__xludf.DUMMYFUNCTION("""COMPUTED_VALUE"""),"1Fe8M8KnrsIcnAobjXa43I9IzXKCnB39xCSYterKkeEc")</f>
        <v>1Fe8M8KnrsIcnAobjXa43I9IzXKCnB39xCSYterKkeEc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IFERROR(__xludf.DUMMYFUNCTION("""COMPUTED_VALUE"""),"1qJHd_QH5ht3ZzeFZbKiVeEOBmlpAshwV72N701B28uk")</f>
        <v>1qJHd_QH5ht3ZzeFZbKiVeEOBmlpAshwV72N701B28uk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9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6" t="s">
        <v>1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4</v>
      </c>
      <c r="B3" s="10" t="s">
        <v>5</v>
      </c>
      <c r="C3" s="8"/>
    </row>
    <row r="4" ht="15.75" customHeight="1">
      <c r="A4" s="12" t="s">
        <v>6</v>
      </c>
      <c r="B4" s="10" t="s">
        <v>9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1" t="s">
        <v>2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7</v>
      </c>
      <c r="B3" s="13" t="s">
        <v>8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1b5S4Xpp4fgZ1ez6cK92QFnVBylqz8jhwxdAyEvwDqUI</v>
      </c>
      <c r="K2" s="19"/>
      <c r="L2" s="8"/>
      <c r="M2" s="8"/>
      <c r="N2" s="8"/>
      <c r="O2" s="8"/>
    </row>
    <row r="3" ht="15.75" customHeight="1">
      <c r="A3" s="20"/>
      <c r="B3" s="5" t="s">
        <v>7</v>
      </c>
      <c r="C3" s="21" t="s">
        <v>12</v>
      </c>
      <c r="D3" s="5" t="s">
        <v>8</v>
      </c>
      <c r="E3" s="21" t="s">
        <v>13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 t="s">
        <v>16</v>
      </c>
      <c r="C6" s="32" t="s">
        <v>17</v>
      </c>
      <c r="D6" s="33">
        <v>1050.0</v>
      </c>
      <c r="E6" s="34"/>
      <c r="F6" s="32" t="s">
        <v>18</v>
      </c>
      <c r="G6" s="34"/>
      <c r="H6" s="34"/>
      <c r="I6" s="34"/>
      <c r="J6" s="35">
        <v>36.0</v>
      </c>
      <c r="K6" s="34"/>
      <c r="L6" s="34"/>
      <c r="M6" s="34"/>
      <c r="N6" s="36">
        <f>TODAY()</f>
        <v>43668</v>
      </c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7</v>
      </c>
      <c r="C3" s="21" t="s">
        <v>19</v>
      </c>
      <c r="D3" s="5" t="s">
        <v>8</v>
      </c>
      <c r="E3" s="21" t="s">
        <v>20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21</v>
      </c>
      <c r="C6" s="8"/>
      <c r="D6" s="10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7</v>
      </c>
      <c r="C3" s="21" t="s">
        <v>19</v>
      </c>
      <c r="D3" s="5" t="s">
        <v>8</v>
      </c>
      <c r="E3" s="21" t="s">
        <v>22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9" t="s">
        <v>18</v>
      </c>
      <c r="C6" s="34"/>
      <c r="D6" s="39"/>
      <c r="E6" s="34"/>
      <c r="F6" s="34"/>
      <c r="G6" s="34"/>
      <c r="H6" s="34"/>
      <c r="I6" s="35">
        <v>36.0</v>
      </c>
      <c r="J6" s="34"/>
      <c r="K6" s="34"/>
      <c r="L6" s="34"/>
      <c r="M6" s="35">
        <v>1050.0</v>
      </c>
      <c r="N6" s="34"/>
      <c r="O6" s="34"/>
      <c r="P6" s="34" t="s">
        <v>17</v>
      </c>
      <c r="Q6" s="34"/>
      <c r="R6" s="32" t="s">
        <v>16</v>
      </c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7</v>
      </c>
      <c r="C3" s="21" t="s">
        <v>19</v>
      </c>
      <c r="D3" s="5" t="s">
        <v>8</v>
      </c>
      <c r="E3" s="21" t="s">
        <v>23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IFERROR(__xludf.DUMMYFUNCTION("""COMPUTED_VALUE"""),"AUCID")</f>
        <v>AUCID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 t="s">
        <v>18</v>
      </c>
      <c r="C6" s="34"/>
      <c r="D6" s="39"/>
      <c r="E6" s="32" t="s">
        <v>24</v>
      </c>
      <c r="F6" s="34"/>
      <c r="G6" s="34"/>
      <c r="H6" s="34"/>
      <c r="I6" s="35">
        <v>36.0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40">
        <v>1050.0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40">
        <v>1050.0</v>
      </c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 t="s">
        <v>16</v>
      </c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7</v>
      </c>
      <c r="C3" s="21" t="s">
        <v>19</v>
      </c>
      <c r="D3" s="5" t="s">
        <v>8</v>
      </c>
      <c r="E3" s="21" t="s">
        <v>25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IFERROR(__xludf.DUMMYFUNCTION("""COMPUTED_VALUE"""),"AccrudInterest")</f>
        <v>AccrudInterest</v>
      </c>
      <c r="C5" s="26" t="str">
        <f>IFERROR(__xludf.DUMMYFUNCTION("""COMPUTED_VALUE"""),"Analyst")</f>
        <v>Analyst</v>
      </c>
      <c r="D5" s="26" t="str">
        <f>IFERROR(__xludf.DUMMYFUNCTION("""COMPUTED_VALUE"""),"AssetName")</f>
        <v>AssetName</v>
      </c>
      <c r="E5" s="26" t="str">
        <f>IFERROR(__xludf.DUMMYFUNCTION("""COMPUTED_VALUE"""),"AUCID")</f>
        <v>AUCID</v>
      </c>
      <c r="F5" s="27" t="str">
        <f>IFERROR(__xludf.DUMMYFUNCTION("""COMPUTED_VALUE"""),"AUECModifiedDate")</f>
        <v>AUECModifiedDate</v>
      </c>
      <c r="G5" s="26" t="str">
        <f>IFERROR(__xludf.DUMMYFUNCTION("""COMPUTED_VALUE"""),"Average Price")</f>
        <v>Average Price</v>
      </c>
      <c r="H5" s="26" t="str">
        <f>IFERROR(__xludf.DUMMYFUNCTION("""COMPUTED_VALUE"""),"BloombergSymbol")</f>
        <v>BloombergSymbol</v>
      </c>
      <c r="I5" s="26" t="str">
        <f>IFERROR(__xludf.DUMMYFUNCTION("""COMPUTED_VALUE"""),"CalcBasis")</f>
        <v>CalcBasis</v>
      </c>
      <c r="J5" s="26" t="str">
        <f>IFERROR(__xludf.DUMMYFUNCTION("""COMPUTED_VALUE"""),"CashSettledPrice")</f>
        <v>CashSettledPrice</v>
      </c>
      <c r="K5" s="26" t="str">
        <f>IFERROR(__xludf.DUMMYFUNCTION("""COMPUTED_VALUE"""),"ChangeComment")</f>
        <v>ChangeComment</v>
      </c>
      <c r="L5" s="26" t="str">
        <f>IFERROR(__xludf.DUMMYFUNCTION("""COMPUTED_VALUE"""),"ChangeType")</f>
        <v>ChangeType</v>
      </c>
      <c r="M5" s="26" t="str">
        <f>IFERROR(__xludf.DUMMYFUNCTION("""COMPUTED_VALUE"""),"ChangeBrokerFee")</f>
        <v>ChangeBrokerFee</v>
      </c>
      <c r="N5" s="26" t="str">
        <f>IFERROR(__xludf.DUMMYFUNCTION("""COMPUTED_VALUE"""),"ClearingFee")</f>
        <v>ClearingFee</v>
      </c>
      <c r="O5" s="26" t="str">
        <f>IFERROR(__xludf.DUMMYFUNCTION("""COMPUTED_VALUE"""),"Close Date")</f>
        <v>Close Date</v>
      </c>
      <c r="P5" s="26" t="str">
        <f>IFERROR(__xludf.DUMMYFUNCTION("""COMPUTED_VALUE"""),"ClosedTotalCommissionandFees")</f>
        <v>ClosedTotalCommissionandFees</v>
      </c>
      <c r="Q5" s="26" t="str">
        <f>IFERROR(__xludf.DUMMYFUNCTION("""COMPUTED_VALUE"""),"ClosingAlgo")</f>
        <v>ClosingAlgo</v>
      </c>
      <c r="R5" s="26" t="str">
        <f>IFERROR(__xludf.DUMMYFUNCTION("""COMPUTED_VALUE"""),"ClosingDate")</f>
        <v>ClosingDate</v>
      </c>
      <c r="S5" s="26" t="str">
        <f>IFERROR(__xludf.DUMMYFUNCTION("""COMPUTED_VALUE"""),"ClosingMode")</f>
        <v>ClosingMode</v>
      </c>
      <c r="T5" s="28" t="str">
        <f>IFERROR(__xludf.DUMMYFUNCTION("""COMPUTED_VALUE"""),"ClosingStatus")</f>
        <v>ClosingStatus</v>
      </c>
      <c r="U5" s="28" t="str">
        <f>IFERROR(__xludf.DUMMYFUNCTION("""COMPUTED_VALUE"""),"CommissionAmt")</f>
        <v>CommissionAmt</v>
      </c>
      <c r="V5" s="28" t="str">
        <f>IFERROR(__xludf.DUMMYFUNCTION("""COMPUTED_VALUE"""),"CommissionRate")</f>
        <v>CommissionRate</v>
      </c>
      <c r="W5" s="28" t="str">
        <f>IFERROR(__xludf.DUMMYFUNCTION("""COMPUTED_VALUE"""),"CompanyName")</f>
        <v>CompanyName</v>
      </c>
      <c r="X5" s="28" t="str">
        <f>IFERROR(__xludf.DUMMYFUNCTION("""COMPUTED_VALUE"""),"CompanyuserName")</f>
        <v>CompanyuserName</v>
      </c>
      <c r="Y5" s="28" t="str">
        <f>IFERROR(__xludf.DUMMYFUNCTION("""COMPUTED_VALUE"""),"ContractMultiplier")</f>
        <v>ContractMultiplier</v>
      </c>
      <c r="Z5" s="28" t="str">
        <f>IFERROR(__xludf.DUMMYFUNCTION("""COMPUTED_VALUE"""),"CounterPartyName")</f>
        <v>CounterPartyName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IFERROR(__xludf.DUMMYFUNCTION("""COMPUTED_VALUE"""),"ExternalTransId")</f>
        <v>ExternalTransId</v>
      </c>
      <c r="AS5" s="28" t="str">
        <f>IFERROR(__xludf.DUMMYFUNCTION("""COMPUTED_VALUE"""),"ForexReq")</f>
        <v>ForexReq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IFERROR(__xludf.DUMMYFUNCTION("""COMPUTED_VALUE"""),"IsExcerciseAtZero")</f>
        <v>IsExcerciseAtZero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IFERROR(__xludf.DUMMYFUNCTION("""COMPUTED_VALUE"""),"ISSwap")</f>
        <v>ISSwap</v>
      </c>
      <c r="BF5" s="28" t="str">
        <f>IFERROR(__xludf.DUMMYFUNCTION("""COMPUTED_VALUE"""),"LeadCurrencyID")</f>
        <v>LeadCurrencyID</v>
      </c>
      <c r="BG5" s="28" t="str">
        <f>IFERROR(__xludf.DUMMYFUNCTION("""COMPUTED_VALUE"""),"Level1Name")</f>
        <v>Level1Name</v>
      </c>
      <c r="BH5" s="28" t="str">
        <f>IFERROR(__xludf.DUMMYFUNCTION("""COMPUTED_VALUE"""),"LevelName2")</f>
        <v>LevelName2</v>
      </c>
      <c r="BI5" s="28" t="str">
        <f>IFERROR(__xludf.DUMMYFUNCTION("""COMPUTED_VALUE"""),"LiquidTag")</f>
        <v>LiquidTag</v>
      </c>
      <c r="BJ5" s="28" t="str">
        <f>IFERROR(__xludf.DUMMYFUNCTION("""COMPUTED_VALUE"""),"LongOrShort")</f>
        <v>LongOrShort</v>
      </c>
      <c r="BK5" s="28" t="str">
        <f>IFERROR(__xludf.DUMMYFUNCTION("""COMPUTED_VALUE"""),"LotId")</f>
        <v>LotId</v>
      </c>
      <c r="BL5" s="28" t="str">
        <f>IFERROR(__xludf.DUMMYFUNCTION("""COMPUTED_VALUE"""),"M2MProfitLoss")</f>
        <v>M2MProfitLoss</v>
      </c>
      <c r="BM5" s="28" t="str">
        <f>IFERROR(__xludf.DUMMYFUNCTION("""COMPUTED_VALUE"""),"MarketCap")</f>
        <v>MarketCap</v>
      </c>
      <c r="BN5" s="28" t="str">
        <f>IFERROR(__xludf.DUMMYFUNCTION("""COMPUTED_VALUE"""),"MarkPrice")</f>
        <v>MarkPrice</v>
      </c>
      <c r="BO5" s="28" t="str">
        <f>IFERROR(__xludf.DUMMYFUNCTION("""COMPUTED_VALUE"""),"MasterFund")</f>
        <v>MasterFund</v>
      </c>
      <c r="BP5" s="28" t="str">
        <f>IFERROR(__xludf.DUMMYFUNCTION("""COMPUTED_VALUE"""),"MiscFees")</f>
        <v>MiscFees</v>
      </c>
      <c r="BQ5" s="28" t="str">
        <f>IFERROR(__xludf.DUMMYFUNCTION("""COMPUTED_VALUE"""),"NavLockStatus")</f>
        <v>NavLockStatus</v>
      </c>
      <c r="BR5" s="28" t="str">
        <f>IFERROR(__xludf.DUMMYFUNCTION("""COMPUTED_VALUE"""),"NetNotionalValue")</f>
        <v>NetNotionalValue</v>
      </c>
      <c r="BS5" s="28" t="str">
        <f>IFERROR(__xludf.DUMMYFUNCTION("""COMPUTED_VALUE"""),"NirvanaProcessDate")</f>
        <v>NirvanaProcessDate</v>
      </c>
      <c r="BT5" s="28" t="str">
        <f>IFERROR(__xludf.DUMMYFUNCTION("""COMPUTED_VALUE"""),"OCC Fee")</f>
        <v>OCC Fee</v>
      </c>
      <c r="BU5" s="28" t="str">
        <f>IFERROR(__xludf.DUMMYFUNCTION("""COMPUTED_VALUE"""),"OpenQty")</f>
        <v>OpenQty</v>
      </c>
      <c r="BV5" s="28" t="str">
        <f>IFERROR(__xludf.DUMMYFUNCTION("""COMPUTED_VALUE"""),"OpenTotalCommissionFees")</f>
        <v>OpenTotalCommissionFees</v>
      </c>
      <c r="BW5" s="28" t="str">
        <f>IFERROR(__xludf.DUMMYFUNCTION("""COMPUTED_VALUE"""),"OptionPremiumAdjustment")</f>
        <v>OptionPremiumAdjustment</v>
      </c>
      <c r="BX5" s="28" t="str">
        <f>IFERROR(__xludf.DUMMYFUNCTION("""COMPUTED_VALUE"""),"OrderSideTagValue")</f>
        <v>OrderSideTagValue</v>
      </c>
      <c r="BY5" s="28" t="str">
        <f>IFERROR(__xludf.DUMMYFUNCTION("""COMPUTED_VALUE"""),"orderType")</f>
        <v>orderType</v>
      </c>
      <c r="BZ5" s="28" t="str">
        <f>IFERROR(__xludf.DUMMYFUNCTION("""COMPUTED_VALUE"""),"OrfFee")</f>
        <v>OrfFee</v>
      </c>
      <c r="CA5" s="28" t="str">
        <f>IFERROR(__xludf.DUMMYFUNCTION("""COMPUTED_VALUE"""),"Original Side")</f>
        <v>Original Side</v>
      </c>
      <c r="CB5" s="28" t="str">
        <f>IFERROR(__xludf.DUMMYFUNCTION("""COMPUTED_VALUE"""),"OriginalPurchaseDate")</f>
        <v>OriginalPurchaseDate</v>
      </c>
      <c r="CC5" s="28" t="str">
        <f>IFERROR(__xludf.DUMMYFUNCTION("""COMPUTED_VALUE"""),"OSISymbol")</f>
        <v>OSISymbol</v>
      </c>
      <c r="CD5" s="28" t="str">
        <f>IFERROR(__xludf.DUMMYFUNCTION("""COMPUTED_VALUE"""),"OtherBrokerFees")</f>
        <v>OtherBrokerFees</v>
      </c>
      <c r="CE5" s="28" t="str">
        <f>IFERROR(__xludf.DUMMYFUNCTION("""COMPUTED_VALUE"""),"ParentRowPk")</f>
        <v>ParentRowPk</v>
      </c>
      <c r="CF5" s="28" t="str">
        <f>IFERROR(__xludf.DUMMYFUNCTION("""COMPUTED_VALUE"""),"Percentage")</f>
        <v>Percentage</v>
      </c>
      <c r="CG5" s="28" t="str">
        <f>IFERROR(__xludf.DUMMYFUNCTION("""COMPUTED_VALUE"""),"PositionTag")</f>
        <v>PositionTag</v>
      </c>
      <c r="CH5" s="28" t="str">
        <f>IFERROR(__xludf.DUMMYFUNCTION("""COMPUTED_VALUE"""),"PositionType")</f>
        <v>PositionType</v>
      </c>
      <c r="CI5" s="28" t="str">
        <f>IFERROR(__xludf.DUMMYFUNCTION("""COMPUTED_VALUE"""),"ProcessDate")</f>
        <v>ProcessDate</v>
      </c>
      <c r="CJ5" s="28" t="str">
        <f>IFERROR(__xludf.DUMMYFUNCTION("""COMPUTED_VALUE"""),"ProxySymbol")</f>
        <v>ProxySymbol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IFERROR(__xludf.DUMMYFUNCTION("""COMPUTED_VALUE"""),"SecurityTypeName")</f>
        <v>SecurityTypeName</v>
      </c>
      <c r="CN5" s="28" t="str">
        <f>IFERROR(__xludf.DUMMYFUNCTION("""COMPUTED_VALUE"""),"SedolSymbol")</f>
        <v>SedolSymbol</v>
      </c>
      <c r="CO5" s="28" t="str">
        <f>IFERROR(__xludf.DUMMYFUNCTION("""COMPUTED_VALUE"""),"SettlCurrAmt")</f>
        <v>SettlCurrAmt</v>
      </c>
      <c r="CP5" s="28" t="str">
        <f>IFERROR(__xludf.DUMMYFUNCTION("""COMPUTED_VALUE"""),"SettlCurrFxRate")</f>
        <v>SettlCurrFxRate</v>
      </c>
      <c r="CQ5" s="28" t="str">
        <f>IFERROR(__xludf.DUMMYFUNCTION("""COMPUTED_VALUE"""),"SettlCurrFxRateCalc")</f>
        <v>SettlCurrFxRateCalc</v>
      </c>
      <c r="CR5" s="28" t="str">
        <f>IFERROR(__xludf.DUMMYFUNCTION("""COMPUTED_VALUE"""),"SettlCurrUnitCost")</f>
        <v>SettlCurrUnitCost</v>
      </c>
      <c r="CS5" s="28" t="str">
        <f>IFERROR(__xludf.DUMMYFUNCTION("""COMPUTED_VALUE"""),"SettledQty")</f>
        <v>SettledQty</v>
      </c>
      <c r="CT5" s="28" t="str">
        <f>IFERROR(__xludf.DUMMYFUNCTION("""COMPUTED_VALUE"""),"Settlement Currency")</f>
        <v>Settlement Currency</v>
      </c>
      <c r="CU5" s="28" t="str">
        <f>IFERROR(__xludf.DUMMYFUNCTION("""COMPUTED_VALUE"""),"SettlementDate")</f>
        <v>SettlementDate</v>
      </c>
      <c r="CV5" s="28" t="str">
        <f>IFERROR(__xludf.DUMMYFUNCTION("""COMPUTED_VALUE"""),"SideMultiplier")</f>
        <v>SideMultiplier</v>
      </c>
      <c r="CW5" s="28" t="str">
        <f>IFERROR(__xludf.DUMMYFUNCTION("""COMPUTED_VALUE"""),"SoftCommission")</f>
        <v>SoftCommission</v>
      </c>
      <c r="CX5" s="28" t="str">
        <f>IFERROR(__xludf.DUMMYFUNCTION("""COMPUTED_VALUE"""),"SoftCommissionAmt")</f>
        <v>SoftCommissionAmt</v>
      </c>
      <c r="CY5" s="28" t="str">
        <f>IFERROR(__xludf.DUMMYFUNCTION("""COMPUTED_VALUE"""),"SoftCommissionCalcBasis")</f>
        <v>SoftCommissionCalcBasis</v>
      </c>
      <c r="CZ5" s="28" t="str">
        <f>IFERROR(__xludf.DUMMYFUNCTION("""COMPUTED_VALUE"""),"SoftCommissionRate")</f>
        <v>SoftCommissionRate</v>
      </c>
      <c r="DA5" s="28" t="str">
        <f>IFERROR(__xludf.DUMMYFUNCTION("""COMPUTED_VALUE"""),"StampDuty")</f>
        <v>StampDuty</v>
      </c>
      <c r="DB5" s="28" t="str">
        <f>IFERROR(__xludf.DUMMYFUNCTION("""COMPUTED_VALUE"""),"StrikePrice")</f>
        <v>StrikePrice</v>
      </c>
      <c r="DC5" s="28" t="str">
        <f>IFERROR(__xludf.DUMMYFUNCTION("""COMPUTED_VALUE"""),"SubSectorName")</f>
        <v>SubSectorName</v>
      </c>
      <c r="DD5" s="28" t="str">
        <f>IFERROR(__xludf.DUMMYFUNCTION("""COMPUTED_VALUE"""),"SwapParameters")</f>
        <v>SwapParameters</v>
      </c>
      <c r="DE5" s="28" t="str">
        <f>IFERROR(__xludf.DUMMYFUNCTION("""COMPUTED_VALUE"""),"Symbol")</f>
        <v>Symbol</v>
      </c>
      <c r="DF5" s="28" t="str">
        <f>IFERROR(__xludf.DUMMYFUNCTION("""COMPUTED_VALUE"""),"TaxlotClosingId")</f>
        <v>TaxlotClosingId</v>
      </c>
      <c r="DG5" s="28" t="str">
        <f>IFERROR(__xludf.DUMMYFUNCTION("""COMPUTED_VALUE"""),"TaxLotID")</f>
        <v>TaxLotID</v>
      </c>
      <c r="DH5" s="28" t="str">
        <f>IFERROR(__xludf.DUMMYFUNCTION("""COMPUTED_VALUE"""),"taxlotPk")</f>
        <v>taxlotPk</v>
      </c>
      <c r="DI5" s="28" t="str">
        <f>IFERROR(__xludf.DUMMYFUNCTION("""COMPUTED_VALUE"""),"TaxLotQtyToClose")</f>
        <v>TaxLotQtyToClose</v>
      </c>
      <c r="DJ5" s="28" t="str">
        <f>IFERROR(__xludf.DUMMYFUNCTION("""COMPUTED_VALUE"""),"TaxonCommissions")</f>
        <v>TaxonCommissions</v>
      </c>
      <c r="DK5" s="28" t="str">
        <f>IFERROR(__xludf.DUMMYFUNCTION("""COMPUTED_VALUE"""),"TimeOfSaveUTC")</f>
        <v>TimeOfSaveUTC</v>
      </c>
      <c r="DL5" s="28" t="str">
        <f>IFERROR(__xludf.DUMMYFUNCTION("""COMPUTED_VALUE"""),"TotalCommissionandFees")</f>
        <v>TotalCommissionandFees</v>
      </c>
      <c r="DM5" s="28" t="str">
        <f>IFERROR(__xludf.DUMMYFUNCTION("""COMPUTED_VALUE"""),"Tradedate")</f>
        <v>Tradedate</v>
      </c>
      <c r="DN5" s="28" t="str">
        <f>IFERROR(__xludf.DUMMYFUNCTION("""COMPUTED_VALUE"""),"TradeAttribute1")</f>
        <v>TradeAttribute1</v>
      </c>
      <c r="DO5" s="28" t="str">
        <f>IFERROR(__xludf.DUMMYFUNCTION("""COMPUTED_VALUE"""),"TradeAttribute2")</f>
        <v>TradeAttribute2</v>
      </c>
      <c r="DP5" s="28" t="str">
        <f>IFERROR(__xludf.DUMMYFUNCTION("""COMPUTED_VALUE"""),"TradeAttribute3")</f>
        <v>TradeAttribute3</v>
      </c>
      <c r="DQ5" s="28" t="str">
        <f>IFERROR(__xludf.DUMMYFUNCTION("""COMPUTED_VALUE"""),"TradeAttribute4")</f>
        <v>TradeAttribute4</v>
      </c>
      <c r="DR5" s="28" t="str">
        <f>IFERROR(__xludf.DUMMYFUNCTION("""COMPUTED_VALUE"""),"TradeAttribute5")</f>
        <v>TradeAttribute5</v>
      </c>
      <c r="DS5" s="28" t="str">
        <f>IFERROR(__xludf.DUMMYFUNCTION("""COMPUTED_VALUE"""),"TradeAttribute6")</f>
        <v>TradeAttribute6</v>
      </c>
      <c r="DT5" s="28" t="str">
        <f>IFERROR(__xludf.DUMMYFUNCTION("""COMPUTED_VALUE"""),"TradingAccountName")</f>
        <v>TradingAccountName</v>
      </c>
      <c r="DU5" s="28" t="str">
        <f>IFERROR(__xludf.DUMMYFUNCTION("""COMPUTED_VALUE"""),"TransactionLevy")</f>
        <v>TransactionLevy</v>
      </c>
      <c r="DV5" s="28" t="str">
        <f>IFERROR(__xludf.DUMMYFUNCTION("""COMPUTED_VALUE"""),"TransactionType")</f>
        <v>TransactionType</v>
      </c>
      <c r="DW5" s="28" t="str">
        <f>IFERROR(__xludf.DUMMYFUNCTION("""COMPUTED_VALUE"""),"UcitsEligibleTag")</f>
        <v>UcitsEligibleTag</v>
      </c>
      <c r="DX5" s="28" t="str">
        <f>IFERROR(__xludf.DUMMYFUNCTION("""COMPUTED_VALUE"""),"UDAAsset")</f>
        <v>UDAAsset</v>
      </c>
      <c r="DY5" s="28" t="str">
        <f>IFERROR(__xludf.DUMMYFUNCTION("""COMPUTED_VALUE"""),"UnderlyingDelta")</f>
        <v>UnderlyingDelta</v>
      </c>
      <c r="DZ5" s="28" t="str">
        <f>IFERROR(__xludf.DUMMYFUNCTION("""COMPUTED_VALUE"""),"UnderlyingName")</f>
        <v>UnderlyingName</v>
      </c>
      <c r="EA5" s="28" t="str">
        <f>IFERROR(__xludf.DUMMYFUNCTION("""COMPUTED_VALUE"""),"UnderlyingSymbol")</f>
        <v>UnderlyingSymbol</v>
      </c>
      <c r="EB5" s="28" t="str">
        <f>IFERROR(__xludf.DUMMYFUNCTION("""COMPUTED_VALUE"""),"UnitCost")</f>
        <v>UnitCost</v>
      </c>
      <c r="EC5" s="28" t="str">
        <f>IFERROR(__xludf.DUMMYFUNCTION("""COMPUTED_VALUE"""),"UnRealizedPNL")</f>
        <v>UnRealizedPNL</v>
      </c>
      <c r="ED5" s="28" t="str">
        <f>IFERROR(__xludf.DUMMYFUNCTION("""COMPUTED_VALUE"""),"Venue")</f>
        <v>Venue</v>
      </c>
      <c r="EE5" s="28" t="str">
        <f>IFERROR(__xludf.DUMMYFUNCTION("""COMPUTED_VALUE"""),"VsCurrencyID")</f>
        <v>VsCurrencyID</v>
      </c>
      <c r="EF5" s="28" t="str">
        <f>IFERROR(__xludf.DUMMYFUNCTION("""COMPUTED_VALUE"""),"WorkflowState")</f>
        <v>WorkflowState</v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/>
      <c r="C6" s="8"/>
      <c r="D6" s="8"/>
      <c r="E6" s="8"/>
      <c r="F6" s="8"/>
      <c r="G6" s="10"/>
      <c r="H6" s="8"/>
      <c r="I6" s="8"/>
      <c r="J6" s="8"/>
      <c r="K6" s="8"/>
      <c r="L6" s="8"/>
      <c r="M6" s="8"/>
      <c r="N6" s="8"/>
      <c r="O6" s="41">
        <f>Today()</f>
        <v>43668</v>
      </c>
      <c r="DE6" s="2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CashSettlementAtZeroPrice!$4:$4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7</v>
      </c>
      <c r="C3" s="21" t="s">
        <v>19</v>
      </c>
      <c r="D3" s="5" t="s">
        <v>8</v>
      </c>
      <c r="E3" s="21" t="s">
        <v>26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7"/>
      <c r="B6" s="31" t="s">
        <v>18</v>
      </c>
      <c r="C6" s="31" t="s">
        <v>24</v>
      </c>
      <c r="D6" s="34"/>
      <c r="E6" s="36">
        <f>TODAY()</f>
        <v>43668</v>
      </c>
      <c r="F6" s="35">
        <v>0.0</v>
      </c>
      <c r="G6" s="33">
        <v>1050.0</v>
      </c>
      <c r="H6" s="32"/>
      <c r="I6" s="34"/>
      <c r="J6" s="31"/>
      <c r="K6" s="34"/>
      <c r="L6" s="34"/>
      <c r="M6" s="34"/>
      <c r="N6" s="34"/>
      <c r="O6" s="34"/>
      <c r="P6" s="34"/>
      <c r="Q6" s="34"/>
      <c r="R6" s="34"/>
      <c r="S6" s="34"/>
      <c r="T6" s="37"/>
      <c r="U6" s="42">
        <f>TODAY()</f>
        <v>43668</v>
      </c>
      <c r="V6" s="30"/>
      <c r="W6" s="37" t="s">
        <v>27</v>
      </c>
      <c r="X6" s="37"/>
      <c r="Y6" s="37"/>
      <c r="Z6" s="30" t="s">
        <v>17</v>
      </c>
      <c r="AA6" s="37"/>
      <c r="AB6" s="30" t="s">
        <v>16</v>
      </c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7</v>
      </c>
      <c r="C3" s="21" t="s">
        <v>28</v>
      </c>
      <c r="D3" s="5" t="s">
        <v>8</v>
      </c>
      <c r="E3" s="21" t="s">
        <v>29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43" t="s">
        <v>21</v>
      </c>
      <c r="C6" s="36"/>
      <c r="D6" s="36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7</v>
      </c>
      <c r="C3" s="21" t="s">
        <v>28</v>
      </c>
      <c r="D3" s="5" t="s">
        <v>8</v>
      </c>
      <c r="E3" s="21" t="s">
        <v>30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10" t="s">
        <v>18</v>
      </c>
      <c r="C6" s="8"/>
      <c r="D6" s="8"/>
      <c r="E6" s="10">
        <v>1050.0</v>
      </c>
      <c r="F6" s="8"/>
      <c r="G6" s="8"/>
      <c r="H6" s="8"/>
      <c r="I6" s="8"/>
      <c r="J6" s="8"/>
      <c r="K6" s="8"/>
      <c r="L6" s="8"/>
      <c r="M6" s="8"/>
      <c r="N6" s="8"/>
      <c r="O6" s="8"/>
      <c r="S6" s="29" t="s">
        <v>33</v>
      </c>
      <c r="AE6" s="29">
        <v>1050.0</v>
      </c>
      <c r="BJ6" s="29">
        <v>1050.0</v>
      </c>
      <c r="BO6" s="29" t="s">
        <v>17</v>
      </c>
      <c r="BT6" s="2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6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7</v>
      </c>
      <c r="C3" s="21" t="s">
        <v>31</v>
      </c>
      <c r="D3" s="5" t="s">
        <v>8</v>
      </c>
      <c r="E3" s="21" t="s">
        <v>32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</row>
    <row r="6" ht="15.75" customHeight="1">
      <c r="A6" s="8"/>
      <c r="B6" s="8"/>
      <c r="C6" s="10" t="s">
        <v>16</v>
      </c>
      <c r="D6" s="10">
        <v>1050.0</v>
      </c>
      <c r="E6" s="10" t="s">
        <v>18</v>
      </c>
      <c r="F6" s="8"/>
      <c r="G6" s="10">
        <v>36.0</v>
      </c>
      <c r="H6" s="8"/>
      <c r="I6" s="8"/>
      <c r="J6" s="8"/>
      <c r="K6" s="8"/>
      <c r="L6" s="8"/>
      <c r="M6" s="8"/>
      <c r="N6" s="8"/>
      <c r="O6" s="8"/>
      <c r="S6" s="29" t="s">
        <v>34</v>
      </c>
      <c r="AN6" s="2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7</v>
      </c>
      <c r="C3" s="21" t="s">
        <v>19</v>
      </c>
      <c r="D3" s="5" t="s">
        <v>8</v>
      </c>
      <c r="E3" s="21" t="s">
        <v>35</v>
      </c>
      <c r="F3" s="5" t="s">
        <v>14</v>
      </c>
      <c r="G3" s="14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IFERROR(__xludf.DUMMYFUNCTION("""COMPUTED_VALUE"""),"CostBasisGrossPNL")</f>
        <v>CostBasisGrossPNL</v>
      </c>
      <c r="O5" s="26" t="str">
        <f>IFERROR(__xludf.DUMMYFUNCTION("""COMPUTED_VALUE"""),"Currency")</f>
        <v>Currency</v>
      </c>
      <c r="P5" s="26" t="str">
        <f>IFERROR(__xludf.DUMMYFUNCTION("""COMPUTED_VALUE"""),"CurrencyID")</f>
        <v>CurrencyID</v>
      </c>
      <c r="Q5" s="26" t="str">
        <f>IFERROR(__xludf.DUMMYFUNCTION("""COMPUTED_VALUE"""),"Exchange")</f>
        <v>Exchange</v>
      </c>
      <c r="R5" s="26" t="str">
        <f>IFERROR(__xludf.DUMMYFUNCTION("""COMPUTED_VALUE"""),"NotionalChange")</f>
        <v>NotionalChange</v>
      </c>
      <c r="S5" s="26" t="str">
        <f>IFERROR(__xludf.DUMMYFUNCTION("""COMPUTED_VALUE"""),"OpenAveragePrice")</f>
        <v>OpenAveragePrice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IFERROR(__xludf.DUMMYFUNCTION("""COMPUTED_VALUE"""),"Position Type")</f>
        <v>Position Type</v>
      </c>
      <c r="V5" s="28" t="str">
        <f>IFERROR(__xludf.DUMMYFUNCTION("""COMPUTED_VALUE"""),"PositionSide")</f>
        <v>PositionSide</v>
      </c>
      <c r="W5" s="28" t="str">
        <f>IFERROR(__xludf.DUMMYFUNCTION("""COMPUTED_VALUE"""),"PositionTotalCommissionandFees")</f>
        <v>PositionTotalCommissionandFees</v>
      </c>
      <c r="X5" s="28" t="str">
        <f>IFERROR(__xludf.DUMMYFUNCTION("""COMPUTED_VALUE"""),"Realized PNL(C.B.)")</f>
        <v>Realized PNL(C.B.)</v>
      </c>
      <c r="Y5" s="28" t="str">
        <f>IFERROR(__xludf.DUMMYFUNCTION("""COMPUTED_VALUE"""),"Side")</f>
        <v>Side</v>
      </c>
      <c r="Z5" s="28" t="str">
        <f>IFERROR(__xludf.DUMMYFUNCTION("""COMPUTED_VALUE"""),"Strategy")</f>
        <v>Strategy</v>
      </c>
      <c r="AA5" s="28" t="str">
        <f>IFERROR(__xludf.DUMMYFUNCTION("""COMPUTED_VALUE"""),"Symbol")</f>
        <v>Symbol</v>
      </c>
      <c r="AB5" s="28" t="str">
        <f>IFERROR(__xludf.DUMMYFUNCTION("""COMPUTED_VALUE"""),"Taxlot ID")</f>
        <v>Taxlot ID</v>
      </c>
      <c r="AC5" s="28" t="str">
        <f>IFERROR(__xludf.DUMMYFUNCTION("""COMPUTED_VALUE"""),"UnderlyingName")</f>
        <v>UnderlyingName</v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10" t="s">
        <v>18</v>
      </c>
      <c r="C6" s="10" t="s">
        <v>24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V6" s="29" t="s">
        <v>27</v>
      </c>
      <c r="Y6" s="29" t="s">
        <v>17</v>
      </c>
      <c r="AA6" s="2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UnWindTradeSettlement!$4:$4</formula1>
    </dataValidation>
  </dataValidations>
  <drawing r:id="rId1"/>
</worksheet>
</file>