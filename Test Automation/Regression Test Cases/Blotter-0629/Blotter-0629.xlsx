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UnallocatedGroup" sheetId="6" r:id="rId8"/>
    <sheet state="visible" name="EditUnallocatedGroupSidePanel" sheetId="7" r:id="rId9"/>
    <sheet state="visible" name="SelectTradeOnOrderGrid" sheetId="8" r:id="rId10"/>
    <sheet state="visible" name="VerifyAllocationWindow" sheetId="9" r:id="rId11"/>
  </sheets>
  <definedNames/>
  <calcPr/>
</workbook>
</file>

<file path=xl/sharedStrings.xml><?xml version="1.0" encoding="utf-8"?>
<sst xmlns="http://schemas.openxmlformats.org/spreadsheetml/2006/main" count="71" uniqueCount="29">
  <si>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</si>
  <si>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</si>
  <si>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</si>
  <si>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</si>
  <si>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</si>
  <si>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</si>
  <si>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</si>
  <si>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</si>
  <si>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</si>
  <si>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</si>
  <si>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</si>
  <si>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</si>
  <si>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</si>
  <si>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</si>
  <si>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</si>
  <si>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</si>
  <si>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FRU-TC</t>
  </si>
  <si>
    <t>Buy</t>
  </si>
  <si>
    <t>Unallocated</t>
  </si>
  <si>
    <t>Allocation</t>
  </si>
  <si>
    <t>GetDataAllocation</t>
  </si>
  <si>
    <t>Current</t>
  </si>
  <si>
    <t>SelectUnallocatedGroup</t>
  </si>
  <si>
    <t>EditUnallocatedGroupSidePanel</t>
  </si>
  <si>
    <t>D</t>
  </si>
  <si>
    <t>Blotter</t>
  </si>
  <si>
    <t>SelectTradeOnOrderGrid</t>
  </si>
  <si>
    <t>VerifyAllocationWindow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</si>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</sst>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9">
        <v>10.0</v>
      </c>
      <c r="E6" s="32"/>
      <c r="F6" s="33" t="s">
        <v>18</v>
      </c>
      <c r="G6" s="34"/>
      <c r="H6" s="34"/>
      <c r="I6" s="34"/>
      <c r="J6" s="35">
        <v>5.0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16</v>
      </c>
      <c r="C7" s="32" t="s">
        <v>17</v>
      </c>
      <c r="D7" s="9">
        <v>20.0</v>
      </c>
      <c r="E7" s="32"/>
      <c r="F7" s="33" t="s">
        <v>18</v>
      </c>
      <c r="G7" s="34"/>
      <c r="H7" s="34"/>
      <c r="I7" s="34"/>
      <c r="J7" s="36">
        <v>5.0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16</v>
      </c>
      <c r="C8" s="32" t="s">
        <v>17</v>
      </c>
      <c r="D8" s="9">
        <v>30.0</v>
      </c>
      <c r="E8" s="32"/>
      <c r="F8" s="33" t="s">
        <v>18</v>
      </c>
      <c r="G8" s="34"/>
      <c r="H8" s="34"/>
      <c r="I8" s="34"/>
      <c r="J8" s="36">
        <v>5.0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60.0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IFERROR(__xludf.DUMMYFUNCTION("""COMPUTED_VALUE"""),"ExecutedQty")</f>
        <v>ExecutedQty</v>
      </c>
      <c r="C5" s="27" t="str">
        <f>IFERROR(__xludf.DUMMYFUNCTION("""COMPUTED_VALUE"""),"AvgPrice")</f>
        <v>AvgPrice</v>
      </c>
      <c r="D5" s="27" t="str">
        <f>IFERROR(__xludf.DUMMYFUNCTION("""COMPUTED_VALUE"""),"Side")</f>
        <v>Side</v>
      </c>
      <c r="E5" s="27" t="str">
        <f>IFERROR(__xludf.DUMMYFUNCTION("""COMPUTED_VALUE"""),"TradeDate")</f>
        <v>TradeDate</v>
      </c>
      <c r="F5" s="28" t="str">
        <f>IFERROR(__xludf.DUMMYFUNCTION("""COMPUTED_VALUE"""),"ProcessDate")</f>
        <v>ProcessDate</v>
      </c>
      <c r="G5" s="27" t="str">
        <f>IFERROR(__xludf.DUMMYFUNCTION("""COMPUTED_VALUE"""),"OriginalPurchaseDate")</f>
        <v>OriginalPurchaseDate</v>
      </c>
      <c r="H5" s="27" t="str">
        <f>IFERROR(__xludf.DUMMYFUNCTION("""COMPUTED_VALUE"""),"SettlementDate")</f>
        <v>SettlementDate</v>
      </c>
      <c r="I5" s="27" t="str">
        <f>IFERROR(__xludf.DUMMYFUNCTION("""COMPUTED_VALUE"""),"Commission")</f>
        <v>Commission</v>
      </c>
      <c r="J5" s="27" t="str">
        <f>IFERROR(__xludf.DUMMYFUNCTION("""COMPUTED_VALUE"""),"SoftCommission")</f>
        <v>SoftCommission</v>
      </c>
      <c r="K5" s="27" t="str">
        <f>IFERROR(__xludf.DUMMYFUNCTION("""COMPUTED_VALUE"""),"OtherBrokerFees")</f>
        <v>OtherBrokerFees</v>
      </c>
      <c r="L5" s="27" t="str">
        <f>IFERROR(__xludf.DUMMYFUNCTION("""COMPUTED_VALUE"""),"ClearingBrokerFees")</f>
        <v>ClearingBrokerFees</v>
      </c>
      <c r="M5" s="27" t="str">
        <f>IFERROR(__xludf.DUMMYFUNCTION("""COMPUTED_VALUE"""),"StampDuty")</f>
        <v>StampDuty</v>
      </c>
      <c r="N5" s="27" t="str">
        <f>IFERROR(__xludf.DUMMYFUNCTION("""COMPUTED_VALUE"""),"TransactionLevy")</f>
        <v>TransactionLevy</v>
      </c>
      <c r="O5" s="27" t="str">
        <f>IFERROR(__xludf.DUMMYFUNCTION("""COMPUTED_VALUE"""),"AUECFee1")</f>
        <v>AUECFee1</v>
      </c>
      <c r="P5" s="27" t="str">
        <f>IFERROR(__xludf.DUMMYFUNCTION("""COMPUTED_VALUE"""),"TaxOnCommissions")</f>
        <v>TaxOnCommissions</v>
      </c>
      <c r="Q5" s="27" t="str">
        <f>IFERROR(__xludf.DUMMYFUNCTION("""COMPUTED_VALUE"""),"AUECFee2")</f>
        <v>AUECFee2</v>
      </c>
      <c r="R5" s="27" t="str">
        <f>IFERROR(__xludf.DUMMYFUNCTION("""COMPUTED_VALUE"""),"SecFee")</f>
        <v>SecFee</v>
      </c>
      <c r="S5" s="27" t="str">
        <f>IFERROR(__xludf.DUMMYFUNCTION("""COMPUTED_VALUE"""),"OccFee")</f>
        <v>OccFee</v>
      </c>
      <c r="T5" s="29" t="str">
        <f>IFERROR(__xludf.DUMMYFUNCTION("""COMPUTED_VALUE"""),"OrfFee")</f>
        <v>OrfFee</v>
      </c>
      <c r="U5" s="29" t="str">
        <f>IFERROR(__xludf.DUMMYFUNCTION("""COMPUTED_VALUE"""),"Broker")</f>
        <v>Broker</v>
      </c>
      <c r="V5" s="29" t="str">
        <f>IFERROR(__xludf.DUMMYFUNCTION("""COMPUTED_VALUE"""),"Venue")</f>
        <v>Venue</v>
      </c>
      <c r="W5" s="29" t="str">
        <f>IFERROR(__xludf.DUMMYFUNCTION("""COMPUTED_VALUE"""),"Description")</f>
        <v>Description</v>
      </c>
      <c r="X5" s="29" t="str">
        <f>IFERROR(__xludf.DUMMYFUNCTION("""COMPUTED_VALUE"""),"InternalComments")</f>
        <v>InternalComments</v>
      </c>
      <c r="Y5" s="29" t="str">
        <f>IFERROR(__xludf.DUMMYFUNCTION("""COMPUTED_VALUE"""),"FXRate")</f>
        <v>FXRate</v>
      </c>
      <c r="Z5" s="29" t="str">
        <f>IFERROR(__xludf.DUMMYFUNCTION("""COMPUTED_VALUE"""),"FxConvOperator")</f>
        <v>FxConvOperator</v>
      </c>
      <c r="AA5" s="29" t="str">
        <f>IFERROR(__xludf.DUMMYFUNCTION("""COMPUTED_VALUE"""),"AccruedInterest")</f>
        <v>AccruedInterest</v>
      </c>
      <c r="AB5" s="29" t="str">
        <f>IFERROR(__xludf.DUMMYFUNCTION("""COMPUTED_VALUE"""),"TradeAttribute1")</f>
        <v>TradeAttribute1</v>
      </c>
      <c r="AC5" s="29" t="str">
        <f>IFERROR(__xludf.DUMMYFUNCTION("""COMPUTED_VALUE"""),"TradeAttribute2")</f>
        <v>TradeAttribute2</v>
      </c>
      <c r="AD5" s="29" t="str">
        <f>IFERROR(__xludf.DUMMYFUNCTION("""COMPUTED_VALUE"""),"TradeAttribute3")</f>
        <v>TradeAttribute3</v>
      </c>
      <c r="AE5" s="29" t="str">
        <f>IFERROR(__xludf.DUMMYFUNCTION("""COMPUTED_VALUE"""),"TradeAttribute4")</f>
        <v>TradeAttribute4</v>
      </c>
      <c r="AF5" s="29" t="str">
        <f>IFERROR(__xludf.DUMMYFUNCTION("""COMPUTED_VALUE"""),"TradeAttribute5")</f>
        <v>TradeAttribute5</v>
      </c>
      <c r="AG5" s="29" t="str">
        <f>IFERROR(__xludf.DUMMYFUNCTION("""COMPUTED_VALUE"""),"TradeAttribute6")</f>
        <v>TradeAttribute6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Y6" s="9">
        <v>1.25</v>
      </c>
      <c r="Z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EditUnallocatedGroupSidePanel!$4:$4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7"/>
      <c r="F6" s="12" t="s">
        <v>17</v>
      </c>
      <c r="G6" s="8"/>
      <c r="H6" s="12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IFERROR(__xludf.DUMMYFUNCTION("""COMPUTED_VALUE"""),"Broker")</f>
        <v>Broker</v>
      </c>
      <c r="E5" s="27" t="str">
        <f>IFERROR(__xludf.DUMMYFUNCTION("""COMPUTED_VALUE"""),"Quantity")</f>
        <v>Quantity</v>
      </c>
      <c r="F5" s="28" t="str">
        <f>IFERROR(__xludf.DUMMYFUNCTION("""COMPUTED_VALUE"""),"Avg Price")</f>
        <v>Avg Price</v>
      </c>
      <c r="G5" s="27" t="str">
        <f>IFERROR(__xludf.DUMMYFUNCTION("""COMPUTED_VALUE"""),"% Unexecuted Qty")</f>
        <v>% Unexecuted Qty</v>
      </c>
      <c r="H5" s="27" t="str">
        <f>IFERROR(__xludf.DUMMYFUNCTION("""COMPUTED_VALUE"""),"Unexecuted Qty")</f>
        <v>Unexecuted Qty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28</v>
      </c>
      <c r="E6" s="12">
        <v>60.0</v>
      </c>
      <c r="F6" s="12">
        <v>8.0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VerifyAllocationWindow!$4:$4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