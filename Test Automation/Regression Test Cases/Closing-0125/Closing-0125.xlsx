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SelectTradeUnexpiredUnsettled" sheetId="6" r:id="rId8"/>
    <sheet state="visible" name="Expire" sheetId="7" r:id="rId9"/>
    <sheet state="visible" name="VerifyExpiredSettledGrid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  <sheet state="visible" name="UnwindClosing" sheetId="12" r:id="rId14"/>
    <sheet state="visible" name="VerifyUnExpiredUnSettledGrid" sheetId="13" r:id="rId15"/>
    <sheet state="visible" name="CheckAllocatedGroups1" sheetId="14" r:id="rId16"/>
    <sheet state="visible" name="CheckPortfolioManagement1" sheetId="15" r:id="rId17"/>
    <sheet state="visible" name="UpdateExpirationDate" sheetId="16" r:id="rId18"/>
  </sheets>
  <definedNames/>
  <calcPr/>
</workbook>
</file>

<file path=xl/sharedStrings.xml><?xml version="1.0" encoding="utf-8"?>
<sst xmlns="http://schemas.openxmlformats.org/spreadsheetml/2006/main" count="315" uniqueCount="78">
  <si>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</si>
  <si>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</si>
  <si>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</si>
  <si>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</si>
  <si>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</si>
  <si>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</si>
  <si>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</si>
  <si>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</si>
  <si>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</si>
  <si>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</si>
  <si>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</si>
  <si>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</si>
  <si>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</si>
  <si>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</si>
  <si>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</si>
  <si>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</si>
  <si>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ES H9C670</t>
  </si>
  <si>
    <t>Buy to Open</t>
  </si>
  <si>
    <t>Allocation1</t>
  </si>
  <si>
    <t>Closing</t>
  </si>
  <si>
    <t>GetDataClosing</t>
  </si>
  <si>
    <t>Current</t>
  </si>
  <si>
    <t>SelectTradeUnexpiredUnsettled</t>
  </si>
  <si>
    <t>FutureOption</t>
  </si>
  <si>
    <t>Expire</t>
  </si>
  <si>
    <t>VerifyExpiredSettledGrid</t>
  </si>
  <si>
    <t>Short</t>
  </si>
  <si>
    <t>USD</t>
  </si>
  <si>
    <t>CMEE</t>
  </si>
  <si>
    <t>Long</t>
  </si>
  <si>
    <t>Strategy Unallocated</t>
  </si>
  <si>
    <t>US</t>
  </si>
  <si>
    <t>Allocation</t>
  </si>
  <si>
    <t>GetDataAllocation</t>
  </si>
  <si>
    <t>CheckAllocatedGroups</t>
  </si>
  <si>
    <t>Manual</t>
  </si>
  <si>
    <t>MS</t>
  </si>
  <si>
    <t>Closed</t>
  </si>
  <si>
    <t>M</t>
  </si>
  <si>
    <t>None</t>
  </si>
  <si>
    <t>Market</t>
  </si>
  <si>
    <t>ES H9C670</t>
  </si>
  <si>
    <t>GCCAP1</t>
  </si>
  <si>
    <t>BuytoOpen</t>
  </si>
  <si>
    <t>ES H9</t>
  </si>
  <si>
    <t>NASDAQ</t>
  </si>
  <si>
    <t>NONE</t>
  </si>
  <si>
    <t>Sell to Close</t>
  </si>
  <si>
    <t>PortfolioManagement</t>
  </si>
  <si>
    <t>CheckPortfolioManagement</t>
  </si>
  <si>
    <t>NewMF</t>
  </si>
  <si>
    <t>FIMAT</t>
  </si>
  <si>
    <t>Future Call</t>
  </si>
  <si>
    <t>Preferencial</t>
  </si>
  <si>
    <t>Aluminum</t>
  </si>
  <si>
    <t>jpearce</t>
  </si>
  <si>
    <t>CALL</t>
  </si>
  <si>
    <t>Default</t>
  </si>
  <si>
    <t>Undefined</t>
  </si>
  <si>
    <t>anal</t>
  </si>
  <si>
    <t>UK</t>
  </si>
  <si>
    <t>CU1</t>
  </si>
  <si>
    <t>CU2</t>
  </si>
  <si>
    <t>CU3</t>
  </si>
  <si>
    <t>CU4</t>
  </si>
  <si>
    <t>CU5</t>
  </si>
  <si>
    <t>CU6</t>
  </si>
  <si>
    <t>CU7</t>
  </si>
  <si>
    <t>test 1</t>
  </si>
  <si>
    <t>Marcap1</t>
  </si>
  <si>
    <t>Reg</t>
  </si>
  <si>
    <t>Yes</t>
  </si>
  <si>
    <t>OTM</t>
  </si>
  <si>
    <t>UnwindClosing</t>
  </si>
  <si>
    <t>VerifyUnExpiredUnSettledGrid</t>
  </si>
  <si>
    <t>Open</t>
  </si>
  <si>
    <t>Admin</t>
  </si>
  <si>
    <t>UpdateExpirationDate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</si>
</sst>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0" fontId="1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5" fillId="0" fontId="14" numFmtId="0" xfId="0" applyAlignment="1" applyBorder="1" applyFont="1">
      <alignment shrinkToFit="0" vertical="bottom" wrapText="0"/>
    </xf>
    <xf borderId="0" fillId="0" fontId="3" numFmtId="165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14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30" t="s">
        <v>17</v>
      </c>
      <c r="D6" s="31">
        <v>100.0</v>
      </c>
      <c r="E6" s="32">
        <v>100.0</v>
      </c>
      <c r="F6" s="33" t="s">
        <v>18</v>
      </c>
      <c r="G6" s="33"/>
      <c r="H6" s="33"/>
      <c r="I6" s="33"/>
      <c r="J6" s="32">
        <v>10.0</v>
      </c>
      <c r="K6" s="33"/>
      <c r="L6" s="33"/>
      <c r="M6" s="33"/>
      <c r="N6" s="34">
        <f>today()</f>
        <v>44608</v>
      </c>
      <c r="O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36"/>
      <c r="B6" s="36" t="s">
        <v>18</v>
      </c>
      <c r="C6" s="33"/>
      <c r="D6" s="36"/>
      <c r="E6" s="37" t="s">
        <v>23</v>
      </c>
      <c r="F6" s="33"/>
      <c r="G6" s="33"/>
      <c r="H6" s="33"/>
      <c r="I6" s="32">
        <v>10.0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9">
        <v>100.0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 t="s">
        <v>17</v>
      </c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9">
        <v>100.0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3"/>
      <c r="DG6" s="33"/>
      <c r="DH6" s="11" t="s">
        <v>16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IFERROR(__xludf.DUMMYFUNCTION("""COMPUTED_VALUE"""),"AUECID")</f>
        <v>AUECID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IFERROR(__xludf.DUMMYFUNCTION("""COMPUTED_VALUE"""),"Symbol")</f>
        <v>Symbol</v>
      </c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5"/>
      <c r="F6" s="8"/>
      <c r="G6" s="11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Expire!$4:$4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6" t="s">
        <v>18</v>
      </c>
      <c r="C6" s="37" t="s">
        <v>23</v>
      </c>
      <c r="D6" s="36"/>
      <c r="E6" s="33"/>
      <c r="F6" s="32">
        <v>0.0</v>
      </c>
      <c r="G6" s="32">
        <v>100.0</v>
      </c>
      <c r="H6" s="33"/>
      <c r="I6" s="33"/>
      <c r="J6" s="41" t="s">
        <v>24</v>
      </c>
      <c r="K6" s="33" t="s">
        <v>26</v>
      </c>
      <c r="L6" s="33"/>
      <c r="M6" s="42">
        <v>0.0</v>
      </c>
      <c r="N6" s="33"/>
      <c r="O6" s="42">
        <v>-50000.0</v>
      </c>
      <c r="P6" s="33" t="s">
        <v>27</v>
      </c>
      <c r="Q6" s="33"/>
      <c r="R6" s="37" t="s">
        <v>28</v>
      </c>
      <c r="S6" s="43">
        <v>0.0</v>
      </c>
      <c r="T6" s="39">
        <v>10.0</v>
      </c>
      <c r="U6" s="38"/>
      <c r="V6" s="38" t="s">
        <v>29</v>
      </c>
      <c r="W6" s="38" t="s">
        <v>29</v>
      </c>
      <c r="X6" s="39">
        <v>0.0</v>
      </c>
      <c r="Y6" s="44">
        <v>-50000.0</v>
      </c>
      <c r="Z6" s="45" t="s">
        <v>17</v>
      </c>
      <c r="AA6" s="33" t="s">
        <v>30</v>
      </c>
      <c r="AB6" s="11" t="s">
        <v>16</v>
      </c>
      <c r="AC6" s="38"/>
      <c r="AD6" s="38" t="s">
        <v>31</v>
      </c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18</v>
      </c>
      <c r="C6" s="46"/>
      <c r="D6" s="47"/>
      <c r="E6" s="47">
        <v>100.0</v>
      </c>
      <c r="F6" s="46" t="s">
        <v>35</v>
      </c>
      <c r="G6" s="46" t="s">
        <v>23</v>
      </c>
      <c r="H6" s="47">
        <v>0.0</v>
      </c>
      <c r="I6" s="47">
        <v>0.0</v>
      </c>
      <c r="J6" s="47">
        <v>19.0</v>
      </c>
      <c r="K6" s="47">
        <v>10.0</v>
      </c>
      <c r="L6" s="47">
        <v>10.0</v>
      </c>
      <c r="M6" s="48"/>
      <c r="N6" s="46"/>
      <c r="O6" s="46" t="s">
        <v>36</v>
      </c>
      <c r="P6" s="48"/>
      <c r="Q6" s="47"/>
      <c r="R6" s="47">
        <v>0.0</v>
      </c>
      <c r="S6" s="46" t="s">
        <v>37</v>
      </c>
      <c r="T6" s="47">
        <v>0.0</v>
      </c>
      <c r="U6" s="47">
        <v>0.0</v>
      </c>
      <c r="V6" s="46"/>
      <c r="W6" s="47"/>
      <c r="X6" s="47"/>
      <c r="Y6" s="48"/>
      <c r="Z6" s="46" t="s">
        <v>27</v>
      </c>
      <c r="AA6" s="48"/>
      <c r="AB6" s="47">
        <v>1.0</v>
      </c>
      <c r="AC6" s="46"/>
      <c r="AD6" s="46" t="s">
        <v>28</v>
      </c>
      <c r="AE6" s="47">
        <v>100.0</v>
      </c>
      <c r="AF6" s="49"/>
      <c r="AG6" s="50"/>
      <c r="AH6" s="46" t="s">
        <v>38</v>
      </c>
      <c r="AI6" s="47">
        <v>1.0</v>
      </c>
      <c r="AJ6" s="46" t="s">
        <v>39</v>
      </c>
      <c r="AK6" s="48"/>
      <c r="AL6" s="48"/>
      <c r="AM6" s="46"/>
      <c r="AN6" s="46" t="b">
        <v>0</v>
      </c>
      <c r="AO6" s="48"/>
      <c r="AP6" s="46" t="b">
        <v>1</v>
      </c>
      <c r="AQ6" s="46" t="b">
        <v>0</v>
      </c>
      <c r="AR6" s="46" t="b">
        <v>1</v>
      </c>
      <c r="AS6" s="47"/>
      <c r="AT6" s="51">
        <v>50000.0</v>
      </c>
      <c r="AU6" s="51">
        <v>50000.0</v>
      </c>
      <c r="AV6" s="52"/>
      <c r="AW6" s="47">
        <v>0.0</v>
      </c>
      <c r="AX6" s="47">
        <v>0.0</v>
      </c>
      <c r="AY6" s="46" t="s">
        <v>40</v>
      </c>
      <c r="AZ6" s="47">
        <v>0.0</v>
      </c>
      <c r="BA6" s="52"/>
      <c r="BB6" s="48"/>
      <c r="BC6" s="47">
        <v>0.0</v>
      </c>
      <c r="BD6" s="46"/>
      <c r="BE6" s="51">
        <v>50000.0</v>
      </c>
      <c r="BF6" s="51">
        <v>50000.0</v>
      </c>
      <c r="BG6" s="52"/>
      <c r="BH6" s="48"/>
      <c r="BI6" s="46"/>
      <c r="BJ6" s="47">
        <v>100.0</v>
      </c>
      <c r="BK6" s="47">
        <v>0.0</v>
      </c>
      <c r="BL6" s="48"/>
      <c r="BM6" s="46" t="s">
        <v>27</v>
      </c>
      <c r="BN6" s="52"/>
      <c r="BO6" s="46" t="s">
        <v>17</v>
      </c>
      <c r="BP6" s="47">
        <v>0.0</v>
      </c>
      <c r="BQ6" s="47">
        <v>0.0</v>
      </c>
      <c r="BR6" s="47">
        <v>0.0</v>
      </c>
      <c r="BS6" s="46" t="s">
        <v>30</v>
      </c>
      <c r="BT6" s="46" t="s">
        <v>41</v>
      </c>
      <c r="BU6" s="47">
        <v>0.0</v>
      </c>
      <c r="BV6" s="47">
        <v>0.0</v>
      </c>
      <c r="BW6" s="47">
        <v>0.0</v>
      </c>
      <c r="BX6" s="47">
        <v>0.0</v>
      </c>
      <c r="CF6" s="46" t="s">
        <v>42</v>
      </c>
      <c r="CG6" s="47">
        <v>0.0</v>
      </c>
      <c r="CH6" s="46" t="s">
        <v>12</v>
      </c>
      <c r="CI6" s="46" t="s">
        <v>43</v>
      </c>
      <c r="CJ6" s="47">
        <v>0.0</v>
      </c>
      <c r="CK6" s="46" t="s">
        <v>31</v>
      </c>
      <c r="CL6" s="47">
        <v>1.0</v>
      </c>
      <c r="CM6" s="46" t="s">
        <v>44</v>
      </c>
      <c r="CN6" s="46"/>
      <c r="CO6" s="46" t="s">
        <v>45</v>
      </c>
      <c r="CP6" s="46" t="s">
        <v>46</v>
      </c>
      <c r="CQ6" s="48"/>
      <c r="CR6" s="48"/>
      <c r="CS6" s="47"/>
      <c r="CT6" s="48"/>
      <c r="CU6" s="48"/>
      <c r="CV6" s="52"/>
      <c r="CW6" s="49"/>
      <c r="CX6" s="48"/>
      <c r="CY6" s="48"/>
      <c r="CZ6" s="47"/>
      <c r="DA6" s="48"/>
      <c r="DB6" s="47"/>
      <c r="DC6" s="48"/>
      <c r="DD6" s="46"/>
    </row>
    <row r="7" ht="15.75" customHeight="1">
      <c r="A7" s="8"/>
      <c r="B7" s="46" t="s">
        <v>18</v>
      </c>
      <c r="C7" s="46"/>
      <c r="D7" s="47"/>
      <c r="E7" s="47">
        <v>100.0</v>
      </c>
      <c r="F7" s="46" t="s">
        <v>35</v>
      </c>
      <c r="G7" s="46" t="s">
        <v>23</v>
      </c>
      <c r="H7" s="47">
        <v>0.0</v>
      </c>
      <c r="I7" s="47">
        <v>0.0</v>
      </c>
      <c r="J7" s="47">
        <v>19.0</v>
      </c>
      <c r="K7" s="47">
        <v>0.0</v>
      </c>
      <c r="L7" s="47">
        <v>0.0</v>
      </c>
      <c r="M7" s="48"/>
      <c r="N7" s="46"/>
      <c r="O7" s="46" t="s">
        <v>36</v>
      </c>
      <c r="P7" s="48"/>
      <c r="Q7" s="47"/>
      <c r="R7" s="47">
        <v>0.0</v>
      </c>
      <c r="S7" s="46" t="s">
        <v>37</v>
      </c>
      <c r="T7" s="47">
        <v>0.0</v>
      </c>
      <c r="U7" s="47">
        <v>0.0</v>
      </c>
      <c r="V7" s="46"/>
      <c r="W7" s="47"/>
      <c r="X7" s="47"/>
      <c r="Y7" s="48"/>
      <c r="Z7" s="46" t="s">
        <v>27</v>
      </c>
      <c r="AA7" s="48"/>
      <c r="AB7" s="47">
        <v>1.0</v>
      </c>
      <c r="AC7" s="48"/>
      <c r="AD7" s="46" t="s">
        <v>28</v>
      </c>
      <c r="AE7" s="47">
        <v>100.0</v>
      </c>
      <c r="AF7" s="49"/>
      <c r="AG7" s="50"/>
      <c r="AH7" s="46" t="s">
        <v>38</v>
      </c>
      <c r="AI7" s="47">
        <v>1.0</v>
      </c>
      <c r="AJ7" s="46" t="s">
        <v>39</v>
      </c>
      <c r="AK7" s="48"/>
      <c r="AL7" s="48"/>
      <c r="AM7" s="48"/>
      <c r="AN7" s="46" t="b">
        <v>0</v>
      </c>
      <c r="AO7" s="48"/>
      <c r="AP7" s="46" t="b">
        <v>0</v>
      </c>
      <c r="AQ7" s="46" t="b">
        <v>0</v>
      </c>
      <c r="AR7" s="46" t="b">
        <v>1</v>
      </c>
      <c r="AS7" s="47"/>
      <c r="AT7" s="47">
        <v>0.0</v>
      </c>
      <c r="AU7" s="47">
        <v>0.0</v>
      </c>
      <c r="AV7" s="49"/>
      <c r="AW7" s="47">
        <v>0.0</v>
      </c>
      <c r="AX7" s="47">
        <v>0.0</v>
      </c>
      <c r="AY7" s="46" t="s">
        <v>40</v>
      </c>
      <c r="AZ7" s="47">
        <v>0.0</v>
      </c>
      <c r="BA7" s="50"/>
      <c r="BB7" s="48"/>
      <c r="BC7" s="47">
        <v>0.0</v>
      </c>
      <c r="BD7" s="46"/>
      <c r="BE7" s="47">
        <v>0.0</v>
      </c>
      <c r="BF7" s="47">
        <v>0.0</v>
      </c>
      <c r="BG7" s="50"/>
      <c r="BH7" s="48"/>
      <c r="BI7" s="46"/>
      <c r="BJ7" s="47">
        <v>100.0</v>
      </c>
      <c r="BK7" s="47">
        <v>0.0</v>
      </c>
      <c r="BL7" s="48"/>
      <c r="BM7" s="46" t="s">
        <v>27</v>
      </c>
      <c r="BN7" s="50"/>
      <c r="BO7" s="46" t="s">
        <v>47</v>
      </c>
      <c r="BP7" s="47">
        <v>0.0</v>
      </c>
      <c r="BQ7" s="47">
        <v>0.0</v>
      </c>
      <c r="BR7" s="47">
        <v>0.0</v>
      </c>
      <c r="BS7" s="46" t="s">
        <v>30</v>
      </c>
      <c r="BT7" s="46" t="s">
        <v>41</v>
      </c>
      <c r="BU7" s="47">
        <v>0.0</v>
      </c>
      <c r="BV7" s="47">
        <v>0.0</v>
      </c>
      <c r="BW7" s="47">
        <v>0.0</v>
      </c>
      <c r="BX7" s="47">
        <v>0.0</v>
      </c>
      <c r="CF7" s="48"/>
      <c r="CG7" s="47">
        <v>0.0</v>
      </c>
      <c r="CH7" s="46" t="s">
        <v>19</v>
      </c>
      <c r="CI7" s="46" t="s">
        <v>24</v>
      </c>
      <c r="CJ7" s="47">
        <v>0.0</v>
      </c>
      <c r="CK7" s="46" t="s">
        <v>31</v>
      </c>
      <c r="CL7" s="47">
        <v>1.0</v>
      </c>
      <c r="CM7" s="46" t="s">
        <v>44</v>
      </c>
      <c r="CN7" s="46"/>
      <c r="CO7" s="46" t="s">
        <v>45</v>
      </c>
      <c r="CP7" s="46" t="s">
        <v>46</v>
      </c>
      <c r="CQ7" s="48"/>
      <c r="CR7" s="48"/>
      <c r="CS7" s="47"/>
      <c r="CT7" s="48"/>
      <c r="CU7" s="48"/>
      <c r="CV7" s="52"/>
      <c r="CW7" s="49"/>
      <c r="CX7" s="48"/>
      <c r="CY7" s="48"/>
      <c r="CZ7" s="47"/>
      <c r="DA7" s="48"/>
      <c r="DB7" s="47"/>
      <c r="DC7" s="48"/>
      <c r="DD7" s="4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8"/>
      <c r="B9" s="53"/>
      <c r="C9" s="53"/>
      <c r="D9" s="38"/>
      <c r="E9" s="38"/>
      <c r="F9" s="53"/>
      <c r="G9" s="53"/>
      <c r="H9" s="38"/>
      <c r="I9" s="38"/>
      <c r="J9" s="38"/>
      <c r="K9" s="38"/>
      <c r="L9" s="38"/>
      <c r="M9" s="54"/>
      <c r="N9" s="53"/>
      <c r="O9" s="53"/>
      <c r="P9" s="38"/>
      <c r="Q9" s="38"/>
      <c r="R9" s="38"/>
      <c r="S9" s="53"/>
      <c r="T9" s="38"/>
      <c r="U9" s="38"/>
      <c r="V9" s="53"/>
      <c r="W9" s="38"/>
      <c r="X9" s="38"/>
      <c r="Y9" s="38"/>
      <c r="Z9" s="53"/>
      <c r="AA9" s="38"/>
      <c r="AB9" s="38"/>
      <c r="AC9" s="38"/>
      <c r="AD9" s="53"/>
      <c r="AE9" s="38"/>
      <c r="AF9" s="55"/>
      <c r="AG9" s="56"/>
      <c r="AH9" s="53"/>
      <c r="AI9" s="38"/>
      <c r="AJ9" s="53"/>
      <c r="AK9" s="53"/>
      <c r="AL9" s="38"/>
      <c r="AM9" s="38"/>
      <c r="AN9" s="57"/>
      <c r="AO9" s="38"/>
      <c r="AP9" s="57"/>
      <c r="AQ9" s="57"/>
      <c r="AR9" s="57"/>
      <c r="AS9" s="38"/>
      <c r="AT9" s="58"/>
      <c r="AU9" s="58"/>
      <c r="AV9" s="55"/>
      <c r="AW9" s="38"/>
      <c r="AX9" s="58"/>
      <c r="AY9" s="53"/>
      <c r="AZ9" s="38"/>
      <c r="BA9" s="56"/>
      <c r="BB9" s="53"/>
      <c r="BC9" s="38"/>
      <c r="BD9" s="53"/>
      <c r="BE9" s="38"/>
      <c r="BF9" s="38"/>
      <c r="BG9" s="56"/>
      <c r="BH9" s="38"/>
      <c r="BI9" s="53"/>
      <c r="BJ9" s="38"/>
      <c r="BK9" s="38"/>
      <c r="BL9" s="38"/>
      <c r="BM9" s="53"/>
      <c r="BN9" s="56"/>
      <c r="BO9" s="53"/>
      <c r="BP9" s="38"/>
      <c r="BQ9" s="38"/>
      <c r="BR9" s="38"/>
      <c r="BS9" s="53"/>
      <c r="BT9" s="53"/>
      <c r="BU9" s="38"/>
      <c r="BV9" s="38"/>
      <c r="BW9" s="5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53"/>
      <c r="CI9" s="53"/>
      <c r="CJ9" s="38"/>
      <c r="CK9" s="53"/>
      <c r="CL9" s="38"/>
      <c r="CM9" s="53"/>
      <c r="CN9" s="53"/>
      <c r="CO9" s="53"/>
      <c r="CP9" s="53"/>
      <c r="CQ9" s="38"/>
      <c r="CR9" s="38"/>
      <c r="CS9" s="38"/>
      <c r="CT9" s="38"/>
      <c r="CU9" s="38"/>
      <c r="CV9" s="59"/>
      <c r="CW9" s="55"/>
      <c r="CX9" s="38"/>
      <c r="CY9" s="38"/>
      <c r="CZ9" s="38"/>
      <c r="DA9" s="38"/>
      <c r="DB9" s="38"/>
      <c r="DC9" s="38"/>
      <c r="DD9" s="53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  <c r="FR5" s="29"/>
    </row>
    <row r="6" ht="15.75" customHeight="1">
      <c r="A6" s="11"/>
      <c r="B6" s="52"/>
      <c r="C6" s="46" t="s">
        <v>41</v>
      </c>
      <c r="D6" s="47">
        <v>100.0</v>
      </c>
      <c r="E6" s="46" t="s">
        <v>18</v>
      </c>
      <c r="F6" s="46" t="s">
        <v>50</v>
      </c>
      <c r="G6" s="47">
        <v>10.0</v>
      </c>
      <c r="H6" s="46" t="s">
        <v>29</v>
      </c>
      <c r="I6" s="60">
        <v>0.0</v>
      </c>
      <c r="J6" s="47"/>
      <c r="K6" s="47">
        <v>0.0</v>
      </c>
      <c r="L6" s="60">
        <v>0.0</v>
      </c>
      <c r="M6" s="47"/>
      <c r="N6" s="60"/>
      <c r="O6" s="46"/>
      <c r="P6" s="46"/>
      <c r="Q6" s="60">
        <v>-50000.0</v>
      </c>
      <c r="R6" s="46" t="s">
        <v>51</v>
      </c>
      <c r="S6" s="46" t="s">
        <v>30</v>
      </c>
      <c r="T6" s="46" t="s">
        <v>23</v>
      </c>
      <c r="U6" s="46" t="s">
        <v>31</v>
      </c>
      <c r="V6" s="46" t="s">
        <v>28</v>
      </c>
      <c r="W6" s="46" t="s">
        <v>27</v>
      </c>
      <c r="X6" s="47">
        <v>50.0</v>
      </c>
      <c r="Y6" s="47">
        <v>1.0</v>
      </c>
      <c r="Z6" s="48"/>
      <c r="AA6" s="48"/>
      <c r="AB6" s="47">
        <v>0.0</v>
      </c>
      <c r="AC6" s="47">
        <v>0.0</v>
      </c>
      <c r="AD6" s="47">
        <v>0.0</v>
      </c>
      <c r="AE6" s="60">
        <v>5000.0</v>
      </c>
      <c r="AF6" s="47">
        <v>0.0</v>
      </c>
      <c r="AG6" s="47">
        <v>0.0</v>
      </c>
      <c r="AH6" s="47">
        <v>0.0</v>
      </c>
      <c r="AI6" s="47">
        <v>0.0</v>
      </c>
      <c r="AJ6" s="47"/>
      <c r="AK6" s="60"/>
      <c r="AL6" s="47">
        <v>0.0</v>
      </c>
      <c r="AM6" s="47">
        <v>1.0</v>
      </c>
      <c r="AN6" s="46" t="s">
        <v>17</v>
      </c>
      <c r="AO6" s="48"/>
      <c r="AP6" s="46" t="s">
        <v>29</v>
      </c>
      <c r="AQ6" s="46" t="s">
        <v>44</v>
      </c>
      <c r="AR6" s="47">
        <v>0.0</v>
      </c>
      <c r="AS6" s="47">
        <v>1.0</v>
      </c>
      <c r="AT6" s="46"/>
      <c r="AU6" s="46"/>
      <c r="AV6" s="47">
        <v>1.0</v>
      </c>
      <c r="AW6" s="60">
        <v>-50000.0</v>
      </c>
      <c r="AX6" s="47">
        <v>0.0</v>
      </c>
      <c r="AY6" s="47">
        <v>0.0</v>
      </c>
      <c r="AZ6" s="47">
        <v>0.0</v>
      </c>
      <c r="BA6" s="47"/>
      <c r="BB6" s="47"/>
      <c r="BC6" s="47">
        <v>1.0</v>
      </c>
      <c r="BD6" s="60"/>
      <c r="BE6" s="46" t="s">
        <v>52</v>
      </c>
      <c r="BF6" s="46" t="s">
        <v>53</v>
      </c>
      <c r="BG6" s="46"/>
      <c r="BH6" s="46" t="s">
        <v>54</v>
      </c>
      <c r="BI6" s="47"/>
      <c r="BJ6" s="47">
        <v>0.0</v>
      </c>
      <c r="BK6" s="47">
        <v>0.0</v>
      </c>
      <c r="BL6" s="47">
        <v>0.0</v>
      </c>
      <c r="BM6" s="47">
        <v>0.0</v>
      </c>
      <c r="BN6" s="49"/>
      <c r="BO6" s="60"/>
      <c r="BP6" s="47">
        <v>0.0</v>
      </c>
      <c r="BQ6" s="46" t="s">
        <v>55</v>
      </c>
      <c r="BR6" s="46" t="s">
        <v>36</v>
      </c>
      <c r="BS6" s="47">
        <v>0.0</v>
      </c>
      <c r="BT6" s="47">
        <v>0.0</v>
      </c>
      <c r="BU6" s="46" t="s">
        <v>56</v>
      </c>
      <c r="BV6" s="50"/>
      <c r="BW6" s="47">
        <v>30.0</v>
      </c>
      <c r="BX6" s="47">
        <v>0.0</v>
      </c>
      <c r="BY6" s="47">
        <v>0.0</v>
      </c>
      <c r="BZ6" s="47">
        <v>0.0</v>
      </c>
      <c r="CA6" s="47">
        <v>0.0</v>
      </c>
      <c r="CB6" s="52"/>
      <c r="CC6" s="47">
        <v>0.0</v>
      </c>
      <c r="CD6" s="60"/>
      <c r="CE6" s="47">
        <v>0.0</v>
      </c>
      <c r="CF6" s="47">
        <v>0.0</v>
      </c>
      <c r="CG6" s="60">
        <v>-50000.0</v>
      </c>
      <c r="CH6" s="47">
        <v>-100.0</v>
      </c>
      <c r="CI6" s="47">
        <v>0.0</v>
      </c>
      <c r="CJ6" s="47">
        <v>0.0</v>
      </c>
      <c r="CK6" s="46" t="b">
        <v>0</v>
      </c>
      <c r="CL6" s="48"/>
      <c r="CM6" s="48"/>
      <c r="CN6" s="48"/>
      <c r="CO6" s="48"/>
      <c r="CP6" s="48"/>
      <c r="CQ6" s="48"/>
      <c r="CR6" s="52"/>
      <c r="CS6" s="47">
        <v>10.0</v>
      </c>
      <c r="CT6" s="48"/>
      <c r="CU6" s="48"/>
      <c r="CV6" s="48"/>
      <c r="CW6" s="48"/>
      <c r="CX6" s="48"/>
      <c r="CY6" s="46" t="s">
        <v>39</v>
      </c>
      <c r="CZ6" s="46" t="s">
        <v>57</v>
      </c>
      <c r="DA6" s="47">
        <v>0.0</v>
      </c>
      <c r="DB6" s="47">
        <v>0.0</v>
      </c>
      <c r="DC6" s="50"/>
      <c r="DD6" s="47">
        <v>0.0</v>
      </c>
      <c r="DE6" s="47">
        <v>0.0</v>
      </c>
      <c r="DF6" s="47">
        <v>0.0</v>
      </c>
      <c r="DG6" s="47">
        <v>0.0</v>
      </c>
      <c r="DH6" s="46" t="s">
        <v>58</v>
      </c>
      <c r="DI6" s="47">
        <v>0.0</v>
      </c>
      <c r="DJ6" s="46" t="s">
        <v>17</v>
      </c>
      <c r="DK6" s="47">
        <v>0.0</v>
      </c>
      <c r="DL6" s="47">
        <v>0.0</v>
      </c>
      <c r="DM6" s="47">
        <v>1.0</v>
      </c>
      <c r="DN6" s="47">
        <v>0.0</v>
      </c>
      <c r="DO6" s="48"/>
      <c r="DP6" s="46" t="s">
        <v>29</v>
      </c>
      <c r="DQ6" s="46" t="s">
        <v>59</v>
      </c>
      <c r="DR6" s="46" t="s">
        <v>60</v>
      </c>
      <c r="DS6" s="46" t="s">
        <v>61</v>
      </c>
      <c r="DT6" s="46" t="s">
        <v>62</v>
      </c>
      <c r="DU6" s="46" t="s">
        <v>63</v>
      </c>
      <c r="DV6" s="46" t="s">
        <v>64</v>
      </c>
      <c r="DW6" s="46" t="s">
        <v>65</v>
      </c>
      <c r="DX6" s="46" t="s">
        <v>66</v>
      </c>
      <c r="DY6" s="46" t="s">
        <v>67</v>
      </c>
      <c r="DZ6" s="46"/>
      <c r="EA6" s="46" t="s">
        <v>68</v>
      </c>
      <c r="EB6" s="46" t="s">
        <v>69</v>
      </c>
      <c r="EC6" s="46" t="s">
        <v>70</v>
      </c>
      <c r="ED6" s="46" t="s">
        <v>27</v>
      </c>
      <c r="EE6" s="46" t="s">
        <v>71</v>
      </c>
      <c r="EF6" s="47">
        <v>0.0</v>
      </c>
      <c r="EG6" s="47">
        <v>0.0</v>
      </c>
      <c r="EH6" s="47">
        <v>0.0</v>
      </c>
      <c r="EI6" s="47">
        <v>0.0</v>
      </c>
      <c r="EJ6" s="47"/>
      <c r="EK6" s="47"/>
      <c r="EL6" s="46" t="s">
        <v>29</v>
      </c>
      <c r="EM6" s="47"/>
      <c r="EN6" s="47"/>
      <c r="EO6" s="47"/>
      <c r="EP6" s="47"/>
      <c r="EQ6" s="47">
        <v>0.0</v>
      </c>
      <c r="ER6" s="47"/>
      <c r="ES6" s="60"/>
      <c r="ET6" s="47"/>
      <c r="EU6" s="47"/>
      <c r="EV6" s="46" t="s">
        <v>29</v>
      </c>
      <c r="EW6" s="60"/>
      <c r="EX6" s="46" t="b">
        <v>0</v>
      </c>
      <c r="FC6" s="46" t="s">
        <v>72</v>
      </c>
      <c r="FD6" s="47">
        <v>0.0</v>
      </c>
      <c r="FE6" s="47">
        <v>-100.0</v>
      </c>
      <c r="FF6" s="61">
        <v>0.0</v>
      </c>
      <c r="FG6" s="60">
        <v>-50000.0</v>
      </c>
    </row>
    <row r="7" ht="15.75" customHeight="1">
      <c r="A7" s="8"/>
      <c r="B7" s="50"/>
      <c r="C7" s="46" t="s">
        <v>41</v>
      </c>
      <c r="D7" s="47">
        <v>-100.0</v>
      </c>
      <c r="E7" s="46" t="s">
        <v>18</v>
      </c>
      <c r="F7" s="46" t="s">
        <v>50</v>
      </c>
      <c r="G7" s="47">
        <v>0.0</v>
      </c>
      <c r="H7" s="46" t="s">
        <v>29</v>
      </c>
      <c r="I7" s="47">
        <v>0.0</v>
      </c>
      <c r="J7" s="47"/>
      <c r="K7" s="47">
        <v>0.0</v>
      </c>
      <c r="L7" s="47">
        <v>0.0</v>
      </c>
      <c r="M7" s="47"/>
      <c r="N7" s="47"/>
      <c r="O7" s="46"/>
      <c r="P7" s="46"/>
      <c r="Q7" s="47">
        <v>0.0</v>
      </c>
      <c r="R7" s="46" t="s">
        <v>51</v>
      </c>
      <c r="S7" s="46" t="s">
        <v>30</v>
      </c>
      <c r="T7" s="46" t="s">
        <v>23</v>
      </c>
      <c r="U7" s="46" t="s">
        <v>31</v>
      </c>
      <c r="V7" s="46" t="s">
        <v>28</v>
      </c>
      <c r="W7" s="46" t="s">
        <v>27</v>
      </c>
      <c r="X7" s="47">
        <v>50.0</v>
      </c>
      <c r="Y7" s="47">
        <v>1.0</v>
      </c>
      <c r="Z7" s="48"/>
      <c r="AA7" s="48"/>
      <c r="AB7" s="47">
        <v>0.0</v>
      </c>
      <c r="AC7" s="47">
        <v>0.0</v>
      </c>
      <c r="AD7" s="47">
        <v>0.0</v>
      </c>
      <c r="AE7" s="60">
        <v>-5000.0</v>
      </c>
      <c r="AF7" s="47">
        <v>0.0</v>
      </c>
      <c r="AG7" s="47">
        <v>0.0</v>
      </c>
      <c r="AH7" s="47">
        <v>0.0</v>
      </c>
      <c r="AI7" s="47">
        <v>0.0</v>
      </c>
      <c r="AJ7" s="47"/>
      <c r="AK7" s="47"/>
      <c r="AL7" s="47">
        <v>0.0</v>
      </c>
      <c r="AM7" s="47">
        <v>1.0</v>
      </c>
      <c r="AN7" s="46" t="s">
        <v>47</v>
      </c>
      <c r="AO7" s="48"/>
      <c r="AP7" s="46" t="s">
        <v>29</v>
      </c>
      <c r="AQ7" s="46" t="s">
        <v>44</v>
      </c>
      <c r="AR7" s="47">
        <v>0.0</v>
      </c>
      <c r="AS7" s="47">
        <v>-1.0</v>
      </c>
      <c r="AT7" s="48"/>
      <c r="AU7" s="48"/>
      <c r="AV7" s="47">
        <v>1.0</v>
      </c>
      <c r="AW7" s="47">
        <v>0.0</v>
      </c>
      <c r="AX7" s="47">
        <v>0.0</v>
      </c>
      <c r="AY7" s="47">
        <v>0.0</v>
      </c>
      <c r="AZ7" s="47">
        <v>0.0</v>
      </c>
      <c r="BA7" s="47"/>
      <c r="BB7" s="47"/>
      <c r="BC7" s="47">
        <v>1.0</v>
      </c>
      <c r="BD7" s="47"/>
      <c r="BE7" s="46" t="s">
        <v>52</v>
      </c>
      <c r="BF7" s="46" t="s">
        <v>53</v>
      </c>
      <c r="BG7" s="46"/>
      <c r="BH7" s="46" t="s">
        <v>54</v>
      </c>
      <c r="BI7" s="47"/>
      <c r="BJ7" s="47">
        <v>0.0</v>
      </c>
      <c r="BK7" s="47">
        <v>0.0</v>
      </c>
      <c r="BL7" s="47">
        <v>0.0</v>
      </c>
      <c r="BM7" s="47">
        <v>0.0</v>
      </c>
      <c r="BN7" s="49"/>
      <c r="BO7" s="47"/>
      <c r="BP7" s="47">
        <v>0.0</v>
      </c>
      <c r="BQ7" s="46" t="s">
        <v>55</v>
      </c>
      <c r="BR7" s="46" t="s">
        <v>36</v>
      </c>
      <c r="BS7" s="47">
        <v>0.0</v>
      </c>
      <c r="BT7" s="47">
        <v>0.0</v>
      </c>
      <c r="BU7" s="46" t="s">
        <v>56</v>
      </c>
      <c r="BV7" s="50"/>
      <c r="BW7" s="47">
        <v>30.0</v>
      </c>
      <c r="BX7" s="47">
        <v>0.0</v>
      </c>
      <c r="BY7" s="47">
        <v>0.0</v>
      </c>
      <c r="BZ7" s="47">
        <v>0.0</v>
      </c>
      <c r="CA7" s="47">
        <v>0.0</v>
      </c>
      <c r="CB7" s="50"/>
      <c r="CC7" s="47">
        <v>0.0</v>
      </c>
      <c r="CD7" s="47"/>
      <c r="CE7" s="47">
        <v>0.0</v>
      </c>
      <c r="CF7" s="47">
        <v>0.0</v>
      </c>
      <c r="CG7" s="47">
        <v>0.0</v>
      </c>
      <c r="CH7" s="47">
        <v>0.0</v>
      </c>
      <c r="CI7" s="47">
        <v>0.0</v>
      </c>
      <c r="CJ7" s="47">
        <v>0.0</v>
      </c>
      <c r="CK7" s="46" t="b">
        <v>0</v>
      </c>
      <c r="CL7" s="48"/>
      <c r="CM7" s="48"/>
      <c r="CN7" s="48"/>
      <c r="CO7" s="48"/>
      <c r="CP7" s="48"/>
      <c r="CQ7" s="48"/>
      <c r="CR7" s="50"/>
      <c r="CS7" s="47">
        <v>0.0</v>
      </c>
      <c r="CT7" s="48"/>
      <c r="CU7" s="48"/>
      <c r="CV7" s="48"/>
      <c r="CW7" s="48"/>
      <c r="CX7" s="48"/>
      <c r="CY7" s="46" t="s">
        <v>39</v>
      </c>
      <c r="CZ7" s="46" t="s">
        <v>57</v>
      </c>
      <c r="DA7" s="47">
        <v>0.0</v>
      </c>
      <c r="DB7" s="47">
        <v>0.0</v>
      </c>
      <c r="DC7" s="50"/>
      <c r="DD7" s="47">
        <v>0.0</v>
      </c>
      <c r="DE7" s="47">
        <v>0.0</v>
      </c>
      <c r="DF7" s="47">
        <v>0.0</v>
      </c>
      <c r="DG7" s="47">
        <v>0.0</v>
      </c>
      <c r="DH7" s="46" t="s">
        <v>58</v>
      </c>
      <c r="DI7" s="47">
        <v>0.0</v>
      </c>
      <c r="DJ7" s="46" t="s">
        <v>24</v>
      </c>
      <c r="DK7" s="47">
        <v>0.0</v>
      </c>
      <c r="DL7" s="47">
        <v>0.0</v>
      </c>
      <c r="DM7" s="47">
        <v>1.0</v>
      </c>
      <c r="DN7" s="47">
        <v>0.0</v>
      </c>
      <c r="DO7" s="48"/>
      <c r="DP7" s="46" t="s">
        <v>29</v>
      </c>
      <c r="DQ7" s="46" t="s">
        <v>59</v>
      </c>
      <c r="DR7" s="46" t="s">
        <v>60</v>
      </c>
      <c r="DS7" s="46" t="s">
        <v>61</v>
      </c>
      <c r="DT7" s="46" t="s">
        <v>62</v>
      </c>
      <c r="DU7" s="46" t="s">
        <v>63</v>
      </c>
      <c r="DV7" s="46" t="s">
        <v>64</v>
      </c>
      <c r="DW7" s="46" t="s">
        <v>65</v>
      </c>
      <c r="DX7" s="46" t="s">
        <v>66</v>
      </c>
      <c r="DY7" s="46" t="s">
        <v>67</v>
      </c>
      <c r="DZ7" s="46"/>
      <c r="EA7" s="46" t="s">
        <v>68</v>
      </c>
      <c r="EB7" s="46" t="s">
        <v>69</v>
      </c>
      <c r="EC7" s="46" t="s">
        <v>70</v>
      </c>
      <c r="ED7" s="46" t="s">
        <v>27</v>
      </c>
      <c r="EE7" s="46" t="s">
        <v>71</v>
      </c>
      <c r="EF7" s="47">
        <v>0.0</v>
      </c>
      <c r="EG7" s="47">
        <v>0.0</v>
      </c>
      <c r="EH7" s="47">
        <v>0.0</v>
      </c>
      <c r="EI7" s="47">
        <v>0.0</v>
      </c>
      <c r="EJ7" s="47"/>
      <c r="EK7" s="47"/>
      <c r="EL7" s="46" t="s">
        <v>29</v>
      </c>
      <c r="EM7" s="47"/>
      <c r="EN7" s="47"/>
      <c r="EO7" s="47"/>
      <c r="EP7" s="47"/>
      <c r="EQ7" s="47">
        <v>0.0</v>
      </c>
      <c r="ER7" s="47"/>
      <c r="ES7" s="60"/>
      <c r="ET7" s="47"/>
      <c r="EU7" s="47"/>
      <c r="EV7" s="46" t="s">
        <v>29</v>
      </c>
      <c r="EW7" s="60"/>
      <c r="EX7" s="46" t="b">
        <v>0</v>
      </c>
      <c r="FC7" s="46" t="s">
        <v>72</v>
      </c>
      <c r="FD7" s="47">
        <v>0.0</v>
      </c>
      <c r="FE7" s="47">
        <v>-100.0</v>
      </c>
      <c r="FF7" s="61">
        <v>0.0</v>
      </c>
      <c r="FG7" s="47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8"/>
      <c r="B9" s="56"/>
      <c r="C9" s="53"/>
      <c r="D9" s="61"/>
      <c r="E9" s="53"/>
      <c r="F9" s="53"/>
      <c r="G9" s="61"/>
      <c r="H9" s="53"/>
      <c r="I9" s="61"/>
      <c r="J9" s="61"/>
      <c r="K9" s="61"/>
      <c r="L9" s="61"/>
      <c r="M9" s="62"/>
      <c r="N9" s="61"/>
      <c r="O9" s="53"/>
      <c r="P9" s="53"/>
      <c r="Q9" s="61"/>
      <c r="R9" s="53"/>
      <c r="S9" s="53"/>
      <c r="T9" s="53"/>
      <c r="U9" s="53"/>
      <c r="V9" s="53"/>
      <c r="W9" s="53"/>
      <c r="X9" s="61"/>
      <c r="Y9" s="61"/>
      <c r="Z9" s="38"/>
      <c r="AA9" s="38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53"/>
      <c r="AO9" s="38"/>
      <c r="AP9" s="53"/>
      <c r="AQ9" s="53"/>
      <c r="AR9" s="61"/>
      <c r="AS9" s="61"/>
      <c r="AT9" s="38"/>
      <c r="AU9" s="38"/>
      <c r="AV9" s="61"/>
      <c r="AW9" s="61"/>
      <c r="AX9" s="61"/>
      <c r="AY9" s="61"/>
      <c r="AZ9" s="61"/>
      <c r="BA9" s="61"/>
      <c r="BB9" s="61"/>
      <c r="BC9" s="61"/>
      <c r="BD9" s="61"/>
      <c r="BE9" s="53"/>
      <c r="BF9" s="53"/>
      <c r="BG9" s="53"/>
      <c r="BH9" s="53"/>
      <c r="BI9" s="53"/>
      <c r="BJ9" s="61"/>
      <c r="BK9" s="61"/>
      <c r="BL9" s="61"/>
      <c r="BM9" s="61"/>
      <c r="BN9" s="55"/>
      <c r="BO9" s="61"/>
      <c r="BP9" s="61"/>
      <c r="BQ9" s="53"/>
      <c r="BR9" s="53"/>
      <c r="BS9" s="61"/>
      <c r="BT9" s="61"/>
      <c r="BU9" s="53"/>
      <c r="BV9" s="56"/>
      <c r="BW9" s="61"/>
      <c r="BX9" s="61"/>
      <c r="BY9" s="61"/>
      <c r="BZ9" s="61"/>
      <c r="CA9" s="61"/>
      <c r="CB9" s="56"/>
      <c r="CC9" s="61"/>
      <c r="CD9" s="61"/>
      <c r="CE9" s="61"/>
      <c r="CF9" s="61"/>
      <c r="CG9" s="61"/>
      <c r="CH9" s="61"/>
      <c r="CI9" s="61"/>
      <c r="CJ9" s="61"/>
      <c r="CK9" s="57"/>
      <c r="CL9" s="53"/>
      <c r="CM9" s="53"/>
      <c r="CN9" s="38"/>
      <c r="CO9" s="38"/>
      <c r="CP9" s="53"/>
      <c r="CQ9" s="38"/>
      <c r="CR9" s="56"/>
      <c r="CS9" s="61"/>
      <c r="CT9" s="38"/>
      <c r="CU9" s="38"/>
      <c r="CV9" s="38"/>
      <c r="CW9" s="38"/>
      <c r="CX9" s="38"/>
      <c r="CY9" s="53"/>
      <c r="CZ9" s="53"/>
      <c r="DA9" s="61"/>
      <c r="DB9" s="61"/>
      <c r="DC9" s="56"/>
      <c r="DD9" s="61"/>
      <c r="DE9" s="61"/>
      <c r="DF9" s="61"/>
      <c r="DG9" s="61"/>
      <c r="DH9" s="53"/>
      <c r="DI9" s="61"/>
      <c r="DJ9" s="53"/>
      <c r="DK9" s="61"/>
      <c r="DL9" s="61"/>
      <c r="DM9" s="61"/>
      <c r="DN9" s="61"/>
      <c r="DO9" s="38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61"/>
      <c r="EG9" s="61"/>
      <c r="EH9" s="61"/>
      <c r="EI9" s="61"/>
      <c r="EJ9" s="61"/>
      <c r="EK9" s="61"/>
      <c r="EL9" s="53"/>
      <c r="EM9" s="62"/>
      <c r="EN9" s="62"/>
      <c r="EO9" s="61"/>
      <c r="EP9" s="62"/>
      <c r="EQ9" s="61"/>
      <c r="ER9" s="62"/>
      <c r="ES9" s="62"/>
      <c r="ET9" s="61"/>
      <c r="EU9" s="61"/>
      <c r="EV9" s="53"/>
      <c r="EW9" s="62"/>
      <c r="EX9" s="57"/>
      <c r="EY9" s="38"/>
      <c r="EZ9" s="38"/>
      <c r="FA9" s="38"/>
      <c r="FB9" s="38"/>
      <c r="FC9" s="53"/>
      <c r="FD9" s="61"/>
      <c r="FE9" s="61"/>
      <c r="FF9" s="61"/>
      <c r="FG9" s="61"/>
      <c r="FH9" s="38"/>
      <c r="FI9" s="38"/>
      <c r="FJ9" s="38"/>
      <c r="FK9" s="38"/>
      <c r="FL9" s="38"/>
      <c r="FM9" s="38"/>
      <c r="FN9" s="38"/>
      <c r="FO9" s="38"/>
      <c r="FP9" s="38"/>
      <c r="FQ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/>
      <c r="C6" s="33"/>
      <c r="D6" s="36" t="s">
        <v>18</v>
      </c>
      <c r="E6" s="33"/>
      <c r="F6" s="33"/>
      <c r="G6" s="37" t="s">
        <v>23</v>
      </c>
      <c r="H6" s="11" t="s">
        <v>16</v>
      </c>
      <c r="I6" s="32">
        <v>100.0</v>
      </c>
      <c r="J6" s="33"/>
      <c r="K6" s="33"/>
      <c r="L6" s="33"/>
      <c r="M6" s="33"/>
      <c r="N6" s="33"/>
      <c r="O6" s="33"/>
      <c r="P6" s="33"/>
      <c r="Q6" s="33" t="s">
        <v>47</v>
      </c>
      <c r="R6" s="33"/>
      <c r="S6" s="33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UnwindClosing!$4:$4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IFERROR(__xludf.DUMMYFUNCTION("""COMPUTED_VALUE"""),"AssetName")</f>
        <v>AssetName</v>
      </c>
      <c r="G5" s="27" t="str">
        <f>IFERROR(__xludf.DUMMYFUNCTION("""COMPUTED_VALUE"""),"AUCID")</f>
        <v>AUCID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IFERROR(__xludf.DUMMYFUNCTION("""COMPUTED_VALUE"""),"Settlement Mode")</f>
        <v>Settlement Mode</v>
      </c>
      <c r="CT5" s="29" t="str">
        <f>IFERROR(__xludf.DUMMYFUNCTION("""COMPUTED_VALUE"""),"Settlement Qty")</f>
        <v>Settlement Qty</v>
      </c>
      <c r="CU5" s="29" t="str">
        <f>IFERROR(__xludf.DUMMYFUNCTION("""COMPUTED_VALUE"""),"SettlementCurrencyID")</f>
        <v>SettlementCurrencyID</v>
      </c>
      <c r="CV5" s="29" t="str">
        <f>IFERROR(__xludf.DUMMYFUNCTION("""COMPUTED_VALUE"""),"SettlementDate")</f>
        <v>SettlementDate</v>
      </c>
      <c r="CW5" s="29" t="str">
        <f>IFERROR(__xludf.DUMMYFUNCTION("""COMPUTED_VALUE"""),"SideMultiplier")</f>
        <v>SideMultiplier</v>
      </c>
      <c r="CX5" s="29" t="str">
        <f>IFERROR(__xludf.DUMMYFUNCTION("""COMPUTED_VALUE"""),"SoftCommission")</f>
        <v>SoftCommission</v>
      </c>
      <c r="CY5" s="29" t="str">
        <f>IFERROR(__xludf.DUMMYFUNCTION("""COMPUTED_VALUE"""),"SoftCommissionAmt")</f>
        <v>SoftCommissionAmt</v>
      </c>
      <c r="CZ5" s="29" t="str">
        <f>IFERROR(__xludf.DUMMYFUNCTION("""COMPUTED_VALUE"""),"SoftCommissionCalcBasis")</f>
        <v>SoftCommissionCalcBasis</v>
      </c>
      <c r="DA5" s="29" t="str">
        <f>IFERROR(__xludf.DUMMYFUNCTION("""COMPUTED_VALUE"""),"SoftCommissionRate")</f>
        <v>SoftCommissionRate</v>
      </c>
      <c r="DB5" s="29" t="str">
        <f>IFERROR(__xludf.DUMMYFUNCTION("""COMPUTED_VALUE"""),"StampDuty")</f>
        <v>StampDuty</v>
      </c>
      <c r="DC5" s="29" t="str">
        <f>IFERROR(__xludf.DUMMYFUNCTION("""COMPUTED_VALUE"""),"Strategy")</f>
        <v>Strategy</v>
      </c>
      <c r="DD5" s="29" t="str">
        <f>IFERROR(__xludf.DUMMYFUNCTION("""COMPUTED_VALUE"""),"StrikePrice")</f>
        <v>StrikePrice</v>
      </c>
      <c r="DE5" s="29" t="str">
        <f>IFERROR(__xludf.DUMMYFUNCTION("""COMPUTED_VALUE"""),"SubSectorName")</f>
        <v>SubSectorName</v>
      </c>
      <c r="DF5" s="29" t="str">
        <f>IFERROR(__xludf.DUMMYFUNCTION("""COMPUTED_VALUE"""),"SwapParameters")</f>
        <v>SwapParameters</v>
      </c>
      <c r="DG5" s="29" t="str">
        <f>IFERROR(__xludf.DUMMYFUNCTION("""COMPUTED_VALUE"""),"Symbol")</f>
        <v>Symbol</v>
      </c>
      <c r="DH5" s="29" t="str">
        <f>IFERROR(__xludf.DUMMYFUNCTION("""COMPUTED_VALUE"""),"TaxlotClosingId")</f>
        <v>TaxlotClosingId</v>
      </c>
      <c r="DI5" s="29" t="str">
        <f>IFERROR(__xludf.DUMMYFUNCTION("""COMPUTED_VALUE"""),"TaxLotID")</f>
        <v>TaxLotID</v>
      </c>
      <c r="DJ5" s="29" t="str">
        <f>IFERROR(__xludf.DUMMYFUNCTION("""COMPUTED_VALUE"""),"TaxlotPk")</f>
        <v>TaxlotPk</v>
      </c>
      <c r="DK5" s="29" t="str">
        <f>IFERROR(__xludf.DUMMYFUNCTION("""COMPUTED_VALUE"""),"TaxLotQtyToClose")</f>
        <v>TaxLotQtyToClose</v>
      </c>
      <c r="DL5" s="29" t="str">
        <f>IFERROR(__xludf.DUMMYFUNCTION("""COMPUTED_VALUE"""),"TaxonCommissions")</f>
        <v>TaxonCommissions</v>
      </c>
      <c r="DM5" s="29" t="str">
        <f>IFERROR(__xludf.DUMMYFUNCTION("""COMPUTED_VALUE"""),"TimeOfSaveUTC")</f>
        <v>TimeOfSaveUTC</v>
      </c>
      <c r="DN5" s="29" t="str">
        <f>IFERROR(__xludf.DUMMYFUNCTION("""COMPUTED_VALUE"""),"TotalCommission&amp;Fees")</f>
        <v>TotalCommission&amp;Fees</v>
      </c>
      <c r="DO5" s="29" t="str">
        <f>IFERROR(__xludf.DUMMYFUNCTION("""COMPUTED_VALUE"""),"TotalCommissionandFees")</f>
        <v>TotalCommissionandFees</v>
      </c>
      <c r="DP5" s="29" t="str">
        <f>IFERROR(__xludf.DUMMYFUNCTION("""COMPUTED_VALUE"""),"Tradedate")</f>
        <v>Tradedate</v>
      </c>
      <c r="DQ5" s="29" t="str">
        <f>IFERROR(__xludf.DUMMYFUNCTION("""COMPUTED_VALUE"""),"Trade Attribute 1")</f>
        <v>Trade Attribute 1</v>
      </c>
      <c r="DR5" s="29" t="str">
        <f>IFERROR(__xludf.DUMMYFUNCTION("""COMPUTED_VALUE"""),"TradeAttribute2")</f>
        <v>TradeAttribute2</v>
      </c>
      <c r="DS5" s="29" t="str">
        <f>IFERROR(__xludf.DUMMYFUNCTION("""COMPUTED_VALUE"""),"TradeAttribute3")</f>
        <v>TradeAttribute3</v>
      </c>
      <c r="DT5" s="29" t="str">
        <f>IFERROR(__xludf.DUMMYFUNCTION("""COMPUTED_VALUE"""),"TradeAttribute4")</f>
        <v>TradeAttribute4</v>
      </c>
      <c r="DU5" s="29" t="str">
        <f>IFERROR(__xludf.DUMMYFUNCTION("""COMPUTED_VALUE"""),"TradeAttribute5")</f>
        <v>TradeAttribute5</v>
      </c>
      <c r="DV5" s="29" t="str">
        <f>IFERROR(__xludf.DUMMYFUNCTION("""COMPUTED_VALUE"""),"TradeAttribute6")</f>
        <v>TradeAttribute6</v>
      </c>
      <c r="DW5" s="29" t="str">
        <f>IFERROR(__xludf.DUMMYFUNCTION("""COMPUTED_VALUE"""),"TradingAccountName")</f>
        <v>TradingAccountName</v>
      </c>
      <c r="DX5" s="29" t="str">
        <f>IFERROR(__xludf.DUMMYFUNCTION("""COMPUTED_VALUE"""),"TransactionLevy")</f>
        <v>TransactionLevy</v>
      </c>
      <c r="DY5" s="29" t="str">
        <f>IFERROR(__xludf.DUMMYFUNCTION("""COMPUTED_VALUE"""),"TransactionType")</f>
        <v>TransactionType</v>
      </c>
      <c r="DZ5" s="29" t="str">
        <f>IFERROR(__xludf.DUMMYFUNCTION("""COMPUTED_VALUE"""),"UcitsEligibleTag")</f>
        <v>UcitsEligibleTag</v>
      </c>
      <c r="EA5" s="29" t="str">
        <f>IFERROR(__xludf.DUMMYFUNCTION("""COMPUTED_VALUE"""),"UDAAsset")</f>
        <v>UDAAsset</v>
      </c>
      <c r="EB5" s="29" t="str">
        <f>IFERROR(__xludf.DUMMYFUNCTION("""COMPUTED_VALUE"""),"UnderlyingDelta")</f>
        <v>UnderlyingDelta</v>
      </c>
      <c r="EC5" s="29" t="str">
        <f>IFERROR(__xludf.DUMMYFUNCTION("""COMPUTED_VALUE"""),"UnderlyingName")</f>
        <v>UnderlyingName</v>
      </c>
      <c r="ED5" s="29" t="str">
        <f>IFERROR(__xludf.DUMMYFUNCTION("""COMPUTED_VALUE"""),"UnderlyingSymbol")</f>
        <v>UnderlyingSymbol</v>
      </c>
      <c r="EE5" s="29" t="str">
        <f>IFERROR(__xludf.DUMMYFUNCTION("""COMPUTED_VALUE"""),"UnitCost")</f>
        <v>UnitCost</v>
      </c>
      <c r="EF5" s="29" t="str">
        <f>IFERROR(__xludf.DUMMYFUNCTION("""COMPUTED_VALUE"""),"UnRealizedPNL")</f>
        <v>UnRealizedPNL</v>
      </c>
      <c r="EG5" s="29" t="str">
        <f>IFERROR(__xludf.DUMMYFUNCTION("""COMPUTED_VALUE"""),"Venue")</f>
        <v>Venue</v>
      </c>
      <c r="EH5" s="29" t="str">
        <f>IFERROR(__xludf.DUMMYFUNCTION("""COMPUTED_VALUE"""),"VsCurrencyID")</f>
        <v>VsCurrencyID</v>
      </c>
      <c r="EI5" s="29" t="str">
        <f>IFERROR(__xludf.DUMMYFUNCTION("""COMPUTED_VALUE"""),"WorkflowState")</f>
        <v>WorkflowState</v>
      </c>
      <c r="EJ5" s="29" t="str">
        <f>IFERROR(__xludf.DUMMYFUNCTION("""COMPUTED_VALUE"""),"AvgPriceBase")</f>
        <v>AvgPriceBase</v>
      </c>
      <c r="EK5" s="29" t="str">
        <f>IFERROR(__xludf.DUMMYFUNCTION("""COMPUTED_VALUE"""),"MarketCap")</f>
        <v>MarketCap</v>
      </c>
      <c r="EL5" s="29" t="str">
        <f>IFERROR(__xludf.DUMMYFUNCTION("""COMPUTED_VALUE"""),"UnitCostBase")</f>
        <v>UnitCostBase</v>
      </c>
      <c r="EM5" s="29" t="str">
        <f>IFERROR(__xludf.DUMMYFUNCTION("""COMPUTED_VALUE"""),"ITM/OTM")</f>
        <v>ITM/OTM</v>
      </c>
      <c r="EN5" s="29" t="str">
        <f>IFERROR(__xludf.DUMMYFUNCTION("""COMPUTED_VALUE"""),"Days to Expiry")</f>
        <v>Days to Expiry</v>
      </c>
      <c r="EO5" s="29" t="str">
        <f>IFERROR(__xludf.DUMMYFUNCTION("""COMPUTED_VALUE"""),"% of ITM/OTM")</f>
        <v>% of ITM/OTM</v>
      </c>
      <c r="EP5" s="29" t="str">
        <f>IFERROR(__xludf.DUMMYFUNCTION("""COMPUTED_VALUE"""),"Intrinsic value")</f>
        <v>Intrinsic value</v>
      </c>
      <c r="EQ5" s="29" t="str">
        <f>IFERROR(__xludf.DUMMYFUNCTION("""COMPUTED_VALUE"""),"Gain/Loss if Ex./Assign")</f>
        <v>Gain/Loss if Ex./Assign</v>
      </c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 t="s">
        <v>18</v>
      </c>
      <c r="C6" s="33"/>
      <c r="D6" s="36"/>
      <c r="E6" s="37" t="s">
        <v>23</v>
      </c>
      <c r="F6" s="33"/>
      <c r="G6" s="33"/>
      <c r="H6" s="33"/>
      <c r="I6" s="32">
        <v>10.0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9">
        <v>100.0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0" t="s">
        <v>17</v>
      </c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9">
        <v>100.0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3"/>
      <c r="DF6" s="33"/>
      <c r="DG6" s="11" t="s">
        <v>16</v>
      </c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VerifyUnExpiredUnSettledGrid!$4:$4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18</v>
      </c>
      <c r="C6" s="46"/>
      <c r="D6" s="47"/>
      <c r="E6" s="47">
        <v>100.0</v>
      </c>
      <c r="F6" s="46" t="s">
        <v>35</v>
      </c>
      <c r="G6" s="46" t="s">
        <v>23</v>
      </c>
      <c r="H6" s="47">
        <v>0.0</v>
      </c>
      <c r="I6" s="47">
        <v>0.0</v>
      </c>
      <c r="J6" s="47">
        <v>19.0</v>
      </c>
      <c r="K6" s="47">
        <v>10.0</v>
      </c>
      <c r="L6" s="47">
        <v>10.0</v>
      </c>
      <c r="M6" s="48"/>
      <c r="N6" s="46"/>
      <c r="O6" s="46" t="s">
        <v>36</v>
      </c>
      <c r="P6" s="48"/>
      <c r="Q6" s="47"/>
      <c r="R6" s="47">
        <v>0.0</v>
      </c>
      <c r="S6" s="46" t="s">
        <v>75</v>
      </c>
      <c r="T6" s="47">
        <v>0.0</v>
      </c>
      <c r="U6" s="47">
        <v>0.0</v>
      </c>
      <c r="V6" s="46"/>
      <c r="W6" s="47"/>
      <c r="X6" s="47"/>
      <c r="Y6" s="48"/>
      <c r="Z6" s="46" t="s">
        <v>27</v>
      </c>
      <c r="AA6" s="48"/>
      <c r="AB6" s="47">
        <v>1.0</v>
      </c>
      <c r="AC6" s="46"/>
      <c r="AD6" s="46" t="s">
        <v>28</v>
      </c>
      <c r="AE6" s="47">
        <v>100.0</v>
      </c>
      <c r="AF6" s="49"/>
      <c r="AG6" s="50"/>
      <c r="AH6" s="46" t="s">
        <v>38</v>
      </c>
      <c r="AI6" s="47">
        <v>1.0</v>
      </c>
      <c r="AJ6" s="46" t="s">
        <v>39</v>
      </c>
      <c r="AK6" s="48"/>
      <c r="AL6" s="48"/>
      <c r="AM6" s="46"/>
      <c r="AN6" s="46" t="b">
        <v>0</v>
      </c>
      <c r="AO6" s="48"/>
      <c r="AP6" s="46" t="b">
        <v>1</v>
      </c>
      <c r="AQ6" s="46" t="b">
        <v>0</v>
      </c>
      <c r="AR6" s="46" t="b">
        <v>1</v>
      </c>
      <c r="AS6" s="47"/>
      <c r="AT6" s="51">
        <v>50000.0</v>
      </c>
      <c r="AU6" s="51">
        <v>50000.0</v>
      </c>
      <c r="AV6" s="52"/>
      <c r="AW6" s="47">
        <v>0.0</v>
      </c>
      <c r="AX6" s="47">
        <v>0.0</v>
      </c>
      <c r="AY6" s="46" t="s">
        <v>40</v>
      </c>
      <c r="AZ6" s="47">
        <v>0.0</v>
      </c>
      <c r="BA6" s="52"/>
      <c r="BB6" s="48"/>
      <c r="BC6" s="47">
        <v>0.0</v>
      </c>
      <c r="BD6" s="46"/>
      <c r="BE6" s="51">
        <v>50000.0</v>
      </c>
      <c r="BF6" s="51">
        <v>50000.0</v>
      </c>
      <c r="BG6" s="52"/>
      <c r="BH6" s="48"/>
      <c r="BI6" s="46"/>
      <c r="BJ6" s="47">
        <v>100.0</v>
      </c>
      <c r="BK6" s="47">
        <v>0.0</v>
      </c>
      <c r="BL6" s="48"/>
      <c r="BM6" s="46" t="s">
        <v>27</v>
      </c>
      <c r="BN6" s="52"/>
      <c r="BO6" s="46" t="s">
        <v>17</v>
      </c>
      <c r="BP6" s="47">
        <v>0.0</v>
      </c>
      <c r="BQ6" s="47">
        <v>0.0</v>
      </c>
      <c r="BR6" s="47">
        <v>0.0</v>
      </c>
      <c r="BS6" s="46" t="s">
        <v>30</v>
      </c>
      <c r="BT6" s="46" t="s">
        <v>41</v>
      </c>
      <c r="BU6" s="47">
        <v>0.0</v>
      </c>
      <c r="BV6" s="47">
        <v>0.0</v>
      </c>
      <c r="BW6" s="47">
        <v>0.0</v>
      </c>
      <c r="BX6" s="47">
        <v>0.0</v>
      </c>
      <c r="CF6" s="46" t="s">
        <v>42</v>
      </c>
      <c r="CG6" s="47">
        <v>0.0</v>
      </c>
      <c r="CH6" s="46" t="s">
        <v>12</v>
      </c>
      <c r="CI6" s="46" t="s">
        <v>43</v>
      </c>
      <c r="CJ6" s="47">
        <v>0.0</v>
      </c>
      <c r="CK6" s="46" t="s">
        <v>31</v>
      </c>
      <c r="CL6" s="47">
        <v>1.0</v>
      </c>
      <c r="CM6" s="46" t="s">
        <v>44</v>
      </c>
      <c r="CN6" s="46"/>
      <c r="CO6" s="46"/>
      <c r="CP6" s="46" t="s">
        <v>46</v>
      </c>
      <c r="CR6" s="48"/>
      <c r="CS6" s="47"/>
      <c r="CT6" s="46" t="b">
        <v>1</v>
      </c>
      <c r="CU6" s="48"/>
      <c r="CV6" s="52"/>
      <c r="CW6" s="49"/>
      <c r="CX6" s="48"/>
      <c r="CY6" s="48"/>
      <c r="CZ6" s="47"/>
      <c r="DA6" s="48"/>
      <c r="DB6" s="47"/>
      <c r="DC6" s="48"/>
      <c r="DD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8"/>
      <c r="B8" s="53"/>
      <c r="C8" s="53"/>
      <c r="D8" s="38"/>
      <c r="E8" s="38"/>
      <c r="F8" s="53"/>
      <c r="G8" s="53"/>
      <c r="H8" s="38"/>
      <c r="I8" s="38"/>
      <c r="J8" s="38"/>
      <c r="K8" s="38"/>
      <c r="L8" s="38"/>
      <c r="M8" s="54"/>
      <c r="N8" s="53"/>
      <c r="O8" s="53"/>
      <c r="P8" s="38"/>
      <c r="Q8" s="38"/>
      <c r="R8" s="38"/>
      <c r="S8" s="53"/>
      <c r="T8" s="38"/>
      <c r="U8" s="38"/>
      <c r="V8" s="53"/>
      <c r="W8" s="38"/>
      <c r="X8" s="38"/>
      <c r="Y8" s="38"/>
      <c r="Z8" s="53"/>
      <c r="AA8" s="38"/>
      <c r="AB8" s="38"/>
      <c r="AC8" s="38"/>
      <c r="AD8" s="53"/>
      <c r="AE8" s="38"/>
      <c r="AF8" s="55"/>
      <c r="AG8" s="56"/>
      <c r="AH8" s="53"/>
      <c r="AI8" s="38"/>
      <c r="AJ8" s="53"/>
      <c r="AK8" s="53"/>
      <c r="AL8" s="38"/>
      <c r="AM8" s="38"/>
      <c r="AN8" s="57"/>
      <c r="AO8" s="38"/>
      <c r="AP8" s="57"/>
      <c r="AQ8" s="57"/>
      <c r="AR8" s="57"/>
      <c r="AS8" s="38"/>
      <c r="AT8" s="58"/>
      <c r="AU8" s="58"/>
      <c r="AV8" s="55"/>
      <c r="AW8" s="38"/>
      <c r="AX8" s="58"/>
      <c r="AY8" s="53"/>
      <c r="AZ8" s="38"/>
      <c r="BA8" s="56"/>
      <c r="BB8" s="53"/>
      <c r="BC8" s="38"/>
      <c r="BD8" s="53"/>
      <c r="BE8" s="38"/>
      <c r="BF8" s="38"/>
      <c r="BG8" s="56"/>
      <c r="BH8" s="38"/>
      <c r="BI8" s="53"/>
      <c r="BJ8" s="38"/>
      <c r="BK8" s="38"/>
      <c r="BL8" s="38"/>
      <c r="BM8" s="53"/>
      <c r="BN8" s="56"/>
      <c r="BO8" s="53"/>
      <c r="BP8" s="38"/>
      <c r="BQ8" s="38"/>
      <c r="BR8" s="38"/>
      <c r="BS8" s="53"/>
      <c r="BT8" s="53"/>
      <c r="BU8" s="38"/>
      <c r="BV8" s="38"/>
      <c r="BW8" s="5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53"/>
      <c r="CI8" s="53"/>
      <c r="CJ8" s="38"/>
      <c r="CK8" s="53"/>
      <c r="CL8" s="38"/>
      <c r="CM8" s="53"/>
      <c r="CN8" s="53"/>
      <c r="CO8" s="53"/>
      <c r="CP8" s="53"/>
      <c r="CQ8" s="38"/>
      <c r="CR8" s="38"/>
      <c r="CS8" s="38"/>
      <c r="CT8" s="38"/>
      <c r="CU8" s="38"/>
      <c r="CV8" s="59"/>
      <c r="CW8" s="55"/>
      <c r="CX8" s="38"/>
      <c r="CY8" s="38"/>
      <c r="CZ8" s="38"/>
      <c r="DA8" s="38"/>
      <c r="DB8" s="38"/>
      <c r="DC8" s="38"/>
      <c r="DD8" s="53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  <c r="FR5" s="29"/>
    </row>
    <row r="6" ht="15.75" customHeight="1">
      <c r="A6" s="11"/>
      <c r="B6" s="52"/>
      <c r="C6" s="46" t="s">
        <v>41</v>
      </c>
      <c r="D6" s="47">
        <v>100.0</v>
      </c>
      <c r="E6" s="46" t="s">
        <v>18</v>
      </c>
      <c r="F6" s="46" t="s">
        <v>50</v>
      </c>
      <c r="G6" s="47">
        <v>10.0</v>
      </c>
      <c r="H6" s="46" t="s">
        <v>29</v>
      </c>
      <c r="I6" s="47">
        <v>0.0</v>
      </c>
      <c r="J6" s="47"/>
      <c r="K6" s="47">
        <v>0.0</v>
      </c>
      <c r="L6" s="47">
        <v>0.0</v>
      </c>
      <c r="M6" s="47"/>
      <c r="N6" s="46">
        <v>-50000.0</v>
      </c>
      <c r="O6" s="46"/>
      <c r="P6" s="46"/>
      <c r="Q6" s="60">
        <v>-50000.0</v>
      </c>
      <c r="R6" s="46" t="s">
        <v>51</v>
      </c>
      <c r="S6" s="46" t="s">
        <v>30</v>
      </c>
      <c r="T6" s="46" t="s">
        <v>23</v>
      </c>
      <c r="U6" s="46" t="s">
        <v>31</v>
      </c>
      <c r="V6" s="46" t="s">
        <v>28</v>
      </c>
      <c r="W6" s="46" t="s">
        <v>27</v>
      </c>
      <c r="X6" s="47">
        <v>50.0</v>
      </c>
      <c r="Y6" s="47">
        <v>1.0</v>
      </c>
      <c r="Z6" s="48"/>
      <c r="AA6" s="48"/>
      <c r="AB6" s="47">
        <v>0.0</v>
      </c>
      <c r="AC6" s="47">
        <v>0.0</v>
      </c>
      <c r="AD6" s="47">
        <v>0.0</v>
      </c>
      <c r="AE6" s="60">
        <v>5000.0</v>
      </c>
      <c r="AF6" s="47">
        <v>0.0</v>
      </c>
      <c r="AG6" s="47">
        <v>0.0</v>
      </c>
      <c r="AH6" s="47">
        <v>0.0</v>
      </c>
      <c r="AI6" s="47">
        <v>0.0</v>
      </c>
      <c r="AJ6" s="47"/>
      <c r="AK6" s="47">
        <v>-50000.0</v>
      </c>
      <c r="AL6" s="47">
        <v>0.0</v>
      </c>
      <c r="AM6" s="47">
        <v>1.0</v>
      </c>
      <c r="AN6" s="46" t="s">
        <v>17</v>
      </c>
      <c r="AO6" s="48"/>
      <c r="AP6" s="46" t="s">
        <v>29</v>
      </c>
      <c r="AQ6" s="46" t="s">
        <v>44</v>
      </c>
      <c r="AR6" s="47">
        <v>0.0</v>
      </c>
      <c r="AS6" s="47">
        <v>1.0</v>
      </c>
      <c r="AT6" s="46"/>
      <c r="AU6" s="46"/>
      <c r="AV6" s="47">
        <v>1.0</v>
      </c>
      <c r="AW6" s="60">
        <v>-50000.0</v>
      </c>
      <c r="AX6" s="47">
        <v>0.0</v>
      </c>
      <c r="AY6" s="47">
        <v>0.0</v>
      </c>
      <c r="AZ6" s="47">
        <v>0.0</v>
      </c>
      <c r="BA6" s="47"/>
      <c r="BB6" s="49"/>
      <c r="BC6" s="47">
        <v>1.0</v>
      </c>
      <c r="BD6" s="47">
        <v>-50000.0</v>
      </c>
      <c r="BE6" s="46" t="s">
        <v>52</v>
      </c>
      <c r="BF6" s="46" t="s">
        <v>53</v>
      </c>
      <c r="BG6" s="46"/>
      <c r="BH6" s="46" t="s">
        <v>54</v>
      </c>
      <c r="BI6" s="47"/>
      <c r="BJ6" s="47">
        <v>0.0</v>
      </c>
      <c r="BK6" s="47">
        <v>0.0</v>
      </c>
      <c r="BL6" s="47">
        <v>0.0</v>
      </c>
      <c r="BM6" s="47">
        <v>0.0</v>
      </c>
      <c r="BN6" s="49"/>
      <c r="BO6" s="47">
        <v>-50000.0</v>
      </c>
      <c r="BP6" s="47">
        <v>0.0</v>
      </c>
      <c r="BQ6" s="46" t="s">
        <v>55</v>
      </c>
      <c r="BR6" s="46"/>
      <c r="BS6" s="47">
        <v>0.0</v>
      </c>
      <c r="BT6" s="47">
        <v>0.0</v>
      </c>
      <c r="BU6" s="46" t="s">
        <v>56</v>
      </c>
      <c r="BV6" s="50"/>
      <c r="BW6" s="47">
        <v>30.0</v>
      </c>
      <c r="BX6" s="47">
        <v>0.0</v>
      </c>
      <c r="BY6" s="47">
        <v>0.0</v>
      </c>
      <c r="BZ6" s="47">
        <v>0.0</v>
      </c>
      <c r="CA6" s="47">
        <v>0.0</v>
      </c>
      <c r="CB6" s="52"/>
      <c r="CC6" s="47">
        <v>0.0</v>
      </c>
      <c r="CD6" s="47"/>
      <c r="CE6" s="47">
        <v>0.0</v>
      </c>
      <c r="CF6" s="47">
        <v>0.0</v>
      </c>
      <c r="CG6" s="60">
        <v>-50000.0</v>
      </c>
      <c r="CH6" s="47">
        <v>-100.0</v>
      </c>
      <c r="CI6" s="47">
        <v>0.0</v>
      </c>
      <c r="CJ6" s="47">
        <v>0.0</v>
      </c>
      <c r="CK6" s="46" t="b">
        <v>0</v>
      </c>
      <c r="CL6" s="48"/>
      <c r="CM6" s="48"/>
      <c r="CN6" s="48"/>
      <c r="CO6" s="48"/>
      <c r="CP6" s="48"/>
      <c r="CQ6" s="48"/>
      <c r="CR6" s="52"/>
      <c r="CS6" s="47">
        <v>10.0</v>
      </c>
      <c r="CT6" s="48"/>
      <c r="CU6" s="48"/>
      <c r="CV6" s="48"/>
      <c r="CW6" s="48"/>
      <c r="CX6" s="48"/>
      <c r="CY6" s="46" t="s">
        <v>39</v>
      </c>
      <c r="CZ6" s="46" t="s">
        <v>57</v>
      </c>
      <c r="DA6" s="47">
        <v>0.0</v>
      </c>
      <c r="DB6" s="47">
        <v>0.0</v>
      </c>
      <c r="DC6" s="50"/>
      <c r="DD6" s="47">
        <v>0.0</v>
      </c>
      <c r="DE6" s="47">
        <v>0.0</v>
      </c>
      <c r="DF6" s="47">
        <v>0.0</v>
      </c>
      <c r="DG6" s="47">
        <v>0.0</v>
      </c>
      <c r="DH6" s="46" t="s">
        <v>58</v>
      </c>
      <c r="DI6" s="47">
        <v>0.0</v>
      </c>
      <c r="DJ6" s="46" t="s">
        <v>17</v>
      </c>
      <c r="DK6" s="47">
        <v>0.0</v>
      </c>
      <c r="DL6" s="47">
        <v>0.0</v>
      </c>
      <c r="DM6" s="47">
        <v>1.0</v>
      </c>
      <c r="DN6" s="47">
        <v>0.0</v>
      </c>
      <c r="DO6" s="48"/>
      <c r="DP6" s="46" t="s">
        <v>29</v>
      </c>
      <c r="DQ6" s="46" t="s">
        <v>59</v>
      </c>
      <c r="DR6" s="46" t="s">
        <v>60</v>
      </c>
      <c r="DS6" s="46" t="s">
        <v>61</v>
      </c>
      <c r="DT6" s="46" t="s">
        <v>62</v>
      </c>
      <c r="DU6" s="46" t="s">
        <v>63</v>
      </c>
      <c r="DV6" s="46" t="s">
        <v>64</v>
      </c>
      <c r="DW6" s="46" t="s">
        <v>65</v>
      </c>
      <c r="DX6" s="46" t="s">
        <v>66</v>
      </c>
      <c r="DY6" s="46" t="s">
        <v>67</v>
      </c>
      <c r="DZ6" s="46"/>
      <c r="EA6" s="46" t="s">
        <v>68</v>
      </c>
      <c r="EB6" s="46" t="s">
        <v>69</v>
      </c>
      <c r="EC6" s="46" t="s">
        <v>70</v>
      </c>
      <c r="ED6" s="46" t="s">
        <v>27</v>
      </c>
      <c r="EE6" s="46" t="s">
        <v>71</v>
      </c>
      <c r="EF6" s="47">
        <v>0.0</v>
      </c>
      <c r="EG6" s="47">
        <v>0.0</v>
      </c>
      <c r="EH6" s="47">
        <v>0.0</v>
      </c>
      <c r="EI6" s="47">
        <v>0.0</v>
      </c>
      <c r="EJ6" s="47"/>
      <c r="EK6" s="47"/>
      <c r="EL6" s="46" t="s">
        <v>29</v>
      </c>
      <c r="EM6" s="47"/>
      <c r="EN6" s="47"/>
      <c r="EO6" s="47"/>
      <c r="EP6" s="47"/>
      <c r="EQ6" s="47">
        <v>0.0</v>
      </c>
      <c r="ER6" s="47"/>
      <c r="ES6" s="60"/>
      <c r="ET6" s="47"/>
      <c r="EU6" s="47"/>
      <c r="EV6" s="46" t="s">
        <v>29</v>
      </c>
      <c r="EW6" s="60"/>
      <c r="EX6" s="46" t="b">
        <v>0</v>
      </c>
      <c r="FC6" s="46" t="s">
        <v>72</v>
      </c>
      <c r="FD6" s="47">
        <v>0.0</v>
      </c>
      <c r="FE6" s="46">
        <v>-100.0</v>
      </c>
      <c r="FF6" s="63">
        <v>0.0</v>
      </c>
      <c r="FG6" s="60">
        <v>-50000.0</v>
      </c>
      <c r="FH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8"/>
      <c r="B8" s="52"/>
      <c r="C8" s="46"/>
      <c r="D8" s="47"/>
      <c r="E8" s="46"/>
      <c r="F8" s="47"/>
      <c r="G8" s="47"/>
      <c r="H8" s="47"/>
      <c r="I8" s="60"/>
      <c r="J8" s="46"/>
      <c r="K8" s="46"/>
      <c r="L8" s="60"/>
      <c r="M8" s="60"/>
      <c r="N8" s="47"/>
      <c r="O8" s="46"/>
      <c r="P8" s="46"/>
      <c r="Q8" s="60"/>
      <c r="R8" s="46"/>
      <c r="S8" s="46"/>
      <c r="T8" s="46"/>
      <c r="U8" s="46"/>
      <c r="V8" s="46"/>
      <c r="W8" s="46"/>
      <c r="X8" s="47"/>
      <c r="Y8" s="47"/>
      <c r="Z8" s="48"/>
      <c r="AA8" s="48"/>
      <c r="AB8" s="47"/>
      <c r="AC8" s="47"/>
      <c r="AD8" s="47"/>
      <c r="AE8" s="60"/>
      <c r="AF8" s="47"/>
      <c r="AG8" s="47"/>
      <c r="AH8" s="47"/>
      <c r="AI8" s="47"/>
      <c r="AJ8" s="47"/>
      <c r="AK8" s="47"/>
      <c r="AL8" s="47"/>
      <c r="AM8" s="47"/>
      <c r="AN8" s="46"/>
      <c r="AO8" s="48"/>
      <c r="AP8" s="46"/>
      <c r="AQ8" s="46"/>
      <c r="AR8" s="47"/>
      <c r="AS8" s="47"/>
      <c r="AT8" s="46"/>
      <c r="AU8" s="46"/>
      <c r="AV8" s="47"/>
      <c r="AW8" s="60"/>
      <c r="AX8" s="47"/>
      <c r="AY8" s="47"/>
      <c r="AZ8" s="47"/>
      <c r="BA8" s="47"/>
      <c r="BB8" s="49"/>
      <c r="BC8" s="47"/>
      <c r="BD8" s="47"/>
      <c r="BE8" s="46"/>
      <c r="BF8" s="46"/>
      <c r="BG8" s="46"/>
      <c r="BH8" s="46"/>
      <c r="BI8" s="47"/>
      <c r="BJ8" s="47"/>
      <c r="BK8" s="47"/>
      <c r="BL8" s="47"/>
      <c r="BM8" s="47"/>
      <c r="BN8" s="49"/>
      <c r="BO8" s="47"/>
      <c r="BP8" s="47"/>
      <c r="BQ8" s="46"/>
      <c r="BR8" s="46"/>
      <c r="BS8" s="47"/>
      <c r="BT8" s="47"/>
      <c r="BU8" s="46"/>
      <c r="BV8" s="50"/>
      <c r="BW8" s="47"/>
      <c r="BX8" s="47"/>
      <c r="BY8" s="47"/>
      <c r="BZ8" s="47"/>
      <c r="CA8" s="47"/>
      <c r="CB8" s="52"/>
      <c r="CC8" s="47"/>
      <c r="CD8" s="47"/>
      <c r="CE8" s="47"/>
      <c r="CF8" s="47"/>
      <c r="CG8" s="60"/>
      <c r="CH8" s="47"/>
      <c r="CI8" s="47"/>
      <c r="CJ8" s="47"/>
      <c r="CK8" s="46"/>
      <c r="CL8" s="48"/>
      <c r="CM8" s="48"/>
      <c r="CN8" s="48"/>
      <c r="CO8" s="48"/>
      <c r="CP8" s="48"/>
      <c r="CQ8" s="48"/>
      <c r="CR8" s="52"/>
      <c r="CS8" s="47"/>
      <c r="CT8" s="48"/>
      <c r="CU8" s="48"/>
      <c r="CV8" s="48"/>
      <c r="CW8" s="48"/>
      <c r="CX8" s="48"/>
      <c r="CY8" s="46"/>
      <c r="CZ8" s="46"/>
      <c r="DA8" s="47"/>
      <c r="DB8" s="47"/>
      <c r="DC8" s="50"/>
      <c r="DD8" s="47"/>
      <c r="DE8" s="47"/>
      <c r="DF8" s="47"/>
      <c r="DG8" s="47"/>
      <c r="DH8" s="46"/>
      <c r="DI8" s="47"/>
      <c r="DJ8" s="46"/>
      <c r="DK8" s="47"/>
      <c r="DL8" s="47"/>
      <c r="DM8" s="47"/>
      <c r="DN8" s="47"/>
      <c r="DO8" s="48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7"/>
      <c r="EG8" s="47"/>
      <c r="EH8" s="47"/>
      <c r="EI8" s="47"/>
      <c r="EJ8" s="47"/>
      <c r="EK8" s="47"/>
      <c r="EL8" s="46"/>
      <c r="EM8" s="60"/>
      <c r="EN8" s="60"/>
      <c r="EO8" s="47"/>
      <c r="EP8" s="60"/>
      <c r="EQ8" s="47"/>
      <c r="ER8" s="60"/>
      <c r="ES8" s="60"/>
      <c r="ET8" s="47"/>
      <c r="EU8" s="47"/>
      <c r="EV8" s="46"/>
      <c r="EW8" s="60"/>
      <c r="EX8" s="46"/>
      <c r="EY8" s="46"/>
      <c r="EZ8" s="47"/>
      <c r="FA8" s="47"/>
      <c r="FB8" s="60"/>
      <c r="FC8" s="47"/>
      <c r="FD8" s="61"/>
      <c r="FE8" s="61"/>
      <c r="FF8" s="61"/>
      <c r="FG8" s="61"/>
      <c r="FH8" s="38"/>
      <c r="FI8" s="38"/>
      <c r="FJ8" s="38"/>
      <c r="FK8" s="38"/>
      <c r="FL8" s="38"/>
      <c r="FM8" s="38"/>
      <c r="FN8" s="38"/>
      <c r="FO8" s="38"/>
      <c r="FP8" s="38"/>
      <c r="FQ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76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64">
        <f>today()</f>
        <v>44608</v>
      </c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