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SetMasterFundOnTT" sheetId="4" r:id="rId6"/>
    <sheet name="CreateDoneAwayOrder" sheetId="5" r:id="rId7"/>
    <sheet name="GetDataAllocation" sheetId="6" r:id="rId8"/>
    <sheet name="CheckUnallocatedGroups" sheetId="7" r:id="rId9"/>
    <sheet name="CheckPortfolioManagement" sheetId="8" r:id="rId10"/>
  </sheets>
  <calcPr fullCalcOnLoad="1"/>
</workbook>
</file>

<file path=xl/sharedStrings.xml><?xml version="1.0" encoding="utf-8"?>
<sst xmlns="http://schemas.openxmlformats.org/spreadsheetml/2006/main" count="32" uniqueCount="32">
  <si>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</si>
  <si>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</si>
  <si>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</si>
  <si>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</si>
  <si>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</si>
  <si>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</si>
  <si>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</si>
  <si>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</si>
  <si>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</si>
  <si>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</si>
  <si>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</si>
  <si>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</si>
  <si>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</si>
  <si>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SetMasterFundOnTT</t>
  </si>
  <si>
    <t>Data Format</t>
  </si>
  <si>
    <t>Input Format</t>
  </si>
  <si>
    <t>TradingTicket</t>
  </si>
  <si>
    <t>CreateDoneAwayOrder</t>
  </si>
  <si>
    <t>AAPL</t>
  </si>
  <si>
    <t>Buy</t>
  </si>
  <si>
    <t>Unallocated</t>
  </si>
  <si>
    <t>TradingAccount-1</t>
  </si>
  <si>
    <t>NewMF</t>
  </si>
  <si>
    <t>Allocation</t>
  </si>
  <si>
    <t>GetDataAllocation</t>
  </si>
  <si>
    <t>Current</t>
  </si>
  <si>
    <t>CheckUnallocatedGroups</t>
  </si>
  <si>
    <t>PortfolioManagement</t>
  </si>
  <si>
    <t>CheckPortfolioManagement</t>
  </si>
  <si>
    <t>Long</t>
  </si>
  <si>
    <t>US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</si>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</sst>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0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5" applyFont="1" fillId="0" applyFill="1" borderId="0" applyBorder="1" xfId="0"/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3" applyFont="1" fillId="0" applyFill="1" borderId="0" applyBorder="1" xfId="0"/>
    <xf fontId="3" applyFont="1" fillId="0" applyFill="1" borderId="0" applyBorder="1" xfId="0"/>
    <xf fontId="3" applyFont="1" fillId="0" applyFill="1" borderId="0" applyBorder="1" xfId="0">
      <alignment horizontal="right"/>
    </xf>
    <xf fontId="3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11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6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IFERROR(__xludf.DUMMYFUNCTION("""COMPUTED_VALUE"""),"16vGHPpbvjKADI0ELsUMnsil9L4zXpQewyXXpGOR50e4")</f>
        <v>16vGHPpbvjKADI0ELsUMnsil9L4zXpQewyXXpGOR50e4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IFERROR(__xludf.DUMMYFUNCTION("""COMPUTED_VALUE"""),"1wm4OFdbzRVpfMu1QiZ75_PnC_AYuu9gYEOCRj5nxWrM")</f>
        <v>1wm4OFdbzRVpfMu1QiZ75_PnC_AYuu9gYEOCRj5nxWrM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IFERROR(__xludf.DUMMYFUNCTION("""COMPUTED_VALUE"""),"Closing")</f>
        <v>Closing</v>
      </c>
      <c r="B642" s="0" t="str">
        <f>IFERROR(__xludf.DUMMYFUNCTION("""COMPUTED_VALUE"""),"SelectCreateTransactions")</f>
        <v>SelectCreateTransactions</v>
      </c>
      <c r="C642" s="0" t="str">
        <f>IFERROR(__xludf.DUMMYFUNCTION("""COMPUTED_VALUE"""),"1H_lhrQblpnlyHkVDOXbhIVIhZoC9lIB9uTE29zuQhrM")</f>
        <v>1H_lhrQblpnlyHkVDOXbhIVIhZoC9lIB9uTE29zuQhrM</v>
      </c>
    </row>
    <row r="643" ht="15.75" customHeight="1">
      <c r="A643" s="0" t="str">
        <f>IFERROR(__xludf.DUMMYFUNCTION("""COMPUTED_VALUE"""),"Closing")</f>
        <v>Closing</v>
      </c>
      <c r="B643" s="0" t="str">
        <f>IFERROR(__xludf.DUMMYFUNCTION("""COMPUTED_VALUE"""),"EditClosingTransactions")</f>
        <v>EditClosingTransactions</v>
      </c>
      <c r="C643" s="0" t="str">
        <f>IFERROR(__xludf.DUMMYFUNCTION("""COMPUTED_VALUE"""),"15009hbvBY1YaqNloK72CjyPdL0kMpnEYl2EFB4TUG6g")</f>
        <v>15009hbvBY1YaqNloK72CjyPdL0kMpnEYl2EFB4TUG6g</v>
      </c>
    </row>
    <row r="644" ht="15.75" customHeight="1">
      <c r="A644" s="0" t="str">
        <f>IFERROR(__xludf.DUMMYFUNCTION("""COMPUTED_VALUE"""),"Admin")</f>
        <v>Admin</v>
      </c>
      <c r="B644" s="0" t="str">
        <f>IFERROR(__xludf.DUMMYFUNCTION("""COMPUTED_VALUE"""),"SetAllocationPreferences")</f>
        <v>SetAllocationPreferences</v>
      </c>
      <c r="C644" s="0" t="str">
        <f>IFERROR(__xludf.DUMMYFUNCTION("""COMPUTED_VALUE"""),"16PO4KGgITIDM3iQzFlyKHfXPBXba023pXOJQCBN_Elc")</f>
        <v>16PO4KGgITIDM3iQzFlyKHfXPBXba023pXOJQCBN_Elc</v>
      </c>
    </row>
    <row r="645" ht="15.75" customHeight="1">
      <c r="A645" s="0" t="str">
        <f>IFERROR(__xludf.DUMMYFUNCTION("""COMPUTED_VALUE"""),"Closing")</f>
        <v>Closing</v>
      </c>
      <c r="B645" s="0" t="str">
        <f>IFERROR(__xludf.DUMMYFUNCTION("""COMPUTED_VALUE"""),"AddDuplicateRow")</f>
        <v>AddDuplicateRow</v>
      </c>
      <c r="C645" s="0" t="str">
        <f>IFERROR(__xludf.DUMMYFUNCTION("""COMPUTED_VALUE"""),"Undefined")</f>
        <v>Undefined</v>
      </c>
    </row>
    <row r="646" ht="15.75" customHeight="1">
      <c r="A646" s="0" t="str">
        <f>IFERROR(__xludf.DUMMYFUNCTION("""COMPUTED_VALUE"""),"TradeServer")</f>
        <v>TradeServer</v>
      </c>
      <c r="B646" s="0" t="str">
        <f>IFERROR(__xludf.DUMMYFUNCTION("""COMPUTED_VALUE"""),"ConnectToSimAutoMan")</f>
        <v>ConnectToSimAutoMan</v>
      </c>
      <c r="C646" s="0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2" width="18.88" customWidth="1"/>
    <col min="3" max="3" width="18.5" customWidth="1"/>
    <col min="4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IFERROR(__xludf.DUMMYFUNCTION("""COMPUTED_VALUE"""),"IsShowMasterFundonTT")</f>
        <v>IsShowMasterFundonTT</v>
      </c>
      <c r="C5" s="28" t="str">
        <f>IFERROR(__xludf.DUMMYFUNCTION("""COMPUTED_VALUE"""),"IsShowmasterFundAsClient")</f>
        <v>IsShowmasterFundAsClient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SetMasterFundOnTT!$4:$4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18</v>
      </c>
      <c r="C6" s="33" t="s">
        <v>19</v>
      </c>
      <c r="D6" s="34">
        <v>100</v>
      </c>
      <c r="E6" s="35">
        <v>100</v>
      </c>
      <c r="F6" s="33" t="s">
        <v>20</v>
      </c>
      <c r="G6" s="33"/>
      <c r="H6" s="33"/>
      <c r="I6" s="33"/>
      <c r="J6" s="35">
        <v>1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6" t="s">
        <v>21</v>
      </c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7" t="s">
        <v>22</v>
      </c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8">
        <v>100</v>
      </c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8">
        <v>100</v>
      </c>
      <c r="BK6" s="33"/>
      <c r="BL6" s="33"/>
      <c r="BM6" s="33"/>
      <c r="BN6" s="33"/>
      <c r="BO6" s="33" t="s">
        <v>19</v>
      </c>
      <c r="BP6" s="33"/>
      <c r="BQ6" s="33"/>
      <c r="BR6" s="33"/>
      <c r="BS6" s="33" t="s">
        <v>18</v>
      </c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9" t="s">
        <v>21</v>
      </c>
      <c r="CF6" s="33"/>
      <c r="CG6" s="33"/>
      <c r="CH6" s="33"/>
      <c r="CI6" s="38">
        <v>100</v>
      </c>
      <c r="CJ6" s="33"/>
      <c r="CK6" s="33"/>
      <c r="CL6" s="33"/>
      <c r="CM6" s="33"/>
      <c r="CN6" s="33"/>
      <c r="CO6" s="33"/>
      <c r="CP6" s="33"/>
      <c r="CQ6" s="37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T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2"/>
      <c r="B6" s="32"/>
      <c r="C6" s="33" t="s">
        <v>18</v>
      </c>
      <c r="D6" s="34">
        <v>100</v>
      </c>
      <c r="E6" s="33"/>
      <c r="F6" s="32"/>
      <c r="G6" s="35">
        <v>1</v>
      </c>
      <c r="H6" s="33" t="s">
        <v>29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 t="s">
        <v>30</v>
      </c>
      <c r="V6" s="33"/>
      <c r="W6" s="33" t="s">
        <v>31</v>
      </c>
      <c r="X6" s="38">
        <v>1</v>
      </c>
      <c r="Y6" s="38">
        <v>1</v>
      </c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 t="s">
        <v>19</v>
      </c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