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PricingInput" sheetId="5" r:id="rId7"/>
    <sheet state="visible" name="GetDailyCash" sheetId="6" r:id="rId8"/>
    <sheet state="visible" name="UpdateMultipleDailyCash" sheetId="7" r:id="rId9"/>
    <sheet state="visible" name="FetchAccountPositions" sheetId="8" r:id="rId10"/>
    <sheet state="visible" name="VerifyGridData" sheetId="9" r:id="rId11"/>
    <sheet state="visible" name="NavImpactingComponent" sheetId="10" r:id="rId12"/>
    <sheet state="visible" name="VerifyGridData1" sheetId="11" r:id="rId13"/>
  </sheets>
  <definedNames/>
  <calcPr/>
</workbook>
</file>

<file path=xl/sharedStrings.xml><?xml version="1.0" encoding="utf-8"?>
<sst xmlns="http://schemas.openxmlformats.org/spreadsheetml/2006/main" count="85" uniqueCount="34">
  <si>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</si>
  <si>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</si>
  <si>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</si>
  <si>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</si>
  <si>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</si>
  <si>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</si>
  <si>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</si>
  <si>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</si>
  <si>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</si>
  <si>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</si>
  <si>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</si>
  <si>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</si>
  <si>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</si>
  <si>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</si>
  <si>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</si>
  <si>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</si>
  <si>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</si>
  <si>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</si>
  <si>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Allocation1</t>
  </si>
  <si>
    <t>MS</t>
  </si>
  <si>
    <t>Market</t>
  </si>
  <si>
    <t>PricingInput</t>
  </si>
  <si>
    <t>DailyValuation</t>
  </si>
  <si>
    <t>GetDailyCash</t>
  </si>
  <si>
    <t>UpdateMultipleDailyCash</t>
  </si>
  <si>
    <t>USD</t>
  </si>
  <si>
    <t>Rebalancer</t>
  </si>
  <si>
    <t>FetchAccountPositions</t>
  </si>
  <si>
    <t>VerifyGridData</t>
  </si>
  <si>
    <t>Equity</t>
  </si>
  <si>
    <t>Long</t>
  </si>
  <si>
    <t>NavImpactingComponent</t>
  </si>
  <si>
    <t>NAV Adjustment Factor</t>
  </si>
  <si>
    <t>Short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</si>
</sst>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  <color rgb="FF1F1F1F"/>
      <name val="&quot;Google Sans&quot;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IFERROR(__xludf.DUMMYFUNCTION("""COMPUTED_VALUE"""),"16vGHPpbvjKADI0ELsUMnsil9L4zXpQewyXXpGOR50e4")</f>
        <v>16vGHPpbvjKADI0ELsUMnsil9L4zXpQewyXXpGOR50e4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IFERROR(__xludf.DUMMYFUNCTION("""COMPUTED_VALUE"""),"1wm4OFdbzRVpfMu1QiZ75_PnC_AYuu9gYEOCRj5nxWrM")</f>
        <v>1wm4OFdbzRVpfMu1QiZ75_PnC_AYuu9gYEOCRj5nxWrM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IFERROR(__xludf.DUMMYFUNCTION("""COMPUTED_VALUE"""),"Closing")</f>
        <v>Closing</v>
      </c>
      <c r="B642" t="str">
        <f>IFERROR(__xludf.DUMMYFUNCTION("""COMPUTED_VALUE"""),"SelectCreateTransactions")</f>
        <v>SelectCreateTransactions</v>
      </c>
      <c r="C642" t="str">
        <f>IFERROR(__xludf.DUMMYFUNCTION("""COMPUTED_VALUE"""),"1H_lhrQblpnlyHkVDOXbhIVIhZoC9lIB9uTE29zuQhrM")</f>
        <v>1H_lhrQblpnlyHkVDOXbhIVIhZoC9lIB9uTE29zuQhrM</v>
      </c>
    </row>
    <row r="643" ht="15.75" customHeight="1">
      <c r="A643" t="str">
        <f>IFERROR(__xludf.DUMMYFUNCTION("""COMPUTED_VALUE"""),"Closing")</f>
        <v>Closing</v>
      </c>
      <c r="B643" t="str">
        <f>IFERROR(__xludf.DUMMYFUNCTION("""COMPUTED_VALUE"""),"EditClosingTransactions")</f>
        <v>EditClosingTransactions</v>
      </c>
      <c r="C643" t="str">
        <f>IFERROR(__xludf.DUMMYFUNCTION("""COMPUTED_VALUE"""),"15009hbvBY1YaqNloK72CjyPdL0kMpnEYl2EFB4TUG6g")</f>
        <v>15009hbvBY1YaqNloK72CjyPdL0kMpnEYl2EFB4TUG6g</v>
      </c>
    </row>
    <row r="644" ht="15.75" customHeight="1">
      <c r="A644" t="str">
        <f>IFERROR(__xludf.DUMMYFUNCTION("""COMPUTED_VALUE"""),"Admin")</f>
        <v>Admin</v>
      </c>
      <c r="B644" t="str">
        <f>IFERROR(__xludf.DUMMYFUNCTION("""COMPUTED_VALUE"""),"SetAllocationPreferences")</f>
        <v>SetAllocationPreferences</v>
      </c>
      <c r="C644" t="str">
        <f>IFERROR(__xludf.DUMMYFUNCTION("""COMPUTED_VALUE"""),"16PO4KGgITIDM3iQzFlyKHfXPBXba023pXOJQCBN_Elc")</f>
        <v>16PO4KGgITIDM3iQzFlyKHfXPBXba023pXOJQCBN_Elc</v>
      </c>
    </row>
    <row r="645" ht="15.75" customHeight="1">
      <c r="A645" t="str">
        <f>IFERROR(__xludf.DUMMYFUNCTION("""COMPUTED_VALUE"""),"Closing")</f>
        <v>Closing</v>
      </c>
      <c r="B645" t="str">
        <f>IFERROR(__xludf.DUMMYFUNCTION("""COMPUTED_VALUE"""),"AddDuplicateRow")</f>
        <v>AddDuplicateRow</v>
      </c>
      <c r="C645" t="str">
        <f>IFERROR(__xludf.DUMMYFUNCTION("""COMPUTED_VALUE"""),"Undefined")</f>
        <v>Undefined</v>
      </c>
    </row>
    <row r="646" ht="15.75" customHeight="1">
      <c r="A646" t="str">
        <f>IFERROR(__xludf.DUMMYFUNCTION("""COMPUTED_VALUE"""),"TradeServer")</f>
        <v>TradeServer</v>
      </c>
      <c r="B646" t="str">
        <f>IFERROR(__xludf.DUMMYFUNCTION("""COMPUTED_VALUE"""),"ConnectToSimAutoMan")</f>
        <v>ConnectToSimAutoMan</v>
      </c>
      <c r="C646" t="str">
        <f>IFERROR(__xludf.DUMMYFUNCTION("""COMPUTED_VALUE"""),"13IX3MrLRTuTJsyg3JaQ71o5MoHPrX4JeQ5EXnHjhkH8")</f>
        <v>13IX3MrLRTuTJsyg3JaQ71o5MoHPrX4JeQ5EXnHjhkH8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IFERROR(__xludf.DUMMYFUNCTION("""COMPUTED_VALUE"""),"NavImpactingComponent")</f>
        <v>NavImpactingComponent</v>
      </c>
      <c r="C647" t="str">
        <f>IFERROR(__xludf.DUMMYFUNCTION("""COMPUTED_VALUE"""),"1h8uyOI4WaUZMlwJvQlp6cezgxjyJ2SLa2OEiG81xpGE")</f>
        <v>1h8uyOI4WaUZMlwJvQlp6cezgxjyJ2SLa2OEiG81xpGE</v>
      </c>
    </row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100.0</v>
      </c>
      <c r="E6" s="13">
        <v>100.0</v>
      </c>
      <c r="F6" s="13" t="s">
        <v>18</v>
      </c>
      <c r="G6" s="13" t="s">
        <v>19</v>
      </c>
      <c r="H6" s="8"/>
      <c r="I6" s="13" t="s">
        <v>20</v>
      </c>
      <c r="J6" s="13">
        <v>1.0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32">
        <v>1.0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4">
        <f>TODAY()-1</f>
        <v>45097</v>
      </c>
      <c r="C6" s="34">
        <f>TODAY()</f>
        <v>45098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5" t="s">
        <v>18</v>
      </c>
      <c r="C6" s="36" t="s">
        <v>25</v>
      </c>
      <c r="D6" s="37">
        <v>10000.0</v>
      </c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 t="str">
        <f>IFERROR(__xludf.DUMMYFUNCTION("""COMPUTED_VALUE"""),"NavImpactingComponent")</f>
        <v>NavImpactingComponent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8"/>
      <c r="D6" s="13"/>
      <c r="E6" s="1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FetchAccountPositions!$4:$4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 t="str">
        <f>IFERROR(__xludf.DUMMYFUNCTION("""COMPUTED_VALUE"""),"NavImpactingComponent")</f>
        <v>NavImpactingComponent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IFERROR(__xludf.DUMMYFUNCTION("""COMPUTED_VALUE"""),"Lock/Unlock")</f>
        <v>Lock/Unlock</v>
      </c>
      <c r="C5" s="28" t="str">
        <f>IFERROR(__xludf.DUMMYFUNCTION("""COMPUTED_VALUE"""),"Account")</f>
        <v>Account</v>
      </c>
      <c r="D5" s="28" t="str">
        <f>IFERROR(__xludf.DUMMYFUNCTION("""COMPUTED_VALUE"""),"Symbol")</f>
        <v>Symbol</v>
      </c>
      <c r="E5" s="28" t="str">
        <f>IFERROR(__xludf.DUMMYFUNCTION("""COMPUTED_VALUE"""),"Asset")</f>
        <v>Asset</v>
      </c>
      <c r="F5" s="29" t="str">
        <f>IFERROR(__xludf.DUMMYFUNCTION("""COMPUTED_VALUE"""),"Side")</f>
        <v>Side</v>
      </c>
      <c r="G5" s="28" t="str">
        <f>IFERROR(__xludf.DUMMYFUNCTION("""COMPUTED_VALUE"""),"Price (Local)")</f>
        <v>Price (Local)</v>
      </c>
      <c r="H5" s="28" t="str">
        <f>IFERROR(__xludf.DUMMYFUNCTION("""COMPUTED_VALUE"""),"Price (Base)")</f>
        <v>Price (Base)</v>
      </c>
      <c r="I5" s="28" t="str">
        <f>IFERROR(__xludf.DUMMYFUNCTION("""COMPUTED_VALUE"""),"FX Rate")</f>
        <v>FX Rate</v>
      </c>
      <c r="J5" s="28" t="str">
        <f>IFERROR(__xludf.DUMMYFUNCTION("""COMPUTED_VALUE"""),"Current %")</f>
        <v>Current %</v>
      </c>
      <c r="K5" s="28" t="str">
        <f>IFERROR(__xludf.DUMMYFUNCTION("""COMPUTED_VALUE"""),"Current Position")</f>
        <v>Current Position</v>
      </c>
      <c r="L5" s="28" t="str">
        <f>IFERROR(__xludf.DUMMYFUNCTION("""COMPUTED_VALUE"""),"Current Market Value (Local)")</f>
        <v>Current Market Value (Local)</v>
      </c>
      <c r="M5" s="28" t="str">
        <f>IFERROR(__xludf.DUMMYFUNCTION("""COMPUTED_VALUE"""),"Current Market Value")</f>
        <v>Current Market Value</v>
      </c>
      <c r="N5" s="28" t="str">
        <f>IFERROR(__xludf.DUMMYFUNCTION("""COMPUTED_VALUE"""),"Target %")</f>
        <v>Target %</v>
      </c>
      <c r="O5" s="28" t="str">
        <f>IFERROR(__xludf.DUMMYFUNCTION("""COMPUTED_VALUE"""),"Target Position")</f>
        <v>Target Position</v>
      </c>
      <c r="P5" s="28" t="str">
        <f>IFERROR(__xludf.DUMMYFUNCTION("""COMPUTED_VALUE"""),"Target Market Value (Local)")</f>
        <v>Target Market Value (Local)</v>
      </c>
      <c r="Q5" s="28" t="str">
        <f>IFERROR(__xludf.DUMMYFUNCTION("""COMPUTED_VALUE"""),"Target Market Value")</f>
        <v>Target Market Value</v>
      </c>
      <c r="R5" s="28" t="str">
        <f>IFERROR(__xludf.DUMMYFUNCTION("""COMPUTED_VALUE"""),"Buy/Sell Qty")</f>
        <v>Buy/Sell Qty</v>
      </c>
      <c r="S5" s="28" t="str">
        <f>IFERROR(__xludf.DUMMYFUNCTION("""COMPUTED_VALUE"""),"Buy/Sell Value")</f>
        <v>Buy/Sell Value</v>
      </c>
      <c r="T5" s="30" t="str">
        <f>IFERROR(__xludf.DUMMYFUNCTION("""COMPUTED_VALUE"""),"Sector")</f>
        <v>Sector</v>
      </c>
      <c r="U5" s="30" t="str">
        <f>IFERROR(__xludf.DUMMYFUNCTION("""COMPUTED_VALUE"""),"FactSet Symbol")</f>
        <v>FactSet Symbol</v>
      </c>
      <c r="V5" s="30" t="str">
        <f>IFERROR(__xludf.DUMMYFUNCTION("""COMPUTED_VALUE"""),"ACTIV Symbol")</f>
        <v>ACTIV Symbol</v>
      </c>
      <c r="W5" s="30" t="str">
        <f>IFERROR(__xludf.DUMMYFUNCTION("""COMPUTED_VALUE"""),"Round Lot")</f>
        <v>Round Lot</v>
      </c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18</v>
      </c>
      <c r="D6" s="13" t="s">
        <v>16</v>
      </c>
      <c r="E6" s="13" t="s">
        <v>29</v>
      </c>
      <c r="F6" s="38" t="s">
        <v>30</v>
      </c>
      <c r="G6" s="13">
        <v>1.0</v>
      </c>
      <c r="H6" s="13">
        <v>1.0</v>
      </c>
      <c r="I6" s="13">
        <v>1.0</v>
      </c>
      <c r="J6" s="8"/>
      <c r="K6" s="13">
        <v>100.0</v>
      </c>
      <c r="L6" s="8"/>
      <c r="M6" s="8"/>
      <c r="N6" s="8"/>
      <c r="O6" s="13">
        <v>100.0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VerifyGridData!$4:$4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 t="str">
        <f>IFERROR(__xludf.DUMMYFUNCTION("""COMPUTED_VALUE"""),"NavImpactingComponent")</f>
        <v>NavImpactingComponent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IFERROR(__xludf.DUMMYFUNCTION("""COMPUTED_VALUE"""),"User Adjusted Nav")</f>
        <v>User Adjusted Nav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>
        <v>9000.0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NavImpactingComponent!$4:$4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 t="str">
        <f>IFERROR(__xludf.DUMMYFUNCTION("""COMPUTED_VALUE"""),"NavImpactingComponent")</f>
        <v>NavImpactingComponent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IFERROR(__xludf.DUMMYFUNCTION("""COMPUTED_VALUE"""),"Lock/Unlock")</f>
        <v>Lock/Unlock</v>
      </c>
      <c r="C5" s="28" t="str">
        <f>IFERROR(__xludf.DUMMYFUNCTION("""COMPUTED_VALUE"""),"Account")</f>
        <v>Account</v>
      </c>
      <c r="D5" s="28" t="str">
        <f>IFERROR(__xludf.DUMMYFUNCTION("""COMPUTED_VALUE"""),"Symbol")</f>
        <v>Symbol</v>
      </c>
      <c r="E5" s="28" t="str">
        <f>IFERROR(__xludf.DUMMYFUNCTION("""COMPUTED_VALUE"""),"Asset")</f>
        <v>Asset</v>
      </c>
      <c r="F5" s="29" t="str">
        <f>IFERROR(__xludf.DUMMYFUNCTION("""COMPUTED_VALUE"""),"Side")</f>
        <v>Side</v>
      </c>
      <c r="G5" s="28" t="str">
        <f>IFERROR(__xludf.DUMMYFUNCTION("""COMPUTED_VALUE"""),"Price (Local)")</f>
        <v>Price (Local)</v>
      </c>
      <c r="H5" s="28" t="str">
        <f>IFERROR(__xludf.DUMMYFUNCTION("""COMPUTED_VALUE"""),"Price (Base)")</f>
        <v>Price (Base)</v>
      </c>
      <c r="I5" s="28" t="str">
        <f>IFERROR(__xludf.DUMMYFUNCTION("""COMPUTED_VALUE"""),"FX Rate")</f>
        <v>FX Rate</v>
      </c>
      <c r="J5" s="28" t="str">
        <f>IFERROR(__xludf.DUMMYFUNCTION("""COMPUTED_VALUE"""),"Current %")</f>
        <v>Current %</v>
      </c>
      <c r="K5" s="28" t="str">
        <f>IFERROR(__xludf.DUMMYFUNCTION("""COMPUTED_VALUE"""),"Current Position")</f>
        <v>Current Position</v>
      </c>
      <c r="L5" s="28" t="str">
        <f>IFERROR(__xludf.DUMMYFUNCTION("""COMPUTED_VALUE"""),"Current Market Value (Local)")</f>
        <v>Current Market Value (Local)</v>
      </c>
      <c r="M5" s="28" t="str">
        <f>IFERROR(__xludf.DUMMYFUNCTION("""COMPUTED_VALUE"""),"Current Market Value")</f>
        <v>Current Market Value</v>
      </c>
      <c r="N5" s="28" t="str">
        <f>IFERROR(__xludf.DUMMYFUNCTION("""COMPUTED_VALUE"""),"Target %")</f>
        <v>Target %</v>
      </c>
      <c r="O5" s="28" t="str">
        <f>IFERROR(__xludf.DUMMYFUNCTION("""COMPUTED_VALUE"""),"Target Position")</f>
        <v>Target Position</v>
      </c>
      <c r="P5" s="28" t="str">
        <f>IFERROR(__xludf.DUMMYFUNCTION("""COMPUTED_VALUE"""),"Target Market Value (Local)")</f>
        <v>Target Market Value (Local)</v>
      </c>
      <c r="Q5" s="28" t="str">
        <f>IFERROR(__xludf.DUMMYFUNCTION("""COMPUTED_VALUE"""),"Target Market Value")</f>
        <v>Target Market Value</v>
      </c>
      <c r="R5" s="28" t="str">
        <f>IFERROR(__xludf.DUMMYFUNCTION("""COMPUTED_VALUE"""),"Buy/Sell Qty")</f>
        <v>Buy/Sell Qty</v>
      </c>
      <c r="S5" s="28" t="str">
        <f>IFERROR(__xludf.DUMMYFUNCTION("""COMPUTED_VALUE"""),"Buy/Sell Value")</f>
        <v>Buy/Sell Value</v>
      </c>
      <c r="T5" s="30" t="str">
        <f>IFERROR(__xludf.DUMMYFUNCTION("""COMPUTED_VALUE"""),"Sector")</f>
        <v>Sector</v>
      </c>
      <c r="U5" s="30" t="str">
        <f>IFERROR(__xludf.DUMMYFUNCTION("""COMPUTED_VALUE"""),"FactSet Symbol")</f>
        <v>FactSet Symbol</v>
      </c>
      <c r="V5" s="30" t="str">
        <f>IFERROR(__xludf.DUMMYFUNCTION("""COMPUTED_VALUE"""),"ACTIV Symbol")</f>
        <v>ACTIV Symbol</v>
      </c>
      <c r="W5" s="30" t="str">
        <f>IFERROR(__xludf.DUMMYFUNCTION("""COMPUTED_VALUE"""),"Round Lot")</f>
        <v>Round Lot</v>
      </c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18</v>
      </c>
      <c r="D6" s="38" t="s">
        <v>32</v>
      </c>
      <c r="E6" s="38" t="s">
        <v>32</v>
      </c>
      <c r="F6" s="38" t="s">
        <v>33</v>
      </c>
      <c r="G6" s="39">
        <v>1.0</v>
      </c>
      <c r="H6" s="39">
        <v>1.0</v>
      </c>
      <c r="I6" s="39">
        <v>1.0</v>
      </c>
      <c r="J6" s="8"/>
      <c r="K6" s="13">
        <v>1000.0</v>
      </c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VerifyGridData1!$4:$4</formula1>
    </dataValidation>
  </dataValidations>
  <drawing r:id="rId1"/>
</worksheet>
</file>