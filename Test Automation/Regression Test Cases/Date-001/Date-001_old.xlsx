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hidden" name="_Modules" sheetId="1" r:id="rId3"/>
    <sheet state="hidden" name="_Settings" sheetId="2" r:id="rId4"/>
    <sheet state="hidden" name="_MasterData" sheetId="3" r:id="rId5"/>
    <sheet state="visible" name="CreateStageOrder" sheetId="4" r:id="rId6"/>
    <sheet state="visible" name="CheckAllocatedGroups" sheetId="5" r:id="rId7"/>
    <sheet state="visible" name="CheckPortfolioManagement" sheetId="6" r:id="rId8"/>
    <sheet state="visible" name="TradeNewSubOrder" sheetId="7" r:id="rId9"/>
    <sheet state="visible" name="TradeNewSubOrder1" sheetId="8" r:id="rId10"/>
    <sheet state="visible" name="CreateDoneAwayOrder" sheetId="9" r:id="rId11"/>
    <sheet state="visible" name="CreateDoneAwayOrder1" sheetId="10" r:id="rId12"/>
    <sheet state="visible" name="VerifyLongPositionsGrid" sheetId="11" r:id="rId13"/>
  </sheets>
  <definedNames/>
  <calcPr/>
</workbook>
</file>

<file path=xl/sharedStrings.xml><?xml version="1.0" encoding="utf-8"?>
<sst xmlns="http://schemas.openxmlformats.org/spreadsheetml/2006/main" count="1776" uniqueCount="907">
  <si>
    <t>Modules Info</t>
  </si>
  <si>
    <t>Master Data Info</t>
  </si>
  <si>
    <t>Settings</t>
  </si>
  <si>
    <t>Module</t>
  </si>
  <si>
    <t>Module Step Setting File</t>
  </si>
  <si>
    <t>Modules</t>
  </si>
  <si>
    <t>1WJkWsr4duCvabT0PKOmgmH3S-M5uNuR41f6jyr--CQA</t>
  </si>
  <si>
    <t>Master Data Settings File</t>
  </si>
  <si>
    <t>Step</t>
  </si>
  <si>
    <t>Master Data Sheet</t>
  </si>
  <si>
    <t>1OcWcweN_YMvyZIWDw121HrVhVSDG6MrOF1WhtBWDuPU</t>
  </si>
  <si>
    <t>Allocate</t>
  </si>
  <si>
    <t>undefined</t>
  </si>
  <si>
    <t>Allocation</t>
  </si>
  <si>
    <t>CheckAllocatedGroups</t>
  </si>
  <si>
    <t>17N-7s6DwOchj07O9h-scB61YQTxDrtaS924-qgGLfAs</t>
  </si>
  <si>
    <t>Unallocate</t>
  </si>
  <si>
    <t>16eYSzSP6jOZGiJ30haDKPeKrzsi8YWCvBcxDIilenm8</t>
  </si>
  <si>
    <t>GetDataAllocation</t>
  </si>
  <si>
    <t>11vTo2-Rjjd-AMuiinGFbk90dzCNVWYlgCkH1orx1LfY</t>
  </si>
  <si>
    <t>SelectAllocatedGroup</t>
  </si>
  <si>
    <t>EditTradesAllocated</t>
  </si>
  <si>
    <t>1rIos7awGrpDhBXfVZCjsWMmWyXmFagkqD4Te2AUcoo4</t>
  </si>
  <si>
    <t>EditTradesUnallocated</t>
  </si>
  <si>
    <t>Reallocate</t>
  </si>
  <si>
    <t>Blotter</t>
  </si>
  <si>
    <t>ReplaceFillsOnBlotter</t>
  </si>
  <si>
    <t>CheckBlotter</t>
  </si>
  <si>
    <t>1l5-7ozQW7_DbdGli8z1IVu3L6ojalLnEiKFXukpUddA</t>
  </si>
  <si>
    <t>GeneralLedger</t>
  </si>
  <si>
    <t>GetDataCash</t>
  </si>
  <si>
    <t>1Wb1HyCeaJnwnTIA4ZMCx3gKcHujHCWPTU5Rva2XLUe8</t>
  </si>
  <si>
    <t>EnterCashDividends</t>
  </si>
  <si>
    <t>1m-JuioCX0dUYqn26TXv8zxRXQ1pdAT_8gFRhrvzieRo</t>
  </si>
  <si>
    <t>EnterNonTradingTransaction</t>
  </si>
  <si>
    <t>1OMVgv6OUQr5AFuypYJBeMvOPalGTADom5Bk3oXbZM_U</t>
  </si>
  <si>
    <t>VerifyCash</t>
  </si>
  <si>
    <t>1_TMZLDK5bswJqu6AqYfHDq_c5CPaL6knuuZYH6QD7Wk</t>
  </si>
  <si>
    <t>VerifyActivity</t>
  </si>
  <si>
    <t>1QIX0LLIb77mJLSdYDlv9wzOyJATZB5qarKwueun9qd8</t>
  </si>
  <si>
    <t>VerifyTradingTransaction</t>
  </si>
  <si>
    <t>1kby0vDUjdouswJMytrKvhd-uYxFRiHheQCi02ilYlGE</t>
  </si>
  <si>
    <t>VerifyRevaluationData</t>
  </si>
  <si>
    <t>1pxWM5fI_ph4WhHBvUtEOFGxiwZIi-BBAvZKmRpQoYi8</t>
  </si>
  <si>
    <t>CorporateAction</t>
  </si>
  <si>
    <t>1PUPqphHEHUw9WkoVm8ESgs1qQWcxXN0mh--QvT0FQgM</t>
  </si>
  <si>
    <t>CreateTransaction</t>
  </si>
  <si>
    <t>1EpJDT-T94LPi7oa7vFdA1BbCnaBZrxNxxBPtQcqYuIk</t>
  </si>
  <si>
    <t>DailyValuation</t>
  </si>
  <si>
    <t>UpdateBeta</t>
  </si>
  <si>
    <t>1FKDVEXyxbCVlsfXCNbX16GFFP_0o0tqwzVStZXfdSYk</t>
  </si>
  <si>
    <t>UpdateDailyCash</t>
  </si>
  <si>
    <t>1GV9rz0AQXrAamUFNCgKkBK106SdUN9erGMlgSeYUgO0</t>
  </si>
  <si>
    <t>UpdateForexConversion</t>
  </si>
  <si>
    <t>1KJDiTs4px6IexLKnaGTW9CPWDCwrk_Hai9aeJRtCMKg</t>
  </si>
  <si>
    <t>UpdateMarkPrice</t>
  </si>
  <si>
    <t>1GQ1TuTjn8jYSC3zRpHyZ7GCsf_IF9Sv7N-gc65sej2Y</t>
  </si>
  <si>
    <t>Import</t>
  </si>
  <si>
    <t>1ktD09S-jr0jPZNVK85ALg25MrTgVVP8LZzumsAmZOAA</t>
  </si>
  <si>
    <t>PortfolioManagement</t>
  </si>
  <si>
    <t>CheckDashboardPM</t>
  </si>
  <si>
    <t>1ypttItfWkDL-srGQoEyUBaLKmO0_xEOFn-kuqUGCM7w</t>
  </si>
  <si>
    <t>CheckPortfolioManagement</t>
  </si>
  <si>
    <t>1f1-8fmsdXtSPhepgeqz_sRWU6rusX3RO_1lyH-anqPE</t>
  </si>
  <si>
    <t>PricingInput</t>
  </si>
  <si>
    <t>1GYUljil1RQwHJwuDE_05g1jQyAeavqXFArJqE0Qh32A</t>
  </si>
  <si>
    <t>UpdateSharesOutstanding</t>
  </si>
  <si>
    <t>15aCIJqAO3IRm5flNW-2ef71j3p5cjI_iC3RPiIsbO1A</t>
  </si>
  <si>
    <t>SymbolLookup</t>
  </si>
  <si>
    <t>185a6j7stfxLvGpQ-uJfOxqLx9U5LQ8bQgkiYTcu02fg</t>
  </si>
  <si>
    <t>SymbolLookupFromTT</t>
  </si>
  <si>
    <t>1lQFsH0Ymygg2dM8SYG7CAzUuQ49Vj7e8M9k5qyqGrLU</t>
  </si>
  <si>
    <t>UpdateUDA</t>
  </si>
  <si>
    <t>1hhzlsuCUtb3UJzdBUY2YASwzrfwh5kkWKZ__CryH0q8</t>
  </si>
  <si>
    <t>GetSymbol</t>
  </si>
  <si>
    <t>1TBg-MNV4kC6jy9VMtPFpKY6qQkOJUMWIt0vOFnll76s</t>
  </si>
  <si>
    <t>GetDataSymbolLookup</t>
  </si>
  <si>
    <t>1lT8fLJpWz6Y1ek4gkd_HzvEMORWVHs36PmftdxjPn8c</t>
  </si>
  <si>
    <t>ThirdParty</t>
  </si>
  <si>
    <t>GenerateThirdParty</t>
  </si>
  <si>
    <t>1S_ypvd62g4yh7Pz9Y_phNJnv_utC2QtxUWvUSW1K0Dg</t>
  </si>
  <si>
    <t>SendThirdParty</t>
  </si>
  <si>
    <t>ViewThirdParty</t>
  </si>
  <si>
    <t>SelectThirdPartyName</t>
  </si>
  <si>
    <t>1yvxIOiQg0DYTWSS3FWLWRBq7Abquj5U7zzIW4I77VJw</t>
  </si>
  <si>
    <t>VerifyThirdPartyData</t>
  </si>
  <si>
    <t>1J6USFl78ArvsA9DFC6SLslsuUKpUORa830xO3WvgpWc</t>
  </si>
  <si>
    <t>CleanUp</t>
  </si>
  <si>
    <t>1LBMyCvRJL09OxlPM4XsBZwVMeRYNMZwPbni5bgFp-nE</t>
  </si>
  <si>
    <t>PST</t>
  </si>
  <si>
    <t>RunPST</t>
  </si>
  <si>
    <t>1qWKbft_6EVm2bBP5KYCGhQROz0dxok5JxFofIzn_5ig</t>
  </si>
  <si>
    <t>PSTInputData</t>
  </si>
  <si>
    <t>1RzadZYkK8KPu6GVH0fDScC_vklLvmwneWrwqenxb0AA</t>
  </si>
  <si>
    <t>PSTVerifyData</t>
  </si>
  <si>
    <t>1vQqUrMaQyQyOBryAfgvq6UQ4KqgeOqk9YI41rIT-Lvs</t>
  </si>
  <si>
    <t>PSTFunctionalities</t>
  </si>
  <si>
    <t>1GNZu_eH3PBYRGB_YN7nBEZePFt2eqOXJUrURkDTXd34</t>
  </si>
  <si>
    <t>OpenPSTFromPM</t>
  </si>
  <si>
    <t>1bynVhrR6_qH2eRi8HqxkapNGPv1pDK3rEODiV4UfVyc</t>
  </si>
  <si>
    <t>TradingTicket</t>
  </si>
  <si>
    <t>OpenTTFromPST</t>
  </si>
  <si>
    <t>1-QVMMVxvll4XO0X52Ji70vt-PjjHbRfQR0aPeoMHTtk</t>
  </si>
  <si>
    <t>CashDividend</t>
  </si>
  <si>
    <t>1_NdBoRWbQb5sAI7zSQGN4fhKJ0fFBZhTpbVMM-i97QM</t>
  </si>
  <si>
    <t>Exchange</t>
  </si>
  <si>
    <t>1ZCbWn1Yjl_Ut9ZJndR6r0ZU3zn3NPrQfxpb3UTZeGmM</t>
  </si>
  <si>
    <t>Merger</t>
  </si>
  <si>
    <t>1wZPql7zd4PHmzeGn0w7Q9c6gNh4djD9xMdyyZjEiS5U</t>
  </si>
  <si>
    <t>NameChange</t>
  </si>
  <si>
    <t>1wBCLGHiY9T3YPlJ_-krctPGAgjO0JeeXEa8aEJV9TGE</t>
  </si>
  <si>
    <t>SpinOff</t>
  </si>
  <si>
    <t>1JpxQK9QvwCP-WN8KRTKAmfHCmdWKXmmVBij4RE1iQZE</t>
  </si>
  <si>
    <t>Split</t>
  </si>
  <si>
    <t>15ExnMSOBJjDp1sEuqCOQohEXi3w8t2uTQ1Kr8cYxBEc</t>
  </si>
  <si>
    <t>StockDividend</t>
  </si>
  <si>
    <t>1gcFaCtnFGbYLEip0cUpzX1u33S_VXAgo9BPOv7lCMjs</t>
  </si>
  <si>
    <t>EnterDetailsOnTT</t>
  </si>
  <si>
    <t>EditUnallocatedGroupSidePanel</t>
  </si>
  <si>
    <t>1Ri8d2mKClxy-wlB_8LE4QJy5fGbWX9thzfHnK6Bd_vc</t>
  </si>
  <si>
    <t>TradeAttributeBulkChange</t>
  </si>
  <si>
    <t>1iabQVx7Vr-IJYiWYNi4jcO586rOG7Gaxt7Ty3iu1cMs</t>
  </si>
  <si>
    <t>ApplyBulkUpdateOnGroups</t>
  </si>
  <si>
    <t>1gQ44xdjtUg7c_a8SpmyuCtEIHU4Bu-zP6I8SMnc49P4</t>
  </si>
  <si>
    <t>ApplyPrefetchFilters</t>
  </si>
  <si>
    <t>1EnpS48TFHCagKmJbk5tzC9RyIIva7sPwit33fKHyehM</t>
  </si>
  <si>
    <t>GeneralPreferencesDefaultRule</t>
  </si>
  <si>
    <t>1-cEmDlY-GG9_TO8MIs1gf3N0aFRtiRE0WpOwjoDPjrM</t>
  </si>
  <si>
    <t>GeneralPrefCompanyUserWise</t>
  </si>
  <si>
    <t>1913QmEVihJtmbKSWd6H_SNyjVp_IQGWVeRD0g4EC_3Q</t>
  </si>
  <si>
    <t>RenameTradeAttributes</t>
  </si>
  <si>
    <t>1BPz-efTRHQRiv80ckHR62qzIFWvqa4hJuuWb1lO-qfw</t>
  </si>
  <si>
    <t>SetGroupingRules</t>
  </si>
  <si>
    <t>10ArFCJW_UbqPAsvOzqwRYuajQ4FGRpULv7JSSS88ebQ</t>
  </si>
  <si>
    <t>SetMasterFundRatio</t>
  </si>
  <si>
    <t>1EKDdHEuTN6Rl14GGLpfK4Vnf_n-HH75B4SCS5CoJNEs</t>
  </si>
  <si>
    <t>CheckFixedPreference</t>
  </si>
  <si>
    <t>1LsJMMfrjyWUapovRiqmsMWYBhe_hCcjL0ydak7DKIL8</t>
  </si>
  <si>
    <t>GetFixedPreference</t>
  </si>
  <si>
    <t>1mVhjJAPQf7e3jV-SyZYbHu-fS_6fOixWMnyBLxxfKSU</t>
  </si>
  <si>
    <t>AddCalculatedPreferences</t>
  </si>
  <si>
    <t>1k_zIDXTZmiXpOkjHAjaGXWRJH-C2h2OAkkRQXXCc3o0</t>
  </si>
  <si>
    <t>Data</t>
  </si>
  <si>
    <t>BulkChangeCalculatedPreferences</t>
  </si>
  <si>
    <t>1ushNxtecqSZXIW4NKZzO0a_Kz2uq-N0L6qpVG6OF9N0</t>
  </si>
  <si>
    <t>DeleteCalculatedPreferences</t>
  </si>
  <si>
    <t>1ST8gJuSQFKbMQhwQ27FEXX7C3MmpkkiDp7jZqIRoWD0</t>
  </si>
  <si>
    <t>RenameCalculatedPreferences</t>
  </si>
  <si>
    <t>14NIirT_lP1vID38aA1Zjk73Fe-3sGGYVNmc2X_elEMU</t>
  </si>
  <si>
    <t>CopyCalculatedPreferences</t>
  </si>
  <si>
    <t>1ZaS1tbgP61P9IxMKP699U0wup2cOjPSJIXQ_PuXg4xE</t>
  </si>
  <si>
    <t>RunAutoGroup</t>
  </si>
  <si>
    <t>1XGtj3u9s-duMODLzHhdG8aQbk1OBtmzSGFwriKegixQ</t>
  </si>
  <si>
    <t>BookOrUpdateSwap</t>
  </si>
  <si>
    <t>1VXGmWC5rzEiStUkGdueohp27HPI7LGeBjzSqQO7zgAY</t>
  </si>
  <si>
    <t>RunProrata</t>
  </si>
  <si>
    <t>1o0rE7Tk4JVhft9zJxkZ9symfdmwF0JDLjRcsUVmYmbM</t>
  </si>
  <si>
    <t>SetDefaultRuleCalculatedPref</t>
  </si>
  <si>
    <t>1b1B_oTlfewskJvIGkMftvQQpB1BcFiMCLXZ0kVT8gGc</t>
  </si>
  <si>
    <t>Admin</t>
  </si>
  <si>
    <t>SetTTUIPreferences</t>
  </si>
  <si>
    <t>17iRUbT4ZX5QESvFCR4VecMwsOcMFKnDTt4cRJYSkmEo</t>
  </si>
  <si>
    <t>TTPermissionLevel</t>
  </si>
  <si>
    <t>1k99gCwzajXRVGg8LHmf6mQ88n77CMKTaD8LfXK2GTkw</t>
  </si>
  <si>
    <t>ValidateSymbolTT</t>
  </si>
  <si>
    <t>1TS7dbrMmOe3RYrgvj48IyHOEvCjwnuyVn8RRcrpxVB8</t>
  </si>
  <si>
    <t>VerifyDataTT</t>
  </si>
  <si>
    <t>SetUIPreferencesTT</t>
  </si>
  <si>
    <t>1ZDEF_3gEk5Voblq6BSFtSZHDZvCMt1Lhs8LNFeO0zi8</t>
  </si>
  <si>
    <t>SetBrokerWisePreferencesTT</t>
  </si>
  <si>
    <t>1KouURxI0e7PbYk19jgzz_T1B5H7a4pXWzoG10FxEX7Q</t>
  </si>
  <si>
    <t>BlotterFunctionalities</t>
  </si>
  <si>
    <t>1z-SSSuVDNYg-18ABt7rchANI6hhL9iu7xWGQUBMCRxs</t>
  </si>
  <si>
    <t>TradeNewSub</t>
  </si>
  <si>
    <t>1B9ZQJj0Xc9RWdJK9TZGLeidGrnpRi1KpeYxzdYt1goI</t>
  </si>
  <si>
    <t>GetTradingTransaction</t>
  </si>
  <si>
    <t>1it_diO0lJjvgH2EBKR1EDGpUHZzlY49GOhWBtEwwCCs</t>
  </si>
  <si>
    <t>GetActivityData</t>
  </si>
  <si>
    <t>SetAccountValueCalculatedPref</t>
  </si>
  <si>
    <t>1ySNFFhhk6FLAzbhLvkZYaxCm9ukiGc9AG0VPqASsZhA</t>
  </si>
  <si>
    <t>TradeAttributeBulkChangeGroups</t>
  </si>
  <si>
    <t>1QFQSMJpp0-Fl_UJWE2Zai6Ku7x5PI0Znf6LzAdhY2Hg</t>
  </si>
  <si>
    <t>TradeAttributeBulkChangeTaxlots</t>
  </si>
  <si>
    <t>1KbKh_Q5Rpulump1l-Hb4hlPXbOPSuU9feR4atRZcpAA</t>
  </si>
  <si>
    <t>AddCalculatedPreferenceToolbar</t>
  </si>
  <si>
    <t>GetRevaluationData</t>
  </si>
  <si>
    <t>1ri9IG4hNsrNH6tnanwfo9yjyFEv3c90Jr9MW6zCCkko</t>
  </si>
  <si>
    <t>SetStrategyValueCalculatedPref</t>
  </si>
  <si>
    <t>1x4bwJHDRG7suqUPacRhsOt3BywboZnR7UIZKMa_BtbA</t>
  </si>
  <si>
    <t>GetAccountDetails</t>
  </si>
  <si>
    <t>1cYjDkJ0X6Mekap3A60wbuNMBM9_OMeHyL4fBF0L87kc</t>
  </si>
  <si>
    <t>ApplyBulkUpdateOnTaxlots</t>
  </si>
  <si>
    <t>1G16ozDyHhoRiwSKnrGTyqWG5ohjZ9gIWtYc6chZaJWI</t>
  </si>
  <si>
    <t>GetNonTradingTransaction</t>
  </si>
  <si>
    <t>1-hlxFhKPnVHDD5L2Mxw7MHkNkzIJ23UT6RTy1kjzbrk</t>
  </si>
  <si>
    <t>CommissionBulkChangeOnGroups</t>
  </si>
  <si>
    <t>1Vpxb0rFyiYqD9n2ms5kc0W7DPpX5UennaskxKsr3LC8</t>
  </si>
  <si>
    <t>GetDividendData</t>
  </si>
  <si>
    <t>CommissionBulkChangeOnTaxlots</t>
  </si>
  <si>
    <t>1KO4iyMCmgjFYTY14WZJODutK-p8Sqp0O4pWPZwKvs7s</t>
  </si>
  <si>
    <t>VerifyNonTradingTransaction</t>
  </si>
  <si>
    <t>1tPF6YOqFmo_8ShdQivsAKsbsyozjAl0aqfU3hNGom9k</t>
  </si>
  <si>
    <t>SelectUnallocatedGroup</t>
  </si>
  <si>
    <t>1neA_cmjAezAYN7PHlST8WfT9St78vMf34MRMklSVo7E</t>
  </si>
  <si>
    <t>VerifyDividend</t>
  </si>
  <si>
    <t>16TgREC4khkYPIHjNSaUoamhbOXmV50jDJe_4uAugaBU</t>
  </si>
  <si>
    <t>EnterAccountValuesToAllocate</t>
  </si>
  <si>
    <t>1rnD70SLEfPEpQDDJpvfnbiE1bE99RQfL8JdloFp02q4</t>
  </si>
  <si>
    <t>GetOpeningBalanceData</t>
  </si>
  <si>
    <t>1ibfkchdgwydeWyxuKZ-Nridc6-vk0YQ4hLCxRsoN0Hw</t>
  </si>
  <si>
    <t>EnterAllocatePreference</t>
  </si>
  <si>
    <t>1DIe0w9c3Euqg9Ed85FHxeFYo6xxGuICXg3I9SPxPvzA</t>
  </si>
  <si>
    <t>GetAccountBalance</t>
  </si>
  <si>
    <t>1tc58pAEmREvAgLSVdz3kbZFkygfKxU46ISvkrKic44g</t>
  </si>
  <si>
    <t>Expnl</t>
  </si>
  <si>
    <t>RestartExpnl</t>
  </si>
  <si>
    <t>12KPvg1B3jRZn5oFBZDcXvZIrYkHC4cqHFTRYqPgDSog</t>
  </si>
  <si>
    <t>ClosePM</t>
  </si>
  <si>
    <t>EnterStrategyValuesToAllocate</t>
  </si>
  <si>
    <t>1MWN-RyeVQ3cEOMe7cfVUGji3xnAm64rf17njLZPj67c</t>
  </si>
  <si>
    <t>SelectNonTradingTransaction</t>
  </si>
  <si>
    <t>1qClDQsuC0uTWfFTJbcMc98c-ENPByiCYXsvj-KAnfXE</t>
  </si>
  <si>
    <t>SelectNonTradingTranItem</t>
  </si>
  <si>
    <t>109JYM9_asRks1XoWIScU2RU-DE3u9oY5wbSTXxTNuQo</t>
  </si>
  <si>
    <t>CopyCalculatedPreferenceToolbar</t>
  </si>
  <si>
    <t>SetGeneralRuleCalculatedPref</t>
  </si>
  <si>
    <t>1sXlltS1V-gHgnNfE0wd6u372kk9u2vj9UimnACiM0iw</t>
  </si>
  <si>
    <t>DeleteNonTradingTransaction</t>
  </si>
  <si>
    <t>1G1VM_9E8XaiqxTRJxwaJ15lGQlP_lgfxqR9Nfr6dGeM</t>
  </si>
  <si>
    <t>DeleteNonTradingTranItem</t>
  </si>
  <si>
    <t>1sAnUYES_4wcID1gDQxMKmNtpHZfmxVwcguJ5uuMXBhQ</t>
  </si>
  <si>
    <t>ExportAllCalculatedPreferences</t>
  </si>
  <si>
    <t>1_9tkwdAJLeT-qNQ8BqUe6weg7-HaraCPBe4t6kebcp0</t>
  </si>
  <si>
    <t>AddNonTradingTransaction</t>
  </si>
  <si>
    <t>1aNYZgsK0PS72bUELipAkZtjS_io3NTWuYvRhPX6_pl0</t>
  </si>
  <si>
    <t>AddNonTradingTranItem</t>
  </si>
  <si>
    <t>1I5cCQJSqQ1Q_2_r0hFTdzjZQfVpauGc19ztocrt9jzU</t>
  </si>
  <si>
    <t>SaveCalculatedPreferences</t>
  </si>
  <si>
    <t>VerifyOpeningBalanceData</t>
  </si>
  <si>
    <t>18gHTsH2xe3qAEXTh4vDwkosKi1-dZIA2lOb88_apdfM</t>
  </si>
  <si>
    <t>SelectOpeningBalanceTransaction</t>
  </si>
  <si>
    <t>17tAtGdr28CCMiB0n7PVtoz3Os5DbraUA9i2C8GVoOUQ</t>
  </si>
  <si>
    <t xml:space="preserve">CreateStageOrder </t>
  </si>
  <si>
    <t>1yQ-gn04yKrIQDrN0BBsZ47U3J8-VgKFbeNAprRBUtZY</t>
  </si>
  <si>
    <t>TransferToUserWorkingSubs</t>
  </si>
  <si>
    <t>1xBTjCjyv2b8uVm_1XtzAHhtV1-WQOFOylS6Pdv6vN0E</t>
  </si>
  <si>
    <t>CancelWorkingSubs</t>
  </si>
  <si>
    <t>16VCWpHhI69iAff1u76mmVkz0FeF006eEuMI-qaeaesI</t>
  </si>
  <si>
    <t>ReplaceWorkingSubs</t>
  </si>
  <si>
    <t>1Lupyy2HMPIc84PVE6geOecI-38PpZtQlB6LgeNzgNkI</t>
  </si>
  <si>
    <t>ViewAllocationDetailsWorkingSub</t>
  </si>
  <si>
    <t>1pWHJ9USH-3LyIU4f0C5her19jDvNab6AJBi0Ch8BSAQ</t>
  </si>
  <si>
    <t>SelectTradeOnOrderGrid</t>
  </si>
  <si>
    <t>10uLrgtRu9XpFcJ7zj7lAWAhavDGNgg0Slk1ybse4ZbY</t>
  </si>
  <si>
    <t>ShowDetailsForAlgoTradeSubOrder</t>
  </si>
  <si>
    <t>1h6D1HzAIPlOf9VTwCiJV8_eMepNbSpIidh6ShSGKXXo</t>
  </si>
  <si>
    <t>SelectTradeOrderBlotter</t>
  </si>
  <si>
    <t>142OREVNlGM1dLYaWnqVBw1zN13NlPEJLEiCkkTd_rvU</t>
  </si>
  <si>
    <t>AddFillsWorkingSubs</t>
  </si>
  <si>
    <t>10z7WshV-p8_62BO8WXRU8fe7Ae7Owq97rWkjdMHcicA</t>
  </si>
  <si>
    <t>EditAddFillsDetails</t>
  </si>
  <si>
    <t>1bnaaEZO81wlbyR_0JWO8MM5nQ1QwZ_HnUhL4lZJ3wZk</t>
  </si>
  <si>
    <t>ShowDetailsForAlgoTradeWorkingSubs</t>
  </si>
  <si>
    <t>1asN7Nid7E6qF2n72rOuxvO_GqN7pQS9MU0A315-rH_Y</t>
  </si>
  <si>
    <t>Closing</t>
  </si>
  <si>
    <t>SwapExpire</t>
  </si>
  <si>
    <t>10dKmxM0u58VeAJ3eRVQjGT8M1h7V8etQ54-ZIq0SlPo</t>
  </si>
  <si>
    <t>VerifyWorkingSubs</t>
  </si>
  <si>
    <t>1uO91Ghqccbk2KqSPHqDfRnICUOmHrg8Zrm9XUf9Ytfw</t>
  </si>
  <si>
    <t>TransferToUserOrder</t>
  </si>
  <si>
    <t>1-OQp_UWqNzPVuLTORwu3eel8j-NrVAmqx6iQi27hLa8</t>
  </si>
  <si>
    <t>CloseCalculatedPreferences</t>
  </si>
  <si>
    <t>CreateReplaceOrder</t>
  </si>
  <si>
    <t>1LwBhdzUuHn5ECF0oPPWXFePk6WwatfI51pcoKJQjvgg</t>
  </si>
  <si>
    <t>CreateStageOrder</t>
  </si>
  <si>
    <t>EditOrder</t>
  </si>
  <si>
    <t>Data Format</t>
  </si>
  <si>
    <t>1tlHXJcmAO_u2vVhOZeBn_G4EgGw18ZVW0bb-o4doPs8</t>
  </si>
  <si>
    <t>SelectTradeSubOrderBlotter</t>
  </si>
  <si>
    <t>1-DMjC5n9ryA99IDVm6J51Q7mURCe3DRqzYCCOLv1fZw</t>
  </si>
  <si>
    <t>VerifyOrder</t>
  </si>
  <si>
    <t>1BiATpyvKA3SWFYXVo07tiTjntMlpxJ1omEEaU21PSFQ</t>
  </si>
  <si>
    <t>Input Format</t>
  </si>
  <si>
    <t>VerifySubOrder</t>
  </si>
  <si>
    <t>1LIzbTv6XVUesa_FizwbjIUAfuyc-UgZzL11JbPoKfBw</t>
  </si>
  <si>
    <t>RemoveSelectedOrders</t>
  </si>
  <si>
    <t>1UcVRC34px0Pg8dDt_XchRcO9_o-osgUuZ9W3S2hdlSQ</t>
  </si>
  <si>
    <t>CancelAllSelectedSubs</t>
  </si>
  <si>
    <t>1HXY-kiBKFlDPwU0ki0_cbGzArUc85ZUwrz5o0MckqoM</t>
  </si>
  <si>
    <t>MultiTradingTicket</t>
  </si>
  <si>
    <t>1kmKYH_ymr9jFqwbZ5XDb0WpnX4Z9j4CT07_MwuvQw2g</t>
  </si>
  <si>
    <t>AuditTrailOrderBlotter</t>
  </si>
  <si>
    <t>191QU5WKNDAtykM_3WYm8EblQy_WBJQ86ggc3OLVVeFk</t>
  </si>
  <si>
    <t>TradeNewSubOrder</t>
  </si>
  <si>
    <t>1eA15qdzdfq9t8GNXV0Kh-HqiN3GM0hbwz1HfRJ283HM</t>
  </si>
  <si>
    <t>RemoveStageOrder</t>
  </si>
  <si>
    <t>1o4Or8KGmmN-s-pw1WM8QNO4lE08dM1WXEnZcTjccQ6s</t>
  </si>
  <si>
    <t>SetGeneralPreference</t>
  </si>
  <si>
    <t>18NNrD6d3r1bH_5-ihyR5H2ShJcom_Ov3-Wqk7Tquntk</t>
  </si>
  <si>
    <t>CreateDoneAwayOrder</t>
  </si>
  <si>
    <t>1KjYN4lz3oaLmz_BtGKeFqhTqRYTNakKIl9euRH-oDeg</t>
  </si>
  <si>
    <t>ExportCalculatedPreference</t>
  </si>
  <si>
    <t>12lNqOpj90KFDv25lJqH9kQzvaACIRBSoQG4fr_yDz8Q</t>
  </si>
  <si>
    <t>SelectOpeningBalanceTranItem</t>
  </si>
  <si>
    <t>1QeVPnXD36mOWtIRdF858goH42tVu5CAvxk9v8xEDAhs</t>
  </si>
  <si>
    <t>EODTPreferences</t>
  </si>
  <si>
    <t>1FKpTerYuislNewnlvplrDFib3M24kVhkC8gf7i2KVL0</t>
  </si>
  <si>
    <t>LiveData</t>
  </si>
  <si>
    <t>1e1pctNXtYM4geFlgtwfJmlj28jObLYup_AoHh5rJpho</t>
  </si>
  <si>
    <t>EditNonTradingTransaction</t>
  </si>
  <si>
    <t>1gzUhAU0fv2NWV8U51Wh2wYxyt2P8bXASpYc8bkIraT0</t>
  </si>
  <si>
    <t>EditNonTradingTranItem</t>
  </si>
  <si>
    <t>1SomQHbMrMPO4jhkHqhFGKcCYQ8UmgzXb4KjBfItpSOA</t>
  </si>
  <si>
    <t>DeleteOpeningBalanceTransaction</t>
  </si>
  <si>
    <t>1edHJ69KVfgWlnQgr6G_zSZLWfRtIGtJ_2tKmAoQW4sA</t>
  </si>
  <si>
    <t>DeleteOpeningBalanceTranItem</t>
  </si>
  <si>
    <t>1sA10QgEhRhmGVFpM4vtrKHtwrnr9rPkn2EyDl_js2hQ</t>
  </si>
  <si>
    <t>ImportCalculatedPreferences</t>
  </si>
  <si>
    <t>1Zl6lmCYVvYpiymanSSHg15L0UA6pSZAqCecG9Ws0DVU</t>
  </si>
  <si>
    <t>GetDayEndCash</t>
  </si>
  <si>
    <t>1IYITGwn7CTL-AwHhtyYxd8hwkr1mWGpZmHnGcfSgiYw</t>
  </si>
  <si>
    <t>VerifyDayEndCash</t>
  </si>
  <si>
    <t>1QlqVSajIe067denKhsV95eQ5CmZEqxjdfFjib7BRkZw</t>
  </si>
  <si>
    <t>OpenAuditTrailUnallocatedGroup</t>
  </si>
  <si>
    <t>DeleteCalculatedPreferencesTool</t>
  </si>
  <si>
    <t>ImportCalculatedPreferencesTool</t>
  </si>
  <si>
    <t>RunRevaluation</t>
  </si>
  <si>
    <t>CalculateDayEndCash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</si>
  <si>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</si>
  <si>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</si>
  <si>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</si>
  <si>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</si>
  <si>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</si>
  <si>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1DFtHjjlK1qv2rf2DjQ8MVlhn41MJUPH1XU0iJxpRg0w</t>
  </si>
  <si>
    <t>TransferToUserSubOrder</t>
  </si>
  <si>
    <t>1rWiDLFbEoFyzqygYXBN-DZC-p1DY4M77auDyXfUzHms</t>
  </si>
  <si>
    <t>DetailsForAlgoTradeOrder</t>
  </si>
  <si>
    <t>1zNOob7TeWS3IZ29FsW6g2mx1IhOOFn_s7uQxNoO9RzI</t>
  </si>
  <si>
    <t>AddFillsSubOrder</t>
  </si>
  <si>
    <t>1OXqoajmjYRls2YpAUJb20f5yAPJNTPl-rmUWdGRHd70</t>
  </si>
  <si>
    <t>ViewAllocationDetailsSubOrder</t>
  </si>
  <si>
    <t>16Pg3dJAqpCyPwaXngv9YoaDYIRVM57ZQjs2Ki11OeLE</t>
  </si>
  <si>
    <t>GetCashTransaction</t>
  </si>
  <si>
    <t>1v6VgiWrxALnoa0njwc-kSipfbaoVQp8lETPaNLhYl2c</t>
  </si>
  <si>
    <t>SelectCashTransaction</t>
  </si>
  <si>
    <t>11HV5g6hhhiYzYVZa0ZdEDSse3JcVMQ56paETZKc9K58</t>
  </si>
  <si>
    <t>CreateNewSubOrder</t>
  </si>
  <si>
    <t>TradeBloomberg</t>
  </si>
  <si>
    <t>DeleteCashTransaction</t>
  </si>
  <si>
    <t>ClickSymbolLookup</t>
  </si>
  <si>
    <t>1a20isSzHqCS5M2X_zZFFvqHEMrEGKwUNjgK7sqjbtX8</t>
  </si>
  <si>
    <t>EditCashTransaction</t>
  </si>
  <si>
    <t>13Iu44pco2CoRsNNblZKGG1jp3Xt0coxd11e1UE3ZISw</t>
  </si>
  <si>
    <t>AddCashTransaction</t>
  </si>
  <si>
    <t>1qpS8fUrbzSk15BlPKRYm00mylgTjyec8FBI6U-3Lb2Y</t>
  </si>
  <si>
    <t>SelectTradeAllocation</t>
  </si>
  <si>
    <t>CheckedUncheckedMTT</t>
  </si>
  <si>
    <t>EditAllocatedGroupSidePanel</t>
  </si>
  <si>
    <t>1phRTXk6lhQd0yBkq3N_AGXzGz443Odj1VEdPxkU37PE</t>
  </si>
  <si>
    <t>EditTrades</t>
  </si>
  <si>
    <t>GetMarkPriceData</t>
  </si>
  <si>
    <t>CommissionBulkChange</t>
  </si>
  <si>
    <t>1dRzPz2g1DZaGLV61uyy7ya2vJT1AanuWJLtapqrIxGA</t>
  </si>
  <si>
    <t>GetForwardPoints</t>
  </si>
  <si>
    <t>AttributeRenaming</t>
  </si>
  <si>
    <t>1B88Hn3E9Qqmy_wiZdvwp_-esnX5mS70bOeGn523QzfM</t>
  </si>
  <si>
    <t>AutoGroupingRules</t>
  </si>
  <si>
    <t>MasterFundRatioAllocation</t>
  </si>
  <si>
    <t>CheckFixedPreferenceScheme</t>
  </si>
  <si>
    <t>GetFixedScheme</t>
  </si>
  <si>
    <t>UpdateForwardPoints</t>
  </si>
  <si>
    <t>1OrxpIE0uyq1Phm9Jh8gHnCyOQsJ7FJSL3a3irnTbFX4</t>
  </si>
  <si>
    <t>GetForexConversion</t>
  </si>
  <si>
    <t>SwapControl</t>
  </si>
  <si>
    <t>1UshpUHMHAQzhlr-bpoYZFT8mAnIqpXVKtCIkby8eMos</t>
  </si>
  <si>
    <t>SetDefaultRuleForCalculatedPreference</t>
  </si>
  <si>
    <t>DeleteNAV</t>
  </si>
  <si>
    <t>1KGK8W-ECAckadm9I2wGjUeTDLE5But4xbJgs4PJzojY</t>
  </si>
  <si>
    <t>TradeAttributeBulkChangeGroup</t>
  </si>
  <si>
    <t>CheckUnallocatedGroups</t>
  </si>
  <si>
    <t>1YPRV3OZJOzlf53uVC1-BwjfgOi-9jZEYkJHvkN7QQ1I</t>
  </si>
  <si>
    <t>GetDailyCash</t>
  </si>
  <si>
    <t>1UXPfO_h8wY8hfygQLAmeuefqkQxJFAi7am1trQznU0Y</t>
  </si>
  <si>
    <t>SetGeneralPreferences</t>
  </si>
  <si>
    <t>1xi5HBd7a9os3ubctZdGori68ThN3jpnptX78Hev9tIs</t>
  </si>
  <si>
    <t>GetDailyBeta</t>
  </si>
  <si>
    <t>18mk01ha7MdqFJuR3dB6DCtp1N5eg_GgKIST9sSMBS_E</t>
  </si>
  <si>
    <t>EnterAllocatePerference</t>
  </si>
  <si>
    <t>GetDailyVolatility</t>
  </si>
  <si>
    <t>1UTGbB7eondZUvndSZeWsQux3qtWaoaVLOc-dAgePKo0</t>
  </si>
  <si>
    <t>GetDailyDividendYield</t>
  </si>
  <si>
    <t>1RUgJeC7dSZLnvgN_OISx0E-Ch-tv3fqJ2q9hxyTFzm4</t>
  </si>
  <si>
    <t>GetDailyTradingVolume</t>
  </si>
  <si>
    <t>1_ibws5pXkhKeKmCaNAmL2xR_YcYlOxh9tGuhct0yTs0</t>
  </si>
  <si>
    <t>GetDailyOutstandings</t>
  </si>
  <si>
    <t>138-LMD4LCmmc7va8Q27MBaab8hMU8mY4DdajZ40WNVg</t>
  </si>
  <si>
    <t>GroupTrades</t>
  </si>
  <si>
    <t>UngroupTrades</t>
  </si>
  <si>
    <t>DeleteGroup</t>
  </si>
  <si>
    <t>CloseOrder</t>
  </si>
  <si>
    <t>CloseAllocation</t>
  </si>
  <si>
    <t>Symbol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</si>
  <si>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</si>
  <si>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</si>
  <si>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</si>
  <si>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</si>
  <si>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</si>
  <si>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</si>
  <si>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</si>
  <si>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GetDailyDelta</t>
  </si>
  <si>
    <t>AddMFPreferenceToolbar</t>
  </si>
  <si>
    <t>1RvDdin_L9BOB-PNvecMNSn8GL9EI-dz4_eotQPUlqcg</t>
  </si>
  <si>
    <t>DeleteMFPreferences</t>
  </si>
  <si>
    <t>DeleteMFPreferenceToolbar</t>
  </si>
  <si>
    <t>RenameMFPreferences</t>
  </si>
  <si>
    <t>UpdateDailyVolatility</t>
  </si>
  <si>
    <t>SaveCloseMFPreference</t>
  </si>
  <si>
    <t>1KsoCQntYsl7X8NWFKdMnVpiJXUhScw20v2dl6aymdhw</t>
  </si>
  <si>
    <t>Order Side</t>
  </si>
  <si>
    <t>SetMFPrefAccountValues</t>
  </si>
  <si>
    <t>ModifyMFPrefGeneralRuleValues</t>
  </si>
  <si>
    <t>Quantity</t>
  </si>
  <si>
    <t>TargetQuantityIn</t>
  </si>
  <si>
    <t>AddOpeningBalanceTransaction</t>
  </si>
  <si>
    <t>SetMFPrefStrategyValues</t>
  </si>
  <si>
    <t>AllocationMethod</t>
  </si>
  <si>
    <t>19wYe5fLpfikdBQq6tmFd7udEwD_0BYgv0Me1sIwohAs</t>
  </si>
  <si>
    <t>SetMFPrefFundDistribution</t>
  </si>
  <si>
    <t>Broker</t>
  </si>
  <si>
    <t>TIF</t>
  </si>
  <si>
    <t>SetMFPreferencesDefaultRule</t>
  </si>
  <si>
    <t>SetMFPrefGeneralRule</t>
  </si>
  <si>
    <t>Order Type</t>
  </si>
  <si>
    <t>AddOpeningBalanceTranItem</t>
  </si>
  <si>
    <t>SetMFPrefFundDefaultRule</t>
  </si>
  <si>
    <t>1tS9sJd9zQv4tkrl6Hwn3LNV5FPwJJX8iTvCI3A9mnYM</t>
  </si>
  <si>
    <t>ClearPrefetchFilters</t>
  </si>
  <si>
    <t>Price</t>
  </si>
  <si>
    <t>ExpandCollapseAllUnallocated</t>
  </si>
  <si>
    <t>Stop</t>
  </si>
  <si>
    <t>ExpandCollapseAllAllocated</t>
  </si>
  <si>
    <t>Limit</t>
  </si>
  <si>
    <t>CancelAllSubs</t>
  </si>
  <si>
    <t>GenerateCashTransaction</t>
  </si>
  <si>
    <t>Strategy</t>
  </si>
  <si>
    <t>SaveAllocation</t>
  </si>
  <si>
    <t>113B4SUUwarWN67BxRNkNvzcSme4qizOcJEy1Cyr92HI</t>
  </si>
  <si>
    <t>Trade Date</t>
  </si>
  <si>
    <t>FxRate</t>
  </si>
  <si>
    <t>UnallocateWithOutSave</t>
  </si>
  <si>
    <t>Notes</t>
  </si>
  <si>
    <t>Broker Notes</t>
  </si>
  <si>
    <t>CancelSubOrder</t>
  </si>
  <si>
    <t>CommissionBasis</t>
  </si>
  <si>
    <t>1VrjZ6PlQiYI2NyHnraBGAG1BQJGVPFR-CazWCfE6cPo</t>
  </si>
  <si>
    <t>CommissionRate</t>
  </si>
  <si>
    <t>SoftBasis</t>
  </si>
  <si>
    <t>EditStageOrder</t>
  </si>
  <si>
    <t>1uddT4fT_pD1FfaavNd3Z4kLl-9z6jO93_oWAXqOtAeU</t>
  </si>
  <si>
    <t>ReplaceSubOrder</t>
  </si>
  <si>
    <t>1gYIXEoPEFKzwPlsYNR6dYepNPdn8424SZynBp6C7bZQ</t>
  </si>
  <si>
    <t>SelectTradeWorkingSubsBlotter</t>
  </si>
  <si>
    <t>1QO1sZw8WaBW55zzKQSeyM1RO5amXeVLNEGlKzyKRQLI</t>
  </si>
  <si>
    <t>SoftRate</t>
  </si>
  <si>
    <t>TradeAttribute1</t>
  </si>
  <si>
    <t>TradeAttribute2</t>
  </si>
  <si>
    <t>VerifyAlgoDetails</t>
  </si>
  <si>
    <t>TradeAttribute3</t>
  </si>
  <si>
    <t>1u0wF8kF1HfnGMp9ZhSo_XEoondHNcOeNNWxIhcbTS3Y</t>
  </si>
  <si>
    <t>TradeAttribute4</t>
  </si>
  <si>
    <t>TradeAttribute5</t>
  </si>
  <si>
    <t>TradeAttribute6</t>
  </si>
  <si>
    <t>Venue</t>
  </si>
  <si>
    <t>VerifyTransferToUserOrder</t>
  </si>
  <si>
    <t>ExecutionInstructions</t>
  </si>
  <si>
    <t>1UwPAP50TyioUUJROxVKpunirqNJXej9anr5fqMgHJB0</t>
  </si>
  <si>
    <t>HandlingInstructions</t>
  </si>
  <si>
    <t>Trader</t>
  </si>
  <si>
    <t>SettlementCurrency</t>
  </si>
  <si>
    <t>SettlementFXRate</t>
  </si>
  <si>
    <t>VerifyTransferToUserSubOdr</t>
  </si>
  <si>
    <t>SettlementAmount</t>
  </si>
  <si>
    <t>1t85s25HRMHAY21hZiXCRf27hlLDl-nnEPqVTY6MP0Ok</t>
  </si>
  <si>
    <t>SettlementFXOperator</t>
  </si>
  <si>
    <t>SettleByBroker</t>
  </si>
  <si>
    <t>Account</t>
  </si>
  <si>
    <t>Account %</t>
  </si>
  <si>
    <t>VerifyTransferToUserWorkSub</t>
  </si>
  <si>
    <t>Deal In</t>
  </si>
  <si>
    <t>1WwcsZ_jfu-R34xa9ybcfND3UoKrgO4ZDtYvq7PNYrTk</t>
  </si>
  <si>
    <t>SaveLayoutOrderGrid</t>
  </si>
  <si>
    <t>1ZJgJVI2xFlymh5s3_gYw2mH5kSY5-kYWaHqWWNkP4QM</t>
  </si>
  <si>
    <t>UpdateDividendYield</t>
  </si>
  <si>
    <t>12PMqu3Ve3WA-ZopGXX2SDWNDNLCcuRWlRsHncRyydfE</t>
  </si>
  <si>
    <t>UpdateTradingVolume</t>
  </si>
  <si>
    <t>Account Name</t>
  </si>
  <si>
    <t>1Nsz2dUTtdumqiNuR5b6_En7rZaPe51oc_IGgBo14CRo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</si>
  <si>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</si>
  <si>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</si>
  <si>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</si>
  <si>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</si>
  <si>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</si>
  <si>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</si>
  <si>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</si>
  <si>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UpdateDailyDelta</t>
  </si>
  <si>
    <t>AUECID</t>
  </si>
  <si>
    <t>1C6o4eaKlKKFQhcAaN1Oj40i-0iPXOyboII-0QPBeHv4</t>
  </si>
  <si>
    <t>Avg Price( Base)</t>
  </si>
  <si>
    <t>Avg Price(Local)</t>
  </si>
  <si>
    <t>Avg Settl Curr FXRate</t>
  </si>
  <si>
    <t>UpdateDailyOutstandings</t>
  </si>
  <si>
    <t>Bloomberg</t>
  </si>
  <si>
    <t>1nI3as5Hyrhg5kMfKs569tCkWnsT_Hy_oFAt4X-7ZkfY</t>
  </si>
  <si>
    <t>Bond Type</t>
  </si>
  <si>
    <t>Carry</t>
  </si>
  <si>
    <t>Change Comment</t>
  </si>
  <si>
    <t>GetDataClosing</t>
  </si>
  <si>
    <t>Change Type</t>
  </si>
  <si>
    <t>1h_gDyrGHLdTKUbSvoE629FMo2ymd9Nc8cF3c-sLkPhI</t>
  </si>
  <si>
    <t>Clearing Broker Fee</t>
  </si>
  <si>
    <t>Closing Status</t>
  </si>
  <si>
    <t>Commission</t>
  </si>
  <si>
    <t>ManualClosing</t>
  </si>
  <si>
    <t>Commission Per Share</t>
  </si>
  <si>
    <t>Company</t>
  </si>
  <si>
    <t>1aY-18we1tJeBlSzJwgqLomKPX2V8fQkcN7Gs3ZZ1YNQ</t>
  </si>
  <si>
    <t>Contract Multiplier</t>
  </si>
  <si>
    <t>Coupon Rate</t>
  </si>
  <si>
    <t>Cum Qty For Live Order</t>
  </si>
  <si>
    <t>AutomaticClosing</t>
  </si>
  <si>
    <t>Currency</t>
  </si>
  <si>
    <t>1Nw4cG4FEhgfaX4J2Zjz9gHukgLrdeftcP-85ZV4RscE</t>
  </si>
  <si>
    <t>Cusip Symbol</t>
  </si>
  <si>
    <t>Delta</t>
  </si>
  <si>
    <t>Description</t>
  </si>
  <si>
    <t>UnwindClosing</t>
  </si>
  <si>
    <t>Executed Qty</t>
  </si>
  <si>
    <t>Exceution Time</t>
  </si>
  <si>
    <t>1qMSJYnXN0XR7zqM5SH4WCx2nHv7xL3PB8V9Y9aFlkew</t>
  </si>
  <si>
    <t>Expiration Date</t>
  </si>
  <si>
    <t>AAPL</t>
  </si>
  <si>
    <t>FX Conversion Operator</t>
  </si>
  <si>
    <t>FX Rate</t>
  </si>
  <si>
    <t>Buy</t>
  </si>
  <si>
    <t>Group Status</t>
  </si>
  <si>
    <t>VerifyClosedTrades</t>
  </si>
  <si>
    <t>IDCOSymbol</t>
  </si>
  <si>
    <t>131A6k4vG5r_lWFBa9IzK6ZWeScU4Sc4-Hpswdbv9ZaQ</t>
  </si>
  <si>
    <t>Import File Name</t>
  </si>
  <si>
    <t>Internal Comments</t>
  </si>
  <si>
    <t>IsAnotherTaxlotAttributesUpdated</t>
  </si>
  <si>
    <t>ISIN</t>
  </si>
  <si>
    <t>VerifyLongPositionsGrid</t>
  </si>
  <si>
    <t>IsManualGroup</t>
  </si>
  <si>
    <t>1mBAPn7AGFwS3SIniOV3w4Vp70Jo-IOpY6dll37vYeDI</t>
  </si>
  <si>
    <t>ISNDF</t>
  </si>
  <si>
    <t>IsPreAllocated</t>
  </si>
  <si>
    <t>M2MProfitLoss</t>
  </si>
  <si>
    <t>Net Amount( Base)</t>
  </si>
  <si>
    <t>Net Amount( Local)</t>
  </si>
  <si>
    <t>VerifyShortPositionsGrid</t>
  </si>
  <si>
    <t>Net Amount( Settlement)</t>
  </si>
  <si>
    <t>195NnUdrmvj9pdLwUtAAbMID9Y0gzC3G62LqP8cuCaDg</t>
  </si>
  <si>
    <t>Nirvana Process Date</t>
  </si>
  <si>
    <t>OCC Fee</t>
  </si>
  <si>
    <t>Option Premium Adjustment</t>
  </si>
  <si>
    <t>SelectTradeUnexpiredUnsettled</t>
  </si>
  <si>
    <t>ORF Fee</t>
  </si>
  <si>
    <t>1GR9lqEAKTs2TuE_75WyIycc_xLxRNB3Bn-ZxKwiGjkg</t>
  </si>
  <si>
    <t>Original Purchase Date</t>
  </si>
  <si>
    <t>OSISSymbol</t>
  </si>
  <si>
    <t>Other Broker Fees</t>
  </si>
  <si>
    <t>Prana Msg Type</t>
  </si>
  <si>
    <t>CashSettlementAtCost</t>
  </si>
  <si>
    <t>Principal Amount( Base)</t>
  </si>
  <si>
    <t>1IXFaZ7UVAx9-6753C2uxNM27NY7vDEQWJYMZUXnt0u0</t>
  </si>
  <si>
    <t>Principal Amount( Local)</t>
  </si>
  <si>
    <t>Process Date</t>
  </si>
  <si>
    <t>Proxy Symbol</t>
  </si>
  <si>
    <t>CashSettlementAtZeroPrice</t>
  </si>
  <si>
    <t>Put Or Call</t>
  </si>
  <si>
    <t>1BwT3UNa73WMfUma2mtizT22Nb53bFCgTfgxzt04zBR8</t>
  </si>
  <si>
    <t>SEC Fee</t>
  </si>
  <si>
    <t>Sedol Symbol</t>
  </si>
  <si>
    <t>Settl Curr Amt</t>
  </si>
  <si>
    <t>CashSettlementAtClosingDtSpotPx</t>
  </si>
  <si>
    <t>Settlement Currency</t>
  </si>
  <si>
    <t>Settlement Date</t>
  </si>
  <si>
    <t>164yyq4hxGsC0xKtanZaNgkEQTrnLRHMl8b6Zgovhnr4</t>
  </si>
  <si>
    <t>Settlement Fx Operator</t>
  </si>
  <si>
    <t>Settlement FXRate</t>
  </si>
  <si>
    <t>Side</t>
  </si>
  <si>
    <t>PhysicalSettlement</t>
  </si>
  <si>
    <t>1UU6o44Z9a8fTHaepsBrZ45qMtCcBrubrTQHBNTcVb5s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</si>
  <si>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</si>
  <si>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</si>
  <si>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</si>
  <si>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</si>
  <si>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</si>
  <si>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</si>
  <si>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Expire</t>
  </si>
  <si>
    <t>Total Commission And Fee</t>
  </si>
  <si>
    <t>1xPawsjKKvh5Jn1inhf-YxiYbDqXFALMlUizPwnEaYco</t>
  </si>
  <si>
    <t>Total Commission Per Share</t>
  </si>
  <si>
    <t>Trade Attribute 3</t>
  </si>
  <si>
    <t>Trade Attribute 4</t>
  </si>
  <si>
    <t>Trade Attribute 5</t>
  </si>
  <si>
    <t>ExerciseAssignment</t>
  </si>
  <si>
    <t>Trade Attribute 6</t>
  </si>
  <si>
    <t>1x0jJL6k1jZdIJAed8Va4B0pndCuIukdd26n4S_YSG6k</t>
  </si>
  <si>
    <t>Trade Attribute 1</t>
  </si>
  <si>
    <t>Trading Account</t>
  </si>
  <si>
    <t>Transaction Levy</t>
  </si>
  <si>
    <t>ExerciseAssignmentAtZero</t>
  </si>
  <si>
    <t>Transaction Source</t>
  </si>
  <si>
    <t>Transaction Type</t>
  </si>
  <si>
    <t>17IHK1OiKPBxLJX6_PaZJWhyYIJFsBFHhnIN9Sy-K3l0</t>
  </si>
  <si>
    <t>UnAllocated Qty</t>
  </si>
  <si>
    <t>Underlying</t>
  </si>
  <si>
    <t>Underlying Delta</t>
  </si>
  <si>
    <t>SwapExpireAndRollover</t>
  </si>
  <si>
    <t>Underlying Symbol</t>
  </si>
  <si>
    <t>1a0dMfr_t-HsAUI3VT2eU87qBF1UX8F7f-zfY8soPOhI</t>
  </si>
  <si>
    <t>User</t>
  </si>
  <si>
    <t>Closing Method</t>
  </si>
  <si>
    <t>VerifyExpiredSettledGrid</t>
  </si>
  <si>
    <t>1rlLUvDshQkhyWSYHLONgihvxwz7h1Q30rDoxvZi4vNo</t>
  </si>
  <si>
    <t>VerifyUnExpiredUnSettledGrid</t>
  </si>
  <si>
    <t>188t8k2XsgA8054SApBaXlrMg0iwRnFElLRnrR1DMZN4</t>
  </si>
  <si>
    <t>UnWindTradeSettlement</t>
  </si>
  <si>
    <t>1nbPkbT2aMN9acqh97pvEUWlL22b_NqaicNP8WtVkzLQ</t>
  </si>
  <si>
    <t>Trade Attribute 2</t>
  </si>
  <si>
    <t>Closing Date</t>
  </si>
  <si>
    <t>1DiN0TME4VohlSBPppY6I36u-rE4_1ChA7bjC1GFkz3E</t>
  </si>
  <si>
    <t>VerifyCloseOrder</t>
  </si>
  <si>
    <t>1L73dI6MLd-SqinsIoR3OiIL0qQev02kmMZod7ms1Ypo</t>
  </si>
  <si>
    <t>UnWindCloseOrder</t>
  </si>
  <si>
    <t>12lwdi9cfPyRBFPnDJZNUdiDyHkyZQSMEp37XW1wozbk</t>
  </si>
  <si>
    <t>ClosingCleanUp</t>
  </si>
  <si>
    <t>15orRiioRUQ09okhbGqSNUMc7hxx2CTcL9nP3dmwl638</t>
  </si>
  <si>
    <t>CloseClosingUI</t>
  </si>
  <si>
    <t>1c8hu3an6CMmn2_3LtmV5o8MmZCxXuJFsWNBHQFwfO8U</t>
  </si>
  <si>
    <t>GetDailyCalculationsData</t>
  </si>
  <si>
    <t>1LbaWnR1LPaDi4l23bA3_UG8z3N3AdQxJD0xStGsf9f4</t>
  </si>
  <si>
    <t>CalculateDailyCalculations</t>
  </si>
  <si>
    <t>EditOpeningBalanceTransaction</t>
  </si>
  <si>
    <t>1sgS_hskUjJw0gkemh2egH3kSj8YqpAr-8dhRpydHipU</t>
  </si>
  <si>
    <t>EditOpeningBalanceTranItem</t>
  </si>
  <si>
    <t>15KffQ6ePoW2jTNkma2M6RrO7J8Flv36n0BBpGSPJGKM</t>
  </si>
  <si>
    <t>UpdateNAV</t>
  </si>
  <si>
    <t>1uQ-rNn5nHXaf1DEBVyj2EVa5utyXLApas_8tiNZyw7s</t>
  </si>
  <si>
    <t>VerifyDailyCalTransactions</t>
  </si>
  <si>
    <t>16LYUA3YlIycu91nkFHk6ik1BxNHLbWcYLUNoLQ82KME</t>
  </si>
  <si>
    <t>UpdateDailyCreditLimt</t>
  </si>
  <si>
    <t>1bwXA7_03ubAfXxvMqc3J-COiiXwUj9RgsxoE_X_QAuU</t>
  </si>
  <si>
    <t>RemoveDailyCreditLimit</t>
  </si>
  <si>
    <t>1e25G_BmRdKpqSe50k_Af5eNoqA1z5Sjl2-E_yy406JI</t>
  </si>
  <si>
    <t>RemoveDailyCash</t>
  </si>
  <si>
    <t>1vQflYMKRcOsPOnrrKOyDLpDdU4rpPt0GIPhqFF73ZGc</t>
  </si>
  <si>
    <t>RemoveNAV</t>
  </si>
  <si>
    <t>1r3RDxvLInheaVRPwem9gycqLCrlldgX0sbe77MG9y_0</t>
  </si>
  <si>
    <t>FilterPM</t>
  </si>
  <si>
    <t>1nvecgblxA4FR1WE9CWSMBtnuGGuFglRPYVX_zcBRbcE</t>
  </si>
  <si>
    <t>GroupRowPM</t>
  </si>
  <si>
    <t>1UDr0R24mBV6xxuNjLvlxiA1qwWvdLPfTi0vDMD2gi2w</t>
  </si>
  <si>
    <t>CheckDashboardWithPM</t>
  </si>
  <si>
    <t>RemoveFilterPM</t>
  </si>
  <si>
    <t>CheckSummaryRowsPM</t>
  </si>
  <si>
    <t>1DeRs5EiFDP25mQi6NyGTv0UX0c0cerzJdJ0Yi5OyhAM</t>
  </si>
  <si>
    <t>CloseGeneralLedger</t>
  </si>
  <si>
    <t>ReplaceStageOrder</t>
  </si>
  <si>
    <t>1HxE5MMxUveEoJm1wQyolzCPPLh1jTQKDomJaLfOMptg</t>
  </si>
  <si>
    <t>VerifyAccountDetails</t>
  </si>
  <si>
    <t>1Ucf95Hgr3H8DPeWlPvQ5MwRcAuD1ebQb0FT2rnX-lmw</t>
  </si>
  <si>
    <t>1Eo5wTXgx2jbrTA3or-gc7AX70FMcgfiqu-RyiDwfXQA</t>
  </si>
  <si>
    <t>AddNewTransaction</t>
  </si>
  <si>
    <t>1nJuFXpTh6im7nsD5koUSLgoxaCqoWlPMxW97lk22lxU</t>
  </si>
  <si>
    <t>1U9YWHjK_PrsPh-k68PQr6O6_wuagb4wYtsyuo7qkU90</t>
  </si>
  <si>
    <t>1tSou7BmVwlLyUTvLSWvudQMbqk4kpIesfCOofFmFN-o</t>
  </si>
  <si>
    <t>PricingServer</t>
  </si>
  <si>
    <t>RestartPricingServer</t>
  </si>
  <si>
    <t>1mB319G-aSHgxPhqZPNWGDqgBZcGLWK3Tk5PR5YX0VNk</t>
  </si>
  <si>
    <t>TradeServer</t>
  </si>
  <si>
    <t>RestartServer</t>
  </si>
  <si>
    <t>1Zg0W6fM8fNMw692Kf_7S1uJ4ut2TWflmE4cwmEer5zo</t>
  </si>
  <si>
    <t>PranaClient</t>
  </si>
  <si>
    <t>RestartClient</t>
  </si>
  <si>
    <t>1vaWJ5vIOh9jPOAGmF9K2BQlycSVKqTcN69xkpmeW5fE</t>
  </si>
  <si>
    <t>PTT</t>
  </si>
  <si>
    <t>CalculatePTT</t>
  </si>
  <si>
    <t>1ZqcNDJbkfP2KMLGB9BdXNenCrW_fnwEgM6Q7o7M99XQ</t>
  </si>
  <si>
    <t>TradeUsingPTT</t>
  </si>
  <si>
    <t>1PFaLRqOG1Ey_n_PETSs7USJJXapF65CdnZcwEiBOHoc</t>
  </si>
  <si>
    <t>StageOrderUsingPTT</t>
  </si>
  <si>
    <t>1rP8eid07R55k0rZay7yrEpZe5Y1IFMI2sNbeXs_8VPs</t>
  </si>
  <si>
    <t>CreateOrderPTT</t>
  </si>
  <si>
    <t>1H7EMT9E0x1GLYf1J_E9vn3QsSmyZoTJ1Mrhx4yLJDBY</t>
  </si>
  <si>
    <t>TradePTT</t>
  </si>
  <si>
    <t>1gyH52pmQZW-Y8-BV-t1d1RBlOyCnOtB_5s1-VpyHsjc</t>
  </si>
  <si>
    <t>VerifyPTT</t>
  </si>
  <si>
    <t>1N1LhOCchhPLvuAo4L3lDpiPYbBEM0LwiHy_U1R2or4A</t>
  </si>
  <si>
    <t>OpenPTTFromPM</t>
  </si>
  <si>
    <t>16UfwvOn5xhe2uxS58M3T3Sunw2dUiXScIt2IOSEIg20</t>
  </si>
  <si>
    <t>OpenMultiTTFromPTT</t>
  </si>
  <si>
    <t>1izqBFuMnInm8QlZ5oSGHXP3A0ZNn5RQQpH5xfBS5D1E</t>
  </si>
  <si>
    <t>SelectMultiTT</t>
  </si>
  <si>
    <t>1cmje78_Gx-4LVVVAaP08j0Jv0yRZ80GC1yQAora7yJQ</t>
  </si>
  <si>
    <t>EditMultiTT</t>
  </si>
  <si>
    <t>1MZzeR0tvjDEdFuxZ5GEuj4wtnO_DOzlghI1Hgj2rTYE</t>
  </si>
  <si>
    <t>EditTradeUsingMTT</t>
  </si>
  <si>
    <t>1prmvVgdNA2N5OjSBMDG9tiQYyGom2zxYF9XuYyNwz5w</t>
  </si>
  <si>
    <t>SelectTradeUsingMTT</t>
  </si>
  <si>
    <t>1E2adE8BbNKV7DMgfyEvvpAGkECjH0whM3wRzZN9yNOg</t>
  </si>
  <si>
    <t>GetPriceUsingMTT</t>
  </si>
  <si>
    <t>1u2bX7gAjmRf_pG7vdA6yBh7NPDTKKti0oWskUNzgIVM</t>
  </si>
  <si>
    <t>DoneAwayUsingMTT</t>
  </si>
  <si>
    <t>1lJRpK6c_KF0yDl45QyIHhnGZ7O9MtpgXuOoKeBmcUX4</t>
  </si>
  <si>
    <t>SendOrderUsingMTT</t>
  </si>
  <si>
    <t>1RaS1D0f_4zN7snwW_skw-jG8EAZIx3R7qRljT2LMDl8</t>
  </si>
  <si>
    <t>BulkChangeTradeDoneAway</t>
  </si>
  <si>
    <t>1wb1XL9gWDoixLhYuip2-3UcElFyHb8iivWWtW92Cdbo</t>
  </si>
  <si>
    <t>MultiTradingTicketFromBlotter</t>
  </si>
  <si>
    <t>DeleteClientData</t>
  </si>
  <si>
    <t>1BPqboT6ZthFmm60lM6mh2z1qAh2fptZ5pKD3Ck2uhhw</t>
  </si>
  <si>
    <t>1XFmAEa3gET3_k_QbsPgqHmuvDQGOj5iyOp3KMwbgx34</t>
  </si>
  <si>
    <t>1XGmjpfbvtIlyQBYohLDveaEVx7TvObFt7azJEAZ4xeY</t>
  </si>
  <si>
    <t>1-2xY0fXXVAdYd83_H2gR2hp5Tu1HolzX10s2-dFdvFA</t>
  </si>
  <si>
    <t>1w8VqFLngDaMwvKdxQ8ZQi2XbmqU2g_RJIerwor7XCRs</t>
  </si>
  <si>
    <t>1LSyzer9Hqmf3PYbNIKHxHr-XoJNCaJ7mwiEasHGzE2Y</t>
  </si>
  <si>
    <t>1AXk7MqXtefLd-_TA4Haaup6sbjrz4Hof3xY30gxr-aQ</t>
  </si>
  <si>
    <t>SetAccountFactor</t>
  </si>
  <si>
    <t>1DsXZtIVe8QPH2PNtUCnKQjKSBU1s_Ayixo-1WyyUJVw</t>
  </si>
  <si>
    <t>1xizDm4R9uOSlwqCD52u6Q6gnT8H6K1SQjLPr9MqaeIM</t>
  </si>
  <si>
    <t>ViewAllocationDetailsWorkingSubs</t>
  </si>
  <si>
    <t>SelectTradeWorkingSub</t>
  </si>
  <si>
    <t>Transaction Time</t>
  </si>
  <si>
    <t>Position</t>
  </si>
  <si>
    <t>Algo</t>
  </si>
  <si>
    <t>Avg Fill Price (Base)</t>
  </si>
  <si>
    <t>MasterFund</t>
  </si>
  <si>
    <t>Bloomberg Symbol</t>
  </si>
  <si>
    <t>Cost Basis</t>
  </si>
  <si>
    <t>Limit Price</t>
  </si>
  <si>
    <t>Position Side</t>
  </si>
  <si>
    <t>Market Value (Base)</t>
  </si>
  <si>
    <t>% Day P&amp;L (Gross MV)</t>
  </si>
  <si>
    <t>Net Exposure (Base)</t>
  </si>
  <si>
    <t>Beta Adj. Gross Exposure (Base)</t>
  </si>
  <si>
    <t>Working Qty</t>
  </si>
  <si>
    <t>Beta Adj. Gross Exposure (Underlying) (Base)</t>
  </si>
  <si>
    <t>Day P&amp;L (Base)</t>
  </si>
  <si>
    <t>Security Name</t>
  </si>
  <si>
    <t>Closing Mark</t>
  </si>
  <si>
    <t>Cost Basis P&amp;L (Base)</t>
  </si>
  <si>
    <t>Underlying Country</t>
  </si>
  <si>
    <t>Prime Broker</t>
  </si>
  <si>
    <t>Asset Class</t>
  </si>
  <si>
    <t>Trade Currency</t>
  </si>
  <si>
    <t>Multiplier</t>
  </si>
  <si>
    <t>Vs Currency</t>
  </si>
  <si>
    <t>Lead Currency</t>
  </si>
  <si>
    <t>Strike Price</t>
  </si>
  <si>
    <t>Dividend Yield (%)</t>
  </si>
  <si>
    <t>Stop Price</t>
  </si>
  <si>
    <t>% Change</t>
  </si>
  <si>
    <t>Net Exposure (Local)</t>
  </si>
  <si>
    <t>Settlement FxRate Operator</t>
  </si>
  <si>
    <t>Exposure (Local)</t>
  </si>
  <si>
    <t>Put/Call</t>
  </si>
  <si>
    <t>Delta Adj. Position</t>
  </si>
  <si>
    <t>Exposure (Base)</t>
  </si>
  <si>
    <t>Beta Adj. Exposure (Local)</t>
  </si>
  <si>
    <t>Peg</t>
  </si>
  <si>
    <t>Beta Adj. Exposure (Base)</t>
  </si>
  <si>
    <t>ParentClOrderID</t>
  </si>
  <si>
    <t>OrderID</t>
  </si>
  <si>
    <t>Exposure (BP)(Base)</t>
  </si>
  <si>
    <t>Master Fund</t>
  </si>
  <si>
    <t>Day P&amp;L (Local)</t>
  </si>
  <si>
    <t>Last Shares</t>
  </si>
  <si>
    <t>Leveraged Factor</t>
  </si>
  <si>
    <t>Master Strategy</t>
  </si>
  <si>
    <t>Imported File Name</t>
  </si>
  <si>
    <t>Transaction Side</t>
  </si>
  <si>
    <t>Day Average Price</t>
  </si>
  <si>
    <t>Underlying Price</t>
  </si>
  <si>
    <t>Side Multiplier</t>
  </si>
  <si>
    <t>Status</t>
  </si>
  <si>
    <t>FX Rate On Trade Date</t>
  </si>
  <si>
    <t>Cost Basis P&amp;L (Local)</t>
  </si>
  <si>
    <t>Day Interest</t>
  </si>
  <si>
    <t>% Executed</t>
  </si>
  <si>
    <t>Total Interest</t>
  </si>
  <si>
    <t>Day Executed Qty</t>
  </si>
  <si>
    <t>Market Value (Local)</t>
  </si>
  <si>
    <t>Remaining Qty</t>
  </si>
  <si>
    <t>% Gain/Loss Day</t>
  </si>
  <si>
    <t>Last Fill Price (Local)</t>
  </si>
  <si>
    <t>Update Time (Last Price)</t>
  </si>
  <si>
    <t>Avg Fill Price (Local)</t>
  </si>
  <si>
    <t>Beta</t>
  </si>
  <si>
    <t>Cash Impact (Local)</t>
  </si>
  <si>
    <t>User Asset</t>
  </si>
  <si>
    <t>Security Type</t>
  </si>
  <si>
    <t>Principal Amount (Local)</t>
  </si>
  <si>
    <t>Sector</t>
  </si>
  <si>
    <t>Principal Amount (Base)</t>
  </si>
  <si>
    <t>Sub Sector</t>
  </si>
  <si>
    <t>Settlement FxRate</t>
  </si>
  <si>
    <t>Country</t>
  </si>
  <si>
    <t>Settlement Price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</si>
  <si>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</si>
  <si>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</si>
  <si>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</si>
  <si>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</si>
  <si>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</si>
  <si>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</si>
  <si>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</si>
  <si>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</si>
  <si>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</si>
  <si>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</si>
  <si>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</si>
  <si>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</si>
  <si>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</si>
  <si>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</si>
  <si>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</si>
  <si>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</si>
  <si>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</si>
  <si>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</si>
  <si>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</si>
  <si>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</si>
  <si>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</si>
  <si>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</si>
  <si>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</si>
  <si>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</si>
  <si>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</si>
  <si>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</si>
  <si>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</si>
  <si>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</si>
  <si>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</si>
  <si>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Trade TEST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</si>
  <si>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</si>
  <si>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</si>
  <si>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</si>
  <si>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</si>
  <si>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</si>
  <si>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</si>
  <si>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</si>
  <si>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</si>
  <si>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</si>
  <si>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Strike Gap Risk</t>
  </si>
  <si>
    <t>Strike Gap Exposure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</si>
  <si>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</si>
  <si>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</si>
  <si>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</si>
  <si>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</si>
  <si>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</si>
  <si>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</si>
  <si>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</si>
  <si>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</si>
  <si>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</si>
  <si>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</si>
  <si>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</si>
  <si>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</si>
  <si>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</si>
  <si>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</si>
  <si>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</si>
  <si>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</si>
  <si>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</si>
  <si>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</si>
  <si>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</si>
  <si>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</si>
  <si>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</si>
  <si>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</si>
  <si>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</si>
  <si>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</si>
  <si>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</si>
  <si>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</si>
  <si>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</si>
  <si>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</si>
  <si>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</si>
  <si>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</si>
  <si>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</si>
  <si>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</si>
  <si>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</si>
  <si>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</si>
  <si>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</si>
  <si>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</si>
  <si>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</si>
  <si>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</si>
  <si>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</si>
  <si>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</si>
  <si>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</si>
  <si>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</si>
  <si>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Allocation1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</si>
  <si>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</si>
  <si>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</si>
  <si>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</si>
  <si>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</si>
  <si>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</si>
  <si>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</si>
  <si>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</si>
  <si>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Settlement Unit Cost</t>
  </si>
  <si>
    <t>Taxlot ID</t>
  </si>
  <si>
    <t>Total Fees and Commission</t>
  </si>
  <si>
    <t>UnderlyingName</t>
  </si>
  <si>
    <t>UnitCost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</si>
</sst>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sz val="11.0"/>
      <color rgb="FF000000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top/>
      <bottom/>
    </border>
    <border>
      <left/>
      <right/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4" fillId="0" fontId="4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5" fillId="3" fontId="6" numFmtId="0" xfId="0" applyAlignment="1" applyBorder="1" applyFill="1" applyFont="1">
      <alignment shrinkToFit="0" wrapText="0"/>
    </xf>
    <xf borderId="0" fillId="0" fontId="5" numFmtId="0" xfId="0" applyAlignment="1" applyFont="1">
      <alignment readingOrder="0" shrinkToFit="0" wrapText="0"/>
    </xf>
    <xf borderId="6" fillId="3" fontId="6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readingOrder="0" shrinkToFit="0" wrapText="0"/>
    </xf>
    <xf borderId="5" fillId="3" fontId="4" numFmtId="0" xfId="0" applyAlignment="1" applyBorder="1" applyFont="1">
      <alignment readingOrder="0" shrinkToFit="0" wrapText="0"/>
    </xf>
    <xf borderId="5" fillId="3" fontId="5" numFmtId="0" xfId="0" applyAlignment="1" applyBorder="1" applyFont="1">
      <alignment shrinkToFit="0" wrapText="0"/>
    </xf>
    <xf borderId="5" fillId="3" fontId="4" numFmtId="0" xfId="0" applyAlignment="1" applyBorder="1" applyFont="1">
      <alignment shrinkToFit="0" wrapText="0"/>
    </xf>
    <xf borderId="7" fillId="3" fontId="4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2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5" fillId="3" fontId="9" numFmtId="0" xfId="0" applyAlignment="1" applyBorder="1" applyFont="1">
      <alignment readingOrder="0" shrinkToFit="0" wrapText="0"/>
    </xf>
    <xf borderId="5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5" fillId="6" fontId="6" numFmtId="0" xfId="0" applyAlignment="1" applyBorder="1" applyFont="1">
      <alignment shrinkToFit="0" wrapText="0"/>
    </xf>
    <xf borderId="0" fillId="6" fontId="10" numFmtId="0" xfId="0" applyFont="1"/>
    <xf borderId="0" fillId="0" fontId="2" numFmtId="14" xfId="0" applyFont="1" applyNumberFormat="1"/>
    <xf borderId="8" fillId="7" fontId="13" numFmtId="0" xfId="0" applyAlignment="1" applyBorder="1" applyFill="1" applyFont="1">
      <alignment horizontal="center" readingOrder="0" vertical="bottom"/>
    </xf>
    <xf borderId="8" fillId="4" fontId="14" numFmtId="164" xfId="0" applyAlignment="1" applyBorder="1" applyFont="1" applyNumberFormat="1">
      <alignment horizontal="center" readingOrder="0" vertical="bottom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23950" cy="2286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62050" cy="2286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23950" cy="2286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62050" cy="2286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23950" cy="2286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62050" cy="228600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23950" cy="2286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62050" cy="228600"/>
        </a:xfrm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23950" cy="2286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62050" cy="228600"/>
        </a:xfrm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23950" cy="2286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62050" cy="228600"/>
        </a:xfrm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23950" cy="2286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62050" cy="228600"/>
        </a:xfrm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23950" cy="228600"/>
        </a:xfrm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62050" cy="228600"/>
        </a:xfrm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8"/>
      <c r="B2" s="8"/>
      <c r="C2" s="8"/>
      <c r="D2" s="8"/>
      <c r="E2" s="8"/>
      <c r="F2" s="8"/>
    </row>
    <row r="3" ht="15.75" customHeight="1">
      <c r="A3" s="9" t="s">
        <v>5</v>
      </c>
      <c r="B3" s="14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8" t="s">
        <v>11</v>
      </c>
      <c r="C4" s="8" t="s">
        <v>12</v>
      </c>
      <c r="D4" s="8"/>
      <c r="E4" s="8"/>
      <c r="F4" s="8"/>
    </row>
    <row r="5" ht="15.75" customHeight="1">
      <c r="A5" s="7" t="s">
        <v>13</v>
      </c>
      <c r="B5" s="8" t="s">
        <v>14</v>
      </c>
      <c r="C5" s="8" t="s">
        <v>15</v>
      </c>
      <c r="D5" s="8"/>
      <c r="E5" s="8"/>
      <c r="F5" s="8"/>
    </row>
    <row r="6" ht="15.75" customHeight="1">
      <c r="A6" s="8" t="s">
        <v>13</v>
      </c>
      <c r="B6" s="8" t="s">
        <v>16</v>
      </c>
      <c r="C6" s="8" t="s">
        <v>17</v>
      </c>
      <c r="D6" s="8"/>
      <c r="E6" s="8"/>
      <c r="F6" s="8"/>
    </row>
    <row r="7" ht="15.75" customHeight="1">
      <c r="A7" s="8" t="s">
        <v>13</v>
      </c>
      <c r="B7" s="8" t="s">
        <v>18</v>
      </c>
      <c r="C7" s="8" t="s">
        <v>19</v>
      </c>
      <c r="D7" s="8"/>
      <c r="E7" s="8"/>
      <c r="F7" s="8"/>
    </row>
    <row r="8" ht="15.75" customHeight="1">
      <c r="A8" s="8" t="s">
        <v>13</v>
      </c>
      <c r="B8" s="8" t="s">
        <v>20</v>
      </c>
      <c r="C8" s="8" t="s">
        <v>17</v>
      </c>
      <c r="D8" s="8"/>
      <c r="E8" s="8"/>
      <c r="F8" s="8"/>
    </row>
    <row r="9" ht="15.75" customHeight="1">
      <c r="A9" s="8" t="s">
        <v>13</v>
      </c>
      <c r="B9" s="8" t="s">
        <v>21</v>
      </c>
      <c r="C9" s="8" t="s">
        <v>22</v>
      </c>
      <c r="D9" s="8"/>
      <c r="E9" s="8"/>
      <c r="F9" s="8"/>
    </row>
    <row r="10" ht="15.75" customHeight="1">
      <c r="A10" s="8" t="s">
        <v>13</v>
      </c>
      <c r="B10" s="8" t="s">
        <v>23</v>
      </c>
      <c r="C10" s="8" t="s">
        <v>22</v>
      </c>
      <c r="D10" s="8"/>
      <c r="E10" s="8"/>
      <c r="F10" s="8"/>
    </row>
    <row r="11" ht="15.75" customHeight="1">
      <c r="A11" s="8" t="s">
        <v>13</v>
      </c>
      <c r="B11" s="8" t="s">
        <v>24</v>
      </c>
      <c r="C11" s="8" t="s">
        <v>12</v>
      </c>
      <c r="D11" s="8"/>
      <c r="E11" s="8"/>
      <c r="F11" s="8"/>
    </row>
    <row r="12" ht="15.75" customHeight="1">
      <c r="A12" s="8" t="s">
        <v>25</v>
      </c>
      <c r="B12" s="8" t="s">
        <v>26</v>
      </c>
      <c r="C12" s="8" t="s">
        <v>12</v>
      </c>
      <c r="D12" s="8"/>
      <c r="E12" s="8"/>
      <c r="F12" s="8"/>
    </row>
    <row r="13" ht="15.75" customHeight="1">
      <c r="A13" s="8" t="s">
        <v>25</v>
      </c>
      <c r="B13" s="8" t="s">
        <v>27</v>
      </c>
      <c r="C13" s="8" t="s">
        <v>28</v>
      </c>
      <c r="D13" s="8"/>
      <c r="E13" s="8"/>
      <c r="F13" s="8"/>
    </row>
    <row r="14" ht="15.75" customHeight="1">
      <c r="A14" s="8" t="s">
        <v>29</v>
      </c>
      <c r="B14" s="8" t="s">
        <v>30</v>
      </c>
      <c r="C14" s="8" t="s">
        <v>31</v>
      </c>
      <c r="D14" s="8"/>
      <c r="E14" s="8"/>
      <c r="F14" s="8"/>
    </row>
    <row r="15" ht="15.75" customHeight="1">
      <c r="A15" s="8" t="s">
        <v>29</v>
      </c>
      <c r="B15" s="8" t="s">
        <v>32</v>
      </c>
      <c r="C15" s="8" t="s">
        <v>33</v>
      </c>
      <c r="D15" s="8"/>
      <c r="E15" s="8"/>
      <c r="F15" s="8"/>
    </row>
    <row r="16" ht="15.75" customHeight="1">
      <c r="A16" s="8" t="s">
        <v>29</v>
      </c>
      <c r="B16" s="8" t="s">
        <v>34</v>
      </c>
      <c r="C16" s="8" t="s">
        <v>35</v>
      </c>
      <c r="D16" s="8"/>
      <c r="E16" s="8"/>
      <c r="F16" s="8"/>
    </row>
    <row r="17" ht="15.75" customHeight="1">
      <c r="A17" s="8" t="s">
        <v>29</v>
      </c>
      <c r="B17" s="8" t="s">
        <v>36</v>
      </c>
      <c r="C17" s="8" t="s">
        <v>37</v>
      </c>
      <c r="D17" s="8"/>
      <c r="E17" s="8"/>
      <c r="F17" s="8"/>
    </row>
    <row r="18" ht="15.75" customHeight="1">
      <c r="A18" s="8" t="s">
        <v>29</v>
      </c>
      <c r="B18" s="8" t="s">
        <v>38</v>
      </c>
      <c r="C18" s="8" t="s">
        <v>39</v>
      </c>
      <c r="D18" s="8"/>
      <c r="E18" s="8"/>
      <c r="F18" s="8"/>
    </row>
    <row r="19" ht="15.75" customHeight="1">
      <c r="A19" s="8" t="s">
        <v>29</v>
      </c>
      <c r="B19" s="8" t="s">
        <v>40</v>
      </c>
      <c r="C19" s="8" t="s">
        <v>41</v>
      </c>
      <c r="D19" s="8"/>
      <c r="E19" s="8"/>
      <c r="F19" s="8"/>
    </row>
    <row r="20" ht="15.75" customHeight="1">
      <c r="A20" s="8" t="s">
        <v>29</v>
      </c>
      <c r="B20" s="8" t="s">
        <v>42</v>
      </c>
      <c r="C20" s="8" t="s">
        <v>43</v>
      </c>
      <c r="D20" s="8"/>
      <c r="E20" s="8"/>
      <c r="F20" s="8"/>
    </row>
    <row r="21" ht="15.75" customHeight="1">
      <c r="A21" s="8" t="s">
        <v>44</v>
      </c>
      <c r="B21" s="8" t="s">
        <v>44</v>
      </c>
      <c r="C21" s="8" t="s">
        <v>45</v>
      </c>
      <c r="D21" s="8"/>
      <c r="E21" s="8"/>
      <c r="F21" s="8"/>
    </row>
    <row r="22" ht="15.75" customHeight="1">
      <c r="A22" s="8" t="s">
        <v>46</v>
      </c>
      <c r="B22" s="8" t="s">
        <v>46</v>
      </c>
      <c r="C22" s="8" t="s">
        <v>47</v>
      </c>
      <c r="D22" s="8"/>
      <c r="E22" s="8"/>
      <c r="F22" s="8"/>
    </row>
    <row r="23" ht="15.75" customHeight="1">
      <c r="A23" s="8" t="s">
        <v>48</v>
      </c>
      <c r="B23" s="8" t="s">
        <v>49</v>
      </c>
      <c r="C23" s="8" t="s">
        <v>50</v>
      </c>
      <c r="D23" s="8"/>
      <c r="E23" s="8"/>
      <c r="F23" s="8"/>
    </row>
    <row r="24" ht="15.75" customHeight="1">
      <c r="A24" s="8" t="s">
        <v>48</v>
      </c>
      <c r="B24" s="8" t="s">
        <v>51</v>
      </c>
      <c r="C24" s="8" t="s">
        <v>52</v>
      </c>
      <c r="D24" s="8"/>
      <c r="E24" s="8"/>
      <c r="F24" s="8"/>
    </row>
    <row r="25" ht="15.75" customHeight="1">
      <c r="A25" s="8" t="s">
        <v>48</v>
      </c>
      <c r="B25" s="8" t="s">
        <v>53</v>
      </c>
      <c r="C25" s="8" t="s">
        <v>54</v>
      </c>
      <c r="D25" s="8"/>
      <c r="E25" s="8"/>
      <c r="F25" s="8"/>
    </row>
    <row r="26" ht="15.75" customHeight="1">
      <c r="A26" s="8" t="s">
        <v>48</v>
      </c>
      <c r="B26" s="8" t="s">
        <v>55</v>
      </c>
      <c r="C26" s="8" t="s">
        <v>56</v>
      </c>
      <c r="D26" s="8"/>
      <c r="E26" s="8"/>
      <c r="F26" s="8"/>
    </row>
    <row r="27" ht="15.75" customHeight="1">
      <c r="A27" s="8" t="s">
        <v>57</v>
      </c>
      <c r="B27" s="8" t="s">
        <v>57</v>
      </c>
      <c r="C27" s="8" t="s">
        <v>58</v>
      </c>
      <c r="D27" s="8"/>
      <c r="E27" s="8"/>
      <c r="F27" s="8"/>
    </row>
    <row r="28" ht="15.75" customHeight="1">
      <c r="A28" s="8" t="s">
        <v>59</v>
      </c>
      <c r="B28" s="8" t="s">
        <v>60</v>
      </c>
      <c r="C28" s="8" t="s">
        <v>61</v>
      </c>
      <c r="D28" s="8"/>
      <c r="E28" s="8"/>
      <c r="F28" s="8"/>
    </row>
    <row r="29" ht="15.75" customHeight="1">
      <c r="A29" s="8" t="s">
        <v>59</v>
      </c>
      <c r="B29" s="8" t="s">
        <v>62</v>
      </c>
      <c r="C29" s="8" t="s">
        <v>63</v>
      </c>
      <c r="D29" s="8"/>
      <c r="E29" s="8"/>
      <c r="F29" s="8"/>
    </row>
    <row r="30" ht="15.75" customHeight="1">
      <c r="A30" s="8" t="s">
        <v>64</v>
      </c>
      <c r="B30" s="8" t="s">
        <v>64</v>
      </c>
      <c r="C30" s="8" t="s">
        <v>65</v>
      </c>
      <c r="D30" s="8"/>
      <c r="E30" s="8"/>
      <c r="F30" s="8"/>
    </row>
    <row r="31" ht="15.75" customHeight="1">
      <c r="A31" s="8" t="s">
        <v>64</v>
      </c>
      <c r="B31" s="8" t="s">
        <v>66</v>
      </c>
      <c r="C31" s="8" t="s">
        <v>67</v>
      </c>
      <c r="D31" s="8"/>
      <c r="E31" s="8"/>
      <c r="F31" s="8"/>
    </row>
    <row r="32" ht="15.75" customHeight="1">
      <c r="A32" s="8" t="s">
        <v>68</v>
      </c>
      <c r="B32" s="8" t="s">
        <v>68</v>
      </c>
      <c r="C32" s="8" t="s">
        <v>69</v>
      </c>
      <c r="D32" s="8"/>
      <c r="E32" s="8"/>
      <c r="F32" s="8"/>
    </row>
    <row r="33" ht="15.75" customHeight="1">
      <c r="A33" s="8" t="s">
        <v>68</v>
      </c>
      <c r="B33" s="8" t="s">
        <v>70</v>
      </c>
      <c r="C33" s="8" t="s">
        <v>71</v>
      </c>
      <c r="D33" s="8"/>
      <c r="E33" s="8"/>
      <c r="F33" s="8"/>
    </row>
    <row r="34" ht="15.75" customHeight="1">
      <c r="A34" t="s">
        <v>68</v>
      </c>
      <c r="B34" t="s">
        <v>72</v>
      </c>
      <c r="C34" t="s">
        <v>73</v>
      </c>
    </row>
    <row r="35" ht="15.75" customHeight="1">
      <c r="A35" t="s">
        <v>68</v>
      </c>
      <c r="B35" t="s">
        <v>74</v>
      </c>
      <c r="C35" t="s">
        <v>75</v>
      </c>
    </row>
    <row r="36" ht="15.75" customHeight="1">
      <c r="A36" t="s">
        <v>68</v>
      </c>
      <c r="B36" t="s">
        <v>76</v>
      </c>
      <c r="C36" t="s">
        <v>77</v>
      </c>
    </row>
    <row r="37" ht="15.75" customHeight="1">
      <c r="A37" t="s">
        <v>78</v>
      </c>
      <c r="B37" t="s">
        <v>79</v>
      </c>
      <c r="C37" t="s">
        <v>80</v>
      </c>
    </row>
    <row r="38" ht="15.75" customHeight="1">
      <c r="A38" t="s">
        <v>78</v>
      </c>
      <c r="B38" t="s">
        <v>81</v>
      </c>
      <c r="C38" t="s">
        <v>12</v>
      </c>
    </row>
    <row r="39" ht="15.75" customHeight="1">
      <c r="A39" t="s">
        <v>78</v>
      </c>
      <c r="B39" t="s">
        <v>82</v>
      </c>
      <c r="C39" t="s">
        <v>12</v>
      </c>
    </row>
    <row r="40" ht="15.75" customHeight="1">
      <c r="A40" t="s">
        <v>78</v>
      </c>
      <c r="B40" t="s">
        <v>83</v>
      </c>
      <c r="C40" t="s">
        <v>84</v>
      </c>
    </row>
    <row r="41" ht="15.75" customHeight="1">
      <c r="A41" t="s">
        <v>78</v>
      </c>
      <c r="B41" t="s">
        <v>85</v>
      </c>
      <c r="C41" t="s">
        <v>86</v>
      </c>
    </row>
    <row r="42" ht="15.75" customHeight="1">
      <c r="A42" t="s">
        <v>13</v>
      </c>
      <c r="B42" t="s">
        <v>87</v>
      </c>
      <c r="C42" t="s">
        <v>12</v>
      </c>
    </row>
    <row r="43" ht="15.75" customHeight="1">
      <c r="A43" t="s">
        <v>44</v>
      </c>
      <c r="B43" t="s">
        <v>87</v>
      </c>
      <c r="C43" t="s">
        <v>88</v>
      </c>
    </row>
    <row r="44" ht="15.75" customHeight="1">
      <c r="A44" t="s">
        <v>89</v>
      </c>
      <c r="B44" t="s">
        <v>90</v>
      </c>
      <c r="C44" t="s">
        <v>91</v>
      </c>
    </row>
    <row r="45" ht="15.75" customHeight="1">
      <c r="A45" t="s">
        <v>89</v>
      </c>
      <c r="B45" t="s">
        <v>92</v>
      </c>
      <c r="C45" t="s">
        <v>93</v>
      </c>
    </row>
    <row r="46" ht="15.75" customHeight="1">
      <c r="A46" t="s">
        <v>89</v>
      </c>
      <c r="B46" t="s">
        <v>94</v>
      </c>
      <c r="C46" t="s">
        <v>95</v>
      </c>
    </row>
    <row r="47" ht="15.75" customHeight="1">
      <c r="A47" t="s">
        <v>89</v>
      </c>
      <c r="B47" t="s">
        <v>96</v>
      </c>
      <c r="C47" t="s">
        <v>97</v>
      </c>
    </row>
    <row r="48" ht="15.75" customHeight="1">
      <c r="A48" t="s">
        <v>59</v>
      </c>
      <c r="B48" t="s">
        <v>98</v>
      </c>
      <c r="C48" t="s">
        <v>99</v>
      </c>
    </row>
    <row r="49" ht="15.75" customHeight="1">
      <c r="A49" t="s">
        <v>100</v>
      </c>
      <c r="B49" t="s">
        <v>101</v>
      </c>
      <c r="C49" t="s">
        <v>102</v>
      </c>
    </row>
    <row r="50" ht="15.75" customHeight="1">
      <c r="A50" t="s">
        <v>44</v>
      </c>
      <c r="B50" t="s">
        <v>103</v>
      </c>
      <c r="C50" t="s">
        <v>104</v>
      </c>
    </row>
    <row r="51" ht="15.75" customHeight="1">
      <c r="A51" t="s">
        <v>44</v>
      </c>
      <c r="B51" t="s">
        <v>105</v>
      </c>
      <c r="C51" t="s">
        <v>106</v>
      </c>
    </row>
    <row r="52" ht="15.75" customHeight="1">
      <c r="A52" t="s">
        <v>44</v>
      </c>
      <c r="B52" t="s">
        <v>107</v>
      </c>
      <c r="C52" t="s">
        <v>108</v>
      </c>
    </row>
    <row r="53" ht="15.75" customHeight="1">
      <c r="A53" t="s">
        <v>44</v>
      </c>
      <c r="B53" t="s">
        <v>109</v>
      </c>
      <c r="C53" t="s">
        <v>110</v>
      </c>
    </row>
    <row r="54" ht="15.75" customHeight="1">
      <c r="A54" t="s">
        <v>44</v>
      </c>
      <c r="B54" t="s">
        <v>111</v>
      </c>
      <c r="C54" t="s">
        <v>112</v>
      </c>
    </row>
    <row r="55" ht="15.75" customHeight="1">
      <c r="A55" t="s">
        <v>44</v>
      </c>
      <c r="B55" t="s">
        <v>113</v>
      </c>
      <c r="C55" t="s">
        <v>114</v>
      </c>
    </row>
    <row r="56" ht="15.75" customHeight="1">
      <c r="A56" t="s">
        <v>44</v>
      </c>
      <c r="B56" t="s">
        <v>115</v>
      </c>
      <c r="C56" t="s">
        <v>116</v>
      </c>
    </row>
    <row r="57" ht="15.75" customHeight="1">
      <c r="A57" t="s">
        <v>100</v>
      </c>
      <c r="B57" t="s">
        <v>117</v>
      </c>
      <c r="C57" t="s">
        <v>12</v>
      </c>
    </row>
    <row r="58" ht="15.75" customHeight="1">
      <c r="A58" t="s">
        <v>48</v>
      </c>
      <c r="B58" t="s">
        <v>87</v>
      </c>
      <c r="C58" t="s">
        <v>12</v>
      </c>
    </row>
    <row r="59" ht="15.75" customHeight="1">
      <c r="A59" t="s">
        <v>13</v>
      </c>
      <c r="B59" t="s">
        <v>118</v>
      </c>
      <c r="C59" t="s">
        <v>119</v>
      </c>
    </row>
    <row r="60" ht="15.75" customHeight="1">
      <c r="A60" t="s">
        <v>13</v>
      </c>
      <c r="B60" t="s">
        <v>120</v>
      </c>
      <c r="C60" t="s">
        <v>121</v>
      </c>
    </row>
    <row r="61" ht="15.75" customHeight="1">
      <c r="A61" t="s">
        <v>13</v>
      </c>
      <c r="B61" t="s">
        <v>122</v>
      </c>
      <c r="C61" t="s">
        <v>123</v>
      </c>
    </row>
    <row r="62" ht="15.75" customHeight="1">
      <c r="A62" t="s">
        <v>13</v>
      </c>
      <c r="B62" t="s">
        <v>124</v>
      </c>
      <c r="C62" t="s">
        <v>125</v>
      </c>
    </row>
    <row r="63" ht="15.75" customHeight="1">
      <c r="A63" t="s">
        <v>13</v>
      </c>
      <c r="B63" t="s">
        <v>126</v>
      </c>
      <c r="C63" t="s">
        <v>127</v>
      </c>
    </row>
    <row r="64" ht="15.75" customHeight="1">
      <c r="A64" t="s">
        <v>13</v>
      </c>
      <c r="B64" t="s">
        <v>128</v>
      </c>
      <c r="C64" t="s">
        <v>129</v>
      </c>
    </row>
    <row r="65" ht="15.75" customHeight="1">
      <c r="A65" t="s">
        <v>13</v>
      </c>
      <c r="B65" t="s">
        <v>130</v>
      </c>
      <c r="C65" t="s">
        <v>131</v>
      </c>
    </row>
    <row r="66" ht="15.75" customHeight="1">
      <c r="A66" t="s">
        <v>13</v>
      </c>
      <c r="B66" t="s">
        <v>132</v>
      </c>
      <c r="C66" t="s">
        <v>133</v>
      </c>
    </row>
    <row r="67" ht="15.75" customHeight="1">
      <c r="A67" t="s">
        <v>13</v>
      </c>
      <c r="B67" t="s">
        <v>134</v>
      </c>
      <c r="C67" t="s">
        <v>135</v>
      </c>
    </row>
    <row r="68" ht="15.75" customHeight="1">
      <c r="A68" t="s">
        <v>13</v>
      </c>
      <c r="B68" t="s">
        <v>136</v>
      </c>
      <c r="C68" t="s">
        <v>137</v>
      </c>
    </row>
    <row r="69" ht="15.75" customHeight="1">
      <c r="A69" t="s">
        <v>13</v>
      </c>
      <c r="B69" t="s">
        <v>138</v>
      </c>
      <c r="C69" t="s">
        <v>139</v>
      </c>
    </row>
    <row r="70" ht="15.75" customHeight="1">
      <c r="A70" t="s">
        <v>13</v>
      </c>
      <c r="B70" t="s">
        <v>140</v>
      </c>
      <c r="C70" t="s">
        <v>141</v>
      </c>
    </row>
    <row r="71" ht="15.75" customHeight="1">
      <c r="A71" t="s">
        <v>13</v>
      </c>
      <c r="B71" t="s">
        <v>143</v>
      </c>
      <c r="C71" t="s">
        <v>144</v>
      </c>
    </row>
    <row r="72" ht="15.75" customHeight="1">
      <c r="A72" t="s">
        <v>13</v>
      </c>
      <c r="B72" t="s">
        <v>145</v>
      </c>
      <c r="C72" t="s">
        <v>146</v>
      </c>
    </row>
    <row r="73" ht="15.75" customHeight="1">
      <c r="A73" t="s">
        <v>13</v>
      </c>
      <c r="B73" t="s">
        <v>147</v>
      </c>
      <c r="C73" t="s">
        <v>148</v>
      </c>
    </row>
    <row r="74" ht="15.75" customHeight="1">
      <c r="A74" t="s">
        <v>13</v>
      </c>
      <c r="B74" t="s">
        <v>149</v>
      </c>
      <c r="C74" t="s">
        <v>150</v>
      </c>
    </row>
    <row r="75" ht="15.75" customHeight="1">
      <c r="A75" t="s">
        <v>13</v>
      </c>
      <c r="B75" t="s">
        <v>151</v>
      </c>
      <c r="C75" t="s">
        <v>152</v>
      </c>
    </row>
    <row r="76" ht="15.75" customHeight="1">
      <c r="A76" t="s">
        <v>13</v>
      </c>
      <c r="B76" t="s">
        <v>153</v>
      </c>
      <c r="C76" t="s">
        <v>154</v>
      </c>
    </row>
    <row r="77" ht="15.75" customHeight="1">
      <c r="A77" t="s">
        <v>13</v>
      </c>
      <c r="B77" t="s">
        <v>155</v>
      </c>
      <c r="C77" t="s">
        <v>156</v>
      </c>
    </row>
    <row r="78" ht="15.75" customHeight="1">
      <c r="A78" t="s">
        <v>13</v>
      </c>
      <c r="B78" t="s">
        <v>157</v>
      </c>
      <c r="C78" t="s">
        <v>158</v>
      </c>
    </row>
    <row r="79" ht="15.75" customHeight="1">
      <c r="A79" t="s">
        <v>159</v>
      </c>
      <c r="B79" t="s">
        <v>160</v>
      </c>
      <c r="C79" t="s">
        <v>161</v>
      </c>
    </row>
    <row r="80" ht="15.75" customHeight="1">
      <c r="A80" t="s">
        <v>159</v>
      </c>
      <c r="B80" t="s">
        <v>162</v>
      </c>
      <c r="C80" t="s">
        <v>163</v>
      </c>
    </row>
    <row r="81" ht="15.75" customHeight="1">
      <c r="A81" t="s">
        <v>100</v>
      </c>
      <c r="B81" t="s">
        <v>164</v>
      </c>
      <c r="C81" t="s">
        <v>165</v>
      </c>
    </row>
    <row r="82" ht="15.75" customHeight="1">
      <c r="A82" t="s">
        <v>100</v>
      </c>
      <c r="B82" t="s">
        <v>166</v>
      </c>
      <c r="C82" t="s">
        <v>12</v>
      </c>
    </row>
    <row r="83" ht="15.75" customHeight="1">
      <c r="A83" t="s">
        <v>100</v>
      </c>
      <c r="B83" t="s">
        <v>167</v>
      </c>
      <c r="C83" t="s">
        <v>168</v>
      </c>
    </row>
    <row r="84" ht="15.75" customHeight="1">
      <c r="A84" t="s">
        <v>100</v>
      </c>
      <c r="B84" t="s">
        <v>169</v>
      </c>
      <c r="C84" t="s">
        <v>170</v>
      </c>
    </row>
    <row r="85" ht="15.75" customHeight="1">
      <c r="A85" t="s">
        <v>25</v>
      </c>
      <c r="B85" t="s">
        <v>171</v>
      </c>
      <c r="C85" t="s">
        <v>172</v>
      </c>
    </row>
    <row r="86" ht="15.75" customHeight="1">
      <c r="A86" t="s">
        <v>100</v>
      </c>
      <c r="B86" t="s">
        <v>173</v>
      </c>
      <c r="C86" t="s">
        <v>174</v>
      </c>
    </row>
    <row r="87" ht="15.75" customHeight="1">
      <c r="A87" t="s">
        <v>29</v>
      </c>
      <c r="B87" t="s">
        <v>175</v>
      </c>
      <c r="C87" t="s">
        <v>176</v>
      </c>
    </row>
    <row r="88" ht="15.75" customHeight="1">
      <c r="A88" t="s">
        <v>29</v>
      </c>
      <c r="B88" t="s">
        <v>177</v>
      </c>
      <c r="C88" t="s">
        <v>31</v>
      </c>
    </row>
    <row r="89" ht="15.75" customHeight="1">
      <c r="A89" t="s">
        <v>13</v>
      </c>
      <c r="B89" t="s">
        <v>178</v>
      </c>
      <c r="C89" t="s">
        <v>179</v>
      </c>
    </row>
    <row r="90" ht="15.75" customHeight="1">
      <c r="A90" t="s">
        <v>13</v>
      </c>
      <c r="B90" t="s">
        <v>180</v>
      </c>
      <c r="C90" t="s">
        <v>181</v>
      </c>
    </row>
    <row r="91" ht="15.75" customHeight="1">
      <c r="A91" t="s">
        <v>13</v>
      </c>
      <c r="B91" t="s">
        <v>182</v>
      </c>
      <c r="C91" t="s">
        <v>183</v>
      </c>
    </row>
    <row r="92" ht="15.75" customHeight="1">
      <c r="A92" t="s">
        <v>13</v>
      </c>
      <c r="B92" t="s">
        <v>184</v>
      </c>
      <c r="C92" t="s">
        <v>141</v>
      </c>
    </row>
    <row r="93" ht="15.75" customHeight="1">
      <c r="A93" t="s">
        <v>29</v>
      </c>
      <c r="B93" t="s">
        <v>185</v>
      </c>
      <c r="C93" t="s">
        <v>186</v>
      </c>
    </row>
    <row r="94" ht="15.75" customHeight="1">
      <c r="A94" t="s">
        <v>13</v>
      </c>
      <c r="B94" t="s">
        <v>187</v>
      </c>
      <c r="C94" t="s">
        <v>188</v>
      </c>
    </row>
    <row r="95" ht="15.75" customHeight="1">
      <c r="A95" t="s">
        <v>29</v>
      </c>
      <c r="B95" t="s">
        <v>189</v>
      </c>
      <c r="C95" t="s">
        <v>190</v>
      </c>
    </row>
    <row r="96" ht="15.75" customHeight="1">
      <c r="A96" t="s">
        <v>13</v>
      </c>
      <c r="B96" t="s">
        <v>191</v>
      </c>
      <c r="C96" t="s">
        <v>192</v>
      </c>
    </row>
    <row r="97" ht="15.75" customHeight="1">
      <c r="A97" t="s">
        <v>29</v>
      </c>
      <c r="B97" t="s">
        <v>193</v>
      </c>
      <c r="C97" t="s">
        <v>194</v>
      </c>
    </row>
    <row r="98" ht="15.75" customHeight="1">
      <c r="A98" t="s">
        <v>13</v>
      </c>
      <c r="B98" t="s">
        <v>195</v>
      </c>
      <c r="C98" t="s">
        <v>196</v>
      </c>
    </row>
    <row r="99" ht="15.75" customHeight="1">
      <c r="A99" t="s">
        <v>29</v>
      </c>
      <c r="B99" t="s">
        <v>197</v>
      </c>
      <c r="C99" t="s">
        <v>33</v>
      </c>
    </row>
    <row r="100" ht="15.75" customHeight="1">
      <c r="A100" t="s">
        <v>13</v>
      </c>
      <c r="B100" t="s">
        <v>198</v>
      </c>
      <c r="C100" t="s">
        <v>199</v>
      </c>
    </row>
    <row r="101" ht="15.75" customHeight="1">
      <c r="A101" t="s">
        <v>29</v>
      </c>
      <c r="B101" t="s">
        <v>200</v>
      </c>
      <c r="C101" t="s">
        <v>201</v>
      </c>
    </row>
    <row r="102" ht="15.75" customHeight="1">
      <c r="A102" t="s">
        <v>13</v>
      </c>
      <c r="B102" t="s">
        <v>202</v>
      </c>
      <c r="C102" t="s">
        <v>203</v>
      </c>
    </row>
    <row r="103" ht="15.75" customHeight="1">
      <c r="A103" t="s">
        <v>29</v>
      </c>
      <c r="B103" t="s">
        <v>204</v>
      </c>
      <c r="C103" t="s">
        <v>205</v>
      </c>
    </row>
    <row r="104" ht="15.75" customHeight="1">
      <c r="A104" t="s">
        <v>13</v>
      </c>
      <c r="B104" t="s">
        <v>206</v>
      </c>
      <c r="C104" t="s">
        <v>207</v>
      </c>
    </row>
    <row r="105" ht="15.75" customHeight="1">
      <c r="A105" t="s">
        <v>29</v>
      </c>
      <c r="B105" t="s">
        <v>208</v>
      </c>
      <c r="C105" t="s">
        <v>209</v>
      </c>
    </row>
    <row r="106" ht="15.75" customHeight="1">
      <c r="A106" t="s">
        <v>13</v>
      </c>
      <c r="B106" t="s">
        <v>210</v>
      </c>
      <c r="C106" t="s">
        <v>211</v>
      </c>
    </row>
    <row r="107" ht="15.75" customHeight="1">
      <c r="A107" t="s">
        <v>29</v>
      </c>
      <c r="B107" t="s">
        <v>212</v>
      </c>
      <c r="C107" t="s">
        <v>213</v>
      </c>
    </row>
    <row r="108" ht="15.75" customHeight="1">
      <c r="A108" t="s">
        <v>214</v>
      </c>
      <c r="B108" t="s">
        <v>215</v>
      </c>
      <c r="C108" t="s">
        <v>216</v>
      </c>
    </row>
    <row r="109" ht="15.75" customHeight="1">
      <c r="A109" t="s">
        <v>59</v>
      </c>
      <c r="B109" t="s">
        <v>217</v>
      </c>
    </row>
    <row r="110" ht="15.75" customHeight="1">
      <c r="A110" t="s">
        <v>13</v>
      </c>
      <c r="B110" t="s">
        <v>218</v>
      </c>
      <c r="C110" t="s">
        <v>219</v>
      </c>
    </row>
    <row r="111" ht="15.75" customHeight="1">
      <c r="A111" t="s">
        <v>29</v>
      </c>
      <c r="B111" t="s">
        <v>220</v>
      </c>
      <c r="C111" t="s">
        <v>221</v>
      </c>
    </row>
    <row r="112" ht="15.75" customHeight="1">
      <c r="A112" t="s">
        <v>29</v>
      </c>
      <c r="B112" t="s">
        <v>222</v>
      </c>
      <c r="C112" t="s">
        <v>223</v>
      </c>
    </row>
    <row r="113" ht="15.75" customHeight="1">
      <c r="A113" t="s">
        <v>13</v>
      </c>
      <c r="B113" t="s">
        <v>224</v>
      </c>
      <c r="C113" t="s">
        <v>150</v>
      </c>
    </row>
    <row r="114" ht="15.75" customHeight="1">
      <c r="A114" t="s">
        <v>13</v>
      </c>
      <c r="B114" t="s">
        <v>225</v>
      </c>
      <c r="C114" t="s">
        <v>226</v>
      </c>
    </row>
    <row r="115" ht="15.75" customHeight="1">
      <c r="A115" t="s">
        <v>29</v>
      </c>
      <c r="B115" t="s">
        <v>227</v>
      </c>
      <c r="C115" t="s">
        <v>228</v>
      </c>
    </row>
    <row r="116" ht="15.75" customHeight="1">
      <c r="A116" t="s">
        <v>29</v>
      </c>
      <c r="B116" t="s">
        <v>229</v>
      </c>
      <c r="C116" t="s">
        <v>230</v>
      </c>
    </row>
    <row r="117" ht="15.75" customHeight="1">
      <c r="A117" t="s">
        <v>13</v>
      </c>
      <c r="B117" t="s">
        <v>231</v>
      </c>
      <c r="C117" t="s">
        <v>232</v>
      </c>
    </row>
    <row r="118" ht="15.75" customHeight="1">
      <c r="A118" s="21" t="s">
        <v>29</v>
      </c>
      <c r="B118" t="s">
        <v>233</v>
      </c>
      <c r="C118" t="s">
        <v>234</v>
      </c>
    </row>
    <row r="119" ht="15.75" customHeight="1">
      <c r="A119" t="s">
        <v>29</v>
      </c>
      <c r="B119" t="s">
        <v>235</v>
      </c>
      <c r="C119" t="s">
        <v>236</v>
      </c>
    </row>
    <row r="120" ht="15.75" customHeight="1">
      <c r="A120" t="s">
        <v>13</v>
      </c>
      <c r="B120" t="s">
        <v>237</v>
      </c>
    </row>
    <row r="121" ht="15.75" customHeight="1">
      <c r="A121" t="s">
        <v>29</v>
      </c>
      <c r="B121" t="s">
        <v>238</v>
      </c>
      <c r="C121" t="s">
        <v>239</v>
      </c>
    </row>
    <row r="122" ht="15.75" customHeight="1">
      <c r="A122" t="s">
        <v>29</v>
      </c>
      <c r="B122" t="s">
        <v>240</v>
      </c>
      <c r="C122" t="s">
        <v>241</v>
      </c>
    </row>
    <row r="123" ht="15.75" customHeight="1">
      <c r="A123" t="s">
        <v>100</v>
      </c>
      <c r="B123" t="s">
        <v>242</v>
      </c>
      <c r="C123" t="s">
        <v>243</v>
      </c>
    </row>
    <row r="124" ht="15.75" customHeight="1">
      <c r="A124" t="s">
        <v>25</v>
      </c>
      <c r="B124" t="s">
        <v>244</v>
      </c>
      <c r="C124" t="s">
        <v>245</v>
      </c>
    </row>
    <row r="125" ht="15.75" customHeight="1">
      <c r="A125" t="s">
        <v>25</v>
      </c>
      <c r="B125" t="s">
        <v>246</v>
      </c>
      <c r="C125" t="s">
        <v>247</v>
      </c>
    </row>
    <row r="126" ht="15.75" customHeight="1">
      <c r="A126" t="s">
        <v>25</v>
      </c>
      <c r="B126" t="s">
        <v>248</v>
      </c>
      <c r="C126" t="s">
        <v>249</v>
      </c>
    </row>
    <row r="127" ht="15.75" customHeight="1">
      <c r="A127" t="s">
        <v>25</v>
      </c>
      <c r="B127" t="s">
        <v>250</v>
      </c>
      <c r="C127" t="s">
        <v>251</v>
      </c>
    </row>
    <row r="128" ht="15.75" customHeight="1">
      <c r="A128" t="s">
        <v>25</v>
      </c>
      <c r="B128" t="s">
        <v>252</v>
      </c>
      <c r="C128" t="s">
        <v>253</v>
      </c>
    </row>
    <row r="129" ht="15.75" customHeight="1">
      <c r="A129" t="s">
        <v>25</v>
      </c>
      <c r="B129" t="s">
        <v>254</v>
      </c>
      <c r="C129" t="s">
        <v>255</v>
      </c>
    </row>
    <row r="130" ht="15.75" customHeight="1">
      <c r="A130" t="s">
        <v>25</v>
      </c>
      <c r="B130" t="s">
        <v>256</v>
      </c>
      <c r="C130" t="s">
        <v>257</v>
      </c>
    </row>
    <row r="131" ht="15.75" customHeight="1">
      <c r="A131" t="s">
        <v>25</v>
      </c>
      <c r="B131" t="s">
        <v>258</v>
      </c>
      <c r="C131" t="s">
        <v>259</v>
      </c>
    </row>
    <row r="132" ht="15.75" customHeight="1">
      <c r="A132" t="s">
        <v>25</v>
      </c>
      <c r="B132" t="s">
        <v>260</v>
      </c>
      <c r="C132" t="s">
        <v>261</v>
      </c>
    </row>
    <row r="133" ht="15.75" customHeight="1">
      <c r="A133" t="s">
        <v>25</v>
      </c>
      <c r="B133" t="s">
        <v>262</v>
      </c>
      <c r="C133" t="s">
        <v>263</v>
      </c>
    </row>
    <row r="134" ht="15.75" customHeight="1">
      <c r="A134" t="s">
        <v>264</v>
      </c>
      <c r="B134" t="s">
        <v>265</v>
      </c>
      <c r="C134" t="s">
        <v>266</v>
      </c>
    </row>
    <row r="135" ht="15.75" customHeight="1">
      <c r="A135" t="s">
        <v>25</v>
      </c>
      <c r="B135" t="s">
        <v>267</v>
      </c>
      <c r="C135" t="s">
        <v>268</v>
      </c>
    </row>
    <row r="136" ht="15.75" customHeight="1">
      <c r="A136" t="s">
        <v>25</v>
      </c>
      <c r="B136" t="s">
        <v>269</v>
      </c>
      <c r="C136" t="s">
        <v>270</v>
      </c>
    </row>
    <row r="137" ht="15.75" customHeight="1">
      <c r="A137" t="s">
        <v>13</v>
      </c>
      <c r="B137" t="s">
        <v>271</v>
      </c>
    </row>
    <row r="138" ht="15.75" customHeight="1">
      <c r="A138" t="s">
        <v>100</v>
      </c>
      <c r="B138" t="s">
        <v>272</v>
      </c>
      <c r="C138" t="s">
        <v>273</v>
      </c>
    </row>
    <row r="139" ht="15.75" customHeight="1">
      <c r="A139" t="s">
        <v>25</v>
      </c>
      <c r="B139" t="s">
        <v>275</v>
      </c>
      <c r="C139" t="s">
        <v>277</v>
      </c>
    </row>
    <row r="140" ht="15.75" customHeight="1">
      <c r="A140" t="s">
        <v>25</v>
      </c>
      <c r="B140" t="s">
        <v>278</v>
      </c>
      <c r="C140" t="s">
        <v>279</v>
      </c>
    </row>
    <row r="141" ht="15.75" customHeight="1">
      <c r="A141" t="s">
        <v>25</v>
      </c>
      <c r="B141" t="s">
        <v>280</v>
      </c>
      <c r="C141" t="s">
        <v>281</v>
      </c>
    </row>
    <row r="142" ht="15.75" customHeight="1">
      <c r="A142" t="s">
        <v>25</v>
      </c>
      <c r="B142" t="s">
        <v>283</v>
      </c>
      <c r="C142" t="s">
        <v>284</v>
      </c>
    </row>
    <row r="143" ht="15.75" customHeight="1">
      <c r="A143" t="s">
        <v>25</v>
      </c>
      <c r="B143" t="s">
        <v>285</v>
      </c>
      <c r="C143" t="s">
        <v>286</v>
      </c>
    </row>
    <row r="144" ht="15.75" customHeight="1">
      <c r="A144" t="s">
        <v>25</v>
      </c>
      <c r="B144" t="s">
        <v>287</v>
      </c>
      <c r="C144" t="s">
        <v>288</v>
      </c>
    </row>
    <row r="145" ht="15.75" customHeight="1">
      <c r="A145" t="s">
        <v>25</v>
      </c>
      <c r="B145" t="s">
        <v>289</v>
      </c>
      <c r="C145" t="s">
        <v>290</v>
      </c>
    </row>
    <row r="146" ht="15.75" customHeight="1">
      <c r="A146" t="s">
        <v>25</v>
      </c>
      <c r="B146" t="s">
        <v>291</v>
      </c>
      <c r="C146" t="s">
        <v>292</v>
      </c>
    </row>
    <row r="147" ht="15.75" customHeight="1">
      <c r="A147" t="s">
        <v>25</v>
      </c>
      <c r="B147" t="s">
        <v>293</v>
      </c>
      <c r="C147" t="s">
        <v>294</v>
      </c>
    </row>
    <row r="148" ht="15.75" customHeight="1">
      <c r="A148" t="s">
        <v>25</v>
      </c>
      <c r="B148" t="s">
        <v>295</v>
      </c>
      <c r="C148" t="s">
        <v>296</v>
      </c>
    </row>
    <row r="149" ht="15.75" customHeight="1">
      <c r="A149" t="s">
        <v>100</v>
      </c>
      <c r="B149" t="s">
        <v>297</v>
      </c>
      <c r="C149" t="s">
        <v>298</v>
      </c>
    </row>
    <row r="150" ht="15.75" customHeight="1">
      <c r="A150" t="s">
        <v>100</v>
      </c>
      <c r="B150" t="s">
        <v>299</v>
      </c>
      <c r="C150" t="s">
        <v>300</v>
      </c>
    </row>
    <row r="151" ht="15.75" customHeight="1">
      <c r="A151" t="s">
        <v>13</v>
      </c>
      <c r="B151" t="s">
        <v>301</v>
      </c>
      <c r="C151" t="s">
        <v>302</v>
      </c>
    </row>
    <row r="152" ht="15.75" customHeight="1">
      <c r="A152" t="s">
        <v>29</v>
      </c>
      <c r="B152" t="s">
        <v>303</v>
      </c>
      <c r="C152" t="s">
        <v>304</v>
      </c>
    </row>
    <row r="153" ht="15.75" customHeight="1">
      <c r="A153" t="s">
        <v>64</v>
      </c>
      <c r="B153" t="s">
        <v>305</v>
      </c>
      <c r="C153" t="s">
        <v>306</v>
      </c>
    </row>
    <row r="154" ht="15.75" customHeight="1">
      <c r="A154" t="s">
        <v>64</v>
      </c>
      <c r="B154" t="s">
        <v>307</v>
      </c>
      <c r="C154" t="s">
        <v>308</v>
      </c>
    </row>
    <row r="155" ht="15.75" customHeight="1">
      <c r="A155" t="s">
        <v>29</v>
      </c>
      <c r="B155" t="s">
        <v>309</v>
      </c>
      <c r="C155" t="s">
        <v>310</v>
      </c>
    </row>
    <row r="156" ht="15.75" customHeight="1">
      <c r="A156" t="s">
        <v>29</v>
      </c>
      <c r="B156" t="s">
        <v>311</v>
      </c>
      <c r="C156" t="s">
        <v>312</v>
      </c>
    </row>
    <row r="157" ht="15.75" customHeight="1">
      <c r="A157" t="s">
        <v>29</v>
      </c>
      <c r="B157" t="s">
        <v>313</v>
      </c>
      <c r="C157" t="s">
        <v>314</v>
      </c>
    </row>
    <row r="158" ht="15.75" customHeight="1">
      <c r="A158" t="s">
        <v>29</v>
      </c>
      <c r="B158" t="s">
        <v>315</v>
      </c>
      <c r="C158" t="s">
        <v>316</v>
      </c>
    </row>
    <row r="159" ht="15.75" customHeight="1">
      <c r="A159" t="s">
        <v>13</v>
      </c>
      <c r="B159" t="s">
        <v>317</v>
      </c>
      <c r="C159" t="s">
        <v>318</v>
      </c>
    </row>
    <row r="160" ht="15.75" customHeight="1">
      <c r="A160" t="s">
        <v>29</v>
      </c>
      <c r="B160" t="s">
        <v>319</v>
      </c>
      <c r="C160" t="s">
        <v>320</v>
      </c>
    </row>
    <row r="161" ht="15.75" customHeight="1">
      <c r="A161" t="s">
        <v>29</v>
      </c>
      <c r="B161" t="s">
        <v>321</v>
      </c>
      <c r="C161" t="s">
        <v>322</v>
      </c>
    </row>
    <row r="162" ht="15.75" customHeight="1">
      <c r="A162" t="s">
        <v>13</v>
      </c>
      <c r="B162" t="s">
        <v>323</v>
      </c>
      <c r="C162" t="s">
        <v>203</v>
      </c>
    </row>
    <row r="163" ht="15.75" customHeight="1">
      <c r="A163" t="s">
        <v>13</v>
      </c>
      <c r="B163" t="s">
        <v>324</v>
      </c>
      <c r="C163" t="s">
        <v>146</v>
      </c>
    </row>
    <row r="164" ht="15.75" customHeight="1">
      <c r="A164" t="s">
        <v>13</v>
      </c>
      <c r="B164" t="s">
        <v>325</v>
      </c>
      <c r="C164" t="s">
        <v>318</v>
      </c>
    </row>
    <row r="165" ht="15.75" customHeight="1">
      <c r="A165" t="s">
        <v>29</v>
      </c>
      <c r="B165" t="s">
        <v>326</v>
      </c>
    </row>
    <row r="166" ht="15.75" customHeight="1">
      <c r="A166" t="s">
        <v>29</v>
      </c>
      <c r="B166" t="s">
        <v>327</v>
      </c>
    </row>
    <row r="167" ht="15.75" customHeight="1">
      <c r="A167" t="s">
        <v>13</v>
      </c>
      <c r="B167" t="s">
        <v>328</v>
      </c>
      <c r="C167" t="s">
        <v>232</v>
      </c>
    </row>
    <row r="168" ht="15.75" customHeight="1">
      <c r="A168" t="s">
        <v>13</v>
      </c>
      <c r="B168" t="s">
        <v>329</v>
      </c>
      <c r="C168" t="s">
        <v>17</v>
      </c>
    </row>
    <row r="169" ht="15.75" customHeight="1">
      <c r="A169" t="s">
        <v>13</v>
      </c>
      <c r="B169" t="s">
        <v>330</v>
      </c>
      <c r="C169" t="s">
        <v>203</v>
      </c>
    </row>
    <row r="170" ht="15.75" customHeight="1">
      <c r="A170" t="s">
        <v>13</v>
      </c>
      <c r="B170" t="s">
        <v>331</v>
      </c>
      <c r="C170" t="s">
        <v>17</v>
      </c>
    </row>
    <row r="171" ht="15.75" customHeight="1">
      <c r="A171" t="s">
        <v>13</v>
      </c>
      <c r="B171" t="s">
        <v>332</v>
      </c>
      <c r="C171" t="s">
        <v>333</v>
      </c>
    </row>
    <row r="172" ht="15.75" customHeight="1">
      <c r="A172" t="s">
        <v>25</v>
      </c>
      <c r="B172" t="s">
        <v>334</v>
      </c>
      <c r="C172" t="s">
        <v>335</v>
      </c>
    </row>
    <row r="173" ht="15.75" customHeight="1">
      <c r="A173" t="s">
        <v>25</v>
      </c>
      <c r="B173" t="s">
        <v>336</v>
      </c>
      <c r="C173" t="s">
        <v>337</v>
      </c>
    </row>
    <row r="174" ht="15.75" customHeight="1">
      <c r="A174" t="s">
        <v>25</v>
      </c>
      <c r="B174" t="s">
        <v>338</v>
      </c>
      <c r="C174" t="s">
        <v>339</v>
      </c>
    </row>
    <row r="175" ht="15.75" customHeight="1">
      <c r="A175" t="s">
        <v>25</v>
      </c>
      <c r="B175" t="s">
        <v>340</v>
      </c>
      <c r="C175" t="s">
        <v>341</v>
      </c>
    </row>
    <row r="176" ht="15.75" customHeight="1">
      <c r="A176" t="s">
        <v>29</v>
      </c>
      <c r="B176" t="s">
        <v>342</v>
      </c>
      <c r="C176" t="s">
        <v>343</v>
      </c>
    </row>
    <row r="177" ht="15.75" customHeight="1">
      <c r="A177" t="s">
        <v>29</v>
      </c>
      <c r="B177" t="s">
        <v>344</v>
      </c>
      <c r="C177" t="s">
        <v>345</v>
      </c>
    </row>
    <row r="178" ht="15.75" customHeight="1">
      <c r="A178" t="s">
        <v>29</v>
      </c>
      <c r="B178" t="s">
        <v>348</v>
      </c>
      <c r="C178" t="s">
        <v>350</v>
      </c>
    </row>
    <row r="179" ht="15.75" customHeight="1">
      <c r="A179" t="s">
        <v>29</v>
      </c>
      <c r="B179" t="s">
        <v>351</v>
      </c>
      <c r="C179" t="s">
        <v>352</v>
      </c>
    </row>
    <row r="180" ht="15.75" customHeight="1">
      <c r="A180" t="s">
        <v>29</v>
      </c>
      <c r="B180" t="s">
        <v>353</v>
      </c>
      <c r="C180" t="s">
        <v>354</v>
      </c>
    </row>
    <row r="181" ht="15.75" customHeight="1">
      <c r="A181" t="s">
        <v>13</v>
      </c>
      <c r="B181" t="s">
        <v>357</v>
      </c>
      <c r="C181" t="s">
        <v>358</v>
      </c>
    </row>
    <row r="182" ht="15.75" customHeight="1">
      <c r="A182" t="s">
        <v>48</v>
      </c>
      <c r="B182" t="s">
        <v>360</v>
      </c>
      <c r="C182" t="s">
        <v>362</v>
      </c>
    </row>
    <row r="183" ht="15.75" customHeight="1">
      <c r="A183" t="s">
        <v>48</v>
      </c>
      <c r="B183" t="s">
        <v>363</v>
      </c>
      <c r="C183" t="s">
        <v>365</v>
      </c>
    </row>
    <row r="184" ht="15.75" customHeight="1">
      <c r="A184" t="s">
        <v>48</v>
      </c>
      <c r="B184" t="s">
        <v>370</v>
      </c>
      <c r="C184" t="s">
        <v>371</v>
      </c>
    </row>
    <row r="185" ht="15.75" customHeight="1">
      <c r="A185" t="s">
        <v>48</v>
      </c>
      <c r="B185" t="s">
        <v>372</v>
      </c>
      <c r="C185" t="s">
        <v>374</v>
      </c>
    </row>
    <row r="186" ht="15.75" customHeight="1">
      <c r="A186" t="s">
        <v>48</v>
      </c>
      <c r="B186" t="s">
        <v>376</v>
      </c>
      <c r="C186" t="s">
        <v>377</v>
      </c>
    </row>
    <row r="187" ht="15.75" customHeight="1">
      <c r="A187" t="s">
        <v>13</v>
      </c>
      <c r="B187" t="s">
        <v>379</v>
      </c>
      <c r="C187" t="s">
        <v>380</v>
      </c>
    </row>
    <row r="188" ht="15.75" customHeight="1">
      <c r="A188" t="s">
        <v>48</v>
      </c>
      <c r="B188" t="s">
        <v>381</v>
      </c>
      <c r="C188" t="s">
        <v>382</v>
      </c>
    </row>
    <row r="189" ht="15.75" customHeight="1">
      <c r="A189" t="s">
        <v>13</v>
      </c>
      <c r="B189" t="s">
        <v>383</v>
      </c>
      <c r="C189" t="s">
        <v>384</v>
      </c>
    </row>
    <row r="190" ht="15.75" customHeight="1">
      <c r="A190" t="s">
        <v>48</v>
      </c>
      <c r="B190" t="s">
        <v>385</v>
      </c>
      <c r="C190" t="s">
        <v>386</v>
      </c>
    </row>
    <row r="191" ht="15.75" customHeight="1">
      <c r="A191" t="s">
        <v>48</v>
      </c>
      <c r="B191" t="s">
        <v>388</v>
      </c>
      <c r="C191" t="s">
        <v>389</v>
      </c>
    </row>
    <row r="192" ht="15.75" customHeight="1">
      <c r="A192" t="s">
        <v>48</v>
      </c>
      <c r="B192" t="s">
        <v>390</v>
      </c>
      <c r="C192" t="s">
        <v>391</v>
      </c>
    </row>
    <row r="193" ht="15.75" customHeight="1">
      <c r="A193" t="s">
        <v>48</v>
      </c>
      <c r="B193" t="s">
        <v>392</v>
      </c>
      <c r="C193" t="s">
        <v>393</v>
      </c>
    </row>
    <row r="194" ht="15.75" customHeight="1">
      <c r="A194" t="s">
        <v>48</v>
      </c>
      <c r="B194" t="s">
        <v>394</v>
      </c>
      <c r="C194" t="s">
        <v>395</v>
      </c>
    </row>
    <row r="195" ht="15.75" customHeight="1">
      <c r="A195" t="s">
        <v>13</v>
      </c>
      <c r="B195" t="s">
        <v>396</v>
      </c>
      <c r="C195" t="s">
        <v>203</v>
      </c>
    </row>
    <row r="196" ht="15.75" customHeight="1">
      <c r="A196" t="s">
        <v>13</v>
      </c>
      <c r="B196" t="s">
        <v>397</v>
      </c>
      <c r="C196" t="s">
        <v>203</v>
      </c>
    </row>
    <row r="197" ht="15.75" customHeight="1">
      <c r="A197" t="s">
        <v>13</v>
      </c>
      <c r="B197" t="s">
        <v>398</v>
      </c>
      <c r="C197" t="s">
        <v>203</v>
      </c>
    </row>
    <row r="198" ht="15.75" customHeight="1">
      <c r="A198" t="s">
        <v>13</v>
      </c>
      <c r="B198" t="s">
        <v>399</v>
      </c>
      <c r="C198" t="s">
        <v>17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48</v>
      </c>
      <c r="B200" t="s">
        <v>409</v>
      </c>
      <c r="C200" t="s">
        <v>411</v>
      </c>
    </row>
    <row r="201" ht="15.75" customHeight="1">
      <c r="A201" t="s">
        <v>48</v>
      </c>
      <c r="B201" t="s">
        <v>415</v>
      </c>
      <c r="C201" t="s">
        <v>417</v>
      </c>
    </row>
    <row r="202" ht="15.75" customHeight="1">
      <c r="A202" t="s">
        <v>29</v>
      </c>
      <c r="B202" t="s">
        <v>423</v>
      </c>
      <c r="C202" t="s">
        <v>426</v>
      </c>
    </row>
    <row r="203" ht="15.75" customHeight="1">
      <c r="A203" t="s">
        <v>29</v>
      </c>
      <c r="B203" t="s">
        <v>433</v>
      </c>
      <c r="C203" t="s">
        <v>435</v>
      </c>
    </row>
    <row r="204" ht="15.75" customHeight="1">
      <c r="A204" t="s">
        <v>25</v>
      </c>
      <c r="B204" t="s">
        <v>442</v>
      </c>
      <c r="C204" t="s">
        <v>446</v>
      </c>
    </row>
    <row r="205" ht="15.75" customHeight="1">
      <c r="A205" t="s">
        <v>25</v>
      </c>
      <c r="B205" t="s">
        <v>452</v>
      </c>
      <c r="C205" t="s">
        <v>454</v>
      </c>
    </row>
    <row r="206" ht="15.75" customHeight="1">
      <c r="A206" t="s">
        <v>25</v>
      </c>
      <c r="B206" t="s">
        <v>457</v>
      </c>
      <c r="C206" t="s">
        <v>458</v>
      </c>
    </row>
    <row r="207" ht="15.75" customHeight="1">
      <c r="A207" t="s">
        <v>25</v>
      </c>
      <c r="B207" t="s">
        <v>459</v>
      </c>
      <c r="C207" t="s">
        <v>460</v>
      </c>
    </row>
    <row r="208" ht="15.75" customHeight="1">
      <c r="A208" t="s">
        <v>25</v>
      </c>
      <c r="B208" t="s">
        <v>461</v>
      </c>
      <c r="C208" t="s">
        <v>462</v>
      </c>
    </row>
    <row r="209" ht="15.75" customHeight="1">
      <c r="A209" t="s">
        <v>25</v>
      </c>
      <c r="B209" t="s">
        <v>466</v>
      </c>
      <c r="C209" t="s">
        <v>468</v>
      </c>
    </row>
    <row r="210" ht="15.75" customHeight="1">
      <c r="A210" t="s">
        <v>25</v>
      </c>
      <c r="B210" t="s">
        <v>473</v>
      </c>
      <c r="C210" t="s">
        <v>475</v>
      </c>
    </row>
    <row r="211" ht="15.75" customHeight="1">
      <c r="A211" t="s">
        <v>25</v>
      </c>
      <c r="B211" t="s">
        <v>480</v>
      </c>
      <c r="C211" t="s">
        <v>482</v>
      </c>
    </row>
    <row r="212" ht="15.75" customHeight="1">
      <c r="A212" t="s">
        <v>25</v>
      </c>
      <c r="B212" t="s">
        <v>487</v>
      </c>
      <c r="C212" t="s">
        <v>489</v>
      </c>
    </row>
    <row r="213" ht="15.75" customHeight="1">
      <c r="A213" t="s">
        <v>25</v>
      </c>
      <c r="B213" t="s">
        <v>490</v>
      </c>
      <c r="C213" t="s">
        <v>491</v>
      </c>
    </row>
    <row r="214" ht="15.75" customHeight="1">
      <c r="A214" t="s">
        <v>48</v>
      </c>
      <c r="B214" t="s">
        <v>492</v>
      </c>
      <c r="C214" t="s">
        <v>493</v>
      </c>
    </row>
    <row r="215" ht="15.75" customHeight="1">
      <c r="A215" t="s">
        <v>48</v>
      </c>
      <c r="B215" t="s">
        <v>494</v>
      </c>
      <c r="C215" t="s">
        <v>496</v>
      </c>
    </row>
    <row r="216" ht="15.75" customHeight="1">
      <c r="A216" t="s">
        <v>48</v>
      </c>
      <c r="B216" t="s">
        <v>504</v>
      </c>
      <c r="C216" t="s">
        <v>506</v>
      </c>
    </row>
    <row r="217" ht="15.75" customHeight="1">
      <c r="A217" t="s">
        <v>48</v>
      </c>
      <c r="B217" t="s">
        <v>510</v>
      </c>
      <c r="C217" t="s">
        <v>512</v>
      </c>
    </row>
    <row r="218" ht="15.75" customHeight="1">
      <c r="A218" t="s">
        <v>264</v>
      </c>
      <c r="B218" t="s">
        <v>516</v>
      </c>
      <c r="C218" t="s">
        <v>518</v>
      </c>
    </row>
    <row r="219" ht="15.75" customHeight="1">
      <c r="A219" t="s">
        <v>264</v>
      </c>
      <c r="B219" t="s">
        <v>522</v>
      </c>
      <c r="C219" t="s">
        <v>525</v>
      </c>
    </row>
    <row r="220" ht="15.75" customHeight="1">
      <c r="A220" t="s">
        <v>264</v>
      </c>
      <c r="B220" t="s">
        <v>529</v>
      </c>
      <c r="C220" t="s">
        <v>531</v>
      </c>
    </row>
    <row r="221" ht="15.75" customHeight="1">
      <c r="A221" t="s">
        <v>264</v>
      </c>
      <c r="B221" t="s">
        <v>535</v>
      </c>
      <c r="C221" t="s">
        <v>538</v>
      </c>
    </row>
    <row r="222" ht="15.75" customHeight="1">
      <c r="A222" t="s">
        <v>264</v>
      </c>
      <c r="B222" t="s">
        <v>545</v>
      </c>
      <c r="C222" t="s">
        <v>547</v>
      </c>
    </row>
    <row r="223" ht="15.75" customHeight="1">
      <c r="A223" t="s">
        <v>264</v>
      </c>
      <c r="B223" t="s">
        <v>552</v>
      </c>
      <c r="C223" t="s">
        <v>554</v>
      </c>
    </row>
    <row r="224" ht="15.75" customHeight="1">
      <c r="A224" t="s">
        <v>264</v>
      </c>
      <c r="B224" t="s">
        <v>560</v>
      </c>
      <c r="C224" t="s">
        <v>562</v>
      </c>
    </row>
    <row r="225" ht="15.75" customHeight="1">
      <c r="A225" t="s">
        <v>264</v>
      </c>
      <c r="B225" t="s">
        <v>566</v>
      </c>
      <c r="C225" t="s">
        <v>568</v>
      </c>
    </row>
    <row r="226" ht="15.75" customHeight="1">
      <c r="A226" t="s">
        <v>264</v>
      </c>
      <c r="B226" t="s">
        <v>573</v>
      </c>
      <c r="C226" t="s">
        <v>575</v>
      </c>
    </row>
    <row r="227" ht="15.75" customHeight="1">
      <c r="A227" t="s">
        <v>264</v>
      </c>
      <c r="B227" t="s">
        <v>579</v>
      </c>
      <c r="C227" t="s">
        <v>581</v>
      </c>
    </row>
    <row r="228" ht="15.75" customHeight="1">
      <c r="A228" t="s">
        <v>264</v>
      </c>
      <c r="B228" t="s">
        <v>585</v>
      </c>
      <c r="C228" t="s">
        <v>588</v>
      </c>
    </row>
    <row r="229" ht="15.75" customHeight="1">
      <c r="A229" t="s">
        <v>264</v>
      </c>
      <c r="B229" t="s">
        <v>592</v>
      </c>
      <c r="C229" t="s">
        <v>593</v>
      </c>
    </row>
    <row r="230" ht="15.75" customHeight="1">
      <c r="A230" t="s">
        <v>264</v>
      </c>
      <c r="B230" t="s">
        <v>600</v>
      </c>
      <c r="C230" t="s">
        <v>602</v>
      </c>
    </row>
    <row r="231" ht="15.75" customHeight="1">
      <c r="A231" t="s">
        <v>264</v>
      </c>
      <c r="B231" t="s">
        <v>607</v>
      </c>
      <c r="C231" t="s">
        <v>609</v>
      </c>
    </row>
    <row r="232" ht="15.75" customHeight="1">
      <c r="A232" t="s">
        <v>264</v>
      </c>
      <c r="B232" t="s">
        <v>613</v>
      </c>
      <c r="C232" t="s">
        <v>616</v>
      </c>
    </row>
    <row r="233" ht="15.75" customHeight="1">
      <c r="A233" t="s">
        <v>264</v>
      </c>
      <c r="B233" t="s">
        <v>620</v>
      </c>
      <c r="C233" t="s">
        <v>622</v>
      </c>
    </row>
    <row r="234" ht="15.75" customHeight="1">
      <c r="A234" t="s">
        <v>264</v>
      </c>
      <c r="B234" t="s">
        <v>265</v>
      </c>
      <c r="C234" t="s">
        <v>266</v>
      </c>
    </row>
    <row r="235" ht="15.75" customHeight="1">
      <c r="A235" t="s">
        <v>264</v>
      </c>
      <c r="B235" t="s">
        <v>625</v>
      </c>
      <c r="C235" t="s">
        <v>626</v>
      </c>
    </row>
    <row r="236" ht="15.75" customHeight="1">
      <c r="A236" t="s">
        <v>264</v>
      </c>
      <c r="B236" t="s">
        <v>627</v>
      </c>
      <c r="C236" t="s">
        <v>628</v>
      </c>
    </row>
    <row r="237" ht="15.75" customHeight="1">
      <c r="A237" t="s">
        <v>264</v>
      </c>
      <c r="B237" t="s">
        <v>629</v>
      </c>
      <c r="C237" t="s">
        <v>630</v>
      </c>
    </row>
    <row r="238" ht="15.75" customHeight="1">
      <c r="A238" t="s">
        <v>264</v>
      </c>
      <c r="B238" t="s">
        <v>399</v>
      </c>
      <c r="C238" t="s">
        <v>633</v>
      </c>
    </row>
    <row r="239" ht="15.75" customHeight="1">
      <c r="A239" t="s">
        <v>264</v>
      </c>
      <c r="B239" t="s">
        <v>634</v>
      </c>
      <c r="C239" t="s">
        <v>635</v>
      </c>
    </row>
    <row r="240" ht="15.75" customHeight="1">
      <c r="A240" t="s">
        <v>264</v>
      </c>
      <c r="B240" t="s">
        <v>636</v>
      </c>
      <c r="C240" t="s">
        <v>637</v>
      </c>
    </row>
    <row r="241" ht="15.75" customHeight="1">
      <c r="A241" t="s">
        <v>264</v>
      </c>
      <c r="B241" t="s">
        <v>638</v>
      </c>
      <c r="C241" t="s">
        <v>639</v>
      </c>
    </row>
    <row r="242" ht="15.75" customHeight="1">
      <c r="A242" t="s">
        <v>264</v>
      </c>
      <c r="B242" t="s">
        <v>640</v>
      </c>
      <c r="C242" t="s">
        <v>641</v>
      </c>
    </row>
    <row r="243" ht="15.75" customHeight="1">
      <c r="A243" t="s">
        <v>29</v>
      </c>
      <c r="B243" t="s">
        <v>642</v>
      </c>
      <c r="C243" t="s">
        <v>643</v>
      </c>
    </row>
    <row r="244" ht="15.75" customHeight="1">
      <c r="A244" t="s">
        <v>29</v>
      </c>
      <c r="B244" t="s">
        <v>644</v>
      </c>
    </row>
    <row r="245" ht="15.75" customHeight="1">
      <c r="A245" t="s">
        <v>29</v>
      </c>
      <c r="B245" t="s">
        <v>645</v>
      </c>
      <c r="C245" t="s">
        <v>646</v>
      </c>
    </row>
    <row r="246" ht="15.75" customHeight="1">
      <c r="A246" t="s">
        <v>29</v>
      </c>
      <c r="B246" t="s">
        <v>647</v>
      </c>
      <c r="C246" t="s">
        <v>648</v>
      </c>
    </row>
    <row r="247" ht="15.75" customHeight="1">
      <c r="A247" t="s">
        <v>48</v>
      </c>
      <c r="B247" t="s">
        <v>49</v>
      </c>
      <c r="C247" t="s">
        <v>50</v>
      </c>
    </row>
    <row r="248" ht="15.75" customHeight="1">
      <c r="A248" t="s">
        <v>48</v>
      </c>
      <c r="B248" t="s">
        <v>649</v>
      </c>
      <c r="C248" t="s">
        <v>650</v>
      </c>
    </row>
    <row r="249" ht="15.75" customHeight="1">
      <c r="A249" t="s">
        <v>48</v>
      </c>
      <c r="B249" t="s">
        <v>51</v>
      </c>
      <c r="C249" t="s">
        <v>52</v>
      </c>
    </row>
    <row r="250" ht="15.75" customHeight="1">
      <c r="A250" t="s">
        <v>29</v>
      </c>
      <c r="B250" t="s">
        <v>651</v>
      </c>
      <c r="C250" t="s">
        <v>652</v>
      </c>
    </row>
    <row r="251" ht="15.75" customHeight="1">
      <c r="A251" t="s">
        <v>48</v>
      </c>
      <c r="B251" t="s">
        <v>653</v>
      </c>
      <c r="C251" t="s">
        <v>654</v>
      </c>
    </row>
    <row r="252" ht="15.75" customHeight="1">
      <c r="A252" t="s">
        <v>48</v>
      </c>
      <c r="B252" t="s">
        <v>655</v>
      </c>
      <c r="C252" t="s">
        <v>656</v>
      </c>
    </row>
    <row r="253" ht="15.75" customHeight="1">
      <c r="A253" t="s">
        <v>48</v>
      </c>
      <c r="B253" t="s">
        <v>657</v>
      </c>
      <c r="C253" t="s">
        <v>658</v>
      </c>
    </row>
    <row r="254" ht="15.75" customHeight="1">
      <c r="A254" t="s">
        <v>48</v>
      </c>
      <c r="B254" t="s">
        <v>659</v>
      </c>
      <c r="C254" t="s">
        <v>660</v>
      </c>
    </row>
    <row r="255" ht="15.75" customHeight="1">
      <c r="A255" t="s">
        <v>59</v>
      </c>
      <c r="B255" t="s">
        <v>661</v>
      </c>
      <c r="C255" t="s">
        <v>662</v>
      </c>
    </row>
    <row r="256" ht="15.75" customHeight="1">
      <c r="A256" t="s">
        <v>59</v>
      </c>
      <c r="B256" t="s">
        <v>663</v>
      </c>
      <c r="C256" t="s">
        <v>664</v>
      </c>
    </row>
    <row r="257" ht="15.75" customHeight="1">
      <c r="A257" t="s">
        <v>13</v>
      </c>
      <c r="B257" t="s">
        <v>400</v>
      </c>
    </row>
    <row r="258" ht="15.75" customHeight="1">
      <c r="A258" t="s">
        <v>59</v>
      </c>
      <c r="B258" t="s">
        <v>665</v>
      </c>
    </row>
    <row r="259" ht="15.75" customHeight="1">
      <c r="A259" t="s">
        <v>59</v>
      </c>
      <c r="B259" t="s">
        <v>666</v>
      </c>
    </row>
    <row r="260" ht="15.75" customHeight="1">
      <c r="A260" t="s">
        <v>59</v>
      </c>
      <c r="B260" t="s">
        <v>667</v>
      </c>
      <c r="C260" t="s">
        <v>668</v>
      </c>
    </row>
    <row r="261" ht="15.75" customHeight="1">
      <c r="A261" t="s">
        <v>29</v>
      </c>
      <c r="B261" t="s">
        <v>669</v>
      </c>
    </row>
    <row r="262" ht="15.75" customHeight="1">
      <c r="A262" t="s">
        <v>25</v>
      </c>
      <c r="B262" t="s">
        <v>670</v>
      </c>
      <c r="C262" t="s">
        <v>671</v>
      </c>
    </row>
    <row r="263" ht="15.75" customHeight="1">
      <c r="A263" t="s">
        <v>29</v>
      </c>
      <c r="B263" t="s">
        <v>672</v>
      </c>
      <c r="C263" t="s">
        <v>673</v>
      </c>
    </row>
    <row r="264" ht="15.75" customHeight="1">
      <c r="A264" t="s">
        <v>100</v>
      </c>
      <c r="B264" t="s">
        <v>346</v>
      </c>
      <c r="C264" t="s">
        <v>674</v>
      </c>
    </row>
    <row r="265" ht="15.75" customHeight="1">
      <c r="A265" t="s">
        <v>46</v>
      </c>
      <c r="B265" t="s">
        <v>675</v>
      </c>
      <c r="C265" t="s">
        <v>676</v>
      </c>
    </row>
    <row r="266" ht="15.75" customHeight="1">
      <c r="A266" t="s">
        <v>100</v>
      </c>
      <c r="B266" t="s">
        <v>347</v>
      </c>
      <c r="C266" t="s">
        <v>677</v>
      </c>
    </row>
    <row r="267" ht="15.75" customHeight="1">
      <c r="A267" t="s">
        <v>100</v>
      </c>
      <c r="B267" t="s">
        <v>349</v>
      </c>
      <c r="C267" t="s">
        <v>678</v>
      </c>
    </row>
    <row r="268" ht="15.75" customHeight="1">
      <c r="A268" t="s">
        <v>679</v>
      </c>
      <c r="B268" t="s">
        <v>680</v>
      </c>
      <c r="C268" t="s">
        <v>681</v>
      </c>
    </row>
    <row r="269" ht="15.75" customHeight="1">
      <c r="A269" t="s">
        <v>682</v>
      </c>
      <c r="B269" t="s">
        <v>683</v>
      </c>
      <c r="C269" t="s">
        <v>684</v>
      </c>
    </row>
    <row r="270" ht="15.75" customHeight="1">
      <c r="A270" t="s">
        <v>685</v>
      </c>
      <c r="B270" t="s">
        <v>686</v>
      </c>
      <c r="C270" t="s">
        <v>687</v>
      </c>
    </row>
    <row r="271" ht="15.75" customHeight="1">
      <c r="A271" t="s">
        <v>688</v>
      </c>
      <c r="B271" t="s">
        <v>689</v>
      </c>
      <c r="C271" t="s">
        <v>690</v>
      </c>
    </row>
    <row r="272" ht="15.75" customHeight="1">
      <c r="A272" t="s">
        <v>688</v>
      </c>
      <c r="B272" t="s">
        <v>691</v>
      </c>
      <c r="C272" t="s">
        <v>692</v>
      </c>
    </row>
    <row r="273" ht="15.75" customHeight="1">
      <c r="A273" t="s">
        <v>688</v>
      </c>
      <c r="B273" t="s">
        <v>693</v>
      </c>
      <c r="C273" t="s">
        <v>694</v>
      </c>
    </row>
    <row r="274" ht="15.75" customHeight="1">
      <c r="A274" t="s">
        <v>688</v>
      </c>
      <c r="B274" t="s">
        <v>695</v>
      </c>
      <c r="C274" t="s">
        <v>696</v>
      </c>
    </row>
    <row r="275" ht="15.75" customHeight="1">
      <c r="A275" t="s">
        <v>688</v>
      </c>
      <c r="B275" t="s">
        <v>697</v>
      </c>
      <c r="C275" t="s">
        <v>698</v>
      </c>
    </row>
    <row r="276" ht="15.75" customHeight="1">
      <c r="A276" t="s">
        <v>688</v>
      </c>
      <c r="B276" t="s">
        <v>699</v>
      </c>
      <c r="C276" t="s">
        <v>700</v>
      </c>
    </row>
    <row r="277" ht="15.75" customHeight="1">
      <c r="A277" t="s">
        <v>59</v>
      </c>
      <c r="B277" t="s">
        <v>701</v>
      </c>
      <c r="C277" t="s">
        <v>702</v>
      </c>
    </row>
    <row r="278" ht="15.75" customHeight="1">
      <c r="A278" t="s">
        <v>688</v>
      </c>
      <c r="B278" t="s">
        <v>703</v>
      </c>
      <c r="C278" t="s">
        <v>704</v>
      </c>
    </row>
    <row r="279" ht="15.75" customHeight="1">
      <c r="A279" t="s">
        <v>688</v>
      </c>
      <c r="B279" t="s">
        <v>705</v>
      </c>
      <c r="C279" t="s">
        <v>706</v>
      </c>
    </row>
    <row r="280" ht="15.75" customHeight="1">
      <c r="A280" t="s">
        <v>688</v>
      </c>
      <c r="B280" t="s">
        <v>707</v>
      </c>
      <c r="C280" t="s">
        <v>708</v>
      </c>
    </row>
    <row r="281" ht="15.75" customHeight="1">
      <c r="A281" t="s">
        <v>289</v>
      </c>
      <c r="B281" t="s">
        <v>709</v>
      </c>
      <c r="C281" t="s">
        <v>710</v>
      </c>
    </row>
    <row r="282" ht="15.75" customHeight="1">
      <c r="A282" t="s">
        <v>289</v>
      </c>
      <c r="B282" t="s">
        <v>711</v>
      </c>
      <c r="C282" t="s">
        <v>712</v>
      </c>
    </row>
    <row r="283" ht="15.75" customHeight="1">
      <c r="A283" t="s">
        <v>289</v>
      </c>
      <c r="B283" t="s">
        <v>713</v>
      </c>
      <c r="C283" t="s">
        <v>714</v>
      </c>
    </row>
    <row r="284" ht="15.75" customHeight="1">
      <c r="A284" t="s">
        <v>289</v>
      </c>
      <c r="B284" t="s">
        <v>715</v>
      </c>
      <c r="C284" t="s">
        <v>716</v>
      </c>
    </row>
    <row r="285" ht="15.75" customHeight="1">
      <c r="A285" t="s">
        <v>289</v>
      </c>
      <c r="B285" t="s">
        <v>717</v>
      </c>
      <c r="C285" t="s">
        <v>718</v>
      </c>
    </row>
    <row r="286" ht="15.75" customHeight="1">
      <c r="A286" t="s">
        <v>13</v>
      </c>
      <c r="B286" t="s">
        <v>403</v>
      </c>
      <c r="C286" t="s">
        <v>179</v>
      </c>
    </row>
    <row r="287" ht="15.75" customHeight="1">
      <c r="A287" t="s">
        <v>289</v>
      </c>
      <c r="B287" t="s">
        <v>719</v>
      </c>
      <c r="C287" t="s">
        <v>720</v>
      </c>
    </row>
    <row r="288" ht="15.75" customHeight="1">
      <c r="A288" t="s">
        <v>13</v>
      </c>
      <c r="B288" t="s">
        <v>404</v>
      </c>
      <c r="C288" t="s">
        <v>188</v>
      </c>
    </row>
    <row r="289" ht="15.75" customHeight="1">
      <c r="A289" t="s">
        <v>13</v>
      </c>
      <c r="B289" t="s">
        <v>405</v>
      </c>
      <c r="C289" t="s">
        <v>158</v>
      </c>
    </row>
    <row r="290" ht="15.75" customHeight="1">
      <c r="A290" t="s">
        <v>13</v>
      </c>
      <c r="B290" t="s">
        <v>406</v>
      </c>
    </row>
    <row r="291" ht="15.75" customHeight="1">
      <c r="A291" t="s">
        <v>25</v>
      </c>
      <c r="B291" t="s">
        <v>721</v>
      </c>
      <c r="C291" t="s">
        <v>290</v>
      </c>
    </row>
    <row r="292" ht="15.75" customHeight="1">
      <c r="A292" t="s">
        <v>87</v>
      </c>
      <c r="B292" t="s">
        <v>722</v>
      </c>
      <c r="C292" t="s">
        <v>723</v>
      </c>
    </row>
    <row r="293" ht="15.75" customHeight="1">
      <c r="A293" t="s">
        <v>13</v>
      </c>
      <c r="B293" t="s">
        <v>407</v>
      </c>
    </row>
    <row r="294" ht="15.75" customHeight="1">
      <c r="A294" t="s">
        <v>13</v>
      </c>
      <c r="B294" t="s">
        <v>408</v>
      </c>
      <c r="C294" t="s">
        <v>141</v>
      </c>
    </row>
    <row r="295" ht="15.75" customHeight="1">
      <c r="A295" t="s">
        <v>13</v>
      </c>
      <c r="B295" t="s">
        <v>410</v>
      </c>
      <c r="C295" t="s">
        <v>141</v>
      </c>
    </row>
    <row r="296" ht="15.75" customHeight="1">
      <c r="A296" t="s">
        <v>13</v>
      </c>
      <c r="B296" t="s">
        <v>412</v>
      </c>
      <c r="C296" t="s">
        <v>146</v>
      </c>
    </row>
    <row r="297" ht="15.75" customHeight="1">
      <c r="A297" t="s">
        <v>13</v>
      </c>
      <c r="B297" t="s">
        <v>413</v>
      </c>
      <c r="C297" t="s">
        <v>146</v>
      </c>
    </row>
    <row r="298" ht="15.75" customHeight="1">
      <c r="A298" t="s">
        <v>13</v>
      </c>
      <c r="B298" t="s">
        <v>414</v>
      </c>
      <c r="C298" t="s">
        <v>148</v>
      </c>
    </row>
    <row r="299" ht="15.75" customHeight="1">
      <c r="A299" t="s">
        <v>13</v>
      </c>
      <c r="B299" t="s">
        <v>416</v>
      </c>
    </row>
    <row r="300" ht="15.75" customHeight="1">
      <c r="A300" t="s">
        <v>13</v>
      </c>
      <c r="B300" t="s">
        <v>419</v>
      </c>
      <c r="C300" t="s">
        <v>724</v>
      </c>
    </row>
    <row r="301" ht="15.75" customHeight="1">
      <c r="A301" t="s">
        <v>13</v>
      </c>
      <c r="B301" t="s">
        <v>420</v>
      </c>
    </row>
    <row r="302" ht="15.75" customHeight="1">
      <c r="A302" t="s">
        <v>13</v>
      </c>
      <c r="B302" t="s">
        <v>424</v>
      </c>
      <c r="C302" t="s">
        <v>725</v>
      </c>
    </row>
    <row r="303" ht="15.75" customHeight="1">
      <c r="A303" t="s">
        <v>13</v>
      </c>
      <c r="B303" t="s">
        <v>431</v>
      </c>
      <c r="C303" t="s">
        <v>726</v>
      </c>
    </row>
    <row r="304" ht="15.75" customHeight="1">
      <c r="A304" t="s">
        <v>13</v>
      </c>
      <c r="B304" t="s">
        <v>427</v>
      </c>
      <c r="C304" t="s">
        <v>727</v>
      </c>
    </row>
    <row r="305" ht="15.75" customHeight="1">
      <c r="A305" t="s">
        <v>13</v>
      </c>
      <c r="B305" t="s">
        <v>430</v>
      </c>
      <c r="C305" t="s">
        <v>728</v>
      </c>
    </row>
    <row r="306" ht="15.75" customHeight="1">
      <c r="A306" t="s">
        <v>13</v>
      </c>
      <c r="B306" t="s">
        <v>434</v>
      </c>
      <c r="C306" t="s">
        <v>729</v>
      </c>
    </row>
    <row r="307" ht="15.75" customHeight="1">
      <c r="A307" t="s">
        <v>688</v>
      </c>
      <c r="B307" t="s">
        <v>730</v>
      </c>
      <c r="C307" t="s">
        <v>731</v>
      </c>
    </row>
    <row r="308" ht="15.75" customHeight="1">
      <c r="A308" t="s">
        <v>13</v>
      </c>
      <c r="B308" t="s">
        <v>436</v>
      </c>
    </row>
    <row r="309" ht="15.75" customHeight="1">
      <c r="A309" t="s">
        <v>13</v>
      </c>
      <c r="B309" t="s">
        <v>438</v>
      </c>
    </row>
    <row r="310" ht="15.75" customHeight="1">
      <c r="A310" t="s">
        <v>13</v>
      </c>
      <c r="B310" t="s">
        <v>440</v>
      </c>
    </row>
    <row r="311" ht="15.75" customHeight="1">
      <c r="A311" t="s">
        <v>13</v>
      </c>
      <c r="B311" t="s">
        <v>443</v>
      </c>
      <c r="C311" t="s">
        <v>732</v>
      </c>
    </row>
    <row r="312" ht="15.75" customHeight="1">
      <c r="A312" t="s">
        <v>13</v>
      </c>
      <c r="B312" t="s">
        <v>445</v>
      </c>
    </row>
    <row r="313" ht="15.75" customHeight="1">
      <c r="A313" t="s">
        <v>13</v>
      </c>
      <c r="B313" t="s">
        <v>449</v>
      </c>
      <c r="C313" t="s">
        <v>17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4" t="s">
        <v>2</v>
      </c>
      <c r="B1" s="2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13" t="s">
        <v>7</v>
      </c>
      <c r="B4" s="10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3" t="s">
        <v>1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1" t="s">
        <v>3</v>
      </c>
      <c r="B3" s="12" t="s">
        <v>8</v>
      </c>
      <c r="C3" s="12" t="s">
        <v>9</v>
      </c>
      <c r="D3" s="17"/>
      <c r="E3" s="17"/>
      <c r="F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100</v>
      </c>
      <c r="D3" s="9" t="s">
        <v>8</v>
      </c>
      <c r="E3" s="24" t="s">
        <v>274</v>
      </c>
      <c r="F3" s="9" t="s">
        <v>276</v>
      </c>
      <c r="G3" s="25" t="s">
        <v>282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117</v>
      </c>
      <c r="D4" s="27" t="s">
        <v>164</v>
      </c>
      <c r="E4" s="27" t="s">
        <v>166</v>
      </c>
      <c r="F4" s="27" t="s">
        <v>167</v>
      </c>
      <c r="G4" s="27" t="s">
        <v>169</v>
      </c>
      <c r="H4" s="27" t="s">
        <v>173</v>
      </c>
      <c r="I4" s="27" t="s">
        <v>274</v>
      </c>
      <c r="J4" s="27" t="s">
        <v>272</v>
      </c>
      <c r="K4" s="27" t="s">
        <v>272</v>
      </c>
      <c r="L4" s="27" t="s">
        <v>297</v>
      </c>
      <c r="M4" s="27" t="s">
        <v>299</v>
      </c>
      <c r="N4" s="27" t="s">
        <v>346</v>
      </c>
      <c r="O4" s="27" t="s">
        <v>347</v>
      </c>
      <c r="P4" s="28" t="s">
        <v>349</v>
      </c>
      <c r="Q4" s="28" t="s">
        <v>356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401</v>
      </c>
      <c r="C5" s="30" t="s">
        <v>418</v>
      </c>
      <c r="D5" s="30" t="s">
        <v>421</v>
      </c>
      <c r="E5" s="30" t="s">
        <v>422</v>
      </c>
      <c r="F5" s="30" t="s">
        <v>425</v>
      </c>
      <c r="G5" s="30" t="s">
        <v>428</v>
      </c>
      <c r="H5" s="30" t="s">
        <v>429</v>
      </c>
      <c r="I5" s="30" t="s">
        <v>432</v>
      </c>
      <c r="J5" s="30" t="s">
        <v>437</v>
      </c>
      <c r="K5" s="30" t="s">
        <v>439</v>
      </c>
      <c r="L5" s="30" t="s">
        <v>441</v>
      </c>
      <c r="M5" s="30" t="s">
        <v>444</v>
      </c>
      <c r="N5" s="30" t="s">
        <v>447</v>
      </c>
      <c r="O5" s="30" t="s">
        <v>448</v>
      </c>
      <c r="P5" s="30" t="s">
        <v>450</v>
      </c>
      <c r="Q5" s="30" t="s">
        <v>451</v>
      </c>
      <c r="R5" s="30" t="s">
        <v>453</v>
      </c>
      <c r="S5" s="30" t="s">
        <v>455</v>
      </c>
      <c r="T5" s="31" t="s">
        <v>456</v>
      </c>
      <c r="U5" s="31" t="s">
        <v>463</v>
      </c>
      <c r="V5" s="31" t="s">
        <v>464</v>
      </c>
      <c r="W5" s="31" t="s">
        <v>465</v>
      </c>
      <c r="X5" s="31" t="s">
        <v>467</v>
      </c>
      <c r="Y5" s="31" t="s">
        <v>469</v>
      </c>
      <c r="Z5" s="31" t="s">
        <v>470</v>
      </c>
      <c r="AA5" s="31" t="s">
        <v>471</v>
      </c>
      <c r="AB5" s="31" t="s">
        <v>472</v>
      </c>
      <c r="AC5" s="31" t="s">
        <v>474</v>
      </c>
      <c r="AD5" s="31" t="s">
        <v>476</v>
      </c>
      <c r="AE5" s="31" t="s">
        <v>477</v>
      </c>
      <c r="AF5" s="31" t="s">
        <v>478</v>
      </c>
      <c r="AG5" s="31" t="s">
        <v>479</v>
      </c>
      <c r="AH5" s="31" t="s">
        <v>481</v>
      </c>
      <c r="AI5" s="31" t="s">
        <v>483</v>
      </c>
      <c r="AJ5" s="31" t="s">
        <v>484</v>
      </c>
      <c r="AK5" s="31" t="s">
        <v>485</v>
      </c>
      <c r="AL5" s="31" t="s">
        <v>486</v>
      </c>
      <c r="AM5" s="31" t="s">
        <v>488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B6" s="21" t="s">
        <v>540</v>
      </c>
      <c r="C6" s="21" t="s">
        <v>543</v>
      </c>
      <c r="D6" s="21">
        <v>10000.0</v>
      </c>
      <c r="N6" s="32">
        <f>today()-10</f>
        <v>43051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13</v>
      </c>
      <c r="D3" s="9" t="s">
        <v>8</v>
      </c>
      <c r="E3" s="24" t="s">
        <v>14</v>
      </c>
      <c r="F3" s="9" t="s">
        <v>276</v>
      </c>
      <c r="G3" s="25" t="s">
        <v>282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16</v>
      </c>
      <c r="D4" s="27" t="s">
        <v>18</v>
      </c>
      <c r="E4" s="27" t="s">
        <v>355</v>
      </c>
      <c r="F4" s="27" t="s">
        <v>21</v>
      </c>
      <c r="G4" s="27" t="s">
        <v>23</v>
      </c>
      <c r="H4" s="27" t="s">
        <v>24</v>
      </c>
      <c r="I4" s="27" t="s">
        <v>87</v>
      </c>
      <c r="J4" s="27" t="s">
        <v>359</v>
      </c>
      <c r="K4" s="27" t="s">
        <v>120</v>
      </c>
      <c r="L4" s="27" t="s">
        <v>361</v>
      </c>
      <c r="M4" s="27" t="s">
        <v>126</v>
      </c>
      <c r="N4" s="27" t="s">
        <v>364</v>
      </c>
      <c r="O4" s="27" t="s">
        <v>366</v>
      </c>
      <c r="P4" s="28" t="s">
        <v>367</v>
      </c>
      <c r="Q4" s="28" t="s">
        <v>368</v>
      </c>
      <c r="R4" s="28" t="s">
        <v>369</v>
      </c>
      <c r="S4" s="28" t="s">
        <v>140</v>
      </c>
      <c r="T4" s="28" t="s">
        <v>143</v>
      </c>
      <c r="U4" s="28" t="s">
        <v>145</v>
      </c>
      <c r="V4" s="28" t="s">
        <v>147</v>
      </c>
      <c r="W4" s="28" t="s">
        <v>149</v>
      </c>
      <c r="X4" s="28" t="s">
        <v>151</v>
      </c>
      <c r="Y4" s="28" t="s">
        <v>373</v>
      </c>
      <c r="Z4" s="28" t="s">
        <v>155</v>
      </c>
      <c r="AA4" s="28" t="s">
        <v>375</v>
      </c>
      <c r="AB4" s="28" t="s">
        <v>130</v>
      </c>
      <c r="AC4" s="28" t="s">
        <v>178</v>
      </c>
      <c r="AD4" s="28" t="s">
        <v>120</v>
      </c>
      <c r="AE4" s="28" t="s">
        <v>378</v>
      </c>
      <c r="AF4" s="28" t="s">
        <v>182</v>
      </c>
      <c r="AG4" s="28" t="s">
        <v>180</v>
      </c>
      <c r="AH4" s="28" t="s">
        <v>134</v>
      </c>
      <c r="AI4" s="28" t="s">
        <v>184</v>
      </c>
      <c r="AJ4" s="28" t="s">
        <v>132</v>
      </c>
      <c r="AK4" s="28" t="s">
        <v>122</v>
      </c>
      <c r="AL4" s="28" t="s">
        <v>187</v>
      </c>
      <c r="AM4" s="28" t="s">
        <v>191</v>
      </c>
      <c r="AN4" s="28" t="s">
        <v>157</v>
      </c>
      <c r="AO4" s="28" t="s">
        <v>195</v>
      </c>
      <c r="AP4" s="28" t="s">
        <v>198</v>
      </c>
      <c r="AQ4" s="28" t="s">
        <v>153</v>
      </c>
      <c r="AR4" s="28" t="s">
        <v>202</v>
      </c>
      <c r="AS4" s="28" t="s">
        <v>20</v>
      </c>
      <c r="AT4" s="28" t="s">
        <v>206</v>
      </c>
      <c r="AU4" s="28" t="s">
        <v>124</v>
      </c>
      <c r="AV4" s="28" t="s">
        <v>387</v>
      </c>
      <c r="AW4" s="28" t="s">
        <v>218</v>
      </c>
      <c r="AX4" s="28" t="s">
        <v>225</v>
      </c>
      <c r="AY4" s="28" t="s">
        <v>224</v>
      </c>
      <c r="AZ4" s="28" t="s">
        <v>210</v>
      </c>
      <c r="BA4" s="28" t="s">
        <v>231</v>
      </c>
      <c r="BB4" s="28" t="s">
        <v>237</v>
      </c>
      <c r="BC4" s="28" t="s">
        <v>271</v>
      </c>
      <c r="BD4" s="28" t="s">
        <v>301</v>
      </c>
      <c r="BE4" s="28" t="s">
        <v>118</v>
      </c>
      <c r="BF4" s="28" t="s">
        <v>317</v>
      </c>
      <c r="BG4" s="28" t="s">
        <v>323</v>
      </c>
      <c r="BH4" s="28" t="s">
        <v>324</v>
      </c>
      <c r="BI4" s="28" t="s">
        <v>325</v>
      </c>
      <c r="BJ4" s="28" t="s">
        <v>328</v>
      </c>
      <c r="BK4" s="28" t="s">
        <v>136</v>
      </c>
      <c r="BL4" s="28" t="s">
        <v>332</v>
      </c>
      <c r="BM4" s="28" t="s">
        <v>330</v>
      </c>
      <c r="BN4" s="28" t="s">
        <v>331</v>
      </c>
      <c r="BO4" s="28" t="s">
        <v>138</v>
      </c>
      <c r="BP4" s="28" t="s">
        <v>14</v>
      </c>
      <c r="BQ4" s="28" t="s">
        <v>379</v>
      </c>
      <c r="BR4" s="28" t="s">
        <v>383</v>
      </c>
      <c r="BS4" s="28" t="s">
        <v>357</v>
      </c>
      <c r="BT4" s="28" t="s">
        <v>329</v>
      </c>
      <c r="BU4" s="28" t="s">
        <v>396</v>
      </c>
      <c r="BV4" s="28" t="s">
        <v>397</v>
      </c>
      <c r="BW4" s="28" t="s">
        <v>398</v>
      </c>
      <c r="BX4" s="28" t="s">
        <v>399</v>
      </c>
      <c r="BY4" s="28" t="s">
        <v>16</v>
      </c>
      <c r="BZ4" s="28" t="s">
        <v>400</v>
      </c>
      <c r="CA4" s="28" t="s">
        <v>128</v>
      </c>
      <c r="CB4" s="28" t="s">
        <v>402</v>
      </c>
      <c r="CC4" s="28" t="s">
        <v>403</v>
      </c>
      <c r="CD4" s="28" t="s">
        <v>404</v>
      </c>
      <c r="CE4" s="28" t="s">
        <v>405</v>
      </c>
      <c r="CF4" s="28" t="s">
        <v>406</v>
      </c>
      <c r="CG4" s="28" t="s">
        <v>407</v>
      </c>
      <c r="CH4" s="28" t="s">
        <v>408</v>
      </c>
      <c r="CI4" s="28" t="s">
        <v>410</v>
      </c>
      <c r="CJ4" s="28" t="s">
        <v>412</v>
      </c>
      <c r="CK4" s="28" t="s">
        <v>413</v>
      </c>
      <c r="CL4" s="28" t="s">
        <v>414</v>
      </c>
      <c r="CM4" s="28" t="s">
        <v>416</v>
      </c>
      <c r="CN4" s="28" t="s">
        <v>419</v>
      </c>
      <c r="CO4" s="28" t="s">
        <v>420</v>
      </c>
      <c r="CP4" s="28" t="s">
        <v>424</v>
      </c>
      <c r="CQ4" s="28" t="s">
        <v>427</v>
      </c>
      <c r="CR4" s="28" t="s">
        <v>430</v>
      </c>
      <c r="CS4" s="28" t="s">
        <v>431</v>
      </c>
      <c r="CT4" s="28" t="s">
        <v>434</v>
      </c>
      <c r="CU4" s="28" t="s">
        <v>436</v>
      </c>
      <c r="CV4" s="28" t="s">
        <v>438</v>
      </c>
      <c r="CW4" s="28" t="s">
        <v>440</v>
      </c>
      <c r="CX4" s="28" t="s">
        <v>443</v>
      </c>
      <c r="CY4" s="28" t="s">
        <v>445</v>
      </c>
      <c r="CZ4" s="28" t="s">
        <v>449</v>
      </c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495</v>
      </c>
      <c r="C5" s="30" t="s">
        <v>497</v>
      </c>
      <c r="D5" s="30" t="s">
        <v>498</v>
      </c>
      <c r="E5" s="30" t="s">
        <v>499</v>
      </c>
      <c r="F5" s="30" t="s">
        <v>500</v>
      </c>
      <c r="G5" s="30" t="s">
        <v>501</v>
      </c>
      <c r="H5" s="30" t="s">
        <v>502</v>
      </c>
      <c r="I5" s="30" t="s">
        <v>503</v>
      </c>
      <c r="J5" s="30" t="s">
        <v>505</v>
      </c>
      <c r="K5" s="30" t="s">
        <v>507</v>
      </c>
      <c r="L5" s="30" t="s">
        <v>508</v>
      </c>
      <c r="M5" s="30" t="s">
        <v>509</v>
      </c>
      <c r="N5" s="30" t="s">
        <v>511</v>
      </c>
      <c r="O5" s="30" t="s">
        <v>513</v>
      </c>
      <c r="P5" s="30" t="s">
        <v>428</v>
      </c>
      <c r="Q5" s="30" t="s">
        <v>514</v>
      </c>
      <c r="R5" s="30" t="s">
        <v>515</v>
      </c>
      <c r="S5" s="30" t="s">
        <v>517</v>
      </c>
      <c r="T5" s="31" t="s">
        <v>519</v>
      </c>
      <c r="U5" s="31" t="s">
        <v>520</v>
      </c>
      <c r="V5" s="31" t="s">
        <v>521</v>
      </c>
      <c r="W5" s="31" t="s">
        <v>523</v>
      </c>
      <c r="X5" s="31" t="s">
        <v>524</v>
      </c>
      <c r="Y5" s="31" t="s">
        <v>526</v>
      </c>
      <c r="Z5" s="31" t="s">
        <v>527</v>
      </c>
      <c r="AA5" s="31" t="s">
        <v>528</v>
      </c>
      <c r="AB5" s="31" t="s">
        <v>530</v>
      </c>
      <c r="AC5" s="31" t="s">
        <v>532</v>
      </c>
      <c r="AD5" s="31" t="s">
        <v>533</v>
      </c>
      <c r="AE5" s="31" t="s">
        <v>534</v>
      </c>
      <c r="AF5" s="31" t="s">
        <v>105</v>
      </c>
      <c r="AG5" s="31" t="s">
        <v>536</v>
      </c>
      <c r="AH5" s="31" t="s">
        <v>537</v>
      </c>
      <c r="AI5" s="31" t="s">
        <v>539</v>
      </c>
      <c r="AJ5" s="31" t="s">
        <v>541</v>
      </c>
      <c r="AK5" s="31" t="s">
        <v>542</v>
      </c>
      <c r="AL5" s="31" t="s">
        <v>544</v>
      </c>
      <c r="AM5" s="31" t="s">
        <v>546</v>
      </c>
      <c r="AN5" s="31" t="s">
        <v>548</v>
      </c>
      <c r="AO5" s="31" t="s">
        <v>549</v>
      </c>
      <c r="AP5" s="31" t="s">
        <v>550</v>
      </c>
      <c r="AQ5" s="31" t="s">
        <v>551</v>
      </c>
      <c r="AR5" s="31" t="s">
        <v>553</v>
      </c>
      <c r="AS5" s="31" t="s">
        <v>555</v>
      </c>
      <c r="AT5" s="31" t="s">
        <v>556</v>
      </c>
      <c r="AU5" s="31" t="s">
        <v>557</v>
      </c>
      <c r="AV5" s="31" t="s">
        <v>558</v>
      </c>
      <c r="AW5" s="31" t="s">
        <v>559</v>
      </c>
      <c r="AX5" s="31" t="s">
        <v>561</v>
      </c>
      <c r="AY5" s="31" t="s">
        <v>563</v>
      </c>
      <c r="AZ5" s="31" t="s">
        <v>564</v>
      </c>
      <c r="BA5" s="31" t="s">
        <v>565</v>
      </c>
      <c r="BB5" s="31" t="s">
        <v>432</v>
      </c>
      <c r="BC5" s="31" t="s">
        <v>567</v>
      </c>
      <c r="BD5" s="31" t="s">
        <v>569</v>
      </c>
      <c r="BE5" s="31" t="s">
        <v>570</v>
      </c>
      <c r="BF5" s="31" t="s">
        <v>571</v>
      </c>
      <c r="BG5" s="31" t="s">
        <v>572</v>
      </c>
      <c r="BH5" s="31" t="s">
        <v>574</v>
      </c>
      <c r="BI5" s="31" t="s">
        <v>576</v>
      </c>
      <c r="BJ5" s="31" t="s">
        <v>577</v>
      </c>
      <c r="BK5" s="31" t="s">
        <v>578</v>
      </c>
      <c r="BL5" s="31" t="s">
        <v>580</v>
      </c>
      <c r="BM5" s="31" t="s">
        <v>421</v>
      </c>
      <c r="BN5" s="31" t="s">
        <v>582</v>
      </c>
      <c r="BO5" s="31" t="s">
        <v>583</v>
      </c>
      <c r="BP5" s="31" t="s">
        <v>584</v>
      </c>
      <c r="BQ5" s="31" t="s">
        <v>586</v>
      </c>
      <c r="BR5" s="31" t="s">
        <v>587</v>
      </c>
      <c r="BS5" s="31" t="s">
        <v>589</v>
      </c>
      <c r="BT5" s="31" t="s">
        <v>590</v>
      </c>
      <c r="BU5" s="31" t="s">
        <v>591</v>
      </c>
      <c r="BV5" s="31" t="s">
        <v>594</v>
      </c>
      <c r="BW5" s="31" t="s">
        <v>595</v>
      </c>
      <c r="BX5" s="31" t="s">
        <v>596</v>
      </c>
      <c r="BY5" s="31" t="s">
        <v>597</v>
      </c>
      <c r="BZ5" s="31" t="s">
        <v>401</v>
      </c>
      <c r="CA5" s="31" t="s">
        <v>598</v>
      </c>
      <c r="CB5" s="31" t="s">
        <v>599</v>
      </c>
      <c r="CC5" s="31" t="s">
        <v>601</v>
      </c>
      <c r="CD5" s="31" t="s">
        <v>603</v>
      </c>
      <c r="CE5" s="31" t="s">
        <v>604</v>
      </c>
      <c r="CF5" s="31" t="s">
        <v>605</v>
      </c>
      <c r="CG5" s="31" t="s">
        <v>606</v>
      </c>
      <c r="CH5" s="31" t="s">
        <v>608</v>
      </c>
      <c r="CI5" s="31" t="s">
        <v>447</v>
      </c>
      <c r="CJ5" s="31" t="s">
        <v>610</v>
      </c>
      <c r="CK5" s="31" t="s">
        <v>611</v>
      </c>
      <c r="CL5" s="31" t="s">
        <v>612</v>
      </c>
      <c r="CM5" s="31" t="s">
        <v>614</v>
      </c>
      <c r="CN5" s="31" t="s">
        <v>615</v>
      </c>
      <c r="CO5" s="31" t="s">
        <v>617</v>
      </c>
      <c r="CP5" s="31" t="s">
        <v>618</v>
      </c>
      <c r="CQ5" s="31" t="s">
        <v>619</v>
      </c>
      <c r="CR5" s="31" t="s">
        <v>621</v>
      </c>
      <c r="CS5" s="31" t="s">
        <v>623</v>
      </c>
      <c r="CT5" s="31" t="s">
        <v>472</v>
      </c>
      <c r="CU5" s="31" t="s">
        <v>624</v>
      </c>
      <c r="CV5" s="31" t="s">
        <v>631</v>
      </c>
      <c r="CW5" s="31" t="s">
        <v>632</v>
      </c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BM6" s="21">
        <v>100.0</v>
      </c>
      <c r="BU6" s="21" t="s">
        <v>543</v>
      </c>
      <c r="BZ6" s="21" t="s">
        <v>540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M7" s="21">
        <v>100.0</v>
      </c>
      <c r="BU7" s="21" t="s">
        <v>543</v>
      </c>
      <c r="BZ7" s="21" t="s">
        <v>540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59</v>
      </c>
      <c r="D3" s="9" t="s">
        <v>8</v>
      </c>
      <c r="E3" s="24" t="s">
        <v>62</v>
      </c>
      <c r="F3" s="9" t="s">
        <v>276</v>
      </c>
      <c r="G3" s="25" t="s">
        <v>282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">
        <v>62</v>
      </c>
      <c r="D4" s="27" t="s">
        <v>98</v>
      </c>
      <c r="E4" s="27" t="s">
        <v>217</v>
      </c>
      <c r="F4" s="27" t="s">
        <v>661</v>
      </c>
      <c r="G4" s="27" t="s">
        <v>663</v>
      </c>
      <c r="H4" s="27" t="s">
        <v>665</v>
      </c>
      <c r="I4" s="27" t="s">
        <v>666</v>
      </c>
      <c r="J4" s="27" t="s">
        <v>667</v>
      </c>
      <c r="K4" s="27" t="s">
        <v>701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447</v>
      </c>
      <c r="C5" s="30" t="s">
        <v>401</v>
      </c>
      <c r="D5" s="30" t="s">
        <v>736</v>
      </c>
      <c r="E5" s="30" t="s">
        <v>485</v>
      </c>
      <c r="F5" s="30" t="s">
        <v>739</v>
      </c>
      <c r="G5" s="30" t="s">
        <v>741</v>
      </c>
      <c r="H5" s="30" t="s">
        <v>743</v>
      </c>
      <c r="I5" s="30" t="s">
        <v>744</v>
      </c>
      <c r="J5" s="30" t="s">
        <v>745</v>
      </c>
      <c r="K5" s="30" t="s">
        <v>746</v>
      </c>
      <c r="L5" s="30" t="s">
        <v>747</v>
      </c>
      <c r="M5" s="30" t="s">
        <v>749</v>
      </c>
      <c r="N5" s="30" t="s">
        <v>750</v>
      </c>
      <c r="O5" s="30" t="s">
        <v>751</v>
      </c>
      <c r="P5" s="30" t="s">
        <v>752</v>
      </c>
      <c r="Q5" s="30" t="s">
        <v>753</v>
      </c>
      <c r="R5" s="30" t="s">
        <v>755</v>
      </c>
      <c r="S5" s="30" t="s">
        <v>444</v>
      </c>
      <c r="T5" s="31" t="s">
        <v>756</v>
      </c>
      <c r="U5" s="31" t="s">
        <v>618</v>
      </c>
      <c r="V5" s="31" t="s">
        <v>105</v>
      </c>
      <c r="W5" s="31" t="s">
        <v>757</v>
      </c>
      <c r="X5" s="31" t="s">
        <v>758</v>
      </c>
      <c r="Y5" s="31" t="s">
        <v>542</v>
      </c>
      <c r="Z5" s="31" t="s">
        <v>759</v>
      </c>
      <c r="AA5" s="31" t="s">
        <v>760</v>
      </c>
      <c r="AB5" s="31" t="s">
        <v>762</v>
      </c>
      <c r="AC5" s="31" t="s">
        <v>764</v>
      </c>
      <c r="AD5" s="31" t="s">
        <v>765</v>
      </c>
      <c r="AE5" s="31" t="s">
        <v>767</v>
      </c>
      <c r="AF5" s="31" t="s">
        <v>769</v>
      </c>
      <c r="AG5" s="31" t="s">
        <v>770</v>
      </c>
      <c r="AH5" s="31" t="s">
        <v>771</v>
      </c>
      <c r="AI5" s="31" t="s">
        <v>773</v>
      </c>
      <c r="AJ5" s="31" t="s">
        <v>776</v>
      </c>
      <c r="AK5" s="31" t="s">
        <v>778</v>
      </c>
      <c r="AL5" s="31" t="s">
        <v>533</v>
      </c>
      <c r="AM5" s="31" t="s">
        <v>780</v>
      </c>
      <c r="AN5" s="31" t="s">
        <v>418</v>
      </c>
      <c r="AO5" s="31" t="s">
        <v>781</v>
      </c>
      <c r="AP5" s="31" t="s">
        <v>783</v>
      </c>
      <c r="AQ5" s="31" t="s">
        <v>621</v>
      </c>
      <c r="AR5" s="31" t="s">
        <v>785</v>
      </c>
      <c r="AS5" s="31" t="s">
        <v>786</v>
      </c>
      <c r="AT5" s="31" t="s">
        <v>534</v>
      </c>
      <c r="AU5" s="31" t="s">
        <v>549</v>
      </c>
      <c r="AV5" s="31" t="s">
        <v>788</v>
      </c>
      <c r="AW5" s="31" t="s">
        <v>789</v>
      </c>
      <c r="AX5" s="31" t="s">
        <v>790</v>
      </c>
      <c r="AY5" s="31" t="s">
        <v>792</v>
      </c>
      <c r="AZ5" s="31" t="s">
        <v>794</v>
      </c>
      <c r="BA5" s="31" t="s">
        <v>796</v>
      </c>
      <c r="BB5" s="31" t="s">
        <v>798</v>
      </c>
      <c r="BC5" s="31" t="s">
        <v>800</v>
      </c>
      <c r="BD5" s="31" t="s">
        <v>801</v>
      </c>
      <c r="BE5" s="31" t="s">
        <v>802</v>
      </c>
      <c r="BF5" s="31" t="s">
        <v>803</v>
      </c>
      <c r="BG5" s="31" t="s">
        <v>805</v>
      </c>
      <c r="BH5" s="31" t="s">
        <v>807</v>
      </c>
      <c r="BI5" s="31" t="s">
        <v>809</v>
      </c>
      <c r="BJ5" s="31" t="s">
        <v>811</v>
      </c>
      <c r="BK5" s="31" t="s">
        <v>812</v>
      </c>
      <c r="BL5" s="31" t="s">
        <v>813</v>
      </c>
      <c r="BM5" s="31" t="s">
        <v>814</v>
      </c>
      <c r="BN5" s="31" t="s">
        <v>815</v>
      </c>
      <c r="BO5" s="31" t="s">
        <v>816</v>
      </c>
      <c r="BP5" s="31" t="s">
        <v>817</v>
      </c>
      <c r="BQ5" s="31" t="s">
        <v>477</v>
      </c>
      <c r="BR5" s="31" t="s">
        <v>428</v>
      </c>
      <c r="BS5" s="31" t="s">
        <v>818</v>
      </c>
      <c r="BT5" s="31" t="s">
        <v>819</v>
      </c>
      <c r="BU5" s="31" t="s">
        <v>768</v>
      </c>
      <c r="BV5" s="31" t="s">
        <v>539</v>
      </c>
      <c r="BW5" s="31" t="s">
        <v>761</v>
      </c>
      <c r="BX5" s="31" t="s">
        <v>820</v>
      </c>
      <c r="BY5" s="31" t="s">
        <v>821</v>
      </c>
      <c r="BZ5" s="31" t="s">
        <v>822</v>
      </c>
      <c r="CA5" s="31" t="s">
        <v>823</v>
      </c>
      <c r="CB5" s="31" t="s">
        <v>587</v>
      </c>
      <c r="CC5" s="31" t="s">
        <v>824</v>
      </c>
      <c r="CD5" s="31" t="s">
        <v>825</v>
      </c>
      <c r="CE5" s="31" t="s">
        <v>826</v>
      </c>
      <c r="CF5" s="31" t="s">
        <v>827</v>
      </c>
      <c r="CG5" s="31" t="s">
        <v>828</v>
      </c>
      <c r="CH5" s="31" t="s">
        <v>829</v>
      </c>
      <c r="CI5" s="31" t="s">
        <v>830</v>
      </c>
      <c r="CJ5" s="31" t="s">
        <v>831</v>
      </c>
      <c r="CK5" s="31" t="s">
        <v>832</v>
      </c>
      <c r="CL5" s="31" t="s">
        <v>833</v>
      </c>
      <c r="CM5" s="31" t="s">
        <v>834</v>
      </c>
      <c r="CN5" s="31" t="s">
        <v>835</v>
      </c>
      <c r="CO5" s="31" t="s">
        <v>836</v>
      </c>
      <c r="CP5" s="31" t="s">
        <v>511</v>
      </c>
      <c r="CQ5" s="31" t="s">
        <v>551</v>
      </c>
      <c r="CR5" s="31" t="s">
        <v>837</v>
      </c>
      <c r="CS5" s="31" t="s">
        <v>838</v>
      </c>
      <c r="CT5" s="31" t="s">
        <v>839</v>
      </c>
      <c r="CU5" s="31" t="s">
        <v>514</v>
      </c>
      <c r="CV5" s="31" t="s">
        <v>840</v>
      </c>
      <c r="CW5" s="31" t="s">
        <v>604</v>
      </c>
      <c r="CX5" s="31" t="s">
        <v>605</v>
      </c>
      <c r="CY5" s="31" t="s">
        <v>606</v>
      </c>
      <c r="CZ5" s="31" t="s">
        <v>608</v>
      </c>
      <c r="DA5" s="31" t="s">
        <v>578</v>
      </c>
      <c r="DB5" s="31" t="s">
        <v>841</v>
      </c>
      <c r="DC5" s="31" t="s">
        <v>842</v>
      </c>
      <c r="DD5" s="31" t="s">
        <v>843</v>
      </c>
      <c r="DE5" s="31" t="s">
        <v>844</v>
      </c>
      <c r="DF5" s="31" t="s">
        <v>845</v>
      </c>
      <c r="DG5" s="31" t="s">
        <v>846</v>
      </c>
      <c r="DH5" s="31" t="s">
        <v>847</v>
      </c>
      <c r="DI5" s="31" t="s">
        <v>848</v>
      </c>
      <c r="DJ5" s="31" t="s">
        <v>849</v>
      </c>
      <c r="DK5" s="31" t="s">
        <v>850</v>
      </c>
      <c r="DL5" s="31" t="s">
        <v>851</v>
      </c>
      <c r="DM5" s="31" t="s">
        <v>852</v>
      </c>
      <c r="DN5" s="31" t="s">
        <v>853</v>
      </c>
      <c r="DO5" s="31" t="s">
        <v>615</v>
      </c>
      <c r="DP5" s="31" t="s">
        <v>854</v>
      </c>
      <c r="DQ5" s="31" t="s">
        <v>855</v>
      </c>
      <c r="DR5" s="31" t="s">
        <v>856</v>
      </c>
      <c r="DS5" s="31" t="s">
        <v>857</v>
      </c>
      <c r="DT5" s="31" t="s">
        <v>858</v>
      </c>
      <c r="DU5" s="31" t="s">
        <v>859</v>
      </c>
      <c r="DV5" s="31" t="s">
        <v>860</v>
      </c>
      <c r="DW5" s="31" t="s">
        <v>861</v>
      </c>
      <c r="DX5" s="31" t="s">
        <v>862</v>
      </c>
      <c r="DY5" s="31" t="s">
        <v>863</v>
      </c>
      <c r="DZ5" s="31" t="s">
        <v>864</v>
      </c>
      <c r="EA5" s="31" t="s">
        <v>865</v>
      </c>
      <c r="EB5" s="31" t="s">
        <v>866</v>
      </c>
      <c r="EC5" s="31" t="s">
        <v>867</v>
      </c>
      <c r="ED5" s="31" t="s">
        <v>868</v>
      </c>
      <c r="EE5" s="31" t="s">
        <v>869</v>
      </c>
      <c r="EF5" s="31" t="s">
        <v>870</v>
      </c>
      <c r="EG5" s="31" t="s">
        <v>871</v>
      </c>
      <c r="EH5" s="31" t="s">
        <v>872</v>
      </c>
      <c r="EI5" s="31" t="s">
        <v>873</v>
      </c>
      <c r="EJ5" s="31" t="s">
        <v>874</v>
      </c>
      <c r="EK5" s="31" t="s">
        <v>875</v>
      </c>
      <c r="EL5" s="31" t="s">
        <v>876</v>
      </c>
      <c r="EM5" s="31" t="s">
        <v>877</v>
      </c>
      <c r="EN5" s="31" t="s">
        <v>878</v>
      </c>
      <c r="EO5" s="31" t="s">
        <v>879</v>
      </c>
      <c r="EP5" s="31" t="s">
        <v>880</v>
      </c>
      <c r="EQ5" s="31" t="s">
        <v>881</v>
      </c>
      <c r="ER5" s="31" t="s">
        <v>882</v>
      </c>
      <c r="ES5" s="31" t="s">
        <v>883</v>
      </c>
      <c r="ET5" s="31" t="s">
        <v>884</v>
      </c>
      <c r="EU5" s="31" t="s">
        <v>885</v>
      </c>
      <c r="EV5" s="31" t="s">
        <v>886</v>
      </c>
      <c r="EW5" s="31" t="s">
        <v>887</v>
      </c>
      <c r="EX5" s="31" t="s">
        <v>888</v>
      </c>
      <c r="EY5" s="31" t="s">
        <v>889</v>
      </c>
      <c r="EZ5" s="31" t="s">
        <v>890</v>
      </c>
      <c r="FA5" s="31" t="s">
        <v>891</v>
      </c>
      <c r="FB5" s="31" t="s">
        <v>892</v>
      </c>
      <c r="FC5" s="31" t="s">
        <v>893</v>
      </c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5.75" customHeight="1">
      <c r="A6" s="7"/>
      <c r="C6" s="21" t="s">
        <v>540</v>
      </c>
    </row>
    <row r="7" ht="15.75" customHeight="1">
      <c r="A7" s="7"/>
      <c r="B7" s="7"/>
      <c r="C7" s="10" t="s">
        <v>540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25</v>
      </c>
      <c r="D3" s="9" t="s">
        <v>8</v>
      </c>
      <c r="E3" s="24" t="s">
        <v>293</v>
      </c>
      <c r="F3" s="9" t="s">
        <v>276</v>
      </c>
      <c r="G3" s="25" t="s">
        <v>282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IFERROR(__xludf.DUMMYFUNCTION("IF(C3="""","""",Transpose(IMPORTRANGE('_Settings'!$B$3,C3&amp;""!A4:A1000"")))"),"ReplaceFillsOnBlotter")</f>
        <v>ReplaceFillsOnBlotter</v>
      </c>
      <c r="C4" s="27" t="s">
        <v>27</v>
      </c>
      <c r="D4" s="27" t="s">
        <v>171</v>
      </c>
      <c r="E4" s="27" t="s">
        <v>244</v>
      </c>
      <c r="F4" s="27" t="s">
        <v>246</v>
      </c>
      <c r="G4" s="27" t="s">
        <v>248</v>
      </c>
      <c r="H4" s="27" t="s">
        <v>733</v>
      </c>
      <c r="I4" s="27" t="s">
        <v>254</v>
      </c>
      <c r="J4" s="27" t="s">
        <v>256</v>
      </c>
      <c r="K4" s="27" t="s">
        <v>258</v>
      </c>
      <c r="L4" s="27" t="s">
        <v>262</v>
      </c>
      <c r="M4" s="27" t="s">
        <v>260</v>
      </c>
      <c r="N4" s="27" t="s">
        <v>252</v>
      </c>
      <c r="O4" s="27" t="s">
        <v>250</v>
      </c>
      <c r="P4" s="28" t="s">
        <v>267</v>
      </c>
      <c r="Q4" s="28" t="s">
        <v>269</v>
      </c>
      <c r="R4" s="28" t="s">
        <v>269</v>
      </c>
      <c r="S4" s="28" t="s">
        <v>269</v>
      </c>
      <c r="T4" s="28" t="s">
        <v>278</v>
      </c>
      <c r="U4" s="28" t="s">
        <v>280</v>
      </c>
      <c r="V4" s="28" t="s">
        <v>283</v>
      </c>
      <c r="W4" s="28" t="s">
        <v>285</v>
      </c>
      <c r="X4" s="28" t="s">
        <v>287</v>
      </c>
      <c r="Y4" s="28" t="s">
        <v>289</v>
      </c>
      <c r="Z4" s="28" t="s">
        <v>291</v>
      </c>
      <c r="AA4" s="28" t="s">
        <v>293</v>
      </c>
      <c r="AB4" s="28" t="s">
        <v>295</v>
      </c>
      <c r="AC4" s="28" t="s">
        <v>278</v>
      </c>
      <c r="AD4" s="28" t="s">
        <v>278</v>
      </c>
      <c r="AE4" s="28" t="s">
        <v>334</v>
      </c>
      <c r="AF4" s="28" t="s">
        <v>338</v>
      </c>
      <c r="AG4" s="28" t="s">
        <v>336</v>
      </c>
      <c r="AH4" s="28" t="s">
        <v>340</v>
      </c>
      <c r="AI4" s="28" t="s">
        <v>260</v>
      </c>
      <c r="AJ4" s="28" t="s">
        <v>340</v>
      </c>
      <c r="AK4" s="28" t="s">
        <v>338</v>
      </c>
      <c r="AL4" s="28" t="s">
        <v>442</v>
      </c>
      <c r="AM4" s="28" t="s">
        <v>452</v>
      </c>
      <c r="AN4" s="28" t="s">
        <v>457</v>
      </c>
      <c r="AO4" s="28" t="s">
        <v>459</v>
      </c>
      <c r="AP4" s="28" t="s">
        <v>734</v>
      </c>
      <c r="AQ4" s="28" t="s">
        <v>461</v>
      </c>
      <c r="AR4" s="28" t="s">
        <v>466</v>
      </c>
      <c r="AS4" s="28" t="s">
        <v>473</v>
      </c>
      <c r="AT4" s="28" t="s">
        <v>480</v>
      </c>
      <c r="AU4" s="28" t="s">
        <v>487</v>
      </c>
      <c r="AV4" s="28" t="s">
        <v>490</v>
      </c>
      <c r="AW4" s="28" t="s">
        <v>490</v>
      </c>
      <c r="AX4" s="28" t="s">
        <v>670</v>
      </c>
      <c r="AY4" s="28" t="s">
        <v>721</v>
      </c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735</v>
      </c>
      <c r="C5" s="30" t="s">
        <v>737</v>
      </c>
      <c r="D5" s="30" t="s">
        <v>738</v>
      </c>
      <c r="E5" s="30" t="s">
        <v>740</v>
      </c>
      <c r="F5" s="30" t="s">
        <v>742</v>
      </c>
      <c r="G5" s="30" t="s">
        <v>748</v>
      </c>
      <c r="H5" s="30" t="s">
        <v>472</v>
      </c>
      <c r="I5" s="30" t="s">
        <v>623</v>
      </c>
      <c r="J5" s="30" t="s">
        <v>621</v>
      </c>
      <c r="K5" s="30" t="s">
        <v>754</v>
      </c>
      <c r="L5" s="30" t="s">
        <v>477</v>
      </c>
      <c r="M5" s="30" t="s">
        <v>608</v>
      </c>
      <c r="N5" s="30" t="s">
        <v>606</v>
      </c>
      <c r="O5" s="30" t="s">
        <v>605</v>
      </c>
      <c r="P5" s="30" t="s">
        <v>604</v>
      </c>
      <c r="Q5" s="30" t="s">
        <v>610</v>
      </c>
      <c r="R5" s="30" t="s">
        <v>631</v>
      </c>
      <c r="S5" s="30" t="s">
        <v>761</v>
      </c>
      <c r="T5" s="31" t="s">
        <v>763</v>
      </c>
      <c r="U5" s="31" t="s">
        <v>766</v>
      </c>
      <c r="V5" s="31" t="s">
        <v>586</v>
      </c>
      <c r="W5" s="31" t="s">
        <v>768</v>
      </c>
      <c r="X5" s="31" t="s">
        <v>577</v>
      </c>
      <c r="Y5" s="31" t="s">
        <v>772</v>
      </c>
      <c r="Z5" s="31" t="s">
        <v>774</v>
      </c>
      <c r="AA5" s="31" t="s">
        <v>775</v>
      </c>
      <c r="AB5" s="31" t="s">
        <v>777</v>
      </c>
      <c r="AC5" s="31" t="s">
        <v>779</v>
      </c>
      <c r="AD5" s="31" t="s">
        <v>549</v>
      </c>
      <c r="AE5" s="31" t="s">
        <v>542</v>
      </c>
      <c r="AF5" s="31" t="s">
        <v>782</v>
      </c>
      <c r="AG5" s="31" t="s">
        <v>541</v>
      </c>
      <c r="AH5" s="31" t="s">
        <v>784</v>
      </c>
      <c r="AI5" s="31" t="s">
        <v>756</v>
      </c>
      <c r="AJ5" s="31" t="s">
        <v>401</v>
      </c>
      <c r="AK5" s="31" t="s">
        <v>591</v>
      </c>
      <c r="AL5" s="31" t="s">
        <v>787</v>
      </c>
      <c r="AM5" s="31" t="s">
        <v>421</v>
      </c>
      <c r="AN5" s="31" t="s">
        <v>536</v>
      </c>
      <c r="AO5" s="31" t="s">
        <v>791</v>
      </c>
      <c r="AP5" s="31" t="s">
        <v>793</v>
      </c>
      <c r="AQ5" s="31" t="s">
        <v>795</v>
      </c>
      <c r="AR5" s="31" t="s">
        <v>797</v>
      </c>
      <c r="AS5" s="31" t="s">
        <v>799</v>
      </c>
      <c r="AT5" s="31" t="s">
        <v>428</v>
      </c>
      <c r="AU5" s="31" t="s">
        <v>485</v>
      </c>
      <c r="AV5" s="31" t="s">
        <v>432</v>
      </c>
      <c r="AW5" s="31" t="s">
        <v>804</v>
      </c>
      <c r="AX5" s="31" t="s">
        <v>806</v>
      </c>
      <c r="AY5" s="31" t="s">
        <v>808</v>
      </c>
      <c r="AZ5" s="31" t="s">
        <v>810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X6" s="32">
        <f>TODAY()</f>
        <v>43061</v>
      </c>
      <c r="AJ6" s="21" t="s">
        <v>540</v>
      </c>
      <c r="AK6" s="21" t="s">
        <v>543</v>
      </c>
      <c r="AM6" s="2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25</v>
      </c>
      <c r="D3" s="9" t="s">
        <v>8</v>
      </c>
      <c r="E3" s="24" t="s">
        <v>293</v>
      </c>
      <c r="F3" s="9" t="s">
        <v>276</v>
      </c>
      <c r="G3" s="25" t="s">
        <v>282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IFERROR(__xludf.DUMMYFUNCTION("IF(C3="""","""",Transpose(IMPORTRANGE('_Settings'!$B$3,C3&amp;""!A4:A1000"")))"),"ReplaceFillsOnBlotter")</f>
        <v>ReplaceFillsOnBlotter</v>
      </c>
      <c r="C4" s="27" t="s">
        <v>27</v>
      </c>
      <c r="D4" s="27" t="s">
        <v>171</v>
      </c>
      <c r="E4" s="27" t="s">
        <v>244</v>
      </c>
      <c r="F4" s="27" t="s">
        <v>246</v>
      </c>
      <c r="G4" s="27" t="s">
        <v>248</v>
      </c>
      <c r="H4" s="27" t="s">
        <v>733</v>
      </c>
      <c r="I4" s="27" t="s">
        <v>254</v>
      </c>
      <c r="J4" s="27" t="s">
        <v>256</v>
      </c>
      <c r="K4" s="27" t="s">
        <v>258</v>
      </c>
      <c r="L4" s="27" t="s">
        <v>262</v>
      </c>
      <c r="M4" s="27" t="s">
        <v>260</v>
      </c>
      <c r="N4" s="27" t="s">
        <v>252</v>
      </c>
      <c r="O4" s="27" t="s">
        <v>250</v>
      </c>
      <c r="P4" s="28" t="s">
        <v>267</v>
      </c>
      <c r="Q4" s="28" t="s">
        <v>269</v>
      </c>
      <c r="R4" s="28" t="s">
        <v>269</v>
      </c>
      <c r="S4" s="28" t="s">
        <v>269</v>
      </c>
      <c r="T4" s="28" t="s">
        <v>278</v>
      </c>
      <c r="U4" s="28" t="s">
        <v>280</v>
      </c>
      <c r="V4" s="28" t="s">
        <v>283</v>
      </c>
      <c r="W4" s="28" t="s">
        <v>285</v>
      </c>
      <c r="X4" s="28" t="s">
        <v>287</v>
      </c>
      <c r="Y4" s="28" t="s">
        <v>289</v>
      </c>
      <c r="Z4" s="28" t="s">
        <v>291</v>
      </c>
      <c r="AA4" s="28" t="s">
        <v>293</v>
      </c>
      <c r="AB4" s="28" t="s">
        <v>295</v>
      </c>
      <c r="AC4" s="28" t="s">
        <v>278</v>
      </c>
      <c r="AD4" s="28" t="s">
        <v>278</v>
      </c>
      <c r="AE4" s="28" t="s">
        <v>334</v>
      </c>
      <c r="AF4" s="28" t="s">
        <v>338</v>
      </c>
      <c r="AG4" s="28" t="s">
        <v>336</v>
      </c>
      <c r="AH4" s="28" t="s">
        <v>340</v>
      </c>
      <c r="AI4" s="28" t="s">
        <v>260</v>
      </c>
      <c r="AJ4" s="28" t="s">
        <v>340</v>
      </c>
      <c r="AK4" s="28" t="s">
        <v>338</v>
      </c>
      <c r="AL4" s="28" t="s">
        <v>442</v>
      </c>
      <c r="AM4" s="28" t="s">
        <v>452</v>
      </c>
      <c r="AN4" s="28" t="s">
        <v>457</v>
      </c>
      <c r="AO4" s="28" t="s">
        <v>459</v>
      </c>
      <c r="AP4" s="28" t="s">
        <v>734</v>
      </c>
      <c r="AQ4" s="28" t="s">
        <v>461</v>
      </c>
      <c r="AR4" s="28" t="s">
        <v>466</v>
      </c>
      <c r="AS4" s="28" t="s">
        <v>473</v>
      </c>
      <c r="AT4" s="28" t="s">
        <v>480</v>
      </c>
      <c r="AU4" s="28" t="s">
        <v>487</v>
      </c>
      <c r="AV4" s="28" t="s">
        <v>490</v>
      </c>
      <c r="AW4" s="28" t="s">
        <v>490</v>
      </c>
      <c r="AX4" s="28" t="s">
        <v>670</v>
      </c>
      <c r="AY4" s="28" t="s">
        <v>721</v>
      </c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735</v>
      </c>
      <c r="C5" s="30" t="s">
        <v>737</v>
      </c>
      <c r="D5" s="30" t="s">
        <v>738</v>
      </c>
      <c r="E5" s="30" t="s">
        <v>740</v>
      </c>
      <c r="F5" s="30" t="s">
        <v>742</v>
      </c>
      <c r="G5" s="30" t="s">
        <v>748</v>
      </c>
      <c r="H5" s="30" t="s">
        <v>472</v>
      </c>
      <c r="I5" s="30" t="s">
        <v>623</v>
      </c>
      <c r="J5" s="30" t="s">
        <v>621</v>
      </c>
      <c r="K5" s="30" t="s">
        <v>754</v>
      </c>
      <c r="L5" s="30" t="s">
        <v>477</v>
      </c>
      <c r="M5" s="30" t="s">
        <v>608</v>
      </c>
      <c r="N5" s="30" t="s">
        <v>606</v>
      </c>
      <c r="O5" s="30" t="s">
        <v>605</v>
      </c>
      <c r="P5" s="30" t="s">
        <v>604</v>
      </c>
      <c r="Q5" s="30" t="s">
        <v>610</v>
      </c>
      <c r="R5" s="30" t="s">
        <v>631</v>
      </c>
      <c r="S5" s="30" t="s">
        <v>761</v>
      </c>
      <c r="T5" s="31" t="s">
        <v>763</v>
      </c>
      <c r="U5" s="31" t="s">
        <v>766</v>
      </c>
      <c r="V5" s="31" t="s">
        <v>586</v>
      </c>
      <c r="W5" s="31" t="s">
        <v>768</v>
      </c>
      <c r="X5" s="31" t="s">
        <v>577</v>
      </c>
      <c r="Y5" s="31" t="s">
        <v>772</v>
      </c>
      <c r="Z5" s="31" t="s">
        <v>774</v>
      </c>
      <c r="AA5" s="31" t="s">
        <v>775</v>
      </c>
      <c r="AB5" s="31" t="s">
        <v>777</v>
      </c>
      <c r="AC5" s="31" t="s">
        <v>779</v>
      </c>
      <c r="AD5" s="31" t="s">
        <v>549</v>
      </c>
      <c r="AE5" s="31" t="s">
        <v>542</v>
      </c>
      <c r="AF5" s="31" t="s">
        <v>782</v>
      </c>
      <c r="AG5" s="31" t="s">
        <v>541</v>
      </c>
      <c r="AH5" s="31" t="s">
        <v>784</v>
      </c>
      <c r="AI5" s="31" t="s">
        <v>756</v>
      </c>
      <c r="AJ5" s="31" t="s">
        <v>401</v>
      </c>
      <c r="AK5" s="31" t="s">
        <v>591</v>
      </c>
      <c r="AL5" s="31" t="s">
        <v>787</v>
      </c>
      <c r="AM5" s="31" t="s">
        <v>421</v>
      </c>
      <c r="AN5" s="31" t="s">
        <v>536</v>
      </c>
      <c r="AO5" s="31" t="s">
        <v>791</v>
      </c>
      <c r="AP5" s="31" t="s">
        <v>793</v>
      </c>
      <c r="AQ5" s="31" t="s">
        <v>795</v>
      </c>
      <c r="AR5" s="31" t="s">
        <v>797</v>
      </c>
      <c r="AS5" s="31" t="s">
        <v>799</v>
      </c>
      <c r="AT5" s="31" t="s">
        <v>428</v>
      </c>
      <c r="AU5" s="31" t="s">
        <v>485</v>
      </c>
      <c r="AV5" s="31" t="s">
        <v>432</v>
      </c>
      <c r="AW5" s="31" t="s">
        <v>804</v>
      </c>
      <c r="AX5" s="31" t="s">
        <v>806</v>
      </c>
      <c r="AY5" s="31" t="s">
        <v>808</v>
      </c>
      <c r="AZ5" s="31" t="s">
        <v>810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X6" s="32">
        <f>TODAY()</f>
        <v>43061</v>
      </c>
      <c r="AJ6" s="21" t="s">
        <v>540</v>
      </c>
      <c r="AK6" s="21" t="s">
        <v>543</v>
      </c>
      <c r="AM6" s="2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100</v>
      </c>
      <c r="D3" s="9" t="s">
        <v>8</v>
      </c>
      <c r="E3" s="24" t="s">
        <v>299</v>
      </c>
      <c r="F3" s="9" t="s">
        <v>276</v>
      </c>
      <c r="G3" s="25" t="s">
        <v>282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117</v>
      </c>
      <c r="D4" s="27" t="s">
        <v>164</v>
      </c>
      <c r="E4" s="27" t="s">
        <v>166</v>
      </c>
      <c r="F4" s="27" t="s">
        <v>167</v>
      </c>
      <c r="G4" s="27" t="s">
        <v>169</v>
      </c>
      <c r="H4" s="27" t="s">
        <v>173</v>
      </c>
      <c r="I4" s="27" t="s">
        <v>274</v>
      </c>
      <c r="J4" s="27" t="s">
        <v>272</v>
      </c>
      <c r="K4" s="27" t="s">
        <v>272</v>
      </c>
      <c r="L4" s="27" t="s">
        <v>297</v>
      </c>
      <c r="M4" s="27" t="s">
        <v>299</v>
      </c>
      <c r="N4" s="27" t="s">
        <v>346</v>
      </c>
      <c r="O4" s="27" t="s">
        <v>347</v>
      </c>
      <c r="P4" s="28" t="s">
        <v>349</v>
      </c>
      <c r="Q4" s="28" t="s">
        <v>356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401</v>
      </c>
      <c r="C5" s="30" t="s">
        <v>418</v>
      </c>
      <c r="D5" s="30" t="s">
        <v>421</v>
      </c>
      <c r="E5" s="30" t="s">
        <v>422</v>
      </c>
      <c r="F5" s="30" t="s">
        <v>425</v>
      </c>
      <c r="G5" s="30" t="s">
        <v>428</v>
      </c>
      <c r="H5" s="30" t="s">
        <v>429</v>
      </c>
      <c r="I5" s="30" t="s">
        <v>432</v>
      </c>
      <c r="J5" s="30" t="s">
        <v>437</v>
      </c>
      <c r="K5" s="30" t="s">
        <v>439</v>
      </c>
      <c r="L5" s="30" t="s">
        <v>441</v>
      </c>
      <c r="M5" s="30" t="s">
        <v>444</v>
      </c>
      <c r="N5" s="30" t="s">
        <v>447</v>
      </c>
      <c r="O5" s="30" t="s">
        <v>448</v>
      </c>
      <c r="P5" s="30" t="s">
        <v>450</v>
      </c>
      <c r="Q5" s="30" t="s">
        <v>451</v>
      </c>
      <c r="R5" s="30" t="s">
        <v>453</v>
      </c>
      <c r="S5" s="30" t="s">
        <v>455</v>
      </c>
      <c r="T5" s="31" t="s">
        <v>456</v>
      </c>
      <c r="U5" s="31" t="s">
        <v>463</v>
      </c>
      <c r="V5" s="31" t="s">
        <v>464</v>
      </c>
      <c r="W5" s="31" t="s">
        <v>465</v>
      </c>
      <c r="X5" s="31" t="s">
        <v>467</v>
      </c>
      <c r="Y5" s="31" t="s">
        <v>469</v>
      </c>
      <c r="Z5" s="31" t="s">
        <v>470</v>
      </c>
      <c r="AA5" s="31" t="s">
        <v>471</v>
      </c>
      <c r="AB5" s="31" t="s">
        <v>472</v>
      </c>
      <c r="AC5" s="31" t="s">
        <v>474</v>
      </c>
      <c r="AD5" s="31" t="s">
        <v>476</v>
      </c>
      <c r="AE5" s="31" t="s">
        <v>477</v>
      </c>
      <c r="AF5" s="31" t="s">
        <v>478</v>
      </c>
      <c r="AG5" s="31" t="s">
        <v>479</v>
      </c>
      <c r="AH5" s="31" t="s">
        <v>481</v>
      </c>
      <c r="AI5" s="31" t="s">
        <v>483</v>
      </c>
      <c r="AJ5" s="31" t="s">
        <v>484</v>
      </c>
      <c r="AK5" s="31" t="s">
        <v>485</v>
      </c>
      <c r="AL5" s="31" t="s">
        <v>486</v>
      </c>
      <c r="AM5" s="31" t="s">
        <v>488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B6" s="21" t="s">
        <v>540</v>
      </c>
      <c r="C6" s="21" t="s">
        <v>543</v>
      </c>
      <c r="D6" s="21">
        <v>100.0</v>
      </c>
      <c r="N6" s="32">
        <f>today()</f>
        <v>43061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33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34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34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34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100</v>
      </c>
      <c r="D3" s="9" t="s">
        <v>8</v>
      </c>
      <c r="E3" s="24" t="s">
        <v>299</v>
      </c>
      <c r="F3" s="9" t="s">
        <v>276</v>
      </c>
      <c r="G3" s="25" t="s">
        <v>282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117</v>
      </c>
      <c r="D4" s="27" t="s">
        <v>164</v>
      </c>
      <c r="E4" s="27" t="s">
        <v>166</v>
      </c>
      <c r="F4" s="27" t="s">
        <v>167</v>
      </c>
      <c r="G4" s="27" t="s">
        <v>169</v>
      </c>
      <c r="H4" s="27" t="s">
        <v>173</v>
      </c>
      <c r="I4" s="27" t="s">
        <v>274</v>
      </c>
      <c r="J4" s="27" t="s">
        <v>272</v>
      </c>
      <c r="K4" s="27" t="s">
        <v>272</v>
      </c>
      <c r="L4" s="27" t="s">
        <v>297</v>
      </c>
      <c r="M4" s="27" t="s">
        <v>299</v>
      </c>
      <c r="N4" s="27" t="s">
        <v>346</v>
      </c>
      <c r="O4" s="27" t="s">
        <v>347</v>
      </c>
      <c r="P4" s="28" t="s">
        <v>349</v>
      </c>
      <c r="Q4" s="28" t="s">
        <v>356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401</v>
      </c>
      <c r="C5" s="30" t="s">
        <v>418</v>
      </c>
      <c r="D5" s="30" t="s">
        <v>421</v>
      </c>
      <c r="E5" s="30" t="s">
        <v>422</v>
      </c>
      <c r="F5" s="30" t="s">
        <v>425</v>
      </c>
      <c r="G5" s="30" t="s">
        <v>428</v>
      </c>
      <c r="H5" s="30" t="s">
        <v>429</v>
      </c>
      <c r="I5" s="30" t="s">
        <v>432</v>
      </c>
      <c r="J5" s="30" t="s">
        <v>437</v>
      </c>
      <c r="K5" s="30" t="s">
        <v>439</v>
      </c>
      <c r="L5" s="30" t="s">
        <v>441</v>
      </c>
      <c r="M5" s="30" t="s">
        <v>444</v>
      </c>
      <c r="N5" s="30" t="s">
        <v>447</v>
      </c>
      <c r="O5" s="30" t="s">
        <v>448</v>
      </c>
      <c r="P5" s="30" t="s">
        <v>450</v>
      </c>
      <c r="Q5" s="30" t="s">
        <v>451</v>
      </c>
      <c r="R5" s="30" t="s">
        <v>453</v>
      </c>
      <c r="S5" s="30" t="s">
        <v>455</v>
      </c>
      <c r="T5" s="31" t="s">
        <v>456</v>
      </c>
      <c r="U5" s="31" t="s">
        <v>463</v>
      </c>
      <c r="V5" s="31" t="s">
        <v>464</v>
      </c>
      <c r="W5" s="31" t="s">
        <v>465</v>
      </c>
      <c r="X5" s="31" t="s">
        <v>467</v>
      </c>
      <c r="Y5" s="31" t="s">
        <v>469</v>
      </c>
      <c r="Z5" s="31" t="s">
        <v>470</v>
      </c>
      <c r="AA5" s="31" t="s">
        <v>471</v>
      </c>
      <c r="AB5" s="31" t="s">
        <v>472</v>
      </c>
      <c r="AC5" s="31" t="s">
        <v>474</v>
      </c>
      <c r="AD5" s="31" t="s">
        <v>476</v>
      </c>
      <c r="AE5" s="31" t="s">
        <v>477</v>
      </c>
      <c r="AF5" s="31" t="s">
        <v>478</v>
      </c>
      <c r="AG5" s="31" t="s">
        <v>479</v>
      </c>
      <c r="AH5" s="31" t="s">
        <v>481</v>
      </c>
      <c r="AI5" s="31" t="s">
        <v>483</v>
      </c>
      <c r="AJ5" s="31" t="s">
        <v>484</v>
      </c>
      <c r="AK5" s="31" t="s">
        <v>485</v>
      </c>
      <c r="AL5" s="31" t="s">
        <v>486</v>
      </c>
      <c r="AM5" s="31" t="s">
        <v>488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B6" s="21" t="s">
        <v>540</v>
      </c>
      <c r="C6" s="21" t="s">
        <v>543</v>
      </c>
      <c r="D6" s="21">
        <v>100.0</v>
      </c>
      <c r="F6" s="21" t="s">
        <v>894</v>
      </c>
      <c r="N6" s="32">
        <f>today()-10</f>
        <v>43051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2"/>
      <c r="L2" s="7"/>
      <c r="M2" s="7"/>
      <c r="N2" s="7"/>
      <c r="O2" s="7"/>
    </row>
    <row r="3" ht="15.75" customHeight="1">
      <c r="A3" s="23"/>
      <c r="B3" s="9" t="s">
        <v>3</v>
      </c>
      <c r="C3" s="24" t="s">
        <v>264</v>
      </c>
      <c r="D3" s="9" t="s">
        <v>8</v>
      </c>
      <c r="E3" s="24" t="s">
        <v>552</v>
      </c>
      <c r="F3" s="9" t="s">
        <v>276</v>
      </c>
      <c r="G3" s="25" t="s">
        <v>282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522</v>
      </c>
      <c r="D4" s="27" t="s">
        <v>529</v>
      </c>
      <c r="E4" s="27" t="s">
        <v>535</v>
      </c>
      <c r="F4" s="27" t="s">
        <v>545</v>
      </c>
      <c r="G4" s="27" t="s">
        <v>552</v>
      </c>
      <c r="H4" s="27" t="s">
        <v>560</v>
      </c>
      <c r="I4" s="27" t="s">
        <v>566</v>
      </c>
      <c r="J4" s="27" t="s">
        <v>573</v>
      </c>
      <c r="K4" s="27" t="s">
        <v>579</v>
      </c>
      <c r="L4" s="27" t="s">
        <v>592</v>
      </c>
      <c r="M4" s="27" t="s">
        <v>600</v>
      </c>
      <c r="N4" s="27" t="s">
        <v>607</v>
      </c>
      <c r="O4" s="27" t="s">
        <v>613</v>
      </c>
      <c r="P4" s="28" t="s">
        <v>620</v>
      </c>
      <c r="Q4" s="28" t="s">
        <v>265</v>
      </c>
      <c r="R4" s="28" t="s">
        <v>625</v>
      </c>
      <c r="S4" s="28" t="s">
        <v>627</v>
      </c>
      <c r="T4" s="28" t="s">
        <v>629</v>
      </c>
      <c r="U4" s="28" t="s">
        <v>399</v>
      </c>
      <c r="V4" s="28" t="s">
        <v>634</v>
      </c>
      <c r="W4" s="28" t="s">
        <v>636</v>
      </c>
      <c r="X4" s="28" t="s">
        <v>585</v>
      </c>
      <c r="Y4" s="28" t="s">
        <v>638</v>
      </c>
      <c r="Z4" s="28" t="s">
        <v>640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485</v>
      </c>
      <c r="C5" s="30" t="s">
        <v>895</v>
      </c>
      <c r="D5" s="30" t="s">
        <v>505</v>
      </c>
      <c r="E5" s="30" t="s">
        <v>896</v>
      </c>
      <c r="F5" s="30" t="s">
        <v>897</v>
      </c>
      <c r="G5" s="30" t="s">
        <v>898</v>
      </c>
      <c r="H5" s="30" t="s">
        <v>899</v>
      </c>
      <c r="I5" s="30" t="s">
        <v>900</v>
      </c>
      <c r="J5" s="30" t="s">
        <v>569</v>
      </c>
      <c r="K5" s="30" t="s">
        <v>901</v>
      </c>
      <c r="L5" s="30" t="s">
        <v>577</v>
      </c>
      <c r="M5" s="30" t="s">
        <v>421</v>
      </c>
      <c r="N5" s="30" t="s">
        <v>751</v>
      </c>
      <c r="O5" s="30" t="s">
        <v>586</v>
      </c>
      <c r="P5" s="30" t="s">
        <v>808</v>
      </c>
      <c r="Q5" s="30" t="s">
        <v>766</v>
      </c>
      <c r="R5" s="30" t="s">
        <v>810</v>
      </c>
      <c r="S5" s="30" t="s">
        <v>902</v>
      </c>
      <c r="T5" s="31" t="s">
        <v>591</v>
      </c>
      <c r="U5" s="31" t="s">
        <v>444</v>
      </c>
      <c r="V5" s="31" t="s">
        <v>401</v>
      </c>
      <c r="W5" s="31" t="s">
        <v>903</v>
      </c>
      <c r="X5" s="31" t="s">
        <v>904</v>
      </c>
      <c r="Y5" s="31" t="s">
        <v>447</v>
      </c>
      <c r="Z5" s="31" t="s">
        <v>615</v>
      </c>
      <c r="AA5" s="31" t="s">
        <v>905</v>
      </c>
      <c r="AB5" s="31" t="s">
        <v>906</v>
      </c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  <c r="L6" s="32">
        <f>today()-10</f>
        <v>43051</v>
      </c>
      <c r="V6" s="21" t="s">
        <v>540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35">
        <f>TODAY()</f>
        <v>43061</v>
      </c>
      <c r="M7" s="7"/>
      <c r="N7" s="7"/>
      <c r="O7" s="7"/>
      <c r="V7" s="21" t="s">
        <v>540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