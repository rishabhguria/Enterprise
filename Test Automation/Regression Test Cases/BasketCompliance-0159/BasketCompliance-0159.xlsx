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FetchAccountPositions" sheetId="5" r:id="rId7"/>
    <sheet state="visible" name="AddCash" sheetId="6" r:id="rId8"/>
    <sheet state="visible" name="RebalanceAcrossSecurities" sheetId="7" r:id="rId9"/>
    <sheet state="visible" name="RunRebalance" sheetId="8" r:id="rId10"/>
    <sheet state="visible" name="CheckBasketCompliance" sheetId="9" r:id="rId11"/>
    <sheet state="visible" name="GetDataClosing" sheetId="10" r:id="rId12"/>
    <sheet state="visible" name="VerifyLongPositionsGrid" sheetId="11" r:id="rId13"/>
    <sheet state="visible" name="VerifyShortPositionsGrid" sheetId="12" r:id="rId14"/>
    <sheet state="visible" name="AutomaticClosing" sheetId="13" r:id="rId15"/>
    <sheet state="visible" name="VerifyClosedTrades" sheetId="14" r:id="rId16"/>
  </sheets>
  <definedNames/>
  <calcPr/>
</workbook>
</file>

<file path=xl/sharedStrings.xml><?xml version="1.0" encoding="utf-8"?>
<sst xmlns="http://schemas.openxmlformats.org/spreadsheetml/2006/main" count="433" uniqueCount="60">
  <si>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</si>
  <si>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</si>
  <si>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</si>
  <si>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</si>
  <si>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</si>
  <si>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</si>
  <si>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</si>
  <si>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</si>
  <si>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</si>
  <si>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</si>
  <si>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</si>
  <si>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</si>
  <si>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</si>
  <si>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</si>
  <si>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</si>
  <si>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</si>
  <si>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</si>
  <si>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</si>
  <si>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</si>
  <si>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Yes</t>
  </si>
  <si>
    <t>Sell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</si>
  <si>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</si>
  <si>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</si>
  <si>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</si>
  <si>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</si>
  <si>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</si>
  <si>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</si>
  <si>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</si>
  <si>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</si>
  <si>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RebalanceAcrossSecurities</t>
  </si>
  <si>
    <t>Set</t>
  </si>
  <si>
    <t>RunRebalance</t>
  </si>
  <si>
    <t>Nearest Round Off</t>
  </si>
  <si>
    <t>CheckBasketCompliance</t>
  </si>
  <si>
    <t>Soft</t>
  </si>
  <si>
    <t>NEA</t>
  </si>
  <si>
    <t>Enter Summary</t>
  </si>
  <si>
    <t>Allocation1-AAPL</t>
  </si>
  <si>
    <t>percentNetExposureAccount: -3.27, AccountShortName: Allocation1, Symbol: AAPL</t>
  </si>
  <si>
    <t>Order Side Check</t>
  </si>
  <si>
    <t>NEGATIVE</t>
  </si>
  <si>
    <t>Rule Name</t>
  </si>
  <si>
    <t>Closing</t>
  </si>
  <si>
    <t>GetDataClosing</t>
  </si>
  <si>
    <t>Historical</t>
  </si>
  <si>
    <t>VerifyLongPositionsGrid</t>
  </si>
  <si>
    <t>Equity</t>
  </si>
  <si>
    <t>VerifyShortPositionsGrid</t>
  </si>
  <si>
    <t>AutomaticClosing</t>
  </si>
  <si>
    <t>ACA</t>
  </si>
  <si>
    <t>Default</t>
  </si>
  <si>
    <t>VerifyClosedTrades</t>
  </si>
  <si>
    <t/>
  </si>
  <si>
    <t>Strategy Unallocated</t>
  </si>
  <si>
    <t>Long</t>
  </si>
  <si>
    <t>NASDAQ</t>
  </si>
  <si>
    <t>US</t>
  </si>
  <si>
    <t>USD</t>
  </si>
  <si>
    <t>Short</t>
  </si>
  <si>
    <t>Offset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</si>
</sst>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4" fillId="5" fontId="4" numFmtId="164" xfId="0" applyAlignment="1" applyBorder="1" applyFont="1" applyNumberFormat="1">
      <alignment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6" fontId="14" numFmtId="164" xfId="0" applyAlignment="1" applyFill="1" applyFont="1" applyNumberFormat="1">
      <alignment horizontal="left" readingOrder="0"/>
    </xf>
    <xf borderId="0" fillId="6" fontId="14" numFmtId="0" xfId="0" applyAlignment="1" applyFont="1">
      <alignment horizontal="left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5" fillId="7" fontId="15" numFmtId="0" xfId="0" applyAlignment="1" applyBorder="1" applyFill="1" applyFont="1">
      <alignment horizontal="left" readingOrder="0" shrinkToFit="0" vertical="top" wrapText="0"/>
    </xf>
    <xf borderId="5" fillId="8" fontId="16" numFmtId="0" xfId="0" applyAlignment="1" applyBorder="1" applyFill="1" applyFont="1">
      <alignment horizontal="left" readingOrder="0" shrinkToFit="0" vertical="top" wrapText="0"/>
    </xf>
    <xf borderId="5" fillId="8" fontId="16" numFmtId="0" xfId="0" applyAlignment="1" applyBorder="1" applyFont="1">
      <alignment horizontal="left" shrinkToFit="0" vertical="top" wrapText="0"/>
    </xf>
    <xf borderId="0" fillId="0" fontId="5" numFmtId="0" xfId="0" applyAlignment="1" applyFont="1">
      <alignment vertical="bottom"/>
    </xf>
    <xf borderId="6" fillId="8" fontId="16" numFmtId="0" xfId="0" applyAlignment="1" applyBorder="1" applyFont="1">
      <alignment vertical="top"/>
    </xf>
    <xf borderId="6" fillId="8" fontId="16" numFmtId="0" xfId="0" applyAlignment="1" applyBorder="1" applyFont="1">
      <alignment vertical="top"/>
    </xf>
    <xf borderId="7" fillId="8" fontId="16" numFmtId="0" xfId="0" applyAlignment="1" applyBorder="1" applyFont="1">
      <alignment shrinkToFit="0" vertical="top" wrapText="0"/>
    </xf>
    <xf borderId="6" fillId="8" fontId="3" numFmtId="0" xfId="0" applyAlignment="1" applyBorder="1" applyFont="1">
      <alignment vertical="top"/>
    </xf>
    <xf borderId="0" fillId="0" fontId="5" numFmtId="165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164" xfId="0" applyAlignment="1" applyFont="1" applyNumberFormat="1">
      <alignment readingOrder="0" shrinkToFit="0" vertical="bottom" wrapText="0"/>
    </xf>
    <xf borderId="0" fillId="6" fontId="14" numFmtId="165" xfId="0" applyAlignment="1" applyFont="1" applyNumberFormat="1">
      <alignment horizontal="left" readingOrder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30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 t="str">
        <f>IFERROR(__xludf.DUMMYFUNCTION("""COMPUTED_VALUE"""),"SelectAlgoStrategy")</f>
        <v>SelectAlgoStrategy</v>
      </c>
      <c r="AX5" s="31" t="str">
        <f>IFERROR(__xludf.DUMMYFUNCTION("""COMPUTED_VALUE"""),"Increase/Decrease Quantity")</f>
        <v>Increase/Decrease Quantity</v>
      </c>
      <c r="AY5" s="31" t="str">
        <f>IFERROR(__xludf.DUMMYFUNCTION("""COMPUTED_VALUE"""),"Master Funds")</f>
        <v>Master Funds</v>
      </c>
      <c r="AZ5" s="31" t="str">
        <f>IFERROR(__xludf.DUMMYFUNCTION("""COMPUTED_VALUE"""),"TRVAccountName")</f>
        <v>TRVAccountName</v>
      </c>
      <c r="BA5" s="31" t="str">
        <f>IFERROR(__xludf.DUMMYFUNCTION("""COMPUTED_VALUE"""),"TRVTradeQuantity")</f>
        <v>TRVTradeQuantity</v>
      </c>
      <c r="BB5" s="31" t="str">
        <f>IFERROR(__xludf.DUMMYFUNCTION("""COMPUTED_VALUE"""),"TRVCurrentPosition")</f>
        <v>TRVCurrentPosition</v>
      </c>
      <c r="BC5" s="31" t="str">
        <f>IFERROR(__xludf.DUMMYFUNCTION("""COMPUTED_VALUE"""),"TRVNav")</f>
        <v>TRVNav</v>
      </c>
      <c r="BD5" s="31" t="str">
        <f>IFERROR(__xludf.DUMMYFUNCTION("""COMPUTED_VALUE"""),"Account QTY")</f>
        <v>Account QTY</v>
      </c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16</v>
      </c>
      <c r="C6" s="13" t="s">
        <v>17</v>
      </c>
      <c r="D6" s="13">
        <v>89.0</v>
      </c>
      <c r="E6" s="32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33">
        <v>44722.0</v>
      </c>
      <c r="O6" s="8"/>
      <c r="AQ6" s="9" t="s">
        <v>19</v>
      </c>
    </row>
    <row r="7" ht="15.75" customHeight="1">
      <c r="A7" s="13"/>
      <c r="B7" s="13" t="s">
        <v>16</v>
      </c>
      <c r="C7" s="13" t="s">
        <v>17</v>
      </c>
      <c r="D7" s="13">
        <v>517.0</v>
      </c>
      <c r="E7" s="32"/>
      <c r="F7" s="13" t="s">
        <v>18</v>
      </c>
      <c r="G7" s="8"/>
      <c r="H7" s="8"/>
      <c r="I7" s="8"/>
      <c r="J7" s="13">
        <v>10.0</v>
      </c>
      <c r="K7" s="8"/>
      <c r="L7" s="8"/>
      <c r="M7" s="8"/>
      <c r="N7" s="33">
        <v>44725.0</v>
      </c>
      <c r="O7" s="8"/>
      <c r="AQ7" s="34" t="s">
        <v>19</v>
      </c>
    </row>
    <row r="8" ht="15.75" customHeight="1">
      <c r="A8" s="13"/>
      <c r="B8" s="13" t="s">
        <v>16</v>
      </c>
      <c r="C8" s="13" t="s">
        <v>20</v>
      </c>
      <c r="D8" s="13">
        <v>279.0</v>
      </c>
      <c r="E8" s="32"/>
      <c r="F8" s="13" t="s">
        <v>18</v>
      </c>
      <c r="G8" s="8"/>
      <c r="H8" s="8"/>
      <c r="I8" s="8"/>
      <c r="J8" s="13">
        <v>10.0</v>
      </c>
      <c r="K8" s="8"/>
      <c r="L8" s="8"/>
      <c r="M8" s="8"/>
      <c r="N8" s="33">
        <v>44799.0</v>
      </c>
      <c r="O8" s="8"/>
      <c r="AQ8" s="34" t="s">
        <v>19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5"/>
      <c r="B6" s="36" t="s">
        <v>18</v>
      </c>
      <c r="C6" s="37" t="s">
        <v>23</v>
      </c>
      <c r="D6" s="35" t="s">
        <v>24</v>
      </c>
      <c r="E6" s="37" t="s">
        <v>25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5"/>
      <c r="B6" s="38">
        <v>100000.0</v>
      </c>
      <c r="C6" s="37" t="s">
        <v>27</v>
      </c>
      <c r="D6" s="35" t="s">
        <v>28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16</v>
      </c>
      <c r="C6" s="13" t="s">
        <v>30</v>
      </c>
      <c r="D6" s="13">
        <v>0.0</v>
      </c>
      <c r="E6" s="32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32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IFERROR(__xludf.DUMMYFUNCTION("""COMPUTED_VALUE"""),"Testing Type")</f>
        <v>Testing Type</v>
      </c>
      <c r="K5" s="28" t="str">
        <f>IFERROR(__xludf.DUMMYFUNCTION("""COMPUTED_VALUE"""),"Testing Column")</f>
        <v>Testing Column</v>
      </c>
      <c r="L5" s="28" t="str">
        <f>IFERROR(__xludf.DUMMYFUNCTION("""COMPUTED_VALUE"""),"Testing Col Value")</f>
        <v>Testing Col Value</v>
      </c>
      <c r="M5" s="28" t="str">
        <f>IFERROR(__xludf.DUMMYFUNCTION("""COMPUTED_VALUE"""),"DuplicateCountOnUI")</f>
        <v>DuplicateCountOnUI</v>
      </c>
      <c r="N5" s="28" t="str">
        <f>IFERROR(__xludf.DUMMYFUNCTION("""COMPUTED_VALUE"""),"DuplicateRow")</f>
        <v>DuplicateRow</v>
      </c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9" t="s">
        <v>34</v>
      </c>
      <c r="C6" s="40" t="s">
        <v>35</v>
      </c>
      <c r="D6" s="40" t="s">
        <v>36</v>
      </c>
      <c r="E6" s="40" t="s">
        <v>37</v>
      </c>
      <c r="F6" s="40">
        <v>-10.0</v>
      </c>
      <c r="G6" s="40">
        <v>-3.27</v>
      </c>
      <c r="H6" s="40" t="s">
        <v>38</v>
      </c>
      <c r="I6" s="41"/>
      <c r="J6" s="8"/>
      <c r="K6" s="8"/>
      <c r="L6" s="8"/>
      <c r="M6" s="8"/>
      <c r="N6" s="8"/>
      <c r="O6" s="8"/>
    </row>
    <row r="7" ht="15.75" customHeight="1">
      <c r="A7" s="8"/>
      <c r="B7" s="42" t="s">
        <v>34</v>
      </c>
      <c r="C7" s="42" t="s">
        <v>39</v>
      </c>
      <c r="D7" s="43"/>
      <c r="E7" s="44"/>
      <c r="F7" s="44"/>
      <c r="G7" s="44"/>
      <c r="H7" s="45"/>
      <c r="I7" s="46"/>
      <c r="J7" s="13" t="s">
        <v>40</v>
      </c>
      <c r="K7" s="13" t="s">
        <v>41</v>
      </c>
      <c r="L7" s="42" t="s">
        <v>39</v>
      </c>
      <c r="M7" s="8"/>
      <c r="N7" s="8"/>
      <c r="O7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44</v>
      </c>
      <c r="C6" s="47">
        <v>44713.0</v>
      </c>
      <c r="D6" s="48">
        <f>today()</f>
        <v>45110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1" t="str">
        <f>IFERROR(__xludf.DUMMYFUNCTION("""COMPUTED_VALUE"""),"Total Fees and Commission")</f>
        <v>Total Fees and Commission</v>
      </c>
      <c r="U5" s="31" t="str">
        <f>IFERROR(__xludf.DUMMYFUNCTION("""COMPUTED_VALUE"""),"Trade Date")</f>
        <v>Trade Date</v>
      </c>
      <c r="V5" s="31" t="str">
        <f>IFERROR(__xludf.DUMMYFUNCTION("""COMPUTED_VALUE"""),"Transaction Type")</f>
        <v>Transaction Type</v>
      </c>
      <c r="W5" s="31" t="str">
        <f>IFERROR(__xludf.DUMMYFUNCTION("""COMPUTED_VALUE"""),"UnderlyingName")</f>
        <v>UnderlyingName</v>
      </c>
      <c r="X5" s="31" t="str">
        <f>IFERROR(__xludf.DUMMYFUNCTION("""COMPUTED_VALUE"""),"UnitCost")</f>
        <v>UnitCost</v>
      </c>
      <c r="Y5" s="31" t="str">
        <f>IFERROR(__xludf.DUMMYFUNCTION("""COMPUTED_VALUE"""),"Unit Cost(Base)")</f>
        <v>Unit Cost(Base)</v>
      </c>
      <c r="Z5" s="31" t="str">
        <f>IFERROR(__xludf.DUMMYFUNCTION("""COMPUTED_VALUE"""),"AvgPriceBase")</f>
        <v>AvgPriceBase</v>
      </c>
      <c r="AA5" s="31" t="str">
        <f>IFERROR(__xludf.DUMMYFUNCTION("""COMPUTED_VALUE"""),"isRowCountCheck")</f>
        <v>isRowCountCheck</v>
      </c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18</v>
      </c>
      <c r="C6" s="13" t="s">
        <v>46</v>
      </c>
      <c r="D6" s="13"/>
      <c r="E6" s="32"/>
      <c r="F6" s="8"/>
      <c r="G6" s="8"/>
      <c r="H6" s="49">
        <v>904.0</v>
      </c>
      <c r="I6" s="13">
        <v>10.0</v>
      </c>
      <c r="J6" s="8"/>
      <c r="K6" s="8"/>
      <c r="L6" s="8"/>
      <c r="M6" s="49">
        <v>89.0</v>
      </c>
      <c r="N6" s="13"/>
      <c r="O6" s="8"/>
      <c r="P6" s="49" t="s">
        <v>17</v>
      </c>
      <c r="R6" s="9" t="s">
        <v>16</v>
      </c>
      <c r="U6" s="33"/>
      <c r="Z6" s="49">
        <v>10.0</v>
      </c>
    </row>
    <row r="7" ht="15.75" customHeight="1">
      <c r="A7" s="13"/>
      <c r="B7" s="13" t="s">
        <v>18</v>
      </c>
      <c r="C7" s="13" t="s">
        <v>46</v>
      </c>
      <c r="D7" s="13"/>
      <c r="E7" s="32"/>
      <c r="F7" s="8"/>
      <c r="G7" s="8"/>
      <c r="H7" s="49">
        <v>5184.0</v>
      </c>
      <c r="I7" s="13">
        <v>10.0</v>
      </c>
      <c r="J7" s="8"/>
      <c r="K7" s="8"/>
      <c r="L7" s="8"/>
      <c r="M7" s="49">
        <v>517.0</v>
      </c>
      <c r="N7" s="13"/>
      <c r="O7" s="8"/>
      <c r="P7" s="49" t="s">
        <v>17</v>
      </c>
      <c r="R7" s="9" t="s">
        <v>16</v>
      </c>
      <c r="U7" s="33"/>
      <c r="Z7" s="49">
        <v>10.0</v>
      </c>
    </row>
    <row r="8" ht="15.75" customHeight="1">
      <c r="A8" s="13"/>
      <c r="B8" s="13"/>
      <c r="C8" s="13"/>
      <c r="D8" s="13"/>
      <c r="E8" s="32"/>
      <c r="F8" s="8"/>
      <c r="G8" s="8"/>
      <c r="H8" s="49"/>
      <c r="I8" s="13"/>
      <c r="J8" s="8"/>
      <c r="K8" s="8"/>
      <c r="L8" s="8"/>
      <c r="M8" s="49"/>
      <c r="N8" s="13"/>
      <c r="O8" s="8"/>
      <c r="P8" s="49"/>
      <c r="U8" s="50"/>
      <c r="Z8" s="4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1" t="str">
        <f>IFERROR(__xludf.DUMMYFUNCTION("""COMPUTED_VALUE"""),"Total Fees and Commission")</f>
        <v>Total Fees and Commission</v>
      </c>
      <c r="U5" s="31" t="str">
        <f>IFERROR(__xludf.DUMMYFUNCTION("""COMPUTED_VALUE"""),"Trade Date")</f>
        <v>Trade Date</v>
      </c>
      <c r="V5" s="31" t="str">
        <f>IFERROR(__xludf.DUMMYFUNCTION("""COMPUTED_VALUE"""),"Transaction Type")</f>
        <v>Transaction Type</v>
      </c>
      <c r="W5" s="31" t="str">
        <f>IFERROR(__xludf.DUMMYFUNCTION("""COMPUTED_VALUE"""),"UnderlyingName")</f>
        <v>UnderlyingName</v>
      </c>
      <c r="X5" s="31" t="str">
        <f>IFERROR(__xludf.DUMMYFUNCTION("""COMPUTED_VALUE"""),"UnitCost")</f>
        <v>UnitCost</v>
      </c>
      <c r="Y5" s="31" t="str">
        <f>IFERROR(__xludf.DUMMYFUNCTION("""COMPUTED_VALUE"""),"Unit Cost(Base)")</f>
        <v>Unit Cost(Base)</v>
      </c>
      <c r="Z5" s="31" t="str">
        <f>IFERROR(__xludf.DUMMYFUNCTION("""COMPUTED_VALUE"""),"AvgPriceBase")</f>
        <v>AvgPriceBase</v>
      </c>
      <c r="AA5" s="31" t="str">
        <f>IFERROR(__xludf.DUMMYFUNCTION("""COMPUTED_VALUE"""),"isRowCountCheck")</f>
        <v>isRowCountCheck</v>
      </c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4" t="s">
        <v>18</v>
      </c>
      <c r="C6" s="34" t="s">
        <v>46</v>
      </c>
      <c r="D6" s="33"/>
      <c r="E6" s="33"/>
      <c r="F6" s="33"/>
      <c r="G6" s="33"/>
      <c r="H6" s="33"/>
      <c r="I6" s="34">
        <v>10.0</v>
      </c>
      <c r="J6" s="33"/>
      <c r="K6" s="33"/>
      <c r="L6" s="33"/>
      <c r="M6" s="34">
        <v>279.0</v>
      </c>
      <c r="N6" s="33"/>
      <c r="O6" s="33"/>
      <c r="P6" s="34" t="s">
        <v>20</v>
      </c>
      <c r="Q6" s="33"/>
      <c r="R6" s="34" t="s">
        <v>16</v>
      </c>
      <c r="S6" s="33"/>
      <c r="T6" s="33"/>
      <c r="U6" s="51">
        <v>44799.0</v>
      </c>
      <c r="V6" s="33"/>
      <c r="W6" s="33"/>
      <c r="X6" s="33"/>
      <c r="Y6" s="33"/>
      <c r="Z6" s="34">
        <v>10.0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5"/>
      <c r="B6" s="52" t="b">
        <v>0</v>
      </c>
      <c r="C6" s="53" t="b">
        <v>0</v>
      </c>
      <c r="D6" s="42" t="s">
        <v>49</v>
      </c>
      <c r="E6" s="54" t="s">
        <v>28</v>
      </c>
      <c r="F6" s="54" t="s">
        <v>50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1" t="str">
        <f>IFERROR(__xludf.DUMMYFUNCTION("""COMPUTED_VALUE"""),"Original Purchase Date")</f>
        <v>Original Purchase Date</v>
      </c>
      <c r="U5" s="31" t="str">
        <f>IFERROR(__xludf.DUMMYFUNCTION("""COMPUTED_VALUE"""),"Description")</f>
        <v>Description</v>
      </c>
      <c r="V5" s="31" t="str">
        <f>IFERROR(__xludf.DUMMYFUNCTION("""COMPUTED_VALUE"""),"AccountID")</f>
        <v>AccountID</v>
      </c>
      <c r="W5" s="31" t="str">
        <f>IFERROR(__xludf.DUMMYFUNCTION("""COMPUTED_VALUE"""),"IsExpired_Settled")</f>
        <v>IsExpired_Settled</v>
      </c>
      <c r="X5" s="31" t="str">
        <f>IFERROR(__xludf.DUMMYFUNCTION("""COMPUTED_VALUE"""),"Underlying")</f>
        <v>Underlying</v>
      </c>
      <c r="Y5" s="31" t="str">
        <f>IFERROR(__xludf.DUMMYFUNCTION("""COMPUTED_VALUE"""),"CurrencyID")</f>
        <v>CurrencyID</v>
      </c>
      <c r="Z5" s="31" t="str">
        <f>IFERROR(__xludf.DUMMYFUNCTION("""COMPUTED_VALUE"""),"Currency")</f>
        <v>Currency</v>
      </c>
      <c r="AA5" s="31" t="str">
        <f>IFERROR(__xludf.DUMMYFUNCTION("""COMPUTED_VALUE"""),"AUECID")</f>
        <v>AUECID</v>
      </c>
      <c r="AB5" s="31" t="str">
        <f>IFERROR(__xludf.DUMMYFUNCTION("""COMPUTED_VALUE"""),"NotionalValue")</f>
        <v>NotionalValue</v>
      </c>
      <c r="AC5" s="31" t="str">
        <f>IFERROR(__xludf.DUMMYFUNCTION("""COMPUTED_VALUE"""),"Multiplier")</f>
        <v>Multiplier</v>
      </c>
      <c r="AD5" s="31" t="str">
        <f>IFERROR(__xludf.DUMMYFUNCTION("""COMPUTED_VALUE"""),"TimeOfSaveUTC")</f>
        <v>TimeOfSaveUTC</v>
      </c>
      <c r="AE5" s="31" t="str">
        <f>IFERROR(__xludf.DUMMYFUNCTION("""COMPUTED_VALUE"""),"Closing Position Type")</f>
        <v>Closing Position Type</v>
      </c>
      <c r="AF5" s="31" t="str">
        <f>IFERROR(__xludf.DUMMYFUNCTION("""COMPUTED_VALUE"""),"Closing Mode")</f>
        <v>Closing Mode</v>
      </c>
      <c r="AG5" s="31" t="str">
        <f>IFERROR(__xludf.DUMMYFUNCTION("""COMPUTED_VALUE"""),"StrategyID")</f>
        <v>StrategyID</v>
      </c>
      <c r="AH5" s="31" t="str">
        <f>IFERROR(__xludf.DUMMYFUNCTION("""COMPUTED_VALUE"""),"isRowCountCheck")</f>
        <v>isRowCountCheck</v>
      </c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  <c r="ACH5" s="31"/>
      <c r="ACI5" s="31"/>
      <c r="ACJ5" s="31"/>
      <c r="ACK5" s="31"/>
      <c r="ACL5" s="31"/>
      <c r="ACM5" s="31"/>
      <c r="ACN5" s="31"/>
      <c r="ACO5" s="31"/>
      <c r="ACP5" s="31"/>
      <c r="ACQ5" s="31"/>
      <c r="ACR5" s="31"/>
      <c r="ACS5" s="31"/>
      <c r="ACT5" s="31"/>
      <c r="ACU5" s="31"/>
      <c r="ACV5" s="31"/>
      <c r="ACW5" s="31"/>
      <c r="ACX5" s="31"/>
      <c r="ACY5" s="31"/>
      <c r="ACZ5" s="31"/>
      <c r="ADA5" s="31"/>
      <c r="ADB5" s="31"/>
      <c r="ADC5" s="31"/>
      <c r="ADD5" s="31"/>
      <c r="ADE5" s="31"/>
      <c r="ADF5" s="31"/>
      <c r="ADG5" s="31"/>
      <c r="ADH5" s="31"/>
      <c r="ADI5" s="31"/>
      <c r="ADJ5" s="31"/>
      <c r="ADK5" s="31"/>
      <c r="ADL5" s="31"/>
      <c r="ADM5" s="31"/>
      <c r="ADN5" s="31"/>
      <c r="ADO5" s="31"/>
      <c r="ADP5" s="31"/>
      <c r="ADQ5" s="31"/>
      <c r="ADR5" s="31"/>
      <c r="ADS5" s="31"/>
      <c r="ADT5" s="31"/>
      <c r="ADU5" s="31"/>
      <c r="ADV5" s="31"/>
      <c r="ADW5" s="31"/>
      <c r="ADX5" s="31"/>
      <c r="ADY5" s="31"/>
      <c r="ADZ5" s="31"/>
      <c r="AEA5" s="31"/>
      <c r="AEB5" s="31"/>
      <c r="AEC5" s="31"/>
      <c r="AED5" s="31"/>
      <c r="AEE5" s="31"/>
      <c r="AEF5" s="31"/>
      <c r="AEG5" s="31"/>
      <c r="AEH5" s="31"/>
      <c r="AEI5" s="31"/>
      <c r="AEJ5" s="31"/>
      <c r="AEK5" s="31"/>
      <c r="AEL5" s="31"/>
      <c r="AEM5" s="31"/>
      <c r="AEN5" s="31"/>
      <c r="AEO5" s="31"/>
      <c r="AEP5" s="31"/>
      <c r="AEQ5" s="31"/>
      <c r="AER5" s="31"/>
      <c r="AES5" s="31"/>
      <c r="AET5" s="31"/>
      <c r="AEU5" s="31"/>
      <c r="AEV5" s="31"/>
      <c r="AEW5" s="31"/>
      <c r="AEX5" s="31"/>
      <c r="AEY5" s="31"/>
      <c r="AEZ5" s="31"/>
      <c r="AFA5" s="31"/>
      <c r="AFB5" s="31"/>
      <c r="AFC5" s="31"/>
      <c r="AFD5" s="31"/>
      <c r="AFE5" s="31"/>
      <c r="AFF5" s="31"/>
      <c r="AFG5" s="31"/>
      <c r="AFH5" s="31"/>
      <c r="AFI5" s="31"/>
      <c r="AFJ5" s="31"/>
      <c r="AFK5" s="31"/>
      <c r="AFL5" s="31"/>
      <c r="AFM5" s="31"/>
      <c r="AFN5" s="31"/>
      <c r="AFO5" s="31"/>
      <c r="AFP5" s="31"/>
      <c r="AFQ5" s="31"/>
      <c r="AFR5" s="31"/>
      <c r="AFS5" s="31"/>
      <c r="AFT5" s="31"/>
      <c r="AFU5" s="31"/>
      <c r="AFV5" s="31"/>
      <c r="AFW5" s="31"/>
      <c r="AFX5" s="31"/>
      <c r="AFY5" s="31"/>
      <c r="AFZ5" s="31"/>
      <c r="AGA5" s="31"/>
      <c r="AGB5" s="31"/>
      <c r="AGC5" s="31"/>
      <c r="AGD5" s="31"/>
      <c r="AGE5" s="31"/>
      <c r="AGF5" s="31"/>
      <c r="AGG5" s="31"/>
      <c r="AGH5" s="31"/>
      <c r="AGI5" s="31"/>
      <c r="AGJ5" s="31"/>
      <c r="AGK5" s="31"/>
      <c r="AGL5" s="31"/>
      <c r="AGM5" s="31"/>
      <c r="AGN5" s="31"/>
      <c r="AGO5" s="31"/>
      <c r="AGP5" s="31"/>
      <c r="AGQ5" s="31"/>
      <c r="AGR5" s="31"/>
      <c r="AGS5" s="31"/>
      <c r="AGT5" s="31"/>
      <c r="AGU5" s="31"/>
      <c r="AGV5" s="31"/>
      <c r="AGW5" s="31"/>
      <c r="AGX5" s="31"/>
      <c r="AGY5" s="31"/>
      <c r="AGZ5" s="31"/>
      <c r="AHA5" s="31"/>
      <c r="AHB5" s="31"/>
      <c r="AHC5" s="31"/>
      <c r="AHD5" s="31"/>
      <c r="AHE5" s="31"/>
      <c r="AHF5" s="31"/>
      <c r="AHG5" s="31"/>
      <c r="AHH5" s="31"/>
      <c r="AHI5" s="31"/>
      <c r="AHJ5" s="31"/>
      <c r="AHK5" s="31"/>
      <c r="AHL5" s="31"/>
      <c r="AHM5" s="31"/>
      <c r="AHN5" s="31"/>
      <c r="AHO5" s="31"/>
      <c r="AHP5" s="31"/>
      <c r="AHQ5" s="31"/>
      <c r="AHR5" s="31"/>
      <c r="AHS5" s="31"/>
      <c r="AHT5" s="31"/>
      <c r="AHU5" s="31"/>
      <c r="AHV5" s="31"/>
      <c r="AHW5" s="31"/>
      <c r="AHX5" s="31"/>
      <c r="AHY5" s="31"/>
      <c r="AHZ5" s="31"/>
      <c r="AIA5" s="31"/>
      <c r="AIB5" s="31"/>
      <c r="AIC5" s="31"/>
      <c r="AID5" s="31"/>
      <c r="AIE5" s="31"/>
      <c r="AIF5" s="31"/>
      <c r="AIG5" s="31"/>
      <c r="AIH5" s="31"/>
      <c r="AII5" s="31"/>
      <c r="AIJ5" s="31"/>
      <c r="AIK5" s="31"/>
      <c r="AIL5" s="31"/>
      <c r="AIM5" s="31"/>
      <c r="AIN5" s="31"/>
      <c r="AIO5" s="31"/>
      <c r="AIP5" s="31"/>
      <c r="AIQ5" s="31"/>
      <c r="AIR5" s="31"/>
      <c r="AIS5" s="31"/>
      <c r="AIT5" s="31"/>
      <c r="AIU5" s="31"/>
      <c r="AIV5" s="31"/>
      <c r="AIW5" s="31"/>
      <c r="AIX5" s="31"/>
      <c r="AIY5" s="31"/>
      <c r="AIZ5" s="31"/>
      <c r="AJA5" s="31"/>
      <c r="AJB5" s="31"/>
      <c r="AJC5" s="31"/>
      <c r="AJD5" s="31"/>
      <c r="AJE5" s="31"/>
      <c r="AJF5" s="31"/>
      <c r="AJG5" s="31"/>
      <c r="AJH5" s="31"/>
      <c r="AJI5" s="31"/>
      <c r="AJJ5" s="31"/>
      <c r="AJK5" s="31"/>
      <c r="AJL5" s="31"/>
      <c r="AJM5" s="31"/>
      <c r="AJN5" s="31"/>
      <c r="AJO5" s="31"/>
      <c r="AJP5" s="31"/>
      <c r="AJQ5" s="31"/>
      <c r="AJR5" s="31"/>
      <c r="AJS5" s="31"/>
      <c r="AJT5" s="31"/>
      <c r="AJU5" s="31"/>
      <c r="AJV5" s="31"/>
      <c r="AJW5" s="31"/>
      <c r="AJX5" s="31"/>
      <c r="AJY5" s="31"/>
      <c r="AJZ5" s="31"/>
      <c r="AKA5" s="31"/>
      <c r="AKB5" s="31"/>
      <c r="AKC5" s="31"/>
      <c r="AKD5" s="31"/>
      <c r="AKE5" s="31"/>
      <c r="AKF5" s="31"/>
      <c r="AKG5" s="31"/>
      <c r="AKH5" s="31"/>
      <c r="AKI5" s="31"/>
      <c r="AKJ5" s="31"/>
      <c r="AKK5" s="31"/>
      <c r="AKL5" s="31"/>
      <c r="AKM5" s="31"/>
      <c r="AKN5" s="31"/>
      <c r="AKO5" s="31"/>
      <c r="AKP5" s="31"/>
      <c r="AKQ5" s="31"/>
      <c r="AKR5" s="31"/>
      <c r="AKS5" s="31"/>
      <c r="AKT5" s="31"/>
      <c r="AKU5" s="31"/>
      <c r="AKV5" s="31"/>
      <c r="AKW5" s="31"/>
      <c r="AKX5" s="31"/>
      <c r="AKY5" s="31"/>
      <c r="AKZ5" s="31"/>
      <c r="ALA5" s="31"/>
      <c r="ALB5" s="31"/>
      <c r="ALC5" s="31"/>
      <c r="ALD5" s="31"/>
      <c r="ALE5" s="31"/>
      <c r="ALF5" s="31"/>
      <c r="ALG5" s="31"/>
      <c r="ALH5" s="31"/>
      <c r="ALI5" s="31"/>
      <c r="ALJ5" s="31"/>
      <c r="ALK5" s="31"/>
      <c r="ALL5" s="31"/>
      <c r="ALM5" s="31"/>
      <c r="ALN5" s="31"/>
      <c r="ALO5" s="31"/>
      <c r="ALP5" s="31"/>
      <c r="ALQ5" s="31"/>
      <c r="ALR5" s="31"/>
      <c r="ALS5" s="31"/>
      <c r="ALT5" s="31"/>
      <c r="ALU5" s="31"/>
      <c r="ALV5" s="31"/>
      <c r="ALW5" s="31"/>
      <c r="ALX5" s="31"/>
      <c r="ALY5" s="31"/>
      <c r="ALZ5" s="31"/>
      <c r="AMA5" s="31"/>
      <c r="AMB5" s="31"/>
      <c r="AMC5" s="31"/>
      <c r="AMD5" s="31"/>
      <c r="AME5" s="31"/>
      <c r="AMF5" s="31"/>
      <c r="AMG5" s="31"/>
      <c r="AMH5" s="31"/>
      <c r="AMI5" s="31"/>
      <c r="AMJ5" s="31"/>
      <c r="AMK5" s="31"/>
    </row>
    <row r="6" ht="15.75" customHeight="1">
      <c r="A6" s="55" t="s">
        <v>52</v>
      </c>
      <c r="B6" s="55"/>
      <c r="C6" s="8"/>
      <c r="D6" s="55" t="s">
        <v>18</v>
      </c>
      <c r="E6" s="8" t="s">
        <v>53</v>
      </c>
      <c r="F6" s="8" t="s">
        <v>54</v>
      </c>
      <c r="G6" s="8" t="s">
        <v>46</v>
      </c>
      <c r="H6" s="8" t="s">
        <v>16</v>
      </c>
      <c r="I6" s="8">
        <v>40.97524752</v>
      </c>
      <c r="J6" s="8">
        <v>10.0</v>
      </c>
      <c r="K6" s="8">
        <v>10.0</v>
      </c>
      <c r="L6" s="8"/>
      <c r="M6" s="8"/>
      <c r="N6" s="8" t="s">
        <v>55</v>
      </c>
      <c r="O6" s="8" t="s">
        <v>54</v>
      </c>
      <c r="Q6" t="s">
        <v>20</v>
      </c>
      <c r="R6" s="49" t="s">
        <v>49</v>
      </c>
      <c r="X6" t="s">
        <v>56</v>
      </c>
      <c r="Z6" t="s">
        <v>57</v>
      </c>
      <c r="AC6">
        <v>1.0</v>
      </c>
      <c r="AE6" t="s">
        <v>58</v>
      </c>
      <c r="AF6" t="s">
        <v>59</v>
      </c>
      <c r="AH6" t="s">
        <v>52</v>
      </c>
      <c r="AI6" t="s">
        <v>52</v>
      </c>
      <c r="AJ6" t="s">
        <v>52</v>
      </c>
      <c r="AK6" t="s">
        <v>52</v>
      </c>
      <c r="AL6" t="s">
        <v>52</v>
      </c>
      <c r="AM6" t="s">
        <v>52</v>
      </c>
      <c r="AN6" t="s">
        <v>52</v>
      </c>
      <c r="AO6" t="s">
        <v>52</v>
      </c>
      <c r="AP6" t="s">
        <v>52</v>
      </c>
      <c r="AQ6" t="s">
        <v>52</v>
      </c>
      <c r="AR6" t="s">
        <v>52</v>
      </c>
      <c r="AS6" t="s">
        <v>52</v>
      </c>
      <c r="AT6" t="s">
        <v>52</v>
      </c>
      <c r="AU6" t="s">
        <v>52</v>
      </c>
      <c r="AV6" t="s">
        <v>52</v>
      </c>
      <c r="AW6" t="s">
        <v>52</v>
      </c>
      <c r="AX6" t="s">
        <v>52</v>
      </c>
      <c r="AY6" t="s">
        <v>52</v>
      </c>
      <c r="AZ6" t="s">
        <v>52</v>
      </c>
      <c r="BA6" t="s">
        <v>52</v>
      </c>
      <c r="BB6" t="s">
        <v>52</v>
      </c>
      <c r="BC6" t="s">
        <v>52</v>
      </c>
      <c r="BD6" t="s">
        <v>52</v>
      </c>
      <c r="BE6" t="s">
        <v>52</v>
      </c>
      <c r="BF6" t="s">
        <v>52</v>
      </c>
      <c r="BG6" t="s">
        <v>52</v>
      </c>
      <c r="BH6" t="s">
        <v>52</v>
      </c>
      <c r="BI6" t="s">
        <v>52</v>
      </c>
      <c r="BJ6" t="s">
        <v>52</v>
      </c>
      <c r="BK6" t="s">
        <v>52</v>
      </c>
      <c r="BL6" t="s">
        <v>52</v>
      </c>
      <c r="BM6" t="s">
        <v>52</v>
      </c>
      <c r="BN6" t="s">
        <v>52</v>
      </c>
      <c r="BO6" t="s">
        <v>52</v>
      </c>
      <c r="BP6" t="s">
        <v>52</v>
      </c>
      <c r="BQ6" t="s">
        <v>52</v>
      </c>
      <c r="BR6" t="s">
        <v>52</v>
      </c>
      <c r="BS6" t="s">
        <v>52</v>
      </c>
      <c r="BT6" t="s">
        <v>52</v>
      </c>
      <c r="BU6" t="s">
        <v>52</v>
      </c>
      <c r="BV6" t="s">
        <v>52</v>
      </c>
      <c r="BW6" t="s">
        <v>52</v>
      </c>
      <c r="BX6" t="s">
        <v>52</v>
      </c>
      <c r="BY6" t="s">
        <v>52</v>
      </c>
      <c r="BZ6" t="s">
        <v>52</v>
      </c>
      <c r="CA6" t="s">
        <v>52</v>
      </c>
      <c r="CB6" t="s">
        <v>52</v>
      </c>
      <c r="CC6" t="s">
        <v>52</v>
      </c>
      <c r="CD6" t="s">
        <v>52</v>
      </c>
      <c r="CE6" t="s">
        <v>52</v>
      </c>
      <c r="CF6" t="s">
        <v>52</v>
      </c>
      <c r="CG6" t="s">
        <v>52</v>
      </c>
      <c r="CH6" t="s">
        <v>52</v>
      </c>
      <c r="CI6" t="s">
        <v>52</v>
      </c>
      <c r="CJ6" t="s">
        <v>52</v>
      </c>
      <c r="CK6" t="s">
        <v>52</v>
      </c>
      <c r="CL6" t="s">
        <v>52</v>
      </c>
      <c r="CM6" t="s">
        <v>52</v>
      </c>
      <c r="CN6" t="s">
        <v>52</v>
      </c>
      <c r="CO6" t="s">
        <v>52</v>
      </c>
      <c r="CP6" t="s">
        <v>52</v>
      </c>
      <c r="CQ6" t="s">
        <v>52</v>
      </c>
      <c r="CR6" t="s">
        <v>52</v>
      </c>
      <c r="CS6" t="s">
        <v>52</v>
      </c>
      <c r="CT6" t="s">
        <v>52</v>
      </c>
      <c r="CU6" t="s">
        <v>52</v>
      </c>
      <c r="CV6" t="s">
        <v>52</v>
      </c>
      <c r="CW6" t="s">
        <v>52</v>
      </c>
      <c r="CX6" t="s">
        <v>52</v>
      </c>
      <c r="CY6" t="s">
        <v>52</v>
      </c>
      <c r="CZ6" t="s">
        <v>52</v>
      </c>
      <c r="DA6" t="s">
        <v>52</v>
      </c>
      <c r="DB6" t="s">
        <v>52</v>
      </c>
      <c r="DC6" t="s">
        <v>52</v>
      </c>
      <c r="DD6" t="s">
        <v>52</v>
      </c>
      <c r="DE6" t="s">
        <v>52</v>
      </c>
      <c r="DF6" t="s">
        <v>52</v>
      </c>
      <c r="DG6" t="s">
        <v>52</v>
      </c>
      <c r="DH6" t="s">
        <v>52</v>
      </c>
      <c r="DI6" t="s">
        <v>52</v>
      </c>
      <c r="DJ6" t="s">
        <v>52</v>
      </c>
      <c r="DK6" t="s">
        <v>52</v>
      </c>
      <c r="DL6" t="s">
        <v>52</v>
      </c>
      <c r="DM6" t="s">
        <v>52</v>
      </c>
      <c r="DN6" t="s">
        <v>52</v>
      </c>
      <c r="DO6" t="s">
        <v>52</v>
      </c>
      <c r="DP6" t="s">
        <v>52</v>
      </c>
      <c r="DQ6" t="s">
        <v>52</v>
      </c>
      <c r="DR6" t="s">
        <v>52</v>
      </c>
      <c r="DS6" t="s">
        <v>52</v>
      </c>
      <c r="DT6" t="s">
        <v>52</v>
      </c>
      <c r="DU6" t="s">
        <v>52</v>
      </c>
      <c r="DV6" t="s">
        <v>52</v>
      </c>
      <c r="DW6" t="s">
        <v>52</v>
      </c>
      <c r="DX6" t="s">
        <v>52</v>
      </c>
      <c r="DY6" t="s">
        <v>52</v>
      </c>
      <c r="DZ6" t="s">
        <v>52</v>
      </c>
      <c r="EA6" t="s">
        <v>52</v>
      </c>
      <c r="EB6" t="s">
        <v>52</v>
      </c>
      <c r="EC6" t="s">
        <v>52</v>
      </c>
      <c r="ED6" t="s">
        <v>52</v>
      </c>
      <c r="EE6" t="s">
        <v>52</v>
      </c>
      <c r="EF6" t="s">
        <v>52</v>
      </c>
      <c r="EG6" t="s">
        <v>52</v>
      </c>
      <c r="EH6" t="s">
        <v>52</v>
      </c>
      <c r="EI6" t="s">
        <v>52</v>
      </c>
      <c r="EJ6" t="s">
        <v>52</v>
      </c>
      <c r="EK6" t="s">
        <v>52</v>
      </c>
      <c r="EL6" t="s">
        <v>52</v>
      </c>
      <c r="EM6" t="s">
        <v>52</v>
      </c>
      <c r="EN6" t="s">
        <v>52</v>
      </c>
      <c r="EO6" t="s">
        <v>52</v>
      </c>
      <c r="EP6" t="s">
        <v>52</v>
      </c>
      <c r="EQ6" t="s">
        <v>52</v>
      </c>
      <c r="ER6" t="s">
        <v>52</v>
      </c>
      <c r="ES6" t="s">
        <v>52</v>
      </c>
      <c r="ET6" t="s">
        <v>52</v>
      </c>
      <c r="EU6" t="s">
        <v>52</v>
      </c>
      <c r="EV6" t="s">
        <v>52</v>
      </c>
      <c r="EW6" t="s">
        <v>52</v>
      </c>
      <c r="EX6" t="s">
        <v>52</v>
      </c>
      <c r="FA6" t="s">
        <v>52</v>
      </c>
      <c r="FB6" t="s">
        <v>52</v>
      </c>
      <c r="FC6" t="s">
        <v>52</v>
      </c>
      <c r="FD6">
        <v>0.0</v>
      </c>
      <c r="FF6" t="s">
        <v>52</v>
      </c>
      <c r="FG6">
        <v>0.0</v>
      </c>
      <c r="FH6" t="s">
        <v>52</v>
      </c>
      <c r="FI6" t="s">
        <v>52</v>
      </c>
      <c r="FJ6" t="s">
        <v>52</v>
      </c>
      <c r="FK6" t="s">
        <v>52</v>
      </c>
      <c r="FL6" t="s">
        <v>52</v>
      </c>
      <c r="FM6" t="s">
        <v>52</v>
      </c>
      <c r="FN6" t="s">
        <v>52</v>
      </c>
      <c r="FO6" t="s">
        <v>52</v>
      </c>
      <c r="FP6" t="s">
        <v>52</v>
      </c>
      <c r="FQ6" t="s">
        <v>52</v>
      </c>
    </row>
    <row r="7" ht="15.75" customHeight="1">
      <c r="A7" s="8" t="s">
        <v>52</v>
      </c>
      <c r="B7" s="8"/>
      <c r="C7" s="8"/>
      <c r="D7" s="8" t="s">
        <v>18</v>
      </c>
      <c r="E7" s="8" t="s">
        <v>53</v>
      </c>
      <c r="F7" s="8" t="s">
        <v>54</v>
      </c>
      <c r="G7" s="8" t="s">
        <v>46</v>
      </c>
      <c r="H7" s="8" t="s">
        <v>16</v>
      </c>
      <c r="I7" s="8">
        <v>238.0247525</v>
      </c>
      <c r="J7" s="8">
        <v>10.0</v>
      </c>
      <c r="K7" s="8">
        <v>10.0</v>
      </c>
      <c r="L7" s="8"/>
      <c r="M7" s="8"/>
      <c r="N7" s="8" t="s">
        <v>55</v>
      </c>
      <c r="O7" s="8" t="s">
        <v>54</v>
      </c>
      <c r="Q7" t="s">
        <v>20</v>
      </c>
      <c r="R7" s="49" t="s">
        <v>49</v>
      </c>
      <c r="X7" t="s">
        <v>56</v>
      </c>
      <c r="Z7" t="s">
        <v>57</v>
      </c>
      <c r="AC7">
        <v>1.0</v>
      </c>
      <c r="AE7" t="s">
        <v>58</v>
      </c>
      <c r="AF7" t="s">
        <v>59</v>
      </c>
      <c r="AH7" t="s">
        <v>52</v>
      </c>
      <c r="AI7" t="s">
        <v>52</v>
      </c>
      <c r="AJ7" t="s">
        <v>52</v>
      </c>
      <c r="AK7" t="s">
        <v>52</v>
      </c>
      <c r="AL7" t="s">
        <v>52</v>
      </c>
      <c r="AM7" t="s">
        <v>52</v>
      </c>
      <c r="AN7" t="s">
        <v>52</v>
      </c>
      <c r="AO7" t="s">
        <v>52</v>
      </c>
      <c r="AP7" t="s">
        <v>52</v>
      </c>
      <c r="AQ7" t="s">
        <v>52</v>
      </c>
      <c r="AR7" t="s">
        <v>52</v>
      </c>
      <c r="AS7" t="s">
        <v>52</v>
      </c>
      <c r="AT7" t="s">
        <v>52</v>
      </c>
      <c r="AU7" t="s">
        <v>52</v>
      </c>
      <c r="AV7" t="s">
        <v>52</v>
      </c>
      <c r="AW7" t="s">
        <v>52</v>
      </c>
      <c r="AX7" t="s">
        <v>52</v>
      </c>
      <c r="AY7" t="s">
        <v>52</v>
      </c>
      <c r="AZ7" t="s">
        <v>52</v>
      </c>
      <c r="BA7" t="s">
        <v>52</v>
      </c>
      <c r="BB7" t="s">
        <v>52</v>
      </c>
      <c r="BC7" t="s">
        <v>52</v>
      </c>
      <c r="BD7" t="s">
        <v>52</v>
      </c>
      <c r="BE7" t="s">
        <v>52</v>
      </c>
      <c r="BF7" t="s">
        <v>52</v>
      </c>
      <c r="BG7" t="s">
        <v>52</v>
      </c>
      <c r="BH7" t="s">
        <v>52</v>
      </c>
      <c r="BI7" t="s">
        <v>52</v>
      </c>
      <c r="BJ7" t="s">
        <v>52</v>
      </c>
      <c r="BK7" t="s">
        <v>52</v>
      </c>
      <c r="BL7" t="s">
        <v>52</v>
      </c>
      <c r="BM7" t="s">
        <v>52</v>
      </c>
      <c r="BN7" t="s">
        <v>52</v>
      </c>
      <c r="BO7" t="s">
        <v>52</v>
      </c>
      <c r="BP7" t="s">
        <v>52</v>
      </c>
      <c r="BQ7" t="s">
        <v>52</v>
      </c>
      <c r="BR7" t="s">
        <v>52</v>
      </c>
      <c r="BS7" t="s">
        <v>52</v>
      </c>
      <c r="BT7" t="s">
        <v>52</v>
      </c>
      <c r="BU7" t="s">
        <v>52</v>
      </c>
      <c r="BV7" t="s">
        <v>52</v>
      </c>
      <c r="BW7" t="s">
        <v>52</v>
      </c>
      <c r="BX7" t="s">
        <v>52</v>
      </c>
      <c r="BY7" t="s">
        <v>52</v>
      </c>
      <c r="BZ7" t="s">
        <v>52</v>
      </c>
      <c r="CA7" t="s">
        <v>52</v>
      </c>
      <c r="CB7" t="s">
        <v>52</v>
      </c>
      <c r="CC7" t="s">
        <v>52</v>
      </c>
      <c r="CD7" t="s">
        <v>52</v>
      </c>
      <c r="CE7" t="s">
        <v>52</v>
      </c>
      <c r="CF7" t="s">
        <v>52</v>
      </c>
      <c r="CG7" t="s">
        <v>52</v>
      </c>
      <c r="CH7" t="s">
        <v>52</v>
      </c>
      <c r="CI7" t="s">
        <v>52</v>
      </c>
      <c r="CJ7" t="s">
        <v>52</v>
      </c>
      <c r="CK7" t="s">
        <v>52</v>
      </c>
      <c r="CL7" t="s">
        <v>52</v>
      </c>
      <c r="CM7" t="s">
        <v>52</v>
      </c>
      <c r="CN7" t="s">
        <v>52</v>
      </c>
      <c r="CO7" t="s">
        <v>52</v>
      </c>
      <c r="CP7" t="s">
        <v>52</v>
      </c>
      <c r="CQ7" t="s">
        <v>52</v>
      </c>
      <c r="CR7" t="s">
        <v>52</v>
      </c>
      <c r="CS7" t="s">
        <v>52</v>
      </c>
      <c r="CT7" t="s">
        <v>52</v>
      </c>
      <c r="CU7" t="s">
        <v>52</v>
      </c>
      <c r="CV7" t="s">
        <v>52</v>
      </c>
      <c r="CW7" t="s">
        <v>52</v>
      </c>
      <c r="CX7" t="s">
        <v>52</v>
      </c>
      <c r="CY7" t="s">
        <v>52</v>
      </c>
      <c r="CZ7" t="s">
        <v>52</v>
      </c>
      <c r="DA7" t="s">
        <v>52</v>
      </c>
      <c r="DB7" t="s">
        <v>52</v>
      </c>
      <c r="DC7" t="s">
        <v>52</v>
      </c>
      <c r="DD7" t="s">
        <v>52</v>
      </c>
      <c r="DE7" t="s">
        <v>52</v>
      </c>
      <c r="DF7" t="s">
        <v>52</v>
      </c>
      <c r="DG7" t="s">
        <v>52</v>
      </c>
      <c r="DH7" t="s">
        <v>52</v>
      </c>
      <c r="DI7" t="s">
        <v>52</v>
      </c>
      <c r="DJ7" t="s">
        <v>52</v>
      </c>
      <c r="DK7" t="s">
        <v>52</v>
      </c>
      <c r="DL7" t="s">
        <v>52</v>
      </c>
      <c r="DM7" t="s">
        <v>52</v>
      </c>
      <c r="DN7" t="s">
        <v>52</v>
      </c>
      <c r="DO7" t="s">
        <v>52</v>
      </c>
      <c r="DP7" t="s">
        <v>52</v>
      </c>
      <c r="DQ7" t="s">
        <v>52</v>
      </c>
      <c r="DR7" t="s">
        <v>52</v>
      </c>
      <c r="DS7" t="s">
        <v>52</v>
      </c>
      <c r="DT7" t="s">
        <v>52</v>
      </c>
      <c r="DU7" t="s">
        <v>52</v>
      </c>
      <c r="DV7" t="s">
        <v>52</v>
      </c>
      <c r="DW7" t="s">
        <v>52</v>
      </c>
      <c r="DX7" t="s">
        <v>52</v>
      </c>
      <c r="DY7" t="s">
        <v>52</v>
      </c>
      <c r="DZ7" t="s">
        <v>52</v>
      </c>
      <c r="EA7" t="s">
        <v>52</v>
      </c>
      <c r="EB7" t="s">
        <v>52</v>
      </c>
      <c r="EC7" t="s">
        <v>52</v>
      </c>
      <c r="ED7" t="s">
        <v>52</v>
      </c>
      <c r="EE7" t="s">
        <v>52</v>
      </c>
      <c r="EF7" t="s">
        <v>52</v>
      </c>
      <c r="EG7" t="s">
        <v>52</v>
      </c>
      <c r="EH7" t="s">
        <v>52</v>
      </c>
      <c r="EI7" t="s">
        <v>52</v>
      </c>
      <c r="EJ7" t="s">
        <v>52</v>
      </c>
      <c r="EK7" t="s">
        <v>52</v>
      </c>
      <c r="EL7" t="s">
        <v>52</v>
      </c>
      <c r="EM7" t="s">
        <v>52</v>
      </c>
      <c r="EN7" t="s">
        <v>52</v>
      </c>
      <c r="EO7" t="s">
        <v>52</v>
      </c>
      <c r="EP7" t="s">
        <v>52</v>
      </c>
      <c r="EQ7" t="s">
        <v>52</v>
      </c>
      <c r="ER7" t="s">
        <v>52</v>
      </c>
      <c r="ES7" t="s">
        <v>52</v>
      </c>
      <c r="ET7" t="s">
        <v>52</v>
      </c>
      <c r="EU7" t="s">
        <v>52</v>
      </c>
      <c r="EV7" t="s">
        <v>52</v>
      </c>
      <c r="EW7" t="s">
        <v>52</v>
      </c>
      <c r="EX7" t="s">
        <v>52</v>
      </c>
      <c r="FA7" t="s">
        <v>52</v>
      </c>
      <c r="FB7" t="s">
        <v>52</v>
      </c>
      <c r="FC7" t="s">
        <v>52</v>
      </c>
      <c r="FF7" t="s">
        <v>52</v>
      </c>
      <c r="FH7" t="s">
        <v>52</v>
      </c>
      <c r="FI7" t="s">
        <v>52</v>
      </c>
      <c r="FJ7" t="s">
        <v>52</v>
      </c>
      <c r="FK7" t="s">
        <v>52</v>
      </c>
      <c r="FL7" t="s">
        <v>52</v>
      </c>
      <c r="FM7" t="s">
        <v>52</v>
      </c>
      <c r="FN7" t="s">
        <v>52</v>
      </c>
      <c r="FO7" t="s">
        <v>52</v>
      </c>
      <c r="FP7" t="s">
        <v>52</v>
      </c>
      <c r="FQ7" t="s">
        <v>52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</dataValidations>
  <drawing r:id="rId1"/>
</worksheet>
</file>