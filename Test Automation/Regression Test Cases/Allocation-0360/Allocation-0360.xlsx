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AddCalculatedPreferences" sheetId="9" r:id="rId11"/>
    <sheet state="visible" name="SetDefaultRuleCalculatedPref" sheetId="10" r:id="rId12"/>
    <sheet state="visible" name="SetGeneralRuleCalculatedPref" sheetId="11" r:id="rId13"/>
    <sheet state="visible" name="UpdateGRDefaultRule" sheetId="12" r:id="rId14"/>
    <sheet state="visible" name="CreateDoneAwayOrder1" sheetId="13" r:id="rId15"/>
    <sheet state="visible" name="GetDataAllocation" sheetId="14" r:id="rId16"/>
    <sheet state="visible" name="SelectUnallocatedGroup" sheetId="15" r:id="rId17"/>
    <sheet state="visible" name="EnterAllocatePreference" sheetId="16" r:id="rId18"/>
    <sheet state="visible" name="CheckAllocatedTaxlots" sheetId="17" r:id="rId19"/>
  </sheets>
  <definedNames/>
  <calcPr/>
</workbook>
</file>

<file path=xl/sharedStrings.xml><?xml version="1.0" encoding="utf-8"?>
<sst xmlns="http://schemas.openxmlformats.org/spreadsheetml/2006/main" count="178" uniqueCount="48">
  <si>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</si>
  <si>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</si>
  <si>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</si>
  <si>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</si>
  <si>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</si>
  <si>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</si>
  <si>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</si>
  <si>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</si>
  <si>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</si>
  <si>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</si>
  <si>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</si>
  <si>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</si>
  <si>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</si>
  <si>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</si>
  <si>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</si>
  <si>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</si>
  <si>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</si>
  <si>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</si>
  <si>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</si>
  <si>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</si>
  <si>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</si>
  <si>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Allocation2</t>
  </si>
  <si>
    <t>Allocation3</t>
  </si>
  <si>
    <t>PricingInput</t>
  </si>
  <si>
    <t>DailyValuation</t>
  </si>
  <si>
    <t>GetDailyCash</t>
  </si>
  <si>
    <t>UpdateMultipleDailyCash</t>
  </si>
  <si>
    <t>USD</t>
  </si>
  <si>
    <t>AddCalculatedPreferences</t>
  </si>
  <si>
    <t>TEST</t>
  </si>
  <si>
    <t>SetDefaultRuleCalculatedPref</t>
  </si>
  <si>
    <t>Fair Pricing</t>
  </si>
  <si>
    <t>Leveling</t>
  </si>
  <si>
    <t>Allocation1,Allocation2,Allocation3</t>
  </si>
  <si>
    <t>SetGeneralRuleCalculatedPref</t>
  </si>
  <si>
    <t>Exclude</t>
  </si>
  <si>
    <t>UpdateGRDefaultRule</t>
  </si>
  <si>
    <t>Unallocated</t>
  </si>
  <si>
    <t xml:space="preserve"> GOOG</t>
  </si>
  <si>
    <t>Sell</t>
  </si>
  <si>
    <t>MSFT</t>
  </si>
  <si>
    <t>GetDataAllocation</t>
  </si>
  <si>
    <t>Current</t>
  </si>
  <si>
    <t>SelectUnallocatedGroup</t>
  </si>
  <si>
    <t>EnterAllocatePreference</t>
  </si>
  <si>
    <t>CheckAllocatedTaxlots</t>
  </si>
  <si>
    <t>M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</si>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</sst>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&quot;Google Sans&quot;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6" fontId="14" numFmtId="0" xfId="0" applyAlignment="1" applyFill="1" applyFont="1">
      <alignment readingOrder="0"/>
    </xf>
    <xf borderId="0" fillId="0" fontId="5" numFmtId="0" xfId="0" applyAlignment="1" applyFont="1">
      <alignment horizontal="center" readingOrder="0" vertical="bottom"/>
    </xf>
    <xf borderId="0" fillId="0" fontId="3" numFmtId="0" xfId="0" applyAlignment="1" applyFont="1">
      <alignment readingOrder="0" vertical="bottom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b">
        <v>1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200.0</v>
      </c>
      <c r="E6" s="32"/>
      <c r="F6" s="13" t="s">
        <v>20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19</v>
      </c>
      <c r="D7" s="13">
        <v>400.0</v>
      </c>
      <c r="E7" s="8"/>
      <c r="F7" s="13" t="s">
        <v>21</v>
      </c>
      <c r="G7" s="8"/>
      <c r="H7" s="8"/>
      <c r="I7" s="8"/>
      <c r="J7" s="13">
        <v>2.0</v>
      </c>
      <c r="K7" s="8"/>
      <c r="L7" s="8"/>
      <c r="M7" s="8"/>
      <c r="N7" s="8"/>
      <c r="O7" s="8"/>
    </row>
    <row r="8" ht="15.75" customHeight="1">
      <c r="A8" s="8"/>
      <c r="B8" s="13" t="s">
        <v>18</v>
      </c>
      <c r="C8" s="13" t="s">
        <v>19</v>
      </c>
      <c r="D8" s="13">
        <v>400.5</v>
      </c>
      <c r="E8" s="8"/>
      <c r="F8" s="13" t="s">
        <v>22</v>
      </c>
      <c r="G8" s="8"/>
      <c r="H8" s="8"/>
      <c r="I8" s="8"/>
      <c r="J8" s="13">
        <v>2.0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1.0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f>TODAY()-1</f>
        <v>45061</v>
      </c>
      <c r="C6" s="33">
        <f>TODAY()</f>
        <v>45062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20</v>
      </c>
      <c r="C6" s="35" t="s">
        <v>27</v>
      </c>
      <c r="D6" s="36">
        <v>10200.0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21</v>
      </c>
      <c r="C7" s="35" t="s">
        <v>27</v>
      </c>
      <c r="D7" s="36">
        <v>15400.0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 t="s">
        <v>22</v>
      </c>
      <c r="C8" s="35" t="s">
        <v>27</v>
      </c>
      <c r="D8" s="36">
        <v>17900.5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8"/>
      <c r="D6" s="13" t="s">
        <v>32</v>
      </c>
      <c r="E6" s="37" t="s">
        <v>33</v>
      </c>
      <c r="F6" s="8"/>
      <c r="G6" s="38" t="b">
        <v>0</v>
      </c>
      <c r="H6" s="13" t="s">
        <v>29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IFERROR(__xludf.DUMMYFUNCTION("""COMPUTED_VALUE"""),"Exchange Selector")</f>
        <v>Exchange Selector</v>
      </c>
      <c r="C5" s="28" t="str">
        <f>IFERROR(__xludf.DUMMYFUNCTION("""COMPUTED_VALUE"""),"Exchange List")</f>
        <v>Exchange List</v>
      </c>
      <c r="D5" s="28" t="str">
        <f>IFERROR(__xludf.DUMMYFUNCTION("""COMPUTED_VALUE"""),"Asset Selector")</f>
        <v>Asset Selector</v>
      </c>
      <c r="E5" s="28" t="str">
        <f>IFERROR(__xludf.DUMMYFUNCTION("""COMPUTED_VALUE"""),"Asset List")</f>
        <v>Asset List</v>
      </c>
      <c r="F5" s="29" t="str">
        <f>IFERROR(__xludf.DUMMYFUNCTION("""COMPUTED_VALUE"""),"PR Selector")</f>
        <v>PR Selector</v>
      </c>
      <c r="G5" s="28" t="str">
        <f>IFERROR(__xludf.DUMMYFUNCTION("""COMPUTED_VALUE"""),"PR List")</f>
        <v>PR List</v>
      </c>
      <c r="H5" s="28" t="str">
        <f>IFERROR(__xludf.DUMMYFUNCTION("""COMPUTED_VALUE"""),"Order Side Selector")</f>
        <v>Order Side Selector</v>
      </c>
      <c r="I5" s="28" t="str">
        <f>IFERROR(__xludf.DUMMYFUNCTION("""COMPUTED_VALUE"""),"Order Side List")</f>
        <v>Order Side List</v>
      </c>
      <c r="J5" s="28" t="str">
        <f>IFERROR(__xludf.DUMMYFUNCTION("""COMPUTED_VALUE"""),"PreferenceName")</f>
        <v>PreferenceName</v>
      </c>
      <c r="K5" s="28" t="str">
        <f>IFERROR(__xludf.DUMMYFUNCTION("""COMPUTED_VALUE"""),"Update Preference")</f>
        <v>Update Preference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39" t="s">
        <v>35</v>
      </c>
      <c r="I6" s="35" t="s">
        <v>19</v>
      </c>
      <c r="J6" s="13" t="s">
        <v>29</v>
      </c>
      <c r="K6" s="13" t="b">
        <v>1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8"/>
      <c r="D6" s="13" t="s">
        <v>32</v>
      </c>
      <c r="E6" s="37" t="s">
        <v>33</v>
      </c>
      <c r="F6" s="8"/>
      <c r="G6" s="38" t="b">
        <v>0</v>
      </c>
      <c r="H6" s="13" t="s">
        <v>29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UpdateGRDefaultRule!$4:$4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10000.0</v>
      </c>
      <c r="E6" s="32"/>
      <c r="F6" s="13" t="s">
        <v>37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13" t="s">
        <v>38</v>
      </c>
      <c r="C7" s="13" t="s">
        <v>39</v>
      </c>
      <c r="D7" s="13">
        <v>1500.0</v>
      </c>
      <c r="E7" s="8"/>
      <c r="F7" s="13" t="s">
        <v>37</v>
      </c>
      <c r="G7" s="8"/>
      <c r="H7" s="8"/>
      <c r="I7" s="8"/>
      <c r="J7" s="13">
        <v>5.0</v>
      </c>
      <c r="K7" s="8"/>
      <c r="L7" s="8"/>
      <c r="M7" s="8"/>
      <c r="N7" s="8"/>
      <c r="O7" s="8"/>
    </row>
    <row r="8" ht="15.75" customHeight="1">
      <c r="A8" s="8"/>
      <c r="B8" s="13" t="s">
        <v>40</v>
      </c>
      <c r="C8" s="13" t="s">
        <v>39</v>
      </c>
      <c r="D8" s="13">
        <v>20000.0</v>
      </c>
      <c r="E8" s="8"/>
      <c r="F8" s="13" t="s">
        <v>37</v>
      </c>
      <c r="G8" s="8"/>
      <c r="H8" s="8"/>
      <c r="I8" s="8"/>
      <c r="J8" s="13">
        <v>20.0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42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38</v>
      </c>
      <c r="C7" s="13" t="s">
        <v>39</v>
      </c>
      <c r="D7" s="13">
        <v>1500.0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40</v>
      </c>
      <c r="C8" s="13" t="s">
        <v>39</v>
      </c>
      <c r="D8" s="13">
        <v>20000.0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29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>
        <v>414.0002</v>
      </c>
      <c r="C6" s="40">
        <v>414.0002</v>
      </c>
      <c r="D6" s="40">
        <v>400.0</v>
      </c>
      <c r="E6" s="40">
        <v>400.0</v>
      </c>
      <c r="F6" s="41" t="s">
        <v>46</v>
      </c>
      <c r="G6" s="8"/>
      <c r="H6" s="41" t="s">
        <v>27</v>
      </c>
      <c r="I6" s="8"/>
      <c r="J6" s="8"/>
      <c r="K6" s="8"/>
      <c r="L6" s="8"/>
      <c r="M6" s="8"/>
      <c r="N6" s="8"/>
      <c r="O6" s="41" t="s">
        <v>20</v>
      </c>
      <c r="P6" s="41" t="s">
        <v>47</v>
      </c>
      <c r="Q6" s="40">
        <v>100.0</v>
      </c>
      <c r="R6" s="40">
        <v>200.0</v>
      </c>
      <c r="AI6" s="40">
        <v>2.0</v>
      </c>
      <c r="AJ6" s="40"/>
      <c r="AK6" s="40">
        <v>1.0</v>
      </c>
      <c r="AL6" s="40">
        <v>3.0</v>
      </c>
    </row>
    <row r="7" ht="15.75" customHeight="1">
      <c r="A7" s="8"/>
      <c r="B7" s="40">
        <v>814.0004</v>
      </c>
      <c r="C7" s="40">
        <v>814.0004</v>
      </c>
      <c r="D7" s="40">
        <v>800.0</v>
      </c>
      <c r="E7" s="40">
        <v>800.0</v>
      </c>
      <c r="F7" s="41" t="s">
        <v>46</v>
      </c>
      <c r="G7" s="8"/>
      <c r="H7" s="41" t="s">
        <v>27</v>
      </c>
      <c r="I7" s="8"/>
      <c r="J7" s="8"/>
      <c r="K7" s="8"/>
      <c r="L7" s="8"/>
      <c r="M7" s="8"/>
      <c r="N7" s="8"/>
      <c r="O7" s="41" t="s">
        <v>21</v>
      </c>
      <c r="P7" s="41" t="s">
        <v>47</v>
      </c>
      <c r="Q7" s="40">
        <v>100.0</v>
      </c>
      <c r="R7" s="40">
        <v>400.0</v>
      </c>
      <c r="AI7" s="40">
        <v>2.0</v>
      </c>
      <c r="AJ7" s="40"/>
      <c r="AK7" s="40">
        <v>1.0</v>
      </c>
      <c r="AL7" s="40">
        <v>3.0</v>
      </c>
    </row>
    <row r="8" ht="15.75" customHeight="1">
      <c r="A8" s="8"/>
      <c r="B8" s="40">
        <v>815.0004</v>
      </c>
      <c r="C8" s="40">
        <v>815.0004</v>
      </c>
      <c r="D8" s="40">
        <v>801.0</v>
      </c>
      <c r="E8" s="40">
        <v>801.0</v>
      </c>
      <c r="F8" s="41" t="s">
        <v>46</v>
      </c>
      <c r="G8" s="8"/>
      <c r="H8" s="41" t="s">
        <v>27</v>
      </c>
      <c r="I8" s="8"/>
      <c r="J8" s="8"/>
      <c r="K8" s="8"/>
      <c r="L8" s="8"/>
      <c r="M8" s="8"/>
      <c r="N8" s="8"/>
      <c r="O8" s="41" t="s">
        <v>22</v>
      </c>
      <c r="P8" s="41" t="s">
        <v>47</v>
      </c>
      <c r="Q8" s="40">
        <v>100.0</v>
      </c>
      <c r="R8" s="40">
        <v>400.5</v>
      </c>
      <c r="AI8" s="40">
        <v>2.0</v>
      </c>
      <c r="AJ8" s="40"/>
      <c r="AK8" s="40">
        <v>1.0</v>
      </c>
      <c r="AL8" s="40">
        <v>3.0</v>
      </c>
    </row>
    <row r="9" ht="15.75" customHeight="1">
      <c r="A9" s="8"/>
      <c r="B9" s="42">
        <v>3486.87674992</v>
      </c>
      <c r="C9" s="42">
        <v>3486.87674992</v>
      </c>
      <c r="D9" s="42">
        <v>3482.0</v>
      </c>
      <c r="E9" s="42">
        <v>3482.0</v>
      </c>
      <c r="F9" s="41" t="s">
        <v>46</v>
      </c>
      <c r="G9" s="8"/>
      <c r="H9" s="41" t="s">
        <v>27</v>
      </c>
      <c r="I9" s="8"/>
      <c r="J9" s="8"/>
      <c r="K9" s="8"/>
      <c r="L9" s="8"/>
      <c r="M9" s="8"/>
      <c r="N9" s="8"/>
      <c r="O9" s="41" t="s">
        <v>21</v>
      </c>
      <c r="P9" s="41" t="s">
        <v>47</v>
      </c>
      <c r="Q9" s="40">
        <v>34.81999969</v>
      </c>
      <c r="R9" s="42">
        <v>3482.0</v>
      </c>
      <c r="AI9" s="40">
        <v>1.0</v>
      </c>
      <c r="AJ9" s="40"/>
      <c r="AK9" s="40">
        <v>1.0</v>
      </c>
      <c r="AL9" s="40">
        <v>3.0</v>
      </c>
    </row>
    <row r="10" ht="15.75" customHeight="1">
      <c r="A10" s="8"/>
      <c r="B10" s="42">
        <v>4135.7843128</v>
      </c>
      <c r="C10" s="42">
        <v>4135.7843128</v>
      </c>
      <c r="D10" s="42">
        <v>4130.0</v>
      </c>
      <c r="E10" s="42">
        <v>4130.0</v>
      </c>
      <c r="F10" s="41" t="s">
        <v>46</v>
      </c>
      <c r="G10" s="8"/>
      <c r="H10" s="41" t="s">
        <v>27</v>
      </c>
      <c r="I10" s="8"/>
      <c r="J10" s="8"/>
      <c r="K10" s="8"/>
      <c r="L10" s="8"/>
      <c r="M10" s="8"/>
      <c r="N10" s="8"/>
      <c r="O10" s="41" t="s">
        <v>22</v>
      </c>
      <c r="P10" s="41" t="s">
        <v>47</v>
      </c>
      <c r="Q10" s="40">
        <v>41.29999924</v>
      </c>
      <c r="R10" s="42">
        <v>4130.0</v>
      </c>
      <c r="AI10" s="40">
        <v>1.0</v>
      </c>
      <c r="AJ10" s="40"/>
      <c r="AK10" s="40">
        <v>1.0</v>
      </c>
      <c r="AL10" s="40">
        <v>3.0</v>
      </c>
    </row>
    <row r="11" ht="15.75" customHeight="1">
      <c r="A11" s="8"/>
      <c r="B11" s="42">
        <v>2391.34453728</v>
      </c>
      <c r="C11" s="42">
        <v>2391.34453728</v>
      </c>
      <c r="D11" s="42">
        <v>2388.0</v>
      </c>
      <c r="E11" s="42">
        <v>2388.0</v>
      </c>
      <c r="F11" s="41" t="s">
        <v>46</v>
      </c>
      <c r="G11" s="8"/>
      <c r="H11" s="41" t="s">
        <v>27</v>
      </c>
      <c r="I11" s="8"/>
      <c r="J11" s="8"/>
      <c r="K11" s="8"/>
      <c r="L11" s="8"/>
      <c r="M11" s="8"/>
      <c r="N11" s="8"/>
      <c r="O11" s="41" t="s">
        <v>20</v>
      </c>
      <c r="P11" s="41" t="s">
        <v>47</v>
      </c>
      <c r="Q11" s="40">
        <v>23.87999916</v>
      </c>
      <c r="R11" s="42">
        <v>2388.0</v>
      </c>
      <c r="AI11" s="40">
        <v>1.0</v>
      </c>
      <c r="AJ11" s="40"/>
      <c r="AK11" s="40">
        <v>1.0</v>
      </c>
      <c r="AL11" s="40">
        <v>3.0</v>
      </c>
    </row>
    <row r="12" ht="15.75" customHeight="1">
      <c r="A12" s="8"/>
      <c r="B12" s="8"/>
      <c r="C12" s="8"/>
      <c r="D12" s="43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