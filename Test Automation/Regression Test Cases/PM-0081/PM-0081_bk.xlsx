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ShowMasterFundOnTT" sheetId="5" r:id="rId7"/>
    <sheet state="visible" name="GetDailyCash" sheetId="6" r:id="rId8"/>
    <sheet state="visible" name="UpdateDailyCash" sheetId="7" r:id="rId9"/>
    <sheet state="visible" name="UpdateMasterFundOnTT" sheetId="8" r:id="rId10"/>
    <sheet state="visible" name="CreateDoneAwayOrder" sheetId="9" r:id="rId11"/>
    <sheet state="visible" name="UpdateMasterFundOnTT1" sheetId="10" r:id="rId12"/>
    <sheet state="visible" name="CreateDoneAwayOrder1" sheetId="11" r:id="rId13"/>
    <sheet state="visible" name="VerifyOrder" sheetId="12" r:id="rId14"/>
    <sheet state="visible" name="GetDataAllocation" sheetId="13" r:id="rId15"/>
    <sheet state="visible" name="CheckAllocatedGroup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<sst xmlns="http://schemas.openxmlformats.org/spreadsheetml/2006/main" count="199" uniqueCount="46">
  <si>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</si>
  <si>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</si>
  <si>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</si>
  <si>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</si>
  <si>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</si>
  <si>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</si>
  <si>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</si>
  <si>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</si>
  <si>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</si>
  <si>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</si>
  <si>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</si>
  <si>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</si>
  <si>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</si>
  <si>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</si>
  <si>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</si>
  <si>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</si>
  <si>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</si>
  <si>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Allocation</t>
  </si>
  <si>
    <t>ShowMasterFundOnTT</t>
  </si>
  <si>
    <t>DailyValuation</t>
  </si>
  <si>
    <t>GetDailyCash</t>
  </si>
  <si>
    <t>UpdateDailyCash</t>
  </si>
  <si>
    <t>Allocation1</t>
  </si>
  <si>
    <t>USD</t>
  </si>
  <si>
    <t>Allocation2</t>
  </si>
  <si>
    <t>TradingTicket</t>
  </si>
  <si>
    <t>UpdateMasterFundOnTT</t>
  </si>
  <si>
    <t>NewMF</t>
  </si>
  <si>
    <t>CreateDoneAwayOrder</t>
  </si>
  <si>
    <t>AAPL</t>
  </si>
  <si>
    <t>Buy</t>
  </si>
  <si>
    <t>NewMF1</t>
  </si>
  <si>
    <t>Blotter</t>
  </si>
  <si>
    <t>VerifyOrder</t>
  </si>
  <si>
    <t>Filled</t>
  </si>
  <si>
    <t>MS</t>
  </si>
  <si>
    <t>Market</t>
  </si>
  <si>
    <t>GetDataAllocation</t>
  </si>
  <si>
    <t>Current</t>
  </si>
  <si>
    <t>CheckAllocatedGroups</t>
  </si>
  <si>
    <t>Open</t>
  </si>
  <si>
    <t>PortfolioManagement</t>
  </si>
  <si>
    <t>CheckPortfolioManagement</t>
  </si>
  <si>
    <t>Long</t>
  </si>
  <si>
    <t>Equity</t>
  </si>
  <si>
    <t>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</si>
</sst>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2" numFmtId="3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5" numFmtId="3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IFERROR(__xludf.DUMMYFUNCTION("""COMPUTED_VALUE"""),"ToggleBlombergOnRA")</f>
        <v>ToggleBlombergOnRA</v>
      </c>
      <c r="C486" t="str">
        <f>IFERROR(__xludf.DUMMYFUNCTION("""COMPUTED_VALUE"""),"1TKv9C1mMXj8HlEzeLMciT110iLyZ9OhIh0lSuptGP1c")</f>
        <v>1TKv9C1mMXj8HlEzeLMciT110iLyZ9OhIh0lSuptGP1c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IFERROR(__xludf.DUMMYFUNCTION("""COMPUTED_VALUE"""),"RemoveSymbolFromRAList")</f>
        <v>RemoveSymbolFromRAList</v>
      </c>
      <c r="C487" t="str">
        <f>IFERROR(__xludf.DUMMYFUNCTION("""COMPUTED_VALUE"""),"1esriqspMNcbGjPDPy2u7bJyQKd05b0Y9Sin8DcUfSEE")</f>
        <v>1esriqspMNcbGjPDPy2u7bJyQKd05b0Y9Sin8DcUfSEE</v>
      </c>
    </row>
    <row r="488" ht="15.75" customHeight="1">
      <c r="A488" t="str">
        <f>IFERROR(__xludf.DUMMYFUNCTION("""COMPUTED_VALUE"""),"Report")</f>
        <v>Report</v>
      </c>
      <c r="B488" t="str">
        <f>IFERROR(__xludf.DUMMYFUNCTION("""COMPUTED_VALUE"""),"ReportMatching")</f>
        <v>ReportMatching</v>
      </c>
      <c r="C488" t="str">
        <f>IFERROR(__xludf.DUMMYFUNCTION("""COMPUTED_VALUE"""),"1IURT1smTM6q7aOlSfUxXb-piLEDNEFM-Z_rxNUweXqU")</f>
        <v>1IURT1smTM6q7aOlSfUxXb-piLEDNEFM-Z_rxNUweXqU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IFERROR(__xludf.DUMMYFUNCTION("""COMPUTED_VALUE"""),"EnableBreakdownRealizedPNL")</f>
        <v>EnableBreakdownRealizedPNL</v>
      </c>
      <c r="C489" t="str">
        <f>IFERROR(__xludf.DUMMYFUNCTION("""COMPUTED_VALUE"""),"1MsdAMudFZTDN6c4GJMzmiY0zvgautsPJWcDY1jxOGP0")</f>
        <v>1MsdAMudFZTDN6c4GJMzmiY0zvgautsPJWcDY1jxOGP0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IFERROR(__xludf.DUMMYFUNCTION("""COMPUTED_VALUE"""),"SetTTGeneralPreferences")</f>
        <v>SetTTGeneralPreferences</v>
      </c>
      <c r="C490" t="str">
        <f>IFERROR(__xludf.DUMMYFUNCTION("""COMPUTED_VALUE"""),"1VU4CqD-ZRcRyvM1M2otqULbHS-fnUmcO_NcgQMsS9rE")</f>
        <v>1VU4CqD-ZRcRyvM1M2otqULbHS-fnUmcO_NcgQMsS9rE</v>
      </c>
    </row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b">
        <v>1</v>
      </c>
      <c r="E6" s="30"/>
      <c r="F6" s="8"/>
      <c r="G6" s="8"/>
      <c r="H6" s="11">
        <v>10.0</v>
      </c>
      <c r="I6" s="8"/>
      <c r="J6" s="8"/>
      <c r="K6" s="11" t="s">
        <v>16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IFERROR(__xludf.DUMMYFUNCTION("""COMPUTED_VALUE"""),"ShowMasterFundOnTT")</f>
        <v>ShowMasterFundOnTT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ShowMasterFundOnTT!$4:$4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f t="shared" ref="B6:C6" si="1">TODAY()-1</f>
        <v>44236</v>
      </c>
      <c r="C6" s="31">
        <f t="shared" si="1"/>
        <v>44236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23</v>
      </c>
      <c r="D6" s="11">
        <v>300000.0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24</v>
      </c>
      <c r="C7" s="11" t="s">
        <v>23</v>
      </c>
      <c r="D7" s="11">
        <v>300000.0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27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UpdateMasterFundOnTT!$4:$4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29</v>
      </c>
      <c r="C6" s="11" t="s">
        <v>30</v>
      </c>
      <c r="D6" s="11">
        <v>100.0</v>
      </c>
      <c r="E6" s="11">
        <v>100.0</v>
      </c>
      <c r="F6" s="11" t="s">
        <v>22</v>
      </c>
      <c r="G6" s="8"/>
      <c r="H6" s="8"/>
      <c r="I6" s="8"/>
      <c r="J6" s="11">
        <v>210.0</v>
      </c>
      <c r="K6" s="8"/>
      <c r="L6" s="8"/>
      <c r="M6" s="8"/>
      <c r="N6" s="8"/>
      <c r="O6" s="8"/>
    </row>
    <row r="7" ht="15.75" customHeight="1">
      <c r="A7" s="8"/>
      <c r="B7" s="11" t="s">
        <v>29</v>
      </c>
      <c r="C7" s="11" t="s">
        <v>30</v>
      </c>
      <c r="D7" s="11">
        <v>100000.0</v>
      </c>
      <c r="E7" s="11">
        <v>100000.0</v>
      </c>
      <c r="F7" s="11" t="s">
        <v>22</v>
      </c>
      <c r="G7" s="8"/>
      <c r="H7" s="8"/>
      <c r="I7" s="8"/>
      <c r="J7" s="11">
        <v>210.0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31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UpdateMasterFundOnTT1!$4:$4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29</v>
      </c>
      <c r="C6" s="11" t="s">
        <v>30</v>
      </c>
      <c r="D6" s="11">
        <v>100.0</v>
      </c>
      <c r="E6" s="11">
        <v>100.0</v>
      </c>
      <c r="F6" s="11" t="s">
        <v>24</v>
      </c>
      <c r="G6" s="8"/>
      <c r="H6" s="8"/>
      <c r="I6" s="8"/>
      <c r="J6" s="11">
        <v>210.0</v>
      </c>
      <c r="K6" s="8"/>
      <c r="L6" s="8"/>
      <c r="M6" s="8"/>
      <c r="N6" s="8"/>
      <c r="O6" s="8"/>
    </row>
    <row r="7" ht="15.75" customHeight="1">
      <c r="A7" s="8"/>
      <c r="B7" s="11" t="s">
        <v>29</v>
      </c>
      <c r="C7" s="11" t="s">
        <v>30</v>
      </c>
      <c r="D7" s="11">
        <v>100000.0</v>
      </c>
      <c r="E7" s="11">
        <v>100000.0</v>
      </c>
      <c r="F7" s="11" t="s">
        <v>24</v>
      </c>
      <c r="G7" s="8"/>
      <c r="H7" s="8"/>
      <c r="I7" s="8"/>
      <c r="J7" s="11">
        <v>210.0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210.0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29</v>
      </c>
      <c r="AJ6" s="9" t="s">
        <v>30</v>
      </c>
      <c r="AK6" s="9" t="s">
        <v>34</v>
      </c>
      <c r="AL6" s="9">
        <v>100.0</v>
      </c>
      <c r="AM6" s="9">
        <v>100.0</v>
      </c>
      <c r="AN6" s="9">
        <v>100.0</v>
      </c>
      <c r="AO6" s="9">
        <v>100.0</v>
      </c>
      <c r="AQ6" s="9">
        <v>210.0</v>
      </c>
      <c r="AR6" s="9">
        <v>210.0</v>
      </c>
      <c r="AS6" s="9" t="s">
        <v>35</v>
      </c>
      <c r="AT6" s="9" t="s">
        <v>22</v>
      </c>
      <c r="AU6" s="9" t="s">
        <v>36</v>
      </c>
      <c r="AV6" s="9">
        <v>21000.0</v>
      </c>
      <c r="AW6" s="9">
        <v>21000.0</v>
      </c>
      <c r="AY6" s="9">
        <v>100.0</v>
      </c>
    </row>
    <row r="7" ht="15.75" customHeight="1">
      <c r="A7" s="8"/>
      <c r="B7" s="8"/>
      <c r="C7" s="8"/>
      <c r="D7" s="11">
        <v>210.0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29</v>
      </c>
      <c r="AJ7" s="9" t="s">
        <v>30</v>
      </c>
      <c r="AK7" s="9" t="s">
        <v>34</v>
      </c>
      <c r="AL7" s="9">
        <v>100000.0</v>
      </c>
      <c r="AM7" s="9">
        <v>100000.0</v>
      </c>
      <c r="AN7" s="9">
        <v>100.0</v>
      </c>
      <c r="AO7" s="9">
        <v>100000.0</v>
      </c>
      <c r="AQ7" s="9">
        <v>210.0</v>
      </c>
      <c r="AR7" s="9">
        <v>210.0</v>
      </c>
      <c r="AS7" s="9" t="s">
        <v>35</v>
      </c>
      <c r="AT7" s="9" t="s">
        <v>22</v>
      </c>
      <c r="AU7" s="9" t="s">
        <v>36</v>
      </c>
      <c r="AV7" s="32">
        <v>2.1E7</v>
      </c>
      <c r="AW7" s="32">
        <v>2.1E7</v>
      </c>
      <c r="AY7" s="9">
        <v>100000.0</v>
      </c>
    </row>
    <row r="8" ht="15.75" customHeight="1">
      <c r="A8" s="8"/>
      <c r="B8" s="8"/>
      <c r="C8" s="8"/>
      <c r="D8" s="11">
        <v>210.0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9" t="s">
        <v>29</v>
      </c>
      <c r="AJ8" s="9" t="s">
        <v>30</v>
      </c>
      <c r="AK8" s="9" t="s">
        <v>34</v>
      </c>
      <c r="AL8" s="9">
        <v>100.0</v>
      </c>
      <c r="AM8" s="9">
        <v>100.0</v>
      </c>
      <c r="AN8" s="9">
        <v>100.0</v>
      </c>
      <c r="AO8" s="9">
        <v>100.0</v>
      </c>
      <c r="AQ8" s="9">
        <v>210.0</v>
      </c>
      <c r="AR8" s="9">
        <v>210.0</v>
      </c>
      <c r="AS8" s="9" t="s">
        <v>35</v>
      </c>
      <c r="AT8" s="9" t="s">
        <v>24</v>
      </c>
      <c r="AU8" s="9" t="s">
        <v>36</v>
      </c>
      <c r="AV8" s="9">
        <v>21000.0</v>
      </c>
      <c r="AW8" s="9">
        <v>21000.0</v>
      </c>
      <c r="AY8" s="9">
        <v>100.0</v>
      </c>
    </row>
    <row r="9" ht="15.75" customHeight="1">
      <c r="A9" s="8"/>
      <c r="B9" s="8"/>
      <c r="C9" s="8"/>
      <c r="D9" s="11">
        <v>210.0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9" t="s">
        <v>29</v>
      </c>
      <c r="AJ9" s="9" t="s">
        <v>30</v>
      </c>
      <c r="AK9" s="9" t="s">
        <v>34</v>
      </c>
      <c r="AL9" s="9">
        <v>100000.0</v>
      </c>
      <c r="AM9" s="9">
        <v>100000.0</v>
      </c>
      <c r="AN9" s="9">
        <v>100.0</v>
      </c>
      <c r="AO9" s="9">
        <v>100000.0</v>
      </c>
      <c r="AQ9" s="9">
        <v>210.0</v>
      </c>
      <c r="AR9" s="9">
        <v>210.0</v>
      </c>
      <c r="AS9" s="9" t="s">
        <v>35</v>
      </c>
      <c r="AT9" s="9" t="s">
        <v>24</v>
      </c>
      <c r="AU9" s="9" t="s">
        <v>36</v>
      </c>
      <c r="AV9" s="32">
        <v>2.1E7</v>
      </c>
      <c r="AW9" s="32">
        <v>2.1E7</v>
      </c>
      <c r="AY9" s="9">
        <v>100000.0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38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8"/>
      <c r="D6" s="11"/>
      <c r="E6" s="11">
        <v>100.0</v>
      </c>
      <c r="F6" s="8"/>
      <c r="G6" s="8"/>
      <c r="H6" s="11">
        <v>4.0</v>
      </c>
      <c r="I6" s="11">
        <v>5.0</v>
      </c>
      <c r="J6" s="8"/>
      <c r="K6" s="11">
        <v>210.0</v>
      </c>
      <c r="L6" s="11">
        <v>210.0</v>
      </c>
      <c r="M6" s="8"/>
      <c r="N6" s="8"/>
      <c r="O6" s="11" t="s">
        <v>35</v>
      </c>
      <c r="R6" s="9">
        <v>0.0</v>
      </c>
      <c r="S6" s="9" t="s">
        <v>40</v>
      </c>
      <c r="T6" s="9">
        <v>0.0</v>
      </c>
      <c r="U6" s="9">
        <v>0.0</v>
      </c>
      <c r="AE6" s="9">
        <v>100.0</v>
      </c>
      <c r="AI6" s="9">
        <v>1.0</v>
      </c>
      <c r="AT6" s="33">
        <v>21014.0118</v>
      </c>
      <c r="AU6" s="33">
        <v>21014.0118</v>
      </c>
      <c r="AW6" s="9">
        <v>0.0</v>
      </c>
      <c r="AZ6" s="9">
        <v>0.0</v>
      </c>
      <c r="BC6" s="9">
        <v>0.0</v>
      </c>
      <c r="BE6" s="32">
        <v>21000.0</v>
      </c>
      <c r="BF6" s="9">
        <v>21000.0</v>
      </c>
      <c r="BJ6" s="9">
        <v>100.0</v>
      </c>
      <c r="BO6" s="9" t="s">
        <v>30</v>
      </c>
      <c r="BP6" s="9">
        <v>0.0</v>
      </c>
      <c r="BT6" s="9" t="s">
        <v>29</v>
      </c>
      <c r="BU6" s="9">
        <v>3.0</v>
      </c>
      <c r="CG6" s="9">
        <v>2.0</v>
      </c>
      <c r="CI6" s="9" t="s">
        <v>30</v>
      </c>
      <c r="CJ6" s="9">
        <v>0.0</v>
      </c>
    </row>
    <row r="7" ht="15.75" customHeight="1">
      <c r="A7" s="8"/>
      <c r="B7" s="11" t="s">
        <v>22</v>
      </c>
      <c r="C7" s="8"/>
      <c r="D7" s="8"/>
      <c r="E7" s="11">
        <v>100000.0</v>
      </c>
      <c r="F7" s="8"/>
      <c r="G7" s="8"/>
      <c r="H7" s="11">
        <v>4.0</v>
      </c>
      <c r="I7" s="11">
        <v>5.0</v>
      </c>
      <c r="J7" s="8"/>
      <c r="K7" s="11">
        <v>210.0</v>
      </c>
      <c r="L7" s="11">
        <v>210.0</v>
      </c>
      <c r="M7" s="8"/>
      <c r="N7" s="8"/>
      <c r="O7" s="11" t="s">
        <v>35</v>
      </c>
      <c r="R7" s="9">
        <v>0.0</v>
      </c>
      <c r="S7" s="9" t="s">
        <v>40</v>
      </c>
      <c r="T7" s="9">
        <v>0.0</v>
      </c>
      <c r="U7" s="9">
        <v>0.0</v>
      </c>
      <c r="AE7" s="9">
        <v>100000.0</v>
      </c>
      <c r="AI7" s="9">
        <v>1.0</v>
      </c>
      <c r="AT7" s="34">
        <v>2.100002576E7</v>
      </c>
      <c r="AU7" s="34">
        <v>2.100002576E7</v>
      </c>
      <c r="AW7" s="9">
        <v>0.0</v>
      </c>
      <c r="AZ7" s="9">
        <v>0.0</v>
      </c>
      <c r="BC7" s="9">
        <v>0.0</v>
      </c>
      <c r="BE7" s="32">
        <v>2.1E7</v>
      </c>
      <c r="BF7" s="32">
        <v>2.1E7</v>
      </c>
      <c r="BJ7" s="9">
        <v>100000.0</v>
      </c>
      <c r="BO7" s="9" t="s">
        <v>30</v>
      </c>
      <c r="BP7" s="9">
        <v>0.0</v>
      </c>
      <c r="BT7" s="9" t="s">
        <v>29</v>
      </c>
      <c r="BU7" s="9">
        <v>3.0</v>
      </c>
      <c r="CG7" s="9">
        <v>2.0</v>
      </c>
      <c r="CI7" s="9" t="s">
        <v>30</v>
      </c>
      <c r="CJ7" s="9">
        <v>0.0</v>
      </c>
    </row>
    <row r="8" ht="15.75" customHeight="1">
      <c r="A8" s="8"/>
      <c r="B8" s="11" t="s">
        <v>24</v>
      </c>
      <c r="C8" s="8"/>
      <c r="D8" s="8"/>
      <c r="E8" s="11">
        <v>100.0</v>
      </c>
      <c r="F8" s="8"/>
      <c r="G8" s="8"/>
      <c r="H8" s="11">
        <v>4.0</v>
      </c>
      <c r="I8" s="11">
        <v>5.0</v>
      </c>
      <c r="J8" s="8"/>
      <c r="K8" s="11">
        <v>210.0</v>
      </c>
      <c r="L8" s="11">
        <v>210.0</v>
      </c>
      <c r="M8" s="8"/>
      <c r="N8" s="8"/>
      <c r="O8" s="11" t="s">
        <v>35</v>
      </c>
      <c r="R8" s="9">
        <v>0.0</v>
      </c>
      <c r="S8" s="9" t="s">
        <v>40</v>
      </c>
      <c r="T8" s="9">
        <v>0.0</v>
      </c>
      <c r="U8" s="9">
        <v>0.0</v>
      </c>
      <c r="AE8" s="9">
        <v>100.0</v>
      </c>
      <c r="AI8" s="9">
        <v>1.0</v>
      </c>
      <c r="AT8" s="33">
        <v>21014.0118</v>
      </c>
      <c r="AU8" s="33">
        <v>21014.0118</v>
      </c>
      <c r="AW8" s="9">
        <v>0.0</v>
      </c>
      <c r="AZ8" s="9">
        <v>0.0</v>
      </c>
      <c r="BC8" s="9">
        <v>0.0</v>
      </c>
      <c r="BE8" s="32">
        <v>21000.0</v>
      </c>
      <c r="BF8" s="9">
        <v>21000.0</v>
      </c>
      <c r="BJ8" s="9">
        <v>100.0</v>
      </c>
      <c r="BO8" s="9" t="s">
        <v>30</v>
      </c>
      <c r="BP8" s="9">
        <v>0.0</v>
      </c>
      <c r="BT8" s="9" t="s">
        <v>29</v>
      </c>
      <c r="BU8" s="9">
        <v>3.0</v>
      </c>
      <c r="CG8" s="9">
        <v>2.0</v>
      </c>
      <c r="CI8" s="9" t="s">
        <v>30</v>
      </c>
      <c r="CJ8" s="9">
        <v>0.0</v>
      </c>
    </row>
    <row r="9" ht="15.75" customHeight="1">
      <c r="A9" s="8"/>
      <c r="B9" s="11" t="s">
        <v>24</v>
      </c>
      <c r="C9" s="8"/>
      <c r="D9" s="8"/>
      <c r="E9" s="11">
        <v>100000.0</v>
      </c>
      <c r="F9" s="8"/>
      <c r="G9" s="8"/>
      <c r="H9" s="11">
        <v>4.0</v>
      </c>
      <c r="I9" s="11">
        <v>5.0</v>
      </c>
      <c r="J9" s="8"/>
      <c r="K9" s="11">
        <v>210.0</v>
      </c>
      <c r="L9" s="11">
        <v>210.0</v>
      </c>
      <c r="M9" s="8"/>
      <c r="N9" s="8"/>
      <c r="O9" s="11" t="s">
        <v>35</v>
      </c>
      <c r="R9" s="9">
        <v>0.0</v>
      </c>
      <c r="S9" s="9" t="s">
        <v>40</v>
      </c>
      <c r="T9" s="9">
        <v>0.0</v>
      </c>
      <c r="U9" s="9">
        <v>0.0</v>
      </c>
      <c r="AE9" s="9">
        <v>100000.0</v>
      </c>
      <c r="AI9" s="9">
        <v>1.0</v>
      </c>
      <c r="AT9" s="34">
        <v>2.100002576E7</v>
      </c>
      <c r="AU9" s="34">
        <v>2.100002576E7</v>
      </c>
      <c r="AW9" s="9">
        <v>0.0</v>
      </c>
      <c r="AZ9" s="9">
        <v>0.0</v>
      </c>
      <c r="BC9" s="9">
        <v>0.0</v>
      </c>
      <c r="BE9" s="32">
        <v>2.1E7</v>
      </c>
      <c r="BF9" s="32">
        <v>2.1E7</v>
      </c>
      <c r="BJ9" s="9">
        <v>100000.0</v>
      </c>
      <c r="BO9" s="9" t="s">
        <v>30</v>
      </c>
      <c r="BP9" s="9">
        <v>0.0</v>
      </c>
      <c r="BT9" s="9" t="s">
        <v>29</v>
      </c>
      <c r="BU9" s="9">
        <v>3.0</v>
      </c>
      <c r="CG9" s="9">
        <v>2.0</v>
      </c>
      <c r="CI9" s="9" t="s">
        <v>30</v>
      </c>
      <c r="CJ9" s="9">
        <v>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11"/>
      <c r="B6" s="11"/>
      <c r="C6" s="11" t="s">
        <v>29</v>
      </c>
      <c r="D6" s="11">
        <v>100.0</v>
      </c>
      <c r="E6" s="11" t="s">
        <v>22</v>
      </c>
      <c r="F6" s="8"/>
      <c r="G6" s="11">
        <v>210.0</v>
      </c>
      <c r="H6" s="11" t="s">
        <v>43</v>
      </c>
      <c r="I6" s="11">
        <v>0.0</v>
      </c>
      <c r="J6" s="8"/>
      <c r="K6" s="11"/>
      <c r="L6" s="11"/>
      <c r="M6" s="8"/>
      <c r="N6" s="35">
        <v>-21000.0</v>
      </c>
      <c r="O6" s="11"/>
      <c r="Q6" s="32">
        <v>-21000.0</v>
      </c>
      <c r="R6" s="9"/>
      <c r="S6" s="9"/>
      <c r="T6" s="9" t="s">
        <v>44</v>
      </c>
      <c r="U6" s="9" t="s">
        <v>45</v>
      </c>
      <c r="AB6" s="9">
        <v>0.0</v>
      </c>
      <c r="AC6" s="9">
        <v>0.0</v>
      </c>
      <c r="AD6" s="9">
        <v>0.0</v>
      </c>
      <c r="AE6" s="9">
        <v>0.0</v>
      </c>
      <c r="AF6" s="9">
        <v>100.0</v>
      </c>
      <c r="AI6" s="9"/>
      <c r="AN6" s="9" t="s">
        <v>30</v>
      </c>
      <c r="AP6" s="9" t="s">
        <v>43</v>
      </c>
      <c r="AT6" s="34"/>
      <c r="AU6" s="34"/>
      <c r="AW6" s="32">
        <v>-21000.0</v>
      </c>
      <c r="AX6" s="9">
        <v>0.0</v>
      </c>
      <c r="AY6" s="9">
        <v>0.0</v>
      </c>
      <c r="AZ6" s="9">
        <v>0.0</v>
      </c>
      <c r="BC6" s="9">
        <v>1.0</v>
      </c>
      <c r="BE6" s="32"/>
      <c r="BF6" s="9"/>
      <c r="BJ6" s="9">
        <v>0.0</v>
      </c>
      <c r="BK6" s="9">
        <v>0.0</v>
      </c>
      <c r="BL6" s="9">
        <v>0.0</v>
      </c>
      <c r="BM6" s="9">
        <v>0.0</v>
      </c>
      <c r="BO6" s="32">
        <v>-21000.0</v>
      </c>
      <c r="BP6" s="9"/>
      <c r="BR6" s="9" t="s">
        <v>35</v>
      </c>
      <c r="BS6" s="9">
        <v>0.0</v>
      </c>
      <c r="BT6" s="9">
        <v>0.0</v>
      </c>
      <c r="BU6" s="9"/>
      <c r="BW6" s="9">
        <v>0.0</v>
      </c>
      <c r="BY6" s="9">
        <v>0.0</v>
      </c>
      <c r="BZ6" s="9">
        <v>0.0</v>
      </c>
      <c r="CC6" s="9">
        <v>0.0</v>
      </c>
      <c r="CD6" s="32">
        <v>-21000.0</v>
      </c>
      <c r="CE6" s="9">
        <v>0.0</v>
      </c>
      <c r="CF6" s="9">
        <v>0.0</v>
      </c>
      <c r="CG6" s="32">
        <v>-21000.0</v>
      </c>
      <c r="CI6" s="9"/>
      <c r="CJ6" s="9"/>
      <c r="DA6" s="9">
        <v>0.0</v>
      </c>
      <c r="DB6" s="9">
        <v>0.0</v>
      </c>
      <c r="DE6" s="9">
        <v>0.0</v>
      </c>
      <c r="DF6" s="9">
        <v>0.0</v>
      </c>
      <c r="DG6" s="9">
        <v>0.0</v>
      </c>
      <c r="DI6" s="9">
        <v>0.0</v>
      </c>
      <c r="DJ6" s="9" t="s">
        <v>30</v>
      </c>
      <c r="DK6" s="9">
        <v>0.0</v>
      </c>
      <c r="DL6" s="9">
        <v>0.0</v>
      </c>
      <c r="DM6" s="9">
        <v>1.0</v>
      </c>
      <c r="DN6" s="9">
        <v>0.0</v>
      </c>
      <c r="EF6" s="9">
        <v>0.0</v>
      </c>
      <c r="EG6" s="9">
        <v>0.0</v>
      </c>
      <c r="EH6" s="9">
        <v>0.0</v>
      </c>
      <c r="EI6" s="9">
        <v>0.0</v>
      </c>
      <c r="EJ6" s="9">
        <v>0.0</v>
      </c>
      <c r="EK6" s="9">
        <v>0.0</v>
      </c>
      <c r="EN6" s="9">
        <v>0.0</v>
      </c>
      <c r="EQ6" s="9">
        <v>0.0</v>
      </c>
      <c r="ER6" s="9">
        <v>0.0</v>
      </c>
    </row>
    <row r="7" ht="15.75" customHeight="1">
      <c r="A7" s="8"/>
      <c r="B7" s="11"/>
      <c r="C7" s="11" t="s">
        <v>29</v>
      </c>
      <c r="D7" s="35">
        <v>100000.0</v>
      </c>
      <c r="E7" s="11" t="s">
        <v>22</v>
      </c>
      <c r="F7" s="8"/>
      <c r="G7" s="11">
        <v>210.0</v>
      </c>
      <c r="H7" s="11" t="s">
        <v>43</v>
      </c>
      <c r="I7" s="11">
        <v>0.0</v>
      </c>
      <c r="J7" s="8"/>
      <c r="K7" s="11"/>
      <c r="L7" s="11"/>
      <c r="M7" s="8"/>
      <c r="N7" s="35">
        <v>-2.1E7</v>
      </c>
      <c r="O7" s="11"/>
      <c r="Q7" s="32">
        <v>-2.1E7</v>
      </c>
      <c r="R7" s="9"/>
      <c r="S7" s="9"/>
      <c r="T7" s="9" t="s">
        <v>44</v>
      </c>
      <c r="U7" s="9" t="s">
        <v>45</v>
      </c>
      <c r="AB7" s="9">
        <v>0.0</v>
      </c>
      <c r="AC7" s="9">
        <v>0.0</v>
      </c>
      <c r="AD7" s="9">
        <v>0.0</v>
      </c>
      <c r="AE7" s="9">
        <v>0.0</v>
      </c>
      <c r="AF7" s="9">
        <v>100000.0</v>
      </c>
      <c r="AI7" s="9"/>
      <c r="AN7" s="9" t="s">
        <v>30</v>
      </c>
      <c r="AP7" s="9" t="s">
        <v>43</v>
      </c>
      <c r="AT7" s="34"/>
      <c r="AU7" s="34"/>
      <c r="AW7" s="32">
        <v>-2.1E7</v>
      </c>
      <c r="AX7" s="9">
        <v>0.0</v>
      </c>
      <c r="AY7" s="9">
        <v>0.0</v>
      </c>
      <c r="AZ7" s="9">
        <v>0.0</v>
      </c>
      <c r="BC7" s="9">
        <v>1.0</v>
      </c>
      <c r="BE7" s="32"/>
      <c r="BF7" s="32"/>
      <c r="BJ7" s="9">
        <v>0.0</v>
      </c>
      <c r="BK7" s="9">
        <v>0.0</v>
      </c>
      <c r="BL7" s="9">
        <v>0.0</v>
      </c>
      <c r="BM7" s="9">
        <v>0.0</v>
      </c>
      <c r="BO7" s="32">
        <v>-2.1E7</v>
      </c>
      <c r="BP7" s="9"/>
      <c r="BR7" s="9" t="s">
        <v>35</v>
      </c>
      <c r="BS7" s="9">
        <v>0.0</v>
      </c>
      <c r="BT7" s="9">
        <v>0.0</v>
      </c>
      <c r="BU7" s="9"/>
      <c r="BW7" s="9">
        <v>0.0</v>
      </c>
      <c r="BY7" s="9">
        <v>0.0</v>
      </c>
      <c r="BZ7" s="9">
        <v>0.0</v>
      </c>
      <c r="CC7" s="9">
        <v>0.0</v>
      </c>
      <c r="CD7" s="32">
        <v>-2.1E7</v>
      </c>
      <c r="CE7" s="9">
        <v>0.0</v>
      </c>
      <c r="CF7" s="9">
        <v>0.0</v>
      </c>
      <c r="CG7" s="32">
        <v>-2.1E7</v>
      </c>
      <c r="CI7" s="9"/>
      <c r="CJ7" s="9"/>
      <c r="DA7" s="9">
        <v>0.0</v>
      </c>
      <c r="DB7" s="9">
        <v>0.0</v>
      </c>
      <c r="DE7" s="9">
        <v>0.0</v>
      </c>
      <c r="DF7" s="9">
        <v>0.0</v>
      </c>
      <c r="DG7" s="9">
        <v>0.0</v>
      </c>
      <c r="DI7" s="9">
        <v>0.0</v>
      </c>
      <c r="DJ7" s="9" t="s">
        <v>30</v>
      </c>
      <c r="DK7" s="9">
        <v>0.0</v>
      </c>
      <c r="DL7" s="9">
        <v>0.0</v>
      </c>
      <c r="DM7" s="9">
        <v>1.0</v>
      </c>
      <c r="DN7" s="9">
        <v>0.0</v>
      </c>
      <c r="EF7" s="9">
        <v>0.0</v>
      </c>
      <c r="EG7" s="9">
        <v>0.0</v>
      </c>
      <c r="EH7" s="9">
        <v>0.0</v>
      </c>
      <c r="EI7" s="9">
        <v>0.0</v>
      </c>
      <c r="EJ7" s="9">
        <v>0.0</v>
      </c>
      <c r="EK7" s="9">
        <v>0.0</v>
      </c>
      <c r="EN7" s="9">
        <v>0.0</v>
      </c>
      <c r="EQ7" s="9">
        <v>0.0</v>
      </c>
      <c r="ER7" s="9">
        <v>0.0</v>
      </c>
    </row>
    <row r="8" ht="15.75" customHeight="1">
      <c r="A8" s="8"/>
      <c r="B8" s="11"/>
      <c r="C8" s="11" t="s">
        <v>29</v>
      </c>
      <c r="D8" s="11">
        <v>100.0</v>
      </c>
      <c r="E8" s="11" t="s">
        <v>24</v>
      </c>
      <c r="F8" s="8"/>
      <c r="G8" s="11">
        <v>210.0</v>
      </c>
      <c r="H8" s="11" t="s">
        <v>43</v>
      </c>
      <c r="I8" s="11">
        <v>0.0</v>
      </c>
      <c r="J8" s="8"/>
      <c r="K8" s="11"/>
      <c r="L8" s="11"/>
      <c r="M8" s="8"/>
      <c r="N8" s="35">
        <v>-21000.0</v>
      </c>
      <c r="O8" s="11"/>
      <c r="Q8" s="32">
        <v>-21000.0</v>
      </c>
      <c r="R8" s="9"/>
      <c r="S8" s="9"/>
      <c r="T8" s="9" t="s">
        <v>44</v>
      </c>
      <c r="U8" s="9" t="s">
        <v>45</v>
      </c>
      <c r="AB8" s="9">
        <v>0.0</v>
      </c>
      <c r="AC8" s="9">
        <v>0.0</v>
      </c>
      <c r="AD8" s="9">
        <v>0.0</v>
      </c>
      <c r="AE8" s="9">
        <v>0.0</v>
      </c>
      <c r="AF8" s="9">
        <v>100.0</v>
      </c>
      <c r="AI8" s="9"/>
      <c r="AN8" s="9" t="s">
        <v>30</v>
      </c>
      <c r="AP8" s="9" t="s">
        <v>43</v>
      </c>
      <c r="AT8" s="34"/>
      <c r="AU8" s="34"/>
      <c r="AW8" s="32">
        <v>-21000.0</v>
      </c>
      <c r="AX8" s="9">
        <v>0.0</v>
      </c>
      <c r="AY8" s="9">
        <v>0.0</v>
      </c>
      <c r="AZ8" s="9">
        <v>0.0</v>
      </c>
      <c r="BC8" s="9">
        <v>1.0</v>
      </c>
      <c r="BE8" s="32"/>
      <c r="BF8" s="9"/>
      <c r="BJ8" s="9">
        <v>0.0</v>
      </c>
      <c r="BK8" s="9">
        <v>0.0</v>
      </c>
      <c r="BL8" s="9">
        <v>0.0</v>
      </c>
      <c r="BM8" s="9">
        <v>0.0</v>
      </c>
      <c r="BO8" s="32">
        <v>-21000.0</v>
      </c>
      <c r="BP8" s="9"/>
      <c r="BR8" s="9" t="s">
        <v>35</v>
      </c>
      <c r="BS8" s="9">
        <v>0.0</v>
      </c>
      <c r="BT8" s="9">
        <v>0.0</v>
      </c>
      <c r="BU8" s="9"/>
      <c r="BW8" s="9">
        <v>0.0</v>
      </c>
      <c r="BY8" s="9">
        <v>0.0</v>
      </c>
      <c r="BZ8" s="9">
        <v>0.0</v>
      </c>
      <c r="CC8" s="9">
        <v>0.0</v>
      </c>
      <c r="CD8" s="32">
        <v>-21000.0</v>
      </c>
      <c r="CE8" s="9">
        <v>0.0</v>
      </c>
      <c r="CF8" s="9">
        <v>0.0</v>
      </c>
      <c r="CG8" s="32">
        <v>-21000.0</v>
      </c>
      <c r="CI8" s="9"/>
      <c r="CJ8" s="9"/>
      <c r="DA8" s="9">
        <v>0.0</v>
      </c>
      <c r="DB8" s="9">
        <v>0.0</v>
      </c>
      <c r="DE8" s="9">
        <v>0.0</v>
      </c>
      <c r="DF8" s="9">
        <v>0.0</v>
      </c>
      <c r="DG8" s="9">
        <v>0.0</v>
      </c>
      <c r="DI8" s="9">
        <v>0.0</v>
      </c>
      <c r="DJ8" s="9" t="s">
        <v>30</v>
      </c>
      <c r="DK8" s="9">
        <v>0.0</v>
      </c>
      <c r="DL8" s="9">
        <v>0.0</v>
      </c>
      <c r="DM8" s="9">
        <v>1.0</v>
      </c>
      <c r="DN8" s="9">
        <v>0.0</v>
      </c>
      <c r="EF8" s="9">
        <v>0.0</v>
      </c>
      <c r="EG8" s="9">
        <v>0.0</v>
      </c>
      <c r="EH8" s="9">
        <v>0.0</v>
      </c>
      <c r="EI8" s="9">
        <v>0.0</v>
      </c>
      <c r="EJ8" s="9">
        <v>0.0</v>
      </c>
      <c r="EK8" s="9">
        <v>0.0</v>
      </c>
      <c r="EN8" s="9">
        <v>0.0</v>
      </c>
      <c r="EQ8" s="9">
        <v>0.0</v>
      </c>
      <c r="ER8" s="9">
        <v>0.0</v>
      </c>
    </row>
    <row r="9" ht="15.75" customHeight="1">
      <c r="A9" s="8"/>
      <c r="B9" s="11"/>
      <c r="C9" s="11" t="s">
        <v>29</v>
      </c>
      <c r="D9" s="35">
        <v>100000.0</v>
      </c>
      <c r="E9" s="11" t="s">
        <v>24</v>
      </c>
      <c r="F9" s="8"/>
      <c r="G9" s="11">
        <v>210.0</v>
      </c>
      <c r="H9" s="11" t="s">
        <v>43</v>
      </c>
      <c r="I9" s="11">
        <v>0.0</v>
      </c>
      <c r="J9" s="8"/>
      <c r="K9" s="11"/>
      <c r="L9" s="11"/>
      <c r="M9" s="8"/>
      <c r="N9" s="35">
        <v>-2.1E7</v>
      </c>
      <c r="O9" s="11"/>
      <c r="Q9" s="32">
        <v>-2.1E7</v>
      </c>
      <c r="R9" s="9"/>
      <c r="S9" s="9"/>
      <c r="T9" s="9" t="s">
        <v>44</v>
      </c>
      <c r="U9" s="9" t="s">
        <v>45</v>
      </c>
      <c r="AB9" s="9">
        <v>0.0</v>
      </c>
      <c r="AC9" s="9">
        <v>0.0</v>
      </c>
      <c r="AD9" s="9">
        <v>0.0</v>
      </c>
      <c r="AE9" s="9">
        <v>0.0</v>
      </c>
      <c r="AF9" s="9">
        <v>100000.0</v>
      </c>
      <c r="AI9" s="9"/>
      <c r="AN9" s="9" t="s">
        <v>30</v>
      </c>
      <c r="AP9" s="9" t="s">
        <v>43</v>
      </c>
      <c r="AT9" s="34"/>
      <c r="AU9" s="34"/>
      <c r="AW9" s="32">
        <v>-2.1E7</v>
      </c>
      <c r="AX9" s="9">
        <v>0.0</v>
      </c>
      <c r="AY9" s="9">
        <v>0.0</v>
      </c>
      <c r="AZ9" s="9">
        <v>0.0</v>
      </c>
      <c r="BC9" s="9">
        <v>1.0</v>
      </c>
      <c r="BE9" s="32"/>
      <c r="BF9" s="32"/>
      <c r="BJ9" s="9">
        <v>0.0</v>
      </c>
      <c r="BK9" s="9">
        <v>0.0</v>
      </c>
      <c r="BL9" s="9">
        <v>0.0</v>
      </c>
      <c r="BM9" s="9">
        <v>0.0</v>
      </c>
      <c r="BO9" s="32">
        <v>-2.1E7</v>
      </c>
      <c r="BP9" s="9"/>
      <c r="BR9" s="9" t="s">
        <v>35</v>
      </c>
      <c r="BS9" s="9">
        <v>0.0</v>
      </c>
      <c r="BT9" s="9">
        <v>0.0</v>
      </c>
      <c r="BU9" s="9"/>
      <c r="BW9" s="9">
        <v>0.0</v>
      </c>
      <c r="BY9" s="9">
        <v>0.0</v>
      </c>
      <c r="BZ9" s="9">
        <v>0.0</v>
      </c>
      <c r="CC9" s="9">
        <v>0.0</v>
      </c>
      <c r="CD9" s="32">
        <v>-2.1E7</v>
      </c>
      <c r="CE9" s="9">
        <v>0.0</v>
      </c>
      <c r="CF9" s="9">
        <v>0.0</v>
      </c>
      <c r="CG9" s="32">
        <v>-2.1E7</v>
      </c>
      <c r="CI9" s="9"/>
      <c r="CJ9" s="9"/>
      <c r="DA9" s="9">
        <v>0.0</v>
      </c>
      <c r="DB9" s="9">
        <v>0.0</v>
      </c>
      <c r="DE9" s="9">
        <v>0.0</v>
      </c>
      <c r="DF9" s="9">
        <v>0.0</v>
      </c>
      <c r="DG9" s="9">
        <v>0.0</v>
      </c>
      <c r="DI9" s="9">
        <v>0.0</v>
      </c>
      <c r="DJ9" s="9" t="s">
        <v>30</v>
      </c>
      <c r="DK9" s="9">
        <v>0.0</v>
      </c>
      <c r="DL9" s="9">
        <v>0.0</v>
      </c>
      <c r="DM9" s="9">
        <v>1.0</v>
      </c>
      <c r="DN9" s="9">
        <v>0.0</v>
      </c>
      <c r="EF9" s="9">
        <v>0.0</v>
      </c>
      <c r="EG9" s="9">
        <v>0.0</v>
      </c>
      <c r="EH9" s="9">
        <v>0.0</v>
      </c>
      <c r="EI9" s="9">
        <v>0.0</v>
      </c>
      <c r="EJ9" s="9">
        <v>0.0</v>
      </c>
      <c r="EK9" s="9">
        <v>0.0</v>
      </c>
      <c r="EN9" s="9">
        <v>0.0</v>
      </c>
      <c r="EQ9" s="9">
        <v>0.0</v>
      </c>
      <c r="ER9" s="9">
        <v>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