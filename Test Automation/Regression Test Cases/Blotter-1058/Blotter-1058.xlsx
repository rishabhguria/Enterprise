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AcknowledgeTrade" sheetId="6" r:id="rId8"/>
    <sheet state="visible" name="AcknowledgeTrade1" sheetId="7" r:id="rId9"/>
    <sheet state="visible" name="AcknowledgeTrade2" sheetId="8" r:id="rId10"/>
    <sheet state="visible" name="AcknowledgeTrade3" sheetId="9" r:id="rId11"/>
    <sheet state="visible" name="AcknowledgeTrade4" sheetId="10" r:id="rId12"/>
    <sheet state="visible" name="SelectTradeOnOrderGrid" sheetId="11" r:id="rId13"/>
    <sheet state="visible" name="ExecuteTrade" sheetId="12" r:id="rId14"/>
    <sheet state="visible" name="ExecuteTrade1" sheetId="13" r:id="rId15"/>
    <sheet state="visible" name="ExecuteTrade2" sheetId="14" r:id="rId16"/>
    <sheet state="visible" name="ExecuteTrade3" sheetId="15" r:id="rId17"/>
    <sheet state="visible" name="ExecuteTrade4" sheetId="16" r:id="rId18"/>
    <sheet state="visible" name="RejectTrade" sheetId="17" r:id="rId19"/>
    <sheet state="visible" name="CancelSubOrder" sheetId="18" r:id="rId20"/>
    <sheet state="visible" name="VerifySubOrder" sheetId="19" r:id="rId21"/>
    <sheet state="visible" name="VerifyOrder" sheetId="20" r:id="rId22"/>
    <sheet state="visible" name="VerifyOrder1" sheetId="21" r:id="rId23"/>
    <sheet state="visible" name="RestartReleasesAndServices" sheetId="22" r:id="rId24"/>
    <sheet state="visible" name="ChangeDate" sheetId="23" r:id="rId25"/>
    <sheet state="visible" name="ChangeDate1" sheetId="24" r:id="rId26"/>
    <sheet state="visible" name="ChangeDate2" sheetId="25" r:id="rId27"/>
    <sheet state="visible" name="ChangeDate3" sheetId="26" r:id="rId28"/>
  </sheets>
  <definedNames/>
  <calcPr/>
</workbook>
</file>

<file path=xl/sharedStrings.xml><?xml version="1.0" encoding="utf-8"?>
<sst xmlns="http://schemas.openxmlformats.org/spreadsheetml/2006/main" count="210" uniqueCount="46">
  <si>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</si>
  <si>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</si>
  <si>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</si>
  <si>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</si>
  <si>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</si>
  <si>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</si>
  <si>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</si>
  <si>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</si>
  <si>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</si>
  <si>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</si>
  <si>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</si>
  <si>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</si>
  <si>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</si>
  <si>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</si>
  <si>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</si>
  <si>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</si>
  <si>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</si>
  <si>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</si>
  <si>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</si>
  <si>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</si>
  <si>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</si>
  <si>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</si>
  <si>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</si>
  <si>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Good Till Date</t>
  </si>
  <si>
    <t>Limit</t>
  </si>
  <si>
    <t>Simulator</t>
  </si>
  <si>
    <t>AcknowledgeTrade</t>
  </si>
  <si>
    <t>Blotter</t>
  </si>
  <si>
    <t>SelectTradeOnOrderGrid</t>
  </si>
  <si>
    <t>ExecuteTrade</t>
  </si>
  <si>
    <t>RejectTrade</t>
  </si>
  <si>
    <t>CancelSubOrder</t>
  </si>
  <si>
    <t>VerifySubOrder</t>
  </si>
  <si>
    <t>NASDAQ</t>
  </si>
  <si>
    <t>PartiallyFilled</t>
  </si>
  <si>
    <t>MS</t>
  </si>
  <si>
    <t>Allocation</t>
  </si>
  <si>
    <t>VerifyOrder</t>
  </si>
  <si>
    <t>Compliance</t>
  </si>
  <si>
    <t>RestartReleasesAndServices</t>
  </si>
  <si>
    <t>Admin</t>
  </si>
  <si>
    <t>ChangeDate</t>
  </si>
  <si>
    <t>Today()+1</t>
  </si>
  <si>
    <t>Today()+2</t>
  </si>
  <si>
    <t>Today()+3</t>
  </si>
  <si>
    <t>Today()+4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</si>
</sst>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 Text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0F4F9"/>
        <bgColor rgb="FFF0F4F9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4" fillId="7" fontId="14" numFmtId="0" xfId="0" applyAlignment="1" applyBorder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 t="str">
        <f>IFERROR(__xludf.DUMMYFUNCTION("""COMPUTED_VALUE"""),"BrokerConnectionThroughTUI")</f>
        <v>BrokerConnectionThroughTUI</v>
      </c>
      <c r="H4" s="25" t="str">
        <f>IFERROR(__xludf.DUMMYFUNCTION("""COMPUTED_VALUE"""),"RestartServerOnly")</f>
        <v>RestartServerOnly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6.0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100.0</v>
      </c>
      <c r="D6" s="13">
        <v>100.0</v>
      </c>
      <c r="E6" s="13" t="s">
        <v>20</v>
      </c>
      <c r="F6" s="8"/>
      <c r="G6" s="8"/>
      <c r="H6" s="13"/>
      <c r="I6" s="13" t="s">
        <v>21</v>
      </c>
      <c r="J6" s="13" t="s">
        <v>22</v>
      </c>
      <c r="K6" s="8"/>
      <c r="L6" s="13"/>
      <c r="M6" s="8"/>
      <c r="N6" s="8"/>
      <c r="O6" s="8"/>
      <c r="U6" s="34" t="s">
        <v>23</v>
      </c>
      <c r="V6" s="34" t="s">
        <v>24</v>
      </c>
      <c r="W6" s="34"/>
      <c r="X6" s="35">
        <v>100.0</v>
      </c>
      <c r="Y6" s="36">
        <f>TODAY()+1</f>
        <v>45961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AcknowledgeTrade4!$4:$4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E6" s="37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50.0</v>
      </c>
      <c r="C6" s="13">
        <v>10.0</v>
      </c>
      <c r="D6" s="13" t="b">
        <v>1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60.0</v>
      </c>
      <c r="C6" s="13">
        <v>20.0</v>
      </c>
      <c r="D6" s="13" t="b">
        <v>1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40.0</v>
      </c>
      <c r="C6" s="13">
        <v>10.0</v>
      </c>
      <c r="D6" s="13" t="b">
        <v>1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30.0</v>
      </c>
      <c r="C6" s="13">
        <v>10.0</v>
      </c>
      <c r="D6" s="13" t="b">
        <v>1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 t="b">
        <v>1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ExecuteTrade4!$4:$4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/>
      <c r="F6" s="8"/>
      <c r="G6" s="8"/>
      <c r="H6" s="13" t="s">
        <v>33</v>
      </c>
      <c r="I6" s="8"/>
      <c r="J6" s="8"/>
      <c r="K6" s="8"/>
      <c r="L6" s="8"/>
      <c r="M6" s="8"/>
      <c r="N6" s="8"/>
      <c r="O6" s="8"/>
      <c r="AI6" s="9" t="s">
        <v>19</v>
      </c>
      <c r="AJ6" s="9" t="s">
        <v>22</v>
      </c>
      <c r="AK6" s="9" t="s">
        <v>34</v>
      </c>
      <c r="AQ6" s="9" t="s">
        <v>35</v>
      </c>
      <c r="AR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/>
      <c r="F6" s="8"/>
      <c r="G6" s="8"/>
      <c r="H6" s="13" t="s">
        <v>33</v>
      </c>
      <c r="I6" s="8"/>
      <c r="J6" s="8"/>
      <c r="K6" s="8"/>
      <c r="L6" s="8"/>
      <c r="M6" s="8"/>
      <c r="N6" s="8"/>
      <c r="O6" s="8"/>
      <c r="AI6" s="9" t="s">
        <v>19</v>
      </c>
      <c r="AJ6" s="9" t="s">
        <v>22</v>
      </c>
      <c r="AK6" s="9" t="s">
        <v>34</v>
      </c>
      <c r="AL6" s="9">
        <v>100.0</v>
      </c>
      <c r="AM6" s="9">
        <v>10.0</v>
      </c>
      <c r="AS6" s="9" t="s">
        <v>35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/>
      <c r="F6" s="8"/>
      <c r="G6" s="8"/>
      <c r="H6" s="13" t="s">
        <v>33</v>
      </c>
      <c r="I6" s="8"/>
      <c r="J6" s="8"/>
      <c r="K6" s="8"/>
      <c r="L6" s="8"/>
      <c r="M6" s="8"/>
      <c r="N6" s="8"/>
      <c r="O6" s="8"/>
      <c r="AI6" s="9" t="s">
        <v>19</v>
      </c>
      <c r="AJ6" s="9" t="s">
        <v>22</v>
      </c>
      <c r="AK6" s="9" t="s">
        <v>34</v>
      </c>
      <c r="AL6" s="9">
        <v>100.0</v>
      </c>
      <c r="AM6" s="9">
        <v>30.0</v>
      </c>
      <c r="AS6" s="9" t="s">
        <v>35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