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TradeOnOrderGrid" sheetId="6" r:id="rId8"/>
    <sheet state="visible" name="AddFillsSubOrder" sheetId="7" r:id="rId9"/>
    <sheet state="visible" name="EditAddFillsDetails" sheetId="8" r:id="rId10"/>
    <sheet state="visible" name="SelectTradeOnOrderGrid1" sheetId="9" r:id="rId11"/>
    <sheet state="visible" name="AddFillsSubOrder1" sheetId="10" r:id="rId12"/>
    <sheet state="visible" name="EditAddFillsDetails1" sheetId="11" r:id="rId13"/>
    <sheet state="visible" name="SelectTradeOnOrderGrid2" sheetId="12" r:id="rId14"/>
    <sheet state="visible" name="AddFillsSubOrder2" sheetId="13" r:id="rId15"/>
    <sheet state="visible" name="EditAddFillsDetails2" sheetId="14" r:id="rId16"/>
    <sheet state="visible" name="GetDataAllocation" sheetId="15" r:id="rId17"/>
    <sheet state="visible" name="CheckAllocatedGroups" sheetId="16" r:id="rId18"/>
    <sheet state="visible" name="CheckUnallocatedGroups" sheetId="17" r:id="rId19"/>
    <sheet state="visible" name="SelectUnallocatedGroup" sheetId="18" r:id="rId20"/>
    <sheet state="visible" name="EnterAccountValuesToAllocate" sheetId="19" r:id="rId21"/>
    <sheet state="visible" name="AllocateWithPopUp" sheetId="20" r:id="rId22"/>
    <sheet state="visible" name="Unallocate" sheetId="21" r:id="rId23"/>
    <sheet state="visible" name="GroupTrades" sheetId="22" r:id="rId24"/>
    <sheet state="visible" name="CheckUnallocatedGroups1" sheetId="23" r:id="rId25"/>
    <sheet state="visible" name="CheckAllocatedGroups1" sheetId="24" r:id="rId26"/>
    <sheet state="visible" name="EditAddFillsDetails3" sheetId="25" r:id="rId27"/>
    <sheet state="visible" name="EditAddFillsDetails4" sheetId="26" r:id="rId28"/>
    <sheet state="visible" name="EditAddFillsDetails5" sheetId="27" r:id="rId29"/>
    <sheet state="visible" name="CheckAllocatedGroups2" sheetId="28" r:id="rId30"/>
    <sheet state="visible" name="CheckUnallocatedGroups2" sheetId="29" r:id="rId31"/>
  </sheets>
  <definedNames/>
  <calcPr/>
</workbook>
</file>

<file path=xl/sharedStrings.xml><?xml version="1.0" encoding="utf-8"?>
<sst xmlns="http://schemas.openxmlformats.org/spreadsheetml/2006/main" count="850" uniqueCount="67">
  <si>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</si>
  <si>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</si>
  <si>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</si>
  <si>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</si>
  <si>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</si>
  <si>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</si>
  <si>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</si>
  <si>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</si>
  <si>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</si>
  <si>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</si>
  <si>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</si>
  <si>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</si>
  <si>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</si>
  <si>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</si>
  <si>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</si>
  <si>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</si>
  <si>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Recalculate</t>
  </si>
  <si>
    <t>TradingTicket</t>
  </si>
  <si>
    <t>CreateDoneAwayOrder</t>
  </si>
  <si>
    <t>MSFT</t>
  </si>
  <si>
    <t>Buy</t>
  </si>
  <si>
    <t>Unallocated</t>
  </si>
  <si>
    <t>Shares/Contracts</t>
  </si>
  <si>
    <t>AAPL</t>
  </si>
  <si>
    <t>Allocation1</t>
  </si>
  <si>
    <t>Blotter</t>
  </si>
  <si>
    <t>SelectTradeOnOrderGrid</t>
  </si>
  <si>
    <t>PartiallyFilled</t>
  </si>
  <si>
    <t>AddFillsSubOrder</t>
  </si>
  <si>
    <t>EditAddFillsDetails</t>
  </si>
  <si>
    <t>GetDataAllocation</t>
  </si>
  <si>
    <t>Current</t>
  </si>
  <si>
    <t>CheckAllocatedGroups</t>
  </si>
  <si>
    <t/>
  </si>
  <si>
    <t>Manual</t>
  </si>
  <si>
    <t>Equity</t>
  </si>
  <si>
    <t>AAPL US EQUITY</t>
  </si>
  <si>
    <t>MS</t>
  </si>
  <si>
    <t>USD</t>
  </si>
  <si>
    <t>NASDAQ</t>
  </si>
  <si>
    <t>M</t>
  </si>
  <si>
    <t>Market</t>
  </si>
  <si>
    <t>Strategy Unallocated</t>
  </si>
  <si>
    <t>GCCAP1</t>
  </si>
  <si>
    <t>US</t>
  </si>
  <si>
    <t>jpearce</t>
  </si>
  <si>
    <t>CheckUnallocatedGroups</t>
  </si>
  <si>
    <t>MSFT US EQUITY</t>
  </si>
  <si>
    <t>Open</t>
  </si>
  <si>
    <t>SelectUnallocatedGroup</t>
  </si>
  <si>
    <t>EnterAccountValuesToAllocate</t>
  </si>
  <si>
    <t>Allocation3</t>
  </si>
  <si>
    <t>AllocateWithPopUp</t>
  </si>
  <si>
    <t xml:space="preserve">No </t>
  </si>
  <si>
    <t>Unallocate</t>
  </si>
  <si>
    <t>GroupTrades</t>
  </si>
  <si>
    <t>None</t>
  </si>
  <si>
    <t>InternalOrder</t>
  </si>
  <si>
    <t>NONE</t>
  </si>
  <si>
    <t>APPLE</t>
  </si>
  <si>
    <t>Default</t>
  </si>
  <si>
    <t>Undefined</t>
  </si>
  <si>
    <t>Long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</si>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</sst>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5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1</v>
      </c>
      <c r="S6" s="9" t="s">
        <v>16</v>
      </c>
      <c r="T6" s="9" t="b">
        <v>1</v>
      </c>
      <c r="U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10.0</v>
      </c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  <c r="R6" s="9" t="s">
        <v>22</v>
      </c>
      <c r="S6" s="9">
        <v>10.0</v>
      </c>
    </row>
    <row r="7" ht="15.75" customHeight="1">
      <c r="A7" s="8"/>
      <c r="B7" s="13" t="s">
        <v>23</v>
      </c>
      <c r="C7" s="13" t="s">
        <v>20</v>
      </c>
      <c r="D7" s="13">
        <v>100.0</v>
      </c>
      <c r="E7" s="13">
        <v>10.0</v>
      </c>
      <c r="F7" s="13" t="s">
        <v>24</v>
      </c>
      <c r="G7" s="8"/>
      <c r="H7" s="8"/>
      <c r="I7" s="8"/>
      <c r="J7" s="13">
        <v>10.0</v>
      </c>
      <c r="K7" s="8"/>
      <c r="L7" s="8"/>
      <c r="M7" s="8"/>
      <c r="N7" s="8"/>
      <c r="O7" s="8"/>
      <c r="R7" s="9" t="s">
        <v>22</v>
      </c>
      <c r="S7" s="9">
        <v>10.0</v>
      </c>
    </row>
    <row r="8" ht="15.75" customHeight="1">
      <c r="A8" s="8"/>
      <c r="B8" s="13" t="s">
        <v>23</v>
      </c>
      <c r="C8" s="13" t="s">
        <v>20</v>
      </c>
      <c r="D8" s="13">
        <v>200.0</v>
      </c>
      <c r="E8" s="13">
        <v>20.0</v>
      </c>
      <c r="F8" s="13" t="s">
        <v>24</v>
      </c>
      <c r="G8" s="8"/>
      <c r="H8" s="8"/>
      <c r="I8" s="8"/>
      <c r="J8" s="13">
        <v>10.0</v>
      </c>
      <c r="K8" s="8"/>
      <c r="L8" s="8"/>
      <c r="M8" s="8"/>
      <c r="N8" s="8"/>
      <c r="O8" s="8"/>
      <c r="R8" s="9" t="s">
        <v>22</v>
      </c>
      <c r="S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19</v>
      </c>
      <c r="E6" s="32"/>
      <c r="F6" s="13" t="s">
        <v>20</v>
      </c>
      <c r="G6" s="13" t="s">
        <v>27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IFERROR(__xludf.DUMMYFUNCTION("""COMPUTED_VALUE"""),"Quantity")</f>
        <v>Quantity</v>
      </c>
      <c r="I5" s="29" t="str">
        <f>IFERROR(__xludf.DUMMYFUNCTION("""COMPUTED_VALUE"""),"Executed Qty")</f>
        <v>Executed Qty</v>
      </c>
      <c r="J5" s="29" t="str">
        <f>IFERROR(__xludf.DUMMYFUNCTION("""COMPUTED_VALUE"""),"Limit Price")</f>
        <v>Limit Price</v>
      </c>
      <c r="K5" s="29" t="str">
        <f>IFERROR(__xludf.DUMMYFUNCTION("""COMPUTED_VALUE"""),"Last Fill Price (Local)")</f>
        <v>Last Fill Price (Local)</v>
      </c>
      <c r="L5" s="29" t="str">
        <f>IFERROR(__xludf.DUMMYFUNCTION("""COMPUTED_VALUE"""),"Stop Price")</f>
        <v>Stop Price</v>
      </c>
      <c r="M5" s="29" t="str">
        <f>IFERROR(__xludf.DUMMYFUNCTION("""COMPUTED_VALUE"""),"Avg Fill Price (Local)")</f>
        <v>Avg Fill Price (Local)</v>
      </c>
      <c r="N5" s="29" t="str">
        <f>IFERROR(__xludf.DUMMYFUNCTION("""COMPUTED_VALUE"""),"Broker")</f>
        <v>Broker</v>
      </c>
      <c r="O5" s="29" t="str">
        <f>IFERROR(__xludf.DUMMYFUNCTION("""COMPUTED_VALUE"""),"Account")</f>
        <v>Account</v>
      </c>
      <c r="P5" s="29" t="str">
        <f>IFERROR(__xludf.DUMMYFUNCTION("""COMPUTED_VALUE"""),"OrderID")</f>
        <v>OrderID</v>
      </c>
      <c r="Q5" s="29" t="str">
        <f>IFERROR(__xludf.DUMMYFUNCTION("""COMPUTED_VALUE"""),"Order Type")</f>
        <v>Order Type</v>
      </c>
      <c r="R5" s="29" t="str">
        <f>IFERROR(__xludf.DUMMYFUNCTION("""COMPUTED_VALUE"""),"Principal Amount (Local)")</f>
        <v>Principal Amount (Local)</v>
      </c>
      <c r="S5" s="29" t="str">
        <f>IFERROR(__xludf.DUMMYFUNCTION("""COMPUTED_VALUE"""),"Principal Amount (Base)")</f>
        <v>Principal Amount (Base)</v>
      </c>
      <c r="T5" s="31" t="str">
        <f>IFERROR(__xludf.DUMMYFUNCTION("""COMPUTED_VALUE"""),"Peg")</f>
        <v>Peg</v>
      </c>
      <c r="U5" s="31" t="str">
        <f>IFERROR(__xludf.DUMMYFUNCTION("""COMPUTED_VALUE"""),"ParentClOrderID")</f>
        <v>ParentClOrderID</v>
      </c>
      <c r="V5" s="31" t="str">
        <f>IFERROR(__xludf.DUMMYFUNCTION("""COMPUTED_VALUE"""),"Strike Price")</f>
        <v>Strike Price</v>
      </c>
      <c r="W5" s="31" t="str">
        <f>IFERROR(__xludf.DUMMYFUNCTION("""COMPUTED_VALUE"""),"Last Shares")</f>
        <v>Last Shares</v>
      </c>
      <c r="X5" s="31" t="str">
        <f>IFERROR(__xludf.DUMMYFUNCTION("""COMPUTED_VALUE"""),"Working Qty")</f>
        <v>Working Qty</v>
      </c>
      <c r="Y5" s="31" t="str">
        <f>IFERROR(__xludf.DUMMYFUNCTION("""COMPUTED_VALUE"""),"Bloomberg Symbol")</f>
        <v>Bloomberg Symbol</v>
      </c>
      <c r="Z5" s="31" t="str">
        <f>IFERROR(__xludf.DUMMYFUNCTION("""COMPUTED_VALUE"""),"Imported File Name")</f>
        <v>Imported File Name</v>
      </c>
      <c r="AA5" s="31" t="str">
        <f>IFERROR(__xludf.DUMMYFUNCTION("""COMPUTED_VALUE"""),"Master Fund")</f>
        <v>Master Fund</v>
      </c>
      <c r="AB5" s="31" t="str">
        <f>IFERROR(__xludf.DUMMYFUNCTION("""COMPUTED_VALUE"""),"Asset Class")</f>
        <v>Asset Class</v>
      </c>
      <c r="AC5" s="31" t="str">
        <f>IFERROR(__xludf.DUMMYFUNCTION("""COMPUTED_VALUE"""),"Underlying Country")</f>
        <v>Underlying Country</v>
      </c>
      <c r="AD5" s="31" t="str">
        <f>IFERROR(__xludf.DUMMYFUNCTION("""COMPUTED_VALUE"""),"Trader")</f>
        <v>Trader</v>
      </c>
      <c r="AE5" s="31" t="str">
        <f>IFERROR(__xludf.DUMMYFUNCTION("""COMPUTED_VALUE"""),"User")</f>
        <v>User</v>
      </c>
      <c r="AF5" s="31" t="str">
        <f>IFERROR(__xludf.DUMMYFUNCTION("""COMPUTED_VALUE"""),"Venue")</f>
        <v>Venue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IFERROR(__xludf.DUMMYFUNCTION("""COMPUTED_VALUE"""),"Process Date")</f>
        <v>Process Date</v>
      </c>
      <c r="AJ5" s="31" t="str">
        <f>IFERROR(__xludf.DUMMYFUNCTION("""COMPUTED_VALUE"""),"Underlying Symbol")</f>
        <v>Underlying Symbol</v>
      </c>
      <c r="AK5" s="31" t="str">
        <f>IFERROR(__xludf.DUMMYFUNCTION("""COMPUTED_VALUE"""),"Put/Call")</f>
        <v>Put/Call</v>
      </c>
      <c r="AL5" s="31" t="str">
        <f>IFERROR(__xludf.DUMMYFUNCTION("""COMPUTED_VALUE"""),"FX Rate")</f>
        <v>FX Rate</v>
      </c>
      <c r="AM5" s="31" t="str">
        <f>IFERROR(__xludf.DUMMYFUNCTION("""COMPUTED_VALUE"""),"Trade Attribute 1")</f>
        <v>Trade Attribute 1</v>
      </c>
      <c r="AN5" s="31" t="str">
        <f>IFERROR(__xludf.DUMMYFUNCTION("""COMPUTED_VALUE"""),"Trade Attribute 2")</f>
        <v>Trade Attribute 2</v>
      </c>
      <c r="AO5" s="31" t="str">
        <f>IFERROR(__xludf.DUMMYFUNCTION("""COMPUTED_VALUE"""),"Trade Attribute 3")</f>
        <v>Trade Attribute 3</v>
      </c>
      <c r="AP5" s="31" t="str">
        <f>IFERROR(__xludf.DUMMYFUNCTION("""COMPUTED_VALUE"""),"Trade Attribute 4")</f>
        <v>Trade Attribute 4</v>
      </c>
      <c r="AQ5" s="31" t="str">
        <f>IFERROR(__xludf.DUMMYFUNCTION("""COMPUTED_VALUE"""),"Trade Attribute 5")</f>
        <v>Trade Attribute 5</v>
      </c>
      <c r="AR5" s="31" t="str">
        <f>IFERROR(__xludf.DUMMYFUNCTION("""COMPUTED_VALUE"""),"Trade Attribute 6")</f>
        <v>Trade Attribute 6</v>
      </c>
      <c r="AS5" s="31" t="str">
        <f>IFERROR(__xludf.DUMMYFUNCTION("""COMPUTED_VALUE"""),"Internal Comments")</f>
        <v>Internal Comments</v>
      </c>
      <c r="AT5" s="31" t="str">
        <f>IFERROR(__xludf.DUMMYFUNCTION("""COMPUTED_VALUE"""),"Allocation Scheme Name        ")</f>
        <v>Allocation Scheme Name        </v>
      </c>
      <c r="AU5" s="31" t="str">
        <f>IFERROR(__xludf.DUMMYFUNCTION("""COMPUTED_VALUE"""),"Status (With Rollover)")</f>
        <v>Status (With Rollover)</v>
      </c>
      <c r="AV5" s="31" t="str">
        <f>IFERROR(__xludf.DUMMYFUNCTION("""COMPUTED_VALUE"""),"Allocation Status")</f>
        <v>Allocation Status</v>
      </c>
      <c r="AW5" s="31" t="str">
        <f>IFERROR(__xludf.DUMMYFUNCTION("""COMPUTED_VALUE"""),"Source")</f>
        <v>Source</v>
      </c>
      <c r="AX5" s="31" t="str">
        <f>IFERROR(__xludf.DUMMYFUNCTION("""COMPUTED_VALUE"""),"Strategy")</f>
        <v>Strategy</v>
      </c>
      <c r="AY5" s="31" t="str">
        <f>IFERROR(__xludf.DUMMYFUNCTION("""COMPUTED_VALUE"""),"Unexecuted Qty")</f>
        <v>Unexecuted Qty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19</v>
      </c>
      <c r="E6" s="32"/>
      <c r="F6" s="13" t="s">
        <v>20</v>
      </c>
      <c r="G6" s="13" t="s">
        <v>27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20.0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23</v>
      </c>
      <c r="E6" s="32"/>
      <c r="F6" s="13" t="s">
        <v>20</v>
      </c>
      <c r="G6" s="13" t="s">
        <v>27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IFERROR(__xludf.DUMMYFUNCTION("""COMPUTED_VALUE"""),"Quantity")</f>
        <v>Quantity</v>
      </c>
      <c r="I5" s="29" t="str">
        <f>IFERROR(__xludf.DUMMYFUNCTION("""COMPUTED_VALUE"""),"Executed Qty")</f>
        <v>Executed Qty</v>
      </c>
      <c r="J5" s="29" t="str">
        <f>IFERROR(__xludf.DUMMYFUNCTION("""COMPUTED_VALUE"""),"Limit Price")</f>
        <v>Limit Price</v>
      </c>
      <c r="K5" s="29" t="str">
        <f>IFERROR(__xludf.DUMMYFUNCTION("""COMPUTED_VALUE"""),"Last Fill Price (Local)")</f>
        <v>Last Fill Price (Local)</v>
      </c>
      <c r="L5" s="29" t="str">
        <f>IFERROR(__xludf.DUMMYFUNCTION("""COMPUTED_VALUE"""),"Stop Price")</f>
        <v>Stop Price</v>
      </c>
      <c r="M5" s="29" t="str">
        <f>IFERROR(__xludf.DUMMYFUNCTION("""COMPUTED_VALUE"""),"Avg Fill Price (Local)")</f>
        <v>Avg Fill Price (Local)</v>
      </c>
      <c r="N5" s="29" t="str">
        <f>IFERROR(__xludf.DUMMYFUNCTION("""COMPUTED_VALUE"""),"Broker")</f>
        <v>Broker</v>
      </c>
      <c r="O5" s="29" t="str">
        <f>IFERROR(__xludf.DUMMYFUNCTION("""COMPUTED_VALUE"""),"Account")</f>
        <v>Account</v>
      </c>
      <c r="P5" s="29" t="str">
        <f>IFERROR(__xludf.DUMMYFUNCTION("""COMPUTED_VALUE"""),"OrderID")</f>
        <v>OrderID</v>
      </c>
      <c r="Q5" s="29" t="str">
        <f>IFERROR(__xludf.DUMMYFUNCTION("""COMPUTED_VALUE"""),"Order Type")</f>
        <v>Order Type</v>
      </c>
      <c r="R5" s="29" t="str">
        <f>IFERROR(__xludf.DUMMYFUNCTION("""COMPUTED_VALUE"""),"Principal Amount (Local)")</f>
        <v>Principal Amount (Local)</v>
      </c>
      <c r="S5" s="29" t="str">
        <f>IFERROR(__xludf.DUMMYFUNCTION("""COMPUTED_VALUE"""),"Principal Amount (Base)")</f>
        <v>Principal Amount (Base)</v>
      </c>
      <c r="T5" s="31" t="str">
        <f>IFERROR(__xludf.DUMMYFUNCTION("""COMPUTED_VALUE"""),"Peg")</f>
        <v>Peg</v>
      </c>
      <c r="U5" s="31" t="str">
        <f>IFERROR(__xludf.DUMMYFUNCTION("""COMPUTED_VALUE"""),"ParentClOrderID")</f>
        <v>ParentClOrderID</v>
      </c>
      <c r="V5" s="31" t="str">
        <f>IFERROR(__xludf.DUMMYFUNCTION("""COMPUTED_VALUE"""),"Strike Price")</f>
        <v>Strike Price</v>
      </c>
      <c r="W5" s="31" t="str">
        <f>IFERROR(__xludf.DUMMYFUNCTION("""COMPUTED_VALUE"""),"Last Shares")</f>
        <v>Last Shares</v>
      </c>
      <c r="X5" s="31" t="str">
        <f>IFERROR(__xludf.DUMMYFUNCTION("""COMPUTED_VALUE"""),"Working Qty")</f>
        <v>Working Qty</v>
      </c>
      <c r="Y5" s="31" t="str">
        <f>IFERROR(__xludf.DUMMYFUNCTION("""COMPUTED_VALUE"""),"Bloomberg Symbol")</f>
        <v>Bloomberg Symbol</v>
      </c>
      <c r="Z5" s="31" t="str">
        <f>IFERROR(__xludf.DUMMYFUNCTION("""COMPUTED_VALUE"""),"Imported File Name")</f>
        <v>Imported File Name</v>
      </c>
      <c r="AA5" s="31" t="str">
        <f>IFERROR(__xludf.DUMMYFUNCTION("""COMPUTED_VALUE"""),"Master Fund")</f>
        <v>Master Fund</v>
      </c>
      <c r="AB5" s="31" t="str">
        <f>IFERROR(__xludf.DUMMYFUNCTION("""COMPUTED_VALUE"""),"Asset Class")</f>
        <v>Asset Class</v>
      </c>
      <c r="AC5" s="31" t="str">
        <f>IFERROR(__xludf.DUMMYFUNCTION("""COMPUTED_VALUE"""),"Underlying Country")</f>
        <v>Underlying Country</v>
      </c>
      <c r="AD5" s="31" t="str">
        <f>IFERROR(__xludf.DUMMYFUNCTION("""COMPUTED_VALUE"""),"Trader")</f>
        <v>Trader</v>
      </c>
      <c r="AE5" s="31" t="str">
        <f>IFERROR(__xludf.DUMMYFUNCTION("""COMPUTED_VALUE"""),"User")</f>
        <v>User</v>
      </c>
      <c r="AF5" s="31" t="str">
        <f>IFERROR(__xludf.DUMMYFUNCTION("""COMPUTED_VALUE"""),"Venue")</f>
        <v>Venue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IFERROR(__xludf.DUMMYFUNCTION("""COMPUTED_VALUE"""),"Process Date")</f>
        <v>Process Date</v>
      </c>
      <c r="AJ5" s="31" t="str">
        <f>IFERROR(__xludf.DUMMYFUNCTION("""COMPUTED_VALUE"""),"Underlying Symbol")</f>
        <v>Underlying Symbol</v>
      </c>
      <c r="AK5" s="31" t="str">
        <f>IFERROR(__xludf.DUMMYFUNCTION("""COMPUTED_VALUE"""),"Put/Call")</f>
        <v>Put/Call</v>
      </c>
      <c r="AL5" s="31" t="str">
        <f>IFERROR(__xludf.DUMMYFUNCTION("""COMPUTED_VALUE"""),"FX Rate")</f>
        <v>FX Rate</v>
      </c>
      <c r="AM5" s="31" t="str">
        <f>IFERROR(__xludf.DUMMYFUNCTION("""COMPUTED_VALUE"""),"Trade Attribute 1")</f>
        <v>Trade Attribute 1</v>
      </c>
      <c r="AN5" s="31" t="str">
        <f>IFERROR(__xludf.DUMMYFUNCTION("""COMPUTED_VALUE"""),"Trade Attribute 2")</f>
        <v>Trade Attribute 2</v>
      </c>
      <c r="AO5" s="31" t="str">
        <f>IFERROR(__xludf.DUMMYFUNCTION("""COMPUTED_VALUE"""),"Trade Attribute 3")</f>
        <v>Trade Attribute 3</v>
      </c>
      <c r="AP5" s="31" t="str">
        <f>IFERROR(__xludf.DUMMYFUNCTION("""COMPUTED_VALUE"""),"Trade Attribute 4")</f>
        <v>Trade Attribute 4</v>
      </c>
      <c r="AQ5" s="31" t="str">
        <f>IFERROR(__xludf.DUMMYFUNCTION("""COMPUTED_VALUE"""),"Trade Attribute 5")</f>
        <v>Trade Attribute 5</v>
      </c>
      <c r="AR5" s="31" t="str">
        <f>IFERROR(__xludf.DUMMYFUNCTION("""COMPUTED_VALUE"""),"Trade Attribute 6")</f>
        <v>Trade Attribute 6</v>
      </c>
      <c r="AS5" s="31" t="str">
        <f>IFERROR(__xludf.DUMMYFUNCTION("""COMPUTED_VALUE"""),"Internal Comments")</f>
        <v>Internal Comments</v>
      </c>
      <c r="AT5" s="31" t="str">
        <f>IFERROR(__xludf.DUMMYFUNCTION("""COMPUTED_VALUE"""),"Allocation Scheme Name        ")</f>
        <v>Allocation Scheme Name        </v>
      </c>
      <c r="AU5" s="31" t="str">
        <f>IFERROR(__xludf.DUMMYFUNCTION("""COMPUTED_VALUE"""),"Status (With Rollover)")</f>
        <v>Status (With Rollover)</v>
      </c>
      <c r="AV5" s="31" t="str">
        <f>IFERROR(__xludf.DUMMYFUNCTION("""COMPUTED_VALUE"""),"Allocation Status")</f>
        <v>Allocation Status</v>
      </c>
      <c r="AW5" s="31" t="str">
        <f>IFERROR(__xludf.DUMMYFUNCTION("""COMPUTED_VALUE"""),"Source")</f>
        <v>Source</v>
      </c>
      <c r="AX5" s="31" t="str">
        <f>IFERROR(__xludf.DUMMYFUNCTION("""COMPUTED_VALUE"""),"Strategy")</f>
        <v>Strategy</v>
      </c>
      <c r="AY5" s="31" t="str">
        <f>IFERROR(__xludf.DUMMYFUNCTION("""COMPUTED_VALUE"""),"Unexecuted Qty")</f>
        <v>Unexecuted Qty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23</v>
      </c>
      <c r="E6" s="32"/>
      <c r="F6" s="13" t="s">
        <v>20</v>
      </c>
      <c r="G6" s="13" t="s">
        <v>27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20.0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23</v>
      </c>
      <c r="E6" s="32"/>
      <c r="F6" s="13" t="s">
        <v>20</v>
      </c>
      <c r="G6" s="13" t="s">
        <v>27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IFERROR(__xludf.DUMMYFUNCTION("""COMPUTED_VALUE"""),"Quantity")</f>
        <v>Quantity</v>
      </c>
      <c r="I5" s="29" t="str">
        <f>IFERROR(__xludf.DUMMYFUNCTION("""COMPUTED_VALUE"""),"Executed Qty")</f>
        <v>Executed Qty</v>
      </c>
      <c r="J5" s="29" t="str">
        <f>IFERROR(__xludf.DUMMYFUNCTION("""COMPUTED_VALUE"""),"Limit Price")</f>
        <v>Limit Price</v>
      </c>
      <c r="K5" s="29" t="str">
        <f>IFERROR(__xludf.DUMMYFUNCTION("""COMPUTED_VALUE"""),"Last Fill Price (Local)")</f>
        <v>Last Fill Price (Local)</v>
      </c>
      <c r="L5" s="29" t="str">
        <f>IFERROR(__xludf.DUMMYFUNCTION("""COMPUTED_VALUE"""),"Stop Price")</f>
        <v>Stop Price</v>
      </c>
      <c r="M5" s="29" t="str">
        <f>IFERROR(__xludf.DUMMYFUNCTION("""COMPUTED_VALUE"""),"Avg Fill Price (Local)")</f>
        <v>Avg Fill Price (Local)</v>
      </c>
      <c r="N5" s="29" t="str">
        <f>IFERROR(__xludf.DUMMYFUNCTION("""COMPUTED_VALUE"""),"Broker")</f>
        <v>Broker</v>
      </c>
      <c r="O5" s="29" t="str">
        <f>IFERROR(__xludf.DUMMYFUNCTION("""COMPUTED_VALUE"""),"Account")</f>
        <v>Account</v>
      </c>
      <c r="P5" s="29" t="str">
        <f>IFERROR(__xludf.DUMMYFUNCTION("""COMPUTED_VALUE"""),"OrderID")</f>
        <v>OrderID</v>
      </c>
      <c r="Q5" s="29" t="str">
        <f>IFERROR(__xludf.DUMMYFUNCTION("""COMPUTED_VALUE"""),"Order Type")</f>
        <v>Order Type</v>
      </c>
      <c r="R5" s="29" t="str">
        <f>IFERROR(__xludf.DUMMYFUNCTION("""COMPUTED_VALUE"""),"Principal Amount (Local)")</f>
        <v>Principal Amount (Local)</v>
      </c>
      <c r="S5" s="29" t="str">
        <f>IFERROR(__xludf.DUMMYFUNCTION("""COMPUTED_VALUE"""),"Principal Amount (Base)")</f>
        <v>Principal Amount (Base)</v>
      </c>
      <c r="T5" s="31" t="str">
        <f>IFERROR(__xludf.DUMMYFUNCTION("""COMPUTED_VALUE"""),"Peg")</f>
        <v>Peg</v>
      </c>
      <c r="U5" s="31" t="str">
        <f>IFERROR(__xludf.DUMMYFUNCTION("""COMPUTED_VALUE"""),"ParentClOrderID")</f>
        <v>ParentClOrderID</v>
      </c>
      <c r="V5" s="31" t="str">
        <f>IFERROR(__xludf.DUMMYFUNCTION("""COMPUTED_VALUE"""),"Strike Price")</f>
        <v>Strike Price</v>
      </c>
      <c r="W5" s="31" t="str">
        <f>IFERROR(__xludf.DUMMYFUNCTION("""COMPUTED_VALUE"""),"Last Shares")</f>
        <v>Last Shares</v>
      </c>
      <c r="X5" s="31" t="str">
        <f>IFERROR(__xludf.DUMMYFUNCTION("""COMPUTED_VALUE"""),"Working Qty")</f>
        <v>Working Qty</v>
      </c>
      <c r="Y5" s="31" t="str">
        <f>IFERROR(__xludf.DUMMYFUNCTION("""COMPUTED_VALUE"""),"Bloomberg Symbol")</f>
        <v>Bloomberg Symbol</v>
      </c>
      <c r="Z5" s="31" t="str">
        <f>IFERROR(__xludf.DUMMYFUNCTION("""COMPUTED_VALUE"""),"Imported File Name")</f>
        <v>Imported File Name</v>
      </c>
      <c r="AA5" s="31" t="str">
        <f>IFERROR(__xludf.DUMMYFUNCTION("""COMPUTED_VALUE"""),"Master Fund")</f>
        <v>Master Fund</v>
      </c>
      <c r="AB5" s="31" t="str">
        <f>IFERROR(__xludf.DUMMYFUNCTION("""COMPUTED_VALUE"""),"Asset Class")</f>
        <v>Asset Class</v>
      </c>
      <c r="AC5" s="31" t="str">
        <f>IFERROR(__xludf.DUMMYFUNCTION("""COMPUTED_VALUE"""),"Underlying Country")</f>
        <v>Underlying Country</v>
      </c>
      <c r="AD5" s="31" t="str">
        <f>IFERROR(__xludf.DUMMYFUNCTION("""COMPUTED_VALUE"""),"Trader")</f>
        <v>Trader</v>
      </c>
      <c r="AE5" s="31" t="str">
        <f>IFERROR(__xludf.DUMMYFUNCTION("""COMPUTED_VALUE"""),"User")</f>
        <v>User</v>
      </c>
      <c r="AF5" s="31" t="str">
        <f>IFERROR(__xludf.DUMMYFUNCTION("""COMPUTED_VALUE"""),"Venue")</f>
        <v>Venue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IFERROR(__xludf.DUMMYFUNCTION("""COMPUTED_VALUE"""),"Process Date")</f>
        <v>Process Date</v>
      </c>
      <c r="AJ5" s="31" t="str">
        <f>IFERROR(__xludf.DUMMYFUNCTION("""COMPUTED_VALUE"""),"Underlying Symbol")</f>
        <v>Underlying Symbol</v>
      </c>
      <c r="AK5" s="31" t="str">
        <f>IFERROR(__xludf.DUMMYFUNCTION("""COMPUTED_VALUE"""),"Put/Call")</f>
        <v>Put/Call</v>
      </c>
      <c r="AL5" s="31" t="str">
        <f>IFERROR(__xludf.DUMMYFUNCTION("""COMPUTED_VALUE"""),"FX Rate")</f>
        <v>FX Rate</v>
      </c>
      <c r="AM5" s="31" t="str">
        <f>IFERROR(__xludf.DUMMYFUNCTION("""COMPUTED_VALUE"""),"Trade Attribute 1")</f>
        <v>Trade Attribute 1</v>
      </c>
      <c r="AN5" s="31" t="str">
        <f>IFERROR(__xludf.DUMMYFUNCTION("""COMPUTED_VALUE"""),"Trade Attribute 2")</f>
        <v>Trade Attribute 2</v>
      </c>
      <c r="AO5" s="31" t="str">
        <f>IFERROR(__xludf.DUMMYFUNCTION("""COMPUTED_VALUE"""),"Trade Attribute 3")</f>
        <v>Trade Attribute 3</v>
      </c>
      <c r="AP5" s="31" t="str">
        <f>IFERROR(__xludf.DUMMYFUNCTION("""COMPUTED_VALUE"""),"Trade Attribute 4")</f>
        <v>Trade Attribute 4</v>
      </c>
      <c r="AQ5" s="31" t="str">
        <f>IFERROR(__xludf.DUMMYFUNCTION("""COMPUTED_VALUE"""),"Trade Attribute 5")</f>
        <v>Trade Attribute 5</v>
      </c>
      <c r="AR5" s="31" t="str">
        <f>IFERROR(__xludf.DUMMYFUNCTION("""COMPUTED_VALUE"""),"Trade Attribute 6")</f>
        <v>Trade Attribute 6</v>
      </c>
      <c r="AS5" s="31" t="str">
        <f>IFERROR(__xludf.DUMMYFUNCTION("""COMPUTED_VALUE"""),"Internal Comments")</f>
        <v>Internal Comments</v>
      </c>
      <c r="AT5" s="31" t="str">
        <f>IFERROR(__xludf.DUMMYFUNCTION("""COMPUTED_VALUE"""),"Allocation Scheme Name        ")</f>
        <v>Allocation Scheme Name        </v>
      </c>
      <c r="AU5" s="31" t="str">
        <f>IFERROR(__xludf.DUMMYFUNCTION("""COMPUTED_VALUE"""),"Status (With Rollover)")</f>
        <v>Status (With Rollover)</v>
      </c>
      <c r="AV5" s="31" t="str">
        <f>IFERROR(__xludf.DUMMYFUNCTION("""COMPUTED_VALUE"""),"Allocation Status")</f>
        <v>Allocation Status</v>
      </c>
      <c r="AW5" s="31" t="str">
        <f>IFERROR(__xludf.DUMMYFUNCTION("""COMPUTED_VALUE"""),"Source")</f>
        <v>Source</v>
      </c>
      <c r="AX5" s="31" t="str">
        <f>IFERROR(__xludf.DUMMYFUNCTION("""COMPUTED_VALUE"""),"Strategy")</f>
        <v>Strategy</v>
      </c>
      <c r="AY5" s="31" t="str">
        <f>IFERROR(__xludf.DUMMYFUNCTION("""COMPUTED_VALUE"""),"Unexecuted Qty")</f>
        <v>Unexecuted Qty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23</v>
      </c>
      <c r="E6" s="32"/>
      <c r="F6" s="13" t="s">
        <v>20</v>
      </c>
      <c r="G6" s="13" t="s">
        <v>27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30.0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33" t="s">
        <v>24</v>
      </c>
      <c r="C6" s="8" t="s">
        <v>33</v>
      </c>
      <c r="D6" s="33">
        <v>0.0</v>
      </c>
      <c r="E6" s="8">
        <v>20.0</v>
      </c>
      <c r="F6" s="8" t="s">
        <v>34</v>
      </c>
      <c r="G6" s="8" t="s">
        <v>35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36</v>
      </c>
      <c r="N6" s="8" t="s">
        <v>33</v>
      </c>
      <c r="O6" s="8" t="s">
        <v>37</v>
      </c>
      <c r="Q6">
        <v>3.0</v>
      </c>
      <c r="R6">
        <v>0.0</v>
      </c>
      <c r="T6">
        <v>200.0</v>
      </c>
      <c r="U6">
        <v>10.0</v>
      </c>
      <c r="Y6" t="s">
        <v>33</v>
      </c>
      <c r="Z6" t="s">
        <v>38</v>
      </c>
      <c r="AB6">
        <v>1.0</v>
      </c>
      <c r="AD6" t="s">
        <v>39</v>
      </c>
      <c r="AE6">
        <v>20.0</v>
      </c>
      <c r="AF6" t="s">
        <v>33</v>
      </c>
      <c r="AH6" t="s">
        <v>40</v>
      </c>
      <c r="AI6">
        <v>1.0</v>
      </c>
      <c r="AQ6" t="b">
        <v>0</v>
      </c>
      <c r="AR6" t="b">
        <v>1</v>
      </c>
      <c r="AT6">
        <v>414.0001</v>
      </c>
      <c r="AU6">
        <v>414.0001</v>
      </c>
      <c r="AW6">
        <v>0.0</v>
      </c>
      <c r="AX6">
        <v>0.0</v>
      </c>
      <c r="AY6" t="s">
        <v>41</v>
      </c>
      <c r="AZ6">
        <v>0.0</v>
      </c>
      <c r="BC6">
        <v>0.0</v>
      </c>
      <c r="BE6">
        <v>200.0</v>
      </c>
      <c r="BF6">
        <v>200.0</v>
      </c>
      <c r="BJ6">
        <v>100.0</v>
      </c>
      <c r="BK6">
        <v>0.0</v>
      </c>
      <c r="BL6" t="s">
        <v>33</v>
      </c>
      <c r="BM6" t="s">
        <v>38</v>
      </c>
      <c r="BO6" t="s">
        <v>20</v>
      </c>
      <c r="BP6">
        <v>0.0</v>
      </c>
      <c r="BQ6">
        <v>0.0</v>
      </c>
      <c r="BS6" t="s">
        <v>42</v>
      </c>
      <c r="BT6" t="s">
        <v>23</v>
      </c>
      <c r="BU6">
        <v>3.0</v>
      </c>
      <c r="BV6">
        <v>200.0</v>
      </c>
      <c r="BX6">
        <v>10.0</v>
      </c>
      <c r="CF6" t="s">
        <v>43</v>
      </c>
      <c r="CG6">
        <v>2.0</v>
      </c>
      <c r="CH6" t="s">
        <v>17</v>
      </c>
      <c r="CI6" t="s">
        <v>20</v>
      </c>
      <c r="CJ6">
        <v>0.0</v>
      </c>
      <c r="CK6" t="s">
        <v>44</v>
      </c>
      <c r="CL6">
        <v>1.0</v>
      </c>
      <c r="CM6" t="s">
        <v>23</v>
      </c>
      <c r="CN6" t="s">
        <v>45</v>
      </c>
      <c r="CO6" t="s">
        <v>39</v>
      </c>
      <c r="CS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</row>
    <row r="7" ht="15.75" customHeight="1">
      <c r="A7" s="8"/>
      <c r="B7" s="8" t="s">
        <v>24</v>
      </c>
      <c r="C7" s="8" t="s">
        <v>33</v>
      </c>
      <c r="D7" s="8">
        <v>0.0</v>
      </c>
      <c r="E7" s="8">
        <v>30.0</v>
      </c>
      <c r="F7" s="8" t="s">
        <v>34</v>
      </c>
      <c r="G7" s="8" t="s">
        <v>35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36</v>
      </c>
      <c r="N7" s="8" t="s">
        <v>33</v>
      </c>
      <c r="O7" s="8" t="s">
        <v>37</v>
      </c>
      <c r="Q7">
        <v>3.0</v>
      </c>
      <c r="R7">
        <v>0.0</v>
      </c>
      <c r="T7">
        <v>300.0</v>
      </c>
      <c r="U7">
        <v>10.0</v>
      </c>
      <c r="X7" t="s">
        <v>33</v>
      </c>
      <c r="Y7" t="s">
        <v>33</v>
      </c>
      <c r="Z7" t="s">
        <v>38</v>
      </c>
      <c r="AB7">
        <v>1.0</v>
      </c>
      <c r="AD7" t="s">
        <v>39</v>
      </c>
      <c r="AE7">
        <v>30.0</v>
      </c>
      <c r="AF7" t="s">
        <v>33</v>
      </c>
      <c r="AH7" t="s">
        <v>40</v>
      </c>
      <c r="AI7">
        <v>1.0</v>
      </c>
      <c r="AQ7" t="b">
        <v>0</v>
      </c>
      <c r="AR7" t="b">
        <v>1</v>
      </c>
      <c r="AT7">
        <v>614.0002</v>
      </c>
      <c r="AU7">
        <v>614.0002</v>
      </c>
      <c r="AW7">
        <v>0.0</v>
      </c>
      <c r="AX7">
        <v>0.0</v>
      </c>
      <c r="AY7" t="s">
        <v>41</v>
      </c>
      <c r="AZ7">
        <v>0.0</v>
      </c>
      <c r="BC7">
        <v>0.0</v>
      </c>
      <c r="BE7">
        <v>300.0</v>
      </c>
      <c r="BF7">
        <v>300.0</v>
      </c>
      <c r="BJ7">
        <v>200.0</v>
      </c>
      <c r="BK7">
        <v>0.0</v>
      </c>
      <c r="BL7" t="s">
        <v>33</v>
      </c>
      <c r="BM7" t="s">
        <v>38</v>
      </c>
      <c r="BO7" t="s">
        <v>20</v>
      </c>
      <c r="BP7">
        <v>0.0</v>
      </c>
      <c r="BQ7">
        <v>0.0</v>
      </c>
      <c r="BS7" t="s">
        <v>42</v>
      </c>
      <c r="BT7" t="s">
        <v>23</v>
      </c>
      <c r="BU7">
        <v>3.0</v>
      </c>
      <c r="BV7">
        <v>300.0</v>
      </c>
      <c r="BX7">
        <v>10.0</v>
      </c>
      <c r="CF7" t="s">
        <v>43</v>
      </c>
      <c r="CG7">
        <v>2.0</v>
      </c>
      <c r="CH7" t="s">
        <v>17</v>
      </c>
      <c r="CI7" t="s">
        <v>20</v>
      </c>
      <c r="CJ7">
        <v>0.0</v>
      </c>
      <c r="CK7" t="s">
        <v>44</v>
      </c>
      <c r="CL7">
        <v>1.0</v>
      </c>
      <c r="CM7" t="s">
        <v>23</v>
      </c>
      <c r="CN7" t="s">
        <v>45</v>
      </c>
      <c r="CO7" t="s">
        <v>39</v>
      </c>
      <c r="CS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 t="str">
        <f>IFERROR(__xludf.DUMMYFUNCTION("""COMPUTED_VALUE"""),"Borrow Broker")</f>
        <v>Borrow Broker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</row>
    <row r="6" ht="15.75" customHeight="1">
      <c r="A6" s="13"/>
      <c r="B6" s="33" t="s">
        <v>33</v>
      </c>
      <c r="C6" s="8">
        <v>0.0</v>
      </c>
      <c r="D6" s="33">
        <v>0.0</v>
      </c>
      <c r="E6" s="8"/>
      <c r="F6" s="8" t="s">
        <v>35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47</v>
      </c>
      <c r="M6" s="8" t="s">
        <v>33</v>
      </c>
      <c r="N6" s="8" t="s">
        <v>37</v>
      </c>
      <c r="O6" s="8"/>
      <c r="P6">
        <v>3.0</v>
      </c>
      <c r="S6" t="s">
        <v>48</v>
      </c>
      <c r="T6">
        <v>200.0</v>
      </c>
      <c r="U6">
        <v>10.0</v>
      </c>
      <c r="W6">
        <v>1.0</v>
      </c>
      <c r="X6" t="s">
        <v>33</v>
      </c>
      <c r="Y6" t="s">
        <v>33</v>
      </c>
      <c r="Z6" t="s">
        <v>38</v>
      </c>
      <c r="AD6" t="s">
        <v>39</v>
      </c>
      <c r="AE6">
        <v>20.0</v>
      </c>
      <c r="AG6" t="s">
        <v>40</v>
      </c>
      <c r="AH6">
        <v>1.0</v>
      </c>
      <c r="AQ6" t="b">
        <v>0</v>
      </c>
      <c r="AR6" t="b">
        <v>0</v>
      </c>
      <c r="AS6">
        <v>0.0</v>
      </c>
      <c r="AT6">
        <v>414.0001</v>
      </c>
      <c r="AU6">
        <v>414.0001</v>
      </c>
      <c r="AW6">
        <v>0.0</v>
      </c>
      <c r="AX6">
        <v>0.0</v>
      </c>
      <c r="AY6" t="s">
        <v>41</v>
      </c>
      <c r="AZ6">
        <v>0.0</v>
      </c>
      <c r="BC6">
        <v>0.0</v>
      </c>
      <c r="BE6">
        <v>200.0</v>
      </c>
      <c r="BF6">
        <v>200.0</v>
      </c>
      <c r="BJ6">
        <v>100.0</v>
      </c>
      <c r="BK6">
        <v>0.0</v>
      </c>
      <c r="BL6" t="s">
        <v>33</v>
      </c>
      <c r="BM6" t="s">
        <v>38</v>
      </c>
      <c r="BO6" t="s">
        <v>20</v>
      </c>
      <c r="BP6">
        <v>0.0</v>
      </c>
      <c r="BQ6">
        <v>0.0</v>
      </c>
      <c r="BS6" t="s">
        <v>19</v>
      </c>
      <c r="BT6">
        <v>3.0</v>
      </c>
      <c r="BU6">
        <v>200.0</v>
      </c>
      <c r="BW6">
        <v>10.0</v>
      </c>
      <c r="CE6" t="s">
        <v>43</v>
      </c>
      <c r="CF6">
        <v>2.0</v>
      </c>
      <c r="CG6" t="s">
        <v>17</v>
      </c>
      <c r="CH6" t="s">
        <v>20</v>
      </c>
      <c r="CI6">
        <v>20.0</v>
      </c>
      <c r="CJ6" t="s">
        <v>44</v>
      </c>
      <c r="CK6">
        <v>1.0</v>
      </c>
      <c r="CL6" t="s">
        <v>19</v>
      </c>
      <c r="CM6" t="s">
        <v>45</v>
      </c>
      <c r="CN6" t="s">
        <v>39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19</v>
      </c>
      <c r="C6" s="13" t="s">
        <v>20</v>
      </c>
      <c r="D6" s="13">
        <v>100.0</v>
      </c>
      <c r="E6" s="32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Percentage")</f>
        <v>Account Percentage</v>
      </c>
      <c r="D5" s="29" t="str">
        <f>IFERROR(__xludf.DUMMYFUNCTION("""COMPUTED_VALUE"""),"Account Quantity")</f>
        <v>Account Quantity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51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IFERROR(__xludf.DUMMYFUNCTION("""COMPUTED_VALUE"""),"RecalculateCommPopUp")</f>
        <v>RecalculateCommPopUp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53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AllocateWithPopUp!$4:$4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IFERROR(__xludf.DUMMYFUNCTION("""COMPUTED_VALUE"""),"Trade Date")</f>
        <v>Trade Date</v>
      </c>
      <c r="E5" s="29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29" t="str">
        <f>IFERROR(__xludf.DUMMYFUNCTION("""COMPUTED_VALUE"""),"Group Status")</f>
        <v>Group Status</v>
      </c>
      <c r="H5" s="29" t="str">
        <f>IFERROR(__xludf.DUMMYFUNCTION("""COMPUTED_VALUE"""),"Avg Price(Base)")</f>
        <v>Avg Price(Base)</v>
      </c>
      <c r="I5" s="29" t="str">
        <f>IFERROR(__xludf.DUMMYFUNCTION("""COMPUTED_VALUE"""),"Execution Time")</f>
        <v>Execution Time</v>
      </c>
      <c r="J5" s="29" t="str">
        <f>IFERROR(__xludf.DUMMYFUNCTION("""COMPUTED_VALUE"""),"Trade Attribute 1")</f>
        <v>Trade Attribute 1</v>
      </c>
      <c r="K5" s="29" t="str">
        <f>IFERROR(__xludf.DUMMYFUNCTION("""COMPUTED_VALUE"""),"Avg Price(Local)")</f>
        <v>Avg Price(Local)</v>
      </c>
      <c r="L5" s="29" t="str">
        <f>IFERROR(__xludf.DUMMYFUNCTION("""COMPUTED_VALUE"""),"Trade Attribute 2")</f>
        <v>Trade Attribute 2</v>
      </c>
      <c r="M5" s="29" t="str">
        <f>IFERROR(__xludf.DUMMYFUNCTION("""COMPUTED_VALUE"""),"Accrued Interest")</f>
        <v>Accrued Interest</v>
      </c>
      <c r="N5" s="29" t="str">
        <f>IFERROR(__xludf.DUMMYFUNCTION("""COMPUTED_VALUE"""),"Commission")</f>
        <v>Commission</v>
      </c>
      <c r="O5" s="29" t="str">
        <f>IFERROR(__xludf.DUMMYFUNCTION("""COMPUTED_VALUE"""),"Soft Commission")</f>
        <v>Soft Commission</v>
      </c>
      <c r="P5" s="29" t="str">
        <f>IFERROR(__xludf.DUMMYFUNCTION("""COMPUTED_VALUE"""),"Broker")</f>
        <v>Broker</v>
      </c>
      <c r="Q5" s="29" t="str">
        <f>IFERROR(__xludf.DUMMYFUNCTION("""COMPUTED_VALUE"""),"Transaction Type")</f>
        <v>Transaction Type</v>
      </c>
      <c r="R5" s="29" t="str">
        <f>IFERROR(__xludf.DUMMYFUNCTION("""COMPUTED_VALUE"""),"AUEC Fee1")</f>
        <v>AUEC Fee1</v>
      </c>
      <c r="S5" s="29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23</v>
      </c>
      <c r="C6" s="13">
        <v>100.0</v>
      </c>
      <c r="D6" s="13"/>
      <c r="E6" s="13" t="s">
        <v>24</v>
      </c>
      <c r="F6" s="13" t="s">
        <v>20</v>
      </c>
      <c r="G6" s="8"/>
      <c r="H6" s="13">
        <v>10.0</v>
      </c>
      <c r="I6" s="8"/>
      <c r="J6" s="8"/>
      <c r="K6" s="13">
        <v>10.0</v>
      </c>
      <c r="L6" s="8"/>
      <c r="M6" s="8"/>
      <c r="N6" s="8"/>
      <c r="O6" s="8"/>
    </row>
    <row r="7" ht="15.75" customHeight="1">
      <c r="A7" s="8"/>
      <c r="B7" s="13" t="s">
        <v>23</v>
      </c>
      <c r="C7" s="13">
        <v>200.0</v>
      </c>
      <c r="D7" s="8"/>
      <c r="E7" s="13" t="s">
        <v>24</v>
      </c>
      <c r="F7" s="13" t="s">
        <v>20</v>
      </c>
      <c r="G7" s="8"/>
      <c r="H7" s="13">
        <v>10.0</v>
      </c>
      <c r="I7" s="8"/>
      <c r="J7" s="8"/>
      <c r="K7" s="13">
        <v>10.0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 t="str">
        <f>IFERROR(__xludf.DUMMYFUNCTION("""COMPUTED_VALUE"""),"Borrow Broker")</f>
        <v>Borrow Broker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</row>
    <row r="6" ht="15.75" customHeight="1">
      <c r="A6" s="13"/>
      <c r="B6" s="33" t="s">
        <v>33</v>
      </c>
      <c r="C6" s="8">
        <v>0.0</v>
      </c>
      <c r="D6" s="33">
        <v>0.0</v>
      </c>
      <c r="E6" s="8"/>
      <c r="F6" s="8" t="s">
        <v>35</v>
      </c>
      <c r="G6" s="8">
        <v>8.0</v>
      </c>
      <c r="H6" s="8">
        <v>10.0</v>
      </c>
      <c r="I6" s="8">
        <v>1.0</v>
      </c>
      <c r="J6" s="8">
        <v>10.0</v>
      </c>
      <c r="K6" s="8">
        <v>10.0</v>
      </c>
      <c r="L6" s="8" t="s">
        <v>36</v>
      </c>
      <c r="M6" s="8" t="s">
        <v>33</v>
      </c>
      <c r="N6" s="8" t="s">
        <v>37</v>
      </c>
      <c r="O6" s="8"/>
      <c r="P6">
        <v>3.0</v>
      </c>
      <c r="Q6">
        <v>0.0</v>
      </c>
      <c r="S6" t="s">
        <v>48</v>
      </c>
      <c r="T6">
        <v>500.0</v>
      </c>
      <c r="U6">
        <v>10.0</v>
      </c>
      <c r="W6">
        <v>1.0</v>
      </c>
      <c r="X6" t="s">
        <v>33</v>
      </c>
      <c r="Y6" t="s">
        <v>33</v>
      </c>
      <c r="Z6" t="s">
        <v>38</v>
      </c>
      <c r="AA6" t="s">
        <v>23</v>
      </c>
      <c r="AB6">
        <v>1.0</v>
      </c>
      <c r="AD6" t="s">
        <v>39</v>
      </c>
      <c r="AE6">
        <v>50.0</v>
      </c>
      <c r="AG6" t="s">
        <v>40</v>
      </c>
      <c r="AH6">
        <v>1.0</v>
      </c>
      <c r="AI6" t="s">
        <v>56</v>
      </c>
      <c r="AN6" t="b">
        <v>0</v>
      </c>
      <c r="AQ6" t="b">
        <v>0</v>
      </c>
      <c r="AR6" t="b">
        <v>1</v>
      </c>
      <c r="AS6">
        <v>0.0</v>
      </c>
      <c r="AT6">
        <v>1028.0003</v>
      </c>
      <c r="AU6">
        <v>1028.0003</v>
      </c>
      <c r="AW6">
        <v>0.0</v>
      </c>
      <c r="AX6">
        <v>0.0</v>
      </c>
      <c r="AY6" t="s">
        <v>41</v>
      </c>
      <c r="AZ6">
        <v>0.0</v>
      </c>
      <c r="BC6">
        <v>0.0</v>
      </c>
      <c r="BD6" t="s">
        <v>57</v>
      </c>
      <c r="BE6">
        <v>500.0</v>
      </c>
      <c r="BF6">
        <v>500.0</v>
      </c>
      <c r="BJ6">
        <v>300.0</v>
      </c>
      <c r="BK6">
        <v>0.0</v>
      </c>
      <c r="BL6" t="s">
        <v>33</v>
      </c>
      <c r="BM6" t="s">
        <v>38</v>
      </c>
      <c r="BO6" t="s">
        <v>20</v>
      </c>
      <c r="BP6">
        <v>0.0</v>
      </c>
      <c r="BQ6">
        <v>0.0</v>
      </c>
      <c r="BS6" t="s">
        <v>23</v>
      </c>
      <c r="BT6">
        <v>6.0</v>
      </c>
      <c r="BU6">
        <v>500.0</v>
      </c>
      <c r="BW6">
        <v>10.0</v>
      </c>
      <c r="CE6" t="s">
        <v>43</v>
      </c>
      <c r="CF6">
        <v>4.0</v>
      </c>
      <c r="CG6" t="s">
        <v>56</v>
      </c>
      <c r="CH6" t="s">
        <v>20</v>
      </c>
      <c r="CI6">
        <v>50.0</v>
      </c>
      <c r="CJ6" t="s">
        <v>44</v>
      </c>
      <c r="CK6">
        <v>1.0</v>
      </c>
      <c r="CL6" t="s">
        <v>23</v>
      </c>
      <c r="CM6" t="s">
        <v>45</v>
      </c>
      <c r="CN6" t="s">
        <v>39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33" t="s">
        <v>51</v>
      </c>
      <c r="C6" s="8" t="s">
        <v>33</v>
      </c>
      <c r="D6" s="33">
        <v>0.0</v>
      </c>
      <c r="E6" s="8">
        <v>20.0</v>
      </c>
      <c r="F6" s="8"/>
      <c r="G6" s="8" t="s">
        <v>35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33</v>
      </c>
      <c r="O6" s="8" t="s">
        <v>37</v>
      </c>
      <c r="Q6">
        <v>3.0</v>
      </c>
      <c r="R6">
        <v>0.0</v>
      </c>
      <c r="S6" t="s">
        <v>48</v>
      </c>
      <c r="T6">
        <v>200.0</v>
      </c>
      <c r="U6">
        <v>10.0</v>
      </c>
      <c r="W6">
        <v>1.0</v>
      </c>
      <c r="X6" t="s">
        <v>33</v>
      </c>
      <c r="Y6" t="s">
        <v>33</v>
      </c>
      <c r="Z6" t="s">
        <v>38</v>
      </c>
      <c r="AB6">
        <v>1.0</v>
      </c>
      <c r="AD6" t="s">
        <v>39</v>
      </c>
      <c r="AE6">
        <v>20.0</v>
      </c>
      <c r="AF6" t="s">
        <v>33</v>
      </c>
      <c r="AH6" t="s">
        <v>40</v>
      </c>
      <c r="AI6">
        <v>1.0</v>
      </c>
      <c r="AJ6" t="s">
        <v>56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414.0001</v>
      </c>
      <c r="AU6">
        <v>414.0001</v>
      </c>
      <c r="AW6">
        <v>0.0</v>
      </c>
      <c r="AX6">
        <v>0.0</v>
      </c>
      <c r="AY6" t="s">
        <v>41</v>
      </c>
      <c r="AZ6">
        <v>0.0</v>
      </c>
      <c r="BC6">
        <v>0.0</v>
      </c>
      <c r="BD6" t="s">
        <v>57</v>
      </c>
      <c r="BE6">
        <v>200.0</v>
      </c>
      <c r="BF6">
        <v>200.0</v>
      </c>
      <c r="BJ6">
        <v>100.0</v>
      </c>
      <c r="BK6">
        <v>0.0</v>
      </c>
      <c r="BL6" t="s">
        <v>33</v>
      </c>
      <c r="BM6" t="s">
        <v>38</v>
      </c>
      <c r="BO6" t="s">
        <v>20</v>
      </c>
      <c r="BP6">
        <v>0.0</v>
      </c>
      <c r="BQ6">
        <v>0.0</v>
      </c>
      <c r="BS6" t="s">
        <v>42</v>
      </c>
      <c r="BT6" t="s">
        <v>19</v>
      </c>
      <c r="BU6">
        <v>3.0</v>
      </c>
      <c r="BV6">
        <v>200.0</v>
      </c>
      <c r="BX6">
        <v>10.0</v>
      </c>
      <c r="CF6" t="s">
        <v>43</v>
      </c>
      <c r="CG6">
        <v>2.0</v>
      </c>
      <c r="CH6" t="s">
        <v>17</v>
      </c>
      <c r="CI6" t="s">
        <v>20</v>
      </c>
      <c r="CJ6">
        <v>0.0</v>
      </c>
      <c r="CK6" t="s">
        <v>44</v>
      </c>
      <c r="CL6">
        <v>1.0</v>
      </c>
      <c r="CM6" t="s">
        <v>19</v>
      </c>
      <c r="CN6" t="s">
        <v>45</v>
      </c>
      <c r="CO6" t="s">
        <v>39</v>
      </c>
      <c r="CP6" t="s">
        <v>58</v>
      </c>
      <c r="CS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30.0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30.0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40.0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EditAddFillsDetails5!$4:$4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33" t="s">
        <v>51</v>
      </c>
      <c r="C6" s="8" t="s">
        <v>33</v>
      </c>
      <c r="D6" s="33">
        <v>0.0</v>
      </c>
      <c r="E6" s="8">
        <v>30.0</v>
      </c>
      <c r="F6" s="8"/>
      <c r="G6" s="8" t="s">
        <v>35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33</v>
      </c>
      <c r="O6" s="8" t="s">
        <v>37</v>
      </c>
      <c r="Q6">
        <v>3.0</v>
      </c>
      <c r="R6">
        <v>0.0</v>
      </c>
      <c r="S6" t="s">
        <v>48</v>
      </c>
      <c r="T6" s="34">
        <v>300.0</v>
      </c>
      <c r="U6">
        <v>10.0</v>
      </c>
      <c r="W6">
        <v>1.0</v>
      </c>
      <c r="X6" t="s">
        <v>33</v>
      </c>
      <c r="Y6" t="s">
        <v>33</v>
      </c>
      <c r="Z6" t="s">
        <v>38</v>
      </c>
      <c r="AB6">
        <v>1.0</v>
      </c>
      <c r="AD6" t="s">
        <v>39</v>
      </c>
      <c r="AE6">
        <v>30.0</v>
      </c>
      <c r="AF6" t="s">
        <v>33</v>
      </c>
      <c r="AH6" t="s">
        <v>40</v>
      </c>
      <c r="AI6">
        <v>1.0</v>
      </c>
      <c r="AJ6" t="s">
        <v>56</v>
      </c>
      <c r="AP6" t="b">
        <v>1</v>
      </c>
      <c r="AQ6" t="b">
        <v>0</v>
      </c>
      <c r="AR6" t="b">
        <v>0</v>
      </c>
      <c r="AS6">
        <v>0.0</v>
      </c>
      <c r="AT6" s="35">
        <v>614.0002</v>
      </c>
      <c r="AU6" s="35">
        <v>614.0002</v>
      </c>
      <c r="AW6">
        <v>0.0</v>
      </c>
      <c r="AX6">
        <v>0.0</v>
      </c>
      <c r="AY6" t="s">
        <v>41</v>
      </c>
      <c r="AZ6">
        <v>0.0</v>
      </c>
      <c r="BC6">
        <v>0.0</v>
      </c>
      <c r="BE6">
        <v>300.0</v>
      </c>
      <c r="BF6">
        <v>300.0</v>
      </c>
      <c r="BJ6">
        <v>100.0</v>
      </c>
      <c r="BK6">
        <v>0.0</v>
      </c>
      <c r="BL6" t="s">
        <v>33</v>
      </c>
      <c r="BM6" t="s">
        <v>38</v>
      </c>
      <c r="BO6" t="s">
        <v>20</v>
      </c>
      <c r="BP6">
        <v>0.0</v>
      </c>
      <c r="BQ6">
        <v>0.0</v>
      </c>
      <c r="BS6" t="s">
        <v>42</v>
      </c>
      <c r="BT6" t="s">
        <v>19</v>
      </c>
      <c r="BU6">
        <v>3.0</v>
      </c>
      <c r="BV6">
        <v>300.0</v>
      </c>
      <c r="BX6">
        <v>10.0</v>
      </c>
      <c r="CG6">
        <v>2.0</v>
      </c>
      <c r="CH6" t="s">
        <v>17</v>
      </c>
      <c r="CI6" t="s">
        <v>20</v>
      </c>
      <c r="CJ6">
        <v>0.0</v>
      </c>
      <c r="CK6" t="s">
        <v>44</v>
      </c>
      <c r="CL6">
        <v>1.0</v>
      </c>
      <c r="CM6" t="s">
        <v>19</v>
      </c>
      <c r="CN6" t="s">
        <v>45</v>
      </c>
      <c r="CO6" t="s">
        <v>39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30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IFERROR(__xludf.DUMMYFUNCTION("""COMPUTED_VALUE"""),"Execution Time")</f>
        <v>Execution Time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IFERROR(__xludf.DUMMYFUNCTION("""COMPUTED_VALUE"""),"FX Rate")</f>
        <v>FX Rate</v>
      </c>
      <c r="AI5" s="31" t="str">
        <f>IFERROR(__xludf.DUMMYFUNCTION("""COMPUTED_VALUE"""),"Group Status")</f>
        <v>Group Status</v>
      </c>
      <c r="AJ5" s="31" t="str">
        <f>IFERROR(__xludf.DUMMYFUNCTION("""COMPUTED_VALUE"""),"GroupID")</f>
        <v>GroupID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IFERROR(__xludf.DUMMYFUNCTION("""COMPUTED_VALUE"""),"Symbol")</f>
        <v>Symbol</v>
      </c>
      <c r="BT5" s="31" t="str">
        <f>IFERROR(__xludf.DUMMYFUNCTION("""COMPUTED_VALUE"""),"Tax On Commissions")</f>
        <v>Tax On Commissions</v>
      </c>
      <c r="BU5" s="31" t="str">
        <f>IFERROR(__xludf.DUMMYFUNCTION("""COMPUTED_VALUE"""),"Total Commission")</f>
        <v>Total Commission</v>
      </c>
      <c r="BV5" s="31" t="str">
        <f>IFERROR(__xludf.DUMMYFUNCTION("""COMPUTED_VALUE"""),"Total Commission And Fee")</f>
        <v>Total Commission And Fee</v>
      </c>
      <c r="BW5" s="31" t="str">
        <f>IFERROR(__xludf.DUMMYFUNCTION("""COMPUTED_VALUE"""),"Total Commission Per Share")</f>
        <v>Total Commission Per Share</v>
      </c>
      <c r="BX5" s="31" t="str">
        <f>IFERROR(__xludf.DUMMYFUNCTION("""COMPUTED_VALUE"""),"Trade Attribute 1")</f>
        <v>Trade Attribute 1</v>
      </c>
      <c r="BY5" s="31" t="str">
        <f>IFERROR(__xludf.DUMMYFUNCTION("""COMPUTED_VALUE"""),"Trade Attribute 2")</f>
        <v>Trade Attribute 2</v>
      </c>
      <c r="BZ5" s="31" t="str">
        <f>IFERROR(__xludf.DUMMYFUNCTION("""COMPUTED_VALUE"""),"Trade Attribute 3")</f>
        <v>Trade Attribute 3</v>
      </c>
      <c r="CA5" s="31" t="str">
        <f>IFERROR(__xludf.DUMMYFUNCTION("""COMPUTED_VALUE"""),"Trade Attribute 4")</f>
        <v>Trade Attribute 4</v>
      </c>
      <c r="CB5" s="31" t="str">
        <f>IFERROR(__xludf.DUMMYFUNCTION("""COMPUTED_VALUE"""),"Trade Attribute 5")</f>
        <v>Trade Attribute 5</v>
      </c>
      <c r="CC5" s="31" t="str">
        <f>IFERROR(__xludf.DUMMYFUNCTION("""COMPUTED_VALUE"""),"Trade Attribute 6")</f>
        <v>Trade Attribute 6</v>
      </c>
      <c r="CD5" s="31" t="str">
        <f>IFERROR(__xludf.DUMMYFUNCTION("""COMPUTED_VALUE"""),"Trade Date")</f>
        <v>Trade Date</v>
      </c>
      <c r="CE5" s="31" t="str">
        <f>IFERROR(__xludf.DUMMYFUNCTION("""COMPUTED_VALUE"""),"Trading Account")</f>
        <v>Trading Account</v>
      </c>
      <c r="CF5" s="31" t="str">
        <f>IFERROR(__xludf.DUMMYFUNCTION("""COMPUTED_VALUE"""),"Transaction Levy")</f>
        <v>Transaction Levy</v>
      </c>
      <c r="CG5" s="31" t="str">
        <f>IFERROR(__xludf.DUMMYFUNCTION("""COMPUTED_VALUE"""),"Transaction Source")</f>
        <v>Transaction Source</v>
      </c>
      <c r="CH5" s="31" t="str">
        <f>IFERROR(__xludf.DUMMYFUNCTION("""COMPUTED_VALUE"""),"Transaction Type")</f>
        <v>Transaction Type</v>
      </c>
      <c r="CI5" s="31" t="str">
        <f>IFERROR(__xludf.DUMMYFUNCTION("""COMPUTED_VALUE"""),"UnAllocatedQty")</f>
        <v>UnAllocatedQty</v>
      </c>
      <c r="CJ5" s="31" t="str">
        <f>IFERROR(__xludf.DUMMYFUNCTION("""COMPUTED_VALUE"""),"Underlying")</f>
        <v>Underlying</v>
      </c>
      <c r="CK5" s="31" t="str">
        <f>IFERROR(__xludf.DUMMYFUNCTION("""COMPUTED_VALUE"""),"Underlying Delta")</f>
        <v>Underlying Delta</v>
      </c>
      <c r="CL5" s="31" t="str">
        <f>IFERROR(__xludf.DUMMYFUNCTION("""COMPUTED_VALUE"""),"Underlying Symbol")</f>
        <v>Underlying Symbol</v>
      </c>
      <c r="CM5" s="31" t="str">
        <f>IFERROR(__xludf.DUMMYFUNCTION("""COMPUTED_VALUE"""),"User")</f>
        <v>User</v>
      </c>
      <c r="CN5" s="31" t="str">
        <f>IFERROR(__xludf.DUMMYFUNCTION("""COMPUTED_VALUE"""),"Venue")</f>
        <v>Venue</v>
      </c>
      <c r="CO5" s="31" t="str">
        <f>IFERROR(__xludf.DUMMYFUNCTION("""COMPUTED_VALUE"""),"Closing Date")</f>
        <v>Closing Date</v>
      </c>
      <c r="CP5" s="31" t="str">
        <f>IFERROR(__xludf.DUMMYFUNCTION("""COMPUTED_VALUE"""),"Expiration Date")</f>
        <v>Expiration Date</v>
      </c>
      <c r="CQ5" s="31" t="str">
        <f>IFERROR(__xludf.DUMMYFUNCTION("""COMPUTED_VALUE"""),"Master Fund")</f>
        <v>Master Fund</v>
      </c>
      <c r="CR5" s="31" t="str">
        <f>IFERROR(__xludf.DUMMYFUNCTION("""COMPUTED_VALUE"""),"Borrow Broker")</f>
        <v>Borrow Broker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33" t="s">
        <v>33</v>
      </c>
      <c r="C6" s="8">
        <v>0.0</v>
      </c>
      <c r="D6" s="33">
        <v>0.0</v>
      </c>
      <c r="E6" s="8"/>
      <c r="F6" s="8" t="s">
        <v>35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36</v>
      </c>
      <c r="M6" s="8" t="s">
        <v>33</v>
      </c>
      <c r="N6" s="8" t="s">
        <v>37</v>
      </c>
      <c r="O6" s="8"/>
      <c r="P6">
        <v>3.0</v>
      </c>
      <c r="Q6">
        <v>0.0</v>
      </c>
      <c r="S6" t="s">
        <v>48</v>
      </c>
      <c r="T6" s="35">
        <v>400.0</v>
      </c>
      <c r="U6" s="35">
        <v>5.71428571428571</v>
      </c>
      <c r="V6" t="s">
        <v>59</v>
      </c>
      <c r="W6">
        <v>1.0</v>
      </c>
      <c r="X6" t="s">
        <v>33</v>
      </c>
      <c r="Y6" t="s">
        <v>33</v>
      </c>
      <c r="Z6" t="s">
        <v>38</v>
      </c>
      <c r="AA6" t="s">
        <v>23</v>
      </c>
      <c r="AB6">
        <v>1.0</v>
      </c>
      <c r="AD6" t="s">
        <v>39</v>
      </c>
      <c r="AE6">
        <v>70.0</v>
      </c>
      <c r="AG6" t="s">
        <v>40</v>
      </c>
      <c r="AH6">
        <v>1.0</v>
      </c>
      <c r="AI6" t="s">
        <v>56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 s="35">
        <v>1114.0004</v>
      </c>
      <c r="AU6" s="35">
        <v>1114.0004</v>
      </c>
      <c r="AW6">
        <v>0.0</v>
      </c>
      <c r="AX6">
        <v>0.0</v>
      </c>
      <c r="AY6" t="s">
        <v>41</v>
      </c>
      <c r="AZ6">
        <v>0.0</v>
      </c>
      <c r="BC6">
        <v>0.0</v>
      </c>
      <c r="BE6">
        <v>700.0</v>
      </c>
      <c r="BF6">
        <v>700.0</v>
      </c>
      <c r="BJ6">
        <v>300.0</v>
      </c>
      <c r="BK6">
        <v>0.0</v>
      </c>
      <c r="BL6" t="s">
        <v>33</v>
      </c>
      <c r="BM6" t="s">
        <v>38</v>
      </c>
      <c r="BO6" t="s">
        <v>20</v>
      </c>
      <c r="BP6">
        <v>0.0</v>
      </c>
      <c r="BQ6">
        <v>0.0</v>
      </c>
      <c r="BS6" t="s">
        <v>23</v>
      </c>
      <c r="BT6">
        <v>3.0</v>
      </c>
      <c r="BU6" s="34">
        <v>400.0</v>
      </c>
      <c r="CE6" t="s">
        <v>43</v>
      </c>
      <c r="CF6">
        <v>2.0</v>
      </c>
      <c r="CG6" t="s">
        <v>56</v>
      </c>
      <c r="CH6" t="s">
        <v>20</v>
      </c>
      <c r="CI6">
        <v>70.0</v>
      </c>
      <c r="CJ6" t="s">
        <v>44</v>
      </c>
      <c r="CK6">
        <v>1.0</v>
      </c>
      <c r="CL6" t="s">
        <v>23</v>
      </c>
      <c r="CM6" t="s">
        <v>45</v>
      </c>
      <c r="CS6" t="s">
        <v>33</v>
      </c>
      <c r="CY6" t="s">
        <v>56</v>
      </c>
      <c r="CZ6" t="s">
        <v>60</v>
      </c>
      <c r="DA6">
        <v>0.0</v>
      </c>
      <c r="DB6">
        <v>0.0</v>
      </c>
      <c r="DC6">
        <v>-36521.5</v>
      </c>
      <c r="DD6">
        <v>38.0</v>
      </c>
      <c r="DE6">
        <v>0.0</v>
      </c>
      <c r="DF6">
        <v>0.0</v>
      </c>
      <c r="DG6">
        <v>0.0</v>
      </c>
      <c r="DH6" t="s">
        <v>61</v>
      </c>
      <c r="DI6">
        <v>0.0</v>
      </c>
      <c r="DJ6" t="s">
        <v>20</v>
      </c>
      <c r="DK6">
        <v>0.0</v>
      </c>
      <c r="DL6">
        <v>0.0</v>
      </c>
      <c r="DM6">
        <v>1.0</v>
      </c>
      <c r="DN6">
        <v>0.0</v>
      </c>
      <c r="DP6" t="s">
        <v>62</v>
      </c>
      <c r="DQ6" t="s">
        <v>63</v>
      </c>
      <c r="DR6" t="s">
        <v>64</v>
      </c>
      <c r="DS6" t="s">
        <v>63</v>
      </c>
      <c r="DT6" t="s">
        <v>63</v>
      </c>
      <c r="DU6" t="s">
        <v>65</v>
      </c>
      <c r="DV6" t="s">
        <v>63</v>
      </c>
      <c r="DW6" t="s">
        <v>63</v>
      </c>
      <c r="DX6" t="s">
        <v>63</v>
      </c>
      <c r="DY6" t="s">
        <v>63</v>
      </c>
      <c r="DZ6" t="s">
        <v>59</v>
      </c>
      <c r="EA6" t="s">
        <v>65</v>
      </c>
      <c r="EB6" t="s">
        <v>63</v>
      </c>
      <c r="EC6" t="s">
        <v>63</v>
      </c>
      <c r="ED6" t="s">
        <v>38</v>
      </c>
      <c r="EE6" t="s">
        <v>66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62</v>
      </c>
      <c r="EM6">
        <v>0.0</v>
      </c>
      <c r="EN6">
        <v>0.0</v>
      </c>
      <c r="EO6">
        <v>0.0</v>
      </c>
      <c r="EP6" t="s">
        <v>33</v>
      </c>
      <c r="EQ6">
        <v>0.0</v>
      </c>
      <c r="ER6">
        <v>0.0</v>
      </c>
      <c r="ES6">
        <v>-1000.0</v>
      </c>
      <c r="ET6">
        <v>0.0</v>
      </c>
      <c r="EU6">
        <v>0.0</v>
      </c>
      <c r="EV6" t="s">
        <v>62</v>
      </c>
      <c r="EW6">
        <v>-500.0</v>
      </c>
      <c r="EX6" t="b">
        <v>0</v>
      </c>
      <c r="FA6" t="s">
        <v>33</v>
      </c>
      <c r="FB6" t="s">
        <v>33</v>
      </c>
      <c r="FC6" t="s">
        <v>33</v>
      </c>
      <c r="FD6">
        <v>0.0</v>
      </c>
      <c r="FE6" t="s">
        <v>33</v>
      </c>
      <c r="FF6" t="s">
        <v>33</v>
      </c>
      <c r="FG6">
        <v>0.0</v>
      </c>
      <c r="FH6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CheckUnallocatedGroups2!$4:$4</formula1>
    </dataValidation>
  </dataValidations>
  <hyperlinks>
    <hyperlink r:id="rId1" ref="DT4"/>
  </hyperlinks>
  <drawing r:id="rId2"/>
</worksheet>
</file>