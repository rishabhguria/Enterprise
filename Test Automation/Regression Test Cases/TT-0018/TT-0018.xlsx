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5" activeTab="6"/>
  </bookViews>
  <sheets>
    <sheet name="_Modules" sheetId="1" r:id="rId1"/>
    <sheet name="_Settings" sheetId="2" r:id="rId2"/>
    <sheet name="_MasterData" sheetId="3" r:id="rId3"/>
    <sheet name="CreateDoneAwayOrder" sheetId="4" r:id="rId4"/>
    <sheet name="VerifyWorkingSubs" sheetId="5" r:id="rId5"/>
    <sheet name="CheckUnallocatedGroups" sheetId="6" r:id="rId6"/>
    <sheet name="CheckPortfolioManagement" sheetId="7" r:id="rId7"/>
    <sheet name="GetDataAllocation" sheetId="8" r:id="rId8"/>
    <sheet name="VerifyOrder" sheetId="9" r:id="rId9"/>
    <sheet name="VerifySubOrder" sheetId="10" r:id="rId10"/>
  </sheets>
  <calcPr calcId="145621"/>
</workbook>
</file>

<file path=xl/calcChain.xml><?xml version="1.0" encoding="utf-8"?>
<calcChain xmlns="http://schemas.openxmlformats.org/spreadsheetml/2006/main">
  <c r="BK5" i="7" l="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GM5" i="8"/>
  <c r="GE5" i="8"/>
  <c r="FW5" i="8"/>
  <c r="FO5" i="8"/>
  <c r="FG5" i="8"/>
  <c r="EY5" i="8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GH4" i="8"/>
  <c r="FZ4" i="8"/>
  <c r="FR4" i="8"/>
  <c r="FJ4" i="8"/>
  <c r="FB4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FK5" i="7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GL5" i="8"/>
  <c r="GD5" i="8"/>
  <c r="FV5" i="8"/>
  <c r="FN5" i="8"/>
  <c r="FF5" i="8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GG4" i="8"/>
  <c r="FY4" i="8"/>
  <c r="FQ4" i="8"/>
  <c r="FI4" i="8"/>
  <c r="FA4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GK5" i="8"/>
  <c r="GC5" i="8"/>
  <c r="FU5" i="8"/>
  <c r="FM5" i="8"/>
  <c r="FE5" i="8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GF4" i="8"/>
  <c r="FX4" i="8"/>
  <c r="FP4" i="8"/>
  <c r="FH4" i="8"/>
  <c r="EZ4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GI5" i="8"/>
  <c r="GA5" i="8"/>
  <c r="FS5" i="8"/>
  <c r="FK5" i="8"/>
  <c r="FC5" i="8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GL4" i="8"/>
  <c r="GD4" i="8"/>
  <c r="FV4" i="8"/>
  <c r="FN4" i="8"/>
  <c r="FF4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GH5" i="8"/>
  <c r="FZ5" i="8"/>
  <c r="FR5" i="8"/>
  <c r="FJ5" i="8"/>
  <c r="FB5" i="8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GG5" i="8"/>
  <c r="FY5" i="8"/>
  <c r="FQ5" i="8"/>
  <c r="FI5" i="8"/>
  <c r="FA5" i="8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GJ4" i="8"/>
  <c r="GB4" i="8"/>
  <c r="FT4" i="8"/>
  <c r="FL4" i="8"/>
  <c r="FD4" i="8"/>
  <c r="EV4" i="8"/>
  <c r="EN4" i="8"/>
  <c r="EF4" i="8"/>
  <c r="EQ5" i="10"/>
  <c r="EI5" i="10"/>
  <c r="BW5" i="10"/>
  <c r="K5" i="10"/>
  <c r="CW4" i="10"/>
  <c r="AK4" i="10"/>
  <c r="EI5" i="9"/>
  <c r="DC5" i="9"/>
  <c r="BW5" i="9"/>
  <c r="AQ5" i="9"/>
  <c r="K5" i="9"/>
  <c r="EC4" i="9"/>
  <c r="CW4" i="9"/>
  <c r="BQ4" i="9"/>
  <c r="AK4" i="9"/>
  <c r="E4" i="9"/>
  <c r="FL5" i="8"/>
  <c r="EF5" i="8"/>
  <c r="CZ5" i="8"/>
  <c r="BT5" i="8"/>
  <c r="AN5" i="8"/>
  <c r="H5" i="8"/>
  <c r="GA4" i="8"/>
  <c r="FE4" i="8"/>
  <c r="EI4" i="8"/>
  <c r="DQ4" i="8"/>
  <c r="DA4" i="8"/>
  <c r="CK4" i="8"/>
  <c r="BU4" i="8"/>
  <c r="BE4" i="8"/>
  <c r="AO4" i="8"/>
  <c r="AB4" i="8"/>
  <c r="Q4" i="8"/>
  <c r="H4" i="8"/>
  <c r="FL5" i="7"/>
  <c r="FC5" i="7"/>
  <c r="EU5" i="7"/>
  <c r="EM5" i="7"/>
  <c r="EE5" i="7"/>
  <c r="DW5" i="7"/>
  <c r="DO5" i="7"/>
  <c r="DG5" i="7"/>
  <c r="CY5" i="7"/>
  <c r="CQ5" i="7"/>
  <c r="CI5" i="7"/>
  <c r="CA5" i="7"/>
  <c r="BS5" i="7"/>
  <c r="BC5" i="7"/>
  <c r="AU5" i="7"/>
  <c r="AM5" i="7"/>
  <c r="AE5" i="7"/>
  <c r="W5" i="7"/>
  <c r="O5" i="7"/>
  <c r="G5" i="7"/>
  <c r="FL4" i="7"/>
  <c r="FD4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GM5" i="6"/>
  <c r="GE5" i="6"/>
  <c r="FW5" i="6"/>
  <c r="FO5" i="6"/>
  <c r="FG5" i="6"/>
  <c r="EY5" i="6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GH4" i="6"/>
  <c r="FZ4" i="6"/>
  <c r="FR4" i="6"/>
  <c r="FJ4" i="6"/>
  <c r="FB4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EA5" i="10"/>
  <c r="BO5" i="10"/>
  <c r="C5" i="10"/>
  <c r="CO4" i="10"/>
  <c r="AC4" i="10"/>
  <c r="EE5" i="9"/>
  <c r="CY5" i="9"/>
  <c r="BS5" i="9"/>
  <c r="AM5" i="9"/>
  <c r="G5" i="9"/>
  <c r="DY4" i="9"/>
  <c r="CS4" i="9"/>
  <c r="BM4" i="9"/>
  <c r="AG4" i="9"/>
  <c r="FH5" i="8"/>
  <c r="EB5" i="8"/>
  <c r="CV5" i="8"/>
  <c r="BP5" i="8"/>
  <c r="AJ5" i="8"/>
  <c r="F5" i="8"/>
  <c r="FW4" i="8"/>
  <c r="FC4" i="8"/>
  <c r="EG4" i="8"/>
  <c r="DP4" i="8"/>
  <c r="CZ4" i="8"/>
  <c r="CJ4" i="8"/>
  <c r="BT4" i="8"/>
  <c r="BD4" i="8"/>
  <c r="AN4" i="8"/>
  <c r="AA4" i="8"/>
  <c r="P4" i="8"/>
  <c r="G4" i="8"/>
  <c r="FJ5" i="7"/>
  <c r="FB5" i="7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FK4" i="7"/>
  <c r="FC4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GL5" i="6"/>
  <c r="GD5" i="6"/>
  <c r="FV5" i="6"/>
  <c r="FN5" i="6"/>
  <c r="FF5" i="6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GG4" i="6"/>
  <c r="FY4" i="6"/>
  <c r="FQ4" i="6"/>
  <c r="FI4" i="6"/>
  <c r="FA4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S5" i="10"/>
  <c r="BG5" i="10"/>
  <c r="ES4" i="10"/>
  <c r="CG4" i="10"/>
  <c r="U4" i="10"/>
  <c r="EA5" i="9"/>
  <c r="CU5" i="9"/>
  <c r="BO5" i="9"/>
  <c r="AI5" i="9"/>
  <c r="C5" i="9"/>
  <c r="DU4" i="9"/>
  <c r="CO4" i="9"/>
  <c r="BI4" i="9"/>
  <c r="AC4" i="9"/>
  <c r="GJ5" i="8"/>
  <c r="FD5" i="8"/>
  <c r="DX5" i="8"/>
  <c r="CR5" i="8"/>
  <c r="BL5" i="8"/>
  <c r="AF5" i="8"/>
  <c r="D5" i="8"/>
  <c r="FU4" i="8"/>
  <c r="EY4" i="8"/>
  <c r="EE4" i="8"/>
  <c r="DO4" i="8"/>
  <c r="CY4" i="8"/>
  <c r="CI4" i="8"/>
  <c r="BS4" i="8"/>
  <c r="BC4" i="8"/>
  <c r="AM4" i="8"/>
  <c r="Y4" i="8"/>
  <c r="O4" i="8"/>
  <c r="E4" i="8"/>
  <c r="FI5" i="7"/>
  <c r="FA5" i="7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FJ4" i="7"/>
  <c r="FB4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GK5" i="6"/>
  <c r="GC5" i="6"/>
  <c r="FU5" i="6"/>
  <c r="FM5" i="6"/>
  <c r="FE5" i="6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GF4" i="6"/>
  <c r="FX4" i="6"/>
  <c r="FP4" i="6"/>
  <c r="FH4" i="6"/>
  <c r="EZ4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K5" i="10"/>
  <c r="AY5" i="10"/>
  <c r="EK4" i="10"/>
  <c r="BY4" i="10"/>
  <c r="M4" i="10"/>
  <c r="DW5" i="9"/>
  <c r="CQ5" i="9"/>
  <c r="BK5" i="9"/>
  <c r="AE5" i="9"/>
  <c r="EW4" i="9"/>
  <c r="DQ4" i="9"/>
  <c r="CK4" i="9"/>
  <c r="BE4" i="9"/>
  <c r="Y4" i="9"/>
  <c r="GF5" i="8"/>
  <c r="EZ5" i="8"/>
  <c r="DT5" i="8"/>
  <c r="CN5" i="8"/>
  <c r="BH5" i="8"/>
  <c r="AB5" i="8"/>
  <c r="GM4" i="8"/>
  <c r="FS4" i="8"/>
  <c r="EW4" i="8"/>
  <c r="EA4" i="8"/>
  <c r="DK4" i="8"/>
  <c r="CU4" i="8"/>
  <c r="CE4" i="8"/>
  <c r="BO4" i="8"/>
  <c r="AY4" i="8"/>
  <c r="AI4" i="8"/>
  <c r="X4" i="8"/>
  <c r="M4" i="8"/>
  <c r="D4" i="8"/>
  <c r="FH5" i="7"/>
  <c r="EZ5" i="7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FI4" i="7"/>
  <c r="FA4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GJ5" i="6"/>
  <c r="GB5" i="6"/>
  <c r="FT5" i="6"/>
  <c r="FL5" i="6"/>
  <c r="FD5" i="6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GM4" i="6"/>
  <c r="GE4" i="6"/>
  <c r="FW4" i="6"/>
  <c r="FO4" i="6"/>
  <c r="FG4" i="6"/>
  <c r="EY4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C5" i="10"/>
  <c r="AQ5" i="10"/>
  <c r="EC4" i="10"/>
  <c r="BQ4" i="10"/>
  <c r="E4" i="10"/>
  <c r="DS5" i="9"/>
  <c r="CM5" i="9"/>
  <c r="BG5" i="9"/>
  <c r="AA5" i="9"/>
  <c r="ES4" i="9"/>
  <c r="DM4" i="9"/>
  <c r="CG4" i="9"/>
  <c r="BA4" i="9"/>
  <c r="U4" i="9"/>
  <c r="GB5" i="8"/>
  <c r="EV5" i="8"/>
  <c r="DP5" i="8"/>
  <c r="CJ5" i="8"/>
  <c r="BD5" i="8"/>
  <c r="X5" i="8"/>
  <c r="GK4" i="8"/>
  <c r="FO4" i="8"/>
  <c r="EU4" i="8"/>
  <c r="DY4" i="8"/>
  <c r="DI4" i="8"/>
  <c r="CS4" i="8"/>
  <c r="CC4" i="8"/>
  <c r="BM4" i="8"/>
  <c r="AW4" i="8"/>
  <c r="AG4" i="8"/>
  <c r="W4" i="8"/>
  <c r="L4" i="8"/>
  <c r="C4" i="8"/>
  <c r="FG5" i="7"/>
  <c r="EY5" i="7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FH4" i="7"/>
  <c r="EZ4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GI5" i="6"/>
  <c r="GA5" i="6"/>
  <c r="FS5" i="6"/>
  <c r="FK5" i="6"/>
  <c r="FC5" i="6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GL4" i="6"/>
  <c r="GD4" i="6"/>
  <c r="FV4" i="6"/>
  <c r="FN4" i="6"/>
  <c r="FF4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CU5" i="10"/>
  <c r="AI5" i="10"/>
  <c r="DU4" i="10"/>
  <c r="BI4" i="10"/>
  <c r="EU5" i="9"/>
  <c r="DO5" i="9"/>
  <c r="CI5" i="9"/>
  <c r="BC5" i="9"/>
  <c r="W5" i="9"/>
  <c r="EO4" i="9"/>
  <c r="DI4" i="9"/>
  <c r="CC4" i="9"/>
  <c r="AW4" i="9"/>
  <c r="Q4" i="9"/>
  <c r="FX5" i="8"/>
  <c r="ER5" i="8"/>
  <c r="DL5" i="8"/>
  <c r="CF5" i="8"/>
  <c r="AZ5" i="8"/>
  <c r="T5" i="8"/>
  <c r="GI4" i="8"/>
  <c r="FM4" i="8"/>
  <c r="EQ4" i="8"/>
  <c r="DX4" i="8"/>
  <c r="DH4" i="8"/>
  <c r="CR4" i="8"/>
  <c r="CB4" i="8"/>
  <c r="BL4" i="8"/>
  <c r="AV4" i="8"/>
  <c r="AF4" i="8"/>
  <c r="U4" i="8"/>
  <c r="K4" i="8"/>
  <c r="B4" i="8"/>
  <c r="FF5" i="7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FG4" i="7"/>
  <c r="EY4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GH5" i="6"/>
  <c r="FZ5" i="6"/>
  <c r="FR5" i="6"/>
  <c r="FJ5" i="6"/>
  <c r="FB5" i="6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GK4" i="6"/>
  <c r="GC4" i="6"/>
  <c r="FU4" i="6"/>
  <c r="FM4" i="6"/>
  <c r="FE4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CM5" i="10"/>
  <c r="AA5" i="10"/>
  <c r="DM4" i="10"/>
  <c r="BA4" i="10"/>
  <c r="EQ5" i="9"/>
  <c r="DK5" i="9"/>
  <c r="CE5" i="9"/>
  <c r="AY5" i="9"/>
  <c r="S5" i="9"/>
  <c r="EK4" i="9"/>
  <c r="DE4" i="9"/>
  <c r="BY4" i="9"/>
  <c r="AS4" i="9"/>
  <c r="M4" i="9"/>
  <c r="FT5" i="8"/>
  <c r="EN5" i="8"/>
  <c r="DH5" i="8"/>
  <c r="CB5" i="8"/>
  <c r="AV5" i="8"/>
  <c r="P5" i="8"/>
  <c r="GE4" i="8"/>
  <c r="FK4" i="8"/>
  <c r="EO4" i="8"/>
  <c r="DW4" i="8"/>
  <c r="DG4" i="8"/>
  <c r="CQ4" i="8"/>
  <c r="CA4" i="8"/>
  <c r="BK4" i="8"/>
  <c r="AU4" i="8"/>
  <c r="AE4" i="8"/>
  <c r="T4" i="8"/>
  <c r="J4" i="8"/>
  <c r="FE5" i="7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FF4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GG5" i="6"/>
  <c r="FY5" i="6"/>
  <c r="FQ5" i="6"/>
  <c r="FI5" i="6"/>
  <c r="FA5" i="6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GJ4" i="6"/>
  <c r="GB4" i="6"/>
  <c r="FT4" i="6"/>
  <c r="FL4" i="6"/>
  <c r="FD4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CE5" i="10"/>
  <c r="S5" i="10"/>
  <c r="DE4" i="10"/>
  <c r="AS4" i="10"/>
  <c r="EM5" i="9"/>
  <c r="DG5" i="9"/>
  <c r="CA5" i="9"/>
  <c r="AU5" i="9"/>
  <c r="O5" i="9"/>
  <c r="EG4" i="9"/>
  <c r="DA4" i="9"/>
  <c r="BU4" i="9"/>
  <c r="AO4" i="9"/>
  <c r="I4" i="9"/>
  <c r="FP5" i="8"/>
  <c r="EJ5" i="8"/>
  <c r="DD5" i="8"/>
  <c r="BX5" i="8"/>
  <c r="AR5" i="8"/>
  <c r="L5" i="8"/>
  <c r="GC4" i="8"/>
  <c r="FG4" i="8"/>
  <c r="EM4" i="8"/>
  <c r="DS4" i="8"/>
  <c r="DC4" i="8"/>
  <c r="CM4" i="8"/>
  <c r="BW4" i="8"/>
  <c r="BG4" i="8"/>
  <c r="AQ4" i="8"/>
  <c r="AC4" i="8"/>
  <c r="S4" i="8"/>
  <c r="I4" i="8"/>
  <c r="FM5" i="7"/>
  <c r="FD5" i="7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FM4" i="7"/>
  <c r="FE4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GF5" i="6"/>
  <c r="FX5" i="6"/>
  <c r="FP5" i="6"/>
  <c r="FH5" i="6"/>
  <c r="EZ5" i="6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GI4" i="6"/>
  <c r="GA4" i="6"/>
  <c r="FS4" i="6"/>
  <c r="FK4" i="6"/>
  <c r="FC4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EQ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EI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EH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EA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DZ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A967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E966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K884" i="3"/>
  <c r="K882" i="3"/>
  <c r="G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C884" i="3"/>
  <c r="J882" i="3"/>
  <c r="F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B884" i="3"/>
  <c r="I882" i="3"/>
  <c r="E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A884" i="3"/>
  <c r="H882" i="3"/>
  <c r="D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G883" i="3"/>
  <c r="C882" i="3"/>
  <c r="C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F883" i="3"/>
  <c r="B882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E883" i="3"/>
  <c r="A882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D883" i="3"/>
  <c r="L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K797" i="3"/>
  <c r="L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J797" i="3"/>
  <c r="K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H797" i="3"/>
  <c r="H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G797" i="3"/>
  <c r="G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D797" i="3"/>
  <c r="F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C797" i="3"/>
  <c r="E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B797" i="3"/>
  <c r="D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A797" i="3"/>
  <c r="C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D716" i="3"/>
  <c r="D714" i="3"/>
  <c r="B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C716" i="3"/>
  <c r="C714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H715" i="3"/>
  <c r="B714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G715" i="3"/>
  <c r="H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F715" i="3"/>
  <c r="G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L714" i="3"/>
  <c r="F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K714" i="3"/>
  <c r="D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J714" i="3"/>
  <c r="C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E544" i="3"/>
  <c r="A543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D544" i="3"/>
  <c r="L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C544" i="3"/>
  <c r="K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B544" i="3"/>
  <c r="J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I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H543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G543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F543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921" i="1"/>
  <c r="K920" i="1"/>
  <c r="C920" i="1"/>
  <c r="G919" i="1"/>
  <c r="K918" i="1"/>
  <c r="C918" i="1"/>
  <c r="G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K886" i="1"/>
  <c r="C886" i="1"/>
  <c r="G885" i="1"/>
  <c r="K884" i="1"/>
  <c r="C884" i="1"/>
  <c r="G883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921" i="1"/>
  <c r="D921" i="1"/>
  <c r="H920" i="1"/>
  <c r="L919" i="1"/>
  <c r="D919" i="1"/>
  <c r="H918" i="1"/>
  <c r="L917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H886" i="1"/>
  <c r="L885" i="1"/>
  <c r="D885" i="1"/>
  <c r="H884" i="1"/>
  <c r="L883" i="1"/>
  <c r="D883" i="1"/>
  <c r="H882" i="1"/>
  <c r="L881" i="1"/>
  <c r="D881" i="1"/>
  <c r="H880" i="1"/>
  <c r="L879" i="1"/>
  <c r="D879" i="1"/>
  <c r="H878" i="1"/>
  <c r="L877" i="1"/>
  <c r="D877" i="1"/>
  <c r="H876" i="1"/>
  <c r="L875" i="1"/>
  <c r="D875" i="1"/>
  <c r="H87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E782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F615" i="1"/>
  <c r="H613" i="1"/>
  <c r="D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K614" i="1"/>
  <c r="G613" i="1"/>
  <c r="C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J614" i="1"/>
  <c r="F613" i="1"/>
  <c r="B612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I614" i="1"/>
  <c r="E613" i="1"/>
  <c r="A612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D614" i="1"/>
  <c r="L612" i="1"/>
  <c r="K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C614" i="1"/>
  <c r="K612" i="1"/>
  <c r="J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B614" i="1"/>
  <c r="J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A614" i="1"/>
  <c r="I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D443" i="1"/>
  <c r="A442" i="1"/>
  <c r="D441" i="1"/>
  <c r="G440" i="1"/>
  <c r="J439" i="1"/>
  <c r="A439" i="1"/>
  <c r="D438" i="1"/>
  <c r="G437" i="1"/>
  <c r="I436" i="1"/>
  <c r="L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B443" i="1"/>
  <c r="L441" i="1"/>
  <c r="C441" i="1"/>
  <c r="F440" i="1"/>
  <c r="I439" i="1"/>
  <c r="L438" i="1"/>
  <c r="C438" i="1"/>
  <c r="E437" i="1"/>
  <c r="H436" i="1"/>
  <c r="K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L442" i="1"/>
  <c r="K441" i="1"/>
  <c r="B441" i="1"/>
  <c r="E440" i="1"/>
  <c r="H439" i="1"/>
  <c r="K438" i="1"/>
  <c r="A438" i="1"/>
  <c r="D437" i="1"/>
  <c r="G436" i="1"/>
  <c r="J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H442" i="1"/>
  <c r="J441" i="1"/>
  <c r="A441" i="1"/>
  <c r="D440" i="1"/>
  <c r="G439" i="1"/>
  <c r="I438" i="1"/>
  <c r="L437" i="1"/>
  <c r="C437" i="1"/>
  <c r="F436" i="1"/>
  <c r="I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G442" i="1"/>
  <c r="I441" i="1"/>
  <c r="L440" i="1"/>
  <c r="C440" i="1"/>
  <c r="E439" i="1"/>
  <c r="H438" i="1"/>
  <c r="K437" i="1"/>
  <c r="B437" i="1"/>
  <c r="E436" i="1"/>
  <c r="H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F442" i="1"/>
  <c r="H441" i="1"/>
  <c r="K440" i="1"/>
  <c r="A440" i="1"/>
  <c r="D439" i="1"/>
  <c r="G438" i="1"/>
  <c r="J437" i="1"/>
  <c r="A437" i="1"/>
  <c r="D436" i="1"/>
  <c r="G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D442" i="1"/>
  <c r="G441" i="1"/>
  <c r="I440" i="1"/>
  <c r="L439" i="1"/>
  <c r="C439" i="1"/>
  <c r="F438" i="1"/>
  <c r="I437" i="1"/>
  <c r="L436" i="1"/>
  <c r="C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C442" i="1"/>
  <c r="E441" i="1"/>
  <c r="H440" i="1"/>
  <c r="K439" i="1"/>
  <c r="B439" i="1"/>
  <c r="E438" i="1"/>
  <c r="H437" i="1"/>
  <c r="K436" i="1"/>
  <c r="A436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G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E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F4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B4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J2" i="10" l="1"/>
  <c r="J2" i="9"/>
  <c r="J2" i="6"/>
  <c r="J2" i="8"/>
  <c r="J2" i="7"/>
  <c r="J2" i="4"/>
  <c r="J2" i="5"/>
</calcChain>
</file>

<file path=xl/sharedStrings.xml><?xml version="1.0" encoding="utf-8"?>
<sst xmlns="http://schemas.openxmlformats.org/spreadsheetml/2006/main" count="85" uniqueCount="34">
  <si>
    <t>Modules Info</t>
  </si>
  <si>
    <t>Modules</t>
  </si>
  <si>
    <t>Settings</t>
  </si>
  <si>
    <t>Module Step Setting File</t>
  </si>
  <si>
    <t>15TZcyNzdODZnAEMI7Zyq6CaL1BTvFkhtTgtMBwN7UQA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</si>
  <si>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</si>
  <si>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</si>
  <si>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</si>
  <si>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</si>
  <si>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</si>
  <si>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</si>
  <si>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</si>
  <si>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</si>
  <si>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</si>
  <si>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</si>
  <si>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</si>
  <si>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$RUT</t>
  </si>
  <si>
    <t>Buy</t>
  </si>
  <si>
    <t>Unallocated</t>
  </si>
  <si>
    <t>Market</t>
  </si>
  <si>
    <t>Blotter</t>
  </si>
  <si>
    <t>VerifyWorkingSubs</t>
  </si>
  <si>
    <t>PartiallyFilled</t>
  </si>
  <si>
    <t>-</t>
  </si>
  <si>
    <t>Allocation</t>
  </si>
  <si>
    <t>CheckUnallocatedGroups</t>
  </si>
  <si>
    <t>PortfolioManagement</t>
  </si>
  <si>
    <t>CheckPortfolioManagement</t>
  </si>
  <si>
    <t>Long</t>
  </si>
  <si>
    <t>GetDataAllocation</t>
  </si>
  <si>
    <t>Current</t>
  </si>
  <si>
    <t>VerifyOrder</t>
  </si>
  <si>
    <t>VerifySubOrder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</si>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</sst>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31" t="s">
        <v>0</v>
      </c>
      <c r="B1" s="32"/>
      <c r="C1" s="32"/>
      <c r="D1" s="32"/>
      <c r="E1" s="32"/>
      <c r="F1" s="33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2" t="s">
        <v>1</v>
      </c>
      <c r="B3" s="3"/>
      <c r="C3" s="4"/>
      <c r="D3" s="4"/>
      <c r="E3" s="4"/>
      <c r="F3" s="4"/>
    </row>
    <row r="4" spans="1:12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4" t="s">
        <v>2</v>
      </c>
      <c r="B1" s="32"/>
      <c r="C1" s="33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1" t="s">
        <v>7</v>
      </c>
      <c r="B1" s="32"/>
      <c r="C1" s="32"/>
      <c r="D1" s="32"/>
      <c r="E1" s="32"/>
      <c r="F1" s="33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5" t="s">
        <v>16</v>
      </c>
      <c r="C6" s="26" t="s">
        <v>17</v>
      </c>
      <c r="D6" s="27">
        <v>120</v>
      </c>
      <c r="E6" s="28">
        <v>110</v>
      </c>
      <c r="F6" s="26" t="s">
        <v>18</v>
      </c>
      <c r="G6" s="26"/>
      <c r="H6" s="26"/>
      <c r="I6" s="26" t="s">
        <v>19</v>
      </c>
      <c r="J6" s="28">
        <v>78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16</v>
      </c>
      <c r="C6" s="25" t="s">
        <v>17</v>
      </c>
      <c r="D6" s="29">
        <v>120</v>
      </c>
      <c r="E6" s="29">
        <v>110</v>
      </c>
      <c r="F6" s="29">
        <v>10</v>
      </c>
      <c r="G6" s="29" t="s">
        <v>22</v>
      </c>
      <c r="H6" s="29">
        <v>110</v>
      </c>
      <c r="I6" s="29">
        <v>78</v>
      </c>
      <c r="J6" s="29">
        <v>78</v>
      </c>
      <c r="K6" s="26"/>
      <c r="L6" s="26" t="s">
        <v>23</v>
      </c>
      <c r="M6" s="26" t="s">
        <v>19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M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95" width="14.42578125" customWidth="1"/>
  </cols>
  <sheetData>
    <row r="1" spans="1:195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</row>
    <row r="2" spans="1:195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1c7aP-E18Fb8lEVGiXac03BLoNVdUNRzodD2Xjn-9pzU</v>
      </c>
      <c r="K2" s="15"/>
      <c r="L2" s="5"/>
      <c r="M2" s="5"/>
      <c r="N2" s="5"/>
      <c r="O2" s="5"/>
    </row>
    <row r="3" spans="1:195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</row>
    <row r="4" spans="1:195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  <c r="FL4" s="20" t="str">
        <f ca="1">IFERROR(__xludf.DUMMYFUNCTION("""COMPUTED_VALUE"""),"")</f>
        <v/>
      </c>
      <c r="FM4" s="20" t="str">
        <f ca="1">IFERROR(__xludf.DUMMYFUNCTION("""COMPUTED_VALUE"""),"")</f>
        <v/>
      </c>
      <c r="FN4" s="20" t="str">
        <f ca="1">IFERROR(__xludf.DUMMYFUNCTION("""COMPUTED_VALUE"""),"")</f>
        <v/>
      </c>
      <c r="FO4" s="20" t="str">
        <f ca="1">IFERROR(__xludf.DUMMYFUNCTION("""COMPUTED_VALUE"""),"")</f>
        <v/>
      </c>
      <c r="FP4" s="20" t="str">
        <f ca="1">IFERROR(__xludf.DUMMYFUNCTION("""COMPUTED_VALUE"""),"")</f>
        <v/>
      </c>
      <c r="FQ4" s="20" t="str">
        <f ca="1">IFERROR(__xludf.DUMMYFUNCTION("""COMPUTED_VALUE"""),"")</f>
        <v/>
      </c>
      <c r="FR4" s="20" t="str">
        <f ca="1">IFERROR(__xludf.DUMMYFUNCTION("""COMPUTED_VALUE"""),"")</f>
        <v/>
      </c>
      <c r="FS4" s="20" t="str">
        <f ca="1">IFERROR(__xludf.DUMMYFUNCTION("""COMPUTED_VALUE"""),"")</f>
        <v/>
      </c>
      <c r="FT4" s="20" t="str">
        <f ca="1">IFERROR(__xludf.DUMMYFUNCTION("""COMPUTED_VALUE"""),"")</f>
        <v/>
      </c>
      <c r="FU4" s="20" t="str">
        <f ca="1">IFERROR(__xludf.DUMMYFUNCTION("""COMPUTED_VALUE"""),"")</f>
        <v/>
      </c>
      <c r="FV4" s="20" t="str">
        <f ca="1">IFERROR(__xludf.DUMMYFUNCTION("""COMPUTED_VALUE"""),"")</f>
        <v/>
      </c>
      <c r="FW4" s="20" t="str">
        <f ca="1">IFERROR(__xludf.DUMMYFUNCTION("""COMPUTED_VALUE"""),"")</f>
        <v/>
      </c>
      <c r="FX4" s="20" t="str">
        <f ca="1">IFERROR(__xludf.DUMMYFUNCTION("""COMPUTED_VALUE"""),"")</f>
        <v/>
      </c>
      <c r="FY4" s="20" t="str">
        <f ca="1">IFERROR(__xludf.DUMMYFUNCTION("""COMPUTED_VALUE"""),"")</f>
        <v/>
      </c>
      <c r="FZ4" s="20" t="str">
        <f ca="1">IFERROR(__xludf.DUMMYFUNCTION("""COMPUTED_VALUE"""),"")</f>
        <v/>
      </c>
      <c r="GA4" s="20" t="str">
        <f ca="1">IFERROR(__xludf.DUMMYFUNCTION("""COMPUTED_VALUE"""),"")</f>
        <v/>
      </c>
      <c r="GB4" s="20" t="str">
        <f ca="1">IFERROR(__xludf.DUMMYFUNCTION("""COMPUTED_VALUE"""),"")</f>
        <v/>
      </c>
      <c r="GC4" s="20" t="str">
        <f ca="1">IFERROR(__xludf.DUMMYFUNCTION("""COMPUTED_VALUE"""),"")</f>
        <v/>
      </c>
      <c r="GD4" s="20" t="str">
        <f ca="1">IFERROR(__xludf.DUMMYFUNCTION("""COMPUTED_VALUE"""),"")</f>
        <v/>
      </c>
      <c r="GE4" s="20" t="str">
        <f ca="1">IFERROR(__xludf.DUMMYFUNCTION("""COMPUTED_VALUE"""),"")</f>
        <v/>
      </c>
      <c r="GF4" s="20" t="str">
        <f ca="1">IFERROR(__xludf.DUMMYFUNCTION("""COMPUTED_VALUE"""),"")</f>
        <v/>
      </c>
      <c r="GG4" s="20" t="str">
        <f ca="1">IFERROR(__xludf.DUMMYFUNCTION("""COMPUTED_VALUE"""),"")</f>
        <v/>
      </c>
      <c r="GH4" s="20" t="str">
        <f ca="1">IFERROR(__xludf.DUMMYFUNCTION("""COMPUTED_VALUE"""),"")</f>
        <v/>
      </c>
      <c r="GI4" s="20" t="str">
        <f ca="1">IFERROR(__xludf.DUMMYFUNCTION("""COMPUTED_VALUE"""),"")</f>
        <v/>
      </c>
      <c r="GJ4" s="20" t="str">
        <f ca="1">IFERROR(__xludf.DUMMYFUNCTION("""COMPUTED_VALUE"""),"")</f>
        <v/>
      </c>
      <c r="GK4" s="20" t="str">
        <f ca="1">IFERROR(__xludf.DUMMYFUNCTION("""COMPUTED_VALUE"""),"")</f>
        <v/>
      </c>
      <c r="GL4" s="20" t="str">
        <f ca="1">IFERROR(__xludf.DUMMYFUNCTION("""COMPUTED_VALUE"""),"")</f>
        <v/>
      </c>
      <c r="GM4" s="20" t="str">
        <f ca="1">IFERROR(__xludf.DUMMYFUNCTION("""COMPUTED_VALUE"""),"")</f>
        <v/>
      </c>
    </row>
    <row r="5" spans="1:195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IFERROR(__xludf.DUMMYFUNCTION("""COMPUTED_VALUE"""),"Accrual Basis")</f>
        <v>Accrual Basis</v>
      </c>
      <c r="C5" s="22" t="str">
        <f ca="1">IFERROR(__xludf.DUMMYFUNCTION("""COMPUTED_VALUE"""),"Accrued Interest")</f>
        <v>Accrued Interest</v>
      </c>
      <c r="D5" s="22" t="str">
        <f ca="1">IFERROR(__xludf.DUMMYFUNCTION("""COMPUTED_VALUE"""),"Allocated Qty")</f>
        <v>Allocated Qty</v>
      </c>
      <c r="E5" s="22" t="str">
        <f ca="1">IFERROR(__xludf.DUMMYFUNCTION("""COMPUTED_VALUE"""),"Allocation Scheme Name")</f>
        <v>Allocation Scheme Name</v>
      </c>
      <c r="F5" s="23" t="str">
        <f ca="1">IFERROR(__xludf.DUMMYFUNCTION("""COMPUTED_VALUE"""),"Asset Category")</f>
        <v>Asset Category</v>
      </c>
      <c r="G5" s="22" t="str">
        <f ca="1">IFERROR(__xludf.DUMMYFUNCTION("""COMPUTED_VALUE"""),"AUEC Fee1")</f>
        <v>AUEC Fee1</v>
      </c>
      <c r="H5" s="22" t="str">
        <f ca="1">IFERROR(__xludf.DUMMYFUNCTION("""COMPUTED_VALUE"""),"AUEC Fee2")</f>
        <v>AUEC Fee2</v>
      </c>
      <c r="I5" s="22" t="str">
        <f ca="1">IFERROR(__xludf.DUMMYFUNCTION("""COMPUTED_VALUE"""),"AUECID")</f>
        <v>AUECID</v>
      </c>
      <c r="J5" s="22" t="str">
        <f ca="1">IFERROR(__xludf.DUMMYFUNCTION("""COMPUTED_VALUE"""),"Avg Price(Base)")</f>
        <v>Avg Price(Base)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IFERROR(__xludf.DUMMYFUNCTION("""COMPUTED_VALUE"""),"Bloomberg")</f>
        <v>Bloomberg</v>
      </c>
      <c r="M5" s="22" t="str">
        <f ca="1">IFERROR(__xludf.DUMMYFUNCTION("""COMPUTED_VALUE"""),"Bond Type")</f>
        <v>Bond Type</v>
      </c>
      <c r="N5" s="22" t="str">
        <f ca="1">IFERROR(__xludf.DUMMYFUNCTION("""COMPUTED_VALUE"""),"Broker")</f>
        <v>Broker</v>
      </c>
      <c r="O5" s="22" t="str">
        <f ca="1">IFERROR(__xludf.DUMMYFUNCTION("""COMPUTED_VALUE"""),"Change Comment")</f>
        <v>Change Comment</v>
      </c>
      <c r="P5" s="22" t="str">
        <f ca="1">IFERROR(__xludf.DUMMYFUNCTION("""COMPUTED_VALUE"""),"Change Type")</f>
        <v>Change Type</v>
      </c>
      <c r="Q5" s="22" t="str">
        <f ca="1">IFERROR(__xludf.DUMMYFUNCTION("""COMPUTED_VALUE"""),"Clearing Broker Fee")</f>
        <v>Clearing Broker Fee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IFERROR(__xludf.DUMMYFUNCTION("""COMPUTED_VALUE"""),"Execution Time")</f>
        <v>Execution Time</v>
      </c>
      <c r="AG5" s="24" t="str">
        <f ca="1">IFERROR(__xludf.DUMMYFUNCTION("""COMPUTED_VALUE"""),"FX Conversion Operator")</f>
        <v>FX Conversion Operator</v>
      </c>
      <c r="AH5" s="24" t="str">
        <f ca="1">IFERROR(__xludf.DUMMYFUNCTION("""COMPUTED_VALUE"""),"FX Rate")</f>
        <v>FX Rate</v>
      </c>
      <c r="AI5" s="24" t="str">
        <f ca="1">IFERROR(__xludf.DUMMYFUNCTION("""COMPUTED_VALUE"""),"Group Status")</f>
        <v>Group Status</v>
      </c>
      <c r="AJ5" s="24" t="str">
        <f ca="1">IFERROR(__xludf.DUMMYFUNCTION("""COMPUTED_VALUE"""),"GroupID")</f>
        <v>GroupID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IFERROR(__xludf.DUMMYFUNCTION("""COMPUTED_VALUE"""),"Symbol")</f>
        <v>Symbol</v>
      </c>
      <c r="BT5" s="24" t="str">
        <f ca="1">IFERROR(__xludf.DUMMYFUNCTION("""COMPUTED_VALUE"""),"Tax On Commissions")</f>
        <v>Tax On Commissions</v>
      </c>
      <c r="BU5" s="24" t="str">
        <f ca="1">IFERROR(__xludf.DUMMYFUNCTION("""COMPUTED_VALUE"""),"Total Commission")</f>
        <v>Total Commission</v>
      </c>
      <c r="BV5" s="24" t="str">
        <f ca="1">IFERROR(__xludf.DUMMYFUNCTION("""COMPUTED_VALUE"""),"Total Commission And Fee")</f>
        <v>Total Commission And Fee</v>
      </c>
      <c r="BW5" s="24" t="str">
        <f ca="1">IFERROR(__xludf.DUMMYFUNCTION("""COMPUTED_VALUE"""),"Total Commission Per Share")</f>
        <v>Total Commission Per Share</v>
      </c>
      <c r="BX5" s="24" t="str">
        <f ca="1">IFERROR(__xludf.DUMMYFUNCTION("""COMPUTED_VALUE"""),"Trade Attribute 1")</f>
        <v>Trade Attribute 1</v>
      </c>
      <c r="BY5" s="24" t="str">
        <f ca="1">IFERROR(__xludf.DUMMYFUNCTION("""COMPUTED_VALUE"""),"Trade Attribute 2")</f>
        <v>Trade Attribute 2</v>
      </c>
      <c r="BZ5" s="24" t="str">
        <f ca="1">IFERROR(__xludf.DUMMYFUNCTION("""COMPUTED_VALUE"""),"Trade Attribute 3")</f>
        <v>Trade Attribute 3</v>
      </c>
      <c r="CA5" s="24" t="str">
        <f ca="1">IFERROR(__xludf.DUMMYFUNCTION("""COMPUTED_VALUE"""),"Trade Attribute 4")</f>
        <v>Trade Attribute 4</v>
      </c>
      <c r="CB5" s="24" t="str">
        <f ca="1">IFERROR(__xludf.DUMMYFUNCTION("""COMPUTED_VALUE"""),"Trade Attribute 5")</f>
        <v>Trade Attribute 5</v>
      </c>
      <c r="CC5" s="24" t="str">
        <f ca="1">IFERROR(__xludf.DUMMYFUNCTION("""COMPUTED_VALUE"""),"Trade Attribute 6")</f>
        <v>Trade Attribute 6</v>
      </c>
      <c r="CD5" s="24" t="str">
        <f ca="1">IFERROR(__xludf.DUMMYFUNCTION("""COMPUTED_VALUE"""),"Trade Date")</f>
        <v>Trade Date</v>
      </c>
      <c r="CE5" s="24" t="str">
        <f ca="1">IFERROR(__xludf.DUMMYFUNCTION("""COMPUTED_VALUE"""),"Trading Account")</f>
        <v>Trading Account</v>
      </c>
      <c r="CF5" s="24" t="str">
        <f ca="1">IFERROR(__xludf.DUMMYFUNCTION("""COMPUTED_VALUE"""),"Transaction Levy")</f>
        <v>Transaction Levy</v>
      </c>
      <c r="CG5" s="24" t="str">
        <f ca="1">IFERROR(__xludf.DUMMYFUNCTION("""COMPUTED_VALUE"""),"Transaction Source")</f>
        <v>Transaction Source</v>
      </c>
      <c r="CH5" s="24" t="str">
        <f ca="1">IFERROR(__xludf.DUMMYFUNCTION("""COMPUTED_VALUE"""),"Transaction Type")</f>
        <v>Transaction Type</v>
      </c>
      <c r="CI5" s="24" t="str">
        <f ca="1">IFERROR(__xludf.DUMMYFUNCTION("""COMPUTED_VALUE"""),"UnAllocatedQty")</f>
        <v>UnAllocatedQty</v>
      </c>
      <c r="CJ5" s="24" t="str">
        <f ca="1">IFERROR(__xludf.DUMMYFUNCTION("""COMPUTED_VALUE"""),"Underlying")</f>
        <v>Underlying</v>
      </c>
      <c r="CK5" s="24" t="str">
        <f ca="1">IFERROR(__xludf.DUMMYFUNCTION("""COMPUTED_VALUE"""),"Underlying Delta")</f>
        <v>Underlying Delta</v>
      </c>
      <c r="CL5" s="24" t="str">
        <f ca="1">IFERROR(__xludf.DUMMYFUNCTION("""COMPUTED_VALUE"""),"Underlying Symbol")</f>
        <v>Underlying Symbol</v>
      </c>
      <c r="CM5" s="24" t="str">
        <f ca="1">IFERROR(__xludf.DUMMYFUNCTION("""COMPUTED_VALUE"""),"User")</f>
        <v>User</v>
      </c>
      <c r="CN5" s="24" t="str">
        <f ca="1">IFERROR(__xludf.DUMMYFUNCTION("""COMPUTED_VALUE"""),"Venue")</f>
        <v>Venue</v>
      </c>
      <c r="CO5" s="24" t="str">
        <f ca="1">IFERROR(__xludf.DUMMYFUNCTION("""COMPUTED_VALUE"""),"Closing Date")</f>
        <v>Closing Date</v>
      </c>
      <c r="CP5" s="24" t="str">
        <f ca="1">IFERROR(__xludf.DUMMYFUNCTION("""COMPUTED_VALUE"""),"Expiration Date")</f>
        <v>Expiration Date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  <c r="EY5" s="24" t="str">
        <f ca="1">IFERROR(__xludf.DUMMYFUNCTION("""COMPUTED_VALUE"""),"")</f>
        <v/>
      </c>
      <c r="EZ5" s="24" t="str">
        <f ca="1">IFERROR(__xludf.DUMMYFUNCTION("""COMPUTED_VALUE"""),"")</f>
        <v/>
      </c>
      <c r="FA5" s="24" t="str">
        <f ca="1">IFERROR(__xludf.DUMMYFUNCTION("""COMPUTED_VALUE"""),"")</f>
        <v/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  <c r="FL5" s="24" t="str">
        <f ca="1">IFERROR(__xludf.DUMMYFUNCTION("""COMPUTED_VALUE"""),"")</f>
        <v/>
      </c>
      <c r="FM5" s="24" t="str">
        <f ca="1">IFERROR(__xludf.DUMMYFUNCTION("""COMPUTED_VALUE"""),"")</f>
        <v/>
      </c>
      <c r="FN5" s="24" t="str">
        <f ca="1">IFERROR(__xludf.DUMMYFUNCTION("""COMPUTED_VALUE"""),"")</f>
        <v/>
      </c>
      <c r="FO5" s="24" t="str">
        <f ca="1">IFERROR(__xludf.DUMMYFUNCTION("""COMPUTED_VALUE"""),"")</f>
        <v/>
      </c>
      <c r="FP5" s="24" t="str">
        <f ca="1">IFERROR(__xludf.DUMMYFUNCTION("""COMPUTED_VALUE"""),"")</f>
        <v/>
      </c>
      <c r="FQ5" s="24" t="str">
        <f ca="1">IFERROR(__xludf.DUMMYFUNCTION("""COMPUTED_VALUE"""),"")</f>
        <v/>
      </c>
      <c r="FR5" s="24" t="str">
        <f ca="1">IFERROR(__xludf.DUMMYFUNCTION("""COMPUTED_VALUE"""),"")</f>
        <v/>
      </c>
      <c r="FS5" s="24" t="str">
        <f ca="1">IFERROR(__xludf.DUMMYFUNCTION("""COMPUTED_VALUE"""),"")</f>
        <v/>
      </c>
      <c r="FT5" s="24" t="str">
        <f ca="1">IFERROR(__xludf.DUMMYFUNCTION("""COMPUTED_VALUE"""),"")</f>
        <v/>
      </c>
      <c r="FU5" s="24" t="str">
        <f ca="1">IFERROR(__xludf.DUMMYFUNCTION("""COMPUTED_VALUE"""),"")</f>
        <v/>
      </c>
      <c r="FV5" s="24" t="str">
        <f ca="1">IFERROR(__xludf.DUMMYFUNCTION("""COMPUTED_VALUE"""),"")</f>
        <v/>
      </c>
      <c r="FW5" s="24" t="str">
        <f ca="1">IFERROR(__xludf.DUMMYFUNCTION("""COMPUTED_VALUE"""),"")</f>
        <v/>
      </c>
      <c r="FX5" s="24" t="str">
        <f ca="1">IFERROR(__xludf.DUMMYFUNCTION("""COMPUTED_VALUE"""),"")</f>
        <v/>
      </c>
      <c r="FY5" s="24" t="str">
        <f ca="1">IFERROR(__xludf.DUMMYFUNCTION("""COMPUTED_VALUE"""),"")</f>
        <v/>
      </c>
      <c r="FZ5" s="24" t="str">
        <f ca="1">IFERROR(__xludf.DUMMYFUNCTION("""COMPUTED_VALUE"""),"")</f>
        <v/>
      </c>
      <c r="GA5" s="24" t="str">
        <f ca="1">IFERROR(__xludf.DUMMYFUNCTION("""COMPUTED_VALUE"""),"")</f>
        <v/>
      </c>
      <c r="GB5" s="24" t="str">
        <f ca="1">IFERROR(__xludf.DUMMYFUNCTION("""COMPUTED_VALUE"""),"")</f>
        <v/>
      </c>
      <c r="GC5" s="24" t="str">
        <f ca="1">IFERROR(__xludf.DUMMYFUNCTION("""COMPUTED_VALUE"""),"")</f>
        <v/>
      </c>
      <c r="GD5" s="24" t="str">
        <f ca="1">IFERROR(__xludf.DUMMYFUNCTION("""COMPUTED_VALUE"""),"")</f>
        <v/>
      </c>
      <c r="GE5" s="24" t="str">
        <f ca="1">IFERROR(__xludf.DUMMYFUNCTION("""COMPUTED_VALUE"""),"")</f>
        <v/>
      </c>
      <c r="GF5" s="24" t="str">
        <f ca="1">IFERROR(__xludf.DUMMYFUNCTION("""COMPUTED_VALUE"""),"")</f>
        <v/>
      </c>
      <c r="GG5" s="24" t="str">
        <f ca="1">IFERROR(__xludf.DUMMYFUNCTION("""COMPUTED_VALUE"""),"")</f>
        <v/>
      </c>
      <c r="GH5" s="24" t="str">
        <f ca="1">IFERROR(__xludf.DUMMYFUNCTION("""COMPUTED_VALUE"""),"")</f>
        <v/>
      </c>
      <c r="GI5" s="24" t="str">
        <f ca="1">IFERROR(__xludf.DUMMYFUNCTION("""COMPUTED_VALUE"""),"")</f>
        <v/>
      </c>
      <c r="GJ5" s="24" t="str">
        <f ca="1">IFERROR(__xludf.DUMMYFUNCTION("""COMPUTED_VALUE"""),"")</f>
        <v/>
      </c>
      <c r="GK5" s="24" t="str">
        <f ca="1">IFERROR(__xludf.DUMMYFUNCTION("""COMPUTED_VALUE"""),"")</f>
        <v/>
      </c>
      <c r="GL5" s="24" t="str">
        <f ca="1">IFERROR(__xludf.DUMMYFUNCTION("""COMPUTED_VALUE"""),"")</f>
        <v/>
      </c>
      <c r="GM5" s="24" t="str">
        <f ca="1">IFERROR(__xludf.DUMMYFUNCTION("""COMPUTED_VALUE"""),"")</f>
        <v/>
      </c>
    </row>
    <row r="6" spans="1:195" ht="15.75" customHeight="1" x14ac:dyDescent="0.2">
      <c r="A6" s="25"/>
      <c r="B6" s="25"/>
      <c r="C6" s="26"/>
      <c r="D6" s="29">
        <v>0</v>
      </c>
      <c r="E6" s="29"/>
      <c r="F6" s="26"/>
      <c r="G6" s="26"/>
      <c r="H6" s="26"/>
      <c r="I6" s="26"/>
      <c r="J6" s="26"/>
      <c r="K6" s="28">
        <v>78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9">
        <v>110</v>
      </c>
      <c r="AF6" s="26"/>
      <c r="AG6" s="28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 t="s">
        <v>19</v>
      </c>
      <c r="AZ6" s="26"/>
      <c r="BA6" s="26"/>
      <c r="BC6" s="26"/>
      <c r="BD6" s="26"/>
      <c r="BE6" s="26"/>
      <c r="BF6" s="26"/>
      <c r="BG6" s="26"/>
      <c r="BH6" s="26"/>
      <c r="BI6" s="26"/>
      <c r="BJ6" s="29">
        <v>120</v>
      </c>
      <c r="BK6" s="26"/>
      <c r="BL6" s="26"/>
      <c r="BM6" s="28"/>
      <c r="BN6" s="26"/>
      <c r="BO6" s="29" t="s">
        <v>17</v>
      </c>
      <c r="BP6" s="26"/>
      <c r="BQ6" s="26"/>
      <c r="BR6" s="26"/>
      <c r="BS6" s="26" t="s">
        <v>16</v>
      </c>
      <c r="BT6" s="26"/>
      <c r="BU6" s="26"/>
      <c r="BV6" s="26"/>
      <c r="BW6" s="26"/>
      <c r="BX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</row>
    <row r="7" spans="1:195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95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95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95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95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95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95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95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95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95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"/>
  <sheetViews>
    <sheetView tabSelected="1" topLeftCell="AY1" workbookViewId="0">
      <selection activeCell="BG8" sqref="BG8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spans="1:169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9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</row>
    <row r="4" spans="1:169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  <c r="FL4" s="20" t="str">
        <f ca="1">IFERROR(__xludf.DUMMYFUNCTION("""COMPUTED_VALUE"""),"")</f>
        <v/>
      </c>
      <c r="FM4" s="20" t="str">
        <f ca="1">IFERROR(__xludf.DUMMYFUNCTION("""COMPUTED_VALUE"""),"")</f>
        <v/>
      </c>
    </row>
    <row r="5" spans="1:169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  <c r="FL5" s="24" t="str">
        <f ca="1">IFERROR(__xludf.DUMMYFUNCTION("""COMPUTED_VALUE"""),"")</f>
        <v/>
      </c>
      <c r="FM5" s="24" t="str">
        <f ca="1">IFERROR(__xludf.DUMMYFUNCTION("""COMPUTED_VALUE"""),"")</f>
        <v/>
      </c>
    </row>
    <row r="6" spans="1:169" ht="15.75" customHeight="1" x14ac:dyDescent="0.2">
      <c r="A6" s="25"/>
      <c r="B6" s="25"/>
      <c r="C6" s="26" t="s">
        <v>16</v>
      </c>
      <c r="D6" s="29">
        <v>110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 t="s">
        <v>17</v>
      </c>
      <c r="AO6" s="26"/>
      <c r="AP6" s="29" t="s">
        <v>28</v>
      </c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</row>
    <row r="7" spans="1:169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9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9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9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9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9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9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9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9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9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M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95" width="14.42578125" customWidth="1"/>
  </cols>
  <sheetData>
    <row r="1" spans="1:195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</row>
    <row r="2" spans="1:195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95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</row>
    <row r="4" spans="1:195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  <c r="FL4" s="20" t="str">
        <f ca="1">IFERROR(__xludf.DUMMYFUNCTION("""COMPUTED_VALUE"""),"")</f>
        <v/>
      </c>
      <c r="FM4" s="20" t="str">
        <f ca="1">IFERROR(__xludf.DUMMYFUNCTION("""COMPUTED_VALUE"""),"")</f>
        <v/>
      </c>
      <c r="FN4" s="20" t="str">
        <f ca="1">IFERROR(__xludf.DUMMYFUNCTION("""COMPUTED_VALUE"""),"")</f>
        <v/>
      </c>
      <c r="FO4" s="20" t="str">
        <f ca="1">IFERROR(__xludf.DUMMYFUNCTION("""COMPUTED_VALUE"""),"")</f>
        <v/>
      </c>
      <c r="FP4" s="20" t="str">
        <f ca="1">IFERROR(__xludf.DUMMYFUNCTION("""COMPUTED_VALUE"""),"")</f>
        <v/>
      </c>
      <c r="FQ4" s="20" t="str">
        <f ca="1">IFERROR(__xludf.DUMMYFUNCTION("""COMPUTED_VALUE"""),"")</f>
        <v/>
      </c>
      <c r="FR4" s="20" t="str">
        <f ca="1">IFERROR(__xludf.DUMMYFUNCTION("""COMPUTED_VALUE"""),"")</f>
        <v/>
      </c>
      <c r="FS4" s="20" t="str">
        <f ca="1">IFERROR(__xludf.DUMMYFUNCTION("""COMPUTED_VALUE"""),"")</f>
        <v/>
      </c>
      <c r="FT4" s="20" t="str">
        <f ca="1">IFERROR(__xludf.DUMMYFUNCTION("""COMPUTED_VALUE"""),"")</f>
        <v/>
      </c>
      <c r="FU4" s="20" t="str">
        <f ca="1">IFERROR(__xludf.DUMMYFUNCTION("""COMPUTED_VALUE"""),"")</f>
        <v/>
      </c>
      <c r="FV4" s="20" t="str">
        <f ca="1">IFERROR(__xludf.DUMMYFUNCTION("""COMPUTED_VALUE"""),"")</f>
        <v/>
      </c>
      <c r="FW4" s="20" t="str">
        <f ca="1">IFERROR(__xludf.DUMMYFUNCTION("""COMPUTED_VALUE"""),"")</f>
        <v/>
      </c>
      <c r="FX4" s="20" t="str">
        <f ca="1">IFERROR(__xludf.DUMMYFUNCTION("""COMPUTED_VALUE"""),"")</f>
        <v/>
      </c>
      <c r="FY4" s="20" t="str">
        <f ca="1">IFERROR(__xludf.DUMMYFUNCTION("""COMPUTED_VALUE"""),"")</f>
        <v/>
      </c>
      <c r="FZ4" s="20" t="str">
        <f ca="1">IFERROR(__xludf.DUMMYFUNCTION("""COMPUTED_VALUE"""),"")</f>
        <v/>
      </c>
      <c r="GA4" s="20" t="str">
        <f ca="1">IFERROR(__xludf.DUMMYFUNCTION("""COMPUTED_VALUE"""),"")</f>
        <v/>
      </c>
      <c r="GB4" s="20" t="str">
        <f ca="1">IFERROR(__xludf.DUMMYFUNCTION("""COMPUTED_VALUE"""),"")</f>
        <v/>
      </c>
      <c r="GC4" s="20" t="str">
        <f ca="1">IFERROR(__xludf.DUMMYFUNCTION("""COMPUTED_VALUE"""),"")</f>
        <v/>
      </c>
      <c r="GD4" s="20" t="str">
        <f ca="1">IFERROR(__xludf.DUMMYFUNCTION("""COMPUTED_VALUE"""),"")</f>
        <v/>
      </c>
      <c r="GE4" s="20" t="str">
        <f ca="1">IFERROR(__xludf.DUMMYFUNCTION("""COMPUTED_VALUE"""),"")</f>
        <v/>
      </c>
      <c r="GF4" s="20" t="str">
        <f ca="1">IFERROR(__xludf.DUMMYFUNCTION("""COMPUTED_VALUE"""),"")</f>
        <v/>
      </c>
      <c r="GG4" s="20" t="str">
        <f ca="1">IFERROR(__xludf.DUMMYFUNCTION("""COMPUTED_VALUE"""),"")</f>
        <v/>
      </c>
      <c r="GH4" s="20" t="str">
        <f ca="1">IFERROR(__xludf.DUMMYFUNCTION("""COMPUTED_VALUE"""),"")</f>
        <v/>
      </c>
      <c r="GI4" s="20" t="str">
        <f ca="1">IFERROR(__xludf.DUMMYFUNCTION("""COMPUTED_VALUE"""),"")</f>
        <v/>
      </c>
      <c r="GJ4" s="20" t="str">
        <f ca="1">IFERROR(__xludf.DUMMYFUNCTION("""COMPUTED_VALUE"""),"")</f>
        <v/>
      </c>
      <c r="GK4" s="20" t="str">
        <f ca="1">IFERROR(__xludf.DUMMYFUNCTION("""COMPUTED_VALUE"""),"")</f>
        <v/>
      </c>
      <c r="GL4" s="20" t="str">
        <f ca="1">IFERROR(__xludf.DUMMYFUNCTION("""COMPUTED_VALUE"""),"")</f>
        <v/>
      </c>
      <c r="GM4" s="20" t="str">
        <f ca="1">IFERROR(__xludf.DUMMYFUNCTION("""COMPUTED_VALUE"""),"")</f>
        <v/>
      </c>
    </row>
    <row r="5" spans="1:195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  <c r="EY5" s="24" t="str">
        <f ca="1">IFERROR(__xludf.DUMMYFUNCTION("""COMPUTED_VALUE"""),"")</f>
        <v/>
      </c>
      <c r="EZ5" s="24" t="str">
        <f ca="1">IFERROR(__xludf.DUMMYFUNCTION("""COMPUTED_VALUE"""),"")</f>
        <v/>
      </c>
      <c r="FA5" s="24" t="str">
        <f ca="1">IFERROR(__xludf.DUMMYFUNCTION("""COMPUTED_VALUE"""),"")</f>
        <v/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  <c r="FL5" s="24" t="str">
        <f ca="1">IFERROR(__xludf.DUMMYFUNCTION("""COMPUTED_VALUE"""),"")</f>
        <v/>
      </c>
      <c r="FM5" s="24" t="str">
        <f ca="1">IFERROR(__xludf.DUMMYFUNCTION("""COMPUTED_VALUE"""),"")</f>
        <v/>
      </c>
      <c r="FN5" s="24" t="str">
        <f ca="1">IFERROR(__xludf.DUMMYFUNCTION("""COMPUTED_VALUE"""),"")</f>
        <v/>
      </c>
      <c r="FO5" s="24" t="str">
        <f ca="1">IFERROR(__xludf.DUMMYFUNCTION("""COMPUTED_VALUE"""),"")</f>
        <v/>
      </c>
      <c r="FP5" s="24" t="str">
        <f ca="1">IFERROR(__xludf.DUMMYFUNCTION("""COMPUTED_VALUE"""),"")</f>
        <v/>
      </c>
      <c r="FQ5" s="24" t="str">
        <f ca="1">IFERROR(__xludf.DUMMYFUNCTION("""COMPUTED_VALUE"""),"")</f>
        <v/>
      </c>
      <c r="FR5" s="24" t="str">
        <f ca="1">IFERROR(__xludf.DUMMYFUNCTION("""COMPUTED_VALUE"""),"")</f>
        <v/>
      </c>
      <c r="FS5" s="24" t="str">
        <f ca="1">IFERROR(__xludf.DUMMYFUNCTION("""COMPUTED_VALUE"""),"")</f>
        <v/>
      </c>
      <c r="FT5" s="24" t="str">
        <f ca="1">IFERROR(__xludf.DUMMYFUNCTION("""COMPUTED_VALUE"""),"")</f>
        <v/>
      </c>
      <c r="FU5" s="24" t="str">
        <f ca="1">IFERROR(__xludf.DUMMYFUNCTION("""COMPUTED_VALUE"""),"")</f>
        <v/>
      </c>
      <c r="FV5" s="24" t="str">
        <f ca="1">IFERROR(__xludf.DUMMYFUNCTION("""COMPUTED_VALUE"""),"")</f>
        <v/>
      </c>
      <c r="FW5" s="24" t="str">
        <f ca="1">IFERROR(__xludf.DUMMYFUNCTION("""COMPUTED_VALUE"""),"")</f>
        <v/>
      </c>
      <c r="FX5" s="24" t="str">
        <f ca="1">IFERROR(__xludf.DUMMYFUNCTION("""COMPUTED_VALUE"""),"")</f>
        <v/>
      </c>
      <c r="FY5" s="24" t="str">
        <f ca="1">IFERROR(__xludf.DUMMYFUNCTION("""COMPUTED_VALUE"""),"")</f>
        <v/>
      </c>
      <c r="FZ5" s="24" t="str">
        <f ca="1">IFERROR(__xludf.DUMMYFUNCTION("""COMPUTED_VALUE"""),"")</f>
        <v/>
      </c>
      <c r="GA5" s="24" t="str">
        <f ca="1">IFERROR(__xludf.DUMMYFUNCTION("""COMPUTED_VALUE"""),"")</f>
        <v/>
      </c>
      <c r="GB5" s="24" t="str">
        <f ca="1">IFERROR(__xludf.DUMMYFUNCTION("""COMPUTED_VALUE"""),"")</f>
        <v/>
      </c>
      <c r="GC5" s="24" t="str">
        <f ca="1">IFERROR(__xludf.DUMMYFUNCTION("""COMPUTED_VALUE"""),"")</f>
        <v/>
      </c>
      <c r="GD5" s="24" t="str">
        <f ca="1">IFERROR(__xludf.DUMMYFUNCTION("""COMPUTED_VALUE"""),"")</f>
        <v/>
      </c>
      <c r="GE5" s="24" t="str">
        <f ca="1">IFERROR(__xludf.DUMMYFUNCTION("""COMPUTED_VALUE"""),"")</f>
        <v/>
      </c>
      <c r="GF5" s="24" t="str">
        <f ca="1">IFERROR(__xludf.DUMMYFUNCTION("""COMPUTED_VALUE"""),"")</f>
        <v/>
      </c>
      <c r="GG5" s="24" t="str">
        <f ca="1">IFERROR(__xludf.DUMMYFUNCTION("""COMPUTED_VALUE"""),"")</f>
        <v/>
      </c>
      <c r="GH5" s="24" t="str">
        <f ca="1">IFERROR(__xludf.DUMMYFUNCTION("""COMPUTED_VALUE"""),"")</f>
        <v/>
      </c>
      <c r="GI5" s="24" t="str">
        <f ca="1">IFERROR(__xludf.DUMMYFUNCTION("""COMPUTED_VALUE"""),"")</f>
        <v/>
      </c>
      <c r="GJ5" s="24" t="str">
        <f ca="1">IFERROR(__xludf.DUMMYFUNCTION("""COMPUTED_VALUE"""),"")</f>
        <v/>
      </c>
      <c r="GK5" s="24" t="str">
        <f ca="1">IFERROR(__xludf.DUMMYFUNCTION("""COMPUTED_VALUE"""),"")</f>
        <v/>
      </c>
      <c r="GL5" s="24" t="str">
        <f ca="1">IFERROR(__xludf.DUMMYFUNCTION("""COMPUTED_VALUE"""),"")</f>
        <v/>
      </c>
      <c r="GM5" s="24" t="str">
        <f ca="1">IFERROR(__xludf.DUMMYFUNCTION("""COMPUTED_VALUE"""),"")</f>
        <v/>
      </c>
    </row>
    <row r="6" spans="1:195" ht="15.75" customHeight="1" x14ac:dyDescent="0.2">
      <c r="A6" s="7"/>
      <c r="B6" s="7" t="s">
        <v>30</v>
      </c>
      <c r="C6" s="5"/>
      <c r="D6" s="7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95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95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95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95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95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95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95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95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95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95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/>
      <c r="E6" s="30"/>
      <c r="F6" s="5"/>
      <c r="G6" s="7">
        <v>10</v>
      </c>
      <c r="H6" s="5"/>
      <c r="I6" s="5"/>
      <c r="J6" s="5"/>
      <c r="K6" s="5"/>
      <c r="L6" s="5"/>
      <c r="M6" s="5"/>
      <c r="N6" s="5"/>
      <c r="O6" s="5"/>
      <c r="AI6" s="6" t="s">
        <v>16</v>
      </c>
      <c r="AJ6" s="6" t="s">
        <v>17</v>
      </c>
      <c r="AK6" s="6" t="s">
        <v>22</v>
      </c>
      <c r="AL6" s="6">
        <v>120</v>
      </c>
      <c r="AM6" s="6">
        <v>110</v>
      </c>
      <c r="AN6" s="6">
        <v>91.67</v>
      </c>
      <c r="AQ6" s="6">
        <v>78</v>
      </c>
      <c r="AR6" s="6">
        <v>78</v>
      </c>
      <c r="AU6" s="6" t="s">
        <v>19</v>
      </c>
      <c r="AX6" s="6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/>
      <c r="E6" s="30"/>
      <c r="F6" s="5"/>
      <c r="G6" s="7">
        <v>10</v>
      </c>
      <c r="H6" s="5"/>
      <c r="I6" s="5"/>
      <c r="J6" s="5"/>
      <c r="K6" s="5"/>
      <c r="L6" s="5"/>
      <c r="M6" s="5"/>
      <c r="N6" s="5"/>
      <c r="O6" s="5"/>
      <c r="AI6" s="6" t="s">
        <v>16</v>
      </c>
      <c r="AJ6" s="6" t="s">
        <v>17</v>
      </c>
      <c r="AK6" s="6" t="s">
        <v>22</v>
      </c>
      <c r="AL6" s="6">
        <v>120</v>
      </c>
      <c r="AM6" s="6">
        <v>110</v>
      </c>
      <c r="AN6" s="6">
        <v>91.67</v>
      </c>
      <c r="AP6" s="6">
        <v>78</v>
      </c>
      <c r="AQ6" s="6">
        <v>78</v>
      </c>
      <c r="AT6" s="6" t="s">
        <v>19</v>
      </c>
      <c r="AW6" s="6" t="s">
        <v>33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_Modules</vt:lpstr>
      <vt:lpstr>_Settings</vt:lpstr>
      <vt:lpstr>_MasterData</vt:lpstr>
      <vt:lpstr>CreateDoneAwayOrder</vt:lpstr>
      <vt:lpstr>VerifyWorkingSubs</vt:lpstr>
      <vt:lpstr>CheckUnallocatedGroups</vt:lpstr>
      <vt:lpstr>CheckPortfolioManagement</vt:lpstr>
      <vt:lpstr>GetDataAllocation</vt:lpstr>
      <vt:lpstr>VerifyOrder</vt:lpstr>
      <vt:lpstr>VerifySubOrder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2021-08-04T10:09:01Z</dcterms:modified>
</cp:coreProperties>
</file>