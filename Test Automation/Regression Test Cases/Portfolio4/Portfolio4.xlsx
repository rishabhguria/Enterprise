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CustomOrderTT" sheetId="5" r:id="rId7"/>
    <sheet state="visible" name="PricingInput" sheetId="6" r:id="rId8"/>
    <sheet state="visible" name="GetForexConversion" sheetId="7" r:id="rId9"/>
    <sheet state="visible" name="UpdateForexConversion" sheetId="8" r:id="rId10"/>
  </sheets>
  <definedNames/>
  <calcPr/>
</workbook>
</file>

<file path=xl/sharedStrings.xml><?xml version="1.0" encoding="utf-8"?>
<sst xmlns="http://schemas.openxmlformats.org/spreadsheetml/2006/main" count="78" uniqueCount="37">
  <si>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</si>
  <si>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</si>
  <si>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</si>
  <si>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</si>
  <si>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</si>
  <si>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</si>
  <si>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</si>
  <si>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</si>
  <si>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</si>
  <si>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</si>
  <si>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</si>
  <si>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</si>
  <si>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</si>
  <si>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</si>
  <si>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</si>
  <si>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</si>
  <si>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AMZN</t>
  </si>
  <si>
    <t>FRA-FRA</t>
  </si>
  <si>
    <t>GLE-LON</t>
  </si>
  <si>
    <t>INFY</t>
  </si>
  <si>
    <t>KO</t>
  </si>
  <si>
    <t>SAP</t>
  </si>
  <si>
    <t>TradingTicket</t>
  </si>
  <si>
    <t>CustomOrderTT</t>
  </si>
  <si>
    <t>DoneAway</t>
  </si>
  <si>
    <t>Allocation2</t>
  </si>
  <si>
    <t>TSLA</t>
  </si>
  <si>
    <t>0303-HKG</t>
  </si>
  <si>
    <t>PricingInput</t>
  </si>
  <si>
    <t>DailyValuation</t>
  </si>
  <si>
    <t>GetForexConversion</t>
  </si>
  <si>
    <t>UpdateForexConversion</t>
  </si>
  <si>
    <t>EUR</t>
  </si>
  <si>
    <t>USD</t>
  </si>
  <si>
    <t>USD A0-FX</t>
  </si>
  <si>
    <t>HKD</t>
  </si>
  <si>
    <t>HKD A0-FX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</si>
</sst>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 t="str">
        <f>IFERROR(__xludf.DUMMYFUNCTION("""COMPUTED_VALUE"""),"ClearRTPNLtabs")</f>
        <v>ClearRTPNLtabs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 Update")</f>
        <v>Symbol Update</v>
      </c>
      <c r="C5" s="27" t="str">
        <f>IFERROR(__xludf.DUMMYFUNCTION("""COMPUTED_VALUE"""),"RoundLot")</f>
        <v>RoundLot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>
        <v>100.0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17</v>
      </c>
      <c r="C7" s="31">
        <v>200.0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s">
        <v>18</v>
      </c>
      <c r="C8" s="31">
        <v>400.0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3" t="s">
        <v>19</v>
      </c>
      <c r="C9" s="31">
        <v>500.0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3" t="s">
        <v>20</v>
      </c>
      <c r="C10" s="31">
        <v>600.0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3" t="s">
        <v>21</v>
      </c>
      <c r="C11" s="31">
        <v>300.0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21</v>
      </c>
      <c r="C6" s="31">
        <v>100.0</v>
      </c>
      <c r="D6" s="35">
        <v>10.0</v>
      </c>
      <c r="E6" s="33" t="s">
        <v>24</v>
      </c>
      <c r="F6" s="36"/>
      <c r="G6" s="36"/>
      <c r="H6" s="36"/>
      <c r="I6" s="33" t="s">
        <v>25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7">
        <f t="shared" ref="Z6:Z10" si="1">TODAY()-1</f>
        <v>45869</v>
      </c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20</v>
      </c>
      <c r="C7" s="31">
        <v>100.0</v>
      </c>
      <c r="D7" s="38">
        <v>20.0</v>
      </c>
      <c r="E7" s="33" t="s">
        <v>24</v>
      </c>
      <c r="F7" s="36"/>
      <c r="G7" s="36"/>
      <c r="H7" s="36"/>
      <c r="I7" s="33" t="s">
        <v>25</v>
      </c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7">
        <f t="shared" si="1"/>
        <v>45869</v>
      </c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 t="s">
        <v>26</v>
      </c>
      <c r="C8" s="31">
        <v>100.0</v>
      </c>
      <c r="D8" s="38">
        <v>824.46</v>
      </c>
      <c r="E8" s="33" t="s">
        <v>24</v>
      </c>
      <c r="F8" s="36"/>
      <c r="G8" s="36"/>
      <c r="H8" s="36"/>
      <c r="I8" s="33" t="s">
        <v>25</v>
      </c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7">
        <f t="shared" si="1"/>
        <v>45869</v>
      </c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 t="s">
        <v>17</v>
      </c>
      <c r="C9" s="31">
        <v>100.0</v>
      </c>
      <c r="D9" s="38">
        <v>25.0</v>
      </c>
      <c r="E9" s="33" t="s">
        <v>24</v>
      </c>
      <c r="F9" s="36"/>
      <c r="G9" s="36"/>
      <c r="H9" s="36"/>
      <c r="I9" s="33" t="s">
        <v>25</v>
      </c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7">
        <f t="shared" si="1"/>
        <v>45869</v>
      </c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 t="s">
        <v>27</v>
      </c>
      <c r="C10" s="31">
        <v>100.0</v>
      </c>
      <c r="D10" s="38">
        <v>10.0</v>
      </c>
      <c r="E10" s="33" t="s">
        <v>24</v>
      </c>
      <c r="F10" s="36"/>
      <c r="G10" s="36"/>
      <c r="H10" s="36"/>
      <c r="I10" s="33" t="s">
        <v>25</v>
      </c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7">
        <f t="shared" si="1"/>
        <v>45869</v>
      </c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 t="str">
        <f>IFERROR(__xludf.DUMMYFUNCTION("""COMPUTED_VALUE"""),"UpdatePricingInput")</f>
        <v>UpdatePricingInput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21</v>
      </c>
      <c r="C6" s="38">
        <v>10.0</v>
      </c>
      <c r="D6" s="34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20</v>
      </c>
      <c r="C7" s="38">
        <v>20.0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 t="s">
        <v>26</v>
      </c>
      <c r="C8" s="38">
        <v>824.46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 t="s">
        <v>17</v>
      </c>
      <c r="C9" s="38">
        <v>25.0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 t="s">
        <v>27</v>
      </c>
      <c r="C10" s="38">
        <v>10.0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9">
        <f>TODAY()-1</f>
        <v>45869</v>
      </c>
      <c r="C6" s="39">
        <f>TODAY()</f>
        <v>45870</v>
      </c>
      <c r="D6" s="34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0" t="s">
        <v>32</v>
      </c>
      <c r="C6" s="33" t="s">
        <v>33</v>
      </c>
      <c r="D6" s="30" t="s">
        <v>34</v>
      </c>
      <c r="E6" s="31">
        <v>1.07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3" t="s">
        <v>33</v>
      </c>
      <c r="C7" s="33" t="s">
        <v>35</v>
      </c>
      <c r="D7" s="33" t="s">
        <v>36</v>
      </c>
      <c r="E7" s="31">
        <v>7.85</v>
      </c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