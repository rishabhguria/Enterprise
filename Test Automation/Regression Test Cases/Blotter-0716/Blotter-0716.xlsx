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ultiTradingTicketFromBlotter" sheetId="4" r:id="rId6"/>
    <sheet state="visible" name="SelectTradeUsingMTT" sheetId="5" r:id="rId7"/>
    <sheet state="visible" name="EditTradeUsingMTT" sheetId="6" r:id="rId8"/>
    <sheet state="visible" name="SelectTradeUsingMTT1" sheetId="7" r:id="rId9"/>
    <sheet state="visible" name="EditTradeUsingMTT1" sheetId="8" r:id="rId10"/>
    <sheet state="visible" name="SendOrderUsingMTT" sheetId="9" r:id="rId11"/>
    <sheet state="visible" name="MultiTradingTicketFromBlotter1" sheetId="10" r:id="rId12"/>
    <sheet state="visible" name="SelectTradeUsingMTT2" sheetId="11" r:id="rId13"/>
    <sheet state="visible" name="EditTradeUsingMTT2" sheetId="12" r:id="rId14"/>
    <sheet state="visible" name="SelectTradeUsingMTT4" sheetId="13" r:id="rId15"/>
    <sheet state="visible" name="EditTradeUsingMTT3" sheetId="14" r:id="rId16"/>
    <sheet state="visible" name="SendOrderUsingMTT1" sheetId="15" r:id="rId17"/>
    <sheet state="visible" name="SetCompliancePermission" sheetId="16" r:id="rId18"/>
    <sheet state="visible" name="CreateComplianceOrder" sheetId="17" r:id="rId19"/>
    <sheet state="visible" name="VerifyComplianceOrder" sheetId="18" r:id="rId20"/>
    <sheet state="visible" name="CreateComplianceOrder1" sheetId="19" r:id="rId21"/>
    <sheet state="visible" name="VerifyComplianceOrder1" sheetId="20" r:id="rId22"/>
    <sheet state="visible" name="VerifyComplianceOrder2" sheetId="21" r:id="rId23"/>
    <sheet state="visible" name="VerifyComplianceOrder3" sheetId="22" r:id="rId24"/>
    <sheet state="visible" name="LoginClient1" sheetId="23" r:id="rId25"/>
    <sheet state="visible" name="ApproveorRejectpendingapproval1" sheetId="24" r:id="rId26"/>
    <sheet state="visible" name="LoginClient2" sheetId="25" r:id="rId27"/>
  </sheets>
  <definedNames/>
  <calcPr/>
</workbook>
</file>

<file path=xl/sharedStrings.xml><?xml version="1.0" encoding="utf-8"?>
<sst xmlns="http://schemas.openxmlformats.org/spreadsheetml/2006/main" count="251" uniqueCount="48">
  <si>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</si>
  <si>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</si>
  <si>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</si>
  <si>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</si>
  <si>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</si>
  <si>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</si>
  <si>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</si>
  <si>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</si>
  <si>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</si>
  <si>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</si>
  <si>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</si>
  <si>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</si>
  <si>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</si>
  <si>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MultiTradingTicketFromBlotter</t>
  </si>
  <si>
    <t>Data Format</t>
  </si>
  <si>
    <t>Input Format</t>
  </si>
  <si>
    <t>AAPL</t>
  </si>
  <si>
    <t>Buy</t>
  </si>
  <si>
    <t>New</t>
  </si>
  <si>
    <t>MSFT</t>
  </si>
  <si>
    <t>MultiTradingTicket</t>
  </si>
  <si>
    <t>SelectTradeUsingMTT</t>
  </si>
  <si>
    <t>Allocation1</t>
  </si>
  <si>
    <t>EditTradeUsingMTT</t>
  </si>
  <si>
    <t>SendOrderUsingMTT</t>
  </si>
  <si>
    <t>Admin</t>
  </si>
  <si>
    <t>SetCompliancePermission</t>
  </si>
  <si>
    <t>TradeQuantity-123</t>
  </si>
  <si>
    <t>REQUIRES APPROVAL</t>
  </si>
  <si>
    <t>TradingTicket</t>
  </si>
  <si>
    <t>CreateComplianceOrder</t>
  </si>
  <si>
    <t>CreateOrder</t>
  </si>
  <si>
    <t>VerifyComplianceOrder</t>
  </si>
  <si>
    <t>Requires Approval</t>
  </si>
  <si>
    <t>Enter Summary</t>
  </si>
  <si>
    <t>quantity: 7,500.00, Symbol: AAPL</t>
  </si>
  <si>
    <t>Compliance Officer - Please Approve</t>
  </si>
  <si>
    <t>Yes</t>
  </si>
  <si>
    <t>quantity: 8,500.00, Symbol: MSFT</t>
  </si>
  <si>
    <t>Send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</si>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</sst>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5" numFmtId="0" xfId="0" applyAlignment="1" applyBorder="1" applyFill="1" applyFont="1">
      <alignment horizontal="left" readingOrder="0" shrinkToFit="0" vertical="top" wrapText="0"/>
    </xf>
    <xf borderId="5" fillId="7" fontId="16" numFmtId="0" xfId="0" applyAlignment="1" applyBorder="1" applyFill="1" applyFont="1">
      <alignment horizontal="left" readingOrder="0" shrinkToFit="0" vertical="top" wrapText="0"/>
    </xf>
    <xf borderId="5" fillId="8" fontId="16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18</v>
      </c>
      <c r="AL6" s="13"/>
      <c r="AT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19</v>
      </c>
      <c r="AJ7" s="13" t="s">
        <v>17</v>
      </c>
      <c r="AK7" s="13" t="s">
        <v>18</v>
      </c>
      <c r="AL7" s="13"/>
      <c r="AT7" s="1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7500.0</v>
      </c>
      <c r="E6" s="31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2500.0</v>
      </c>
      <c r="E6" s="31"/>
      <c r="F6" s="13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8500.0</v>
      </c>
      <c r="E6" s="31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D6" s="9">
        <v>2300.0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2500.0</v>
      </c>
      <c r="E6" s="31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2300.0</v>
      </c>
      <c r="E7" s="8"/>
      <c r="F7" s="13" t="s">
        <v>22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IFERROR(__xludf.DUMMYFUNCTION("""COMPUTED_VALUE"""),"Transaction Time")</f>
        <v>Transaction Time</v>
      </c>
      <c r="C5" s="33" t="str">
        <f>IFERROR(__xludf.DUMMYFUNCTION("""COMPUTED_VALUE"""),"Algo")</f>
        <v>Algo</v>
      </c>
      <c r="D5" s="33" t="str">
        <f>IFERROR(__xludf.DUMMYFUNCTION("""COMPUTED_VALUE"""),"Avg Fill Price (Base)")</f>
        <v>Avg Fill Price (Base)</v>
      </c>
      <c r="E5" s="33" t="str">
        <f>IFERROR(__xludf.DUMMYFUNCTION("""COMPUTED_VALUE"""),"Bloomberg Symbol")</f>
        <v>Bloomberg Symbol</v>
      </c>
      <c r="F5" s="34" t="str">
        <f>IFERROR(__xludf.DUMMYFUNCTION("""COMPUTED_VALUE"""),"Limit Price")</f>
        <v>Limit Price</v>
      </c>
      <c r="G5" s="33" t="str">
        <f>IFERROR(__xludf.DUMMYFUNCTION("""COMPUTED_VALUE"""),"Working Qty")</f>
        <v>Working Qty</v>
      </c>
      <c r="H5" s="33" t="str">
        <f>IFERROR(__xludf.DUMMYFUNCTION("""COMPUTED_VALUE"""),"Venue")</f>
        <v>Venue</v>
      </c>
      <c r="I5" s="33" t="str">
        <f>IFERROR(__xludf.DUMMYFUNCTION("""COMPUTED_VALUE"""),"User")</f>
        <v>User</v>
      </c>
      <c r="J5" s="33" t="str">
        <f>IFERROR(__xludf.DUMMYFUNCTION("""COMPUTED_VALUE"""),"Underlying Symbol")</f>
        <v>Underlying Symbol</v>
      </c>
      <c r="K5" s="33" t="str">
        <f>IFERROR(__xludf.DUMMYFUNCTION("""COMPUTED_VALUE"""),"Underlying Country")</f>
        <v>Underlying Country</v>
      </c>
      <c r="L5" s="33" t="str">
        <f>IFERROR(__xludf.DUMMYFUNCTION("""COMPUTED_VALUE"""),"Trader")</f>
        <v>Trader</v>
      </c>
      <c r="M5" s="33" t="str">
        <f>IFERROR(__xludf.DUMMYFUNCTION("""COMPUTED_VALUE"""),"Trade Attribute 6")</f>
        <v>Trade Attribute 6</v>
      </c>
      <c r="N5" s="33" t="str">
        <f>IFERROR(__xludf.DUMMYFUNCTION("""COMPUTED_VALUE"""),"Trade Attribute 5")</f>
        <v>Trade Attribute 5</v>
      </c>
      <c r="O5" s="33" t="str">
        <f>IFERROR(__xludf.DUMMYFUNCTION("""COMPUTED_VALUE"""),"Trade Attribute 4")</f>
        <v>Trade Attribute 4</v>
      </c>
      <c r="P5" s="33" t="str">
        <f>IFERROR(__xludf.DUMMYFUNCTION("""COMPUTED_VALUE"""),"Trade Attribute 3")</f>
        <v>Trade Attribute 3</v>
      </c>
      <c r="Q5" s="33" t="str">
        <f>IFERROR(__xludf.DUMMYFUNCTION("""COMPUTED_VALUE"""),"Trade Attribute 1")</f>
        <v>Trade Attribute 1</v>
      </c>
      <c r="R5" s="33" t="str">
        <f>IFERROR(__xludf.DUMMYFUNCTION("""COMPUTED_VALUE"""),"Trade Attribute 2")</f>
        <v>Trade Attribute 2</v>
      </c>
      <c r="S5" s="33" t="str">
        <f>IFERROR(__xludf.DUMMYFUNCTION("""COMPUTED_VALUE"""),"Strike Price")</f>
        <v>Strike Price</v>
      </c>
      <c r="T5" s="35" t="str">
        <f>IFERROR(__xludf.DUMMYFUNCTION("""COMPUTED_VALUE"""),"Stop Price")</f>
        <v>Stop Price</v>
      </c>
      <c r="U5" s="35" t="str">
        <f>IFERROR(__xludf.DUMMYFUNCTION("""COMPUTED_VALUE"""),"Settlement Currency")</f>
        <v>Settlement Currency</v>
      </c>
      <c r="V5" s="35" t="str">
        <f>IFERROR(__xludf.DUMMYFUNCTION("""COMPUTED_VALUE"""),"Put/Call")</f>
        <v>Put/Call</v>
      </c>
      <c r="W5" s="35" t="str">
        <f>IFERROR(__xludf.DUMMYFUNCTION("""COMPUTED_VALUE"""),"Process Date")</f>
        <v>Process Date</v>
      </c>
      <c r="X5" s="35" t="str">
        <f>IFERROR(__xludf.DUMMYFUNCTION("""COMPUTED_VALUE"""),"Peg")</f>
        <v>Peg</v>
      </c>
      <c r="Y5" s="35" t="str">
        <f>IFERROR(__xludf.DUMMYFUNCTION("""COMPUTED_VALUE"""),"ParentClOrderID")</f>
        <v>ParentClOrderID</v>
      </c>
      <c r="Z5" s="35" t="str">
        <f>IFERROR(__xludf.DUMMYFUNCTION("""COMPUTED_VALUE"""),"OrderID")</f>
        <v>OrderID</v>
      </c>
      <c r="AA5" s="35" t="str">
        <f>IFERROR(__xludf.DUMMYFUNCTION("""COMPUTED_VALUE"""),"Master Fund")</f>
        <v>Master Fund</v>
      </c>
      <c r="AB5" s="35" t="str">
        <f>IFERROR(__xludf.DUMMYFUNCTION("""COMPUTED_VALUE"""),"Last Shares")</f>
        <v>Last Shares</v>
      </c>
      <c r="AC5" s="35" t="str">
        <f>IFERROR(__xludf.DUMMYFUNCTION("""COMPUTED_VALUE"""),"Internal Comments")</f>
        <v>Internal Comments</v>
      </c>
      <c r="AD5" s="35" t="str">
        <f>IFERROR(__xludf.DUMMYFUNCTION("""COMPUTED_VALUE"""),"FX Rate")</f>
        <v>FX Rate</v>
      </c>
      <c r="AE5" s="35" t="str">
        <f>IFERROR(__xludf.DUMMYFUNCTION("""COMPUTED_VALUE"""),"Imported File Name")</f>
        <v>Imported File Name</v>
      </c>
      <c r="AF5" s="35" t="str">
        <f>IFERROR(__xludf.DUMMYFUNCTION("""COMPUTED_VALUE"""),"FX Conversion Operator")</f>
        <v>FX Conversion Operator</v>
      </c>
      <c r="AG5" s="35" t="str">
        <f>IFERROR(__xludf.DUMMYFUNCTION("""COMPUTED_VALUE"""),"Day Average Price")</f>
        <v>Day Average Price</v>
      </c>
      <c r="AH5" s="35" t="str">
        <f>IFERROR(__xludf.DUMMYFUNCTION("""COMPUTED_VALUE"""),"Asset Class")</f>
        <v>Asset Class</v>
      </c>
      <c r="AI5" s="35" t="str">
        <f>IFERROR(__xludf.DUMMYFUNCTION("""COMPUTED_VALUE"""),"Symbol")</f>
        <v>Symbol</v>
      </c>
      <c r="AJ5" s="35" t="str">
        <f>IFERROR(__xludf.DUMMYFUNCTION("""COMPUTED_VALUE"""),"Side")</f>
        <v>Side</v>
      </c>
      <c r="AK5" s="35" t="str">
        <f>IFERROR(__xludf.DUMMYFUNCTION("""COMPUTED_VALUE"""),"Status")</f>
        <v>Status</v>
      </c>
      <c r="AL5" s="35" t="str">
        <f>IFERROR(__xludf.DUMMYFUNCTION("""COMPUTED_VALUE"""),"Target Qty")</f>
        <v>Target Qty</v>
      </c>
      <c r="AM5" s="35" t="str">
        <f>IFERROR(__xludf.DUMMYFUNCTION("""COMPUTED_VALUE"""),"Total Executed Qty")</f>
        <v>Total Executed Qty</v>
      </c>
      <c r="AN5" s="35" t="str">
        <f>IFERROR(__xludf.DUMMYFUNCTION("""COMPUTED_VALUE"""),"% Executed")</f>
        <v>% Executed</v>
      </c>
      <c r="AO5" s="35" t="str">
        <f>IFERROR(__xludf.DUMMYFUNCTION("""COMPUTED_VALUE"""),"Day Executed Qty")</f>
        <v>Day Executed Qty</v>
      </c>
      <c r="AP5" s="35" t="str">
        <f>IFERROR(__xludf.DUMMYFUNCTION("""COMPUTED_VALUE"""),"Uncommitted Qty")</f>
        <v>Uncommitted Qty</v>
      </c>
      <c r="AQ5" s="35" t="str">
        <f>IFERROR(__xludf.DUMMYFUNCTION("""COMPUTED_VALUE"""),"Last Fill Price (Local)")</f>
        <v>Last Fill Price (Local)</v>
      </c>
      <c r="AR5" s="35" t="str">
        <f>IFERROR(__xludf.DUMMYFUNCTION("""COMPUTED_VALUE"""),"Avg Fill Price (Local)")</f>
        <v>Avg Fill Price (Local)</v>
      </c>
      <c r="AS5" s="35" t="str">
        <f>IFERROR(__xludf.DUMMYFUNCTION("""COMPUTED_VALUE"""),"Broker")</f>
        <v>Broker</v>
      </c>
      <c r="AT5" s="35" t="str">
        <f>IFERROR(__xludf.DUMMYFUNCTION("""COMPUTED_VALUE"""),"Account")</f>
        <v>Account</v>
      </c>
      <c r="AU5" s="35" t="str">
        <f>IFERROR(__xludf.DUMMYFUNCTION("""COMPUTED_VALUE"""),"Order Type")</f>
        <v>Order Type</v>
      </c>
      <c r="AV5" s="35" t="str">
        <f>IFERROR(__xludf.DUMMYFUNCTION("""COMPUTED_VALUE"""),"Principal Amount (Local)")</f>
        <v>Principal Amount (Local)</v>
      </c>
      <c r="AW5" s="35" t="str">
        <f>IFERROR(__xludf.DUMMYFUNCTION("""COMPUTED_VALUE"""),"Principal Amount (Base)")</f>
        <v>Principal Amount (Base)</v>
      </c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18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19</v>
      </c>
      <c r="AJ7" s="13" t="s">
        <v>17</v>
      </c>
      <c r="AK7" s="9" t="s">
        <v>18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7500.0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1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SelectTradeUsingMTT4!$4:$4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8500.0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/>
      <c r="E7" s="8"/>
      <c r="F7" s="13" t="s">
        <v>22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27</v>
      </c>
      <c r="C6" s="37" t="s">
        <v>28</v>
      </c>
      <c r="D6" s="38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/>
      <c r="C7" s="39"/>
      <c r="D7" s="39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7500.0</v>
      </c>
      <c r="F6" s="13" t="s">
        <v>22</v>
      </c>
      <c r="G6" s="8"/>
      <c r="H6" s="8"/>
      <c r="J6" s="9">
        <v>1.0</v>
      </c>
      <c r="K6" s="8"/>
      <c r="L6" s="8"/>
      <c r="M6" s="8"/>
      <c r="N6" s="8"/>
      <c r="O6" s="8"/>
      <c r="P6" s="13"/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33</v>
      </c>
      <c r="C6" s="42" t="s">
        <v>27</v>
      </c>
      <c r="D6" s="42" t="s">
        <v>34</v>
      </c>
      <c r="E6" s="42" t="s">
        <v>16</v>
      </c>
      <c r="F6" s="42">
        <v>-123.0</v>
      </c>
      <c r="G6" s="42">
        <v>7500.0</v>
      </c>
      <c r="H6" s="42" t="s">
        <v>35</v>
      </c>
      <c r="I6" s="42" t="s">
        <v>36</v>
      </c>
      <c r="J6" s="39"/>
      <c r="K6" s="37" t="s">
        <v>37</v>
      </c>
      <c r="L6" s="39"/>
      <c r="M6" s="9" t="s">
        <v>31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8500.0</v>
      </c>
      <c r="F6" s="13" t="s">
        <v>22</v>
      </c>
      <c r="G6" s="8"/>
      <c r="H6" s="8"/>
      <c r="J6" s="9">
        <v>1.0</v>
      </c>
      <c r="K6" s="8"/>
      <c r="L6" s="8"/>
      <c r="M6" s="8"/>
      <c r="N6" s="8"/>
      <c r="O6" s="8"/>
      <c r="AX6" s="9" t="s">
        <v>31</v>
      </c>
    </row>
    <row r="7" ht="15.75" customHeight="1">
      <c r="A7" s="8"/>
      <c r="B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33</v>
      </c>
      <c r="C6" s="43" t="s">
        <v>27</v>
      </c>
      <c r="D6" s="43" t="s">
        <v>34</v>
      </c>
      <c r="E6" s="43" t="s">
        <v>19</v>
      </c>
      <c r="F6" s="43">
        <v>-123.0</v>
      </c>
      <c r="G6" s="43">
        <v>8500.0</v>
      </c>
      <c r="H6" s="43" t="s">
        <v>38</v>
      </c>
      <c r="I6" s="43" t="s">
        <v>36</v>
      </c>
      <c r="J6" s="39"/>
      <c r="K6" s="37" t="s">
        <v>37</v>
      </c>
      <c r="L6" s="39"/>
      <c r="M6" s="9" t="s">
        <v>31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41"/>
      <c r="C7" s="43"/>
      <c r="D7" s="43"/>
      <c r="E7" s="43"/>
      <c r="F7" s="43"/>
      <c r="G7" s="43"/>
      <c r="H7" s="43"/>
      <c r="I7" s="43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33</v>
      </c>
      <c r="C6" s="43" t="s">
        <v>27</v>
      </c>
      <c r="D6" s="43" t="s">
        <v>34</v>
      </c>
      <c r="E6" s="43" t="s">
        <v>19</v>
      </c>
      <c r="F6" s="43">
        <v>-123.0</v>
      </c>
      <c r="G6" s="43"/>
      <c r="H6" s="43"/>
      <c r="I6" s="43" t="s">
        <v>36</v>
      </c>
      <c r="J6" s="39"/>
      <c r="K6" s="37" t="s">
        <v>37</v>
      </c>
      <c r="L6" s="39"/>
      <c r="M6" s="9" t="s">
        <v>39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41"/>
      <c r="C7" s="43"/>
      <c r="D7" s="43"/>
      <c r="E7" s="43"/>
      <c r="F7" s="43"/>
      <c r="G7" s="43"/>
      <c r="H7" s="43"/>
      <c r="I7" s="43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33</v>
      </c>
      <c r="C6" s="43" t="s">
        <v>27</v>
      </c>
      <c r="D6" s="43" t="s">
        <v>34</v>
      </c>
      <c r="E6" s="43" t="s">
        <v>19</v>
      </c>
      <c r="F6" s="43">
        <v>-123.0</v>
      </c>
      <c r="G6" s="43"/>
      <c r="H6" s="43"/>
      <c r="I6" s="43" t="s">
        <v>36</v>
      </c>
      <c r="J6" s="39"/>
      <c r="K6" s="37" t="s">
        <v>37</v>
      </c>
      <c r="L6" s="39"/>
      <c r="M6" s="9" t="s">
        <v>39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41"/>
      <c r="C7" s="43"/>
      <c r="D7" s="43"/>
      <c r="E7" s="43"/>
      <c r="F7" s="43"/>
      <c r="G7" s="43"/>
      <c r="H7" s="43"/>
      <c r="I7" s="43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13">
        <v>7500.0</v>
      </c>
      <c r="M6" s="8"/>
      <c r="N6" s="8"/>
      <c r="O6" s="13" t="s">
        <v>17</v>
      </c>
      <c r="P6" s="9" t="s">
        <v>46</v>
      </c>
    </row>
    <row r="7" ht="15.75" customHeight="1">
      <c r="A7" s="8"/>
      <c r="B7" s="8"/>
      <c r="C7" s="13" t="s">
        <v>19</v>
      </c>
      <c r="D7" s="8"/>
      <c r="E7" s="8"/>
      <c r="F7" s="8"/>
      <c r="G7" s="8"/>
      <c r="H7" s="8"/>
      <c r="I7" s="8"/>
      <c r="J7" s="8"/>
      <c r="K7" s="8"/>
      <c r="L7" s="13">
        <v>8500.0</v>
      </c>
      <c r="M7" s="8"/>
      <c r="N7" s="8"/>
      <c r="O7" s="13" t="s">
        <v>17</v>
      </c>
      <c r="P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LoginClient2!$4:$4</formula1>
    </dataValidation>
  </dataValidations>
  <drawing r:id="rId1"/>
</worksheet>
</file>