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AccountBalance" sheetId="11" r:id="rId13"/>
    <sheet state="visible" name="GetDayEndCash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<sst xmlns="http://schemas.openxmlformats.org/spreadsheetml/2006/main" count="1210" uniqueCount="78">
  <si>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</si>
  <si>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</si>
  <si>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</si>
  <si>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</si>
  <si>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</si>
  <si>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</si>
  <si>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</si>
  <si>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</si>
  <si>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</si>
  <si>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</si>
  <si>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</si>
  <si>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</si>
  <si>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</si>
  <si>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</si>
  <si>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</si>
  <si>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</si>
  <si>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</si>
  <si>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</si>
  <si>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</si>
  <si>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</si>
  <si>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</si>
  <si>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</si>
  <si>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</si>
  <si>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</si>
  <si>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</si>
  <si>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</si>
  <si>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</si>
  <si>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</si>
  <si>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</si>
  <si>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</si>
  <si>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</si>
  <si>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</si>
  <si>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</si>
  <si>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</si>
  <si>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GetAccountBalance</t>
  </si>
  <si>
    <t>GetDayEndCash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</si>
  <si>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</si>
  <si>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</si>
  <si>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</si>
  <si>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</si>
  <si>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</si>
  <si>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</si>
  <si>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</si>
  <si>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</si>
  <si>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</si>
  <si>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</si>
  <si>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</si>
  <si>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</si>
  <si>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</si>
  <si>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</si>
  <si>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</si>
  <si>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</si>
  <si>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</si>
  <si>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</si>
  <si>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</si>
  <si>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</si>
  <si>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</si>
  <si>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</si>
  <si>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</si>
  <si>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</si>
  <si>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</si>
  <si>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</si>
  <si>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</si>
  <si>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</si>
  <si>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</si>
  <si>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</si>
  <si>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</si>
  <si>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</si>
  <si>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</si>
  <si>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</si>
  <si>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</si>
  <si>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</si>
  <si>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</si>
  <si>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EU</t>
  </si>
  <si>
    <t>Allocation</t>
  </si>
  <si>
    <t>GetDataAllocation</t>
  </si>
  <si>
    <t>CheckAllocatedGroups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</si>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</sst>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shrinkToFit="0" wrapText="0"/>
    </xf>
    <xf borderId="0" fillId="0" fontId="2" numFmtId="165" xfId="0" applyFont="1" applyNumberFormat="1"/>
    <xf borderId="5" fillId="0" fontId="3" numFmtId="16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horizontal="right" readingOrder="0" vertical="bottom"/>
    </xf>
    <xf borderId="0" fillId="2" fontId="1" numFmtId="165" xfId="0" applyAlignment="1" applyFont="1" applyNumberFormat="1">
      <alignment horizontal="center" shrinkToFit="0" wrapText="0"/>
    </xf>
    <xf borderId="0" fillId="0" fontId="7" numFmtId="165" xfId="0" applyAlignment="1" applyFont="1" applyNumberFormat="1">
      <alignment shrinkToFit="0" wrapText="0"/>
    </xf>
    <xf borderId="0" fillId="3" fontId="4" numFmtId="165" xfId="0" applyAlignment="1" applyFont="1" applyNumberFormat="1">
      <alignment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4"/>
      <c r="H6" s="36">
        <v>500000.0</v>
      </c>
      <c r="I6" s="34"/>
      <c r="J6" s="36">
        <v>1.0</v>
      </c>
      <c r="K6" s="32" t="s">
        <v>20</v>
      </c>
      <c r="L6" s="34"/>
      <c r="M6" s="34"/>
      <c r="N6" s="34"/>
      <c r="O6" s="34"/>
      <c r="P6" s="34"/>
      <c r="Q6" s="34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9" t="s">
        <v>16</v>
      </c>
      <c r="D7" s="35"/>
      <c r="E7" s="39" t="s">
        <v>18</v>
      </c>
      <c r="F7" s="40" t="s">
        <v>21</v>
      </c>
      <c r="G7" s="35"/>
      <c r="H7" s="35"/>
      <c r="I7" s="41">
        <v>500000.0</v>
      </c>
      <c r="J7" s="41">
        <v>1.0</v>
      </c>
      <c r="K7" s="39" t="s">
        <v>20</v>
      </c>
      <c r="L7" s="35"/>
      <c r="M7" s="35"/>
      <c r="N7" s="35"/>
      <c r="O7" s="35"/>
      <c r="P7" s="35"/>
      <c r="Q7" s="35"/>
      <c r="R7" s="35"/>
      <c r="S7" s="41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24</v>
      </c>
      <c r="C6" s="32" t="s">
        <v>25</v>
      </c>
      <c r="D6" s="36">
        <v>105.0</v>
      </c>
      <c r="E6" s="36">
        <v>105.0</v>
      </c>
      <c r="F6" s="34"/>
      <c r="G6" s="32" t="s">
        <v>26</v>
      </c>
      <c r="H6" s="34"/>
      <c r="I6" s="34"/>
      <c r="J6" s="36">
        <v>70.0</v>
      </c>
      <c r="K6" s="34"/>
      <c r="L6" s="34"/>
      <c r="M6" s="34"/>
      <c r="N6" s="33">
        <v>43871.0</v>
      </c>
      <c r="O6" s="32">
        <v>1.1</v>
      </c>
      <c r="P6" s="34"/>
      <c r="Q6" s="34"/>
      <c r="R6" s="32" t="s">
        <v>27</v>
      </c>
      <c r="S6" s="42">
        <v>2.5</v>
      </c>
      <c r="T6" s="39" t="s">
        <v>27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9" t="s">
        <v>28</v>
      </c>
      <c r="AG6" s="35"/>
      <c r="AH6" s="35"/>
      <c r="AI6" s="35"/>
      <c r="AJ6" s="35"/>
      <c r="AK6" s="39" t="s">
        <v>16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24</v>
      </c>
      <c r="C6" s="36">
        <v>75.0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43872.0</v>
      </c>
      <c r="C6" s="33">
        <v>43872.0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43872.0</v>
      </c>
      <c r="C6" s="33">
        <v>43872.0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24</v>
      </c>
      <c r="C6" s="36">
        <v>75.0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7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9" t="s">
        <v>16</v>
      </c>
      <c r="D6" s="9" t="s">
        <v>24</v>
      </c>
      <c r="E6" s="9" t="s">
        <v>28</v>
      </c>
      <c r="F6" s="9" t="s">
        <v>38</v>
      </c>
      <c r="G6" s="9">
        <v>515.0</v>
      </c>
      <c r="H6" s="9">
        <v>0.0</v>
      </c>
      <c r="I6" s="8"/>
      <c r="J6" s="8"/>
      <c r="K6" s="8"/>
      <c r="L6" s="9">
        <v>1.5</v>
      </c>
      <c r="M6" s="9" t="s">
        <v>20</v>
      </c>
      <c r="N6" s="9" t="s">
        <v>39</v>
      </c>
      <c r="O6" s="9" t="s">
        <v>40</v>
      </c>
      <c r="P6" s="9" t="s">
        <v>18</v>
      </c>
      <c r="Q6" s="9" t="s">
        <v>41</v>
      </c>
      <c r="R6" s="9">
        <v>772.5</v>
      </c>
      <c r="S6" s="9">
        <v>0.0</v>
      </c>
    </row>
    <row r="7" ht="15.75" customHeight="1">
      <c r="A7" s="8"/>
      <c r="B7" s="45">
        <v>43871.0</v>
      </c>
      <c r="C7" s="9" t="s">
        <v>16</v>
      </c>
      <c r="D7" s="9" t="s">
        <v>24</v>
      </c>
      <c r="E7" s="9" t="s">
        <v>28</v>
      </c>
      <c r="F7" s="9" t="s">
        <v>42</v>
      </c>
      <c r="G7" s="9">
        <v>0.0</v>
      </c>
      <c r="H7" s="9">
        <v>515.0</v>
      </c>
      <c r="I7" s="8"/>
      <c r="J7" s="8"/>
      <c r="K7" s="8"/>
      <c r="L7" s="9">
        <v>1.5</v>
      </c>
      <c r="M7" s="9" t="s">
        <v>20</v>
      </c>
      <c r="N7" s="9" t="s">
        <v>43</v>
      </c>
      <c r="O7" s="9" t="s">
        <v>40</v>
      </c>
      <c r="P7" s="9" t="s">
        <v>18</v>
      </c>
      <c r="Q7" s="9" t="s">
        <v>41</v>
      </c>
      <c r="R7" s="9">
        <v>0.0</v>
      </c>
      <c r="S7" s="9">
        <v>772.5</v>
      </c>
    </row>
    <row r="8" ht="15.75" customHeight="1">
      <c r="A8" s="8"/>
      <c r="B8" s="45">
        <v>43871.0</v>
      </c>
      <c r="C8" s="9" t="s">
        <v>16</v>
      </c>
      <c r="D8" s="9" t="s">
        <v>28</v>
      </c>
      <c r="E8" s="9" t="s">
        <v>18</v>
      </c>
      <c r="F8" s="9" t="s">
        <v>38</v>
      </c>
      <c r="G8" s="9">
        <v>2944.0</v>
      </c>
      <c r="H8" s="9">
        <v>0.0</v>
      </c>
      <c r="I8" s="8"/>
      <c r="J8" s="8"/>
      <c r="K8" s="8"/>
      <c r="L8" s="9">
        <v>1.0</v>
      </c>
      <c r="M8" s="9" t="s">
        <v>20</v>
      </c>
      <c r="N8" s="9" t="s">
        <v>39</v>
      </c>
      <c r="O8" s="9" t="s">
        <v>40</v>
      </c>
      <c r="P8" s="9" t="s">
        <v>18</v>
      </c>
      <c r="Q8" s="9" t="s">
        <v>41</v>
      </c>
      <c r="R8" s="9">
        <v>2944.0</v>
      </c>
      <c r="S8" s="9">
        <v>0.0</v>
      </c>
    </row>
    <row r="9" ht="15.75" customHeight="1">
      <c r="A9" s="8"/>
      <c r="B9" s="45">
        <v>43871.0</v>
      </c>
      <c r="C9" s="9" t="s">
        <v>16</v>
      </c>
      <c r="D9" s="9" t="s">
        <v>28</v>
      </c>
      <c r="E9" s="9" t="s">
        <v>18</v>
      </c>
      <c r="F9" s="9" t="s">
        <v>42</v>
      </c>
      <c r="G9" s="9">
        <v>0.0</v>
      </c>
      <c r="H9" s="9">
        <v>2944.0</v>
      </c>
      <c r="I9" s="8"/>
      <c r="J9" s="8"/>
      <c r="K9" s="8"/>
      <c r="L9" s="9">
        <v>1.0</v>
      </c>
      <c r="M9" s="9" t="s">
        <v>20</v>
      </c>
      <c r="N9" s="9" t="s">
        <v>43</v>
      </c>
      <c r="O9" s="9" t="s">
        <v>40</v>
      </c>
      <c r="P9" s="9" t="s">
        <v>18</v>
      </c>
      <c r="Q9" s="9" t="s">
        <v>41</v>
      </c>
      <c r="R9" s="9">
        <v>0.0</v>
      </c>
      <c r="S9" s="9">
        <v>2944.0</v>
      </c>
    </row>
    <row r="10" ht="15.75" customHeight="1">
      <c r="A10" s="8"/>
      <c r="B10" s="45">
        <v>43872.0</v>
      </c>
      <c r="C10" s="9" t="s">
        <v>16</v>
      </c>
      <c r="D10" s="9" t="s">
        <v>24</v>
      </c>
      <c r="E10" s="9" t="s">
        <v>28</v>
      </c>
      <c r="F10" s="9" t="s">
        <v>38</v>
      </c>
      <c r="G10" s="9">
        <v>515.0</v>
      </c>
      <c r="H10" s="9">
        <v>0.0</v>
      </c>
      <c r="I10" s="8"/>
      <c r="J10" s="8"/>
      <c r="K10" s="8"/>
      <c r="L10" s="9">
        <v>2.0</v>
      </c>
      <c r="M10" s="9" t="s">
        <v>20</v>
      </c>
      <c r="N10" s="9" t="s">
        <v>39</v>
      </c>
      <c r="O10" s="9" t="s">
        <v>40</v>
      </c>
      <c r="P10" s="9" t="s">
        <v>18</v>
      </c>
      <c r="Q10" s="9" t="s">
        <v>41</v>
      </c>
      <c r="R10" s="9">
        <v>1030.0</v>
      </c>
      <c r="S10" s="9">
        <v>0.0</v>
      </c>
    </row>
    <row r="11" ht="15.75" customHeight="1">
      <c r="A11" s="8"/>
      <c r="B11" s="45">
        <v>43872.0</v>
      </c>
      <c r="C11" s="9" t="s">
        <v>16</v>
      </c>
      <c r="D11" s="9" t="s">
        <v>24</v>
      </c>
      <c r="E11" s="9" t="s">
        <v>28</v>
      </c>
      <c r="F11" s="9" t="s">
        <v>42</v>
      </c>
      <c r="G11" s="9">
        <v>0.0</v>
      </c>
      <c r="H11" s="9">
        <v>515.0</v>
      </c>
      <c r="I11" s="8"/>
      <c r="J11" s="8"/>
      <c r="K11" s="8"/>
      <c r="L11" s="9">
        <v>2.0</v>
      </c>
      <c r="M11" s="9" t="s">
        <v>20</v>
      </c>
      <c r="N11" s="9" t="s">
        <v>43</v>
      </c>
      <c r="O11" s="9" t="s">
        <v>40</v>
      </c>
      <c r="P11" s="9" t="s">
        <v>18</v>
      </c>
      <c r="Q11" s="9" t="s">
        <v>41</v>
      </c>
      <c r="R11" s="9">
        <v>0.0</v>
      </c>
      <c r="S11" s="9">
        <v>1030.0</v>
      </c>
    </row>
    <row r="12" ht="15.75" customHeight="1">
      <c r="A12" s="8"/>
      <c r="B12" s="45">
        <v>43872.0</v>
      </c>
      <c r="C12" s="9" t="s">
        <v>16</v>
      </c>
      <c r="D12" s="9" t="s">
        <v>28</v>
      </c>
      <c r="E12" s="9" t="s">
        <v>18</v>
      </c>
      <c r="F12" s="9" t="s">
        <v>38</v>
      </c>
      <c r="G12" s="9">
        <v>6624.0</v>
      </c>
      <c r="H12" s="9">
        <v>0.0</v>
      </c>
      <c r="I12" s="8"/>
      <c r="J12" s="8"/>
      <c r="K12" s="8"/>
      <c r="L12" s="9">
        <v>1.0</v>
      </c>
      <c r="M12" s="9" t="s">
        <v>20</v>
      </c>
      <c r="N12" s="9" t="s">
        <v>39</v>
      </c>
      <c r="O12" s="9" t="s">
        <v>40</v>
      </c>
      <c r="P12" s="9" t="s">
        <v>18</v>
      </c>
      <c r="Q12" s="9" t="s">
        <v>41</v>
      </c>
      <c r="R12" s="9">
        <v>6624.0</v>
      </c>
      <c r="S12" s="9">
        <v>0.0</v>
      </c>
    </row>
    <row r="13" ht="15.75" customHeight="1">
      <c r="A13" s="8"/>
      <c r="B13" s="45">
        <v>43872.0</v>
      </c>
      <c r="C13" s="9" t="s">
        <v>16</v>
      </c>
      <c r="D13" s="9" t="s">
        <v>28</v>
      </c>
      <c r="E13" s="9" t="s">
        <v>18</v>
      </c>
      <c r="F13" s="9" t="s">
        <v>42</v>
      </c>
      <c r="G13" s="9">
        <v>0.0</v>
      </c>
      <c r="H13" s="9">
        <v>6624.0</v>
      </c>
      <c r="I13" s="8"/>
      <c r="J13" s="8"/>
      <c r="K13" s="8"/>
      <c r="L13" s="9">
        <v>1.0</v>
      </c>
      <c r="M13" s="9" t="s">
        <v>20</v>
      </c>
      <c r="N13" s="9" t="s">
        <v>43</v>
      </c>
      <c r="O13" s="9" t="s">
        <v>40</v>
      </c>
      <c r="P13" s="9" t="s">
        <v>18</v>
      </c>
      <c r="Q13" s="9" t="s">
        <v>41</v>
      </c>
      <c r="R13" s="9">
        <v>0.0</v>
      </c>
      <c r="S13" s="9">
        <v>6624.0</v>
      </c>
    </row>
    <row r="14" ht="15.75" customHeight="1">
      <c r="A14" s="8"/>
      <c r="B14" s="45">
        <v>43872.0</v>
      </c>
      <c r="C14" s="9" t="s">
        <v>16</v>
      </c>
      <c r="D14" s="9" t="s">
        <v>24</v>
      </c>
      <c r="E14" s="9" t="s">
        <v>28</v>
      </c>
      <c r="F14" s="9" t="s">
        <v>42</v>
      </c>
      <c r="G14" s="9">
        <v>515.0</v>
      </c>
      <c r="H14" s="9">
        <v>0.0</v>
      </c>
      <c r="I14" s="8"/>
      <c r="J14" s="8"/>
      <c r="K14" s="8"/>
      <c r="L14" s="9">
        <v>1.5</v>
      </c>
      <c r="M14" s="9" t="s">
        <v>20</v>
      </c>
      <c r="N14" s="9" t="s">
        <v>39</v>
      </c>
      <c r="O14" s="9" t="s">
        <v>40</v>
      </c>
      <c r="P14" s="9" t="s">
        <v>18</v>
      </c>
      <c r="Q14" s="9" t="s">
        <v>44</v>
      </c>
      <c r="R14" s="9">
        <v>772.5</v>
      </c>
      <c r="S14" s="9">
        <v>0.0</v>
      </c>
    </row>
    <row r="15" ht="15.75" customHeight="1">
      <c r="A15" s="8"/>
      <c r="B15" s="45">
        <v>43872.0</v>
      </c>
      <c r="C15" s="9" t="s">
        <v>16</v>
      </c>
      <c r="D15" s="9" t="s">
        <v>24</v>
      </c>
      <c r="E15" s="9" t="s">
        <v>28</v>
      </c>
      <c r="F15" s="9" t="s">
        <v>38</v>
      </c>
      <c r="G15" s="9">
        <v>0.0</v>
      </c>
      <c r="H15" s="9">
        <v>515.0</v>
      </c>
      <c r="I15" s="8"/>
      <c r="J15" s="8"/>
      <c r="K15" s="8"/>
      <c r="L15" s="9">
        <v>1.5</v>
      </c>
      <c r="M15" s="9" t="s">
        <v>20</v>
      </c>
      <c r="N15" s="9" t="s">
        <v>43</v>
      </c>
      <c r="O15" s="9" t="s">
        <v>40</v>
      </c>
      <c r="P15" s="9" t="s">
        <v>18</v>
      </c>
      <c r="Q15" s="9" t="s">
        <v>44</v>
      </c>
      <c r="R15" s="9">
        <v>0.0</v>
      </c>
      <c r="S15" s="9">
        <v>772.5</v>
      </c>
    </row>
    <row r="16" ht="15.75" customHeight="1">
      <c r="A16" s="8"/>
      <c r="B16" s="45">
        <v>43872.0</v>
      </c>
      <c r="C16" s="9" t="s">
        <v>16</v>
      </c>
      <c r="D16" s="9" t="s">
        <v>28</v>
      </c>
      <c r="E16" s="9" t="s">
        <v>18</v>
      </c>
      <c r="F16" s="9" t="s">
        <v>42</v>
      </c>
      <c r="G16" s="9">
        <v>2944.0</v>
      </c>
      <c r="H16" s="9">
        <v>0.0</v>
      </c>
      <c r="I16" s="8"/>
      <c r="J16" s="8"/>
      <c r="K16" s="8"/>
      <c r="L16" s="9">
        <v>1.0</v>
      </c>
      <c r="M16" s="9" t="s">
        <v>20</v>
      </c>
      <c r="N16" s="9" t="s">
        <v>39</v>
      </c>
      <c r="O16" s="9" t="s">
        <v>40</v>
      </c>
      <c r="P16" s="9" t="s">
        <v>18</v>
      </c>
      <c r="Q16" s="9" t="s">
        <v>44</v>
      </c>
      <c r="R16" s="9">
        <v>2944.0</v>
      </c>
      <c r="S16" s="9">
        <v>0.0</v>
      </c>
    </row>
    <row r="17" ht="15.75" customHeight="1">
      <c r="A17" s="8"/>
      <c r="B17" s="45">
        <v>43872.0</v>
      </c>
      <c r="C17" s="9" t="s">
        <v>16</v>
      </c>
      <c r="D17" s="9" t="s">
        <v>28</v>
      </c>
      <c r="E17" s="9" t="s">
        <v>18</v>
      </c>
      <c r="F17" s="9" t="s">
        <v>38</v>
      </c>
      <c r="G17" s="9">
        <v>0.0</v>
      </c>
      <c r="H17" s="9">
        <v>2944.0</v>
      </c>
      <c r="I17" s="8"/>
      <c r="J17" s="8"/>
      <c r="K17" s="8"/>
      <c r="L17" s="9">
        <v>1.0</v>
      </c>
      <c r="M17" s="9" t="s">
        <v>20</v>
      </c>
      <c r="N17" s="9" t="s">
        <v>43</v>
      </c>
      <c r="O17" s="9" t="s">
        <v>40</v>
      </c>
      <c r="P17" s="9" t="s">
        <v>18</v>
      </c>
      <c r="Q17" s="9" t="s">
        <v>44</v>
      </c>
      <c r="R17" s="9">
        <v>0.0</v>
      </c>
      <c r="S17" s="9">
        <v>2944.0</v>
      </c>
    </row>
    <row r="18" ht="15.75" customHeight="1">
      <c r="A18" s="8"/>
      <c r="B18" s="45">
        <v>43871.0</v>
      </c>
      <c r="C18" s="9" t="s">
        <v>16</v>
      </c>
      <c r="D18" s="9" t="s">
        <v>24</v>
      </c>
      <c r="E18" s="9" t="s">
        <v>28</v>
      </c>
      <c r="F18" s="9" t="s">
        <v>19</v>
      </c>
      <c r="G18" s="9">
        <v>7360.0</v>
      </c>
      <c r="H18" s="9">
        <v>0.0</v>
      </c>
      <c r="I18" s="8"/>
      <c r="J18" s="8"/>
      <c r="K18" s="8"/>
      <c r="L18" s="9">
        <v>1.1</v>
      </c>
      <c r="M18" s="9" t="s">
        <v>20</v>
      </c>
      <c r="N18" s="9" t="s">
        <v>39</v>
      </c>
      <c r="O18" s="9" t="s">
        <v>40</v>
      </c>
      <c r="P18" s="9" t="s">
        <v>18</v>
      </c>
      <c r="Q18" s="9" t="s">
        <v>45</v>
      </c>
      <c r="R18" s="9">
        <v>8096.0</v>
      </c>
      <c r="S18" s="9">
        <v>0.0</v>
      </c>
    </row>
    <row r="19" ht="15.75" customHeight="1">
      <c r="A19" s="8"/>
      <c r="B19" s="45">
        <v>43871.0</v>
      </c>
      <c r="C19" s="9" t="s">
        <v>16</v>
      </c>
      <c r="D19" s="9" t="s">
        <v>24</v>
      </c>
      <c r="E19" s="9" t="s">
        <v>28</v>
      </c>
      <c r="F19" s="9" t="s">
        <v>46</v>
      </c>
      <c r="G19" s="9">
        <v>0.0</v>
      </c>
      <c r="H19" s="9">
        <v>7360.0</v>
      </c>
      <c r="I19" s="8"/>
      <c r="J19" s="8"/>
      <c r="K19" s="8"/>
      <c r="L19" s="9">
        <v>1.1</v>
      </c>
      <c r="M19" s="9" t="s">
        <v>20</v>
      </c>
      <c r="N19" s="9" t="s">
        <v>43</v>
      </c>
      <c r="O19" s="9" t="s">
        <v>40</v>
      </c>
      <c r="P19" s="9" t="s">
        <v>18</v>
      </c>
      <c r="Q19" s="9" t="s">
        <v>45</v>
      </c>
      <c r="R19" s="9">
        <v>0.0</v>
      </c>
      <c r="S19" s="9">
        <v>8096.0</v>
      </c>
    </row>
    <row r="20" ht="15.75" customHeight="1">
      <c r="A20" s="8"/>
      <c r="B20" s="45">
        <v>43871.0</v>
      </c>
      <c r="C20" s="9" t="s">
        <v>16</v>
      </c>
      <c r="D20" s="9" t="s">
        <v>24</v>
      </c>
      <c r="E20" s="9" t="s">
        <v>28</v>
      </c>
      <c r="F20" s="9" t="s">
        <v>46</v>
      </c>
      <c r="G20" s="9">
        <v>7360.0</v>
      </c>
      <c r="H20" s="9">
        <v>0.0</v>
      </c>
      <c r="I20" s="8"/>
      <c r="J20" s="8"/>
      <c r="K20" s="8"/>
      <c r="L20" s="9">
        <v>1.5</v>
      </c>
      <c r="M20" s="9" t="s">
        <v>20</v>
      </c>
      <c r="N20" s="9" t="s">
        <v>39</v>
      </c>
      <c r="O20" s="9" t="s">
        <v>40</v>
      </c>
      <c r="P20" s="9" t="s">
        <v>18</v>
      </c>
      <c r="Q20" s="9" t="s">
        <v>47</v>
      </c>
      <c r="R20" s="9">
        <v>11040.0</v>
      </c>
      <c r="S20" s="9">
        <v>0.0</v>
      </c>
    </row>
    <row r="21" ht="15.75" customHeight="1">
      <c r="A21" s="8"/>
      <c r="B21" s="45">
        <v>43871.0</v>
      </c>
      <c r="C21" s="9" t="s">
        <v>16</v>
      </c>
      <c r="D21" s="9" t="s">
        <v>24</v>
      </c>
      <c r="E21" s="9" t="s">
        <v>28</v>
      </c>
      <c r="F21" s="9" t="s">
        <v>19</v>
      </c>
      <c r="G21" s="9">
        <v>0.0</v>
      </c>
      <c r="H21" s="9">
        <v>7360.0</v>
      </c>
      <c r="I21" s="8"/>
      <c r="J21" s="8"/>
      <c r="K21" s="8"/>
      <c r="L21" s="9">
        <v>1.5</v>
      </c>
      <c r="M21" s="9" t="s">
        <v>20</v>
      </c>
      <c r="N21" s="9" t="s">
        <v>43</v>
      </c>
      <c r="O21" s="9" t="s">
        <v>40</v>
      </c>
      <c r="P21" s="9" t="s">
        <v>18</v>
      </c>
      <c r="Q21" s="9" t="s">
        <v>47</v>
      </c>
      <c r="R21" s="9">
        <v>0.0</v>
      </c>
      <c r="S21" s="9">
        <v>11040.0</v>
      </c>
    </row>
    <row r="22" ht="15.75" customHeight="1">
      <c r="A22" s="8"/>
      <c r="B22" s="45">
        <v>43872.0</v>
      </c>
      <c r="C22" s="9" t="s">
        <v>16</v>
      </c>
      <c r="D22" s="9" t="s">
        <v>28</v>
      </c>
      <c r="E22" s="9" t="s">
        <v>28</v>
      </c>
      <c r="F22" s="9" t="s">
        <v>46</v>
      </c>
      <c r="G22" s="9">
        <v>7360.0</v>
      </c>
      <c r="H22" s="9">
        <v>0.0</v>
      </c>
      <c r="I22" s="8"/>
      <c r="J22" s="8"/>
      <c r="K22" s="8"/>
      <c r="L22" s="9">
        <v>2.0</v>
      </c>
      <c r="M22" s="9" t="s">
        <v>20</v>
      </c>
      <c r="N22" s="9" t="s">
        <v>39</v>
      </c>
      <c r="O22" s="9" t="s">
        <v>40</v>
      </c>
      <c r="P22" s="9" t="s">
        <v>18</v>
      </c>
      <c r="Q22" s="9" t="s">
        <v>48</v>
      </c>
      <c r="R22" s="9">
        <v>14720.0</v>
      </c>
      <c r="S22" s="9">
        <v>0.0</v>
      </c>
    </row>
    <row r="23" ht="15.75" customHeight="1">
      <c r="A23" s="8"/>
      <c r="B23" s="45">
        <v>43872.0</v>
      </c>
      <c r="C23" s="9" t="s">
        <v>16</v>
      </c>
      <c r="D23" s="9" t="s">
        <v>28</v>
      </c>
      <c r="E23" s="9" t="s">
        <v>28</v>
      </c>
      <c r="F23" s="9" t="s">
        <v>19</v>
      </c>
      <c r="G23" s="9">
        <v>0.0</v>
      </c>
      <c r="H23" s="9">
        <v>7360.0</v>
      </c>
      <c r="I23" s="8"/>
      <c r="J23" s="8"/>
      <c r="K23" s="8"/>
      <c r="L23" s="9">
        <v>2.0</v>
      </c>
      <c r="M23" s="9" t="s">
        <v>20</v>
      </c>
      <c r="N23" s="9" t="s">
        <v>43</v>
      </c>
      <c r="O23" s="9" t="s">
        <v>40</v>
      </c>
      <c r="P23" s="9" t="s">
        <v>18</v>
      </c>
      <c r="Q23" s="9" t="s">
        <v>48</v>
      </c>
      <c r="R23" s="9">
        <v>0.0</v>
      </c>
      <c r="S23" s="9">
        <v>14720.0</v>
      </c>
    </row>
    <row r="24" ht="15.75" customHeight="1">
      <c r="A24" s="8"/>
      <c r="B24" s="45">
        <v>43872.0</v>
      </c>
      <c r="C24" s="9" t="s">
        <v>16</v>
      </c>
      <c r="D24" s="9" t="s">
        <v>28</v>
      </c>
      <c r="E24" s="9" t="s">
        <v>28</v>
      </c>
      <c r="F24" s="9" t="s">
        <v>19</v>
      </c>
      <c r="G24" s="9">
        <v>7360.0</v>
      </c>
      <c r="H24" s="9">
        <v>0.0</v>
      </c>
      <c r="I24" s="8"/>
      <c r="J24" s="8"/>
      <c r="K24" s="8"/>
      <c r="L24" s="9">
        <v>1.5</v>
      </c>
      <c r="M24" s="9" t="s">
        <v>20</v>
      </c>
      <c r="N24" s="9" t="s">
        <v>39</v>
      </c>
      <c r="O24" s="9" t="s">
        <v>40</v>
      </c>
      <c r="P24" s="9" t="s">
        <v>18</v>
      </c>
      <c r="Q24" s="9" t="s">
        <v>49</v>
      </c>
      <c r="R24" s="9">
        <v>11040.0</v>
      </c>
      <c r="S24" s="9">
        <v>0.0</v>
      </c>
    </row>
    <row r="25" ht="15.75" customHeight="1">
      <c r="A25" s="8"/>
      <c r="B25" s="45">
        <v>43872.0</v>
      </c>
      <c r="C25" s="9" t="s">
        <v>16</v>
      </c>
      <c r="D25" s="9" t="s">
        <v>28</v>
      </c>
      <c r="E25" s="9" t="s">
        <v>28</v>
      </c>
      <c r="F25" s="9" t="s">
        <v>46</v>
      </c>
      <c r="G25" s="9">
        <v>0.0</v>
      </c>
      <c r="H25" s="9">
        <v>7360.0</v>
      </c>
      <c r="I25" s="8"/>
      <c r="J25" s="8"/>
      <c r="K25" s="8"/>
      <c r="L25" s="9">
        <v>1.5</v>
      </c>
      <c r="M25" s="9" t="s">
        <v>20</v>
      </c>
      <c r="N25" s="9" t="s">
        <v>43</v>
      </c>
      <c r="O25" s="9" t="s">
        <v>40</v>
      </c>
      <c r="P25" s="9" t="s">
        <v>18</v>
      </c>
      <c r="Q25" s="9" t="s">
        <v>49</v>
      </c>
      <c r="R25" s="9">
        <v>0.0</v>
      </c>
      <c r="S25" s="9">
        <v>11040.0</v>
      </c>
    </row>
    <row r="26" ht="15.75" customHeight="1">
      <c r="A26" s="8"/>
      <c r="B26" s="4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47"/>
    </row>
    <row r="28" ht="15.75" customHeight="1">
      <c r="B2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0.0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8"/>
      <c r="D6" s="11"/>
      <c r="E6" s="9">
        <v>7360.0</v>
      </c>
      <c r="F6" s="9">
        <v>0.0</v>
      </c>
      <c r="G6" s="9">
        <v>1.1</v>
      </c>
      <c r="H6" s="9" t="s">
        <v>20</v>
      </c>
      <c r="I6" s="9" t="s">
        <v>39</v>
      </c>
      <c r="J6" s="9" t="s">
        <v>51</v>
      </c>
      <c r="K6" s="9" t="s">
        <v>28</v>
      </c>
      <c r="L6" s="9" t="s">
        <v>18</v>
      </c>
      <c r="M6" s="9" t="s">
        <v>24</v>
      </c>
      <c r="N6" s="8"/>
      <c r="O6" s="9">
        <v>8096.0</v>
      </c>
      <c r="P6" s="9">
        <v>0.0</v>
      </c>
      <c r="Q6" s="9" t="s">
        <v>52</v>
      </c>
      <c r="R6" s="9" t="s">
        <v>16</v>
      </c>
    </row>
    <row r="7" ht="15.75" customHeight="1">
      <c r="A7" s="8"/>
      <c r="B7" s="45">
        <v>43871.0</v>
      </c>
      <c r="C7" s="8"/>
      <c r="D7" s="8"/>
      <c r="E7" s="9">
        <v>0.0</v>
      </c>
      <c r="F7" s="9">
        <v>7360.0</v>
      </c>
      <c r="G7" s="9">
        <v>1.1</v>
      </c>
      <c r="H7" s="9" t="s">
        <v>20</v>
      </c>
      <c r="I7" s="9" t="s">
        <v>43</v>
      </c>
      <c r="J7" s="9" t="s">
        <v>51</v>
      </c>
      <c r="K7" s="9" t="s">
        <v>28</v>
      </c>
      <c r="L7" s="9" t="s">
        <v>18</v>
      </c>
      <c r="M7" s="9" t="s">
        <v>24</v>
      </c>
      <c r="N7" s="8"/>
      <c r="O7" s="9">
        <v>0.0</v>
      </c>
      <c r="P7" s="9">
        <v>8096.0</v>
      </c>
      <c r="Q7" s="9" t="s">
        <v>19</v>
      </c>
      <c r="R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/>
      <c r="C6" s="32" t="s">
        <v>16</v>
      </c>
      <c r="D6" s="33">
        <v>43871.0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5" width="14.43"/>
    <col customWidth="1" min="26" max="26" width="29.71"/>
    <col customWidth="1" min="2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40</v>
      </c>
      <c r="D6" s="9" t="s">
        <v>55</v>
      </c>
      <c r="E6" s="9">
        <v>515.0</v>
      </c>
      <c r="F6" s="8"/>
      <c r="G6" s="8"/>
      <c r="H6" s="8"/>
      <c r="I6" s="8"/>
      <c r="J6" s="9">
        <v>0.0</v>
      </c>
      <c r="K6" s="9" t="s">
        <v>28</v>
      </c>
      <c r="L6" s="9" t="s">
        <v>41</v>
      </c>
      <c r="M6" s="8"/>
      <c r="N6" s="9" t="s">
        <v>20</v>
      </c>
      <c r="O6" s="9">
        <v>1.5</v>
      </c>
      <c r="V6" s="9">
        <v>0.0</v>
      </c>
      <c r="Z6" s="9">
        <v>0.0</v>
      </c>
      <c r="AB6" s="9" t="s">
        <v>24</v>
      </c>
      <c r="AE6" s="45">
        <v>43871.0</v>
      </c>
      <c r="AG6" s="9" t="s">
        <v>40</v>
      </c>
    </row>
    <row r="7" ht="15.75" customHeight="1">
      <c r="A7" s="8"/>
      <c r="B7" s="9" t="s">
        <v>16</v>
      </c>
      <c r="C7" s="9" t="s">
        <v>40</v>
      </c>
      <c r="D7" s="9" t="s">
        <v>55</v>
      </c>
      <c r="E7" s="9">
        <v>2944.0</v>
      </c>
      <c r="F7" s="8"/>
      <c r="G7" s="8"/>
      <c r="H7" s="8"/>
      <c r="I7" s="8"/>
      <c r="J7" s="9">
        <v>0.0</v>
      </c>
      <c r="K7" s="9" t="s">
        <v>18</v>
      </c>
      <c r="L7" s="9" t="s">
        <v>41</v>
      </c>
      <c r="M7" s="8"/>
      <c r="N7" s="9" t="s">
        <v>20</v>
      </c>
      <c r="O7" s="9">
        <v>1.0</v>
      </c>
      <c r="V7" s="9">
        <v>0.0</v>
      </c>
      <c r="Z7" s="9">
        <v>0.0</v>
      </c>
      <c r="AB7" s="9" t="s">
        <v>28</v>
      </c>
      <c r="AE7" s="45">
        <v>43871.0</v>
      </c>
      <c r="AG7" s="9" t="s">
        <v>40</v>
      </c>
    </row>
    <row r="8" ht="15.75" customHeight="1">
      <c r="A8" s="8"/>
      <c r="B8" s="9" t="s">
        <v>16</v>
      </c>
      <c r="C8" s="9" t="s">
        <v>56</v>
      </c>
      <c r="D8" s="9" t="s">
        <v>57</v>
      </c>
      <c r="E8" s="9">
        <v>500000.0</v>
      </c>
      <c r="F8" s="8"/>
      <c r="G8" s="8"/>
      <c r="H8" s="8"/>
      <c r="I8" s="8"/>
      <c r="J8" s="9">
        <v>0.0</v>
      </c>
      <c r="K8" s="9" t="s">
        <v>18</v>
      </c>
      <c r="M8" s="8"/>
      <c r="N8" s="9" t="s">
        <v>20</v>
      </c>
      <c r="O8" s="9">
        <v>1.0</v>
      </c>
      <c r="V8" s="9">
        <v>0.0</v>
      </c>
      <c r="Z8" s="9">
        <v>0.0</v>
      </c>
      <c r="AE8" s="45">
        <v>43871.0</v>
      </c>
      <c r="AG8" s="9" t="s">
        <v>58</v>
      </c>
    </row>
    <row r="9" ht="15.75" customHeight="1">
      <c r="A9" s="8"/>
      <c r="B9" s="9" t="s">
        <v>16</v>
      </c>
      <c r="C9" s="9" t="s">
        <v>40</v>
      </c>
      <c r="D9" s="9" t="s">
        <v>59</v>
      </c>
      <c r="E9" s="9">
        <v>7360.0</v>
      </c>
      <c r="F9" s="8"/>
      <c r="G9" s="8"/>
      <c r="H9" s="8"/>
      <c r="I9" s="8"/>
      <c r="J9" s="9">
        <v>0.0</v>
      </c>
      <c r="K9" s="9" t="s">
        <v>28</v>
      </c>
      <c r="L9" s="9" t="s">
        <v>45</v>
      </c>
      <c r="M9" s="8"/>
      <c r="N9" s="9" t="s">
        <v>20</v>
      </c>
      <c r="O9" s="9">
        <v>1.1</v>
      </c>
      <c r="V9" s="9">
        <v>0.0</v>
      </c>
      <c r="Z9" s="9">
        <v>0.0</v>
      </c>
      <c r="AB9" s="9" t="s">
        <v>24</v>
      </c>
      <c r="AE9" s="45">
        <v>43871.0</v>
      </c>
      <c r="AG9" s="9" t="s">
        <v>40</v>
      </c>
    </row>
    <row r="10" ht="15.75" customHeight="1">
      <c r="A10" s="8"/>
      <c r="B10" s="9" t="s">
        <v>16</v>
      </c>
      <c r="C10" s="9" t="s">
        <v>40</v>
      </c>
      <c r="D10" s="9" t="s">
        <v>59</v>
      </c>
      <c r="E10" s="9">
        <v>-7360.0</v>
      </c>
      <c r="F10" s="8"/>
      <c r="G10" s="8"/>
      <c r="H10" s="8"/>
      <c r="I10" s="8"/>
      <c r="J10" s="9">
        <v>0.0</v>
      </c>
      <c r="K10" s="9" t="s">
        <v>28</v>
      </c>
      <c r="L10" s="9" t="s">
        <v>47</v>
      </c>
      <c r="M10" s="8"/>
      <c r="N10" s="9" t="s">
        <v>20</v>
      </c>
      <c r="O10" s="9">
        <v>1.5</v>
      </c>
      <c r="V10" s="9">
        <v>0.0</v>
      </c>
      <c r="Z10" s="9">
        <v>0.0</v>
      </c>
      <c r="AB10" s="9" t="s">
        <v>24</v>
      </c>
      <c r="AE10" s="45">
        <v>43871.0</v>
      </c>
      <c r="AG10" s="9" t="s">
        <v>40</v>
      </c>
    </row>
    <row r="11" ht="15.75" customHeight="1">
      <c r="A11" s="8"/>
      <c r="B11" s="9" t="s">
        <v>16</v>
      </c>
      <c r="C11" s="9" t="s">
        <v>51</v>
      </c>
      <c r="D11" s="9" t="s">
        <v>60</v>
      </c>
      <c r="E11" s="9">
        <v>-7360.0</v>
      </c>
      <c r="F11" s="8"/>
      <c r="G11" s="8"/>
      <c r="H11" s="8"/>
      <c r="I11" s="8"/>
      <c r="J11" s="9">
        <v>2.5</v>
      </c>
      <c r="K11" s="9" t="s">
        <v>28</v>
      </c>
      <c r="L11" s="9" t="s">
        <v>61</v>
      </c>
      <c r="M11" s="8"/>
      <c r="N11" s="9" t="s">
        <v>20</v>
      </c>
      <c r="O11" s="9">
        <v>1.1</v>
      </c>
      <c r="V11" s="9">
        <v>105.0</v>
      </c>
      <c r="Z11" s="9">
        <v>7.5</v>
      </c>
      <c r="AB11" s="9" t="s">
        <v>24</v>
      </c>
      <c r="AE11" s="45">
        <v>43871.0</v>
      </c>
      <c r="AG11" s="9" t="s">
        <v>51</v>
      </c>
    </row>
    <row r="12" ht="15.75" customHeight="1">
      <c r="A12" s="8"/>
      <c r="B12" s="9" t="s">
        <v>16</v>
      </c>
      <c r="C12" s="9" t="s">
        <v>40</v>
      </c>
      <c r="D12" s="9" t="s">
        <v>59</v>
      </c>
      <c r="E12" s="9">
        <v>-7360.0</v>
      </c>
      <c r="F12" s="8"/>
      <c r="G12" s="8"/>
      <c r="H12" s="8"/>
      <c r="I12" s="8"/>
      <c r="J12" s="9">
        <v>0.0</v>
      </c>
      <c r="K12" s="9" t="s">
        <v>28</v>
      </c>
      <c r="L12" s="9" t="s">
        <v>48</v>
      </c>
      <c r="M12" s="8"/>
      <c r="N12" s="9" t="s">
        <v>20</v>
      </c>
      <c r="O12" s="9">
        <v>2.0</v>
      </c>
      <c r="V12" s="9">
        <v>0.0</v>
      </c>
      <c r="Z12" s="9">
        <v>0.0</v>
      </c>
      <c r="AB12" s="9" t="s">
        <v>28</v>
      </c>
      <c r="AE12" s="45">
        <v>43872.0</v>
      </c>
      <c r="AG12" s="9" t="s">
        <v>40</v>
      </c>
    </row>
    <row r="13" ht="15.75" customHeight="1">
      <c r="A13" s="8"/>
      <c r="B13" s="9" t="s">
        <v>16</v>
      </c>
      <c r="C13" s="9" t="s">
        <v>40</v>
      </c>
      <c r="D13" s="9" t="s">
        <v>59</v>
      </c>
      <c r="E13" s="9">
        <v>7360.0</v>
      </c>
      <c r="F13" s="8"/>
      <c r="G13" s="8"/>
      <c r="H13" s="8"/>
      <c r="I13" s="8"/>
      <c r="J13" s="9">
        <v>0.0</v>
      </c>
      <c r="K13" s="9" t="s">
        <v>28</v>
      </c>
      <c r="L13" s="9" t="s">
        <v>49</v>
      </c>
      <c r="M13" s="8"/>
      <c r="N13" s="9" t="s">
        <v>20</v>
      </c>
      <c r="O13" s="9">
        <v>1.5</v>
      </c>
      <c r="V13" s="9">
        <v>0.0</v>
      </c>
      <c r="Z13" s="9">
        <v>0.0</v>
      </c>
      <c r="AB13" s="9" t="s">
        <v>28</v>
      </c>
      <c r="AE13" s="45">
        <v>43872.0</v>
      </c>
      <c r="AG13" s="9" t="s">
        <v>40</v>
      </c>
    </row>
    <row r="14" ht="15.75" customHeight="1">
      <c r="A14" s="8"/>
      <c r="B14" s="9" t="s">
        <v>16</v>
      </c>
      <c r="C14" s="9" t="s">
        <v>40</v>
      </c>
      <c r="D14" s="9" t="s">
        <v>55</v>
      </c>
      <c r="E14" s="9">
        <v>515.0</v>
      </c>
      <c r="F14" s="8"/>
      <c r="G14" s="8"/>
      <c r="H14" s="8"/>
      <c r="I14" s="8"/>
      <c r="J14" s="9">
        <v>0.0</v>
      </c>
      <c r="K14" s="9" t="s">
        <v>28</v>
      </c>
      <c r="L14" s="9" t="s">
        <v>41</v>
      </c>
      <c r="M14" s="8"/>
      <c r="N14" s="9" t="s">
        <v>20</v>
      </c>
      <c r="O14" s="9">
        <v>2.0</v>
      </c>
      <c r="V14" s="9">
        <v>0.0</v>
      </c>
      <c r="Z14" s="9">
        <v>0.0</v>
      </c>
      <c r="AB14" s="9" t="s">
        <v>24</v>
      </c>
      <c r="AE14" s="45">
        <v>43872.0</v>
      </c>
      <c r="AG14" s="9" t="s">
        <v>40</v>
      </c>
    </row>
    <row r="15" ht="15.75" customHeight="1">
      <c r="A15" s="8"/>
      <c r="B15" s="9" t="s">
        <v>16</v>
      </c>
      <c r="C15" s="9" t="s">
        <v>40</v>
      </c>
      <c r="D15" s="9" t="s">
        <v>55</v>
      </c>
      <c r="E15" s="9">
        <v>6624.0</v>
      </c>
      <c r="F15" s="8"/>
      <c r="G15" s="8"/>
      <c r="H15" s="8"/>
      <c r="I15" s="8"/>
      <c r="J15" s="9">
        <v>0.0</v>
      </c>
      <c r="K15" s="9" t="s">
        <v>18</v>
      </c>
      <c r="L15" s="9" t="s">
        <v>41</v>
      </c>
      <c r="M15" s="8"/>
      <c r="N15" s="9" t="s">
        <v>20</v>
      </c>
      <c r="O15" s="9">
        <v>1.0</v>
      </c>
      <c r="V15" s="9">
        <v>0.0</v>
      </c>
      <c r="Z15" s="9">
        <v>0.0</v>
      </c>
      <c r="AB15" s="9" t="s">
        <v>28</v>
      </c>
      <c r="AE15" s="45">
        <v>43872.0</v>
      </c>
      <c r="AG15" s="9" t="s">
        <v>40</v>
      </c>
    </row>
    <row r="16" ht="15.75" customHeight="1">
      <c r="A16" s="8"/>
      <c r="B16" s="9" t="s">
        <v>16</v>
      </c>
      <c r="C16" s="9" t="s">
        <v>40</v>
      </c>
      <c r="D16" s="9" t="s">
        <v>55</v>
      </c>
      <c r="E16" s="9">
        <v>-515.0</v>
      </c>
      <c r="F16" s="8"/>
      <c r="G16" s="8"/>
      <c r="H16" s="8"/>
      <c r="I16" s="8"/>
      <c r="J16" s="9">
        <v>0.0</v>
      </c>
      <c r="K16" s="9" t="s">
        <v>28</v>
      </c>
      <c r="L16" s="9" t="s">
        <v>44</v>
      </c>
      <c r="M16" s="8"/>
      <c r="N16" s="9" t="s">
        <v>20</v>
      </c>
      <c r="O16" s="9">
        <v>1.5</v>
      </c>
      <c r="V16" s="9">
        <v>0.0</v>
      </c>
      <c r="Z16" s="9">
        <v>0.0</v>
      </c>
      <c r="AB16" s="9" t="s">
        <v>24</v>
      </c>
      <c r="AE16" s="45">
        <v>43872.0</v>
      </c>
      <c r="AG16" s="9" t="s">
        <v>40</v>
      </c>
    </row>
    <row r="17" ht="15.75" customHeight="1">
      <c r="A17" s="8"/>
      <c r="B17" s="9" t="s">
        <v>16</v>
      </c>
      <c r="C17" s="9" t="s">
        <v>40</v>
      </c>
      <c r="D17" s="9" t="s">
        <v>55</v>
      </c>
      <c r="E17" s="9">
        <v>-2944.0</v>
      </c>
      <c r="F17" s="8"/>
      <c r="G17" s="8"/>
      <c r="H17" s="8"/>
      <c r="I17" s="8"/>
      <c r="J17" s="9">
        <v>0.0</v>
      </c>
      <c r="K17" s="9" t="s">
        <v>18</v>
      </c>
      <c r="L17" s="9" t="s">
        <v>44</v>
      </c>
      <c r="M17" s="8"/>
      <c r="N17" s="9" t="s">
        <v>20</v>
      </c>
      <c r="O17" s="9">
        <v>1.0</v>
      </c>
      <c r="V17" s="9">
        <v>0.0</v>
      </c>
      <c r="Z17" s="9">
        <v>0.0</v>
      </c>
      <c r="AB17" s="9" t="s">
        <v>28</v>
      </c>
      <c r="AE17" s="45">
        <v>43872.0</v>
      </c>
      <c r="AG17" s="9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64</v>
      </c>
      <c r="C6" s="32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22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>
        <v>43873.0</v>
      </c>
      <c r="C6" s="34"/>
      <c r="D6" s="31"/>
      <c r="E6" s="32" t="s">
        <v>24</v>
      </c>
      <c r="F6" s="34"/>
      <c r="G6" s="32" t="s">
        <v>65</v>
      </c>
      <c r="H6" s="36">
        <v>1.0</v>
      </c>
      <c r="I6" s="36">
        <v>0.33</v>
      </c>
      <c r="J6" s="36">
        <v>0.625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0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50"/>
      <c r="J1" s="50"/>
      <c r="K1" s="50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46"/>
      <c r="J2" s="51" t="str">
        <f> VLOOKUP($E$3,'_MasterData'!B4:D1000,3,FALSE)</f>
        <v>#N/A</v>
      </c>
      <c r="K2" s="51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52"/>
      <c r="J3" s="52"/>
      <c r="K3" s="52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53" t="str">
        <f>IFERROR(__xludf.DUMMYFUNCTION("""COMPUTED_VALUE"""),"StockDividend")</f>
        <v>StockDividend</v>
      </c>
      <c r="J4" s="53" t="str">
        <f>IFERROR(__xludf.DUMMYFUNCTION("""COMPUTED_VALUE"""),"OpenSpinOff")</f>
        <v>OpenSpinOff</v>
      </c>
      <c r="K4" s="53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4" t="str">
        <f>IFERROR(__xludf.DUMMYFUNCTION("""COMPUTED_VALUE"""),"Trade Date")</f>
        <v>Trade Date</v>
      </c>
      <c r="J5" s="54" t="str">
        <f>IFERROR(__xludf.DUMMYFUNCTION("""COMPUTED_VALUE"""),"Process Date")</f>
        <v>Process Date</v>
      </c>
      <c r="K5" s="54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 t="s">
        <v>24</v>
      </c>
      <c r="C6" s="55" t="s">
        <v>28</v>
      </c>
      <c r="D6" s="55" t="s">
        <v>25</v>
      </c>
      <c r="E6" s="55" t="s">
        <v>16</v>
      </c>
      <c r="F6" s="56">
        <v>70.0</v>
      </c>
      <c r="G6" s="56">
        <v>105.0</v>
      </c>
      <c r="H6" s="56">
        <v>10.0</v>
      </c>
      <c r="I6" s="57">
        <v>43871.0</v>
      </c>
      <c r="J6" s="58"/>
      <c r="K6" s="58"/>
      <c r="L6" s="59"/>
      <c r="M6" s="60"/>
      <c r="N6" s="56">
        <v>1.1</v>
      </c>
      <c r="O6" s="55" t="s">
        <v>20</v>
      </c>
      <c r="P6" s="56">
        <v>0.0</v>
      </c>
      <c r="Q6" s="56">
        <v>7360.0</v>
      </c>
      <c r="R6" s="56">
        <v>8096.0</v>
      </c>
      <c r="S6" s="55" t="s">
        <v>25</v>
      </c>
    </row>
    <row r="7" ht="15.75" customHeight="1">
      <c r="A7" s="8"/>
      <c r="B7" s="55" t="s">
        <v>24</v>
      </c>
      <c r="C7" s="55" t="s">
        <v>28</v>
      </c>
      <c r="D7" s="55" t="s">
        <v>67</v>
      </c>
      <c r="E7" s="55" t="s">
        <v>16</v>
      </c>
      <c r="F7" s="56">
        <v>70.0952381</v>
      </c>
      <c r="G7" s="56">
        <v>105.0</v>
      </c>
      <c r="H7" s="56">
        <v>0.0</v>
      </c>
      <c r="I7" s="57">
        <v>43873.0</v>
      </c>
      <c r="J7" s="58"/>
      <c r="K7" s="58"/>
      <c r="L7" s="59"/>
      <c r="M7" s="61"/>
      <c r="N7" s="56">
        <v>1.1</v>
      </c>
      <c r="O7" s="55" t="s">
        <v>20</v>
      </c>
      <c r="P7" s="56">
        <v>0.0</v>
      </c>
      <c r="Q7" s="56">
        <v>7360.0</v>
      </c>
      <c r="R7" s="56">
        <v>8096.0</v>
      </c>
      <c r="S7" s="55" t="s">
        <v>67</v>
      </c>
    </row>
    <row r="8" ht="15.75" customHeight="1">
      <c r="A8" s="8"/>
      <c r="B8" s="55" t="s">
        <v>24</v>
      </c>
      <c r="C8" s="55" t="s">
        <v>28</v>
      </c>
      <c r="D8" s="55" t="s">
        <v>25</v>
      </c>
      <c r="E8" s="55" t="s">
        <v>16</v>
      </c>
      <c r="F8" s="56">
        <v>43.80952381</v>
      </c>
      <c r="G8" s="56">
        <v>105.0</v>
      </c>
      <c r="H8" s="56">
        <v>0.0</v>
      </c>
      <c r="I8" s="57">
        <v>43873.0</v>
      </c>
      <c r="J8" s="58"/>
      <c r="K8" s="58"/>
      <c r="L8" s="59"/>
      <c r="M8" s="61"/>
      <c r="N8" s="56">
        <v>1.1</v>
      </c>
      <c r="O8" s="55" t="s">
        <v>20</v>
      </c>
      <c r="P8" s="56">
        <v>70.0</v>
      </c>
      <c r="Q8" s="56">
        <v>4600.0</v>
      </c>
      <c r="R8" s="56">
        <v>5060.0</v>
      </c>
      <c r="S8" s="55" t="s">
        <v>25</v>
      </c>
    </row>
    <row r="9" ht="15.75" customHeight="1">
      <c r="A9" s="8"/>
      <c r="B9" s="55" t="s">
        <v>65</v>
      </c>
      <c r="C9" s="55" t="s">
        <v>28</v>
      </c>
      <c r="D9" s="55" t="s">
        <v>25</v>
      </c>
      <c r="E9" s="55" t="s">
        <v>16</v>
      </c>
      <c r="F9" s="56">
        <v>79.65367965</v>
      </c>
      <c r="G9" s="56">
        <v>34.65</v>
      </c>
      <c r="H9" s="56">
        <v>0.0</v>
      </c>
      <c r="I9" s="57">
        <v>43873.0</v>
      </c>
      <c r="J9" s="58"/>
      <c r="K9" s="58"/>
      <c r="L9" s="59"/>
      <c r="M9" s="61"/>
      <c r="N9" s="56">
        <v>1.1</v>
      </c>
      <c r="O9" s="55" t="s">
        <v>20</v>
      </c>
      <c r="P9" s="56">
        <v>79.65367965</v>
      </c>
      <c r="Q9" s="56">
        <v>2760.0</v>
      </c>
      <c r="R9" s="56">
        <v>3036.0</v>
      </c>
      <c r="S9" s="55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46"/>
      <c r="J10" s="46"/>
      <c r="K10" s="46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46"/>
      <c r="J11" s="46"/>
      <c r="K11" s="46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46"/>
      <c r="J12" s="46"/>
      <c r="K12" s="46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6"/>
      <c r="J13" s="46"/>
      <c r="K13" s="46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46"/>
      <c r="J14" s="46"/>
      <c r="K14" s="46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46"/>
      <c r="J15" s="46"/>
      <c r="K15" s="46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46"/>
      <c r="J16" s="46"/>
      <c r="K16" s="46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46"/>
      <c r="J17" s="46"/>
      <c r="K17" s="46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46"/>
      <c r="J18" s="46"/>
      <c r="K18" s="46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46"/>
      <c r="J19" s="46"/>
      <c r="K19" s="46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46"/>
      <c r="J20" s="46"/>
      <c r="K20" s="46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46"/>
      <c r="J21" s="46"/>
      <c r="K21" s="46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46"/>
      <c r="J22" s="46"/>
      <c r="K22" s="46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46"/>
      <c r="J23" s="46"/>
      <c r="K23" s="46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46"/>
      <c r="J24" s="46"/>
      <c r="K24" s="46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46"/>
      <c r="J25" s="46"/>
      <c r="K25" s="46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46"/>
      <c r="J26" s="46"/>
      <c r="K26" s="46"/>
      <c r="L26" s="8"/>
      <c r="M26" s="8"/>
      <c r="N26" s="8"/>
      <c r="O26" s="8"/>
    </row>
    <row r="27" ht="15.75" customHeight="1">
      <c r="I27" s="47"/>
      <c r="J27" s="47"/>
      <c r="K27" s="47"/>
    </row>
    <row r="28" ht="15.75" customHeight="1">
      <c r="I28" s="47"/>
      <c r="J28" s="47"/>
      <c r="K28" s="47"/>
    </row>
    <row r="29" ht="15.75" customHeight="1">
      <c r="I29" s="47"/>
      <c r="J29" s="47"/>
      <c r="K29" s="47"/>
    </row>
    <row r="30" ht="15.75" customHeight="1">
      <c r="I30" s="47"/>
      <c r="J30" s="47"/>
      <c r="K30" s="47"/>
    </row>
    <row r="31" ht="15.75" customHeight="1">
      <c r="I31" s="47"/>
      <c r="J31" s="47"/>
      <c r="K31" s="47"/>
    </row>
    <row r="32" ht="15.75" customHeight="1">
      <c r="I32" s="47"/>
      <c r="J32" s="47"/>
      <c r="K32" s="47"/>
    </row>
    <row r="33" ht="15.75" customHeight="1">
      <c r="I33" s="47"/>
      <c r="J33" s="47"/>
      <c r="K33" s="47"/>
    </row>
    <row r="34" ht="15.75" customHeight="1">
      <c r="I34" s="47"/>
      <c r="J34" s="47"/>
      <c r="K34" s="47"/>
    </row>
    <row r="35" ht="15.75" customHeight="1">
      <c r="I35" s="47"/>
      <c r="J35" s="47"/>
      <c r="K35" s="47"/>
    </row>
    <row r="36" ht="15.75" customHeight="1">
      <c r="I36" s="47"/>
      <c r="J36" s="47"/>
      <c r="K36" s="47"/>
    </row>
    <row r="37" ht="15.75" customHeight="1">
      <c r="I37" s="47"/>
      <c r="J37" s="47"/>
      <c r="K37" s="47"/>
    </row>
    <row r="38" ht="15.75" customHeight="1">
      <c r="I38" s="47"/>
      <c r="J38" s="47"/>
      <c r="K38" s="47"/>
    </row>
    <row r="39" ht="15.75" customHeight="1">
      <c r="I39" s="47"/>
      <c r="J39" s="47"/>
      <c r="K39" s="47"/>
    </row>
    <row r="40" ht="15.75" customHeight="1">
      <c r="I40" s="47"/>
      <c r="J40" s="47"/>
      <c r="K40" s="47"/>
    </row>
    <row r="41" ht="15.75" customHeight="1">
      <c r="I41" s="47"/>
      <c r="J41" s="47"/>
      <c r="K41" s="47"/>
    </row>
    <row r="42" ht="15.75" customHeight="1">
      <c r="I42" s="47"/>
      <c r="J42" s="47"/>
      <c r="K42" s="47"/>
    </row>
    <row r="43" ht="15.75" customHeight="1">
      <c r="I43" s="47"/>
      <c r="J43" s="47"/>
      <c r="K43" s="47"/>
    </row>
    <row r="44" ht="15.75" customHeight="1">
      <c r="I44" s="47"/>
      <c r="J44" s="47"/>
      <c r="K44" s="47"/>
    </row>
    <row r="45" ht="15.75" customHeight="1">
      <c r="I45" s="47"/>
      <c r="J45" s="47"/>
      <c r="K45" s="47"/>
    </row>
    <row r="46" ht="15.75" customHeight="1">
      <c r="I46" s="47"/>
      <c r="J46" s="47"/>
      <c r="K46" s="47"/>
    </row>
    <row r="47" ht="15.75" customHeight="1">
      <c r="I47" s="47"/>
      <c r="J47" s="47"/>
      <c r="K47" s="47"/>
    </row>
    <row r="48" ht="15.75" customHeight="1">
      <c r="I48" s="47"/>
      <c r="J48" s="47"/>
      <c r="K48" s="47"/>
    </row>
    <row r="49" ht="15.75" customHeight="1">
      <c r="I49" s="47"/>
      <c r="J49" s="47"/>
      <c r="K49" s="47"/>
    </row>
    <row r="50" ht="15.75" customHeight="1">
      <c r="I50" s="47"/>
      <c r="J50" s="47"/>
      <c r="K50" s="47"/>
    </row>
    <row r="51" ht="15.75" customHeight="1">
      <c r="I51" s="47"/>
      <c r="J51" s="47"/>
      <c r="K51" s="47"/>
    </row>
    <row r="52" ht="15.75" customHeight="1">
      <c r="I52" s="47"/>
      <c r="J52" s="47"/>
      <c r="K52" s="47"/>
    </row>
    <row r="53" ht="15.75" customHeight="1">
      <c r="I53" s="47"/>
      <c r="J53" s="47"/>
      <c r="K53" s="47"/>
    </row>
    <row r="54" ht="15.75" customHeight="1">
      <c r="I54" s="47"/>
      <c r="J54" s="47"/>
      <c r="K54" s="47"/>
    </row>
    <row r="55" ht="15.75" customHeight="1">
      <c r="I55" s="47"/>
      <c r="J55" s="47"/>
      <c r="K55" s="47"/>
    </row>
    <row r="56" ht="15.75" customHeight="1">
      <c r="I56" s="47"/>
      <c r="J56" s="47"/>
      <c r="K56" s="47"/>
    </row>
    <row r="57" ht="15.75" customHeight="1">
      <c r="I57" s="47"/>
      <c r="J57" s="47"/>
      <c r="K57" s="47"/>
    </row>
    <row r="58" ht="15.75" customHeight="1">
      <c r="I58" s="47"/>
      <c r="J58" s="47"/>
      <c r="K58" s="47"/>
    </row>
    <row r="59" ht="15.75" customHeight="1">
      <c r="I59" s="47"/>
      <c r="J59" s="47"/>
      <c r="K59" s="47"/>
    </row>
    <row r="60" ht="15.75" customHeight="1">
      <c r="I60" s="47"/>
      <c r="J60" s="47"/>
      <c r="K60" s="47"/>
    </row>
    <row r="61" ht="15.75" customHeight="1">
      <c r="I61" s="47"/>
      <c r="J61" s="47"/>
      <c r="K61" s="47"/>
    </row>
    <row r="62" ht="15.75" customHeight="1">
      <c r="I62" s="47"/>
      <c r="J62" s="47"/>
      <c r="K62" s="47"/>
    </row>
    <row r="63" ht="15.75" customHeight="1">
      <c r="I63" s="47"/>
      <c r="J63" s="47"/>
      <c r="K63" s="47"/>
    </row>
    <row r="64" ht="15.75" customHeight="1">
      <c r="I64" s="47"/>
      <c r="J64" s="47"/>
      <c r="K64" s="47"/>
    </row>
    <row r="65" ht="15.75" customHeight="1">
      <c r="I65" s="47"/>
      <c r="J65" s="47"/>
      <c r="K65" s="47"/>
    </row>
    <row r="66" ht="15.75" customHeight="1">
      <c r="I66" s="47"/>
      <c r="J66" s="47"/>
      <c r="K66" s="47"/>
    </row>
    <row r="67" ht="15.75" customHeight="1">
      <c r="I67" s="47"/>
      <c r="J67" s="47"/>
      <c r="K67" s="47"/>
    </row>
    <row r="68" ht="15.75" customHeight="1">
      <c r="I68" s="47"/>
      <c r="J68" s="47"/>
      <c r="K68" s="47"/>
    </row>
    <row r="69" ht="15.75" customHeight="1">
      <c r="I69" s="47"/>
      <c r="J69" s="47"/>
      <c r="K69" s="47"/>
    </row>
    <row r="70" ht="15.75" customHeight="1">
      <c r="I70" s="47"/>
      <c r="J70" s="47"/>
      <c r="K70" s="47"/>
    </row>
    <row r="71" ht="15.75" customHeight="1">
      <c r="I71" s="47"/>
      <c r="J71" s="47"/>
      <c r="K71" s="47"/>
    </row>
    <row r="72" ht="15.75" customHeight="1">
      <c r="I72" s="47"/>
      <c r="J72" s="47"/>
      <c r="K72" s="47"/>
    </row>
    <row r="73" ht="15.75" customHeight="1">
      <c r="I73" s="47"/>
      <c r="J73" s="47"/>
      <c r="K73" s="47"/>
    </row>
    <row r="74" ht="15.75" customHeight="1">
      <c r="I74" s="47"/>
      <c r="J74" s="47"/>
      <c r="K74" s="47"/>
    </row>
    <row r="75" ht="15.75" customHeight="1">
      <c r="I75" s="47"/>
      <c r="J75" s="47"/>
      <c r="K75" s="47"/>
    </row>
    <row r="76" ht="15.75" customHeight="1">
      <c r="I76" s="47"/>
      <c r="J76" s="47"/>
      <c r="K76" s="47"/>
    </row>
    <row r="77" ht="15.75" customHeight="1">
      <c r="I77" s="47"/>
      <c r="J77" s="47"/>
      <c r="K77" s="47"/>
    </row>
    <row r="78" ht="15.75" customHeight="1">
      <c r="I78" s="47"/>
      <c r="J78" s="47"/>
      <c r="K78" s="47"/>
    </row>
    <row r="79" ht="15.75" customHeight="1">
      <c r="I79" s="47"/>
      <c r="J79" s="47"/>
      <c r="K79" s="47"/>
    </row>
    <row r="80" ht="15.75" customHeight="1">
      <c r="I80" s="47"/>
      <c r="J80" s="47"/>
      <c r="K80" s="47"/>
    </row>
    <row r="81" ht="15.75" customHeight="1">
      <c r="I81" s="47"/>
      <c r="J81" s="47"/>
      <c r="K81" s="47"/>
    </row>
    <row r="82" ht="15.75" customHeight="1">
      <c r="I82" s="47"/>
      <c r="J82" s="47"/>
      <c r="K82" s="47"/>
    </row>
    <row r="83" ht="15.75" customHeight="1">
      <c r="I83" s="47"/>
      <c r="J83" s="47"/>
      <c r="K83" s="47"/>
    </row>
    <row r="84" ht="15.75" customHeight="1">
      <c r="I84" s="47"/>
      <c r="J84" s="47"/>
      <c r="K84" s="47"/>
    </row>
    <row r="85" ht="15.75" customHeight="1">
      <c r="I85" s="47"/>
      <c r="J85" s="47"/>
      <c r="K85" s="47"/>
    </row>
    <row r="86" ht="15.75" customHeight="1">
      <c r="I86" s="47"/>
      <c r="J86" s="47"/>
      <c r="K86" s="47"/>
    </row>
    <row r="87" ht="15.75" customHeight="1">
      <c r="I87" s="47"/>
      <c r="J87" s="47"/>
      <c r="K87" s="47"/>
    </row>
    <row r="88" ht="15.75" customHeight="1">
      <c r="I88" s="47"/>
      <c r="J88" s="47"/>
      <c r="K88" s="47"/>
    </row>
    <row r="89" ht="15.75" customHeight="1">
      <c r="I89" s="47"/>
      <c r="J89" s="47"/>
      <c r="K89" s="47"/>
    </row>
    <row r="90" ht="15.75" customHeight="1">
      <c r="I90" s="47"/>
      <c r="J90" s="47"/>
      <c r="K90" s="47"/>
    </row>
    <row r="91" ht="15.75" customHeight="1">
      <c r="I91" s="47"/>
      <c r="J91" s="47"/>
      <c r="K91" s="47"/>
    </row>
    <row r="92" ht="15.75" customHeight="1">
      <c r="I92" s="47"/>
      <c r="J92" s="47"/>
      <c r="K92" s="47"/>
    </row>
    <row r="93" ht="15.75" customHeight="1">
      <c r="I93" s="47"/>
      <c r="J93" s="47"/>
      <c r="K93" s="47"/>
    </row>
    <row r="94" ht="15.75" customHeight="1">
      <c r="I94" s="47"/>
      <c r="J94" s="47"/>
      <c r="K94" s="47"/>
    </row>
    <row r="95" ht="15.75" customHeight="1">
      <c r="I95" s="47"/>
      <c r="J95" s="47"/>
      <c r="K95" s="47"/>
    </row>
    <row r="96" ht="15.75" customHeight="1">
      <c r="I96" s="47"/>
      <c r="J96" s="47"/>
      <c r="K96" s="47"/>
    </row>
    <row r="97" ht="15.75" customHeight="1">
      <c r="I97" s="47"/>
      <c r="J97" s="47"/>
      <c r="K97" s="47"/>
    </row>
    <row r="98" ht="15.75" customHeight="1">
      <c r="I98" s="47"/>
      <c r="J98" s="47"/>
      <c r="K98" s="47"/>
    </row>
    <row r="99" ht="15.75" customHeight="1">
      <c r="I99" s="47"/>
      <c r="J99" s="47"/>
      <c r="K99" s="47"/>
    </row>
    <row r="100" ht="15.75" customHeight="1">
      <c r="I100" s="47"/>
      <c r="J100" s="47"/>
      <c r="K100" s="4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3">
        <v>43873.0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3">
        <v>43873.0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>
        <v>80.0</v>
      </c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65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43873.0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9" t="s">
        <v>16</v>
      </c>
      <c r="D6" s="9" t="s">
        <v>24</v>
      </c>
      <c r="E6" s="9" t="s">
        <v>28</v>
      </c>
      <c r="F6" s="9" t="s">
        <v>19</v>
      </c>
      <c r="G6" s="9">
        <v>7360.0</v>
      </c>
      <c r="H6" s="9">
        <v>0.0</v>
      </c>
      <c r="I6" s="8"/>
      <c r="J6" s="8"/>
      <c r="K6" s="8"/>
      <c r="L6" s="9">
        <v>1.1</v>
      </c>
      <c r="M6" s="9" t="s">
        <v>20</v>
      </c>
      <c r="N6" s="9" t="s">
        <v>39</v>
      </c>
      <c r="O6" s="9" t="s">
        <v>40</v>
      </c>
      <c r="P6" s="9" t="s">
        <v>18</v>
      </c>
      <c r="Q6" s="9" t="s">
        <v>45</v>
      </c>
      <c r="R6" s="9">
        <v>8096.0</v>
      </c>
      <c r="S6" s="9">
        <v>0.0</v>
      </c>
    </row>
    <row r="7" ht="15.75" customHeight="1">
      <c r="A7" s="8"/>
      <c r="B7" s="45">
        <v>43871.0</v>
      </c>
      <c r="C7" s="9" t="s">
        <v>16</v>
      </c>
      <c r="D7" s="9" t="s">
        <v>24</v>
      </c>
      <c r="E7" s="9" t="s">
        <v>28</v>
      </c>
      <c r="F7" s="9" t="s">
        <v>46</v>
      </c>
      <c r="G7" s="9">
        <v>0.0</v>
      </c>
      <c r="H7" s="9">
        <v>7360.0</v>
      </c>
      <c r="I7" s="8"/>
      <c r="J7" s="8"/>
      <c r="K7" s="8"/>
      <c r="L7" s="9">
        <v>1.1</v>
      </c>
      <c r="M7" s="9" t="s">
        <v>20</v>
      </c>
      <c r="N7" s="9" t="s">
        <v>43</v>
      </c>
      <c r="O7" s="9" t="s">
        <v>40</v>
      </c>
      <c r="P7" s="9" t="s">
        <v>18</v>
      </c>
      <c r="Q7" s="9" t="s">
        <v>45</v>
      </c>
      <c r="R7" s="9">
        <v>0.0</v>
      </c>
      <c r="S7" s="9">
        <v>8096.0</v>
      </c>
    </row>
    <row r="8" ht="15.75" customHeight="1">
      <c r="A8" s="8"/>
      <c r="B8" s="45">
        <v>43871.0</v>
      </c>
      <c r="C8" s="9" t="s">
        <v>16</v>
      </c>
      <c r="D8" s="9" t="s">
        <v>24</v>
      </c>
      <c r="E8" s="9" t="s">
        <v>28</v>
      </c>
      <c r="F8" s="9" t="s">
        <v>46</v>
      </c>
      <c r="G8" s="9">
        <v>7360.0</v>
      </c>
      <c r="H8" s="9">
        <v>0.0</v>
      </c>
      <c r="I8" s="8"/>
      <c r="J8" s="8"/>
      <c r="K8" s="8"/>
      <c r="L8" s="9">
        <v>1.5</v>
      </c>
      <c r="M8" s="9" t="s">
        <v>20</v>
      </c>
      <c r="N8" s="9" t="s">
        <v>39</v>
      </c>
      <c r="O8" s="9" t="s">
        <v>40</v>
      </c>
      <c r="P8" s="9" t="s">
        <v>18</v>
      </c>
      <c r="Q8" s="9" t="s">
        <v>47</v>
      </c>
      <c r="R8" s="9">
        <v>11040.0</v>
      </c>
      <c r="S8" s="9">
        <v>0.0</v>
      </c>
    </row>
    <row r="9" ht="15.75" customHeight="1">
      <c r="A9" s="8"/>
      <c r="B9" s="45">
        <v>43871.0</v>
      </c>
      <c r="C9" s="9" t="s">
        <v>16</v>
      </c>
      <c r="D9" s="9" t="s">
        <v>24</v>
      </c>
      <c r="E9" s="9" t="s">
        <v>28</v>
      </c>
      <c r="F9" s="9" t="s">
        <v>19</v>
      </c>
      <c r="G9" s="9">
        <v>0.0</v>
      </c>
      <c r="H9" s="9">
        <v>7360.0</v>
      </c>
      <c r="I9" s="8"/>
      <c r="J9" s="8"/>
      <c r="K9" s="8"/>
      <c r="L9" s="9">
        <v>1.5</v>
      </c>
      <c r="M9" s="9" t="s">
        <v>20</v>
      </c>
      <c r="N9" s="9" t="s">
        <v>43</v>
      </c>
      <c r="O9" s="9" t="s">
        <v>40</v>
      </c>
      <c r="P9" s="9" t="s">
        <v>18</v>
      </c>
      <c r="Q9" s="9" t="s">
        <v>47</v>
      </c>
      <c r="R9" s="9">
        <v>0.0</v>
      </c>
      <c r="S9" s="9">
        <v>11040.0</v>
      </c>
    </row>
    <row r="10" ht="15.75" customHeight="1">
      <c r="A10" s="8"/>
      <c r="B10" s="45">
        <v>43872.0</v>
      </c>
      <c r="C10" s="9" t="s">
        <v>16</v>
      </c>
      <c r="D10" s="9" t="s">
        <v>24</v>
      </c>
      <c r="E10" s="9" t="s">
        <v>28</v>
      </c>
      <c r="F10" s="9" t="s">
        <v>38</v>
      </c>
      <c r="G10" s="9">
        <v>515.0</v>
      </c>
      <c r="H10" s="9">
        <v>0.0</v>
      </c>
      <c r="I10" s="8"/>
      <c r="J10" s="8"/>
      <c r="K10" s="8"/>
      <c r="L10" s="9">
        <v>2.0</v>
      </c>
      <c r="M10" s="9" t="s">
        <v>20</v>
      </c>
      <c r="N10" s="9" t="s">
        <v>39</v>
      </c>
      <c r="O10" s="9" t="s">
        <v>40</v>
      </c>
      <c r="P10" s="9" t="s">
        <v>18</v>
      </c>
      <c r="Q10" s="9" t="s">
        <v>41</v>
      </c>
      <c r="R10" s="9">
        <v>1030.0</v>
      </c>
      <c r="S10" s="9">
        <v>0.0</v>
      </c>
    </row>
    <row r="11" ht="15.75" customHeight="1">
      <c r="A11" s="8"/>
      <c r="B11" s="45">
        <v>43872.0</v>
      </c>
      <c r="C11" s="9" t="s">
        <v>16</v>
      </c>
      <c r="D11" s="9" t="s">
        <v>24</v>
      </c>
      <c r="E11" s="9" t="s">
        <v>28</v>
      </c>
      <c r="F11" s="9" t="s">
        <v>42</v>
      </c>
      <c r="G11" s="9">
        <v>0.0</v>
      </c>
      <c r="H11" s="9">
        <v>515.0</v>
      </c>
      <c r="I11" s="8"/>
      <c r="J11" s="8"/>
      <c r="K11" s="8"/>
      <c r="L11" s="9">
        <v>2.0</v>
      </c>
      <c r="M11" s="9" t="s">
        <v>20</v>
      </c>
      <c r="N11" s="9" t="s">
        <v>43</v>
      </c>
      <c r="O11" s="9" t="s">
        <v>40</v>
      </c>
      <c r="P11" s="9" t="s">
        <v>18</v>
      </c>
      <c r="Q11" s="9" t="s">
        <v>41</v>
      </c>
      <c r="R11" s="9">
        <v>0.0</v>
      </c>
      <c r="S11" s="9">
        <v>1030.0</v>
      </c>
    </row>
    <row r="12" ht="15.75" customHeight="1">
      <c r="A12" s="8"/>
      <c r="B12" s="45">
        <v>43872.0</v>
      </c>
      <c r="C12" s="9" t="s">
        <v>16</v>
      </c>
      <c r="D12" s="9" t="s">
        <v>28</v>
      </c>
      <c r="E12" s="9" t="s">
        <v>18</v>
      </c>
      <c r="F12" s="9" t="s">
        <v>38</v>
      </c>
      <c r="G12" s="9">
        <v>6624.0</v>
      </c>
      <c r="H12" s="9">
        <v>0.0</v>
      </c>
      <c r="I12" s="8"/>
      <c r="J12" s="8"/>
      <c r="K12" s="8"/>
      <c r="L12" s="9">
        <v>1.0</v>
      </c>
      <c r="M12" s="9" t="s">
        <v>20</v>
      </c>
      <c r="N12" s="9" t="s">
        <v>39</v>
      </c>
      <c r="O12" s="9" t="s">
        <v>40</v>
      </c>
      <c r="P12" s="9" t="s">
        <v>18</v>
      </c>
      <c r="Q12" s="9" t="s">
        <v>41</v>
      </c>
      <c r="R12" s="9">
        <v>6624.0</v>
      </c>
      <c r="S12" s="9">
        <v>0.0</v>
      </c>
    </row>
    <row r="13" ht="15.75" customHeight="1">
      <c r="A13" s="8"/>
      <c r="B13" s="45">
        <v>43872.0</v>
      </c>
      <c r="C13" s="9" t="s">
        <v>16</v>
      </c>
      <c r="D13" s="9" t="s">
        <v>28</v>
      </c>
      <c r="E13" s="9" t="s">
        <v>18</v>
      </c>
      <c r="F13" s="9" t="s">
        <v>42</v>
      </c>
      <c r="G13" s="9">
        <v>0.0</v>
      </c>
      <c r="H13" s="9">
        <v>6624.0</v>
      </c>
      <c r="I13" s="8"/>
      <c r="J13" s="8"/>
      <c r="K13" s="8"/>
      <c r="L13" s="9">
        <v>1.0</v>
      </c>
      <c r="M13" s="9" t="s">
        <v>20</v>
      </c>
      <c r="N13" s="9" t="s">
        <v>43</v>
      </c>
      <c r="O13" s="9" t="s">
        <v>40</v>
      </c>
      <c r="P13" s="9" t="s">
        <v>18</v>
      </c>
      <c r="Q13" s="9" t="s">
        <v>41</v>
      </c>
      <c r="R13" s="9">
        <v>0.0</v>
      </c>
      <c r="S13" s="9">
        <v>6624.0</v>
      </c>
    </row>
    <row r="14" ht="15.75" customHeight="1">
      <c r="A14" s="8"/>
      <c r="B14" s="45">
        <v>43872.0</v>
      </c>
      <c r="C14" s="9" t="s">
        <v>16</v>
      </c>
      <c r="D14" s="9" t="s">
        <v>24</v>
      </c>
      <c r="E14" s="9" t="s">
        <v>28</v>
      </c>
      <c r="F14" s="9" t="s">
        <v>42</v>
      </c>
      <c r="G14" s="9">
        <v>515.0</v>
      </c>
      <c r="H14" s="9">
        <v>0.0</v>
      </c>
      <c r="I14" s="8"/>
      <c r="J14" s="8"/>
      <c r="K14" s="8"/>
      <c r="L14" s="9">
        <v>1.5</v>
      </c>
      <c r="M14" s="9" t="s">
        <v>20</v>
      </c>
      <c r="N14" s="9" t="s">
        <v>39</v>
      </c>
      <c r="O14" s="9" t="s">
        <v>40</v>
      </c>
      <c r="P14" s="9" t="s">
        <v>18</v>
      </c>
      <c r="Q14" s="9" t="s">
        <v>44</v>
      </c>
      <c r="R14" s="9">
        <v>772.5</v>
      </c>
      <c r="S14" s="9">
        <v>0.0</v>
      </c>
    </row>
    <row r="15" ht="15.75" customHeight="1">
      <c r="A15" s="8"/>
      <c r="B15" s="45">
        <v>43872.0</v>
      </c>
      <c r="C15" s="9" t="s">
        <v>16</v>
      </c>
      <c r="D15" s="9" t="s">
        <v>24</v>
      </c>
      <c r="E15" s="9" t="s">
        <v>28</v>
      </c>
      <c r="F15" s="9" t="s">
        <v>38</v>
      </c>
      <c r="G15" s="9">
        <v>0.0</v>
      </c>
      <c r="H15" s="9">
        <v>515.0</v>
      </c>
      <c r="I15" s="8"/>
      <c r="J15" s="8"/>
      <c r="K15" s="8"/>
      <c r="L15" s="9">
        <v>1.5</v>
      </c>
      <c r="M15" s="9" t="s">
        <v>20</v>
      </c>
      <c r="N15" s="9" t="s">
        <v>43</v>
      </c>
      <c r="O15" s="9" t="s">
        <v>40</v>
      </c>
      <c r="P15" s="9" t="s">
        <v>18</v>
      </c>
      <c r="Q15" s="9" t="s">
        <v>44</v>
      </c>
      <c r="R15" s="9">
        <v>0.0</v>
      </c>
      <c r="S15" s="9">
        <v>772.5</v>
      </c>
    </row>
    <row r="16" ht="15.75" customHeight="1">
      <c r="A16" s="8"/>
      <c r="B16" s="45">
        <v>43872.0</v>
      </c>
      <c r="C16" s="9" t="s">
        <v>16</v>
      </c>
      <c r="D16" s="9" t="s">
        <v>28</v>
      </c>
      <c r="E16" s="9" t="s">
        <v>18</v>
      </c>
      <c r="F16" s="9" t="s">
        <v>42</v>
      </c>
      <c r="G16" s="9">
        <v>2944.0</v>
      </c>
      <c r="H16" s="9">
        <v>0.0</v>
      </c>
      <c r="I16" s="8"/>
      <c r="J16" s="8"/>
      <c r="K16" s="8"/>
      <c r="L16" s="9">
        <v>1.0</v>
      </c>
      <c r="M16" s="9" t="s">
        <v>20</v>
      </c>
      <c r="N16" s="9" t="s">
        <v>39</v>
      </c>
      <c r="O16" s="9" t="s">
        <v>40</v>
      </c>
      <c r="P16" s="9" t="s">
        <v>18</v>
      </c>
      <c r="Q16" s="9" t="s">
        <v>44</v>
      </c>
      <c r="R16" s="9">
        <v>2944.0</v>
      </c>
      <c r="S16" s="9">
        <v>0.0</v>
      </c>
    </row>
    <row r="17" ht="15.75" customHeight="1">
      <c r="A17" s="8"/>
      <c r="B17" s="45">
        <v>43872.0</v>
      </c>
      <c r="C17" s="9" t="s">
        <v>16</v>
      </c>
      <c r="D17" s="9" t="s">
        <v>28</v>
      </c>
      <c r="E17" s="9" t="s">
        <v>18</v>
      </c>
      <c r="F17" s="9" t="s">
        <v>38</v>
      </c>
      <c r="G17" s="9">
        <v>0.0</v>
      </c>
      <c r="H17" s="9">
        <v>2944.0</v>
      </c>
      <c r="I17" s="8"/>
      <c r="J17" s="8"/>
      <c r="K17" s="8"/>
      <c r="L17" s="9">
        <v>1.0</v>
      </c>
      <c r="M17" s="9" t="s">
        <v>20</v>
      </c>
      <c r="N17" s="9" t="s">
        <v>43</v>
      </c>
      <c r="O17" s="9" t="s">
        <v>40</v>
      </c>
      <c r="P17" s="9" t="s">
        <v>18</v>
      </c>
      <c r="Q17" s="9" t="s">
        <v>44</v>
      </c>
      <c r="R17" s="9">
        <v>0.0</v>
      </c>
      <c r="S17" s="9">
        <v>2944.0</v>
      </c>
    </row>
    <row r="18" ht="15.75" customHeight="1">
      <c r="A18" s="8"/>
      <c r="B18" s="45">
        <v>43873.0</v>
      </c>
      <c r="C18" s="9" t="s">
        <v>16</v>
      </c>
      <c r="D18" s="9" t="s">
        <v>24</v>
      </c>
      <c r="E18" s="9" t="s">
        <v>28</v>
      </c>
      <c r="F18" s="9" t="s">
        <v>38</v>
      </c>
      <c r="G18" s="9">
        <v>3800.0</v>
      </c>
      <c r="H18" s="9">
        <v>0.0</v>
      </c>
      <c r="I18" s="8"/>
      <c r="J18" s="8"/>
      <c r="K18" s="8"/>
      <c r="L18" s="9">
        <v>2.5</v>
      </c>
      <c r="M18" s="9" t="s">
        <v>20</v>
      </c>
      <c r="N18" s="9" t="s">
        <v>39</v>
      </c>
      <c r="O18" s="9" t="s">
        <v>40</v>
      </c>
      <c r="P18" s="9" t="s">
        <v>18</v>
      </c>
      <c r="Q18" s="9" t="s">
        <v>41</v>
      </c>
      <c r="R18" s="9">
        <v>9500.0</v>
      </c>
      <c r="S18" s="9">
        <v>0.0</v>
      </c>
    </row>
    <row r="19" ht="15.75" customHeight="1">
      <c r="A19" s="8"/>
      <c r="B19" s="45">
        <v>43873.0</v>
      </c>
      <c r="C19" s="9" t="s">
        <v>16</v>
      </c>
      <c r="D19" s="9" t="s">
        <v>24</v>
      </c>
      <c r="E19" s="9" t="s">
        <v>28</v>
      </c>
      <c r="F19" s="9" t="s">
        <v>42</v>
      </c>
      <c r="G19" s="9">
        <v>0.0</v>
      </c>
      <c r="H19" s="9">
        <v>3800.0</v>
      </c>
      <c r="I19" s="8"/>
      <c r="J19" s="8"/>
      <c r="K19" s="8"/>
      <c r="L19" s="9">
        <v>2.5</v>
      </c>
      <c r="M19" s="9" t="s">
        <v>20</v>
      </c>
      <c r="N19" s="9" t="s">
        <v>43</v>
      </c>
      <c r="O19" s="9" t="s">
        <v>40</v>
      </c>
      <c r="P19" s="9" t="s">
        <v>18</v>
      </c>
      <c r="Q19" s="9" t="s">
        <v>41</v>
      </c>
      <c r="R19" s="9">
        <v>0.0</v>
      </c>
      <c r="S19" s="9">
        <v>9500.0</v>
      </c>
    </row>
    <row r="20" ht="15.75" customHeight="1">
      <c r="A20" s="8"/>
      <c r="B20" s="45">
        <v>43873.0</v>
      </c>
      <c r="C20" s="9" t="s">
        <v>16</v>
      </c>
      <c r="D20" s="9" t="s">
        <v>28</v>
      </c>
      <c r="E20" s="9" t="s">
        <v>18</v>
      </c>
      <c r="F20" s="9" t="s">
        <v>38</v>
      </c>
      <c r="G20" s="9">
        <v>10304.0</v>
      </c>
      <c r="H20" s="9">
        <v>0.0</v>
      </c>
      <c r="I20" s="8"/>
      <c r="J20" s="8"/>
      <c r="K20" s="8"/>
      <c r="L20" s="9">
        <v>1.0</v>
      </c>
      <c r="M20" s="9" t="s">
        <v>20</v>
      </c>
      <c r="N20" s="9" t="s">
        <v>39</v>
      </c>
      <c r="O20" s="9" t="s">
        <v>40</v>
      </c>
      <c r="P20" s="9" t="s">
        <v>18</v>
      </c>
      <c r="Q20" s="9" t="s">
        <v>41</v>
      </c>
      <c r="R20" s="9">
        <v>10304.0</v>
      </c>
      <c r="S20" s="9">
        <v>0.0</v>
      </c>
    </row>
    <row r="21" ht="15.75" customHeight="1">
      <c r="A21" s="8"/>
      <c r="B21" s="45">
        <v>43873.0</v>
      </c>
      <c r="C21" s="9" t="s">
        <v>16</v>
      </c>
      <c r="D21" s="9" t="s">
        <v>28</v>
      </c>
      <c r="E21" s="9" t="s">
        <v>18</v>
      </c>
      <c r="F21" s="9" t="s">
        <v>42</v>
      </c>
      <c r="G21" s="9">
        <v>0.0</v>
      </c>
      <c r="H21" s="9">
        <v>10304.0</v>
      </c>
      <c r="I21" s="8"/>
      <c r="J21" s="8"/>
      <c r="K21" s="8"/>
      <c r="L21" s="9">
        <v>1.0</v>
      </c>
      <c r="M21" s="9" t="s">
        <v>20</v>
      </c>
      <c r="N21" s="9" t="s">
        <v>43</v>
      </c>
      <c r="O21" s="9" t="s">
        <v>40</v>
      </c>
      <c r="P21" s="9" t="s">
        <v>18</v>
      </c>
      <c r="Q21" s="9" t="s">
        <v>41</v>
      </c>
      <c r="R21" s="9">
        <v>0.0</v>
      </c>
      <c r="S21" s="9">
        <v>10304.0</v>
      </c>
    </row>
    <row r="22" ht="15.75" customHeight="1">
      <c r="A22" s="8"/>
      <c r="B22" s="45">
        <v>43873.0</v>
      </c>
      <c r="C22" s="9" t="s">
        <v>16</v>
      </c>
      <c r="D22" s="9" t="s">
        <v>65</v>
      </c>
      <c r="E22" s="9" t="s">
        <v>28</v>
      </c>
      <c r="F22" s="9" t="s">
        <v>38</v>
      </c>
      <c r="G22" s="9">
        <v>705.0</v>
      </c>
      <c r="H22" s="9">
        <v>0.0</v>
      </c>
      <c r="I22" s="8"/>
      <c r="J22" s="8"/>
      <c r="K22" s="8"/>
      <c r="L22" s="9">
        <v>2.5</v>
      </c>
      <c r="M22" s="9" t="s">
        <v>20</v>
      </c>
      <c r="N22" s="9" t="s">
        <v>39</v>
      </c>
      <c r="O22" s="9" t="s">
        <v>40</v>
      </c>
      <c r="P22" s="9" t="s">
        <v>18</v>
      </c>
      <c r="Q22" s="9" t="s">
        <v>41</v>
      </c>
      <c r="R22" s="9">
        <v>1762.5</v>
      </c>
      <c r="S22" s="9">
        <v>0.0</v>
      </c>
    </row>
    <row r="23" ht="15.75" customHeight="1">
      <c r="A23" s="8"/>
      <c r="B23" s="45">
        <v>43873.0</v>
      </c>
      <c r="C23" s="9" t="s">
        <v>16</v>
      </c>
      <c r="D23" s="9" t="s">
        <v>65</v>
      </c>
      <c r="E23" s="9" t="s">
        <v>28</v>
      </c>
      <c r="F23" s="9" t="s">
        <v>42</v>
      </c>
      <c r="G23" s="9">
        <v>0.0</v>
      </c>
      <c r="H23" s="9">
        <v>705.0</v>
      </c>
      <c r="I23" s="8"/>
      <c r="J23" s="8"/>
      <c r="K23" s="8"/>
      <c r="L23" s="9">
        <v>2.5</v>
      </c>
      <c r="M23" s="9" t="s">
        <v>20</v>
      </c>
      <c r="N23" s="9" t="s">
        <v>43</v>
      </c>
      <c r="O23" s="9" t="s">
        <v>40</v>
      </c>
      <c r="P23" s="9" t="s">
        <v>18</v>
      </c>
      <c r="Q23" s="9" t="s">
        <v>41</v>
      </c>
      <c r="R23" s="9">
        <v>0.0</v>
      </c>
      <c r="S23" s="9">
        <v>1762.5</v>
      </c>
    </row>
    <row r="24" ht="15.75" customHeight="1">
      <c r="A24" s="8"/>
      <c r="B24" s="45">
        <v>43873.0</v>
      </c>
      <c r="C24" s="9" t="s">
        <v>16</v>
      </c>
      <c r="D24" s="9" t="s">
        <v>24</v>
      </c>
      <c r="E24" s="9" t="s">
        <v>28</v>
      </c>
      <c r="F24" s="9" t="s">
        <v>42</v>
      </c>
      <c r="G24" s="9">
        <v>515.0</v>
      </c>
      <c r="H24" s="9">
        <v>0.0</v>
      </c>
      <c r="I24" s="8"/>
      <c r="J24" s="8"/>
      <c r="K24" s="8"/>
      <c r="L24" s="9">
        <v>2.0</v>
      </c>
      <c r="M24" s="9" t="s">
        <v>20</v>
      </c>
      <c r="N24" s="9" t="s">
        <v>39</v>
      </c>
      <c r="O24" s="9" t="s">
        <v>40</v>
      </c>
      <c r="P24" s="9" t="s">
        <v>18</v>
      </c>
      <c r="Q24" s="9" t="s">
        <v>44</v>
      </c>
      <c r="R24" s="9">
        <v>1030.0</v>
      </c>
      <c r="S24" s="9">
        <v>0.0</v>
      </c>
    </row>
    <row r="25" ht="15.75" customHeight="1">
      <c r="A25" s="8"/>
      <c r="B25" s="45">
        <v>43873.0</v>
      </c>
      <c r="C25" s="9" t="s">
        <v>16</v>
      </c>
      <c r="D25" s="9" t="s">
        <v>24</v>
      </c>
      <c r="E25" s="9" t="s">
        <v>28</v>
      </c>
      <c r="F25" s="9" t="s">
        <v>38</v>
      </c>
      <c r="G25" s="9">
        <v>0.0</v>
      </c>
      <c r="H25" s="9">
        <v>515.0</v>
      </c>
      <c r="I25" s="8"/>
      <c r="J25" s="8"/>
      <c r="K25" s="8"/>
      <c r="L25" s="9">
        <v>2.0</v>
      </c>
      <c r="M25" s="9" t="s">
        <v>20</v>
      </c>
      <c r="N25" s="9" t="s">
        <v>43</v>
      </c>
      <c r="O25" s="9" t="s">
        <v>40</v>
      </c>
      <c r="P25" s="9" t="s">
        <v>18</v>
      </c>
      <c r="Q25" s="9" t="s">
        <v>44</v>
      </c>
      <c r="R25" s="9">
        <v>0.0</v>
      </c>
      <c r="S25" s="9">
        <v>1030.0</v>
      </c>
    </row>
    <row r="26" ht="15.75" customHeight="1">
      <c r="A26" s="8"/>
      <c r="B26" s="45">
        <v>43873.0</v>
      </c>
      <c r="C26" s="9" t="s">
        <v>16</v>
      </c>
      <c r="D26" s="9" t="s">
        <v>28</v>
      </c>
      <c r="E26" s="9" t="s">
        <v>18</v>
      </c>
      <c r="F26" s="9" t="s">
        <v>42</v>
      </c>
      <c r="G26" s="9">
        <v>6624.0</v>
      </c>
      <c r="H26" s="9">
        <v>0.0</v>
      </c>
      <c r="I26" s="8"/>
      <c r="J26" s="8"/>
      <c r="K26" s="8"/>
      <c r="L26" s="9">
        <v>1.0</v>
      </c>
      <c r="M26" s="9" t="s">
        <v>20</v>
      </c>
      <c r="N26" s="9" t="s">
        <v>39</v>
      </c>
      <c r="O26" s="9" t="s">
        <v>40</v>
      </c>
      <c r="P26" s="9" t="s">
        <v>18</v>
      </c>
      <c r="Q26" s="9" t="s">
        <v>44</v>
      </c>
      <c r="R26" s="9">
        <v>6624.0</v>
      </c>
      <c r="S26" s="9">
        <v>0.0</v>
      </c>
    </row>
    <row r="27" ht="15.75" customHeight="1">
      <c r="B27" s="45">
        <v>43873.0</v>
      </c>
      <c r="C27" s="9" t="s">
        <v>16</v>
      </c>
      <c r="D27" s="9" t="s">
        <v>28</v>
      </c>
      <c r="E27" s="9" t="s">
        <v>18</v>
      </c>
      <c r="F27" s="9" t="s">
        <v>38</v>
      </c>
      <c r="G27" s="9">
        <v>0.0</v>
      </c>
      <c r="H27" s="9">
        <v>6624.0</v>
      </c>
      <c r="L27" s="9">
        <v>1.0</v>
      </c>
      <c r="M27" s="9" t="s">
        <v>20</v>
      </c>
      <c r="N27" s="9" t="s">
        <v>43</v>
      </c>
      <c r="O27" s="9" t="s">
        <v>40</v>
      </c>
      <c r="P27" s="9" t="s">
        <v>18</v>
      </c>
      <c r="Q27" s="9" t="s">
        <v>44</v>
      </c>
      <c r="R27" s="9">
        <v>0.0</v>
      </c>
      <c r="S27" s="9">
        <v>6624.0</v>
      </c>
    </row>
    <row r="28" ht="15.75" customHeight="1">
      <c r="B28" s="45">
        <v>43871.0</v>
      </c>
      <c r="C28" s="9" t="s">
        <v>16</v>
      </c>
      <c r="D28" s="9" t="s">
        <v>24</v>
      </c>
      <c r="E28" s="9" t="s">
        <v>28</v>
      </c>
      <c r="F28" s="9" t="s">
        <v>38</v>
      </c>
      <c r="G28" s="9">
        <v>515.0</v>
      </c>
      <c r="H28" s="9">
        <v>0.0</v>
      </c>
      <c r="L28" s="9">
        <v>1.5</v>
      </c>
      <c r="M28" s="9" t="s">
        <v>20</v>
      </c>
      <c r="N28" s="9" t="s">
        <v>39</v>
      </c>
      <c r="O28" s="9" t="s">
        <v>40</v>
      </c>
      <c r="P28" s="9" t="s">
        <v>18</v>
      </c>
      <c r="Q28" s="9" t="s">
        <v>41</v>
      </c>
      <c r="R28" s="9">
        <v>772.5</v>
      </c>
      <c r="S28" s="9">
        <v>0.0</v>
      </c>
    </row>
    <row r="29" ht="15.75" customHeight="1">
      <c r="B29" s="45">
        <v>43871.0</v>
      </c>
      <c r="C29" s="9" t="s">
        <v>16</v>
      </c>
      <c r="D29" s="9" t="s">
        <v>24</v>
      </c>
      <c r="E29" s="9" t="s">
        <v>28</v>
      </c>
      <c r="F29" s="9" t="s">
        <v>42</v>
      </c>
      <c r="G29" s="9">
        <v>0.0</v>
      </c>
      <c r="H29" s="9">
        <v>515.0</v>
      </c>
      <c r="L29" s="9">
        <v>1.5</v>
      </c>
      <c r="M29" s="9" t="s">
        <v>20</v>
      </c>
      <c r="N29" s="9" t="s">
        <v>43</v>
      </c>
      <c r="O29" s="9" t="s">
        <v>40</v>
      </c>
      <c r="P29" s="9" t="s">
        <v>18</v>
      </c>
      <c r="Q29" s="9" t="s">
        <v>41</v>
      </c>
      <c r="R29" s="9">
        <v>0.0</v>
      </c>
      <c r="S29" s="9">
        <v>772.5</v>
      </c>
    </row>
    <row r="30" ht="15.75" customHeight="1">
      <c r="B30" s="45">
        <v>43871.0</v>
      </c>
      <c r="C30" s="9" t="s">
        <v>16</v>
      </c>
      <c r="D30" s="9" t="s">
        <v>28</v>
      </c>
      <c r="E30" s="9" t="s">
        <v>18</v>
      </c>
      <c r="F30" s="9" t="s">
        <v>38</v>
      </c>
      <c r="G30" s="9">
        <v>2944.0</v>
      </c>
      <c r="H30" s="9">
        <v>0.0</v>
      </c>
      <c r="L30" s="9">
        <v>1.0</v>
      </c>
      <c r="M30" s="9" t="s">
        <v>20</v>
      </c>
      <c r="N30" s="9" t="s">
        <v>39</v>
      </c>
      <c r="O30" s="9" t="s">
        <v>40</v>
      </c>
      <c r="P30" s="9" t="s">
        <v>18</v>
      </c>
      <c r="Q30" s="9" t="s">
        <v>41</v>
      </c>
      <c r="R30" s="9">
        <v>2944.0</v>
      </c>
      <c r="S30" s="9">
        <v>0.0</v>
      </c>
    </row>
    <row r="31" ht="15.75" customHeight="1">
      <c r="B31" s="45">
        <v>43871.0</v>
      </c>
      <c r="C31" s="9" t="s">
        <v>16</v>
      </c>
      <c r="D31" s="9" t="s">
        <v>28</v>
      </c>
      <c r="E31" s="9" t="s">
        <v>18</v>
      </c>
      <c r="F31" s="9" t="s">
        <v>42</v>
      </c>
      <c r="G31" s="9">
        <v>0.0</v>
      </c>
      <c r="H31" s="9">
        <v>2944.0</v>
      </c>
      <c r="L31" s="9">
        <v>1.0</v>
      </c>
      <c r="M31" s="9" t="s">
        <v>20</v>
      </c>
      <c r="N31" s="9" t="s">
        <v>43</v>
      </c>
      <c r="O31" s="9" t="s">
        <v>40</v>
      </c>
      <c r="P31" s="9" t="s">
        <v>18</v>
      </c>
      <c r="Q31" s="9" t="s">
        <v>41</v>
      </c>
      <c r="R31" s="9">
        <v>0.0</v>
      </c>
      <c r="S31" s="9">
        <v>2944.0</v>
      </c>
    </row>
    <row r="32" ht="15.75" customHeight="1">
      <c r="B32" s="45">
        <v>43872.0</v>
      </c>
      <c r="C32" s="9" t="s">
        <v>16</v>
      </c>
      <c r="D32" s="9" t="s">
        <v>28</v>
      </c>
      <c r="E32" s="9" t="s">
        <v>28</v>
      </c>
      <c r="F32" s="9" t="s">
        <v>46</v>
      </c>
      <c r="G32" s="9">
        <v>7360.0</v>
      </c>
      <c r="H32" s="9">
        <v>0.0</v>
      </c>
      <c r="L32" s="9">
        <v>2.0</v>
      </c>
      <c r="M32" s="9" t="s">
        <v>20</v>
      </c>
      <c r="N32" s="9" t="s">
        <v>39</v>
      </c>
      <c r="O32" s="9" t="s">
        <v>40</v>
      </c>
      <c r="P32" s="9" t="s">
        <v>18</v>
      </c>
      <c r="Q32" s="9" t="s">
        <v>48</v>
      </c>
      <c r="R32" s="9">
        <v>14720.0</v>
      </c>
      <c r="S32" s="9">
        <v>0.0</v>
      </c>
    </row>
    <row r="33" ht="15.75" customHeight="1">
      <c r="B33" s="45">
        <v>43872.0</v>
      </c>
      <c r="C33" s="9" t="s">
        <v>16</v>
      </c>
      <c r="D33" s="9" t="s">
        <v>28</v>
      </c>
      <c r="E33" s="9" t="s">
        <v>28</v>
      </c>
      <c r="F33" s="9" t="s">
        <v>19</v>
      </c>
      <c r="G33" s="9">
        <v>0.0</v>
      </c>
      <c r="H33" s="9">
        <v>7360.0</v>
      </c>
      <c r="L33" s="9">
        <v>2.0</v>
      </c>
      <c r="M33" s="9" t="s">
        <v>20</v>
      </c>
      <c r="N33" s="9" t="s">
        <v>43</v>
      </c>
      <c r="O33" s="9" t="s">
        <v>40</v>
      </c>
      <c r="P33" s="9" t="s">
        <v>18</v>
      </c>
      <c r="Q33" s="9" t="s">
        <v>48</v>
      </c>
      <c r="R33" s="9">
        <v>0.0</v>
      </c>
      <c r="S33" s="9">
        <v>14720.0</v>
      </c>
    </row>
    <row r="34" ht="15.75" customHeight="1">
      <c r="B34" s="45">
        <v>43872.0</v>
      </c>
      <c r="C34" s="9" t="s">
        <v>16</v>
      </c>
      <c r="D34" s="9" t="s">
        <v>28</v>
      </c>
      <c r="E34" s="9" t="s">
        <v>28</v>
      </c>
      <c r="F34" s="9" t="s">
        <v>19</v>
      </c>
      <c r="G34" s="9">
        <v>7360.0</v>
      </c>
      <c r="H34" s="9">
        <v>0.0</v>
      </c>
      <c r="L34" s="9">
        <v>1.5</v>
      </c>
      <c r="M34" s="9" t="s">
        <v>20</v>
      </c>
      <c r="N34" s="9" t="s">
        <v>39</v>
      </c>
      <c r="O34" s="9" t="s">
        <v>40</v>
      </c>
      <c r="P34" s="9" t="s">
        <v>18</v>
      </c>
      <c r="Q34" s="9" t="s">
        <v>49</v>
      </c>
      <c r="R34" s="9">
        <v>11040.0</v>
      </c>
      <c r="S34" s="9">
        <v>0.0</v>
      </c>
    </row>
    <row r="35" ht="15.75" customHeight="1">
      <c r="B35" s="45">
        <v>43872.0</v>
      </c>
      <c r="C35" s="9" t="s">
        <v>16</v>
      </c>
      <c r="D35" s="9" t="s">
        <v>28</v>
      </c>
      <c r="E35" s="9" t="s">
        <v>28</v>
      </c>
      <c r="F35" s="9" t="s">
        <v>46</v>
      </c>
      <c r="G35" s="9">
        <v>0.0</v>
      </c>
      <c r="H35" s="9">
        <v>7360.0</v>
      </c>
      <c r="L35" s="9">
        <v>1.5</v>
      </c>
      <c r="M35" s="9" t="s">
        <v>20</v>
      </c>
      <c r="N35" s="9" t="s">
        <v>43</v>
      </c>
      <c r="O35" s="9" t="s">
        <v>40</v>
      </c>
      <c r="P35" s="9" t="s">
        <v>18</v>
      </c>
      <c r="Q35" s="9" t="s">
        <v>49</v>
      </c>
      <c r="R35" s="9">
        <v>0.0</v>
      </c>
      <c r="S35" s="9">
        <v>11040.0</v>
      </c>
    </row>
    <row r="36" ht="15.75" customHeight="1">
      <c r="B36" s="45">
        <v>43873.0</v>
      </c>
      <c r="C36" s="9" t="s">
        <v>16</v>
      </c>
      <c r="D36" s="9" t="s">
        <v>28</v>
      </c>
      <c r="E36" s="9" t="s">
        <v>28</v>
      </c>
      <c r="F36" s="9" t="s">
        <v>46</v>
      </c>
      <c r="G36" s="9">
        <v>7360.0</v>
      </c>
      <c r="H36" s="9">
        <v>0.0</v>
      </c>
      <c r="L36" s="9">
        <v>2.5</v>
      </c>
      <c r="M36" s="9" t="s">
        <v>20</v>
      </c>
      <c r="N36" s="9" t="s">
        <v>39</v>
      </c>
      <c r="O36" s="9" t="s">
        <v>40</v>
      </c>
      <c r="P36" s="9" t="s">
        <v>18</v>
      </c>
      <c r="Q36" s="9" t="s">
        <v>48</v>
      </c>
      <c r="R36" s="9">
        <v>18400.0</v>
      </c>
      <c r="S36" s="9">
        <v>0.0</v>
      </c>
    </row>
    <row r="37" ht="15.75" customHeight="1">
      <c r="B37" s="45">
        <v>43873.0</v>
      </c>
      <c r="C37" s="9" t="s">
        <v>16</v>
      </c>
      <c r="D37" s="9" t="s">
        <v>28</v>
      </c>
      <c r="E37" s="9" t="s">
        <v>28</v>
      </c>
      <c r="F37" s="9" t="s">
        <v>19</v>
      </c>
      <c r="G37" s="9">
        <v>0.0</v>
      </c>
      <c r="H37" s="9">
        <v>7360.0</v>
      </c>
      <c r="L37" s="9">
        <v>2.5</v>
      </c>
      <c r="M37" s="9" t="s">
        <v>20</v>
      </c>
      <c r="N37" s="9" t="s">
        <v>43</v>
      </c>
      <c r="O37" s="9" t="s">
        <v>40</v>
      </c>
      <c r="P37" s="9" t="s">
        <v>18</v>
      </c>
      <c r="Q37" s="9" t="s">
        <v>48</v>
      </c>
      <c r="R37" s="9">
        <v>0.0</v>
      </c>
      <c r="S37" s="9">
        <v>18400.0</v>
      </c>
    </row>
    <row r="38" ht="15.75" customHeight="1">
      <c r="B38" s="45">
        <v>43873.0</v>
      </c>
      <c r="C38" s="9" t="s">
        <v>16</v>
      </c>
      <c r="D38" s="9" t="s">
        <v>28</v>
      </c>
      <c r="E38" s="9" t="s">
        <v>28</v>
      </c>
      <c r="F38" s="9" t="s">
        <v>19</v>
      </c>
      <c r="G38" s="9">
        <v>7360.0</v>
      </c>
      <c r="H38" s="9">
        <v>0.0</v>
      </c>
      <c r="L38" s="9">
        <v>2.0</v>
      </c>
      <c r="M38" s="9" t="s">
        <v>20</v>
      </c>
      <c r="N38" s="9" t="s">
        <v>39</v>
      </c>
      <c r="O38" s="9" t="s">
        <v>40</v>
      </c>
      <c r="P38" s="9" t="s">
        <v>18</v>
      </c>
      <c r="Q38" s="9" t="s">
        <v>49</v>
      </c>
      <c r="R38" s="9">
        <v>14720.0</v>
      </c>
      <c r="S38" s="9">
        <v>0.0</v>
      </c>
    </row>
    <row r="39" ht="15.75" customHeight="1">
      <c r="B39" s="45">
        <v>43873.0</v>
      </c>
      <c r="C39" s="9" t="s">
        <v>16</v>
      </c>
      <c r="D39" s="9" t="s">
        <v>28</v>
      </c>
      <c r="E39" s="9" t="s">
        <v>28</v>
      </c>
      <c r="F39" s="9" t="s">
        <v>46</v>
      </c>
      <c r="G39" s="9">
        <v>0.0</v>
      </c>
      <c r="H39" s="9">
        <v>7360.0</v>
      </c>
      <c r="L39" s="9">
        <v>2.0</v>
      </c>
      <c r="M39" s="9" t="s">
        <v>20</v>
      </c>
      <c r="N39" s="9" t="s">
        <v>43</v>
      </c>
      <c r="O39" s="9" t="s">
        <v>40</v>
      </c>
      <c r="P39" s="9" t="s">
        <v>18</v>
      </c>
      <c r="Q39" s="9" t="s">
        <v>49</v>
      </c>
      <c r="R39" s="9">
        <v>0.0</v>
      </c>
      <c r="S39" s="9">
        <v>14720.0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8"/>
      <c r="D6" s="11"/>
      <c r="E6" s="9">
        <v>7360.0</v>
      </c>
      <c r="F6" s="9">
        <v>0.0</v>
      </c>
      <c r="G6" s="9">
        <v>1.1</v>
      </c>
      <c r="H6" s="9" t="s">
        <v>20</v>
      </c>
      <c r="I6" s="9" t="s">
        <v>39</v>
      </c>
      <c r="J6" s="9" t="s">
        <v>51</v>
      </c>
      <c r="K6" s="9" t="s">
        <v>28</v>
      </c>
      <c r="L6" s="9" t="s">
        <v>18</v>
      </c>
      <c r="M6" s="9" t="s">
        <v>24</v>
      </c>
      <c r="N6" s="8"/>
      <c r="O6" s="9">
        <v>8096.0</v>
      </c>
      <c r="P6" s="9">
        <v>0.0</v>
      </c>
      <c r="Q6" s="9" t="s">
        <v>52</v>
      </c>
      <c r="R6" s="9" t="s">
        <v>16</v>
      </c>
    </row>
    <row r="7" ht="15.75" customHeight="1">
      <c r="A7" s="8"/>
      <c r="B7" s="45">
        <v>43871.0</v>
      </c>
      <c r="C7" s="8"/>
      <c r="D7" s="8"/>
      <c r="E7" s="9">
        <v>0.0</v>
      </c>
      <c r="F7" s="9">
        <v>7360.0</v>
      </c>
      <c r="G7" s="9">
        <v>1.1</v>
      </c>
      <c r="H7" s="9" t="s">
        <v>20</v>
      </c>
      <c r="I7" s="9" t="s">
        <v>43</v>
      </c>
      <c r="J7" s="9" t="s">
        <v>51</v>
      </c>
      <c r="K7" s="9" t="s">
        <v>28</v>
      </c>
      <c r="L7" s="9" t="s">
        <v>18</v>
      </c>
      <c r="M7" s="9" t="s">
        <v>24</v>
      </c>
      <c r="N7" s="8"/>
      <c r="O7" s="9">
        <v>0.0</v>
      </c>
      <c r="P7" s="9">
        <v>8096.0</v>
      </c>
      <c r="Q7" s="9" t="s">
        <v>19</v>
      </c>
      <c r="R7" s="9" t="s">
        <v>16</v>
      </c>
    </row>
    <row r="8" ht="15.75" customHeight="1">
      <c r="A8" s="8"/>
      <c r="B8" s="45">
        <v>43873.0</v>
      </c>
      <c r="C8" s="8"/>
      <c r="D8" s="8"/>
      <c r="E8" s="9">
        <v>7360.0</v>
      </c>
      <c r="F8" s="9">
        <v>0.0</v>
      </c>
      <c r="G8" s="9">
        <v>1.1</v>
      </c>
      <c r="H8" s="9" t="s">
        <v>20</v>
      </c>
      <c r="I8" s="9" t="s">
        <v>39</v>
      </c>
      <c r="J8" s="9" t="s">
        <v>51</v>
      </c>
      <c r="K8" s="9" t="s">
        <v>28</v>
      </c>
      <c r="L8" s="9" t="s">
        <v>18</v>
      </c>
      <c r="M8" s="9" t="s">
        <v>24</v>
      </c>
      <c r="N8" s="8"/>
      <c r="O8" s="9">
        <v>8096.0</v>
      </c>
      <c r="P8" s="9">
        <v>0.0</v>
      </c>
      <c r="Q8" s="9" t="s">
        <v>19</v>
      </c>
      <c r="R8" s="9" t="s">
        <v>16</v>
      </c>
    </row>
    <row r="9" ht="15.75" customHeight="1">
      <c r="A9" s="8"/>
      <c r="B9" s="45">
        <v>43873.0</v>
      </c>
      <c r="C9" s="8"/>
      <c r="D9" s="8"/>
      <c r="E9" s="9">
        <v>0.0</v>
      </c>
      <c r="F9" s="9">
        <v>7360.0</v>
      </c>
      <c r="G9" s="9">
        <v>1.1</v>
      </c>
      <c r="H9" s="9" t="s">
        <v>20</v>
      </c>
      <c r="I9" s="9" t="s">
        <v>43</v>
      </c>
      <c r="J9" s="9" t="s">
        <v>51</v>
      </c>
      <c r="K9" s="9" t="s">
        <v>28</v>
      </c>
      <c r="L9" s="9" t="s">
        <v>18</v>
      </c>
      <c r="M9" s="9" t="s">
        <v>24</v>
      </c>
      <c r="N9" s="8"/>
      <c r="O9" s="9">
        <v>0.0</v>
      </c>
      <c r="P9" s="9">
        <v>8096.0</v>
      </c>
      <c r="Q9" s="9" t="s">
        <v>52</v>
      </c>
      <c r="R9" s="9" t="s">
        <v>16</v>
      </c>
    </row>
    <row r="10" ht="15.75" customHeight="1">
      <c r="A10" s="8"/>
      <c r="B10" s="45">
        <v>43873.0</v>
      </c>
      <c r="C10" s="8"/>
      <c r="D10" s="8"/>
      <c r="E10" s="9">
        <v>2760.0</v>
      </c>
      <c r="F10" s="9">
        <v>0.0</v>
      </c>
      <c r="G10" s="9">
        <v>1.1</v>
      </c>
      <c r="H10" s="9" t="s">
        <v>20</v>
      </c>
      <c r="I10" s="9" t="s">
        <v>39</v>
      </c>
      <c r="J10" s="9" t="s">
        <v>51</v>
      </c>
      <c r="K10" s="9" t="s">
        <v>28</v>
      </c>
      <c r="L10" s="9" t="s">
        <v>18</v>
      </c>
      <c r="M10" s="9" t="s">
        <v>65</v>
      </c>
      <c r="N10" s="8"/>
      <c r="O10" s="9">
        <v>3036.0</v>
      </c>
      <c r="P10" s="9">
        <v>0.0</v>
      </c>
      <c r="Q10" s="9" t="s">
        <v>52</v>
      </c>
      <c r="R10" s="9" t="s">
        <v>16</v>
      </c>
    </row>
    <row r="11" ht="15.75" customHeight="1">
      <c r="A11" s="8"/>
      <c r="B11" s="45">
        <v>43873.0</v>
      </c>
      <c r="C11" s="8"/>
      <c r="D11" s="8"/>
      <c r="E11" s="9">
        <v>0.0</v>
      </c>
      <c r="F11" s="9">
        <v>2760.0</v>
      </c>
      <c r="G11" s="9">
        <v>1.1</v>
      </c>
      <c r="H11" s="9" t="s">
        <v>20</v>
      </c>
      <c r="I11" s="9" t="s">
        <v>43</v>
      </c>
      <c r="J11" s="9" t="s">
        <v>51</v>
      </c>
      <c r="K11" s="9" t="s">
        <v>28</v>
      </c>
      <c r="L11" s="9" t="s">
        <v>18</v>
      </c>
      <c r="M11" s="9" t="s">
        <v>65</v>
      </c>
      <c r="N11" s="8"/>
      <c r="O11" s="9">
        <v>0.0</v>
      </c>
      <c r="P11" s="9">
        <v>3036.0</v>
      </c>
      <c r="Q11" s="9" t="s">
        <v>19</v>
      </c>
      <c r="R11" s="9" t="s">
        <v>16</v>
      </c>
    </row>
    <row r="12" ht="15.75" customHeight="1">
      <c r="A12" s="8"/>
      <c r="B12" s="45">
        <v>43873.0</v>
      </c>
      <c r="C12" s="8"/>
      <c r="D12" s="8"/>
      <c r="E12" s="9">
        <v>4600.0</v>
      </c>
      <c r="F12" s="9">
        <v>0.0</v>
      </c>
      <c r="G12" s="9">
        <v>1.1</v>
      </c>
      <c r="H12" s="9" t="s">
        <v>20</v>
      </c>
      <c r="I12" s="9" t="s">
        <v>39</v>
      </c>
      <c r="J12" s="9" t="s">
        <v>51</v>
      </c>
      <c r="K12" s="9" t="s">
        <v>28</v>
      </c>
      <c r="L12" s="9" t="s">
        <v>18</v>
      </c>
      <c r="M12" s="9" t="s">
        <v>24</v>
      </c>
      <c r="N12" s="8"/>
      <c r="O12" s="9">
        <v>5060.0</v>
      </c>
      <c r="P12" s="9">
        <v>0.0</v>
      </c>
      <c r="Q12" s="9" t="s">
        <v>52</v>
      </c>
      <c r="R12" s="9" t="s">
        <v>16</v>
      </c>
    </row>
    <row r="13" ht="15.75" customHeight="1">
      <c r="A13" s="8"/>
      <c r="B13" s="45">
        <v>43873.0</v>
      </c>
      <c r="C13" s="8"/>
      <c r="D13" s="8"/>
      <c r="E13" s="9">
        <v>0.0</v>
      </c>
      <c r="F13" s="9">
        <v>4600.0</v>
      </c>
      <c r="G13" s="9">
        <v>1.1</v>
      </c>
      <c r="H13" s="9" t="s">
        <v>20</v>
      </c>
      <c r="I13" s="9" t="s">
        <v>43</v>
      </c>
      <c r="J13" s="9" t="s">
        <v>51</v>
      </c>
      <c r="K13" s="9" t="s">
        <v>28</v>
      </c>
      <c r="L13" s="9" t="s">
        <v>18</v>
      </c>
      <c r="M13" s="9" t="s">
        <v>24</v>
      </c>
      <c r="N13" s="8"/>
      <c r="O13" s="9">
        <v>0.0</v>
      </c>
      <c r="P13" s="9">
        <v>5060.0</v>
      </c>
      <c r="Q13" s="9" t="s">
        <v>19</v>
      </c>
      <c r="R13" s="9" t="s">
        <v>16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9">
        <v>43871.0</v>
      </c>
      <c r="E6" s="49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40</v>
      </c>
      <c r="D6" s="9" t="s">
        <v>55</v>
      </c>
      <c r="E6" s="9">
        <v>515.0</v>
      </c>
      <c r="F6" s="8"/>
      <c r="G6" s="8"/>
      <c r="H6" s="8"/>
      <c r="I6" s="8"/>
      <c r="J6" s="8"/>
      <c r="K6" s="9" t="s">
        <v>28</v>
      </c>
      <c r="L6" s="9" t="s">
        <v>41</v>
      </c>
      <c r="M6" s="8"/>
      <c r="N6" s="9" t="s">
        <v>20</v>
      </c>
      <c r="O6" s="9">
        <v>1.5</v>
      </c>
      <c r="V6" s="9">
        <v>0.0</v>
      </c>
      <c r="AB6" s="9" t="s">
        <v>24</v>
      </c>
      <c r="AE6" s="45">
        <v>43871.0</v>
      </c>
      <c r="AG6" s="9" t="s">
        <v>40</v>
      </c>
    </row>
    <row r="7" ht="15.75" customHeight="1">
      <c r="A7" s="8"/>
      <c r="B7" s="9" t="s">
        <v>16</v>
      </c>
      <c r="C7" s="9" t="s">
        <v>40</v>
      </c>
      <c r="D7" s="9" t="s">
        <v>55</v>
      </c>
      <c r="E7" s="9">
        <v>2944.0</v>
      </c>
      <c r="F7" s="8"/>
      <c r="G7" s="8"/>
      <c r="H7" s="8"/>
      <c r="I7" s="8"/>
      <c r="J7" s="8"/>
      <c r="K7" s="9" t="s">
        <v>18</v>
      </c>
      <c r="L7" s="9" t="s">
        <v>41</v>
      </c>
      <c r="M7" s="8"/>
      <c r="N7" s="9" t="s">
        <v>20</v>
      </c>
      <c r="O7" s="9">
        <v>1.0</v>
      </c>
      <c r="V7" s="9">
        <v>0.0</v>
      </c>
      <c r="AB7" s="9" t="s">
        <v>28</v>
      </c>
      <c r="AE7" s="45">
        <v>43871.0</v>
      </c>
      <c r="AG7" s="9" t="s">
        <v>40</v>
      </c>
    </row>
    <row r="8" ht="15.75" customHeight="1">
      <c r="A8" s="8"/>
      <c r="B8" s="9" t="s">
        <v>16</v>
      </c>
      <c r="C8" s="9" t="s">
        <v>56</v>
      </c>
      <c r="D8" s="9" t="s">
        <v>57</v>
      </c>
      <c r="E8" s="9">
        <v>500000.0</v>
      </c>
      <c r="F8" s="8"/>
      <c r="G8" s="8"/>
      <c r="H8" s="8"/>
      <c r="I8" s="8"/>
      <c r="J8" s="8"/>
      <c r="K8" s="9" t="s">
        <v>18</v>
      </c>
      <c r="M8" s="8"/>
      <c r="N8" s="9" t="s">
        <v>20</v>
      </c>
      <c r="O8" s="9">
        <v>1.0</v>
      </c>
      <c r="V8" s="9">
        <v>0.0</v>
      </c>
      <c r="AE8" s="45">
        <v>43871.0</v>
      </c>
      <c r="AG8" s="9" t="s">
        <v>58</v>
      </c>
    </row>
    <row r="9" ht="15.75" customHeight="1">
      <c r="A9" s="8"/>
      <c r="B9" s="9" t="s">
        <v>16</v>
      </c>
      <c r="C9" s="9" t="s">
        <v>40</v>
      </c>
      <c r="D9" s="9" t="s">
        <v>59</v>
      </c>
      <c r="E9" s="9">
        <v>7360.0</v>
      </c>
      <c r="F9" s="8"/>
      <c r="G9" s="8"/>
      <c r="H9" s="8"/>
      <c r="I9" s="8"/>
      <c r="J9" s="8"/>
      <c r="K9" s="9" t="s">
        <v>28</v>
      </c>
      <c r="L9" s="9" t="s">
        <v>45</v>
      </c>
      <c r="M9" s="8"/>
      <c r="N9" s="9" t="s">
        <v>20</v>
      </c>
      <c r="O9" s="9">
        <v>1.1</v>
      </c>
      <c r="V9" s="9">
        <v>0.0</v>
      </c>
      <c r="AB9" s="9" t="s">
        <v>24</v>
      </c>
      <c r="AE9" s="45">
        <v>43871.0</v>
      </c>
      <c r="AG9" s="9" t="s">
        <v>40</v>
      </c>
    </row>
    <row r="10" ht="15.75" customHeight="1">
      <c r="A10" s="8"/>
      <c r="B10" s="9" t="s">
        <v>16</v>
      </c>
      <c r="C10" s="9" t="s">
        <v>40</v>
      </c>
      <c r="D10" s="9" t="s">
        <v>59</v>
      </c>
      <c r="E10" s="9">
        <v>-7360.0</v>
      </c>
      <c r="F10" s="8"/>
      <c r="G10" s="8"/>
      <c r="H10" s="8"/>
      <c r="I10" s="8"/>
      <c r="J10" s="8"/>
      <c r="K10" s="9" t="s">
        <v>28</v>
      </c>
      <c r="L10" s="9" t="s">
        <v>47</v>
      </c>
      <c r="M10" s="8"/>
      <c r="N10" s="9" t="s">
        <v>20</v>
      </c>
      <c r="O10" s="9">
        <v>1.5</v>
      </c>
      <c r="V10" s="9">
        <v>0.0</v>
      </c>
      <c r="AB10" s="9" t="s">
        <v>24</v>
      </c>
      <c r="AE10" s="45">
        <v>43871.0</v>
      </c>
      <c r="AG10" s="9" t="s">
        <v>40</v>
      </c>
    </row>
    <row r="11" ht="15.75" customHeight="1">
      <c r="A11" s="8"/>
      <c r="B11" s="9" t="s">
        <v>16</v>
      </c>
      <c r="C11" s="9" t="s">
        <v>51</v>
      </c>
      <c r="D11" s="9" t="s">
        <v>60</v>
      </c>
      <c r="E11" s="9">
        <v>-7360.0</v>
      </c>
      <c r="F11" s="8"/>
      <c r="G11" s="8"/>
      <c r="H11" s="8"/>
      <c r="I11" s="8"/>
      <c r="J11" s="8"/>
      <c r="K11" s="9" t="s">
        <v>28</v>
      </c>
      <c r="L11" s="9" t="s">
        <v>61</v>
      </c>
      <c r="M11" s="8"/>
      <c r="N11" s="9" t="s">
        <v>20</v>
      </c>
      <c r="O11" s="9">
        <v>1.1</v>
      </c>
      <c r="V11" s="9">
        <v>105.0</v>
      </c>
      <c r="AB11" s="9" t="s">
        <v>24</v>
      </c>
      <c r="AE11" s="45">
        <v>43871.0</v>
      </c>
      <c r="AG11" s="9" t="s">
        <v>51</v>
      </c>
    </row>
    <row r="12" ht="15.75" customHeight="1">
      <c r="A12" s="8"/>
      <c r="B12" s="9" t="s">
        <v>16</v>
      </c>
      <c r="C12" s="9" t="s">
        <v>40</v>
      </c>
      <c r="D12" s="9" t="s">
        <v>59</v>
      </c>
      <c r="E12" s="9">
        <v>-7360.0</v>
      </c>
      <c r="F12" s="8"/>
      <c r="G12" s="8"/>
      <c r="H12" s="8"/>
      <c r="I12" s="8"/>
      <c r="J12" s="8"/>
      <c r="K12" s="9" t="s">
        <v>28</v>
      </c>
      <c r="L12" s="9" t="s">
        <v>48</v>
      </c>
      <c r="M12" s="8"/>
      <c r="N12" s="9" t="s">
        <v>20</v>
      </c>
      <c r="O12" s="9">
        <v>2.0</v>
      </c>
      <c r="V12" s="9">
        <v>0.0</v>
      </c>
      <c r="AB12" s="9" t="s">
        <v>28</v>
      </c>
      <c r="AE12" s="45">
        <v>43872.0</v>
      </c>
      <c r="AG12" s="9" t="s">
        <v>40</v>
      </c>
    </row>
    <row r="13" ht="15.75" customHeight="1">
      <c r="A13" s="8"/>
      <c r="B13" s="9" t="s">
        <v>16</v>
      </c>
      <c r="C13" s="9" t="s">
        <v>40</v>
      </c>
      <c r="D13" s="9" t="s">
        <v>59</v>
      </c>
      <c r="E13" s="9">
        <v>7360.0</v>
      </c>
      <c r="F13" s="8"/>
      <c r="G13" s="8"/>
      <c r="H13" s="8"/>
      <c r="I13" s="8"/>
      <c r="J13" s="8"/>
      <c r="K13" s="9" t="s">
        <v>28</v>
      </c>
      <c r="L13" s="9" t="s">
        <v>49</v>
      </c>
      <c r="M13" s="8"/>
      <c r="N13" s="9" t="s">
        <v>20</v>
      </c>
      <c r="O13" s="9">
        <v>1.5</v>
      </c>
      <c r="V13" s="9">
        <v>0.0</v>
      </c>
      <c r="AB13" s="9" t="s">
        <v>28</v>
      </c>
      <c r="AE13" s="45">
        <v>43872.0</v>
      </c>
      <c r="AG13" s="9" t="s">
        <v>40</v>
      </c>
    </row>
    <row r="14" ht="15.75" customHeight="1">
      <c r="A14" s="8"/>
      <c r="B14" s="9" t="s">
        <v>16</v>
      </c>
      <c r="C14" s="9" t="s">
        <v>40</v>
      </c>
      <c r="D14" s="9" t="s">
        <v>55</v>
      </c>
      <c r="E14" s="9">
        <v>515.0</v>
      </c>
      <c r="F14" s="8"/>
      <c r="G14" s="8"/>
      <c r="H14" s="8"/>
      <c r="I14" s="8"/>
      <c r="J14" s="8"/>
      <c r="K14" s="9" t="s">
        <v>28</v>
      </c>
      <c r="L14" s="9" t="s">
        <v>41</v>
      </c>
      <c r="M14" s="8"/>
      <c r="N14" s="9" t="s">
        <v>20</v>
      </c>
      <c r="O14" s="9">
        <v>2.0</v>
      </c>
      <c r="V14" s="9">
        <v>0.0</v>
      </c>
      <c r="AB14" s="9" t="s">
        <v>24</v>
      </c>
      <c r="AE14" s="45">
        <v>43872.0</v>
      </c>
      <c r="AG14" s="9" t="s">
        <v>40</v>
      </c>
    </row>
    <row r="15" ht="15.75" customHeight="1">
      <c r="A15" s="8"/>
      <c r="B15" s="9" t="s">
        <v>16</v>
      </c>
      <c r="C15" s="9" t="s">
        <v>40</v>
      </c>
      <c r="D15" s="9" t="s">
        <v>55</v>
      </c>
      <c r="E15" s="9">
        <v>6624.0</v>
      </c>
      <c r="F15" s="8"/>
      <c r="G15" s="8"/>
      <c r="H15" s="8"/>
      <c r="I15" s="8"/>
      <c r="J15" s="8"/>
      <c r="K15" s="9" t="s">
        <v>18</v>
      </c>
      <c r="L15" s="9" t="s">
        <v>41</v>
      </c>
      <c r="M15" s="8"/>
      <c r="N15" s="9" t="s">
        <v>20</v>
      </c>
      <c r="O15" s="9">
        <v>1.0</v>
      </c>
      <c r="V15" s="9">
        <v>0.0</v>
      </c>
      <c r="AB15" s="9" t="s">
        <v>28</v>
      </c>
      <c r="AE15" s="45">
        <v>43872.0</v>
      </c>
      <c r="AG15" s="9" t="s">
        <v>40</v>
      </c>
    </row>
    <row r="16" ht="15.75" customHeight="1">
      <c r="A16" s="8"/>
      <c r="B16" s="9" t="s">
        <v>16</v>
      </c>
      <c r="C16" s="9" t="s">
        <v>40</v>
      </c>
      <c r="D16" s="9" t="s">
        <v>55</v>
      </c>
      <c r="E16" s="9">
        <v>-515.0</v>
      </c>
      <c r="F16" s="8"/>
      <c r="G16" s="8"/>
      <c r="H16" s="8"/>
      <c r="I16" s="8"/>
      <c r="J16" s="8"/>
      <c r="K16" s="9" t="s">
        <v>28</v>
      </c>
      <c r="L16" s="9" t="s">
        <v>44</v>
      </c>
      <c r="M16" s="8"/>
      <c r="N16" s="9" t="s">
        <v>20</v>
      </c>
      <c r="O16" s="9">
        <v>1.5</v>
      </c>
      <c r="V16" s="9">
        <v>0.0</v>
      </c>
      <c r="AB16" s="9" t="s">
        <v>24</v>
      </c>
      <c r="AE16" s="45">
        <v>43872.0</v>
      </c>
      <c r="AG16" s="9" t="s">
        <v>40</v>
      </c>
    </row>
    <row r="17" ht="15.75" customHeight="1">
      <c r="A17" s="8"/>
      <c r="B17" s="9" t="s">
        <v>16</v>
      </c>
      <c r="C17" s="9" t="s">
        <v>40</v>
      </c>
      <c r="D17" s="9" t="s">
        <v>55</v>
      </c>
      <c r="E17" s="9">
        <v>-2944.0</v>
      </c>
      <c r="F17" s="8"/>
      <c r="G17" s="8"/>
      <c r="H17" s="8"/>
      <c r="I17" s="8"/>
      <c r="J17" s="8"/>
      <c r="K17" s="9" t="s">
        <v>18</v>
      </c>
      <c r="L17" s="9" t="s">
        <v>44</v>
      </c>
      <c r="M17" s="8"/>
      <c r="N17" s="9" t="s">
        <v>20</v>
      </c>
      <c r="O17" s="9">
        <v>1.0</v>
      </c>
      <c r="V17" s="9">
        <v>0.0</v>
      </c>
      <c r="AB17" s="9" t="s">
        <v>28</v>
      </c>
      <c r="AE17" s="45">
        <v>43872.0</v>
      </c>
      <c r="AG17" s="9" t="s">
        <v>40</v>
      </c>
    </row>
    <row r="18" ht="15.75" customHeight="1">
      <c r="A18" s="8"/>
      <c r="B18" s="9" t="s">
        <v>16</v>
      </c>
      <c r="C18" s="9" t="s">
        <v>40</v>
      </c>
      <c r="D18" s="9" t="s">
        <v>55</v>
      </c>
      <c r="E18" s="9">
        <v>3800.0</v>
      </c>
      <c r="F18" s="8"/>
      <c r="G18" s="8"/>
      <c r="H18" s="8"/>
      <c r="I18" s="8"/>
      <c r="J18" s="8"/>
      <c r="K18" s="9" t="s">
        <v>28</v>
      </c>
      <c r="L18" s="9" t="s">
        <v>41</v>
      </c>
      <c r="M18" s="8"/>
      <c r="N18" s="9" t="s">
        <v>20</v>
      </c>
      <c r="O18" s="9">
        <v>2.5</v>
      </c>
      <c r="V18" s="9">
        <v>0.0</v>
      </c>
      <c r="AB18" s="9" t="s">
        <v>24</v>
      </c>
      <c r="AE18" s="45">
        <v>43873.0</v>
      </c>
      <c r="AG18" s="9" t="s">
        <v>40</v>
      </c>
    </row>
    <row r="19" ht="15.75" customHeight="1">
      <c r="A19" s="8"/>
      <c r="B19" s="9" t="s">
        <v>16</v>
      </c>
      <c r="C19" s="9" t="s">
        <v>40</v>
      </c>
      <c r="D19" s="9" t="s">
        <v>55</v>
      </c>
      <c r="E19" s="9">
        <v>10304.0</v>
      </c>
      <c r="F19" s="8"/>
      <c r="G19" s="8"/>
      <c r="H19" s="8"/>
      <c r="I19" s="8"/>
      <c r="J19" s="8"/>
      <c r="K19" s="9" t="s">
        <v>18</v>
      </c>
      <c r="L19" s="9" t="s">
        <v>41</v>
      </c>
      <c r="M19" s="8"/>
      <c r="N19" s="9" t="s">
        <v>20</v>
      </c>
      <c r="O19" s="9">
        <v>1.0</v>
      </c>
      <c r="V19" s="9">
        <v>0.0</v>
      </c>
      <c r="AB19" s="9" t="s">
        <v>28</v>
      </c>
      <c r="AE19" s="45">
        <v>43873.0</v>
      </c>
      <c r="AG19" s="9" t="s">
        <v>40</v>
      </c>
    </row>
    <row r="20" ht="15.75" customHeight="1">
      <c r="A20" s="8"/>
      <c r="B20" s="9" t="s">
        <v>16</v>
      </c>
      <c r="C20" s="9" t="s">
        <v>40</v>
      </c>
      <c r="D20" s="9" t="s">
        <v>55</v>
      </c>
      <c r="E20" s="9">
        <v>705.0</v>
      </c>
      <c r="F20" s="8"/>
      <c r="G20" s="8"/>
      <c r="H20" s="8"/>
      <c r="I20" s="8"/>
      <c r="J20" s="8"/>
      <c r="K20" s="9" t="s">
        <v>28</v>
      </c>
      <c r="L20" s="9" t="s">
        <v>41</v>
      </c>
      <c r="M20" s="8"/>
      <c r="N20" s="9" t="s">
        <v>20</v>
      </c>
      <c r="O20" s="9">
        <v>2.5</v>
      </c>
      <c r="V20" s="9">
        <v>0.0</v>
      </c>
      <c r="AB20" s="9" t="s">
        <v>65</v>
      </c>
      <c r="AE20" s="45">
        <v>43873.0</v>
      </c>
      <c r="AG20" s="9" t="s">
        <v>40</v>
      </c>
    </row>
    <row r="21" ht="15.75" customHeight="1">
      <c r="A21" s="8"/>
      <c r="B21" s="9" t="s">
        <v>16</v>
      </c>
      <c r="C21" s="9" t="s">
        <v>40</v>
      </c>
      <c r="D21" s="9" t="s">
        <v>55</v>
      </c>
      <c r="E21" s="9">
        <v>-515.0</v>
      </c>
      <c r="F21" s="8"/>
      <c r="G21" s="8"/>
      <c r="H21" s="8"/>
      <c r="I21" s="8"/>
      <c r="J21" s="8"/>
      <c r="K21" s="9" t="s">
        <v>28</v>
      </c>
      <c r="L21" s="9" t="s">
        <v>44</v>
      </c>
      <c r="M21" s="8"/>
      <c r="N21" s="9" t="s">
        <v>20</v>
      </c>
      <c r="O21" s="9">
        <v>2.0</v>
      </c>
      <c r="V21" s="9">
        <v>0.0</v>
      </c>
      <c r="AB21" s="9" t="s">
        <v>24</v>
      </c>
      <c r="AE21" s="45">
        <v>43873.0</v>
      </c>
      <c r="AG21" s="9" t="s">
        <v>40</v>
      </c>
    </row>
    <row r="22" ht="15.75" customHeight="1">
      <c r="A22" s="8"/>
      <c r="B22" s="9" t="s">
        <v>16</v>
      </c>
      <c r="C22" s="9" t="s">
        <v>40</v>
      </c>
      <c r="D22" s="9" t="s">
        <v>55</v>
      </c>
      <c r="E22" s="9">
        <v>-6624.0</v>
      </c>
      <c r="F22" s="8"/>
      <c r="G22" s="8"/>
      <c r="H22" s="8"/>
      <c r="I22" s="8"/>
      <c r="J22" s="8"/>
      <c r="K22" s="9" t="s">
        <v>18</v>
      </c>
      <c r="L22" s="9" t="s">
        <v>44</v>
      </c>
      <c r="M22" s="8"/>
      <c r="N22" s="9" t="s">
        <v>20</v>
      </c>
      <c r="O22" s="9">
        <v>1.0</v>
      </c>
      <c r="V22" s="9">
        <v>0.0</v>
      </c>
      <c r="AB22" s="9" t="s">
        <v>28</v>
      </c>
      <c r="AE22" s="45">
        <v>43873.0</v>
      </c>
      <c r="AG22" s="9" t="s">
        <v>40</v>
      </c>
    </row>
    <row r="23" ht="15.75" customHeight="1">
      <c r="A23" s="8"/>
      <c r="B23" s="9" t="s">
        <v>16</v>
      </c>
      <c r="C23" s="9" t="s">
        <v>40</v>
      </c>
      <c r="D23" s="9" t="s">
        <v>59</v>
      </c>
      <c r="E23" s="9">
        <v>-7360.0</v>
      </c>
      <c r="F23" s="8"/>
      <c r="G23" s="8"/>
      <c r="H23" s="8"/>
      <c r="I23" s="8"/>
      <c r="J23" s="8"/>
      <c r="K23" s="9" t="s">
        <v>28</v>
      </c>
      <c r="L23" s="9" t="s">
        <v>48</v>
      </c>
      <c r="M23" s="8"/>
      <c r="N23" s="9" t="s">
        <v>20</v>
      </c>
      <c r="O23" s="9">
        <v>2.5</v>
      </c>
      <c r="V23" s="9">
        <v>0.0</v>
      </c>
      <c r="AB23" s="9" t="s">
        <v>28</v>
      </c>
      <c r="AE23" s="45">
        <v>43873.0</v>
      </c>
      <c r="AG23" s="9" t="s">
        <v>40</v>
      </c>
    </row>
    <row r="24" ht="15.75" customHeight="1">
      <c r="A24" s="8"/>
      <c r="B24" s="9" t="s">
        <v>16</v>
      </c>
      <c r="C24" s="9" t="s">
        <v>40</v>
      </c>
      <c r="D24" s="9" t="s">
        <v>59</v>
      </c>
      <c r="E24" s="9">
        <v>7360.0</v>
      </c>
      <c r="F24" s="8"/>
      <c r="G24" s="8"/>
      <c r="H24" s="8"/>
      <c r="I24" s="8"/>
      <c r="J24" s="8"/>
      <c r="K24" s="9" t="s">
        <v>28</v>
      </c>
      <c r="L24" s="9" t="s">
        <v>49</v>
      </c>
      <c r="M24" s="8"/>
      <c r="N24" s="9" t="s">
        <v>20</v>
      </c>
      <c r="O24" s="9">
        <v>2.0</v>
      </c>
      <c r="V24" s="9">
        <v>0.0</v>
      </c>
      <c r="AB24" s="9" t="s">
        <v>28</v>
      </c>
      <c r="AE24" s="45">
        <v>43873.0</v>
      </c>
      <c r="AG24" s="9" t="s">
        <v>40</v>
      </c>
    </row>
    <row r="25" ht="15.75" customHeight="1">
      <c r="A25" s="8"/>
      <c r="B25" s="9" t="s">
        <v>16</v>
      </c>
      <c r="C25" s="9" t="s">
        <v>51</v>
      </c>
      <c r="D25" s="9" t="s">
        <v>60</v>
      </c>
      <c r="E25" s="9">
        <v>7360.0</v>
      </c>
      <c r="F25" s="8"/>
      <c r="G25" s="8"/>
      <c r="H25" s="8"/>
      <c r="I25" s="8"/>
      <c r="J25" s="8"/>
      <c r="K25" s="9" t="s">
        <v>28</v>
      </c>
      <c r="L25" s="9" t="s">
        <v>61</v>
      </c>
      <c r="M25" s="8"/>
      <c r="N25" s="9" t="s">
        <v>20</v>
      </c>
      <c r="O25" s="9">
        <v>1.1</v>
      </c>
      <c r="V25" s="9">
        <v>105.0</v>
      </c>
      <c r="AB25" s="9" t="s">
        <v>24</v>
      </c>
      <c r="AE25" s="45">
        <v>43873.0</v>
      </c>
      <c r="AG25" s="9" t="s">
        <v>51</v>
      </c>
    </row>
    <row r="26" ht="15.75" customHeight="1">
      <c r="A26" s="8"/>
      <c r="B26" s="9" t="s">
        <v>16</v>
      </c>
      <c r="C26" s="9" t="s">
        <v>51</v>
      </c>
      <c r="D26" s="9" t="s">
        <v>60</v>
      </c>
      <c r="E26" s="9">
        <v>-4600.0</v>
      </c>
      <c r="F26" s="8"/>
      <c r="G26" s="8"/>
      <c r="H26" s="8"/>
      <c r="I26" s="8"/>
      <c r="J26" s="8"/>
      <c r="K26" s="9" t="s">
        <v>28</v>
      </c>
      <c r="L26" s="9" t="s">
        <v>61</v>
      </c>
      <c r="M26" s="8"/>
      <c r="N26" s="9" t="s">
        <v>20</v>
      </c>
      <c r="O26" s="9">
        <v>1.1</v>
      </c>
      <c r="V26" s="9">
        <v>105.0</v>
      </c>
      <c r="AB26" s="9" t="s">
        <v>24</v>
      </c>
      <c r="AE26" s="45">
        <v>43873.0</v>
      </c>
      <c r="AG26" s="9" t="s">
        <v>51</v>
      </c>
    </row>
    <row r="27" ht="15.75" customHeight="1">
      <c r="B27" s="9" t="s">
        <v>16</v>
      </c>
      <c r="C27" s="9" t="s">
        <v>51</v>
      </c>
      <c r="D27" s="9" t="s">
        <v>60</v>
      </c>
      <c r="E27" s="9">
        <v>-2760.0</v>
      </c>
      <c r="K27" s="9" t="s">
        <v>28</v>
      </c>
      <c r="L27" s="9" t="s">
        <v>61</v>
      </c>
      <c r="N27" s="9" t="s">
        <v>20</v>
      </c>
      <c r="O27" s="9">
        <v>1.1</v>
      </c>
      <c r="V27" s="9">
        <v>34.65</v>
      </c>
      <c r="AB27" s="9" t="s">
        <v>65</v>
      </c>
      <c r="AE27" s="45">
        <v>43873.0</v>
      </c>
      <c r="AG27" s="9" t="s">
        <v>51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70</v>
      </c>
      <c r="C6" s="33">
        <v>43871.0</v>
      </c>
      <c r="D6" s="33">
        <v>43873.0</v>
      </c>
      <c r="E6" s="32" t="s">
        <v>16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24.0"/>
    <col customWidth="1" min="21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72</v>
      </c>
      <c r="D6" s="11"/>
      <c r="E6" s="62"/>
      <c r="F6" s="8"/>
      <c r="G6" s="8"/>
      <c r="H6" s="63">
        <v>4600.0</v>
      </c>
      <c r="I6" s="63">
        <v>43.80952381</v>
      </c>
      <c r="J6" s="8"/>
      <c r="K6" s="8"/>
      <c r="L6" s="8"/>
      <c r="M6" s="63">
        <v>105.0</v>
      </c>
      <c r="N6" s="8"/>
      <c r="O6" s="8"/>
      <c r="P6" s="9" t="s">
        <v>25</v>
      </c>
      <c r="R6" s="9" t="s">
        <v>24</v>
      </c>
      <c r="U6" s="64">
        <v>43873.0</v>
      </c>
      <c r="V6" s="9" t="s">
        <v>25</v>
      </c>
      <c r="W6" s="9" t="s">
        <v>73</v>
      </c>
      <c r="X6" s="9">
        <v>43.8095238095238</v>
      </c>
      <c r="Y6" s="9">
        <v>48.1904761904762</v>
      </c>
      <c r="Z6" s="9">
        <v>48.1904761904762</v>
      </c>
    </row>
    <row r="7" ht="15.75" customHeight="1">
      <c r="A7" s="8"/>
      <c r="B7" s="9" t="s">
        <v>16</v>
      </c>
      <c r="C7" s="9" t="s">
        <v>72</v>
      </c>
      <c r="D7" s="8"/>
      <c r="E7" s="8"/>
      <c r="F7" s="8"/>
      <c r="G7" s="8"/>
      <c r="H7" s="63">
        <v>2760.0</v>
      </c>
      <c r="I7" s="63">
        <v>79.65367965</v>
      </c>
      <c r="J7" s="8"/>
      <c r="K7" s="8"/>
      <c r="L7" s="8"/>
      <c r="M7" s="63">
        <v>34.65</v>
      </c>
      <c r="N7" s="8"/>
      <c r="O7" s="8"/>
      <c r="P7" s="9" t="s">
        <v>25</v>
      </c>
      <c r="R7" s="9" t="s">
        <v>65</v>
      </c>
      <c r="U7" s="64">
        <v>43873.0</v>
      </c>
      <c r="V7" s="9" t="s">
        <v>25</v>
      </c>
      <c r="W7" s="9" t="s">
        <v>73</v>
      </c>
      <c r="X7" s="9">
        <v>79.6536796536797</v>
      </c>
      <c r="Y7" s="9">
        <v>87.6190476190477</v>
      </c>
      <c r="Z7" s="9">
        <v>87.6190476190477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70</v>
      </c>
      <c r="C6" s="33">
        <v>43871.0</v>
      </c>
      <c r="D6" s="33">
        <v>43873.0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23.29"/>
    <col customWidth="1" min="22" max="56" width="14.43"/>
    <col customWidth="1" min="57" max="57" width="25.57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8"/>
      <c r="D6" s="11"/>
      <c r="E6" s="63">
        <v>105.0</v>
      </c>
      <c r="F6" s="8"/>
      <c r="G6" s="8"/>
      <c r="H6" s="8"/>
      <c r="I6" s="8"/>
      <c r="J6" s="8"/>
      <c r="K6" s="63">
        <v>77.0</v>
      </c>
      <c r="L6" s="63">
        <v>70.0</v>
      </c>
      <c r="M6" s="8"/>
      <c r="N6" s="8"/>
      <c r="O6" s="8"/>
      <c r="U6" s="63">
        <v>0.0238095238095238</v>
      </c>
      <c r="AH6" s="9" t="s">
        <v>20</v>
      </c>
      <c r="AI6" s="63">
        <v>1.1</v>
      </c>
      <c r="AT6" s="65">
        <v>8096.0</v>
      </c>
      <c r="AU6" s="65">
        <v>7360.0</v>
      </c>
      <c r="BE6" s="65">
        <v>8085.0</v>
      </c>
      <c r="BF6" s="65">
        <v>7350.0</v>
      </c>
      <c r="BJ6" s="63">
        <v>105.0</v>
      </c>
      <c r="BM6" s="9" t="s">
        <v>28</v>
      </c>
      <c r="BO6" s="9" t="s">
        <v>25</v>
      </c>
      <c r="BQ6" s="63">
        <v>0.0714285714285714</v>
      </c>
      <c r="BT6" s="9" t="s">
        <v>24</v>
      </c>
      <c r="BV6" s="63">
        <v>10.0</v>
      </c>
      <c r="BX6" s="9">
        <v>0.0952380952380952</v>
      </c>
      <c r="CE6" s="64">
        <v>43871.0</v>
      </c>
      <c r="CH6" s="9" t="s">
        <v>22</v>
      </c>
      <c r="CI6" s="9" t="s">
        <v>25</v>
      </c>
    </row>
    <row r="7" ht="15.75" customHeight="1">
      <c r="A7" s="8"/>
      <c r="B7" s="9" t="s">
        <v>16</v>
      </c>
      <c r="C7" s="8"/>
      <c r="D7" s="8"/>
      <c r="E7" s="63">
        <v>105.0</v>
      </c>
      <c r="F7" s="8"/>
      <c r="G7" s="8"/>
      <c r="H7" s="8"/>
      <c r="I7" s="8"/>
      <c r="J7" s="8"/>
      <c r="K7" s="63">
        <v>77.1047619047619</v>
      </c>
      <c r="L7" s="63">
        <v>70.0952380952381</v>
      </c>
      <c r="M7" s="8"/>
      <c r="N7" s="8"/>
      <c r="O7" s="8"/>
      <c r="U7" s="63">
        <v>0.0</v>
      </c>
      <c r="AH7" s="9" t="s">
        <v>20</v>
      </c>
      <c r="AI7" s="63">
        <v>1.1</v>
      </c>
      <c r="AT7" s="65">
        <v>8096.0</v>
      </c>
      <c r="AU7" s="65">
        <v>7360.0</v>
      </c>
      <c r="BE7" s="65">
        <v>8096.0</v>
      </c>
      <c r="BF7" s="65">
        <v>7360.0</v>
      </c>
      <c r="BJ7" s="63">
        <v>105.0</v>
      </c>
      <c r="BM7" s="9" t="s">
        <v>28</v>
      </c>
      <c r="BO7" s="9" t="s">
        <v>67</v>
      </c>
      <c r="BQ7" s="63">
        <v>0.0</v>
      </c>
      <c r="BT7" s="9" t="s">
        <v>24</v>
      </c>
      <c r="BV7" s="63">
        <v>0.0</v>
      </c>
      <c r="BX7" s="63">
        <v>0.0</v>
      </c>
      <c r="CE7" s="64">
        <v>43873.0</v>
      </c>
      <c r="CH7" s="9" t="s">
        <v>77</v>
      </c>
      <c r="CI7" s="9" t="s">
        <v>67</v>
      </c>
    </row>
    <row r="8" ht="15.75" customHeight="1">
      <c r="A8" s="8"/>
      <c r="B8" s="9" t="s">
        <v>16</v>
      </c>
      <c r="C8" s="8"/>
      <c r="D8" s="8"/>
      <c r="E8" s="63">
        <v>105.0</v>
      </c>
      <c r="F8" s="8"/>
      <c r="G8" s="8"/>
      <c r="H8" s="8"/>
      <c r="I8" s="8"/>
      <c r="J8" s="8"/>
      <c r="K8" s="63">
        <v>48.1904761904762</v>
      </c>
      <c r="L8" s="63">
        <v>43.8095238095238</v>
      </c>
      <c r="M8" s="8"/>
      <c r="N8" s="8"/>
      <c r="O8" s="8"/>
      <c r="U8" s="63">
        <v>0.0</v>
      </c>
      <c r="AH8" s="9" t="s">
        <v>20</v>
      </c>
      <c r="AI8" s="63">
        <v>1.1</v>
      </c>
      <c r="AT8" s="65">
        <v>5060.0</v>
      </c>
      <c r="AU8" s="65">
        <v>4600.0</v>
      </c>
      <c r="BE8" s="65">
        <v>5060.0</v>
      </c>
      <c r="BF8" s="65">
        <v>4600.0</v>
      </c>
      <c r="BJ8" s="63">
        <v>105.0</v>
      </c>
      <c r="BM8" s="9" t="s">
        <v>28</v>
      </c>
      <c r="BO8" s="9" t="s">
        <v>25</v>
      </c>
      <c r="BQ8" s="63">
        <v>0.0</v>
      </c>
      <c r="BT8" s="9" t="s">
        <v>24</v>
      </c>
      <c r="BV8" s="63">
        <v>0.0</v>
      </c>
      <c r="BX8" s="63">
        <v>0.0</v>
      </c>
      <c r="CE8" s="64">
        <v>43873.0</v>
      </c>
      <c r="CH8" s="9" t="s">
        <v>77</v>
      </c>
      <c r="CI8" s="9" t="s">
        <v>25</v>
      </c>
    </row>
    <row r="9" ht="15.75" customHeight="1">
      <c r="A9" s="8"/>
      <c r="B9" s="9" t="s">
        <v>16</v>
      </c>
      <c r="C9" s="8"/>
      <c r="D9" s="8"/>
      <c r="E9" s="63">
        <v>34.65</v>
      </c>
      <c r="F9" s="8"/>
      <c r="G9" s="8"/>
      <c r="H9" s="8"/>
      <c r="I9" s="8"/>
      <c r="J9" s="8"/>
      <c r="K9" s="63">
        <v>87.6190476190477</v>
      </c>
      <c r="L9" s="63">
        <v>79.6536796536797</v>
      </c>
      <c r="M9" s="8"/>
      <c r="N9" s="8"/>
      <c r="O9" s="8"/>
      <c r="U9" s="63">
        <v>0.0</v>
      </c>
      <c r="AH9" s="9" t="s">
        <v>20</v>
      </c>
      <c r="AI9" s="63">
        <v>1.1</v>
      </c>
      <c r="AT9" s="65">
        <v>3036.0</v>
      </c>
      <c r="AU9" s="65">
        <v>2760.0</v>
      </c>
      <c r="BE9" s="65">
        <v>3036.0</v>
      </c>
      <c r="BF9" s="65">
        <v>2760.0</v>
      </c>
      <c r="BJ9" s="63">
        <v>34.65</v>
      </c>
      <c r="BM9" s="9" t="s">
        <v>28</v>
      </c>
      <c r="BO9" s="9" t="s">
        <v>25</v>
      </c>
      <c r="BQ9" s="63">
        <v>0.0</v>
      </c>
      <c r="BT9" s="9" t="s">
        <v>65</v>
      </c>
      <c r="BV9" s="63">
        <v>0.0</v>
      </c>
      <c r="BX9" s="63">
        <v>0.0</v>
      </c>
      <c r="CE9" s="64">
        <v>43873.0</v>
      </c>
      <c r="CH9" s="9" t="s">
        <v>77</v>
      </c>
      <c r="CI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