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UpdateMasterFundOnTT1" sheetId="10" r:id="rId10"/>
    <sheet name="CreateDoneAwayOrder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C6" i="6" l="1"/>
  <c r="B6" i="6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R4" i="12"/>
  <c r="AJ4" i="12"/>
  <c r="AB4" i="12"/>
  <c r="T4" i="12"/>
  <c r="L4" i="12"/>
  <c r="D4" i="12"/>
  <c r="AL5" i="11"/>
  <c r="AD5" i="11"/>
  <c r="V5" i="11"/>
  <c r="N5" i="11"/>
  <c r="F5" i="11"/>
  <c r="Y4" i="11"/>
  <c r="Q4" i="11"/>
  <c r="I4" i="11"/>
  <c r="V4" i="10"/>
  <c r="N4" i="10"/>
  <c r="F4" i="10"/>
  <c r="AN5" i="9"/>
  <c r="AF5" i="9"/>
  <c r="X5" i="9"/>
  <c r="P5" i="9"/>
  <c r="H5" i="9"/>
  <c r="AA4" i="9"/>
  <c r="S4" i="9"/>
  <c r="K4" i="9"/>
  <c r="C4" i="9"/>
  <c r="X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V5" i="12"/>
  <c r="AN5" i="12"/>
  <c r="AF5" i="12"/>
  <c r="X5" i="12"/>
  <c r="P5" i="12"/>
  <c r="H5" i="12"/>
  <c r="AX4" i="12"/>
  <c r="AP4" i="12"/>
  <c r="AH4" i="12"/>
  <c r="Z4" i="12"/>
  <c r="R4" i="12"/>
  <c r="J4" i="12"/>
  <c r="B4" i="12"/>
  <c r="AJ5" i="11"/>
  <c r="AB5" i="11"/>
  <c r="T5" i="11"/>
  <c r="L5" i="11"/>
  <c r="D5" i="11"/>
  <c r="W4" i="11"/>
  <c r="O4" i="11"/>
  <c r="G4" i="11"/>
  <c r="A5" i="10"/>
  <c r="T4" i="10"/>
  <c r="L4" i="10"/>
  <c r="D4" i="10"/>
  <c r="AL5" i="9"/>
  <c r="AD5" i="9"/>
  <c r="V5" i="9"/>
  <c r="N5" i="9"/>
  <c r="F5" i="9"/>
  <c r="Y4" i="9"/>
  <c r="Q4" i="9"/>
  <c r="I4" i="9"/>
  <c r="V4" i="8"/>
  <c r="N4" i="8"/>
  <c r="F4" i="8"/>
  <c r="B5" i="7"/>
  <c r="AA4" i="7"/>
  <c r="S4" i="7"/>
  <c r="K4" i="7"/>
  <c r="C4" i="7"/>
  <c r="AG4" i="6"/>
  <c r="Y4" i="6"/>
  <c r="Q4" i="6"/>
  <c r="I4" i="6"/>
  <c r="DL4" i="5"/>
  <c r="DD4" i="5"/>
  <c r="CV4" i="5"/>
  <c r="CN4" i="5"/>
  <c r="CF4" i="5"/>
  <c r="BX4" i="5"/>
  <c r="BP4" i="5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AW4" i="12"/>
  <c r="AO4" i="12"/>
  <c r="AG4" i="12"/>
  <c r="Y4" i="12"/>
  <c r="Q4" i="12"/>
  <c r="I4" i="12"/>
  <c r="AI5" i="11"/>
  <c r="AA5" i="11"/>
  <c r="S5" i="11"/>
  <c r="K5" i="11"/>
  <c r="C5" i="11"/>
  <c r="V4" i="11"/>
  <c r="N4" i="11"/>
  <c r="F4" i="11"/>
  <c r="AA4" i="10"/>
  <c r="S4" i="10"/>
  <c r="K4" i="10"/>
  <c r="C4" i="10"/>
  <c r="AK5" i="9"/>
  <c r="AC5" i="9"/>
  <c r="U5" i="9"/>
  <c r="M5" i="9"/>
  <c r="E5" i="9"/>
  <c r="X4" i="9"/>
  <c r="P4" i="9"/>
  <c r="H4" i="9"/>
  <c r="B5" i="8"/>
  <c r="U4" i="8"/>
  <c r="M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CE4" i="5"/>
  <c r="BW4" i="5"/>
  <c r="BO4" i="5"/>
  <c r="BG4" i="5"/>
  <c r="AY4" i="5"/>
  <c r="AQ4" i="5"/>
  <c r="AI4" i="5"/>
  <c r="AA4" i="5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AT5" i="12"/>
  <c r="AL5" i="12"/>
  <c r="AD5" i="12"/>
  <c r="V5" i="12"/>
  <c r="N5" i="12"/>
  <c r="F5" i="12"/>
  <c r="AV4" i="12"/>
  <c r="AN4" i="12"/>
  <c r="AF4" i="12"/>
  <c r="X4" i="12"/>
  <c r="P4" i="12"/>
  <c r="H4" i="12"/>
  <c r="AP5" i="11"/>
  <c r="AH5" i="11"/>
  <c r="Z5" i="11"/>
  <c r="R5" i="11"/>
  <c r="J5" i="11"/>
  <c r="B5" i="11"/>
  <c r="U4" i="11"/>
  <c r="M4" i="11"/>
  <c r="E4" i="11"/>
  <c r="Z4" i="10"/>
  <c r="R4" i="10"/>
  <c r="J4" i="10"/>
  <c r="B4" i="10"/>
  <c r="AJ5" i="9"/>
  <c r="AB5" i="9"/>
  <c r="T5" i="9"/>
  <c r="L5" i="9"/>
  <c r="D5" i="9"/>
  <c r="W4" i="9"/>
  <c r="O4" i="9"/>
  <c r="G4" i="9"/>
  <c r="A5" i="8"/>
  <c r="T4" i="8"/>
  <c r="L4" i="8"/>
  <c r="D4" i="8"/>
  <c r="AG4" i="7"/>
  <c r="Y4" i="7"/>
  <c r="Q4" i="7"/>
  <c r="I4" i="7"/>
  <c r="AE4" i="6"/>
  <c r="W4" i="6"/>
  <c r="O4" i="6"/>
  <c r="G4" i="6"/>
  <c r="A5" i="5"/>
  <c r="DJ4" i="5"/>
  <c r="DB4" i="5"/>
  <c r="CT4" i="5"/>
  <c r="CL4" i="5"/>
  <c r="CD4" i="5"/>
  <c r="BV4" i="5"/>
  <c r="BN4" i="5"/>
  <c r="BF4" i="5"/>
  <c r="AX4" i="5"/>
  <c r="AP4" i="5"/>
  <c r="AH4" i="5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AU4" i="12"/>
  <c r="AM4" i="12"/>
  <c r="AE4" i="12"/>
  <c r="W4" i="12"/>
  <c r="O4" i="12"/>
  <c r="G4" i="12"/>
  <c r="AO5" i="11"/>
  <c r="AG5" i="11"/>
  <c r="Y5" i="11"/>
  <c r="Q5" i="11"/>
  <c r="I5" i="11"/>
  <c r="A5" i="11"/>
  <c r="T4" i="11"/>
  <c r="L4" i="11"/>
  <c r="D4" i="11"/>
  <c r="Y4" i="10"/>
  <c r="Q4" i="10"/>
  <c r="I4" i="10"/>
  <c r="AI5" i="9"/>
  <c r="AA5" i="9"/>
  <c r="S5" i="9"/>
  <c r="K5" i="9"/>
  <c r="C5" i="9"/>
  <c r="V4" i="9"/>
  <c r="N4" i="9"/>
  <c r="F4" i="9"/>
  <c r="AA4" i="8"/>
  <c r="S4" i="8"/>
  <c r="K4" i="8"/>
  <c r="C4" i="8"/>
  <c r="AF4" i="7"/>
  <c r="X4" i="7"/>
  <c r="P4" i="7"/>
  <c r="H4" i="7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T4" i="12"/>
  <c r="AL4" i="12"/>
  <c r="AD4" i="12"/>
  <c r="V4" i="12"/>
  <c r="N4" i="12"/>
  <c r="F4" i="12"/>
  <c r="AN5" i="11"/>
  <c r="AF5" i="11"/>
  <c r="X5" i="11"/>
  <c r="P5" i="11"/>
  <c r="H5" i="11"/>
  <c r="AA4" i="11"/>
  <c r="S4" i="11"/>
  <c r="K4" i="11"/>
  <c r="C4" i="11"/>
  <c r="X4" i="10"/>
  <c r="P4" i="10"/>
  <c r="H4" i="10"/>
  <c r="AP5" i="9"/>
  <c r="AH5" i="9"/>
  <c r="Z5" i="9"/>
  <c r="R5" i="9"/>
  <c r="J5" i="9"/>
  <c r="B5" i="9"/>
  <c r="U4" i="9"/>
  <c r="M4" i="9"/>
  <c r="E4" i="9"/>
  <c r="Z4" i="8"/>
  <c r="R4" i="8"/>
  <c r="J4" i="8"/>
  <c r="B4" i="8"/>
  <c r="AE4" i="7"/>
  <c r="W4" i="7"/>
  <c r="O4" i="7"/>
  <c r="G4" i="7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Y4" i="15"/>
  <c r="Q4" i="15"/>
  <c r="I4" i="15"/>
  <c r="CL5" i="14"/>
  <c r="CD5" i="14"/>
  <c r="BV5" i="14"/>
  <c r="BN5" i="14"/>
  <c r="BF5" i="14"/>
  <c r="AX5" i="14"/>
  <c r="AP5" i="14"/>
  <c r="AH5" i="14"/>
  <c r="Z5" i="14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Y5" i="12"/>
  <c r="AQ5" i="12"/>
  <c r="AI5" i="12"/>
  <c r="AA5" i="12"/>
  <c r="S5" i="12"/>
  <c r="K5" i="12"/>
  <c r="C5" i="12"/>
  <c r="AS4" i="12"/>
  <c r="AK4" i="12"/>
  <c r="AC4" i="12"/>
  <c r="U4" i="12"/>
  <c r="M4" i="12"/>
  <c r="E4" i="12"/>
  <c r="AM5" i="11"/>
  <c r="AE5" i="11"/>
  <c r="W5" i="11"/>
  <c r="O5" i="11"/>
  <c r="G5" i="11"/>
  <c r="Z4" i="11"/>
  <c r="R4" i="11"/>
  <c r="J4" i="11"/>
  <c r="B4" i="11"/>
  <c r="W4" i="10"/>
  <c r="O4" i="10"/>
  <c r="G4" i="10"/>
  <c r="K5" i="13"/>
  <c r="BP4" i="13"/>
  <c r="D4" i="13"/>
  <c r="AQ4" i="12"/>
  <c r="U5" i="11"/>
  <c r="M4" i="10"/>
  <c r="Q5" i="9"/>
  <c r="L4" i="9"/>
  <c r="I4" i="8"/>
  <c r="N4" i="7"/>
  <c r="AD4" i="6"/>
  <c r="N4" i="6"/>
  <c r="DQ4" i="5"/>
  <c r="DA4" i="5"/>
  <c r="CK4" i="5"/>
  <c r="BU4" i="5"/>
  <c r="BH4" i="5"/>
  <c r="AU4" i="5"/>
  <c r="AK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5" i="13"/>
  <c r="BH4" i="13"/>
  <c r="AW5" i="12"/>
  <c r="AI4" i="12"/>
  <c r="M5" i="11"/>
  <c r="E4" i="10"/>
  <c r="O5" i="9"/>
  <c r="J4" i="9"/>
  <c r="G4" i="8"/>
  <c r="L4" i="7"/>
  <c r="AC4" i="6"/>
  <c r="M4" i="6"/>
  <c r="DP4" i="5"/>
  <c r="CZ4" i="5"/>
  <c r="CJ4" i="5"/>
  <c r="BT4" i="5"/>
  <c r="BE4" i="5"/>
  <c r="AT4" i="5"/>
  <c r="AJ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DL4" i="13"/>
  <c r="AZ4" i="13"/>
  <c r="AO5" i="12"/>
  <c r="AA4" i="12"/>
  <c r="E5" i="11"/>
  <c r="AO5" i="9"/>
  <c r="I5" i="9"/>
  <c r="D4" i="9"/>
  <c r="F4" i="7"/>
  <c r="AB4" i="6"/>
  <c r="L4" i="6"/>
  <c r="DO4" i="5"/>
  <c r="CY4" i="5"/>
  <c r="CI4" i="5"/>
  <c r="BS4" i="5"/>
  <c r="BD4" i="5"/>
  <c r="AS4" i="5"/>
  <c r="AG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DD4" i="13"/>
  <c r="AR4" i="13"/>
  <c r="AG5" i="12"/>
  <c r="S4" i="12"/>
  <c r="X4" i="11"/>
  <c r="AM5" i="9"/>
  <c r="G5" i="9"/>
  <c r="B4" i="9"/>
  <c r="C5" i="7"/>
  <c r="D4" i="7"/>
  <c r="Z4" i="6"/>
  <c r="J4" i="6"/>
  <c r="DM4" i="5"/>
  <c r="CW4" i="5"/>
  <c r="CG4" i="5"/>
  <c r="BQ4" i="5"/>
  <c r="BC4" i="5"/>
  <c r="AR4" i="5"/>
  <c r="AF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V4" i="13"/>
  <c r="AJ4" i="13"/>
  <c r="Y5" i="12"/>
  <c r="K4" i="12"/>
  <c r="P4" i="11"/>
  <c r="AG5" i="9"/>
  <c r="A5" i="9"/>
  <c r="Y4" i="8"/>
  <c r="AD4" i="7"/>
  <c r="V4" i="6"/>
  <c r="F4" i="6"/>
  <c r="DI4" i="5"/>
  <c r="CS4" i="5"/>
  <c r="CC4" i="5"/>
  <c r="BM4" i="5"/>
  <c r="BA4" i="5"/>
  <c r="AO4" i="5"/>
  <c r="AE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CN4" i="13"/>
  <c r="AB4" i="13"/>
  <c r="Q5" i="12"/>
  <c r="C4" i="12"/>
  <c r="H4" i="11"/>
  <c r="AE5" i="9"/>
  <c r="Z4" i="9"/>
  <c r="W4" i="8"/>
  <c r="AB4" i="7"/>
  <c r="U4" i="6"/>
  <c r="E4" i="6"/>
  <c r="DH4" i="5"/>
  <c r="CR4" i="5"/>
  <c r="CB4" i="5"/>
  <c r="BL4" i="5"/>
  <c r="AZ4" i="5"/>
  <c r="AN4" i="5"/>
  <c r="AD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CF4" i="13"/>
  <c r="T4" i="13"/>
  <c r="I5" i="12"/>
  <c r="AK5" i="11"/>
  <c r="B5" i="10"/>
  <c r="Y5" i="9"/>
  <c r="T4" i="9"/>
  <c r="Q4" i="8"/>
  <c r="V4" i="7"/>
  <c r="C5" i="6"/>
  <c r="T4" i="6"/>
  <c r="D4" i="6"/>
  <c r="DG4" i="5"/>
  <c r="CQ4" i="5"/>
  <c r="CA4" i="5"/>
  <c r="BK4" i="5"/>
  <c r="AW4" i="5"/>
  <c r="AM4" i="5"/>
  <c r="AC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BX4" i="13"/>
  <c r="T4" i="7"/>
  <c r="BY4" i="5"/>
  <c r="F5" i="4"/>
  <c r="D8" i="3"/>
  <c r="C478" i="1"/>
  <c r="B457" i="1"/>
  <c r="A436" i="1"/>
  <c r="C414" i="1"/>
  <c r="B393" i="1"/>
  <c r="A372" i="1"/>
  <c r="C350" i="1"/>
  <c r="B329" i="1"/>
  <c r="A308" i="1"/>
  <c r="C286" i="1"/>
  <c r="B265" i="1"/>
  <c r="A245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438" i="1"/>
  <c r="C374" i="1"/>
  <c r="A268" i="1"/>
  <c r="B231" i="1"/>
  <c r="C212" i="1"/>
  <c r="C196" i="1"/>
  <c r="A178" i="1"/>
  <c r="B159" i="1"/>
  <c r="A146" i="1"/>
  <c r="C132" i="1"/>
  <c r="A114" i="1"/>
  <c r="B95" i="1"/>
  <c r="A74" i="1"/>
  <c r="B55" i="1"/>
  <c r="B39" i="1"/>
  <c r="C20" i="1"/>
  <c r="L4" i="13"/>
  <c r="BI4" i="5"/>
  <c r="H4" i="4"/>
  <c r="D6" i="3"/>
  <c r="A476" i="1"/>
  <c r="C454" i="1"/>
  <c r="B433" i="1"/>
  <c r="A412" i="1"/>
  <c r="C390" i="1"/>
  <c r="B369" i="1"/>
  <c r="A348" i="1"/>
  <c r="C326" i="1"/>
  <c r="B305" i="1"/>
  <c r="A284" i="1"/>
  <c r="C262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O4" i="5"/>
  <c r="C310" i="1"/>
  <c r="C228" i="1"/>
  <c r="A202" i="1"/>
  <c r="B183" i="1"/>
  <c r="B167" i="1"/>
  <c r="B151" i="1"/>
  <c r="B127" i="1"/>
  <c r="A106" i="1"/>
  <c r="C84" i="1"/>
  <c r="C68" i="1"/>
  <c r="A50" i="1"/>
  <c r="C28" i="1"/>
  <c r="B7" i="1"/>
  <c r="A5" i="12"/>
  <c r="AV4" i="5"/>
  <c r="D20" i="3"/>
  <c r="D4" i="3"/>
  <c r="B473" i="1"/>
  <c r="A452" i="1"/>
  <c r="C430" i="1"/>
  <c r="B409" i="1"/>
  <c r="A388" i="1"/>
  <c r="C366" i="1"/>
  <c r="B345" i="1"/>
  <c r="A324" i="1"/>
  <c r="C302" i="1"/>
  <c r="B281" i="1"/>
  <c r="A260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481" i="1"/>
  <c r="A396" i="1"/>
  <c r="A332" i="1"/>
  <c r="B239" i="1"/>
  <c r="B223" i="1"/>
  <c r="A210" i="1"/>
  <c r="A194" i="1"/>
  <c r="B175" i="1"/>
  <c r="A162" i="1"/>
  <c r="C140" i="1"/>
  <c r="C124" i="1"/>
  <c r="C108" i="1"/>
  <c r="C92" i="1"/>
  <c r="C76" i="1"/>
  <c r="A58" i="1"/>
  <c r="C44" i="1"/>
  <c r="A34" i="1"/>
  <c r="B15" i="1"/>
  <c r="AC5" i="11"/>
  <c r="A5" i="6"/>
  <c r="AL4" i="5"/>
  <c r="D18" i="3"/>
  <c r="A492" i="1"/>
  <c r="C470" i="1"/>
  <c r="B449" i="1"/>
  <c r="A428" i="1"/>
  <c r="C406" i="1"/>
  <c r="B385" i="1"/>
  <c r="A364" i="1"/>
  <c r="C342" i="1"/>
  <c r="B321" i="1"/>
  <c r="A300" i="1"/>
  <c r="C278" i="1"/>
  <c r="B257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O4" i="8"/>
  <c r="B289" i="1"/>
  <c r="A226" i="1"/>
  <c r="C204" i="1"/>
  <c r="C180" i="1"/>
  <c r="C164" i="1"/>
  <c r="C148" i="1"/>
  <c r="A122" i="1"/>
  <c r="B103" i="1"/>
  <c r="B87" i="1"/>
  <c r="A66" i="1"/>
  <c r="C36" i="1"/>
  <c r="A18" i="1"/>
  <c r="U4" i="10"/>
  <c r="R4" i="6"/>
  <c r="AB4" i="5"/>
  <c r="D16" i="3"/>
  <c r="B489" i="1"/>
  <c r="A468" i="1"/>
  <c r="C446" i="1"/>
  <c r="B425" i="1"/>
  <c r="A404" i="1"/>
  <c r="C382" i="1"/>
  <c r="B361" i="1"/>
  <c r="A340" i="1"/>
  <c r="C318" i="1"/>
  <c r="B297" i="1"/>
  <c r="A276" i="1"/>
  <c r="C254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460" i="1"/>
  <c r="A242" i="1"/>
  <c r="B215" i="1"/>
  <c r="B191" i="1"/>
  <c r="A170" i="1"/>
  <c r="B143" i="1"/>
  <c r="C116" i="1"/>
  <c r="A90" i="1"/>
  <c r="B71" i="1"/>
  <c r="C52" i="1"/>
  <c r="B31" i="1"/>
  <c r="C12" i="1"/>
  <c r="W5" i="9"/>
  <c r="B4" i="6"/>
  <c r="S4" i="5"/>
  <c r="D14" i="3"/>
  <c r="C486" i="1"/>
  <c r="B465" i="1"/>
  <c r="A444" i="1"/>
  <c r="C422" i="1"/>
  <c r="B401" i="1"/>
  <c r="A380" i="1"/>
  <c r="C358" i="1"/>
  <c r="B337" i="1"/>
  <c r="A316" i="1"/>
  <c r="C294" i="1"/>
  <c r="B273" i="1"/>
  <c r="A252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4" i="5"/>
  <c r="B353" i="1"/>
  <c r="C236" i="1"/>
  <c r="A218" i="1"/>
  <c r="B199" i="1"/>
  <c r="A186" i="1"/>
  <c r="C156" i="1"/>
  <c r="B135" i="1"/>
  <c r="B119" i="1"/>
  <c r="C100" i="1"/>
  <c r="B79" i="1"/>
  <c r="C60" i="1"/>
  <c r="A42" i="1"/>
  <c r="B23" i="1"/>
  <c r="C4" i="1"/>
  <c r="R4" i="9"/>
  <c r="DE4" i="5"/>
  <c r="K4" i="5"/>
  <c r="D12" i="3"/>
  <c r="A484" i="1"/>
  <c r="C462" i="1"/>
  <c r="B441" i="1"/>
  <c r="A420" i="1"/>
  <c r="C398" i="1"/>
  <c r="B377" i="1"/>
  <c r="A356" i="1"/>
  <c r="C334" i="1"/>
  <c r="B313" i="1"/>
  <c r="A292" i="1"/>
  <c r="C270" i="1"/>
  <c r="B249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D10" i="3"/>
  <c r="B417" i="1"/>
  <c r="C246" i="1"/>
  <c r="A234" i="1"/>
  <c r="C220" i="1"/>
  <c r="B207" i="1"/>
  <c r="C188" i="1"/>
  <c r="C172" i="1"/>
  <c r="A154" i="1"/>
  <c r="A138" i="1"/>
  <c r="A130" i="1"/>
  <c r="B111" i="1"/>
  <c r="A98" i="1"/>
  <c r="A82" i="1"/>
  <c r="B63" i="1"/>
  <c r="B47" i="1"/>
  <c r="A26" i="1"/>
  <c r="A10" i="1"/>
  <c r="J2" i="11" l="1"/>
  <c r="J2" i="14"/>
  <c r="J2" i="9"/>
  <c r="J2" i="6"/>
  <c r="J2" i="12"/>
  <c r="J2" i="13"/>
  <c r="J2" i="7"/>
  <c r="J2" i="10"/>
  <c r="J2" i="15"/>
  <c r="J2" i="5"/>
  <c r="J2" i="8"/>
  <c r="J2" i="4"/>
</calcChain>
</file>

<file path=xl/sharedStrings.xml><?xml version="1.0" encoding="utf-8"?>
<sst xmlns="http://schemas.openxmlformats.org/spreadsheetml/2006/main" count="165" uniqueCount="53">
  <si>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</si>
  <si>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</si>
  <si>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</si>
  <si>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</si>
  <si>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</si>
  <si>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</si>
  <si>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</si>
  <si>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</si>
  <si>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</si>
  <si>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</si>
  <si>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</si>
  <si>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</si>
  <si>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</si>
  <si>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</si>
  <si>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</si>
  <si>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</si>
  <si>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</si>
  <si>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</si>
  <si>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</si>
  <si>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</si>
  <si>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</si>
  <si>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</si>
  <si>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</si>
  <si>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</si>
  <si>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</si>
  <si>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</si>
  <si>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</si>
  <si>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</si>
  <si>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</si>
  <si>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GBP/USD</t>
  </si>
  <si>
    <t>Buy to Close</t>
  </si>
  <si>
    <t>NewMF1</t>
  </si>
  <si>
    <t>O:ABM 10D20.00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</si>
  <si>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</si>
  <si>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</si>
  <si>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</si>
  <si>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</si>
  <si>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</si>
  <si>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</si>
  <si>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</si>
  <si>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</si>
  <si>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</si>
  <si>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</si>
  <si>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</si>
  <si>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GetDataAllocation</t>
  </si>
  <si>
    <t>Current</t>
  </si>
  <si>
    <t>CheckAllocatedGroups</t>
  </si>
  <si>
    <t>Open</t>
  </si>
  <si>
    <t>OPTS</t>
  </si>
  <si>
    <t>PortfolioManagement</t>
  </si>
  <si>
    <t>CheckPortfolioManagement</t>
  </si>
  <si>
    <t>Long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</si>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</sst>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3" fontId="3" fillId="0" borderId="0" xfId="0" applyNumberFormat="1" applyFont="1" applyAlignment="1">
      <alignment horizontal="right"/>
    </xf>
    <xf numFmtId="0" fontId="14" fillId="0" borderId="5" xfId="0" applyFont="1" applyBorder="1" applyAlignment="1"/>
    <xf numFmtId="164" fontId="14" fillId="0" borderId="5" xfId="0" applyNumberFormat="1" applyFont="1" applyBorder="1" applyAlignment="1">
      <alignment horizontal="right"/>
    </xf>
    <xf numFmtId="0" fontId="14" fillId="0" borderId="5" xfId="0" applyFont="1" applyBorder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9" t="s">
        <v>0</v>
      </c>
      <c r="B1" s="50"/>
      <c r="C1" s="50"/>
      <c r="D1" s="50"/>
      <c r="E1" s="50"/>
      <c r="F1" s="51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2" t="s">
        <v>2</v>
      </c>
      <c r="B1" s="50"/>
      <c r="C1" s="51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9" t="s">
        <v>7</v>
      </c>
      <c r="B1" s="50"/>
      <c r="C1" s="50"/>
      <c r="D1" s="50"/>
      <c r="E1" s="50"/>
      <c r="F1" s="5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IFERROR(__xludf.DUMMYFUNCTION("""COMPUTED_VALUE"""),"OverSellTradingRule")</f>
        <v>OverSellTradingRule</v>
      </c>
      <c r="C5" s="23" t="str">
        <f ca="1">IFERROR(__xludf.DUMMYFUNCTION("""COMPUTED_VALUE"""),"OverBuyTradingRule")</f>
        <v>OverBuyTradingRule</v>
      </c>
      <c r="D5" s="23" t="str">
        <f ca="1">IFERROR(__xludf.DUMMYFUNCTION("""COMPUTED_VALUE"""),"FatFingerTradingRule")</f>
        <v>FatFingerTradingRule</v>
      </c>
      <c r="E5" s="23" t="str">
        <f ca="1">IFERROR(__xludf.DUMMYFUNCTION("""COMPUTED_VALUE"""),"UnallocatedTradeAlert")</f>
        <v>UnallocatedTradeAlert</v>
      </c>
      <c r="F5" s="24" t="str">
        <f ca="1">IFERROR(__xludf.DUMMYFUNCTION("""COMPUTED_VALUE"""),"DuplicateTradeAlert")</f>
        <v>DuplicateTradeAlert</v>
      </c>
      <c r="G5" s="23" t="str">
        <f ca="1">IFERROR(__xludf.DUMMYFUNCTION("""COMPUTED_VALUE"""),"PendingNewOrderAlert")</f>
        <v>PendingNewOrderAlert</v>
      </c>
      <c r="H5" s="23" t="str">
        <f ca="1">IFERROR(__xludf.DUMMYFUNCTION("""COMPUTED_VALUE"""),"FatFingerPercent")</f>
        <v>FatFingerPercent</v>
      </c>
      <c r="I5" s="23" t="str">
        <f ca="1">IFERROR(__xludf.DUMMYFUNCTION("""COMPUTED_VALUE"""),"DuplicateTradeAlertTime")</f>
        <v>DuplicateTradeAlertTime</v>
      </c>
      <c r="J5" s="23" t="str">
        <f ca="1">IFERROR(__xludf.DUMMYFUNCTION("""COMPUTED_VALUE"""),"PendingNewOrderAlertTime")</f>
        <v>PendingNewOrderAlertTime</v>
      </c>
      <c r="K5" s="23" t="str">
        <f ca="1">IFERROR(__xludf.DUMMYFUNCTION("""COMPUTED_VALUE"""),"FatFingerAccountOrMasterFund")</f>
        <v>FatFingerAccountOrMasterFund</v>
      </c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/>
      <c r="C6" s="28"/>
      <c r="D6" s="29" t="b">
        <v>1</v>
      </c>
      <c r="E6" s="28"/>
      <c r="F6" s="28"/>
      <c r="G6" s="28"/>
      <c r="H6" s="30">
        <v>10</v>
      </c>
      <c r="I6" s="28"/>
      <c r="J6" s="28"/>
      <c r="K6" s="31" t="s">
        <v>16</v>
      </c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IFERROR(__xludf.DUMMYFUNCTION("""COMPUTED_VALUE"""),"ShowMasterFundOnTT")</f>
        <v>ShowMasterFundOnTT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b">
        <v>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Date")</f>
        <v>Select Date</v>
      </c>
      <c r="C5" s="23" t="str">
        <f ca="1">IFERROR(__xludf.DUMMYFUNCTION("""COMPUTED_VALUE"""),"Copy From")</f>
        <v>Copy From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4">
        <f t="shared" ref="B6:C6" ca="1" si="0">TODAY()-1</f>
        <v>44411</v>
      </c>
      <c r="C6" s="35">
        <f t="shared" ca="1" si="0"/>
        <v>44411</v>
      </c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19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IFERROR(__xludf.DUMMYFUNCTION("IF(C3="""","""",Transpose(IMPORTRANGE('_Settings'!$B$3,C3&amp;""!A4:A1000"")))"),"UpdateBeta")</f>
        <v>UpdateBeta</v>
      </c>
      <c r="C4" s="20" t="str">
        <f ca="1">IFERROR(__xludf.DUMMYFUNCTION("""COMPUTED_VALUE"""),"UpdateDailyCash")</f>
        <v>UpdateDailyCash</v>
      </c>
      <c r="D4" s="20" t="str">
        <f ca="1">IFERROR(__xludf.DUMMYFUNCTION("""COMPUTED_VALUE"""),"UpdateForexConversion")</f>
        <v>UpdateForexConversion</v>
      </c>
      <c r="E4" s="20" t="str">
        <f ca="1">IFERROR(__xludf.DUMMYFUNCTION("""COMPUTED_VALUE"""),"UpdateMarkPrice")</f>
        <v>UpdateMarkPrice</v>
      </c>
      <c r="F4" s="20" t="str">
        <f ca="1">IFERROR(__xludf.DUMMYFUNCTION("""COMPUTED_VALUE"""),"CleanUp")</f>
        <v>CleanUp</v>
      </c>
      <c r="G4" s="20" t="str">
        <f ca="1">IFERROR(__xludf.DUMMYFUNCTION("""COMPUTED_VALUE"""),"GetMarkPriceData")</f>
        <v>GetMarkPriceData</v>
      </c>
      <c r="H4" s="20" t="str">
        <f ca="1">IFERROR(__xludf.DUMMYFUNCTION("""COMPUTED_VALUE"""),"GetForwardPoints")</f>
        <v>GetForwardPoints</v>
      </c>
      <c r="I4" s="20" t="str">
        <f ca="1">IFERROR(__xludf.DUMMYFUNCTION("""COMPUTED_VALUE"""),"UpdateForwardPoints")</f>
        <v>UpdateForwardPoints</v>
      </c>
      <c r="J4" s="20" t="str">
        <f ca="1">IFERROR(__xludf.DUMMYFUNCTION("""COMPUTED_VALUE"""),"GetForexConversion")</f>
        <v>GetForexConversion</v>
      </c>
      <c r="K4" s="20" t="str">
        <f ca="1">IFERROR(__xludf.DUMMYFUNCTION("""COMPUTED_VALUE"""),"DeleteNAV")</f>
        <v>DeleteNAV</v>
      </c>
      <c r="L4" s="20" t="str">
        <f ca="1">IFERROR(__xludf.DUMMYFUNCTION("""COMPUTED_VALUE"""),"GetDailyCash")</f>
        <v>GetDailyCash</v>
      </c>
      <c r="M4" s="20" t="str">
        <f ca="1">IFERROR(__xludf.DUMMYFUNCTION("""COMPUTED_VALUE"""),"GetDailyBeta")</f>
        <v>GetDailyBeta</v>
      </c>
      <c r="N4" s="20" t="str">
        <f ca="1">IFERROR(__xludf.DUMMYFUNCTION("""COMPUTED_VALUE"""),"GetDailyVolatility")</f>
        <v>GetDailyVolatility</v>
      </c>
      <c r="O4" s="20" t="str">
        <f ca="1">IFERROR(__xludf.DUMMYFUNCTION("""COMPUTED_VALUE"""),"GetDailyDividendYield")</f>
        <v>GetDailyDividendYield</v>
      </c>
      <c r="P4" s="21" t="str">
        <f ca="1">IFERROR(__xludf.DUMMYFUNCTION("""COMPUTED_VALUE"""),"GetDailyTradingVolume")</f>
        <v>GetDailyTradingVolume</v>
      </c>
      <c r="Q4" s="21" t="str">
        <f ca="1">IFERROR(__xludf.DUMMYFUNCTION("""COMPUTED_VALUE"""),"GetDailyOutstandings")</f>
        <v>GetDailyOutstandings</v>
      </c>
      <c r="R4" s="21" t="str">
        <f ca="1">IFERROR(__xludf.DUMMYFUNCTION("""COMPUTED_VALUE"""),"GetDailyDelta")</f>
        <v>GetDailyDelta</v>
      </c>
      <c r="S4" s="21" t="str">
        <f ca="1">IFERROR(__xludf.DUMMYFUNCTION("""COMPUTED_VALUE"""),"UpdateDailyVolatility")</f>
        <v>UpdateDailyVolatility</v>
      </c>
      <c r="T4" s="21" t="str">
        <f ca="1">IFERROR(__xludf.DUMMYFUNCTION("""COMPUTED_VALUE"""),"UpdateDividendYield")</f>
        <v>UpdateDividendYield</v>
      </c>
      <c r="U4" s="21" t="str">
        <f ca="1">IFERROR(__xludf.DUMMYFUNCTION("""COMPUTED_VALUE"""),"UpdateTradingVolume")</f>
        <v>UpdateTradingVolume</v>
      </c>
      <c r="V4" s="21" t="str">
        <f ca="1">IFERROR(__xludf.DUMMYFUNCTION("""COMPUTED_VALUE"""),"UpdateDailyDelta")</f>
        <v>UpdateDailyDelta</v>
      </c>
      <c r="W4" s="21" t="str">
        <f ca="1">IFERROR(__xludf.DUMMYFUNCTION("""COMPUTED_VALUE"""),"UpdateDailyOutstandings")</f>
        <v>UpdateDailyOutstandings</v>
      </c>
      <c r="X4" s="21" t="str">
        <f ca="1">IFERROR(__xludf.DUMMYFUNCTION("""COMPUTED_VALUE"""),"UpdateBeta")</f>
        <v>UpdateBeta</v>
      </c>
      <c r="Y4" s="21" t="str">
        <f ca="1">IFERROR(__xludf.DUMMYFUNCTION("""COMPUTED_VALUE"""),"UpdateNAV")</f>
        <v>UpdateNAV</v>
      </c>
      <c r="Z4" s="21" t="str">
        <f ca="1">IFERROR(__xludf.DUMMYFUNCTION("""COMPUTED_VALUE"""),"UpdateDailyCash")</f>
        <v>UpdateDailyCash</v>
      </c>
      <c r="AA4" s="21" t="str">
        <f ca="1">IFERROR(__xludf.DUMMYFUNCTION("""COMPUTED_VALUE"""),"UpdateDailyCreditLimt")</f>
        <v>UpdateDailyCreditLimt</v>
      </c>
      <c r="AB4" s="21" t="str">
        <f ca="1">IFERROR(__xludf.DUMMYFUNCTION("""COMPUTED_VALUE"""),"RemoveDailyCreditLimit")</f>
        <v>RemoveDailyCreditLimit</v>
      </c>
      <c r="AC4" s="21" t="str">
        <f ca="1">IFERROR(__xludf.DUMMYFUNCTION("""COMPUTED_VALUE"""),"RemoveDailyCash")</f>
        <v>RemoveDailyCash</v>
      </c>
      <c r="AD4" s="21" t="str">
        <f ca="1">IFERROR(__xludf.DUMMYFUNCTION("""COMPUTED_VALUE"""),"RemoveNAV")</f>
        <v>RemoveNAV</v>
      </c>
      <c r="AE4" s="21" t="str">
        <f ca="1">IFERROR(__xludf.DUMMYFUNCTION("""COMPUTED_VALUE"""),"UpdateForexConversionMonthly")</f>
        <v>UpdateForexConversionMonthly</v>
      </c>
      <c r="AF4" s="21" t="str">
        <f ca="1">IFERROR(__xludf.DUMMYFUNCTION("""COMPUTED_VALUE"""),"UpdateMarkPriceMonthly")</f>
        <v>UpdateMarkPriceMonthly</v>
      </c>
      <c r="AG4" s="21" t="str">
        <f ca="1">IFERROR(__xludf.DUMMYFUNCTION("""COMPUTED_VALUE"""),"VerifyDailyCash")</f>
        <v>VerifyDailyCash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IFERROR(__xludf.DUMMYFUNCTION("""COMPUTED_VALUE"""),"Local Currency")</f>
        <v>Local Currency</v>
      </c>
      <c r="D5" s="23" t="str">
        <f ca="1">IFERROR(__xludf.DUMMYFUNCTION("""COMPUTED_VALUE"""),"Cash Value Local")</f>
        <v>Cash Value Local</v>
      </c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7" t="s">
        <v>22</v>
      </c>
      <c r="C6" s="28" t="s">
        <v>23</v>
      </c>
      <c r="D6" s="36">
        <v>300000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24</v>
      </c>
      <c r="C7" s="32" t="s">
        <v>23</v>
      </c>
      <c r="D7" s="37">
        <v>300000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27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7" t="s">
        <v>29</v>
      </c>
      <c r="C6" s="28" t="s">
        <v>30</v>
      </c>
      <c r="D6" s="36">
        <v>10000</v>
      </c>
      <c r="E6" s="28"/>
      <c r="F6" s="28" t="s">
        <v>22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IFERROR(__xludf.DUMMYFUNCTION("""COMPUTED_VALUE"""),"MasterFund")</f>
        <v>MasterFund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31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25</v>
      </c>
      <c r="D3" s="2" t="s">
        <v>9</v>
      </c>
      <c r="E3" s="18" t="s">
        <v>28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6"/>
      <c r="B6" s="27" t="s">
        <v>32</v>
      </c>
      <c r="C6" s="28" t="s">
        <v>30</v>
      </c>
      <c r="D6" s="36">
        <v>10000</v>
      </c>
      <c r="E6" s="30">
        <v>10000</v>
      </c>
      <c r="F6" s="28" t="s">
        <v>24</v>
      </c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33</v>
      </c>
      <c r="D3" s="2" t="s">
        <v>9</v>
      </c>
      <c r="E3" s="18" t="s">
        <v>34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7"/>
      <c r="C6" s="28"/>
      <c r="D6" s="36">
        <v>10</v>
      </c>
      <c r="E6" s="28"/>
      <c r="F6" s="28"/>
      <c r="G6" s="28"/>
      <c r="H6" s="28"/>
      <c r="I6" s="28"/>
      <c r="J6" s="28" t="s">
        <v>29</v>
      </c>
      <c r="K6" s="28" t="s">
        <v>35</v>
      </c>
      <c r="L6" s="28"/>
      <c r="M6" s="28"/>
      <c r="N6" s="28"/>
      <c r="O6" s="28"/>
      <c r="P6" s="28"/>
      <c r="Q6" s="28"/>
      <c r="R6" s="28"/>
      <c r="S6" s="38">
        <v>0</v>
      </c>
      <c r="T6" s="39">
        <v>0</v>
      </c>
      <c r="U6" s="32" t="s">
        <v>36</v>
      </c>
      <c r="V6" s="32"/>
      <c r="W6" s="32"/>
      <c r="X6" s="32"/>
      <c r="Y6" s="32"/>
      <c r="Z6" s="32"/>
      <c r="AA6" s="40" t="s">
        <v>27</v>
      </c>
      <c r="AB6" s="32"/>
      <c r="AC6" s="32"/>
      <c r="AD6" s="39">
        <v>10</v>
      </c>
      <c r="AE6" s="32"/>
      <c r="AF6" s="32"/>
      <c r="AG6" s="32"/>
      <c r="AH6" s="32" t="s">
        <v>37</v>
      </c>
      <c r="AI6" s="32" t="s">
        <v>29</v>
      </c>
      <c r="AJ6" s="32" t="s">
        <v>30</v>
      </c>
      <c r="AK6" s="32" t="s">
        <v>38</v>
      </c>
      <c r="AL6" s="39">
        <v>10000</v>
      </c>
      <c r="AM6" s="39">
        <v>10000</v>
      </c>
      <c r="AN6" s="39">
        <v>100</v>
      </c>
      <c r="AO6" s="39">
        <v>10000</v>
      </c>
      <c r="AP6" s="32"/>
      <c r="AQ6" s="39">
        <v>10</v>
      </c>
      <c r="AR6" s="39">
        <v>10</v>
      </c>
      <c r="AS6" s="32" t="s">
        <v>39</v>
      </c>
      <c r="AT6" s="32" t="s">
        <v>22</v>
      </c>
      <c r="AU6" s="32" t="s">
        <v>40</v>
      </c>
      <c r="AV6" s="41">
        <v>100000</v>
      </c>
      <c r="AW6" s="41">
        <v>1000000</v>
      </c>
      <c r="AX6" s="32"/>
      <c r="AY6" s="39">
        <v>10000</v>
      </c>
      <c r="AZ6" s="39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7">
        <v>10</v>
      </c>
      <c r="E7" s="32"/>
      <c r="F7" s="32"/>
      <c r="G7" s="32"/>
      <c r="H7" s="32"/>
      <c r="I7" s="32"/>
      <c r="J7" s="32" t="s">
        <v>41</v>
      </c>
      <c r="K7" s="32" t="s">
        <v>42</v>
      </c>
      <c r="L7" s="32"/>
      <c r="M7" s="32"/>
      <c r="N7" s="32"/>
      <c r="O7" s="32"/>
      <c r="P7" s="32"/>
      <c r="Q7" s="32"/>
      <c r="R7" s="32"/>
      <c r="S7" s="39">
        <v>20</v>
      </c>
      <c r="T7" s="39">
        <v>0</v>
      </c>
      <c r="U7" s="32" t="s">
        <v>23</v>
      </c>
      <c r="V7" s="32"/>
      <c r="W7" s="32"/>
      <c r="X7" s="32"/>
      <c r="Y7" s="32"/>
      <c r="Z7" s="32"/>
      <c r="AA7" s="40" t="s">
        <v>31</v>
      </c>
      <c r="AB7" s="32"/>
      <c r="AC7" s="32"/>
      <c r="AD7" s="39">
        <v>1</v>
      </c>
      <c r="AE7" s="32"/>
      <c r="AF7" s="32"/>
      <c r="AG7" s="32"/>
      <c r="AH7" s="32" t="s">
        <v>43</v>
      </c>
      <c r="AI7" s="32" t="s">
        <v>32</v>
      </c>
      <c r="AJ7" s="32" t="s">
        <v>30</v>
      </c>
      <c r="AK7" s="32" t="s">
        <v>38</v>
      </c>
      <c r="AL7" s="39">
        <v>10000</v>
      </c>
      <c r="AM7" s="39">
        <v>10000</v>
      </c>
      <c r="AN7" s="39">
        <v>100</v>
      </c>
      <c r="AO7" s="39">
        <v>10000</v>
      </c>
      <c r="AP7" s="32"/>
      <c r="AQ7" s="39">
        <v>10</v>
      </c>
      <c r="AR7" s="39">
        <v>10</v>
      </c>
      <c r="AS7" s="32" t="s">
        <v>39</v>
      </c>
      <c r="AT7" s="32" t="s">
        <v>24</v>
      </c>
      <c r="AU7" s="32" t="s">
        <v>40</v>
      </c>
      <c r="AV7" s="41">
        <v>10000000</v>
      </c>
      <c r="AW7" s="41">
        <v>10000000</v>
      </c>
      <c r="AX7" s="32"/>
      <c r="AY7" s="39">
        <v>10000</v>
      </c>
      <c r="AZ7" s="39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45</v>
      </c>
      <c r="C6" s="5"/>
      <c r="D6" s="9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17</v>
      </c>
      <c r="D3" s="2" t="s">
        <v>9</v>
      </c>
      <c r="E3" s="18" t="s">
        <v>46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42" t="s">
        <v>22</v>
      </c>
      <c r="C6" s="28"/>
      <c r="D6" s="43">
        <v>0</v>
      </c>
      <c r="E6" s="43">
        <v>10000</v>
      </c>
      <c r="F6" s="28"/>
      <c r="G6" s="44" t="s">
        <v>37</v>
      </c>
      <c r="H6" s="43">
        <v>0</v>
      </c>
      <c r="I6" s="43">
        <v>0</v>
      </c>
      <c r="J6" s="28"/>
      <c r="K6" s="43">
        <v>10</v>
      </c>
      <c r="L6" s="43">
        <v>10</v>
      </c>
      <c r="M6" s="28"/>
      <c r="N6" s="28"/>
      <c r="O6" s="28" t="s">
        <v>39</v>
      </c>
      <c r="P6" s="28"/>
      <c r="Q6" s="43">
        <v>3</v>
      </c>
      <c r="R6" s="43">
        <v>0</v>
      </c>
      <c r="S6" s="44" t="s">
        <v>47</v>
      </c>
      <c r="T6" s="45">
        <v>0</v>
      </c>
      <c r="U6" s="45">
        <v>0</v>
      </c>
      <c r="V6" s="32"/>
      <c r="W6" s="32"/>
      <c r="X6" s="32"/>
      <c r="Y6" s="32"/>
      <c r="Z6" s="46" t="s">
        <v>36</v>
      </c>
      <c r="AA6" s="32"/>
      <c r="AB6" s="32"/>
      <c r="AC6" s="32"/>
      <c r="AD6" s="46" t="s">
        <v>37</v>
      </c>
      <c r="AE6" s="45">
        <v>10000</v>
      </c>
      <c r="AF6" s="32"/>
      <c r="AG6" s="32"/>
      <c r="AH6" s="32"/>
      <c r="AI6" s="45">
        <v>10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5">
        <v>100000</v>
      </c>
      <c r="AU6" s="45">
        <v>10000</v>
      </c>
      <c r="AV6" s="32"/>
      <c r="AW6" s="45">
        <v>0</v>
      </c>
      <c r="AX6" s="45">
        <v>0</v>
      </c>
      <c r="AY6" s="32" t="s">
        <v>40</v>
      </c>
      <c r="AZ6" s="45">
        <v>0</v>
      </c>
      <c r="BA6" s="32"/>
      <c r="BB6" s="32"/>
      <c r="BC6" s="45">
        <v>0</v>
      </c>
      <c r="BD6" s="32"/>
      <c r="BE6" s="45">
        <v>100000</v>
      </c>
      <c r="BF6" s="45">
        <v>10000</v>
      </c>
      <c r="BG6" s="32"/>
      <c r="BH6" s="32"/>
      <c r="BI6" s="32"/>
      <c r="BJ6" s="45">
        <v>10000</v>
      </c>
      <c r="BK6" s="45">
        <v>0</v>
      </c>
      <c r="BL6" s="32"/>
      <c r="BM6" s="46" t="s">
        <v>36</v>
      </c>
      <c r="BN6" s="32"/>
      <c r="BO6" s="46" t="s">
        <v>30</v>
      </c>
      <c r="BP6" s="45">
        <v>0</v>
      </c>
      <c r="BQ6" s="45">
        <v>0</v>
      </c>
      <c r="BR6" s="32"/>
      <c r="BS6" s="32"/>
      <c r="BT6" s="46" t="s">
        <v>29</v>
      </c>
      <c r="BU6" s="45">
        <v>0</v>
      </c>
      <c r="BV6" s="45">
        <v>0</v>
      </c>
      <c r="BW6" s="45">
        <v>0</v>
      </c>
      <c r="BX6" s="45">
        <v>0</v>
      </c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46"/>
      <c r="CJ6" s="45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46" t="s">
        <v>24</v>
      </c>
      <c r="C7" s="32"/>
      <c r="D7" s="45">
        <v>0</v>
      </c>
      <c r="E7" s="45">
        <v>10000</v>
      </c>
      <c r="F7" s="32"/>
      <c r="G7" s="46" t="s">
        <v>43</v>
      </c>
      <c r="H7" s="45">
        <v>0</v>
      </c>
      <c r="I7" s="45">
        <v>0</v>
      </c>
      <c r="J7" s="32"/>
      <c r="K7" s="45">
        <v>10</v>
      </c>
      <c r="L7" s="45">
        <v>10</v>
      </c>
      <c r="M7" s="32"/>
      <c r="N7" s="32"/>
      <c r="O7" s="32" t="s">
        <v>39</v>
      </c>
      <c r="P7" s="32"/>
      <c r="Q7" s="45">
        <v>3</v>
      </c>
      <c r="R7" s="45">
        <v>0</v>
      </c>
      <c r="S7" s="46" t="s">
        <v>47</v>
      </c>
      <c r="T7" s="45">
        <v>0</v>
      </c>
      <c r="U7" s="45">
        <v>0</v>
      </c>
      <c r="V7" s="32"/>
      <c r="W7" s="32"/>
      <c r="X7" s="32"/>
      <c r="Y7" s="32"/>
      <c r="Z7" s="46" t="s">
        <v>23</v>
      </c>
      <c r="AA7" s="32"/>
      <c r="AB7" s="32"/>
      <c r="AC7" s="32"/>
      <c r="AD7" s="46" t="s">
        <v>48</v>
      </c>
      <c r="AE7" s="45">
        <v>10000</v>
      </c>
      <c r="AF7" s="32"/>
      <c r="AG7" s="32"/>
      <c r="AH7" s="32"/>
      <c r="AI7" s="45">
        <v>1</v>
      </c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5">
        <v>10000000</v>
      </c>
      <c r="AU7" s="45">
        <v>10000000</v>
      </c>
      <c r="AV7" s="32"/>
      <c r="AW7" s="45">
        <v>0</v>
      </c>
      <c r="AX7" s="45">
        <v>0</v>
      </c>
      <c r="AY7" s="32" t="s">
        <v>40</v>
      </c>
      <c r="AZ7" s="45">
        <v>0</v>
      </c>
      <c r="BA7" s="32"/>
      <c r="BB7" s="32"/>
      <c r="BC7" s="45">
        <v>0</v>
      </c>
      <c r="BD7" s="32"/>
      <c r="BE7" s="45">
        <v>10000000</v>
      </c>
      <c r="BF7" s="45">
        <v>10000000</v>
      </c>
      <c r="BG7" s="32"/>
      <c r="BH7" s="32"/>
      <c r="BI7" s="32"/>
      <c r="BJ7" s="45">
        <v>10000</v>
      </c>
      <c r="BK7" s="45">
        <v>0</v>
      </c>
      <c r="BL7" s="32"/>
      <c r="BM7" s="46" t="s">
        <v>23</v>
      </c>
      <c r="BN7" s="32"/>
      <c r="BO7" s="46" t="s">
        <v>30</v>
      </c>
      <c r="BP7" s="45">
        <v>0</v>
      </c>
      <c r="BQ7" s="45">
        <v>0</v>
      </c>
      <c r="BR7" s="32"/>
      <c r="BS7" s="32"/>
      <c r="BT7" s="46" t="s">
        <v>32</v>
      </c>
      <c r="BU7" s="45">
        <v>0</v>
      </c>
      <c r="BV7" s="45">
        <v>0</v>
      </c>
      <c r="BW7" s="45">
        <v>0</v>
      </c>
      <c r="BX7" s="45">
        <v>0</v>
      </c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46"/>
      <c r="CJ7" s="45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4"/>
      <c r="B1" s="49" t="s">
        <v>11</v>
      </c>
      <c r="C1" s="50"/>
      <c r="D1" s="50"/>
      <c r="E1" s="50"/>
      <c r="F1" s="50"/>
      <c r="G1" s="50"/>
      <c r="H1" s="51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49</v>
      </c>
      <c r="D3" s="2" t="s">
        <v>9</v>
      </c>
      <c r="E3" s="18" t="s">
        <v>50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Outstanding")</f>
        <v>Shares Outstanding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27"/>
      <c r="B6" s="27"/>
      <c r="C6" s="28" t="s">
        <v>32</v>
      </c>
      <c r="D6" s="47">
        <v>10000</v>
      </c>
      <c r="E6" s="28" t="s">
        <v>24</v>
      </c>
      <c r="F6" s="31" t="s">
        <v>31</v>
      </c>
      <c r="G6" s="30">
        <v>10</v>
      </c>
      <c r="H6" s="28" t="s">
        <v>51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47">
        <v>-10000000</v>
      </c>
      <c r="O6" s="28"/>
      <c r="P6" s="28"/>
      <c r="Q6" s="47">
        <v>-10000000</v>
      </c>
      <c r="R6" s="28" t="s">
        <v>39</v>
      </c>
      <c r="S6" s="28"/>
      <c r="T6" s="32" t="s">
        <v>43</v>
      </c>
      <c r="U6" s="32" t="s">
        <v>42</v>
      </c>
      <c r="V6" s="32" t="s">
        <v>48</v>
      </c>
      <c r="W6" s="32" t="s">
        <v>23</v>
      </c>
      <c r="X6" s="32"/>
      <c r="Y6" s="39">
        <v>1</v>
      </c>
      <c r="Z6" s="32"/>
      <c r="AA6" s="32"/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8">
        <v>0</v>
      </c>
      <c r="AK6" s="47">
        <v>-10000000</v>
      </c>
      <c r="AL6" s="39">
        <v>0</v>
      </c>
      <c r="AM6" s="39">
        <v>1</v>
      </c>
      <c r="AN6" s="32" t="s">
        <v>30</v>
      </c>
      <c r="AO6" s="32"/>
      <c r="AP6" s="32" t="s">
        <v>51</v>
      </c>
      <c r="AQ6" s="32" t="s">
        <v>41</v>
      </c>
      <c r="AR6" s="39">
        <v>0</v>
      </c>
      <c r="AS6" s="39">
        <v>1</v>
      </c>
      <c r="AT6" s="32"/>
      <c r="AU6" s="32"/>
      <c r="AV6" s="38">
        <v>1</v>
      </c>
      <c r="AW6" s="47">
        <v>-10000000</v>
      </c>
      <c r="AX6" s="39">
        <v>0</v>
      </c>
      <c r="AY6" s="39">
        <v>0</v>
      </c>
      <c r="AZ6" s="48">
        <v>0</v>
      </c>
      <c r="BA6" s="39">
        <v>-100</v>
      </c>
      <c r="BB6" s="32"/>
      <c r="BC6" s="39">
        <v>1</v>
      </c>
      <c r="BD6" s="48">
        <v>-10000000</v>
      </c>
      <c r="BE6" s="32"/>
      <c r="BF6" s="32"/>
      <c r="BG6" s="32"/>
      <c r="BH6" s="32"/>
      <c r="BI6" s="32"/>
      <c r="BJ6" s="39">
        <v>0</v>
      </c>
      <c r="BK6" s="39">
        <v>0</v>
      </c>
      <c r="BL6" s="39">
        <v>0</v>
      </c>
      <c r="BM6" s="39">
        <v>0</v>
      </c>
      <c r="BN6" s="32"/>
      <c r="BO6" s="48">
        <v>-10000000</v>
      </c>
      <c r="BP6" s="39">
        <v>-100</v>
      </c>
      <c r="BQ6" s="32"/>
      <c r="BR6" s="32" t="s">
        <v>39</v>
      </c>
      <c r="BS6" s="39">
        <v>0</v>
      </c>
      <c r="BT6" s="39">
        <v>0</v>
      </c>
      <c r="BU6" s="32"/>
      <c r="BV6" s="32"/>
      <c r="BW6" s="39">
        <v>20</v>
      </c>
      <c r="BX6" s="39">
        <v>0</v>
      </c>
      <c r="BY6" s="48">
        <v>0</v>
      </c>
      <c r="BZ6" s="39">
        <v>0</v>
      </c>
      <c r="CA6" s="39">
        <v>0</v>
      </c>
      <c r="CB6" s="32"/>
      <c r="CC6" s="38">
        <v>0</v>
      </c>
      <c r="CD6" s="47">
        <v>-10000000</v>
      </c>
      <c r="CE6" s="39">
        <v>0</v>
      </c>
      <c r="CF6" s="38">
        <v>0</v>
      </c>
      <c r="CG6" s="47">
        <v>-10000000</v>
      </c>
      <c r="CH6" s="39">
        <v>-100</v>
      </c>
      <c r="CI6" s="39">
        <v>0</v>
      </c>
      <c r="CJ6" s="39">
        <v>0</v>
      </c>
      <c r="CK6" s="32"/>
      <c r="CL6" s="32"/>
      <c r="CM6" s="32"/>
      <c r="CN6" s="32"/>
      <c r="CO6" s="32"/>
      <c r="CP6" s="32"/>
      <c r="CQ6" s="32"/>
      <c r="CR6" s="32"/>
      <c r="CS6" s="39">
        <v>10</v>
      </c>
      <c r="CT6" s="32"/>
      <c r="CU6" s="32"/>
      <c r="CV6" s="32"/>
      <c r="CW6" s="32"/>
      <c r="CX6" s="32"/>
      <c r="CY6" s="32"/>
      <c r="CZ6" s="32"/>
      <c r="DA6" s="39">
        <v>0</v>
      </c>
      <c r="DB6" s="39">
        <v>0</v>
      </c>
      <c r="DC6" s="32"/>
      <c r="DD6" s="39">
        <v>0</v>
      </c>
      <c r="DE6" s="39">
        <v>0</v>
      </c>
      <c r="DF6" s="39">
        <v>0</v>
      </c>
      <c r="DG6" s="39">
        <v>0</v>
      </c>
      <c r="DH6" s="32"/>
      <c r="DI6" s="39">
        <v>0</v>
      </c>
      <c r="DJ6" s="32"/>
      <c r="DK6" s="39">
        <v>0</v>
      </c>
      <c r="DL6" s="39">
        <v>0</v>
      </c>
      <c r="DM6" s="39">
        <v>1</v>
      </c>
      <c r="DN6" s="39">
        <v>0</v>
      </c>
      <c r="DO6" s="32"/>
      <c r="DP6" s="32" t="s">
        <v>52</v>
      </c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9">
        <v>0</v>
      </c>
      <c r="EG6" s="39">
        <v>0</v>
      </c>
      <c r="EH6" s="39">
        <v>0</v>
      </c>
      <c r="EI6" s="39">
        <v>0</v>
      </c>
      <c r="EJ6" s="39">
        <v>0</v>
      </c>
      <c r="EK6" s="32"/>
      <c r="EL6" s="32"/>
      <c r="EM6" s="39">
        <v>0</v>
      </c>
      <c r="EN6" s="39">
        <v>0</v>
      </c>
      <c r="EO6" s="32"/>
      <c r="EP6" s="32"/>
      <c r="EQ6" s="32"/>
      <c r="ER6" s="39">
        <v>0</v>
      </c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UpdateMasterFundOnTT1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2021-08-04T14:00:45Z</dcterms:modified>
</cp:coreProperties>
</file>