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ViewThirdParty" sheetId="8" r:id="rId10"/>
    <sheet state="visible" name="ThirdPartyGenerate" sheetId="9" r:id="rId11"/>
    <sheet state="visible" name="UnWindTradeSettlement" sheetId="10" r:id="rId12"/>
    <sheet state="visible" name="VerifyThirdPartyView" sheetId="11" r:id="rId13"/>
    <sheet state="visible" name="ThirdPartySend" sheetId="12" r:id="rId14"/>
  </sheets>
  <definedNames/>
  <calcPr/>
</workbook>
</file>

<file path=xl/sharedStrings.xml><?xml version="1.0" encoding="utf-8"?>
<sst xmlns="http://schemas.openxmlformats.org/spreadsheetml/2006/main" count="112" uniqueCount="42">
  <si>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</si>
  <si>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</si>
  <si>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</si>
  <si>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</si>
  <si>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</si>
  <si>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</si>
  <si>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</si>
  <si>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</si>
  <si>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</si>
  <si>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</si>
  <si>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</si>
  <si>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</si>
  <si>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</si>
  <si>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</si>
  <si>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</si>
  <si>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</si>
  <si>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O:ABM 10D20.00</t>
  </si>
  <si>
    <t>Buy to Open</t>
  </si>
  <si>
    <t>Allocation1</t>
  </si>
  <si>
    <t>Closing</t>
  </si>
  <si>
    <t>GetDataClosing</t>
  </si>
  <si>
    <t>Current</t>
  </si>
  <si>
    <t>SelectTradeUnexpiredUnsettled</t>
  </si>
  <si>
    <t>EquityOption</t>
  </si>
  <si>
    <t>ExerciseAssignment</t>
  </si>
  <si>
    <t>MSFT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</si>
  <si>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</si>
  <si>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</si>
  <si>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</si>
  <si>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</si>
  <si>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</si>
  <si>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</si>
  <si>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</si>
  <si>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</si>
  <si>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</si>
  <si>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ThirdPartyGenerate</t>
  </si>
  <si>
    <t>UnWindTradeSettlement</t>
  </si>
  <si>
    <t>Long</t>
  </si>
  <si>
    <t xml:space="preserve"> O:ABM 10D20.00</t>
  </si>
  <si>
    <t>VerifyThirdPartyView</t>
  </si>
  <si>
    <t>Allocated</t>
  </si>
  <si>
    <t>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</si>
</sst>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49" xfId="0" applyAlignment="1" applyBorder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IFERROR(__xludf.DUMMYFUNCTION("""COMPUTED_VALUE"""),"undefined")</f>
        <v>undefined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IFERROR(__xludf.DUMMYFUNCTION("""COMPUTED_VALUE"""),"1hwFwcZT2KkLMWXu0X968AjDc83QETRSutmtdbAtWjRQ")</f>
        <v>1hwFwcZT2KkLMWXu0X968AjDc83QETRSutmtdbAtWjRQ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IFERROR(__xludf.DUMMYFUNCTION("""COMPUTED_VALUE"""),"ToggleBlombergOnRA")</f>
        <v>ToggleBlombergOnRA</v>
      </c>
      <c r="AB4" s="26" t="str">
        <f>IFERROR(__xludf.DUMMYFUNCTION("""COMPUTED_VALUE"""),"RemoveSymbolFromRAList")</f>
        <v>RemoveSymbolFromRAList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10.0</v>
      </c>
      <c r="K6" s="35"/>
      <c r="L6" s="35"/>
      <c r="M6" s="35"/>
      <c r="N6" s="37">
        <f>TODAY()</f>
        <v>44263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5"/>
      <c r="D6" s="40"/>
      <c r="E6" s="33" t="s">
        <v>23</v>
      </c>
      <c r="F6" s="35"/>
      <c r="G6" s="35"/>
      <c r="H6" s="35"/>
      <c r="I6" s="36">
        <v>10.0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5"/>
      <c r="D6" s="40"/>
      <c r="E6" s="35"/>
      <c r="F6" s="35"/>
      <c r="G6" s="35"/>
      <c r="H6" s="33"/>
      <c r="I6" s="35"/>
      <c r="J6" s="35"/>
      <c r="K6" s="35"/>
      <c r="L6" s="35"/>
      <c r="M6" s="35"/>
      <c r="N6" s="35"/>
      <c r="O6" s="35"/>
      <c r="P6" s="35"/>
      <c r="Q6" s="35"/>
      <c r="R6" s="35"/>
      <c r="S6" s="41"/>
      <c r="T6" s="42"/>
      <c r="U6" s="42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43" t="s">
        <v>25</v>
      </c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28</v>
      </c>
      <c r="C6" s="35" t="s">
        <v>29</v>
      </c>
      <c r="D6" s="40" t="s">
        <v>30</v>
      </c>
      <c r="E6" s="35" t="s">
        <v>31</v>
      </c>
      <c r="F6" s="35" t="s">
        <v>32</v>
      </c>
      <c r="G6" s="35" t="s">
        <v>33</v>
      </c>
      <c r="H6" s="35" t="s">
        <v>34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28</v>
      </c>
      <c r="C6" s="35" t="s">
        <v>29</v>
      </c>
      <c r="D6" s="40" t="s">
        <v>30</v>
      </c>
      <c r="E6" s="35" t="s">
        <v>31</v>
      </c>
      <c r="F6" s="35" t="s">
        <v>32</v>
      </c>
      <c r="G6" s="35" t="s">
        <v>33</v>
      </c>
      <c r="H6" s="35" t="s">
        <v>34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IFERROR(__xludf.DUMMYFUNCTION("""COMPUTED_VALUE"""),"CostBasisGrossPNL")</f>
        <v>CostBasisGrossPNL</v>
      </c>
      <c r="O5" s="28" t="str">
        <f>IFERROR(__xludf.DUMMYFUNCTION("""COMPUTED_VALUE"""),"Currency")</f>
        <v>Currency</v>
      </c>
      <c r="P5" s="28" t="str">
        <f>IFERROR(__xludf.DUMMYFUNCTION("""COMPUTED_VALUE"""),"CurrencyID")</f>
        <v>CurrencyID</v>
      </c>
      <c r="Q5" s="28" t="str">
        <f>IFERROR(__xludf.DUMMYFUNCTION("""COMPUTED_VALUE"""),"Exchange")</f>
        <v>Exchange</v>
      </c>
      <c r="R5" s="28" t="str">
        <f>IFERROR(__xludf.DUMMYFUNCTION("""COMPUTED_VALUE"""),"NotionalChange")</f>
        <v>NotionalChange</v>
      </c>
      <c r="S5" s="28" t="str">
        <f>IFERROR(__xludf.DUMMYFUNCTION("""COMPUTED_VALUE"""),"OpenAveragePrice")</f>
        <v>OpenAveragePrice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IFERROR(__xludf.DUMMYFUNCTION("""COMPUTED_VALUE"""),"Position Type")</f>
        <v>Position Type</v>
      </c>
      <c r="V5" s="30" t="str">
        <f>IFERROR(__xludf.DUMMYFUNCTION("""COMPUTED_VALUE"""),"PositionSide")</f>
        <v>PositionSide</v>
      </c>
      <c r="W5" s="30" t="str">
        <f>IFERROR(__xludf.DUMMYFUNCTION("""COMPUTED_VALUE"""),"PositionTotalCommissionandFees")</f>
        <v>PositionTotalCommissionandFees</v>
      </c>
      <c r="X5" s="30" t="str">
        <f>IFERROR(__xludf.DUMMYFUNCTION("""COMPUTED_VALUE"""),"Realized PNL(C.B.)")</f>
        <v>Realized PNL(C.B.)</v>
      </c>
      <c r="Y5" s="30" t="str">
        <f>IFERROR(__xludf.DUMMYFUNCTION("""COMPUTED_VALUE"""),"Side")</f>
        <v>Side</v>
      </c>
      <c r="Z5" s="30" t="str">
        <f>IFERROR(__xludf.DUMMYFUNCTION("""COMPUTED_VALUE"""),"Strategy")</f>
        <v>Strategy</v>
      </c>
      <c r="AA5" s="30" t="str">
        <f>IFERROR(__xludf.DUMMYFUNCTION("""COMPUTED_VALUE"""),"Symbol")</f>
        <v>Symbol</v>
      </c>
      <c r="AB5" s="30" t="str">
        <f>IFERROR(__xludf.DUMMYFUNCTION("""COMPUTED_VALUE"""),"Taxlot ID")</f>
        <v>Taxlot ID</v>
      </c>
      <c r="AC5" s="30" t="str">
        <f>IFERROR(__xludf.DUMMYFUNCTION("""COMPUTED_VALUE"""),"UnderlyingName")</f>
        <v>UnderlyingName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23</v>
      </c>
      <c r="D6" s="4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 t="s">
        <v>37</v>
      </c>
      <c r="W6" s="38"/>
      <c r="X6" s="38"/>
      <c r="Y6" s="38" t="s">
        <v>17</v>
      </c>
      <c r="Z6" s="38"/>
      <c r="AA6" s="44" t="s">
        <v>38</v>
      </c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IFERROR(__xludf.DUMMYFUNCTION("""COMPUTED_VALUE"""),"AccountName")</f>
        <v>AccountName</v>
      </c>
      <c r="C5" s="28" t="str">
        <f>IFERROR(__xludf.DUMMYFUNCTION("""COMPUTED_VALUE"""),"Symbol")</f>
        <v>Symbol</v>
      </c>
      <c r="D5" s="28" t="str">
        <f>IFERROR(__xludf.DUMMYFUNCTION("""COMPUTED_VALUE"""),"Side")</f>
        <v>Side</v>
      </c>
      <c r="E5" s="28" t="str">
        <f>IFERROR(__xludf.DUMMYFUNCTION("""COMPUTED_VALUE"""),"AveragePrice")</f>
        <v>AveragePrice</v>
      </c>
      <c r="F5" s="29" t="str">
        <f>IFERROR(__xludf.DUMMYFUNCTION("""COMPUTED_VALUE"""),"TradeDate")</f>
        <v>TradeDate</v>
      </c>
      <c r="G5" s="28" t="str">
        <f>IFERROR(__xludf.DUMMYFUNCTION("""COMPUTED_VALUE"""),"Quantity")</f>
        <v>Quantity</v>
      </c>
      <c r="H5" s="28" t="str">
        <f>IFERROR(__xludf.DUMMYFUNCTION("""COMPUTED_VALUE"""),"State")</f>
        <v>State</v>
      </c>
      <c r="I5" s="28" t="str">
        <f>IFERROR(__xludf.DUMMYFUNCTION("""COMPUTED_VALUE"""),"Currency")</f>
        <v>Currency</v>
      </c>
      <c r="J5" s="28" t="str">
        <f>IFERROR(__xludf.DUMMYFUNCTION("""COMPUTED_VALUE"""),"Commission")</f>
        <v>Commission</v>
      </c>
      <c r="K5" s="28" t="str">
        <f>IFERROR(__xludf.DUMMYFUNCTION("""COMPUTED_VALUE"""),"NetAmount")</f>
        <v>NetAmount</v>
      </c>
      <c r="L5" s="28" t="str">
        <f>IFERROR(__xludf.DUMMYFUNCTION("""COMPUTED_VALUE"""),"AssetName")</f>
        <v>AssetName</v>
      </c>
      <c r="M5" s="28" t="str">
        <f>IFERROR(__xludf.DUMMYFUNCTION("""COMPUTED_VALUE"""),"FXRate")</f>
        <v>FXRate</v>
      </c>
      <c r="N5" s="28" t="str">
        <f>IFERROR(__xludf.DUMMYFUNCTION("""COMPUTED_VALUE"""),"Broker")</f>
        <v>Broker</v>
      </c>
      <c r="O5" s="28" t="str">
        <f>IFERROR(__xludf.DUMMYFUNCTION("""COMPUTED_VALUE"""),"TradeAttribute1")</f>
        <v>TradeAttribute1</v>
      </c>
      <c r="P5" s="28" t="str">
        <f>IFERROR(__xludf.DUMMYFUNCTION("""COMPUTED_VALUE"""),"TradeAttribute2")</f>
        <v>TradeAttribute2</v>
      </c>
      <c r="Q5" s="28" t="str">
        <f>IFERROR(__xludf.DUMMYFUNCTION("""COMPUTED_VALUE"""),"TradeAttribute3")</f>
        <v>TradeAttribute3</v>
      </c>
      <c r="R5" s="28" t="str">
        <f>IFERROR(__xludf.DUMMYFUNCTION("""COMPUTED_VALUE"""),"TradeAttribute4")</f>
        <v>TradeAttribute4</v>
      </c>
      <c r="S5" s="28" t="str">
        <f>IFERROR(__xludf.DUMMYFUNCTION("""COMPUTED_VALUE"""),"TradeAttribute5")</f>
        <v>TradeAttribute5</v>
      </c>
      <c r="T5" s="30" t="str">
        <f>IFERROR(__xludf.DUMMYFUNCTION("""COMPUTED_VALUE"""),"TradeAttribute6")</f>
        <v>TradeAttribute6</v>
      </c>
      <c r="U5" s="30" t="str">
        <f>IFERROR(__xludf.DUMMYFUNCTION("""COMPUTED_VALUE"""),"IsAnOrder")</f>
        <v>IsAnOrder</v>
      </c>
      <c r="V5" s="30" t="str">
        <f>IFERROR(__xludf.DUMMYFUNCTION("""COMPUTED_VALUE"""),"MessageType")</f>
        <v>MessageType</v>
      </c>
      <c r="W5" s="30" t="str">
        <f>IFERROR(__xludf.DUMMYFUNCTION("""COMPUTED_VALUE"""),"ExecutionType")</f>
        <v>ExecutionType</v>
      </c>
      <c r="X5" s="30" t="str">
        <f>IFERROR(__xludf.DUMMYFUNCTION("""COMPUTED_VALUE"""),"Price")</f>
        <v>Price</v>
      </c>
      <c r="Y5" s="30" t="str">
        <f>IFERROR(__xludf.DUMMYFUNCTION("""COMPUTED_VALUE"""),"PortfolioName")</f>
        <v>PortfolioName</v>
      </c>
      <c r="Z5" s="30" t="str">
        <f>IFERROR(__xludf.DUMMYFUNCTION("""COMPUTED_VALUE"""),"Security")</f>
        <v>Security</v>
      </c>
      <c r="AA5" s="30" t="str">
        <f>IFERROR(__xludf.DUMMYFUNCTION("""COMPUTED_VALUE"""),"Sedol")</f>
        <v>Sedol</v>
      </c>
      <c r="AB5" s="30" t="str">
        <f>IFERROR(__xludf.DUMMYFUNCTION("""COMPUTED_VALUE"""),"Cusip")</f>
        <v>Cusip</v>
      </c>
      <c r="AC5" s="30" t="str">
        <f>IFERROR(__xludf.DUMMYFUNCTION("""COMPUTED_VALUE"""),"ISIN")</f>
        <v>ISIN</v>
      </c>
      <c r="AD5" s="30" t="str">
        <f>IFERROR(__xludf.DUMMYFUNCTION("""COMPUTED_VALUE"""),"SecurityName")</f>
        <v>SecurityName</v>
      </c>
      <c r="AE5" s="30" t="str">
        <f>IFERROR(__xludf.DUMMYFUNCTION("""COMPUTED_VALUE"""),"Position")</f>
        <v>Position</v>
      </c>
      <c r="AF5" s="30" t="str">
        <f>IFERROR(__xludf.DUMMYFUNCTION("""COMPUTED_VALUE"""),"Weight")</f>
        <v>Weight</v>
      </c>
      <c r="AG5" s="30" t="str">
        <f>IFERROR(__xludf.DUMMYFUNCTION("""COMPUTED_VALUE"""),"MktPx")</f>
        <v>MktPx</v>
      </c>
      <c r="AH5" s="30" t="str">
        <f>IFERROR(__xludf.DUMMYFUNCTION("""COMPUTED_VALUE"""),"CostPrice")</f>
        <v>CostPrice</v>
      </c>
      <c r="AI5" s="30" t="str">
        <f>IFERROR(__xludf.DUMMYFUNCTION("""COMPUTED_VALUE"""),"AsOfDate")</f>
        <v>AsOfDate</v>
      </c>
      <c r="AJ5" s="30" t="str">
        <f>IFERROR(__xludf.DUMMYFUNCTION("""COMPUTED_VALUE"""),"NewClassification")</f>
        <v>NewClassification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18</v>
      </c>
      <c r="C6" s="44" t="s">
        <v>38</v>
      </c>
      <c r="D6" s="45" t="s">
        <v>17</v>
      </c>
      <c r="E6" s="46">
        <v>10.0</v>
      </c>
      <c r="F6" s="47">
        <f>today()</f>
        <v>44263</v>
      </c>
      <c r="G6" s="46">
        <v>100.0</v>
      </c>
      <c r="H6" s="45" t="s">
        <v>40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IFERROR(__xludf.DUMMYFUNCTION("IF(C3="""","""",Transpose(IMPORTRANGE('_Settings'!$B$3,C3&amp;""!A4:A1000"")))"),"GenerateThirdParty")</f>
        <v>GenerateThirdParty</v>
      </c>
      <c r="C4" s="25" t="str">
        <f>IFERROR(__xludf.DUMMYFUNCTION("""COMPUTED_VALUE"""),"SendThirdParty")</f>
        <v>SendThirdParty</v>
      </c>
      <c r="D4" s="25" t="str">
        <f>IFERROR(__xludf.DUMMYFUNCTION("""COMPUTED_VALUE"""),"ViewThirdParty")</f>
        <v>ViewThirdParty</v>
      </c>
      <c r="E4" s="25" t="str">
        <f>IFERROR(__xludf.DUMMYFUNCTION("""COMPUTED_VALUE"""),"SelectThirdPartyName")</f>
        <v>SelectThirdPartyName</v>
      </c>
      <c r="F4" s="25" t="str">
        <f>IFERROR(__xludf.DUMMYFUNCTION("""COMPUTED_VALUE"""),"VerifyThirdPartyData")</f>
        <v>VerifyThirdPartyData</v>
      </c>
      <c r="G4" s="25" t="str">
        <f>IFERROR(__xludf.DUMMYFUNCTION("""COMPUTED_VALUE"""),"ThirdPartyWork")</f>
        <v>ThirdPartyWork</v>
      </c>
      <c r="H4" s="25" t="str">
        <f>IFERROR(__xludf.DUMMYFUNCTION("""COMPUTED_VALUE"""),"Automation")</f>
        <v>Automation</v>
      </c>
      <c r="I4" s="25" t="str">
        <f>IFERROR(__xludf.DUMMYFUNCTION("""COMPUTED_VALUE"""),"ThirdPartyManagerFunction")</f>
        <v>ThirdPartyManagerFunction</v>
      </c>
      <c r="J4" s="25" t="str">
        <f>IFERROR(__xludf.DUMMYFUNCTION("""COMPUTED_VALUE"""),"OpeningManager")</f>
        <v>OpeningManager</v>
      </c>
      <c r="K4" s="25" t="str">
        <f>IFERROR(__xludf.DUMMYFUNCTION("""COMPUTED_VALUE"""),"SelectFromThirdPartyGrid")</f>
        <v>SelectFromThirdPartyGrid</v>
      </c>
      <c r="L4" s="25" t="str">
        <f>IFERROR(__xludf.DUMMYFUNCTION("""COMPUTED_VALUE"""),"SelectThirdPartyJob")</f>
        <v>SelectThirdPartyJob</v>
      </c>
      <c r="M4" s="25" t="str">
        <f>IFERROR(__xludf.DUMMYFUNCTION("""COMPUTED_VALUE"""),"GenerateAllThirdPartyData")</f>
        <v>GenerateAllThirdPartyData</v>
      </c>
      <c r="N4" s="25" t="str">
        <f>IFERROR(__xludf.DUMMYFUNCTION("""COMPUTED_VALUE"""),"SendAllThirdPartyData")</f>
        <v>SendAllThirdPartyData</v>
      </c>
      <c r="O4" s="25" t="str">
        <f>IFERROR(__xludf.DUMMYFUNCTION("""COMPUTED_VALUE"""),"VerifyThirdPartyView")</f>
        <v>VerifyThirdPartyView</v>
      </c>
      <c r="P4" s="26" t="str">
        <f>IFERROR(__xludf.DUMMYFUNCTION("""COMPUTED_VALUE"""),"SelectThirdParty")</f>
        <v>SelectThirdParty</v>
      </c>
      <c r="Q4" s="26" t="str">
        <f>IFERROR(__xludf.DUMMYFUNCTION("""COMPUTED_VALUE"""),"SelectThirdParty")</f>
        <v>SelectThirdParty</v>
      </c>
      <c r="R4" s="26" t="str">
        <f>IFERROR(__xludf.DUMMYFUNCTION("""COMPUTED_VALUE"""),"ViewThirdParty")</f>
        <v>ViewThirdParty</v>
      </c>
      <c r="S4" s="26" t="str">
        <f>IFERROR(__xludf.DUMMYFUNCTION("""COMPUTED_VALUE"""),"GenerateThirdPartyData")</f>
        <v>GenerateThirdPartyData</v>
      </c>
      <c r="T4" s="26" t="str">
        <f>IFERROR(__xludf.DUMMYFUNCTION("""COMPUTED_VALUE"""),"ThirdPartyGenerate")</f>
        <v>ThirdPartyGenerate</v>
      </c>
      <c r="U4" s="26" t="str">
        <f>IFERROR(__xludf.DUMMYFUNCTION("""COMPUTED_VALUE"""),"VerifyThirdPartyView")</f>
        <v>VerifyThirdPartyView</v>
      </c>
      <c r="V4" s="26" t="str">
        <f>IFERROR(__xludf.DUMMYFUNCTION("""COMPUTED_VALUE"""),"VerifyThirdPartyGenerate")</f>
        <v>VerifyThirdPartyGenerate</v>
      </c>
      <c r="W4" s="26" t="str">
        <f>IFERROR(__xludf.DUMMYFUNCTION("""COMPUTED_VALUE"""),"VerifyThirdPartySend")</f>
        <v>VerifyThirdPartySend</v>
      </c>
      <c r="X4" s="26" t="str">
        <f>IFERROR(__xludf.DUMMYFUNCTION("""COMPUTED_VALUE"""),"ThirdPartySend")</f>
        <v>ThirdPartySend</v>
      </c>
      <c r="Y4" s="26" t="str">
        <f>IFERROR(__xludf.DUMMYFUNCTION("""COMPUTED_VALUE"""),"RefreshThirdParty")</f>
        <v>RefreshThirdParty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IFERROR(__xludf.DUMMYFUNCTION("""COMPUTED_VALUE"""),"Job Name")</f>
        <v>Job Name</v>
      </c>
      <c r="C5" s="28" t="str">
        <f>IFERROR(__xludf.DUMMYFUNCTION("""COMPUTED_VALUE"""),"Party Name")</f>
        <v>Party Name</v>
      </c>
      <c r="D5" s="28" t="str">
        <f>IFERROR(__xludf.DUMMYFUNCTION("""COMPUTED_VALUE"""),"File Format")</f>
        <v>File Format</v>
      </c>
      <c r="E5" s="28" t="str">
        <f>IFERROR(__xludf.DUMMYFUNCTION("""COMPUTED_VALUE"""),"Third Party Type")</f>
        <v>Third Party Type</v>
      </c>
      <c r="F5" s="29" t="str">
        <f>IFERROR(__xludf.DUMMYFUNCTION("""COMPUTED_VALUE"""),"View")</f>
        <v>View</v>
      </c>
      <c r="G5" s="28" t="str">
        <f>IFERROR(__xludf.DUMMYFUNCTION("""COMPUTED_VALUE"""),"Generate")</f>
        <v>Generate</v>
      </c>
      <c r="H5" s="28" t="str">
        <f>IFERROR(__xludf.DUMMYFUNCTION("""COMPUTED_VALUE"""),"Send")</f>
        <v>Send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28</v>
      </c>
      <c r="C6" s="35" t="s">
        <v>29</v>
      </c>
      <c r="D6" s="40" t="s">
        <v>30</v>
      </c>
      <c r="E6" s="35" t="s">
        <v>31</v>
      </c>
      <c r="F6" s="35" t="s">
        <v>32</v>
      </c>
      <c r="G6" s="35" t="s">
        <v>33</v>
      </c>
      <c r="H6" s="35" t="s">
        <v>34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ThirdPartySend!$4:$4</formula1>
    </dataValidation>
  </dataValidations>
  <drawing r:id="rId1"/>
</worksheet>
</file>