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nlConfig" sheetId="4" r:id="rId6"/>
    <sheet state="visible" name="CreateStageOrder" sheetId="5" r:id="rId7"/>
    <sheet state="visible" name="GetDailyCash3" sheetId="6" r:id="rId8"/>
    <sheet state="visible" name="CreateDoneAwayOrder" sheetId="7" r:id="rId9"/>
    <sheet state="visible" name="UpdateMultipleDailyCash" sheetId="8" r:id="rId10"/>
    <sheet state="visible" name="GetDataAllocation" sheetId="9" r:id="rId11"/>
    <sheet state="visible" name="SelectAllocatedGroup" sheetId="10" r:id="rId12"/>
    <sheet state="visible" name="BookOrUpdateSwap" sheetId="11" r:id="rId13"/>
    <sheet state="visible" name="PricingInput" sheetId="12" r:id="rId14"/>
    <sheet state="visible" name="GetMarkPriceData" sheetId="13" r:id="rId15"/>
    <sheet state="visible" name="UpdateMarkPrice" sheetId="14" r:id="rId16"/>
    <sheet state="visible" name="GetForexConversion" sheetId="15" r:id="rId17"/>
    <sheet state="visible" name="UpdateForexConversion" sheetId="16" r:id="rId18"/>
    <sheet state="visible" name="GetCashTransaction" sheetId="17" r:id="rId19"/>
    <sheet state="visible" name="GetAccountBalance" sheetId="18" r:id="rId20"/>
    <sheet state="visible" name="AddCashTransaction" sheetId="19" r:id="rId21"/>
    <sheet state="visible" name="FetchAccountPositions" sheetId="20" r:id="rId22"/>
    <sheet state="visible" name="SendToStagingExport" sheetId="21" r:id="rId23"/>
    <sheet state="visible" name="CheckBasketCompliance" sheetId="22" r:id="rId24"/>
    <sheet state="visible" name="RunRebalance" sheetId="23" r:id="rId25"/>
    <sheet state="visible" name="AddCash" sheetId="24" r:id="rId26"/>
    <sheet state="visible" name="SendToStagingExport1" sheetId="25" r:id="rId27"/>
    <sheet state="visible" name="CheckBasketCompliance1" sheetId="26" r:id="rId28"/>
    <sheet state="visible" name="FetchAccountPositions1" sheetId="27" r:id="rId29"/>
  </sheets>
  <definedNames/>
  <calcPr/>
</workbook>
</file>

<file path=xl/sharedStrings.xml><?xml version="1.0" encoding="utf-8"?>
<sst xmlns="http://schemas.openxmlformats.org/spreadsheetml/2006/main" count="617" uniqueCount="133">
  <si>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</si>
  <si>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</si>
  <si>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</si>
  <si>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</si>
  <si>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</si>
  <si>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</si>
  <si>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</si>
  <si>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</si>
  <si>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</si>
  <si>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</si>
  <si>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</si>
  <si>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</si>
  <si>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Expnl</t>
  </si>
  <si>
    <t>UpdateExpnlConfig</t>
  </si>
  <si>
    <t>Data Format</t>
  </si>
  <si>
    <t>Input Format</t>
  </si>
  <si>
    <t>CalculateFxGainLossOnFutures</t>
  </si>
  <si>
    <t>IsM2MIncludedInCash</t>
  </si>
  <si>
    <t>TradingTicket</t>
  </si>
  <si>
    <t>CreateStageOrder</t>
  </si>
  <si>
    <t>AAPL</t>
  </si>
  <si>
    <t>Buy</t>
  </si>
  <si>
    <t>Allocation1</t>
  </si>
  <si>
    <t>FRU-TC</t>
  </si>
  <si>
    <t>MSFT</t>
  </si>
  <si>
    <t>DBLSX</t>
  </si>
  <si>
    <t>O:COP 14O62.50</t>
  </si>
  <si>
    <t>ES U2</t>
  </si>
  <si>
    <t>DailyValuation</t>
  </si>
  <si>
    <t>GetDailyCash</t>
  </si>
  <si>
    <t>CreateDoneAwayOrder</t>
  </si>
  <si>
    <t>AVO-TC</t>
  </si>
  <si>
    <t>Allocation2</t>
  </si>
  <si>
    <t>Yes</t>
  </si>
  <si>
    <t>Allocation3</t>
  </si>
  <si>
    <t>UpdateMultipleDailyCash</t>
  </si>
  <si>
    <t>USD</t>
  </si>
  <si>
    <t>Allocation</t>
  </si>
  <si>
    <t>GetDataAllocation</t>
  </si>
  <si>
    <t>Historical</t>
  </si>
  <si>
    <t>SelectAllocatedGroup</t>
  </si>
  <si>
    <t>BookOrUpdateSwap</t>
  </si>
  <si>
    <t>PricingInput</t>
  </si>
  <si>
    <t>COP</t>
  </si>
  <si>
    <t>GetMarkPriceData</t>
  </si>
  <si>
    <t>UpdateMarkPrice</t>
  </si>
  <si>
    <t>GetForexConversion</t>
  </si>
  <si>
    <t>UpdateForexConversion</t>
  </si>
  <si>
    <t>CAD</t>
  </si>
  <si>
    <t>CAD AO-FX</t>
  </si>
  <si>
    <t>GeneralLedger</t>
  </si>
  <si>
    <t>GetCashTransaction</t>
  </si>
  <si>
    <t>GetAccountBalance</t>
  </si>
  <si>
    <t>AddCashTransaction</t>
  </si>
  <si>
    <t>DividendIncome</t>
  </si>
  <si>
    <t>Rebalancer</t>
  </si>
  <si>
    <t>FetchAccountPositions</t>
  </si>
  <si>
    <t>NewMF</t>
  </si>
  <si>
    <t>Previous Day's Positions</t>
  </si>
  <si>
    <t>Account</t>
  </si>
  <si>
    <t>Positions</t>
  </si>
  <si>
    <t>SendToStagingExport</t>
  </si>
  <si>
    <t>No</t>
  </si>
  <si>
    <t>CheckBasketCompliance</t>
  </si>
  <si>
    <t>Soft</t>
  </si>
  <si>
    <t>Trade3</t>
  </si>
  <si>
    <t>If Quantity not equals to -123, Avg Price not equals to -123, Selected Feed Price not equals to -123, Net Market Value Base not equals to -123, Net Exposure Local not equals to -123, Then block the trade.</t>
  </si>
  <si>
    <t>Multiple</t>
  </si>
  <si>
    <t>quantity: 193.00, avgPrice: 10.00, selectedFeedPrice: 10.00, netMarketValueBase: 19.30, netExposureLocal: 19.30, Symbol: 123456789</t>
  </si>
  <si>
    <t>quantity: 193.00, avgPrice: 10.00, selectedFeedPrice: 10.00, netMarketValueBase: 1,930.00, netExposureLocal: 1,930.00, Symbol: DBLSX</t>
  </si>
  <si>
    <t>quantity: 193.00, avgPrice: 10.00, selectedFeedPrice: 10.00, netMarketValueBase: 1,930.00, netExposureLocal: 1,930.00, Symbol: AAPL</t>
  </si>
  <si>
    <t>quantity: 193.00, avgPrice: 10.00, selectedFeedPrice: 10.00, netMarketValueBase: 1,608.3333, netExposureLocal: 1,930.00, Symbol: FRU-TC</t>
  </si>
  <si>
    <t>quantity: 193.00, avgPrice: 10.00, selectedFeedPrice: 10.00, netMarketValueBase: 1,930.00, netExposureLocal: 1,930.00, Symbol: MSFT</t>
  </si>
  <si>
    <t>Account_Symbol3</t>
  </si>
  <si>
    <t>If Quantity not equals to -123, Day PnL Base not equals to -123, Day PnL Local not equals to -123, Net Market Value Base not equals to -123, Net Market Value Local not equals to -123, Selected Feed Price not equals to -123, Account Nav not equals to -123, Then block the trade.</t>
  </si>
  <si>
    <t>Allocation1-FRU-TC</t>
  </si>
  <si>
    <t>quantity: 393.00, dayPnLBase: -0.00, dayPnLLocal: 0.00, netMarketValueBase: 3,275.00, netMarketValueLocal: 3,930.00, selectedFeedPrice: 10.00, accountNav: 307,486.6667, AccountShortName: Allocation1, Symbol: FRU-TC</t>
  </si>
  <si>
    <t>Allocation1-DBLSX</t>
  </si>
  <si>
    <t>quantity: 393.00, dayPnLBase: 0.00, dayPnLLocal: 0.00, netMarketValueBase: 3,930.00, netMarketValueLocal: 3,930.00, selectedFeedPrice: 10.00, accountNav: 307,486.6667, AccountShortName: Allocation1, Symbol: DBLSX</t>
  </si>
  <si>
    <t>Allocation1-123456789</t>
  </si>
  <si>
    <t>quantity: 393.00, dayPnLBase: 0.00, dayPnLLocal: 0.00, netMarketValueBase: 39.30, netMarketValueLocal: 39.30, selectedFeedPrice: 10.00, accountNav: 307,486.6667, AccountShortName: Allocation1, Symbol: 123456789</t>
  </si>
  <si>
    <t>Allocation1-AAPL</t>
  </si>
  <si>
    <t>quantity: 393.00, dayPnLBase: 0.00, dayPnLLocal: 0.00, netMarketValueBase: 3,930.00, netMarketValueLocal: 3,930.00, selectedFeedPrice: 10.00, accountNav: 307,486.6667, AccountShortName: Allocation1, Symbol: AAPL</t>
  </si>
  <si>
    <t>Allocation1-MSFT</t>
  </si>
  <si>
    <t>quantity: 393.00, dayPnLBase: 0.00, dayPnLLocal: 0.00, netMarketValueBase: 3,730.00, netMarketValueLocal: 3,730.00, selectedFeedPrice: 10.00, accountNav: 307,486.6667, AccountShortName: Allocation1, Symbol: MSFT</t>
  </si>
  <si>
    <t>MasterFund_Symbol3</t>
  </si>
  <si>
    <t>If Quantity not equals to -123, Day PnL Base not equals to -123, Day PnL Local not equals to -123, Net Market Value Base not equals to -123, Net Market Value Local not equals to -123, Selected Feed Price not equals to -123, Master Fund Nav not equals to -123, Then block the trade.</t>
  </si>
  <si>
    <t>NewMF-FRU-TC</t>
  </si>
  <si>
    <t>quantity: 393.00, dayPnLBase: -0.00, dayPnLLocal: 0.00, netMarketValueBase: 3,275.00, netMarketValueLocal: 3,930.00, selectedFeedPrice: 10.00, masterFundNav: 308,286.6667, MasterFundName: NewMF, Symbol: FRU-TC</t>
  </si>
  <si>
    <t>NewMF-DBLSX</t>
  </si>
  <si>
    <t>quantity: 393.00, dayPnLBase: 0.00, dayPnLLocal: 0.00, netMarketValueBase: 3,930.00, netMarketValueLocal: 3,930.00, selectedFeedPrice: 10.00, masterFundNav: 308,286.6667, MasterFundName: NewMF, Symbol: DBLSX</t>
  </si>
  <si>
    <t>NewMF-123456789</t>
  </si>
  <si>
    <t>quantity: 393.00, dayPnLBase: 0.00, dayPnLLocal: 0.00, netMarketValueBase: 39.30, netMarketValueLocal: 39.30, selectedFeedPrice: 10.00, masterFundNav: 308,286.6667, MasterFundName: NewMF, Symbol: 123456789</t>
  </si>
  <si>
    <t>NewMF-AAPL</t>
  </si>
  <si>
    <t>quantity: 393.00, dayPnLBase: 0.00, dayPnLLocal: 0.00, netMarketValueBase: 3,930.00, netMarketValueLocal: 3,930.00, selectedFeedPrice: 10.00, masterFundNav: 308,286.6667, MasterFundName: NewMF, Symbol: AAPL</t>
  </si>
  <si>
    <t>NewMF-MSFT</t>
  </si>
  <si>
    <t>quantity: 393.00, dayPnLBase: 0.00, dayPnLLocal: 0.00, netMarketValueBase: 3,730.00, netMarketValueLocal: 3,730.00, selectedFeedPrice: 10.00, masterFundNav: 308,286.6667, MasterFundName: NewMF, Symbol: MSFT</t>
  </si>
  <si>
    <t>Symbol3</t>
  </si>
  <si>
    <t>If Quantity not equals to -123, Selected Feed Price not equals to -123, Net Market Value Base not equals to -123, Net Market Value Local not equals to -123, Then block the trade.</t>
  </si>
  <si>
    <t>quantity: 393.00, selectedFeedPrice: 10.00, netMarketValueBase: 3,275.00, netMarketValueLocal: 3,930.00, Symbol: FRU-TC</t>
  </si>
  <si>
    <t>quantity: 393.00, selectedFeedPrice: 10.00, netMarketValueBase: 3,930.00, netMarketValueLocal: 3,930.00, Symbol: DBLSX</t>
  </si>
  <si>
    <t>quantity: 393.00, selectedFeedPrice: 10.00, netMarketValueBase: 39.30, netMarketValueLocal: 39.30, Symbol: 123456789</t>
  </si>
  <si>
    <t>quantity: 393.00, selectedFeedPrice: 10.00, netMarketValueBase: 3,930.00, netMarketValueLocal: 3,930.00, Symbol: AAPL</t>
  </si>
  <si>
    <t>quantity: 393.00, selectedFeedPrice: 10.00, netMarketValueBase: 3,730.00, netMarketValueLocal: 3,730.00, Symbol: MSFT</t>
  </si>
  <si>
    <t>RunRebalance</t>
  </si>
  <si>
    <t>Round Up</t>
  </si>
  <si>
    <t>AddCash</t>
  </si>
  <si>
    <t>No Impact</t>
  </si>
  <si>
    <t>None</t>
  </si>
  <si>
    <t>Allocation1,Allocation3</t>
  </si>
  <si>
    <t>200000|100000</t>
  </si>
  <si>
    <t>quantity: 186.00, avgPrice: 20.00, selectedFeedPrice: 20.00, netMarketValueBase: 3,720.00, netExposureLocal: 3,720.00, Symbol: MSFT</t>
  </si>
  <si>
    <t>quantity: 186.00, avgPrice: 20.00, selectedFeedPrice: 20.00, netMarketValueBase: 3,720.00, netExposureLocal: 3,720.00, Symbol: DBLSX</t>
  </si>
  <si>
    <t>quantity: 186.00, avgPrice: 20.00, selectedFeedPrice: 20.00, netMarketValueBase: 3,100.00, netExposureLocal: 3,720.00, Symbol: FRU-TC</t>
  </si>
  <si>
    <t>quantity: 186.00, avgPrice: 20.00, selectedFeedPrice: 20.00, netMarketValueBase: 37.20, netExposureLocal: 37.20, Symbol: 123456789</t>
  </si>
  <si>
    <t>quantity: 486.00, dayPnLBase: 1,000.00, dayPnLLocal: 1,000.00, netMarketValueBase: 9,720.00, netMarketValueLocal: 9,720.00, selectedFeedPrice: 20.00, accountNav: 665,173.3333, AccountShortName: Allocation1, Symbol: AAPL</t>
  </si>
  <si>
    <t>quantity: 486.00, dayPnLBase: 10.00, dayPnLLocal: 10.00, netMarketValueBase: 97.20, netMarketValueLocal: 97.20, selectedFeedPrice: 20.00, accountNav: 665,173.3333, AccountShortName: Allocation1, Symbol: 123456789</t>
  </si>
  <si>
    <t>quantity: 486.00, dayPnLBase: 1,000.00, dayPnLLocal: 1,000.00, netMarketValueBase: 9,720.00, netMarketValueLocal: 9,720.00, selectedFeedPrice: 20.00, accountNav: 665,173.3333, AccountShortName: Allocation1, Symbol: DBLSX</t>
  </si>
  <si>
    <t>quantity: 486.00, dayPnLBase: 833.3333, dayPnLLocal: 1,000.00, netMarketValueBase: 8,100.00, netMarketValueLocal: 9,720.00, selectedFeedPrice: 20.00, accountNav: 665,173.3333, AccountShortName: Allocation1, Symbol: FRU-TC</t>
  </si>
  <si>
    <t>quantity: 486.00, dayPnLBase: 1,000.00, dayPnLLocal: 1,000.00, netMarketValueBase: 9,520.00, netMarketValueLocal: 9,520.00, selectedFeedPrice: 20.00, accountNav: 665,173.3333, AccountShortName: Allocation1, Symbol: MSFT</t>
  </si>
  <si>
    <t>Allocation3-AAPL</t>
  </si>
  <si>
    <t>quantity: 199.00, dayPnLBase: 1,800.00, dayPnLLocal: 1,800.00, netMarketValueBase: 3,980.00, netMarketValueLocal: 3,980.00, selectedFeedPrice: 20.00, accountNav: 101,800.00, AccountShortName: Allocation3, Symbol: AAPL</t>
  </si>
  <si>
    <t>quantity: 486.00, dayPnLBase: 10.00, dayPnLLocal: 10.00, netMarketValueBase: 97.20, netMarketValueLocal: 97.20, selectedFeedPrice: 20.00, masterFundNav: 766,973.3333, MasterFundName: NewMF, Symbol: 123456789</t>
  </si>
  <si>
    <t>quantity: 486.00, dayPnLBase: 1,000.00, dayPnLLocal: 1,000.00, netMarketValueBase: 9,720.00, netMarketValueLocal: 9,720.00, selectedFeedPrice: 20.00, masterFundNav: 766,973.3333, MasterFundName: NewMF, Symbol: DBLSX</t>
  </si>
  <si>
    <t>quantity: 486.00, dayPnLBase: 833.3333, dayPnLLocal: 1,000.00, netMarketValueBase: 8,100.00, netMarketValueLocal: 9,720.00, selectedFeedPrice: 20.00, masterFundNav: 766,973.3333, MasterFundName: NewMF, Symbol: FRU-TC</t>
  </si>
  <si>
    <t>quantity: 486.00, dayPnLBase: 1,000.00, dayPnLLocal: 1,000.00, netMarketValueBase: 9,520.00, netMarketValueLocal: 9,520.00, selectedFeedPrice: 20.00, masterFundNav: 766,973.3333, MasterFundName: NewMF, Symbol: MSFT</t>
  </si>
  <si>
    <t>quantity: 685.00, dayPnLBase: 2,800.00, dayPnLLocal: 2,800.00, netMarketValueBase: 13,700.00, netMarketValueLocal: 13,700.00, selectedFeedPrice: 20.00, masterFundNav: 766,973.3333, MasterFundName: NewMF, Symbol: AAPL</t>
  </si>
  <si>
    <t>quantity: 685.00, selectedFeedPrice: 20.00, netMarketValueBase: 13,700.00, netMarketValueLocal: 13,700.00, Symbol: AAPL</t>
  </si>
  <si>
    <t>quantity: 486.00, selectedFeedPrice: 20.00, netMarketValueBase: 97.20, netMarketValueLocal: 97.20, Symbol: 123456789</t>
  </si>
  <si>
    <t>quantity: 486.00, selectedFeedPrice: 20.00, netMarketValueBase: 9,720.00, netMarketValueLocal: 9,720.00, Symbol: DBLSX</t>
  </si>
  <si>
    <t>quantity: 486.00, selectedFeedPrice: 20.00, netMarketValueBase: 8,100.00, netMarketValueLocal: 9,720.00, Symbol: FRU-TC</t>
  </si>
  <si>
    <t>quantity: 486.00, selectedFeedPrice: 20.00, netMarketValueBase: 9,520.00, netMarketValueLocal: 9,520.00, Symbol: MSFT</t>
  </si>
  <si>
    <t>Real-Time Positions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</si>
</sst>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1155CC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7" fillId="0" fontId="5" numFmtId="0" xfId="0" applyAlignment="1" applyBorder="1" applyFont="1">
      <alignment horizontal="right" vertical="bottom"/>
    </xf>
    <xf borderId="7" fillId="0" fontId="3" numFmtId="0" xfId="0" applyAlignment="1" applyBorder="1" applyFont="1">
      <alignment horizontal="right" vertical="bottom"/>
    </xf>
    <xf borderId="8" fillId="0" fontId="5" numFmtId="14" xfId="0" applyAlignment="1" applyBorder="1" applyFont="1" applyNumberForma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9" fillId="0" fontId="5" numFmtId="0" xfId="0" applyAlignment="1" applyBorder="1" applyFont="1">
      <alignment vertical="bottom"/>
    </xf>
    <xf borderId="9" fillId="0" fontId="5" numFmtId="0" xfId="0" applyAlignment="1" applyBorder="1" applyFont="1">
      <alignment horizontal="right" vertical="bottom"/>
    </xf>
    <xf borderId="9" fillId="0" fontId="3" numFmtId="0" xfId="0" applyAlignment="1" applyBorder="1" applyFont="1">
      <alignment vertical="bottom"/>
    </xf>
    <xf borderId="9" fillId="0" fontId="5" numFmtId="0" xfId="0" applyAlignment="1" applyBorder="1" applyFont="1">
      <alignment horizontal="right" vertical="bottom"/>
    </xf>
    <xf borderId="9" fillId="6" fontId="14" numFmtId="164" xfId="0" applyAlignment="1" applyBorder="1" applyFill="1" applyFont="1" applyNumberFormat="1">
      <alignment horizontal="right" vertical="bottom"/>
    </xf>
    <xf borderId="7" fillId="6" fontId="14" numFmtId="14" xfId="0" applyAlignment="1" applyBorder="1" applyFont="1" applyNumberFormat="1">
      <alignment horizontal="right" vertical="bottom"/>
    </xf>
    <xf borderId="10" fillId="0" fontId="3" numFmtId="0" xfId="0" applyAlignment="1" applyBorder="1" applyFont="1">
      <alignment vertical="bottom"/>
    </xf>
    <xf borderId="7" fillId="0" fontId="5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8" fillId="0" fontId="3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6" fillId="0" fontId="3" numFmtId="0" xfId="0" applyAlignment="1" applyBorder="1" applyFont="1">
      <alignment horizontal="right" vertical="bottom"/>
    </xf>
    <xf borderId="0" fillId="6" fontId="14" numFmtId="14" xfId="0" applyAlignment="1" applyFont="1" applyNumberFormat="1">
      <alignment horizontal="right" vertical="bottom"/>
    </xf>
    <xf borderId="11" fillId="0" fontId="5" numFmtId="0" xfId="0" applyAlignment="1" applyBorder="1" applyFont="1">
      <alignment vertical="bottom"/>
    </xf>
    <xf borderId="8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right" vertical="bottom"/>
    </xf>
    <xf borderId="5" fillId="0" fontId="3" numFmtId="165" xfId="0" applyAlignment="1" applyBorder="1" applyFont="1" applyNumberFormat="1">
      <alignment horizontal="right" vertical="bottom"/>
    </xf>
    <xf borderId="0" fillId="0" fontId="5" numFmtId="3" xfId="0" applyAlignment="1" applyFont="1" applyNumberFormat="1">
      <alignment readingOrder="0" shrinkToFit="0" wrapText="0"/>
    </xf>
    <xf borderId="8" fillId="0" fontId="3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IFERROR(__xludf.DUMMYFUNCTION("""COMPUTED_VALUE"""),"Input")</f>
        <v>Input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>
      <c r="A648" t="str">
        <f>IFERROR(__xludf.DUMMYFUNCTION("""COMPUTED_VALUE"""),"PranaClient")</f>
        <v>PranaClient</v>
      </c>
      <c r="B648" t="str">
        <f>IFERROR(__xludf.DUMMYFUNCTION("""COMPUTED_VALUE"""),"Action")</f>
        <v>Action</v>
      </c>
      <c r="C648" t="str">
        <f>IFERROR(__xludf.DUMMYFUNCTION("""COMPUTED_VALUE"""),"16YwhwfE3ekYXCEMATeZ129RipXXg6a0WjcUVWOBSLF4")</f>
        <v>16YwhwfE3ekYXCEMATeZ129RipXXg6a0WjcUVWOBSLF4</v>
      </c>
    </row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IFERROR(__xludf.DUMMYFUNCTION("IF(C3="""","""",Transpose(IMPORTRANGE('_Settings'!$B$3,C3&amp;""!A4:A1000"")))"),"RestartExpnl")</f>
        <v>RestartExpnl</v>
      </c>
      <c r="C4" s="25" t="str">
        <f>IFERROR(__xludf.DUMMYFUNCTION("""COMPUTED_VALUE"""),"RestartExpnl")</f>
        <v>RestartExpnl</v>
      </c>
      <c r="D4" s="25" t="str">
        <f>IFERROR(__xludf.DUMMYFUNCTION("""COMPUTED_VALUE"""),"RestartExpnl")</f>
        <v>RestartExpnl</v>
      </c>
      <c r="E4" s="25" t="str">
        <f>IFERROR(__xludf.DUMMYFUNCTION("""COMPUTED_VALUE"""),"UpdateExpnlConfig")</f>
        <v>UpdateExpnlConfig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32" t="b"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17</v>
      </c>
      <c r="C7" s="32" t="b"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UpdateExpnlConfig!$4:$4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20</v>
      </c>
      <c r="C6" s="34" t="s">
        <v>21</v>
      </c>
      <c r="D6" s="35">
        <v>100.0</v>
      </c>
      <c r="E6" s="34"/>
      <c r="F6" s="34" t="s">
        <v>22</v>
      </c>
      <c r="G6" s="34"/>
      <c r="H6" s="34"/>
      <c r="I6" s="34"/>
      <c r="J6" s="35">
        <v>2.0</v>
      </c>
      <c r="K6" s="34"/>
      <c r="L6" s="34"/>
      <c r="M6" s="34"/>
      <c r="N6" s="34"/>
      <c r="O6" s="34"/>
      <c r="P6" s="34"/>
      <c r="Q6" s="34"/>
      <c r="R6" s="34"/>
      <c r="S6" s="34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6"/>
      <c r="B7" s="37" t="s">
        <v>23</v>
      </c>
      <c r="C7" s="37" t="s">
        <v>21</v>
      </c>
      <c r="D7" s="38">
        <v>100.0</v>
      </c>
      <c r="E7" s="37"/>
      <c r="F7" s="37" t="s">
        <v>22</v>
      </c>
      <c r="G7" s="37"/>
      <c r="H7" s="37"/>
      <c r="I7" s="37"/>
      <c r="J7" s="38">
        <v>2.0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6"/>
      <c r="B8" s="37" t="s">
        <v>24</v>
      </c>
      <c r="C8" s="37" t="s">
        <v>21</v>
      </c>
      <c r="D8" s="38">
        <v>100.0</v>
      </c>
      <c r="E8" s="37"/>
      <c r="F8" s="37" t="s">
        <v>22</v>
      </c>
      <c r="G8" s="37"/>
      <c r="H8" s="37"/>
      <c r="I8" s="37"/>
      <c r="J8" s="38">
        <v>2.0</v>
      </c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6"/>
      <c r="B9" s="37" t="s">
        <v>25</v>
      </c>
      <c r="C9" s="37" t="s">
        <v>21</v>
      </c>
      <c r="D9" s="38">
        <v>100.0</v>
      </c>
      <c r="E9" s="37"/>
      <c r="F9" s="37" t="s">
        <v>22</v>
      </c>
      <c r="G9" s="37"/>
      <c r="H9" s="37"/>
      <c r="I9" s="37"/>
      <c r="J9" s="38">
        <v>2.0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6"/>
      <c r="B10" s="37" t="s">
        <v>26</v>
      </c>
      <c r="C10" s="37" t="s">
        <v>21</v>
      </c>
      <c r="D10" s="38">
        <v>100.0</v>
      </c>
      <c r="E10" s="37"/>
      <c r="F10" s="37" t="s">
        <v>22</v>
      </c>
      <c r="G10" s="37"/>
      <c r="H10" s="37"/>
      <c r="I10" s="37"/>
      <c r="J10" s="38">
        <v>2.0</v>
      </c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6"/>
      <c r="B11" s="37" t="s">
        <v>27</v>
      </c>
      <c r="C11" s="37" t="s">
        <v>21</v>
      </c>
      <c r="D11" s="38">
        <v>100.0</v>
      </c>
      <c r="E11" s="37"/>
      <c r="F11" s="37" t="s">
        <v>22</v>
      </c>
      <c r="G11" s="37"/>
      <c r="H11" s="37"/>
      <c r="I11" s="37"/>
      <c r="J11" s="38">
        <v>2.0</v>
      </c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36"/>
      <c r="B12" s="39">
        <v>1.23456789E8</v>
      </c>
      <c r="C12" s="37" t="s">
        <v>21</v>
      </c>
      <c r="D12" s="38">
        <v>100.0</v>
      </c>
      <c r="E12" s="37"/>
      <c r="F12" s="37" t="s">
        <v>22</v>
      </c>
      <c r="G12" s="37"/>
      <c r="H12" s="37"/>
      <c r="I12" s="37"/>
      <c r="J12" s="38">
        <v>2.0</v>
      </c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0">
        <f t="shared" ref="B6:C6" si="1">today()-1</f>
        <v>45853</v>
      </c>
      <c r="C6" s="41">
        <f t="shared" si="1"/>
        <v>45853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2"/>
      <c r="B6" s="43" t="s">
        <v>31</v>
      </c>
      <c r="C6" s="44" t="s">
        <v>21</v>
      </c>
      <c r="D6" s="45">
        <v>100.0</v>
      </c>
      <c r="E6" s="46"/>
      <c r="F6" s="44" t="s">
        <v>32</v>
      </c>
      <c r="G6" s="46"/>
      <c r="H6" s="46"/>
      <c r="I6" s="46"/>
      <c r="J6" s="47">
        <v>10.0</v>
      </c>
      <c r="K6" s="46"/>
      <c r="L6" s="46"/>
      <c r="M6" s="46"/>
      <c r="N6" s="48">
        <f>TODAY()-28</f>
        <v>45826</v>
      </c>
      <c r="O6" s="46"/>
      <c r="P6" s="46"/>
      <c r="Q6" s="46"/>
      <c r="R6" s="46"/>
      <c r="S6" s="46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 t="s">
        <v>33</v>
      </c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20</v>
      </c>
      <c r="C7" s="37" t="s">
        <v>21</v>
      </c>
      <c r="D7" s="38">
        <v>100.0</v>
      </c>
      <c r="E7" s="37"/>
      <c r="F7" s="37" t="s">
        <v>22</v>
      </c>
      <c r="G7" s="37"/>
      <c r="H7" s="37"/>
      <c r="I7" s="37"/>
      <c r="J7" s="38">
        <v>2.0</v>
      </c>
      <c r="K7" s="37"/>
      <c r="L7" s="37"/>
      <c r="M7" s="37"/>
      <c r="N7" s="49">
        <f t="shared" ref="N7:N20" si="1">TODAY()-1</f>
        <v>45853</v>
      </c>
      <c r="O7" s="37"/>
      <c r="P7" s="37"/>
      <c r="Q7" s="37"/>
      <c r="R7" s="37"/>
      <c r="S7" s="37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 t="s">
        <v>33</v>
      </c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50"/>
      <c r="B8" s="37" t="s">
        <v>23</v>
      </c>
      <c r="C8" s="37" t="s">
        <v>21</v>
      </c>
      <c r="D8" s="38">
        <v>100.0</v>
      </c>
      <c r="E8" s="37"/>
      <c r="F8" s="37" t="s">
        <v>22</v>
      </c>
      <c r="G8" s="37"/>
      <c r="H8" s="37"/>
      <c r="I8" s="37"/>
      <c r="J8" s="38">
        <v>2.0</v>
      </c>
      <c r="K8" s="37"/>
      <c r="L8" s="37"/>
      <c r="M8" s="37"/>
      <c r="N8" s="49">
        <f t="shared" si="1"/>
        <v>45853</v>
      </c>
      <c r="O8" s="37"/>
      <c r="P8" s="37"/>
      <c r="Q8" s="37"/>
      <c r="R8" s="37"/>
      <c r="S8" s="37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 t="s">
        <v>33</v>
      </c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50"/>
      <c r="B9" s="37" t="s">
        <v>24</v>
      </c>
      <c r="C9" s="37" t="s">
        <v>21</v>
      </c>
      <c r="D9" s="38">
        <v>100.0</v>
      </c>
      <c r="E9" s="37"/>
      <c r="F9" s="37" t="s">
        <v>22</v>
      </c>
      <c r="G9" s="37"/>
      <c r="H9" s="37"/>
      <c r="I9" s="37"/>
      <c r="J9" s="38">
        <v>2.0</v>
      </c>
      <c r="K9" s="37"/>
      <c r="L9" s="37"/>
      <c r="M9" s="37"/>
      <c r="N9" s="49">
        <f t="shared" si="1"/>
        <v>45853</v>
      </c>
      <c r="O9" s="37"/>
      <c r="P9" s="37"/>
      <c r="Q9" s="37"/>
      <c r="R9" s="37"/>
      <c r="S9" s="37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 t="s">
        <v>33</v>
      </c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50"/>
      <c r="B10" s="37" t="s">
        <v>25</v>
      </c>
      <c r="C10" s="37" t="s">
        <v>21</v>
      </c>
      <c r="D10" s="38">
        <v>100.0</v>
      </c>
      <c r="E10" s="37"/>
      <c r="F10" s="37" t="s">
        <v>22</v>
      </c>
      <c r="G10" s="37"/>
      <c r="H10" s="37"/>
      <c r="I10" s="37"/>
      <c r="J10" s="38">
        <v>2.0</v>
      </c>
      <c r="K10" s="37"/>
      <c r="L10" s="37"/>
      <c r="M10" s="37"/>
      <c r="N10" s="49">
        <f t="shared" si="1"/>
        <v>45853</v>
      </c>
      <c r="O10" s="37"/>
      <c r="P10" s="37"/>
      <c r="Q10" s="37"/>
      <c r="R10" s="37"/>
      <c r="S10" s="37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 t="s">
        <v>33</v>
      </c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50"/>
      <c r="B11" s="37" t="s">
        <v>26</v>
      </c>
      <c r="C11" s="37" t="s">
        <v>21</v>
      </c>
      <c r="D11" s="38">
        <v>100.0</v>
      </c>
      <c r="E11" s="37"/>
      <c r="F11" s="37" t="s">
        <v>22</v>
      </c>
      <c r="G11" s="37"/>
      <c r="H11" s="37"/>
      <c r="I11" s="37"/>
      <c r="J11" s="38">
        <v>2.0</v>
      </c>
      <c r="K11" s="37"/>
      <c r="L11" s="37"/>
      <c r="M11" s="37"/>
      <c r="N11" s="49">
        <f t="shared" si="1"/>
        <v>45853</v>
      </c>
      <c r="O11" s="37"/>
      <c r="P11" s="37"/>
      <c r="Q11" s="37"/>
      <c r="R11" s="37"/>
      <c r="S11" s="37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 t="s">
        <v>33</v>
      </c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50"/>
      <c r="B12" s="37" t="s">
        <v>27</v>
      </c>
      <c r="C12" s="37" t="s">
        <v>21</v>
      </c>
      <c r="D12" s="38">
        <v>100.0</v>
      </c>
      <c r="E12" s="37"/>
      <c r="F12" s="37" t="s">
        <v>22</v>
      </c>
      <c r="G12" s="37"/>
      <c r="H12" s="37"/>
      <c r="I12" s="37"/>
      <c r="J12" s="38">
        <v>2.0</v>
      </c>
      <c r="K12" s="37"/>
      <c r="L12" s="37"/>
      <c r="M12" s="37"/>
      <c r="N12" s="49">
        <f t="shared" si="1"/>
        <v>45853</v>
      </c>
      <c r="O12" s="37"/>
      <c r="P12" s="37"/>
      <c r="Q12" s="37"/>
      <c r="R12" s="37"/>
      <c r="S12" s="37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 t="s">
        <v>33</v>
      </c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50"/>
      <c r="B13" s="39">
        <v>1.23456789E8</v>
      </c>
      <c r="C13" s="37" t="s">
        <v>21</v>
      </c>
      <c r="D13" s="38">
        <v>100.0</v>
      </c>
      <c r="E13" s="37"/>
      <c r="F13" s="37" t="s">
        <v>22</v>
      </c>
      <c r="G13" s="37"/>
      <c r="H13" s="37"/>
      <c r="I13" s="37"/>
      <c r="J13" s="38">
        <v>2.0</v>
      </c>
      <c r="K13" s="37"/>
      <c r="L13" s="37"/>
      <c r="M13" s="37"/>
      <c r="N13" s="49">
        <f t="shared" si="1"/>
        <v>45853</v>
      </c>
      <c r="O13" s="37"/>
      <c r="P13" s="37"/>
      <c r="Q13" s="37"/>
      <c r="R13" s="37"/>
      <c r="S13" s="37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 t="s">
        <v>33</v>
      </c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</row>
    <row r="14" ht="15.75" customHeight="1">
      <c r="A14" s="50"/>
      <c r="B14" s="37" t="s">
        <v>20</v>
      </c>
      <c r="C14" s="37" t="s">
        <v>21</v>
      </c>
      <c r="D14" s="38">
        <v>100.0</v>
      </c>
      <c r="E14" s="39">
        <v>0.0</v>
      </c>
      <c r="F14" s="37" t="s">
        <v>22</v>
      </c>
      <c r="G14" s="37"/>
      <c r="H14" s="37"/>
      <c r="I14" s="37"/>
      <c r="J14" s="38">
        <v>2.0</v>
      </c>
      <c r="K14" s="37"/>
      <c r="L14" s="37"/>
      <c r="M14" s="37"/>
      <c r="N14" s="49">
        <f t="shared" si="1"/>
        <v>45853</v>
      </c>
      <c r="O14" s="37"/>
      <c r="P14" s="37"/>
      <c r="Q14" s="37"/>
      <c r="R14" s="37"/>
      <c r="S14" s="37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 t="s">
        <v>33</v>
      </c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/>
      <c r="DL14" s="33"/>
      <c r="DM14" s="33"/>
      <c r="DN14" s="33"/>
      <c r="DO14" s="33"/>
      <c r="DP14" s="33"/>
      <c r="DQ14" s="33"/>
      <c r="DR14" s="33"/>
      <c r="DS14" s="33"/>
      <c r="DT14" s="33"/>
      <c r="DU14" s="33"/>
      <c r="DV14" s="33"/>
      <c r="DW14" s="33"/>
      <c r="DX14" s="33"/>
      <c r="DY14" s="33"/>
      <c r="DZ14" s="33"/>
      <c r="EA14" s="33"/>
      <c r="EB14" s="33"/>
      <c r="EC14" s="33"/>
      <c r="ED14" s="33"/>
      <c r="EE14" s="33"/>
      <c r="EF14" s="33"/>
      <c r="EG14" s="33"/>
      <c r="EH14" s="33"/>
      <c r="EI14" s="33"/>
      <c r="EJ14" s="33"/>
      <c r="EK14" s="33"/>
      <c r="EL14" s="33"/>
      <c r="EM14" s="33"/>
      <c r="EN14" s="33"/>
      <c r="EO14" s="33"/>
      <c r="EP14" s="33"/>
      <c r="EQ14" s="33"/>
      <c r="ER14" s="33"/>
      <c r="ES14" s="33"/>
      <c r="ET14" s="33"/>
      <c r="EU14" s="33"/>
      <c r="EV14" s="33"/>
      <c r="EW14" s="33"/>
      <c r="EX14" s="33"/>
    </row>
    <row r="15" ht="15.75" customHeight="1">
      <c r="A15" s="50"/>
      <c r="B15" s="37" t="s">
        <v>23</v>
      </c>
      <c r="C15" s="37" t="s">
        <v>21</v>
      </c>
      <c r="D15" s="38">
        <v>100.0</v>
      </c>
      <c r="E15" s="39">
        <v>0.0</v>
      </c>
      <c r="F15" s="37" t="s">
        <v>22</v>
      </c>
      <c r="G15" s="37"/>
      <c r="H15" s="37"/>
      <c r="I15" s="37"/>
      <c r="J15" s="38">
        <v>2.0</v>
      </c>
      <c r="K15" s="37"/>
      <c r="L15" s="37"/>
      <c r="M15" s="37"/>
      <c r="N15" s="49">
        <f t="shared" si="1"/>
        <v>45853</v>
      </c>
      <c r="O15" s="37"/>
      <c r="P15" s="37"/>
      <c r="Q15" s="37"/>
      <c r="R15" s="37"/>
      <c r="S15" s="37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 t="s">
        <v>33</v>
      </c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/>
      <c r="EQ15" s="33"/>
      <c r="ER15" s="33"/>
      <c r="ES15" s="33"/>
      <c r="ET15" s="33"/>
      <c r="EU15" s="33"/>
      <c r="EV15" s="33"/>
      <c r="EW15" s="33"/>
      <c r="EX15" s="33"/>
    </row>
    <row r="16" ht="15.75" customHeight="1">
      <c r="A16" s="50"/>
      <c r="B16" s="37" t="s">
        <v>24</v>
      </c>
      <c r="C16" s="37" t="s">
        <v>21</v>
      </c>
      <c r="D16" s="38">
        <v>100.0</v>
      </c>
      <c r="E16" s="39">
        <v>0.0</v>
      </c>
      <c r="F16" s="37" t="s">
        <v>22</v>
      </c>
      <c r="G16" s="37"/>
      <c r="H16" s="37"/>
      <c r="I16" s="37"/>
      <c r="J16" s="38">
        <v>2.0</v>
      </c>
      <c r="K16" s="37"/>
      <c r="L16" s="37"/>
      <c r="M16" s="37"/>
      <c r="N16" s="49">
        <f t="shared" si="1"/>
        <v>45853</v>
      </c>
      <c r="O16" s="37"/>
      <c r="P16" s="37"/>
      <c r="Q16" s="37"/>
      <c r="R16" s="37"/>
      <c r="S16" s="37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 t="s">
        <v>33</v>
      </c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33"/>
      <c r="ER16" s="33"/>
      <c r="ES16" s="33"/>
      <c r="ET16" s="33"/>
      <c r="EU16" s="33"/>
      <c r="EV16" s="33"/>
      <c r="EW16" s="33"/>
      <c r="EX16" s="33"/>
    </row>
    <row r="17" ht="15.75" customHeight="1">
      <c r="A17" s="50"/>
      <c r="B17" s="37" t="s">
        <v>25</v>
      </c>
      <c r="C17" s="37" t="s">
        <v>21</v>
      </c>
      <c r="D17" s="38">
        <v>100.0</v>
      </c>
      <c r="E17" s="39">
        <v>0.0</v>
      </c>
      <c r="F17" s="37" t="s">
        <v>22</v>
      </c>
      <c r="G17" s="37"/>
      <c r="H17" s="37"/>
      <c r="I17" s="37"/>
      <c r="J17" s="38">
        <v>2.0</v>
      </c>
      <c r="K17" s="37"/>
      <c r="L17" s="37"/>
      <c r="M17" s="37"/>
      <c r="N17" s="49">
        <f t="shared" si="1"/>
        <v>45853</v>
      </c>
      <c r="O17" s="37"/>
      <c r="P17" s="37"/>
      <c r="Q17" s="37"/>
      <c r="R17" s="37"/>
      <c r="S17" s="37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 t="s">
        <v>33</v>
      </c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3"/>
      <c r="CG17" s="33"/>
      <c r="CH17" s="33"/>
      <c r="CI17" s="33"/>
      <c r="CJ17" s="33"/>
      <c r="CK17" s="33"/>
      <c r="CL17" s="33"/>
      <c r="CM17" s="33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3"/>
      <c r="DE17" s="33"/>
      <c r="DF17" s="33"/>
      <c r="DG17" s="33"/>
      <c r="DH17" s="33"/>
      <c r="DI17" s="33"/>
      <c r="DJ17" s="33"/>
      <c r="DK17" s="33"/>
      <c r="DL17" s="33"/>
      <c r="DM17" s="33"/>
      <c r="DN17" s="33"/>
      <c r="DO17" s="33"/>
      <c r="DP17" s="33"/>
      <c r="DQ17" s="33"/>
      <c r="DR17" s="33"/>
      <c r="DS17" s="33"/>
      <c r="DT17" s="33"/>
      <c r="DU17" s="33"/>
      <c r="DV17" s="33"/>
      <c r="DW17" s="33"/>
      <c r="DX17" s="33"/>
      <c r="DY17" s="33"/>
      <c r="DZ17" s="33"/>
      <c r="EA17" s="33"/>
      <c r="EB17" s="33"/>
      <c r="EC17" s="33"/>
      <c r="ED17" s="33"/>
      <c r="EE17" s="33"/>
      <c r="EF17" s="33"/>
      <c r="EG17" s="33"/>
      <c r="EH17" s="33"/>
      <c r="EI17" s="33"/>
      <c r="EJ17" s="33"/>
      <c r="EK17" s="33"/>
      <c r="EL17" s="33"/>
      <c r="EM17" s="33"/>
      <c r="EN17" s="33"/>
      <c r="EO17" s="33"/>
      <c r="EP17" s="33"/>
      <c r="EQ17" s="33"/>
      <c r="ER17" s="33"/>
      <c r="ES17" s="33"/>
      <c r="ET17" s="33"/>
      <c r="EU17" s="33"/>
      <c r="EV17" s="33"/>
      <c r="EW17" s="33"/>
      <c r="EX17" s="33"/>
    </row>
    <row r="18" ht="15.75" customHeight="1">
      <c r="A18" s="50"/>
      <c r="B18" s="37" t="s">
        <v>26</v>
      </c>
      <c r="C18" s="37" t="s">
        <v>21</v>
      </c>
      <c r="D18" s="38">
        <v>100.0</v>
      </c>
      <c r="E18" s="39">
        <v>0.0</v>
      </c>
      <c r="F18" s="37" t="s">
        <v>22</v>
      </c>
      <c r="G18" s="37"/>
      <c r="H18" s="37"/>
      <c r="I18" s="37"/>
      <c r="J18" s="38">
        <v>2.0</v>
      </c>
      <c r="K18" s="37"/>
      <c r="L18" s="37"/>
      <c r="M18" s="37"/>
      <c r="N18" s="49">
        <f t="shared" si="1"/>
        <v>45853</v>
      </c>
      <c r="O18" s="37"/>
      <c r="P18" s="37"/>
      <c r="Q18" s="37"/>
      <c r="R18" s="37"/>
      <c r="S18" s="37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 t="s">
        <v>33</v>
      </c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  <c r="CH18" s="33"/>
      <c r="CI18" s="33"/>
      <c r="CJ18" s="33"/>
      <c r="CK18" s="33"/>
      <c r="CL18" s="33"/>
      <c r="CM18" s="33"/>
      <c r="CN18" s="33"/>
      <c r="CO18" s="33"/>
      <c r="CP18" s="33"/>
      <c r="CQ18" s="33"/>
      <c r="CR18" s="33"/>
      <c r="CS18" s="33"/>
      <c r="CT18" s="33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/>
      <c r="DI18" s="33"/>
      <c r="DJ18" s="33"/>
      <c r="DK18" s="33"/>
      <c r="DL18" s="33"/>
      <c r="DM18" s="33"/>
      <c r="DN18" s="33"/>
      <c r="DO18" s="33"/>
      <c r="DP18" s="33"/>
      <c r="DQ18" s="33"/>
      <c r="DR18" s="33"/>
      <c r="DS18" s="33"/>
      <c r="DT18" s="33"/>
      <c r="DU18" s="33"/>
      <c r="DV18" s="33"/>
      <c r="DW18" s="33"/>
      <c r="DX18" s="33"/>
      <c r="DY18" s="33"/>
      <c r="DZ18" s="33"/>
      <c r="EA18" s="33"/>
      <c r="EB18" s="33"/>
      <c r="EC18" s="33"/>
      <c r="ED18" s="33"/>
      <c r="EE18" s="33"/>
      <c r="EF18" s="33"/>
      <c r="EG18" s="33"/>
      <c r="EH18" s="33"/>
      <c r="EI18" s="33"/>
      <c r="EJ18" s="33"/>
      <c r="EK18" s="33"/>
      <c r="EL18" s="33"/>
      <c r="EM18" s="33"/>
      <c r="EN18" s="33"/>
      <c r="EO18" s="33"/>
      <c r="EP18" s="33"/>
      <c r="EQ18" s="33"/>
      <c r="ER18" s="33"/>
      <c r="ES18" s="33"/>
      <c r="ET18" s="33"/>
      <c r="EU18" s="33"/>
      <c r="EV18" s="33"/>
      <c r="EW18" s="33"/>
      <c r="EX18" s="33"/>
    </row>
    <row r="19" ht="15.75" customHeight="1">
      <c r="A19" s="50"/>
      <c r="B19" s="37" t="s">
        <v>27</v>
      </c>
      <c r="C19" s="37" t="s">
        <v>21</v>
      </c>
      <c r="D19" s="38">
        <v>100.0</v>
      </c>
      <c r="E19" s="39">
        <v>0.0</v>
      </c>
      <c r="F19" s="37" t="s">
        <v>22</v>
      </c>
      <c r="G19" s="37"/>
      <c r="H19" s="37"/>
      <c r="I19" s="37"/>
      <c r="J19" s="38">
        <v>2.0</v>
      </c>
      <c r="K19" s="37"/>
      <c r="L19" s="37"/>
      <c r="M19" s="37"/>
      <c r="N19" s="49">
        <f t="shared" si="1"/>
        <v>45853</v>
      </c>
      <c r="O19" s="37"/>
      <c r="P19" s="37"/>
      <c r="Q19" s="37"/>
      <c r="R19" s="37"/>
      <c r="S19" s="37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 t="s">
        <v>33</v>
      </c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33"/>
      <c r="BX19" s="33"/>
      <c r="BY19" s="33"/>
      <c r="BZ19" s="33"/>
      <c r="CA19" s="33"/>
      <c r="CB19" s="33"/>
      <c r="CC19" s="33"/>
      <c r="CD19" s="33"/>
      <c r="CE19" s="33"/>
      <c r="CF19" s="33"/>
      <c r="CG19" s="33"/>
      <c r="CH19" s="33"/>
      <c r="CI19" s="33"/>
      <c r="CJ19" s="33"/>
      <c r="CK19" s="33"/>
      <c r="CL19" s="33"/>
      <c r="CM19" s="33"/>
      <c r="CN19" s="33"/>
      <c r="CO19" s="33"/>
      <c r="CP19" s="33"/>
      <c r="CQ19" s="33"/>
      <c r="CR19" s="33"/>
      <c r="CS19" s="33"/>
      <c r="CT19" s="33"/>
      <c r="CU19" s="33"/>
      <c r="CV19" s="33"/>
      <c r="CW19" s="33"/>
      <c r="CX19" s="33"/>
      <c r="CY19" s="33"/>
      <c r="CZ19" s="33"/>
      <c r="DA19" s="33"/>
      <c r="DB19" s="33"/>
      <c r="DC19" s="33"/>
      <c r="DD19" s="33"/>
      <c r="DE19" s="33"/>
      <c r="DF19" s="33"/>
      <c r="DG19" s="33"/>
      <c r="DH19" s="33"/>
      <c r="DI19" s="33"/>
      <c r="DJ19" s="33"/>
      <c r="DK19" s="33"/>
      <c r="DL19" s="33"/>
      <c r="DM19" s="33"/>
      <c r="DN19" s="33"/>
      <c r="DO19" s="33"/>
      <c r="DP19" s="33"/>
      <c r="DQ19" s="33"/>
      <c r="DR19" s="33"/>
      <c r="DS19" s="33"/>
      <c r="DT19" s="33"/>
      <c r="DU19" s="33"/>
      <c r="DV19" s="33"/>
      <c r="DW19" s="33"/>
      <c r="DX19" s="33"/>
      <c r="DY19" s="33"/>
      <c r="DZ19" s="33"/>
      <c r="EA19" s="33"/>
      <c r="EB19" s="33"/>
      <c r="EC19" s="33"/>
      <c r="ED19" s="33"/>
      <c r="EE19" s="33"/>
      <c r="EF19" s="33"/>
      <c r="EG19" s="33"/>
      <c r="EH19" s="33"/>
      <c r="EI19" s="33"/>
      <c r="EJ19" s="33"/>
      <c r="EK19" s="33"/>
      <c r="EL19" s="33"/>
      <c r="EM19" s="33"/>
      <c r="EN19" s="33"/>
      <c r="EO19" s="33"/>
      <c r="EP19" s="33"/>
      <c r="EQ19" s="33"/>
      <c r="ER19" s="33"/>
      <c r="ES19" s="33"/>
      <c r="ET19" s="33"/>
      <c r="EU19" s="33"/>
      <c r="EV19" s="33"/>
      <c r="EW19" s="33"/>
      <c r="EX19" s="33"/>
    </row>
    <row r="20" ht="15.75" customHeight="1">
      <c r="A20" s="50"/>
      <c r="B20" s="39">
        <v>1.23456789E8</v>
      </c>
      <c r="C20" s="37" t="s">
        <v>21</v>
      </c>
      <c r="D20" s="38">
        <v>100.0</v>
      </c>
      <c r="E20" s="39">
        <v>0.0</v>
      </c>
      <c r="F20" s="37" t="s">
        <v>22</v>
      </c>
      <c r="G20" s="37"/>
      <c r="H20" s="37"/>
      <c r="I20" s="37"/>
      <c r="J20" s="38">
        <v>2.0</v>
      </c>
      <c r="K20" s="37"/>
      <c r="L20" s="37"/>
      <c r="M20" s="37"/>
      <c r="N20" s="49">
        <f t="shared" si="1"/>
        <v>45853</v>
      </c>
      <c r="O20" s="37"/>
      <c r="P20" s="37"/>
      <c r="Q20" s="37"/>
      <c r="R20" s="37"/>
      <c r="S20" s="37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 t="s">
        <v>33</v>
      </c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  <c r="BU20" s="33"/>
      <c r="BV20" s="33"/>
      <c r="BW20" s="33"/>
      <c r="BX20" s="33"/>
      <c r="BY20" s="33"/>
      <c r="BZ20" s="33"/>
      <c r="CA20" s="33"/>
      <c r="CB20" s="33"/>
      <c r="CC20" s="33"/>
      <c r="CD20" s="33"/>
      <c r="CE20" s="33"/>
      <c r="CF20" s="33"/>
      <c r="CG20" s="33"/>
      <c r="CH20" s="33"/>
      <c r="CI20" s="33"/>
      <c r="CJ20" s="33"/>
      <c r="CK20" s="33"/>
      <c r="CL20" s="33"/>
      <c r="CM20" s="33"/>
      <c r="CN20" s="33"/>
      <c r="CO20" s="33"/>
      <c r="CP20" s="33"/>
      <c r="CQ20" s="33"/>
      <c r="CR20" s="33"/>
      <c r="CS20" s="33"/>
      <c r="CT20" s="33"/>
      <c r="CU20" s="33"/>
      <c r="CV20" s="33"/>
      <c r="CW20" s="33"/>
      <c r="CX20" s="33"/>
      <c r="CY20" s="33"/>
      <c r="CZ20" s="33"/>
      <c r="DA20" s="33"/>
      <c r="DB20" s="33"/>
      <c r="DC20" s="33"/>
      <c r="DD20" s="33"/>
      <c r="DE20" s="33"/>
      <c r="DF20" s="33"/>
      <c r="DG20" s="33"/>
      <c r="DH20" s="33"/>
      <c r="DI20" s="33"/>
      <c r="DJ20" s="33"/>
      <c r="DK20" s="33"/>
      <c r="DL20" s="33"/>
      <c r="DM20" s="33"/>
      <c r="DN20" s="33"/>
      <c r="DO20" s="33"/>
      <c r="DP20" s="33"/>
      <c r="DQ20" s="33"/>
      <c r="DR20" s="33"/>
      <c r="DS20" s="33"/>
      <c r="DT20" s="33"/>
      <c r="DU20" s="33"/>
      <c r="DV20" s="33"/>
      <c r="DW20" s="33"/>
      <c r="DX20" s="33"/>
      <c r="DY20" s="33"/>
      <c r="DZ20" s="33"/>
      <c r="EA20" s="33"/>
      <c r="EB20" s="33"/>
      <c r="EC20" s="33"/>
      <c r="ED20" s="33"/>
      <c r="EE20" s="33"/>
      <c r="EF20" s="33"/>
      <c r="EG20" s="33"/>
      <c r="EH20" s="33"/>
      <c r="EI20" s="33"/>
      <c r="EJ20" s="33"/>
      <c r="EK20" s="33"/>
      <c r="EL20" s="33"/>
      <c r="EM20" s="33"/>
      <c r="EN20" s="33"/>
      <c r="EO20" s="33"/>
      <c r="EP20" s="33"/>
      <c r="EQ20" s="33"/>
      <c r="ER20" s="33"/>
      <c r="ES20" s="33"/>
      <c r="ET20" s="33"/>
      <c r="EU20" s="33"/>
      <c r="EV20" s="33"/>
      <c r="EW20" s="33"/>
      <c r="EX20" s="33"/>
    </row>
    <row r="21" ht="15.75" customHeight="1">
      <c r="A21" s="50"/>
      <c r="B21" s="51" t="s">
        <v>20</v>
      </c>
      <c r="C21" s="51" t="s">
        <v>21</v>
      </c>
      <c r="D21" s="38">
        <v>100.0</v>
      </c>
      <c r="E21" s="37"/>
      <c r="F21" s="51" t="s">
        <v>34</v>
      </c>
      <c r="G21" s="37"/>
      <c r="H21" s="37"/>
      <c r="I21" s="37"/>
      <c r="J21" s="38">
        <v>2.0</v>
      </c>
      <c r="K21" s="37"/>
      <c r="L21" s="37"/>
      <c r="M21" s="37"/>
      <c r="N21" s="37"/>
      <c r="O21" s="37"/>
      <c r="P21" s="37"/>
      <c r="Q21" s="37"/>
      <c r="R21" s="37"/>
      <c r="S21" s="37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 t="s">
        <v>33</v>
      </c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  <c r="BT21" s="33"/>
      <c r="BU21" s="33"/>
      <c r="BV21" s="33"/>
      <c r="BW21" s="33"/>
      <c r="BX21" s="33"/>
      <c r="BY21" s="33"/>
      <c r="BZ21" s="33"/>
      <c r="CA21" s="33"/>
      <c r="CB21" s="33"/>
      <c r="CC21" s="33"/>
      <c r="CD21" s="33"/>
      <c r="CE21" s="33"/>
      <c r="CF21" s="33"/>
      <c r="CG21" s="33"/>
      <c r="CH21" s="33"/>
      <c r="CI21" s="33"/>
      <c r="CJ21" s="33"/>
      <c r="CK21" s="33"/>
      <c r="CL21" s="33"/>
      <c r="CM21" s="33"/>
      <c r="CN21" s="33"/>
      <c r="CO21" s="33"/>
      <c r="CP21" s="33"/>
      <c r="CQ21" s="33"/>
      <c r="CR21" s="33"/>
      <c r="CS21" s="33"/>
      <c r="CT21" s="33"/>
      <c r="CU21" s="33"/>
      <c r="CV21" s="33"/>
      <c r="CW21" s="33"/>
      <c r="CX21" s="33"/>
      <c r="CY21" s="33"/>
      <c r="CZ21" s="33"/>
      <c r="DA21" s="33"/>
      <c r="DB21" s="33"/>
      <c r="DC21" s="33"/>
      <c r="DD21" s="33"/>
      <c r="DE21" s="33"/>
      <c r="DF21" s="33"/>
      <c r="DG21" s="33"/>
      <c r="DH21" s="33"/>
      <c r="DI21" s="33"/>
      <c r="DJ21" s="33"/>
      <c r="DK21" s="33"/>
      <c r="DL21" s="33"/>
      <c r="DM21" s="33"/>
      <c r="DN21" s="33"/>
      <c r="DO21" s="33"/>
      <c r="DP21" s="33"/>
      <c r="DQ21" s="33"/>
      <c r="DR21" s="33"/>
      <c r="DS21" s="33"/>
      <c r="DT21" s="33"/>
      <c r="DU21" s="33"/>
      <c r="DV21" s="33"/>
      <c r="DW21" s="33"/>
      <c r="DX21" s="33"/>
      <c r="DY21" s="33"/>
      <c r="DZ21" s="33"/>
      <c r="EA21" s="33"/>
      <c r="EB21" s="33"/>
      <c r="EC21" s="33"/>
      <c r="ED21" s="33"/>
      <c r="EE21" s="33"/>
      <c r="EF21" s="33"/>
      <c r="EG21" s="33"/>
      <c r="EH21" s="33"/>
      <c r="EI21" s="33"/>
      <c r="EJ21" s="33"/>
      <c r="EK21" s="33"/>
      <c r="EL21" s="33"/>
      <c r="EM21" s="33"/>
      <c r="EN21" s="33"/>
      <c r="EO21" s="33"/>
      <c r="EP21" s="33"/>
      <c r="EQ21" s="33"/>
      <c r="ER21" s="33"/>
      <c r="ES21" s="33"/>
      <c r="ET21" s="33"/>
      <c r="EU21" s="33"/>
      <c r="EV21" s="33"/>
      <c r="EW21" s="33"/>
      <c r="EX21" s="33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22</v>
      </c>
      <c r="C6" s="31" t="s">
        <v>36</v>
      </c>
      <c r="D6" s="52">
        <v>100000.0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34</v>
      </c>
      <c r="C7" s="31" t="s">
        <v>36</v>
      </c>
      <c r="D7" s="52">
        <v>100000.0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53" t="s">
        <v>39</v>
      </c>
      <c r="C6" s="41">
        <f>today()-1</f>
        <v>45853</v>
      </c>
      <c r="D6" s="41">
        <f>today()</f>
        <v>45854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54" t="s">
        <v>24</v>
      </c>
      <c r="C6" s="35">
        <v>100.0</v>
      </c>
      <c r="D6" s="34"/>
      <c r="E6" s="34" t="s">
        <v>22</v>
      </c>
      <c r="F6" s="34" t="s">
        <v>21</v>
      </c>
      <c r="G6" s="34"/>
      <c r="H6" s="35">
        <v>2.0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IFERROR(__xludf.DUMMYFUNCTION("""COMPUTED_VALUE"""),"NotionalValue")</f>
        <v>NotionalValue</v>
      </c>
      <c r="C5" s="28" t="str">
        <f>IFERROR(__xludf.DUMMYFUNCTION("""COMPUTED_VALUE"""),"Interest Rate")</f>
        <v>Interest Rate</v>
      </c>
      <c r="D5" s="28" t="str">
        <f>IFERROR(__xludf.DUMMYFUNCTION("""COMPUTED_VALUE"""),"Spread(B.P)")</f>
        <v>Spread(B.P)</v>
      </c>
      <c r="E5" s="28" t="str">
        <f>IFERROR(__xludf.DUMMYFUNCTION("""COMPUTED_VALUE"""),"First Reset Date")</f>
        <v>First Reset Date</v>
      </c>
      <c r="F5" s="29" t="str">
        <f>IFERROR(__xludf.DUMMYFUNCTION("""COMPUTED_VALUE"""),"DayCount")</f>
        <v>DayCount</v>
      </c>
      <c r="G5" s="28" t="str">
        <f>IFERROR(__xludf.DUMMYFUNCTION("""COMPUTED_VALUE"""),"Original T.Date")</f>
        <v>Original T.Date</v>
      </c>
      <c r="H5" s="28" t="str">
        <f>IFERROR(__xludf.DUMMYFUNCTION("""COMPUTED_VALUE"""),"OriginalCostBasis")</f>
        <v>OriginalCostBasis</v>
      </c>
      <c r="I5" s="28" t="str">
        <f>IFERROR(__xludf.DUMMYFUNCTION("""COMPUTED_VALUE"""),"SwapDescription")</f>
        <v>SwapDescription</v>
      </c>
      <c r="J5" s="28" t="str">
        <f>IFERROR(__xludf.DUMMYFUNCTION("""COMPUTED_VALUE"""),"CommissionChange")</f>
        <v>CommissionChange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55">
        <v>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BookOrUpdateSwap!$4:$4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7" t="s">
        <v>20</v>
      </c>
      <c r="C6" s="35">
        <v>20.0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6" t="s">
        <v>23</v>
      </c>
      <c r="C7" s="52">
        <v>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6" t="s">
        <v>24</v>
      </c>
      <c r="C8" s="52">
        <v>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6" t="s">
        <v>25</v>
      </c>
      <c r="C9" s="52">
        <v>20.0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6" t="s">
        <v>26</v>
      </c>
      <c r="C10" s="52">
        <v>20.0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6" t="s">
        <v>27</v>
      </c>
      <c r="C11" s="52">
        <v>20.0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56">
        <v>1.23456789E8</v>
      </c>
      <c r="C12" s="52">
        <v>20.0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1" t="s">
        <v>43</v>
      </c>
      <c r="C13" s="52">
        <v>20.0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57">
        <f t="shared" ref="B6:C6" si="1">today()-1</f>
        <v>45853</v>
      </c>
      <c r="C6" s="57">
        <f t="shared" si="1"/>
        <v>45853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56">
        <v>1.23456789E8</v>
      </c>
      <c r="C6" s="35">
        <v>10.0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56" t="s">
        <v>20</v>
      </c>
      <c r="C7" s="52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6" t="s">
        <v>23</v>
      </c>
      <c r="C8" s="52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6" t="s">
        <v>24</v>
      </c>
      <c r="C9" s="52">
        <v>10.0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6" t="s">
        <v>25</v>
      </c>
      <c r="C10" s="52">
        <v>10.0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6" t="s">
        <v>27</v>
      </c>
      <c r="C11" s="52">
        <v>10.0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6" t="s">
        <v>26</v>
      </c>
      <c r="C12" s="52">
        <v>10.0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58" t="s">
        <v>43</v>
      </c>
      <c r="C13" s="52">
        <v>10.0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57">
        <f t="shared" ref="B6:C6" si="1">today()-1</f>
        <v>45853</v>
      </c>
      <c r="C6" s="57">
        <f t="shared" si="1"/>
        <v>45853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59" t="s">
        <v>36</v>
      </c>
      <c r="C6" s="54" t="s">
        <v>48</v>
      </c>
      <c r="D6" s="34" t="s">
        <v>49</v>
      </c>
      <c r="E6" s="35">
        <v>1.2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IFERROR(__xludf.DUMMYFUNCTION("""COMPUTED_VALUE"""),"RunManualRevaluation")</f>
        <v>RunManualRevaluation</v>
      </c>
      <c r="J4" s="25" t="str">
        <f>IFERROR(__xludf.DUMMYFUNCTION("""COMPUTED_VALUE"""),"SaveCashTransaction")</f>
        <v>SaveCashTransaction</v>
      </c>
      <c r="K4" s="25" t="str">
        <f>IFERROR(__xludf.DUMMYFUNCTION("""COMPUTED_VALUE"""),"EditGridCashTransactions")</f>
        <v>EditGridCashTransactions</v>
      </c>
      <c r="L4" s="25" t="str">
        <f>IFERROR(__xludf.DUMMYFUNCTION("""COMPUTED_VALUE"""),"FilterCashTransactionGrid")</f>
        <v>FilterCashTransactionGrid</v>
      </c>
      <c r="M4" s="25" t="str">
        <f>IFERROR(__xludf.DUMMYFUNCTION("""COMPUTED_VALUE"""),"GetTradingTransaction")</f>
        <v>GetTradingTransaction</v>
      </c>
      <c r="N4" s="25" t="str">
        <f>IFERROR(__xludf.DUMMYFUNCTION("""COMPUTED_VALUE"""),"GetActivityData")</f>
        <v>GetActivityData</v>
      </c>
      <c r="O4" s="25" t="str">
        <f>IFERROR(__xludf.DUMMYFUNCTION("""COMPUTED_VALUE"""),"GetRevaluationData")</f>
        <v>GetRevaluationData</v>
      </c>
      <c r="P4" s="26" t="str">
        <f>IFERROR(__xludf.DUMMYFUNCTION("""COMPUTED_VALUE"""),"GetAccountDetails")</f>
        <v>GetAccountDetails</v>
      </c>
      <c r="Q4" s="26" t="str">
        <f>IFERROR(__xludf.DUMMYFUNCTION("""COMPUTED_VALUE"""),"GetNonTradingTransaction")</f>
        <v>GetNonTradingTransaction</v>
      </c>
      <c r="R4" s="26" t="str">
        <f>IFERROR(__xludf.DUMMYFUNCTION("""COMPUTED_VALUE"""),"GetDividendData")</f>
        <v>GetDividendData</v>
      </c>
      <c r="S4" s="26" t="str">
        <f>IFERROR(__xludf.DUMMYFUNCTION("""COMPUTED_VALUE"""),"VerifyNonTradingTransaction")</f>
        <v>VerifyNonTradingTransaction</v>
      </c>
      <c r="T4" s="26" t="str">
        <f>IFERROR(__xludf.DUMMYFUNCTION("""COMPUTED_VALUE"""),"VerifyDividend")</f>
        <v>VerifyDividend</v>
      </c>
      <c r="U4" s="26" t="str">
        <f>IFERROR(__xludf.DUMMYFUNCTION("""COMPUTED_VALUE"""),"GetOpeningBalanceData")</f>
        <v>GetOpeningBalanceData</v>
      </c>
      <c r="V4" s="26" t="str">
        <f>IFERROR(__xludf.DUMMYFUNCTION("""COMPUTED_VALUE"""),"GetAccountBalance")</f>
        <v>GetAccountBalance</v>
      </c>
      <c r="W4" s="26" t="str">
        <f>IFERROR(__xludf.DUMMYFUNCTION("""COMPUTED_VALUE"""),"SelectNonTradingTransaction")</f>
        <v>SelectNonTradingTransaction</v>
      </c>
      <c r="X4" s="26" t="str">
        <f>IFERROR(__xludf.DUMMYFUNCTION("""COMPUTED_VALUE"""),"SelectNonTradingTranItem")</f>
        <v>SelectNonTradingTranItem</v>
      </c>
      <c r="Y4" s="26" t="str">
        <f>IFERROR(__xludf.DUMMYFUNCTION("""COMPUTED_VALUE"""),"DeleteNonTradingTransaction")</f>
        <v>DeleteNonTradingTransaction</v>
      </c>
      <c r="Z4" s="26" t="str">
        <f>IFERROR(__xludf.DUMMYFUNCTION("""COMPUTED_VALUE"""),"DeleteNonTradingTranItem")</f>
        <v>DeleteNonTradingTranItem</v>
      </c>
      <c r="AA4" s="26" t="str">
        <f>IFERROR(__xludf.DUMMYFUNCTION("""COMPUTED_VALUE"""),"AddNonTradingTransaction")</f>
        <v>AddNonTradingTransaction</v>
      </c>
      <c r="AB4" s="26" t="str">
        <f>IFERROR(__xludf.DUMMYFUNCTION("""COMPUTED_VALUE"""),"AddNonTradingTranItem")</f>
        <v>AddNonTradingTranItem</v>
      </c>
      <c r="AC4" s="26" t="str">
        <f>IFERROR(__xludf.DUMMYFUNCTION("""COMPUTED_VALUE"""),"VerifyOpeningBalanceData")</f>
        <v>VerifyOpeningBalanceData</v>
      </c>
      <c r="AD4" s="26" t="str">
        <f>IFERROR(__xludf.DUMMYFUNCTION("""COMPUTED_VALUE"""),"SelectOpeningBalanceTransaction")</f>
        <v>SelectOpeningBalanceTransaction</v>
      </c>
      <c r="AE4" s="26" t="str">
        <f>IFERROR(__xludf.DUMMYFUNCTION("""COMPUTED_VALUE"""),"SelectOpeningBalanceTranItem")</f>
        <v>SelectOpeningBalanceTranItem</v>
      </c>
      <c r="AF4" s="26" t="str">
        <f>IFERROR(__xludf.DUMMYFUNCTION("""COMPUTED_VALUE"""),"EditNonTradingTransaction")</f>
        <v>EditNonTradingTransaction</v>
      </c>
      <c r="AG4" s="26" t="str">
        <f>IFERROR(__xludf.DUMMYFUNCTION("""COMPUTED_VALUE"""),"EditNonTradingTranItem")</f>
        <v>EditNonTradingTranItem</v>
      </c>
      <c r="AH4" s="26" t="str">
        <f>IFERROR(__xludf.DUMMYFUNCTION("""COMPUTED_VALUE"""),"DeleteOpeningBalanceTransaction")</f>
        <v>DeleteOpeningBalanceTransaction</v>
      </c>
      <c r="AI4" s="26" t="str">
        <f>IFERROR(__xludf.DUMMYFUNCTION("""COMPUTED_VALUE"""),"DeleteOpeningBalanceTranItem")</f>
        <v>DeleteOpeningBalanceTranItem</v>
      </c>
      <c r="AJ4" s="26" t="str">
        <f>IFERROR(__xludf.DUMMYFUNCTION("""COMPUTED_VALUE"""),"GetDayEndCash")</f>
        <v>GetDayEndCash</v>
      </c>
      <c r="AK4" s="26" t="str">
        <f>IFERROR(__xludf.DUMMYFUNCTION("""COMPUTED_VALUE"""),"VerifyDayEndCash")</f>
        <v>VerifyDayEndCash</v>
      </c>
      <c r="AL4" s="26" t="str">
        <f>IFERROR(__xludf.DUMMYFUNCTION("""COMPUTED_VALUE"""),"RunRevaluation")</f>
        <v>RunRevaluation</v>
      </c>
      <c r="AM4" s="26" t="str">
        <f>IFERROR(__xludf.DUMMYFUNCTION("""COMPUTED_VALUE"""),"CalculateDayEndCash")</f>
        <v>CalculateDayEndCash</v>
      </c>
      <c r="AN4" s="26" t="str">
        <f>IFERROR(__xludf.DUMMYFUNCTION("""COMPUTED_VALUE"""),"AddMultipleOpeningBalTranItem")</f>
        <v>AddMultipleOpeningBalTranItem</v>
      </c>
      <c r="AO4" s="26" t="str">
        <f>IFERROR(__xludf.DUMMYFUNCTION("""COMPUTED_VALUE"""),"VerifyAccountBalances")</f>
        <v>VerifyAccountBalances</v>
      </c>
      <c r="AP4" s="26" t="str">
        <f>IFERROR(__xludf.DUMMYFUNCTION("""COMPUTED_VALUE"""),"GetCashTransaction")</f>
        <v>GetCashTransaction</v>
      </c>
      <c r="AQ4" s="26" t="str">
        <f>IFERROR(__xludf.DUMMYFUNCTION("""COMPUTED_VALUE"""),"SelectCashTransaction")</f>
        <v>SelectCashTransaction</v>
      </c>
      <c r="AR4" s="26" t="str">
        <f>IFERROR(__xludf.DUMMYFUNCTION("""COMPUTED_VALUE"""),"DeleteCashTransaction")</f>
        <v>DeleteCashTransaction</v>
      </c>
      <c r="AS4" s="26" t="str">
        <f>IFERROR(__xludf.DUMMYFUNCTION("""COMPUTED_VALUE"""),"EditCashTransaction")</f>
        <v>EditCashTransaction</v>
      </c>
      <c r="AT4" s="26" t="str">
        <f>IFERROR(__xludf.DUMMYFUNCTION("""COMPUTED_VALUE"""),"AddCashTransaction")</f>
        <v>AddCashTransaction</v>
      </c>
      <c r="AU4" s="26" t="str">
        <f>IFERROR(__xludf.DUMMYFUNCTION("""COMPUTED_VALUE"""),"VerifyCashTransaction")</f>
        <v>VerifyCashTransaction</v>
      </c>
      <c r="AV4" s="26" t="str">
        <f>IFERROR(__xludf.DUMMYFUNCTION("""COMPUTED_VALUE"""),"AddOpeningBalanceTransaction")</f>
        <v>AddOpeningBalanceTransaction</v>
      </c>
      <c r="AW4" s="26" t="str">
        <f>IFERROR(__xludf.DUMMYFUNCTION("""COMPUTED_VALUE"""),"AddOpeningBalanceTranItem")</f>
        <v>AddOpeningBalanceTranItem</v>
      </c>
      <c r="AX4" s="26" t="str">
        <f>IFERROR(__xludf.DUMMYFUNCTION("""COMPUTED_VALUE"""),"GetDailyCalculationsData")</f>
        <v>GetDailyCalculationsData</v>
      </c>
      <c r="AY4" s="26" t="str">
        <f>IFERROR(__xludf.DUMMYFUNCTION("""COMPUTED_VALUE"""),"CalculateDailyCalculations")</f>
        <v>CalculateDailyCalculations</v>
      </c>
      <c r="AZ4" s="26" t="str">
        <f>IFERROR(__xludf.DUMMYFUNCTION("""COMPUTED_VALUE"""),"EditOpeningBalanceTransaction")</f>
        <v>EditOpeningBalanceTransaction</v>
      </c>
      <c r="BA4" s="26" t="str">
        <f>IFERROR(__xludf.DUMMYFUNCTION("""COMPUTED_VALUE"""),"EditOpeningBalanceTranItem")</f>
        <v>EditOpeningBalanceTranItem</v>
      </c>
      <c r="BB4" s="26" t="str">
        <f>IFERROR(__xludf.DUMMYFUNCTION("""COMPUTED_VALUE"""),"VerifyDailyCalTransactions")</f>
        <v>VerifyDailyCalTransactions</v>
      </c>
      <c r="BC4" s="26" t="str">
        <f>IFERROR(__xludf.DUMMYFUNCTION("""COMPUTED_VALUE"""),"CloseGeneralLedger")</f>
        <v>CloseGeneralLedger</v>
      </c>
      <c r="BD4" s="26" t="str">
        <f>IFERROR(__xludf.DUMMYFUNCTION("""COMPUTED_VALUE"""),"VerifyAccountDetails")</f>
        <v>VerifyAccountDetails</v>
      </c>
      <c r="BE4" s="26" t="str">
        <f>IFERROR(__xludf.DUMMYFUNCTION("""COMPUTED_VALUE"""),"SaveTransaction")</f>
        <v>SaveTransaction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IFERROR(__xludf.DUMMYFUNCTION("""COMPUTED_VALUE"""),"Date Type")</f>
        <v>Date Type</v>
      </c>
      <c r="D5" s="28" t="str">
        <f>IFERROR(__xludf.DUMMYFUNCTION("""COMPUTED_VALUE"""),"From Date")</f>
        <v>From Date</v>
      </c>
      <c r="E5" s="28" t="str">
        <f>IFERROR(__xludf.DUMMYFUNCTION("""COMPUTED_VALUE"""),"To Date")</f>
        <v>To Date</v>
      </c>
      <c r="F5" s="29" t="str">
        <f>IFERROR(__xludf.DUMMYFUNCTION("""COMPUTED_VALUE"""),"Symbol")</f>
        <v>Symbol</v>
      </c>
      <c r="G5" s="28" t="str">
        <f>IFERROR(__xludf.DUMMYFUNCTION("""COMPUTED_VALUE"""),"Contains")</f>
        <v>Contains</v>
      </c>
      <c r="H5" s="28" t="str">
        <f>IFERROR(__xludf.DUMMYFUNCTION("""COMPUTED_VALUE"""),"Exact")</f>
        <v>Exact</v>
      </c>
      <c r="I5" s="28" t="str">
        <f>IFERROR(__xludf.DUMMYFUNCTION("""COMPUTED_VALUE"""),"Starts With")</f>
        <v>Starts With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0"/>
      <c r="B6" s="34" t="s">
        <v>22</v>
      </c>
      <c r="C6" s="34"/>
      <c r="D6" s="41">
        <f>today()-3</f>
        <v>45851</v>
      </c>
      <c r="E6" s="41">
        <f>today()</f>
        <v>45854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GetCashTransaction!$4:$4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IFERROR(__xludf.DUMMYFUNCTION("""COMPUTED_VALUE"""),"RunManualRevaluation")</f>
        <v>RunManualRevaluation</v>
      </c>
      <c r="J4" s="25" t="str">
        <f>IFERROR(__xludf.DUMMYFUNCTION("""COMPUTED_VALUE"""),"SaveCashTransaction")</f>
        <v>SaveCashTransaction</v>
      </c>
      <c r="K4" s="25" t="str">
        <f>IFERROR(__xludf.DUMMYFUNCTION("""COMPUTED_VALUE"""),"EditGridCashTransactions")</f>
        <v>EditGridCashTransactions</v>
      </c>
      <c r="L4" s="25" t="str">
        <f>IFERROR(__xludf.DUMMYFUNCTION("""COMPUTED_VALUE"""),"FilterCashTransactionGrid")</f>
        <v>FilterCashTransactionGrid</v>
      </c>
      <c r="M4" s="25" t="str">
        <f>IFERROR(__xludf.DUMMYFUNCTION("""COMPUTED_VALUE"""),"GetTradingTransaction")</f>
        <v>GetTradingTransaction</v>
      </c>
      <c r="N4" s="25" t="str">
        <f>IFERROR(__xludf.DUMMYFUNCTION("""COMPUTED_VALUE"""),"GetActivityData")</f>
        <v>GetActivityData</v>
      </c>
      <c r="O4" s="25" t="str">
        <f>IFERROR(__xludf.DUMMYFUNCTION("""COMPUTED_VALUE"""),"GetRevaluationData")</f>
        <v>GetRevaluationData</v>
      </c>
      <c r="P4" s="26" t="str">
        <f>IFERROR(__xludf.DUMMYFUNCTION("""COMPUTED_VALUE"""),"GetAccountDetails")</f>
        <v>GetAccountDetails</v>
      </c>
      <c r="Q4" s="26" t="str">
        <f>IFERROR(__xludf.DUMMYFUNCTION("""COMPUTED_VALUE"""),"GetNonTradingTransaction")</f>
        <v>GetNonTradingTransaction</v>
      </c>
      <c r="R4" s="26" t="str">
        <f>IFERROR(__xludf.DUMMYFUNCTION("""COMPUTED_VALUE"""),"GetDividendData")</f>
        <v>GetDividendData</v>
      </c>
      <c r="S4" s="26" t="str">
        <f>IFERROR(__xludf.DUMMYFUNCTION("""COMPUTED_VALUE"""),"VerifyNonTradingTransaction")</f>
        <v>VerifyNonTradingTransaction</v>
      </c>
      <c r="T4" s="26" t="str">
        <f>IFERROR(__xludf.DUMMYFUNCTION("""COMPUTED_VALUE"""),"VerifyDividend")</f>
        <v>VerifyDividend</v>
      </c>
      <c r="U4" s="26" t="str">
        <f>IFERROR(__xludf.DUMMYFUNCTION("""COMPUTED_VALUE"""),"GetOpeningBalanceData")</f>
        <v>GetOpeningBalanceData</v>
      </c>
      <c r="V4" s="26" t="str">
        <f>IFERROR(__xludf.DUMMYFUNCTION("""COMPUTED_VALUE"""),"GetAccountBalance")</f>
        <v>GetAccountBalance</v>
      </c>
      <c r="W4" s="26" t="str">
        <f>IFERROR(__xludf.DUMMYFUNCTION("""COMPUTED_VALUE"""),"SelectNonTradingTransaction")</f>
        <v>SelectNonTradingTransaction</v>
      </c>
      <c r="X4" s="26" t="str">
        <f>IFERROR(__xludf.DUMMYFUNCTION("""COMPUTED_VALUE"""),"SelectNonTradingTranItem")</f>
        <v>SelectNonTradingTranItem</v>
      </c>
      <c r="Y4" s="26" t="str">
        <f>IFERROR(__xludf.DUMMYFUNCTION("""COMPUTED_VALUE"""),"DeleteNonTradingTransaction")</f>
        <v>DeleteNonTradingTransaction</v>
      </c>
      <c r="Z4" s="26" t="str">
        <f>IFERROR(__xludf.DUMMYFUNCTION("""COMPUTED_VALUE"""),"DeleteNonTradingTranItem")</f>
        <v>DeleteNonTradingTranItem</v>
      </c>
      <c r="AA4" s="26" t="str">
        <f>IFERROR(__xludf.DUMMYFUNCTION("""COMPUTED_VALUE"""),"AddNonTradingTransaction")</f>
        <v>AddNonTradingTransaction</v>
      </c>
      <c r="AB4" s="26" t="str">
        <f>IFERROR(__xludf.DUMMYFUNCTION("""COMPUTED_VALUE"""),"AddNonTradingTranItem")</f>
        <v>AddNonTradingTranItem</v>
      </c>
      <c r="AC4" s="26" t="str">
        <f>IFERROR(__xludf.DUMMYFUNCTION("""COMPUTED_VALUE"""),"VerifyOpeningBalanceData")</f>
        <v>VerifyOpeningBalanceData</v>
      </c>
      <c r="AD4" s="26" t="str">
        <f>IFERROR(__xludf.DUMMYFUNCTION("""COMPUTED_VALUE"""),"SelectOpeningBalanceTransaction")</f>
        <v>SelectOpeningBalanceTransaction</v>
      </c>
      <c r="AE4" s="26" t="str">
        <f>IFERROR(__xludf.DUMMYFUNCTION("""COMPUTED_VALUE"""),"SelectOpeningBalanceTranItem")</f>
        <v>SelectOpeningBalanceTranItem</v>
      </c>
      <c r="AF4" s="26" t="str">
        <f>IFERROR(__xludf.DUMMYFUNCTION("""COMPUTED_VALUE"""),"EditNonTradingTransaction")</f>
        <v>EditNonTradingTransaction</v>
      </c>
      <c r="AG4" s="26" t="str">
        <f>IFERROR(__xludf.DUMMYFUNCTION("""COMPUTED_VALUE"""),"EditNonTradingTranItem")</f>
        <v>EditNonTradingTranItem</v>
      </c>
      <c r="AH4" s="26" t="str">
        <f>IFERROR(__xludf.DUMMYFUNCTION("""COMPUTED_VALUE"""),"DeleteOpeningBalanceTransaction")</f>
        <v>DeleteOpeningBalanceTransaction</v>
      </c>
      <c r="AI4" s="26" t="str">
        <f>IFERROR(__xludf.DUMMYFUNCTION("""COMPUTED_VALUE"""),"DeleteOpeningBalanceTranItem")</f>
        <v>DeleteOpeningBalanceTranItem</v>
      </c>
      <c r="AJ4" s="26" t="str">
        <f>IFERROR(__xludf.DUMMYFUNCTION("""COMPUTED_VALUE"""),"GetDayEndCash")</f>
        <v>GetDayEndCash</v>
      </c>
      <c r="AK4" s="26" t="str">
        <f>IFERROR(__xludf.DUMMYFUNCTION("""COMPUTED_VALUE"""),"VerifyDayEndCash")</f>
        <v>VerifyDayEndCash</v>
      </c>
      <c r="AL4" s="26" t="str">
        <f>IFERROR(__xludf.DUMMYFUNCTION("""COMPUTED_VALUE"""),"RunRevaluation")</f>
        <v>RunRevaluation</v>
      </c>
      <c r="AM4" s="26" t="str">
        <f>IFERROR(__xludf.DUMMYFUNCTION("""COMPUTED_VALUE"""),"CalculateDayEndCash")</f>
        <v>CalculateDayEndCash</v>
      </c>
      <c r="AN4" s="26" t="str">
        <f>IFERROR(__xludf.DUMMYFUNCTION("""COMPUTED_VALUE"""),"AddMultipleOpeningBalTranItem")</f>
        <v>AddMultipleOpeningBalTranItem</v>
      </c>
      <c r="AO4" s="26" t="str">
        <f>IFERROR(__xludf.DUMMYFUNCTION("""COMPUTED_VALUE"""),"VerifyAccountBalances")</f>
        <v>VerifyAccountBalances</v>
      </c>
      <c r="AP4" s="26" t="str">
        <f>IFERROR(__xludf.DUMMYFUNCTION("""COMPUTED_VALUE"""),"GetCashTransaction")</f>
        <v>GetCashTransaction</v>
      </c>
      <c r="AQ4" s="26" t="str">
        <f>IFERROR(__xludf.DUMMYFUNCTION("""COMPUTED_VALUE"""),"SelectCashTransaction")</f>
        <v>SelectCashTransaction</v>
      </c>
      <c r="AR4" s="26" t="str">
        <f>IFERROR(__xludf.DUMMYFUNCTION("""COMPUTED_VALUE"""),"DeleteCashTransaction")</f>
        <v>DeleteCashTransaction</v>
      </c>
      <c r="AS4" s="26" t="str">
        <f>IFERROR(__xludf.DUMMYFUNCTION("""COMPUTED_VALUE"""),"EditCashTransaction")</f>
        <v>EditCashTransaction</v>
      </c>
      <c r="AT4" s="26" t="str">
        <f>IFERROR(__xludf.DUMMYFUNCTION("""COMPUTED_VALUE"""),"AddCashTransaction")</f>
        <v>AddCashTransaction</v>
      </c>
      <c r="AU4" s="26" t="str">
        <f>IFERROR(__xludf.DUMMYFUNCTION("""COMPUTED_VALUE"""),"VerifyCashTransaction")</f>
        <v>VerifyCashTransaction</v>
      </c>
      <c r="AV4" s="26" t="str">
        <f>IFERROR(__xludf.DUMMYFUNCTION("""COMPUTED_VALUE"""),"AddOpeningBalanceTransaction")</f>
        <v>AddOpeningBalanceTransaction</v>
      </c>
      <c r="AW4" s="26" t="str">
        <f>IFERROR(__xludf.DUMMYFUNCTION("""COMPUTED_VALUE"""),"AddOpeningBalanceTranItem")</f>
        <v>AddOpeningBalanceTranItem</v>
      </c>
      <c r="AX4" s="26" t="str">
        <f>IFERROR(__xludf.DUMMYFUNCTION("""COMPUTED_VALUE"""),"GetDailyCalculationsData")</f>
        <v>GetDailyCalculationsData</v>
      </c>
      <c r="AY4" s="26" t="str">
        <f>IFERROR(__xludf.DUMMYFUNCTION("""COMPUTED_VALUE"""),"CalculateDailyCalculations")</f>
        <v>CalculateDailyCalculations</v>
      </c>
      <c r="AZ4" s="26" t="str">
        <f>IFERROR(__xludf.DUMMYFUNCTION("""COMPUTED_VALUE"""),"EditOpeningBalanceTransaction")</f>
        <v>EditOpeningBalanceTransaction</v>
      </c>
      <c r="BA4" s="26" t="str">
        <f>IFERROR(__xludf.DUMMYFUNCTION("""COMPUTED_VALUE"""),"EditOpeningBalanceTranItem")</f>
        <v>EditOpeningBalanceTranItem</v>
      </c>
      <c r="BB4" s="26" t="str">
        <f>IFERROR(__xludf.DUMMYFUNCTION("""COMPUTED_VALUE"""),"VerifyDailyCalTransactions")</f>
        <v>VerifyDailyCalTransactions</v>
      </c>
      <c r="BC4" s="26" t="str">
        <f>IFERROR(__xludf.DUMMYFUNCTION("""COMPUTED_VALUE"""),"CloseGeneralLedger")</f>
        <v>CloseGeneralLedger</v>
      </c>
      <c r="BD4" s="26" t="str">
        <f>IFERROR(__xludf.DUMMYFUNCTION("""COMPUTED_VALUE"""),"VerifyAccountDetails")</f>
        <v>VerifyAccountDetails</v>
      </c>
      <c r="BE4" s="26" t="str">
        <f>IFERROR(__xludf.DUMMYFUNCTION("""COMPUTED_VALUE"""),"SaveTransaction")</f>
        <v>SaveTransaction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 t="str">
        <f>IFERROR(__xludf.DUMMYFUNCTION("""COMPUTED_VALUE"""),"Accounts")</f>
        <v>Accounts</v>
      </c>
      <c r="D5" s="28" t="str">
        <f>IFERROR(__xludf.DUMMYFUNCTION("""COMPUTED_VALUE"""),"Balances as on date")</f>
        <v>Balances as on date</v>
      </c>
      <c r="E5" s="28" t="str">
        <f>IFERROR(__xludf.DUMMYFUNCTION("""COMPUTED_VALUE"""),"IsRunRevalOnGetAccountBalances")</f>
        <v>IsRunRevalOnGetAccountBalances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50"/>
      <c r="C6" s="34" t="s">
        <v>22</v>
      </c>
      <c r="D6" s="41">
        <f>today()</f>
        <v>45854</v>
      </c>
      <c r="E6" s="60" t="b">
        <v>1</v>
      </c>
      <c r="F6" s="34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IFERROR(__xludf.DUMMYFUNCTION("""COMPUTED_VALUE"""),"RunManualRevaluation")</f>
        <v>RunManualRevaluation</v>
      </c>
      <c r="J4" s="25" t="str">
        <f>IFERROR(__xludf.DUMMYFUNCTION("""COMPUTED_VALUE"""),"SaveCashTransaction")</f>
        <v>SaveCashTransaction</v>
      </c>
      <c r="K4" s="25" t="str">
        <f>IFERROR(__xludf.DUMMYFUNCTION("""COMPUTED_VALUE"""),"EditGridCashTransactions")</f>
        <v>EditGridCashTransactions</v>
      </c>
      <c r="L4" s="25" t="str">
        <f>IFERROR(__xludf.DUMMYFUNCTION("""COMPUTED_VALUE"""),"FilterCashTransactionGrid")</f>
        <v>FilterCashTransactionGrid</v>
      </c>
      <c r="M4" s="25" t="str">
        <f>IFERROR(__xludf.DUMMYFUNCTION("""COMPUTED_VALUE"""),"GetTradingTransaction")</f>
        <v>GetTradingTransaction</v>
      </c>
      <c r="N4" s="25" t="str">
        <f>IFERROR(__xludf.DUMMYFUNCTION("""COMPUTED_VALUE"""),"GetActivityData")</f>
        <v>GetActivityData</v>
      </c>
      <c r="O4" s="25" t="str">
        <f>IFERROR(__xludf.DUMMYFUNCTION("""COMPUTED_VALUE"""),"GetRevaluationData")</f>
        <v>GetRevaluationData</v>
      </c>
      <c r="P4" s="26" t="str">
        <f>IFERROR(__xludf.DUMMYFUNCTION("""COMPUTED_VALUE"""),"GetAccountDetails")</f>
        <v>GetAccountDetails</v>
      </c>
      <c r="Q4" s="26" t="str">
        <f>IFERROR(__xludf.DUMMYFUNCTION("""COMPUTED_VALUE"""),"GetNonTradingTransaction")</f>
        <v>GetNonTradingTransaction</v>
      </c>
      <c r="R4" s="26" t="str">
        <f>IFERROR(__xludf.DUMMYFUNCTION("""COMPUTED_VALUE"""),"GetDividendData")</f>
        <v>GetDividendData</v>
      </c>
      <c r="S4" s="26" t="str">
        <f>IFERROR(__xludf.DUMMYFUNCTION("""COMPUTED_VALUE"""),"VerifyNonTradingTransaction")</f>
        <v>VerifyNonTradingTransaction</v>
      </c>
      <c r="T4" s="26" t="str">
        <f>IFERROR(__xludf.DUMMYFUNCTION("""COMPUTED_VALUE"""),"VerifyDividend")</f>
        <v>VerifyDividend</v>
      </c>
      <c r="U4" s="26" t="str">
        <f>IFERROR(__xludf.DUMMYFUNCTION("""COMPUTED_VALUE"""),"GetOpeningBalanceData")</f>
        <v>GetOpeningBalanceData</v>
      </c>
      <c r="V4" s="26" t="str">
        <f>IFERROR(__xludf.DUMMYFUNCTION("""COMPUTED_VALUE"""),"GetAccountBalance")</f>
        <v>GetAccountBalance</v>
      </c>
      <c r="W4" s="26" t="str">
        <f>IFERROR(__xludf.DUMMYFUNCTION("""COMPUTED_VALUE"""),"SelectNonTradingTransaction")</f>
        <v>SelectNonTradingTransaction</v>
      </c>
      <c r="X4" s="26" t="str">
        <f>IFERROR(__xludf.DUMMYFUNCTION("""COMPUTED_VALUE"""),"SelectNonTradingTranItem")</f>
        <v>SelectNonTradingTranItem</v>
      </c>
      <c r="Y4" s="26" t="str">
        <f>IFERROR(__xludf.DUMMYFUNCTION("""COMPUTED_VALUE"""),"DeleteNonTradingTransaction")</f>
        <v>DeleteNonTradingTransaction</v>
      </c>
      <c r="Z4" s="26" t="str">
        <f>IFERROR(__xludf.DUMMYFUNCTION("""COMPUTED_VALUE"""),"DeleteNonTradingTranItem")</f>
        <v>DeleteNonTradingTranItem</v>
      </c>
      <c r="AA4" s="26" t="str">
        <f>IFERROR(__xludf.DUMMYFUNCTION("""COMPUTED_VALUE"""),"AddNonTradingTransaction")</f>
        <v>AddNonTradingTransaction</v>
      </c>
      <c r="AB4" s="26" t="str">
        <f>IFERROR(__xludf.DUMMYFUNCTION("""COMPUTED_VALUE"""),"AddNonTradingTranItem")</f>
        <v>AddNonTradingTranItem</v>
      </c>
      <c r="AC4" s="26" t="str">
        <f>IFERROR(__xludf.DUMMYFUNCTION("""COMPUTED_VALUE"""),"VerifyOpeningBalanceData")</f>
        <v>VerifyOpeningBalanceData</v>
      </c>
      <c r="AD4" s="26" t="str">
        <f>IFERROR(__xludf.DUMMYFUNCTION("""COMPUTED_VALUE"""),"SelectOpeningBalanceTransaction")</f>
        <v>SelectOpeningBalanceTransaction</v>
      </c>
      <c r="AE4" s="26" t="str">
        <f>IFERROR(__xludf.DUMMYFUNCTION("""COMPUTED_VALUE"""),"SelectOpeningBalanceTranItem")</f>
        <v>SelectOpeningBalanceTranItem</v>
      </c>
      <c r="AF4" s="26" t="str">
        <f>IFERROR(__xludf.DUMMYFUNCTION("""COMPUTED_VALUE"""),"EditNonTradingTransaction")</f>
        <v>EditNonTradingTransaction</v>
      </c>
      <c r="AG4" s="26" t="str">
        <f>IFERROR(__xludf.DUMMYFUNCTION("""COMPUTED_VALUE"""),"EditNonTradingTranItem")</f>
        <v>EditNonTradingTranItem</v>
      </c>
      <c r="AH4" s="26" t="str">
        <f>IFERROR(__xludf.DUMMYFUNCTION("""COMPUTED_VALUE"""),"DeleteOpeningBalanceTransaction")</f>
        <v>DeleteOpeningBalanceTransaction</v>
      </c>
      <c r="AI4" s="26" t="str">
        <f>IFERROR(__xludf.DUMMYFUNCTION("""COMPUTED_VALUE"""),"DeleteOpeningBalanceTranItem")</f>
        <v>DeleteOpeningBalanceTranItem</v>
      </c>
      <c r="AJ4" s="26" t="str">
        <f>IFERROR(__xludf.DUMMYFUNCTION("""COMPUTED_VALUE"""),"GetDayEndCash")</f>
        <v>GetDayEndCash</v>
      </c>
      <c r="AK4" s="26" t="str">
        <f>IFERROR(__xludf.DUMMYFUNCTION("""COMPUTED_VALUE"""),"VerifyDayEndCash")</f>
        <v>VerifyDayEndCash</v>
      </c>
      <c r="AL4" s="26" t="str">
        <f>IFERROR(__xludf.DUMMYFUNCTION("""COMPUTED_VALUE"""),"RunRevaluation")</f>
        <v>RunRevaluation</v>
      </c>
      <c r="AM4" s="26" t="str">
        <f>IFERROR(__xludf.DUMMYFUNCTION("""COMPUTED_VALUE"""),"CalculateDayEndCash")</f>
        <v>CalculateDayEndCash</v>
      </c>
      <c r="AN4" s="26" t="str">
        <f>IFERROR(__xludf.DUMMYFUNCTION("""COMPUTED_VALUE"""),"AddMultipleOpeningBalTranItem")</f>
        <v>AddMultipleOpeningBalTranItem</v>
      </c>
      <c r="AO4" s="26" t="str">
        <f>IFERROR(__xludf.DUMMYFUNCTION("""COMPUTED_VALUE"""),"VerifyAccountBalances")</f>
        <v>VerifyAccountBalances</v>
      </c>
      <c r="AP4" s="26" t="str">
        <f>IFERROR(__xludf.DUMMYFUNCTION("""COMPUTED_VALUE"""),"GetCashTransaction")</f>
        <v>GetCashTransaction</v>
      </c>
      <c r="AQ4" s="26" t="str">
        <f>IFERROR(__xludf.DUMMYFUNCTION("""COMPUTED_VALUE"""),"SelectCashTransaction")</f>
        <v>SelectCashTransaction</v>
      </c>
      <c r="AR4" s="26" t="str">
        <f>IFERROR(__xludf.DUMMYFUNCTION("""COMPUTED_VALUE"""),"DeleteCashTransaction")</f>
        <v>DeleteCashTransaction</v>
      </c>
      <c r="AS4" s="26" t="str">
        <f>IFERROR(__xludf.DUMMYFUNCTION("""COMPUTED_VALUE"""),"EditCashTransaction")</f>
        <v>EditCashTransaction</v>
      </c>
      <c r="AT4" s="26" t="str">
        <f>IFERROR(__xludf.DUMMYFUNCTION("""COMPUTED_VALUE"""),"AddCashTransaction")</f>
        <v>AddCashTransaction</v>
      </c>
      <c r="AU4" s="26" t="str">
        <f>IFERROR(__xludf.DUMMYFUNCTION("""COMPUTED_VALUE"""),"VerifyCashTransaction")</f>
        <v>VerifyCashTransaction</v>
      </c>
      <c r="AV4" s="26" t="str">
        <f>IFERROR(__xludf.DUMMYFUNCTION("""COMPUTED_VALUE"""),"AddOpeningBalanceTransaction")</f>
        <v>AddOpeningBalanceTransaction</v>
      </c>
      <c r="AW4" s="26" t="str">
        <f>IFERROR(__xludf.DUMMYFUNCTION("""COMPUTED_VALUE"""),"AddOpeningBalanceTranItem")</f>
        <v>AddOpeningBalanceTranItem</v>
      </c>
      <c r="AX4" s="26" t="str">
        <f>IFERROR(__xludf.DUMMYFUNCTION("""COMPUTED_VALUE"""),"GetDailyCalculationsData")</f>
        <v>GetDailyCalculationsData</v>
      </c>
      <c r="AY4" s="26" t="str">
        <f>IFERROR(__xludf.DUMMYFUNCTION("""COMPUTED_VALUE"""),"CalculateDailyCalculations")</f>
        <v>CalculateDailyCalculations</v>
      </c>
      <c r="AZ4" s="26" t="str">
        <f>IFERROR(__xludf.DUMMYFUNCTION("""COMPUTED_VALUE"""),"EditOpeningBalanceTransaction")</f>
        <v>EditOpeningBalanceTransaction</v>
      </c>
      <c r="BA4" s="26" t="str">
        <f>IFERROR(__xludf.DUMMYFUNCTION("""COMPUTED_VALUE"""),"EditOpeningBalanceTranItem")</f>
        <v>EditOpeningBalanceTranItem</v>
      </c>
      <c r="BB4" s="26" t="str">
        <f>IFERROR(__xludf.DUMMYFUNCTION("""COMPUTED_VALUE"""),"VerifyDailyCalTransactions")</f>
        <v>VerifyDailyCalTransactions</v>
      </c>
      <c r="BC4" s="26" t="str">
        <f>IFERROR(__xludf.DUMMYFUNCTION("""COMPUTED_VALUE"""),"CloseGeneralLedger")</f>
        <v>CloseGeneralLedger</v>
      </c>
      <c r="BD4" s="26" t="str">
        <f>IFERROR(__xludf.DUMMYFUNCTION("""COMPUTED_VALUE"""),"VerifyAccountDetails")</f>
        <v>VerifyAccountDetails</v>
      </c>
      <c r="BE4" s="26" t="str">
        <f>IFERROR(__xludf.DUMMYFUNCTION("""COMPUTED_VALUE"""),"SaveTransaction")</f>
        <v>SaveTransaction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IFERROR(__xludf.DUMMYFUNCTION("""COMPUTED_VALUE"""),"CashTransactionId")</f>
        <v>CashTransactionId</v>
      </c>
      <c r="C5" s="28" t="str">
        <f>IFERROR(__xludf.DUMMYFUNCTION("""COMPUTED_VALUE"""),"Activity Type")</f>
        <v>Activity Type</v>
      </c>
      <c r="D5" s="28" t="str">
        <f>IFERROR(__xludf.DUMMYFUNCTION("""COMPUTED_VALUE"""),"Symbol")</f>
        <v>Symbol</v>
      </c>
      <c r="E5" s="28" t="str">
        <f>IFERROR(__xludf.DUMMYFUNCTION("""COMPUTED_VALUE"""),"Strategy")</f>
        <v>Strategy</v>
      </c>
      <c r="F5" s="29" t="str">
        <f>IFERROR(__xludf.DUMMYFUNCTION("""COMPUTED_VALUE"""),"Account")</f>
        <v>Account</v>
      </c>
      <c r="G5" s="28" t="str">
        <f>IFERROR(__xludf.DUMMYFUNCTION("""COMPUTED_VALUE"""),"Currency")</f>
        <v>Currency</v>
      </c>
      <c r="H5" s="28" t="str">
        <f>IFERROR(__xludf.DUMMYFUNCTION("""COMPUTED_VALUE"""),"Amount")</f>
        <v>Amount</v>
      </c>
      <c r="I5" s="28" t="str">
        <f>IFERROR(__xludf.DUMMYFUNCTION("""COMPUTED_VALUE"""),"Ex Date")</f>
        <v>Ex Date</v>
      </c>
      <c r="J5" s="28" t="str">
        <f>IFERROR(__xludf.DUMMYFUNCTION("""COMPUTED_VALUE"""),"Payout Date")</f>
        <v>Payout Date</v>
      </c>
      <c r="K5" s="28" t="str">
        <f>IFERROR(__xludf.DUMMYFUNCTION("""COMPUTED_VALUE"""),"Record Date")</f>
        <v>Record Date</v>
      </c>
      <c r="L5" s="28" t="str">
        <f>IFERROR(__xludf.DUMMYFUNCTION("""COMPUTED_VALUE"""),"Declaration Date")</f>
        <v>Declaration Date</v>
      </c>
      <c r="M5" s="28" t="str">
        <f>IFERROR(__xludf.DUMMYFUNCTION("""COMPUTED_VALUE"""),"Description")</f>
        <v>Description</v>
      </c>
      <c r="N5" s="28" t="str">
        <f>IFERROR(__xludf.DUMMYFUNCTION("""COMPUTED_VALUE"""),"Other Currency")</f>
        <v>Other Currency</v>
      </c>
      <c r="O5" s="28" t="str">
        <f>IFERROR(__xludf.DUMMYFUNCTION("""COMPUTED_VALUE"""),"FXRate")</f>
        <v>FXRate</v>
      </c>
      <c r="P5" s="28" t="str">
        <f>IFERROR(__xludf.DUMMYFUNCTION("""COMPUTED_VALUE"""),"FXConversionMethodOperator")</f>
        <v>FXConversionMethodOperator</v>
      </c>
      <c r="Q5" s="28" t="str">
        <f>IFERROR(__xludf.DUMMYFUNCTION("""COMPUTED_VALUE"""),"Transaction Source")</f>
        <v>Transaction Source</v>
      </c>
      <c r="R5" s="28" t="str">
        <f>IFERROR(__xludf.DUMMYFUNCTION("""COMPUTED_VALUE"""),"Entry Date")</f>
        <v>Entry Date</v>
      </c>
      <c r="S5" s="28" t="str">
        <f>IFERROR(__xludf.DUMMYFUNCTION("""COMPUTED_VALUE"""),"Modify Date")</f>
        <v>Modify Date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/>
      <c r="C6" s="34" t="s">
        <v>54</v>
      </c>
      <c r="D6" s="34" t="s">
        <v>20</v>
      </c>
      <c r="E6" s="34"/>
      <c r="F6" s="34" t="s">
        <v>22</v>
      </c>
      <c r="G6" s="34" t="s">
        <v>36</v>
      </c>
      <c r="H6" s="61">
        <v>100000.0</v>
      </c>
      <c r="I6" s="62">
        <f>today()-2</f>
        <v>45852</v>
      </c>
      <c r="J6" s="62">
        <f>today()+8</f>
        <v>45862</v>
      </c>
      <c r="K6" s="62"/>
      <c r="L6" s="62"/>
      <c r="M6" s="34"/>
      <c r="N6" s="34"/>
      <c r="O6" s="34"/>
      <c r="P6" s="34"/>
      <c r="Q6" s="34"/>
      <c r="R6" s="34"/>
      <c r="S6" s="34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AddCashTransaction!$4:$4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57</v>
      </c>
      <c r="C6" s="34" t="s">
        <v>58</v>
      </c>
      <c r="D6" s="34" t="s">
        <v>59</v>
      </c>
      <c r="E6" s="34" t="s">
        <v>60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IFERROR(__xludf.DUMMYFUNCTION("""COMPUTED_VALUE"""),"AllowTrade")</f>
        <v>AllowTrade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22</v>
      </c>
      <c r="C6" s="13" t="s">
        <v>21</v>
      </c>
      <c r="D6" s="13" t="s">
        <v>20</v>
      </c>
      <c r="E6" s="13">
        <v>193.0</v>
      </c>
      <c r="F6" s="13">
        <v>10.0</v>
      </c>
      <c r="G6" s="63">
        <v>1930.0</v>
      </c>
      <c r="H6" s="8"/>
      <c r="I6" s="13" t="s">
        <v>62</v>
      </c>
      <c r="J6" s="8"/>
      <c r="K6" s="8"/>
      <c r="L6" s="8"/>
      <c r="M6" s="8"/>
      <c r="N6" s="8"/>
      <c r="O6" s="8"/>
    </row>
    <row r="7" ht="15.75" customHeight="1">
      <c r="A7" s="8"/>
      <c r="B7" s="13" t="s">
        <v>22</v>
      </c>
      <c r="C7" s="13" t="s">
        <v>21</v>
      </c>
      <c r="D7" s="13" t="s">
        <v>23</v>
      </c>
      <c r="E7" s="13">
        <v>193.0</v>
      </c>
      <c r="F7" s="13">
        <v>10.0</v>
      </c>
      <c r="G7" s="63">
        <v>1608.0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22</v>
      </c>
      <c r="C8" s="13" t="s">
        <v>21</v>
      </c>
      <c r="D8" s="13" t="s">
        <v>25</v>
      </c>
      <c r="E8" s="13">
        <v>193.0</v>
      </c>
      <c r="F8" s="13">
        <v>10.0</v>
      </c>
      <c r="G8" s="63">
        <v>1930.0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22</v>
      </c>
      <c r="C9" s="13" t="s">
        <v>21</v>
      </c>
      <c r="D9" s="13">
        <v>1.23456789E8</v>
      </c>
      <c r="E9" s="13">
        <v>193.0</v>
      </c>
      <c r="F9" s="13">
        <v>10.0</v>
      </c>
      <c r="G9" s="63">
        <v>19.0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22</v>
      </c>
      <c r="C10" s="13" t="s">
        <v>21</v>
      </c>
      <c r="D10" s="13" t="s">
        <v>24</v>
      </c>
      <c r="E10" s="13">
        <v>193.0</v>
      </c>
      <c r="F10" s="13">
        <v>10.0</v>
      </c>
      <c r="G10" s="63">
        <v>1930.0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SendToStagingExport!$4:$4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IFERROR(__xludf.DUMMYFUNCTION("""COMPUTED_VALUE"""),"Testing Type")</f>
        <v>Testing Type</v>
      </c>
      <c r="K5" s="28" t="str">
        <f>IFERROR(__xludf.DUMMYFUNCTION("""COMPUTED_VALUE"""),"Testing Column")</f>
        <v>Testing Column</v>
      </c>
      <c r="L5" s="28" t="str">
        <f>IFERROR(__xludf.DUMMYFUNCTION("""COMPUTED_VALUE"""),"Testing Col Value")</f>
        <v>Testing Col Value</v>
      </c>
      <c r="M5" s="28" t="str">
        <f>IFERROR(__xludf.DUMMYFUNCTION("""COMPUTED_VALUE"""),"DuplicateCountOnUI")</f>
        <v>DuplicateCountOnUI</v>
      </c>
      <c r="N5" s="28" t="str">
        <f>IFERROR(__xludf.DUMMYFUNCTION("""COMPUTED_VALUE"""),"DuplicateRow")</f>
        <v>DuplicateRow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64</v>
      </c>
      <c r="C6" s="13" t="s">
        <v>65</v>
      </c>
      <c r="D6" s="13" t="s">
        <v>66</v>
      </c>
      <c r="E6" s="13">
        <v>1.23456789E8</v>
      </c>
      <c r="F6" s="13" t="s">
        <v>67</v>
      </c>
      <c r="G6" s="13" t="s">
        <v>67</v>
      </c>
      <c r="H6" s="13" t="s">
        <v>68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64</v>
      </c>
      <c r="C7" s="13" t="s">
        <v>65</v>
      </c>
      <c r="D7" s="13" t="s">
        <v>66</v>
      </c>
      <c r="E7" s="13" t="s">
        <v>25</v>
      </c>
      <c r="F7" s="13" t="s">
        <v>67</v>
      </c>
      <c r="G7" s="13" t="s">
        <v>67</v>
      </c>
      <c r="H7" s="13" t="s">
        <v>69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64</v>
      </c>
      <c r="C8" s="13" t="s">
        <v>65</v>
      </c>
      <c r="D8" s="13" t="s">
        <v>66</v>
      </c>
      <c r="E8" s="13" t="s">
        <v>20</v>
      </c>
      <c r="F8" s="13" t="s">
        <v>67</v>
      </c>
      <c r="G8" s="13" t="s">
        <v>67</v>
      </c>
      <c r="H8" s="13" t="s">
        <v>70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64</v>
      </c>
      <c r="C9" s="13" t="s">
        <v>65</v>
      </c>
      <c r="D9" s="13" t="s">
        <v>66</v>
      </c>
      <c r="E9" s="13" t="s">
        <v>23</v>
      </c>
      <c r="F9" s="13" t="s">
        <v>67</v>
      </c>
      <c r="G9" s="13" t="s">
        <v>67</v>
      </c>
      <c r="H9" s="13" t="s">
        <v>71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64</v>
      </c>
      <c r="C10" s="13" t="s">
        <v>65</v>
      </c>
      <c r="D10" s="13" t="s">
        <v>66</v>
      </c>
      <c r="E10" s="13" t="s">
        <v>24</v>
      </c>
      <c r="F10" s="13" t="s">
        <v>67</v>
      </c>
      <c r="G10" s="13" t="s">
        <v>67</v>
      </c>
      <c r="H10" s="13" t="s">
        <v>72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64</v>
      </c>
      <c r="C11" s="13" t="s">
        <v>73</v>
      </c>
      <c r="D11" s="13" t="s">
        <v>74</v>
      </c>
      <c r="E11" s="13" t="s">
        <v>75</v>
      </c>
      <c r="F11" s="13" t="s">
        <v>67</v>
      </c>
      <c r="G11" s="13" t="s">
        <v>67</v>
      </c>
      <c r="H11" s="13" t="s">
        <v>76</v>
      </c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 t="s">
        <v>64</v>
      </c>
      <c r="C12" s="13" t="s">
        <v>73</v>
      </c>
      <c r="D12" s="13" t="s">
        <v>74</v>
      </c>
      <c r="E12" s="13" t="s">
        <v>77</v>
      </c>
      <c r="F12" s="13" t="s">
        <v>67</v>
      </c>
      <c r="G12" s="13" t="s">
        <v>67</v>
      </c>
      <c r="H12" s="13" t="s">
        <v>78</v>
      </c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 t="s">
        <v>64</v>
      </c>
      <c r="C13" s="13" t="s">
        <v>73</v>
      </c>
      <c r="D13" s="13" t="s">
        <v>74</v>
      </c>
      <c r="E13" s="13" t="s">
        <v>79</v>
      </c>
      <c r="F13" s="13" t="s">
        <v>67</v>
      </c>
      <c r="G13" s="13" t="s">
        <v>67</v>
      </c>
      <c r="H13" s="13" t="s">
        <v>80</v>
      </c>
      <c r="I13" s="8"/>
      <c r="J13" s="8"/>
      <c r="K13" s="8"/>
      <c r="L13" s="8"/>
      <c r="M13" s="8"/>
      <c r="N13" s="8"/>
      <c r="O13" s="8"/>
    </row>
    <row r="14" ht="15.75" customHeight="1">
      <c r="A14" s="8"/>
      <c r="B14" s="13" t="s">
        <v>64</v>
      </c>
      <c r="C14" s="13" t="s">
        <v>73</v>
      </c>
      <c r="D14" s="13" t="s">
        <v>74</v>
      </c>
      <c r="E14" s="13" t="s">
        <v>81</v>
      </c>
      <c r="F14" s="13" t="s">
        <v>67</v>
      </c>
      <c r="G14" s="13" t="s">
        <v>67</v>
      </c>
      <c r="H14" s="13" t="s">
        <v>82</v>
      </c>
      <c r="I14" s="8"/>
      <c r="J14" s="8"/>
      <c r="K14" s="8"/>
      <c r="L14" s="8"/>
      <c r="M14" s="8"/>
      <c r="N14" s="8"/>
      <c r="O14" s="8"/>
    </row>
    <row r="15" ht="15.75" customHeight="1">
      <c r="A15" s="8"/>
      <c r="B15" s="13" t="s">
        <v>64</v>
      </c>
      <c r="C15" s="13" t="s">
        <v>73</v>
      </c>
      <c r="D15" s="13" t="s">
        <v>74</v>
      </c>
      <c r="E15" s="13" t="s">
        <v>83</v>
      </c>
      <c r="F15" s="13" t="s">
        <v>67</v>
      </c>
      <c r="G15" s="13" t="s">
        <v>67</v>
      </c>
      <c r="H15" s="13" t="s">
        <v>84</v>
      </c>
      <c r="I15" s="8"/>
      <c r="J15" s="8"/>
      <c r="K15" s="8"/>
      <c r="L15" s="8"/>
      <c r="M15" s="8"/>
      <c r="N15" s="8"/>
      <c r="O15" s="8"/>
    </row>
    <row r="16" ht="15.75" customHeight="1">
      <c r="A16" s="8"/>
      <c r="B16" s="13" t="s">
        <v>64</v>
      </c>
      <c r="C16" s="13" t="s">
        <v>85</v>
      </c>
      <c r="D16" s="13" t="s">
        <v>86</v>
      </c>
      <c r="E16" s="13" t="s">
        <v>87</v>
      </c>
      <c r="F16" s="13" t="s">
        <v>67</v>
      </c>
      <c r="G16" s="13" t="s">
        <v>67</v>
      </c>
      <c r="H16" s="13" t="s">
        <v>88</v>
      </c>
      <c r="I16" s="8"/>
      <c r="J16" s="8"/>
      <c r="K16" s="8"/>
      <c r="L16" s="8"/>
      <c r="M16" s="8"/>
      <c r="N16" s="8"/>
      <c r="O16" s="8"/>
    </row>
    <row r="17" ht="15.75" customHeight="1">
      <c r="A17" s="8"/>
      <c r="B17" s="13" t="s">
        <v>64</v>
      </c>
      <c r="C17" s="13" t="s">
        <v>85</v>
      </c>
      <c r="D17" s="13" t="s">
        <v>86</v>
      </c>
      <c r="E17" s="13" t="s">
        <v>89</v>
      </c>
      <c r="F17" s="13" t="s">
        <v>67</v>
      </c>
      <c r="G17" s="13" t="s">
        <v>67</v>
      </c>
      <c r="H17" s="13" t="s">
        <v>90</v>
      </c>
      <c r="I17" s="8"/>
      <c r="J17" s="8"/>
      <c r="K17" s="8"/>
      <c r="L17" s="8"/>
      <c r="M17" s="8"/>
      <c r="N17" s="8"/>
      <c r="O17" s="8"/>
    </row>
    <row r="18" ht="15.75" customHeight="1">
      <c r="A18" s="8"/>
      <c r="B18" s="13" t="s">
        <v>64</v>
      </c>
      <c r="C18" s="13" t="s">
        <v>85</v>
      </c>
      <c r="D18" s="13" t="s">
        <v>86</v>
      </c>
      <c r="E18" s="13" t="s">
        <v>91</v>
      </c>
      <c r="F18" s="13" t="s">
        <v>67</v>
      </c>
      <c r="G18" s="13" t="s">
        <v>67</v>
      </c>
      <c r="H18" s="13" t="s">
        <v>92</v>
      </c>
      <c r="I18" s="8"/>
      <c r="J18" s="8"/>
      <c r="K18" s="8"/>
      <c r="L18" s="8"/>
      <c r="M18" s="8"/>
      <c r="N18" s="8"/>
      <c r="O18" s="8"/>
    </row>
    <row r="19" ht="15.75" customHeight="1">
      <c r="A19" s="8"/>
      <c r="B19" s="13" t="s">
        <v>64</v>
      </c>
      <c r="C19" s="13" t="s">
        <v>85</v>
      </c>
      <c r="D19" s="13" t="s">
        <v>86</v>
      </c>
      <c r="E19" s="13" t="s">
        <v>93</v>
      </c>
      <c r="F19" s="13" t="s">
        <v>67</v>
      </c>
      <c r="G19" s="13" t="s">
        <v>67</v>
      </c>
      <c r="H19" s="13" t="s">
        <v>94</v>
      </c>
      <c r="I19" s="8"/>
      <c r="J19" s="8"/>
      <c r="K19" s="8"/>
      <c r="L19" s="8"/>
      <c r="M19" s="8"/>
      <c r="N19" s="8"/>
      <c r="O19" s="8"/>
    </row>
    <row r="20" ht="15.75" customHeight="1">
      <c r="A20" s="8"/>
      <c r="B20" s="13" t="s">
        <v>64</v>
      </c>
      <c r="C20" s="13" t="s">
        <v>85</v>
      </c>
      <c r="D20" s="13" t="s">
        <v>86</v>
      </c>
      <c r="E20" s="13" t="s">
        <v>95</v>
      </c>
      <c r="F20" s="13" t="s">
        <v>67</v>
      </c>
      <c r="G20" s="13" t="s">
        <v>67</v>
      </c>
      <c r="H20" s="13" t="s">
        <v>96</v>
      </c>
      <c r="I20" s="8"/>
      <c r="J20" s="8"/>
      <c r="K20" s="8"/>
      <c r="L20" s="8"/>
      <c r="M20" s="8"/>
      <c r="N20" s="8"/>
      <c r="O20" s="8"/>
    </row>
    <row r="21" ht="15.75" customHeight="1">
      <c r="A21" s="8"/>
      <c r="B21" s="13" t="s">
        <v>64</v>
      </c>
      <c r="C21" s="13" t="s">
        <v>97</v>
      </c>
      <c r="D21" s="13" t="s">
        <v>98</v>
      </c>
      <c r="E21" s="13" t="s">
        <v>23</v>
      </c>
      <c r="F21" s="13" t="s">
        <v>67</v>
      </c>
      <c r="G21" s="13" t="s">
        <v>67</v>
      </c>
      <c r="H21" s="13" t="s">
        <v>99</v>
      </c>
      <c r="I21" s="8"/>
      <c r="J21" s="8"/>
      <c r="K21" s="8"/>
      <c r="L21" s="8"/>
      <c r="M21" s="8"/>
      <c r="N21" s="8"/>
      <c r="O21" s="8"/>
    </row>
    <row r="22" ht="15.75" customHeight="1">
      <c r="A22" s="8"/>
      <c r="B22" s="13" t="s">
        <v>64</v>
      </c>
      <c r="C22" s="13" t="s">
        <v>97</v>
      </c>
      <c r="D22" s="13" t="s">
        <v>98</v>
      </c>
      <c r="E22" s="13" t="s">
        <v>25</v>
      </c>
      <c r="F22" s="13" t="s">
        <v>67</v>
      </c>
      <c r="G22" s="13" t="s">
        <v>67</v>
      </c>
      <c r="H22" s="13" t="s">
        <v>100</v>
      </c>
      <c r="I22" s="8"/>
      <c r="J22" s="8"/>
      <c r="K22" s="8"/>
      <c r="L22" s="8"/>
      <c r="M22" s="8"/>
      <c r="N22" s="8"/>
      <c r="O22" s="8"/>
    </row>
    <row r="23" ht="15.75" customHeight="1">
      <c r="A23" s="8"/>
      <c r="B23" s="13" t="s">
        <v>64</v>
      </c>
      <c r="C23" s="13" t="s">
        <v>97</v>
      </c>
      <c r="D23" s="13" t="s">
        <v>98</v>
      </c>
      <c r="E23" s="13">
        <v>1.23456789E8</v>
      </c>
      <c r="F23" s="13" t="s">
        <v>67</v>
      </c>
      <c r="G23" s="13" t="s">
        <v>67</v>
      </c>
      <c r="H23" s="13" t="s">
        <v>101</v>
      </c>
      <c r="I23" s="8"/>
      <c r="J23" s="8"/>
      <c r="K23" s="8"/>
      <c r="L23" s="8"/>
      <c r="M23" s="8"/>
      <c r="N23" s="8"/>
      <c r="O23" s="8"/>
    </row>
    <row r="24" ht="15.75" customHeight="1">
      <c r="A24" s="8"/>
      <c r="B24" s="13" t="s">
        <v>64</v>
      </c>
      <c r="C24" s="13" t="s">
        <v>97</v>
      </c>
      <c r="D24" s="13" t="s">
        <v>98</v>
      </c>
      <c r="E24" s="13" t="s">
        <v>20</v>
      </c>
      <c r="F24" s="13" t="s">
        <v>67</v>
      </c>
      <c r="G24" s="13" t="s">
        <v>67</v>
      </c>
      <c r="H24" s="13" t="s">
        <v>102</v>
      </c>
      <c r="I24" s="8"/>
      <c r="J24" s="8"/>
      <c r="K24" s="8"/>
      <c r="L24" s="8"/>
      <c r="M24" s="8"/>
      <c r="N24" s="8"/>
      <c r="O24" s="8"/>
    </row>
    <row r="25" ht="15.75" customHeight="1">
      <c r="A25" s="8"/>
      <c r="B25" s="13" t="s">
        <v>64</v>
      </c>
      <c r="C25" s="13" t="s">
        <v>97</v>
      </c>
      <c r="D25" s="13" t="s">
        <v>98</v>
      </c>
      <c r="E25" s="13" t="s">
        <v>24</v>
      </c>
      <c r="F25" s="13" t="s">
        <v>67</v>
      </c>
      <c r="G25" s="13" t="s">
        <v>67</v>
      </c>
      <c r="H25" s="13" t="s">
        <v>103</v>
      </c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CheckBasketCompliance!$4:$4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104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64" t="s">
        <v>105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106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50"/>
      <c r="C6" s="31" t="s">
        <v>107</v>
      </c>
      <c r="D6" s="34" t="s">
        <v>108</v>
      </c>
      <c r="E6" s="32" t="b">
        <v>1</v>
      </c>
      <c r="F6" s="31" t="s">
        <v>57</v>
      </c>
      <c r="G6" s="31" t="s">
        <v>109</v>
      </c>
      <c r="H6" s="33" t="s">
        <v>110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33"/>
      <c r="C7" s="33"/>
      <c r="D7" s="33"/>
      <c r="E7" s="33"/>
      <c r="F7" s="33"/>
      <c r="G7" s="33"/>
      <c r="H7" s="33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IFERROR(__xludf.DUMMYFUNCTION("""COMPUTED_VALUE"""),"AllowTrade")</f>
        <v>AllowTrade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22</v>
      </c>
      <c r="C6" s="13" t="s">
        <v>21</v>
      </c>
      <c r="D6" s="13" t="s">
        <v>20</v>
      </c>
      <c r="E6" s="13">
        <v>186.0</v>
      </c>
      <c r="F6" s="13">
        <v>20.0</v>
      </c>
      <c r="G6" s="63">
        <v>3720.0</v>
      </c>
      <c r="H6" s="8"/>
      <c r="I6" s="13" t="s">
        <v>33</v>
      </c>
      <c r="J6" s="8"/>
      <c r="K6" s="8"/>
      <c r="L6" s="8"/>
      <c r="M6" s="8"/>
      <c r="N6" s="8"/>
      <c r="O6" s="8"/>
    </row>
    <row r="7" ht="15.75" customHeight="1">
      <c r="A7" s="8"/>
      <c r="B7" s="13" t="s">
        <v>22</v>
      </c>
      <c r="C7" s="13" t="s">
        <v>21</v>
      </c>
      <c r="D7" s="13" t="s">
        <v>23</v>
      </c>
      <c r="E7" s="13">
        <v>186.0</v>
      </c>
      <c r="F7" s="13">
        <v>20.0</v>
      </c>
      <c r="G7" s="63">
        <v>3100.0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22</v>
      </c>
      <c r="C8" s="13" t="s">
        <v>21</v>
      </c>
      <c r="D8" s="13" t="s">
        <v>25</v>
      </c>
      <c r="E8" s="13">
        <v>186.0</v>
      </c>
      <c r="F8" s="13">
        <v>20.0</v>
      </c>
      <c r="G8" s="63">
        <v>3720.0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22</v>
      </c>
      <c r="C9" s="13" t="s">
        <v>21</v>
      </c>
      <c r="D9" s="13">
        <v>1.23456789E8</v>
      </c>
      <c r="E9" s="13">
        <v>186.0</v>
      </c>
      <c r="F9" s="13">
        <v>20.0</v>
      </c>
      <c r="G9" s="63">
        <v>37.0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22</v>
      </c>
      <c r="C10" s="13" t="s">
        <v>21</v>
      </c>
      <c r="D10" s="13" t="s">
        <v>24</v>
      </c>
      <c r="E10" s="13">
        <v>186.0</v>
      </c>
      <c r="F10" s="13">
        <v>20.0</v>
      </c>
      <c r="G10" s="63">
        <v>3720.0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34</v>
      </c>
      <c r="C11" s="13" t="s">
        <v>21</v>
      </c>
      <c r="D11" s="13" t="s">
        <v>20</v>
      </c>
      <c r="E11" s="13">
        <v>99.0</v>
      </c>
      <c r="F11" s="13">
        <v>20.0</v>
      </c>
      <c r="G11" s="63">
        <v>1980.0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SendToStagingExport1!$4:$4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IFERROR(__xludf.DUMMYFUNCTION("""COMPUTED_VALUE"""),"Testing Type")</f>
        <v>Testing Type</v>
      </c>
      <c r="K5" s="28" t="str">
        <f>IFERROR(__xludf.DUMMYFUNCTION("""COMPUTED_VALUE"""),"Testing Column")</f>
        <v>Testing Column</v>
      </c>
      <c r="L5" s="28" t="str">
        <f>IFERROR(__xludf.DUMMYFUNCTION("""COMPUTED_VALUE"""),"Testing Col Value")</f>
        <v>Testing Col Value</v>
      </c>
      <c r="M5" s="28" t="str">
        <f>IFERROR(__xludf.DUMMYFUNCTION("""COMPUTED_VALUE"""),"DuplicateCountOnUI")</f>
        <v>DuplicateCountOnUI</v>
      </c>
      <c r="N5" s="28" t="str">
        <f>IFERROR(__xludf.DUMMYFUNCTION("""COMPUTED_VALUE"""),"DuplicateRow")</f>
        <v>DuplicateRow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64</v>
      </c>
      <c r="C6" s="13" t="s">
        <v>65</v>
      </c>
      <c r="D6" s="13" t="s">
        <v>66</v>
      </c>
      <c r="E6" s="13" t="s">
        <v>24</v>
      </c>
      <c r="F6" s="13" t="s">
        <v>67</v>
      </c>
      <c r="G6" s="13" t="s">
        <v>67</v>
      </c>
      <c r="H6" s="13" t="s">
        <v>111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64</v>
      </c>
      <c r="C7" s="13" t="s">
        <v>65</v>
      </c>
      <c r="D7" s="13" t="s">
        <v>66</v>
      </c>
      <c r="E7" s="13" t="s">
        <v>25</v>
      </c>
      <c r="F7" s="13" t="s">
        <v>67</v>
      </c>
      <c r="G7" s="13" t="s">
        <v>67</v>
      </c>
      <c r="H7" s="13" t="s">
        <v>112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64</v>
      </c>
      <c r="C8" s="13" t="s">
        <v>65</v>
      </c>
      <c r="D8" s="13" t="s">
        <v>66</v>
      </c>
      <c r="E8" s="13" t="s">
        <v>23</v>
      </c>
      <c r="F8" s="13" t="s">
        <v>67</v>
      </c>
      <c r="G8" s="13" t="s">
        <v>67</v>
      </c>
      <c r="H8" s="13" t="s">
        <v>113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64</v>
      </c>
      <c r="C9" s="13" t="s">
        <v>65</v>
      </c>
      <c r="D9" s="13" t="s">
        <v>66</v>
      </c>
      <c r="E9" s="13">
        <v>1.23456789E8</v>
      </c>
      <c r="F9" s="13" t="s">
        <v>67</v>
      </c>
      <c r="G9" s="13" t="s">
        <v>67</v>
      </c>
      <c r="H9" s="13" t="s">
        <v>114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64</v>
      </c>
      <c r="C10" s="13" t="s">
        <v>73</v>
      </c>
      <c r="D10" s="13" t="s">
        <v>74</v>
      </c>
      <c r="E10" s="13" t="s">
        <v>81</v>
      </c>
      <c r="F10" s="13" t="s">
        <v>67</v>
      </c>
      <c r="G10" s="13" t="s">
        <v>67</v>
      </c>
      <c r="H10" s="13" t="s">
        <v>115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64</v>
      </c>
      <c r="C11" s="13" t="s">
        <v>73</v>
      </c>
      <c r="D11" s="13" t="s">
        <v>74</v>
      </c>
      <c r="E11" s="13" t="s">
        <v>79</v>
      </c>
      <c r="F11" s="13" t="s">
        <v>67</v>
      </c>
      <c r="G11" s="13" t="s">
        <v>67</v>
      </c>
      <c r="H11" s="13" t="s">
        <v>116</v>
      </c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 t="s">
        <v>64</v>
      </c>
      <c r="C12" s="13" t="s">
        <v>73</v>
      </c>
      <c r="D12" s="13" t="s">
        <v>74</v>
      </c>
      <c r="E12" s="13" t="s">
        <v>77</v>
      </c>
      <c r="F12" s="13" t="s">
        <v>67</v>
      </c>
      <c r="G12" s="13" t="s">
        <v>67</v>
      </c>
      <c r="H12" s="13" t="s">
        <v>117</v>
      </c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 t="s">
        <v>64</v>
      </c>
      <c r="C13" s="13" t="s">
        <v>73</v>
      </c>
      <c r="D13" s="13" t="s">
        <v>74</v>
      </c>
      <c r="E13" s="13" t="s">
        <v>75</v>
      </c>
      <c r="F13" s="13" t="s">
        <v>67</v>
      </c>
      <c r="G13" s="13" t="s">
        <v>67</v>
      </c>
      <c r="H13" s="13" t="s">
        <v>118</v>
      </c>
      <c r="I13" s="8"/>
      <c r="J13" s="8"/>
      <c r="K13" s="8"/>
      <c r="L13" s="8"/>
      <c r="M13" s="8"/>
      <c r="N13" s="8"/>
      <c r="O13" s="8"/>
    </row>
    <row r="14" ht="15.75" customHeight="1">
      <c r="A14" s="8"/>
      <c r="B14" s="13" t="s">
        <v>64</v>
      </c>
      <c r="C14" s="13" t="s">
        <v>73</v>
      </c>
      <c r="D14" s="13" t="s">
        <v>74</v>
      </c>
      <c r="E14" s="13" t="s">
        <v>83</v>
      </c>
      <c r="F14" s="13" t="s">
        <v>67</v>
      </c>
      <c r="G14" s="13" t="s">
        <v>67</v>
      </c>
      <c r="H14" s="13" t="s">
        <v>119</v>
      </c>
      <c r="I14" s="8"/>
      <c r="J14" s="8"/>
      <c r="K14" s="8"/>
      <c r="L14" s="8"/>
      <c r="M14" s="8"/>
      <c r="N14" s="8"/>
      <c r="O14" s="8"/>
    </row>
    <row r="15" ht="15.75" customHeight="1">
      <c r="A15" s="8"/>
      <c r="B15" s="13" t="s">
        <v>64</v>
      </c>
      <c r="C15" s="13" t="s">
        <v>73</v>
      </c>
      <c r="D15" s="13" t="s">
        <v>74</v>
      </c>
      <c r="E15" s="13" t="s">
        <v>120</v>
      </c>
      <c r="F15" s="13" t="s">
        <v>67</v>
      </c>
      <c r="G15" s="13" t="s">
        <v>67</v>
      </c>
      <c r="H15" s="13" t="s">
        <v>121</v>
      </c>
      <c r="I15" s="8"/>
      <c r="J15" s="8"/>
      <c r="K15" s="8"/>
      <c r="L15" s="8"/>
      <c r="M15" s="8"/>
      <c r="N15" s="8"/>
      <c r="O15" s="8"/>
    </row>
    <row r="16" ht="15.75" customHeight="1">
      <c r="A16" s="8"/>
      <c r="B16" s="13" t="s">
        <v>64</v>
      </c>
      <c r="C16" s="13" t="s">
        <v>85</v>
      </c>
      <c r="D16" s="13" t="s">
        <v>86</v>
      </c>
      <c r="E16" s="13" t="s">
        <v>91</v>
      </c>
      <c r="F16" s="13" t="s">
        <v>67</v>
      </c>
      <c r="G16" s="13" t="s">
        <v>67</v>
      </c>
      <c r="H16" s="13" t="s">
        <v>122</v>
      </c>
      <c r="I16" s="8"/>
      <c r="J16" s="8"/>
      <c r="K16" s="8"/>
      <c r="L16" s="8"/>
      <c r="M16" s="8"/>
      <c r="N16" s="8"/>
      <c r="O16" s="8"/>
    </row>
    <row r="17" ht="15.75" customHeight="1">
      <c r="A17" s="8"/>
      <c r="B17" s="13" t="s">
        <v>64</v>
      </c>
      <c r="C17" s="13" t="s">
        <v>85</v>
      </c>
      <c r="D17" s="13" t="s">
        <v>86</v>
      </c>
      <c r="E17" s="13" t="s">
        <v>89</v>
      </c>
      <c r="F17" s="13" t="s">
        <v>67</v>
      </c>
      <c r="G17" s="13" t="s">
        <v>67</v>
      </c>
      <c r="H17" s="13" t="s">
        <v>123</v>
      </c>
      <c r="I17" s="8"/>
      <c r="J17" s="8"/>
      <c r="K17" s="8"/>
      <c r="L17" s="8"/>
      <c r="M17" s="8"/>
      <c r="N17" s="8"/>
      <c r="O17" s="8"/>
    </row>
    <row r="18" ht="15.75" customHeight="1">
      <c r="A18" s="8"/>
      <c r="B18" s="13" t="s">
        <v>64</v>
      </c>
      <c r="C18" s="13" t="s">
        <v>85</v>
      </c>
      <c r="D18" s="13" t="s">
        <v>86</v>
      </c>
      <c r="E18" s="13" t="s">
        <v>87</v>
      </c>
      <c r="F18" s="13" t="s">
        <v>67</v>
      </c>
      <c r="G18" s="13" t="s">
        <v>67</v>
      </c>
      <c r="H18" s="13" t="s">
        <v>124</v>
      </c>
      <c r="I18" s="8"/>
      <c r="J18" s="8"/>
      <c r="K18" s="8"/>
      <c r="L18" s="8"/>
      <c r="M18" s="8"/>
      <c r="N18" s="8"/>
      <c r="O18" s="8"/>
    </row>
    <row r="19" ht="15.75" customHeight="1">
      <c r="A19" s="8"/>
      <c r="B19" s="13" t="s">
        <v>64</v>
      </c>
      <c r="C19" s="13" t="s">
        <v>85</v>
      </c>
      <c r="D19" s="13" t="s">
        <v>86</v>
      </c>
      <c r="E19" s="13" t="s">
        <v>95</v>
      </c>
      <c r="F19" s="13" t="s">
        <v>67</v>
      </c>
      <c r="G19" s="13" t="s">
        <v>67</v>
      </c>
      <c r="H19" s="13" t="s">
        <v>125</v>
      </c>
      <c r="I19" s="8"/>
      <c r="J19" s="8"/>
      <c r="K19" s="8"/>
      <c r="L19" s="8"/>
      <c r="M19" s="8"/>
      <c r="N19" s="8"/>
      <c r="O19" s="8"/>
    </row>
    <row r="20" ht="15.75" customHeight="1">
      <c r="A20" s="8"/>
      <c r="B20" s="13" t="s">
        <v>64</v>
      </c>
      <c r="C20" s="13" t="s">
        <v>85</v>
      </c>
      <c r="D20" s="13" t="s">
        <v>86</v>
      </c>
      <c r="E20" s="13" t="s">
        <v>93</v>
      </c>
      <c r="F20" s="13" t="s">
        <v>67</v>
      </c>
      <c r="G20" s="13" t="s">
        <v>67</v>
      </c>
      <c r="H20" s="13" t="s">
        <v>126</v>
      </c>
      <c r="I20" s="8"/>
      <c r="J20" s="8"/>
      <c r="K20" s="8"/>
      <c r="L20" s="8"/>
      <c r="M20" s="8"/>
      <c r="N20" s="8"/>
      <c r="O20" s="8"/>
    </row>
    <row r="21" ht="15.75" customHeight="1">
      <c r="A21" s="8"/>
      <c r="B21" s="13" t="s">
        <v>64</v>
      </c>
      <c r="C21" s="13" t="s">
        <v>97</v>
      </c>
      <c r="D21" s="13" t="s">
        <v>98</v>
      </c>
      <c r="E21" s="13" t="s">
        <v>20</v>
      </c>
      <c r="F21" s="13" t="s">
        <v>67</v>
      </c>
      <c r="G21" s="13" t="s">
        <v>67</v>
      </c>
      <c r="H21" s="13" t="s">
        <v>127</v>
      </c>
      <c r="I21" s="8"/>
      <c r="J21" s="8"/>
      <c r="K21" s="8"/>
      <c r="L21" s="8"/>
      <c r="M21" s="8"/>
      <c r="N21" s="8"/>
      <c r="O21" s="8"/>
    </row>
    <row r="22" ht="15.75" customHeight="1">
      <c r="B22" s="9" t="s">
        <v>64</v>
      </c>
      <c r="C22" s="9" t="s">
        <v>97</v>
      </c>
      <c r="D22" s="9" t="s">
        <v>98</v>
      </c>
      <c r="E22" s="9">
        <v>1.23456789E8</v>
      </c>
      <c r="F22" s="9" t="s">
        <v>67</v>
      </c>
      <c r="G22" s="9" t="s">
        <v>67</v>
      </c>
      <c r="H22" s="9" t="s">
        <v>128</v>
      </c>
    </row>
    <row r="23" ht="15.75" customHeight="1">
      <c r="B23" s="9" t="s">
        <v>64</v>
      </c>
      <c r="C23" s="9" t="s">
        <v>97</v>
      </c>
      <c r="D23" s="9" t="s">
        <v>98</v>
      </c>
      <c r="E23" s="9" t="s">
        <v>25</v>
      </c>
      <c r="F23" s="9" t="s">
        <v>67</v>
      </c>
      <c r="G23" s="9" t="s">
        <v>67</v>
      </c>
      <c r="H23" s="9" t="s">
        <v>129</v>
      </c>
    </row>
    <row r="24" ht="15.75" customHeight="1">
      <c r="B24" s="9" t="s">
        <v>64</v>
      </c>
      <c r="C24" s="9" t="s">
        <v>97</v>
      </c>
      <c r="D24" s="9" t="s">
        <v>98</v>
      </c>
      <c r="E24" s="9" t="s">
        <v>23</v>
      </c>
      <c r="F24" s="9" t="s">
        <v>67</v>
      </c>
      <c r="G24" s="9" t="s">
        <v>67</v>
      </c>
      <c r="H24" s="9" t="s">
        <v>130</v>
      </c>
    </row>
    <row r="25" ht="15.75" customHeight="1">
      <c r="B25" s="9" t="s">
        <v>64</v>
      </c>
      <c r="C25" s="9" t="s">
        <v>97</v>
      </c>
      <c r="D25" s="9" t="s">
        <v>98</v>
      </c>
      <c r="E25" s="9" t="s">
        <v>24</v>
      </c>
      <c r="F25" s="9" t="s">
        <v>67</v>
      </c>
      <c r="G25" s="9" t="s">
        <v>67</v>
      </c>
      <c r="H25" s="9" t="s">
        <v>131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CheckBasketCompliance1!$4:$4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4" t="s">
        <v>57</v>
      </c>
      <c r="C6" s="34" t="s">
        <v>132</v>
      </c>
      <c r="D6" s="34" t="s">
        <v>59</v>
      </c>
      <c r="E6" s="34" t="s">
        <v>60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/>
      <c r="C7" s="33"/>
      <c r="D7" s="33"/>
      <c r="E7" s="33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FetchAccountPositions1!$4:$4</formula1>
    </dataValidation>
  </dataValidations>
  <drawing r:id="rId1"/>
</worksheet>
</file>