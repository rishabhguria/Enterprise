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UnexpiredUnsettled" sheetId="5" r:id="rId7"/>
    <sheet state="visible" name="GetDataClosing" sheetId="6" r:id="rId8"/>
    <sheet state="visible" name="UnWindTradeSettlement" sheetId="7" r:id="rId9"/>
    <sheet state="visible" name="CashSettlementAtCost" sheetId="8" r:id="rId10"/>
    <sheet state="visible" name="GetDataAllocation" sheetId="9" r:id="rId11"/>
    <sheet state="visible" name="CheckAllocatedGroups" sheetId="10" r:id="rId12"/>
    <sheet state="visible" name="VerifyExpiredSettledGrid" sheetId="11" r:id="rId13"/>
    <sheet state="visible" name="VerifyLongPositionsGrid" sheetId="12" r:id="rId14"/>
  </sheets>
  <definedNames/>
  <calcPr/>
</workbook>
</file>

<file path=xl/sharedStrings.xml><?xml version="1.0" encoding="utf-8"?>
<sst xmlns="http://schemas.openxmlformats.org/spreadsheetml/2006/main" count="106" uniqueCount="37">
  <si>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</si>
  <si>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</si>
  <si>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</si>
  <si>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</si>
  <si>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</si>
  <si>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Data</t>
  </si>
  <si>
    <t>Module</t>
  </si>
  <si>
    <t>TradingTicket</t>
  </si>
  <si>
    <t>Step</t>
  </si>
  <si>
    <t>CreateDoneAwayOrder</t>
  </si>
  <si>
    <t>Data Format</t>
  </si>
  <si>
    <t>Input Format</t>
  </si>
  <si>
    <t>Master Data Info</t>
  </si>
  <si>
    <t>Modules Info</t>
  </si>
  <si>
    <t>Modules</t>
  </si>
  <si>
    <t>BP H9</t>
  </si>
  <si>
    <t>Buy</t>
  </si>
  <si>
    <t>Allocation1</t>
  </si>
  <si>
    <t>Closing</t>
  </si>
  <si>
    <t>SelectTradeUnexpiredUnsettled</t>
  </si>
  <si>
    <t>Future</t>
  </si>
  <si>
    <t>GetDataClosing</t>
  </si>
  <si>
    <t>Master Data Sheet</t>
  </si>
  <si>
    <t>Current</t>
  </si>
  <si>
    <t>UnWindTradeSettlement</t>
  </si>
  <si>
    <t>NONE</t>
  </si>
  <si>
    <t>Cash</t>
  </si>
  <si>
    <t>Long</t>
  </si>
  <si>
    <t>CashSettlementAtCost</t>
  </si>
  <si>
    <t>Allocation</t>
  </si>
  <si>
    <t>GetDataAllocation</t>
  </si>
  <si>
    <t>CheckAllocatedGroups</t>
  </si>
  <si>
    <t>Closed</t>
  </si>
  <si>
    <t xml:space="preserve">Buy </t>
  </si>
  <si>
    <t>Sell</t>
  </si>
  <si>
    <t>VerifyExpiredSettledGrid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</si>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</sst>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0" fillId="5" fontId="4" numFmtId="0" xfId="0" applyAlignment="1" applyFill="1" applyFont="1">
      <alignment shrinkToFit="0" wrapText="0"/>
    </xf>
    <xf borderId="0" fillId="0" fontId="10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0" fillId="5" fontId="7" numFmtId="0" xfId="0" applyFont="1"/>
    <xf borderId="1" fillId="2" fontId="6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10" numFmtId="1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13</v>
      </c>
      <c r="B1" s="2"/>
      <c r="C1" s="2"/>
      <c r="D1" s="2"/>
      <c r="E1" s="2"/>
      <c r="F1" s="3"/>
    </row>
    <row r="2" ht="15.75" customHeight="1">
      <c r="A2" s="19"/>
      <c r="B2" s="19"/>
      <c r="C2" s="19"/>
      <c r="D2" s="19"/>
      <c r="E2" s="19"/>
      <c r="F2" s="19"/>
    </row>
    <row r="3" ht="15.75" customHeight="1">
      <c r="A3" s="5" t="s">
        <v>14</v>
      </c>
      <c r="B3" s="21"/>
      <c r="C3" s="23"/>
      <c r="D3" s="23"/>
      <c r="E3" s="23"/>
      <c r="F3" s="23"/>
    </row>
    <row r="4" ht="15.75" customHeight="1">
      <c r="A4" s="4" t="str">
        <f>IFERROR(__xludf.DUMMYFUNCTION("IMPORTRANGE('_Settings'!B3,""Modules!A4:L1000"")"),"Allocation")</f>
        <v>Allocation</v>
      </c>
      <c r="B4" s="19" t="str">
        <f>IFERROR(__xludf.DUMMYFUNCTION("""COMPUTED_VALUE"""),"Allocate")</f>
        <v>Allocate</v>
      </c>
      <c r="C4" s="19" t="str">
        <f>IFERROR(__xludf.DUMMYFUNCTION("""COMPUTED_VALUE"""),"1g8wLprruaWRC_5pQcovqkv8ZCiMt5fspCOACibdkz7g")</f>
        <v>1g8wLprruaWRC_5pQcovqkv8ZCiMt5fspCOACibdkz7g</v>
      </c>
      <c r="D4" s="19" t="str">
        <f>IFERROR(__xludf.DUMMYFUNCTION("""COMPUTED_VALUE"""),"")</f>
        <v/>
      </c>
      <c r="E4" s="19" t="str">
        <f>IFERROR(__xludf.DUMMYFUNCTION("""COMPUTED_VALUE"""),"")</f>
        <v/>
      </c>
      <c r="F4" s="1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9" t="str">
        <f>IFERROR(__xludf.DUMMYFUNCTION("""COMPUTED_VALUE"""),"CheckAllocatedGroups")</f>
        <v>CheckAllocatedGroups</v>
      </c>
      <c r="C5" s="19" t="str">
        <f>IFERROR(__xludf.DUMMYFUNCTION("""COMPUTED_VALUE"""),"1aecq-HMDoDkIInONjPC11z5TBFHyJhv4ro66e2ZOphg")</f>
        <v>1aecq-HMDoDkIInONjPC11z5TBFHyJhv4ro66e2ZOphg</v>
      </c>
      <c r="D5" s="19" t="str">
        <f>IFERROR(__xludf.DUMMYFUNCTION("""COMPUTED_VALUE"""),"")</f>
        <v/>
      </c>
      <c r="E5" s="19" t="str">
        <f>IFERROR(__xludf.DUMMYFUNCTION("""COMPUTED_VALUE"""),"")</f>
        <v/>
      </c>
      <c r="F5" s="1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9" t="str">
        <f>IFERROR(__xludf.DUMMYFUNCTION("""COMPUTED_VALUE"""),"Allocation")</f>
        <v>Allocation</v>
      </c>
      <c r="B6" s="19" t="str">
        <f>IFERROR(__xludf.DUMMYFUNCTION("""COMPUTED_VALUE"""),"Unallocate")</f>
        <v>Unallocate</v>
      </c>
      <c r="C6" s="19" t="str">
        <f>IFERROR(__xludf.DUMMYFUNCTION("""COMPUTED_VALUE"""),"1eDZq-_vllq4jwvwpk9qGnwQUhlb-sFvyFKPBriT2dA0")</f>
        <v>1eDZq-_vllq4jwvwpk9qGnwQUhlb-sFvyFKPBriT2dA0</v>
      </c>
      <c r="D6" s="19" t="str">
        <f>IFERROR(__xludf.DUMMYFUNCTION("""COMPUTED_VALUE"""),"")</f>
        <v/>
      </c>
      <c r="E6" s="19" t="str">
        <f>IFERROR(__xludf.DUMMYFUNCTION("""COMPUTED_VALUE"""),"")</f>
        <v/>
      </c>
      <c r="F6" s="1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9" t="str">
        <f>IFERROR(__xludf.DUMMYFUNCTION("""COMPUTED_VALUE"""),"Allocation")</f>
        <v>Allocation</v>
      </c>
      <c r="B7" s="19" t="str">
        <f>IFERROR(__xludf.DUMMYFUNCTION("""COMPUTED_VALUE"""),"GetDataAllocation")</f>
        <v>GetDataAllocation</v>
      </c>
      <c r="C7" s="19" t="str">
        <f>IFERROR(__xludf.DUMMYFUNCTION("""COMPUTED_VALUE"""),"1FBTO3wCB7odq-jpQMbYHgSrAL5-rFO2_kp9Kr2iXqXE")</f>
        <v>1FBTO3wCB7odq-jpQMbYHgSrAL5-rFO2_kp9Kr2iXqXE</v>
      </c>
      <c r="D7" s="19" t="str">
        <f>IFERROR(__xludf.DUMMYFUNCTION("""COMPUTED_VALUE"""),"")</f>
        <v/>
      </c>
      <c r="E7" s="19" t="str">
        <f>IFERROR(__xludf.DUMMYFUNCTION("""COMPUTED_VALUE"""),"")</f>
        <v/>
      </c>
      <c r="F7" s="1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9" t="str">
        <f>IFERROR(__xludf.DUMMYFUNCTION("""COMPUTED_VALUE"""),"Allocation")</f>
        <v>Allocation</v>
      </c>
      <c r="B8" s="19" t="str">
        <f>IFERROR(__xludf.DUMMYFUNCTION("""COMPUTED_VALUE"""),"SelectAllocatedGroup")</f>
        <v>SelectAllocatedGroup</v>
      </c>
      <c r="C8" s="19" t="str">
        <f>IFERROR(__xludf.DUMMYFUNCTION("""COMPUTED_VALUE"""),"1G0ZkXDrIDX_loGmAyLs_Shy8hExtTELtFXERbX-HdPo")</f>
        <v>1G0ZkXDrIDX_loGmAyLs_Shy8hExtTELtFXERbX-HdPo</v>
      </c>
      <c r="D8" s="19" t="str">
        <f>IFERROR(__xludf.DUMMYFUNCTION("""COMPUTED_VALUE"""),"")</f>
        <v/>
      </c>
      <c r="E8" s="19" t="str">
        <f>IFERROR(__xludf.DUMMYFUNCTION("""COMPUTED_VALUE"""),"")</f>
        <v/>
      </c>
      <c r="F8" s="1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9" t="str">
        <f>IFERROR(__xludf.DUMMYFUNCTION("""COMPUTED_VALUE"""),"Allocation")</f>
        <v>Allocation</v>
      </c>
      <c r="B9" s="19" t="str">
        <f>IFERROR(__xludf.DUMMYFUNCTION("""COMPUTED_VALUE"""),"EditTradesAllocated")</f>
        <v>EditTradesAllocated</v>
      </c>
      <c r="C9" s="19" t="str">
        <f>IFERROR(__xludf.DUMMYFUNCTION("""COMPUTED_VALUE"""),"1YgVZ1jEVgjUF1Dp8FAj_W_zLEZCyqvNMlWJIg0Tmkq4")</f>
        <v>1YgVZ1jEVgjUF1Dp8FAj_W_zLEZCyqvNMlWJIg0Tmkq4</v>
      </c>
      <c r="D9" s="19" t="str">
        <f>IFERROR(__xludf.DUMMYFUNCTION("""COMPUTED_VALUE"""),"")</f>
        <v/>
      </c>
      <c r="E9" s="19" t="str">
        <f>IFERROR(__xludf.DUMMYFUNCTION("""COMPUTED_VALUE"""),"")</f>
        <v/>
      </c>
      <c r="F9" s="1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9" t="str">
        <f>IFERROR(__xludf.DUMMYFUNCTION("""COMPUTED_VALUE"""),"Allocation")</f>
        <v>Allocation</v>
      </c>
      <c r="B10" s="19" t="str">
        <f>IFERROR(__xludf.DUMMYFUNCTION("""COMPUTED_VALUE"""),"EditTradesUnallocated")</f>
        <v>EditTradesUnallocated</v>
      </c>
      <c r="C10" s="19" t="str">
        <f>IFERROR(__xludf.DUMMYFUNCTION("""COMPUTED_VALUE"""),"1MyB61T39MDAUyQqCUJLATzUT2f5UlE8nFq4ltWy_DJ4")</f>
        <v>1MyB61T39MDAUyQqCUJLATzUT2f5UlE8nFq4ltWy_DJ4</v>
      </c>
      <c r="D10" s="19" t="str">
        <f>IFERROR(__xludf.DUMMYFUNCTION("""COMPUTED_VALUE"""),"")</f>
        <v/>
      </c>
      <c r="E10" s="19" t="str">
        <f>IFERROR(__xludf.DUMMYFUNCTION("""COMPUTED_VALUE"""),"")</f>
        <v/>
      </c>
      <c r="F10" s="1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9" t="str">
        <f>IFERROR(__xludf.DUMMYFUNCTION("""COMPUTED_VALUE"""),"Allocation")</f>
        <v>Allocation</v>
      </c>
      <c r="B11" s="19" t="str">
        <f>IFERROR(__xludf.DUMMYFUNCTION("""COMPUTED_VALUE"""),"Reallocate")</f>
        <v>Reallocate</v>
      </c>
      <c r="C11" s="19" t="str">
        <f>IFERROR(__xludf.DUMMYFUNCTION("""COMPUTED_VALUE"""),"undefined")</f>
        <v>undefined</v>
      </c>
      <c r="D11" s="19" t="str">
        <f>IFERROR(__xludf.DUMMYFUNCTION("""COMPUTED_VALUE"""),"")</f>
        <v/>
      </c>
      <c r="E11" s="19" t="str">
        <f>IFERROR(__xludf.DUMMYFUNCTION("""COMPUTED_VALUE"""),"")</f>
        <v/>
      </c>
      <c r="F11" s="1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9" t="str">
        <f>IFERROR(__xludf.DUMMYFUNCTION("""COMPUTED_VALUE"""),"Blotter")</f>
        <v>Blotter</v>
      </c>
      <c r="B12" s="19" t="str">
        <f>IFERROR(__xludf.DUMMYFUNCTION("""COMPUTED_VALUE"""),"ReplaceFillsOnBlotter")</f>
        <v>ReplaceFillsOnBlotter</v>
      </c>
      <c r="C12" s="19" t="str">
        <f>IFERROR(__xludf.DUMMYFUNCTION("""COMPUTED_VALUE"""),"undefined")</f>
        <v>undefined</v>
      </c>
      <c r="D12" s="19" t="str">
        <f>IFERROR(__xludf.DUMMYFUNCTION("""COMPUTED_VALUE"""),"")</f>
        <v/>
      </c>
      <c r="E12" s="19" t="str">
        <f>IFERROR(__xludf.DUMMYFUNCTION("""COMPUTED_VALUE"""),"")</f>
        <v/>
      </c>
      <c r="F12" s="1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9" t="str">
        <f>IFERROR(__xludf.DUMMYFUNCTION("""COMPUTED_VALUE"""),"Blotter")</f>
        <v>Blotter</v>
      </c>
      <c r="B13" s="19" t="str">
        <f>IFERROR(__xludf.DUMMYFUNCTION("""COMPUTED_VALUE"""),"CheckBlotter")</f>
        <v>CheckBlotter</v>
      </c>
      <c r="C13" s="19" t="str">
        <f>IFERROR(__xludf.DUMMYFUNCTION("""COMPUTED_VALUE"""),"16qheLbvgC92hKxalWDlpWfHBMyDDVqHERUCc7bQiO2A")</f>
        <v>16qheLbvgC92hKxalWDlpWfHBMyDDVqHERUCc7bQiO2A</v>
      </c>
      <c r="D13" s="19" t="str">
        <f>IFERROR(__xludf.DUMMYFUNCTION("""COMPUTED_VALUE"""),"")</f>
        <v/>
      </c>
      <c r="E13" s="19" t="str">
        <f>IFERROR(__xludf.DUMMYFUNCTION("""COMPUTED_VALUE"""),"")</f>
        <v/>
      </c>
      <c r="F13" s="1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9" t="str">
        <f>IFERROR(__xludf.DUMMYFUNCTION("""COMPUTED_VALUE"""),"GeneralLedger")</f>
        <v>GeneralLedger</v>
      </c>
      <c r="B14" s="19" t="str">
        <f>IFERROR(__xludf.DUMMYFUNCTION("""COMPUTED_VALUE"""),"GetDataCash")</f>
        <v>GetDataCash</v>
      </c>
      <c r="C14" s="19" t="str">
        <f>IFERROR(__xludf.DUMMYFUNCTION("""COMPUTED_VALUE"""),"1zLd3ju-mV8f6PZiQUYLU-cAgAUwLwyoIAKuu0WgG2zI")</f>
        <v>1zLd3ju-mV8f6PZiQUYLU-cAgAUwLwyoIAKuu0WgG2zI</v>
      </c>
      <c r="D14" s="19" t="str">
        <f>IFERROR(__xludf.DUMMYFUNCTION("""COMPUTED_VALUE"""),"")</f>
        <v/>
      </c>
      <c r="E14" s="19" t="str">
        <f>IFERROR(__xludf.DUMMYFUNCTION("""COMPUTED_VALUE"""),"")</f>
        <v/>
      </c>
      <c r="F14" s="1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9" t="str">
        <f>IFERROR(__xludf.DUMMYFUNCTION("""COMPUTED_VALUE"""),"GeneralLedger")</f>
        <v>GeneralLedger</v>
      </c>
      <c r="B15" s="19" t="str">
        <f>IFERROR(__xludf.DUMMYFUNCTION("""COMPUTED_VALUE"""),"EnterCashDividends")</f>
        <v>EnterCashDividends</v>
      </c>
      <c r="C15" s="19" t="str">
        <f>IFERROR(__xludf.DUMMYFUNCTION("""COMPUTED_VALUE"""),"1sjDsI5FIL_l_G6osMJQ7e8auBgYd3R3JDaKWKV_8Og0")</f>
        <v>1sjDsI5FIL_l_G6osMJQ7e8auBgYd3R3JDaKWKV_8Og0</v>
      </c>
      <c r="D15" s="19" t="str">
        <f>IFERROR(__xludf.DUMMYFUNCTION("""COMPUTED_VALUE"""),"")</f>
        <v/>
      </c>
      <c r="E15" s="19" t="str">
        <f>IFERROR(__xludf.DUMMYFUNCTION("""COMPUTED_VALUE"""),"")</f>
        <v/>
      </c>
      <c r="F15" s="1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9" t="str">
        <f>IFERROR(__xludf.DUMMYFUNCTION("""COMPUTED_VALUE"""),"GeneralLedger")</f>
        <v>GeneralLedger</v>
      </c>
      <c r="B16" s="19" t="str">
        <f>IFERROR(__xludf.DUMMYFUNCTION("""COMPUTED_VALUE"""),"EnterNonTradingTransaction")</f>
        <v>EnterNonTradingTransaction</v>
      </c>
      <c r="C16" s="19" t="str">
        <f>IFERROR(__xludf.DUMMYFUNCTION("""COMPUTED_VALUE"""),"1xn1P_Z-3N4d2BC1SUPly2HiVZazly5ZQcS18BfaTyho")</f>
        <v>1xn1P_Z-3N4d2BC1SUPly2HiVZazly5ZQcS18BfaTyho</v>
      </c>
      <c r="D16" s="19" t="str">
        <f>IFERROR(__xludf.DUMMYFUNCTION("""COMPUTED_VALUE"""),"")</f>
        <v/>
      </c>
      <c r="E16" s="19" t="str">
        <f>IFERROR(__xludf.DUMMYFUNCTION("""COMPUTED_VALUE"""),"")</f>
        <v/>
      </c>
      <c r="F16" s="1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9" t="str">
        <f>IFERROR(__xludf.DUMMYFUNCTION("""COMPUTED_VALUE"""),"GeneralLedger")</f>
        <v>GeneralLedger</v>
      </c>
      <c r="B17" s="19" t="str">
        <f>IFERROR(__xludf.DUMMYFUNCTION("""COMPUTED_VALUE"""),"VerifyCash")</f>
        <v>VerifyCash</v>
      </c>
      <c r="C17" s="19" t="str">
        <f>IFERROR(__xludf.DUMMYFUNCTION("""COMPUTED_VALUE"""),"1vlvYPsiFAWjsnFrbkGn_fAvkwF00V3e7htalalU6QN4")</f>
        <v>1vlvYPsiFAWjsnFrbkGn_fAvkwF00V3e7htalalU6QN4</v>
      </c>
      <c r="D17" s="19" t="str">
        <f>IFERROR(__xludf.DUMMYFUNCTION("""COMPUTED_VALUE"""),"")</f>
        <v/>
      </c>
      <c r="E17" s="19" t="str">
        <f>IFERROR(__xludf.DUMMYFUNCTION("""COMPUTED_VALUE"""),"")</f>
        <v/>
      </c>
      <c r="F17" s="1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9" t="str">
        <f>IFERROR(__xludf.DUMMYFUNCTION("""COMPUTED_VALUE"""),"GeneralLedger")</f>
        <v>GeneralLedger</v>
      </c>
      <c r="B18" s="19" t="str">
        <f>IFERROR(__xludf.DUMMYFUNCTION("""COMPUTED_VALUE"""),"VerifyActivity")</f>
        <v>VerifyActivity</v>
      </c>
      <c r="C18" s="19" t="str">
        <f>IFERROR(__xludf.DUMMYFUNCTION("""COMPUTED_VALUE"""),"1o2rCg2FuoAOT5Pl8i4iFP_TwpPm0UB1dd49GbpkytfM")</f>
        <v>1o2rCg2FuoAOT5Pl8i4iFP_TwpPm0UB1dd49GbpkytfM</v>
      </c>
      <c r="D18" s="19" t="str">
        <f>IFERROR(__xludf.DUMMYFUNCTION("""COMPUTED_VALUE"""),"")</f>
        <v/>
      </c>
      <c r="E18" s="19" t="str">
        <f>IFERROR(__xludf.DUMMYFUNCTION("""COMPUTED_VALUE"""),"")</f>
        <v/>
      </c>
      <c r="F18" s="1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9" t="str">
        <f>IFERROR(__xludf.DUMMYFUNCTION("""COMPUTED_VALUE"""),"GeneralLedger")</f>
        <v>GeneralLedger</v>
      </c>
      <c r="B19" s="19" t="str">
        <f>IFERROR(__xludf.DUMMYFUNCTION("""COMPUTED_VALUE"""),"VerifyTradingTransaction")</f>
        <v>VerifyTradingTransaction</v>
      </c>
      <c r="C19" s="19" t="str">
        <f>IFERROR(__xludf.DUMMYFUNCTION("""COMPUTED_VALUE"""),"1_v2niCJ9VGNvgEBpvz030BFqEISSUhYRHyWcAJAn_Eg")</f>
        <v>1_v2niCJ9VGNvgEBpvz030BFqEISSUhYRHyWcAJAn_Eg</v>
      </c>
      <c r="D19" s="19" t="str">
        <f>IFERROR(__xludf.DUMMYFUNCTION("""COMPUTED_VALUE"""),"")</f>
        <v/>
      </c>
      <c r="E19" s="19" t="str">
        <f>IFERROR(__xludf.DUMMYFUNCTION("""COMPUTED_VALUE"""),"")</f>
        <v/>
      </c>
      <c r="F19" s="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9" t="str">
        <f>IFERROR(__xludf.DUMMYFUNCTION("""COMPUTED_VALUE"""),"GeneralLedger")</f>
        <v>GeneralLedger</v>
      </c>
      <c r="B20" s="19" t="str">
        <f>IFERROR(__xludf.DUMMYFUNCTION("""COMPUTED_VALUE"""),"VerifyRevaluationData")</f>
        <v>VerifyRevaluationData</v>
      </c>
      <c r="C20" s="19" t="str">
        <f>IFERROR(__xludf.DUMMYFUNCTION("""COMPUTED_VALUE"""),"1hsRs1-LY0akTrMe91ArnbLtk6GUy_bKxVwMYCaiMs-8")</f>
        <v>1hsRs1-LY0akTrMe91ArnbLtk6GUy_bKxVwMYCaiMs-8</v>
      </c>
      <c r="D20" s="19" t="str">
        <f>IFERROR(__xludf.DUMMYFUNCTION("""COMPUTED_VALUE"""),"")</f>
        <v/>
      </c>
      <c r="E20" s="19" t="str">
        <f>IFERROR(__xludf.DUMMYFUNCTION("""COMPUTED_VALUE"""),"")</f>
        <v/>
      </c>
      <c r="F20" s="1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9" t="str">
        <f>IFERROR(__xludf.DUMMYFUNCTION("""COMPUTED_VALUE"""),"CorporateAction")</f>
        <v>CorporateAction</v>
      </c>
      <c r="B21" s="19" t="str">
        <f>IFERROR(__xludf.DUMMYFUNCTION("""COMPUTED_VALUE"""),"CorporateAction")</f>
        <v>CorporateAction</v>
      </c>
      <c r="C21" s="19" t="str">
        <f>IFERROR(__xludf.DUMMYFUNCTION("""COMPUTED_VALUE"""),"14rwUHTx4auE_hf60WN-tNOx3atNg7QGvErWNwVQIRqE")</f>
        <v>14rwUHTx4auE_hf60WN-tNOx3atNg7QGvErWNwVQIRqE</v>
      </c>
      <c r="D21" s="19" t="str">
        <f>IFERROR(__xludf.DUMMYFUNCTION("""COMPUTED_VALUE"""),"")</f>
        <v/>
      </c>
      <c r="E21" s="19" t="str">
        <f>IFERROR(__xludf.DUMMYFUNCTION("""COMPUTED_VALUE"""),"")</f>
        <v/>
      </c>
      <c r="F21" s="1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9" t="str">
        <f>IFERROR(__xludf.DUMMYFUNCTION("""COMPUTED_VALUE"""),"CreateTransaction")</f>
        <v>CreateTransaction</v>
      </c>
      <c r="B22" s="19" t="str">
        <f>IFERROR(__xludf.DUMMYFUNCTION("""COMPUTED_VALUE"""),"CreateTransaction")</f>
        <v>CreateTransaction</v>
      </c>
      <c r="C22" s="19" t="str">
        <f>IFERROR(__xludf.DUMMYFUNCTION("""COMPUTED_VALUE"""),"1amshi8Ns36lsDpccBK0y_9bL_pQ2rHdGNYypcgzceUg")</f>
        <v>1amshi8Ns36lsDpccBK0y_9bL_pQ2rHdGNYypcgzceUg</v>
      </c>
      <c r="D22" s="19" t="str">
        <f>IFERROR(__xludf.DUMMYFUNCTION("""COMPUTED_VALUE"""),"")</f>
        <v/>
      </c>
      <c r="E22" s="19" t="str">
        <f>IFERROR(__xludf.DUMMYFUNCTION("""COMPUTED_VALUE"""),"")</f>
        <v/>
      </c>
      <c r="F22" s="1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9" t="str">
        <f>IFERROR(__xludf.DUMMYFUNCTION("""COMPUTED_VALUE"""),"DailyValuation")</f>
        <v>DailyValuation</v>
      </c>
      <c r="B23" s="19" t="str">
        <f>IFERROR(__xludf.DUMMYFUNCTION("""COMPUTED_VALUE"""),"UpdateBeta")</f>
        <v>UpdateBeta</v>
      </c>
      <c r="C23" s="19" t="str">
        <f>IFERROR(__xludf.DUMMYFUNCTION("""COMPUTED_VALUE"""),"1YKttwHsdIskNDoo0Sl7HF2DWikROW-KA05qfT3GLIyI")</f>
        <v>1YKttwHsdIskNDoo0Sl7HF2DWikROW-KA05qfT3GLIyI</v>
      </c>
      <c r="D23" s="19" t="str">
        <f>IFERROR(__xludf.DUMMYFUNCTION("""COMPUTED_VALUE"""),"")</f>
        <v/>
      </c>
      <c r="E23" s="19" t="str">
        <f>IFERROR(__xludf.DUMMYFUNCTION("""COMPUTED_VALUE"""),"")</f>
        <v/>
      </c>
      <c r="F23" s="1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9" t="str">
        <f>IFERROR(__xludf.DUMMYFUNCTION("""COMPUTED_VALUE"""),"DailyValuation")</f>
        <v>DailyValuation</v>
      </c>
      <c r="B24" s="19" t="str">
        <f>IFERROR(__xludf.DUMMYFUNCTION("""COMPUTED_VALUE"""),"UpdateDailyCash")</f>
        <v>UpdateDailyCash</v>
      </c>
      <c r="C24" s="19" t="str">
        <f>IFERROR(__xludf.DUMMYFUNCTION("""COMPUTED_VALUE"""),"1YJ2rTp-OqQTGjubvs_cBC6fl0l94pyHI2eaLJzbddS4")</f>
        <v>1YJ2rTp-OqQTGjubvs_cBC6fl0l94pyHI2eaLJzbddS4</v>
      </c>
      <c r="D24" s="19" t="str">
        <f>IFERROR(__xludf.DUMMYFUNCTION("""COMPUTED_VALUE"""),"")</f>
        <v/>
      </c>
      <c r="E24" s="19" t="str">
        <f>IFERROR(__xludf.DUMMYFUNCTION("""COMPUTED_VALUE"""),"")</f>
        <v/>
      </c>
      <c r="F24" s="1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9" t="str">
        <f>IFERROR(__xludf.DUMMYFUNCTION("""COMPUTED_VALUE"""),"DailyValuation")</f>
        <v>DailyValuation</v>
      </c>
      <c r="B25" s="19" t="str">
        <f>IFERROR(__xludf.DUMMYFUNCTION("""COMPUTED_VALUE"""),"UpdateForexConversion")</f>
        <v>UpdateForexConversion</v>
      </c>
      <c r="C25" s="19" t="str">
        <f>IFERROR(__xludf.DUMMYFUNCTION("""COMPUTED_VALUE"""),"1mLyEfNTVFd65cnE6GfgCRD6TdpKg1BgqNIDjHCFzyO4")</f>
        <v>1mLyEfNTVFd65cnE6GfgCRD6TdpKg1BgqNIDjHCFzyO4</v>
      </c>
      <c r="D25" s="19" t="str">
        <f>IFERROR(__xludf.DUMMYFUNCTION("""COMPUTED_VALUE"""),"")</f>
        <v/>
      </c>
      <c r="E25" s="19" t="str">
        <f>IFERROR(__xludf.DUMMYFUNCTION("""COMPUTED_VALUE"""),"")</f>
        <v/>
      </c>
      <c r="F25" s="1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9" t="str">
        <f>IFERROR(__xludf.DUMMYFUNCTION("""COMPUTED_VALUE"""),"DailyValuation")</f>
        <v>DailyValuation</v>
      </c>
      <c r="B26" s="19" t="str">
        <f>IFERROR(__xludf.DUMMYFUNCTION("""COMPUTED_VALUE"""),"UpdateMarkPrice")</f>
        <v>UpdateMarkPrice</v>
      </c>
      <c r="C26" s="19" t="str">
        <f>IFERROR(__xludf.DUMMYFUNCTION("""COMPUTED_VALUE"""),"1M8d9TyOhMnA65NSIYvS6dR68SH5RL6oKahd6uz7yp6c")</f>
        <v>1M8d9TyOhMnA65NSIYvS6dR68SH5RL6oKahd6uz7yp6c</v>
      </c>
      <c r="D26" s="19" t="str">
        <f>IFERROR(__xludf.DUMMYFUNCTION("""COMPUTED_VALUE"""),"")</f>
        <v/>
      </c>
      <c r="E26" s="19" t="str">
        <f>IFERROR(__xludf.DUMMYFUNCTION("""COMPUTED_VALUE"""),"")</f>
        <v/>
      </c>
      <c r="F26" s="1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9" t="str">
        <f>IFERROR(__xludf.DUMMYFUNCTION("""COMPUTED_VALUE"""),"Import")</f>
        <v>Import</v>
      </c>
      <c r="B27" s="19" t="str">
        <f>IFERROR(__xludf.DUMMYFUNCTION("""COMPUTED_VALUE"""),"Import")</f>
        <v>Import</v>
      </c>
      <c r="C27" s="19" t="str">
        <f>IFERROR(__xludf.DUMMYFUNCTION("""COMPUTED_VALUE"""),"1Q5uOVYo1NMRks6hQRJuV8XWMPb6VFEAbSzpgP1dot1I")</f>
        <v>1Q5uOVYo1NMRks6hQRJuV8XWMPb6VFEAbSzpgP1dot1I</v>
      </c>
      <c r="D27" s="19" t="str">
        <f>IFERROR(__xludf.DUMMYFUNCTION("""COMPUTED_VALUE"""),"")</f>
        <v/>
      </c>
      <c r="E27" s="19" t="str">
        <f>IFERROR(__xludf.DUMMYFUNCTION("""COMPUTED_VALUE"""),"")</f>
        <v/>
      </c>
      <c r="F27" s="1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9" t="str">
        <f>IFERROR(__xludf.DUMMYFUNCTION("""COMPUTED_VALUE"""),"PortfolioManagement")</f>
        <v>PortfolioManagement</v>
      </c>
      <c r="B28" s="19" t="str">
        <f>IFERROR(__xludf.DUMMYFUNCTION("""COMPUTED_VALUE"""),"CheckDashboardPM")</f>
        <v>CheckDashboardPM</v>
      </c>
      <c r="C28" s="19" t="str">
        <f>IFERROR(__xludf.DUMMYFUNCTION("""COMPUTED_VALUE"""),"1iqfUyYqyebXIeNBGljH7-T8whBcywTlkBBU3dBZV06s")</f>
        <v>1iqfUyYqyebXIeNBGljH7-T8whBcywTlkBBU3dBZV06s</v>
      </c>
      <c r="D28" s="19" t="str">
        <f>IFERROR(__xludf.DUMMYFUNCTION("""COMPUTED_VALUE"""),"")</f>
        <v/>
      </c>
      <c r="E28" s="19" t="str">
        <f>IFERROR(__xludf.DUMMYFUNCTION("""COMPUTED_VALUE"""),"")</f>
        <v/>
      </c>
      <c r="F28" s="1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9" t="str">
        <f>IFERROR(__xludf.DUMMYFUNCTION("""COMPUTED_VALUE"""),"PortfolioManagement")</f>
        <v>PortfolioManagement</v>
      </c>
      <c r="B29" s="19" t="str">
        <f>IFERROR(__xludf.DUMMYFUNCTION("""COMPUTED_VALUE"""),"CheckPortfolioManagement")</f>
        <v>CheckPortfolioManagement</v>
      </c>
      <c r="C29" s="19" t="str">
        <f>IFERROR(__xludf.DUMMYFUNCTION("""COMPUTED_VALUE"""),"1u0XMlZJy_Slp7uXMwirinW7StOOdTcWD-D8V07sO0VA")</f>
        <v>1u0XMlZJy_Slp7uXMwirinW7StOOdTcWD-D8V07sO0VA</v>
      </c>
      <c r="D29" s="19" t="str">
        <f>IFERROR(__xludf.DUMMYFUNCTION("""COMPUTED_VALUE"""),"")</f>
        <v/>
      </c>
      <c r="E29" s="19" t="str">
        <f>IFERROR(__xludf.DUMMYFUNCTION("""COMPUTED_VALUE"""),"")</f>
        <v/>
      </c>
      <c r="F29" s="1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9" t="str">
        <f>IFERROR(__xludf.DUMMYFUNCTION("""COMPUTED_VALUE"""),"PricingInput")</f>
        <v>PricingInput</v>
      </c>
      <c r="B30" s="19" t="str">
        <f>IFERROR(__xludf.DUMMYFUNCTION("""COMPUTED_VALUE"""),"PricingInput")</f>
        <v>PricingInput</v>
      </c>
      <c r="C30" s="19" t="str">
        <f>IFERROR(__xludf.DUMMYFUNCTION("""COMPUTED_VALUE"""),"1mh3Z5PifhJ3yzX8TPeoc3H3nteNiA0V2tWFse0rVChE")</f>
        <v>1mh3Z5PifhJ3yzX8TPeoc3H3nteNiA0V2tWFse0rVChE</v>
      </c>
      <c r="D30" s="19" t="str">
        <f>IFERROR(__xludf.DUMMYFUNCTION("""COMPUTED_VALUE"""),"")</f>
        <v/>
      </c>
      <c r="E30" s="19" t="str">
        <f>IFERROR(__xludf.DUMMYFUNCTION("""COMPUTED_VALUE"""),"")</f>
        <v/>
      </c>
      <c r="F30" s="1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9" t="str">
        <f>IFERROR(__xludf.DUMMYFUNCTION("""COMPUTED_VALUE"""),"PricingInput")</f>
        <v>PricingInput</v>
      </c>
      <c r="B31" s="19" t="str">
        <f>IFERROR(__xludf.DUMMYFUNCTION("""COMPUTED_VALUE"""),"UpdateSharesOutstanding")</f>
        <v>UpdateSharesOutstanding</v>
      </c>
      <c r="C31" s="19" t="str">
        <f>IFERROR(__xludf.DUMMYFUNCTION("""COMPUTED_VALUE"""),"1vmZ6v1OyZ8SSi8bqqjK3ap3KtM_yPA_SEcIQgYiRInY")</f>
        <v>1vmZ6v1OyZ8SSi8bqqjK3ap3KtM_yPA_SEcIQgYiRInY</v>
      </c>
      <c r="D31" s="19" t="str">
        <f>IFERROR(__xludf.DUMMYFUNCTION("""COMPUTED_VALUE"""),"")</f>
        <v/>
      </c>
      <c r="E31" s="19" t="str">
        <f>IFERROR(__xludf.DUMMYFUNCTION("""COMPUTED_VALUE"""),"")</f>
        <v/>
      </c>
      <c r="F31" s="1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9" t="str">
        <f>IFERROR(__xludf.DUMMYFUNCTION("""COMPUTED_VALUE"""),"SymbolLookup")</f>
        <v>SymbolLookup</v>
      </c>
      <c r="B32" s="19" t="str">
        <f>IFERROR(__xludf.DUMMYFUNCTION("""COMPUTED_VALUE"""),"VerifySymbolLookUp")</f>
        <v>VerifySymbolLookUp</v>
      </c>
      <c r="C32" s="19" t="str">
        <f>IFERROR(__xludf.DUMMYFUNCTION("""COMPUTED_VALUE"""),"1OiI1Pi_JAFOFi8ByMaD3_qqEXSv6yQMo_u6aGTozbl8")</f>
        <v>1OiI1Pi_JAFOFi8ByMaD3_qqEXSv6yQMo_u6aGTozbl8</v>
      </c>
      <c r="D32" s="19" t="str">
        <f>IFERROR(__xludf.DUMMYFUNCTION("""COMPUTED_VALUE"""),"")</f>
        <v/>
      </c>
      <c r="E32" s="19" t="str">
        <f>IFERROR(__xludf.DUMMYFUNCTION("""COMPUTED_VALUE"""),"")</f>
        <v/>
      </c>
      <c r="F32" s="1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9" t="str">
        <f>IFERROR(__xludf.DUMMYFUNCTION("""COMPUTED_VALUE"""),"SymbolLookup")</f>
        <v>SymbolLookup</v>
      </c>
      <c r="B33" s="19" t="str">
        <f>IFERROR(__xludf.DUMMYFUNCTION("""COMPUTED_VALUE"""),"SymbolLookupFromTT")</f>
        <v>SymbolLookupFromTT</v>
      </c>
      <c r="C33" s="19" t="str">
        <f>IFERROR(__xludf.DUMMYFUNCTION("""COMPUTED_VALUE"""),"1ubfvE9sHq5KpJ9NazeH96CrVMJqAuol5Ya9GPjxWrgI")</f>
        <v>1ubfvE9sHq5KpJ9NazeH96CrVMJqAuol5Ya9GPjxWrgI</v>
      </c>
      <c r="D33" s="19" t="str">
        <f>IFERROR(__xludf.DUMMYFUNCTION("""COMPUTED_VALUE"""),"")</f>
        <v/>
      </c>
      <c r="E33" s="19" t="str">
        <f>IFERROR(__xludf.DUMMYFUNCTION("""COMPUTED_VALUE"""),"")</f>
        <v/>
      </c>
      <c r="F33" s="1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5" t="s">
        <v>12</v>
      </c>
      <c r="B1" s="2"/>
      <c r="C1" s="2"/>
      <c r="D1" s="2"/>
      <c r="E1" s="2"/>
      <c r="F1" s="3"/>
    </row>
    <row r="2">
      <c r="A2" s="19"/>
      <c r="B2" s="19"/>
      <c r="C2" s="19"/>
      <c r="D2" s="19"/>
      <c r="E2" s="19"/>
      <c r="F2" s="19"/>
    </row>
    <row r="3">
      <c r="A3" s="7" t="s">
        <v>6</v>
      </c>
      <c r="B3" s="29" t="s">
        <v>8</v>
      </c>
      <c r="C3" s="29" t="s">
        <v>22</v>
      </c>
      <c r="D3" s="30"/>
      <c r="E3" s="30"/>
      <c r="F3" s="30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1b5S4Xpp4fgZ1ez6cK92QFnVBylqz8jhwxdAyEvwDqUI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7</v>
      </c>
      <c r="D3" s="5" t="s">
        <v>8</v>
      </c>
      <c r="E3" s="14" t="s">
        <v>9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IFERROR(__xludf.DUMMYFUNCTION("""COMPUTED_VALUE"""),"TradeNewSub")</f>
        <v>TradeNewSub</v>
      </c>
      <c r="I4" s="16" t="str">
        <f>IFERROR(__xludf.DUMMYFUNCTION("""COMPUTED_VALUE"""),"CreateStageOrder")</f>
        <v>CreateStageOrder</v>
      </c>
      <c r="J4" s="16" t="str">
        <f>IFERROR(__xludf.DUMMYFUNCTION("""COMPUTED_VALUE"""),"CreateReplaceOrder")</f>
        <v>CreateReplaceOrder</v>
      </c>
      <c r="K4" s="16" t="str">
        <f>IFERROR(__xludf.DUMMYFUNCTION("""COMPUTED_VALUE"""),"SetGeneralPreference")</f>
        <v>SetGeneralPreference</v>
      </c>
      <c r="L4" s="16" t="str">
        <f>IFERROR(__xludf.DUMMYFUNCTION("""COMPUTED_VALUE"""),"CreateDoneAwayOrder")</f>
        <v>CreateDoneAwayOrder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IFERROR(__xludf.DUMMYFUNCTION("""COMPUTED_VALUE"""),"")</f>
        <v/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IFERROR(__xludf.DUMMYFUNCTION("""COMPUTED_VALUE"""),"Order Side")</f>
        <v>Order Side</v>
      </c>
      <c r="D5" s="20" t="str">
        <f>IFERROR(__xludf.DUMMYFUNCTION("""COMPUTED_VALUE"""),"Quantity")</f>
        <v>Quantity</v>
      </c>
      <c r="E5" s="20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0" t="str">
        <f>IFERROR(__xludf.DUMMYFUNCTION("""COMPUTED_VALUE"""),"Broker")</f>
        <v>Broker</v>
      </c>
      <c r="H5" s="20" t="str">
        <f>IFERROR(__xludf.DUMMYFUNCTION("""COMPUTED_VALUE"""),"TIF")</f>
        <v>TIF</v>
      </c>
      <c r="I5" s="20" t="str">
        <f>IFERROR(__xludf.DUMMYFUNCTION("""COMPUTED_VALUE"""),"Order Type")</f>
        <v>Order Type</v>
      </c>
      <c r="J5" s="20" t="str">
        <f>IFERROR(__xludf.DUMMYFUNCTION("""COMPUTED_VALUE"""),"Price")</f>
        <v>Price</v>
      </c>
      <c r="K5" s="20" t="str">
        <f>IFERROR(__xludf.DUMMYFUNCTION("""COMPUTED_VALUE"""),"Stop")</f>
        <v>Stop</v>
      </c>
      <c r="L5" s="20" t="str">
        <f>IFERROR(__xludf.DUMMYFUNCTION("""COMPUTED_VALUE"""),"Limit")</f>
        <v>Limit</v>
      </c>
      <c r="M5" s="20" t="str">
        <f>IFERROR(__xludf.DUMMYFUNCTION("""COMPUTED_VALUE"""),"Strategy")</f>
        <v>Strategy</v>
      </c>
      <c r="N5" s="20" t="str">
        <f>IFERROR(__xludf.DUMMYFUNCTION("""COMPUTED_VALUE"""),"Trade Date")</f>
        <v>Trade Date</v>
      </c>
      <c r="O5" s="20" t="str">
        <f>IFERROR(__xludf.DUMMYFUNCTION("""COMPUTED_VALUE"""),"FxRate")</f>
        <v>FxRate</v>
      </c>
      <c r="P5" s="20" t="str">
        <f>IFERROR(__xludf.DUMMYFUNCTION("""COMPUTED_VALUE"""),"Notes")</f>
        <v>Notes</v>
      </c>
      <c r="Q5" s="20" t="str">
        <f>IFERROR(__xludf.DUMMYFUNCTION("""COMPUTED_VALUE"""),"Broker Notes")</f>
        <v>Broker Notes</v>
      </c>
      <c r="R5" s="20" t="str">
        <f>IFERROR(__xludf.DUMMYFUNCTION("""COMPUTED_VALUE"""),"CommissionBasis")</f>
        <v>CommissionBasis</v>
      </c>
      <c r="S5" s="20" t="str">
        <f>IFERROR(__xludf.DUMMYFUNCTION("""COMPUTED_VALUE"""),"CommissionRate")</f>
        <v>CommissionRate</v>
      </c>
      <c r="T5" s="24" t="str">
        <f>IFERROR(__xludf.DUMMYFUNCTION("""COMPUTED_VALUE"""),"SoftBasis")</f>
        <v>SoftBasis</v>
      </c>
      <c r="U5" s="24" t="str">
        <f>IFERROR(__xludf.DUMMYFUNCTION("""COMPUTED_VALUE"""),"SoftRate")</f>
        <v>SoftRate</v>
      </c>
      <c r="V5" s="24" t="str">
        <f>IFERROR(__xludf.DUMMYFUNCTION("""COMPUTED_VALUE"""),"TradeAttribute1")</f>
        <v>TradeAttribute1</v>
      </c>
      <c r="W5" s="24" t="str">
        <f>IFERROR(__xludf.DUMMYFUNCTION("""COMPUTED_VALUE"""),"TradeAttribute2")</f>
        <v>TradeAttribute2</v>
      </c>
      <c r="X5" s="24" t="str">
        <f>IFERROR(__xludf.DUMMYFUNCTION("""COMPUTED_VALUE"""),"TradeAttribute3")</f>
        <v>TradeAttribute3</v>
      </c>
      <c r="Y5" s="24" t="str">
        <f>IFERROR(__xludf.DUMMYFUNCTION("""COMPUTED_VALUE"""),"TradeAttribute4")</f>
        <v>TradeAttribute4</v>
      </c>
      <c r="Z5" s="24" t="str">
        <f>IFERROR(__xludf.DUMMYFUNCTION("""COMPUTED_VALUE"""),"TradeAttribute5")</f>
        <v>TradeAttribute5</v>
      </c>
      <c r="AA5" s="24" t="str">
        <f>IFERROR(__xludf.DUMMYFUNCTION("""COMPUTED_VALUE"""),"TradeAttribute6")</f>
        <v>TradeAttribute6</v>
      </c>
      <c r="AB5" s="24" t="str">
        <f>IFERROR(__xludf.DUMMYFUNCTION("""COMPUTED_VALUE"""),"Venue")</f>
        <v>Venue</v>
      </c>
      <c r="AC5" s="24" t="str">
        <f>IFERROR(__xludf.DUMMYFUNCTION("""COMPUTED_VALUE"""),"ExecutionInstructions")</f>
        <v>ExecutionInstructions</v>
      </c>
      <c r="AD5" s="24" t="str">
        <f>IFERROR(__xludf.DUMMYFUNCTION("""COMPUTED_VALUE"""),"HandlingInstructions")</f>
        <v>HandlingInstructions</v>
      </c>
      <c r="AE5" s="24" t="str">
        <f>IFERROR(__xludf.DUMMYFUNCTION("""COMPUTED_VALUE"""),"Trader")</f>
        <v>Trader</v>
      </c>
      <c r="AF5" s="24" t="str">
        <f>IFERROR(__xludf.DUMMYFUNCTION("""COMPUTED_VALUE"""),"SettlementCurrency")</f>
        <v>SettlementCurrency</v>
      </c>
      <c r="AG5" s="24" t="str">
        <f>IFERROR(__xludf.DUMMYFUNCTION("""COMPUTED_VALUE"""),"SettlementFXRate")</f>
        <v>SettlementFXRate</v>
      </c>
      <c r="AH5" s="24" t="str">
        <f>IFERROR(__xludf.DUMMYFUNCTION("""COMPUTED_VALUE"""),"SettlementAmount")</f>
        <v>SettlementAmount</v>
      </c>
      <c r="AI5" s="24" t="str">
        <f>IFERROR(__xludf.DUMMYFUNCTION("""COMPUTED_VALUE"""),"SettlementFXOperator")</f>
        <v>SettlementFXOperator</v>
      </c>
      <c r="AJ5" s="24" t="str">
        <f>IFERROR(__xludf.DUMMYFUNCTION("""COMPUTED_VALUE"""),"SettleByBroker")</f>
        <v>SettleByBroker</v>
      </c>
      <c r="AK5" s="24" t="str">
        <f>IFERROR(__xludf.DUMMYFUNCTION("""COMPUTED_VALUE"""),"Account")</f>
        <v>Account</v>
      </c>
      <c r="AL5" s="24" t="str">
        <f>IFERROR(__xludf.DUMMYFUNCTION("""COMPUTED_VALUE"""),"Account %")</f>
        <v>Account %</v>
      </c>
      <c r="AM5" s="24" t="str">
        <f>IFERROR(__xludf.DUMMYFUNCTION("""COMPUTED_VALUE"""),"Deal In")</f>
        <v>Deal In</v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15</v>
      </c>
      <c r="C6" s="6" t="s">
        <v>16</v>
      </c>
      <c r="D6" s="6">
        <v>100.0</v>
      </c>
      <c r="E6" s="26"/>
      <c r="F6" s="6" t="s">
        <v>17</v>
      </c>
      <c r="G6" s="4"/>
      <c r="H6" s="4"/>
      <c r="I6" s="4"/>
      <c r="J6" s="6">
        <v>10.0</v>
      </c>
      <c r="K6" s="4"/>
      <c r="L6" s="4"/>
      <c r="M6" s="4"/>
      <c r="N6" s="28">
        <f>TODAY()</f>
        <v>43627</v>
      </c>
      <c r="O6" s="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19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IFERROR(__xludf.DUMMYFUNCTION("""COMPUTED_VALUE"""),"Account")</f>
        <v>Account</v>
      </c>
      <c r="C5" s="20" t="str">
        <f>IFERROR(__xludf.DUMMYFUNCTION("""COMPUTED_VALUE"""),"AccruedInterest")</f>
        <v>AccruedInterest</v>
      </c>
      <c r="D5" s="20" t="str">
        <f>IFERROR(__xludf.DUMMYFUNCTION("""COMPUTED_VALUE"""),"Analyst")</f>
        <v>Analyst</v>
      </c>
      <c r="E5" s="20" t="str">
        <f>IFERROR(__xludf.DUMMYFUNCTION("""COMPUTED_VALUE"""),"Asset Class")</f>
        <v>Asset Class</v>
      </c>
      <c r="F5" s="22" t="str">
        <f>IFERROR(__xludf.DUMMYFUNCTION("""COMPUTED_VALUE"""),"Asset Derivative")</f>
        <v>Asset Derivative</v>
      </c>
      <c r="G5" s="20" t="str">
        <f>IFERROR(__xludf.DUMMYFUNCTION("""COMPUTED_VALUE"""),"AUCID")</f>
        <v>AUCID</v>
      </c>
      <c r="H5" s="20" t="str">
        <f>IFERROR(__xludf.DUMMYFUNCTION("""COMPUTED_VALUE"""),"AUECModifiedDate")</f>
        <v>AUECModifiedDate</v>
      </c>
      <c r="I5" s="20" t="str">
        <f>IFERROR(__xludf.DUMMYFUNCTION("""COMPUTED_VALUE"""),"Average Price")</f>
        <v>Average Price</v>
      </c>
      <c r="J5" s="20" t="str">
        <f>IFERROR(__xludf.DUMMYFUNCTION("""COMPUTED_VALUE"""),"BloombergSymbol")</f>
        <v>BloombergSymbol</v>
      </c>
      <c r="K5" s="20" t="str">
        <f>IFERROR(__xludf.DUMMYFUNCTION("""COMPUTED_VALUE"""),"Broker")</f>
        <v>Broker</v>
      </c>
      <c r="L5" s="20" t="str">
        <f>IFERROR(__xludf.DUMMYFUNCTION("""COMPUTED_VALUE"""),"CalcBasis")</f>
        <v>CalcBasis</v>
      </c>
      <c r="M5" s="20" t="str">
        <f>IFERROR(__xludf.DUMMYFUNCTION("""COMPUTED_VALUE"""),"CashSettledPrice")</f>
        <v>CashSettledPrice</v>
      </c>
      <c r="N5" s="20" t="str">
        <f>IFERROR(__xludf.DUMMYFUNCTION("""COMPUTED_VALUE"""),"ChangeComment")</f>
        <v>ChangeComment</v>
      </c>
      <c r="O5" s="20" t="str">
        <f>IFERROR(__xludf.DUMMYFUNCTION("""COMPUTED_VALUE"""),"ChangeType")</f>
        <v>ChangeType</v>
      </c>
      <c r="P5" s="20" t="str">
        <f>IFERROR(__xludf.DUMMYFUNCTION("""COMPUTED_VALUE"""),"ClearingBrokerFee")</f>
        <v>ClearingBrokerFee</v>
      </c>
      <c r="Q5" s="20" t="str">
        <f>IFERROR(__xludf.DUMMYFUNCTION("""COMPUTED_VALUE"""),"ClearingFee")</f>
        <v>ClearingFee</v>
      </c>
      <c r="R5" s="20" t="str">
        <f>IFERROR(__xludf.DUMMYFUNCTION("""COMPUTED_VALUE"""),"ClosedTotalCommissionandFees")</f>
        <v>ClosedTotalCommissionandFees</v>
      </c>
      <c r="S5" s="20" t="str">
        <f>IFERROR(__xludf.DUMMYFUNCTION("""COMPUTED_VALUE"""),"ClosingAlgo")</f>
        <v>ClosingAlgo</v>
      </c>
      <c r="T5" s="24" t="str">
        <f>IFERROR(__xludf.DUMMYFUNCTION("""COMPUTED_VALUE"""),"ClosingDate")</f>
        <v>ClosingDate</v>
      </c>
      <c r="U5" s="24" t="str">
        <f>IFERROR(__xludf.DUMMYFUNCTION("""COMPUTED_VALUE"""),"ClosingStatus")</f>
        <v>ClosingStatus</v>
      </c>
      <c r="V5" s="24" t="str">
        <f>IFERROR(__xludf.DUMMYFUNCTION("""COMPUTED_VALUE"""),"Commission")</f>
        <v>Commission</v>
      </c>
      <c r="W5" s="24" t="str">
        <f>IFERROR(__xludf.DUMMYFUNCTION("""COMPUTED_VALUE"""),"CommissionAmt")</f>
        <v>CommissionAmt</v>
      </c>
      <c r="X5" s="24" t="str">
        <f>IFERROR(__xludf.DUMMYFUNCTION("""COMPUTED_VALUE"""),"CommissionRate")</f>
        <v>CommissionRate</v>
      </c>
      <c r="Y5" s="24" t="str">
        <f>IFERROR(__xludf.DUMMYFUNCTION("""COMPUTED_VALUE"""),"CompanyUserName")</f>
        <v>CompanyUserName</v>
      </c>
      <c r="Z5" s="24" t="str">
        <f>IFERROR(__xludf.DUMMYFUNCTION("""COMPUTED_VALUE"""),"ContractMultiplier")</f>
        <v>ContractMultiplier</v>
      </c>
      <c r="AA5" s="24" t="str">
        <f>IFERROR(__xludf.DUMMYFUNCTION("""COMPUTED_VALUE"""),"CountryName")</f>
        <v>CountryName</v>
      </c>
      <c r="AB5" s="24" t="str">
        <f>IFERROR(__xludf.DUMMYFUNCTION("""COMPUTED_VALUE"""),"CountryOfRisk")</f>
        <v>CountryOfRisk</v>
      </c>
      <c r="AC5" s="24" t="str">
        <f>IFERROR(__xludf.DUMMYFUNCTION("""COMPUTED_VALUE"""),"CumQty")</f>
        <v>CumQty</v>
      </c>
      <c r="AD5" s="24" t="str">
        <f>IFERROR(__xludf.DUMMYFUNCTION("""COMPUTED_VALUE"""),"CurrencyID")</f>
        <v>CurrencyID</v>
      </c>
      <c r="AE5" s="24" t="str">
        <f>IFERROR(__xludf.DUMMYFUNCTION("""COMPUTED_VALUE"""),"CurrencyName")</f>
        <v>CurrencyName</v>
      </c>
      <c r="AF5" s="24" t="str">
        <f>IFERROR(__xludf.DUMMYFUNCTION("""COMPUTED_VALUE"""),"CusipSymbol")</f>
        <v>CusipSymbol</v>
      </c>
      <c r="AG5" s="24" t="str">
        <f>IFERROR(__xludf.DUMMYFUNCTION("""COMPUTED_VALUE"""),"CustomUDA1")</f>
        <v>CustomUDA1</v>
      </c>
      <c r="AH5" s="24" t="str">
        <f>IFERROR(__xludf.DUMMYFUNCTION("""COMPUTED_VALUE"""),"CustomUDA2")</f>
        <v>CustomUDA2</v>
      </c>
      <c r="AI5" s="24" t="str">
        <f>IFERROR(__xludf.DUMMYFUNCTION("""COMPUTED_VALUE"""),"CustomUDA3")</f>
        <v>CustomUDA3</v>
      </c>
      <c r="AJ5" s="24" t="str">
        <f>IFERROR(__xludf.DUMMYFUNCTION("""COMPUTED_VALUE"""),"CustomUDA4")</f>
        <v>CustomUDA4</v>
      </c>
      <c r="AK5" s="24" t="str">
        <f>IFERROR(__xludf.DUMMYFUNCTION("""COMPUTED_VALUE"""),"CustomUDA5")</f>
        <v>CustomUDA5</v>
      </c>
      <c r="AL5" s="24" t="str">
        <f>IFERROR(__xludf.DUMMYFUNCTION("""COMPUTED_VALUE"""),"CustomUDA6")</f>
        <v>CustomUDA6</v>
      </c>
      <c r="AM5" s="24" t="str">
        <f>IFERROR(__xludf.DUMMYFUNCTION("""COMPUTED_VALUE"""),"CustomUDA7")</f>
        <v>CustomUDA7</v>
      </c>
      <c r="AN5" s="24" t="str">
        <f>IFERROR(__xludf.DUMMYFUNCTION("""COMPUTED_VALUE"""),"Delta")</f>
        <v>Delta</v>
      </c>
      <c r="AO5" s="24" t="str">
        <f>IFERROR(__xludf.DUMMYFUNCTION("""COMPUTED_VALUE"""),"Description")</f>
        <v>Description</v>
      </c>
      <c r="AP5" s="24" t="str">
        <f>IFERROR(__xludf.DUMMYFUNCTION("""COMPUTED_VALUE"""),"ExchangeName")</f>
        <v>ExchangeName</v>
      </c>
      <c r="AQ5" s="24" t="str">
        <f>IFERROR(__xludf.DUMMYFUNCTION("""COMPUTED_VALUE"""),"ExecutedQty")</f>
        <v>ExecutedQty</v>
      </c>
      <c r="AR5" s="24" t="str">
        <f>IFERROR(__xludf.DUMMYFUNCTION("""COMPUTED_VALUE"""),"ExpirationDate")</f>
        <v>ExpirationDate</v>
      </c>
      <c r="AS5" s="24" t="str">
        <f>IFERROR(__xludf.DUMMYFUNCTION("""COMPUTED_VALUE"""),"ExternalTransID")</f>
        <v>ExternalTransID</v>
      </c>
      <c r="AT5" s="24" t="str">
        <f>IFERROR(__xludf.DUMMYFUNCTION("""COMPUTED_VALUE"""),"FXConversionMethodOperator")</f>
        <v>FXConversionMethodOperator</v>
      </c>
      <c r="AU5" s="24" t="str">
        <f>IFERROR(__xludf.DUMMYFUNCTION("""COMPUTED_VALUE"""),"FXRate")</f>
        <v>FXRate</v>
      </c>
      <c r="AV5" s="24" t="str">
        <f>IFERROR(__xludf.DUMMYFUNCTION("""COMPUTED_VALUE"""),"GroupID")</f>
        <v>GroupID</v>
      </c>
      <c r="AW5" s="24" t="str">
        <f>IFERROR(__xludf.DUMMYFUNCTION("""COMPUTED_VALUE"""),"IDCOSymbol")</f>
        <v>IDCOSymbol</v>
      </c>
      <c r="AX5" s="24" t="str">
        <f>IFERROR(__xludf.DUMMYFUNCTION("""COMPUTED_VALUE"""),"InternalComments")</f>
        <v>InternalComments</v>
      </c>
      <c r="AY5" s="24" t="str">
        <f>IFERROR(__xludf.DUMMYFUNCTION("""COMPUTED_VALUE"""),"IsExerciseAtZero")</f>
        <v>IsExerciseAtZero</v>
      </c>
      <c r="AZ5" s="24" t="str">
        <f>IFERROR(__xludf.DUMMYFUNCTION("""COMPUTED_VALUE"""),"ISINSymbol")</f>
        <v>ISINSymbol</v>
      </c>
      <c r="BA5" s="24" t="str">
        <f>IFERROR(__xludf.DUMMYFUNCTION("""COMPUTED_VALUE"""),"IsNDF")</f>
        <v>IsNDF</v>
      </c>
      <c r="BB5" s="24" t="str">
        <f>IFERROR(__xludf.DUMMYFUNCTION("""COMPUTED_VALUE"""),"IsPosition")</f>
        <v>IsPosition</v>
      </c>
      <c r="BC5" s="24" t="str">
        <f>IFERROR(__xludf.DUMMYFUNCTION("""COMPUTED_VALUE"""),"IsPreAllocated")</f>
        <v>IsPreAllocated</v>
      </c>
      <c r="BD5" s="24" t="str">
        <f>IFERROR(__xludf.DUMMYFUNCTION("""COMPUTED_VALUE"""),"Issuer")</f>
        <v>Issuer</v>
      </c>
      <c r="BE5" s="24" t="str">
        <f>IFERROR(__xludf.DUMMYFUNCTION("""COMPUTED_VALUE"""),"IsSwapped")</f>
        <v>IsSwapped</v>
      </c>
      <c r="BF5" s="24" t="str">
        <f>IFERROR(__xludf.DUMMYFUNCTION("""COMPUTED_VALUE"""),"LeadCurrencyID")</f>
        <v>LeadCurrencyID</v>
      </c>
      <c r="BG5" s="24" t="str">
        <f>IFERROR(__xludf.DUMMYFUNCTION("""COMPUTED_VALUE"""),"LiquidTag")</f>
        <v>LiquidTag</v>
      </c>
      <c r="BH5" s="24" t="str">
        <f>IFERROR(__xludf.DUMMYFUNCTION("""COMPUTED_VALUE"""),"LongOrShort")</f>
        <v>LongOrShort</v>
      </c>
      <c r="BI5" s="24" t="str">
        <f>IFERROR(__xludf.DUMMYFUNCTION("""COMPUTED_VALUE"""),"LotId")</f>
        <v>LotId</v>
      </c>
      <c r="BJ5" s="24" t="str">
        <f>IFERROR(__xludf.DUMMYFUNCTION("""COMPUTED_VALUE"""),"M2MProfitLoss")</f>
        <v>M2MProfitLoss</v>
      </c>
      <c r="BK5" s="24" t="str">
        <f>IFERROR(__xludf.DUMMYFUNCTION("""COMPUTED_VALUE"""),"MarkPrice")</f>
        <v>MarkPrice</v>
      </c>
      <c r="BL5" s="24" t="str">
        <f>IFERROR(__xludf.DUMMYFUNCTION("""COMPUTED_VALUE"""),"MasterFund")</f>
        <v>MasterFund</v>
      </c>
      <c r="BM5" s="24" t="str">
        <f>IFERROR(__xludf.DUMMYFUNCTION("""COMPUTED_VALUE"""),"MiscFees")</f>
        <v>MiscFees</v>
      </c>
      <c r="BN5" s="24" t="str">
        <f>IFERROR(__xludf.DUMMYFUNCTION("""COMPUTED_VALUE"""),"NavLockStatus")</f>
        <v>NavLockStatus</v>
      </c>
      <c r="BO5" s="24" t="str">
        <f>IFERROR(__xludf.DUMMYFUNCTION("""COMPUTED_VALUE"""),"Net Notional")</f>
        <v>Net Notional</v>
      </c>
      <c r="BP5" s="24" t="str">
        <f>IFERROR(__xludf.DUMMYFUNCTION("""COMPUTED_VALUE"""),"NirvanaProcessDate")</f>
        <v>NirvanaProcessDate</v>
      </c>
      <c r="BQ5" s="24" t="str">
        <f>IFERROR(__xludf.DUMMYFUNCTION("""COMPUTED_VALUE"""),"OccFee")</f>
        <v>OccFee</v>
      </c>
      <c r="BR5" s="24" t="str">
        <f>IFERROR(__xludf.DUMMYFUNCTION("""COMPUTED_VALUE"""),"OptionPremiumAdjustment")</f>
        <v>OptionPremiumAdjustment</v>
      </c>
      <c r="BS5" s="24" t="str">
        <f>IFERROR(__xludf.DUMMYFUNCTION("""COMPUTED_VALUE"""),"OrderSideTagValue")</f>
        <v>OrderSideTagValue</v>
      </c>
      <c r="BT5" s="24" t="str">
        <f>IFERROR(__xludf.DUMMYFUNCTION("""COMPUTED_VALUE"""),"OrderType")</f>
        <v>OrderType</v>
      </c>
      <c r="BU5" s="24" t="str">
        <f>IFERROR(__xludf.DUMMYFUNCTION("""COMPUTED_VALUE"""),"OrfFee")</f>
        <v>OrfFee</v>
      </c>
      <c r="BV5" s="24" t="str">
        <f>IFERROR(__xludf.DUMMYFUNCTION("""COMPUTED_VALUE"""),"Original Side")</f>
        <v>Original Side</v>
      </c>
      <c r="BW5" s="24" t="str">
        <f>IFERROR(__xludf.DUMMYFUNCTION("""COMPUTED_VALUE"""),"OriginalPurchase Date")</f>
        <v>OriginalPurchase Date</v>
      </c>
      <c r="BX5" s="24" t="str">
        <f>IFERROR(__xludf.DUMMYFUNCTION("""COMPUTED_VALUE"""),"OSISymbol")</f>
        <v>OSISymbol</v>
      </c>
      <c r="BY5" s="24" t="str">
        <f>IFERROR(__xludf.DUMMYFUNCTION("""COMPUTED_VALUE"""),"OtherBrokerFees")</f>
        <v>OtherBrokerFees</v>
      </c>
      <c r="BZ5" s="24" t="str">
        <f>IFERROR(__xludf.DUMMYFUNCTION("""COMPUTED_VALUE"""),"ParentRowPK")</f>
        <v>ParentRowPK</v>
      </c>
      <c r="CA5" s="24" t="str">
        <f>IFERROR(__xludf.DUMMYFUNCTION("""COMPUTED_VALUE"""),"Percentage")</f>
        <v>Percentage</v>
      </c>
      <c r="CB5" s="24" t="str">
        <f>IFERROR(__xludf.DUMMYFUNCTION("""COMPUTED_VALUE"""),"PositionTag")</f>
        <v>PositionTag</v>
      </c>
      <c r="CC5" s="24" t="str">
        <f>IFERROR(__xludf.DUMMYFUNCTION("""COMPUTED_VALUE"""),"PositionType")</f>
        <v>PositionType</v>
      </c>
      <c r="CD5" s="24" t="str">
        <f>IFERROR(__xludf.DUMMYFUNCTION("""COMPUTED_VALUE"""),"Process Date")</f>
        <v>Process Date</v>
      </c>
      <c r="CE5" s="24" t="str">
        <f>IFERROR(__xludf.DUMMYFUNCTION("""COMPUTED_VALUE"""),"ProxySymbol")</f>
        <v>ProxySymbol</v>
      </c>
      <c r="CF5" s="24" t="str">
        <f>IFERROR(__xludf.DUMMYFUNCTION("""COMPUTED_VALUE"""),"PutOrCall")</f>
        <v>PutOrCall</v>
      </c>
      <c r="CG5" s="24" t="str">
        <f>IFERROR(__xludf.DUMMYFUNCTION("""COMPUTED_VALUE"""),"Quantity")</f>
        <v>Quantity</v>
      </c>
      <c r="CH5" s="24" t="str">
        <f>IFERROR(__xludf.DUMMYFUNCTION("""COMPUTED_VALUE"""),"Region")</f>
        <v>Region</v>
      </c>
      <c r="CI5" s="24" t="str">
        <f>IFERROR(__xludf.DUMMYFUNCTION("""COMPUTED_VALUE"""),"ReutersSymbol")</f>
        <v>ReutersSymbol</v>
      </c>
      <c r="CJ5" s="24" t="str">
        <f>IFERROR(__xludf.DUMMYFUNCTION("""COMPUTED_VALUE"""),"RiskCurrency")</f>
        <v>RiskCurrency</v>
      </c>
      <c r="CK5" s="24" t="str">
        <f>IFERROR(__xludf.DUMMYFUNCTION("""COMPUTED_VALUE"""),"SecFee")</f>
        <v>SecFee</v>
      </c>
      <c r="CL5" s="24" t="str">
        <f>IFERROR(__xludf.DUMMYFUNCTION("""COMPUTED_VALUE"""),"SectorName")</f>
        <v>SectorName</v>
      </c>
      <c r="CM5" s="24" t="str">
        <f>IFERROR(__xludf.DUMMYFUNCTION("""COMPUTED_VALUE"""),"Security Name")</f>
        <v>Security Name</v>
      </c>
      <c r="CN5" s="24" t="str">
        <f>IFERROR(__xludf.DUMMYFUNCTION("""COMPUTED_VALUE"""),"SecurityTypeName")</f>
        <v>SecurityTypeName</v>
      </c>
      <c r="CO5" s="24" t="str">
        <f>IFERROR(__xludf.DUMMYFUNCTION("""COMPUTED_VALUE"""),"SedolSymbol")</f>
        <v>SedolSymbol</v>
      </c>
      <c r="CP5" s="24" t="str">
        <f>IFERROR(__xludf.DUMMYFUNCTION("""COMPUTED_VALUE"""),"SettlCurrAmt")</f>
        <v>SettlCurrAmt</v>
      </c>
      <c r="CQ5" s="24" t="str">
        <f>IFERROR(__xludf.DUMMYFUNCTION("""COMPUTED_VALUE"""),"SettlCurrFxRate")</f>
        <v>SettlCurrFxRate</v>
      </c>
      <c r="CR5" s="24" t="str">
        <f>IFERROR(__xludf.DUMMYFUNCTION("""COMPUTED_VALUE"""),"SettlCurrFxRateCalc")</f>
        <v>SettlCurrFxRateCalc</v>
      </c>
      <c r="CS5" s="24" t="str">
        <f>IFERROR(__xludf.DUMMYFUNCTION("""COMPUTED_VALUE"""),"SettlCurrUnitCost")</f>
        <v>SettlCurrUnitCost</v>
      </c>
      <c r="CT5" s="24" t="str">
        <f>IFERROR(__xludf.DUMMYFUNCTION("""COMPUTED_VALUE"""),"Settlement Mode")</f>
        <v>Settlement Mode</v>
      </c>
      <c r="CU5" s="24" t="str">
        <f>IFERROR(__xludf.DUMMYFUNCTION("""COMPUTED_VALUE"""),"Settlement Qty")</f>
        <v>Settlement Qty</v>
      </c>
      <c r="CV5" s="24" t="str">
        <f>IFERROR(__xludf.DUMMYFUNCTION("""COMPUTED_VALUE"""),"SettlementCurrencyID")</f>
        <v>SettlementCurrencyID</v>
      </c>
      <c r="CW5" s="24" t="str">
        <f>IFERROR(__xludf.DUMMYFUNCTION("""COMPUTED_VALUE"""),"SettlementDate")</f>
        <v>SettlementDate</v>
      </c>
      <c r="CX5" s="24" t="str">
        <f>IFERROR(__xludf.DUMMYFUNCTION("""COMPUTED_VALUE"""),"SideMultiplier")</f>
        <v>SideMultiplier</v>
      </c>
      <c r="CY5" s="24" t="str">
        <f>IFERROR(__xludf.DUMMYFUNCTION("""COMPUTED_VALUE"""),"SoftCommission")</f>
        <v>SoftCommission</v>
      </c>
      <c r="CZ5" s="24" t="str">
        <f>IFERROR(__xludf.DUMMYFUNCTION("""COMPUTED_VALUE"""),"SoftCommissionAmt")</f>
        <v>SoftCommissionAmt</v>
      </c>
      <c r="DA5" s="24" t="str">
        <f>IFERROR(__xludf.DUMMYFUNCTION("""COMPUTED_VALUE"""),"SoftCommissionCalcBasis")</f>
        <v>SoftCommissionCalcBasis</v>
      </c>
      <c r="DB5" s="24" t="str">
        <f>IFERROR(__xludf.DUMMYFUNCTION("""COMPUTED_VALUE"""),"SoftCommissionRate")</f>
        <v>SoftCommissionRate</v>
      </c>
      <c r="DC5" s="24" t="str">
        <f>IFERROR(__xludf.DUMMYFUNCTION("""COMPUTED_VALUE"""),"StampDuty")</f>
        <v>StampDuty</v>
      </c>
      <c r="DD5" s="24" t="str">
        <f>IFERROR(__xludf.DUMMYFUNCTION("""COMPUTED_VALUE"""),"Strategy")</f>
        <v>Strategy</v>
      </c>
      <c r="DE5" s="24" t="str">
        <f>IFERROR(__xludf.DUMMYFUNCTION("""COMPUTED_VALUE"""),"StrikePrice")</f>
        <v>StrikePrice</v>
      </c>
      <c r="DF5" s="24" t="str">
        <f>IFERROR(__xludf.DUMMYFUNCTION("""COMPUTED_VALUE"""),"SubSectorName")</f>
        <v>SubSectorName</v>
      </c>
      <c r="DG5" s="24" t="str">
        <f>IFERROR(__xludf.DUMMYFUNCTION("""COMPUTED_VALUE"""),"SwapParameters")</f>
        <v>SwapParameters</v>
      </c>
      <c r="DH5" s="24" t="str">
        <f>IFERROR(__xludf.DUMMYFUNCTION("""COMPUTED_VALUE"""),"Symbol")</f>
        <v>Symbol</v>
      </c>
      <c r="DI5" s="24" t="str">
        <f>IFERROR(__xludf.DUMMYFUNCTION("""COMPUTED_VALUE"""),"TaxlotClosingId")</f>
        <v>TaxlotClosingId</v>
      </c>
      <c r="DJ5" s="24" t="str">
        <f>IFERROR(__xludf.DUMMYFUNCTION("""COMPUTED_VALUE"""),"TaxLotID")</f>
        <v>TaxLotID</v>
      </c>
      <c r="DK5" s="24" t="str">
        <f>IFERROR(__xludf.DUMMYFUNCTION("""COMPUTED_VALUE"""),"TaxlotPk")</f>
        <v>TaxlotPk</v>
      </c>
      <c r="DL5" s="24" t="str">
        <f>IFERROR(__xludf.DUMMYFUNCTION("""COMPUTED_VALUE"""),"TaxLotQtyToClose")</f>
        <v>TaxLotQtyToClose</v>
      </c>
      <c r="DM5" s="24" t="str">
        <f>IFERROR(__xludf.DUMMYFUNCTION("""COMPUTED_VALUE"""),"TaxonCommissions")</f>
        <v>TaxonCommissions</v>
      </c>
      <c r="DN5" s="24" t="str">
        <f>IFERROR(__xludf.DUMMYFUNCTION("""COMPUTED_VALUE"""),"TimeOfSaveUTC")</f>
        <v>TimeOfSaveUTC</v>
      </c>
      <c r="DO5" s="24" t="str">
        <f>IFERROR(__xludf.DUMMYFUNCTION("""COMPUTED_VALUE"""),"TotalCommission&amp;Fees")</f>
        <v>TotalCommission&amp;Fees</v>
      </c>
      <c r="DP5" s="24" t="str">
        <f>IFERROR(__xludf.DUMMYFUNCTION("""COMPUTED_VALUE"""),"TotalCommissionandFees")</f>
        <v>TotalCommissionandFees</v>
      </c>
      <c r="DQ5" s="24" t="str">
        <f>IFERROR(__xludf.DUMMYFUNCTION("""COMPUTED_VALUE"""),"Tradedate")</f>
        <v>Tradedate</v>
      </c>
      <c r="DR5" s="24" t="str">
        <f>IFERROR(__xludf.DUMMYFUNCTION("""COMPUTED_VALUE"""),"TradeAttribute1")</f>
        <v>TradeAttribute1</v>
      </c>
      <c r="DS5" s="24" t="str">
        <f>IFERROR(__xludf.DUMMYFUNCTION("""COMPUTED_VALUE"""),"TradeAttribute2")</f>
        <v>TradeAttribute2</v>
      </c>
      <c r="DT5" s="24" t="str">
        <f>IFERROR(__xludf.DUMMYFUNCTION("""COMPUTED_VALUE"""),"TradeAttribute3")</f>
        <v>TradeAttribute3</v>
      </c>
      <c r="DU5" s="24" t="str">
        <f>IFERROR(__xludf.DUMMYFUNCTION("""COMPUTED_VALUE"""),"TradeAttribute4")</f>
        <v>TradeAttribute4</v>
      </c>
      <c r="DV5" s="24" t="str">
        <f>IFERROR(__xludf.DUMMYFUNCTION("""COMPUTED_VALUE"""),"TradeAttribute5")</f>
        <v>TradeAttribute5</v>
      </c>
      <c r="DW5" s="24" t="str">
        <f>IFERROR(__xludf.DUMMYFUNCTION("""COMPUTED_VALUE"""),"TradeAttribute6")</f>
        <v>TradeAttribute6</v>
      </c>
      <c r="DX5" s="24" t="str">
        <f>IFERROR(__xludf.DUMMYFUNCTION("""COMPUTED_VALUE"""),"TradingAccountName")</f>
        <v>TradingAccountName</v>
      </c>
      <c r="DY5" s="24" t="str">
        <f>IFERROR(__xludf.DUMMYFUNCTION("""COMPUTED_VALUE"""),"TransactionLevy")</f>
        <v>TransactionLevy</v>
      </c>
      <c r="DZ5" s="24" t="str">
        <f>IFERROR(__xludf.DUMMYFUNCTION("""COMPUTED_VALUE"""),"TransactionType")</f>
        <v>TransactionType</v>
      </c>
      <c r="EA5" s="24" t="str">
        <f>IFERROR(__xludf.DUMMYFUNCTION("""COMPUTED_VALUE"""),"UcitsEligibleTag")</f>
        <v>UcitsEligibleTag</v>
      </c>
      <c r="EB5" s="24" t="str">
        <f>IFERROR(__xludf.DUMMYFUNCTION("""COMPUTED_VALUE"""),"UDAAsset")</f>
        <v>UDAAsset</v>
      </c>
      <c r="EC5" s="24" t="str">
        <f>IFERROR(__xludf.DUMMYFUNCTION("""COMPUTED_VALUE"""),"UnderlyingDelta")</f>
        <v>UnderlyingDelta</v>
      </c>
      <c r="ED5" s="24" t="str">
        <f>IFERROR(__xludf.DUMMYFUNCTION("""COMPUTED_VALUE"""),"UnderlyingName")</f>
        <v>UnderlyingName</v>
      </c>
      <c r="EE5" s="24" t="str">
        <f>IFERROR(__xludf.DUMMYFUNCTION("""COMPUTED_VALUE"""),"UnderlyingSymbol")</f>
        <v>UnderlyingSymbol</v>
      </c>
      <c r="EF5" s="24" t="str">
        <f>IFERROR(__xludf.DUMMYFUNCTION("""COMPUTED_VALUE"""),"UnitCost")</f>
        <v>UnitCost</v>
      </c>
      <c r="EG5" s="24" t="str">
        <f>IFERROR(__xludf.DUMMYFUNCTION("""COMPUTED_VALUE"""),"UnRealizedPNL")</f>
        <v>UnRealizedPNL</v>
      </c>
      <c r="EH5" s="24" t="str">
        <f>IFERROR(__xludf.DUMMYFUNCTION("""COMPUTED_VALUE"""),"Venue")</f>
        <v>Venue</v>
      </c>
      <c r="EI5" s="24" t="str">
        <f>IFERROR(__xludf.DUMMYFUNCTION("""COMPUTED_VALUE"""),"VsCurrencyID")</f>
        <v>VsCurrencyID</v>
      </c>
      <c r="EJ5" s="24" t="str">
        <f>IFERROR(__xludf.DUMMYFUNCTION("""COMPUTED_VALUE"""),"WorkflowState")</f>
        <v>WorkflowState</v>
      </c>
      <c r="EK5" s="24" t="str">
        <f>IFERROR(__xludf.DUMMYFUNCTION("""COMPUTED_VALUE"""),"AvgPriceBase")</f>
        <v>AvgPriceBase</v>
      </c>
      <c r="EL5" s="24" t="str">
        <f>IFERROR(__xludf.DUMMYFUNCTION("""COMPUTED_VALUE"""),"MarketCap")</f>
        <v>MarketCap</v>
      </c>
      <c r="EM5" s="24" t="str">
        <f>IFERROR(__xludf.DUMMYFUNCTION("""COMPUTED_VALUE"""),"UnitCostBase")</f>
        <v>UnitCostBase</v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17</v>
      </c>
      <c r="C6" s="4"/>
      <c r="D6" s="6"/>
      <c r="E6" s="6" t="s">
        <v>20</v>
      </c>
      <c r="F6" s="4"/>
      <c r="G6" s="4"/>
      <c r="H6" s="4"/>
      <c r="I6" s="6">
        <v>10.0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21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IFERROR(__xludf.DUMMYFUNCTION("""COMPUTED_VALUE"""),"RangeType")</f>
        <v>RangeType</v>
      </c>
      <c r="C5" s="20" t="str">
        <f>IFERROR(__xludf.DUMMYFUNCTION("""COMPUTED_VALUE"""),"From")</f>
        <v>From</v>
      </c>
      <c r="D5" s="20" t="str">
        <f>IFERROR(__xludf.DUMMYFUNCTION("""COMPUTED_VALUE"""),"To")</f>
        <v>To</v>
      </c>
      <c r="E5" s="20" t="str">
        <f>IFERROR(__xludf.DUMMYFUNCTION("""COMPUTED_VALUE"""),"Account Filter")</f>
        <v>Account Filter</v>
      </c>
      <c r="F5" s="22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4" t="str">
        <f>IFERROR(__xludf.DUMMYFUNCTION("""COMPUTED_VALUE"""),"")</f>
        <v/>
      </c>
      <c r="U5" s="24" t="str">
        <f>IFERROR(__xludf.DUMMYFUNCTION("""COMPUTED_VALUE"""),"")</f>
        <v/>
      </c>
      <c r="V5" s="24" t="str">
        <f>IFERROR(__xludf.DUMMYFUNCTION("""COMPUTED_VALUE"""),"")</f>
        <v/>
      </c>
      <c r="W5" s="24" t="str">
        <f>IFERROR(__xludf.DUMMYFUNCTION("""COMPUTED_VALUE"""),"")</f>
        <v/>
      </c>
      <c r="X5" s="24" t="str">
        <f>IFERROR(__xludf.DUMMYFUNCTION("""COMPUTED_VALUE"""),"")</f>
        <v/>
      </c>
      <c r="Y5" s="24" t="str">
        <f>IFERROR(__xludf.DUMMYFUNCTION("""COMPUTED_VALUE"""),"")</f>
        <v/>
      </c>
      <c r="Z5" s="24" t="str">
        <f>IFERROR(__xludf.DUMMYFUNCTION("""COMPUTED_VALUE"""),"")</f>
        <v/>
      </c>
      <c r="AA5" s="24" t="str">
        <f>IFERROR(__xludf.DUMMYFUNCTION("""COMPUTED_VALUE"""),"")</f>
        <v/>
      </c>
      <c r="AB5" s="24" t="str">
        <f>IFERROR(__xludf.DUMMYFUNCTION("""COMPUTED_VALUE"""),"")</f>
        <v/>
      </c>
      <c r="AC5" s="24" t="str">
        <f>IFERROR(__xludf.DUMMYFUNCTION("""COMPUTED_VALUE"""),"")</f>
        <v/>
      </c>
      <c r="AD5" s="24" t="str">
        <f>IFERROR(__xludf.DUMMYFUNCTION("""COMPUTED_VALUE"""),"")</f>
        <v/>
      </c>
      <c r="AE5" s="24" t="str">
        <f>IFERROR(__xludf.DUMMYFUNCTION("""COMPUTED_VALUE"""),"")</f>
        <v/>
      </c>
      <c r="AF5" s="24" t="str">
        <f>IFERROR(__xludf.DUMMYFUNCTION("""COMPUTED_VALUE"""),"")</f>
        <v/>
      </c>
      <c r="AG5" s="24" t="str">
        <f>IFERROR(__xludf.DUMMYFUNCTION("""COMPUTED_VALUE"""),"")</f>
        <v/>
      </c>
      <c r="AH5" s="24" t="str">
        <f>IFERROR(__xludf.DUMMYFUNCTION("""COMPUTED_VALUE"""),"")</f>
        <v/>
      </c>
      <c r="AI5" s="24" t="str">
        <f>IFERROR(__xludf.DUMMYFUNCTION("""COMPUTED_VALUE"""),"")</f>
        <v/>
      </c>
      <c r="AJ5" s="24" t="str">
        <f>IFERROR(__xludf.DUMMYFUNCTION("""COMPUTED_VALUE"""),"")</f>
        <v/>
      </c>
      <c r="AK5" s="24" t="str">
        <f>IFERROR(__xludf.DUMMYFUNCTION("""COMPUTED_VALUE"""),"")</f>
        <v/>
      </c>
      <c r="AL5" s="24" t="str">
        <f>IFERROR(__xludf.DUMMYFUNCTION("""COMPUTED_VALUE"""),"")</f>
        <v/>
      </c>
      <c r="AM5" s="24" t="str">
        <f>IFERROR(__xludf.DUMMYFUNCTION("""COMPUTED_VALUE"""),"")</f>
        <v/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23</v>
      </c>
      <c r="C6" s="28"/>
      <c r="D6" s="28"/>
      <c r="E6" s="6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24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IFERROR(__xludf.DUMMYFUNCTION("""COMPUTED_VALUE"""),"Account")</f>
        <v>Account</v>
      </c>
      <c r="C5" s="20" t="str">
        <f>IFERROR(__xludf.DUMMYFUNCTION("""COMPUTED_VALUE"""),"Asset Class")</f>
        <v>Asset Class</v>
      </c>
      <c r="D5" s="20" t="str">
        <f>IFERROR(__xludf.DUMMYFUNCTION("""COMPUTED_VALUE"""),"checkBox")</f>
        <v>checkBox</v>
      </c>
      <c r="E5" s="20" t="str">
        <f>IFERROR(__xludf.DUMMYFUNCTION("""COMPUTED_VALUE"""),"Close Date")</f>
        <v>Close Date</v>
      </c>
      <c r="F5" s="22" t="str">
        <f>IFERROR(__xludf.DUMMYFUNCTION("""COMPUTED_VALUE"""),"ClosedAveragePrice")</f>
        <v>ClosedAveragePrice</v>
      </c>
      <c r="G5" s="20" t="str">
        <f>IFERROR(__xludf.DUMMYFUNCTION("""COMPUTED_VALUE"""),"ClosedQty")</f>
        <v>ClosedQty</v>
      </c>
      <c r="H5" s="20" t="str">
        <f>IFERROR(__xludf.DUMMYFUNCTION("""COMPUTED_VALUE"""),"Closing Method")</f>
        <v>Closing Method</v>
      </c>
      <c r="I5" s="20" t="str">
        <f>IFERROR(__xludf.DUMMYFUNCTION("""COMPUTED_VALUE"""),"ClosingID")</f>
        <v>ClosingID</v>
      </c>
      <c r="J5" s="20" t="str">
        <f>IFERROR(__xludf.DUMMYFUNCTION("""COMPUTED_VALUE"""),"ClosingMode")</f>
        <v>ClosingMode</v>
      </c>
      <c r="K5" s="20" t="str">
        <f>IFERROR(__xludf.DUMMYFUNCTION("""COMPUTED_VALUE"""),"ClosingPositionTag")</f>
        <v>ClosingPositionTag</v>
      </c>
      <c r="L5" s="20" t="str">
        <f>IFERROR(__xludf.DUMMYFUNCTION("""COMPUTED_VALUE"""),"ClosingSide")</f>
        <v>ClosingSide</v>
      </c>
      <c r="M5" s="20" t="str">
        <f>IFERROR(__xludf.DUMMYFUNCTION("""COMPUTED_VALUE"""),"ClosingTotalCommissionandFees")</f>
        <v>ClosingTotalCommissionandFees</v>
      </c>
      <c r="N5" s="20" t="str">
        <f>IFERROR(__xludf.DUMMYFUNCTION("""COMPUTED_VALUE"""),"CostBasisGrossPNL")</f>
        <v>CostBasisGrossPNL</v>
      </c>
      <c r="O5" s="20" t="str">
        <f>IFERROR(__xludf.DUMMYFUNCTION("""COMPUTED_VALUE"""),"Currency")</f>
        <v>Currency</v>
      </c>
      <c r="P5" s="20" t="str">
        <f>IFERROR(__xludf.DUMMYFUNCTION("""COMPUTED_VALUE"""),"CurrencyID")</f>
        <v>CurrencyID</v>
      </c>
      <c r="Q5" s="20" t="str">
        <f>IFERROR(__xludf.DUMMYFUNCTION("""COMPUTED_VALUE"""),"Exchange")</f>
        <v>Exchange</v>
      </c>
      <c r="R5" s="20" t="str">
        <f>IFERROR(__xludf.DUMMYFUNCTION("""COMPUTED_VALUE"""),"NotionalChange")</f>
        <v>NotionalChange</v>
      </c>
      <c r="S5" s="20" t="str">
        <f>IFERROR(__xludf.DUMMYFUNCTION("""COMPUTED_VALUE"""),"OpenAveragePrice")</f>
        <v>OpenAveragePrice</v>
      </c>
      <c r="T5" s="24" t="str">
        <f>IFERROR(__xludf.DUMMYFUNCTION("""COMPUTED_VALUE"""),"Original Purchase Date")</f>
        <v>Original Purchase Date</v>
      </c>
      <c r="U5" s="24" t="str">
        <f>IFERROR(__xludf.DUMMYFUNCTION("""COMPUTED_VALUE"""),"Position Type")</f>
        <v>Position Type</v>
      </c>
      <c r="V5" s="24" t="str">
        <f>IFERROR(__xludf.DUMMYFUNCTION("""COMPUTED_VALUE"""),"PositionSide")</f>
        <v>PositionSide</v>
      </c>
      <c r="W5" s="24" t="str">
        <f>IFERROR(__xludf.DUMMYFUNCTION("""COMPUTED_VALUE"""),"PositionTotalCommissionandFees")</f>
        <v>PositionTotalCommissionandFees</v>
      </c>
      <c r="X5" s="24" t="str">
        <f>IFERROR(__xludf.DUMMYFUNCTION("""COMPUTED_VALUE"""),"Realized PNL(C.B.)")</f>
        <v>Realized PNL(C.B.)</v>
      </c>
      <c r="Y5" s="24" t="str">
        <f>IFERROR(__xludf.DUMMYFUNCTION("""COMPUTED_VALUE"""),"Side")</f>
        <v>Side</v>
      </c>
      <c r="Z5" s="24" t="str">
        <f>IFERROR(__xludf.DUMMYFUNCTION("""COMPUTED_VALUE"""),"Strategy")</f>
        <v>Strategy</v>
      </c>
      <c r="AA5" s="24" t="str">
        <f>IFERROR(__xludf.DUMMYFUNCTION("""COMPUTED_VALUE"""),"Symbol")</f>
        <v>Symbol</v>
      </c>
      <c r="AB5" s="24" t="str">
        <f>IFERROR(__xludf.DUMMYFUNCTION("""COMPUTED_VALUE"""),"Taxlot ID")</f>
        <v>Taxlot ID</v>
      </c>
      <c r="AC5" s="24" t="str">
        <f>IFERROR(__xludf.DUMMYFUNCTION("""COMPUTED_VALUE"""),"UnderlyingName")</f>
        <v>UnderlyingName</v>
      </c>
      <c r="AD5" s="24" t="str">
        <f>IFERROR(__xludf.DUMMYFUNCTION("""COMPUTED_VALUE"""),"")</f>
        <v/>
      </c>
      <c r="AE5" s="24" t="str">
        <f>IFERROR(__xludf.DUMMYFUNCTION("""COMPUTED_VALUE"""),"")</f>
        <v/>
      </c>
      <c r="AF5" s="24" t="str">
        <f>IFERROR(__xludf.DUMMYFUNCTION("""COMPUTED_VALUE"""),"")</f>
        <v/>
      </c>
      <c r="AG5" s="24" t="str">
        <f>IFERROR(__xludf.DUMMYFUNCTION("""COMPUTED_VALUE"""),"")</f>
        <v/>
      </c>
      <c r="AH5" s="24" t="str">
        <f>IFERROR(__xludf.DUMMYFUNCTION("""COMPUTED_VALUE"""),"")</f>
        <v/>
      </c>
      <c r="AI5" s="24" t="str">
        <f>IFERROR(__xludf.DUMMYFUNCTION("""COMPUTED_VALUE"""),"")</f>
        <v/>
      </c>
      <c r="AJ5" s="24" t="str">
        <f>IFERROR(__xludf.DUMMYFUNCTION("""COMPUTED_VALUE"""),"")</f>
        <v/>
      </c>
      <c r="AK5" s="24" t="str">
        <f>IFERROR(__xludf.DUMMYFUNCTION("""COMPUTED_VALUE"""),"")</f>
        <v/>
      </c>
      <c r="AL5" s="24" t="str">
        <f>IFERROR(__xludf.DUMMYFUNCTION("""COMPUTED_VALUE"""),"")</f>
        <v/>
      </c>
      <c r="AM5" s="24" t="str">
        <f>IFERROR(__xludf.DUMMYFUNCTION("""COMPUTED_VALUE"""),"")</f>
        <v/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17</v>
      </c>
      <c r="C6" s="6" t="s">
        <v>20</v>
      </c>
      <c r="D6" s="6"/>
      <c r="E6" s="28"/>
      <c r="F6" s="6">
        <v>10.0</v>
      </c>
      <c r="G6" s="6">
        <v>100.0</v>
      </c>
      <c r="H6" s="6" t="s">
        <v>25</v>
      </c>
      <c r="I6" s="4"/>
      <c r="J6" s="6" t="s">
        <v>26</v>
      </c>
      <c r="K6" s="4"/>
      <c r="L6" s="6"/>
      <c r="M6" s="4"/>
      <c r="N6" s="4"/>
      <c r="O6" s="4"/>
      <c r="T6" s="32"/>
      <c r="V6" s="27" t="s">
        <v>27</v>
      </c>
      <c r="Y6" s="27" t="s">
        <v>16</v>
      </c>
      <c r="AA6" s="27" t="s">
        <v>15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28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IFERROR(__xludf.DUMMYFUNCTION("""COMPUTED_VALUE"""),"AccrudInterest")</f>
        <v>AccrudInterest</v>
      </c>
      <c r="C5" s="20" t="str">
        <f>IFERROR(__xludf.DUMMYFUNCTION("""COMPUTED_VALUE"""),"Analyst")</f>
        <v>Analyst</v>
      </c>
      <c r="D5" s="20" t="str">
        <f>IFERROR(__xludf.DUMMYFUNCTION("""COMPUTED_VALUE"""),"Asset Class")</f>
        <v>Asset Class</v>
      </c>
      <c r="E5" s="20" t="str">
        <f>IFERROR(__xludf.DUMMYFUNCTION("""COMPUTED_VALUE"""),"AUCID")</f>
        <v>AUCID</v>
      </c>
      <c r="F5" s="22" t="str">
        <f>IFERROR(__xludf.DUMMYFUNCTION("""COMPUTED_VALUE"""),"AUECModifiedDate")</f>
        <v>AUECModifiedDate</v>
      </c>
      <c r="G5" s="20" t="str">
        <f>IFERROR(__xludf.DUMMYFUNCTION("""COMPUTED_VALUE"""),"Average Price")</f>
        <v>Average Price</v>
      </c>
      <c r="H5" s="20" t="str">
        <f>IFERROR(__xludf.DUMMYFUNCTION("""COMPUTED_VALUE"""),"BloombergSymbol")</f>
        <v>BloombergSymbol</v>
      </c>
      <c r="I5" s="20" t="str">
        <f>IFERROR(__xludf.DUMMYFUNCTION("""COMPUTED_VALUE"""),"CalcBasis")</f>
        <v>CalcBasis</v>
      </c>
      <c r="J5" s="20" t="str">
        <f>IFERROR(__xludf.DUMMYFUNCTION("""COMPUTED_VALUE"""),"CashSettledPrice")</f>
        <v>CashSettledPrice</v>
      </c>
      <c r="K5" s="20" t="str">
        <f>IFERROR(__xludf.DUMMYFUNCTION("""COMPUTED_VALUE"""),"ChangeComment")</f>
        <v>ChangeComment</v>
      </c>
      <c r="L5" s="20" t="str">
        <f>IFERROR(__xludf.DUMMYFUNCTION("""COMPUTED_VALUE"""),"ChangeType")</f>
        <v>ChangeType</v>
      </c>
      <c r="M5" s="20" t="str">
        <f>IFERROR(__xludf.DUMMYFUNCTION("""COMPUTED_VALUE"""),"ChangeBrokerFee")</f>
        <v>ChangeBrokerFee</v>
      </c>
      <c r="N5" s="20" t="str">
        <f>IFERROR(__xludf.DUMMYFUNCTION("""COMPUTED_VALUE"""),"ClearingFee")</f>
        <v>ClearingFee</v>
      </c>
      <c r="O5" s="20" t="str">
        <f>IFERROR(__xludf.DUMMYFUNCTION("""COMPUTED_VALUE"""),"Close Date")</f>
        <v>Close Date</v>
      </c>
      <c r="P5" s="20" t="str">
        <f>IFERROR(__xludf.DUMMYFUNCTION("""COMPUTED_VALUE"""),"ClosedTotalCommissionandFees")</f>
        <v>ClosedTotalCommissionandFees</v>
      </c>
      <c r="Q5" s="20" t="str">
        <f>IFERROR(__xludf.DUMMYFUNCTION("""COMPUTED_VALUE"""),"ClosingAlgo")</f>
        <v>ClosingAlgo</v>
      </c>
      <c r="R5" s="20" t="str">
        <f>IFERROR(__xludf.DUMMYFUNCTION("""COMPUTED_VALUE"""),"ClosingDate")</f>
        <v>ClosingDate</v>
      </c>
      <c r="S5" s="20" t="str">
        <f>IFERROR(__xludf.DUMMYFUNCTION("""COMPUTED_VALUE"""),"ClosingMode")</f>
        <v>ClosingMode</v>
      </c>
      <c r="T5" s="24" t="str">
        <f>IFERROR(__xludf.DUMMYFUNCTION("""COMPUTED_VALUE"""),"ClosingStatus")</f>
        <v>ClosingStatus</v>
      </c>
      <c r="U5" s="24" t="str">
        <f>IFERROR(__xludf.DUMMYFUNCTION("""COMPUTED_VALUE"""),"CommissionAmt")</f>
        <v>CommissionAmt</v>
      </c>
      <c r="V5" s="24" t="str">
        <f>IFERROR(__xludf.DUMMYFUNCTION("""COMPUTED_VALUE"""),"CommissionRate")</f>
        <v>CommissionRate</v>
      </c>
      <c r="W5" s="24" t="str">
        <f>IFERROR(__xludf.DUMMYFUNCTION("""COMPUTED_VALUE"""),"CompanyName")</f>
        <v>CompanyName</v>
      </c>
      <c r="X5" s="24" t="str">
        <f>IFERROR(__xludf.DUMMYFUNCTION("""COMPUTED_VALUE"""),"CompanyuserName")</f>
        <v>CompanyuserName</v>
      </c>
      <c r="Y5" s="24" t="str">
        <f>IFERROR(__xludf.DUMMYFUNCTION("""COMPUTED_VALUE"""),"ContractMultiplier")</f>
        <v>ContractMultiplier</v>
      </c>
      <c r="Z5" s="24" t="str">
        <f>IFERROR(__xludf.DUMMYFUNCTION("""COMPUTED_VALUE"""),"CounterPartyName")</f>
        <v>CounterPartyName</v>
      </c>
      <c r="AA5" s="24" t="str">
        <f>IFERROR(__xludf.DUMMYFUNCTION("""COMPUTED_VALUE"""),"CountryName")</f>
        <v>CountryName</v>
      </c>
      <c r="AB5" s="24" t="str">
        <f>IFERROR(__xludf.DUMMYFUNCTION("""COMPUTED_VALUE"""),"CountryOfRisk")</f>
        <v>CountryOfRisk</v>
      </c>
      <c r="AC5" s="24" t="str">
        <f>IFERROR(__xludf.DUMMYFUNCTION("""COMPUTED_VALUE"""),"CumQty")</f>
        <v>CumQty</v>
      </c>
      <c r="AD5" s="24" t="str">
        <f>IFERROR(__xludf.DUMMYFUNCTION("""COMPUTED_VALUE"""),"CurrencyID")</f>
        <v>CurrencyID</v>
      </c>
      <c r="AE5" s="24" t="str">
        <f>IFERROR(__xludf.DUMMYFUNCTION("""COMPUTED_VALUE"""),"CurrencyName")</f>
        <v>CurrencyName</v>
      </c>
      <c r="AF5" s="24" t="str">
        <f>IFERROR(__xludf.DUMMYFUNCTION("""COMPUTED_VALUE"""),"CusipSymbol")</f>
        <v>CusipSymbol</v>
      </c>
      <c r="AG5" s="24" t="str">
        <f>IFERROR(__xludf.DUMMYFUNCTION("""COMPUTED_VALUE"""),"CustomUDA1")</f>
        <v>CustomUDA1</v>
      </c>
      <c r="AH5" s="24" t="str">
        <f>IFERROR(__xludf.DUMMYFUNCTION("""COMPUTED_VALUE"""),"CustomUDA2")</f>
        <v>CustomUDA2</v>
      </c>
      <c r="AI5" s="24" t="str">
        <f>IFERROR(__xludf.DUMMYFUNCTION("""COMPUTED_VALUE"""),"CustomUDA3")</f>
        <v>CustomUDA3</v>
      </c>
      <c r="AJ5" s="24" t="str">
        <f>IFERROR(__xludf.DUMMYFUNCTION("""COMPUTED_VALUE"""),"CustomUDA4")</f>
        <v>CustomUDA4</v>
      </c>
      <c r="AK5" s="24" t="str">
        <f>IFERROR(__xludf.DUMMYFUNCTION("""COMPUTED_VALUE"""),"CustomUDA5")</f>
        <v>CustomUDA5</v>
      </c>
      <c r="AL5" s="24" t="str">
        <f>IFERROR(__xludf.DUMMYFUNCTION("""COMPUTED_VALUE"""),"CustomUDA6")</f>
        <v>CustomUDA6</v>
      </c>
      <c r="AM5" s="24" t="str">
        <f>IFERROR(__xludf.DUMMYFUNCTION("""COMPUTED_VALUE"""),"CustomUDA7")</f>
        <v>CustomUDA7</v>
      </c>
      <c r="AN5" s="24" t="str">
        <f>IFERROR(__xludf.DUMMYFUNCTION("""COMPUTED_VALUE"""),"Delta")</f>
        <v>Delta</v>
      </c>
      <c r="AO5" s="24" t="str">
        <f>IFERROR(__xludf.DUMMYFUNCTION("""COMPUTED_VALUE"""),"Description")</f>
        <v>Description</v>
      </c>
      <c r="AP5" s="24" t="str">
        <f>IFERROR(__xludf.DUMMYFUNCTION("""COMPUTED_VALUE"""),"ExchangeName")</f>
        <v>ExchangeName</v>
      </c>
      <c r="AQ5" s="24" t="str">
        <f>IFERROR(__xludf.DUMMYFUNCTION("""COMPUTED_VALUE"""),"ExecutedQty")</f>
        <v>ExecutedQty</v>
      </c>
      <c r="AR5" s="24" t="str">
        <f>IFERROR(__xludf.DUMMYFUNCTION("""COMPUTED_VALUE"""),"ExternalTransId")</f>
        <v>ExternalTransId</v>
      </c>
      <c r="AS5" s="24" t="str">
        <f>IFERROR(__xludf.DUMMYFUNCTION("""COMPUTED_VALUE"""),"ForexReq")</f>
        <v>ForexReq</v>
      </c>
      <c r="AT5" s="24" t="str">
        <f>IFERROR(__xludf.DUMMYFUNCTION("""COMPUTED_VALUE"""),"FXConversionMethodOperator")</f>
        <v>FXConversionMethodOperator</v>
      </c>
      <c r="AU5" s="24" t="str">
        <f>IFERROR(__xludf.DUMMYFUNCTION("""COMPUTED_VALUE"""),"FXRate")</f>
        <v>FXRate</v>
      </c>
      <c r="AV5" s="24" t="str">
        <f>IFERROR(__xludf.DUMMYFUNCTION("""COMPUTED_VALUE"""),"GroupID")</f>
        <v>GroupID</v>
      </c>
      <c r="AW5" s="24" t="str">
        <f>IFERROR(__xludf.DUMMYFUNCTION("""COMPUTED_VALUE"""),"IDCOSymbol")</f>
        <v>IDCOSymbol</v>
      </c>
      <c r="AX5" s="24" t="str">
        <f>IFERROR(__xludf.DUMMYFUNCTION("""COMPUTED_VALUE"""),"InternalComments")</f>
        <v>InternalComments</v>
      </c>
      <c r="AY5" s="24" t="str">
        <f>IFERROR(__xludf.DUMMYFUNCTION("""COMPUTED_VALUE"""),"IsExcerciseAtZero")</f>
        <v>IsExcerciseAtZero</v>
      </c>
      <c r="AZ5" s="24" t="str">
        <f>IFERROR(__xludf.DUMMYFUNCTION("""COMPUTED_VALUE"""),"ISINSymbol")</f>
        <v>ISINSymbol</v>
      </c>
      <c r="BA5" s="24" t="str">
        <f>IFERROR(__xludf.DUMMYFUNCTION("""COMPUTED_VALUE"""),"IsNDF")</f>
        <v>IsNDF</v>
      </c>
      <c r="BB5" s="24" t="str">
        <f>IFERROR(__xludf.DUMMYFUNCTION("""COMPUTED_VALUE"""),"IsPosition")</f>
        <v>IsPosition</v>
      </c>
      <c r="BC5" s="24" t="str">
        <f>IFERROR(__xludf.DUMMYFUNCTION("""COMPUTED_VALUE"""),"IsPreAllocated")</f>
        <v>IsPreAllocated</v>
      </c>
      <c r="BD5" s="24" t="str">
        <f>IFERROR(__xludf.DUMMYFUNCTION("""COMPUTED_VALUE"""),"Issuer")</f>
        <v>Issuer</v>
      </c>
      <c r="BE5" s="24" t="str">
        <f>IFERROR(__xludf.DUMMYFUNCTION("""COMPUTED_VALUE"""),"ISSwap")</f>
        <v>ISSwap</v>
      </c>
      <c r="BF5" s="24" t="str">
        <f>IFERROR(__xludf.DUMMYFUNCTION("""COMPUTED_VALUE"""),"LeadCurrencyID")</f>
        <v>LeadCurrencyID</v>
      </c>
      <c r="BG5" s="24" t="str">
        <f>IFERROR(__xludf.DUMMYFUNCTION("""COMPUTED_VALUE"""),"Level1Name")</f>
        <v>Level1Name</v>
      </c>
      <c r="BH5" s="24" t="str">
        <f>IFERROR(__xludf.DUMMYFUNCTION("""COMPUTED_VALUE"""),"LevelName2")</f>
        <v>LevelName2</v>
      </c>
      <c r="BI5" s="24" t="str">
        <f>IFERROR(__xludf.DUMMYFUNCTION("""COMPUTED_VALUE"""),"LiquidTag")</f>
        <v>LiquidTag</v>
      </c>
      <c r="BJ5" s="24" t="str">
        <f>IFERROR(__xludf.DUMMYFUNCTION("""COMPUTED_VALUE"""),"LongOrShort")</f>
        <v>LongOrShort</v>
      </c>
      <c r="BK5" s="24" t="str">
        <f>IFERROR(__xludf.DUMMYFUNCTION("""COMPUTED_VALUE"""),"LotId")</f>
        <v>LotId</v>
      </c>
      <c r="BL5" s="24" t="str">
        <f>IFERROR(__xludf.DUMMYFUNCTION("""COMPUTED_VALUE"""),"M2MProfitLoss")</f>
        <v>M2MProfitLoss</v>
      </c>
      <c r="BM5" s="24" t="str">
        <f>IFERROR(__xludf.DUMMYFUNCTION("""COMPUTED_VALUE"""),"MarketCap")</f>
        <v>MarketCap</v>
      </c>
      <c r="BN5" s="24" t="str">
        <f>IFERROR(__xludf.DUMMYFUNCTION("""COMPUTED_VALUE"""),"MarkPrice")</f>
        <v>MarkPrice</v>
      </c>
      <c r="BO5" s="24" t="str">
        <f>IFERROR(__xludf.DUMMYFUNCTION("""COMPUTED_VALUE"""),"MasterFund")</f>
        <v>MasterFund</v>
      </c>
      <c r="BP5" s="24" t="str">
        <f>IFERROR(__xludf.DUMMYFUNCTION("""COMPUTED_VALUE"""),"MiscFees")</f>
        <v>MiscFees</v>
      </c>
      <c r="BQ5" s="24" t="str">
        <f>IFERROR(__xludf.DUMMYFUNCTION("""COMPUTED_VALUE"""),"NavLockStatus")</f>
        <v>NavLockStatus</v>
      </c>
      <c r="BR5" s="24" t="str">
        <f>IFERROR(__xludf.DUMMYFUNCTION("""COMPUTED_VALUE"""),"NetNotionalValue")</f>
        <v>NetNotionalValue</v>
      </c>
      <c r="BS5" s="24" t="str">
        <f>IFERROR(__xludf.DUMMYFUNCTION("""COMPUTED_VALUE"""),"NirvanaProcessDate")</f>
        <v>NirvanaProcessDate</v>
      </c>
      <c r="BT5" s="24" t="str">
        <f>IFERROR(__xludf.DUMMYFUNCTION("""COMPUTED_VALUE"""),"OCC Fee")</f>
        <v>OCC Fee</v>
      </c>
      <c r="BU5" s="24" t="str">
        <f>IFERROR(__xludf.DUMMYFUNCTION("""COMPUTED_VALUE"""),"OpenQty")</f>
        <v>OpenQty</v>
      </c>
      <c r="BV5" s="24" t="str">
        <f>IFERROR(__xludf.DUMMYFUNCTION("""COMPUTED_VALUE"""),"OpenTotalCommissionFees")</f>
        <v>OpenTotalCommissionFees</v>
      </c>
      <c r="BW5" s="24" t="str">
        <f>IFERROR(__xludf.DUMMYFUNCTION("""COMPUTED_VALUE"""),"OptionPremiumAdjustment")</f>
        <v>OptionPremiumAdjustment</v>
      </c>
      <c r="BX5" s="24" t="str">
        <f>IFERROR(__xludf.DUMMYFUNCTION("""COMPUTED_VALUE"""),"OrderSideTagValue")</f>
        <v>OrderSideTagValue</v>
      </c>
      <c r="BY5" s="24" t="str">
        <f>IFERROR(__xludf.DUMMYFUNCTION("""COMPUTED_VALUE"""),"orderType")</f>
        <v>orderType</v>
      </c>
      <c r="BZ5" s="24" t="str">
        <f>IFERROR(__xludf.DUMMYFUNCTION("""COMPUTED_VALUE"""),"OrfFee")</f>
        <v>OrfFee</v>
      </c>
      <c r="CA5" s="24" t="str">
        <f>IFERROR(__xludf.DUMMYFUNCTION("""COMPUTED_VALUE"""),"Original Side")</f>
        <v>Original Side</v>
      </c>
      <c r="CB5" s="24" t="str">
        <f>IFERROR(__xludf.DUMMYFUNCTION("""COMPUTED_VALUE"""),"OriginalPurchaseDate")</f>
        <v>OriginalPurchaseDate</v>
      </c>
      <c r="CC5" s="24" t="str">
        <f>IFERROR(__xludf.DUMMYFUNCTION("""COMPUTED_VALUE"""),"OSISymbol")</f>
        <v>OSISymbol</v>
      </c>
      <c r="CD5" s="24" t="str">
        <f>IFERROR(__xludf.DUMMYFUNCTION("""COMPUTED_VALUE"""),"OtherBrokerFees")</f>
        <v>OtherBrokerFees</v>
      </c>
      <c r="CE5" s="24" t="str">
        <f>IFERROR(__xludf.DUMMYFUNCTION("""COMPUTED_VALUE"""),"ParentRowPk")</f>
        <v>ParentRowPk</v>
      </c>
      <c r="CF5" s="24" t="str">
        <f>IFERROR(__xludf.DUMMYFUNCTION("""COMPUTED_VALUE"""),"Percentage")</f>
        <v>Percentage</v>
      </c>
      <c r="CG5" s="24" t="str">
        <f>IFERROR(__xludf.DUMMYFUNCTION("""COMPUTED_VALUE"""),"PositionTag")</f>
        <v>PositionTag</v>
      </c>
      <c r="CH5" s="24" t="str">
        <f>IFERROR(__xludf.DUMMYFUNCTION("""COMPUTED_VALUE"""),"PositionType")</f>
        <v>PositionType</v>
      </c>
      <c r="CI5" s="24" t="str">
        <f>IFERROR(__xludf.DUMMYFUNCTION("""COMPUTED_VALUE"""),"ProcessDate")</f>
        <v>ProcessDate</v>
      </c>
      <c r="CJ5" s="24" t="str">
        <f>IFERROR(__xludf.DUMMYFUNCTION("""COMPUTED_VALUE"""),"ProxySymbol")</f>
        <v>ProxySymbol</v>
      </c>
      <c r="CK5" s="24" t="str">
        <f>IFERROR(__xludf.DUMMYFUNCTION("""COMPUTED_VALUE"""),"SecFee")</f>
        <v>SecFee</v>
      </c>
      <c r="CL5" s="24" t="str">
        <f>IFERROR(__xludf.DUMMYFUNCTION("""COMPUTED_VALUE"""),"SectorName")</f>
        <v>SectorName</v>
      </c>
      <c r="CM5" s="24" t="str">
        <f>IFERROR(__xludf.DUMMYFUNCTION("""COMPUTED_VALUE"""),"SecurityTypeName")</f>
        <v>SecurityTypeName</v>
      </c>
      <c r="CN5" s="24" t="str">
        <f>IFERROR(__xludf.DUMMYFUNCTION("""COMPUTED_VALUE"""),"SedolSymbol")</f>
        <v>SedolSymbol</v>
      </c>
      <c r="CO5" s="24" t="str">
        <f>IFERROR(__xludf.DUMMYFUNCTION("""COMPUTED_VALUE"""),"SettlCurrAmt")</f>
        <v>SettlCurrAmt</v>
      </c>
      <c r="CP5" s="24" t="str">
        <f>IFERROR(__xludf.DUMMYFUNCTION("""COMPUTED_VALUE"""),"SettlCurrFxRate")</f>
        <v>SettlCurrFxRate</v>
      </c>
      <c r="CQ5" s="24" t="str">
        <f>IFERROR(__xludf.DUMMYFUNCTION("""COMPUTED_VALUE"""),"SettlCurrFxRateCalc")</f>
        <v>SettlCurrFxRateCalc</v>
      </c>
      <c r="CR5" s="24" t="str">
        <f>IFERROR(__xludf.DUMMYFUNCTION("""COMPUTED_VALUE"""),"SettlCurrUnitCost")</f>
        <v>SettlCurrUnitCost</v>
      </c>
      <c r="CS5" s="24" t="str">
        <f>IFERROR(__xludf.DUMMYFUNCTION("""COMPUTED_VALUE"""),"SettledQty")</f>
        <v>SettledQty</v>
      </c>
      <c r="CT5" s="24" t="str">
        <f>IFERROR(__xludf.DUMMYFUNCTION("""COMPUTED_VALUE"""),"Settlement Currency")</f>
        <v>Settlement Currency</v>
      </c>
      <c r="CU5" s="24" t="str">
        <f>IFERROR(__xludf.DUMMYFUNCTION("""COMPUTED_VALUE"""),"SettlementDate")</f>
        <v>SettlementDate</v>
      </c>
      <c r="CV5" s="24" t="str">
        <f>IFERROR(__xludf.DUMMYFUNCTION("""COMPUTED_VALUE"""),"SideMultiplier")</f>
        <v>SideMultiplier</v>
      </c>
      <c r="CW5" s="24" t="str">
        <f>IFERROR(__xludf.DUMMYFUNCTION("""COMPUTED_VALUE"""),"SoftCommission")</f>
        <v>SoftCommission</v>
      </c>
      <c r="CX5" s="24" t="str">
        <f>IFERROR(__xludf.DUMMYFUNCTION("""COMPUTED_VALUE"""),"SoftCommissionAmt")</f>
        <v>SoftCommissionAmt</v>
      </c>
      <c r="CY5" s="24" t="str">
        <f>IFERROR(__xludf.DUMMYFUNCTION("""COMPUTED_VALUE"""),"SoftCommissionCalcBasis")</f>
        <v>SoftCommissionCalcBasis</v>
      </c>
      <c r="CZ5" s="24" t="str">
        <f>IFERROR(__xludf.DUMMYFUNCTION("""COMPUTED_VALUE"""),"SoftCommissionRate")</f>
        <v>SoftCommissionRate</v>
      </c>
      <c r="DA5" s="24" t="str">
        <f>IFERROR(__xludf.DUMMYFUNCTION("""COMPUTED_VALUE"""),"StampDuty")</f>
        <v>StampDuty</v>
      </c>
      <c r="DB5" s="24" t="str">
        <f>IFERROR(__xludf.DUMMYFUNCTION("""COMPUTED_VALUE"""),"StrikePrice")</f>
        <v>StrikePrice</v>
      </c>
      <c r="DC5" s="24" t="str">
        <f>IFERROR(__xludf.DUMMYFUNCTION("""COMPUTED_VALUE"""),"SubSectorName")</f>
        <v>SubSectorName</v>
      </c>
      <c r="DD5" s="24" t="str">
        <f>IFERROR(__xludf.DUMMYFUNCTION("""COMPUTED_VALUE"""),"SwapParameters")</f>
        <v>SwapParameters</v>
      </c>
      <c r="DE5" s="24" t="str">
        <f>IFERROR(__xludf.DUMMYFUNCTION("""COMPUTED_VALUE"""),"Symbol")</f>
        <v>Symbol</v>
      </c>
      <c r="DF5" s="24" t="str">
        <f>IFERROR(__xludf.DUMMYFUNCTION("""COMPUTED_VALUE"""),"TaxlotClosingId")</f>
        <v>TaxlotClosingId</v>
      </c>
      <c r="DG5" s="24" t="str">
        <f>IFERROR(__xludf.DUMMYFUNCTION("""COMPUTED_VALUE"""),"TaxLotID")</f>
        <v>TaxLotID</v>
      </c>
      <c r="DH5" s="24" t="str">
        <f>IFERROR(__xludf.DUMMYFUNCTION("""COMPUTED_VALUE"""),"taxlotPk")</f>
        <v>taxlotPk</v>
      </c>
      <c r="DI5" s="24" t="str">
        <f>IFERROR(__xludf.DUMMYFUNCTION("""COMPUTED_VALUE"""),"TaxLotQtyToClose")</f>
        <v>TaxLotQtyToClose</v>
      </c>
      <c r="DJ5" s="24" t="str">
        <f>IFERROR(__xludf.DUMMYFUNCTION("""COMPUTED_VALUE"""),"TaxonCommissions")</f>
        <v>TaxonCommissions</v>
      </c>
      <c r="DK5" s="24" t="str">
        <f>IFERROR(__xludf.DUMMYFUNCTION("""COMPUTED_VALUE"""),"TimeOfSaveUTC")</f>
        <v>TimeOfSaveUTC</v>
      </c>
      <c r="DL5" s="24" t="str">
        <f>IFERROR(__xludf.DUMMYFUNCTION("""COMPUTED_VALUE"""),"TotalCommissionandFees")</f>
        <v>TotalCommissionandFees</v>
      </c>
      <c r="DM5" s="24" t="str">
        <f>IFERROR(__xludf.DUMMYFUNCTION("""COMPUTED_VALUE"""),"Tradedate")</f>
        <v>Tradedate</v>
      </c>
      <c r="DN5" s="24" t="str">
        <f>IFERROR(__xludf.DUMMYFUNCTION("""COMPUTED_VALUE"""),"TradeAttribute1")</f>
        <v>TradeAttribute1</v>
      </c>
      <c r="DO5" s="24" t="str">
        <f>IFERROR(__xludf.DUMMYFUNCTION("""COMPUTED_VALUE"""),"TradeAttribute2")</f>
        <v>TradeAttribute2</v>
      </c>
      <c r="DP5" s="24" t="str">
        <f>IFERROR(__xludf.DUMMYFUNCTION("""COMPUTED_VALUE"""),"TradeAttribute3")</f>
        <v>TradeAttribute3</v>
      </c>
      <c r="DQ5" s="24" t="str">
        <f>IFERROR(__xludf.DUMMYFUNCTION("""COMPUTED_VALUE"""),"TradeAttribute4")</f>
        <v>TradeAttribute4</v>
      </c>
      <c r="DR5" s="24" t="str">
        <f>IFERROR(__xludf.DUMMYFUNCTION("""COMPUTED_VALUE"""),"TradeAttribute5")</f>
        <v>TradeAttribute5</v>
      </c>
      <c r="DS5" s="24" t="str">
        <f>IFERROR(__xludf.DUMMYFUNCTION("""COMPUTED_VALUE"""),"TradeAttribute6")</f>
        <v>TradeAttribute6</v>
      </c>
      <c r="DT5" s="24" t="str">
        <f>IFERROR(__xludf.DUMMYFUNCTION("""COMPUTED_VALUE"""),"TradingAccountName")</f>
        <v>TradingAccountName</v>
      </c>
      <c r="DU5" s="24" t="str">
        <f>IFERROR(__xludf.DUMMYFUNCTION("""COMPUTED_VALUE"""),"TransactionLevy")</f>
        <v>TransactionLevy</v>
      </c>
      <c r="DV5" s="24" t="str">
        <f>IFERROR(__xludf.DUMMYFUNCTION("""COMPUTED_VALUE"""),"TransactionType")</f>
        <v>TransactionType</v>
      </c>
      <c r="DW5" s="24" t="str">
        <f>IFERROR(__xludf.DUMMYFUNCTION("""COMPUTED_VALUE"""),"UcitsEligibleTag")</f>
        <v>UcitsEligibleTag</v>
      </c>
      <c r="DX5" s="24" t="str">
        <f>IFERROR(__xludf.DUMMYFUNCTION("""COMPUTED_VALUE"""),"UDAAsset")</f>
        <v>UDAAsset</v>
      </c>
      <c r="DY5" s="24" t="str">
        <f>IFERROR(__xludf.DUMMYFUNCTION("""COMPUTED_VALUE"""),"UnderlyingDelta")</f>
        <v>UnderlyingDelta</v>
      </c>
      <c r="DZ5" s="24" t="str">
        <f>IFERROR(__xludf.DUMMYFUNCTION("""COMPUTED_VALUE"""),"UnderlyingName")</f>
        <v>UnderlyingName</v>
      </c>
      <c r="EA5" s="24" t="str">
        <f>IFERROR(__xludf.DUMMYFUNCTION("""COMPUTED_VALUE"""),"UnderlyingSymbol")</f>
        <v>UnderlyingSymbol</v>
      </c>
      <c r="EB5" s="24" t="str">
        <f>IFERROR(__xludf.DUMMYFUNCTION("""COMPUTED_VALUE"""),"UnitCost")</f>
        <v>UnitCost</v>
      </c>
      <c r="EC5" s="24" t="str">
        <f>IFERROR(__xludf.DUMMYFUNCTION("""COMPUTED_VALUE"""),"UnRealizedPNL")</f>
        <v>UnRealizedPNL</v>
      </c>
      <c r="ED5" s="24" t="str">
        <f>IFERROR(__xludf.DUMMYFUNCTION("""COMPUTED_VALUE"""),"Venue")</f>
        <v>Venue</v>
      </c>
      <c r="EE5" s="24" t="str">
        <f>IFERROR(__xludf.DUMMYFUNCTION("""COMPUTED_VALUE"""),"VsCurrencyID")</f>
        <v>VsCurrencyID</v>
      </c>
      <c r="EF5" s="24" t="str">
        <f>IFERROR(__xludf.DUMMYFUNCTION("""COMPUTED_VALUE"""),"WorkflowState")</f>
        <v>WorkflowState</v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/>
      <c r="C6" s="4"/>
      <c r="D6" s="6"/>
      <c r="E6" s="26"/>
      <c r="F6" s="4"/>
      <c r="G6" s="4"/>
      <c r="H6" s="4"/>
      <c r="I6" s="4"/>
      <c r="J6" s="4"/>
      <c r="K6" s="4"/>
      <c r="L6" s="4"/>
      <c r="M6" s="4"/>
      <c r="N6" s="4"/>
      <c r="O6" s="28">
        <f>TODAY()</f>
        <v>43627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CashSettlementAtCost!$4:$4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29</v>
      </c>
      <c r="D3" s="5" t="s">
        <v>8</v>
      </c>
      <c r="E3" s="14" t="s">
        <v>30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IFERROR(__xludf.DUMMYFUNCTION("""COMPUTED_VALUE"""),"Unallocate")</f>
        <v>Unallocate</v>
      </c>
      <c r="E4" s="16" t="str">
        <f>IFERROR(__xludf.DUMMYFUNCTION("""COMPUTED_VALUE"""),"GetDataAllocation")</f>
        <v>GetDataAllocation</v>
      </c>
      <c r="F4" s="16" t="str">
        <f>IFERROR(__xludf.DUMMYFUNCTION("""COMPUTED_VALUE"""),"SelectAllocatedGroup")</f>
        <v>SelectAllocatedGroup</v>
      </c>
      <c r="G4" s="16" t="str">
        <f>IFERROR(__xludf.DUMMYFUNCTION("""COMPUTED_VALUE"""),"EditTradesAllocated")</f>
        <v>EditTradesAllocated</v>
      </c>
      <c r="H4" s="16" t="str">
        <f>IFERROR(__xludf.DUMMYFUNCTION("""COMPUTED_VALUE"""),"EditTradesUnallocated")</f>
        <v>EditTradesUnallocated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IFERROR(__xludf.DUMMYFUNCTION("""COMPUTED_VALUE"""),"RangeType")</f>
        <v>RangeType</v>
      </c>
      <c r="C5" s="20" t="str">
        <f>IFERROR(__xludf.DUMMYFUNCTION("""COMPUTED_VALUE"""),"From")</f>
        <v>From</v>
      </c>
      <c r="D5" s="20" t="str">
        <f>IFERROR(__xludf.DUMMYFUNCTION("""COMPUTED_VALUE"""),"To")</f>
        <v>To</v>
      </c>
      <c r="E5" s="20" t="str">
        <f>IFERROR(__xludf.DUMMYFUNCTION("""COMPUTED_VALUE"""),"FilterTabName")</f>
        <v>FilterTabName</v>
      </c>
      <c r="F5" s="22" t="str">
        <f>IFERROR(__xludf.DUMMYFUNCTION("""COMPUTED_VALUE"""),"Symbol")</f>
        <v>Symbol</v>
      </c>
      <c r="G5" s="20" t="str">
        <f>IFERROR(__xludf.DUMMYFUNCTION("""COMPUTED_VALUE"""),"Asset")</f>
        <v>Asset</v>
      </c>
      <c r="H5" s="20" t="str">
        <f>IFERROR(__xludf.DUMMYFUNCTION("""COMPUTED_VALUE"""),"Side")</f>
        <v>Side</v>
      </c>
      <c r="I5" s="20" t="str">
        <f>IFERROR(__xludf.DUMMYFUNCTION("""COMPUTED_VALUE"""),"Account")</f>
        <v>Account</v>
      </c>
      <c r="J5" s="20" t="str">
        <f>IFERROR(__xludf.DUMMYFUNCTION("""COMPUTED_VALUE"""),"Broker")</f>
        <v>Broker</v>
      </c>
      <c r="K5" s="20" t="str">
        <f>IFERROR(__xludf.DUMMYFUNCTION("""COMPUTED_VALUE"""),"Currency")</f>
        <v>Currency</v>
      </c>
      <c r="L5" s="20" t="str">
        <f>IFERROR(__xludf.DUMMYFUNCTION("""COMPUTED_VALUE"""),"Exchange")</f>
        <v>Exchange</v>
      </c>
      <c r="M5" s="20" t="str">
        <f>IFERROR(__xludf.DUMMYFUNCTION("""COMPUTED_VALUE"""),"StrategyName")</f>
        <v>StrategyName</v>
      </c>
      <c r="N5" s="20" t="str">
        <f>IFERROR(__xludf.DUMMYFUNCTION("""COMPUTED_VALUE"""),"Underlying")</f>
        <v>Underlying</v>
      </c>
      <c r="O5" s="20" t="str">
        <f>IFERROR(__xludf.DUMMYFUNCTION("""COMPUTED_VALUE"""),"Venue")</f>
        <v>Venue</v>
      </c>
      <c r="P5" s="20" t="str">
        <f>IFERROR(__xludf.DUMMYFUNCTION("""COMPUTED_VALUE"""),"TradingAccount")</f>
        <v>TradingAccount</v>
      </c>
      <c r="Q5" s="20" t="str">
        <f>IFERROR(__xludf.DUMMYFUNCTION("""COMPUTED_VALUE"""),"PreAllocated")</f>
        <v>PreAllocated</v>
      </c>
      <c r="R5" s="20" t="str">
        <f>IFERROR(__xludf.DUMMYFUNCTION("""COMPUTED_VALUE"""),"ManualGroup")</f>
        <v>ManualGroup</v>
      </c>
      <c r="S5" s="20" t="str">
        <f>IFERROR(__xludf.DUMMYFUNCTION("""COMPUTED_VALUE"""),"")</f>
        <v/>
      </c>
      <c r="T5" s="24" t="str">
        <f>IFERROR(__xludf.DUMMYFUNCTION("""COMPUTED_VALUE"""),"")</f>
        <v/>
      </c>
      <c r="U5" s="24" t="str">
        <f>IFERROR(__xludf.DUMMYFUNCTION("""COMPUTED_VALUE"""),"")</f>
        <v/>
      </c>
      <c r="V5" s="24" t="str">
        <f>IFERROR(__xludf.DUMMYFUNCTION("""COMPUTED_VALUE"""),"")</f>
        <v/>
      </c>
      <c r="W5" s="24" t="str">
        <f>IFERROR(__xludf.DUMMYFUNCTION("""COMPUTED_VALUE"""),"")</f>
        <v/>
      </c>
      <c r="X5" s="24" t="str">
        <f>IFERROR(__xludf.DUMMYFUNCTION("""COMPUTED_VALUE"""),"")</f>
        <v/>
      </c>
      <c r="Y5" s="24" t="str">
        <f>IFERROR(__xludf.DUMMYFUNCTION("""COMPUTED_VALUE"""),"")</f>
        <v/>
      </c>
      <c r="Z5" s="24" t="str">
        <f>IFERROR(__xludf.DUMMYFUNCTION("""COMPUTED_VALUE"""),"")</f>
        <v/>
      </c>
      <c r="AA5" s="24" t="str">
        <f>IFERROR(__xludf.DUMMYFUNCTION("""COMPUTED_VALUE"""),"")</f>
        <v/>
      </c>
      <c r="AB5" s="24" t="str">
        <f>IFERROR(__xludf.DUMMYFUNCTION("""COMPUTED_VALUE"""),"")</f>
        <v/>
      </c>
      <c r="AC5" s="24" t="str">
        <f>IFERROR(__xludf.DUMMYFUNCTION("""COMPUTED_VALUE"""),"")</f>
        <v/>
      </c>
      <c r="AD5" s="24" t="str">
        <f>IFERROR(__xludf.DUMMYFUNCTION("""COMPUTED_VALUE"""),"")</f>
        <v/>
      </c>
      <c r="AE5" s="24" t="str">
        <f>IFERROR(__xludf.DUMMYFUNCTION("""COMPUTED_VALUE"""),"")</f>
        <v/>
      </c>
      <c r="AF5" s="24" t="str">
        <f>IFERROR(__xludf.DUMMYFUNCTION("""COMPUTED_VALUE"""),"")</f>
        <v/>
      </c>
      <c r="AG5" s="24" t="str">
        <f>IFERROR(__xludf.DUMMYFUNCTION("""COMPUTED_VALUE"""),"")</f>
        <v/>
      </c>
      <c r="AH5" s="24" t="str">
        <f>IFERROR(__xludf.DUMMYFUNCTION("""COMPUTED_VALUE"""),"")</f>
        <v/>
      </c>
      <c r="AI5" s="24" t="str">
        <f>IFERROR(__xludf.DUMMYFUNCTION("""COMPUTED_VALUE"""),"")</f>
        <v/>
      </c>
      <c r="AJ5" s="24" t="str">
        <f>IFERROR(__xludf.DUMMYFUNCTION("""COMPUTED_VALUE"""),"")</f>
        <v/>
      </c>
      <c r="AK5" s="24" t="str">
        <f>IFERROR(__xludf.DUMMYFUNCTION("""COMPUTED_VALUE"""),"")</f>
        <v/>
      </c>
      <c r="AL5" s="24" t="str">
        <f>IFERROR(__xludf.DUMMYFUNCTION("""COMPUTED_VALUE"""),"")</f>
        <v/>
      </c>
      <c r="AM5" s="24" t="str">
        <f>IFERROR(__xludf.DUMMYFUNCTION("""COMPUTED_VALUE"""),"")</f>
        <v/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23</v>
      </c>
      <c r="C6" s="28"/>
      <c r="D6" s="28"/>
      <c r="E6" s="26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29</v>
      </c>
      <c r="D3" s="5" t="s">
        <v>8</v>
      </c>
      <c r="E3" s="14" t="s">
        <v>31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IFERROR(__xludf.DUMMYFUNCTION("""COMPUTED_VALUE"""),"Unallocate")</f>
        <v>Unallocate</v>
      </c>
      <c r="E4" s="16" t="str">
        <f>IFERROR(__xludf.DUMMYFUNCTION("""COMPUTED_VALUE"""),"GetDataAllocation")</f>
        <v>GetDataAllocation</v>
      </c>
      <c r="F4" s="16" t="str">
        <f>IFERROR(__xludf.DUMMYFUNCTION("""COMPUTED_VALUE"""),"SelectAllocatedGroup")</f>
        <v>SelectAllocatedGroup</v>
      </c>
      <c r="G4" s="16" t="str">
        <f>IFERROR(__xludf.DUMMYFUNCTION("""COMPUTED_VALUE"""),"EditTradesAllocated")</f>
        <v>EditTradesAllocated</v>
      </c>
      <c r="H4" s="16" t="str">
        <f>IFERROR(__xludf.DUMMYFUNCTION("""COMPUTED_VALUE"""),"EditTradesUnallocated")</f>
        <v>EditTradesUnallocated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 Name")</f>
        <v>Account Name</v>
      </c>
      <c r="C5" s="20" t="str">
        <f>IFERROR(__xludf.DUMMYFUNCTION("""COMPUTED_VALUE"""),"Accrual Basis")</f>
        <v>Accrual Basis</v>
      </c>
      <c r="D5" s="20" t="str">
        <f>IFERROR(__xludf.DUMMYFUNCTION("""COMPUTED_VALUE"""),"Accrued Interest")</f>
        <v>Accrued Interest</v>
      </c>
      <c r="E5" s="20" t="str">
        <f>IFERROR(__xludf.DUMMYFUNCTION("""COMPUTED_VALUE"""),"Allocated Qty")</f>
        <v>Allocated Qty</v>
      </c>
      <c r="F5" s="22" t="str">
        <f>IFERROR(__xludf.DUMMYFUNCTION("""COMPUTED_VALUE"""),"Allocation Scheme Name")</f>
        <v>Allocation Scheme Name</v>
      </c>
      <c r="G5" s="20" t="str">
        <f>IFERROR(__xludf.DUMMYFUNCTION("""COMPUTED_VALUE"""),"Asset Category")</f>
        <v>Asset Category</v>
      </c>
      <c r="H5" s="20" t="str">
        <f>IFERROR(__xludf.DUMMYFUNCTION("""COMPUTED_VALUE"""),"AUEC Fee1")</f>
        <v>AUEC Fee1</v>
      </c>
      <c r="I5" s="20" t="str">
        <f>IFERROR(__xludf.DUMMYFUNCTION("""COMPUTED_VALUE"""),"AUEC Fee2")</f>
        <v>AUEC Fee2</v>
      </c>
      <c r="J5" s="20" t="str">
        <f>IFERROR(__xludf.DUMMYFUNCTION("""COMPUTED_VALUE"""),"AUECID")</f>
        <v>AUECID</v>
      </c>
      <c r="K5" s="20" t="str">
        <f>IFERROR(__xludf.DUMMYFUNCTION("""COMPUTED_VALUE"""),"Avg Price(Base)")</f>
        <v>Avg Price(Base)</v>
      </c>
      <c r="L5" s="20" t="str">
        <f>IFERROR(__xludf.DUMMYFUNCTION("""COMPUTED_VALUE"""),"Avg Price(Local)")</f>
        <v>Avg Price(Local)</v>
      </c>
      <c r="M5" s="20" t="str">
        <f>IFERROR(__xludf.DUMMYFUNCTION("""COMPUTED_VALUE"""),"Bloomberg")</f>
        <v>Bloomberg</v>
      </c>
      <c r="N5" s="20" t="str">
        <f>IFERROR(__xludf.DUMMYFUNCTION("""COMPUTED_VALUE"""),"Bond Type")</f>
        <v>Bond Type</v>
      </c>
      <c r="O5" s="20" t="str">
        <f>IFERROR(__xludf.DUMMYFUNCTION("""COMPUTED_VALUE"""),"Broker")</f>
        <v>Broker</v>
      </c>
      <c r="P5" s="20" t="str">
        <f>IFERROR(__xludf.DUMMYFUNCTION("""COMPUTED_VALUE"""),"Change Comment")</f>
        <v>Change Comment</v>
      </c>
      <c r="Q5" s="20" t="str">
        <f>IFERROR(__xludf.DUMMYFUNCTION("""COMPUTED_VALUE"""),"Change Type")</f>
        <v>Change Type</v>
      </c>
      <c r="R5" s="20" t="str">
        <f>IFERROR(__xludf.DUMMYFUNCTION("""COMPUTED_VALUE"""),"Clearing Broker Fee")</f>
        <v>Clearing Broker Fee</v>
      </c>
      <c r="S5" s="20" t="str">
        <f>IFERROR(__xludf.DUMMYFUNCTION("""COMPUTED_VALUE"""),"Closing Status")</f>
        <v>Closing Status</v>
      </c>
      <c r="T5" s="24" t="str">
        <f>IFERROR(__xludf.DUMMYFUNCTION("""COMPUTED_VALUE"""),"Commission")</f>
        <v>Commission</v>
      </c>
      <c r="U5" s="24" t="str">
        <f>IFERROR(__xludf.DUMMYFUNCTION("""COMPUTED_VALUE"""),"Commission Per Share")</f>
        <v>Commission Per Share</v>
      </c>
      <c r="V5" s="24" t="str">
        <f>IFERROR(__xludf.DUMMYFUNCTION("""COMPUTED_VALUE"""),"Company")</f>
        <v>Company</v>
      </c>
      <c r="W5" s="24" t="str">
        <f>IFERROR(__xludf.DUMMYFUNCTION("""COMPUTED_VALUE"""),"Contract Multiplier")</f>
        <v>Contract Multiplier</v>
      </c>
      <c r="X5" s="24" t="str">
        <f>IFERROR(__xludf.DUMMYFUNCTION("""COMPUTED_VALUE"""),"Coupon Rate")</f>
        <v>Coupon Rate</v>
      </c>
      <c r="Y5" s="24" t="str">
        <f>IFERROR(__xludf.DUMMYFUNCTION("""COMPUTED_VALUE"""),"Cum Qty For Sub Order")</f>
        <v>Cum Qty For Sub Order</v>
      </c>
      <c r="Z5" s="24" t="str">
        <f>IFERROR(__xludf.DUMMYFUNCTION("""COMPUTED_VALUE"""),"Currency")</f>
        <v>Currency</v>
      </c>
      <c r="AA5" s="24" t="str">
        <f>IFERROR(__xludf.DUMMYFUNCTION("""COMPUTED_VALUE"""),"Cusip Symbol")</f>
        <v>Cusip Symbol</v>
      </c>
      <c r="AB5" s="24" t="str">
        <f>IFERROR(__xludf.DUMMYFUNCTION("""COMPUTED_VALUE"""),"Delta")</f>
        <v>Delta</v>
      </c>
      <c r="AC5" s="24" t="str">
        <f>IFERROR(__xludf.DUMMYFUNCTION("""COMPUTED_VALUE"""),"Description")</f>
        <v>Description</v>
      </c>
      <c r="AD5" s="24" t="str">
        <f>IFERROR(__xludf.DUMMYFUNCTION("""COMPUTED_VALUE"""),"Exchange")</f>
        <v>Exchange</v>
      </c>
      <c r="AE5" s="24" t="str">
        <f>IFERROR(__xludf.DUMMYFUNCTION("""COMPUTED_VALUE"""),"Executed Qty")</f>
        <v>Executed Qty</v>
      </c>
      <c r="AF5" s="24" t="str">
        <f>IFERROR(__xludf.DUMMYFUNCTION("""COMPUTED_VALUE"""),"Exceution Time")</f>
        <v>Exceution Time</v>
      </c>
      <c r="AG5" s="24" t="str">
        <f>IFERROR(__xludf.DUMMYFUNCTION("""COMPUTED_VALUE"""),"Expiration Date")</f>
        <v>Expiration Date</v>
      </c>
      <c r="AH5" s="24" t="str">
        <f>IFERROR(__xludf.DUMMYFUNCTION("""COMPUTED_VALUE"""),"FX Conversion Operator")</f>
        <v>FX Conversion Operator</v>
      </c>
      <c r="AI5" s="24" t="str">
        <f>IFERROR(__xludf.DUMMYFUNCTION("""COMPUTED_VALUE"""),"FX Rate")</f>
        <v>FX Rate</v>
      </c>
      <c r="AJ5" s="24" t="str">
        <f>IFERROR(__xludf.DUMMYFUNCTION("""COMPUTED_VALUE"""),"Group Status")</f>
        <v>Group Status</v>
      </c>
      <c r="AK5" s="24" t="str">
        <f>IFERROR(__xludf.DUMMYFUNCTION("""COMPUTED_VALUE"""),"IDCOSymbol")</f>
        <v>IDCOSymbol</v>
      </c>
      <c r="AL5" s="24" t="str">
        <f>IFERROR(__xludf.DUMMYFUNCTION("""COMPUTED_VALUE"""),"Import File Name")</f>
        <v>Import File Name</v>
      </c>
      <c r="AM5" s="24" t="str">
        <f>IFERROR(__xludf.DUMMYFUNCTION("""COMPUTED_VALUE"""),"Internal Comments")</f>
        <v>Internal Comments</v>
      </c>
      <c r="AN5" s="24" t="str">
        <f>IFERROR(__xludf.DUMMYFUNCTION("""COMPUTED_VALUE"""),"IsAnotherTaxlotAttributesUpdated")</f>
        <v>IsAnotherTaxlotAttributesUpdated</v>
      </c>
      <c r="AO5" s="24" t="str">
        <f>IFERROR(__xludf.DUMMYFUNCTION("""COMPUTED_VALUE"""),"ISIN")</f>
        <v>ISIN</v>
      </c>
      <c r="AP5" s="24" t="str">
        <f>IFERROR(__xludf.DUMMYFUNCTION("""COMPUTED_VALUE"""),"IsManualGroup")</f>
        <v>IsManualGroup</v>
      </c>
      <c r="AQ5" s="24" t="str">
        <f>IFERROR(__xludf.DUMMYFUNCTION("""COMPUTED_VALUE"""),"ISNDF")</f>
        <v>ISNDF</v>
      </c>
      <c r="AR5" s="24" t="str">
        <f>IFERROR(__xludf.DUMMYFUNCTION("""COMPUTED_VALUE"""),"IsPreAllocated")</f>
        <v>IsPreAllocated</v>
      </c>
      <c r="AS5" s="24" t="str">
        <f>IFERROR(__xludf.DUMMYFUNCTION("""COMPUTED_VALUE"""),"M2MProfitLoss")</f>
        <v>M2MProfitLoss</v>
      </c>
      <c r="AT5" s="24" t="str">
        <f>IFERROR(__xludf.DUMMYFUNCTION("""COMPUTED_VALUE"""),"Net Amount( Base)")</f>
        <v>Net Amount( Base)</v>
      </c>
      <c r="AU5" s="24" t="str">
        <f>IFERROR(__xludf.DUMMYFUNCTION("""COMPUTED_VALUE"""),"Net Amount( Local)")</f>
        <v>Net Amount( Local)</v>
      </c>
      <c r="AV5" s="24" t="str">
        <f>IFERROR(__xludf.DUMMYFUNCTION("""COMPUTED_VALUE"""),"Nirvana Process Date")</f>
        <v>Nirvana Process Date</v>
      </c>
      <c r="AW5" s="24" t="str">
        <f>IFERROR(__xludf.DUMMYFUNCTION("""COMPUTED_VALUE"""),"OCC Fee")</f>
        <v>OCC Fee</v>
      </c>
      <c r="AX5" s="24" t="str">
        <f>IFERROR(__xludf.DUMMYFUNCTION("""COMPUTED_VALUE"""),"Option Premium Adjustment")</f>
        <v>Option Premium Adjustment</v>
      </c>
      <c r="AY5" s="24" t="str">
        <f>IFERROR(__xludf.DUMMYFUNCTION("""COMPUTED_VALUE"""),"Order Type")</f>
        <v>Order Type</v>
      </c>
      <c r="AZ5" s="24" t="str">
        <f>IFERROR(__xludf.DUMMYFUNCTION("""COMPUTED_VALUE"""),"ORF Fee")</f>
        <v>ORF Fee</v>
      </c>
      <c r="BA5" s="24" t="str">
        <f>IFERROR(__xludf.DUMMYFUNCTION("""COMPUTED_VALUE"""),"Original Purchase Date")</f>
        <v>Original Purchase Date</v>
      </c>
      <c r="BB5" s="24" t="str">
        <f>IFERROR(__xludf.DUMMYFUNCTION("""COMPUTED_VALUE"""),"OSISSymbol")</f>
        <v>OSISSymbol</v>
      </c>
      <c r="BC5" s="24" t="str">
        <f>IFERROR(__xludf.DUMMYFUNCTION("""COMPUTED_VALUE"""),"Other Broker Fees")</f>
        <v>Other Broker Fees</v>
      </c>
      <c r="BD5" s="24" t="str">
        <f>IFERROR(__xludf.DUMMYFUNCTION("""COMPUTED_VALUE"""),"Prana Msg Type")</f>
        <v>Prana Msg Type</v>
      </c>
      <c r="BE5" s="24" t="str">
        <f>IFERROR(__xludf.DUMMYFUNCTION("""COMPUTED_VALUE"""),"Principal Amount( Base)")</f>
        <v>Principal Amount( Base)</v>
      </c>
      <c r="BF5" s="24" t="str">
        <f>IFERROR(__xludf.DUMMYFUNCTION("""COMPUTED_VALUE"""),"Principal Amount( Local)")</f>
        <v>Principal Amount( Local)</v>
      </c>
      <c r="BG5" s="24" t="str">
        <f>IFERROR(__xludf.DUMMYFUNCTION("""COMPUTED_VALUE"""),"Process Date")</f>
        <v>Process Date</v>
      </c>
      <c r="BH5" s="24" t="str">
        <f>IFERROR(__xludf.DUMMYFUNCTION("""COMPUTED_VALUE"""),"Proxy Symbol")</f>
        <v>Proxy Symbol</v>
      </c>
      <c r="BI5" s="24" t="str">
        <f>IFERROR(__xludf.DUMMYFUNCTION("""COMPUTED_VALUE"""),"Put Or Call")</f>
        <v>Put Or Call</v>
      </c>
      <c r="BJ5" s="24" t="str">
        <f>IFERROR(__xludf.DUMMYFUNCTION("""COMPUTED_VALUE"""),"Quantity")</f>
        <v>Quantity</v>
      </c>
      <c r="BK5" s="24" t="str">
        <f>IFERROR(__xludf.DUMMYFUNCTION("""COMPUTED_VALUE"""),"SEC Fee")</f>
        <v>SEC Fee</v>
      </c>
      <c r="BL5" s="24" t="str">
        <f>IFERROR(__xludf.DUMMYFUNCTION("""COMPUTED_VALUE"""),"Sedol Symbol")</f>
        <v>Sedol Symbol</v>
      </c>
      <c r="BM5" s="24" t="str">
        <f>IFERROR(__xludf.DUMMYFUNCTION("""COMPUTED_VALUE"""),"Settlement Currency")</f>
        <v>Settlement Currency</v>
      </c>
      <c r="BN5" s="24" t="str">
        <f>IFERROR(__xludf.DUMMYFUNCTION("""COMPUTED_VALUE"""),"Settlement Date")</f>
        <v>Settlement Date</v>
      </c>
      <c r="BO5" s="24" t="str">
        <f>IFERROR(__xludf.DUMMYFUNCTION("""COMPUTED_VALUE"""),"Side")</f>
        <v>Side</v>
      </c>
      <c r="BP5" s="24" t="str">
        <f>IFERROR(__xludf.DUMMYFUNCTION("""COMPUTED_VALUE"""),"Soft Commission")</f>
        <v>Soft Commission</v>
      </c>
      <c r="BQ5" s="24" t="str">
        <f>IFERROR(__xludf.DUMMYFUNCTION("""COMPUTED_VALUE"""),"Soft Commission Per Share")</f>
        <v>Soft Commission Per Share</v>
      </c>
      <c r="BR5" s="24" t="str">
        <f>IFERROR(__xludf.DUMMYFUNCTION("""COMPUTED_VALUE"""),"Stamp Duty")</f>
        <v>Stamp Duty</v>
      </c>
      <c r="BS5" s="24" t="str">
        <f>IFERROR(__xludf.DUMMYFUNCTION("""COMPUTED_VALUE"""),"Strategy Name")</f>
        <v>Strategy Name</v>
      </c>
      <c r="BT5" s="24" t="str">
        <f>IFERROR(__xludf.DUMMYFUNCTION("""COMPUTED_VALUE"""),"Symbol")</f>
        <v>Symbol</v>
      </c>
      <c r="BU5" s="24" t="str">
        <f>IFERROR(__xludf.DUMMYFUNCTION("""COMPUTED_VALUE"""),"Tax On Commissions")</f>
        <v>Tax On Commissions</v>
      </c>
      <c r="BV5" s="24" t="str">
        <f>IFERROR(__xludf.DUMMYFUNCTION("""COMPUTED_VALUE"""),"Total Commission")</f>
        <v>Total Commission</v>
      </c>
      <c r="BW5" s="24" t="str">
        <f>IFERROR(__xludf.DUMMYFUNCTION("""COMPUTED_VALUE"""),"Total Commission And Fee")</f>
        <v>Total Commission And Fee</v>
      </c>
      <c r="BX5" s="24" t="str">
        <f>IFERROR(__xludf.DUMMYFUNCTION("""COMPUTED_VALUE"""),"Total Commission Per Share")</f>
        <v>Total Commission Per Share</v>
      </c>
      <c r="BY5" s="24" t="str">
        <f>IFERROR(__xludf.DUMMYFUNCTION("""COMPUTED_VALUE"""),"Trade Attribute 1")</f>
        <v>Trade Attribute 1</v>
      </c>
      <c r="BZ5" s="24" t="str">
        <f>IFERROR(__xludf.DUMMYFUNCTION("""COMPUTED_VALUE"""),"Trade Attribute 2")</f>
        <v>Trade Attribute 2</v>
      </c>
      <c r="CA5" s="24" t="str">
        <f>IFERROR(__xludf.DUMMYFUNCTION("""COMPUTED_VALUE"""),"Trade Attribute 3")</f>
        <v>Trade Attribute 3</v>
      </c>
      <c r="CB5" s="24" t="str">
        <f>IFERROR(__xludf.DUMMYFUNCTION("""COMPUTED_VALUE"""),"Trade Attribute 4")</f>
        <v>Trade Attribute 4</v>
      </c>
      <c r="CC5" s="24" t="str">
        <f>IFERROR(__xludf.DUMMYFUNCTION("""COMPUTED_VALUE"""),"Trade Attribute 5")</f>
        <v>Trade Attribute 5</v>
      </c>
      <c r="CD5" s="24" t="str">
        <f>IFERROR(__xludf.DUMMYFUNCTION("""COMPUTED_VALUE"""),"Trade Attribute 6")</f>
        <v>Trade Attribute 6</v>
      </c>
      <c r="CE5" s="24" t="str">
        <f>IFERROR(__xludf.DUMMYFUNCTION("""COMPUTED_VALUE"""),"Trade Date")</f>
        <v>Trade Date</v>
      </c>
      <c r="CF5" s="24" t="str">
        <f>IFERROR(__xludf.DUMMYFUNCTION("""COMPUTED_VALUE"""),"Trading Account")</f>
        <v>Trading Account</v>
      </c>
      <c r="CG5" s="24" t="str">
        <f>IFERROR(__xludf.DUMMYFUNCTION("""COMPUTED_VALUE"""),"Transaction Levy")</f>
        <v>Transaction Levy</v>
      </c>
      <c r="CH5" s="24" t="str">
        <f>IFERROR(__xludf.DUMMYFUNCTION("""COMPUTED_VALUE"""),"Transaction Source")</f>
        <v>Transaction Source</v>
      </c>
      <c r="CI5" s="24" t="str">
        <f>IFERROR(__xludf.DUMMYFUNCTION("""COMPUTED_VALUE"""),"Transaction Type")</f>
        <v>Transaction Type</v>
      </c>
      <c r="CJ5" s="24" t="str">
        <f>IFERROR(__xludf.DUMMYFUNCTION("""COMPUTED_VALUE"""),"UnAllocatedQty")</f>
        <v>UnAllocatedQty</v>
      </c>
      <c r="CK5" s="24" t="str">
        <f>IFERROR(__xludf.DUMMYFUNCTION("""COMPUTED_VALUE"""),"Underlying")</f>
        <v>Underlying</v>
      </c>
      <c r="CL5" s="24" t="str">
        <f>IFERROR(__xludf.DUMMYFUNCTION("""COMPUTED_VALUE"""),"Underlying Delta")</f>
        <v>Underlying Delta</v>
      </c>
      <c r="CM5" s="24" t="str">
        <f>IFERROR(__xludf.DUMMYFUNCTION("""COMPUTED_VALUE"""),"Underlying Symbol")</f>
        <v>Underlying Symbol</v>
      </c>
      <c r="CN5" s="24" t="str">
        <f>IFERROR(__xludf.DUMMYFUNCTION("""COMPUTED_VALUE"""),"User")</f>
        <v>User</v>
      </c>
      <c r="CO5" s="24" t="str">
        <f>IFERROR(__xludf.DUMMYFUNCTION("""COMPUTED_VALUE"""),"Venue")</f>
        <v>Venue</v>
      </c>
      <c r="CP5" s="24" t="str">
        <f>IFERROR(__xludf.DUMMYFUNCTION("""COMPUTED_VALUE"""),"Closing Method")</f>
        <v>Closing Method</v>
      </c>
      <c r="CQ5" s="24" t="str">
        <f>IFERROR(__xludf.DUMMYFUNCTION("""COMPUTED_VALUE"""),"Closing Date")</f>
        <v>Closing Date</v>
      </c>
      <c r="CR5" s="24" t="str">
        <f>IFERROR(__xludf.DUMMYFUNCTION("""COMPUTED_VALUE"""),"GroupID")</f>
        <v>GroupID</v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33" t="s">
        <v>17</v>
      </c>
      <c r="C6" s="34"/>
      <c r="D6" s="35"/>
      <c r="E6" s="36">
        <v>100.0</v>
      </c>
      <c r="F6" s="34"/>
      <c r="G6" s="34"/>
      <c r="H6" s="34"/>
      <c r="I6" s="37"/>
      <c r="J6" s="34"/>
      <c r="K6" s="38">
        <v>10.0</v>
      </c>
      <c r="L6" s="38">
        <v>10.0</v>
      </c>
      <c r="M6" s="34"/>
      <c r="N6" s="34"/>
      <c r="O6" s="34"/>
      <c r="P6" s="34"/>
      <c r="Q6" s="34"/>
      <c r="R6" s="34"/>
      <c r="S6" s="34" t="s">
        <v>32</v>
      </c>
      <c r="T6" s="34"/>
      <c r="V6" s="34"/>
      <c r="W6" s="34"/>
      <c r="X6" s="34"/>
      <c r="Y6" s="34"/>
      <c r="Z6" s="34"/>
      <c r="AA6" s="34"/>
      <c r="AB6" s="34"/>
      <c r="AC6" s="34"/>
      <c r="AD6" s="34"/>
      <c r="AE6" s="39">
        <v>100.0</v>
      </c>
      <c r="AF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9">
        <v>100.0</v>
      </c>
      <c r="BK6" s="34"/>
      <c r="BL6" s="34"/>
      <c r="BN6" s="34"/>
      <c r="BO6" s="34" t="s">
        <v>33</v>
      </c>
      <c r="BP6" s="34"/>
      <c r="BQ6" s="34"/>
      <c r="BR6" s="34"/>
      <c r="BS6" s="34"/>
      <c r="BT6" s="38" t="s">
        <v>15</v>
      </c>
      <c r="BV6" s="34"/>
      <c r="BW6" s="34"/>
      <c r="BX6" s="34"/>
      <c r="BY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</row>
    <row r="7" ht="15.75" customHeight="1">
      <c r="A7" s="4"/>
      <c r="B7" s="6" t="s">
        <v>17</v>
      </c>
      <c r="C7" s="4"/>
      <c r="D7" s="4"/>
      <c r="E7" s="6">
        <v>100.0</v>
      </c>
      <c r="F7" s="4"/>
      <c r="G7" s="4"/>
      <c r="H7" s="4"/>
      <c r="I7" s="4"/>
      <c r="J7" s="4"/>
      <c r="K7" s="6">
        <v>10.0</v>
      </c>
      <c r="L7" s="6">
        <v>10.0</v>
      </c>
      <c r="M7" s="4"/>
      <c r="N7" s="4"/>
      <c r="O7" s="4"/>
      <c r="S7" s="27" t="s">
        <v>32</v>
      </c>
      <c r="AE7" s="27">
        <v>100.0</v>
      </c>
      <c r="BJ7" s="27">
        <v>100.0</v>
      </c>
      <c r="BO7" s="27" t="s">
        <v>34</v>
      </c>
      <c r="BT7" s="27" t="s">
        <v>15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7.86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35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IFERROR(__xludf.DUMMYFUNCTION("""COMPUTED_VALUE"""),"Account")</f>
        <v>Account</v>
      </c>
      <c r="C5" s="20" t="str">
        <f>IFERROR(__xludf.DUMMYFUNCTION("""COMPUTED_VALUE"""),"Asset Class")</f>
        <v>Asset Class</v>
      </c>
      <c r="D5" s="20" t="str">
        <f>IFERROR(__xludf.DUMMYFUNCTION("""COMPUTED_VALUE"""),"checkBox")</f>
        <v>checkBox</v>
      </c>
      <c r="E5" s="20" t="str">
        <f>IFERROR(__xludf.DUMMYFUNCTION("""COMPUTED_VALUE"""),"Close Date")</f>
        <v>Close Date</v>
      </c>
      <c r="F5" s="22" t="str">
        <f>IFERROR(__xludf.DUMMYFUNCTION("""COMPUTED_VALUE"""),"ClosedAveragePrice")</f>
        <v>ClosedAveragePrice</v>
      </c>
      <c r="G5" s="20" t="str">
        <f>IFERROR(__xludf.DUMMYFUNCTION("""COMPUTED_VALUE"""),"ClosedQty")</f>
        <v>ClosedQty</v>
      </c>
      <c r="H5" s="20" t="str">
        <f>IFERROR(__xludf.DUMMYFUNCTION("""COMPUTED_VALUE"""),"Closing Method")</f>
        <v>Closing Method</v>
      </c>
      <c r="I5" s="20" t="str">
        <f>IFERROR(__xludf.DUMMYFUNCTION("""COMPUTED_VALUE"""),"ClosingID")</f>
        <v>ClosingID</v>
      </c>
      <c r="J5" s="20" t="str">
        <f>IFERROR(__xludf.DUMMYFUNCTION("""COMPUTED_VALUE"""),"ClosingMode")</f>
        <v>ClosingMode</v>
      </c>
      <c r="K5" s="20" t="str">
        <f>IFERROR(__xludf.DUMMYFUNCTION("""COMPUTED_VALUE"""),"ClosingPositionTag")</f>
        <v>ClosingPositionTag</v>
      </c>
      <c r="L5" s="20" t="str">
        <f>IFERROR(__xludf.DUMMYFUNCTION("""COMPUTED_VALUE"""),"ClosingSide")</f>
        <v>ClosingSide</v>
      </c>
      <c r="M5" s="20" t="str">
        <f>IFERROR(__xludf.DUMMYFUNCTION("""COMPUTED_VALUE"""),"ClosingTotalCommissionandFees")</f>
        <v>ClosingTotalCommissionandFees</v>
      </c>
      <c r="N5" s="20" t="str">
        <f>IFERROR(__xludf.DUMMYFUNCTION("""COMPUTED_VALUE"""),"Column1")</f>
        <v>Column1</v>
      </c>
      <c r="O5" s="20" t="str">
        <f>IFERROR(__xludf.DUMMYFUNCTION("""COMPUTED_VALUE"""),"CostBasisGrossPNL")</f>
        <v>CostBasisGrossPNL</v>
      </c>
      <c r="P5" s="20" t="str">
        <f>IFERROR(__xludf.DUMMYFUNCTION("""COMPUTED_VALUE"""),"Currency")</f>
        <v>Currency</v>
      </c>
      <c r="Q5" s="20" t="str">
        <f>IFERROR(__xludf.DUMMYFUNCTION("""COMPUTED_VALUE"""),"CurrencyID")</f>
        <v>CurrencyID</v>
      </c>
      <c r="R5" s="20" t="str">
        <f>IFERROR(__xludf.DUMMYFUNCTION("""COMPUTED_VALUE"""),"Exchange")</f>
        <v>Exchange</v>
      </c>
      <c r="S5" s="20" t="str">
        <f>IFERROR(__xludf.DUMMYFUNCTION("""COMPUTED_VALUE"""),"NotionalChange")</f>
        <v>NotionalChange</v>
      </c>
      <c r="T5" s="24" t="str">
        <f>IFERROR(__xludf.DUMMYFUNCTION("""COMPUTED_VALUE"""),"OpenAveragePrice")</f>
        <v>OpenAveragePrice</v>
      </c>
      <c r="U5" s="24" t="str">
        <f>IFERROR(__xludf.DUMMYFUNCTION("""COMPUTED_VALUE"""),"Original Purchase Date")</f>
        <v>Original Purchase Date</v>
      </c>
      <c r="V5" s="24" t="str">
        <f>IFERROR(__xludf.DUMMYFUNCTION("""COMPUTED_VALUE"""),"Position Type")</f>
        <v>Position Type</v>
      </c>
      <c r="W5" s="24" t="str">
        <f>IFERROR(__xludf.DUMMYFUNCTION("""COMPUTED_VALUE"""),"PositionSide")</f>
        <v>PositionSide</v>
      </c>
      <c r="X5" s="24" t="str">
        <f>IFERROR(__xludf.DUMMYFUNCTION("""COMPUTED_VALUE"""),"PositionTotalCommissionandFees")</f>
        <v>PositionTotalCommissionandFees</v>
      </c>
      <c r="Y5" s="24" t="str">
        <f>IFERROR(__xludf.DUMMYFUNCTION("""COMPUTED_VALUE"""),"Realized PNL(C.B.)")</f>
        <v>Realized PNL(C.B.)</v>
      </c>
      <c r="Z5" s="24" t="str">
        <f>IFERROR(__xludf.DUMMYFUNCTION("""COMPUTED_VALUE"""),"Side")</f>
        <v>Side</v>
      </c>
      <c r="AA5" s="24" t="str">
        <f>IFERROR(__xludf.DUMMYFUNCTION("""COMPUTED_VALUE"""),"Strategy")</f>
        <v>Strategy</v>
      </c>
      <c r="AB5" s="24" t="str">
        <f>IFERROR(__xludf.DUMMYFUNCTION("""COMPUTED_VALUE"""),"Symbol")</f>
        <v>Symbol</v>
      </c>
      <c r="AC5" s="24" t="str">
        <f>IFERROR(__xludf.DUMMYFUNCTION("""COMPUTED_VALUE"""),"Taxlot ID")</f>
        <v>Taxlot ID</v>
      </c>
      <c r="AD5" s="24" t="str">
        <f>IFERROR(__xludf.DUMMYFUNCTION("""COMPUTED_VALUE"""),"UnderlyingName")</f>
        <v>UnderlyingName</v>
      </c>
      <c r="AE5" s="24" t="str">
        <f>IFERROR(__xludf.DUMMYFUNCTION("""COMPUTED_VALUE"""),"")</f>
        <v/>
      </c>
      <c r="AF5" s="24" t="str">
        <f>IFERROR(__xludf.DUMMYFUNCTION("""COMPUTED_VALUE"""),"")</f>
        <v/>
      </c>
      <c r="AG5" s="24" t="str">
        <f>IFERROR(__xludf.DUMMYFUNCTION("""COMPUTED_VALUE"""),"")</f>
        <v/>
      </c>
      <c r="AH5" s="24" t="str">
        <f>IFERROR(__xludf.DUMMYFUNCTION("""COMPUTED_VALUE"""),"")</f>
        <v/>
      </c>
      <c r="AI5" s="24" t="str">
        <f>IFERROR(__xludf.DUMMYFUNCTION("""COMPUTED_VALUE"""),"")</f>
        <v/>
      </c>
      <c r="AJ5" s="24" t="str">
        <f>IFERROR(__xludf.DUMMYFUNCTION("""COMPUTED_VALUE"""),"")</f>
        <v/>
      </c>
      <c r="AK5" s="24" t="str">
        <f>IFERROR(__xludf.DUMMYFUNCTION("""COMPUTED_VALUE"""),"")</f>
        <v/>
      </c>
      <c r="AL5" s="24" t="str">
        <f>IFERROR(__xludf.DUMMYFUNCTION("""COMPUTED_VALUE"""),"")</f>
        <v/>
      </c>
      <c r="AM5" s="24" t="str">
        <f>IFERROR(__xludf.DUMMYFUNCTION("""COMPUTED_VALUE"""),"")</f>
        <v/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17</v>
      </c>
      <c r="C6" s="6" t="s">
        <v>20</v>
      </c>
      <c r="D6" s="6"/>
      <c r="E6" s="28">
        <f>TODAY()</f>
        <v>43627</v>
      </c>
      <c r="F6" s="6">
        <v>10.0</v>
      </c>
      <c r="G6" s="6">
        <v>100.0</v>
      </c>
      <c r="H6" s="6" t="s">
        <v>25</v>
      </c>
      <c r="I6" s="4"/>
      <c r="J6" s="6" t="s">
        <v>26</v>
      </c>
      <c r="K6" s="4"/>
      <c r="L6" s="6"/>
      <c r="M6" s="4"/>
      <c r="N6" s="4"/>
      <c r="O6" s="4"/>
      <c r="U6" s="32">
        <f>TODAY()</f>
        <v>43627</v>
      </c>
      <c r="W6" s="27" t="s">
        <v>27</v>
      </c>
      <c r="Z6" s="27" t="s">
        <v>16</v>
      </c>
      <c r="AB6" s="27" t="s">
        <v>15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18</v>
      </c>
      <c r="D3" s="5" t="s">
        <v>8</v>
      </c>
      <c r="E3" s="14" t="s">
        <v>36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IFERROR(__xludf.DUMMYFUNCTION("""COMPUTED_VALUE"""),"Account")</f>
        <v>Account</v>
      </c>
      <c r="C5" s="20" t="str">
        <f>IFERROR(__xludf.DUMMYFUNCTION("""COMPUTED_VALUE"""),"Asset Class")</f>
        <v>Asset Class</v>
      </c>
      <c r="D5" s="20" t="str">
        <f>IFERROR(__xludf.DUMMYFUNCTION("""COMPUTED_VALUE"""),"AUECID")</f>
        <v>AUECID</v>
      </c>
      <c r="E5" s="20" t="str">
        <f>IFERROR(__xludf.DUMMYFUNCTION("""COMPUTED_VALUE"""),"ExternalTransId")</f>
        <v>ExternalTransId</v>
      </c>
      <c r="F5" s="22" t="str">
        <f>IFERROR(__xludf.DUMMYFUNCTION("""COMPUTED_VALUE"""),"IsSwapped")</f>
        <v>IsSwapped</v>
      </c>
      <c r="G5" s="20" t="str">
        <f>IFERROR(__xludf.DUMMYFUNCTION("""COMPUTED_VALUE"""),"LotId")</f>
        <v>LotId</v>
      </c>
      <c r="H5" s="20" t="str">
        <f>IFERROR(__xludf.DUMMYFUNCTION("""COMPUTED_VALUE"""),"Net Notional")</f>
        <v>Net Notional</v>
      </c>
      <c r="I5" s="20" t="str">
        <f>IFERROR(__xludf.DUMMYFUNCTION("""COMPUTED_VALUE"""),"Opening Price")</f>
        <v>Opening Price</v>
      </c>
      <c r="J5" s="20" t="str">
        <f>IFERROR(__xludf.DUMMYFUNCTION("""COMPUTED_VALUE"""),"Original Purchase Date")</f>
        <v>Original Purchase Date</v>
      </c>
      <c r="K5" s="20" t="str">
        <f>IFERROR(__xludf.DUMMYFUNCTION("""COMPUTED_VALUE"""),"PositionTag")</f>
        <v>PositionTag</v>
      </c>
      <c r="L5" s="20" t="str">
        <f>IFERROR(__xludf.DUMMYFUNCTION("""COMPUTED_VALUE"""),"Process Date")</f>
        <v>Process Date</v>
      </c>
      <c r="M5" s="20" t="str">
        <f>IFERROR(__xludf.DUMMYFUNCTION("""COMPUTED_VALUE"""),"Quantity")</f>
        <v>Quantity</v>
      </c>
      <c r="N5" s="20" t="str">
        <f>IFERROR(__xludf.DUMMYFUNCTION("""COMPUTED_VALUE"""),"Security Name")</f>
        <v>Security Name</v>
      </c>
      <c r="O5" s="20" t="str">
        <f>IFERROR(__xludf.DUMMYFUNCTION("""COMPUTED_VALUE"""),"Settlement Currency")</f>
        <v>Settlement Currency</v>
      </c>
      <c r="P5" s="20" t="str">
        <f>IFERROR(__xludf.DUMMYFUNCTION("""COMPUTED_VALUE"""),"Side")</f>
        <v>Side</v>
      </c>
      <c r="Q5" s="20" t="str">
        <f>IFERROR(__xludf.DUMMYFUNCTION("""COMPUTED_VALUE"""),"Strategy")</f>
        <v>Strategy</v>
      </c>
      <c r="R5" s="20" t="str">
        <f>IFERROR(__xludf.DUMMYFUNCTION("""COMPUTED_VALUE"""),"Symbol")</f>
        <v>Symbol</v>
      </c>
      <c r="S5" s="20" t="str">
        <f>IFERROR(__xludf.DUMMYFUNCTION("""COMPUTED_VALUE"""),"Taxlot ID")</f>
        <v>Taxlot ID</v>
      </c>
      <c r="T5" s="24" t="str">
        <f>IFERROR(__xludf.DUMMYFUNCTION("""COMPUTED_VALUE"""),"Total Fees and Commission")</f>
        <v>Total Fees and Commission</v>
      </c>
      <c r="U5" s="24" t="str">
        <f>IFERROR(__xludf.DUMMYFUNCTION("""COMPUTED_VALUE"""),"Trade Date")</f>
        <v>Trade Date</v>
      </c>
      <c r="V5" s="24" t="str">
        <f>IFERROR(__xludf.DUMMYFUNCTION("""COMPUTED_VALUE"""),"Transaction Type")</f>
        <v>Transaction Type</v>
      </c>
      <c r="W5" s="24" t="str">
        <f>IFERROR(__xludf.DUMMYFUNCTION("""COMPUTED_VALUE"""),"UnderlyingName")</f>
        <v>UnderlyingName</v>
      </c>
      <c r="X5" s="24" t="str">
        <f>IFERROR(__xludf.DUMMYFUNCTION("""COMPUTED_VALUE"""),"UnitCost")</f>
        <v>UnitCost</v>
      </c>
      <c r="Y5" s="24" t="str">
        <f>IFERROR(__xludf.DUMMYFUNCTION("""COMPUTED_VALUE"""),"Unit Cost(Base)")</f>
        <v>Unit Cost(Base)</v>
      </c>
      <c r="Z5" s="24" t="str">
        <f>IFERROR(__xludf.DUMMYFUNCTION("""COMPUTED_VALUE"""),"AvgPriceBase")</f>
        <v>AvgPriceBase</v>
      </c>
      <c r="AA5" s="24" t="str">
        <f>IFERROR(__xludf.DUMMYFUNCTION("""COMPUTED_VALUE"""),"")</f>
        <v/>
      </c>
      <c r="AB5" s="24" t="str">
        <f>IFERROR(__xludf.DUMMYFUNCTION("""COMPUTED_VALUE"""),"")</f>
        <v/>
      </c>
      <c r="AC5" s="24" t="str">
        <f>IFERROR(__xludf.DUMMYFUNCTION("""COMPUTED_VALUE"""),"")</f>
        <v/>
      </c>
      <c r="AD5" s="24" t="str">
        <f>IFERROR(__xludf.DUMMYFUNCTION("""COMPUTED_VALUE"""),"")</f>
        <v/>
      </c>
      <c r="AE5" s="24" t="str">
        <f>IFERROR(__xludf.DUMMYFUNCTION("""COMPUTED_VALUE"""),"")</f>
        <v/>
      </c>
      <c r="AF5" s="24" t="str">
        <f>IFERROR(__xludf.DUMMYFUNCTION("""COMPUTED_VALUE"""),"")</f>
        <v/>
      </c>
      <c r="AG5" s="24" t="str">
        <f>IFERROR(__xludf.DUMMYFUNCTION("""COMPUTED_VALUE"""),"")</f>
        <v/>
      </c>
      <c r="AH5" s="24" t="str">
        <f>IFERROR(__xludf.DUMMYFUNCTION("""COMPUTED_VALUE"""),"")</f>
        <v/>
      </c>
      <c r="AI5" s="24" t="str">
        <f>IFERROR(__xludf.DUMMYFUNCTION("""COMPUTED_VALUE"""),"")</f>
        <v/>
      </c>
      <c r="AJ5" s="24" t="str">
        <f>IFERROR(__xludf.DUMMYFUNCTION("""COMPUTED_VALUE"""),"")</f>
        <v/>
      </c>
      <c r="AK5" s="24" t="str">
        <f>IFERROR(__xludf.DUMMYFUNCTION("""COMPUTED_VALUE"""),"")</f>
        <v/>
      </c>
      <c r="AL5" s="24" t="str">
        <f>IFERROR(__xludf.DUMMYFUNCTION("""COMPUTED_VALUE"""),"")</f>
        <v/>
      </c>
      <c r="AM5" s="24" t="str">
        <f>IFERROR(__xludf.DUMMYFUNCTION("""COMPUTED_VALUE"""),"")</f>
        <v/>
      </c>
      <c r="AN5" s="24" t="str">
        <f>IFERROR(__xludf.DUMMYFUNCTION("""COMPUTED_VALUE"""),"")</f>
        <v/>
      </c>
      <c r="AO5" s="24" t="str">
        <f>IFERROR(__xludf.DUMMYFUNCTION("""COMPUTED_VALUE"""),"")</f>
        <v/>
      </c>
      <c r="AP5" s="24" t="str">
        <f>IFERROR(__xludf.DUMMYFUNCTION("""COMPUTED_VALUE"""),"")</f>
        <v/>
      </c>
      <c r="AQ5" s="24" t="str">
        <f>IFERROR(__xludf.DUMMYFUNCTION("""COMPUTED_VALUE"""),"")</f>
        <v/>
      </c>
      <c r="AR5" s="24" t="str">
        <f>IFERROR(__xludf.DUMMYFUNCTION("""COMPUTED_VALUE"""),"")</f>
        <v/>
      </c>
      <c r="AS5" s="24" t="str">
        <f>IFERROR(__xludf.DUMMYFUNCTION("""COMPUTED_VALUE"""),"")</f>
        <v/>
      </c>
      <c r="AT5" s="24" t="str">
        <f>IFERROR(__xludf.DUMMYFUNCTION("""COMPUTED_VALUE"""),"")</f>
        <v/>
      </c>
      <c r="AU5" s="24" t="str">
        <f>IFERROR(__xludf.DUMMYFUNCTION("""COMPUTED_VALUE"""),"")</f>
        <v/>
      </c>
      <c r="AV5" s="24" t="str">
        <f>IFERROR(__xludf.DUMMYFUNCTION("""COMPUTED_VALUE"""),"")</f>
        <v/>
      </c>
      <c r="AW5" s="24" t="str">
        <f>IFERROR(__xludf.DUMMYFUNCTION("""COMPUTED_VALUE"""),"")</f>
        <v/>
      </c>
      <c r="AX5" s="24" t="str">
        <f>IFERROR(__xludf.DUMMYFUNCTION("""COMPUTED_VALUE"""),"")</f>
        <v/>
      </c>
      <c r="AY5" s="24" t="str">
        <f>IFERROR(__xludf.DUMMYFUNCTION("""COMPUTED_VALUE"""),"")</f>
        <v/>
      </c>
      <c r="AZ5" s="24" t="str">
        <f>IFERROR(__xludf.DUMMYFUNCTION("""COMPUTED_VALUE"""),"")</f>
        <v/>
      </c>
      <c r="BA5" s="24" t="str">
        <f>IFERROR(__xludf.DUMMYFUNCTION("""COMPUTED_VALUE"""),"")</f>
        <v/>
      </c>
      <c r="BB5" s="24" t="str">
        <f>IFERROR(__xludf.DUMMYFUNCTION("""COMPUTED_VALUE"""),"")</f>
        <v/>
      </c>
      <c r="BC5" s="24" t="str">
        <f>IFERROR(__xludf.DUMMYFUNCTION("""COMPUTED_VALUE"""),"")</f>
        <v/>
      </c>
      <c r="BD5" s="24" t="str">
        <f>IFERROR(__xludf.DUMMYFUNCTION("""COMPUTED_VALUE"""),"")</f>
        <v/>
      </c>
      <c r="BE5" s="24" t="str">
        <f>IFERROR(__xludf.DUMMYFUNCTION("""COMPUTED_VALUE"""),"")</f>
        <v/>
      </c>
      <c r="BF5" s="24" t="str">
        <f>IFERROR(__xludf.DUMMYFUNCTION("""COMPUTED_VALUE"""),"")</f>
        <v/>
      </c>
      <c r="BG5" s="24" t="str">
        <f>IFERROR(__xludf.DUMMYFUNCTION("""COMPUTED_VALUE"""),"")</f>
        <v/>
      </c>
      <c r="BH5" s="24" t="str">
        <f>IFERROR(__xludf.DUMMYFUNCTION("""COMPUTED_VALUE"""),"")</f>
        <v/>
      </c>
      <c r="BI5" s="24" t="str">
        <f>IFERROR(__xludf.DUMMYFUNCTION("""COMPUTED_VALUE"""),"")</f>
        <v/>
      </c>
      <c r="BJ5" s="24" t="str">
        <f>IFERROR(__xludf.DUMMYFUNCTION("""COMPUTED_VALUE"""),"")</f>
        <v/>
      </c>
      <c r="BK5" s="24" t="str">
        <f>IFERROR(__xludf.DUMMYFUNCTION("""COMPUTED_VALUE"""),"")</f>
        <v/>
      </c>
      <c r="BL5" s="24" t="str">
        <f>IFERROR(__xludf.DUMMYFUNCTION("""COMPUTED_VALUE"""),"")</f>
        <v/>
      </c>
      <c r="BM5" s="24" t="str">
        <f>IFERROR(__xludf.DUMMYFUNCTION("""COMPUTED_VALUE"""),"")</f>
        <v/>
      </c>
      <c r="BN5" s="24" t="str">
        <f>IFERROR(__xludf.DUMMYFUNCTION("""COMPUTED_VALUE"""),"")</f>
        <v/>
      </c>
      <c r="BO5" s="24" t="str">
        <f>IFERROR(__xludf.DUMMYFUNCTION("""COMPUTED_VALUE"""),"")</f>
        <v/>
      </c>
      <c r="BP5" s="24" t="str">
        <f>IFERROR(__xludf.DUMMYFUNCTION("""COMPUTED_VALUE"""),"")</f>
        <v/>
      </c>
      <c r="BQ5" s="24" t="str">
        <f>IFERROR(__xludf.DUMMYFUNCTION("""COMPUTED_VALUE"""),"")</f>
        <v/>
      </c>
      <c r="BR5" s="24" t="str">
        <f>IFERROR(__xludf.DUMMYFUNCTION("""COMPUTED_VALUE"""),"")</f>
        <v/>
      </c>
      <c r="BS5" s="24" t="str">
        <f>IFERROR(__xludf.DUMMYFUNCTION("""COMPUTED_VALUE"""),"")</f>
        <v/>
      </c>
      <c r="BT5" s="24" t="str">
        <f>IFERROR(__xludf.DUMMYFUNCTION("""COMPUTED_VALUE"""),"")</f>
        <v/>
      </c>
      <c r="BU5" s="24" t="str">
        <f>IFERROR(__xludf.DUMMYFUNCTION("""COMPUTED_VALUE"""),"")</f>
        <v/>
      </c>
      <c r="BV5" s="24" t="str">
        <f>IFERROR(__xludf.DUMMYFUNCTION("""COMPUTED_VALUE"""),"")</f>
        <v/>
      </c>
      <c r="BW5" s="24" t="str">
        <f>IFERROR(__xludf.DUMMYFUNCTION("""COMPUTED_VALUE"""),"")</f>
        <v/>
      </c>
      <c r="BX5" s="24" t="str">
        <f>IFERROR(__xludf.DUMMYFUNCTION("""COMPUTED_VALUE"""),"")</f>
        <v/>
      </c>
      <c r="BY5" s="24" t="str">
        <f>IFERROR(__xludf.DUMMYFUNCTION("""COMPUTED_VALUE"""),"")</f>
        <v/>
      </c>
      <c r="BZ5" s="24" t="str">
        <f>IFERROR(__xludf.DUMMYFUNCTION("""COMPUTED_VALUE"""),"")</f>
        <v/>
      </c>
      <c r="CA5" s="24" t="str">
        <f>IFERROR(__xludf.DUMMYFUNCTION("""COMPUTED_VALUE"""),"")</f>
        <v/>
      </c>
      <c r="CB5" s="24" t="str">
        <f>IFERROR(__xludf.DUMMYFUNCTION("""COMPUTED_VALUE"""),"")</f>
        <v/>
      </c>
      <c r="CC5" s="24" t="str">
        <f>IFERROR(__xludf.DUMMYFUNCTION("""COMPUTED_VALUE"""),"")</f>
        <v/>
      </c>
      <c r="CD5" s="24" t="str">
        <f>IFERROR(__xludf.DUMMYFUNCTION("""COMPUTED_VALUE"""),"")</f>
        <v/>
      </c>
      <c r="CE5" s="24" t="str">
        <f>IFERROR(__xludf.DUMMYFUNCTION("""COMPUTED_VALUE"""),"")</f>
        <v/>
      </c>
      <c r="CF5" s="24" t="str">
        <f>IFERROR(__xludf.DUMMYFUNCTION("""COMPUTED_VALUE"""),"")</f>
        <v/>
      </c>
      <c r="CG5" s="24" t="str">
        <f>IFERROR(__xludf.DUMMYFUNCTION("""COMPUTED_VALUE"""),"")</f>
        <v/>
      </c>
      <c r="CH5" s="24" t="str">
        <f>IFERROR(__xludf.DUMMYFUNCTION("""COMPUTED_VALUE"""),"")</f>
        <v/>
      </c>
      <c r="CI5" s="24" t="str">
        <f>IFERROR(__xludf.DUMMYFUNCTION("""COMPUTED_VALUE"""),"")</f>
        <v/>
      </c>
      <c r="CJ5" s="24" t="str">
        <f>IFERROR(__xludf.DUMMYFUNCTION("""COMPUTED_VALUE"""),"")</f>
        <v/>
      </c>
      <c r="CK5" s="24" t="str">
        <f>IFERROR(__xludf.DUMMYFUNCTION("""COMPUTED_VALUE"""),"")</f>
        <v/>
      </c>
      <c r="CL5" s="24" t="str">
        <f>IFERROR(__xludf.DUMMYFUNCTION("""COMPUTED_VALUE"""),"")</f>
        <v/>
      </c>
      <c r="CM5" s="24" t="str">
        <f>IFERROR(__xludf.DUMMYFUNCTION("""COMPUTED_VALUE"""),"")</f>
        <v/>
      </c>
      <c r="CN5" s="24" t="str">
        <f>IFERROR(__xludf.DUMMYFUNCTION("""COMPUTED_VALUE"""),"")</f>
        <v/>
      </c>
      <c r="CO5" s="24" t="str">
        <f>IFERROR(__xludf.DUMMYFUNCTION("""COMPUTED_VALUE"""),"")</f>
        <v/>
      </c>
      <c r="CP5" s="24" t="str">
        <f>IFERROR(__xludf.DUMMYFUNCTION("""COMPUTED_VALUE"""),"")</f>
        <v/>
      </c>
      <c r="CQ5" s="24" t="str">
        <f>IFERROR(__xludf.DUMMYFUNCTION("""COMPUTED_VALUE"""),"")</f>
        <v/>
      </c>
      <c r="CR5" s="24" t="str">
        <f>IFERROR(__xludf.DUMMYFUNCTION("""COMPUTED_VALUE"""),"")</f>
        <v/>
      </c>
      <c r="CS5" s="24" t="str">
        <f>IFERROR(__xludf.DUMMYFUNCTION("""COMPUTED_VALUE"""),"")</f>
        <v/>
      </c>
      <c r="CT5" s="24" t="str">
        <f>IFERROR(__xludf.DUMMYFUNCTION("""COMPUTED_VALUE"""),"")</f>
        <v/>
      </c>
      <c r="CU5" s="24" t="str">
        <f>IFERROR(__xludf.DUMMYFUNCTION("""COMPUTED_VALUE"""),"")</f>
        <v/>
      </c>
      <c r="CV5" s="24" t="str">
        <f>IFERROR(__xludf.DUMMYFUNCTION("""COMPUTED_VALUE"""),"")</f>
        <v/>
      </c>
      <c r="CW5" s="24" t="str">
        <f>IFERROR(__xludf.DUMMYFUNCTION("""COMPUTED_VALUE"""),"")</f>
        <v/>
      </c>
      <c r="CX5" s="24" t="str">
        <f>IFERROR(__xludf.DUMMYFUNCTION("""COMPUTED_VALUE"""),"")</f>
        <v/>
      </c>
      <c r="CY5" s="24" t="str">
        <f>IFERROR(__xludf.DUMMYFUNCTION("""COMPUTED_VALUE"""),"")</f>
        <v/>
      </c>
      <c r="CZ5" s="24" t="str">
        <f>IFERROR(__xludf.DUMMYFUNCTION("""COMPUTED_VALUE"""),"")</f>
        <v/>
      </c>
      <c r="DA5" s="24" t="str">
        <f>IFERROR(__xludf.DUMMYFUNCTION("""COMPUTED_VALUE"""),"")</f>
        <v/>
      </c>
      <c r="DB5" s="24" t="str">
        <f>IFERROR(__xludf.DUMMYFUNCTION("""COMPUTED_VALUE"""),"")</f>
        <v/>
      </c>
      <c r="DC5" s="24" t="str">
        <f>IFERROR(__xludf.DUMMYFUNCTION("""COMPUTED_VALUE"""),"")</f>
        <v/>
      </c>
      <c r="DD5" s="24" t="str">
        <f>IFERROR(__xludf.DUMMYFUNCTION("""COMPUTED_VALUE"""),"")</f>
        <v/>
      </c>
      <c r="DE5" s="24" t="str">
        <f>IFERROR(__xludf.DUMMYFUNCTION("""COMPUTED_VALUE"""),"")</f>
        <v/>
      </c>
      <c r="DF5" s="24" t="str">
        <f>IFERROR(__xludf.DUMMYFUNCTION("""COMPUTED_VALUE"""),"")</f>
        <v/>
      </c>
      <c r="DG5" s="24" t="str">
        <f>IFERROR(__xludf.DUMMYFUNCTION("""COMPUTED_VALUE"""),"")</f>
        <v/>
      </c>
      <c r="DH5" s="24" t="str">
        <f>IFERROR(__xludf.DUMMYFUNCTION("""COMPUTED_VALUE"""),"")</f>
        <v/>
      </c>
      <c r="DI5" s="24" t="str">
        <f>IFERROR(__xludf.DUMMYFUNCTION("""COMPUTED_VALUE"""),"")</f>
        <v/>
      </c>
      <c r="DJ5" s="24" t="str">
        <f>IFERROR(__xludf.DUMMYFUNCTION("""COMPUTED_VALUE"""),"")</f>
        <v/>
      </c>
      <c r="DK5" s="24" t="str">
        <f>IFERROR(__xludf.DUMMYFUNCTION("""COMPUTED_VALUE"""),"")</f>
        <v/>
      </c>
      <c r="DL5" s="24" t="str">
        <f>IFERROR(__xludf.DUMMYFUNCTION("""COMPUTED_VALUE"""),"")</f>
        <v/>
      </c>
      <c r="DM5" s="24" t="str">
        <f>IFERROR(__xludf.DUMMYFUNCTION("""COMPUTED_VALUE"""),"")</f>
        <v/>
      </c>
      <c r="DN5" s="24" t="str">
        <f>IFERROR(__xludf.DUMMYFUNCTION("""COMPUTED_VALUE"""),"")</f>
        <v/>
      </c>
      <c r="DO5" s="24" t="str">
        <f>IFERROR(__xludf.DUMMYFUNCTION("""COMPUTED_VALUE"""),"")</f>
        <v/>
      </c>
      <c r="DP5" s="24" t="str">
        <f>IFERROR(__xludf.DUMMYFUNCTION("""COMPUTED_VALUE"""),"")</f>
        <v/>
      </c>
      <c r="DQ5" s="24" t="str">
        <f>IFERROR(__xludf.DUMMYFUNCTION("""COMPUTED_VALUE"""),"")</f>
        <v/>
      </c>
      <c r="DR5" s="24" t="str">
        <f>IFERROR(__xludf.DUMMYFUNCTION("""COMPUTED_VALUE"""),"")</f>
        <v/>
      </c>
      <c r="DS5" s="24" t="str">
        <f>IFERROR(__xludf.DUMMYFUNCTION("""COMPUTED_VALUE"""),"")</f>
        <v/>
      </c>
      <c r="DT5" s="24" t="str">
        <f>IFERROR(__xludf.DUMMYFUNCTION("""COMPUTED_VALUE"""),"")</f>
        <v/>
      </c>
      <c r="DU5" s="24" t="str">
        <f>IFERROR(__xludf.DUMMYFUNCTION("""COMPUTED_VALUE"""),"")</f>
        <v/>
      </c>
      <c r="DV5" s="24" t="str">
        <f>IFERROR(__xludf.DUMMYFUNCTION("""COMPUTED_VALUE"""),"")</f>
        <v/>
      </c>
      <c r="DW5" s="24" t="str">
        <f>IFERROR(__xludf.DUMMYFUNCTION("""COMPUTED_VALUE"""),"")</f>
        <v/>
      </c>
      <c r="DX5" s="24" t="str">
        <f>IFERROR(__xludf.DUMMYFUNCTION("""COMPUTED_VALUE"""),"")</f>
        <v/>
      </c>
      <c r="DY5" s="24" t="str">
        <f>IFERROR(__xludf.DUMMYFUNCTION("""COMPUTED_VALUE"""),"")</f>
        <v/>
      </c>
      <c r="DZ5" s="24" t="str">
        <f>IFERROR(__xludf.DUMMYFUNCTION("""COMPUTED_VALUE"""),"")</f>
        <v/>
      </c>
      <c r="EA5" s="24" t="str">
        <f>IFERROR(__xludf.DUMMYFUNCTION("""COMPUTED_VALUE"""),"")</f>
        <v/>
      </c>
      <c r="EB5" s="24" t="str">
        <f>IFERROR(__xludf.DUMMYFUNCTION("""COMPUTED_VALUE"""),"")</f>
        <v/>
      </c>
      <c r="EC5" s="24" t="str">
        <f>IFERROR(__xludf.DUMMYFUNCTION("""COMPUTED_VALUE"""),"")</f>
        <v/>
      </c>
      <c r="ED5" s="24" t="str">
        <f>IFERROR(__xludf.DUMMYFUNCTION("""COMPUTED_VALUE"""),"")</f>
        <v/>
      </c>
      <c r="EE5" s="24" t="str">
        <f>IFERROR(__xludf.DUMMYFUNCTION("""COMPUTED_VALUE"""),"")</f>
        <v/>
      </c>
      <c r="EF5" s="24" t="str">
        <f>IFERROR(__xludf.DUMMYFUNCTION("""COMPUTED_VALUE"""),"")</f>
        <v/>
      </c>
      <c r="EG5" s="24" t="str">
        <f>IFERROR(__xludf.DUMMYFUNCTION("""COMPUTED_VALUE"""),"")</f>
        <v/>
      </c>
      <c r="EH5" s="24" t="str">
        <f>IFERROR(__xludf.DUMMYFUNCTION("""COMPUTED_VALUE"""),"")</f>
        <v/>
      </c>
      <c r="EI5" s="24" t="str">
        <f>IFERROR(__xludf.DUMMYFUNCTION("""COMPUTED_VALUE"""),"")</f>
        <v/>
      </c>
      <c r="EJ5" s="24" t="str">
        <f>IFERROR(__xludf.DUMMYFUNCTION("""COMPUTED_VALUE"""),"")</f>
        <v/>
      </c>
      <c r="EK5" s="24" t="str">
        <f>IFERROR(__xludf.DUMMYFUNCTION("""COMPUTED_VALUE"""),"")</f>
        <v/>
      </c>
      <c r="EL5" s="24" t="str">
        <f>IFERROR(__xludf.DUMMYFUNCTION("""COMPUTED_VALUE"""),"")</f>
        <v/>
      </c>
      <c r="EM5" s="24" t="str">
        <f>IFERROR(__xludf.DUMMYFUNCTION("""COMPUTED_VALUE"""),"")</f>
        <v/>
      </c>
      <c r="EN5" s="24" t="str">
        <f>IFERROR(__xludf.DUMMYFUNCTION("""COMPUTED_VALUE"""),"")</f>
        <v/>
      </c>
      <c r="EO5" s="24" t="str">
        <f>IFERROR(__xludf.DUMMYFUNCTION("""COMPUTED_VALUE"""),"")</f>
        <v/>
      </c>
      <c r="EP5" s="24" t="str">
        <f>IFERROR(__xludf.DUMMYFUNCTION("""COMPUTED_VALUE"""),"")</f>
        <v/>
      </c>
      <c r="EQ5" s="24" t="str">
        <f>IFERROR(__xludf.DUMMYFUNCTION("""COMPUTED_VALUE"""),"")</f>
        <v/>
      </c>
      <c r="ER5" s="24" t="str">
        <f>IFERROR(__xludf.DUMMYFUNCTION("""COMPUTED_VALUE"""),"")</f>
        <v/>
      </c>
      <c r="ES5" s="24" t="str">
        <f>IFERROR(__xludf.DUMMYFUNCTION("""COMPUTED_VALUE"""),"")</f>
        <v/>
      </c>
      <c r="ET5" s="24" t="str">
        <f>IFERROR(__xludf.DUMMYFUNCTION("""COMPUTED_VALUE"""),"")</f>
        <v/>
      </c>
      <c r="EU5" s="24" t="str">
        <f>IFERROR(__xludf.DUMMYFUNCTION("""COMPUTED_VALUE"""),"")</f>
        <v/>
      </c>
      <c r="EV5" s="24" t="str">
        <f>IFERROR(__xludf.DUMMYFUNCTION("""COMPUTED_VALUE"""),"")</f>
        <v/>
      </c>
      <c r="EW5" s="24" t="str">
        <f>IFERROR(__xludf.DUMMYFUNCTION("""COMPUTED_VALUE"""),"")</f>
        <v/>
      </c>
      <c r="EX5" s="24" t="str">
        <f>IFERROR(__xludf.DUMMYFUNCTION("""COMPUTED_VALUE"""),"")</f>
        <v/>
      </c>
    </row>
    <row r="6" ht="15.75" customHeight="1">
      <c r="A6" s="6"/>
      <c r="B6" s="6" t="s">
        <v>17</v>
      </c>
      <c r="C6" s="4"/>
      <c r="D6" s="6"/>
      <c r="E6" s="26"/>
      <c r="F6" s="4"/>
      <c r="G6" s="4"/>
      <c r="H6" s="4"/>
      <c r="I6" s="6">
        <v>10.0</v>
      </c>
      <c r="J6" s="4"/>
      <c r="K6" s="4"/>
      <c r="L6" s="4"/>
      <c r="M6" s="6">
        <v>100.0</v>
      </c>
      <c r="N6" s="4"/>
      <c r="O6" s="4"/>
      <c r="P6" s="27" t="s">
        <v>16</v>
      </c>
      <c r="R6" s="27" t="s">
        <v>15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