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FetchAccountPositions" sheetId="6" r:id="rId8"/>
    <sheet state="visible" name="AddCash" sheetId="7" r:id="rId9"/>
    <sheet state="visible" name="RunRebalance" sheetId="8" r:id="rId10"/>
    <sheet state="visible" name="VerifyGridData" sheetId="9" r:id="rId11"/>
    <sheet state="visible" name="SendtoStaging" sheetId="10" r:id="rId12"/>
    <sheet state="visible" name="VerifyOrder" sheetId="11" r:id="rId13"/>
    <sheet state="visible" name="RebalanceAcrossSecurities" sheetId="12" r:id="rId14"/>
    <sheet state="visible" name="GetMarkPriceData" sheetId="13" r:id="rId15"/>
    <sheet state="visible" name="UpdateMarkPrice" sheetId="14" r:id="rId16"/>
    <sheet state="visible" name="GetForexConversion" sheetId="15" r:id="rId17"/>
    <sheet state="visible" name="UpdateForexConversion" sheetId="16" r:id="rId18"/>
  </sheets>
  <definedNames/>
  <calcPr/>
</workbook>
</file>

<file path=xl/sharedStrings.xml><?xml version="1.0" encoding="utf-8"?>
<sst xmlns="http://schemas.openxmlformats.org/spreadsheetml/2006/main" count="218" uniqueCount="62">
  <si>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</si>
  <si>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</si>
  <si>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</si>
  <si>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</si>
  <si>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</si>
  <si>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</si>
  <si>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</si>
  <si>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</si>
  <si>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</si>
  <si>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</si>
  <si>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</si>
  <si>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</si>
  <si>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</si>
  <si>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</si>
  <si>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</si>
  <si>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</si>
  <si>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</si>
  <si>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</si>
  <si>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</si>
  <si>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FRU-TC</t>
  </si>
  <si>
    <t>ES U2</t>
  </si>
  <si>
    <t>O:COP 14O62.50</t>
  </si>
  <si>
    <t>Buy to Open</t>
  </si>
  <si>
    <t>EF898000</t>
  </si>
  <si>
    <t>MSFT</t>
  </si>
  <si>
    <t>FB</t>
  </si>
  <si>
    <t>Sell</t>
  </si>
  <si>
    <t>AAL</t>
  </si>
  <si>
    <t>V</t>
  </si>
  <si>
    <t>PricingInput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</si>
  <si>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</si>
  <si>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</si>
  <si>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</si>
  <si>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</si>
  <si>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</si>
  <si>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</si>
  <si>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</si>
  <si>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</si>
  <si>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</si>
  <si>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Nearest Round Off</t>
  </si>
  <si>
    <t>VerifyGridData</t>
  </si>
  <si>
    <t>Equity</t>
  </si>
  <si>
    <t>Long</t>
  </si>
  <si>
    <t>FixedIncome</t>
  </si>
  <si>
    <t>Short</t>
  </si>
  <si>
    <t>SendtoStaging</t>
  </si>
  <si>
    <t>SellShort</t>
  </si>
  <si>
    <t>Blotter</t>
  </si>
  <si>
    <t>VerifyOrder</t>
  </si>
  <si>
    <t>New</t>
  </si>
  <si>
    <t>MS</t>
  </si>
  <si>
    <t>Market</t>
  </si>
  <si>
    <t>Sell short</t>
  </si>
  <si>
    <t>RebalanceAcrossSecurities</t>
  </si>
  <si>
    <t>Decrease</t>
  </si>
  <si>
    <t>DailyValuation</t>
  </si>
  <si>
    <t>GetMarkPriceData</t>
  </si>
  <si>
    <t>UpdateMarkPrice</t>
  </si>
  <si>
    <t>GetForexConversion</t>
  </si>
  <si>
    <t>UpdateForexConversion</t>
  </si>
  <si>
    <t>USD</t>
  </si>
  <si>
    <t>CAD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</si>
</sst>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1.0"/>
      <color rgb="FF202124"/>
      <name val="Roboto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1155CC"/>
      <name val="Inconsolata"/>
    </font>
    <font>
      <color rgb="FF000000"/>
      <name val="Arial"/>
    </font>
    <font>
      <sz val="9.0"/>
      <color rgb="FF1155CC"/>
      <name val="&quot;Google Sans Mono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5" fillId="0" fontId="3" numFmtId="0" xfId="0" applyAlignment="1" applyBorder="1" applyFont="1">
      <alignment readingOrder="0" vertical="bottom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14" numFmtId="0" xfId="0" applyAlignment="1" applyFont="1">
      <alignment horizontal="right" vertical="bottom"/>
    </xf>
    <xf borderId="7" fillId="4" fontId="1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8" fillId="0" fontId="3" numFmtId="0" xfId="0" applyAlignment="1" applyBorder="1" applyFont="1">
      <alignment readingOrder="0" vertical="bottom"/>
    </xf>
    <xf borderId="9" fillId="0" fontId="3" numFmtId="0" xfId="0" applyAlignment="1" applyBorder="1" applyFont="1">
      <alignment vertical="bottom"/>
    </xf>
    <xf borderId="9" fillId="0" fontId="5" numFmtId="0" xfId="0" applyAlignment="1" applyBorder="1" applyFont="1">
      <alignment horizontal="right" vertical="bottom"/>
    </xf>
    <xf borderId="10" fillId="0" fontId="5" numFmtId="0" xfId="0" applyAlignment="1" applyBorder="1" applyFont="1">
      <alignment vertical="bottom"/>
    </xf>
    <xf borderId="10" fillId="0" fontId="5" numFmtId="0" xfId="0" applyAlignment="1" applyBorder="1" applyFont="1">
      <alignment readingOrder="0" vertical="bottom"/>
    </xf>
    <xf borderId="9" fillId="0" fontId="3" numFmtId="0" xfId="0" applyAlignment="1" applyBorder="1" applyFont="1">
      <alignment horizontal="right" readingOrder="0" vertical="bottom"/>
    </xf>
    <xf borderId="9" fillId="0" fontId="3" numFmtId="0" xfId="0" applyAlignment="1" applyBorder="1" applyFont="1">
      <alignment readingOrder="0" vertical="bottom"/>
    </xf>
    <xf borderId="0" fillId="0" fontId="14" numFmtId="0" xfId="0" applyAlignment="1" applyFont="1">
      <alignment horizontal="right" vertical="bottom"/>
    </xf>
    <xf borderId="0" fillId="0" fontId="14" numFmtId="3" xfId="0" applyAlignment="1" applyFont="1" applyNumberForma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3" xfId="0" applyAlignment="1" applyFont="1" applyNumberFormat="1">
      <alignment readingOrder="0" shrinkToFit="0" wrapText="0"/>
    </xf>
    <xf borderId="0" fillId="4" fontId="16" numFmtId="0" xfId="0" applyAlignment="1" applyFont="1">
      <alignment horizontal="left" readingOrder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5" numFmtId="14" xfId="0" applyAlignment="1" applyFont="1" applyNumberFormat="1">
      <alignment shrinkToFit="0" wrapText="0"/>
    </xf>
    <xf borderId="0" fillId="4" fontId="17" numFmtId="14" xfId="0" applyFont="1" applyNumberFormat="1"/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2"/>
      <c r="F6" s="33" t="s">
        <v>18</v>
      </c>
      <c r="G6" s="32"/>
      <c r="H6" s="32"/>
      <c r="I6" s="32"/>
      <c r="J6" s="35">
        <v>2.0</v>
      </c>
      <c r="K6" s="32"/>
      <c r="L6" s="32"/>
      <c r="M6" s="32"/>
      <c r="N6" s="36">
        <f t="shared" ref="N6:N10" si="1">TODAY()-90</f>
        <v>44987</v>
      </c>
      <c r="O6" s="32"/>
      <c r="P6" s="32"/>
      <c r="Q6" s="32"/>
      <c r="R6" s="32"/>
      <c r="S6" s="32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8"/>
      <c r="B7" s="39" t="s">
        <v>19</v>
      </c>
      <c r="C7" s="33" t="s">
        <v>17</v>
      </c>
      <c r="D7" s="40">
        <v>100.0</v>
      </c>
      <c r="E7" s="39"/>
      <c r="F7" s="33" t="s">
        <v>18</v>
      </c>
      <c r="G7" s="39"/>
      <c r="H7" s="39"/>
      <c r="I7" s="39"/>
      <c r="J7" s="35">
        <v>2.0</v>
      </c>
      <c r="K7" s="39"/>
      <c r="L7" s="39"/>
      <c r="M7" s="39"/>
      <c r="N7" s="36">
        <f t="shared" si="1"/>
        <v>44987</v>
      </c>
      <c r="O7" s="39"/>
      <c r="P7" s="39"/>
      <c r="Q7" s="39"/>
      <c r="R7" s="39"/>
      <c r="S7" s="39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8"/>
      <c r="B8" s="39" t="s">
        <v>20</v>
      </c>
      <c r="C8" s="41" t="s">
        <v>17</v>
      </c>
      <c r="D8" s="40">
        <v>100.0</v>
      </c>
      <c r="E8" s="39"/>
      <c r="F8" s="33" t="s">
        <v>18</v>
      </c>
      <c r="G8" s="39"/>
      <c r="H8" s="39"/>
      <c r="I8" s="39"/>
      <c r="J8" s="35">
        <v>2.0</v>
      </c>
      <c r="K8" s="39"/>
      <c r="L8" s="39"/>
      <c r="M8" s="39"/>
      <c r="N8" s="36">
        <f t="shared" si="1"/>
        <v>44987</v>
      </c>
      <c r="O8" s="39"/>
      <c r="P8" s="39"/>
      <c r="Q8" s="39"/>
      <c r="R8" s="39"/>
      <c r="S8" s="39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8"/>
      <c r="B9" s="39" t="s">
        <v>21</v>
      </c>
      <c r="C9" s="42" t="s">
        <v>22</v>
      </c>
      <c r="D9" s="40">
        <v>100.0</v>
      </c>
      <c r="E9" s="39"/>
      <c r="F9" s="33" t="s">
        <v>18</v>
      </c>
      <c r="G9" s="39"/>
      <c r="H9" s="39"/>
      <c r="I9" s="39"/>
      <c r="J9" s="35">
        <v>2.0</v>
      </c>
      <c r="K9" s="39"/>
      <c r="L9" s="39"/>
      <c r="M9" s="39"/>
      <c r="N9" s="36">
        <f t="shared" si="1"/>
        <v>44987</v>
      </c>
      <c r="O9" s="39"/>
      <c r="P9" s="39"/>
      <c r="Q9" s="39"/>
      <c r="R9" s="39"/>
      <c r="S9" s="39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8"/>
      <c r="B10" s="43" t="s">
        <v>23</v>
      </c>
      <c r="C10" s="41" t="s">
        <v>17</v>
      </c>
      <c r="D10" s="40">
        <v>100.0</v>
      </c>
      <c r="E10" s="39"/>
      <c r="F10" s="33" t="s">
        <v>18</v>
      </c>
      <c r="G10" s="39"/>
      <c r="H10" s="39"/>
      <c r="I10" s="39"/>
      <c r="J10" s="35">
        <v>2.0</v>
      </c>
      <c r="K10" s="39"/>
      <c r="L10" s="39"/>
      <c r="M10" s="39"/>
      <c r="N10" s="36">
        <f t="shared" si="1"/>
        <v>44987</v>
      </c>
      <c r="O10" s="39"/>
      <c r="P10" s="39"/>
      <c r="Q10" s="39"/>
      <c r="R10" s="39"/>
      <c r="S10" s="39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38"/>
      <c r="B11" s="39" t="s">
        <v>24</v>
      </c>
      <c r="C11" s="33" t="s">
        <v>17</v>
      </c>
      <c r="D11" s="40">
        <v>100.0</v>
      </c>
      <c r="E11" s="39"/>
      <c r="F11" s="33" t="s">
        <v>18</v>
      </c>
      <c r="G11" s="39"/>
      <c r="H11" s="39"/>
      <c r="I11" s="39"/>
      <c r="J11" s="35">
        <v>2.0</v>
      </c>
      <c r="K11" s="39"/>
      <c r="L11" s="39"/>
      <c r="M11" s="39"/>
      <c r="N11" s="36">
        <f>TODAY()-89</f>
        <v>44988</v>
      </c>
      <c r="O11" s="39"/>
      <c r="P11" s="39"/>
      <c r="Q11" s="39"/>
      <c r="R11" s="39"/>
      <c r="S11" s="39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38"/>
      <c r="B12" s="44" t="s">
        <v>25</v>
      </c>
      <c r="C12" s="33" t="s">
        <v>17</v>
      </c>
      <c r="D12" s="40">
        <v>100.0</v>
      </c>
      <c r="E12" s="39"/>
      <c r="F12" s="33" t="s">
        <v>18</v>
      </c>
      <c r="G12" s="39"/>
      <c r="H12" s="39"/>
      <c r="I12" s="39"/>
      <c r="J12" s="35">
        <v>2.0</v>
      </c>
      <c r="K12" s="39"/>
      <c r="L12" s="39"/>
      <c r="M12" s="39"/>
      <c r="N12" s="36">
        <f>TODAY()-1</f>
        <v>45076</v>
      </c>
      <c r="O12" s="39"/>
      <c r="P12" s="39"/>
      <c r="Q12" s="39"/>
      <c r="R12" s="39"/>
      <c r="S12" s="39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</row>
    <row r="13" ht="15.75" customHeight="1">
      <c r="A13" s="38"/>
      <c r="B13" s="44" t="s">
        <v>25</v>
      </c>
      <c r="C13" s="33" t="s">
        <v>26</v>
      </c>
      <c r="D13" s="45">
        <v>50.0</v>
      </c>
      <c r="E13" s="39"/>
      <c r="F13" s="33" t="s">
        <v>18</v>
      </c>
      <c r="G13" s="39"/>
      <c r="H13" s="39"/>
      <c r="I13" s="39"/>
      <c r="J13" s="35">
        <v>2.0</v>
      </c>
      <c r="K13" s="39"/>
      <c r="L13" s="39"/>
      <c r="M13" s="39"/>
      <c r="N13" s="36">
        <f t="shared" ref="N13:N15" si="2">TODAY()-60</f>
        <v>45017</v>
      </c>
      <c r="O13" s="39"/>
      <c r="P13" s="39"/>
      <c r="Q13" s="39"/>
      <c r="R13" s="39"/>
      <c r="S13" s="39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/>
      <c r="EE13" s="37"/>
      <c r="EF13" s="37"/>
      <c r="EG13" s="37"/>
      <c r="EH13" s="37"/>
      <c r="EI13" s="37"/>
      <c r="EJ13" s="37"/>
      <c r="EK13" s="37"/>
      <c r="EL13" s="37"/>
      <c r="EM13" s="37"/>
      <c r="EN13" s="37"/>
      <c r="EO13" s="37"/>
      <c r="EP13" s="37"/>
      <c r="EQ13" s="37"/>
      <c r="ER13" s="37"/>
      <c r="ES13" s="37"/>
      <c r="ET13" s="37"/>
      <c r="EU13" s="37"/>
      <c r="EV13" s="37"/>
      <c r="EW13" s="37"/>
      <c r="EX13" s="37"/>
    </row>
    <row r="14" ht="15.75" customHeight="1">
      <c r="B14" s="9" t="s">
        <v>27</v>
      </c>
      <c r="C14" s="33" t="s">
        <v>26</v>
      </c>
      <c r="D14" s="46">
        <v>33333.0</v>
      </c>
      <c r="E14" s="32"/>
      <c r="F14" s="33" t="s">
        <v>18</v>
      </c>
      <c r="G14" s="32"/>
      <c r="H14" s="32"/>
      <c r="I14" s="32"/>
      <c r="J14" s="35">
        <v>0.0</v>
      </c>
      <c r="K14" s="32"/>
      <c r="L14" s="32"/>
      <c r="M14" s="32"/>
      <c r="N14" s="36">
        <f t="shared" si="2"/>
        <v>45017</v>
      </c>
      <c r="O14" s="32"/>
      <c r="P14" s="32"/>
      <c r="Q14" s="32"/>
      <c r="R14" s="32"/>
      <c r="S14" s="32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P14" s="37"/>
      <c r="CQ14" s="37"/>
      <c r="CR14" s="37"/>
      <c r="CS14" s="37"/>
      <c r="CT14" s="37"/>
      <c r="CU14" s="37"/>
      <c r="CV14" s="37"/>
      <c r="CW14" s="37"/>
      <c r="CX14" s="37"/>
      <c r="CY14" s="37"/>
      <c r="CZ14" s="37"/>
      <c r="DA14" s="37"/>
      <c r="DB14" s="37"/>
      <c r="DC14" s="37"/>
      <c r="DD14" s="37"/>
      <c r="DE14" s="37"/>
      <c r="DF14" s="37"/>
      <c r="DG14" s="37"/>
      <c r="DH14" s="37"/>
      <c r="DI14" s="37"/>
      <c r="DJ14" s="37"/>
      <c r="DK14" s="37"/>
      <c r="DL14" s="37"/>
      <c r="DM14" s="37"/>
      <c r="DN14" s="37"/>
      <c r="DO14" s="37"/>
      <c r="DP14" s="37"/>
      <c r="DQ14" s="37"/>
      <c r="DR14" s="37"/>
      <c r="DS14" s="37"/>
      <c r="DT14" s="37"/>
      <c r="DU14" s="37"/>
      <c r="DV14" s="37"/>
      <c r="DW14" s="37"/>
      <c r="DX14" s="37"/>
      <c r="DY14" s="37"/>
      <c r="DZ14" s="37"/>
      <c r="EA14" s="37"/>
      <c r="EB14" s="37"/>
      <c r="EC14" s="37"/>
      <c r="ED14" s="37"/>
      <c r="EE14" s="37"/>
      <c r="EF14" s="37"/>
      <c r="EG14" s="37"/>
      <c r="EH14" s="37"/>
      <c r="EI14" s="37"/>
      <c r="EJ14" s="37"/>
      <c r="EK14" s="37"/>
      <c r="EL14" s="37"/>
      <c r="EM14" s="37"/>
      <c r="EN14" s="37"/>
      <c r="EO14" s="37"/>
      <c r="EP14" s="37"/>
      <c r="EQ14" s="37"/>
      <c r="ER14" s="37"/>
      <c r="ES14" s="37"/>
      <c r="ET14" s="37"/>
      <c r="EU14" s="37"/>
      <c r="EV14" s="37"/>
      <c r="EW14" s="37"/>
      <c r="EX14" s="37"/>
    </row>
    <row r="15" ht="15.75" customHeight="1">
      <c r="B15" s="9" t="s">
        <v>28</v>
      </c>
      <c r="C15" s="33" t="s">
        <v>26</v>
      </c>
      <c r="D15" s="46">
        <v>33333.0</v>
      </c>
      <c r="E15" s="32"/>
      <c r="F15" s="33" t="s">
        <v>18</v>
      </c>
      <c r="G15" s="32"/>
      <c r="H15" s="32"/>
      <c r="I15" s="32"/>
      <c r="J15" s="35">
        <v>0.0</v>
      </c>
      <c r="K15" s="32"/>
      <c r="L15" s="32"/>
      <c r="M15" s="32"/>
      <c r="N15" s="36">
        <f t="shared" si="2"/>
        <v>45017</v>
      </c>
      <c r="O15" s="32"/>
      <c r="P15" s="32"/>
      <c r="Q15" s="32"/>
      <c r="R15" s="32"/>
      <c r="S15" s="32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37"/>
      <c r="CF15" s="37"/>
      <c r="CG15" s="37"/>
      <c r="CH15" s="37"/>
      <c r="CI15" s="37"/>
      <c r="CJ15" s="37"/>
      <c r="CK15" s="37"/>
      <c r="CL15" s="37"/>
      <c r="CM15" s="37"/>
      <c r="CN15" s="37"/>
      <c r="CO15" s="37"/>
      <c r="CP15" s="37"/>
      <c r="CQ15" s="37"/>
      <c r="CR15" s="37"/>
      <c r="CS15" s="37"/>
      <c r="CT15" s="37"/>
      <c r="CU15" s="37"/>
      <c r="CV15" s="37"/>
      <c r="CW15" s="37"/>
      <c r="CX15" s="37"/>
      <c r="CY15" s="37"/>
      <c r="CZ15" s="37"/>
      <c r="DA15" s="37"/>
      <c r="DB15" s="37"/>
      <c r="DC15" s="37"/>
      <c r="DD15" s="37"/>
      <c r="DE15" s="37"/>
      <c r="DF15" s="37"/>
      <c r="DG15" s="37"/>
      <c r="DH15" s="37"/>
      <c r="DI15" s="37"/>
      <c r="DJ15" s="37"/>
      <c r="DK15" s="37"/>
      <c r="DL15" s="37"/>
      <c r="DM15" s="37"/>
      <c r="DN15" s="37"/>
      <c r="DO15" s="37"/>
      <c r="DP15" s="37"/>
      <c r="DQ15" s="37"/>
      <c r="DR15" s="37"/>
      <c r="DS15" s="37"/>
      <c r="DT15" s="37"/>
      <c r="DU15" s="37"/>
      <c r="DV15" s="37"/>
      <c r="DW15" s="37"/>
      <c r="DX15" s="37"/>
      <c r="DY15" s="37"/>
      <c r="DZ15" s="37"/>
      <c r="EA15" s="37"/>
      <c r="EB15" s="37"/>
      <c r="EC15" s="37"/>
      <c r="ED15" s="37"/>
      <c r="EE15" s="37"/>
      <c r="EF15" s="37"/>
      <c r="EG15" s="37"/>
      <c r="EH15" s="37"/>
      <c r="EI15" s="37"/>
      <c r="EJ15" s="37"/>
      <c r="EK15" s="37"/>
      <c r="EL15" s="37"/>
      <c r="EM15" s="37"/>
      <c r="EN15" s="37"/>
      <c r="EO15" s="37"/>
      <c r="EP15" s="37"/>
      <c r="EQ15" s="37"/>
      <c r="ER15" s="37"/>
      <c r="ES15" s="37"/>
      <c r="ET15" s="37"/>
      <c r="EU15" s="37"/>
      <c r="EV15" s="37"/>
      <c r="EW15" s="37"/>
      <c r="EX15" s="37"/>
    </row>
    <row r="16" ht="15.75" customHeight="1">
      <c r="A16" s="31"/>
      <c r="B16" s="32" t="s">
        <v>16</v>
      </c>
      <c r="C16" s="33" t="s">
        <v>17</v>
      </c>
      <c r="D16" s="35">
        <v>75.0</v>
      </c>
      <c r="F16" s="33" t="s">
        <v>18</v>
      </c>
      <c r="J16" s="35">
        <v>2.0</v>
      </c>
      <c r="N16" s="36">
        <f t="shared" ref="N16:N17" si="3">TODAY()-6</f>
        <v>45071</v>
      </c>
    </row>
    <row r="17" ht="15.75" customHeight="1">
      <c r="A17" s="31"/>
      <c r="B17" s="32" t="s">
        <v>16</v>
      </c>
      <c r="C17" s="33" t="s">
        <v>17</v>
      </c>
      <c r="D17" s="35">
        <v>75.0</v>
      </c>
      <c r="F17" s="33" t="s">
        <v>18</v>
      </c>
      <c r="J17" s="35">
        <v>2.0</v>
      </c>
      <c r="N17" s="36">
        <f t="shared" si="3"/>
        <v>45071</v>
      </c>
    </row>
    <row r="18" ht="15.75" customHeight="1">
      <c r="C18" s="37"/>
      <c r="F18" s="37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 t="s">
        <v>16</v>
      </c>
      <c r="C6" s="13">
        <v>20.0</v>
      </c>
      <c r="D6" s="8"/>
      <c r="E6" s="32"/>
      <c r="F6" s="13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19</v>
      </c>
      <c r="C7" s="13">
        <v>20.0</v>
      </c>
      <c r="D7" s="8"/>
      <c r="E7" s="39"/>
      <c r="F7" s="13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9" t="s">
        <v>20</v>
      </c>
      <c r="C8" s="13">
        <v>20.0</v>
      </c>
      <c r="D8" s="8"/>
      <c r="E8" s="39"/>
      <c r="F8" s="13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9" t="s">
        <v>21</v>
      </c>
      <c r="C9" s="13">
        <v>20.0</v>
      </c>
      <c r="D9" s="8"/>
      <c r="E9" s="39"/>
      <c r="F9" s="13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3" t="s">
        <v>23</v>
      </c>
      <c r="C10" s="13">
        <v>20.0</v>
      </c>
      <c r="D10" s="8"/>
      <c r="E10" s="43"/>
      <c r="F10" s="13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9" t="s">
        <v>24</v>
      </c>
      <c r="C11" s="13">
        <v>20.0</v>
      </c>
      <c r="D11" s="8"/>
      <c r="E11" s="39"/>
      <c r="F11" s="13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4" t="s">
        <v>25</v>
      </c>
      <c r="C12" s="13">
        <v>232.0</v>
      </c>
      <c r="D12" s="8"/>
      <c r="E12" s="44"/>
      <c r="F12" s="13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9" t="s">
        <v>27</v>
      </c>
      <c r="C13" s="13">
        <v>0.0</v>
      </c>
      <c r="D13" s="8"/>
      <c r="F13" s="13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9" t="s">
        <v>28</v>
      </c>
      <c r="C14" s="13">
        <v>0.0</v>
      </c>
      <c r="D14" s="8"/>
      <c r="F14" s="13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B15" s="32"/>
    </row>
    <row r="16" ht="15.75" customHeight="1">
      <c r="B16" s="32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18</v>
      </c>
      <c r="C6" s="32" t="s">
        <v>32</v>
      </c>
      <c r="D6" s="32" t="s">
        <v>33</v>
      </c>
      <c r="E6" s="32" t="s">
        <v>34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7">
        <v>100000.0</v>
      </c>
      <c r="C6" s="32" t="s">
        <v>36</v>
      </c>
      <c r="D6" s="32" t="s">
        <v>37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39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13" t="s">
        <v>18</v>
      </c>
      <c r="D6" s="13" t="s">
        <v>25</v>
      </c>
      <c r="E6" s="13" t="s">
        <v>41</v>
      </c>
      <c r="F6" s="13" t="s">
        <v>42</v>
      </c>
      <c r="G6" s="13">
        <v>232.0</v>
      </c>
      <c r="H6" s="13">
        <v>232.0</v>
      </c>
      <c r="I6" s="13">
        <v>1.0</v>
      </c>
      <c r="J6" s="13"/>
      <c r="K6" s="13">
        <v>50.0</v>
      </c>
      <c r="L6" s="13">
        <v>11600.0</v>
      </c>
      <c r="M6" s="13">
        <v>11600.0</v>
      </c>
      <c r="N6" s="13">
        <v>9.66</v>
      </c>
      <c r="O6" s="13">
        <v>50.0</v>
      </c>
      <c r="P6" s="9">
        <v>11600.0</v>
      </c>
      <c r="Q6" s="9">
        <v>11600.0</v>
      </c>
      <c r="R6" s="9">
        <v>0.0</v>
      </c>
      <c r="W6" s="9">
        <v>1.0</v>
      </c>
    </row>
    <row r="7" ht="15.75" customHeight="1">
      <c r="A7" s="8"/>
      <c r="B7" s="8"/>
      <c r="C7" s="13" t="s">
        <v>18</v>
      </c>
      <c r="D7" s="13" t="s">
        <v>16</v>
      </c>
      <c r="E7" s="13" t="s">
        <v>41</v>
      </c>
      <c r="F7" s="13" t="s">
        <v>42</v>
      </c>
      <c r="G7" s="13">
        <v>20.0</v>
      </c>
      <c r="H7" s="13">
        <v>20.0</v>
      </c>
      <c r="I7" s="13">
        <v>1.0</v>
      </c>
      <c r="J7" s="13"/>
      <c r="K7" s="13">
        <v>250.0</v>
      </c>
      <c r="L7" s="13">
        <v>5000.0</v>
      </c>
      <c r="M7" s="13">
        <v>5000.0</v>
      </c>
      <c r="N7" s="13">
        <v>0.0</v>
      </c>
      <c r="O7" s="13">
        <v>0.0</v>
      </c>
      <c r="P7" s="9">
        <v>0.0</v>
      </c>
      <c r="Q7" s="9">
        <v>0.0</v>
      </c>
      <c r="R7" s="9">
        <v>-250.0</v>
      </c>
      <c r="W7" s="9">
        <v>1.0</v>
      </c>
    </row>
    <row r="8" ht="15.75" customHeight="1">
      <c r="A8" s="8"/>
      <c r="B8" s="8"/>
      <c r="C8" s="13" t="s">
        <v>18</v>
      </c>
      <c r="D8" s="13" t="s">
        <v>19</v>
      </c>
      <c r="E8" s="13" t="s">
        <v>41</v>
      </c>
      <c r="F8" s="13" t="s">
        <v>42</v>
      </c>
      <c r="G8" s="13">
        <v>20.0</v>
      </c>
      <c r="H8" s="13">
        <v>14.92</v>
      </c>
      <c r="I8" s="13">
        <v>0.746</v>
      </c>
      <c r="J8" s="13"/>
      <c r="K8" s="13">
        <v>100.0</v>
      </c>
      <c r="L8" s="13">
        <v>2000.0</v>
      </c>
      <c r="M8" s="13">
        <v>1492.0</v>
      </c>
      <c r="N8" s="13">
        <v>1.24</v>
      </c>
      <c r="O8" s="13">
        <v>100.0</v>
      </c>
      <c r="P8" s="9">
        <v>2000.0</v>
      </c>
      <c r="Q8" s="9">
        <v>1492.0</v>
      </c>
      <c r="R8" s="9">
        <v>0.0</v>
      </c>
      <c r="W8" s="9">
        <v>1.0</v>
      </c>
    </row>
    <row r="9" ht="15.75" customHeight="1">
      <c r="A9" s="8"/>
      <c r="B9" s="8"/>
      <c r="C9" s="13" t="s">
        <v>18</v>
      </c>
      <c r="D9" s="13" t="s">
        <v>24</v>
      </c>
      <c r="E9" s="13" t="s">
        <v>41</v>
      </c>
      <c r="F9" s="13" t="s">
        <v>42</v>
      </c>
      <c r="G9" s="13">
        <v>20.0</v>
      </c>
      <c r="H9" s="13">
        <v>20.0</v>
      </c>
      <c r="I9" s="13">
        <v>1.0</v>
      </c>
      <c r="J9" s="13"/>
      <c r="K9" s="13">
        <v>100.0</v>
      </c>
      <c r="L9" s="13">
        <v>2000.0</v>
      </c>
      <c r="M9" s="13">
        <v>2000.0</v>
      </c>
      <c r="N9" s="13">
        <v>1.67</v>
      </c>
      <c r="O9" s="13">
        <v>100.0</v>
      </c>
      <c r="P9" s="9">
        <v>2000.0</v>
      </c>
      <c r="Q9" s="9">
        <v>2000.0</v>
      </c>
      <c r="R9" s="9">
        <v>0.0</v>
      </c>
      <c r="W9" s="9">
        <v>1.0</v>
      </c>
    </row>
    <row r="10" ht="15.75" customHeight="1">
      <c r="A10" s="8"/>
      <c r="B10" s="8"/>
      <c r="C10" s="13" t="s">
        <v>18</v>
      </c>
      <c r="D10" s="13" t="s">
        <v>23</v>
      </c>
      <c r="E10" s="13" t="s">
        <v>43</v>
      </c>
      <c r="F10" s="13" t="s">
        <v>42</v>
      </c>
      <c r="G10" s="13">
        <v>20.0</v>
      </c>
      <c r="H10" s="13">
        <v>20.0</v>
      </c>
      <c r="I10" s="13">
        <v>1.0</v>
      </c>
      <c r="J10" s="13"/>
      <c r="K10" s="13">
        <v>100.0</v>
      </c>
      <c r="L10" s="13">
        <v>20.0</v>
      </c>
      <c r="M10" s="13">
        <v>20.0</v>
      </c>
      <c r="N10" s="13">
        <v>0.02</v>
      </c>
      <c r="O10" s="13">
        <v>100.0</v>
      </c>
      <c r="P10" s="9">
        <v>20.0</v>
      </c>
      <c r="Q10" s="9">
        <v>20.0</v>
      </c>
      <c r="R10" s="9">
        <v>0.0</v>
      </c>
      <c r="W10" s="9">
        <v>1.0</v>
      </c>
    </row>
    <row r="11" ht="15.75" customHeight="1">
      <c r="A11" s="8"/>
      <c r="B11" s="8"/>
      <c r="C11" s="13" t="s">
        <v>18</v>
      </c>
      <c r="D11" s="13" t="s">
        <v>16</v>
      </c>
      <c r="E11" s="13" t="s">
        <v>41</v>
      </c>
      <c r="F11" s="13" t="s">
        <v>44</v>
      </c>
      <c r="G11" s="13">
        <v>20.0</v>
      </c>
      <c r="H11" s="13">
        <v>20.0</v>
      </c>
      <c r="I11" s="13">
        <v>1.0</v>
      </c>
      <c r="J11" s="13"/>
      <c r="K11" s="13">
        <v>0.0</v>
      </c>
      <c r="L11" s="13">
        <v>0.0</v>
      </c>
      <c r="M11" s="13">
        <v>0.0</v>
      </c>
      <c r="N11" s="13">
        <v>-20.83</v>
      </c>
      <c r="O11" s="13">
        <v>1251.0</v>
      </c>
      <c r="P11" s="9">
        <v>-25020.0</v>
      </c>
      <c r="Q11" s="9">
        <v>-25020.0</v>
      </c>
      <c r="R11" s="9">
        <v>1251.0</v>
      </c>
      <c r="W11" s="9">
        <v>1.0</v>
      </c>
    </row>
    <row r="12" ht="15.75" customHeight="1">
      <c r="A12" s="8"/>
      <c r="B12" s="8"/>
      <c r="C12" s="13" t="s">
        <v>18</v>
      </c>
      <c r="D12" s="13" t="s">
        <v>27</v>
      </c>
      <c r="E12" s="13" t="s">
        <v>41</v>
      </c>
      <c r="F12" s="13" t="s">
        <v>44</v>
      </c>
      <c r="G12" s="13">
        <v>0.0</v>
      </c>
      <c r="H12" s="13">
        <v>0.0</v>
      </c>
      <c r="I12" s="13">
        <v>1.0</v>
      </c>
      <c r="J12" s="13"/>
      <c r="K12" s="13">
        <v>33333.0</v>
      </c>
      <c r="L12" s="13">
        <v>0.0</v>
      </c>
      <c r="M12" s="13">
        <v>0.0</v>
      </c>
      <c r="N12" s="13">
        <v>0.0</v>
      </c>
      <c r="O12" s="13">
        <v>33333.0</v>
      </c>
      <c r="W12" s="9">
        <v>1.0</v>
      </c>
    </row>
    <row r="13" ht="15.75" customHeight="1">
      <c r="A13" s="8"/>
      <c r="B13" s="8"/>
      <c r="C13" s="13" t="s">
        <v>18</v>
      </c>
      <c r="D13" s="13" t="s">
        <v>28</v>
      </c>
      <c r="E13" s="13" t="s">
        <v>41</v>
      </c>
      <c r="F13" s="13" t="s">
        <v>44</v>
      </c>
      <c r="G13" s="13">
        <v>0.0</v>
      </c>
      <c r="H13" s="13">
        <v>0.0</v>
      </c>
      <c r="I13" s="13">
        <v>1.0</v>
      </c>
      <c r="J13" s="13"/>
      <c r="K13" s="13">
        <v>33333.0</v>
      </c>
      <c r="L13" s="13">
        <v>0.0</v>
      </c>
      <c r="M13" s="13">
        <v>0.0</v>
      </c>
      <c r="N13" s="13">
        <v>0.0</v>
      </c>
      <c r="O13" s="13">
        <v>33333.0</v>
      </c>
      <c r="W13" s="9">
        <v>1.0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13" t="s">
        <v>26</v>
      </c>
      <c r="D6" s="13" t="s">
        <v>16</v>
      </c>
      <c r="E6" s="13">
        <v>250.0</v>
      </c>
      <c r="F6" s="13">
        <v>20.0</v>
      </c>
      <c r="G6" s="4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46</v>
      </c>
      <c r="D7" s="13" t="s">
        <v>16</v>
      </c>
      <c r="E7" s="13">
        <v>1251.0</v>
      </c>
      <c r="F7" s="13">
        <v>20.0</v>
      </c>
      <c r="G7" s="4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>
        <v>20.0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26</v>
      </c>
      <c r="AK6" s="9" t="s">
        <v>49</v>
      </c>
      <c r="AL6" s="9">
        <v>250.0</v>
      </c>
      <c r="AQ6" s="9">
        <v>20.0</v>
      </c>
      <c r="AR6" s="9">
        <v>20.0</v>
      </c>
      <c r="AS6" s="9" t="s">
        <v>50</v>
      </c>
      <c r="AT6" s="9" t="s">
        <v>18</v>
      </c>
      <c r="AU6" s="9" t="s">
        <v>51</v>
      </c>
    </row>
    <row r="7" ht="15.75" customHeight="1">
      <c r="A7" s="8"/>
      <c r="B7" s="8"/>
      <c r="C7" s="8"/>
      <c r="D7" s="13">
        <v>20.0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16</v>
      </c>
      <c r="AJ7" s="9" t="s">
        <v>52</v>
      </c>
      <c r="AK7" s="9" t="s">
        <v>49</v>
      </c>
      <c r="AL7" s="9">
        <v>1251.0</v>
      </c>
      <c r="AQ7" s="9">
        <v>20.0</v>
      </c>
      <c r="AR7" s="9">
        <v>20.0</v>
      </c>
      <c r="AS7" s="9" t="s">
        <v>50</v>
      </c>
      <c r="AT7" s="9" t="s">
        <v>18</v>
      </c>
      <c r="AU7" s="49" t="s">
        <v>51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2" t="s">
        <v>16</v>
      </c>
      <c r="C6" s="50" t="s">
        <v>54</v>
      </c>
      <c r="D6" s="51">
        <v>25.0</v>
      </c>
      <c r="E6" s="37" t="s">
        <v>18</v>
      </c>
      <c r="F6" s="37"/>
      <c r="G6" s="37"/>
      <c r="H6" s="37"/>
      <c r="I6" s="37"/>
      <c r="J6" s="52">
        <v>20.0</v>
      </c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3">
        <f t="shared" ref="B6:C6" si="1">TODAY()-1</f>
        <v>45076</v>
      </c>
      <c r="C6" s="54">
        <f t="shared" si="1"/>
        <v>45076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 t="s">
        <v>16</v>
      </c>
      <c r="C6" s="13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19</v>
      </c>
      <c r="C7" s="1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9" t="s">
        <v>20</v>
      </c>
      <c r="C8" s="13">
        <v>19.5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9" t="s">
        <v>21</v>
      </c>
      <c r="C9" s="13">
        <v>0.01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3" t="s">
        <v>23</v>
      </c>
      <c r="C10" s="13">
        <v>10.0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9" t="s">
        <v>24</v>
      </c>
      <c r="C11" s="13">
        <v>10.0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4" t="s">
        <v>25</v>
      </c>
      <c r="C12" s="13">
        <v>209.08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9" t="s">
        <v>27</v>
      </c>
      <c r="C13" s="13">
        <v>12.94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9" t="s">
        <v>28</v>
      </c>
      <c r="C14" s="13">
        <v>241.8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2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2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3">
        <f t="shared" ref="B6:C6" si="1">TODAY()-1</f>
        <v>45076</v>
      </c>
      <c r="C6" s="54">
        <f t="shared" si="1"/>
        <v>45076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60</v>
      </c>
      <c r="C6" s="9" t="s">
        <v>61</v>
      </c>
      <c r="D6" s="37"/>
      <c r="E6" s="55">
        <v>1.340482574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