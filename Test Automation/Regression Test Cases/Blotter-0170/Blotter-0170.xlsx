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ergeOrder" sheetId="5" r:id="rId7"/>
    <sheet state="visible" name="EditOrder" sheetId="6" r:id="rId8"/>
    <sheet state="visible" name="CreateReplaceOrder" sheetId="7" r:id="rId9"/>
    <sheet state="visible" name="MergeOrder1" sheetId="8" r:id="rId10"/>
    <sheet state="visible" name="VerifyMergeOrder" sheetId="9" r:id="rId11"/>
  </sheets>
  <definedNames/>
  <calcPr/>
</workbook>
</file>

<file path=xl/sharedStrings.xml><?xml version="1.0" encoding="utf-8"?>
<sst xmlns="http://schemas.openxmlformats.org/spreadsheetml/2006/main" count="108" uniqueCount="31">
  <si>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</si>
  <si>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</si>
  <si>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</si>
  <si>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</si>
  <si>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</si>
  <si>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</si>
  <si>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</si>
  <si>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</si>
  <si>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</si>
  <si>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</si>
  <si>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</si>
  <si>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</si>
  <si>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</si>
  <si>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</si>
  <si>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</si>
  <si>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</si>
  <si>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IBM</t>
  </si>
  <si>
    <t>Buy</t>
  </si>
  <si>
    <t>Allocation1</t>
  </si>
  <si>
    <t>MS</t>
  </si>
  <si>
    <t>NASDAQ</t>
  </si>
  <si>
    <t>BLANK</t>
  </si>
  <si>
    <t>Blotter</t>
  </si>
  <si>
    <t>MergeOrder</t>
  </si>
  <si>
    <t>New</t>
  </si>
  <si>
    <t>Market</t>
  </si>
  <si>
    <t>Yes</t>
  </si>
  <si>
    <t>EditOrder</t>
  </si>
  <si>
    <t>CreateReplaceOrder</t>
  </si>
  <si>
    <t>Replaced</t>
  </si>
  <si>
    <t>VerifyMergeOrder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</si>
</sst>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  <font>
      <color rgb="FF000000"/>
      <name val="Roboto"/>
    </font>
    <font>
      <b/>
      <sz val="9.0"/>
      <color rgb="FF000000"/>
      <name val="Arial"/>
    </font>
    <font>
      <b/>
      <sz val="9.0"/>
      <color rgb="FF000000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FFFFFF"/>
        <bgColor rgb="FFFFFFFF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0" fillId="6" fontId="13" numFmtId="0" xfId="0" applyAlignment="1" applyFill="1" applyFont="1">
      <alignment horizontal="right" vertical="top"/>
    </xf>
    <xf borderId="5" fillId="6" fontId="13" numFmtId="0" xfId="0" applyAlignment="1" applyBorder="1" applyFont="1">
      <alignment horizontal="right" vertical="top"/>
    </xf>
    <xf borderId="5" fillId="0" fontId="5" numFmtId="0" xfId="0" applyAlignment="1" applyBorder="1" applyFont="1">
      <alignment horizontal="right" vertical="bottom"/>
    </xf>
    <xf borderId="0" fillId="7" fontId="14" numFmtId="0" xfId="0" applyAlignment="1" applyFill="1" applyFont="1">
      <alignment readingOrder="0"/>
    </xf>
    <xf borderId="5" fillId="8" fontId="3" numFmtId="0" xfId="0" applyAlignment="1" applyBorder="1" applyFill="1" applyFont="1">
      <alignment vertical="top"/>
    </xf>
    <xf borderId="0" fillId="0" fontId="3" numFmtId="0" xfId="0" applyAlignment="1" applyFont="1">
      <alignment vertical="bottom"/>
    </xf>
    <xf borderId="5" fillId="8" fontId="13" numFmtId="0" xfId="0" applyAlignment="1" applyBorder="1" applyFont="1">
      <alignment horizontal="right" vertical="top"/>
    </xf>
    <xf borderId="5" fillId="6" fontId="3" numFmtId="0" xfId="0" applyAlignment="1" applyBorder="1" applyFont="1">
      <alignment vertical="top"/>
    </xf>
    <xf borderId="5" fillId="6" fontId="3" numFmtId="0" xfId="0" applyAlignment="1" applyBorder="1" applyFont="1">
      <alignment horizontal="right" vertical="top"/>
    </xf>
    <xf borderId="0" fillId="6" fontId="15" numFmtId="0" xfId="0" applyAlignment="1" applyFont="1">
      <alignment horizontal="right" vertical="top"/>
    </xf>
    <xf borderId="0" fillId="6" fontId="3" numFmtId="0" xfId="0" applyAlignment="1" applyFont="1">
      <alignment vertical="top"/>
    </xf>
    <xf borderId="0" fillId="8" fontId="16" numFmtId="0" xfId="0" applyAlignment="1" applyFont="1">
      <alignment horizontal="right" vertical="top"/>
    </xf>
    <xf borderId="0" fillId="8" fontId="15" numFmtId="0" xfId="0" applyAlignment="1" applyFont="1">
      <alignment horizontal="right" readingOrder="0" vertical="top"/>
    </xf>
    <xf borderId="5" fillId="8" fontId="15" numFmtId="0" xfId="0" applyAlignment="1" applyBorder="1" applyFont="1">
      <alignment horizontal="right" vertical="top"/>
    </xf>
    <xf borderId="0" fillId="8" fontId="15" numFmtId="0" xfId="0" applyAlignment="1" applyFont="1">
      <alignment horizontal="right" vertical="top"/>
    </xf>
    <xf borderId="5" fillId="0" fontId="5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IFERROR(__xludf.DUMMYFUNCTION("""COMPUTED_VALUE"""),"AddCustomCashUsingImport")</f>
        <v>AddCustomCashUsingImport</v>
      </c>
      <c r="C607" t="str">
        <f>IFERROR(__xludf.DUMMYFUNCTION("""COMPUTED_VALUE"""),"1AlyH1p5l22rwlHL--PsF-nI7tUEh6x4P1Rtm4CIoMM8")</f>
        <v>1AlyH1p5l22rwlHL--PsF-nI7tUEh6x4P1Rtm4CIoMM8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IFERROR(__xludf.DUMMYFUNCTION("""COMPUTED_VALUE"""),"EditRebalanceGrid")</f>
        <v>EditRebalanceGrid</v>
      </c>
      <c r="C608" t="str">
        <f>IFERROR(__xludf.DUMMYFUNCTION("""COMPUTED_VALUE"""),"1bS7JG2B52mCXGDZJejq5Pp8qTEn73efGmX5qKmaHFAI")</f>
        <v>1bS7JG2B52mCXGDZJejq5Pp8qTEn73efGmX5qKmaHFAI</v>
      </c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1"/>
      <c r="F6" s="35" t="s">
        <v>18</v>
      </c>
      <c r="G6" s="31" t="s">
        <v>19</v>
      </c>
      <c r="H6" s="31"/>
      <c r="I6" s="36"/>
      <c r="J6" s="34">
        <v>110.0</v>
      </c>
      <c r="K6" s="33"/>
      <c r="L6" s="34"/>
      <c r="M6" s="31"/>
      <c r="N6" s="31"/>
      <c r="O6" s="31"/>
      <c r="P6" s="31"/>
      <c r="Q6" s="31"/>
      <c r="R6" s="31"/>
      <c r="S6" s="31"/>
      <c r="T6" s="37"/>
      <c r="U6" s="37"/>
      <c r="V6" s="37"/>
      <c r="W6" s="37"/>
      <c r="X6" s="37"/>
      <c r="Y6" s="37"/>
      <c r="Z6" s="37"/>
      <c r="AA6" s="37"/>
      <c r="AB6" s="37" t="s">
        <v>20</v>
      </c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38" t="s">
        <v>16</v>
      </c>
      <c r="C7" s="38" t="s">
        <v>17</v>
      </c>
      <c r="D7" s="34">
        <v>200.0</v>
      </c>
      <c r="E7" s="31"/>
      <c r="F7" s="35" t="s">
        <v>18</v>
      </c>
      <c r="G7" s="37" t="s">
        <v>21</v>
      </c>
      <c r="H7" s="31"/>
      <c r="I7" s="36"/>
      <c r="J7" s="34">
        <v>110.0</v>
      </c>
      <c r="K7" s="36"/>
      <c r="L7" s="34"/>
      <c r="M7" s="31"/>
      <c r="N7" s="31"/>
      <c r="O7" s="31"/>
      <c r="P7" s="31"/>
      <c r="Q7" s="31"/>
      <c r="R7" s="31"/>
      <c r="S7" s="31"/>
      <c r="T7" s="37"/>
      <c r="U7" s="37"/>
      <c r="V7" s="37"/>
      <c r="W7" s="37"/>
      <c r="X7" s="37"/>
      <c r="Y7" s="37"/>
      <c r="Z7" s="37"/>
      <c r="AA7" s="37"/>
      <c r="AB7" s="37" t="s">
        <v>21</v>
      </c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/>
      <c r="C6" s="31"/>
      <c r="D6" s="39" t="s">
        <v>16</v>
      </c>
      <c r="E6" s="31"/>
      <c r="F6" s="39" t="s">
        <v>17</v>
      </c>
      <c r="G6" s="39" t="s">
        <v>24</v>
      </c>
      <c r="H6" s="40">
        <v>100.0</v>
      </c>
      <c r="I6" s="31"/>
      <c r="J6" s="31"/>
      <c r="K6" s="31"/>
      <c r="L6" s="31"/>
      <c r="M6" s="31"/>
      <c r="N6" s="31"/>
      <c r="O6" s="31"/>
      <c r="P6" s="31"/>
      <c r="Q6" s="39" t="s">
        <v>19</v>
      </c>
      <c r="R6" s="35" t="s">
        <v>18</v>
      </c>
      <c r="S6" s="31"/>
      <c r="T6" s="41" t="s">
        <v>25</v>
      </c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 t="s">
        <v>20</v>
      </c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 t="s">
        <v>26</v>
      </c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42"/>
      <c r="C7" s="37"/>
      <c r="D7" s="43" t="s">
        <v>16</v>
      </c>
      <c r="E7" s="37"/>
      <c r="F7" s="43" t="s">
        <v>17</v>
      </c>
      <c r="G7" s="43" t="s">
        <v>24</v>
      </c>
      <c r="H7" s="44">
        <v>200.0</v>
      </c>
      <c r="I7" s="37"/>
      <c r="J7" s="37"/>
      <c r="K7" s="37"/>
      <c r="L7" s="37"/>
      <c r="M7" s="37"/>
      <c r="N7" s="37"/>
      <c r="O7" s="37"/>
      <c r="P7" s="31"/>
      <c r="Q7" s="45"/>
      <c r="R7" s="35" t="s">
        <v>18</v>
      </c>
      <c r="S7" s="37"/>
      <c r="T7" s="41" t="s">
        <v>25</v>
      </c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 t="s">
        <v>26</v>
      </c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9"/>
      <c r="S6" s="31"/>
      <c r="T6" s="42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43" t="s">
        <v>16</v>
      </c>
      <c r="AJ6" s="43" t="s">
        <v>17</v>
      </c>
      <c r="AK6" s="43" t="s">
        <v>24</v>
      </c>
      <c r="AL6" s="44">
        <v>200.0</v>
      </c>
      <c r="AM6" s="37"/>
      <c r="AN6" s="37"/>
      <c r="AO6" s="37"/>
      <c r="AP6" s="37"/>
      <c r="AQ6" s="37"/>
      <c r="AR6" s="37"/>
      <c r="AS6" s="46"/>
      <c r="AT6" s="35" t="s">
        <v>18</v>
      </c>
      <c r="AU6" s="37" t="s">
        <v>25</v>
      </c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16</v>
      </c>
      <c r="C6" s="38" t="s">
        <v>17</v>
      </c>
      <c r="D6" s="47">
        <v>100.0</v>
      </c>
      <c r="E6" s="31"/>
      <c r="F6" s="35" t="s">
        <v>18</v>
      </c>
      <c r="G6" s="31" t="s">
        <v>19</v>
      </c>
      <c r="H6" s="31"/>
      <c r="I6" s="36"/>
      <c r="J6" s="34">
        <v>110.0</v>
      </c>
      <c r="K6" s="36"/>
      <c r="L6" s="34"/>
      <c r="M6" s="31"/>
      <c r="N6" s="31"/>
      <c r="O6" s="31"/>
      <c r="P6" s="31"/>
      <c r="Q6" s="31"/>
      <c r="R6" s="31"/>
      <c r="S6" s="31"/>
      <c r="T6" s="37"/>
      <c r="U6" s="37"/>
      <c r="V6" s="37"/>
      <c r="W6" s="37"/>
      <c r="X6" s="37"/>
      <c r="Y6" s="37"/>
      <c r="Z6" s="37"/>
      <c r="AA6" s="37"/>
      <c r="AB6" s="37" t="s">
        <v>20</v>
      </c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/>
      <c r="C6" s="31"/>
      <c r="D6" s="39" t="s">
        <v>16</v>
      </c>
      <c r="E6" s="31"/>
      <c r="F6" s="39" t="s">
        <v>17</v>
      </c>
      <c r="G6" s="39" t="s">
        <v>24</v>
      </c>
      <c r="H6" s="40">
        <v>100.0</v>
      </c>
      <c r="I6" s="31"/>
      <c r="J6" s="31"/>
      <c r="K6" s="31"/>
      <c r="L6" s="31"/>
      <c r="M6" s="31"/>
      <c r="N6" s="31"/>
      <c r="O6" s="31"/>
      <c r="P6" s="31"/>
      <c r="Q6" s="39" t="s">
        <v>19</v>
      </c>
      <c r="R6" s="35" t="s">
        <v>18</v>
      </c>
      <c r="S6" s="31"/>
      <c r="T6" s="41" t="s">
        <v>25</v>
      </c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 t="s">
        <v>20</v>
      </c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 t="s">
        <v>26</v>
      </c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1"/>
      <c r="B7" s="39"/>
      <c r="C7" s="31"/>
      <c r="D7" s="39" t="s">
        <v>16</v>
      </c>
      <c r="E7" s="31"/>
      <c r="F7" s="39" t="s">
        <v>17</v>
      </c>
      <c r="G7" s="39" t="s">
        <v>29</v>
      </c>
      <c r="H7" s="40">
        <v>100.0</v>
      </c>
      <c r="I7" s="31"/>
      <c r="J7" s="31"/>
      <c r="K7" s="31"/>
      <c r="L7" s="31"/>
      <c r="M7" s="31"/>
      <c r="N7" s="31"/>
      <c r="O7" s="31"/>
      <c r="P7" s="31"/>
      <c r="Q7" s="39" t="s">
        <v>19</v>
      </c>
      <c r="R7" s="35" t="s">
        <v>18</v>
      </c>
      <c r="S7" s="31"/>
      <c r="T7" s="41" t="s">
        <v>25</v>
      </c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 t="s">
        <v>20</v>
      </c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 t="s">
        <v>26</v>
      </c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/>
      <c r="D6" s="39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2" t="s">
        <v>16</v>
      </c>
      <c r="AJ6" s="32" t="s">
        <v>17</v>
      </c>
      <c r="AK6" s="32" t="s">
        <v>24</v>
      </c>
      <c r="AL6" s="32">
        <v>200.0</v>
      </c>
      <c r="AM6" s="37"/>
      <c r="AN6" s="37"/>
      <c r="AO6" s="37"/>
      <c r="AP6" s="37"/>
      <c r="AQ6" s="37"/>
      <c r="AR6" s="37"/>
      <c r="AS6" s="32" t="s">
        <v>19</v>
      </c>
      <c r="AT6" s="35" t="s">
        <v>18</v>
      </c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