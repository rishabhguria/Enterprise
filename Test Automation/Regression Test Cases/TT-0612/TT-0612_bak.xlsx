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VerifyTT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ustomOrderTT1" sheetId="10" r:id="rId12"/>
    <sheet state="visible" name="VerifyTT1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<sst xmlns="http://schemas.openxmlformats.org/spreadsheetml/2006/main" count="379" uniqueCount="57">
  <si>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</si>
  <si>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</si>
  <si>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</si>
  <si>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</si>
  <si>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</si>
  <si>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</si>
  <si>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</si>
  <si>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</si>
  <si>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</si>
  <si>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</si>
  <si>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</si>
  <si>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</si>
  <si>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</si>
  <si>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</si>
  <si>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</si>
  <si>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</si>
  <si>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</si>
  <si>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</si>
  <si>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</si>
  <si>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</si>
  <si>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CustomOrderTT</t>
  </si>
  <si>
    <t>AAPL</t>
  </si>
  <si>
    <t>SEND</t>
  </si>
  <si>
    <t>VerifyTT</t>
  </si>
  <si>
    <t>Simulator</t>
  </si>
  <si>
    <t>SelectTrade</t>
  </si>
  <si>
    <t>Buy</t>
  </si>
  <si>
    <t>AcknowledgeTrade</t>
  </si>
  <si>
    <t>ExecuteTrade</t>
  </si>
  <si>
    <t>MSFT</t>
  </si>
  <si>
    <t>DONEAWAY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</si>
  <si>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</si>
  <si>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</si>
  <si>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</si>
  <si>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</si>
  <si>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</si>
  <si>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</si>
  <si>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</si>
  <si>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</si>
  <si>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</si>
  <si>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</si>
  <si>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</si>
  <si>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</si>
  <si>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</si>
  <si>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</si>
  <si>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</si>
  <si>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</si>
  <si>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</si>
  <si>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Market</t>
  </si>
  <si>
    <t>Manual</t>
  </si>
  <si>
    <t>FIX</t>
  </si>
  <si>
    <t>Day</t>
  </si>
  <si>
    <t>MSFT US EQUITY</t>
  </si>
  <si>
    <t>None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</si>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</sst>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5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b">
        <v>1</v>
      </c>
      <c r="C6" s="33" t="s">
        <v>16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b">
        <v>1</v>
      </c>
      <c r="C7" s="3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b">
        <v>1</v>
      </c>
      <c r="C8" s="33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IFERROR(__xludf.DUMMYFUNCTION("""COMPUTED_VALUE"""),"Price")</f>
        <v>Price</v>
      </c>
      <c r="E5" s="29" t="str">
        <f>IFERROR(__xludf.DUMMYFUNCTION("""COMPUTED_VALUE"""),"Order type button")</f>
        <v>Order type button</v>
      </c>
      <c r="F5" s="30" t="str">
        <f>IFERROR(__xludf.DUMMYFUNCTION("""COMPUTED_VALUE"""),"SharesOutstandingPopUp")</f>
        <v>SharesOutstandingPopUp</v>
      </c>
      <c r="G5" s="29" t="str">
        <f>IFERROR(__xludf.DUMMYFUNCTION("""COMPUTED_VALUE"""),"TT_Open")</f>
        <v>TT_Open</v>
      </c>
      <c r="H5" s="29" t="str">
        <f>IFERROR(__xludf.DUMMYFUNCTION("""COMPUTED_VALUE"""),"SharesOutstandingPopUpQty")</f>
        <v>SharesOutstandingPopUpQty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13">
        <v>100.0</v>
      </c>
      <c r="D6" s="13">
        <v>15.0</v>
      </c>
      <c r="E6" s="13" t="s">
        <v>22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IFERROR(__xludf.DUMMYFUNCTION("""COMPUTED_VALUE"""),"MsterFund")</f>
        <v>MsterFund</v>
      </c>
      <c r="AG5" s="31" t="str">
        <f>IFERROR(__xludf.DUMMYFUNCTION("""COMPUTED_VALUE"""),"RoundLotStrip")</f>
        <v>RoundLotStrip</v>
      </c>
      <c r="AH5" s="31" t="str">
        <f>IFERROR(__xludf.DUMMYFUNCTION("""COMPUTED_VALUE"""),"Round Lots")</f>
        <v>Round Lots</v>
      </c>
      <c r="AI5" s="31" t="str">
        <f>IFERROR(__xludf.DUMMYFUNCTION("""COMPUTED_VALUE"""),"Button_Status")</f>
        <v>Button_Status</v>
      </c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26</v>
      </c>
      <c r="C6" s="13" t="s">
        <v>21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26</v>
      </c>
      <c r="C6" s="13" t="s">
        <v>21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15.0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IFERROR(__xludf.DUMMYFUNCTION("""COMPUTED_VALUE"""),"Price")</f>
        <v>Price</v>
      </c>
      <c r="E5" s="29" t="str">
        <f>IFERROR(__xludf.DUMMYFUNCTION("""COMPUTED_VALUE"""),"Order type button")</f>
        <v>Order type button</v>
      </c>
      <c r="F5" s="30" t="str">
        <f>IFERROR(__xludf.DUMMYFUNCTION("""COMPUTED_VALUE"""),"SharesOutstandingPopUp")</f>
        <v>SharesOutstandingPopUp</v>
      </c>
      <c r="G5" s="29" t="str">
        <f>IFERROR(__xludf.DUMMYFUNCTION("""COMPUTED_VALUE"""),"TT_Open")</f>
        <v>TT_Open</v>
      </c>
      <c r="H5" s="29" t="str">
        <f>IFERROR(__xludf.DUMMYFUNCTION("""COMPUTED_VALUE"""),"SharesOutstandingPopUpQty")</f>
        <v>SharesOutstandingPopUpQty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29</v>
      </c>
      <c r="C6" s="13">
        <v>100.0</v>
      </c>
      <c r="D6" s="13">
        <v>15.0</v>
      </c>
      <c r="E6" s="13" t="s">
        <v>30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IFERROR(__xludf.DUMMYFUNCTION("""COMPUTED_VALUE"""),"MsterFund")</f>
        <v>MsterFund</v>
      </c>
      <c r="AG5" s="31" t="str">
        <f>IFERROR(__xludf.DUMMYFUNCTION("""COMPUTED_VALUE"""),"RoundLotStrip")</f>
        <v>RoundLotStrip</v>
      </c>
      <c r="AH5" s="31" t="str">
        <f>IFERROR(__xludf.DUMMYFUNCTION("""COMPUTED_VALUE"""),"Round Lots")</f>
        <v>Round Lots</v>
      </c>
      <c r="AI5" s="31" t="str">
        <f>IFERROR(__xludf.DUMMYFUNCTION("""COMPUTED_VALUE"""),"Button_Status")</f>
        <v>Button_Status</v>
      </c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29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 t="str">
        <f>IFERROR(__xludf.DUMMYFUNCTION("""COMPUTED_VALUE"""),"Testing Type")</f>
        <v>Testing Type</v>
      </c>
      <c r="BC5" s="31" t="str">
        <f>IFERROR(__xludf.DUMMYFUNCTION("""COMPUTED_VALUE"""),"Testing Column")</f>
        <v>Testing Column</v>
      </c>
      <c r="BD5" s="31" t="str">
        <f>IFERROR(__xludf.DUMMYFUNCTION("""COMPUTED_VALUE"""),"Testing Col Value")</f>
        <v>Testing Col Value</v>
      </c>
      <c r="BE5" s="31" t="str">
        <f>IFERROR(__xludf.DUMMYFUNCTION("""COMPUTED_VALUE"""),"DuplicateRow")</f>
        <v>DuplicateRow</v>
      </c>
      <c r="BF5" s="31" t="str">
        <f>IFERROR(__xludf.DUMMYFUNCTION("""COMPUTED_VALUE"""),"DuplicateCountOnUI")</f>
        <v>DuplicateCountOnUI</v>
      </c>
      <c r="BG5" s="31" t="str">
        <f>IFERROR(__xludf.DUMMYFUNCTION("""COMPUTED_VALUE"""),"Transaction Source")</f>
        <v>Transaction Source</v>
      </c>
      <c r="BH5" s="31" t="str">
        <f>IFERROR(__xludf.DUMMYFUNCTION("""COMPUTED_VALUE"""),"TIF")</f>
        <v>TIF</v>
      </c>
      <c r="BI5" s="31" t="str">
        <f>IFERROR(__xludf.DUMMYFUNCTION("""COMPUTED_VALUE"""),"ACTIV Symbol")</f>
        <v>ACTIV Symbol</v>
      </c>
      <c r="BJ5" s="31" t="str">
        <f>IFERROR(__xludf.DUMMYFUNCTION("""COMPUTED_VALUE"""),"FactSet Symbol")</f>
        <v>FactSet Symbol</v>
      </c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</row>
    <row r="6" ht="15.75" customHeight="1">
      <c r="A6" s="36" t="s">
        <v>33</v>
      </c>
      <c r="B6" s="36"/>
      <c r="C6" s="8"/>
      <c r="D6" s="36"/>
      <c r="E6" s="8" t="s">
        <v>34</v>
      </c>
      <c r="F6" s="8"/>
      <c r="G6" s="8"/>
      <c r="H6" s="8" t="s">
        <v>35</v>
      </c>
      <c r="I6" s="8" t="s">
        <v>36</v>
      </c>
      <c r="J6" s="8" t="s">
        <v>21</v>
      </c>
      <c r="K6" s="8" t="s">
        <v>37</v>
      </c>
      <c r="L6" s="8" t="s">
        <v>38</v>
      </c>
      <c r="M6" s="8"/>
      <c r="N6" s="8"/>
      <c r="O6" s="8"/>
      <c r="U6" t="s">
        <v>39</v>
      </c>
      <c r="V6" t="s">
        <v>40</v>
      </c>
      <c r="AA6" t="s">
        <v>41</v>
      </c>
      <c r="AC6" t="s">
        <v>42</v>
      </c>
      <c r="AD6">
        <v>1.0</v>
      </c>
      <c r="AF6" t="s">
        <v>43</v>
      </c>
      <c r="AH6" t="s">
        <v>44</v>
      </c>
      <c r="AI6" t="s">
        <v>21</v>
      </c>
      <c r="AJ6" t="s">
        <v>26</v>
      </c>
      <c r="AK6" t="s">
        <v>45</v>
      </c>
      <c r="AL6">
        <v>100.0</v>
      </c>
      <c r="AP6">
        <v>100.0</v>
      </c>
      <c r="AS6" t="s">
        <v>46</v>
      </c>
      <c r="AT6" t="s">
        <v>47</v>
      </c>
      <c r="AU6" t="s">
        <v>48</v>
      </c>
      <c r="AX6" t="s">
        <v>49</v>
      </c>
      <c r="AY6">
        <v>100.0</v>
      </c>
      <c r="AZ6">
        <v>100.0</v>
      </c>
      <c r="BA6" t="s">
        <v>36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50</v>
      </c>
      <c r="BH6" t="s">
        <v>51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 t="s">
        <v>33</v>
      </c>
      <c r="B7" s="8"/>
      <c r="C7" s="8"/>
      <c r="D7" s="8"/>
      <c r="E7" s="8" t="s">
        <v>52</v>
      </c>
      <c r="F7" s="8"/>
      <c r="G7" s="8"/>
      <c r="H7" s="8" t="s">
        <v>35</v>
      </c>
      <c r="I7" s="8" t="s">
        <v>36</v>
      </c>
      <c r="J7" s="8" t="s">
        <v>29</v>
      </c>
      <c r="K7" s="8" t="s">
        <v>37</v>
      </c>
      <c r="L7" s="8" t="s">
        <v>38</v>
      </c>
      <c r="M7" s="8"/>
      <c r="N7" s="8"/>
      <c r="O7" s="8"/>
      <c r="U7" t="s">
        <v>39</v>
      </c>
      <c r="V7" t="s">
        <v>40</v>
      </c>
      <c r="AA7" t="s">
        <v>41</v>
      </c>
      <c r="AC7" t="s">
        <v>42</v>
      </c>
      <c r="AD7">
        <v>1.0</v>
      </c>
      <c r="AF7" t="s">
        <v>43</v>
      </c>
      <c r="AH7" t="s">
        <v>44</v>
      </c>
      <c r="AI7" t="s">
        <v>29</v>
      </c>
      <c r="AJ7" t="s">
        <v>26</v>
      </c>
      <c r="AK7" t="s">
        <v>45</v>
      </c>
      <c r="AL7">
        <v>100.0</v>
      </c>
      <c r="AP7">
        <v>100.0</v>
      </c>
      <c r="AS7" t="s">
        <v>46</v>
      </c>
      <c r="AT7" t="s">
        <v>47</v>
      </c>
      <c r="AU7" t="s">
        <v>48</v>
      </c>
      <c r="AX7" t="s">
        <v>49</v>
      </c>
      <c r="AY7">
        <v>100.0</v>
      </c>
      <c r="AZ7">
        <v>100.0</v>
      </c>
      <c r="BA7" t="s">
        <v>36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53</v>
      </c>
      <c r="BH7" t="s">
        <v>51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 t="str">
        <f>IFERROR(__xludf.DUMMYFUNCTION("""COMPUTED_VALUE"""),"ACTIV Symbol")</f>
        <v>ACTIV Symbol</v>
      </c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