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taSymbolLookup" sheetId="4" r:id="rId6"/>
    <sheet state="visible" name="UpdateUDA" sheetId="5" r:id="rId7"/>
    <sheet state="visible" name="CreateDoneAwayOrder" sheetId="6" r:id="rId8"/>
    <sheet state="visible" name="GetDataAllocation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<sst xmlns="http://schemas.openxmlformats.org/spreadsheetml/2006/main" count="69" uniqueCount="31">
  <si>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</si>
  <si>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</si>
  <si>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</si>
  <si>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</si>
  <si>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</si>
  <si>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</si>
  <si>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</si>
  <si>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</si>
  <si>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</si>
  <si>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</si>
  <si>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</si>
  <si>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</si>
  <si>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SymbolLookup</t>
  </si>
  <si>
    <t>GetDataSymbolLookup</t>
  </si>
  <si>
    <t>Data Format</t>
  </si>
  <si>
    <t>Input Format</t>
  </si>
  <si>
    <t>AAPL</t>
  </si>
  <si>
    <t>Exact</t>
  </si>
  <si>
    <t>UpdateUDA</t>
  </si>
  <si>
    <t>YES</t>
  </si>
  <si>
    <t>aaPL</t>
  </si>
  <si>
    <t>TradingTicket</t>
  </si>
  <si>
    <t>CreateDoneAwayOrder</t>
  </si>
  <si>
    <t>Buy</t>
  </si>
  <si>
    <t>Allocation1</t>
  </si>
  <si>
    <t>Allocation</t>
  </si>
  <si>
    <t>GetDataAllocation</t>
  </si>
  <si>
    <t>Historical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</si>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</sst>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u/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4" fontId="14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s">
        <v>16</v>
      </c>
      <c r="D6" s="34" t="s">
        <v>17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GetDataSymbolLookup!$4:$4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 t="str">
        <f>IFERROR(__xludf.DUMMYFUNCTION("""COMPUTED_VALUE"""),"Custom UDA1")</f>
        <v>Custom UDA1</v>
      </c>
      <c r="I5" s="28" t="str">
        <f>IFERROR(__xludf.DUMMYFUNCTION("""COMPUTED_VALUE"""),"UseDefaultUDA")</f>
        <v>UseDefaultUDA</v>
      </c>
      <c r="J5" s="28" t="str">
        <f>IFERROR(__xludf.DUMMYFUNCTION("""COMPUTED_VALUE"""),"AllowCamelCase")</f>
        <v>AllowCamelCase</v>
      </c>
      <c r="K5" s="28" t="str">
        <f>IFERROR(__xludf.DUMMYFUNCTION("""COMPUTED_VALUE"""),"ACTIV Symbol")</f>
        <v>ACTIV Symbol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6" t="s">
        <v>19</v>
      </c>
      <c r="K6" s="37" t="s">
        <v>20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UpdateUDA!$4:$4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23</v>
      </c>
      <c r="D6" s="13">
        <v>100.0</v>
      </c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38">
        <f>today()</f>
        <v>44909</v>
      </c>
      <c r="O6" s="8"/>
      <c r="AK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38">
        <f t="shared" ref="C6:D6" si="1">today()</f>
        <v>44909</v>
      </c>
      <c r="D6" s="40">
        <f t="shared" si="1"/>
        <v>44909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BJ6" s="9">
        <v>100.0</v>
      </c>
      <c r="BO6" s="9" t="s">
        <v>23</v>
      </c>
      <c r="BT6" s="9" t="s">
        <v>16</v>
      </c>
      <c r="CE6" s="42">
        <f>today()</f>
        <v>44909</v>
      </c>
      <c r="C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13"/>
      <c r="C6" s="13" t="s">
        <v>16</v>
      </c>
      <c r="D6" s="13"/>
      <c r="E6" s="13" t="s">
        <v>24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23</v>
      </c>
      <c r="F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