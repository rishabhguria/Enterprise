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PricingInput" sheetId="9" r:id="rId11"/>
    <sheet state="visible" name="GetDataClosing" sheetId="10" r:id="rId12"/>
    <sheet state="visible" name="SelectTradeUnexpiredUnsettled" sheetId="11" r:id="rId13"/>
    <sheet state="visible" name="ExerciseAssignment" sheetId="12" r:id="rId14"/>
    <sheet state="visible" name="VerifyExpiredSettledGrid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<sst xmlns="http://schemas.openxmlformats.org/spreadsheetml/2006/main" count="205" uniqueCount="56">
  <si>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</si>
  <si>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</si>
  <si>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</si>
  <si>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</si>
  <si>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</si>
  <si>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</si>
  <si>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</si>
  <si>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</si>
  <si>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</si>
  <si>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</si>
  <si>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</si>
  <si>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</si>
  <si>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</si>
  <si>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</si>
  <si>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</si>
  <si>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</si>
  <si>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O:RIG 10H75.00</t>
  </si>
  <si>
    <t>Closing</t>
  </si>
  <si>
    <t>SetClosingPreference</t>
  </si>
  <si>
    <t>TradingTicket</t>
  </si>
  <si>
    <t>CreateDoneAwayOrder</t>
  </si>
  <si>
    <t>RIG</t>
  </si>
  <si>
    <t>Buy</t>
  </si>
  <si>
    <t>Allocation2</t>
  </si>
  <si>
    <t>Allocation1</t>
  </si>
  <si>
    <t>Sell</t>
  </si>
  <si>
    <t>Sell to Open</t>
  </si>
  <si>
    <t>DailyValuation</t>
  </si>
  <si>
    <t>GetMarkPriceData</t>
  </si>
  <si>
    <t>UpdateMarkPrice</t>
  </si>
  <si>
    <t>PricingInput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</si>
  <si>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</si>
  <si>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</si>
  <si>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</si>
  <si>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</si>
  <si>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</si>
  <si>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</si>
  <si>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VerifyExpiredSettledGrid</t>
  </si>
  <si>
    <t>Exercise</t>
  </si>
  <si>
    <t>Long</t>
  </si>
  <si>
    <t>USD</t>
  </si>
  <si>
    <t>OPTS</t>
  </si>
  <si>
    <t>Short</t>
  </si>
  <si>
    <t>Strategy Unallocated</t>
  </si>
  <si>
    <t>US</t>
  </si>
  <si>
    <t>Allocation</t>
  </si>
  <si>
    <t>GetDataAllocation</t>
  </si>
  <si>
    <t>CheckAllocatedGroups</t>
  </si>
  <si>
    <t>MS</t>
  </si>
  <si>
    <t>Buy to Close</t>
  </si>
  <si>
    <t>Sell short</t>
  </si>
  <si>
    <t>PortfolioManagement</t>
  </si>
  <si>
    <t>CheckPortfolioManagement</t>
  </si>
  <si>
    <t>NewMF</t>
  </si>
  <si>
    <t>Equity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</si>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</sst>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5" fillId="0" fontId="5" numFmtId="0" xfId="0" applyAlignment="1" applyBorder="1" applyFont="1">
      <alignment vertical="bottom"/>
    </xf>
    <xf borderId="6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7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9" fillId="0" fontId="5" numFmtId="0" xfId="0" applyAlignment="1" applyBorder="1" applyFont="1">
      <alignment horizontal="right" vertical="bottom"/>
    </xf>
    <xf borderId="9" fillId="0" fontId="5" numFmtId="14" xfId="0" applyAlignment="1" applyBorder="1" applyFont="1" applyNumberFormat="1">
      <alignment horizontal="right" vertical="bottom"/>
    </xf>
    <xf borderId="9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0" fillId="0" fontId="14" numFmtId="0" xfId="0" applyAlignment="1" applyBorder="1" applyFont="1">
      <alignment readingOrder="0" vertical="bottom"/>
    </xf>
    <xf borderId="10" fillId="0" fontId="5" numFmtId="0" xfId="0" applyAlignment="1" applyBorder="1" applyFont="1">
      <alignment horizontal="right" vertical="bottom"/>
    </xf>
    <xf borderId="10" fillId="0" fontId="5" numFmtId="164" xfId="0" applyAlignment="1" applyBorder="1" applyFont="1" applyNumberFormat="1">
      <alignment horizontal="right" vertical="bottom"/>
    </xf>
    <xf borderId="7" fillId="0" fontId="5" numFmtId="14" xfId="0" applyAlignment="1" applyBorder="1" applyFont="1" applyNumberFormat="1">
      <alignment horizontal="right" vertical="bottom"/>
    </xf>
    <xf borderId="7" fillId="0" fontId="5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5" numFmtId="164" xfId="0" applyAlignment="1" applyBorder="1" applyFont="1" applyNumberFormat="1">
      <alignment horizontal="right" vertical="bottom"/>
    </xf>
    <xf borderId="11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6" fillId="0" fontId="5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0" fillId="0" fontId="14" numFmtId="0" xfId="0" applyAlignment="1" applyFont="1">
      <alignment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today()-1</f>
        <v>44984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/>
      <c r="C6" s="36"/>
      <c r="D6" s="35"/>
      <c r="E6" s="37" t="b">
        <v>1</v>
      </c>
      <c r="F6" s="36"/>
      <c r="G6" s="36"/>
      <c r="H6" s="36"/>
      <c r="I6" s="36"/>
      <c r="J6" s="37" t="b">
        <v>1</v>
      </c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21</v>
      </c>
      <c r="C6" s="36" t="s">
        <v>22</v>
      </c>
      <c r="D6" s="39">
        <v>10.0</v>
      </c>
      <c r="E6" s="40">
        <v>10.0</v>
      </c>
      <c r="F6" s="36" t="s">
        <v>23</v>
      </c>
      <c r="G6" s="36"/>
      <c r="H6" s="36"/>
      <c r="I6" s="36"/>
      <c r="J6" s="40">
        <v>1.0</v>
      </c>
      <c r="K6" s="36"/>
      <c r="L6" s="36"/>
      <c r="M6" s="36"/>
      <c r="N6" s="32">
        <f>today()-1</f>
        <v>44984</v>
      </c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41"/>
      <c r="B7" s="42" t="s">
        <v>21</v>
      </c>
      <c r="C7" s="42" t="s">
        <v>22</v>
      </c>
      <c r="D7" s="43">
        <v>100.0</v>
      </c>
      <c r="E7" s="43">
        <v>100.0</v>
      </c>
      <c r="F7" s="42" t="s">
        <v>24</v>
      </c>
      <c r="G7" s="42"/>
      <c r="H7" s="42"/>
      <c r="I7" s="42"/>
      <c r="J7" s="43">
        <v>10.0</v>
      </c>
      <c r="K7" s="42"/>
      <c r="L7" s="42"/>
      <c r="M7" s="42"/>
      <c r="N7" s="44">
        <f t="shared" ref="N7:N8" si="1">today()</f>
        <v>44985</v>
      </c>
      <c r="O7" s="42"/>
      <c r="P7" s="42"/>
      <c r="Q7" s="42"/>
      <c r="R7" s="42"/>
      <c r="S7" s="42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41"/>
      <c r="B8" s="42" t="s">
        <v>21</v>
      </c>
      <c r="C8" s="45" t="s">
        <v>25</v>
      </c>
      <c r="D8" s="43">
        <v>50.0</v>
      </c>
      <c r="E8" s="43">
        <v>50.0</v>
      </c>
      <c r="F8" s="42" t="s">
        <v>24</v>
      </c>
      <c r="G8" s="42"/>
      <c r="H8" s="42"/>
      <c r="I8" s="42"/>
      <c r="J8" s="43">
        <v>10.0</v>
      </c>
      <c r="K8" s="42"/>
      <c r="L8" s="42"/>
      <c r="M8" s="42"/>
      <c r="N8" s="44">
        <f t="shared" si="1"/>
        <v>44985</v>
      </c>
      <c r="O8" s="42"/>
      <c r="P8" s="42"/>
      <c r="Q8" s="42"/>
      <c r="R8" s="42"/>
      <c r="S8" s="42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46"/>
      <c r="B9" s="47" t="s">
        <v>16</v>
      </c>
      <c r="C9" s="48" t="s">
        <v>26</v>
      </c>
      <c r="D9" s="49">
        <v>10.0</v>
      </c>
      <c r="E9" s="49">
        <v>10.0</v>
      </c>
      <c r="F9" s="46" t="s">
        <v>24</v>
      </c>
      <c r="G9" s="46"/>
      <c r="H9" s="46"/>
      <c r="I9" s="46"/>
      <c r="J9" s="49">
        <v>10.0</v>
      </c>
      <c r="K9" s="46"/>
      <c r="L9" s="46"/>
      <c r="M9" s="46"/>
      <c r="N9" s="50">
        <f>today()-1</f>
        <v>44984</v>
      </c>
      <c r="O9" s="46"/>
      <c r="P9" s="46"/>
      <c r="Q9" s="46"/>
      <c r="R9" s="46"/>
      <c r="S9" s="46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1">
        <f>today()-1</f>
        <v>44984</v>
      </c>
      <c r="C6" s="32">
        <f>today()</f>
        <v>44985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 t="s">
        <v>21</v>
      </c>
      <c r="C6" s="40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3" t="s">
        <v>21</v>
      </c>
      <c r="C6" s="54">
        <v>80.0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32</v>
      </c>
      <c r="C6" s="55" t="s">
        <v>33</v>
      </c>
      <c r="D6" s="32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56"/>
      <c r="B6" s="35" t="s">
        <v>24</v>
      </c>
      <c r="C6" s="36"/>
      <c r="D6" s="35"/>
      <c r="E6" s="36" t="s">
        <v>35</v>
      </c>
      <c r="F6" s="36"/>
      <c r="G6" s="36"/>
      <c r="H6" s="36"/>
      <c r="I6" s="40">
        <v>10.0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57">
        <v>10.0</v>
      </c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58" t="s">
        <v>26</v>
      </c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57">
        <v>10.0</v>
      </c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47" t="s">
        <v>16</v>
      </c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3"/>
      <c r="B6" s="53"/>
      <c r="C6" s="38"/>
      <c r="D6" s="53"/>
      <c r="E6" s="38"/>
      <c r="F6" s="38"/>
      <c r="G6" s="38"/>
      <c r="H6" s="38"/>
      <c r="I6" s="38"/>
      <c r="J6" s="59">
        <v>100.0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IFERROR(__xludf.DUMMYFUNCTION("""COMPUTED_VALUE"""),"checkBox")</f>
        <v>checkBox</v>
      </c>
      <c r="E5" s="28" t="str">
        <f>IFERROR(__xludf.DUMMYFUNCTION("""COMPUTED_VALUE"""),"Close Date")</f>
        <v>Close Date</v>
      </c>
      <c r="F5" s="29" t="str">
        <f>IFERROR(__xludf.DUMMYFUNCTION("""COMPUTED_VALUE"""),"ClosedAveragePrice")</f>
        <v>ClosedAveragePrice</v>
      </c>
      <c r="G5" s="28" t="str">
        <f>IFERROR(__xludf.DUMMYFUNCTION("""COMPUTED_VALUE"""),"ClosedQty")</f>
        <v>ClosedQty</v>
      </c>
      <c r="H5" s="28" t="str">
        <f>IFERROR(__xludf.DUMMYFUNCTION("""COMPUTED_VALUE"""),"Closing Method")</f>
        <v>Closing Method</v>
      </c>
      <c r="I5" s="28" t="str">
        <f>IFERROR(__xludf.DUMMYFUNCTION("""COMPUTED_VALUE"""),"ClosingID")</f>
        <v>ClosingID</v>
      </c>
      <c r="J5" s="28" t="str">
        <f>IFERROR(__xludf.DUMMYFUNCTION("""COMPUTED_VALUE"""),"ClosingMode")</f>
        <v>ClosingMode</v>
      </c>
      <c r="K5" s="28" t="str">
        <f>IFERROR(__xludf.DUMMYFUNCTION("""COMPUTED_VALUE"""),"ClosingPositionTag")</f>
        <v>ClosingPositionTag</v>
      </c>
      <c r="L5" s="28" t="str">
        <f>IFERROR(__xludf.DUMMYFUNCTION("""COMPUTED_VALUE"""),"ClosingSide")</f>
        <v>ClosingSide</v>
      </c>
      <c r="M5" s="28" t="str">
        <f>IFERROR(__xludf.DUMMYFUNCTION("""COMPUTED_VALUE"""),"ClosingTotalCommissionandFees")</f>
        <v>ClosingTotalCommissionandFees</v>
      </c>
      <c r="N5" s="28" t="str">
        <f>IFERROR(__xludf.DUMMYFUNCTION("""COMPUTED_VALUE"""),"Column1")</f>
        <v>Column1</v>
      </c>
      <c r="O5" s="28" t="str">
        <f>IFERROR(__xludf.DUMMYFUNCTION("""COMPUTED_VALUE"""),"CostBasisGrossPNL")</f>
        <v>CostBasisGrossPNL</v>
      </c>
      <c r="P5" s="28" t="str">
        <f>IFERROR(__xludf.DUMMYFUNCTION("""COMPUTED_VALUE"""),"Currency")</f>
        <v>Currency</v>
      </c>
      <c r="Q5" s="28" t="str">
        <f>IFERROR(__xludf.DUMMYFUNCTION("""COMPUTED_VALUE"""),"CurrencyID")</f>
        <v>CurrencyID</v>
      </c>
      <c r="R5" s="28" t="str">
        <f>IFERROR(__xludf.DUMMYFUNCTION("""COMPUTED_VALUE"""),"Exchange")</f>
        <v>Exchange</v>
      </c>
      <c r="S5" s="28" t="str">
        <f>IFERROR(__xludf.DUMMYFUNCTION("""COMPUTED_VALUE"""),"NotionalChange")</f>
        <v>NotionalChange</v>
      </c>
      <c r="T5" s="30" t="str">
        <f>IFERROR(__xludf.DUMMYFUNCTION("""COMPUTED_VALUE"""),"OpenAveragePrice")</f>
        <v>OpenAveragePrice</v>
      </c>
      <c r="U5" s="30" t="str">
        <f>IFERROR(__xludf.DUMMYFUNCTION("""COMPUTED_VALUE"""),"Original Purchase Date")</f>
        <v>Original Purchase Date</v>
      </c>
      <c r="V5" s="30" t="str">
        <f>IFERROR(__xludf.DUMMYFUNCTION("""COMPUTED_VALUE"""),"Position Type")</f>
        <v>Position Type</v>
      </c>
      <c r="W5" s="30" t="str">
        <f>IFERROR(__xludf.DUMMYFUNCTION("""COMPUTED_VALUE"""),"PositionSide")</f>
        <v>PositionSide</v>
      </c>
      <c r="X5" s="30" t="str">
        <f>IFERROR(__xludf.DUMMYFUNCTION("""COMPUTED_VALUE"""),"PositionTotalCommissionandFees")</f>
        <v>PositionTotalCommissionandFees</v>
      </c>
      <c r="Y5" s="30" t="str">
        <f>IFERROR(__xludf.DUMMYFUNCTION("""COMPUTED_VALUE"""),"Realized PNL(C.B.)")</f>
        <v>Realized PNL(C.B.)</v>
      </c>
      <c r="Z5" s="30" t="str">
        <f>IFERROR(__xludf.DUMMYFUNCTION("""COMPUTED_VALUE"""),"Side")</f>
        <v>Side</v>
      </c>
      <c r="AA5" s="30" t="str">
        <f>IFERROR(__xludf.DUMMYFUNCTION("""COMPUTED_VALUE"""),"Strategy")</f>
        <v>Strategy</v>
      </c>
      <c r="AB5" s="30" t="str">
        <f>IFERROR(__xludf.DUMMYFUNCTION("""COMPUTED_VALUE"""),"Symbol")</f>
        <v>Symbol</v>
      </c>
      <c r="AC5" s="30" t="str">
        <f>IFERROR(__xludf.DUMMYFUNCTION("""COMPUTED_VALUE"""),"Taxlot ID")</f>
        <v>Taxlot ID</v>
      </c>
      <c r="AD5" s="30" t="str">
        <f>IFERROR(__xludf.DUMMYFUNCTION("""COMPUTED_VALUE"""),"UnderlyingName")</f>
        <v>UnderlyingName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5" t="s">
        <v>24</v>
      </c>
      <c r="C6" s="36" t="s">
        <v>35</v>
      </c>
      <c r="D6" s="35"/>
      <c r="E6" s="36"/>
      <c r="F6" s="40">
        <v>0.0</v>
      </c>
      <c r="G6" s="40">
        <v>10.0</v>
      </c>
      <c r="H6" s="36"/>
      <c r="I6" s="36"/>
      <c r="J6" s="60" t="s">
        <v>38</v>
      </c>
      <c r="K6" s="36" t="s">
        <v>39</v>
      </c>
      <c r="L6" s="36"/>
      <c r="M6" s="40">
        <v>10000.0</v>
      </c>
      <c r="N6" s="36"/>
      <c r="O6" s="40">
        <v>10000.0</v>
      </c>
      <c r="P6" s="36" t="s">
        <v>40</v>
      </c>
      <c r="Q6" s="36"/>
      <c r="R6" s="36" t="s">
        <v>41</v>
      </c>
      <c r="S6" s="61">
        <v>0.0</v>
      </c>
      <c r="T6" s="57">
        <v>10.0</v>
      </c>
      <c r="U6" s="38"/>
      <c r="V6" s="38" t="s">
        <v>42</v>
      </c>
      <c r="W6" s="38" t="s">
        <v>42</v>
      </c>
      <c r="X6" s="57">
        <v>0.0</v>
      </c>
      <c r="Y6" s="57">
        <v>0.0</v>
      </c>
      <c r="Z6" s="62" t="s">
        <v>26</v>
      </c>
      <c r="AA6" s="38" t="s">
        <v>43</v>
      </c>
      <c r="AB6" s="47" t="s">
        <v>16</v>
      </c>
      <c r="AC6" s="38"/>
      <c r="AD6" s="38" t="s">
        <v>44</v>
      </c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VerifyExpiredSettledGrid!$4:$4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4" t="s">
        <v>32</v>
      </c>
      <c r="C6" s="55" t="s">
        <v>33</v>
      </c>
      <c r="D6" s="32">
        <f>today()</f>
        <v>44985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63" t="s">
        <v>24</v>
      </c>
      <c r="C6" s="8"/>
      <c r="D6" s="13"/>
      <c r="E6" s="64">
        <v>100.0</v>
      </c>
      <c r="F6" s="8"/>
      <c r="G6" s="8"/>
      <c r="H6" s="8"/>
      <c r="I6" s="8"/>
      <c r="J6" s="8"/>
      <c r="K6" s="64">
        <v>10.0</v>
      </c>
      <c r="L6" s="64">
        <v>10.0</v>
      </c>
      <c r="M6" s="8"/>
      <c r="N6" s="8"/>
      <c r="O6" s="63" t="s">
        <v>48</v>
      </c>
      <c r="BJ6" s="64">
        <v>100.0</v>
      </c>
      <c r="BO6" s="63" t="s">
        <v>22</v>
      </c>
      <c r="BT6" s="63" t="s">
        <v>21</v>
      </c>
    </row>
    <row r="7" ht="15.75" customHeight="1">
      <c r="A7" s="8"/>
      <c r="B7" s="63" t="s">
        <v>23</v>
      </c>
      <c r="C7" s="8"/>
      <c r="D7" s="8"/>
      <c r="E7" s="64">
        <v>10.0</v>
      </c>
      <c r="F7" s="8"/>
      <c r="G7" s="8"/>
      <c r="H7" s="8"/>
      <c r="I7" s="8"/>
      <c r="J7" s="8"/>
      <c r="K7" s="64">
        <v>1.0</v>
      </c>
      <c r="L7" s="64">
        <v>1.0</v>
      </c>
      <c r="M7" s="8"/>
      <c r="N7" s="8"/>
      <c r="O7" s="63" t="s">
        <v>48</v>
      </c>
      <c r="BJ7" s="64">
        <v>10.0</v>
      </c>
      <c r="BO7" s="63" t="s">
        <v>22</v>
      </c>
      <c r="BT7" s="63" t="s">
        <v>21</v>
      </c>
    </row>
    <row r="8" ht="15.75" customHeight="1">
      <c r="A8" s="8"/>
      <c r="B8" s="63" t="s">
        <v>24</v>
      </c>
      <c r="C8" s="8"/>
      <c r="D8" s="8"/>
      <c r="E8" s="64">
        <v>10.0</v>
      </c>
      <c r="F8" s="8"/>
      <c r="G8" s="8"/>
      <c r="H8" s="8"/>
      <c r="I8" s="8"/>
      <c r="J8" s="8"/>
      <c r="K8" s="64">
        <v>10.0</v>
      </c>
      <c r="L8" s="64">
        <v>10.0</v>
      </c>
      <c r="M8" s="8"/>
      <c r="N8" s="8"/>
      <c r="O8" s="63" t="s">
        <v>48</v>
      </c>
      <c r="BJ8" s="64">
        <v>10.0</v>
      </c>
      <c r="BO8" s="63" t="s">
        <v>26</v>
      </c>
      <c r="BT8" s="63" t="s">
        <v>16</v>
      </c>
    </row>
    <row r="9" ht="15.75" customHeight="1">
      <c r="A9" s="8"/>
      <c r="B9" s="63" t="s">
        <v>24</v>
      </c>
      <c r="C9" s="8"/>
      <c r="D9" s="8"/>
      <c r="E9" s="64">
        <v>50.0</v>
      </c>
      <c r="F9" s="8"/>
      <c r="G9" s="8"/>
      <c r="H9" s="8"/>
      <c r="I9" s="8"/>
      <c r="J9" s="8"/>
      <c r="K9" s="64">
        <v>10.0</v>
      </c>
      <c r="L9" s="64">
        <v>10.0</v>
      </c>
      <c r="M9" s="8"/>
      <c r="N9" s="8"/>
      <c r="O9" s="63" t="s">
        <v>48</v>
      </c>
      <c r="BJ9" s="64">
        <v>50.0</v>
      </c>
      <c r="BO9" s="63" t="s">
        <v>25</v>
      </c>
      <c r="BT9" s="63" t="s">
        <v>21</v>
      </c>
    </row>
    <row r="10" ht="15.75" customHeight="1">
      <c r="A10" s="8"/>
      <c r="B10" s="63" t="s">
        <v>24</v>
      </c>
      <c r="C10" s="8"/>
      <c r="D10" s="8"/>
      <c r="E10" s="64">
        <v>10.0</v>
      </c>
      <c r="F10" s="8"/>
      <c r="G10" s="8"/>
      <c r="H10" s="8"/>
      <c r="I10" s="8"/>
      <c r="J10" s="8"/>
      <c r="K10" s="64">
        <v>0.0</v>
      </c>
      <c r="L10" s="64">
        <v>0.0</v>
      </c>
      <c r="M10" s="8"/>
      <c r="N10" s="8"/>
      <c r="O10" s="63" t="s">
        <v>48</v>
      </c>
      <c r="BJ10" s="64">
        <v>10.0</v>
      </c>
      <c r="BO10" s="63" t="s">
        <v>49</v>
      </c>
      <c r="BT10" s="63" t="s">
        <v>16</v>
      </c>
    </row>
    <row r="11" ht="15.75" customHeight="1">
      <c r="A11" s="8"/>
      <c r="B11" s="63" t="s">
        <v>24</v>
      </c>
      <c r="C11" s="8"/>
      <c r="D11" s="8"/>
      <c r="E11" s="64">
        <v>50.0</v>
      </c>
      <c r="F11" s="8"/>
      <c r="G11" s="8"/>
      <c r="H11" s="8"/>
      <c r="I11" s="8"/>
      <c r="J11" s="8"/>
      <c r="K11" s="64">
        <v>100.0</v>
      </c>
      <c r="L11" s="64">
        <v>100.0</v>
      </c>
      <c r="M11" s="8"/>
      <c r="N11" s="8"/>
      <c r="O11" s="63" t="s">
        <v>48</v>
      </c>
      <c r="BJ11" s="64">
        <v>50.0</v>
      </c>
      <c r="BO11" s="63" t="s">
        <v>25</v>
      </c>
      <c r="BT11" s="63" t="s">
        <v>21</v>
      </c>
    </row>
    <row r="12" ht="15.75" customHeight="1">
      <c r="A12" s="8"/>
      <c r="B12" s="63" t="s">
        <v>24</v>
      </c>
      <c r="C12" s="8"/>
      <c r="D12" s="8"/>
      <c r="E12" s="64">
        <v>950.0</v>
      </c>
      <c r="F12" s="8"/>
      <c r="G12" s="8"/>
      <c r="H12" s="8"/>
      <c r="I12" s="8"/>
      <c r="J12" s="8"/>
      <c r="K12" s="64">
        <v>100.0</v>
      </c>
      <c r="L12" s="64">
        <v>100.0</v>
      </c>
      <c r="M12" s="8"/>
      <c r="N12" s="8"/>
      <c r="O12" s="63" t="s">
        <v>48</v>
      </c>
      <c r="BJ12" s="64">
        <v>950.0</v>
      </c>
      <c r="BO12" s="63" t="s">
        <v>50</v>
      </c>
      <c r="BT12" s="63" t="s">
        <v>21</v>
      </c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63" t="s">
        <v>21</v>
      </c>
      <c r="D6" s="64">
        <v>100.0</v>
      </c>
      <c r="E6" s="63" t="s">
        <v>24</v>
      </c>
      <c r="F6" s="63" t="s">
        <v>53</v>
      </c>
      <c r="G6" s="64">
        <v>10.0</v>
      </c>
      <c r="H6" s="63" t="s">
        <v>42</v>
      </c>
      <c r="I6" s="65">
        <v>8000.0</v>
      </c>
      <c r="J6" s="8"/>
      <c r="K6" s="8"/>
      <c r="L6" s="8"/>
      <c r="M6" s="8"/>
      <c r="N6" s="8"/>
      <c r="O6" s="8"/>
      <c r="P6" s="64">
        <v>80.0</v>
      </c>
      <c r="T6" s="63" t="s">
        <v>54</v>
      </c>
      <c r="AN6" s="63" t="s">
        <v>22</v>
      </c>
      <c r="AP6" s="63" t="s">
        <v>39</v>
      </c>
      <c r="BR6" s="63" t="s">
        <v>48</v>
      </c>
    </row>
    <row r="7" ht="15.75" customHeight="1">
      <c r="A7" s="8"/>
      <c r="B7" s="8"/>
      <c r="C7" s="63" t="s">
        <v>21</v>
      </c>
      <c r="D7" s="64">
        <v>-50.0</v>
      </c>
      <c r="E7" s="63" t="s">
        <v>24</v>
      </c>
      <c r="F7" s="63" t="s">
        <v>53</v>
      </c>
      <c r="G7" s="64">
        <v>10.0</v>
      </c>
      <c r="H7" s="63" t="s">
        <v>42</v>
      </c>
      <c r="I7" s="65">
        <v>-4000.0</v>
      </c>
      <c r="J7" s="8"/>
      <c r="K7" s="8"/>
      <c r="L7" s="8"/>
      <c r="M7" s="8"/>
      <c r="N7" s="8"/>
      <c r="O7" s="8"/>
      <c r="P7" s="64">
        <v>80.0</v>
      </c>
      <c r="T7" s="63" t="s">
        <v>54</v>
      </c>
      <c r="AN7" s="63" t="s">
        <v>25</v>
      </c>
      <c r="AP7" s="63" t="s">
        <v>39</v>
      </c>
      <c r="BR7" s="63" t="s">
        <v>48</v>
      </c>
    </row>
    <row r="8" ht="15.75" customHeight="1">
      <c r="A8" s="8"/>
      <c r="B8" s="8"/>
      <c r="C8" s="63" t="s">
        <v>21</v>
      </c>
      <c r="D8" s="64">
        <v>-50.0</v>
      </c>
      <c r="E8" s="63" t="s">
        <v>24</v>
      </c>
      <c r="F8" s="63" t="s">
        <v>53</v>
      </c>
      <c r="G8" s="64">
        <v>100.0</v>
      </c>
      <c r="H8" s="63" t="s">
        <v>42</v>
      </c>
      <c r="I8" s="65">
        <v>-4000.0</v>
      </c>
      <c r="J8" s="8"/>
      <c r="K8" s="8"/>
      <c r="L8" s="8"/>
      <c r="M8" s="8"/>
      <c r="N8" s="8"/>
      <c r="O8" s="8"/>
      <c r="P8" s="64">
        <v>80.0</v>
      </c>
      <c r="T8" s="63" t="s">
        <v>54</v>
      </c>
      <c r="AN8" s="63" t="s">
        <v>25</v>
      </c>
      <c r="AP8" s="63" t="s">
        <v>39</v>
      </c>
      <c r="BR8" s="63" t="s">
        <v>48</v>
      </c>
    </row>
    <row r="9" ht="15.75" customHeight="1">
      <c r="A9" s="8"/>
      <c r="B9" s="8"/>
      <c r="C9" s="63" t="s">
        <v>21</v>
      </c>
      <c r="D9" s="64">
        <v>-950.0</v>
      </c>
      <c r="E9" s="63" t="s">
        <v>24</v>
      </c>
      <c r="F9" s="63" t="s">
        <v>53</v>
      </c>
      <c r="G9" s="64">
        <v>100.0</v>
      </c>
      <c r="H9" s="63" t="s">
        <v>42</v>
      </c>
      <c r="I9" s="65">
        <v>-76000.0</v>
      </c>
      <c r="J9" s="8"/>
      <c r="K9" s="8"/>
      <c r="L9" s="8"/>
      <c r="M9" s="8"/>
      <c r="N9" s="8"/>
      <c r="O9" s="8"/>
      <c r="P9" s="64">
        <v>80.0</v>
      </c>
      <c r="T9" s="63" t="s">
        <v>54</v>
      </c>
      <c r="AN9" s="63" t="s">
        <v>50</v>
      </c>
      <c r="AP9" s="63" t="s">
        <v>42</v>
      </c>
      <c r="BR9" s="63" t="s">
        <v>48</v>
      </c>
    </row>
    <row r="10" ht="15.75" customHeight="1">
      <c r="A10" s="8"/>
      <c r="B10" s="8"/>
      <c r="C10" s="63" t="s">
        <v>21</v>
      </c>
      <c r="D10" s="64">
        <v>10.0</v>
      </c>
      <c r="E10" s="63" t="s">
        <v>23</v>
      </c>
      <c r="F10" s="63" t="s">
        <v>55</v>
      </c>
      <c r="G10" s="64">
        <v>1.0</v>
      </c>
      <c r="H10" s="63" t="s">
        <v>42</v>
      </c>
      <c r="I10" s="64">
        <v>800.0</v>
      </c>
      <c r="J10" s="8"/>
      <c r="K10" s="8"/>
      <c r="L10" s="8"/>
      <c r="M10" s="8"/>
      <c r="N10" s="8"/>
      <c r="O10" s="8"/>
      <c r="P10" s="64">
        <v>80.0</v>
      </c>
      <c r="T10" s="63" t="s">
        <v>54</v>
      </c>
      <c r="AN10" s="63" t="s">
        <v>22</v>
      </c>
      <c r="AP10" s="63" t="s">
        <v>39</v>
      </c>
      <c r="BR10" s="63" t="s">
        <v>48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