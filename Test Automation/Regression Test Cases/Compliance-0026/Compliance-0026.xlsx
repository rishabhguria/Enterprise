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1" sheetId="8" r:id="rId10"/>
    <sheet state="visible" name="ExecuteTrade" sheetId="9" r:id="rId11"/>
    <sheet state="visible" name="SelectTradeOnOrderGrid" sheetId="10" r:id="rId12"/>
    <sheet state="visible" name="CancelSubOrder" sheetId="11" r:id="rId13"/>
    <sheet state="visible" name="VerifySymbolDivisorWindow" sheetId="12" r:id="rId14"/>
    <sheet state="visible" name="VerifyTaxlotWindow" sheetId="13" r:id="rId15"/>
    <sheet state="visible" name="VerifyRowCalculationBaseWindow" sheetId="14" r:id="rId16"/>
    <sheet state="visible" name="VerifyAggAccountSymbolWithNav" sheetId="15" r:id="rId17"/>
    <sheet state="visible" name="SelectTrade2" sheetId="16" r:id="rId18"/>
    <sheet state="visible" name="RejectTrade" sheetId="17" r:id="rId19"/>
    <sheet state="visible" name="VerifyRowCalculationBaseWindow1" sheetId="18" r:id="rId20"/>
    <sheet state="visible" name="VerifyTaxlotWindow1" sheetId="19" r:id="rId21"/>
    <sheet state="visible" name="VerifySymbolDivisorWindow1" sheetId="20" r:id="rId22"/>
    <sheet state="visible" name="VerifyAggAccountSymbolWithNav1" sheetId="21" r:id="rId23"/>
    <sheet state="visible" name="SelectTrade3" sheetId="22" r:id="rId24"/>
    <sheet state="visible" name="ExecuteTrade1" sheetId="23" r:id="rId25"/>
    <sheet state="visible" name="VerifyRowCalculationBaseWindow2" sheetId="24" r:id="rId26"/>
    <sheet state="visible" name="VerifyTaxlotWindow2" sheetId="25" r:id="rId27"/>
    <sheet state="visible" name="VerifyAggAccountSymbolWithNav2" sheetId="26" r:id="rId28"/>
    <sheet state="visible" name="VerifySymbolDivisorWindow2" sheetId="27" r:id="rId29"/>
    <sheet state="visible" name="VerifyOrder" sheetId="28" r:id="rId30"/>
    <sheet state="visible" name="SelectTradeOnOrderGrid1" sheetId="29" r:id="rId31"/>
    <sheet state="visible" name="VerifySubOrder" sheetId="30" r:id="rId32"/>
    <sheet state="visible" name="CheckPortfolioManagement" sheetId="31" r:id="rId33"/>
    <sheet state="visible" name="EnableDisableModule1" sheetId="32" r:id="rId34"/>
  </sheets>
  <definedNames/>
  <calcPr/>
</workbook>
</file>

<file path=xl/sharedStrings.xml><?xml version="1.0" encoding="utf-8"?>
<sst xmlns="http://schemas.openxmlformats.org/spreadsheetml/2006/main" count="484" uniqueCount="70">
  <si>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</si>
  <si>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</si>
  <si>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</si>
  <si>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</si>
  <si>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</si>
  <si>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</si>
  <si>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</si>
  <si>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</si>
  <si>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</si>
  <si>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</si>
  <si>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</si>
  <si>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</si>
  <si>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</si>
  <si>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</si>
  <si>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</si>
  <si>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</si>
  <si>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</si>
  <si>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</si>
  <si>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</si>
  <si>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</si>
  <si>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</si>
  <si>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</si>
  <si>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</si>
  <si>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</si>
  <si>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</si>
  <si>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</si>
  <si>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</si>
  <si>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</si>
  <si>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</si>
  <si>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</si>
  <si>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</si>
  <si>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</si>
  <si>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</si>
  <si>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MS</t>
  </si>
  <si>
    <t>Multiple</t>
  </si>
  <si>
    <t>Market</t>
  </si>
  <si>
    <t>CancelSubOrder</t>
  </si>
  <si>
    <t>Compliance</t>
  </si>
  <si>
    <t>VerifySymbolDivisorWindow</t>
  </si>
  <si>
    <t>VerifyTaxlotWindow</t>
  </si>
  <si>
    <t>InTradeMarket</t>
  </si>
  <si>
    <t>Post</t>
  </si>
  <si>
    <t>VerifyRowCalculationBaseWindow</t>
  </si>
  <si>
    <t>Allocation1</t>
  </si>
  <si>
    <t>Allocation2</t>
  </si>
  <si>
    <t>VerifyAggAccountSymbolWithNav</t>
  </si>
  <si>
    <t>Account-Symbol</t>
  </si>
  <si>
    <t>RejectTrade</t>
  </si>
  <si>
    <t>VerifyOrder</t>
  </si>
  <si>
    <t>VerifySubOrder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</si>
  <si>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</si>
  <si>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</si>
  <si>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</si>
  <si>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</si>
  <si>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</si>
  <si>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</si>
  <si>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</si>
  <si>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Equity</t>
  </si>
  <si>
    <t>US</t>
  </si>
  <si>
    <t>NASDAQ</t>
  </si>
  <si>
    <t>USD</t>
  </si>
  <si>
    <t>DefaultNotes</t>
  </si>
  <si>
    <t>New Hedge</t>
  </si>
  <si>
    <t>Small Cap</t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</si>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</sst>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Calibri"/>
    </font>
    <font>
      <b/>
      <sz val="10.0"/>
      <color rgb="FFFFFFFF"/>
      <name val="Calibri"/>
    </font>
    <font>
      <sz val="10.0"/>
      <name val="Calibri"/>
    </font>
    <font>
      <sz val="10.0"/>
      <color rgb="FFFFFFFF"/>
      <name val="Calibri"/>
    </font>
    <font>
      <sz val="10.0"/>
      <color rgb="FFD9D9D9"/>
      <name val="Calibri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6" fontId="13" numFmtId="0" xfId="0" applyAlignment="1" applyFill="1" applyFont="1">
      <alignment horizontal="center" vertical="top"/>
    </xf>
    <xf borderId="0" fillId="6" fontId="13" numFmtId="0" xfId="0" applyAlignment="1" applyFont="1">
      <alignment horizontal="center" readingOrder="0" vertical="top"/>
    </xf>
    <xf borderId="0" fillId="6" fontId="3" numFmtId="0" xfId="0" applyAlignment="1" applyFont="1">
      <alignment readingOrder="0" vertical="top"/>
    </xf>
    <xf borderId="0" fillId="6" fontId="3" numFmtId="0" xfId="0" applyAlignment="1" applyFont="1">
      <alignment vertical="top"/>
    </xf>
    <xf borderId="0" fillId="2" fontId="5" numFmtId="0" xfId="0" applyFont="1"/>
    <xf borderId="0" fillId="0" fontId="5" numFmtId="0" xfId="0" applyFont="1"/>
    <xf borderId="0" fillId="3" fontId="7" numFmtId="0" xfId="0" applyFont="1"/>
    <xf borderId="0" fillId="4" fontId="11" numFmtId="0" xfId="0" applyFont="1"/>
    <xf borderId="0" fillId="5" fontId="7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7" fontId="5" numFmtId="0" xfId="0" applyAlignment="1" applyBorder="1" applyFill="1" applyFont="1">
      <alignment vertical="bottom"/>
    </xf>
    <xf borderId="5" fillId="7" fontId="5" numFmtId="0" xfId="0" applyAlignment="1" applyBorder="1" applyFont="1">
      <alignment horizontal="right" vertical="bottom"/>
    </xf>
    <xf borderId="5" fillId="7" fontId="5" numFmtId="0" xfId="0" applyAlignment="1" applyBorder="1" applyFont="1">
      <alignment horizontal="right" readingOrder="0" vertical="bottom"/>
    </xf>
    <xf borderId="5" fillId="7" fontId="3" numFmtId="0" xfId="0" applyAlignment="1" applyBorder="1" applyFont="1">
      <alignment vertical="bottom"/>
    </xf>
    <xf borderId="0" fillId="7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7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5" fillId="0" fontId="5" numFmtId="0" xfId="0" applyBorder="1" applyFont="1"/>
    <xf borderId="5" fillId="0" fontId="5" numFmtId="0" xfId="0" applyBorder="1" applyFont="1"/>
    <xf borderId="5" fillId="7" fontId="14" numFmtId="0" xfId="0" applyBorder="1" applyFont="1"/>
    <xf borderId="0" fillId="0" fontId="3" numFmtId="0" xfId="0" applyFont="1"/>
    <xf borderId="5" fillId="0" fontId="3" numFmtId="0" xfId="0" applyBorder="1" applyFont="1"/>
    <xf borderId="0" fillId="0" fontId="3" numFmtId="0" xfId="0" applyAlignment="1" applyFont="1">
      <alignment readingOrder="0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horizontal="right"/>
    </xf>
    <xf borderId="5" fillId="7" fontId="14" numFmtId="0" xfId="0" applyAlignment="1" applyBorder="1" applyFont="1">
      <alignment vertical="bottom"/>
    </xf>
    <xf borderId="5" fillId="0" fontId="3" numFmtId="0" xfId="0" applyAlignment="1" applyBorder="1" applyFont="1">
      <alignment horizontal="right" readingOrder="0" vertical="bottom"/>
    </xf>
    <xf borderId="1" fillId="2" fontId="15" numFmtId="0" xfId="0" applyAlignment="1" applyBorder="1" applyFont="1">
      <alignment horizontal="center" shrinkToFit="0" wrapText="0"/>
    </xf>
    <xf borderId="0" fillId="2" fontId="15" numFmtId="0" xfId="0" applyAlignment="1" applyFont="1">
      <alignment horizontal="center" shrinkToFit="0" wrapText="0"/>
    </xf>
    <xf borderId="0" fillId="2" fontId="16" numFmtId="0" xfId="0" applyFont="1"/>
    <xf borderId="0" fillId="0" fontId="16" numFmtId="0" xfId="0" applyAlignment="1" applyFont="1">
      <alignment shrinkToFit="0" wrapText="0"/>
    </xf>
    <xf borderId="0" fillId="0" fontId="17" numFmtId="0" xfId="0" applyAlignment="1" applyFont="1">
      <alignment shrinkToFit="0" wrapText="0"/>
    </xf>
    <xf borderId="0" fillId="0" fontId="16" numFmtId="0" xfId="0" applyFont="1"/>
    <xf borderId="4" fillId="3" fontId="15" numFmtId="0" xfId="0" applyAlignment="1" applyBorder="1" applyFont="1">
      <alignment shrinkToFit="0" wrapText="0"/>
    </xf>
    <xf borderId="4" fillId="3" fontId="17" numFmtId="0" xfId="0" applyAlignment="1" applyBorder="1" applyFont="1">
      <alignment readingOrder="0" shrinkToFit="0" wrapText="0"/>
    </xf>
    <xf borderId="4" fillId="3" fontId="17" numFmtId="0" xfId="0" applyAlignment="1" applyBorder="1" applyFont="1">
      <alignment shrinkToFit="0" wrapText="0"/>
    </xf>
    <xf borderId="0" fillId="3" fontId="15" numFmtId="0" xfId="0" applyAlignment="1" applyFont="1">
      <alignment shrinkToFit="0" wrapText="0"/>
    </xf>
    <xf borderId="0" fillId="3" fontId="17" numFmtId="0" xfId="0" applyFont="1"/>
    <xf borderId="0" fillId="4" fontId="18" numFmtId="0" xfId="0" applyAlignment="1" applyFont="1">
      <alignment shrinkToFit="0" wrapText="0"/>
    </xf>
    <xf borderId="0" fillId="4" fontId="18" numFmtId="0" xfId="0" applyFont="1"/>
    <xf borderId="4" fillId="5" fontId="15" numFmtId="0" xfId="0" applyAlignment="1" applyBorder="1" applyFont="1">
      <alignment shrinkToFit="0" wrapText="0"/>
    </xf>
    <xf borderId="4" fillId="5" fontId="15" numFmtId="0" xfId="0" applyAlignment="1" applyBorder="1" applyFont="1">
      <alignment readingOrder="0" shrinkToFit="0" wrapText="0"/>
    </xf>
    <xf borderId="0" fillId="5" fontId="17" numFmtId="0" xfId="0" applyFont="1"/>
    <xf borderId="5" fillId="0" fontId="16" numFmtId="0" xfId="0" applyAlignment="1" applyBorder="1" applyFont="1">
      <alignment vertical="bottom"/>
    </xf>
    <xf borderId="5" fillId="0" fontId="16" numFmtId="0" xfId="0" applyAlignment="1" applyBorder="1" applyFont="1">
      <alignment readingOrder="0" vertical="bottom"/>
    </xf>
    <xf borderId="5" fillId="0" fontId="16" numFmtId="3" xfId="0" applyAlignment="1" applyBorder="1" applyFont="1" applyNumberFormat="1">
      <alignment horizontal="right" vertical="bottom"/>
    </xf>
    <xf borderId="5" fillId="0" fontId="16" numFmtId="0" xfId="0" applyAlignment="1" applyBorder="1" applyFont="1">
      <alignment horizontal="right" vertical="bottom"/>
    </xf>
    <xf borderId="0" fillId="0" fontId="16" numFmtId="0" xfId="0" applyAlignment="1" applyFont="1">
      <alignment horizontal="left" readingOrder="0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16" numFmtId="3" xfId="0" applyAlignment="1" applyFont="1" applyNumberFormat="1">
      <alignment horizontal="right" vertical="bottom"/>
    </xf>
    <xf borderId="0" fillId="0" fontId="16" numFmtId="4" xfId="0" applyAlignment="1" applyFont="1" applyNumberFormat="1">
      <alignment vertical="bottom"/>
    </xf>
    <xf borderId="0" fillId="0" fontId="16" numFmtId="0" xfId="0" applyAlignment="1" applyFont="1">
      <alignment horizontal="right" readingOrder="0" vertical="bottom"/>
    </xf>
    <xf borderId="0" fillId="0" fontId="19" numFmtId="0" xfId="0" applyAlignment="1" applyFont="1">
      <alignment vertical="bottom"/>
    </xf>
    <xf borderId="0" fillId="0" fontId="16" numFmtId="164" xfId="0" applyAlignment="1" applyFont="1" applyNumberFormat="1">
      <alignment vertical="bottom"/>
    </xf>
    <xf borderId="0" fillId="0" fontId="14" numFmtId="0" xfId="0" applyAlignment="1" applyFont="1">
      <alignment horizontal="left" readingOrder="0"/>
    </xf>
    <xf borderId="0" fillId="0" fontId="16" numFmtId="0" xfId="0" applyAlignment="1" applyFont="1">
      <alignment horizontal="center" vertical="bottom"/>
    </xf>
    <xf borderId="5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4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5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6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8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7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6" t="s">
        <v>22</v>
      </c>
      <c r="D6" s="37">
        <v>100.0</v>
      </c>
      <c r="E6" s="38">
        <v>100.0</v>
      </c>
      <c r="F6" s="36"/>
      <c r="G6" s="36"/>
      <c r="H6" s="36"/>
      <c r="I6" s="36"/>
      <c r="J6" s="38">
        <v>10.0</v>
      </c>
      <c r="K6" s="36"/>
      <c r="L6" s="36"/>
      <c r="M6" s="36"/>
      <c r="N6" s="39">
        <f>today()</f>
        <v>44432</v>
      </c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 t="s">
        <v>23</v>
      </c>
      <c r="AL6" s="40" t="s">
        <v>24</v>
      </c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7">
        <v>10.0</v>
      </c>
      <c r="C6" s="38">
        <v>30.0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 t="s">
        <v>21</v>
      </c>
      <c r="E6" s="36"/>
      <c r="F6" s="36" t="s">
        <v>22</v>
      </c>
      <c r="G6" s="41" t="s">
        <v>32</v>
      </c>
      <c r="H6" s="42">
        <v>100.0</v>
      </c>
      <c r="I6" s="41">
        <v>30.0</v>
      </c>
      <c r="J6" s="41">
        <v>30.0</v>
      </c>
      <c r="K6" s="41">
        <v>30.0</v>
      </c>
      <c r="L6" s="36"/>
      <c r="M6" s="36"/>
      <c r="N6" s="41">
        <v>10.0</v>
      </c>
      <c r="O6" s="36"/>
      <c r="P6" s="41">
        <v>10.0</v>
      </c>
      <c r="Q6" s="36" t="s">
        <v>33</v>
      </c>
      <c r="R6" s="36" t="s">
        <v>34</v>
      </c>
      <c r="S6" s="36"/>
      <c r="T6" s="40" t="s">
        <v>35</v>
      </c>
      <c r="U6" s="43">
        <v>300.0</v>
      </c>
      <c r="V6" s="43">
        <v>300.0</v>
      </c>
      <c r="W6" s="40"/>
      <c r="X6" s="40"/>
      <c r="Y6" s="40"/>
      <c r="Z6" s="40"/>
      <c r="AA6" s="43">
        <v>70.0</v>
      </c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44">
        <v>70.0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5" t="s">
        <v>22</v>
      </c>
      <c r="AK6" s="46" t="s">
        <v>32</v>
      </c>
      <c r="AL6" s="45">
        <v>100.0</v>
      </c>
      <c r="AM6" s="47">
        <v>30.0</v>
      </c>
      <c r="AN6" s="47">
        <v>30.0</v>
      </c>
      <c r="AO6" s="48"/>
      <c r="AP6" s="48"/>
      <c r="AQ6" s="48"/>
      <c r="AR6" s="48"/>
      <c r="AS6" s="48" t="s">
        <v>33</v>
      </c>
      <c r="AT6" s="45" t="s">
        <v>34</v>
      </c>
      <c r="AU6" s="48" t="s">
        <v>35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44">
        <v>100.0</v>
      </c>
      <c r="D6" s="44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1"/>
      <c r="CS3" s="51"/>
      <c r="CT3" s="51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1"/>
      <c r="DG3" s="51"/>
      <c r="DH3" s="51"/>
      <c r="DI3" s="51"/>
      <c r="DJ3" s="51"/>
      <c r="DK3" s="51"/>
      <c r="DL3" s="51"/>
      <c r="DM3" s="51"/>
      <c r="DN3" s="51"/>
      <c r="DO3" s="51"/>
      <c r="DP3" s="51"/>
      <c r="DQ3" s="51"/>
      <c r="DR3" s="51"/>
      <c r="DS3" s="51"/>
      <c r="DT3" s="51"/>
      <c r="DU3" s="51"/>
      <c r="DV3" s="51"/>
      <c r="DW3" s="51"/>
      <c r="DX3" s="51"/>
      <c r="DY3" s="51"/>
      <c r="DZ3" s="51"/>
      <c r="EA3" s="51"/>
      <c r="EB3" s="51"/>
      <c r="EC3" s="51"/>
      <c r="ED3" s="51"/>
      <c r="EE3" s="51"/>
      <c r="EF3" s="51"/>
      <c r="EG3" s="51"/>
      <c r="EH3" s="51"/>
      <c r="EI3" s="51"/>
      <c r="EJ3" s="51"/>
      <c r="EK3" s="51"/>
      <c r="EL3" s="51"/>
      <c r="EM3" s="51"/>
      <c r="EN3" s="51"/>
      <c r="EO3" s="51"/>
      <c r="EP3" s="51"/>
      <c r="EQ3" s="51"/>
      <c r="ER3" s="51"/>
      <c r="ES3" s="51"/>
      <c r="ET3" s="51"/>
      <c r="EU3" s="51"/>
      <c r="EV3" s="51"/>
      <c r="EW3" s="51"/>
      <c r="EX3" s="51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52" t="str">
        <f>IFERROR(__xludf.DUMMYFUNCTION("""COMPUTED_VALUE"""),"VerifyDbNavWindow")</f>
        <v>VerifyDbNavWindow</v>
      </c>
      <c r="Q4" s="52" t="str">
        <f>IFERROR(__xludf.DUMMYFUNCTION("""COMPUTED_VALUE"""),"VerifyGlobalDivisorWindow")</f>
        <v>VerifyGlobalDivisorWindow</v>
      </c>
      <c r="R4" s="52" t="str">
        <f>IFERROR(__xludf.DUMMYFUNCTION("""COMPUTED_VALUE"""),"VerifyPmCalculationPreferenceWindow")</f>
        <v>VerifyPmCalculationPreferenceWindow</v>
      </c>
      <c r="S4" s="52" t="str">
        <f>IFERROR(__xludf.DUMMYFUNCTION("""COMPUTED_VALUE"""),"VerifyRowCalculationBaseWindow")</f>
        <v>VerifyRowCalculationBaseWindow</v>
      </c>
      <c r="T4" s="52" t="str">
        <f>IFERROR(__xludf.DUMMYFUNCTION("""COMPUTED_VALUE"""),"VerifySecurityWindow")</f>
        <v>VerifySecurityWindow</v>
      </c>
      <c r="U4" s="52" t="str">
        <f>IFERROR(__xludf.DUMMYFUNCTION("""COMPUTED_VALUE"""),"VerifySymbolDataWindow")</f>
        <v>VerifySymbolDataWindow</v>
      </c>
      <c r="V4" s="52" t="str">
        <f>IFERROR(__xludf.DUMMYFUNCTION("""COMPUTED_VALUE"""),"VerifySymbolDivisorWindow")</f>
        <v>VerifySymbolDivisorWindow</v>
      </c>
      <c r="W4" s="52" t="str">
        <f>IFERROR(__xludf.DUMMYFUNCTION("""COMPUTED_VALUE"""),"VerifyTaxlotWindow")</f>
        <v>VerifyTaxlotWindow</v>
      </c>
      <c r="X4" s="52" t="str">
        <f>IFERROR(__xludf.DUMMYFUNCTION("""COMPUTED_VALUE"""),"RestartEsper")</f>
        <v>RestartEsper</v>
      </c>
      <c r="Y4" s="52" t="str">
        <f>IFERROR(__xludf.DUMMYFUNCTION("""COMPUTED_VALUE"""),"VerifyAccountNavPreferenceWindow")</f>
        <v>VerifyAccountNavPreferenceWindow</v>
      </c>
      <c r="Z4" s="52" t="str">
        <f>IFERROR(__xludf.DUMMYFUNCTION("""COMPUTED_VALUE"""),"VerifyAggregationAccountUnderlyingSymbolWithNav")</f>
        <v>VerifyAggregationAccountUnderlyingSymbolWithNav</v>
      </c>
      <c r="AA4" s="52" t="str">
        <f>IFERROR(__xludf.DUMMYFUNCTION("""COMPUTED_VALUE"""),"VerifyAggregationAssetWithNav")</f>
        <v>VerifyAggregationAssetWithNav</v>
      </c>
      <c r="AB4" s="52" t="str">
        <f>IFERROR(__xludf.DUMMYFUNCTION("""COMPUTED_VALUE"""),"VerifyAggregationSymbolWithNav")</f>
        <v>VerifyAggregationSymbolWithNav</v>
      </c>
      <c r="AC4" s="52" t="str">
        <f>IFERROR(__xludf.DUMMYFUNCTION("""COMPUTED_VALUE"""),"VerifyAggregationSubSectorWithNav")</f>
        <v>VerifyAggregationSubSectorWithNav</v>
      </c>
      <c r="AD4" s="52" t="str">
        <f>IFERROR(__xludf.DUMMYFUNCTION("""COMPUTED_VALUE"""),"VerifyAggregationGlobalWithNav")</f>
        <v>VerifyAggregationGlobalWithNav</v>
      </c>
      <c r="AE4" s="52" t="str">
        <f>IFERROR(__xludf.DUMMYFUNCTION("""COMPUTED_VALUE"""),"VerifyAggregationGlobalWithNav")</f>
        <v>VerifyAggregationGlobalWithNav</v>
      </c>
      <c r="AF4" s="52" t="str">
        <f>IFERROR(__xludf.DUMMYFUNCTION("""COMPUTED_VALUE"""),"VerifyGlobalDivisorWindow")</f>
        <v>VerifyGlobalDivisorWindow</v>
      </c>
      <c r="AG4" s="52" t="str">
        <f>IFERROR(__xludf.DUMMYFUNCTION("""COMPUTED_VALUE"""),"VerifyAccrualForAccountWindow")</f>
        <v>VerifyAccrualForAccountWindow</v>
      </c>
      <c r="AH4" s="52" t="str">
        <f>IFERROR(__xludf.DUMMYFUNCTION("""COMPUTED_VALUE"""),"VerifyGlobalDivisorWindow")</f>
        <v>VerifyGlobalDivisorWindow</v>
      </c>
      <c r="AI4" s="52" t="str">
        <f>IFERROR(__xludf.DUMMYFUNCTION("""COMPUTED_VALUE"""),"VerifyMasterFundDivisorWindow")</f>
        <v>VerifyMasterFundDivisorWindow</v>
      </c>
      <c r="AJ4" s="52" t="str">
        <f>IFERROR(__xludf.DUMMYFUNCTION("""COMPUTED_VALUE"""),"VerifyMasterFundSymbolDivisorWindow")</f>
        <v>VerifyMasterFundSymbolDivisorWindow</v>
      </c>
      <c r="AK4" s="52" t="str">
        <f>IFERROR(__xludf.DUMMYFUNCTION("""COMPUTED_VALUE"""),"VerifyAggAccountSymbolWithNav")</f>
        <v>VerifyAggAccountSymbolWithNav</v>
      </c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53" t="str">
        <f>IFERROR(__xludf.DUMMYFUNCTION("""COMPUTED_VALUE"""),"isSwapped")</f>
        <v>isSwapped</v>
      </c>
      <c r="U5" s="53" t="str">
        <f>IFERROR(__xludf.DUMMYFUNCTION("""COMPUTED_VALUE"""),"benchMarkRate")</f>
        <v>benchMarkRate</v>
      </c>
      <c r="V5" s="53" t="str">
        <f>IFERROR(__xludf.DUMMYFUNCTION("""COMPUTED_VALUE"""),"differential")</f>
        <v>differential</v>
      </c>
      <c r="W5" s="53" t="str">
        <f>IFERROR(__xludf.DUMMYFUNCTION("""COMPUTED_VALUE"""),"swapNotional")</f>
        <v>swapNotional</v>
      </c>
      <c r="X5" s="53" t="str">
        <f>IFERROR(__xludf.DUMMYFUNCTION("""COMPUTED_VALUE"""),"dayCount")</f>
        <v>dayCount</v>
      </c>
      <c r="Y5" s="53" t="str">
        <f>IFERROR(__xludf.DUMMYFUNCTION("""COMPUTED_VALUE"""),"avgFxRateForTrade")</f>
        <v>avgFxRateForTrade</v>
      </c>
      <c r="Z5" s="53" t="str">
        <f>IFERROR(__xludf.DUMMYFUNCTION("""COMPUTED_VALUE"""),"conversionMethodOperator")</f>
        <v>conversionMethodOperator</v>
      </c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</row>
    <row r="6" ht="15.75" customHeight="1">
      <c r="A6" s="54"/>
      <c r="B6" s="55"/>
      <c r="C6" s="56" t="s">
        <v>21</v>
      </c>
      <c r="D6" s="55"/>
      <c r="E6" s="56"/>
      <c r="F6" s="56" t="s">
        <v>40</v>
      </c>
      <c r="G6" s="56"/>
      <c r="H6" s="56" t="s">
        <v>21</v>
      </c>
      <c r="I6" s="44">
        <v>35.0</v>
      </c>
      <c r="J6" s="38">
        <v>10.0</v>
      </c>
      <c r="K6" s="56"/>
      <c r="L6" s="56"/>
      <c r="M6" s="56"/>
      <c r="N6" s="56"/>
      <c r="O6" s="56"/>
      <c r="P6" s="56"/>
      <c r="Q6" s="56"/>
      <c r="R6" s="56"/>
      <c r="S6" s="56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  <c r="DZ6" s="57"/>
      <c r="EA6" s="57"/>
      <c r="EB6" s="57"/>
      <c r="EC6" s="57"/>
      <c r="ED6" s="57"/>
      <c r="EE6" s="57"/>
      <c r="EF6" s="57"/>
      <c r="EG6" s="57"/>
      <c r="EH6" s="57"/>
      <c r="EI6" s="57"/>
      <c r="EJ6" s="57"/>
      <c r="EK6" s="57"/>
      <c r="EL6" s="57"/>
      <c r="EM6" s="57"/>
      <c r="EN6" s="57"/>
      <c r="EO6" s="57"/>
      <c r="EP6" s="57"/>
      <c r="EQ6" s="57"/>
      <c r="ER6" s="57"/>
      <c r="ES6" s="57"/>
      <c r="ET6" s="57"/>
      <c r="EU6" s="57"/>
      <c r="EV6" s="57"/>
      <c r="EW6" s="57"/>
      <c r="EX6" s="57"/>
    </row>
    <row r="7" ht="15.75" customHeight="1">
      <c r="A7" s="56"/>
      <c r="B7" s="56"/>
      <c r="C7" s="56" t="s">
        <v>21</v>
      </c>
      <c r="D7" s="56"/>
      <c r="E7" s="56"/>
      <c r="F7" s="56" t="s">
        <v>40</v>
      </c>
      <c r="G7" s="56"/>
      <c r="H7" s="56" t="s">
        <v>21</v>
      </c>
      <c r="I7" s="44">
        <v>35.0</v>
      </c>
      <c r="J7" s="38">
        <v>10.0</v>
      </c>
      <c r="K7" s="56"/>
      <c r="L7" s="56"/>
      <c r="M7" s="56"/>
      <c r="N7" s="56"/>
      <c r="O7" s="56"/>
      <c r="P7" s="56"/>
      <c r="Q7" s="56"/>
      <c r="R7" s="56"/>
      <c r="S7" s="56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7"/>
      <c r="DR7" s="57"/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7"/>
      <c r="ED7" s="57"/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7"/>
      <c r="EP7" s="57"/>
      <c r="EQ7" s="57"/>
      <c r="ER7" s="57"/>
      <c r="ES7" s="57"/>
      <c r="ET7" s="57"/>
      <c r="EU7" s="57"/>
      <c r="EV7" s="57"/>
      <c r="EW7" s="57"/>
      <c r="EX7" s="57"/>
    </row>
    <row r="8" ht="15.75" customHeight="1">
      <c r="A8" s="57"/>
      <c r="B8" s="57"/>
      <c r="C8" s="57" t="s">
        <v>21</v>
      </c>
      <c r="D8" s="57"/>
      <c r="E8" s="57"/>
      <c r="F8" s="57" t="s">
        <v>41</v>
      </c>
      <c r="G8" s="57"/>
      <c r="H8" s="57" t="s">
        <v>21</v>
      </c>
      <c r="I8" s="58">
        <v>15.0</v>
      </c>
      <c r="J8" s="58">
        <v>10.0</v>
      </c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7"/>
      <c r="CU8" s="57"/>
      <c r="CV8" s="57"/>
      <c r="CW8" s="57"/>
      <c r="CX8" s="57"/>
      <c r="CY8" s="57"/>
      <c r="CZ8" s="57"/>
      <c r="DA8" s="57"/>
      <c r="DB8" s="57"/>
      <c r="DC8" s="57"/>
      <c r="DD8" s="57"/>
      <c r="DE8" s="57"/>
      <c r="DF8" s="57"/>
      <c r="DG8" s="57"/>
      <c r="DH8" s="57"/>
      <c r="DI8" s="57"/>
      <c r="DJ8" s="57"/>
      <c r="DK8" s="57"/>
      <c r="DL8" s="57"/>
      <c r="DM8" s="57"/>
      <c r="DN8" s="57"/>
      <c r="DO8" s="57"/>
      <c r="DP8" s="57"/>
      <c r="DQ8" s="57"/>
      <c r="DR8" s="57"/>
      <c r="DS8" s="57"/>
      <c r="DT8" s="57"/>
      <c r="DU8" s="57"/>
      <c r="DV8" s="57"/>
      <c r="DW8" s="57"/>
      <c r="DX8" s="57"/>
      <c r="DY8" s="57"/>
      <c r="DZ8" s="57"/>
      <c r="EA8" s="57"/>
      <c r="EB8" s="57"/>
      <c r="EC8" s="57"/>
      <c r="ED8" s="57"/>
      <c r="EE8" s="57"/>
      <c r="EF8" s="57"/>
      <c r="EG8" s="57"/>
      <c r="EH8" s="57"/>
      <c r="EI8" s="57"/>
      <c r="EJ8" s="57"/>
      <c r="EK8" s="57"/>
      <c r="EL8" s="57"/>
      <c r="EM8" s="57"/>
      <c r="EN8" s="57"/>
      <c r="EO8" s="57"/>
      <c r="EP8" s="57"/>
      <c r="EQ8" s="57"/>
      <c r="ER8" s="57"/>
      <c r="ES8" s="57"/>
      <c r="ET8" s="57"/>
      <c r="EU8" s="57"/>
      <c r="EV8" s="57"/>
      <c r="EW8" s="57"/>
      <c r="EX8" s="57"/>
    </row>
    <row r="9" ht="15.75" customHeight="1">
      <c r="A9" s="57"/>
      <c r="B9" s="57"/>
      <c r="C9" s="57" t="s">
        <v>21</v>
      </c>
      <c r="D9" s="57"/>
      <c r="E9" s="57"/>
      <c r="F9" s="57" t="s">
        <v>41</v>
      </c>
      <c r="G9" s="57"/>
      <c r="H9" s="57" t="s">
        <v>21</v>
      </c>
      <c r="I9" s="58">
        <v>15.0</v>
      </c>
      <c r="J9" s="58">
        <v>10.0</v>
      </c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  <c r="DB9" s="57"/>
      <c r="DC9" s="57"/>
      <c r="DD9" s="57"/>
      <c r="DE9" s="57"/>
      <c r="DF9" s="57"/>
      <c r="DG9" s="57"/>
      <c r="DH9" s="57"/>
      <c r="DI9" s="57"/>
      <c r="DJ9" s="57"/>
      <c r="DK9" s="57"/>
      <c r="DL9" s="57"/>
      <c r="DM9" s="57"/>
      <c r="DN9" s="57"/>
      <c r="DO9" s="57"/>
      <c r="DP9" s="57"/>
      <c r="DQ9" s="57"/>
      <c r="DR9" s="57"/>
      <c r="DS9" s="57"/>
      <c r="DT9" s="57"/>
      <c r="DU9" s="57"/>
      <c r="DV9" s="57"/>
      <c r="DW9" s="57"/>
      <c r="DX9" s="57"/>
      <c r="DY9" s="57"/>
      <c r="DZ9" s="57"/>
      <c r="EA9" s="57"/>
      <c r="EB9" s="57"/>
      <c r="EC9" s="57"/>
      <c r="ED9" s="57"/>
      <c r="EE9" s="57"/>
      <c r="EF9" s="57"/>
      <c r="EG9" s="57"/>
      <c r="EH9" s="57"/>
      <c r="EI9" s="57"/>
      <c r="EJ9" s="57"/>
      <c r="EK9" s="57"/>
      <c r="EL9" s="57"/>
      <c r="EM9" s="57"/>
      <c r="EN9" s="57"/>
      <c r="EO9" s="57"/>
      <c r="EP9" s="57"/>
      <c r="EQ9" s="57"/>
      <c r="ER9" s="57"/>
      <c r="ES9" s="57"/>
      <c r="ET9" s="57"/>
      <c r="EU9" s="57"/>
      <c r="EV9" s="57"/>
      <c r="EW9" s="57"/>
      <c r="EX9" s="5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</row>
    <row r="27" ht="15.7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</row>
    <row r="28" ht="15.75" customHeight="1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</row>
    <row r="29" ht="15.75" customHeight="1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</row>
    <row r="30" ht="15.75" customHeight="1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</row>
    <row r="31" ht="15.7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</row>
    <row r="32" ht="15.75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</row>
    <row r="33" ht="15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</row>
    <row r="34" ht="15.75" customHeight="1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</row>
    <row r="35" ht="15.7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</row>
    <row r="36" ht="15.75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</row>
    <row r="37" ht="15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</row>
    <row r="38" ht="15.7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</row>
    <row r="39" ht="15.7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</row>
    <row r="40" ht="15.7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</row>
    <row r="41" ht="15.7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</row>
    <row r="42" ht="15.7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</row>
    <row r="43" ht="15.75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</row>
    <row r="44" ht="15.7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</row>
    <row r="45" ht="15.7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/>
      <c r="DS45" s="50"/>
      <c r="DT45" s="50"/>
      <c r="DU45" s="50"/>
      <c r="DV45" s="50"/>
      <c r="DW45" s="50"/>
      <c r="DX45" s="50"/>
      <c r="DY45" s="50"/>
      <c r="DZ45" s="50"/>
      <c r="EA45" s="50"/>
      <c r="EB45" s="50"/>
      <c r="EC45" s="50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50"/>
      <c r="ER45" s="50"/>
      <c r="ES45" s="50"/>
      <c r="ET45" s="50"/>
      <c r="EU45" s="50"/>
      <c r="EV45" s="50"/>
      <c r="EW45" s="50"/>
      <c r="EX45" s="50"/>
    </row>
    <row r="46" ht="15.7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</row>
    <row r="47" ht="15.7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</row>
    <row r="48" ht="15.7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</row>
    <row r="49" ht="15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50"/>
      <c r="DT49" s="50"/>
      <c r="DU49" s="50"/>
      <c r="DV49" s="50"/>
      <c r="DW49" s="50"/>
      <c r="DX49" s="50"/>
      <c r="DY49" s="50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0"/>
      <c r="EW49" s="50"/>
      <c r="EX49" s="50"/>
    </row>
    <row r="50" ht="15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50"/>
      <c r="DC50" s="50"/>
      <c r="DD50" s="50"/>
      <c r="DE50" s="50"/>
      <c r="DF50" s="50"/>
      <c r="DG50" s="50"/>
      <c r="DH50" s="50"/>
      <c r="DI50" s="50"/>
      <c r="DJ50" s="50"/>
      <c r="DK50" s="50"/>
      <c r="DL50" s="50"/>
      <c r="DM50" s="50"/>
      <c r="DN50" s="50"/>
      <c r="DO50" s="50"/>
      <c r="DP50" s="50"/>
      <c r="DQ50" s="50"/>
      <c r="DR50" s="50"/>
      <c r="DS50" s="50"/>
      <c r="DT50" s="50"/>
      <c r="DU50" s="50"/>
      <c r="DV50" s="50"/>
      <c r="DW50" s="50"/>
      <c r="DX50" s="50"/>
      <c r="DY50" s="50"/>
      <c r="DZ50" s="50"/>
      <c r="EA50" s="50"/>
      <c r="EB50" s="50"/>
      <c r="EC50" s="50"/>
      <c r="ED50" s="50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  <c r="EP50" s="50"/>
      <c r="EQ50" s="50"/>
      <c r="ER50" s="50"/>
      <c r="ES50" s="50"/>
      <c r="ET50" s="50"/>
      <c r="EU50" s="50"/>
      <c r="EV50" s="50"/>
      <c r="EW50" s="50"/>
      <c r="EX50" s="50"/>
    </row>
    <row r="51" ht="15.7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0"/>
      <c r="DD51" s="50"/>
      <c r="DE51" s="50"/>
      <c r="DF51" s="50"/>
      <c r="DG51" s="50"/>
      <c r="DH51" s="50"/>
      <c r="DI51" s="50"/>
      <c r="DJ51" s="50"/>
      <c r="DK51" s="50"/>
      <c r="DL51" s="50"/>
      <c r="DM51" s="50"/>
      <c r="DN51" s="50"/>
      <c r="DO51" s="50"/>
      <c r="DP51" s="50"/>
      <c r="DQ51" s="50"/>
      <c r="DR51" s="50"/>
      <c r="DS51" s="50"/>
      <c r="DT51" s="50"/>
      <c r="DU51" s="50"/>
      <c r="DV51" s="50"/>
      <c r="DW51" s="50"/>
      <c r="DX51" s="50"/>
      <c r="DY51" s="50"/>
      <c r="DZ51" s="50"/>
      <c r="EA51" s="50"/>
      <c r="EB51" s="50"/>
      <c r="EC51" s="50"/>
      <c r="ED51" s="50"/>
      <c r="EE51" s="50"/>
      <c r="EF51" s="50"/>
      <c r="EG51" s="50"/>
      <c r="EH51" s="50"/>
      <c r="EI51" s="50"/>
      <c r="EJ51" s="50"/>
      <c r="EK51" s="50"/>
      <c r="EL51" s="50"/>
      <c r="EM51" s="50"/>
      <c r="EN51" s="50"/>
      <c r="EO51" s="50"/>
      <c r="EP51" s="50"/>
      <c r="EQ51" s="50"/>
      <c r="ER51" s="50"/>
      <c r="ES51" s="50"/>
      <c r="ET51" s="50"/>
      <c r="EU51" s="50"/>
      <c r="EV51" s="50"/>
      <c r="EW51" s="50"/>
      <c r="EX51" s="50"/>
    </row>
    <row r="52" ht="15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50"/>
      <c r="DC52" s="50"/>
      <c r="DD52" s="50"/>
      <c r="DE52" s="50"/>
      <c r="DF52" s="50"/>
      <c r="DG52" s="50"/>
      <c r="DH52" s="50"/>
      <c r="DI52" s="50"/>
      <c r="DJ52" s="50"/>
      <c r="DK52" s="50"/>
      <c r="DL52" s="50"/>
      <c r="DM52" s="50"/>
      <c r="DN52" s="50"/>
      <c r="DO52" s="50"/>
      <c r="DP52" s="50"/>
      <c r="DQ52" s="50"/>
      <c r="DR52" s="50"/>
      <c r="DS52" s="50"/>
      <c r="DT52" s="50"/>
      <c r="DU52" s="50"/>
      <c r="DV52" s="50"/>
      <c r="DW52" s="50"/>
      <c r="DX52" s="50"/>
      <c r="DY52" s="50"/>
      <c r="DZ52" s="50"/>
      <c r="EA52" s="50"/>
      <c r="EB52" s="50"/>
      <c r="EC52" s="50"/>
      <c r="ED52" s="50"/>
      <c r="EE52" s="50"/>
      <c r="EF52" s="50"/>
      <c r="EG52" s="50"/>
      <c r="EH52" s="50"/>
      <c r="EI52" s="50"/>
      <c r="EJ52" s="50"/>
      <c r="EK52" s="50"/>
      <c r="EL52" s="50"/>
      <c r="EM52" s="50"/>
      <c r="EN52" s="50"/>
      <c r="EO52" s="50"/>
      <c r="EP52" s="50"/>
      <c r="EQ52" s="50"/>
      <c r="ER52" s="50"/>
      <c r="ES52" s="50"/>
      <c r="ET52" s="50"/>
      <c r="EU52" s="50"/>
      <c r="EV52" s="50"/>
      <c r="EW52" s="50"/>
      <c r="EX52" s="50"/>
    </row>
    <row r="53" ht="15.7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  <c r="CP53" s="50"/>
      <c r="CQ53" s="50"/>
      <c r="CR53" s="50"/>
      <c r="CS53" s="50"/>
      <c r="CT53" s="50"/>
      <c r="CU53" s="50"/>
      <c r="CV53" s="50"/>
      <c r="CW53" s="50"/>
      <c r="CX53" s="50"/>
      <c r="CY53" s="50"/>
      <c r="CZ53" s="50"/>
      <c r="DA53" s="50"/>
      <c r="DB53" s="50"/>
      <c r="DC53" s="50"/>
      <c r="DD53" s="50"/>
      <c r="DE53" s="50"/>
      <c r="DF53" s="50"/>
      <c r="DG53" s="50"/>
      <c r="DH53" s="50"/>
      <c r="DI53" s="50"/>
      <c r="DJ53" s="50"/>
      <c r="DK53" s="50"/>
      <c r="DL53" s="50"/>
      <c r="DM53" s="50"/>
      <c r="DN53" s="50"/>
      <c r="DO53" s="50"/>
      <c r="DP53" s="50"/>
      <c r="DQ53" s="50"/>
      <c r="DR53" s="50"/>
      <c r="DS53" s="50"/>
      <c r="DT53" s="50"/>
      <c r="DU53" s="50"/>
      <c r="DV53" s="50"/>
      <c r="DW53" s="50"/>
      <c r="DX53" s="50"/>
      <c r="DY53" s="50"/>
      <c r="DZ53" s="50"/>
      <c r="EA53" s="50"/>
      <c r="EB53" s="50"/>
      <c r="EC53" s="50"/>
      <c r="ED53" s="50"/>
      <c r="EE53" s="50"/>
      <c r="EF53" s="50"/>
      <c r="EG53" s="50"/>
      <c r="EH53" s="50"/>
      <c r="EI53" s="50"/>
      <c r="EJ53" s="50"/>
      <c r="EK53" s="50"/>
      <c r="EL53" s="50"/>
      <c r="EM53" s="50"/>
      <c r="EN53" s="50"/>
      <c r="EO53" s="50"/>
      <c r="EP53" s="50"/>
      <c r="EQ53" s="50"/>
      <c r="ER53" s="50"/>
      <c r="ES53" s="50"/>
      <c r="ET53" s="50"/>
      <c r="EU53" s="50"/>
      <c r="EV53" s="50"/>
      <c r="EW53" s="50"/>
      <c r="EX53" s="50"/>
    </row>
    <row r="54" ht="15.7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/>
      <c r="CZ54" s="50"/>
      <c r="DA54" s="50"/>
      <c r="DB54" s="50"/>
      <c r="DC54" s="50"/>
      <c r="DD54" s="50"/>
      <c r="DE54" s="50"/>
      <c r="DF54" s="50"/>
      <c r="DG54" s="50"/>
      <c r="DH54" s="50"/>
      <c r="DI54" s="50"/>
      <c r="DJ54" s="50"/>
      <c r="DK54" s="50"/>
      <c r="DL54" s="50"/>
      <c r="DM54" s="50"/>
      <c r="DN54" s="50"/>
      <c r="DO54" s="50"/>
      <c r="DP54" s="50"/>
      <c r="DQ54" s="50"/>
      <c r="DR54" s="50"/>
      <c r="DS54" s="50"/>
      <c r="DT54" s="50"/>
      <c r="DU54" s="50"/>
      <c r="DV54" s="50"/>
      <c r="DW54" s="50"/>
      <c r="DX54" s="50"/>
      <c r="DY54" s="50"/>
      <c r="DZ54" s="50"/>
      <c r="EA54" s="50"/>
      <c r="EB54" s="50"/>
      <c r="EC54" s="50"/>
      <c r="ED54" s="50"/>
      <c r="EE54" s="50"/>
      <c r="EF54" s="50"/>
      <c r="EG54" s="50"/>
      <c r="EH54" s="50"/>
      <c r="EI54" s="50"/>
      <c r="EJ54" s="50"/>
      <c r="EK54" s="50"/>
      <c r="EL54" s="50"/>
      <c r="EM54" s="50"/>
      <c r="EN54" s="50"/>
      <c r="EO54" s="50"/>
      <c r="EP54" s="50"/>
      <c r="EQ54" s="50"/>
      <c r="ER54" s="50"/>
      <c r="ES54" s="50"/>
      <c r="ET54" s="50"/>
      <c r="EU54" s="50"/>
      <c r="EV54" s="50"/>
      <c r="EW54" s="50"/>
      <c r="EX54" s="50"/>
    </row>
    <row r="55" ht="15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0"/>
      <c r="CP55" s="50"/>
      <c r="CQ55" s="50"/>
      <c r="CR55" s="50"/>
      <c r="CS55" s="50"/>
      <c r="CT55" s="50"/>
      <c r="CU55" s="50"/>
      <c r="CV55" s="50"/>
      <c r="CW55" s="50"/>
      <c r="CX55" s="50"/>
      <c r="CY55" s="50"/>
      <c r="CZ55" s="50"/>
      <c r="DA55" s="50"/>
      <c r="DB55" s="50"/>
      <c r="DC55" s="50"/>
      <c r="DD55" s="50"/>
      <c r="DE55" s="50"/>
      <c r="DF55" s="50"/>
      <c r="DG55" s="50"/>
      <c r="DH55" s="50"/>
      <c r="DI55" s="50"/>
      <c r="DJ55" s="50"/>
      <c r="DK55" s="50"/>
      <c r="DL55" s="50"/>
      <c r="DM55" s="50"/>
      <c r="DN55" s="50"/>
      <c r="DO55" s="50"/>
      <c r="DP55" s="50"/>
      <c r="DQ55" s="50"/>
      <c r="DR55" s="50"/>
      <c r="DS55" s="50"/>
      <c r="DT55" s="50"/>
      <c r="DU55" s="50"/>
      <c r="DV55" s="50"/>
      <c r="DW55" s="50"/>
      <c r="DX55" s="50"/>
      <c r="DY55" s="50"/>
      <c r="DZ55" s="50"/>
      <c r="EA55" s="50"/>
      <c r="EB55" s="50"/>
      <c r="EC55" s="50"/>
      <c r="ED55" s="50"/>
      <c r="EE55" s="50"/>
      <c r="EF55" s="50"/>
      <c r="EG55" s="50"/>
      <c r="EH55" s="50"/>
      <c r="EI55" s="50"/>
      <c r="EJ55" s="50"/>
      <c r="EK55" s="50"/>
      <c r="EL55" s="50"/>
      <c r="EM55" s="50"/>
      <c r="EN55" s="50"/>
      <c r="EO55" s="50"/>
      <c r="EP55" s="50"/>
      <c r="EQ55" s="50"/>
      <c r="ER55" s="50"/>
      <c r="ES55" s="50"/>
      <c r="ET55" s="50"/>
      <c r="EU55" s="50"/>
      <c r="EV55" s="50"/>
      <c r="EW55" s="50"/>
      <c r="EX55" s="50"/>
    </row>
    <row r="56" ht="15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  <c r="CP56" s="50"/>
      <c r="CQ56" s="50"/>
      <c r="CR56" s="50"/>
      <c r="CS56" s="50"/>
      <c r="CT56" s="50"/>
      <c r="CU56" s="50"/>
      <c r="CV56" s="50"/>
      <c r="CW56" s="50"/>
      <c r="CX56" s="50"/>
      <c r="CY56" s="50"/>
      <c r="CZ56" s="50"/>
      <c r="DA56" s="50"/>
      <c r="DB56" s="50"/>
      <c r="DC56" s="50"/>
      <c r="DD56" s="50"/>
      <c r="DE56" s="50"/>
      <c r="DF56" s="50"/>
      <c r="DG56" s="50"/>
      <c r="DH56" s="50"/>
      <c r="DI56" s="50"/>
      <c r="DJ56" s="50"/>
      <c r="DK56" s="50"/>
      <c r="DL56" s="50"/>
      <c r="DM56" s="50"/>
      <c r="DN56" s="50"/>
      <c r="DO56" s="50"/>
      <c r="DP56" s="50"/>
      <c r="DQ56" s="50"/>
      <c r="DR56" s="50"/>
      <c r="DS56" s="50"/>
      <c r="DT56" s="50"/>
      <c r="DU56" s="50"/>
      <c r="DV56" s="50"/>
      <c r="DW56" s="50"/>
      <c r="DX56" s="50"/>
      <c r="DY56" s="50"/>
      <c r="DZ56" s="50"/>
      <c r="EA56" s="50"/>
      <c r="EB56" s="50"/>
      <c r="EC56" s="50"/>
      <c r="ED56" s="50"/>
      <c r="EE56" s="50"/>
      <c r="EF56" s="50"/>
      <c r="EG56" s="50"/>
      <c r="EH56" s="50"/>
      <c r="EI56" s="50"/>
      <c r="EJ56" s="50"/>
      <c r="EK56" s="50"/>
      <c r="EL56" s="50"/>
      <c r="EM56" s="50"/>
      <c r="EN56" s="50"/>
      <c r="EO56" s="50"/>
      <c r="EP56" s="50"/>
      <c r="EQ56" s="50"/>
      <c r="ER56" s="50"/>
      <c r="ES56" s="50"/>
      <c r="ET56" s="50"/>
      <c r="EU56" s="50"/>
      <c r="EV56" s="50"/>
      <c r="EW56" s="50"/>
      <c r="EX56" s="50"/>
    </row>
    <row r="57" ht="15.7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  <c r="CB57" s="50"/>
      <c r="CC57" s="50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0"/>
      <c r="CO57" s="50"/>
      <c r="CP57" s="50"/>
      <c r="CQ57" s="50"/>
      <c r="CR57" s="50"/>
      <c r="CS57" s="50"/>
      <c r="CT57" s="50"/>
      <c r="CU57" s="50"/>
      <c r="CV57" s="50"/>
      <c r="CW57" s="50"/>
      <c r="CX57" s="50"/>
      <c r="CY57" s="50"/>
      <c r="CZ57" s="50"/>
      <c r="DA57" s="50"/>
      <c r="DB57" s="50"/>
      <c r="DC57" s="50"/>
      <c r="DD57" s="50"/>
      <c r="DE57" s="50"/>
      <c r="DF57" s="50"/>
      <c r="DG57" s="50"/>
      <c r="DH57" s="50"/>
      <c r="DI57" s="50"/>
      <c r="DJ57" s="50"/>
      <c r="DK57" s="50"/>
      <c r="DL57" s="50"/>
      <c r="DM57" s="50"/>
      <c r="DN57" s="50"/>
      <c r="DO57" s="50"/>
      <c r="DP57" s="50"/>
      <c r="DQ57" s="50"/>
      <c r="DR57" s="50"/>
      <c r="DS57" s="50"/>
      <c r="DT57" s="50"/>
      <c r="DU57" s="50"/>
      <c r="DV57" s="50"/>
      <c r="DW57" s="50"/>
      <c r="DX57" s="50"/>
      <c r="DY57" s="50"/>
      <c r="DZ57" s="50"/>
      <c r="EA57" s="50"/>
      <c r="EB57" s="50"/>
      <c r="EC57" s="50"/>
      <c r="ED57" s="50"/>
      <c r="EE57" s="50"/>
      <c r="EF57" s="50"/>
      <c r="EG57" s="50"/>
      <c r="EH57" s="50"/>
      <c r="EI57" s="50"/>
      <c r="EJ57" s="50"/>
      <c r="EK57" s="50"/>
      <c r="EL57" s="50"/>
      <c r="EM57" s="50"/>
      <c r="EN57" s="50"/>
      <c r="EO57" s="50"/>
      <c r="EP57" s="50"/>
      <c r="EQ57" s="50"/>
      <c r="ER57" s="50"/>
      <c r="ES57" s="50"/>
      <c r="ET57" s="50"/>
      <c r="EU57" s="50"/>
      <c r="EV57" s="50"/>
      <c r="EW57" s="50"/>
      <c r="EX57" s="50"/>
    </row>
    <row r="58" ht="15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  <c r="CQ58" s="50"/>
      <c r="CR58" s="50"/>
      <c r="CS58" s="50"/>
      <c r="CT58" s="50"/>
      <c r="CU58" s="50"/>
      <c r="CV58" s="50"/>
      <c r="CW58" s="50"/>
      <c r="CX58" s="50"/>
      <c r="CY58" s="50"/>
      <c r="CZ58" s="50"/>
      <c r="DA58" s="50"/>
      <c r="DB58" s="50"/>
      <c r="DC58" s="50"/>
      <c r="DD58" s="50"/>
      <c r="DE58" s="50"/>
      <c r="DF58" s="50"/>
      <c r="DG58" s="50"/>
      <c r="DH58" s="50"/>
      <c r="DI58" s="50"/>
      <c r="DJ58" s="50"/>
      <c r="DK58" s="50"/>
      <c r="DL58" s="50"/>
      <c r="DM58" s="50"/>
      <c r="DN58" s="50"/>
      <c r="DO58" s="50"/>
      <c r="DP58" s="50"/>
      <c r="DQ58" s="50"/>
      <c r="DR58" s="50"/>
      <c r="DS58" s="50"/>
      <c r="DT58" s="50"/>
      <c r="DU58" s="50"/>
      <c r="DV58" s="50"/>
      <c r="DW58" s="50"/>
      <c r="DX58" s="50"/>
      <c r="DY58" s="50"/>
      <c r="DZ58" s="50"/>
      <c r="EA58" s="50"/>
      <c r="EB58" s="50"/>
      <c r="EC58" s="50"/>
      <c r="ED58" s="50"/>
      <c r="EE58" s="50"/>
      <c r="EF58" s="50"/>
      <c r="EG58" s="50"/>
      <c r="EH58" s="50"/>
      <c r="EI58" s="50"/>
      <c r="EJ58" s="50"/>
      <c r="EK58" s="50"/>
      <c r="EL58" s="50"/>
      <c r="EM58" s="50"/>
      <c r="EN58" s="50"/>
      <c r="EO58" s="50"/>
      <c r="EP58" s="50"/>
      <c r="EQ58" s="50"/>
      <c r="ER58" s="50"/>
      <c r="ES58" s="50"/>
      <c r="ET58" s="50"/>
      <c r="EU58" s="50"/>
      <c r="EV58" s="50"/>
      <c r="EW58" s="50"/>
      <c r="EX58" s="50"/>
    </row>
    <row r="59" ht="15.7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  <c r="CP59" s="50"/>
      <c r="CQ59" s="50"/>
      <c r="CR59" s="50"/>
      <c r="CS59" s="50"/>
      <c r="CT59" s="50"/>
      <c r="CU59" s="50"/>
      <c r="CV59" s="50"/>
      <c r="CW59" s="50"/>
      <c r="CX59" s="50"/>
      <c r="CY59" s="50"/>
      <c r="CZ59" s="50"/>
      <c r="DA59" s="50"/>
      <c r="DB59" s="50"/>
      <c r="DC59" s="50"/>
      <c r="DD59" s="50"/>
      <c r="DE59" s="50"/>
      <c r="DF59" s="50"/>
      <c r="DG59" s="50"/>
      <c r="DH59" s="50"/>
      <c r="DI59" s="50"/>
      <c r="DJ59" s="50"/>
      <c r="DK59" s="50"/>
      <c r="DL59" s="50"/>
      <c r="DM59" s="50"/>
      <c r="DN59" s="50"/>
      <c r="DO59" s="50"/>
      <c r="DP59" s="50"/>
      <c r="DQ59" s="50"/>
      <c r="DR59" s="50"/>
      <c r="DS59" s="50"/>
      <c r="DT59" s="50"/>
      <c r="DU59" s="50"/>
      <c r="DV59" s="50"/>
      <c r="DW59" s="50"/>
      <c r="DX59" s="50"/>
      <c r="DY59" s="50"/>
      <c r="DZ59" s="50"/>
      <c r="EA59" s="50"/>
      <c r="EB59" s="50"/>
      <c r="EC59" s="50"/>
      <c r="ED59" s="50"/>
      <c r="EE59" s="50"/>
      <c r="EF59" s="50"/>
      <c r="EG59" s="50"/>
      <c r="EH59" s="50"/>
      <c r="EI59" s="50"/>
      <c r="EJ59" s="50"/>
      <c r="EK59" s="50"/>
      <c r="EL59" s="50"/>
      <c r="EM59" s="50"/>
      <c r="EN59" s="50"/>
      <c r="EO59" s="50"/>
      <c r="EP59" s="50"/>
      <c r="EQ59" s="50"/>
      <c r="ER59" s="50"/>
      <c r="ES59" s="50"/>
      <c r="ET59" s="50"/>
      <c r="EU59" s="50"/>
      <c r="EV59" s="50"/>
      <c r="EW59" s="50"/>
      <c r="EX59" s="50"/>
    </row>
    <row r="60" ht="15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50"/>
      <c r="CY60" s="50"/>
      <c r="CZ60" s="50"/>
      <c r="DA60" s="50"/>
      <c r="DB60" s="50"/>
      <c r="DC60" s="50"/>
      <c r="DD60" s="50"/>
      <c r="DE60" s="50"/>
      <c r="DF60" s="50"/>
      <c r="DG60" s="50"/>
      <c r="DH60" s="50"/>
      <c r="DI60" s="50"/>
      <c r="DJ60" s="50"/>
      <c r="DK60" s="50"/>
      <c r="DL60" s="50"/>
      <c r="DM60" s="50"/>
      <c r="DN60" s="50"/>
      <c r="DO60" s="50"/>
      <c r="DP60" s="50"/>
      <c r="DQ60" s="50"/>
      <c r="DR60" s="50"/>
      <c r="DS60" s="50"/>
      <c r="DT60" s="50"/>
      <c r="DU60" s="50"/>
      <c r="DV60" s="50"/>
      <c r="DW60" s="50"/>
      <c r="DX60" s="50"/>
      <c r="DY60" s="50"/>
      <c r="DZ60" s="50"/>
      <c r="EA60" s="50"/>
      <c r="EB60" s="50"/>
      <c r="EC60" s="50"/>
      <c r="ED60" s="50"/>
      <c r="EE60" s="50"/>
      <c r="EF60" s="50"/>
      <c r="EG60" s="50"/>
      <c r="EH60" s="50"/>
      <c r="EI60" s="50"/>
      <c r="EJ60" s="50"/>
      <c r="EK60" s="50"/>
      <c r="EL60" s="50"/>
      <c r="EM60" s="50"/>
      <c r="EN60" s="50"/>
      <c r="EO60" s="50"/>
      <c r="EP60" s="50"/>
      <c r="EQ60" s="50"/>
      <c r="ER60" s="50"/>
      <c r="ES60" s="50"/>
      <c r="ET60" s="50"/>
      <c r="EU60" s="50"/>
      <c r="EV60" s="50"/>
      <c r="EW60" s="50"/>
      <c r="EX60" s="50"/>
    </row>
    <row r="61" ht="15.7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/>
      <c r="CY61" s="50"/>
      <c r="CZ61" s="50"/>
      <c r="DA61" s="50"/>
      <c r="DB61" s="50"/>
      <c r="DC61" s="50"/>
      <c r="DD61" s="50"/>
      <c r="DE61" s="50"/>
      <c r="DF61" s="50"/>
      <c r="DG61" s="50"/>
      <c r="DH61" s="50"/>
      <c r="DI61" s="50"/>
      <c r="DJ61" s="50"/>
      <c r="DK61" s="50"/>
      <c r="DL61" s="50"/>
      <c r="DM61" s="50"/>
      <c r="DN61" s="50"/>
      <c r="DO61" s="50"/>
      <c r="DP61" s="50"/>
      <c r="DQ61" s="50"/>
      <c r="DR61" s="50"/>
      <c r="DS61" s="50"/>
      <c r="DT61" s="50"/>
      <c r="DU61" s="50"/>
      <c r="DV61" s="50"/>
      <c r="DW61" s="50"/>
      <c r="DX61" s="50"/>
      <c r="DY61" s="50"/>
      <c r="DZ61" s="50"/>
      <c r="EA61" s="50"/>
      <c r="EB61" s="50"/>
      <c r="EC61" s="50"/>
      <c r="ED61" s="50"/>
      <c r="EE61" s="50"/>
      <c r="EF61" s="50"/>
      <c r="EG61" s="50"/>
      <c r="EH61" s="50"/>
      <c r="EI61" s="50"/>
      <c r="EJ61" s="50"/>
      <c r="EK61" s="50"/>
      <c r="EL61" s="50"/>
      <c r="EM61" s="50"/>
      <c r="EN61" s="50"/>
      <c r="EO61" s="50"/>
      <c r="EP61" s="50"/>
      <c r="EQ61" s="50"/>
      <c r="ER61" s="50"/>
      <c r="ES61" s="50"/>
      <c r="ET61" s="50"/>
      <c r="EU61" s="50"/>
      <c r="EV61" s="50"/>
      <c r="EW61" s="50"/>
      <c r="EX61" s="50"/>
    </row>
    <row r="62" ht="15.7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0"/>
      <c r="CS62" s="50"/>
      <c r="CT62" s="50"/>
      <c r="CU62" s="50"/>
      <c r="CV62" s="50"/>
      <c r="CW62" s="50"/>
      <c r="CX62" s="50"/>
      <c r="CY62" s="50"/>
      <c r="CZ62" s="50"/>
      <c r="DA62" s="50"/>
      <c r="DB62" s="50"/>
      <c r="DC62" s="50"/>
      <c r="DD62" s="50"/>
      <c r="DE62" s="50"/>
      <c r="DF62" s="50"/>
      <c r="DG62" s="50"/>
      <c r="DH62" s="50"/>
      <c r="DI62" s="50"/>
      <c r="DJ62" s="50"/>
      <c r="DK62" s="50"/>
      <c r="DL62" s="50"/>
      <c r="DM62" s="50"/>
      <c r="DN62" s="50"/>
      <c r="DO62" s="50"/>
      <c r="DP62" s="50"/>
      <c r="DQ62" s="50"/>
      <c r="DR62" s="50"/>
      <c r="DS62" s="50"/>
      <c r="DT62" s="50"/>
      <c r="DU62" s="50"/>
      <c r="DV62" s="50"/>
      <c r="DW62" s="50"/>
      <c r="DX62" s="50"/>
      <c r="DY62" s="50"/>
      <c r="DZ62" s="50"/>
      <c r="EA62" s="50"/>
      <c r="EB62" s="50"/>
      <c r="EC62" s="50"/>
      <c r="ED62" s="50"/>
      <c r="EE62" s="50"/>
      <c r="EF62" s="50"/>
      <c r="EG62" s="50"/>
      <c r="EH62" s="50"/>
      <c r="EI62" s="50"/>
      <c r="EJ62" s="50"/>
      <c r="EK62" s="50"/>
      <c r="EL62" s="50"/>
      <c r="EM62" s="50"/>
      <c r="EN62" s="50"/>
      <c r="EO62" s="50"/>
      <c r="EP62" s="50"/>
      <c r="EQ62" s="50"/>
      <c r="ER62" s="50"/>
      <c r="ES62" s="50"/>
      <c r="ET62" s="50"/>
      <c r="EU62" s="50"/>
      <c r="EV62" s="50"/>
      <c r="EW62" s="50"/>
      <c r="EX62" s="50"/>
    </row>
    <row r="63" ht="15.7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/>
      <c r="CY63" s="50"/>
      <c r="CZ63" s="50"/>
      <c r="DA63" s="50"/>
      <c r="DB63" s="50"/>
      <c r="DC63" s="50"/>
      <c r="DD63" s="50"/>
      <c r="DE63" s="50"/>
      <c r="DF63" s="50"/>
      <c r="DG63" s="50"/>
      <c r="DH63" s="50"/>
      <c r="DI63" s="50"/>
      <c r="DJ63" s="50"/>
      <c r="DK63" s="50"/>
      <c r="DL63" s="50"/>
      <c r="DM63" s="50"/>
      <c r="DN63" s="50"/>
      <c r="DO63" s="50"/>
      <c r="DP63" s="50"/>
      <c r="DQ63" s="50"/>
      <c r="DR63" s="50"/>
      <c r="DS63" s="50"/>
      <c r="DT63" s="50"/>
      <c r="DU63" s="50"/>
      <c r="DV63" s="50"/>
      <c r="DW63" s="50"/>
      <c r="DX63" s="50"/>
      <c r="DY63" s="50"/>
      <c r="DZ63" s="50"/>
      <c r="EA63" s="50"/>
      <c r="EB63" s="50"/>
      <c r="EC63" s="50"/>
      <c r="ED63" s="50"/>
      <c r="EE63" s="50"/>
      <c r="EF63" s="50"/>
      <c r="EG63" s="50"/>
      <c r="EH63" s="50"/>
      <c r="EI63" s="50"/>
      <c r="EJ63" s="50"/>
      <c r="EK63" s="50"/>
      <c r="EL63" s="50"/>
      <c r="EM63" s="50"/>
      <c r="EN63" s="50"/>
      <c r="EO63" s="50"/>
      <c r="EP63" s="50"/>
      <c r="EQ63" s="50"/>
      <c r="ER63" s="50"/>
      <c r="ES63" s="50"/>
      <c r="ET63" s="50"/>
      <c r="EU63" s="50"/>
      <c r="EV63" s="50"/>
      <c r="EW63" s="50"/>
      <c r="EX63" s="50"/>
    </row>
    <row r="64" ht="15.7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/>
      <c r="CY64" s="50"/>
      <c r="CZ64" s="50"/>
      <c r="DA64" s="50"/>
      <c r="DB64" s="50"/>
      <c r="DC64" s="50"/>
      <c r="DD64" s="50"/>
      <c r="DE64" s="50"/>
      <c r="DF64" s="50"/>
      <c r="DG64" s="50"/>
      <c r="DH64" s="50"/>
      <c r="DI64" s="50"/>
      <c r="DJ64" s="50"/>
      <c r="DK64" s="50"/>
      <c r="DL64" s="50"/>
      <c r="DM64" s="50"/>
      <c r="DN64" s="50"/>
      <c r="DO64" s="50"/>
      <c r="DP64" s="50"/>
      <c r="DQ64" s="50"/>
      <c r="DR64" s="50"/>
      <c r="DS64" s="50"/>
      <c r="DT64" s="50"/>
      <c r="DU64" s="50"/>
      <c r="DV64" s="50"/>
      <c r="DW64" s="50"/>
      <c r="DX64" s="50"/>
      <c r="DY64" s="50"/>
      <c r="DZ64" s="50"/>
      <c r="EA64" s="50"/>
      <c r="EB64" s="50"/>
      <c r="EC64" s="50"/>
      <c r="ED64" s="50"/>
      <c r="EE64" s="50"/>
      <c r="EF64" s="50"/>
      <c r="EG64" s="50"/>
      <c r="EH64" s="50"/>
      <c r="EI64" s="50"/>
      <c r="EJ64" s="50"/>
      <c r="EK64" s="50"/>
      <c r="EL64" s="50"/>
      <c r="EM64" s="50"/>
      <c r="EN64" s="50"/>
      <c r="EO64" s="50"/>
      <c r="EP64" s="50"/>
      <c r="EQ64" s="50"/>
      <c r="ER64" s="50"/>
      <c r="ES64" s="50"/>
      <c r="ET64" s="50"/>
      <c r="EU64" s="50"/>
      <c r="EV64" s="50"/>
      <c r="EW64" s="50"/>
      <c r="EX64" s="50"/>
    </row>
    <row r="65" ht="15.7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  <c r="DA65" s="50"/>
      <c r="DB65" s="50"/>
      <c r="DC65" s="50"/>
      <c r="DD65" s="50"/>
      <c r="DE65" s="50"/>
      <c r="DF65" s="50"/>
      <c r="DG65" s="50"/>
      <c r="DH65" s="50"/>
      <c r="DI65" s="50"/>
      <c r="DJ65" s="50"/>
      <c r="DK65" s="50"/>
      <c r="DL65" s="50"/>
      <c r="DM65" s="50"/>
      <c r="DN65" s="50"/>
      <c r="DO65" s="50"/>
      <c r="DP65" s="50"/>
      <c r="DQ65" s="50"/>
      <c r="DR65" s="50"/>
      <c r="DS65" s="50"/>
      <c r="DT65" s="50"/>
      <c r="DU65" s="50"/>
      <c r="DV65" s="50"/>
      <c r="DW65" s="50"/>
      <c r="DX65" s="50"/>
      <c r="DY65" s="50"/>
      <c r="DZ65" s="50"/>
      <c r="EA65" s="50"/>
      <c r="EB65" s="50"/>
      <c r="EC65" s="50"/>
      <c r="ED65" s="50"/>
      <c r="EE65" s="50"/>
      <c r="EF65" s="50"/>
      <c r="EG65" s="50"/>
      <c r="EH65" s="50"/>
      <c r="EI65" s="50"/>
      <c r="EJ65" s="50"/>
      <c r="EK65" s="50"/>
      <c r="EL65" s="50"/>
      <c r="EM65" s="50"/>
      <c r="EN65" s="50"/>
      <c r="EO65" s="50"/>
      <c r="EP65" s="50"/>
      <c r="EQ65" s="50"/>
      <c r="ER65" s="50"/>
      <c r="ES65" s="50"/>
      <c r="ET65" s="50"/>
      <c r="EU65" s="50"/>
      <c r="EV65" s="50"/>
      <c r="EW65" s="50"/>
      <c r="EX65" s="50"/>
    </row>
    <row r="66" ht="15.7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  <c r="DA66" s="50"/>
      <c r="DB66" s="50"/>
      <c r="DC66" s="50"/>
      <c r="DD66" s="50"/>
      <c r="DE66" s="50"/>
      <c r="DF66" s="50"/>
      <c r="DG66" s="50"/>
      <c r="DH66" s="50"/>
      <c r="DI66" s="50"/>
      <c r="DJ66" s="50"/>
      <c r="DK66" s="50"/>
      <c r="DL66" s="50"/>
      <c r="DM66" s="50"/>
      <c r="DN66" s="50"/>
      <c r="DO66" s="50"/>
      <c r="DP66" s="50"/>
      <c r="DQ66" s="50"/>
      <c r="DR66" s="50"/>
      <c r="DS66" s="50"/>
      <c r="DT66" s="50"/>
      <c r="DU66" s="50"/>
      <c r="DV66" s="50"/>
      <c r="DW66" s="50"/>
      <c r="DX66" s="50"/>
      <c r="DY66" s="50"/>
      <c r="DZ66" s="50"/>
      <c r="EA66" s="50"/>
      <c r="EB66" s="50"/>
      <c r="EC66" s="50"/>
      <c r="ED66" s="50"/>
      <c r="EE66" s="50"/>
      <c r="EF66" s="50"/>
      <c r="EG66" s="50"/>
      <c r="EH66" s="50"/>
      <c r="EI66" s="50"/>
      <c r="EJ66" s="50"/>
      <c r="EK66" s="50"/>
      <c r="EL66" s="50"/>
      <c r="EM66" s="50"/>
      <c r="EN66" s="50"/>
      <c r="EO66" s="50"/>
      <c r="EP66" s="50"/>
      <c r="EQ66" s="50"/>
      <c r="ER66" s="50"/>
      <c r="ES66" s="50"/>
      <c r="ET66" s="50"/>
      <c r="EU66" s="50"/>
      <c r="EV66" s="50"/>
      <c r="EW66" s="50"/>
      <c r="EX66" s="50"/>
    </row>
    <row r="67" ht="15.7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/>
      <c r="CY67" s="50"/>
      <c r="CZ67" s="50"/>
      <c r="DA67" s="50"/>
      <c r="DB67" s="50"/>
      <c r="DC67" s="50"/>
      <c r="DD67" s="50"/>
      <c r="DE67" s="50"/>
      <c r="DF67" s="50"/>
      <c r="DG67" s="50"/>
      <c r="DH67" s="50"/>
      <c r="DI67" s="50"/>
      <c r="DJ67" s="50"/>
      <c r="DK67" s="50"/>
      <c r="DL67" s="50"/>
      <c r="DM67" s="50"/>
      <c r="DN67" s="50"/>
      <c r="DO67" s="50"/>
      <c r="DP67" s="50"/>
      <c r="DQ67" s="50"/>
      <c r="DR67" s="50"/>
      <c r="DS67" s="50"/>
      <c r="DT67" s="50"/>
      <c r="DU67" s="50"/>
      <c r="DV67" s="50"/>
      <c r="DW67" s="50"/>
      <c r="DX67" s="50"/>
      <c r="DY67" s="50"/>
      <c r="DZ67" s="50"/>
      <c r="EA67" s="50"/>
      <c r="EB67" s="50"/>
      <c r="EC67" s="50"/>
      <c r="ED67" s="50"/>
      <c r="EE67" s="50"/>
      <c r="EF67" s="50"/>
      <c r="EG67" s="50"/>
      <c r="EH67" s="50"/>
      <c r="EI67" s="50"/>
      <c r="EJ67" s="50"/>
      <c r="EK67" s="50"/>
      <c r="EL67" s="50"/>
      <c r="EM67" s="50"/>
      <c r="EN67" s="50"/>
      <c r="EO67" s="50"/>
      <c r="EP67" s="50"/>
      <c r="EQ67" s="50"/>
      <c r="ER67" s="50"/>
      <c r="ES67" s="50"/>
      <c r="ET67" s="50"/>
      <c r="EU67" s="50"/>
      <c r="EV67" s="50"/>
      <c r="EW67" s="50"/>
      <c r="EX67" s="50"/>
    </row>
    <row r="68" ht="15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/>
      <c r="CY68" s="50"/>
      <c r="CZ68" s="50"/>
      <c r="DA68" s="50"/>
      <c r="DB68" s="50"/>
      <c r="DC68" s="50"/>
      <c r="DD68" s="50"/>
      <c r="DE68" s="50"/>
      <c r="DF68" s="50"/>
      <c r="DG68" s="50"/>
      <c r="DH68" s="50"/>
      <c r="DI68" s="50"/>
      <c r="DJ68" s="50"/>
      <c r="DK68" s="50"/>
      <c r="DL68" s="50"/>
      <c r="DM68" s="50"/>
      <c r="DN68" s="50"/>
      <c r="DO68" s="50"/>
      <c r="DP68" s="50"/>
      <c r="DQ68" s="50"/>
      <c r="DR68" s="50"/>
      <c r="DS68" s="50"/>
      <c r="DT68" s="50"/>
      <c r="DU68" s="50"/>
      <c r="DV68" s="50"/>
      <c r="DW68" s="50"/>
      <c r="DX68" s="50"/>
      <c r="DY68" s="50"/>
      <c r="DZ68" s="50"/>
      <c r="EA68" s="50"/>
      <c r="EB68" s="50"/>
      <c r="EC68" s="50"/>
      <c r="ED68" s="50"/>
      <c r="EE68" s="50"/>
      <c r="EF68" s="50"/>
      <c r="EG68" s="50"/>
      <c r="EH68" s="50"/>
      <c r="EI68" s="50"/>
      <c r="EJ68" s="50"/>
      <c r="EK68" s="50"/>
      <c r="EL68" s="50"/>
      <c r="EM68" s="50"/>
      <c r="EN68" s="50"/>
      <c r="EO68" s="50"/>
      <c r="EP68" s="50"/>
      <c r="EQ68" s="50"/>
      <c r="ER68" s="50"/>
      <c r="ES68" s="50"/>
      <c r="ET68" s="50"/>
      <c r="EU68" s="50"/>
      <c r="EV68" s="50"/>
      <c r="EW68" s="50"/>
      <c r="EX68" s="50"/>
    </row>
    <row r="69" ht="15.7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50"/>
      <c r="CR69" s="50"/>
      <c r="CS69" s="50"/>
      <c r="CT69" s="50"/>
      <c r="CU69" s="50"/>
      <c r="CV69" s="50"/>
      <c r="CW69" s="50"/>
      <c r="CX69" s="50"/>
      <c r="CY69" s="50"/>
      <c r="CZ69" s="50"/>
      <c r="DA69" s="50"/>
      <c r="DB69" s="50"/>
      <c r="DC69" s="50"/>
      <c r="DD69" s="50"/>
      <c r="DE69" s="50"/>
      <c r="DF69" s="50"/>
      <c r="DG69" s="50"/>
      <c r="DH69" s="50"/>
      <c r="DI69" s="50"/>
      <c r="DJ69" s="50"/>
      <c r="DK69" s="50"/>
      <c r="DL69" s="50"/>
      <c r="DM69" s="50"/>
      <c r="DN69" s="50"/>
      <c r="DO69" s="50"/>
      <c r="DP69" s="50"/>
      <c r="DQ69" s="50"/>
      <c r="DR69" s="50"/>
      <c r="DS69" s="50"/>
      <c r="DT69" s="50"/>
      <c r="DU69" s="50"/>
      <c r="DV69" s="50"/>
      <c r="DW69" s="50"/>
      <c r="DX69" s="50"/>
      <c r="DY69" s="50"/>
      <c r="DZ69" s="50"/>
      <c r="EA69" s="50"/>
      <c r="EB69" s="50"/>
      <c r="EC69" s="50"/>
      <c r="ED69" s="50"/>
      <c r="EE69" s="50"/>
      <c r="EF69" s="50"/>
      <c r="EG69" s="50"/>
      <c r="EH69" s="50"/>
      <c r="EI69" s="50"/>
      <c r="EJ69" s="50"/>
      <c r="EK69" s="50"/>
      <c r="EL69" s="50"/>
      <c r="EM69" s="50"/>
      <c r="EN69" s="50"/>
      <c r="EO69" s="50"/>
      <c r="EP69" s="50"/>
      <c r="EQ69" s="50"/>
      <c r="ER69" s="50"/>
      <c r="ES69" s="50"/>
      <c r="ET69" s="50"/>
      <c r="EU69" s="50"/>
      <c r="EV69" s="50"/>
      <c r="EW69" s="50"/>
      <c r="EX69" s="50"/>
    </row>
    <row r="70" ht="15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  <c r="CP70" s="50"/>
      <c r="CQ70" s="50"/>
      <c r="CR70" s="50"/>
      <c r="CS70" s="50"/>
      <c r="CT70" s="50"/>
      <c r="CU70" s="50"/>
      <c r="CV70" s="50"/>
      <c r="CW70" s="50"/>
      <c r="CX70" s="50"/>
      <c r="CY70" s="50"/>
      <c r="CZ70" s="50"/>
      <c r="DA70" s="50"/>
      <c r="DB70" s="50"/>
      <c r="DC70" s="50"/>
      <c r="DD70" s="50"/>
      <c r="DE70" s="50"/>
      <c r="DF70" s="50"/>
      <c r="DG70" s="50"/>
      <c r="DH70" s="50"/>
      <c r="DI70" s="50"/>
      <c r="DJ70" s="50"/>
      <c r="DK70" s="50"/>
      <c r="DL70" s="50"/>
      <c r="DM70" s="50"/>
      <c r="DN70" s="50"/>
      <c r="DO70" s="50"/>
      <c r="DP70" s="50"/>
      <c r="DQ70" s="50"/>
      <c r="DR70" s="50"/>
      <c r="DS70" s="50"/>
      <c r="DT70" s="50"/>
      <c r="DU70" s="50"/>
      <c r="DV70" s="50"/>
      <c r="DW70" s="50"/>
      <c r="DX70" s="50"/>
      <c r="DY70" s="50"/>
      <c r="DZ70" s="50"/>
      <c r="EA70" s="50"/>
      <c r="EB70" s="50"/>
      <c r="EC70" s="50"/>
      <c r="ED70" s="50"/>
      <c r="EE70" s="50"/>
      <c r="EF70" s="50"/>
      <c r="EG70" s="50"/>
      <c r="EH70" s="50"/>
      <c r="EI70" s="50"/>
      <c r="EJ70" s="50"/>
      <c r="EK70" s="50"/>
      <c r="EL70" s="50"/>
      <c r="EM70" s="50"/>
      <c r="EN70" s="50"/>
      <c r="EO70" s="50"/>
      <c r="EP70" s="50"/>
      <c r="EQ70" s="50"/>
      <c r="ER70" s="50"/>
      <c r="ES70" s="50"/>
      <c r="ET70" s="50"/>
      <c r="EU70" s="50"/>
      <c r="EV70" s="50"/>
      <c r="EW70" s="50"/>
      <c r="EX70" s="50"/>
    </row>
    <row r="71" ht="15.7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  <c r="BS71" s="50"/>
      <c r="BT71" s="50"/>
      <c r="BU71" s="50"/>
      <c r="BV71" s="50"/>
      <c r="BW71" s="50"/>
      <c r="BX71" s="50"/>
      <c r="BY71" s="50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  <c r="CP71" s="50"/>
      <c r="CQ71" s="50"/>
      <c r="CR71" s="50"/>
      <c r="CS71" s="50"/>
      <c r="CT71" s="50"/>
      <c r="CU71" s="50"/>
      <c r="CV71" s="50"/>
      <c r="CW71" s="50"/>
      <c r="CX71" s="50"/>
      <c r="CY71" s="50"/>
      <c r="CZ71" s="50"/>
      <c r="DA71" s="50"/>
      <c r="DB71" s="50"/>
      <c r="DC71" s="50"/>
      <c r="DD71" s="50"/>
      <c r="DE71" s="50"/>
      <c r="DF71" s="50"/>
      <c r="DG71" s="50"/>
      <c r="DH71" s="50"/>
      <c r="DI71" s="50"/>
      <c r="DJ71" s="50"/>
      <c r="DK71" s="50"/>
      <c r="DL71" s="50"/>
      <c r="DM71" s="50"/>
      <c r="DN71" s="50"/>
      <c r="DO71" s="50"/>
      <c r="DP71" s="50"/>
      <c r="DQ71" s="50"/>
      <c r="DR71" s="50"/>
      <c r="DS71" s="50"/>
      <c r="DT71" s="50"/>
      <c r="DU71" s="50"/>
      <c r="DV71" s="50"/>
      <c r="DW71" s="50"/>
      <c r="DX71" s="50"/>
      <c r="DY71" s="50"/>
      <c r="DZ71" s="50"/>
      <c r="EA71" s="50"/>
      <c r="EB71" s="50"/>
      <c r="EC71" s="50"/>
      <c r="ED71" s="50"/>
      <c r="EE71" s="50"/>
      <c r="EF71" s="50"/>
      <c r="EG71" s="50"/>
      <c r="EH71" s="50"/>
      <c r="EI71" s="50"/>
      <c r="EJ71" s="50"/>
      <c r="EK71" s="50"/>
      <c r="EL71" s="50"/>
      <c r="EM71" s="50"/>
      <c r="EN71" s="50"/>
      <c r="EO71" s="50"/>
      <c r="EP71" s="50"/>
      <c r="EQ71" s="50"/>
      <c r="ER71" s="50"/>
      <c r="ES71" s="50"/>
      <c r="ET71" s="50"/>
      <c r="EU71" s="50"/>
      <c r="EV71" s="50"/>
      <c r="EW71" s="50"/>
      <c r="EX71" s="50"/>
    </row>
    <row r="72" ht="15.7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  <c r="BS72" s="50"/>
      <c r="BT72" s="50"/>
      <c r="BU72" s="50"/>
      <c r="BV72" s="50"/>
      <c r="BW72" s="50"/>
      <c r="BX72" s="50"/>
      <c r="BY72" s="50"/>
      <c r="BZ72" s="50"/>
      <c r="CA72" s="50"/>
      <c r="CB72" s="50"/>
      <c r="CC72" s="50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  <c r="CP72" s="50"/>
      <c r="CQ72" s="50"/>
      <c r="CR72" s="50"/>
      <c r="CS72" s="50"/>
      <c r="CT72" s="50"/>
      <c r="CU72" s="50"/>
      <c r="CV72" s="50"/>
      <c r="CW72" s="50"/>
      <c r="CX72" s="50"/>
      <c r="CY72" s="50"/>
      <c r="CZ72" s="50"/>
      <c r="DA72" s="50"/>
      <c r="DB72" s="50"/>
      <c r="DC72" s="50"/>
      <c r="DD72" s="50"/>
      <c r="DE72" s="50"/>
      <c r="DF72" s="50"/>
      <c r="DG72" s="50"/>
      <c r="DH72" s="50"/>
      <c r="DI72" s="50"/>
      <c r="DJ72" s="50"/>
      <c r="DK72" s="50"/>
      <c r="DL72" s="50"/>
      <c r="DM72" s="50"/>
      <c r="DN72" s="50"/>
      <c r="DO72" s="50"/>
      <c r="DP72" s="50"/>
      <c r="DQ72" s="50"/>
      <c r="DR72" s="50"/>
      <c r="DS72" s="50"/>
      <c r="DT72" s="50"/>
      <c r="DU72" s="50"/>
      <c r="DV72" s="50"/>
      <c r="DW72" s="50"/>
      <c r="DX72" s="50"/>
      <c r="DY72" s="50"/>
      <c r="DZ72" s="50"/>
      <c r="EA72" s="50"/>
      <c r="EB72" s="50"/>
      <c r="EC72" s="50"/>
      <c r="ED72" s="50"/>
      <c r="EE72" s="50"/>
      <c r="EF72" s="50"/>
      <c r="EG72" s="50"/>
      <c r="EH72" s="50"/>
      <c r="EI72" s="50"/>
      <c r="EJ72" s="50"/>
      <c r="EK72" s="50"/>
      <c r="EL72" s="50"/>
      <c r="EM72" s="50"/>
      <c r="EN72" s="50"/>
      <c r="EO72" s="50"/>
      <c r="EP72" s="50"/>
      <c r="EQ72" s="50"/>
      <c r="ER72" s="50"/>
      <c r="ES72" s="50"/>
      <c r="ET72" s="50"/>
      <c r="EU72" s="50"/>
      <c r="EV72" s="50"/>
      <c r="EW72" s="50"/>
      <c r="EX72" s="50"/>
    </row>
    <row r="73" ht="15.7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  <c r="CP73" s="50"/>
      <c r="CQ73" s="50"/>
      <c r="CR73" s="50"/>
      <c r="CS73" s="50"/>
      <c r="CT73" s="50"/>
      <c r="CU73" s="50"/>
      <c r="CV73" s="50"/>
      <c r="CW73" s="50"/>
      <c r="CX73" s="50"/>
      <c r="CY73" s="50"/>
      <c r="CZ73" s="50"/>
      <c r="DA73" s="50"/>
      <c r="DB73" s="50"/>
      <c r="DC73" s="50"/>
      <c r="DD73" s="50"/>
      <c r="DE73" s="50"/>
      <c r="DF73" s="50"/>
      <c r="DG73" s="50"/>
      <c r="DH73" s="50"/>
      <c r="DI73" s="50"/>
      <c r="DJ73" s="50"/>
      <c r="DK73" s="50"/>
      <c r="DL73" s="50"/>
      <c r="DM73" s="50"/>
      <c r="DN73" s="50"/>
      <c r="DO73" s="50"/>
      <c r="DP73" s="50"/>
      <c r="DQ73" s="50"/>
      <c r="DR73" s="50"/>
      <c r="DS73" s="50"/>
      <c r="DT73" s="50"/>
      <c r="DU73" s="50"/>
      <c r="DV73" s="50"/>
      <c r="DW73" s="50"/>
      <c r="DX73" s="50"/>
      <c r="DY73" s="50"/>
      <c r="DZ73" s="50"/>
      <c r="EA73" s="50"/>
      <c r="EB73" s="50"/>
      <c r="EC73" s="50"/>
      <c r="ED73" s="50"/>
      <c r="EE73" s="50"/>
      <c r="EF73" s="50"/>
      <c r="EG73" s="50"/>
      <c r="EH73" s="50"/>
      <c r="EI73" s="50"/>
      <c r="EJ73" s="50"/>
      <c r="EK73" s="50"/>
      <c r="EL73" s="50"/>
      <c r="EM73" s="50"/>
      <c r="EN73" s="50"/>
      <c r="EO73" s="50"/>
      <c r="EP73" s="50"/>
      <c r="EQ73" s="50"/>
      <c r="ER73" s="50"/>
      <c r="ES73" s="50"/>
      <c r="ET73" s="50"/>
      <c r="EU73" s="50"/>
      <c r="EV73" s="50"/>
      <c r="EW73" s="50"/>
      <c r="EX73" s="50"/>
    </row>
    <row r="74" ht="15.7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  <c r="DC74" s="50"/>
      <c r="DD74" s="50"/>
      <c r="DE74" s="50"/>
      <c r="DF74" s="50"/>
      <c r="DG74" s="50"/>
      <c r="DH74" s="50"/>
      <c r="DI74" s="50"/>
      <c r="DJ74" s="50"/>
      <c r="DK74" s="50"/>
      <c r="DL74" s="50"/>
      <c r="DM74" s="50"/>
      <c r="DN74" s="50"/>
      <c r="DO74" s="50"/>
      <c r="DP74" s="50"/>
      <c r="DQ74" s="50"/>
      <c r="DR74" s="50"/>
      <c r="DS74" s="50"/>
      <c r="DT74" s="50"/>
      <c r="DU74" s="50"/>
      <c r="DV74" s="50"/>
      <c r="DW74" s="50"/>
      <c r="DX74" s="50"/>
      <c r="DY74" s="50"/>
      <c r="DZ74" s="50"/>
      <c r="EA74" s="50"/>
      <c r="EB74" s="50"/>
      <c r="EC74" s="50"/>
      <c r="ED74" s="50"/>
      <c r="EE74" s="50"/>
      <c r="EF74" s="50"/>
      <c r="EG74" s="50"/>
      <c r="EH74" s="50"/>
      <c r="EI74" s="50"/>
      <c r="EJ74" s="50"/>
      <c r="EK74" s="50"/>
      <c r="EL74" s="50"/>
      <c r="EM74" s="50"/>
      <c r="EN74" s="50"/>
      <c r="EO74" s="50"/>
      <c r="EP74" s="50"/>
      <c r="EQ74" s="50"/>
      <c r="ER74" s="50"/>
      <c r="ES74" s="50"/>
      <c r="ET74" s="50"/>
      <c r="EU74" s="50"/>
      <c r="EV74" s="50"/>
      <c r="EW74" s="50"/>
      <c r="EX74" s="50"/>
    </row>
    <row r="75" ht="15.7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  <c r="CP75" s="50"/>
      <c r="CQ75" s="50"/>
      <c r="CR75" s="50"/>
      <c r="CS75" s="50"/>
      <c r="CT75" s="50"/>
      <c r="CU75" s="50"/>
      <c r="CV75" s="50"/>
      <c r="CW75" s="50"/>
      <c r="CX75" s="50"/>
      <c r="CY75" s="50"/>
      <c r="CZ75" s="50"/>
      <c r="DA75" s="50"/>
      <c r="DB75" s="50"/>
      <c r="DC75" s="50"/>
      <c r="DD75" s="50"/>
      <c r="DE75" s="50"/>
      <c r="DF75" s="50"/>
      <c r="DG75" s="50"/>
      <c r="DH75" s="50"/>
      <c r="DI75" s="50"/>
      <c r="DJ75" s="50"/>
      <c r="DK75" s="50"/>
      <c r="DL75" s="50"/>
      <c r="DM75" s="50"/>
      <c r="DN75" s="50"/>
      <c r="DO75" s="50"/>
      <c r="DP75" s="50"/>
      <c r="DQ75" s="50"/>
      <c r="DR75" s="50"/>
      <c r="DS75" s="50"/>
      <c r="DT75" s="50"/>
      <c r="DU75" s="50"/>
      <c r="DV75" s="50"/>
      <c r="DW75" s="50"/>
      <c r="DX75" s="50"/>
      <c r="DY75" s="50"/>
      <c r="DZ75" s="50"/>
      <c r="EA75" s="50"/>
      <c r="EB75" s="50"/>
      <c r="EC75" s="50"/>
      <c r="ED75" s="50"/>
      <c r="EE75" s="50"/>
      <c r="EF75" s="50"/>
      <c r="EG75" s="50"/>
      <c r="EH75" s="50"/>
      <c r="EI75" s="50"/>
      <c r="EJ75" s="50"/>
      <c r="EK75" s="50"/>
      <c r="EL75" s="50"/>
      <c r="EM75" s="50"/>
      <c r="EN75" s="50"/>
      <c r="EO75" s="50"/>
      <c r="EP75" s="50"/>
      <c r="EQ75" s="50"/>
      <c r="ER75" s="50"/>
      <c r="ES75" s="50"/>
      <c r="ET75" s="50"/>
      <c r="EU75" s="50"/>
      <c r="EV75" s="50"/>
      <c r="EW75" s="50"/>
      <c r="EX75" s="50"/>
    </row>
    <row r="76" ht="15.7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  <c r="DC76" s="50"/>
      <c r="DD76" s="50"/>
      <c r="DE76" s="50"/>
      <c r="DF76" s="50"/>
      <c r="DG76" s="50"/>
      <c r="DH76" s="50"/>
      <c r="DI76" s="50"/>
      <c r="DJ76" s="50"/>
      <c r="DK76" s="50"/>
      <c r="DL76" s="50"/>
      <c r="DM76" s="50"/>
      <c r="DN76" s="50"/>
      <c r="DO76" s="50"/>
      <c r="DP76" s="50"/>
      <c r="DQ76" s="50"/>
      <c r="DR76" s="50"/>
      <c r="DS76" s="50"/>
      <c r="DT76" s="50"/>
      <c r="DU76" s="50"/>
      <c r="DV76" s="50"/>
      <c r="DW76" s="50"/>
      <c r="DX76" s="50"/>
      <c r="DY76" s="50"/>
      <c r="DZ76" s="50"/>
      <c r="EA76" s="50"/>
      <c r="EB76" s="50"/>
      <c r="EC76" s="50"/>
      <c r="ED76" s="50"/>
      <c r="EE76" s="50"/>
      <c r="EF76" s="50"/>
      <c r="EG76" s="50"/>
      <c r="EH76" s="50"/>
      <c r="EI76" s="50"/>
      <c r="EJ76" s="50"/>
      <c r="EK76" s="50"/>
      <c r="EL76" s="50"/>
      <c r="EM76" s="50"/>
      <c r="EN76" s="50"/>
      <c r="EO76" s="50"/>
      <c r="EP76" s="50"/>
      <c r="EQ76" s="50"/>
      <c r="ER76" s="50"/>
      <c r="ES76" s="50"/>
      <c r="ET76" s="50"/>
      <c r="EU76" s="50"/>
      <c r="EV76" s="50"/>
      <c r="EW76" s="50"/>
      <c r="EX76" s="50"/>
    </row>
    <row r="77" ht="15.7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  <c r="DC77" s="50"/>
      <c r="DD77" s="50"/>
      <c r="DE77" s="50"/>
      <c r="DF77" s="50"/>
      <c r="DG77" s="50"/>
      <c r="DH77" s="50"/>
      <c r="DI77" s="50"/>
      <c r="DJ77" s="50"/>
      <c r="DK77" s="50"/>
      <c r="DL77" s="50"/>
      <c r="DM77" s="50"/>
      <c r="DN77" s="50"/>
      <c r="DO77" s="50"/>
      <c r="DP77" s="50"/>
      <c r="DQ77" s="50"/>
      <c r="DR77" s="50"/>
      <c r="DS77" s="50"/>
      <c r="DT77" s="50"/>
      <c r="DU77" s="50"/>
      <c r="DV77" s="50"/>
      <c r="DW77" s="50"/>
      <c r="DX77" s="50"/>
      <c r="DY77" s="50"/>
      <c r="DZ77" s="50"/>
      <c r="EA77" s="50"/>
      <c r="EB77" s="50"/>
      <c r="EC77" s="50"/>
      <c r="ED77" s="50"/>
      <c r="EE77" s="50"/>
      <c r="EF77" s="50"/>
      <c r="EG77" s="50"/>
      <c r="EH77" s="50"/>
      <c r="EI77" s="50"/>
      <c r="EJ77" s="50"/>
      <c r="EK77" s="50"/>
      <c r="EL77" s="50"/>
      <c r="EM77" s="50"/>
      <c r="EN77" s="50"/>
      <c r="EO77" s="50"/>
      <c r="EP77" s="50"/>
      <c r="EQ77" s="50"/>
      <c r="ER77" s="50"/>
      <c r="ES77" s="50"/>
      <c r="ET77" s="50"/>
      <c r="EU77" s="50"/>
      <c r="EV77" s="50"/>
      <c r="EW77" s="50"/>
      <c r="EX77" s="50"/>
    </row>
    <row r="78" ht="15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50"/>
      <c r="DB78" s="50"/>
      <c r="DC78" s="50"/>
      <c r="DD78" s="50"/>
      <c r="DE78" s="50"/>
      <c r="DF78" s="50"/>
      <c r="DG78" s="50"/>
      <c r="DH78" s="50"/>
      <c r="DI78" s="50"/>
      <c r="DJ78" s="50"/>
      <c r="DK78" s="50"/>
      <c r="DL78" s="50"/>
      <c r="DM78" s="50"/>
      <c r="DN78" s="50"/>
      <c r="DO78" s="50"/>
      <c r="DP78" s="50"/>
      <c r="DQ78" s="50"/>
      <c r="DR78" s="50"/>
      <c r="DS78" s="50"/>
      <c r="DT78" s="50"/>
      <c r="DU78" s="50"/>
      <c r="DV78" s="50"/>
      <c r="DW78" s="50"/>
      <c r="DX78" s="50"/>
      <c r="DY78" s="50"/>
      <c r="DZ78" s="50"/>
      <c r="EA78" s="50"/>
      <c r="EB78" s="50"/>
      <c r="EC78" s="50"/>
      <c r="ED78" s="50"/>
      <c r="EE78" s="50"/>
      <c r="EF78" s="50"/>
      <c r="EG78" s="50"/>
      <c r="EH78" s="50"/>
      <c r="EI78" s="50"/>
      <c r="EJ78" s="50"/>
      <c r="EK78" s="50"/>
      <c r="EL78" s="50"/>
      <c r="EM78" s="50"/>
      <c r="EN78" s="50"/>
      <c r="EO78" s="50"/>
      <c r="EP78" s="50"/>
      <c r="EQ78" s="50"/>
      <c r="ER78" s="50"/>
      <c r="ES78" s="50"/>
      <c r="ET78" s="50"/>
      <c r="EU78" s="50"/>
      <c r="EV78" s="50"/>
      <c r="EW78" s="50"/>
      <c r="EX78" s="50"/>
    </row>
    <row r="79" ht="15.7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  <c r="DD79" s="50"/>
      <c r="DE79" s="50"/>
      <c r="DF79" s="50"/>
      <c r="DG79" s="50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/>
      <c r="DS79" s="50"/>
      <c r="DT79" s="50"/>
      <c r="DU79" s="50"/>
      <c r="DV79" s="50"/>
      <c r="DW79" s="50"/>
      <c r="DX79" s="50"/>
      <c r="DY79" s="50"/>
      <c r="DZ79" s="50"/>
      <c r="EA79" s="50"/>
      <c r="EB79" s="50"/>
      <c r="EC79" s="50"/>
      <c r="ED79" s="50"/>
      <c r="EE79" s="50"/>
      <c r="EF79" s="50"/>
      <c r="EG79" s="50"/>
      <c r="EH79" s="50"/>
      <c r="EI79" s="50"/>
      <c r="EJ79" s="50"/>
      <c r="EK79" s="50"/>
      <c r="EL79" s="50"/>
      <c r="EM79" s="50"/>
      <c r="EN79" s="50"/>
      <c r="EO79" s="50"/>
      <c r="EP79" s="50"/>
      <c r="EQ79" s="50"/>
      <c r="ER79" s="50"/>
      <c r="ES79" s="50"/>
      <c r="ET79" s="50"/>
      <c r="EU79" s="50"/>
      <c r="EV79" s="50"/>
      <c r="EW79" s="50"/>
      <c r="EX79" s="50"/>
    </row>
    <row r="80" ht="15.7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/>
      <c r="CZ80" s="50"/>
      <c r="DA80" s="50"/>
      <c r="DB80" s="50"/>
      <c r="DC80" s="50"/>
      <c r="DD80" s="50"/>
      <c r="DE80" s="50"/>
      <c r="DF80" s="50"/>
      <c r="DG80" s="50"/>
      <c r="DH80" s="50"/>
      <c r="DI80" s="50"/>
      <c r="DJ80" s="50"/>
      <c r="DK80" s="50"/>
      <c r="DL80" s="50"/>
      <c r="DM80" s="50"/>
      <c r="DN80" s="50"/>
      <c r="DO80" s="50"/>
      <c r="DP80" s="50"/>
      <c r="DQ80" s="50"/>
      <c r="DR80" s="50"/>
      <c r="DS80" s="50"/>
      <c r="DT80" s="50"/>
      <c r="DU80" s="50"/>
      <c r="DV80" s="50"/>
      <c r="DW80" s="50"/>
      <c r="DX80" s="50"/>
      <c r="DY80" s="50"/>
      <c r="DZ80" s="50"/>
      <c r="EA80" s="50"/>
      <c r="EB80" s="50"/>
      <c r="EC80" s="50"/>
      <c r="ED80" s="50"/>
      <c r="EE80" s="50"/>
      <c r="EF80" s="50"/>
      <c r="EG80" s="50"/>
      <c r="EH80" s="50"/>
      <c r="EI80" s="50"/>
      <c r="EJ80" s="50"/>
      <c r="EK80" s="50"/>
      <c r="EL80" s="50"/>
      <c r="EM80" s="50"/>
      <c r="EN80" s="50"/>
      <c r="EO80" s="50"/>
      <c r="EP80" s="50"/>
      <c r="EQ80" s="50"/>
      <c r="ER80" s="50"/>
      <c r="ES80" s="50"/>
      <c r="ET80" s="50"/>
      <c r="EU80" s="50"/>
      <c r="EV80" s="50"/>
      <c r="EW80" s="50"/>
      <c r="EX80" s="50"/>
    </row>
    <row r="81" ht="15.7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  <c r="CP81" s="50"/>
      <c r="CQ81" s="50"/>
      <c r="CR81" s="50"/>
      <c r="CS81" s="50"/>
      <c r="CT81" s="50"/>
      <c r="CU81" s="50"/>
      <c r="CV81" s="50"/>
      <c r="CW81" s="50"/>
      <c r="CX81" s="50"/>
      <c r="CY81" s="50"/>
      <c r="CZ81" s="50"/>
      <c r="DA81" s="50"/>
      <c r="DB81" s="50"/>
      <c r="DC81" s="50"/>
      <c r="DD81" s="50"/>
      <c r="DE81" s="50"/>
      <c r="DF81" s="50"/>
      <c r="DG81" s="50"/>
      <c r="DH81" s="50"/>
      <c r="DI81" s="50"/>
      <c r="DJ81" s="50"/>
      <c r="DK81" s="50"/>
      <c r="DL81" s="50"/>
      <c r="DM81" s="50"/>
      <c r="DN81" s="50"/>
      <c r="DO81" s="50"/>
      <c r="DP81" s="50"/>
      <c r="DQ81" s="50"/>
      <c r="DR81" s="50"/>
      <c r="DS81" s="50"/>
      <c r="DT81" s="50"/>
      <c r="DU81" s="50"/>
      <c r="DV81" s="50"/>
      <c r="DW81" s="50"/>
      <c r="DX81" s="50"/>
      <c r="DY81" s="50"/>
      <c r="DZ81" s="50"/>
      <c r="EA81" s="50"/>
      <c r="EB81" s="50"/>
      <c r="EC81" s="50"/>
      <c r="ED81" s="50"/>
      <c r="EE81" s="50"/>
      <c r="EF81" s="50"/>
      <c r="EG81" s="50"/>
      <c r="EH81" s="50"/>
      <c r="EI81" s="50"/>
      <c r="EJ81" s="50"/>
      <c r="EK81" s="50"/>
      <c r="EL81" s="50"/>
      <c r="EM81" s="50"/>
      <c r="EN81" s="50"/>
      <c r="EO81" s="50"/>
      <c r="EP81" s="50"/>
      <c r="EQ81" s="50"/>
      <c r="ER81" s="50"/>
      <c r="ES81" s="50"/>
      <c r="ET81" s="50"/>
      <c r="EU81" s="50"/>
      <c r="EV81" s="50"/>
      <c r="EW81" s="50"/>
      <c r="EX81" s="50"/>
    </row>
    <row r="82" ht="15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  <c r="BR82" s="50"/>
      <c r="BS82" s="50"/>
      <c r="BT82" s="50"/>
      <c r="BU82" s="50"/>
      <c r="BV82" s="50"/>
      <c r="BW82" s="50"/>
      <c r="BX82" s="50"/>
      <c r="BY82" s="50"/>
      <c r="BZ82" s="50"/>
      <c r="CA82" s="50"/>
      <c r="CB82" s="50"/>
      <c r="CC82" s="50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0"/>
      <c r="CO82" s="50"/>
      <c r="CP82" s="50"/>
      <c r="CQ82" s="50"/>
      <c r="CR82" s="50"/>
      <c r="CS82" s="50"/>
      <c r="CT82" s="50"/>
      <c r="CU82" s="50"/>
      <c r="CV82" s="50"/>
      <c r="CW82" s="50"/>
      <c r="CX82" s="50"/>
      <c r="CY82" s="50"/>
      <c r="CZ82" s="50"/>
      <c r="DA82" s="50"/>
      <c r="DB82" s="50"/>
      <c r="DC82" s="50"/>
      <c r="DD82" s="50"/>
      <c r="DE82" s="50"/>
      <c r="DF82" s="50"/>
      <c r="DG82" s="50"/>
      <c r="DH82" s="50"/>
      <c r="DI82" s="50"/>
      <c r="DJ82" s="50"/>
      <c r="DK82" s="50"/>
      <c r="DL82" s="50"/>
      <c r="DM82" s="50"/>
      <c r="DN82" s="50"/>
      <c r="DO82" s="50"/>
      <c r="DP82" s="50"/>
      <c r="DQ82" s="50"/>
      <c r="DR82" s="50"/>
      <c r="DS82" s="50"/>
      <c r="DT82" s="50"/>
      <c r="DU82" s="50"/>
      <c r="DV82" s="50"/>
      <c r="DW82" s="50"/>
      <c r="DX82" s="50"/>
      <c r="DY82" s="50"/>
      <c r="DZ82" s="50"/>
      <c r="EA82" s="50"/>
      <c r="EB82" s="50"/>
      <c r="EC82" s="50"/>
      <c r="ED82" s="50"/>
      <c r="EE82" s="50"/>
      <c r="EF82" s="50"/>
      <c r="EG82" s="50"/>
      <c r="EH82" s="50"/>
      <c r="EI82" s="50"/>
      <c r="EJ82" s="50"/>
      <c r="EK82" s="50"/>
      <c r="EL82" s="50"/>
      <c r="EM82" s="50"/>
      <c r="EN82" s="50"/>
      <c r="EO82" s="50"/>
      <c r="EP82" s="50"/>
      <c r="EQ82" s="50"/>
      <c r="ER82" s="50"/>
      <c r="ES82" s="50"/>
      <c r="ET82" s="50"/>
      <c r="EU82" s="50"/>
      <c r="EV82" s="50"/>
      <c r="EW82" s="50"/>
      <c r="EX82" s="50"/>
    </row>
    <row r="83" ht="15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  <c r="CP83" s="50"/>
      <c r="CQ83" s="50"/>
      <c r="CR83" s="50"/>
      <c r="CS83" s="50"/>
      <c r="CT83" s="50"/>
      <c r="CU83" s="50"/>
      <c r="CV83" s="50"/>
      <c r="CW83" s="50"/>
      <c r="CX83" s="50"/>
      <c r="CY83" s="50"/>
      <c r="CZ83" s="50"/>
      <c r="DA83" s="50"/>
      <c r="DB83" s="50"/>
      <c r="DC83" s="50"/>
      <c r="DD83" s="50"/>
      <c r="DE83" s="50"/>
      <c r="DF83" s="50"/>
      <c r="DG83" s="50"/>
      <c r="DH83" s="50"/>
      <c r="DI83" s="50"/>
      <c r="DJ83" s="50"/>
      <c r="DK83" s="50"/>
      <c r="DL83" s="50"/>
      <c r="DM83" s="50"/>
      <c r="DN83" s="50"/>
      <c r="DO83" s="50"/>
      <c r="DP83" s="50"/>
      <c r="DQ83" s="50"/>
      <c r="DR83" s="50"/>
      <c r="DS83" s="50"/>
      <c r="DT83" s="50"/>
      <c r="DU83" s="50"/>
      <c r="DV83" s="50"/>
      <c r="DW83" s="50"/>
      <c r="DX83" s="50"/>
      <c r="DY83" s="50"/>
      <c r="DZ83" s="50"/>
      <c r="EA83" s="50"/>
      <c r="EB83" s="50"/>
      <c r="EC83" s="50"/>
      <c r="ED83" s="50"/>
      <c r="EE83" s="50"/>
      <c r="EF83" s="50"/>
      <c r="EG83" s="50"/>
      <c r="EH83" s="50"/>
      <c r="EI83" s="50"/>
      <c r="EJ83" s="50"/>
      <c r="EK83" s="50"/>
      <c r="EL83" s="50"/>
      <c r="EM83" s="50"/>
      <c r="EN83" s="50"/>
      <c r="EO83" s="50"/>
      <c r="EP83" s="50"/>
      <c r="EQ83" s="50"/>
      <c r="ER83" s="50"/>
      <c r="ES83" s="50"/>
      <c r="ET83" s="50"/>
      <c r="EU83" s="50"/>
      <c r="EV83" s="50"/>
      <c r="EW83" s="50"/>
      <c r="EX83" s="50"/>
    </row>
    <row r="84" ht="15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  <c r="CP84" s="50"/>
      <c r="CQ84" s="50"/>
      <c r="CR84" s="50"/>
      <c r="CS84" s="50"/>
      <c r="CT84" s="50"/>
      <c r="CU84" s="50"/>
      <c r="CV84" s="50"/>
      <c r="CW84" s="50"/>
      <c r="CX84" s="50"/>
      <c r="CY84" s="50"/>
      <c r="CZ84" s="50"/>
      <c r="DA84" s="50"/>
      <c r="DB84" s="50"/>
      <c r="DC84" s="50"/>
      <c r="DD84" s="50"/>
      <c r="DE84" s="50"/>
      <c r="DF84" s="50"/>
      <c r="DG84" s="50"/>
      <c r="DH84" s="50"/>
      <c r="DI84" s="50"/>
      <c r="DJ84" s="50"/>
      <c r="DK84" s="50"/>
      <c r="DL84" s="50"/>
      <c r="DM84" s="50"/>
      <c r="DN84" s="50"/>
      <c r="DO84" s="50"/>
      <c r="DP84" s="50"/>
      <c r="DQ84" s="50"/>
      <c r="DR84" s="50"/>
      <c r="DS84" s="50"/>
      <c r="DT84" s="50"/>
      <c r="DU84" s="50"/>
      <c r="DV84" s="50"/>
      <c r="DW84" s="50"/>
      <c r="DX84" s="50"/>
      <c r="DY84" s="50"/>
      <c r="DZ84" s="50"/>
      <c r="EA84" s="50"/>
      <c r="EB84" s="50"/>
      <c r="EC84" s="50"/>
      <c r="ED84" s="50"/>
      <c r="EE84" s="50"/>
      <c r="EF84" s="50"/>
      <c r="EG84" s="50"/>
      <c r="EH84" s="50"/>
      <c r="EI84" s="50"/>
      <c r="EJ84" s="50"/>
      <c r="EK84" s="50"/>
      <c r="EL84" s="50"/>
      <c r="EM84" s="50"/>
      <c r="EN84" s="50"/>
      <c r="EO84" s="50"/>
      <c r="EP84" s="50"/>
      <c r="EQ84" s="50"/>
      <c r="ER84" s="50"/>
      <c r="ES84" s="50"/>
      <c r="ET84" s="50"/>
      <c r="EU84" s="50"/>
      <c r="EV84" s="50"/>
      <c r="EW84" s="50"/>
      <c r="EX84" s="50"/>
    </row>
    <row r="85" ht="15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  <c r="CP85" s="50"/>
      <c r="CQ85" s="50"/>
      <c r="CR85" s="50"/>
      <c r="CS85" s="50"/>
      <c r="CT85" s="50"/>
      <c r="CU85" s="50"/>
      <c r="CV85" s="50"/>
      <c r="CW85" s="50"/>
      <c r="CX85" s="50"/>
      <c r="CY85" s="50"/>
      <c r="CZ85" s="50"/>
      <c r="DA85" s="50"/>
      <c r="DB85" s="50"/>
      <c r="DC85" s="50"/>
      <c r="DD85" s="50"/>
      <c r="DE85" s="50"/>
      <c r="DF85" s="50"/>
      <c r="DG85" s="50"/>
      <c r="DH85" s="50"/>
      <c r="DI85" s="50"/>
      <c r="DJ85" s="50"/>
      <c r="DK85" s="50"/>
      <c r="DL85" s="50"/>
      <c r="DM85" s="50"/>
      <c r="DN85" s="50"/>
      <c r="DO85" s="50"/>
      <c r="DP85" s="50"/>
      <c r="DQ85" s="50"/>
      <c r="DR85" s="50"/>
      <c r="DS85" s="50"/>
      <c r="DT85" s="50"/>
      <c r="DU85" s="50"/>
      <c r="DV85" s="50"/>
      <c r="DW85" s="50"/>
      <c r="DX85" s="50"/>
      <c r="DY85" s="50"/>
      <c r="DZ85" s="50"/>
      <c r="EA85" s="50"/>
      <c r="EB85" s="50"/>
      <c r="EC85" s="50"/>
      <c r="ED85" s="50"/>
      <c r="EE85" s="50"/>
      <c r="EF85" s="50"/>
      <c r="EG85" s="50"/>
      <c r="EH85" s="50"/>
      <c r="EI85" s="50"/>
      <c r="EJ85" s="50"/>
      <c r="EK85" s="50"/>
      <c r="EL85" s="50"/>
      <c r="EM85" s="50"/>
      <c r="EN85" s="50"/>
      <c r="EO85" s="50"/>
      <c r="EP85" s="50"/>
      <c r="EQ85" s="50"/>
      <c r="ER85" s="50"/>
      <c r="ES85" s="50"/>
      <c r="ET85" s="50"/>
      <c r="EU85" s="50"/>
      <c r="EV85" s="50"/>
      <c r="EW85" s="50"/>
      <c r="EX85" s="50"/>
    </row>
    <row r="86" ht="15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  <c r="DA86" s="50"/>
      <c r="DB86" s="50"/>
      <c r="DC86" s="50"/>
      <c r="DD86" s="50"/>
      <c r="DE86" s="50"/>
      <c r="DF86" s="50"/>
      <c r="DG86" s="50"/>
      <c r="DH86" s="50"/>
      <c r="DI86" s="50"/>
      <c r="DJ86" s="50"/>
      <c r="DK86" s="50"/>
      <c r="DL86" s="50"/>
      <c r="DM86" s="50"/>
      <c r="DN86" s="50"/>
      <c r="DO86" s="50"/>
      <c r="DP86" s="50"/>
      <c r="DQ86" s="50"/>
      <c r="DR86" s="50"/>
      <c r="DS86" s="50"/>
      <c r="DT86" s="50"/>
      <c r="DU86" s="50"/>
      <c r="DV86" s="50"/>
      <c r="DW86" s="50"/>
      <c r="DX86" s="50"/>
      <c r="DY86" s="50"/>
      <c r="DZ86" s="50"/>
      <c r="EA86" s="50"/>
      <c r="EB86" s="50"/>
      <c r="EC86" s="50"/>
      <c r="ED86" s="50"/>
      <c r="EE86" s="50"/>
      <c r="EF86" s="50"/>
      <c r="EG86" s="50"/>
      <c r="EH86" s="50"/>
      <c r="EI86" s="50"/>
      <c r="EJ86" s="50"/>
      <c r="EK86" s="50"/>
      <c r="EL86" s="50"/>
      <c r="EM86" s="50"/>
      <c r="EN86" s="50"/>
      <c r="EO86" s="50"/>
      <c r="EP86" s="50"/>
      <c r="EQ86" s="50"/>
      <c r="ER86" s="50"/>
      <c r="ES86" s="50"/>
      <c r="ET86" s="50"/>
      <c r="EU86" s="50"/>
      <c r="EV86" s="50"/>
      <c r="EW86" s="50"/>
      <c r="EX86" s="50"/>
    </row>
    <row r="87" ht="15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0"/>
      <c r="DD87" s="50"/>
      <c r="DE87" s="50"/>
      <c r="DF87" s="50"/>
      <c r="DG87" s="50"/>
      <c r="DH87" s="50"/>
      <c r="DI87" s="50"/>
      <c r="DJ87" s="50"/>
      <c r="DK87" s="50"/>
      <c r="DL87" s="50"/>
      <c r="DM87" s="50"/>
      <c r="DN87" s="50"/>
      <c r="DO87" s="50"/>
      <c r="DP87" s="50"/>
      <c r="DQ87" s="50"/>
      <c r="DR87" s="50"/>
      <c r="DS87" s="50"/>
      <c r="DT87" s="50"/>
      <c r="DU87" s="50"/>
      <c r="DV87" s="50"/>
      <c r="DW87" s="50"/>
      <c r="DX87" s="50"/>
      <c r="DY87" s="50"/>
      <c r="DZ87" s="50"/>
      <c r="EA87" s="50"/>
      <c r="EB87" s="50"/>
      <c r="EC87" s="50"/>
      <c r="ED87" s="50"/>
      <c r="EE87" s="50"/>
      <c r="EF87" s="50"/>
      <c r="EG87" s="50"/>
      <c r="EH87" s="50"/>
      <c r="EI87" s="50"/>
      <c r="EJ87" s="50"/>
      <c r="EK87" s="50"/>
      <c r="EL87" s="50"/>
      <c r="EM87" s="50"/>
      <c r="EN87" s="50"/>
      <c r="EO87" s="50"/>
      <c r="EP87" s="50"/>
      <c r="EQ87" s="50"/>
      <c r="ER87" s="50"/>
      <c r="ES87" s="50"/>
      <c r="ET87" s="50"/>
      <c r="EU87" s="50"/>
      <c r="EV87" s="50"/>
      <c r="EW87" s="50"/>
      <c r="EX87" s="50"/>
    </row>
    <row r="88" ht="15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  <c r="DA88" s="50"/>
      <c r="DB88" s="50"/>
      <c r="DC88" s="50"/>
      <c r="DD88" s="50"/>
      <c r="DE88" s="50"/>
      <c r="DF88" s="50"/>
      <c r="DG88" s="50"/>
      <c r="DH88" s="50"/>
      <c r="DI88" s="50"/>
      <c r="DJ88" s="50"/>
      <c r="DK88" s="50"/>
      <c r="DL88" s="50"/>
      <c r="DM88" s="50"/>
      <c r="DN88" s="50"/>
      <c r="DO88" s="50"/>
      <c r="DP88" s="50"/>
      <c r="DQ88" s="50"/>
      <c r="DR88" s="50"/>
      <c r="DS88" s="50"/>
      <c r="DT88" s="50"/>
      <c r="DU88" s="50"/>
      <c r="DV88" s="50"/>
      <c r="DW88" s="50"/>
      <c r="DX88" s="50"/>
      <c r="DY88" s="50"/>
      <c r="DZ88" s="50"/>
      <c r="EA88" s="50"/>
      <c r="EB88" s="50"/>
      <c r="EC88" s="50"/>
      <c r="ED88" s="50"/>
      <c r="EE88" s="50"/>
      <c r="EF88" s="50"/>
      <c r="EG88" s="50"/>
      <c r="EH88" s="50"/>
      <c r="EI88" s="50"/>
      <c r="EJ88" s="50"/>
      <c r="EK88" s="50"/>
      <c r="EL88" s="50"/>
      <c r="EM88" s="50"/>
      <c r="EN88" s="50"/>
      <c r="EO88" s="50"/>
      <c r="EP88" s="50"/>
      <c r="EQ88" s="50"/>
      <c r="ER88" s="50"/>
      <c r="ES88" s="50"/>
      <c r="ET88" s="50"/>
      <c r="EU88" s="50"/>
      <c r="EV88" s="50"/>
      <c r="EW88" s="50"/>
      <c r="EX88" s="50"/>
    </row>
    <row r="89" ht="15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  <c r="DA89" s="50"/>
      <c r="DB89" s="50"/>
      <c r="DC89" s="50"/>
      <c r="DD89" s="50"/>
      <c r="DE89" s="50"/>
      <c r="DF89" s="50"/>
      <c r="DG89" s="50"/>
      <c r="DH89" s="50"/>
      <c r="DI89" s="50"/>
      <c r="DJ89" s="50"/>
      <c r="DK89" s="50"/>
      <c r="DL89" s="50"/>
      <c r="DM89" s="50"/>
      <c r="DN89" s="50"/>
      <c r="DO89" s="50"/>
      <c r="DP89" s="50"/>
      <c r="DQ89" s="50"/>
      <c r="DR89" s="50"/>
      <c r="DS89" s="50"/>
      <c r="DT89" s="50"/>
      <c r="DU89" s="50"/>
      <c r="DV89" s="50"/>
      <c r="DW89" s="50"/>
      <c r="DX89" s="50"/>
      <c r="DY89" s="50"/>
      <c r="DZ89" s="50"/>
      <c r="EA89" s="50"/>
      <c r="EB89" s="50"/>
      <c r="EC89" s="50"/>
      <c r="ED89" s="50"/>
      <c r="EE89" s="50"/>
      <c r="EF89" s="50"/>
      <c r="EG89" s="50"/>
      <c r="EH89" s="50"/>
      <c r="EI89" s="50"/>
      <c r="EJ89" s="50"/>
      <c r="EK89" s="50"/>
      <c r="EL89" s="50"/>
      <c r="EM89" s="50"/>
      <c r="EN89" s="50"/>
      <c r="EO89" s="50"/>
      <c r="EP89" s="50"/>
      <c r="EQ89" s="50"/>
      <c r="ER89" s="50"/>
      <c r="ES89" s="50"/>
      <c r="ET89" s="50"/>
      <c r="EU89" s="50"/>
      <c r="EV89" s="50"/>
      <c r="EW89" s="50"/>
      <c r="EX89" s="50"/>
    </row>
    <row r="90" ht="15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  <c r="DB90" s="50"/>
      <c r="DC90" s="50"/>
      <c r="DD90" s="50"/>
      <c r="DE90" s="50"/>
      <c r="DF90" s="50"/>
      <c r="DG90" s="50"/>
      <c r="DH90" s="50"/>
      <c r="DI90" s="50"/>
      <c r="DJ90" s="50"/>
      <c r="DK90" s="50"/>
      <c r="DL90" s="50"/>
      <c r="DM90" s="50"/>
      <c r="DN90" s="50"/>
      <c r="DO90" s="50"/>
      <c r="DP90" s="50"/>
      <c r="DQ90" s="50"/>
      <c r="DR90" s="50"/>
      <c r="DS90" s="50"/>
      <c r="DT90" s="50"/>
      <c r="DU90" s="50"/>
      <c r="DV90" s="50"/>
      <c r="DW90" s="50"/>
      <c r="DX90" s="50"/>
      <c r="DY90" s="50"/>
      <c r="DZ90" s="50"/>
      <c r="EA90" s="50"/>
      <c r="EB90" s="50"/>
      <c r="EC90" s="50"/>
      <c r="ED90" s="50"/>
      <c r="EE90" s="50"/>
      <c r="EF90" s="50"/>
      <c r="EG90" s="50"/>
      <c r="EH90" s="50"/>
      <c r="EI90" s="50"/>
      <c r="EJ90" s="50"/>
      <c r="EK90" s="50"/>
      <c r="EL90" s="50"/>
      <c r="EM90" s="50"/>
      <c r="EN90" s="50"/>
      <c r="EO90" s="50"/>
      <c r="EP90" s="50"/>
      <c r="EQ90" s="50"/>
      <c r="ER90" s="50"/>
      <c r="ES90" s="50"/>
      <c r="ET90" s="50"/>
      <c r="EU90" s="50"/>
      <c r="EV90" s="50"/>
      <c r="EW90" s="50"/>
      <c r="EX90" s="50"/>
    </row>
    <row r="91" ht="15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0"/>
      <c r="CS91" s="50"/>
      <c r="CT91" s="50"/>
      <c r="CU91" s="50"/>
      <c r="CV91" s="50"/>
      <c r="CW91" s="50"/>
      <c r="CX91" s="50"/>
      <c r="CY91" s="50"/>
      <c r="CZ91" s="50"/>
      <c r="DA91" s="50"/>
      <c r="DB91" s="50"/>
      <c r="DC91" s="50"/>
      <c r="DD91" s="50"/>
      <c r="DE91" s="50"/>
      <c r="DF91" s="50"/>
      <c r="DG91" s="50"/>
      <c r="DH91" s="50"/>
      <c r="DI91" s="50"/>
      <c r="DJ91" s="50"/>
      <c r="DK91" s="50"/>
      <c r="DL91" s="50"/>
      <c r="DM91" s="50"/>
      <c r="DN91" s="50"/>
      <c r="DO91" s="50"/>
      <c r="DP91" s="50"/>
      <c r="DQ91" s="50"/>
      <c r="DR91" s="50"/>
      <c r="DS91" s="50"/>
      <c r="DT91" s="50"/>
      <c r="DU91" s="50"/>
      <c r="DV91" s="50"/>
      <c r="DW91" s="50"/>
      <c r="DX91" s="50"/>
      <c r="DY91" s="50"/>
      <c r="DZ91" s="50"/>
      <c r="EA91" s="50"/>
      <c r="EB91" s="50"/>
      <c r="EC91" s="50"/>
      <c r="ED91" s="50"/>
      <c r="EE91" s="50"/>
      <c r="EF91" s="50"/>
      <c r="EG91" s="50"/>
      <c r="EH91" s="50"/>
      <c r="EI91" s="50"/>
      <c r="EJ91" s="50"/>
      <c r="EK91" s="50"/>
      <c r="EL91" s="50"/>
      <c r="EM91" s="50"/>
      <c r="EN91" s="50"/>
      <c r="EO91" s="50"/>
      <c r="EP91" s="50"/>
      <c r="EQ91" s="50"/>
      <c r="ER91" s="50"/>
      <c r="ES91" s="50"/>
      <c r="ET91" s="50"/>
      <c r="EU91" s="50"/>
      <c r="EV91" s="50"/>
      <c r="EW91" s="50"/>
      <c r="EX91" s="50"/>
    </row>
    <row r="92" ht="15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  <c r="CP92" s="50"/>
      <c r="CQ92" s="50"/>
      <c r="CR92" s="50"/>
      <c r="CS92" s="50"/>
      <c r="CT92" s="50"/>
      <c r="CU92" s="50"/>
      <c r="CV92" s="50"/>
      <c r="CW92" s="50"/>
      <c r="CX92" s="50"/>
      <c r="CY92" s="50"/>
      <c r="CZ92" s="50"/>
      <c r="DA92" s="50"/>
      <c r="DB92" s="50"/>
      <c r="DC92" s="50"/>
      <c r="DD92" s="50"/>
      <c r="DE92" s="50"/>
      <c r="DF92" s="50"/>
      <c r="DG92" s="50"/>
      <c r="DH92" s="50"/>
      <c r="DI92" s="50"/>
      <c r="DJ92" s="50"/>
      <c r="DK92" s="50"/>
      <c r="DL92" s="50"/>
      <c r="DM92" s="50"/>
      <c r="DN92" s="50"/>
      <c r="DO92" s="50"/>
      <c r="DP92" s="50"/>
      <c r="DQ92" s="50"/>
      <c r="DR92" s="50"/>
      <c r="DS92" s="50"/>
      <c r="DT92" s="50"/>
      <c r="DU92" s="50"/>
      <c r="DV92" s="50"/>
      <c r="DW92" s="50"/>
      <c r="DX92" s="50"/>
      <c r="DY92" s="50"/>
      <c r="DZ92" s="50"/>
      <c r="EA92" s="50"/>
      <c r="EB92" s="50"/>
      <c r="EC92" s="50"/>
      <c r="ED92" s="50"/>
      <c r="EE92" s="50"/>
      <c r="EF92" s="50"/>
      <c r="EG92" s="50"/>
      <c r="EH92" s="50"/>
      <c r="EI92" s="50"/>
      <c r="EJ92" s="50"/>
      <c r="EK92" s="50"/>
      <c r="EL92" s="50"/>
      <c r="EM92" s="50"/>
      <c r="EN92" s="50"/>
      <c r="EO92" s="50"/>
      <c r="EP92" s="50"/>
      <c r="EQ92" s="50"/>
      <c r="ER92" s="50"/>
      <c r="ES92" s="50"/>
      <c r="ET92" s="50"/>
      <c r="EU92" s="50"/>
      <c r="EV92" s="50"/>
      <c r="EW92" s="50"/>
      <c r="EX92" s="50"/>
    </row>
    <row r="93" ht="15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50"/>
      <c r="CY93" s="50"/>
      <c r="CZ93" s="50"/>
      <c r="DA93" s="50"/>
      <c r="DB93" s="50"/>
      <c r="DC93" s="50"/>
      <c r="DD93" s="50"/>
      <c r="DE93" s="50"/>
      <c r="DF93" s="50"/>
      <c r="DG93" s="50"/>
      <c r="DH93" s="50"/>
      <c r="DI93" s="50"/>
      <c r="DJ93" s="50"/>
      <c r="DK93" s="50"/>
      <c r="DL93" s="50"/>
      <c r="DM93" s="50"/>
      <c r="DN93" s="50"/>
      <c r="DO93" s="50"/>
      <c r="DP93" s="50"/>
      <c r="DQ93" s="50"/>
      <c r="DR93" s="50"/>
      <c r="DS93" s="50"/>
      <c r="DT93" s="50"/>
      <c r="DU93" s="50"/>
      <c r="DV93" s="50"/>
      <c r="DW93" s="50"/>
      <c r="DX93" s="50"/>
      <c r="DY93" s="50"/>
      <c r="DZ93" s="50"/>
      <c r="EA93" s="50"/>
      <c r="EB93" s="50"/>
      <c r="EC93" s="50"/>
      <c r="ED93" s="50"/>
      <c r="EE93" s="50"/>
      <c r="EF93" s="50"/>
      <c r="EG93" s="50"/>
      <c r="EH93" s="50"/>
      <c r="EI93" s="50"/>
      <c r="EJ93" s="50"/>
      <c r="EK93" s="50"/>
      <c r="EL93" s="50"/>
      <c r="EM93" s="50"/>
      <c r="EN93" s="50"/>
      <c r="EO93" s="50"/>
      <c r="EP93" s="50"/>
      <c r="EQ93" s="50"/>
      <c r="ER93" s="50"/>
      <c r="ES93" s="50"/>
      <c r="ET93" s="50"/>
      <c r="EU93" s="50"/>
      <c r="EV93" s="50"/>
      <c r="EW93" s="50"/>
      <c r="EX93" s="50"/>
    </row>
    <row r="94" ht="15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  <c r="DA94" s="50"/>
      <c r="DB94" s="50"/>
      <c r="DC94" s="50"/>
      <c r="DD94" s="50"/>
      <c r="DE94" s="50"/>
      <c r="DF94" s="50"/>
      <c r="DG94" s="50"/>
      <c r="DH94" s="50"/>
      <c r="DI94" s="50"/>
      <c r="DJ94" s="50"/>
      <c r="DK94" s="50"/>
      <c r="DL94" s="50"/>
      <c r="DM94" s="50"/>
      <c r="DN94" s="50"/>
      <c r="DO94" s="50"/>
      <c r="DP94" s="50"/>
      <c r="DQ94" s="50"/>
      <c r="DR94" s="50"/>
      <c r="DS94" s="50"/>
      <c r="DT94" s="50"/>
      <c r="DU94" s="50"/>
      <c r="DV94" s="50"/>
      <c r="DW94" s="50"/>
      <c r="DX94" s="50"/>
      <c r="DY94" s="50"/>
      <c r="DZ94" s="50"/>
      <c r="EA94" s="50"/>
      <c r="EB94" s="50"/>
      <c r="EC94" s="50"/>
      <c r="ED94" s="50"/>
      <c r="EE94" s="50"/>
      <c r="EF94" s="50"/>
      <c r="EG94" s="50"/>
      <c r="EH94" s="50"/>
      <c r="EI94" s="50"/>
      <c r="EJ94" s="50"/>
      <c r="EK94" s="50"/>
      <c r="EL94" s="50"/>
      <c r="EM94" s="50"/>
      <c r="EN94" s="50"/>
      <c r="EO94" s="50"/>
      <c r="EP94" s="50"/>
      <c r="EQ94" s="50"/>
      <c r="ER94" s="50"/>
      <c r="ES94" s="50"/>
      <c r="ET94" s="50"/>
      <c r="EU94" s="50"/>
      <c r="EV94" s="50"/>
      <c r="EW94" s="50"/>
      <c r="EX94" s="50"/>
    </row>
    <row r="95" ht="15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  <c r="DA95" s="50"/>
      <c r="DB95" s="50"/>
      <c r="DC95" s="50"/>
      <c r="DD95" s="50"/>
      <c r="DE95" s="50"/>
      <c r="DF95" s="50"/>
      <c r="DG95" s="50"/>
      <c r="DH95" s="50"/>
      <c r="DI95" s="50"/>
      <c r="DJ95" s="50"/>
      <c r="DK95" s="50"/>
      <c r="DL95" s="50"/>
      <c r="DM95" s="50"/>
      <c r="DN95" s="50"/>
      <c r="DO95" s="50"/>
      <c r="DP95" s="50"/>
      <c r="DQ95" s="50"/>
      <c r="DR95" s="50"/>
      <c r="DS95" s="50"/>
      <c r="DT95" s="50"/>
      <c r="DU95" s="50"/>
      <c r="DV95" s="50"/>
      <c r="DW95" s="50"/>
      <c r="DX95" s="50"/>
      <c r="DY95" s="50"/>
      <c r="DZ95" s="50"/>
      <c r="EA95" s="50"/>
      <c r="EB95" s="50"/>
      <c r="EC95" s="50"/>
      <c r="ED95" s="50"/>
      <c r="EE95" s="50"/>
      <c r="EF95" s="50"/>
      <c r="EG95" s="50"/>
      <c r="EH95" s="50"/>
      <c r="EI95" s="50"/>
      <c r="EJ95" s="50"/>
      <c r="EK95" s="50"/>
      <c r="EL95" s="50"/>
      <c r="EM95" s="50"/>
      <c r="EN95" s="50"/>
      <c r="EO95" s="50"/>
      <c r="EP95" s="50"/>
      <c r="EQ95" s="50"/>
      <c r="ER95" s="50"/>
      <c r="ES95" s="50"/>
      <c r="ET95" s="50"/>
      <c r="EU95" s="50"/>
      <c r="EV95" s="50"/>
      <c r="EW95" s="50"/>
      <c r="EX95" s="50"/>
    </row>
    <row r="96" ht="15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  <c r="CP96" s="50"/>
      <c r="CQ96" s="50"/>
      <c r="CR96" s="50"/>
      <c r="CS96" s="50"/>
      <c r="CT96" s="50"/>
      <c r="CU96" s="50"/>
      <c r="CV96" s="50"/>
      <c r="CW96" s="50"/>
      <c r="CX96" s="50"/>
      <c r="CY96" s="50"/>
      <c r="CZ96" s="50"/>
      <c r="DA96" s="50"/>
      <c r="DB96" s="50"/>
      <c r="DC96" s="50"/>
      <c r="DD96" s="50"/>
      <c r="DE96" s="50"/>
      <c r="DF96" s="50"/>
      <c r="DG96" s="50"/>
      <c r="DH96" s="50"/>
      <c r="DI96" s="50"/>
      <c r="DJ96" s="50"/>
      <c r="DK96" s="50"/>
      <c r="DL96" s="50"/>
      <c r="DM96" s="50"/>
      <c r="DN96" s="50"/>
      <c r="DO96" s="50"/>
      <c r="DP96" s="50"/>
      <c r="DQ96" s="50"/>
      <c r="DR96" s="50"/>
      <c r="DS96" s="50"/>
      <c r="DT96" s="50"/>
      <c r="DU96" s="50"/>
      <c r="DV96" s="50"/>
      <c r="DW96" s="50"/>
      <c r="DX96" s="50"/>
      <c r="DY96" s="50"/>
      <c r="DZ96" s="50"/>
      <c r="EA96" s="50"/>
      <c r="EB96" s="50"/>
      <c r="EC96" s="50"/>
      <c r="ED96" s="50"/>
      <c r="EE96" s="50"/>
      <c r="EF96" s="50"/>
      <c r="EG96" s="50"/>
      <c r="EH96" s="50"/>
      <c r="EI96" s="50"/>
      <c r="EJ96" s="50"/>
      <c r="EK96" s="50"/>
      <c r="EL96" s="50"/>
      <c r="EM96" s="50"/>
      <c r="EN96" s="50"/>
      <c r="EO96" s="50"/>
      <c r="EP96" s="50"/>
      <c r="EQ96" s="50"/>
      <c r="ER96" s="50"/>
      <c r="ES96" s="50"/>
      <c r="ET96" s="50"/>
      <c r="EU96" s="50"/>
      <c r="EV96" s="50"/>
      <c r="EW96" s="50"/>
      <c r="EX96" s="50"/>
    </row>
    <row r="97" ht="15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50"/>
      <c r="DB97" s="50"/>
      <c r="DC97" s="50"/>
      <c r="DD97" s="50"/>
      <c r="DE97" s="50"/>
      <c r="DF97" s="50"/>
      <c r="DG97" s="50"/>
      <c r="DH97" s="50"/>
      <c r="DI97" s="50"/>
      <c r="DJ97" s="50"/>
      <c r="DK97" s="50"/>
      <c r="DL97" s="50"/>
      <c r="DM97" s="50"/>
      <c r="DN97" s="50"/>
      <c r="DO97" s="50"/>
      <c r="DP97" s="50"/>
      <c r="DQ97" s="50"/>
      <c r="DR97" s="50"/>
      <c r="DS97" s="50"/>
      <c r="DT97" s="50"/>
      <c r="DU97" s="50"/>
      <c r="DV97" s="50"/>
      <c r="DW97" s="50"/>
      <c r="DX97" s="50"/>
      <c r="DY97" s="50"/>
      <c r="DZ97" s="50"/>
      <c r="EA97" s="50"/>
      <c r="EB97" s="50"/>
      <c r="EC97" s="50"/>
      <c r="ED97" s="50"/>
      <c r="EE97" s="50"/>
      <c r="EF97" s="50"/>
      <c r="EG97" s="50"/>
      <c r="EH97" s="50"/>
      <c r="EI97" s="50"/>
      <c r="EJ97" s="50"/>
      <c r="EK97" s="50"/>
      <c r="EL97" s="50"/>
      <c r="EM97" s="50"/>
      <c r="EN97" s="50"/>
      <c r="EO97" s="50"/>
      <c r="EP97" s="50"/>
      <c r="EQ97" s="50"/>
      <c r="ER97" s="50"/>
      <c r="ES97" s="50"/>
      <c r="ET97" s="50"/>
      <c r="EU97" s="50"/>
      <c r="EV97" s="50"/>
      <c r="EW97" s="50"/>
      <c r="EX97" s="50"/>
    </row>
    <row r="98" ht="15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50"/>
      <c r="DB98" s="50"/>
      <c r="DC98" s="50"/>
      <c r="DD98" s="50"/>
      <c r="DE98" s="50"/>
      <c r="DF98" s="50"/>
      <c r="DG98" s="50"/>
      <c r="DH98" s="50"/>
      <c r="DI98" s="50"/>
      <c r="DJ98" s="50"/>
      <c r="DK98" s="50"/>
      <c r="DL98" s="50"/>
      <c r="DM98" s="50"/>
      <c r="DN98" s="50"/>
      <c r="DO98" s="50"/>
      <c r="DP98" s="50"/>
      <c r="DQ98" s="50"/>
      <c r="DR98" s="50"/>
      <c r="DS98" s="50"/>
      <c r="DT98" s="50"/>
      <c r="DU98" s="50"/>
      <c r="DV98" s="50"/>
      <c r="DW98" s="50"/>
      <c r="DX98" s="50"/>
      <c r="DY98" s="50"/>
      <c r="DZ98" s="50"/>
      <c r="EA98" s="50"/>
      <c r="EB98" s="50"/>
      <c r="EC98" s="50"/>
      <c r="ED98" s="50"/>
      <c r="EE98" s="50"/>
      <c r="EF98" s="50"/>
      <c r="EG98" s="50"/>
      <c r="EH98" s="50"/>
      <c r="EI98" s="50"/>
      <c r="EJ98" s="50"/>
      <c r="EK98" s="50"/>
      <c r="EL98" s="50"/>
      <c r="EM98" s="50"/>
      <c r="EN98" s="50"/>
      <c r="EO98" s="50"/>
      <c r="EP98" s="50"/>
      <c r="EQ98" s="50"/>
      <c r="ER98" s="50"/>
      <c r="ES98" s="50"/>
      <c r="ET98" s="50"/>
      <c r="EU98" s="50"/>
      <c r="EV98" s="50"/>
      <c r="EW98" s="50"/>
      <c r="EX98" s="50"/>
    </row>
    <row r="99" ht="15.7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  <c r="CP99" s="50"/>
      <c r="CQ99" s="50"/>
      <c r="CR99" s="50"/>
      <c r="CS99" s="50"/>
      <c r="CT99" s="50"/>
      <c r="CU99" s="50"/>
      <c r="CV99" s="50"/>
      <c r="CW99" s="50"/>
      <c r="CX99" s="50"/>
      <c r="CY99" s="50"/>
      <c r="CZ99" s="50"/>
      <c r="DA99" s="50"/>
      <c r="DB99" s="50"/>
      <c r="DC99" s="50"/>
      <c r="DD99" s="50"/>
      <c r="DE99" s="50"/>
      <c r="DF99" s="50"/>
      <c r="DG99" s="50"/>
      <c r="DH99" s="50"/>
      <c r="DI99" s="50"/>
      <c r="DJ99" s="50"/>
      <c r="DK99" s="50"/>
      <c r="DL99" s="50"/>
      <c r="DM99" s="50"/>
      <c r="DN99" s="50"/>
      <c r="DO99" s="50"/>
      <c r="DP99" s="50"/>
      <c r="DQ99" s="50"/>
      <c r="DR99" s="50"/>
      <c r="DS99" s="50"/>
      <c r="DT99" s="50"/>
      <c r="DU99" s="50"/>
      <c r="DV99" s="50"/>
      <c r="DW99" s="50"/>
      <c r="DX99" s="50"/>
      <c r="DY99" s="50"/>
      <c r="DZ99" s="50"/>
      <c r="EA99" s="50"/>
      <c r="EB99" s="50"/>
      <c r="EC99" s="50"/>
      <c r="ED99" s="50"/>
      <c r="EE99" s="50"/>
      <c r="EF99" s="50"/>
      <c r="EG99" s="50"/>
      <c r="EH99" s="50"/>
      <c r="EI99" s="50"/>
      <c r="EJ99" s="50"/>
      <c r="EK99" s="50"/>
      <c r="EL99" s="50"/>
      <c r="EM99" s="50"/>
      <c r="EN99" s="50"/>
      <c r="EO99" s="50"/>
      <c r="EP99" s="50"/>
      <c r="EQ99" s="50"/>
      <c r="ER99" s="50"/>
      <c r="ES99" s="50"/>
      <c r="ET99" s="50"/>
      <c r="EU99" s="50"/>
      <c r="EV99" s="50"/>
      <c r="EW99" s="50"/>
      <c r="EX99" s="50"/>
    </row>
    <row r="100" ht="15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  <c r="CE100" s="50"/>
      <c r="CF100" s="50"/>
      <c r="CG100" s="50"/>
      <c r="CH100" s="50"/>
      <c r="CI100" s="50"/>
      <c r="CJ100" s="50"/>
      <c r="CK100" s="50"/>
      <c r="CL100" s="50"/>
      <c r="CM100" s="50"/>
      <c r="CN100" s="50"/>
      <c r="CO100" s="50"/>
      <c r="CP100" s="50"/>
      <c r="CQ100" s="50"/>
      <c r="CR100" s="50"/>
      <c r="CS100" s="50"/>
      <c r="CT100" s="50"/>
      <c r="CU100" s="50"/>
      <c r="CV100" s="50"/>
      <c r="CW100" s="50"/>
      <c r="CX100" s="50"/>
      <c r="CY100" s="50"/>
      <c r="CZ100" s="50"/>
      <c r="DA100" s="50"/>
      <c r="DB100" s="50"/>
      <c r="DC100" s="50"/>
      <c r="DD100" s="50"/>
      <c r="DE100" s="50"/>
      <c r="DF100" s="50"/>
      <c r="DG100" s="50"/>
      <c r="DH100" s="50"/>
      <c r="DI100" s="50"/>
      <c r="DJ100" s="50"/>
      <c r="DK100" s="50"/>
      <c r="DL100" s="50"/>
      <c r="DM100" s="50"/>
      <c r="DN100" s="50"/>
      <c r="DO100" s="50"/>
      <c r="DP100" s="50"/>
      <c r="DQ100" s="50"/>
      <c r="DR100" s="50"/>
      <c r="DS100" s="50"/>
      <c r="DT100" s="50"/>
      <c r="DU100" s="50"/>
      <c r="DV100" s="50"/>
      <c r="DW100" s="50"/>
      <c r="DX100" s="50"/>
      <c r="DY100" s="50"/>
      <c r="DZ100" s="50"/>
      <c r="EA100" s="50"/>
      <c r="EB100" s="50"/>
      <c r="EC100" s="50"/>
      <c r="ED100" s="50"/>
      <c r="EE100" s="50"/>
      <c r="EF100" s="50"/>
      <c r="EG100" s="50"/>
      <c r="EH100" s="50"/>
      <c r="EI100" s="50"/>
      <c r="EJ100" s="50"/>
      <c r="EK100" s="50"/>
      <c r="EL100" s="50"/>
      <c r="EM100" s="50"/>
      <c r="EN100" s="50"/>
      <c r="EO100" s="50"/>
      <c r="EP100" s="50"/>
      <c r="EQ100" s="50"/>
      <c r="ER100" s="50"/>
      <c r="ES100" s="50"/>
      <c r="ET100" s="50"/>
      <c r="EU100" s="50"/>
      <c r="EV100" s="50"/>
      <c r="EW100" s="50"/>
      <c r="EX100" s="5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59" t="s">
        <v>21</v>
      </c>
      <c r="I6" s="60">
        <v>0.0</v>
      </c>
      <c r="J6" s="61">
        <v>35.0</v>
      </c>
      <c r="K6" s="61">
        <v>35.0</v>
      </c>
      <c r="L6" s="61">
        <v>35.0</v>
      </c>
      <c r="M6" s="59" t="s">
        <v>40</v>
      </c>
      <c r="N6" s="62"/>
      <c r="O6" s="59" t="s">
        <v>22</v>
      </c>
      <c r="P6" s="62"/>
      <c r="Q6" s="62" t="s">
        <v>21</v>
      </c>
      <c r="R6" s="62"/>
      <c r="S6" s="62"/>
      <c r="T6" s="63" t="s">
        <v>43</v>
      </c>
      <c r="U6" s="63" t="s">
        <v>43</v>
      </c>
      <c r="V6" s="40"/>
      <c r="W6" s="40"/>
      <c r="X6" s="40"/>
      <c r="Y6" s="40"/>
      <c r="Z6" s="40"/>
      <c r="AA6" s="40"/>
      <c r="AB6" s="61">
        <v>350.0</v>
      </c>
      <c r="AC6" s="40"/>
      <c r="AD6" s="61">
        <v>350.0</v>
      </c>
      <c r="AE6" s="40"/>
      <c r="AF6" s="40"/>
      <c r="AG6" s="43">
        <v>35.0</v>
      </c>
      <c r="AH6" s="61">
        <v>350.0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64">
        <v>10.0</v>
      </c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59" t="s">
        <v>21</v>
      </c>
      <c r="I7" s="60">
        <v>0.0</v>
      </c>
      <c r="J7" s="61">
        <v>35.0</v>
      </c>
      <c r="K7" s="61">
        <v>35.0</v>
      </c>
      <c r="L7" s="61">
        <v>35.0</v>
      </c>
      <c r="M7" s="59" t="s">
        <v>40</v>
      </c>
      <c r="N7" s="62"/>
      <c r="O7" s="59" t="s">
        <v>22</v>
      </c>
      <c r="P7" s="62"/>
      <c r="Q7" s="62" t="s">
        <v>21</v>
      </c>
      <c r="R7" s="62"/>
      <c r="S7" s="62"/>
      <c r="T7" s="63" t="s">
        <v>44</v>
      </c>
      <c r="U7" s="63" t="s">
        <v>44</v>
      </c>
      <c r="V7" s="40"/>
      <c r="W7" s="40"/>
      <c r="X7" s="40"/>
      <c r="Y7" s="40"/>
      <c r="Z7" s="40"/>
      <c r="AA7" s="40"/>
      <c r="AB7" s="61">
        <v>350.0</v>
      </c>
      <c r="AC7" s="40"/>
      <c r="AD7" s="61">
        <v>350.0</v>
      </c>
      <c r="AE7" s="40"/>
      <c r="AF7" s="40"/>
      <c r="AG7" s="43">
        <v>35.0</v>
      </c>
      <c r="AH7" s="61">
        <v>350.0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64">
        <v>10.0</v>
      </c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/>
      <c r="D8" s="36"/>
      <c r="E8" s="36"/>
      <c r="F8" s="36"/>
      <c r="G8" s="36"/>
      <c r="H8" s="59" t="s">
        <v>21</v>
      </c>
      <c r="I8" s="60">
        <v>0.0</v>
      </c>
      <c r="J8" s="60">
        <v>15.0</v>
      </c>
      <c r="K8" s="60">
        <v>15.0</v>
      </c>
      <c r="L8" s="60">
        <v>15.0</v>
      </c>
      <c r="M8" s="59" t="s">
        <v>41</v>
      </c>
      <c r="N8" s="62"/>
      <c r="O8" s="59" t="s">
        <v>22</v>
      </c>
      <c r="P8" s="62"/>
      <c r="Q8" s="62" t="s">
        <v>21</v>
      </c>
      <c r="R8" s="62"/>
      <c r="S8" s="62"/>
      <c r="T8" s="63" t="s">
        <v>43</v>
      </c>
      <c r="U8" s="63" t="s">
        <v>43</v>
      </c>
      <c r="V8" s="40"/>
      <c r="W8" s="40"/>
      <c r="X8" s="40"/>
      <c r="Y8" s="40"/>
      <c r="Z8" s="40"/>
      <c r="AA8" s="40"/>
      <c r="AB8" s="61">
        <v>150.0</v>
      </c>
      <c r="AC8" s="40"/>
      <c r="AD8" s="61">
        <v>150.0</v>
      </c>
      <c r="AE8" s="40"/>
      <c r="AF8" s="40"/>
      <c r="AG8" s="43">
        <v>15.0</v>
      </c>
      <c r="AH8" s="61">
        <v>150.0</v>
      </c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64">
        <v>10.0</v>
      </c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36"/>
      <c r="B9" s="36"/>
      <c r="C9" s="36"/>
      <c r="D9" s="36"/>
      <c r="E9" s="36"/>
      <c r="F9" s="36"/>
      <c r="G9" s="36"/>
      <c r="H9" s="59" t="s">
        <v>21</v>
      </c>
      <c r="I9" s="60">
        <v>0.0</v>
      </c>
      <c r="J9" s="60">
        <v>15.0</v>
      </c>
      <c r="K9" s="60">
        <v>15.0</v>
      </c>
      <c r="L9" s="60">
        <v>15.0</v>
      </c>
      <c r="M9" s="59" t="s">
        <v>41</v>
      </c>
      <c r="N9" s="62"/>
      <c r="O9" s="59" t="s">
        <v>22</v>
      </c>
      <c r="P9" s="62"/>
      <c r="Q9" s="62" t="s">
        <v>21</v>
      </c>
      <c r="R9" s="62"/>
      <c r="S9" s="62"/>
      <c r="T9" s="65" t="s">
        <v>44</v>
      </c>
      <c r="U9" s="65" t="s">
        <v>44</v>
      </c>
      <c r="V9" s="40"/>
      <c r="W9" s="40"/>
      <c r="X9" s="40"/>
      <c r="Y9" s="40"/>
      <c r="Z9" s="40"/>
      <c r="AA9" s="40"/>
      <c r="AB9" s="61">
        <v>150.0</v>
      </c>
      <c r="AC9" s="40"/>
      <c r="AD9" s="61">
        <v>150.0</v>
      </c>
      <c r="AE9" s="40"/>
      <c r="AF9" s="40"/>
      <c r="AG9" s="43">
        <v>15.0</v>
      </c>
      <c r="AH9" s="61">
        <v>150.0</v>
      </c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64">
        <v>10.0</v>
      </c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50"/>
      <c r="FF2" s="50"/>
      <c r="FG2" s="50"/>
      <c r="FH2" s="50"/>
      <c r="FI2" s="50"/>
      <c r="FJ2" s="50"/>
      <c r="FK2" s="50"/>
      <c r="FL2" s="50"/>
      <c r="FM2" s="50"/>
      <c r="FN2" s="50"/>
      <c r="FO2" s="50"/>
      <c r="FP2" s="50"/>
      <c r="FQ2" s="50"/>
      <c r="FR2" s="50"/>
      <c r="FS2" s="50"/>
      <c r="FT2" s="50"/>
      <c r="FU2" s="50"/>
      <c r="FV2" s="50"/>
      <c r="FW2" s="50"/>
      <c r="FX2" s="50"/>
      <c r="FY2" s="50"/>
      <c r="FZ2" s="50"/>
      <c r="GA2" s="50"/>
      <c r="GB2" s="50"/>
      <c r="GC2" s="50"/>
      <c r="GD2" s="50"/>
      <c r="GE2" s="50"/>
      <c r="GF2" s="50"/>
      <c r="GG2" s="50"/>
      <c r="GH2" s="50"/>
      <c r="GI2" s="50"/>
      <c r="GJ2" s="50"/>
      <c r="GK2" s="50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1"/>
      <c r="CS3" s="51"/>
      <c r="CT3" s="51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1"/>
      <c r="DG3" s="51"/>
      <c r="DH3" s="51"/>
      <c r="DI3" s="51"/>
      <c r="DJ3" s="51"/>
      <c r="DK3" s="51"/>
      <c r="DL3" s="51"/>
      <c r="DM3" s="51"/>
      <c r="DN3" s="51"/>
      <c r="DO3" s="51"/>
      <c r="DP3" s="51"/>
      <c r="DQ3" s="51"/>
      <c r="DR3" s="51"/>
      <c r="DS3" s="51"/>
      <c r="DT3" s="51"/>
      <c r="DU3" s="51"/>
      <c r="DV3" s="51"/>
      <c r="DW3" s="51"/>
      <c r="DX3" s="51"/>
      <c r="DY3" s="51"/>
      <c r="DZ3" s="51"/>
      <c r="EA3" s="51"/>
      <c r="EB3" s="51"/>
      <c r="EC3" s="51"/>
      <c r="ED3" s="51"/>
      <c r="EE3" s="51"/>
      <c r="EF3" s="51"/>
      <c r="EG3" s="51"/>
      <c r="EH3" s="51"/>
      <c r="EI3" s="51"/>
      <c r="EJ3" s="51"/>
      <c r="EK3" s="51"/>
      <c r="EL3" s="51"/>
      <c r="EM3" s="51"/>
      <c r="EN3" s="51"/>
      <c r="EO3" s="51"/>
      <c r="EP3" s="51"/>
      <c r="EQ3" s="51"/>
      <c r="ER3" s="51"/>
      <c r="ES3" s="51"/>
      <c r="ET3" s="51"/>
      <c r="EU3" s="51"/>
      <c r="EV3" s="51"/>
      <c r="EW3" s="51"/>
      <c r="EX3" s="51"/>
      <c r="EY3" s="51"/>
      <c r="EZ3" s="51"/>
      <c r="FA3" s="51"/>
      <c r="FB3" s="51"/>
      <c r="FC3" s="51"/>
      <c r="FD3" s="51"/>
      <c r="FE3" s="51"/>
      <c r="FF3" s="51"/>
      <c r="FG3" s="51"/>
      <c r="FH3" s="51"/>
      <c r="FI3" s="51"/>
      <c r="FJ3" s="51"/>
      <c r="FK3" s="51"/>
      <c r="FL3" s="51"/>
      <c r="FM3" s="51"/>
      <c r="FN3" s="51"/>
      <c r="FO3" s="51"/>
      <c r="FP3" s="51"/>
      <c r="FQ3" s="51"/>
      <c r="FR3" s="51"/>
      <c r="FS3" s="51"/>
      <c r="FT3" s="51"/>
      <c r="FU3" s="51"/>
      <c r="FV3" s="51"/>
      <c r="FW3" s="51"/>
      <c r="FX3" s="51"/>
      <c r="FY3" s="51"/>
      <c r="FZ3" s="51"/>
      <c r="GA3" s="51"/>
      <c r="GB3" s="51"/>
      <c r="GC3" s="51"/>
      <c r="GD3" s="51"/>
      <c r="GE3" s="51"/>
      <c r="GF3" s="51"/>
      <c r="GG3" s="51"/>
      <c r="GH3" s="51"/>
      <c r="GI3" s="51"/>
      <c r="GJ3" s="51"/>
      <c r="GK3" s="51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52" t="str">
        <f>IFERROR(__xludf.DUMMYFUNCTION("""COMPUTED_VALUE"""),"VerifyDbNavWindow")</f>
        <v>VerifyDbNavWindow</v>
      </c>
      <c r="Q4" s="52" t="str">
        <f>IFERROR(__xludf.DUMMYFUNCTION("""COMPUTED_VALUE"""),"VerifyGlobalDivisorWindow")</f>
        <v>VerifyGlobalDivisorWindow</v>
      </c>
      <c r="R4" s="52" t="str">
        <f>IFERROR(__xludf.DUMMYFUNCTION("""COMPUTED_VALUE"""),"VerifyPmCalculationPreferenceWindow")</f>
        <v>VerifyPmCalculationPreferenceWindow</v>
      </c>
      <c r="S4" s="52" t="str">
        <f>IFERROR(__xludf.DUMMYFUNCTION("""COMPUTED_VALUE"""),"VerifyRowCalculationBaseWindow")</f>
        <v>VerifyRowCalculationBaseWindow</v>
      </c>
      <c r="T4" s="52" t="str">
        <f>IFERROR(__xludf.DUMMYFUNCTION("""COMPUTED_VALUE"""),"VerifySecurityWindow")</f>
        <v>VerifySecurityWindow</v>
      </c>
      <c r="U4" s="52" t="str">
        <f>IFERROR(__xludf.DUMMYFUNCTION("""COMPUTED_VALUE"""),"VerifySymbolDataWindow")</f>
        <v>VerifySymbolDataWindow</v>
      </c>
      <c r="V4" s="52" t="str">
        <f>IFERROR(__xludf.DUMMYFUNCTION("""COMPUTED_VALUE"""),"VerifySymbolDivisorWindow")</f>
        <v>VerifySymbolDivisorWindow</v>
      </c>
      <c r="W4" s="52" t="str">
        <f>IFERROR(__xludf.DUMMYFUNCTION("""COMPUTED_VALUE"""),"VerifyTaxlotWindow")</f>
        <v>VerifyTaxlotWindow</v>
      </c>
      <c r="X4" s="52" t="str">
        <f>IFERROR(__xludf.DUMMYFUNCTION("""COMPUTED_VALUE"""),"RestartEsper")</f>
        <v>RestartEsper</v>
      </c>
      <c r="Y4" s="52" t="str">
        <f>IFERROR(__xludf.DUMMYFUNCTION("""COMPUTED_VALUE"""),"VerifyAccountNavPreferenceWindow")</f>
        <v>VerifyAccountNavPreferenceWindow</v>
      </c>
      <c r="Z4" s="52" t="str">
        <f>IFERROR(__xludf.DUMMYFUNCTION("""COMPUTED_VALUE"""),"VerifyAggregationAccountUnderlyingSymbolWithNav")</f>
        <v>VerifyAggregationAccountUnderlyingSymbolWithNav</v>
      </c>
      <c r="AA4" s="52" t="str">
        <f>IFERROR(__xludf.DUMMYFUNCTION("""COMPUTED_VALUE"""),"VerifyAggregationAssetWithNav")</f>
        <v>VerifyAggregationAssetWithNav</v>
      </c>
      <c r="AB4" s="52" t="str">
        <f>IFERROR(__xludf.DUMMYFUNCTION("""COMPUTED_VALUE"""),"VerifyAggregationSymbolWithNav")</f>
        <v>VerifyAggregationSymbolWithNav</v>
      </c>
      <c r="AC4" s="52" t="str">
        <f>IFERROR(__xludf.DUMMYFUNCTION("""COMPUTED_VALUE"""),"VerifyAggregationSubSectorWithNav")</f>
        <v>VerifyAggregationSubSectorWithNav</v>
      </c>
      <c r="AD4" s="52" t="str">
        <f>IFERROR(__xludf.DUMMYFUNCTION("""COMPUTED_VALUE"""),"VerifyAggregationGlobalWithNav")</f>
        <v>VerifyAggregationGlobalWithNav</v>
      </c>
      <c r="AE4" s="52" t="str">
        <f>IFERROR(__xludf.DUMMYFUNCTION("""COMPUTED_VALUE"""),"VerifyAggregationGlobalWithNav")</f>
        <v>VerifyAggregationGlobalWithNav</v>
      </c>
      <c r="AF4" s="52" t="str">
        <f>IFERROR(__xludf.DUMMYFUNCTION("""COMPUTED_VALUE"""),"VerifyGlobalDivisorWindow")</f>
        <v>VerifyGlobalDivisorWindow</v>
      </c>
      <c r="AG4" s="52" t="str">
        <f>IFERROR(__xludf.DUMMYFUNCTION("""COMPUTED_VALUE"""),"VerifyAccrualForAccountWindow")</f>
        <v>VerifyAccrualForAccountWindow</v>
      </c>
      <c r="AH4" s="52" t="str">
        <f>IFERROR(__xludf.DUMMYFUNCTION("""COMPUTED_VALUE"""),"VerifyGlobalDivisorWindow")</f>
        <v>VerifyGlobalDivisorWindow</v>
      </c>
      <c r="AI4" s="52" t="str">
        <f>IFERROR(__xludf.DUMMYFUNCTION("""COMPUTED_VALUE"""),"VerifyMasterFundDivisorWindow")</f>
        <v>VerifyMasterFundDivisorWindow</v>
      </c>
      <c r="AJ4" s="52" t="str">
        <f>IFERROR(__xludf.DUMMYFUNCTION("""COMPUTED_VALUE"""),"VerifyMasterFundSymbolDivisorWindow")</f>
        <v>VerifyMasterFundSymbolDivisorWindow</v>
      </c>
      <c r="AK4" s="52" t="str">
        <f>IFERROR(__xludf.DUMMYFUNCTION("""COMPUTED_VALUE"""),"VerifyAggAccountSymbolWithNav")</f>
        <v>VerifyAggAccountSymbolWithNav</v>
      </c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53" t="str">
        <f>IFERROR(__xludf.DUMMYFUNCTION("""COMPUTED_VALUE"""),"masterFundId")</f>
        <v>masterFundId</v>
      </c>
      <c r="U5" s="53" t="str">
        <f>IFERROR(__xludf.DUMMYFUNCTION("""COMPUTED_VALUE"""),"masterFundName")</f>
        <v>masterFundName</v>
      </c>
      <c r="V5" s="53" t="str">
        <f>IFERROR(__xludf.DUMMYFUNCTION("""COMPUTED_VALUE"""),"putOrCall")</f>
        <v>putOrCall</v>
      </c>
      <c r="W5" s="53" t="str">
        <f>IFERROR(__xludf.DUMMYFUNCTION("""COMPUTED_VALUE"""),"strikePrice")</f>
        <v>strikePrice</v>
      </c>
      <c r="X5" s="53" t="str">
        <f>IFERROR(__xludf.DUMMYFUNCTION("""COMPUTED_VALUE"""),"riskCurrency")</f>
        <v>riskCurrency</v>
      </c>
      <c r="Y5" s="53" t="str">
        <f>IFERROR(__xludf.DUMMYFUNCTION("""COMPUTED_VALUE"""),"issuer")</f>
        <v>issuer</v>
      </c>
      <c r="Z5" s="53" t="str">
        <f>IFERROR(__xludf.DUMMYFUNCTION("""COMPUTED_VALUE"""),"countryOfRisk")</f>
        <v>countryOfRisk</v>
      </c>
      <c r="AA5" s="53" t="str">
        <f>IFERROR(__xludf.DUMMYFUNCTION("""COMPUTED_VALUE"""),"region")</f>
        <v>region</v>
      </c>
      <c r="AB5" s="53" t="str">
        <f>IFERROR(__xludf.DUMMYFUNCTION("""COMPUTED_VALUE"""),"analyst")</f>
        <v>analyst</v>
      </c>
      <c r="AC5" s="53" t="str">
        <f>IFERROR(__xludf.DUMMYFUNCTION("""COMPUTED_VALUE"""),"ucitsEligibleTag")</f>
        <v>ucitsEligibleTag</v>
      </c>
      <c r="AD5" s="53" t="str">
        <f>IFERROR(__xludf.DUMMYFUNCTION("""COMPUTED_VALUE"""),"liquidTag")</f>
        <v>liquidTag</v>
      </c>
      <c r="AE5" s="53" t="str">
        <f>IFERROR(__xludf.DUMMYFUNCTION("""COMPUTED_VALUE"""),"marketCap")</f>
        <v>marketCap</v>
      </c>
      <c r="AF5" s="53" t="str">
        <f>IFERROR(__xludf.DUMMYFUNCTION("""COMPUTED_VALUE"""),"customUDA1")</f>
        <v>customUDA1</v>
      </c>
      <c r="AG5" s="53" t="str">
        <f>IFERROR(__xludf.DUMMYFUNCTION("""COMPUTED_VALUE"""),"customUDA2")</f>
        <v>customUDA2</v>
      </c>
      <c r="AH5" s="53" t="str">
        <f>IFERROR(__xludf.DUMMYFUNCTION("""COMPUTED_VALUE"""),"customUDA3")</f>
        <v>customUDA3</v>
      </c>
      <c r="AI5" s="53" t="str">
        <f>IFERROR(__xludf.DUMMYFUNCTION("""COMPUTED_VALUE"""),"customUDA4")</f>
        <v>customUDA4</v>
      </c>
      <c r="AJ5" s="53" t="str">
        <f>IFERROR(__xludf.DUMMYFUNCTION("""COMPUTED_VALUE"""),"customUDA5")</f>
        <v>customUDA5</v>
      </c>
      <c r="AK5" s="53" t="str">
        <f>IFERROR(__xludf.DUMMYFUNCTION("""COMPUTED_VALUE"""),"customUDA6")</f>
        <v>customUDA6</v>
      </c>
      <c r="AL5" s="53" t="str">
        <f>IFERROR(__xludf.DUMMYFUNCTION("""COMPUTED_VALUE"""),"customUDA7")</f>
        <v>customUDA7</v>
      </c>
      <c r="AM5" s="53" t="str">
        <f>IFERROR(__xludf.DUMMYFUNCTION("""COMPUTED_VALUE"""),"todayAbsTradeQuantity")</f>
        <v>todayAbsTradeQuantity</v>
      </c>
      <c r="AN5" s="53" t="str">
        <f>IFERROR(__xludf.DUMMYFUNCTION("""COMPUTED_VALUE"""),"todayLongTradeQuantity")</f>
        <v>todayLongTradeQuantity</v>
      </c>
      <c r="AO5" s="53" t="str">
        <f>IFERROR(__xludf.DUMMYFUNCTION("""COMPUTED_VALUE"""),"todayShortTradeQuantity")</f>
        <v>todayShortTradeQuantity</v>
      </c>
      <c r="AP5" s="53" t="str">
        <f>IFERROR(__xludf.DUMMYFUNCTION("""COMPUTED_VALUE"""),"todayNetNotionalBase")</f>
        <v>todayNetNotionalBase</v>
      </c>
      <c r="AQ5" s="53" t="str">
        <f>IFERROR(__xludf.DUMMYFUNCTION("""COMPUTED_VALUE"""),"todayLongNotionalBase")</f>
        <v>todayLongNotionalBase</v>
      </c>
      <c r="AR5" s="53" t="str">
        <f>IFERROR(__xludf.DUMMYFUNCTION("""COMPUTED_VALUE"""),"todayShortNotionalBase")</f>
        <v>todayShortNotionalBase</v>
      </c>
      <c r="AS5" s="53" t="str">
        <f>IFERROR(__xludf.DUMMYFUNCTION("""COMPUTED_VALUE"""),"quantity")</f>
        <v>quantity</v>
      </c>
      <c r="AT5" s="53" t="str">
        <f>IFERROR(__xludf.DUMMYFUNCTION("""COMPUTED_VALUE"""),"netMarketValueLocal")</f>
        <v>netMarketValueLocal</v>
      </c>
      <c r="AU5" s="53" t="str">
        <f>IFERROR(__xludf.DUMMYFUNCTION("""COMPUTED_VALUE"""),"yesterdayMarketValueLocal")</f>
        <v>yesterdayMarketValueLocal</v>
      </c>
      <c r="AV5" s="53" t="str">
        <f>IFERROR(__xludf.DUMMYFUNCTION("""COMPUTED_VALUE"""),"grossMarketValueLocal")</f>
        <v>grossMarketValueLocal</v>
      </c>
      <c r="AW5" s="53" t="str">
        <f>IFERROR(__xludf.DUMMYFUNCTION("""COMPUTED_VALUE"""),"notionalLocal")</f>
        <v>notionalLocal</v>
      </c>
      <c r="AX5" s="53" t="str">
        <f>IFERROR(__xludf.DUMMYFUNCTION("""COMPUTED_VALUE"""),"equityHaircutLocal")</f>
        <v>equityHaircutLocal</v>
      </c>
      <c r="AY5" s="53" t="str">
        <f>IFERROR(__xludf.DUMMYFUNCTION("""COMPUTED_VALUE"""),"indexHaircutLocal")</f>
        <v>indexHaircutLocal</v>
      </c>
      <c r="AZ5" s="53" t="str">
        <f>IFERROR(__xludf.DUMMYFUNCTION("""COMPUTED_VALUE"""),"equityHaircutBase")</f>
        <v>equityHaircutBase</v>
      </c>
      <c r="BA5" s="53" t="str">
        <f>IFERROR(__xludf.DUMMYFUNCTION("""COMPUTED_VALUE"""),"indexHaircutBase")</f>
        <v>indexHaircutBase</v>
      </c>
      <c r="BB5" s="53" t="str">
        <f>IFERROR(__xludf.DUMMYFUNCTION("""COMPUTED_VALUE"""),"cashImpactLocal")</f>
        <v>cashImpactLocal</v>
      </c>
      <c r="BC5" s="53" t="str">
        <f>IFERROR(__xludf.DUMMYFUNCTION("""COMPUTED_VALUE"""),"cashInflowLocal")</f>
        <v>cashInflowLocal</v>
      </c>
      <c r="BD5" s="53" t="str">
        <f>IFERROR(__xludf.DUMMYFUNCTION("""COMPUTED_VALUE"""),"cashOutflowLocal")</f>
        <v>cashOutflowLocal</v>
      </c>
      <c r="BE5" s="53" t="str">
        <f>IFERROR(__xludf.DUMMYFUNCTION("""COMPUTED_VALUE"""),"costBasisPnLLocal")</f>
        <v>costBasisPnLLocal</v>
      </c>
      <c r="BF5" s="53" t="str">
        <f>IFERROR(__xludf.DUMMYFUNCTION("""COMPUTED_VALUE"""),"dayPnLLocal")</f>
        <v>dayPnLLocal</v>
      </c>
      <c r="BG5" s="53" t="str">
        <f>IFERROR(__xludf.DUMMYFUNCTION("""COMPUTED_VALUE"""),"netExposureLocal")</f>
        <v>netExposureLocal</v>
      </c>
      <c r="BH5" s="53" t="str">
        <f>IFERROR(__xludf.DUMMYFUNCTION("""COMPUTED_VALUE"""),"grossExposureLocal")</f>
        <v>grossExposureLocal</v>
      </c>
      <c r="BI5" s="53" t="str">
        <f>IFERROR(__xludf.DUMMYFUNCTION("""COMPUTED_VALUE"""),"betaAdjustedExposureLocal")</f>
        <v>betaAdjustedExposureLocal</v>
      </c>
      <c r="BJ5" s="53" t="str">
        <f>IFERROR(__xludf.DUMMYFUNCTION("""COMPUTED_VALUE"""),"deltaAdjPosition")</f>
        <v>deltaAdjPosition</v>
      </c>
      <c r="BK5" s="53" t="str">
        <f>IFERROR(__xludf.DUMMYFUNCTION("""COMPUTED_VALUE"""),"liquidationPnlLocal")</f>
        <v>liquidationPnlLocal</v>
      </c>
      <c r="BL5" s="53" t="str">
        <f>IFERROR(__xludf.DUMMYFUNCTION("""COMPUTED_VALUE"""),"liquidationPnlBase")</f>
        <v>liquidationPnlBase</v>
      </c>
      <c r="BM5" s="53" t="str">
        <f>IFERROR(__xludf.DUMMYFUNCTION("""COMPUTED_VALUE"""),"underlyingValueForOptionsLocal")</f>
        <v>underlyingValueForOptionsLocal</v>
      </c>
      <c r="BN5" s="53" t="str">
        <f>IFERROR(__xludf.DUMMYFUNCTION("""COMPUTED_VALUE"""),"notionalBase")</f>
        <v>notionalBase</v>
      </c>
      <c r="BO5" s="53" t="str">
        <f>IFERROR(__xludf.DUMMYFUNCTION("""COMPUTED_VALUE"""),"cashImpactBase")</f>
        <v>cashImpactBase</v>
      </c>
      <c r="BP5" s="53" t="str">
        <f>IFERROR(__xludf.DUMMYFUNCTION("""COMPUTED_VALUE"""),"cashInflowBase")</f>
        <v>cashInflowBase</v>
      </c>
      <c r="BQ5" s="53" t="str">
        <f>IFERROR(__xludf.DUMMYFUNCTION("""COMPUTED_VALUE"""),"cashOutflowBase")</f>
        <v>cashOutflowBase</v>
      </c>
      <c r="BR5" s="53" t="str">
        <f>IFERROR(__xludf.DUMMYFUNCTION("""COMPUTED_VALUE"""),"netMarketValueBase")</f>
        <v>netMarketValueBase</v>
      </c>
      <c r="BS5" s="53" t="str">
        <f>IFERROR(__xludf.DUMMYFUNCTION("""COMPUTED_VALUE"""),"yesterdayMarketValueBase")</f>
        <v>yesterdayMarketValueBase</v>
      </c>
      <c r="BT5" s="53" t="str">
        <f>IFERROR(__xludf.DUMMYFUNCTION("""COMPUTED_VALUE"""),"grossMarketValueBase")</f>
        <v>grossMarketValueBase</v>
      </c>
      <c r="BU5" s="53" t="str">
        <f>IFERROR(__xludf.DUMMYFUNCTION("""COMPUTED_VALUE"""),"costBasisPnLBase")</f>
        <v>costBasisPnLBase</v>
      </c>
      <c r="BV5" s="53" t="str">
        <f>IFERROR(__xludf.DUMMYFUNCTION("""COMPUTED_VALUE"""),"dayPnLBase")</f>
        <v>dayPnLBase</v>
      </c>
      <c r="BW5" s="53" t="str">
        <f>IFERROR(__xludf.DUMMYFUNCTION("""COMPUTED_VALUE"""),"netExposureBase")</f>
        <v>netExposureBase</v>
      </c>
      <c r="BX5" s="53" t="str">
        <f>IFERROR(__xludf.DUMMYFUNCTION("""COMPUTED_VALUE"""),"grossExposureBase")</f>
        <v>grossExposureBase</v>
      </c>
      <c r="BY5" s="53" t="str">
        <f>IFERROR(__xludf.DUMMYFUNCTION("""COMPUTED_VALUE"""),"betaAdjustedExposureBase")</f>
        <v>betaAdjustedExposureBase</v>
      </c>
      <c r="BZ5" s="53" t="str">
        <f>IFERROR(__xludf.DUMMYFUNCTION("""COMPUTED_VALUE"""),"underlyingValueForOptionsBase")</f>
        <v>underlyingValueForOptionsBase</v>
      </c>
      <c r="CA5" s="53" t="str">
        <f>IFERROR(__xludf.DUMMYFUNCTION("""COMPUTED_VALUE"""),"currentFxRate")</f>
        <v>currentFxRate</v>
      </c>
      <c r="CB5" s="53" t="str">
        <f>IFERROR(__xludf.DUMMYFUNCTION("""COMPUTED_VALUE"""),"yesterdayFxRate")</f>
        <v>yesterdayFxRate</v>
      </c>
      <c r="CC5" s="53" t="str">
        <f>IFERROR(__xludf.DUMMYFUNCTION("""COMPUTED_VALUE"""),"fxConversionMethod")</f>
        <v>fxConversionMethod</v>
      </c>
      <c r="CD5" s="53" t="str">
        <f>IFERROR(__xludf.DUMMYFUNCTION("""COMPUTED_VALUE"""),"askPrice")</f>
        <v>askPrice</v>
      </c>
      <c r="CE5" s="53" t="str">
        <f>IFERROR(__xludf.DUMMYFUNCTION("""COMPUTED_VALUE"""),"bidPrice")</f>
        <v>bidPrice</v>
      </c>
      <c r="CF5" s="53" t="str">
        <f>IFERROR(__xludf.DUMMYFUNCTION("""COMPUTED_VALUE"""),"lowPrice")</f>
        <v>lowPrice</v>
      </c>
      <c r="CG5" s="53" t="str">
        <f>IFERROR(__xludf.DUMMYFUNCTION("""COMPUTED_VALUE"""),"highPrice")</f>
        <v>highPrice</v>
      </c>
      <c r="CH5" s="53" t="str">
        <f>IFERROR(__xludf.DUMMYFUNCTION("""COMPUTED_VALUE"""),"openPrice")</f>
        <v>openPrice</v>
      </c>
      <c r="CI5" s="53" t="str">
        <f>IFERROR(__xludf.DUMMYFUNCTION("""COMPUTED_VALUE"""),"closePrice")</f>
        <v>closePrice</v>
      </c>
      <c r="CJ5" s="53" t="str">
        <f>IFERROR(__xludf.DUMMYFUNCTION("""COMPUTED_VALUE"""),"lastPrice")</f>
        <v>lastPrice</v>
      </c>
      <c r="CK5" s="53" t="str">
        <f>IFERROR(__xludf.DUMMYFUNCTION("""COMPUTED_VALUE"""),"markPrice")</f>
        <v>markPrice</v>
      </c>
      <c r="CL5" s="53" t="str">
        <f>IFERROR(__xludf.DUMMYFUNCTION("""COMPUTED_VALUE"""),"delta")</f>
        <v>delta</v>
      </c>
      <c r="CM5" s="53" t="str">
        <f>IFERROR(__xludf.DUMMYFUNCTION("""COMPUTED_VALUE"""),"leveragedFactor")</f>
        <v>leveragedFactor</v>
      </c>
      <c r="CN5" s="53" t="str">
        <f>IFERROR(__xludf.DUMMYFUNCTION("""COMPUTED_VALUE"""),"beta5YearMonthly")</f>
        <v>beta5YearMonthly</v>
      </c>
      <c r="CO5" s="53" t="str">
        <f>IFERROR(__xludf.DUMMYFUNCTION("""COMPUTED_VALUE"""),"selectedFeedPrice")</f>
        <v>selectedFeedPrice</v>
      </c>
      <c r="CP5" s="53" t="str">
        <f>IFERROR(__xludf.DUMMYFUNCTION("""COMPUTED_VALUE"""),"openInterest")</f>
        <v>openInterest</v>
      </c>
      <c r="CQ5" s="53" t="str">
        <f>IFERROR(__xludf.DUMMYFUNCTION("""COMPUTED_VALUE"""),"underlyingPrice")</f>
        <v>underlyingPrice</v>
      </c>
      <c r="CR5" s="53" t="str">
        <f>IFERROR(__xludf.DUMMYFUNCTION("""COMPUTED_VALUE"""),"avgVolume20Days")</f>
        <v>avgVolume20Days</v>
      </c>
      <c r="CS5" s="53" t="str">
        <f>IFERROR(__xludf.DUMMYFUNCTION("""COMPUTED_VALUE"""),"percentAvgVolume")</f>
        <v>percentAvgVolume</v>
      </c>
      <c r="CT5" s="53" t="str">
        <f>IFERROR(__xludf.DUMMYFUNCTION("""COMPUTED_VALUE"""),"sharesOutstanding")</f>
        <v>sharesOutstanding</v>
      </c>
      <c r="CU5" s="53" t="str">
        <f>IFERROR(__xludf.DUMMYFUNCTION("""COMPUTED_VALUE"""),"underlyingSharesOutstanding")</f>
        <v>underlyingSharesOutstanding</v>
      </c>
      <c r="CV5" s="53" t="str">
        <f>IFERROR(__xludf.DUMMYFUNCTION("""COMPUTED_VALUE"""),"marketCapitalization")</f>
        <v>marketCapitalization</v>
      </c>
      <c r="CW5" s="53" t="str">
        <f>IFERROR(__xludf.DUMMYFUNCTION("""COMPUTED_VALUE"""),"underlyingMarketCapitalization")</f>
        <v>underlyingMarketCapitalization</v>
      </c>
      <c r="CX5" s="53" t="str">
        <f>IFERROR(__xludf.DUMMYFUNCTION("""COMPUTED_VALUE"""),"avgVolume")</f>
        <v>avgVolume</v>
      </c>
      <c r="CY5" s="53" t="str">
        <f>IFERROR(__xludf.DUMMYFUNCTION("""COMPUTED_VALUE"""),"businessDaysToExpire")</f>
        <v>businessDaysToExpire</v>
      </c>
      <c r="CZ5" s="53" t="str">
        <f>IFERROR(__xludf.DUMMYFUNCTION("""COMPUTED_VALUE"""),"actualDaysToExpire")</f>
        <v>actualDaysToExpire</v>
      </c>
      <c r="DA5" s="53" t="str">
        <f>IFERROR(__xludf.DUMMYFUNCTION("""COMPUTED_VALUE"""),"equivalent")</f>
        <v>equivalent</v>
      </c>
      <c r="DB5" s="53" t="str">
        <f>IFERROR(__xludf.DUMMYFUNCTION("""COMPUTED_VALUE"""),"multiplier")</f>
        <v>multiplier</v>
      </c>
      <c r="DC5" s="53" t="str">
        <f>IFERROR(__xludf.DUMMYFUNCTION("""COMPUTED_VALUE"""),"dayInterestBase")</f>
        <v>dayInterestBase</v>
      </c>
      <c r="DD5" s="53" t="str">
        <f>IFERROR(__xludf.DUMMYFUNCTION("""COMPUTED_VALUE"""),"totalInterestBase")</f>
        <v>totalInterestBase</v>
      </c>
      <c r="DE5" s="53" t="str">
        <f>IFERROR(__xludf.DUMMYFUNCTION("""COMPUTED_VALUE"""),"dayInterestLocal")</f>
        <v>dayInterestLocal</v>
      </c>
      <c r="DF5" s="53" t="str">
        <f>IFERROR(__xludf.DUMMYFUNCTION("""COMPUTED_VALUE"""),"totalInterestLocal")</f>
        <v>totalInterestLocal</v>
      </c>
      <c r="DG5" s="53" t="str">
        <f>IFERROR(__xludf.DUMMYFUNCTION("""COMPUTED_VALUE"""),"defaultPositionSide")</f>
        <v>defaultPositionSide</v>
      </c>
      <c r="DH5" s="53" t="str">
        <f>IFERROR(__xludf.DUMMYFUNCTION("""COMPUTED_VALUE"""),"exposurePositionSide")</f>
        <v>exposurePositionSide</v>
      </c>
      <c r="DI5" s="53" t="str">
        <f>IFERROR(__xludf.DUMMYFUNCTION("""COMPUTED_VALUE"""),"longNotionalBase")</f>
        <v>longNotionalBase</v>
      </c>
      <c r="DJ5" s="53" t="str">
        <f>IFERROR(__xludf.DUMMYFUNCTION("""COMPUTED_VALUE"""),"shortNotionalBase")</f>
        <v>shortNotionalBase</v>
      </c>
      <c r="DK5" s="53" t="str">
        <f>IFERROR(__xludf.DUMMYFUNCTION("""COMPUTED_VALUE"""),"shortMarketValueBase")</f>
        <v>shortMarketValueBase</v>
      </c>
      <c r="DL5" s="53" t="str">
        <f>IFERROR(__xludf.DUMMYFUNCTION("""COMPUTED_VALUE"""),"longMarketValueBase")</f>
        <v>longMarketValueBase</v>
      </c>
      <c r="DM5" s="53" t="str">
        <f>IFERROR(__xludf.DUMMYFUNCTION("""COMPUTED_VALUE"""),"shortExposureBase")</f>
        <v>shortExposureBase</v>
      </c>
      <c r="DN5" s="53" t="str">
        <f>IFERROR(__xludf.DUMMYFUNCTION("""COMPUTED_VALUE"""),"longExposureBase")</f>
        <v>longExposureBase</v>
      </c>
      <c r="DO5" s="53" t="str">
        <f>IFERROR(__xludf.DUMMYFUNCTION("""COMPUTED_VALUE"""),"globalNav")</f>
        <v>globalNav</v>
      </c>
      <c r="DP5" s="53" t="str">
        <f>IFERROR(__xludf.DUMMYFUNCTION("""COMPUTED_VALUE"""),"startOfDayNavGlobal")</f>
        <v>startOfDayNavGlobal</v>
      </c>
      <c r="DQ5" s="53" t="str">
        <f>IFERROR(__xludf.DUMMYFUNCTION("""COMPUTED_VALUE"""),"grossMarketValueBaseGlobal")</f>
        <v>grossMarketValueBaseGlobal</v>
      </c>
      <c r="DR5" s="53" t="str">
        <f>IFERROR(__xludf.DUMMYFUNCTION("""COMPUTED_VALUE"""),"grossExposureBaseGlobal")</f>
        <v>grossExposureBaseGlobal</v>
      </c>
      <c r="DS5" s="53" t="str">
        <f>IFERROR(__xludf.DUMMYFUNCTION("""COMPUTED_VALUE"""),"netExposureBaseGlobal")</f>
        <v>netExposureBaseGlobal</v>
      </c>
      <c r="DT5" s="53" t="str">
        <f>IFERROR(__xludf.DUMMYFUNCTION("""COMPUTED_VALUE"""),"accountNav")</f>
        <v>accountNav</v>
      </c>
      <c r="DU5" s="53" t="str">
        <f>IFERROR(__xludf.DUMMYFUNCTION("""COMPUTED_VALUE"""),"accountNRA")</f>
        <v>accountNRA</v>
      </c>
      <c r="DV5" s="53" t="str">
        <f>IFERROR(__xludf.DUMMYFUNCTION("""COMPUTED_VALUE"""),"startOfDayNavAccount")</f>
        <v>startOfDayNavAccount</v>
      </c>
      <c r="DW5" s="53" t="str">
        <f>IFERROR(__xludf.DUMMYFUNCTION("""COMPUTED_VALUE"""),"grossMarketValueBaseAccount")</f>
        <v>grossMarketValueBaseAccount</v>
      </c>
      <c r="DX5" s="53" t="str">
        <f>IFERROR(__xludf.DUMMYFUNCTION("""COMPUTED_VALUE"""),"grossExposureBaseAccount")</f>
        <v>grossExposureBaseAccount</v>
      </c>
      <c r="DY5" s="53" t="str">
        <f>IFERROR(__xludf.DUMMYFUNCTION("""COMPUTED_VALUE"""),"netExposureBaseAccount")</f>
        <v>netExposureBaseAccount</v>
      </c>
      <c r="DZ5" s="53" t="str">
        <f>IFERROR(__xludf.DUMMYFUNCTION("""COMPUTED_VALUE"""),"currentCash")</f>
        <v>currentCash</v>
      </c>
      <c r="EA5" s="53" t="str">
        <f>IFERROR(__xludf.DUMMYFUNCTION("""COMPUTED_VALUE"""),"accrual")</f>
        <v>accrual</v>
      </c>
      <c r="EB5" s="53" t="str">
        <f>IFERROR(__xludf.DUMMYFUNCTION("""COMPUTED_VALUE"""),"masterFundNav")</f>
        <v>masterFundNav</v>
      </c>
      <c r="EC5" s="53" t="str">
        <f>IFERROR(__xludf.DUMMYFUNCTION("""COMPUTED_VALUE"""),"startOfDayNavMasterFund")</f>
        <v>startOfDayNavMasterFund</v>
      </c>
      <c r="ED5" s="53" t="str">
        <f>IFERROR(__xludf.DUMMYFUNCTION("""COMPUTED_VALUE"""),"grossMarketValueBaseMasterFund")</f>
        <v>grossMarketValueBaseMasterFund</v>
      </c>
      <c r="EE5" s="53" t="str">
        <f>IFERROR(__xludf.DUMMYFUNCTION("""COMPUTED_VALUE"""),"grossExposureBaseMasterFund")</f>
        <v>grossExposureBaseMasterFund</v>
      </c>
      <c r="EF5" s="53" t="str">
        <f>IFERROR(__xludf.DUMMYFUNCTION("""COMPUTED_VALUE"""),"netExposureBaseMasterFund")</f>
        <v>netExposureBaseMasterFund</v>
      </c>
      <c r="EG5" s="53" t="str">
        <f>IFERROR(__xludf.DUMMYFUNCTION("""COMPUTED_VALUE"""),"percentNetMarketValueAccount")</f>
        <v>percentNetMarketValueAccount</v>
      </c>
      <c r="EH5" s="53" t="str">
        <f>IFERROR(__xludf.DUMMYFUNCTION("""COMPUTED_VALUE"""),"percentLongExposureAccount")</f>
        <v>percentLongExposureAccount</v>
      </c>
      <c r="EI5" s="53" t="str">
        <f>IFERROR(__xludf.DUMMYFUNCTION("""COMPUTED_VALUE"""),"percentShortExposureAccount")</f>
        <v>percentShortExposureAccount</v>
      </c>
      <c r="EJ5" s="53" t="str">
        <f>IFERROR(__xludf.DUMMYFUNCTION("""COMPUTED_VALUE"""),"percentNetExposureAccount")</f>
        <v>percentNetExposureAccount</v>
      </c>
      <c r="EK5" s="53" t="str">
        <f>IFERROR(__xludf.DUMMYFUNCTION("""COMPUTED_VALUE"""),"percentBetaAdjustedExposureAccount")</f>
        <v>percentBetaAdjustedExposureAccount</v>
      </c>
      <c r="EL5" s="53" t="str">
        <f>IFERROR(__xludf.DUMMYFUNCTION("""COMPUTED_VALUE"""),"percentGrossExposureAccount")</f>
        <v>percentGrossExposureAccount</v>
      </c>
      <c r="EM5" s="53" t="str">
        <f>IFERROR(__xludf.DUMMYFUNCTION("""COMPUTED_VALUE"""),"percentLongMarketValueAccount")</f>
        <v>percentLongMarketValueAccount</v>
      </c>
      <c r="EN5" s="53" t="str">
        <f>IFERROR(__xludf.DUMMYFUNCTION("""COMPUTED_VALUE"""),"percentShortMarketValueAccount")</f>
        <v>percentShortMarketValueAccount</v>
      </c>
      <c r="EO5" s="53" t="str">
        <f>IFERROR(__xludf.DUMMYFUNCTION("""COMPUTED_VALUE"""),"percentGrossMarketValueAccount")</f>
        <v>percentGrossMarketValueAccount</v>
      </c>
      <c r="EP5" s="53" t="str">
        <f>IFERROR(__xludf.DUMMYFUNCTION("""COMPUTED_VALUE"""),"percentLongNotionalAccount")</f>
        <v>percentLongNotionalAccount</v>
      </c>
      <c r="EQ5" s="53" t="str">
        <f>IFERROR(__xludf.DUMMYFUNCTION("""COMPUTED_VALUE"""),"percentShortNotionalAccount")</f>
        <v>percentShortNotionalAccount</v>
      </c>
      <c r="ER5" s="53" t="str">
        <f>IFERROR(__xludf.DUMMYFUNCTION("""COMPUTED_VALUE"""),"percentNetNotionalAccount")</f>
        <v>percentNetNotionalAccount</v>
      </c>
      <c r="ES5" s="53" t="str">
        <f>IFERROR(__xludf.DUMMYFUNCTION("""COMPUTED_VALUE"""),"pnlContributionAccount")</f>
        <v>pnlContributionAccount</v>
      </c>
      <c r="ET5" s="53" t="str">
        <f>IFERROR(__xludf.DUMMYFUNCTION("""COMPUTED_VALUE"""),"percentCostBasisPnlAccount")</f>
        <v>percentCostBasisPnlAccount</v>
      </c>
      <c r="EU5" s="53" t="str">
        <f>IFERROR(__xludf.DUMMYFUNCTION("""COMPUTED_VALUE"""),"dayReturnAccount")</f>
        <v>dayReturnAccount</v>
      </c>
      <c r="EV5" s="53" t="str">
        <f>IFERROR(__xludf.DUMMYFUNCTION("""COMPUTED_VALUE"""),"percentNetMarketValueMasterFund")</f>
        <v>percentNetMarketValueMasterFund</v>
      </c>
      <c r="EW5" s="53" t="str">
        <f>IFERROR(__xludf.DUMMYFUNCTION("""COMPUTED_VALUE"""),"percentLongExposureMasterFund")</f>
        <v>percentLongExposureMasterFund</v>
      </c>
      <c r="EX5" s="53" t="str">
        <f>IFERROR(__xludf.DUMMYFUNCTION("""COMPUTED_VALUE"""),"percentShortExposureMasterFund")</f>
        <v>percentShortExposureMasterFund</v>
      </c>
      <c r="EY5" s="53" t="str">
        <f>IFERROR(__xludf.DUMMYFUNCTION("""COMPUTED_VALUE"""),"percentNetExposureMasterFund")</f>
        <v>percentNetExposureMasterFund</v>
      </c>
      <c r="EZ5" s="53" t="str">
        <f>IFERROR(__xludf.DUMMYFUNCTION("""COMPUTED_VALUE"""),"percentBetaAdjustedExposureMasterFund")</f>
        <v>percentBetaAdjustedExposureMasterFund</v>
      </c>
      <c r="FA5" s="53" t="str">
        <f>IFERROR(__xludf.DUMMYFUNCTION("""COMPUTED_VALUE"""),"percentGrossExposureMasterFund")</f>
        <v>percentGrossExposureMasterFund</v>
      </c>
      <c r="FB5" s="53" t="str">
        <f>IFERROR(__xludf.DUMMYFUNCTION("""COMPUTED_VALUE"""),"percentLongMarketValueMasterFund")</f>
        <v>percentLongMarketValueMasterFund</v>
      </c>
      <c r="FC5" s="53" t="str">
        <f>IFERROR(__xludf.DUMMYFUNCTION("""COMPUTED_VALUE"""),"percentShortMarketValueMasterFund")</f>
        <v>percentShortMarketValueMasterFund</v>
      </c>
      <c r="FD5" s="53" t="str">
        <f>IFERROR(__xludf.DUMMYFUNCTION("""COMPUTED_VALUE"""),"percentGrossMarketValueMasterFund")</f>
        <v>percentGrossMarketValueMasterFund</v>
      </c>
      <c r="FE5" s="53" t="str">
        <f>IFERROR(__xludf.DUMMYFUNCTION("""COMPUTED_VALUE"""),"percentLongNotionalMasterFund")</f>
        <v>percentLongNotionalMasterFund</v>
      </c>
      <c r="FF5" s="53" t="str">
        <f>IFERROR(__xludf.DUMMYFUNCTION("""COMPUTED_VALUE"""),"percentShortNotionalMasterFund")</f>
        <v>percentShortNotionalMasterFund</v>
      </c>
      <c r="FG5" s="53" t="str">
        <f>IFERROR(__xludf.DUMMYFUNCTION("""COMPUTED_VALUE"""),"percentNetNotionalMasterFund")</f>
        <v>percentNetNotionalMasterFund</v>
      </c>
      <c r="FH5" s="53" t="str">
        <f>IFERROR(__xludf.DUMMYFUNCTION("""COMPUTED_VALUE"""),"pnlContributionMasterFund")</f>
        <v>pnlContributionMasterFund</v>
      </c>
      <c r="FI5" s="53" t="str">
        <f>IFERROR(__xludf.DUMMYFUNCTION("""COMPUTED_VALUE"""),"percentCostBasisPnlMasterFund")</f>
        <v>percentCostBasisPnlMasterFund</v>
      </c>
      <c r="FJ5" s="53" t="str">
        <f>IFERROR(__xludf.DUMMYFUNCTION("""COMPUTED_VALUE"""),"dayReturnMasterFund")</f>
        <v>dayReturnMasterFund</v>
      </c>
      <c r="FK5" s="53" t="str">
        <f>IFERROR(__xludf.DUMMYFUNCTION("""COMPUTED_VALUE"""),"percentNetMarketValueGlobal")</f>
        <v>percentNetMarketValueGlobal</v>
      </c>
      <c r="FL5" s="53" t="str">
        <f>IFERROR(__xludf.DUMMYFUNCTION("""COMPUTED_VALUE"""),"percentLongExposureGlobal")</f>
        <v>percentLongExposureGlobal</v>
      </c>
      <c r="FM5" s="53" t="str">
        <f>IFERROR(__xludf.DUMMYFUNCTION("""COMPUTED_VALUE"""),"percentShortExposureGlobal")</f>
        <v>percentShortExposureGlobal</v>
      </c>
      <c r="FN5" s="53" t="str">
        <f>IFERROR(__xludf.DUMMYFUNCTION("""COMPUTED_VALUE"""),"percentNetExposureGlobal")</f>
        <v>percentNetExposureGlobal</v>
      </c>
      <c r="FO5" s="53" t="str">
        <f>IFERROR(__xludf.DUMMYFUNCTION("""COMPUTED_VALUE"""),"percentBetaAdjustedExposureGlobal")</f>
        <v>percentBetaAdjustedExposureGlobal</v>
      </c>
      <c r="FP5" s="53" t="str">
        <f>IFERROR(__xludf.DUMMYFUNCTION("""COMPUTED_VALUE"""),"percentGrossExposureGlobal")</f>
        <v>percentGrossExposureGlobal</v>
      </c>
      <c r="FQ5" s="53" t="str">
        <f>IFERROR(__xludf.DUMMYFUNCTION("""COMPUTED_VALUE"""),"percentLongMarketValueGlobal")</f>
        <v>percentLongMarketValueGlobal</v>
      </c>
      <c r="FR5" s="53" t="str">
        <f>IFERROR(__xludf.DUMMYFUNCTION("""COMPUTED_VALUE"""),"percentShortMarketValueGlobal")</f>
        <v>percentShortMarketValueGlobal</v>
      </c>
      <c r="FS5" s="53" t="str">
        <f>IFERROR(__xludf.DUMMYFUNCTION("""COMPUTED_VALUE"""),"percentGrossMarketValueGlobal")</f>
        <v>percentGrossMarketValueGlobal</v>
      </c>
      <c r="FT5" s="53" t="str">
        <f>IFERROR(__xludf.DUMMYFUNCTION("""COMPUTED_VALUE"""),"percentLongNotionalGlobal")</f>
        <v>percentLongNotionalGlobal</v>
      </c>
      <c r="FU5" s="53" t="str">
        <f>IFERROR(__xludf.DUMMYFUNCTION("""COMPUTED_VALUE"""),"percentShortNotionalGlobal")</f>
        <v>percentShortNotionalGlobal</v>
      </c>
      <c r="FV5" s="53" t="str">
        <f>IFERROR(__xludf.DUMMYFUNCTION("""COMPUTED_VALUE"""),"percentNetNotionalGlobal")</f>
        <v>percentNetNotionalGlobal</v>
      </c>
      <c r="FW5" s="53" t="str">
        <f>IFERROR(__xludf.DUMMYFUNCTION("""COMPUTED_VALUE"""),"pnlContributionGlobal")</f>
        <v>pnlContributionGlobal</v>
      </c>
      <c r="FX5" s="53" t="str">
        <f>IFERROR(__xludf.DUMMYFUNCTION("""COMPUTED_VALUE"""),"percentCostBasisPnlGlobal")</f>
        <v>percentCostBasisPnlGlobal</v>
      </c>
      <c r="FY5" s="53" t="str">
        <f>IFERROR(__xludf.DUMMYFUNCTION("""COMPUTED_VALUE"""),"dayReturnGlobal")</f>
        <v>dayReturnGlobal</v>
      </c>
      <c r="FZ5" s="53" t="str">
        <f>IFERROR(__xludf.DUMMYFUNCTION("""COMPUTED_VALUE"""),"longDebitBalance")</f>
        <v>longDebitBalance</v>
      </c>
      <c r="GA5" s="53" t="str">
        <f>IFERROR(__xludf.DUMMYFUNCTION("""COMPUTED_VALUE"""),"shortCreditBalance")</f>
        <v>shortCreditBalance</v>
      </c>
      <c r="GB5" s="53"/>
      <c r="GC5" s="53"/>
      <c r="GD5" s="53"/>
      <c r="GE5" s="53"/>
      <c r="GF5" s="53"/>
      <c r="GG5" s="53"/>
      <c r="GH5" s="53"/>
      <c r="GI5" s="53"/>
      <c r="GJ5" s="53"/>
      <c r="GK5" s="53"/>
    </row>
    <row r="6" ht="15.75" customHeight="1">
      <c r="A6" s="54"/>
      <c r="B6" s="55" t="s">
        <v>41</v>
      </c>
      <c r="C6" s="56"/>
      <c r="D6" s="55" t="s">
        <v>46</v>
      </c>
      <c r="E6" s="59" t="s">
        <v>44</v>
      </c>
      <c r="F6" s="59" t="s">
        <v>44</v>
      </c>
      <c r="G6" s="56" t="s">
        <v>21</v>
      </c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6"/>
      <c r="AI6" s="56"/>
      <c r="AJ6" s="56"/>
      <c r="AK6" s="56"/>
      <c r="AL6" s="56"/>
      <c r="AM6" s="56"/>
      <c r="AN6" s="57"/>
      <c r="AO6" s="57"/>
      <c r="AP6" s="66">
        <v>500.0</v>
      </c>
      <c r="AQ6" s="67">
        <v>500.0</v>
      </c>
      <c r="AR6" s="58">
        <v>0.0</v>
      </c>
      <c r="AS6" s="67">
        <v>50.0</v>
      </c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  <c r="DZ6" s="57"/>
      <c r="EA6" s="57"/>
      <c r="EB6" s="57"/>
      <c r="EC6" s="57"/>
      <c r="ED6" s="57"/>
      <c r="EE6" s="57"/>
      <c r="EF6" s="57"/>
      <c r="EG6" s="57"/>
      <c r="EH6" s="57"/>
      <c r="EI6" s="57"/>
      <c r="EJ6" s="57"/>
      <c r="EK6" s="57"/>
      <c r="EL6" s="57"/>
      <c r="EM6" s="57"/>
      <c r="EN6" s="57"/>
      <c r="EO6" s="57"/>
      <c r="EP6" s="57"/>
      <c r="EQ6" s="57"/>
      <c r="ER6" s="57"/>
      <c r="ES6" s="57"/>
      <c r="ET6" s="57"/>
      <c r="EU6" s="57"/>
      <c r="EV6" s="57"/>
      <c r="EW6" s="57"/>
      <c r="EX6" s="57"/>
      <c r="EY6" s="57"/>
      <c r="EZ6" s="57"/>
      <c r="FA6" s="57"/>
      <c r="FB6" s="57"/>
      <c r="FC6" s="57"/>
      <c r="FD6" s="57"/>
      <c r="FE6" s="57"/>
      <c r="FF6" s="57"/>
      <c r="FG6" s="57"/>
      <c r="FH6" s="57"/>
      <c r="FI6" s="57"/>
      <c r="FJ6" s="57"/>
      <c r="FK6" s="57"/>
      <c r="FL6" s="57"/>
      <c r="FM6" s="57"/>
      <c r="FN6" s="57"/>
      <c r="FO6" s="57"/>
      <c r="FP6" s="57"/>
      <c r="FQ6" s="57"/>
      <c r="FR6" s="57"/>
      <c r="FS6" s="57"/>
      <c r="FT6" s="57"/>
      <c r="FU6" s="57"/>
      <c r="FV6" s="57"/>
      <c r="FW6" s="57"/>
      <c r="FX6" s="57"/>
      <c r="FY6" s="57"/>
      <c r="FZ6" s="57"/>
      <c r="GA6" s="57"/>
      <c r="GB6" s="57"/>
      <c r="GC6" s="57"/>
      <c r="GD6" s="57"/>
      <c r="GE6" s="57"/>
      <c r="GF6" s="57"/>
      <c r="GG6" s="57"/>
      <c r="GH6" s="57"/>
      <c r="GI6" s="57"/>
      <c r="GJ6" s="57"/>
      <c r="GK6" s="57"/>
    </row>
    <row r="7" ht="15.75" customHeight="1">
      <c r="A7" s="56"/>
      <c r="B7" s="56" t="s">
        <v>41</v>
      </c>
      <c r="C7" s="56"/>
      <c r="D7" s="56" t="s">
        <v>46</v>
      </c>
      <c r="E7" s="59" t="s">
        <v>43</v>
      </c>
      <c r="F7" s="59" t="s">
        <v>43</v>
      </c>
      <c r="G7" s="56" t="s">
        <v>21</v>
      </c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6"/>
      <c r="AI7" s="56"/>
      <c r="AJ7" s="56"/>
      <c r="AK7" s="56"/>
      <c r="AL7" s="56"/>
      <c r="AM7" s="56"/>
      <c r="AN7" s="57"/>
      <c r="AO7" s="57"/>
      <c r="AP7" s="66">
        <v>500.0</v>
      </c>
      <c r="AQ7" s="67">
        <v>500.0</v>
      </c>
      <c r="AR7" s="58">
        <v>0.0</v>
      </c>
      <c r="AS7" s="67">
        <v>50.0</v>
      </c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7"/>
      <c r="DR7" s="57"/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7"/>
      <c r="ED7" s="57"/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7"/>
      <c r="EP7" s="57"/>
      <c r="EQ7" s="57"/>
      <c r="ER7" s="57"/>
      <c r="ES7" s="57"/>
      <c r="ET7" s="57"/>
      <c r="EU7" s="57"/>
      <c r="EV7" s="57"/>
      <c r="EW7" s="57"/>
      <c r="EX7" s="57"/>
      <c r="EY7" s="57"/>
      <c r="EZ7" s="57"/>
      <c r="FA7" s="57"/>
      <c r="FB7" s="57"/>
      <c r="FC7" s="57"/>
      <c r="FD7" s="57"/>
      <c r="FE7" s="57"/>
      <c r="FF7" s="57"/>
      <c r="FG7" s="57"/>
      <c r="FH7" s="57"/>
      <c r="FI7" s="57"/>
      <c r="FJ7" s="57"/>
      <c r="FK7" s="57"/>
      <c r="FL7" s="57"/>
      <c r="FM7" s="57"/>
      <c r="FN7" s="57"/>
      <c r="FO7" s="57"/>
      <c r="FP7" s="57"/>
      <c r="FQ7" s="57"/>
      <c r="FR7" s="57"/>
      <c r="FS7" s="57"/>
      <c r="FT7" s="57"/>
      <c r="FU7" s="57"/>
      <c r="FV7" s="57"/>
      <c r="FW7" s="57"/>
      <c r="FX7" s="57"/>
      <c r="FY7" s="57"/>
      <c r="FZ7" s="57"/>
      <c r="GA7" s="57"/>
      <c r="GB7" s="57"/>
      <c r="GC7" s="57"/>
      <c r="GD7" s="57"/>
      <c r="GE7" s="57"/>
      <c r="GF7" s="57"/>
      <c r="GG7" s="57"/>
      <c r="GH7" s="57"/>
      <c r="GI7" s="57"/>
      <c r="GJ7" s="57"/>
      <c r="GK7" s="5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  <c r="FK12" s="50"/>
      <c r="FL12" s="50"/>
      <c r="FM12" s="50"/>
      <c r="FN12" s="50"/>
      <c r="FO12" s="50"/>
      <c r="FP12" s="50"/>
      <c r="FQ12" s="50"/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  <c r="FK14" s="50"/>
      <c r="FL14" s="50"/>
      <c r="FM14" s="50"/>
      <c r="FN14" s="50"/>
      <c r="FO14" s="50"/>
      <c r="FP14" s="50"/>
      <c r="FQ14" s="50"/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0"/>
      <c r="GC14" s="50"/>
      <c r="GD14" s="50"/>
      <c r="GE14" s="50"/>
      <c r="GF14" s="50"/>
      <c r="GG14" s="50"/>
      <c r="GH14" s="50"/>
      <c r="GI14" s="50"/>
      <c r="GJ14" s="50"/>
      <c r="GK14" s="50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  <c r="FK15" s="50"/>
      <c r="FL15" s="50"/>
      <c r="FM15" s="50"/>
      <c r="FN15" s="50"/>
      <c r="FO15" s="50"/>
      <c r="FP15" s="50"/>
      <c r="FQ15" s="50"/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  <c r="FL16" s="50"/>
      <c r="FM16" s="50"/>
      <c r="FN16" s="50"/>
      <c r="FO16" s="50"/>
      <c r="FP16" s="50"/>
      <c r="FQ16" s="50"/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0"/>
      <c r="GC16" s="50"/>
      <c r="GD16" s="50"/>
      <c r="GE16" s="50"/>
      <c r="GF16" s="50"/>
      <c r="GG16" s="50"/>
      <c r="GH16" s="50"/>
      <c r="GI16" s="50"/>
      <c r="GJ16" s="50"/>
      <c r="GK16" s="50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50"/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  <c r="FL18" s="50"/>
      <c r="FM18" s="50"/>
      <c r="FN18" s="50"/>
      <c r="FO18" s="50"/>
      <c r="FP18" s="50"/>
      <c r="FQ18" s="50"/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0"/>
      <c r="GC18" s="50"/>
      <c r="GD18" s="50"/>
      <c r="GE18" s="50"/>
      <c r="GF18" s="50"/>
      <c r="GG18" s="50"/>
      <c r="GH18" s="50"/>
      <c r="GI18" s="50"/>
      <c r="GJ18" s="50"/>
      <c r="GK18" s="50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  <c r="FK23" s="50"/>
      <c r="FL23" s="50"/>
      <c r="FM23" s="50"/>
      <c r="FN23" s="50"/>
      <c r="FO23" s="50"/>
      <c r="FP23" s="50"/>
      <c r="FQ23" s="50"/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  <c r="FK26" s="50"/>
      <c r="FL26" s="50"/>
      <c r="FM26" s="50"/>
      <c r="FN26" s="50"/>
      <c r="FO26" s="50"/>
      <c r="FP26" s="50"/>
      <c r="FQ26" s="50"/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0"/>
      <c r="GC26" s="50"/>
      <c r="GD26" s="50"/>
      <c r="GE26" s="50"/>
      <c r="GF26" s="50"/>
      <c r="GG26" s="50"/>
      <c r="GH26" s="50"/>
      <c r="GI26" s="50"/>
      <c r="GJ26" s="50"/>
      <c r="GK26" s="50"/>
    </row>
    <row r="27" ht="15.7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</row>
    <row r="28" ht="15.75" customHeight="1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  <c r="FK28" s="50"/>
      <c r="FL28" s="50"/>
      <c r="FM28" s="50"/>
      <c r="FN28" s="50"/>
      <c r="FO28" s="50"/>
      <c r="FP28" s="50"/>
      <c r="FQ28" s="50"/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0"/>
      <c r="GC28" s="50"/>
      <c r="GD28" s="50"/>
      <c r="GE28" s="50"/>
      <c r="GF28" s="50"/>
      <c r="GG28" s="50"/>
      <c r="GH28" s="50"/>
      <c r="GI28" s="50"/>
      <c r="GJ28" s="50"/>
      <c r="GK28" s="50"/>
    </row>
    <row r="29" ht="15.75" customHeight="1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  <c r="FK29" s="50"/>
      <c r="FL29" s="50"/>
      <c r="FM29" s="50"/>
      <c r="FN29" s="50"/>
      <c r="FO29" s="50"/>
      <c r="FP29" s="50"/>
      <c r="FQ29" s="50"/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0"/>
      <c r="GC29" s="50"/>
      <c r="GD29" s="50"/>
      <c r="GE29" s="50"/>
      <c r="GF29" s="50"/>
      <c r="GG29" s="50"/>
      <c r="GH29" s="50"/>
      <c r="GI29" s="50"/>
      <c r="GJ29" s="50"/>
      <c r="GK29" s="50"/>
    </row>
    <row r="30" ht="15.75" customHeight="1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  <c r="EY30" s="50"/>
      <c r="EZ30" s="50"/>
      <c r="FA30" s="50"/>
      <c r="FB30" s="50"/>
      <c r="FC30" s="50"/>
      <c r="FD30" s="50"/>
      <c r="FE30" s="50"/>
      <c r="FF30" s="50"/>
      <c r="FG30" s="50"/>
      <c r="FH30" s="50"/>
      <c r="FI30" s="50"/>
      <c r="FJ30" s="50"/>
      <c r="FK30" s="50"/>
      <c r="FL30" s="50"/>
      <c r="FM30" s="50"/>
      <c r="FN30" s="50"/>
      <c r="FO30" s="50"/>
      <c r="FP30" s="50"/>
      <c r="FQ30" s="50"/>
      <c r="FR30" s="50"/>
      <c r="FS30" s="50"/>
      <c r="FT30" s="50"/>
      <c r="FU30" s="50"/>
      <c r="FV30" s="50"/>
      <c r="FW30" s="50"/>
      <c r="FX30" s="50"/>
      <c r="FY30" s="50"/>
      <c r="FZ30" s="50"/>
      <c r="GA30" s="50"/>
      <c r="GB30" s="50"/>
      <c r="GC30" s="50"/>
      <c r="GD30" s="50"/>
      <c r="GE30" s="50"/>
      <c r="GF30" s="50"/>
      <c r="GG30" s="50"/>
      <c r="GH30" s="50"/>
      <c r="GI30" s="50"/>
      <c r="GJ30" s="50"/>
      <c r="GK30" s="50"/>
    </row>
    <row r="31" ht="15.7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  <c r="FK31" s="50"/>
      <c r="FL31" s="50"/>
      <c r="FM31" s="50"/>
      <c r="FN31" s="50"/>
      <c r="FO31" s="50"/>
      <c r="FP31" s="50"/>
      <c r="FQ31" s="50"/>
      <c r="FR31" s="50"/>
      <c r="FS31" s="50"/>
      <c r="FT31" s="50"/>
      <c r="FU31" s="50"/>
      <c r="FV31" s="50"/>
      <c r="FW31" s="50"/>
      <c r="FX31" s="50"/>
      <c r="FY31" s="50"/>
      <c r="FZ31" s="50"/>
      <c r="GA31" s="50"/>
      <c r="GB31" s="50"/>
      <c r="GC31" s="50"/>
      <c r="GD31" s="50"/>
      <c r="GE31" s="50"/>
      <c r="GF31" s="50"/>
      <c r="GG31" s="50"/>
      <c r="GH31" s="50"/>
      <c r="GI31" s="50"/>
      <c r="GJ31" s="50"/>
      <c r="GK31" s="50"/>
    </row>
    <row r="32" ht="15.75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  <c r="FK32" s="50"/>
      <c r="FL32" s="50"/>
      <c r="FM32" s="50"/>
      <c r="FN32" s="50"/>
      <c r="FO32" s="50"/>
      <c r="FP32" s="50"/>
      <c r="FQ32" s="50"/>
      <c r="FR32" s="50"/>
      <c r="FS32" s="50"/>
      <c r="FT32" s="50"/>
      <c r="FU32" s="50"/>
      <c r="FV32" s="50"/>
      <c r="FW32" s="50"/>
      <c r="FX32" s="50"/>
      <c r="FY32" s="50"/>
      <c r="FZ32" s="50"/>
      <c r="GA32" s="50"/>
      <c r="GB32" s="50"/>
      <c r="GC32" s="50"/>
      <c r="GD32" s="50"/>
      <c r="GE32" s="50"/>
      <c r="GF32" s="50"/>
      <c r="GG32" s="50"/>
      <c r="GH32" s="50"/>
      <c r="GI32" s="50"/>
      <c r="GJ32" s="50"/>
      <c r="GK32" s="50"/>
    </row>
    <row r="33" ht="15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  <c r="FK33" s="50"/>
      <c r="FL33" s="50"/>
      <c r="FM33" s="50"/>
      <c r="FN33" s="50"/>
      <c r="FO33" s="50"/>
      <c r="FP33" s="50"/>
      <c r="FQ33" s="50"/>
      <c r="FR33" s="50"/>
      <c r="FS33" s="50"/>
      <c r="FT33" s="50"/>
      <c r="FU33" s="50"/>
      <c r="FV33" s="50"/>
      <c r="FW33" s="50"/>
      <c r="FX33" s="50"/>
      <c r="FY33" s="50"/>
      <c r="FZ33" s="50"/>
      <c r="GA33" s="50"/>
      <c r="GB33" s="50"/>
      <c r="GC33" s="50"/>
      <c r="GD33" s="50"/>
      <c r="GE33" s="50"/>
      <c r="GF33" s="50"/>
      <c r="GG33" s="50"/>
      <c r="GH33" s="50"/>
      <c r="GI33" s="50"/>
      <c r="GJ33" s="50"/>
      <c r="GK33" s="50"/>
    </row>
    <row r="34" ht="15.75" customHeight="1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  <c r="FK34" s="50"/>
      <c r="FL34" s="50"/>
      <c r="FM34" s="50"/>
      <c r="FN34" s="50"/>
      <c r="FO34" s="50"/>
      <c r="FP34" s="50"/>
      <c r="FQ34" s="50"/>
      <c r="FR34" s="50"/>
      <c r="FS34" s="50"/>
      <c r="FT34" s="50"/>
      <c r="FU34" s="50"/>
      <c r="FV34" s="50"/>
      <c r="FW34" s="50"/>
      <c r="FX34" s="50"/>
      <c r="FY34" s="50"/>
      <c r="FZ34" s="50"/>
      <c r="GA34" s="50"/>
      <c r="GB34" s="50"/>
      <c r="GC34" s="50"/>
      <c r="GD34" s="50"/>
      <c r="GE34" s="50"/>
      <c r="GF34" s="50"/>
      <c r="GG34" s="50"/>
      <c r="GH34" s="50"/>
      <c r="GI34" s="50"/>
      <c r="GJ34" s="50"/>
      <c r="GK34" s="50"/>
    </row>
    <row r="35" ht="15.7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  <c r="FK35" s="50"/>
      <c r="FL35" s="50"/>
      <c r="FM35" s="50"/>
      <c r="FN35" s="50"/>
      <c r="FO35" s="50"/>
      <c r="FP35" s="50"/>
      <c r="FQ35" s="50"/>
      <c r="FR35" s="50"/>
      <c r="FS35" s="50"/>
      <c r="FT35" s="50"/>
      <c r="FU35" s="50"/>
      <c r="FV35" s="50"/>
      <c r="FW35" s="50"/>
      <c r="FX35" s="50"/>
      <c r="FY35" s="50"/>
      <c r="FZ35" s="50"/>
      <c r="GA35" s="50"/>
      <c r="GB35" s="50"/>
      <c r="GC35" s="50"/>
      <c r="GD35" s="50"/>
      <c r="GE35" s="50"/>
      <c r="GF35" s="50"/>
      <c r="GG35" s="50"/>
      <c r="GH35" s="50"/>
      <c r="GI35" s="50"/>
      <c r="GJ35" s="50"/>
      <c r="GK35" s="50"/>
    </row>
    <row r="36" ht="15.75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  <c r="FK36" s="50"/>
      <c r="FL36" s="50"/>
      <c r="FM36" s="50"/>
      <c r="FN36" s="50"/>
      <c r="FO36" s="50"/>
      <c r="FP36" s="50"/>
      <c r="FQ36" s="50"/>
      <c r="FR36" s="50"/>
      <c r="FS36" s="50"/>
      <c r="FT36" s="50"/>
      <c r="FU36" s="50"/>
      <c r="FV36" s="50"/>
      <c r="FW36" s="50"/>
      <c r="FX36" s="50"/>
      <c r="FY36" s="50"/>
      <c r="FZ36" s="50"/>
      <c r="GA36" s="50"/>
      <c r="GB36" s="50"/>
      <c r="GC36" s="50"/>
      <c r="GD36" s="50"/>
      <c r="GE36" s="50"/>
      <c r="GF36" s="50"/>
      <c r="GG36" s="50"/>
      <c r="GH36" s="50"/>
      <c r="GI36" s="50"/>
      <c r="GJ36" s="50"/>
      <c r="GK36" s="50"/>
    </row>
    <row r="37" ht="15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  <c r="FK37" s="50"/>
      <c r="FL37" s="50"/>
      <c r="FM37" s="50"/>
      <c r="FN37" s="50"/>
      <c r="FO37" s="50"/>
      <c r="FP37" s="50"/>
      <c r="FQ37" s="50"/>
      <c r="FR37" s="50"/>
      <c r="FS37" s="50"/>
      <c r="FT37" s="50"/>
      <c r="FU37" s="50"/>
      <c r="FV37" s="50"/>
      <c r="FW37" s="50"/>
      <c r="FX37" s="50"/>
      <c r="FY37" s="50"/>
      <c r="FZ37" s="50"/>
      <c r="GA37" s="50"/>
      <c r="GB37" s="50"/>
      <c r="GC37" s="50"/>
      <c r="GD37" s="50"/>
      <c r="GE37" s="50"/>
      <c r="GF37" s="50"/>
      <c r="GG37" s="50"/>
      <c r="GH37" s="50"/>
      <c r="GI37" s="50"/>
      <c r="GJ37" s="50"/>
      <c r="GK37" s="50"/>
    </row>
    <row r="38" ht="15.7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  <c r="EY38" s="50"/>
      <c r="EZ38" s="50"/>
      <c r="FA38" s="50"/>
      <c r="FB38" s="50"/>
      <c r="FC38" s="50"/>
      <c r="FD38" s="50"/>
      <c r="FE38" s="50"/>
      <c r="FF38" s="50"/>
      <c r="FG38" s="50"/>
      <c r="FH38" s="50"/>
      <c r="FI38" s="50"/>
      <c r="FJ38" s="50"/>
      <c r="FK38" s="50"/>
      <c r="FL38" s="50"/>
      <c r="FM38" s="50"/>
      <c r="FN38" s="50"/>
      <c r="FO38" s="50"/>
      <c r="FP38" s="50"/>
      <c r="FQ38" s="50"/>
      <c r="FR38" s="50"/>
      <c r="FS38" s="50"/>
      <c r="FT38" s="50"/>
      <c r="FU38" s="50"/>
      <c r="FV38" s="50"/>
      <c r="FW38" s="50"/>
      <c r="FX38" s="50"/>
      <c r="FY38" s="50"/>
      <c r="FZ38" s="50"/>
      <c r="GA38" s="50"/>
      <c r="GB38" s="50"/>
      <c r="GC38" s="50"/>
      <c r="GD38" s="50"/>
      <c r="GE38" s="50"/>
      <c r="GF38" s="50"/>
      <c r="GG38" s="50"/>
      <c r="GH38" s="50"/>
      <c r="GI38" s="50"/>
      <c r="GJ38" s="50"/>
      <c r="GK38" s="50"/>
    </row>
    <row r="39" ht="15.7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  <c r="EY39" s="50"/>
      <c r="EZ39" s="50"/>
      <c r="FA39" s="50"/>
      <c r="FB39" s="50"/>
      <c r="FC39" s="50"/>
      <c r="FD39" s="50"/>
      <c r="FE39" s="50"/>
      <c r="FF39" s="50"/>
      <c r="FG39" s="50"/>
      <c r="FH39" s="50"/>
      <c r="FI39" s="50"/>
      <c r="FJ39" s="50"/>
      <c r="FK39" s="50"/>
      <c r="FL39" s="50"/>
      <c r="FM39" s="50"/>
      <c r="FN39" s="50"/>
      <c r="FO39" s="50"/>
      <c r="FP39" s="50"/>
      <c r="FQ39" s="50"/>
      <c r="FR39" s="50"/>
      <c r="FS39" s="50"/>
      <c r="FT39" s="50"/>
      <c r="FU39" s="50"/>
      <c r="FV39" s="50"/>
      <c r="FW39" s="50"/>
      <c r="FX39" s="50"/>
      <c r="FY39" s="50"/>
      <c r="FZ39" s="50"/>
      <c r="GA39" s="50"/>
      <c r="GB39" s="50"/>
      <c r="GC39" s="50"/>
      <c r="GD39" s="50"/>
      <c r="GE39" s="50"/>
      <c r="GF39" s="50"/>
      <c r="GG39" s="50"/>
      <c r="GH39" s="50"/>
      <c r="GI39" s="50"/>
      <c r="GJ39" s="50"/>
      <c r="GK39" s="50"/>
    </row>
    <row r="40" ht="15.7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  <c r="EY40" s="50"/>
      <c r="EZ40" s="50"/>
      <c r="FA40" s="50"/>
      <c r="FB40" s="50"/>
      <c r="FC40" s="50"/>
      <c r="FD40" s="50"/>
      <c r="FE40" s="50"/>
      <c r="FF40" s="50"/>
      <c r="FG40" s="50"/>
      <c r="FH40" s="50"/>
      <c r="FI40" s="50"/>
      <c r="FJ40" s="50"/>
      <c r="FK40" s="50"/>
      <c r="FL40" s="50"/>
      <c r="FM40" s="50"/>
      <c r="FN40" s="50"/>
      <c r="FO40" s="50"/>
      <c r="FP40" s="50"/>
      <c r="FQ40" s="50"/>
      <c r="FR40" s="50"/>
      <c r="FS40" s="50"/>
      <c r="FT40" s="50"/>
      <c r="FU40" s="50"/>
      <c r="FV40" s="50"/>
      <c r="FW40" s="50"/>
      <c r="FX40" s="50"/>
      <c r="FY40" s="50"/>
      <c r="FZ40" s="50"/>
      <c r="GA40" s="50"/>
      <c r="GB40" s="50"/>
      <c r="GC40" s="50"/>
      <c r="GD40" s="50"/>
      <c r="GE40" s="50"/>
      <c r="GF40" s="50"/>
      <c r="GG40" s="50"/>
      <c r="GH40" s="50"/>
      <c r="GI40" s="50"/>
      <c r="GJ40" s="50"/>
      <c r="GK40" s="50"/>
    </row>
    <row r="41" ht="15.7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  <c r="EY41" s="50"/>
      <c r="EZ41" s="50"/>
      <c r="FA41" s="50"/>
      <c r="FB41" s="50"/>
      <c r="FC41" s="50"/>
      <c r="FD41" s="50"/>
      <c r="FE41" s="50"/>
      <c r="FF41" s="50"/>
      <c r="FG41" s="50"/>
      <c r="FH41" s="50"/>
      <c r="FI41" s="50"/>
      <c r="FJ41" s="50"/>
      <c r="FK41" s="50"/>
      <c r="FL41" s="50"/>
      <c r="FM41" s="50"/>
      <c r="FN41" s="50"/>
      <c r="FO41" s="50"/>
      <c r="FP41" s="50"/>
      <c r="FQ41" s="50"/>
      <c r="FR41" s="50"/>
      <c r="FS41" s="50"/>
      <c r="FT41" s="50"/>
      <c r="FU41" s="50"/>
      <c r="FV41" s="50"/>
      <c r="FW41" s="50"/>
      <c r="FX41" s="50"/>
      <c r="FY41" s="50"/>
      <c r="FZ41" s="50"/>
      <c r="GA41" s="50"/>
      <c r="GB41" s="50"/>
      <c r="GC41" s="50"/>
      <c r="GD41" s="50"/>
      <c r="GE41" s="50"/>
      <c r="GF41" s="50"/>
      <c r="GG41" s="50"/>
      <c r="GH41" s="50"/>
      <c r="GI41" s="50"/>
      <c r="GJ41" s="50"/>
      <c r="GK41" s="50"/>
    </row>
    <row r="42" ht="15.7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  <c r="EY42" s="50"/>
      <c r="EZ42" s="50"/>
      <c r="FA42" s="50"/>
      <c r="FB42" s="50"/>
      <c r="FC42" s="50"/>
      <c r="FD42" s="50"/>
      <c r="FE42" s="50"/>
      <c r="FF42" s="50"/>
      <c r="FG42" s="50"/>
      <c r="FH42" s="50"/>
      <c r="FI42" s="50"/>
      <c r="FJ42" s="50"/>
      <c r="FK42" s="50"/>
      <c r="FL42" s="50"/>
      <c r="FM42" s="50"/>
      <c r="FN42" s="50"/>
      <c r="FO42" s="50"/>
      <c r="FP42" s="50"/>
      <c r="FQ42" s="50"/>
      <c r="FR42" s="50"/>
      <c r="FS42" s="50"/>
      <c r="FT42" s="50"/>
      <c r="FU42" s="50"/>
      <c r="FV42" s="50"/>
      <c r="FW42" s="50"/>
      <c r="FX42" s="50"/>
      <c r="FY42" s="50"/>
      <c r="FZ42" s="50"/>
      <c r="GA42" s="50"/>
      <c r="GB42" s="50"/>
      <c r="GC42" s="50"/>
      <c r="GD42" s="50"/>
      <c r="GE42" s="50"/>
      <c r="GF42" s="50"/>
      <c r="GG42" s="50"/>
      <c r="GH42" s="50"/>
      <c r="GI42" s="50"/>
      <c r="GJ42" s="50"/>
      <c r="GK42" s="50"/>
    </row>
    <row r="43" ht="15.75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  <c r="EY43" s="50"/>
      <c r="EZ43" s="50"/>
      <c r="FA43" s="50"/>
      <c r="FB43" s="50"/>
      <c r="FC43" s="50"/>
      <c r="FD43" s="50"/>
      <c r="FE43" s="50"/>
      <c r="FF43" s="50"/>
      <c r="FG43" s="50"/>
      <c r="FH43" s="50"/>
      <c r="FI43" s="50"/>
      <c r="FJ43" s="50"/>
      <c r="FK43" s="50"/>
      <c r="FL43" s="50"/>
      <c r="FM43" s="50"/>
      <c r="FN43" s="50"/>
      <c r="FO43" s="50"/>
      <c r="FP43" s="50"/>
      <c r="FQ43" s="50"/>
      <c r="FR43" s="50"/>
      <c r="FS43" s="50"/>
      <c r="FT43" s="50"/>
      <c r="FU43" s="50"/>
      <c r="FV43" s="50"/>
      <c r="FW43" s="50"/>
      <c r="FX43" s="50"/>
      <c r="FY43" s="50"/>
      <c r="FZ43" s="50"/>
      <c r="GA43" s="50"/>
      <c r="GB43" s="50"/>
      <c r="GC43" s="50"/>
      <c r="GD43" s="50"/>
      <c r="GE43" s="50"/>
      <c r="GF43" s="50"/>
      <c r="GG43" s="50"/>
      <c r="GH43" s="50"/>
      <c r="GI43" s="50"/>
      <c r="GJ43" s="50"/>
      <c r="GK43" s="50"/>
    </row>
    <row r="44" ht="15.7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  <c r="EY44" s="50"/>
      <c r="EZ44" s="50"/>
      <c r="FA44" s="50"/>
      <c r="FB44" s="50"/>
      <c r="FC44" s="50"/>
      <c r="FD44" s="50"/>
      <c r="FE44" s="50"/>
      <c r="FF44" s="50"/>
      <c r="FG44" s="50"/>
      <c r="FH44" s="50"/>
      <c r="FI44" s="50"/>
      <c r="FJ44" s="50"/>
      <c r="FK44" s="50"/>
      <c r="FL44" s="50"/>
      <c r="FM44" s="50"/>
      <c r="FN44" s="50"/>
      <c r="FO44" s="50"/>
      <c r="FP44" s="50"/>
      <c r="FQ44" s="50"/>
      <c r="FR44" s="50"/>
      <c r="FS44" s="50"/>
      <c r="FT44" s="50"/>
      <c r="FU44" s="50"/>
      <c r="FV44" s="50"/>
      <c r="FW44" s="50"/>
      <c r="FX44" s="50"/>
      <c r="FY44" s="50"/>
      <c r="FZ44" s="50"/>
      <c r="GA44" s="50"/>
      <c r="GB44" s="50"/>
      <c r="GC44" s="50"/>
      <c r="GD44" s="50"/>
      <c r="GE44" s="50"/>
      <c r="GF44" s="50"/>
      <c r="GG44" s="50"/>
      <c r="GH44" s="50"/>
      <c r="GI44" s="50"/>
      <c r="GJ44" s="50"/>
      <c r="GK44" s="50"/>
    </row>
    <row r="45" ht="15.7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/>
      <c r="DS45" s="50"/>
      <c r="DT45" s="50"/>
      <c r="DU45" s="50"/>
      <c r="DV45" s="50"/>
      <c r="DW45" s="50"/>
      <c r="DX45" s="50"/>
      <c r="DY45" s="50"/>
      <c r="DZ45" s="50"/>
      <c r="EA45" s="50"/>
      <c r="EB45" s="50"/>
      <c r="EC45" s="50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50"/>
      <c r="ER45" s="50"/>
      <c r="ES45" s="50"/>
      <c r="ET45" s="50"/>
      <c r="EU45" s="50"/>
      <c r="EV45" s="50"/>
      <c r="EW45" s="50"/>
      <c r="EX45" s="50"/>
      <c r="EY45" s="50"/>
      <c r="EZ45" s="50"/>
      <c r="FA45" s="50"/>
      <c r="FB45" s="50"/>
      <c r="FC45" s="50"/>
      <c r="FD45" s="50"/>
      <c r="FE45" s="50"/>
      <c r="FF45" s="50"/>
      <c r="FG45" s="50"/>
      <c r="FH45" s="50"/>
      <c r="FI45" s="50"/>
      <c r="FJ45" s="50"/>
      <c r="FK45" s="50"/>
      <c r="FL45" s="50"/>
      <c r="FM45" s="50"/>
      <c r="FN45" s="50"/>
      <c r="FO45" s="50"/>
      <c r="FP45" s="50"/>
      <c r="FQ45" s="50"/>
      <c r="FR45" s="50"/>
      <c r="FS45" s="50"/>
      <c r="FT45" s="50"/>
      <c r="FU45" s="50"/>
      <c r="FV45" s="50"/>
      <c r="FW45" s="50"/>
      <c r="FX45" s="50"/>
      <c r="FY45" s="50"/>
      <c r="FZ45" s="50"/>
      <c r="GA45" s="50"/>
      <c r="GB45" s="50"/>
      <c r="GC45" s="50"/>
      <c r="GD45" s="50"/>
      <c r="GE45" s="50"/>
      <c r="GF45" s="50"/>
      <c r="GG45" s="50"/>
      <c r="GH45" s="50"/>
      <c r="GI45" s="50"/>
      <c r="GJ45" s="50"/>
      <c r="GK45" s="50"/>
    </row>
    <row r="46" ht="15.7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  <c r="EY46" s="50"/>
      <c r="EZ46" s="50"/>
      <c r="FA46" s="50"/>
      <c r="FB46" s="50"/>
      <c r="FC46" s="50"/>
      <c r="FD46" s="50"/>
      <c r="FE46" s="50"/>
      <c r="FF46" s="50"/>
      <c r="FG46" s="50"/>
      <c r="FH46" s="50"/>
      <c r="FI46" s="50"/>
      <c r="FJ46" s="50"/>
      <c r="FK46" s="50"/>
      <c r="FL46" s="50"/>
      <c r="FM46" s="50"/>
      <c r="FN46" s="50"/>
      <c r="FO46" s="50"/>
      <c r="FP46" s="50"/>
      <c r="FQ46" s="50"/>
      <c r="FR46" s="50"/>
      <c r="FS46" s="50"/>
      <c r="FT46" s="50"/>
      <c r="FU46" s="50"/>
      <c r="FV46" s="50"/>
      <c r="FW46" s="50"/>
      <c r="FX46" s="50"/>
      <c r="FY46" s="50"/>
      <c r="FZ46" s="50"/>
      <c r="GA46" s="50"/>
      <c r="GB46" s="50"/>
      <c r="GC46" s="50"/>
      <c r="GD46" s="50"/>
      <c r="GE46" s="50"/>
      <c r="GF46" s="50"/>
      <c r="GG46" s="50"/>
      <c r="GH46" s="50"/>
      <c r="GI46" s="50"/>
      <c r="GJ46" s="50"/>
      <c r="GK46" s="50"/>
    </row>
    <row r="47" ht="15.7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  <c r="EY47" s="50"/>
      <c r="EZ47" s="50"/>
      <c r="FA47" s="50"/>
      <c r="FB47" s="50"/>
      <c r="FC47" s="50"/>
      <c r="FD47" s="50"/>
      <c r="FE47" s="50"/>
      <c r="FF47" s="50"/>
      <c r="FG47" s="50"/>
      <c r="FH47" s="50"/>
      <c r="FI47" s="50"/>
      <c r="FJ47" s="50"/>
      <c r="FK47" s="50"/>
      <c r="FL47" s="50"/>
      <c r="FM47" s="50"/>
      <c r="FN47" s="50"/>
      <c r="FO47" s="50"/>
      <c r="FP47" s="50"/>
      <c r="FQ47" s="50"/>
      <c r="FR47" s="50"/>
      <c r="FS47" s="50"/>
      <c r="FT47" s="50"/>
      <c r="FU47" s="50"/>
      <c r="FV47" s="50"/>
      <c r="FW47" s="50"/>
      <c r="FX47" s="50"/>
      <c r="FY47" s="50"/>
      <c r="FZ47" s="50"/>
      <c r="GA47" s="50"/>
      <c r="GB47" s="50"/>
      <c r="GC47" s="50"/>
      <c r="GD47" s="50"/>
      <c r="GE47" s="50"/>
      <c r="GF47" s="50"/>
      <c r="GG47" s="50"/>
      <c r="GH47" s="50"/>
      <c r="GI47" s="50"/>
      <c r="GJ47" s="50"/>
      <c r="GK47" s="50"/>
    </row>
    <row r="48" ht="15.7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  <c r="EY48" s="50"/>
      <c r="EZ48" s="50"/>
      <c r="FA48" s="50"/>
      <c r="FB48" s="50"/>
      <c r="FC48" s="50"/>
      <c r="FD48" s="50"/>
      <c r="FE48" s="50"/>
      <c r="FF48" s="50"/>
      <c r="FG48" s="50"/>
      <c r="FH48" s="50"/>
      <c r="FI48" s="50"/>
      <c r="FJ48" s="50"/>
      <c r="FK48" s="50"/>
      <c r="FL48" s="50"/>
      <c r="FM48" s="50"/>
      <c r="FN48" s="50"/>
      <c r="FO48" s="50"/>
      <c r="FP48" s="50"/>
      <c r="FQ48" s="50"/>
      <c r="FR48" s="50"/>
      <c r="FS48" s="50"/>
      <c r="FT48" s="50"/>
      <c r="FU48" s="50"/>
      <c r="FV48" s="50"/>
      <c r="FW48" s="50"/>
      <c r="FX48" s="50"/>
      <c r="FY48" s="50"/>
      <c r="FZ48" s="50"/>
      <c r="GA48" s="50"/>
      <c r="GB48" s="50"/>
      <c r="GC48" s="50"/>
      <c r="GD48" s="50"/>
      <c r="GE48" s="50"/>
      <c r="GF48" s="50"/>
      <c r="GG48" s="50"/>
      <c r="GH48" s="50"/>
      <c r="GI48" s="50"/>
      <c r="GJ48" s="50"/>
      <c r="GK48" s="50"/>
    </row>
    <row r="49" ht="15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50"/>
      <c r="DT49" s="50"/>
      <c r="DU49" s="50"/>
      <c r="DV49" s="50"/>
      <c r="DW49" s="50"/>
      <c r="DX49" s="50"/>
      <c r="DY49" s="50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0"/>
      <c r="EW49" s="50"/>
      <c r="EX49" s="50"/>
      <c r="EY49" s="50"/>
      <c r="EZ49" s="50"/>
      <c r="FA49" s="50"/>
      <c r="FB49" s="50"/>
      <c r="FC49" s="50"/>
      <c r="FD49" s="50"/>
      <c r="FE49" s="50"/>
      <c r="FF49" s="50"/>
      <c r="FG49" s="50"/>
      <c r="FH49" s="50"/>
      <c r="FI49" s="50"/>
      <c r="FJ49" s="50"/>
      <c r="FK49" s="50"/>
      <c r="FL49" s="50"/>
      <c r="FM49" s="50"/>
      <c r="FN49" s="50"/>
      <c r="FO49" s="50"/>
      <c r="FP49" s="50"/>
      <c r="FQ49" s="50"/>
      <c r="FR49" s="50"/>
      <c r="FS49" s="50"/>
      <c r="FT49" s="50"/>
      <c r="FU49" s="50"/>
      <c r="FV49" s="50"/>
      <c r="FW49" s="50"/>
      <c r="FX49" s="50"/>
      <c r="FY49" s="50"/>
      <c r="FZ49" s="50"/>
      <c r="GA49" s="50"/>
      <c r="GB49" s="50"/>
      <c r="GC49" s="50"/>
      <c r="GD49" s="50"/>
      <c r="GE49" s="50"/>
      <c r="GF49" s="50"/>
      <c r="GG49" s="50"/>
      <c r="GH49" s="50"/>
      <c r="GI49" s="50"/>
      <c r="GJ49" s="50"/>
      <c r="GK49" s="50"/>
    </row>
    <row r="50" ht="15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50"/>
      <c r="DC50" s="50"/>
      <c r="DD50" s="50"/>
      <c r="DE50" s="50"/>
      <c r="DF50" s="50"/>
      <c r="DG50" s="50"/>
      <c r="DH50" s="50"/>
      <c r="DI50" s="50"/>
      <c r="DJ50" s="50"/>
      <c r="DK50" s="50"/>
      <c r="DL50" s="50"/>
      <c r="DM50" s="50"/>
      <c r="DN50" s="50"/>
      <c r="DO50" s="50"/>
      <c r="DP50" s="50"/>
      <c r="DQ50" s="50"/>
      <c r="DR50" s="50"/>
      <c r="DS50" s="50"/>
      <c r="DT50" s="50"/>
      <c r="DU50" s="50"/>
      <c r="DV50" s="50"/>
      <c r="DW50" s="50"/>
      <c r="DX50" s="50"/>
      <c r="DY50" s="50"/>
      <c r="DZ50" s="50"/>
      <c r="EA50" s="50"/>
      <c r="EB50" s="50"/>
      <c r="EC50" s="50"/>
      <c r="ED50" s="50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  <c r="EP50" s="50"/>
      <c r="EQ50" s="50"/>
      <c r="ER50" s="50"/>
      <c r="ES50" s="50"/>
      <c r="ET50" s="50"/>
      <c r="EU50" s="50"/>
      <c r="EV50" s="50"/>
      <c r="EW50" s="50"/>
      <c r="EX50" s="50"/>
      <c r="EY50" s="50"/>
      <c r="EZ50" s="50"/>
      <c r="FA50" s="50"/>
      <c r="FB50" s="50"/>
      <c r="FC50" s="50"/>
      <c r="FD50" s="50"/>
      <c r="FE50" s="50"/>
      <c r="FF50" s="50"/>
      <c r="FG50" s="50"/>
      <c r="FH50" s="50"/>
      <c r="FI50" s="50"/>
      <c r="FJ50" s="50"/>
      <c r="FK50" s="50"/>
      <c r="FL50" s="50"/>
      <c r="FM50" s="50"/>
      <c r="FN50" s="50"/>
      <c r="FO50" s="50"/>
      <c r="FP50" s="50"/>
      <c r="FQ50" s="50"/>
      <c r="FR50" s="50"/>
      <c r="FS50" s="50"/>
      <c r="FT50" s="50"/>
      <c r="FU50" s="50"/>
      <c r="FV50" s="50"/>
      <c r="FW50" s="50"/>
      <c r="FX50" s="50"/>
      <c r="FY50" s="50"/>
      <c r="FZ50" s="50"/>
      <c r="GA50" s="50"/>
      <c r="GB50" s="50"/>
      <c r="GC50" s="50"/>
      <c r="GD50" s="50"/>
      <c r="GE50" s="50"/>
      <c r="GF50" s="50"/>
      <c r="GG50" s="50"/>
      <c r="GH50" s="50"/>
      <c r="GI50" s="50"/>
      <c r="GJ50" s="50"/>
      <c r="GK50" s="50"/>
    </row>
    <row r="51" ht="15.7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0"/>
      <c r="DD51" s="50"/>
      <c r="DE51" s="50"/>
      <c r="DF51" s="50"/>
      <c r="DG51" s="50"/>
      <c r="DH51" s="50"/>
      <c r="DI51" s="50"/>
      <c r="DJ51" s="50"/>
      <c r="DK51" s="50"/>
      <c r="DL51" s="50"/>
      <c r="DM51" s="50"/>
      <c r="DN51" s="50"/>
      <c r="DO51" s="50"/>
      <c r="DP51" s="50"/>
      <c r="DQ51" s="50"/>
      <c r="DR51" s="50"/>
      <c r="DS51" s="50"/>
      <c r="DT51" s="50"/>
      <c r="DU51" s="50"/>
      <c r="DV51" s="50"/>
      <c r="DW51" s="50"/>
      <c r="DX51" s="50"/>
      <c r="DY51" s="50"/>
      <c r="DZ51" s="50"/>
      <c r="EA51" s="50"/>
      <c r="EB51" s="50"/>
      <c r="EC51" s="50"/>
      <c r="ED51" s="50"/>
      <c r="EE51" s="50"/>
      <c r="EF51" s="50"/>
      <c r="EG51" s="50"/>
      <c r="EH51" s="50"/>
      <c r="EI51" s="50"/>
      <c r="EJ51" s="50"/>
      <c r="EK51" s="50"/>
      <c r="EL51" s="50"/>
      <c r="EM51" s="50"/>
      <c r="EN51" s="50"/>
      <c r="EO51" s="50"/>
      <c r="EP51" s="50"/>
      <c r="EQ51" s="50"/>
      <c r="ER51" s="50"/>
      <c r="ES51" s="50"/>
      <c r="ET51" s="50"/>
      <c r="EU51" s="50"/>
      <c r="EV51" s="50"/>
      <c r="EW51" s="50"/>
      <c r="EX51" s="50"/>
      <c r="EY51" s="50"/>
      <c r="EZ51" s="50"/>
      <c r="FA51" s="50"/>
      <c r="FB51" s="50"/>
      <c r="FC51" s="50"/>
      <c r="FD51" s="50"/>
      <c r="FE51" s="50"/>
      <c r="FF51" s="50"/>
      <c r="FG51" s="50"/>
      <c r="FH51" s="50"/>
      <c r="FI51" s="50"/>
      <c r="FJ51" s="50"/>
      <c r="FK51" s="50"/>
      <c r="FL51" s="50"/>
      <c r="FM51" s="50"/>
      <c r="FN51" s="50"/>
      <c r="FO51" s="50"/>
      <c r="FP51" s="50"/>
      <c r="FQ51" s="50"/>
      <c r="FR51" s="50"/>
      <c r="FS51" s="50"/>
      <c r="FT51" s="50"/>
      <c r="FU51" s="50"/>
      <c r="FV51" s="50"/>
      <c r="FW51" s="50"/>
      <c r="FX51" s="50"/>
      <c r="FY51" s="50"/>
      <c r="FZ51" s="50"/>
      <c r="GA51" s="50"/>
      <c r="GB51" s="50"/>
      <c r="GC51" s="50"/>
      <c r="GD51" s="50"/>
      <c r="GE51" s="50"/>
      <c r="GF51" s="50"/>
      <c r="GG51" s="50"/>
      <c r="GH51" s="50"/>
      <c r="GI51" s="50"/>
      <c r="GJ51" s="50"/>
      <c r="GK51" s="50"/>
    </row>
    <row r="52" ht="15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50"/>
      <c r="DC52" s="50"/>
      <c r="DD52" s="50"/>
      <c r="DE52" s="50"/>
      <c r="DF52" s="50"/>
      <c r="DG52" s="50"/>
      <c r="DH52" s="50"/>
      <c r="DI52" s="50"/>
      <c r="DJ52" s="50"/>
      <c r="DK52" s="50"/>
      <c r="DL52" s="50"/>
      <c r="DM52" s="50"/>
      <c r="DN52" s="50"/>
      <c r="DO52" s="50"/>
      <c r="DP52" s="50"/>
      <c r="DQ52" s="50"/>
      <c r="DR52" s="50"/>
      <c r="DS52" s="50"/>
      <c r="DT52" s="50"/>
      <c r="DU52" s="50"/>
      <c r="DV52" s="50"/>
      <c r="DW52" s="50"/>
      <c r="DX52" s="50"/>
      <c r="DY52" s="50"/>
      <c r="DZ52" s="50"/>
      <c r="EA52" s="50"/>
      <c r="EB52" s="50"/>
      <c r="EC52" s="50"/>
      <c r="ED52" s="50"/>
      <c r="EE52" s="50"/>
      <c r="EF52" s="50"/>
      <c r="EG52" s="50"/>
      <c r="EH52" s="50"/>
      <c r="EI52" s="50"/>
      <c r="EJ52" s="50"/>
      <c r="EK52" s="50"/>
      <c r="EL52" s="50"/>
      <c r="EM52" s="50"/>
      <c r="EN52" s="50"/>
      <c r="EO52" s="50"/>
      <c r="EP52" s="50"/>
      <c r="EQ52" s="50"/>
      <c r="ER52" s="50"/>
      <c r="ES52" s="50"/>
      <c r="ET52" s="50"/>
      <c r="EU52" s="50"/>
      <c r="EV52" s="50"/>
      <c r="EW52" s="50"/>
      <c r="EX52" s="50"/>
      <c r="EY52" s="50"/>
      <c r="EZ52" s="50"/>
      <c r="FA52" s="50"/>
      <c r="FB52" s="50"/>
      <c r="FC52" s="50"/>
      <c r="FD52" s="50"/>
      <c r="FE52" s="50"/>
      <c r="FF52" s="50"/>
      <c r="FG52" s="50"/>
      <c r="FH52" s="50"/>
      <c r="FI52" s="50"/>
      <c r="FJ52" s="50"/>
      <c r="FK52" s="50"/>
      <c r="FL52" s="50"/>
      <c r="FM52" s="50"/>
      <c r="FN52" s="50"/>
      <c r="FO52" s="50"/>
      <c r="FP52" s="50"/>
      <c r="FQ52" s="50"/>
      <c r="FR52" s="50"/>
      <c r="FS52" s="50"/>
      <c r="FT52" s="50"/>
      <c r="FU52" s="50"/>
      <c r="FV52" s="50"/>
      <c r="FW52" s="50"/>
      <c r="FX52" s="50"/>
      <c r="FY52" s="50"/>
      <c r="FZ52" s="50"/>
      <c r="GA52" s="50"/>
      <c r="GB52" s="50"/>
      <c r="GC52" s="50"/>
      <c r="GD52" s="50"/>
      <c r="GE52" s="50"/>
      <c r="GF52" s="50"/>
      <c r="GG52" s="50"/>
      <c r="GH52" s="50"/>
      <c r="GI52" s="50"/>
      <c r="GJ52" s="50"/>
      <c r="GK52" s="50"/>
    </row>
    <row r="53" ht="15.7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  <c r="CP53" s="50"/>
      <c r="CQ53" s="50"/>
      <c r="CR53" s="50"/>
      <c r="CS53" s="50"/>
      <c r="CT53" s="50"/>
      <c r="CU53" s="50"/>
      <c r="CV53" s="50"/>
      <c r="CW53" s="50"/>
      <c r="CX53" s="50"/>
      <c r="CY53" s="50"/>
      <c r="CZ53" s="50"/>
      <c r="DA53" s="50"/>
      <c r="DB53" s="50"/>
      <c r="DC53" s="50"/>
      <c r="DD53" s="50"/>
      <c r="DE53" s="50"/>
      <c r="DF53" s="50"/>
      <c r="DG53" s="50"/>
      <c r="DH53" s="50"/>
      <c r="DI53" s="50"/>
      <c r="DJ53" s="50"/>
      <c r="DK53" s="50"/>
      <c r="DL53" s="50"/>
      <c r="DM53" s="50"/>
      <c r="DN53" s="50"/>
      <c r="DO53" s="50"/>
      <c r="DP53" s="50"/>
      <c r="DQ53" s="50"/>
      <c r="DR53" s="50"/>
      <c r="DS53" s="50"/>
      <c r="DT53" s="50"/>
      <c r="DU53" s="50"/>
      <c r="DV53" s="50"/>
      <c r="DW53" s="50"/>
      <c r="DX53" s="50"/>
      <c r="DY53" s="50"/>
      <c r="DZ53" s="50"/>
      <c r="EA53" s="50"/>
      <c r="EB53" s="50"/>
      <c r="EC53" s="50"/>
      <c r="ED53" s="50"/>
      <c r="EE53" s="50"/>
      <c r="EF53" s="50"/>
      <c r="EG53" s="50"/>
      <c r="EH53" s="50"/>
      <c r="EI53" s="50"/>
      <c r="EJ53" s="50"/>
      <c r="EK53" s="50"/>
      <c r="EL53" s="50"/>
      <c r="EM53" s="50"/>
      <c r="EN53" s="50"/>
      <c r="EO53" s="50"/>
      <c r="EP53" s="50"/>
      <c r="EQ53" s="50"/>
      <c r="ER53" s="50"/>
      <c r="ES53" s="50"/>
      <c r="ET53" s="50"/>
      <c r="EU53" s="50"/>
      <c r="EV53" s="50"/>
      <c r="EW53" s="50"/>
      <c r="EX53" s="50"/>
      <c r="EY53" s="50"/>
      <c r="EZ53" s="50"/>
      <c r="FA53" s="50"/>
      <c r="FB53" s="50"/>
      <c r="FC53" s="50"/>
      <c r="FD53" s="50"/>
      <c r="FE53" s="50"/>
      <c r="FF53" s="50"/>
      <c r="FG53" s="50"/>
      <c r="FH53" s="50"/>
      <c r="FI53" s="50"/>
      <c r="FJ53" s="50"/>
      <c r="FK53" s="50"/>
      <c r="FL53" s="50"/>
      <c r="FM53" s="50"/>
      <c r="FN53" s="50"/>
      <c r="FO53" s="50"/>
      <c r="FP53" s="50"/>
      <c r="FQ53" s="50"/>
      <c r="FR53" s="50"/>
      <c r="FS53" s="50"/>
      <c r="FT53" s="50"/>
      <c r="FU53" s="50"/>
      <c r="FV53" s="50"/>
      <c r="FW53" s="50"/>
      <c r="FX53" s="50"/>
      <c r="FY53" s="50"/>
      <c r="FZ53" s="50"/>
      <c r="GA53" s="50"/>
      <c r="GB53" s="50"/>
      <c r="GC53" s="50"/>
      <c r="GD53" s="50"/>
      <c r="GE53" s="50"/>
      <c r="GF53" s="50"/>
      <c r="GG53" s="50"/>
      <c r="GH53" s="50"/>
      <c r="GI53" s="50"/>
      <c r="GJ53" s="50"/>
      <c r="GK53" s="50"/>
    </row>
    <row r="54" ht="15.7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/>
      <c r="CZ54" s="50"/>
      <c r="DA54" s="50"/>
      <c r="DB54" s="50"/>
      <c r="DC54" s="50"/>
      <c r="DD54" s="50"/>
      <c r="DE54" s="50"/>
      <c r="DF54" s="50"/>
      <c r="DG54" s="50"/>
      <c r="DH54" s="50"/>
      <c r="DI54" s="50"/>
      <c r="DJ54" s="50"/>
      <c r="DK54" s="50"/>
      <c r="DL54" s="50"/>
      <c r="DM54" s="50"/>
      <c r="DN54" s="50"/>
      <c r="DO54" s="50"/>
      <c r="DP54" s="50"/>
      <c r="DQ54" s="50"/>
      <c r="DR54" s="50"/>
      <c r="DS54" s="50"/>
      <c r="DT54" s="50"/>
      <c r="DU54" s="50"/>
      <c r="DV54" s="50"/>
      <c r="DW54" s="50"/>
      <c r="DX54" s="50"/>
      <c r="DY54" s="50"/>
      <c r="DZ54" s="50"/>
      <c r="EA54" s="50"/>
      <c r="EB54" s="50"/>
      <c r="EC54" s="50"/>
      <c r="ED54" s="50"/>
      <c r="EE54" s="50"/>
      <c r="EF54" s="50"/>
      <c r="EG54" s="50"/>
      <c r="EH54" s="50"/>
      <c r="EI54" s="50"/>
      <c r="EJ54" s="50"/>
      <c r="EK54" s="50"/>
      <c r="EL54" s="50"/>
      <c r="EM54" s="50"/>
      <c r="EN54" s="50"/>
      <c r="EO54" s="50"/>
      <c r="EP54" s="50"/>
      <c r="EQ54" s="50"/>
      <c r="ER54" s="50"/>
      <c r="ES54" s="50"/>
      <c r="ET54" s="50"/>
      <c r="EU54" s="50"/>
      <c r="EV54" s="50"/>
      <c r="EW54" s="50"/>
      <c r="EX54" s="50"/>
      <c r="EY54" s="50"/>
      <c r="EZ54" s="50"/>
      <c r="FA54" s="50"/>
      <c r="FB54" s="50"/>
      <c r="FC54" s="50"/>
      <c r="FD54" s="50"/>
      <c r="FE54" s="50"/>
      <c r="FF54" s="50"/>
      <c r="FG54" s="50"/>
      <c r="FH54" s="50"/>
      <c r="FI54" s="50"/>
      <c r="FJ54" s="50"/>
      <c r="FK54" s="50"/>
      <c r="FL54" s="50"/>
      <c r="FM54" s="50"/>
      <c r="FN54" s="50"/>
      <c r="FO54" s="50"/>
      <c r="FP54" s="50"/>
      <c r="FQ54" s="50"/>
      <c r="FR54" s="50"/>
      <c r="FS54" s="50"/>
      <c r="FT54" s="50"/>
      <c r="FU54" s="50"/>
      <c r="FV54" s="50"/>
      <c r="FW54" s="50"/>
      <c r="FX54" s="50"/>
      <c r="FY54" s="50"/>
      <c r="FZ54" s="50"/>
      <c r="GA54" s="50"/>
      <c r="GB54" s="50"/>
      <c r="GC54" s="50"/>
      <c r="GD54" s="50"/>
      <c r="GE54" s="50"/>
      <c r="GF54" s="50"/>
      <c r="GG54" s="50"/>
      <c r="GH54" s="50"/>
      <c r="GI54" s="50"/>
      <c r="GJ54" s="50"/>
      <c r="GK54" s="50"/>
    </row>
    <row r="55" ht="15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0"/>
      <c r="CP55" s="50"/>
      <c r="CQ55" s="50"/>
      <c r="CR55" s="50"/>
      <c r="CS55" s="50"/>
      <c r="CT55" s="50"/>
      <c r="CU55" s="50"/>
      <c r="CV55" s="50"/>
      <c r="CW55" s="50"/>
      <c r="CX55" s="50"/>
      <c r="CY55" s="50"/>
      <c r="CZ55" s="50"/>
      <c r="DA55" s="50"/>
      <c r="DB55" s="50"/>
      <c r="DC55" s="50"/>
      <c r="DD55" s="50"/>
      <c r="DE55" s="50"/>
      <c r="DF55" s="50"/>
      <c r="DG55" s="50"/>
      <c r="DH55" s="50"/>
      <c r="DI55" s="50"/>
      <c r="DJ55" s="50"/>
      <c r="DK55" s="50"/>
      <c r="DL55" s="50"/>
      <c r="DM55" s="50"/>
      <c r="DN55" s="50"/>
      <c r="DO55" s="50"/>
      <c r="DP55" s="50"/>
      <c r="DQ55" s="50"/>
      <c r="DR55" s="50"/>
      <c r="DS55" s="50"/>
      <c r="DT55" s="50"/>
      <c r="DU55" s="50"/>
      <c r="DV55" s="50"/>
      <c r="DW55" s="50"/>
      <c r="DX55" s="50"/>
      <c r="DY55" s="50"/>
      <c r="DZ55" s="50"/>
      <c r="EA55" s="50"/>
      <c r="EB55" s="50"/>
      <c r="EC55" s="50"/>
      <c r="ED55" s="50"/>
      <c r="EE55" s="50"/>
      <c r="EF55" s="50"/>
      <c r="EG55" s="50"/>
      <c r="EH55" s="50"/>
      <c r="EI55" s="50"/>
      <c r="EJ55" s="50"/>
      <c r="EK55" s="50"/>
      <c r="EL55" s="50"/>
      <c r="EM55" s="50"/>
      <c r="EN55" s="50"/>
      <c r="EO55" s="50"/>
      <c r="EP55" s="50"/>
      <c r="EQ55" s="50"/>
      <c r="ER55" s="50"/>
      <c r="ES55" s="50"/>
      <c r="ET55" s="50"/>
      <c r="EU55" s="50"/>
      <c r="EV55" s="50"/>
      <c r="EW55" s="50"/>
      <c r="EX55" s="50"/>
      <c r="EY55" s="50"/>
      <c r="EZ55" s="50"/>
      <c r="FA55" s="50"/>
      <c r="FB55" s="50"/>
      <c r="FC55" s="50"/>
      <c r="FD55" s="50"/>
      <c r="FE55" s="50"/>
      <c r="FF55" s="50"/>
      <c r="FG55" s="50"/>
      <c r="FH55" s="50"/>
      <c r="FI55" s="50"/>
      <c r="FJ55" s="50"/>
      <c r="FK55" s="50"/>
      <c r="FL55" s="50"/>
      <c r="FM55" s="50"/>
      <c r="FN55" s="50"/>
      <c r="FO55" s="50"/>
      <c r="FP55" s="50"/>
      <c r="FQ55" s="50"/>
      <c r="FR55" s="50"/>
      <c r="FS55" s="50"/>
      <c r="FT55" s="50"/>
      <c r="FU55" s="50"/>
      <c r="FV55" s="50"/>
      <c r="FW55" s="50"/>
      <c r="FX55" s="50"/>
      <c r="FY55" s="50"/>
      <c r="FZ55" s="50"/>
      <c r="GA55" s="50"/>
      <c r="GB55" s="50"/>
      <c r="GC55" s="50"/>
      <c r="GD55" s="50"/>
      <c r="GE55" s="50"/>
      <c r="GF55" s="50"/>
      <c r="GG55" s="50"/>
      <c r="GH55" s="50"/>
      <c r="GI55" s="50"/>
      <c r="GJ55" s="50"/>
      <c r="GK55" s="50"/>
    </row>
    <row r="56" ht="15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  <c r="CP56" s="50"/>
      <c r="CQ56" s="50"/>
      <c r="CR56" s="50"/>
      <c r="CS56" s="50"/>
      <c r="CT56" s="50"/>
      <c r="CU56" s="50"/>
      <c r="CV56" s="50"/>
      <c r="CW56" s="50"/>
      <c r="CX56" s="50"/>
      <c r="CY56" s="50"/>
      <c r="CZ56" s="50"/>
      <c r="DA56" s="50"/>
      <c r="DB56" s="50"/>
      <c r="DC56" s="50"/>
      <c r="DD56" s="50"/>
      <c r="DE56" s="50"/>
      <c r="DF56" s="50"/>
      <c r="DG56" s="50"/>
      <c r="DH56" s="50"/>
      <c r="DI56" s="50"/>
      <c r="DJ56" s="50"/>
      <c r="DK56" s="50"/>
      <c r="DL56" s="50"/>
      <c r="DM56" s="50"/>
      <c r="DN56" s="50"/>
      <c r="DO56" s="50"/>
      <c r="DP56" s="50"/>
      <c r="DQ56" s="50"/>
      <c r="DR56" s="50"/>
      <c r="DS56" s="50"/>
      <c r="DT56" s="50"/>
      <c r="DU56" s="50"/>
      <c r="DV56" s="50"/>
      <c r="DW56" s="50"/>
      <c r="DX56" s="50"/>
      <c r="DY56" s="50"/>
      <c r="DZ56" s="50"/>
      <c r="EA56" s="50"/>
      <c r="EB56" s="50"/>
      <c r="EC56" s="50"/>
      <c r="ED56" s="50"/>
      <c r="EE56" s="50"/>
      <c r="EF56" s="50"/>
      <c r="EG56" s="50"/>
      <c r="EH56" s="50"/>
      <c r="EI56" s="50"/>
      <c r="EJ56" s="50"/>
      <c r="EK56" s="50"/>
      <c r="EL56" s="50"/>
      <c r="EM56" s="50"/>
      <c r="EN56" s="50"/>
      <c r="EO56" s="50"/>
      <c r="EP56" s="50"/>
      <c r="EQ56" s="50"/>
      <c r="ER56" s="50"/>
      <c r="ES56" s="50"/>
      <c r="ET56" s="50"/>
      <c r="EU56" s="50"/>
      <c r="EV56" s="50"/>
      <c r="EW56" s="50"/>
      <c r="EX56" s="50"/>
      <c r="EY56" s="50"/>
      <c r="EZ56" s="50"/>
      <c r="FA56" s="50"/>
      <c r="FB56" s="50"/>
      <c r="FC56" s="50"/>
      <c r="FD56" s="50"/>
      <c r="FE56" s="50"/>
      <c r="FF56" s="50"/>
      <c r="FG56" s="50"/>
      <c r="FH56" s="50"/>
      <c r="FI56" s="50"/>
      <c r="FJ56" s="50"/>
      <c r="FK56" s="50"/>
      <c r="FL56" s="50"/>
      <c r="FM56" s="50"/>
      <c r="FN56" s="50"/>
      <c r="FO56" s="50"/>
      <c r="FP56" s="50"/>
      <c r="FQ56" s="50"/>
      <c r="FR56" s="50"/>
      <c r="FS56" s="50"/>
      <c r="FT56" s="50"/>
      <c r="FU56" s="50"/>
      <c r="FV56" s="50"/>
      <c r="FW56" s="50"/>
      <c r="FX56" s="50"/>
      <c r="FY56" s="50"/>
      <c r="FZ56" s="50"/>
      <c r="GA56" s="50"/>
      <c r="GB56" s="50"/>
      <c r="GC56" s="50"/>
      <c r="GD56" s="50"/>
      <c r="GE56" s="50"/>
      <c r="GF56" s="50"/>
      <c r="GG56" s="50"/>
      <c r="GH56" s="50"/>
      <c r="GI56" s="50"/>
      <c r="GJ56" s="50"/>
      <c r="GK56" s="50"/>
    </row>
    <row r="57" ht="15.7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  <c r="CB57" s="50"/>
      <c r="CC57" s="50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0"/>
      <c r="CO57" s="50"/>
      <c r="CP57" s="50"/>
      <c r="CQ57" s="50"/>
      <c r="CR57" s="50"/>
      <c r="CS57" s="50"/>
      <c r="CT57" s="50"/>
      <c r="CU57" s="50"/>
      <c r="CV57" s="50"/>
      <c r="CW57" s="50"/>
      <c r="CX57" s="50"/>
      <c r="CY57" s="50"/>
      <c r="CZ57" s="50"/>
      <c r="DA57" s="50"/>
      <c r="DB57" s="50"/>
      <c r="DC57" s="50"/>
      <c r="DD57" s="50"/>
      <c r="DE57" s="50"/>
      <c r="DF57" s="50"/>
      <c r="DG57" s="50"/>
      <c r="DH57" s="50"/>
      <c r="DI57" s="50"/>
      <c r="DJ57" s="50"/>
      <c r="DK57" s="50"/>
      <c r="DL57" s="50"/>
      <c r="DM57" s="50"/>
      <c r="DN57" s="50"/>
      <c r="DO57" s="50"/>
      <c r="DP57" s="50"/>
      <c r="DQ57" s="50"/>
      <c r="DR57" s="50"/>
      <c r="DS57" s="50"/>
      <c r="DT57" s="50"/>
      <c r="DU57" s="50"/>
      <c r="DV57" s="50"/>
      <c r="DW57" s="50"/>
      <c r="DX57" s="50"/>
      <c r="DY57" s="50"/>
      <c r="DZ57" s="50"/>
      <c r="EA57" s="50"/>
      <c r="EB57" s="50"/>
      <c r="EC57" s="50"/>
      <c r="ED57" s="50"/>
      <c r="EE57" s="50"/>
      <c r="EF57" s="50"/>
      <c r="EG57" s="50"/>
      <c r="EH57" s="50"/>
      <c r="EI57" s="50"/>
      <c r="EJ57" s="50"/>
      <c r="EK57" s="50"/>
      <c r="EL57" s="50"/>
      <c r="EM57" s="50"/>
      <c r="EN57" s="50"/>
      <c r="EO57" s="50"/>
      <c r="EP57" s="50"/>
      <c r="EQ57" s="50"/>
      <c r="ER57" s="50"/>
      <c r="ES57" s="50"/>
      <c r="ET57" s="50"/>
      <c r="EU57" s="50"/>
      <c r="EV57" s="50"/>
      <c r="EW57" s="50"/>
      <c r="EX57" s="50"/>
      <c r="EY57" s="50"/>
      <c r="EZ57" s="50"/>
      <c r="FA57" s="50"/>
      <c r="FB57" s="50"/>
      <c r="FC57" s="50"/>
      <c r="FD57" s="50"/>
      <c r="FE57" s="50"/>
      <c r="FF57" s="50"/>
      <c r="FG57" s="50"/>
      <c r="FH57" s="50"/>
      <c r="FI57" s="50"/>
      <c r="FJ57" s="50"/>
      <c r="FK57" s="50"/>
      <c r="FL57" s="50"/>
      <c r="FM57" s="50"/>
      <c r="FN57" s="50"/>
      <c r="FO57" s="50"/>
      <c r="FP57" s="50"/>
      <c r="FQ57" s="50"/>
      <c r="FR57" s="50"/>
      <c r="FS57" s="50"/>
      <c r="FT57" s="50"/>
      <c r="FU57" s="50"/>
      <c r="FV57" s="50"/>
      <c r="FW57" s="50"/>
      <c r="FX57" s="50"/>
      <c r="FY57" s="50"/>
      <c r="FZ57" s="50"/>
      <c r="GA57" s="50"/>
      <c r="GB57" s="50"/>
      <c r="GC57" s="50"/>
      <c r="GD57" s="50"/>
      <c r="GE57" s="50"/>
      <c r="GF57" s="50"/>
      <c r="GG57" s="50"/>
      <c r="GH57" s="50"/>
      <c r="GI57" s="50"/>
      <c r="GJ57" s="50"/>
      <c r="GK57" s="50"/>
    </row>
    <row r="58" ht="15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  <c r="CQ58" s="50"/>
      <c r="CR58" s="50"/>
      <c r="CS58" s="50"/>
      <c r="CT58" s="50"/>
      <c r="CU58" s="50"/>
      <c r="CV58" s="50"/>
      <c r="CW58" s="50"/>
      <c r="CX58" s="50"/>
      <c r="CY58" s="50"/>
      <c r="CZ58" s="50"/>
      <c r="DA58" s="50"/>
      <c r="DB58" s="50"/>
      <c r="DC58" s="50"/>
      <c r="DD58" s="50"/>
      <c r="DE58" s="50"/>
      <c r="DF58" s="50"/>
      <c r="DG58" s="50"/>
      <c r="DH58" s="50"/>
      <c r="DI58" s="50"/>
      <c r="DJ58" s="50"/>
      <c r="DK58" s="50"/>
      <c r="DL58" s="50"/>
      <c r="DM58" s="50"/>
      <c r="DN58" s="50"/>
      <c r="DO58" s="50"/>
      <c r="DP58" s="50"/>
      <c r="DQ58" s="50"/>
      <c r="DR58" s="50"/>
      <c r="DS58" s="50"/>
      <c r="DT58" s="50"/>
      <c r="DU58" s="50"/>
      <c r="DV58" s="50"/>
      <c r="DW58" s="50"/>
      <c r="DX58" s="50"/>
      <c r="DY58" s="50"/>
      <c r="DZ58" s="50"/>
      <c r="EA58" s="50"/>
      <c r="EB58" s="50"/>
      <c r="EC58" s="50"/>
      <c r="ED58" s="50"/>
      <c r="EE58" s="50"/>
      <c r="EF58" s="50"/>
      <c r="EG58" s="50"/>
      <c r="EH58" s="50"/>
      <c r="EI58" s="50"/>
      <c r="EJ58" s="50"/>
      <c r="EK58" s="50"/>
      <c r="EL58" s="50"/>
      <c r="EM58" s="50"/>
      <c r="EN58" s="50"/>
      <c r="EO58" s="50"/>
      <c r="EP58" s="50"/>
      <c r="EQ58" s="50"/>
      <c r="ER58" s="50"/>
      <c r="ES58" s="50"/>
      <c r="ET58" s="50"/>
      <c r="EU58" s="50"/>
      <c r="EV58" s="50"/>
      <c r="EW58" s="50"/>
      <c r="EX58" s="50"/>
      <c r="EY58" s="50"/>
      <c r="EZ58" s="50"/>
      <c r="FA58" s="50"/>
      <c r="FB58" s="50"/>
      <c r="FC58" s="50"/>
      <c r="FD58" s="50"/>
      <c r="FE58" s="50"/>
      <c r="FF58" s="50"/>
      <c r="FG58" s="50"/>
      <c r="FH58" s="50"/>
      <c r="FI58" s="50"/>
      <c r="FJ58" s="50"/>
      <c r="FK58" s="50"/>
      <c r="FL58" s="50"/>
      <c r="FM58" s="50"/>
      <c r="FN58" s="50"/>
      <c r="FO58" s="50"/>
      <c r="FP58" s="50"/>
      <c r="FQ58" s="50"/>
      <c r="FR58" s="50"/>
      <c r="FS58" s="50"/>
      <c r="FT58" s="50"/>
      <c r="FU58" s="50"/>
      <c r="FV58" s="50"/>
      <c r="FW58" s="50"/>
      <c r="FX58" s="50"/>
      <c r="FY58" s="50"/>
      <c r="FZ58" s="50"/>
      <c r="GA58" s="50"/>
      <c r="GB58" s="50"/>
      <c r="GC58" s="50"/>
      <c r="GD58" s="50"/>
      <c r="GE58" s="50"/>
      <c r="GF58" s="50"/>
      <c r="GG58" s="50"/>
      <c r="GH58" s="50"/>
      <c r="GI58" s="50"/>
      <c r="GJ58" s="50"/>
      <c r="GK58" s="50"/>
    </row>
    <row r="59" ht="15.7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  <c r="CP59" s="50"/>
      <c r="CQ59" s="50"/>
      <c r="CR59" s="50"/>
      <c r="CS59" s="50"/>
      <c r="CT59" s="50"/>
      <c r="CU59" s="50"/>
      <c r="CV59" s="50"/>
      <c r="CW59" s="50"/>
      <c r="CX59" s="50"/>
      <c r="CY59" s="50"/>
      <c r="CZ59" s="50"/>
      <c r="DA59" s="50"/>
      <c r="DB59" s="50"/>
      <c r="DC59" s="50"/>
      <c r="DD59" s="50"/>
      <c r="DE59" s="50"/>
      <c r="DF59" s="50"/>
      <c r="DG59" s="50"/>
      <c r="DH59" s="50"/>
      <c r="DI59" s="50"/>
      <c r="DJ59" s="50"/>
      <c r="DK59" s="50"/>
      <c r="DL59" s="50"/>
      <c r="DM59" s="50"/>
      <c r="DN59" s="50"/>
      <c r="DO59" s="50"/>
      <c r="DP59" s="50"/>
      <c r="DQ59" s="50"/>
      <c r="DR59" s="50"/>
      <c r="DS59" s="50"/>
      <c r="DT59" s="50"/>
      <c r="DU59" s="50"/>
      <c r="DV59" s="50"/>
      <c r="DW59" s="50"/>
      <c r="DX59" s="50"/>
      <c r="DY59" s="50"/>
      <c r="DZ59" s="50"/>
      <c r="EA59" s="50"/>
      <c r="EB59" s="50"/>
      <c r="EC59" s="50"/>
      <c r="ED59" s="50"/>
      <c r="EE59" s="50"/>
      <c r="EF59" s="50"/>
      <c r="EG59" s="50"/>
      <c r="EH59" s="50"/>
      <c r="EI59" s="50"/>
      <c r="EJ59" s="50"/>
      <c r="EK59" s="50"/>
      <c r="EL59" s="50"/>
      <c r="EM59" s="50"/>
      <c r="EN59" s="50"/>
      <c r="EO59" s="50"/>
      <c r="EP59" s="50"/>
      <c r="EQ59" s="50"/>
      <c r="ER59" s="50"/>
      <c r="ES59" s="50"/>
      <c r="ET59" s="50"/>
      <c r="EU59" s="50"/>
      <c r="EV59" s="50"/>
      <c r="EW59" s="50"/>
      <c r="EX59" s="50"/>
      <c r="EY59" s="50"/>
      <c r="EZ59" s="50"/>
      <c r="FA59" s="50"/>
      <c r="FB59" s="50"/>
      <c r="FC59" s="50"/>
      <c r="FD59" s="50"/>
      <c r="FE59" s="50"/>
      <c r="FF59" s="50"/>
      <c r="FG59" s="50"/>
      <c r="FH59" s="50"/>
      <c r="FI59" s="50"/>
      <c r="FJ59" s="50"/>
      <c r="FK59" s="50"/>
      <c r="FL59" s="50"/>
      <c r="FM59" s="50"/>
      <c r="FN59" s="50"/>
      <c r="FO59" s="50"/>
      <c r="FP59" s="50"/>
      <c r="FQ59" s="50"/>
      <c r="FR59" s="50"/>
      <c r="FS59" s="50"/>
      <c r="FT59" s="50"/>
      <c r="FU59" s="50"/>
      <c r="FV59" s="50"/>
      <c r="FW59" s="50"/>
      <c r="FX59" s="50"/>
      <c r="FY59" s="50"/>
      <c r="FZ59" s="50"/>
      <c r="GA59" s="50"/>
      <c r="GB59" s="50"/>
      <c r="GC59" s="50"/>
      <c r="GD59" s="50"/>
      <c r="GE59" s="50"/>
      <c r="GF59" s="50"/>
      <c r="GG59" s="50"/>
      <c r="GH59" s="50"/>
      <c r="GI59" s="50"/>
      <c r="GJ59" s="50"/>
      <c r="GK59" s="50"/>
    </row>
    <row r="60" ht="15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50"/>
      <c r="CY60" s="50"/>
      <c r="CZ60" s="50"/>
      <c r="DA60" s="50"/>
      <c r="DB60" s="50"/>
      <c r="DC60" s="50"/>
      <c r="DD60" s="50"/>
      <c r="DE60" s="50"/>
      <c r="DF60" s="50"/>
      <c r="DG60" s="50"/>
      <c r="DH60" s="50"/>
      <c r="DI60" s="50"/>
      <c r="DJ60" s="50"/>
      <c r="DK60" s="50"/>
      <c r="DL60" s="50"/>
      <c r="DM60" s="50"/>
      <c r="DN60" s="50"/>
      <c r="DO60" s="50"/>
      <c r="DP60" s="50"/>
      <c r="DQ60" s="50"/>
      <c r="DR60" s="50"/>
      <c r="DS60" s="50"/>
      <c r="DT60" s="50"/>
      <c r="DU60" s="50"/>
      <c r="DV60" s="50"/>
      <c r="DW60" s="50"/>
      <c r="DX60" s="50"/>
      <c r="DY60" s="50"/>
      <c r="DZ60" s="50"/>
      <c r="EA60" s="50"/>
      <c r="EB60" s="50"/>
      <c r="EC60" s="50"/>
      <c r="ED60" s="50"/>
      <c r="EE60" s="50"/>
      <c r="EF60" s="50"/>
      <c r="EG60" s="50"/>
      <c r="EH60" s="50"/>
      <c r="EI60" s="50"/>
      <c r="EJ60" s="50"/>
      <c r="EK60" s="50"/>
      <c r="EL60" s="50"/>
      <c r="EM60" s="50"/>
      <c r="EN60" s="50"/>
      <c r="EO60" s="50"/>
      <c r="EP60" s="50"/>
      <c r="EQ60" s="50"/>
      <c r="ER60" s="50"/>
      <c r="ES60" s="50"/>
      <c r="ET60" s="50"/>
      <c r="EU60" s="50"/>
      <c r="EV60" s="50"/>
      <c r="EW60" s="50"/>
      <c r="EX60" s="50"/>
      <c r="EY60" s="50"/>
      <c r="EZ60" s="50"/>
      <c r="FA60" s="50"/>
      <c r="FB60" s="50"/>
      <c r="FC60" s="50"/>
      <c r="FD60" s="50"/>
      <c r="FE60" s="50"/>
      <c r="FF60" s="50"/>
      <c r="FG60" s="50"/>
      <c r="FH60" s="50"/>
      <c r="FI60" s="50"/>
      <c r="FJ60" s="50"/>
      <c r="FK60" s="50"/>
      <c r="FL60" s="50"/>
      <c r="FM60" s="50"/>
      <c r="FN60" s="50"/>
      <c r="FO60" s="50"/>
      <c r="FP60" s="50"/>
      <c r="FQ60" s="50"/>
      <c r="FR60" s="50"/>
      <c r="FS60" s="50"/>
      <c r="FT60" s="50"/>
      <c r="FU60" s="50"/>
      <c r="FV60" s="50"/>
      <c r="FW60" s="50"/>
      <c r="FX60" s="50"/>
      <c r="FY60" s="50"/>
      <c r="FZ60" s="50"/>
      <c r="GA60" s="50"/>
      <c r="GB60" s="50"/>
      <c r="GC60" s="50"/>
      <c r="GD60" s="50"/>
      <c r="GE60" s="50"/>
      <c r="GF60" s="50"/>
      <c r="GG60" s="50"/>
      <c r="GH60" s="50"/>
      <c r="GI60" s="50"/>
      <c r="GJ60" s="50"/>
      <c r="GK60" s="50"/>
    </row>
    <row r="61" ht="15.7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/>
      <c r="CY61" s="50"/>
      <c r="CZ61" s="50"/>
      <c r="DA61" s="50"/>
      <c r="DB61" s="50"/>
      <c r="DC61" s="50"/>
      <c r="DD61" s="50"/>
      <c r="DE61" s="50"/>
      <c r="DF61" s="50"/>
      <c r="DG61" s="50"/>
      <c r="DH61" s="50"/>
      <c r="DI61" s="50"/>
      <c r="DJ61" s="50"/>
      <c r="DK61" s="50"/>
      <c r="DL61" s="50"/>
      <c r="DM61" s="50"/>
      <c r="DN61" s="50"/>
      <c r="DO61" s="50"/>
      <c r="DP61" s="50"/>
      <c r="DQ61" s="50"/>
      <c r="DR61" s="50"/>
      <c r="DS61" s="50"/>
      <c r="DT61" s="50"/>
      <c r="DU61" s="50"/>
      <c r="DV61" s="50"/>
      <c r="DW61" s="50"/>
      <c r="DX61" s="50"/>
      <c r="DY61" s="50"/>
      <c r="DZ61" s="50"/>
      <c r="EA61" s="50"/>
      <c r="EB61" s="50"/>
      <c r="EC61" s="50"/>
      <c r="ED61" s="50"/>
      <c r="EE61" s="50"/>
      <c r="EF61" s="50"/>
      <c r="EG61" s="50"/>
      <c r="EH61" s="50"/>
      <c r="EI61" s="50"/>
      <c r="EJ61" s="50"/>
      <c r="EK61" s="50"/>
      <c r="EL61" s="50"/>
      <c r="EM61" s="50"/>
      <c r="EN61" s="50"/>
      <c r="EO61" s="50"/>
      <c r="EP61" s="50"/>
      <c r="EQ61" s="50"/>
      <c r="ER61" s="50"/>
      <c r="ES61" s="50"/>
      <c r="ET61" s="50"/>
      <c r="EU61" s="50"/>
      <c r="EV61" s="50"/>
      <c r="EW61" s="50"/>
      <c r="EX61" s="50"/>
      <c r="EY61" s="50"/>
      <c r="EZ61" s="50"/>
      <c r="FA61" s="50"/>
      <c r="FB61" s="50"/>
      <c r="FC61" s="50"/>
      <c r="FD61" s="50"/>
      <c r="FE61" s="50"/>
      <c r="FF61" s="50"/>
      <c r="FG61" s="50"/>
      <c r="FH61" s="50"/>
      <c r="FI61" s="50"/>
      <c r="FJ61" s="50"/>
      <c r="FK61" s="50"/>
      <c r="FL61" s="50"/>
      <c r="FM61" s="50"/>
      <c r="FN61" s="50"/>
      <c r="FO61" s="50"/>
      <c r="FP61" s="50"/>
      <c r="FQ61" s="50"/>
      <c r="FR61" s="50"/>
      <c r="FS61" s="50"/>
      <c r="FT61" s="50"/>
      <c r="FU61" s="50"/>
      <c r="FV61" s="50"/>
      <c r="FW61" s="50"/>
      <c r="FX61" s="50"/>
      <c r="FY61" s="50"/>
      <c r="FZ61" s="50"/>
      <c r="GA61" s="50"/>
      <c r="GB61" s="50"/>
      <c r="GC61" s="50"/>
      <c r="GD61" s="50"/>
      <c r="GE61" s="50"/>
      <c r="GF61" s="50"/>
      <c r="GG61" s="50"/>
      <c r="GH61" s="50"/>
      <c r="GI61" s="50"/>
      <c r="GJ61" s="50"/>
      <c r="GK61" s="50"/>
    </row>
    <row r="62" ht="15.7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0"/>
      <c r="CS62" s="50"/>
      <c r="CT62" s="50"/>
      <c r="CU62" s="50"/>
      <c r="CV62" s="50"/>
      <c r="CW62" s="50"/>
      <c r="CX62" s="50"/>
      <c r="CY62" s="50"/>
      <c r="CZ62" s="50"/>
      <c r="DA62" s="50"/>
      <c r="DB62" s="50"/>
      <c r="DC62" s="50"/>
      <c r="DD62" s="50"/>
      <c r="DE62" s="50"/>
      <c r="DF62" s="50"/>
      <c r="DG62" s="50"/>
      <c r="DH62" s="50"/>
      <c r="DI62" s="50"/>
      <c r="DJ62" s="50"/>
      <c r="DK62" s="50"/>
      <c r="DL62" s="50"/>
      <c r="DM62" s="50"/>
      <c r="DN62" s="50"/>
      <c r="DO62" s="50"/>
      <c r="DP62" s="50"/>
      <c r="DQ62" s="50"/>
      <c r="DR62" s="50"/>
      <c r="DS62" s="50"/>
      <c r="DT62" s="50"/>
      <c r="DU62" s="50"/>
      <c r="DV62" s="50"/>
      <c r="DW62" s="50"/>
      <c r="DX62" s="50"/>
      <c r="DY62" s="50"/>
      <c r="DZ62" s="50"/>
      <c r="EA62" s="50"/>
      <c r="EB62" s="50"/>
      <c r="EC62" s="50"/>
      <c r="ED62" s="50"/>
      <c r="EE62" s="50"/>
      <c r="EF62" s="50"/>
      <c r="EG62" s="50"/>
      <c r="EH62" s="50"/>
      <c r="EI62" s="50"/>
      <c r="EJ62" s="50"/>
      <c r="EK62" s="50"/>
      <c r="EL62" s="50"/>
      <c r="EM62" s="50"/>
      <c r="EN62" s="50"/>
      <c r="EO62" s="50"/>
      <c r="EP62" s="50"/>
      <c r="EQ62" s="50"/>
      <c r="ER62" s="50"/>
      <c r="ES62" s="50"/>
      <c r="ET62" s="50"/>
      <c r="EU62" s="50"/>
      <c r="EV62" s="50"/>
      <c r="EW62" s="50"/>
      <c r="EX62" s="50"/>
      <c r="EY62" s="50"/>
      <c r="EZ62" s="50"/>
      <c r="FA62" s="50"/>
      <c r="FB62" s="50"/>
      <c r="FC62" s="50"/>
      <c r="FD62" s="50"/>
      <c r="FE62" s="50"/>
      <c r="FF62" s="50"/>
      <c r="FG62" s="50"/>
      <c r="FH62" s="50"/>
      <c r="FI62" s="50"/>
      <c r="FJ62" s="50"/>
      <c r="FK62" s="50"/>
      <c r="FL62" s="50"/>
      <c r="FM62" s="50"/>
      <c r="FN62" s="50"/>
      <c r="FO62" s="50"/>
      <c r="FP62" s="50"/>
      <c r="FQ62" s="50"/>
      <c r="FR62" s="50"/>
      <c r="FS62" s="50"/>
      <c r="FT62" s="50"/>
      <c r="FU62" s="50"/>
      <c r="FV62" s="50"/>
      <c r="FW62" s="50"/>
      <c r="FX62" s="50"/>
      <c r="FY62" s="50"/>
      <c r="FZ62" s="50"/>
      <c r="GA62" s="50"/>
      <c r="GB62" s="50"/>
      <c r="GC62" s="50"/>
      <c r="GD62" s="50"/>
      <c r="GE62" s="50"/>
      <c r="GF62" s="50"/>
      <c r="GG62" s="50"/>
      <c r="GH62" s="50"/>
      <c r="GI62" s="50"/>
      <c r="GJ62" s="50"/>
      <c r="GK62" s="50"/>
    </row>
    <row r="63" ht="15.7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/>
      <c r="CY63" s="50"/>
      <c r="CZ63" s="50"/>
      <c r="DA63" s="50"/>
      <c r="DB63" s="50"/>
      <c r="DC63" s="50"/>
      <c r="DD63" s="50"/>
      <c r="DE63" s="50"/>
      <c r="DF63" s="50"/>
      <c r="DG63" s="50"/>
      <c r="DH63" s="50"/>
      <c r="DI63" s="50"/>
      <c r="DJ63" s="50"/>
      <c r="DK63" s="50"/>
      <c r="DL63" s="50"/>
      <c r="DM63" s="50"/>
      <c r="DN63" s="50"/>
      <c r="DO63" s="50"/>
      <c r="DP63" s="50"/>
      <c r="DQ63" s="50"/>
      <c r="DR63" s="50"/>
      <c r="DS63" s="50"/>
      <c r="DT63" s="50"/>
      <c r="DU63" s="50"/>
      <c r="DV63" s="50"/>
      <c r="DW63" s="50"/>
      <c r="DX63" s="50"/>
      <c r="DY63" s="50"/>
      <c r="DZ63" s="50"/>
      <c r="EA63" s="50"/>
      <c r="EB63" s="50"/>
      <c r="EC63" s="50"/>
      <c r="ED63" s="50"/>
      <c r="EE63" s="50"/>
      <c r="EF63" s="50"/>
      <c r="EG63" s="50"/>
      <c r="EH63" s="50"/>
      <c r="EI63" s="50"/>
      <c r="EJ63" s="50"/>
      <c r="EK63" s="50"/>
      <c r="EL63" s="50"/>
      <c r="EM63" s="50"/>
      <c r="EN63" s="50"/>
      <c r="EO63" s="50"/>
      <c r="EP63" s="50"/>
      <c r="EQ63" s="50"/>
      <c r="ER63" s="50"/>
      <c r="ES63" s="50"/>
      <c r="ET63" s="50"/>
      <c r="EU63" s="50"/>
      <c r="EV63" s="50"/>
      <c r="EW63" s="50"/>
      <c r="EX63" s="50"/>
      <c r="EY63" s="50"/>
      <c r="EZ63" s="50"/>
      <c r="FA63" s="50"/>
      <c r="FB63" s="50"/>
      <c r="FC63" s="50"/>
      <c r="FD63" s="50"/>
      <c r="FE63" s="50"/>
      <c r="FF63" s="50"/>
      <c r="FG63" s="50"/>
      <c r="FH63" s="50"/>
      <c r="FI63" s="50"/>
      <c r="FJ63" s="50"/>
      <c r="FK63" s="50"/>
      <c r="FL63" s="50"/>
      <c r="FM63" s="50"/>
      <c r="FN63" s="50"/>
      <c r="FO63" s="50"/>
      <c r="FP63" s="50"/>
      <c r="FQ63" s="50"/>
      <c r="FR63" s="50"/>
      <c r="FS63" s="50"/>
      <c r="FT63" s="50"/>
      <c r="FU63" s="50"/>
      <c r="FV63" s="50"/>
      <c r="FW63" s="50"/>
      <c r="FX63" s="50"/>
      <c r="FY63" s="50"/>
      <c r="FZ63" s="50"/>
      <c r="GA63" s="50"/>
      <c r="GB63" s="50"/>
      <c r="GC63" s="50"/>
      <c r="GD63" s="50"/>
      <c r="GE63" s="50"/>
      <c r="GF63" s="50"/>
      <c r="GG63" s="50"/>
      <c r="GH63" s="50"/>
      <c r="GI63" s="50"/>
      <c r="GJ63" s="50"/>
      <c r="GK63" s="50"/>
    </row>
    <row r="64" ht="15.7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/>
      <c r="CY64" s="50"/>
      <c r="CZ64" s="50"/>
      <c r="DA64" s="50"/>
      <c r="DB64" s="50"/>
      <c r="DC64" s="50"/>
      <c r="DD64" s="50"/>
      <c r="DE64" s="50"/>
      <c r="DF64" s="50"/>
      <c r="DG64" s="50"/>
      <c r="DH64" s="50"/>
      <c r="DI64" s="50"/>
      <c r="DJ64" s="50"/>
      <c r="DK64" s="50"/>
      <c r="DL64" s="50"/>
      <c r="DM64" s="50"/>
      <c r="DN64" s="50"/>
      <c r="DO64" s="50"/>
      <c r="DP64" s="50"/>
      <c r="DQ64" s="50"/>
      <c r="DR64" s="50"/>
      <c r="DS64" s="50"/>
      <c r="DT64" s="50"/>
      <c r="DU64" s="50"/>
      <c r="DV64" s="50"/>
      <c r="DW64" s="50"/>
      <c r="DX64" s="50"/>
      <c r="DY64" s="50"/>
      <c r="DZ64" s="50"/>
      <c r="EA64" s="50"/>
      <c r="EB64" s="50"/>
      <c r="EC64" s="50"/>
      <c r="ED64" s="50"/>
      <c r="EE64" s="50"/>
      <c r="EF64" s="50"/>
      <c r="EG64" s="50"/>
      <c r="EH64" s="50"/>
      <c r="EI64" s="50"/>
      <c r="EJ64" s="50"/>
      <c r="EK64" s="50"/>
      <c r="EL64" s="50"/>
      <c r="EM64" s="50"/>
      <c r="EN64" s="50"/>
      <c r="EO64" s="50"/>
      <c r="EP64" s="50"/>
      <c r="EQ64" s="50"/>
      <c r="ER64" s="50"/>
      <c r="ES64" s="50"/>
      <c r="ET64" s="50"/>
      <c r="EU64" s="50"/>
      <c r="EV64" s="50"/>
      <c r="EW64" s="50"/>
      <c r="EX64" s="50"/>
      <c r="EY64" s="50"/>
      <c r="EZ64" s="50"/>
      <c r="FA64" s="50"/>
      <c r="FB64" s="50"/>
      <c r="FC64" s="50"/>
      <c r="FD64" s="50"/>
      <c r="FE64" s="50"/>
      <c r="FF64" s="50"/>
      <c r="FG64" s="50"/>
      <c r="FH64" s="50"/>
      <c r="FI64" s="50"/>
      <c r="FJ64" s="50"/>
      <c r="FK64" s="50"/>
      <c r="FL64" s="50"/>
      <c r="FM64" s="50"/>
      <c r="FN64" s="50"/>
      <c r="FO64" s="50"/>
      <c r="FP64" s="50"/>
      <c r="FQ64" s="50"/>
      <c r="FR64" s="50"/>
      <c r="FS64" s="50"/>
      <c r="FT64" s="50"/>
      <c r="FU64" s="50"/>
      <c r="FV64" s="50"/>
      <c r="FW64" s="50"/>
      <c r="FX64" s="50"/>
      <c r="FY64" s="50"/>
      <c r="FZ64" s="50"/>
      <c r="GA64" s="50"/>
      <c r="GB64" s="50"/>
      <c r="GC64" s="50"/>
      <c r="GD64" s="50"/>
      <c r="GE64" s="50"/>
      <c r="GF64" s="50"/>
      <c r="GG64" s="50"/>
      <c r="GH64" s="50"/>
      <c r="GI64" s="50"/>
      <c r="GJ64" s="50"/>
      <c r="GK64" s="50"/>
    </row>
    <row r="65" ht="15.7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  <c r="DA65" s="50"/>
      <c r="DB65" s="50"/>
      <c r="DC65" s="50"/>
      <c r="DD65" s="50"/>
      <c r="DE65" s="50"/>
      <c r="DF65" s="50"/>
      <c r="DG65" s="50"/>
      <c r="DH65" s="50"/>
      <c r="DI65" s="50"/>
      <c r="DJ65" s="50"/>
      <c r="DK65" s="50"/>
      <c r="DL65" s="50"/>
      <c r="DM65" s="50"/>
      <c r="DN65" s="50"/>
      <c r="DO65" s="50"/>
      <c r="DP65" s="50"/>
      <c r="DQ65" s="50"/>
      <c r="DR65" s="50"/>
      <c r="DS65" s="50"/>
      <c r="DT65" s="50"/>
      <c r="DU65" s="50"/>
      <c r="DV65" s="50"/>
      <c r="DW65" s="50"/>
      <c r="DX65" s="50"/>
      <c r="DY65" s="50"/>
      <c r="DZ65" s="50"/>
      <c r="EA65" s="50"/>
      <c r="EB65" s="50"/>
      <c r="EC65" s="50"/>
      <c r="ED65" s="50"/>
      <c r="EE65" s="50"/>
      <c r="EF65" s="50"/>
      <c r="EG65" s="50"/>
      <c r="EH65" s="50"/>
      <c r="EI65" s="50"/>
      <c r="EJ65" s="50"/>
      <c r="EK65" s="50"/>
      <c r="EL65" s="50"/>
      <c r="EM65" s="50"/>
      <c r="EN65" s="50"/>
      <c r="EO65" s="50"/>
      <c r="EP65" s="50"/>
      <c r="EQ65" s="50"/>
      <c r="ER65" s="50"/>
      <c r="ES65" s="50"/>
      <c r="ET65" s="50"/>
      <c r="EU65" s="50"/>
      <c r="EV65" s="50"/>
      <c r="EW65" s="50"/>
      <c r="EX65" s="50"/>
      <c r="EY65" s="50"/>
      <c r="EZ65" s="50"/>
      <c r="FA65" s="50"/>
      <c r="FB65" s="50"/>
      <c r="FC65" s="50"/>
      <c r="FD65" s="50"/>
      <c r="FE65" s="50"/>
      <c r="FF65" s="50"/>
      <c r="FG65" s="50"/>
      <c r="FH65" s="50"/>
      <c r="FI65" s="50"/>
      <c r="FJ65" s="50"/>
      <c r="FK65" s="50"/>
      <c r="FL65" s="50"/>
      <c r="FM65" s="50"/>
      <c r="FN65" s="50"/>
      <c r="FO65" s="50"/>
      <c r="FP65" s="50"/>
      <c r="FQ65" s="50"/>
      <c r="FR65" s="50"/>
      <c r="FS65" s="50"/>
      <c r="FT65" s="50"/>
      <c r="FU65" s="50"/>
      <c r="FV65" s="50"/>
      <c r="FW65" s="50"/>
      <c r="FX65" s="50"/>
      <c r="FY65" s="50"/>
      <c r="FZ65" s="50"/>
      <c r="GA65" s="50"/>
      <c r="GB65" s="50"/>
      <c r="GC65" s="50"/>
      <c r="GD65" s="50"/>
      <c r="GE65" s="50"/>
      <c r="GF65" s="50"/>
      <c r="GG65" s="50"/>
      <c r="GH65" s="50"/>
      <c r="GI65" s="50"/>
      <c r="GJ65" s="50"/>
      <c r="GK65" s="50"/>
    </row>
    <row r="66" ht="15.7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  <c r="DA66" s="50"/>
      <c r="DB66" s="50"/>
      <c r="DC66" s="50"/>
      <c r="DD66" s="50"/>
      <c r="DE66" s="50"/>
      <c r="DF66" s="50"/>
      <c r="DG66" s="50"/>
      <c r="DH66" s="50"/>
      <c r="DI66" s="50"/>
      <c r="DJ66" s="50"/>
      <c r="DK66" s="50"/>
      <c r="DL66" s="50"/>
      <c r="DM66" s="50"/>
      <c r="DN66" s="50"/>
      <c r="DO66" s="50"/>
      <c r="DP66" s="50"/>
      <c r="DQ66" s="50"/>
      <c r="DR66" s="50"/>
      <c r="DS66" s="50"/>
      <c r="DT66" s="50"/>
      <c r="DU66" s="50"/>
      <c r="DV66" s="50"/>
      <c r="DW66" s="50"/>
      <c r="DX66" s="50"/>
      <c r="DY66" s="50"/>
      <c r="DZ66" s="50"/>
      <c r="EA66" s="50"/>
      <c r="EB66" s="50"/>
      <c r="EC66" s="50"/>
      <c r="ED66" s="50"/>
      <c r="EE66" s="50"/>
      <c r="EF66" s="50"/>
      <c r="EG66" s="50"/>
      <c r="EH66" s="50"/>
      <c r="EI66" s="50"/>
      <c r="EJ66" s="50"/>
      <c r="EK66" s="50"/>
      <c r="EL66" s="50"/>
      <c r="EM66" s="50"/>
      <c r="EN66" s="50"/>
      <c r="EO66" s="50"/>
      <c r="EP66" s="50"/>
      <c r="EQ66" s="50"/>
      <c r="ER66" s="50"/>
      <c r="ES66" s="50"/>
      <c r="ET66" s="50"/>
      <c r="EU66" s="50"/>
      <c r="EV66" s="50"/>
      <c r="EW66" s="50"/>
      <c r="EX66" s="50"/>
      <c r="EY66" s="50"/>
      <c r="EZ66" s="50"/>
      <c r="FA66" s="50"/>
      <c r="FB66" s="50"/>
      <c r="FC66" s="50"/>
      <c r="FD66" s="50"/>
      <c r="FE66" s="50"/>
      <c r="FF66" s="50"/>
      <c r="FG66" s="50"/>
      <c r="FH66" s="50"/>
      <c r="FI66" s="50"/>
      <c r="FJ66" s="50"/>
      <c r="FK66" s="50"/>
      <c r="FL66" s="50"/>
      <c r="FM66" s="50"/>
      <c r="FN66" s="50"/>
      <c r="FO66" s="50"/>
      <c r="FP66" s="50"/>
      <c r="FQ66" s="50"/>
      <c r="FR66" s="50"/>
      <c r="FS66" s="50"/>
      <c r="FT66" s="50"/>
      <c r="FU66" s="50"/>
      <c r="FV66" s="50"/>
      <c r="FW66" s="50"/>
      <c r="FX66" s="50"/>
      <c r="FY66" s="50"/>
      <c r="FZ66" s="50"/>
      <c r="GA66" s="50"/>
      <c r="GB66" s="50"/>
      <c r="GC66" s="50"/>
      <c r="GD66" s="50"/>
      <c r="GE66" s="50"/>
      <c r="GF66" s="50"/>
      <c r="GG66" s="50"/>
      <c r="GH66" s="50"/>
      <c r="GI66" s="50"/>
      <c r="GJ66" s="50"/>
      <c r="GK66" s="50"/>
    </row>
    <row r="67" ht="15.7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/>
      <c r="CY67" s="50"/>
      <c r="CZ67" s="50"/>
      <c r="DA67" s="50"/>
      <c r="DB67" s="50"/>
      <c r="DC67" s="50"/>
      <c r="DD67" s="50"/>
      <c r="DE67" s="50"/>
      <c r="DF67" s="50"/>
      <c r="DG67" s="50"/>
      <c r="DH67" s="50"/>
      <c r="DI67" s="50"/>
      <c r="DJ67" s="50"/>
      <c r="DK67" s="50"/>
      <c r="DL67" s="50"/>
      <c r="DM67" s="50"/>
      <c r="DN67" s="50"/>
      <c r="DO67" s="50"/>
      <c r="DP67" s="50"/>
      <c r="DQ67" s="50"/>
      <c r="DR67" s="50"/>
      <c r="DS67" s="50"/>
      <c r="DT67" s="50"/>
      <c r="DU67" s="50"/>
      <c r="DV67" s="50"/>
      <c r="DW67" s="50"/>
      <c r="DX67" s="50"/>
      <c r="DY67" s="50"/>
      <c r="DZ67" s="50"/>
      <c r="EA67" s="50"/>
      <c r="EB67" s="50"/>
      <c r="EC67" s="50"/>
      <c r="ED67" s="50"/>
      <c r="EE67" s="50"/>
      <c r="EF67" s="50"/>
      <c r="EG67" s="50"/>
      <c r="EH67" s="50"/>
      <c r="EI67" s="50"/>
      <c r="EJ67" s="50"/>
      <c r="EK67" s="50"/>
      <c r="EL67" s="50"/>
      <c r="EM67" s="50"/>
      <c r="EN67" s="50"/>
      <c r="EO67" s="50"/>
      <c r="EP67" s="50"/>
      <c r="EQ67" s="50"/>
      <c r="ER67" s="50"/>
      <c r="ES67" s="50"/>
      <c r="ET67" s="50"/>
      <c r="EU67" s="50"/>
      <c r="EV67" s="50"/>
      <c r="EW67" s="50"/>
      <c r="EX67" s="50"/>
      <c r="EY67" s="50"/>
      <c r="EZ67" s="50"/>
      <c r="FA67" s="50"/>
      <c r="FB67" s="50"/>
      <c r="FC67" s="50"/>
      <c r="FD67" s="50"/>
      <c r="FE67" s="50"/>
      <c r="FF67" s="50"/>
      <c r="FG67" s="50"/>
      <c r="FH67" s="50"/>
      <c r="FI67" s="50"/>
      <c r="FJ67" s="50"/>
      <c r="FK67" s="50"/>
      <c r="FL67" s="50"/>
      <c r="FM67" s="50"/>
      <c r="FN67" s="50"/>
      <c r="FO67" s="50"/>
      <c r="FP67" s="50"/>
      <c r="FQ67" s="50"/>
      <c r="FR67" s="50"/>
      <c r="FS67" s="50"/>
      <c r="FT67" s="50"/>
      <c r="FU67" s="50"/>
      <c r="FV67" s="50"/>
      <c r="FW67" s="50"/>
      <c r="FX67" s="50"/>
      <c r="FY67" s="50"/>
      <c r="FZ67" s="50"/>
      <c r="GA67" s="50"/>
      <c r="GB67" s="50"/>
      <c r="GC67" s="50"/>
      <c r="GD67" s="50"/>
      <c r="GE67" s="50"/>
      <c r="GF67" s="50"/>
      <c r="GG67" s="50"/>
      <c r="GH67" s="50"/>
      <c r="GI67" s="50"/>
      <c r="GJ67" s="50"/>
      <c r="GK67" s="50"/>
    </row>
    <row r="68" ht="15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/>
      <c r="CY68" s="50"/>
      <c r="CZ68" s="50"/>
      <c r="DA68" s="50"/>
      <c r="DB68" s="50"/>
      <c r="DC68" s="50"/>
      <c r="DD68" s="50"/>
      <c r="DE68" s="50"/>
      <c r="DF68" s="50"/>
      <c r="DG68" s="50"/>
      <c r="DH68" s="50"/>
      <c r="DI68" s="50"/>
      <c r="DJ68" s="50"/>
      <c r="DK68" s="50"/>
      <c r="DL68" s="50"/>
      <c r="DM68" s="50"/>
      <c r="DN68" s="50"/>
      <c r="DO68" s="50"/>
      <c r="DP68" s="50"/>
      <c r="DQ68" s="50"/>
      <c r="DR68" s="50"/>
      <c r="DS68" s="50"/>
      <c r="DT68" s="50"/>
      <c r="DU68" s="50"/>
      <c r="DV68" s="50"/>
      <c r="DW68" s="50"/>
      <c r="DX68" s="50"/>
      <c r="DY68" s="50"/>
      <c r="DZ68" s="50"/>
      <c r="EA68" s="50"/>
      <c r="EB68" s="50"/>
      <c r="EC68" s="50"/>
      <c r="ED68" s="50"/>
      <c r="EE68" s="50"/>
      <c r="EF68" s="50"/>
      <c r="EG68" s="50"/>
      <c r="EH68" s="50"/>
      <c r="EI68" s="50"/>
      <c r="EJ68" s="50"/>
      <c r="EK68" s="50"/>
      <c r="EL68" s="50"/>
      <c r="EM68" s="50"/>
      <c r="EN68" s="50"/>
      <c r="EO68" s="50"/>
      <c r="EP68" s="50"/>
      <c r="EQ68" s="50"/>
      <c r="ER68" s="50"/>
      <c r="ES68" s="50"/>
      <c r="ET68" s="50"/>
      <c r="EU68" s="50"/>
      <c r="EV68" s="50"/>
      <c r="EW68" s="50"/>
      <c r="EX68" s="50"/>
      <c r="EY68" s="50"/>
      <c r="EZ68" s="50"/>
      <c r="FA68" s="50"/>
      <c r="FB68" s="50"/>
      <c r="FC68" s="50"/>
      <c r="FD68" s="50"/>
      <c r="FE68" s="50"/>
      <c r="FF68" s="50"/>
      <c r="FG68" s="50"/>
      <c r="FH68" s="50"/>
      <c r="FI68" s="50"/>
      <c r="FJ68" s="50"/>
      <c r="FK68" s="50"/>
      <c r="FL68" s="50"/>
      <c r="FM68" s="50"/>
      <c r="FN68" s="50"/>
      <c r="FO68" s="50"/>
      <c r="FP68" s="50"/>
      <c r="FQ68" s="50"/>
      <c r="FR68" s="50"/>
      <c r="FS68" s="50"/>
      <c r="FT68" s="50"/>
      <c r="FU68" s="50"/>
      <c r="FV68" s="50"/>
      <c r="FW68" s="50"/>
      <c r="FX68" s="50"/>
      <c r="FY68" s="50"/>
      <c r="FZ68" s="50"/>
      <c r="GA68" s="50"/>
      <c r="GB68" s="50"/>
      <c r="GC68" s="50"/>
      <c r="GD68" s="50"/>
      <c r="GE68" s="50"/>
      <c r="GF68" s="50"/>
      <c r="GG68" s="50"/>
      <c r="GH68" s="50"/>
      <c r="GI68" s="50"/>
      <c r="GJ68" s="50"/>
      <c r="GK68" s="50"/>
    </row>
    <row r="69" ht="15.7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50"/>
      <c r="CR69" s="50"/>
      <c r="CS69" s="50"/>
      <c r="CT69" s="50"/>
      <c r="CU69" s="50"/>
      <c r="CV69" s="50"/>
      <c r="CW69" s="50"/>
      <c r="CX69" s="50"/>
      <c r="CY69" s="50"/>
      <c r="CZ69" s="50"/>
      <c r="DA69" s="50"/>
      <c r="DB69" s="50"/>
      <c r="DC69" s="50"/>
      <c r="DD69" s="50"/>
      <c r="DE69" s="50"/>
      <c r="DF69" s="50"/>
      <c r="DG69" s="50"/>
      <c r="DH69" s="50"/>
      <c r="DI69" s="50"/>
      <c r="DJ69" s="50"/>
      <c r="DK69" s="50"/>
      <c r="DL69" s="50"/>
      <c r="DM69" s="50"/>
      <c r="DN69" s="50"/>
      <c r="DO69" s="50"/>
      <c r="DP69" s="50"/>
      <c r="DQ69" s="50"/>
      <c r="DR69" s="50"/>
      <c r="DS69" s="50"/>
      <c r="DT69" s="50"/>
      <c r="DU69" s="50"/>
      <c r="DV69" s="50"/>
      <c r="DW69" s="50"/>
      <c r="DX69" s="50"/>
      <c r="DY69" s="50"/>
      <c r="DZ69" s="50"/>
      <c r="EA69" s="50"/>
      <c r="EB69" s="50"/>
      <c r="EC69" s="50"/>
      <c r="ED69" s="50"/>
      <c r="EE69" s="50"/>
      <c r="EF69" s="50"/>
      <c r="EG69" s="50"/>
      <c r="EH69" s="50"/>
      <c r="EI69" s="50"/>
      <c r="EJ69" s="50"/>
      <c r="EK69" s="50"/>
      <c r="EL69" s="50"/>
      <c r="EM69" s="50"/>
      <c r="EN69" s="50"/>
      <c r="EO69" s="50"/>
      <c r="EP69" s="50"/>
      <c r="EQ69" s="50"/>
      <c r="ER69" s="50"/>
      <c r="ES69" s="50"/>
      <c r="ET69" s="50"/>
      <c r="EU69" s="50"/>
      <c r="EV69" s="50"/>
      <c r="EW69" s="50"/>
      <c r="EX69" s="50"/>
      <c r="EY69" s="50"/>
      <c r="EZ69" s="50"/>
      <c r="FA69" s="50"/>
      <c r="FB69" s="50"/>
      <c r="FC69" s="50"/>
      <c r="FD69" s="50"/>
      <c r="FE69" s="50"/>
      <c r="FF69" s="50"/>
      <c r="FG69" s="50"/>
      <c r="FH69" s="50"/>
      <c r="FI69" s="50"/>
      <c r="FJ69" s="50"/>
      <c r="FK69" s="50"/>
      <c r="FL69" s="50"/>
      <c r="FM69" s="50"/>
      <c r="FN69" s="50"/>
      <c r="FO69" s="50"/>
      <c r="FP69" s="50"/>
      <c r="FQ69" s="50"/>
      <c r="FR69" s="50"/>
      <c r="FS69" s="50"/>
      <c r="FT69" s="50"/>
      <c r="FU69" s="50"/>
      <c r="FV69" s="50"/>
      <c r="FW69" s="50"/>
      <c r="FX69" s="50"/>
      <c r="FY69" s="50"/>
      <c r="FZ69" s="50"/>
      <c r="GA69" s="50"/>
      <c r="GB69" s="50"/>
      <c r="GC69" s="50"/>
      <c r="GD69" s="50"/>
      <c r="GE69" s="50"/>
      <c r="GF69" s="50"/>
      <c r="GG69" s="50"/>
      <c r="GH69" s="50"/>
      <c r="GI69" s="50"/>
      <c r="GJ69" s="50"/>
      <c r="GK69" s="50"/>
    </row>
    <row r="70" ht="15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  <c r="CP70" s="50"/>
      <c r="CQ70" s="50"/>
      <c r="CR70" s="50"/>
      <c r="CS70" s="50"/>
      <c r="CT70" s="50"/>
      <c r="CU70" s="50"/>
      <c r="CV70" s="50"/>
      <c r="CW70" s="50"/>
      <c r="CX70" s="50"/>
      <c r="CY70" s="50"/>
      <c r="CZ70" s="50"/>
      <c r="DA70" s="50"/>
      <c r="DB70" s="50"/>
      <c r="DC70" s="50"/>
      <c r="DD70" s="50"/>
      <c r="DE70" s="50"/>
      <c r="DF70" s="50"/>
      <c r="DG70" s="50"/>
      <c r="DH70" s="50"/>
      <c r="DI70" s="50"/>
      <c r="DJ70" s="50"/>
      <c r="DK70" s="50"/>
      <c r="DL70" s="50"/>
      <c r="DM70" s="50"/>
      <c r="DN70" s="50"/>
      <c r="DO70" s="50"/>
      <c r="DP70" s="50"/>
      <c r="DQ70" s="50"/>
      <c r="DR70" s="50"/>
      <c r="DS70" s="50"/>
      <c r="DT70" s="50"/>
      <c r="DU70" s="50"/>
      <c r="DV70" s="50"/>
      <c r="DW70" s="50"/>
      <c r="DX70" s="50"/>
      <c r="DY70" s="50"/>
      <c r="DZ70" s="50"/>
      <c r="EA70" s="50"/>
      <c r="EB70" s="50"/>
      <c r="EC70" s="50"/>
      <c r="ED70" s="50"/>
      <c r="EE70" s="50"/>
      <c r="EF70" s="50"/>
      <c r="EG70" s="50"/>
      <c r="EH70" s="50"/>
      <c r="EI70" s="50"/>
      <c r="EJ70" s="50"/>
      <c r="EK70" s="50"/>
      <c r="EL70" s="50"/>
      <c r="EM70" s="50"/>
      <c r="EN70" s="50"/>
      <c r="EO70" s="50"/>
      <c r="EP70" s="50"/>
      <c r="EQ70" s="50"/>
      <c r="ER70" s="50"/>
      <c r="ES70" s="50"/>
      <c r="ET70" s="50"/>
      <c r="EU70" s="50"/>
      <c r="EV70" s="50"/>
      <c r="EW70" s="50"/>
      <c r="EX70" s="50"/>
      <c r="EY70" s="50"/>
      <c r="EZ70" s="50"/>
      <c r="FA70" s="50"/>
      <c r="FB70" s="50"/>
      <c r="FC70" s="50"/>
      <c r="FD70" s="50"/>
      <c r="FE70" s="50"/>
      <c r="FF70" s="50"/>
      <c r="FG70" s="50"/>
      <c r="FH70" s="50"/>
      <c r="FI70" s="50"/>
      <c r="FJ70" s="50"/>
      <c r="FK70" s="50"/>
      <c r="FL70" s="50"/>
      <c r="FM70" s="50"/>
      <c r="FN70" s="50"/>
      <c r="FO70" s="50"/>
      <c r="FP70" s="50"/>
      <c r="FQ70" s="50"/>
      <c r="FR70" s="50"/>
      <c r="FS70" s="50"/>
      <c r="FT70" s="50"/>
      <c r="FU70" s="50"/>
      <c r="FV70" s="50"/>
      <c r="FW70" s="50"/>
      <c r="FX70" s="50"/>
      <c r="FY70" s="50"/>
      <c r="FZ70" s="50"/>
      <c r="GA70" s="50"/>
      <c r="GB70" s="50"/>
      <c r="GC70" s="50"/>
      <c r="GD70" s="50"/>
      <c r="GE70" s="50"/>
      <c r="GF70" s="50"/>
      <c r="GG70" s="50"/>
      <c r="GH70" s="50"/>
      <c r="GI70" s="50"/>
      <c r="GJ70" s="50"/>
      <c r="GK70" s="50"/>
    </row>
    <row r="71" ht="15.7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  <c r="BS71" s="50"/>
      <c r="BT71" s="50"/>
      <c r="BU71" s="50"/>
      <c r="BV71" s="50"/>
      <c r="BW71" s="50"/>
      <c r="BX71" s="50"/>
      <c r="BY71" s="50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  <c r="CP71" s="50"/>
      <c r="CQ71" s="50"/>
      <c r="CR71" s="50"/>
      <c r="CS71" s="50"/>
      <c r="CT71" s="50"/>
      <c r="CU71" s="50"/>
      <c r="CV71" s="50"/>
      <c r="CW71" s="50"/>
      <c r="CX71" s="50"/>
      <c r="CY71" s="50"/>
      <c r="CZ71" s="50"/>
      <c r="DA71" s="50"/>
      <c r="DB71" s="50"/>
      <c r="DC71" s="50"/>
      <c r="DD71" s="50"/>
      <c r="DE71" s="50"/>
      <c r="DF71" s="50"/>
      <c r="DG71" s="50"/>
      <c r="DH71" s="50"/>
      <c r="DI71" s="50"/>
      <c r="DJ71" s="50"/>
      <c r="DK71" s="50"/>
      <c r="DL71" s="50"/>
      <c r="DM71" s="50"/>
      <c r="DN71" s="50"/>
      <c r="DO71" s="50"/>
      <c r="DP71" s="50"/>
      <c r="DQ71" s="50"/>
      <c r="DR71" s="50"/>
      <c r="DS71" s="50"/>
      <c r="DT71" s="50"/>
      <c r="DU71" s="50"/>
      <c r="DV71" s="50"/>
      <c r="DW71" s="50"/>
      <c r="DX71" s="50"/>
      <c r="DY71" s="50"/>
      <c r="DZ71" s="50"/>
      <c r="EA71" s="50"/>
      <c r="EB71" s="50"/>
      <c r="EC71" s="50"/>
      <c r="ED71" s="50"/>
      <c r="EE71" s="50"/>
      <c r="EF71" s="50"/>
      <c r="EG71" s="50"/>
      <c r="EH71" s="50"/>
      <c r="EI71" s="50"/>
      <c r="EJ71" s="50"/>
      <c r="EK71" s="50"/>
      <c r="EL71" s="50"/>
      <c r="EM71" s="50"/>
      <c r="EN71" s="50"/>
      <c r="EO71" s="50"/>
      <c r="EP71" s="50"/>
      <c r="EQ71" s="50"/>
      <c r="ER71" s="50"/>
      <c r="ES71" s="50"/>
      <c r="ET71" s="50"/>
      <c r="EU71" s="50"/>
      <c r="EV71" s="50"/>
      <c r="EW71" s="50"/>
      <c r="EX71" s="50"/>
      <c r="EY71" s="50"/>
      <c r="EZ71" s="50"/>
      <c r="FA71" s="50"/>
      <c r="FB71" s="50"/>
      <c r="FC71" s="50"/>
      <c r="FD71" s="50"/>
      <c r="FE71" s="50"/>
      <c r="FF71" s="50"/>
      <c r="FG71" s="50"/>
      <c r="FH71" s="50"/>
      <c r="FI71" s="50"/>
      <c r="FJ71" s="50"/>
      <c r="FK71" s="50"/>
      <c r="FL71" s="50"/>
      <c r="FM71" s="50"/>
      <c r="FN71" s="50"/>
      <c r="FO71" s="50"/>
      <c r="FP71" s="50"/>
      <c r="FQ71" s="50"/>
      <c r="FR71" s="50"/>
      <c r="FS71" s="50"/>
      <c r="FT71" s="50"/>
      <c r="FU71" s="50"/>
      <c r="FV71" s="50"/>
      <c r="FW71" s="50"/>
      <c r="FX71" s="50"/>
      <c r="FY71" s="50"/>
      <c r="FZ71" s="50"/>
      <c r="GA71" s="50"/>
      <c r="GB71" s="50"/>
      <c r="GC71" s="50"/>
      <c r="GD71" s="50"/>
      <c r="GE71" s="50"/>
      <c r="GF71" s="50"/>
      <c r="GG71" s="50"/>
      <c r="GH71" s="50"/>
      <c r="GI71" s="50"/>
      <c r="GJ71" s="50"/>
      <c r="GK71" s="50"/>
    </row>
    <row r="72" ht="15.7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  <c r="BS72" s="50"/>
      <c r="BT72" s="50"/>
      <c r="BU72" s="50"/>
      <c r="BV72" s="50"/>
      <c r="BW72" s="50"/>
      <c r="BX72" s="50"/>
      <c r="BY72" s="50"/>
      <c r="BZ72" s="50"/>
      <c r="CA72" s="50"/>
      <c r="CB72" s="50"/>
      <c r="CC72" s="50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  <c r="CP72" s="50"/>
      <c r="CQ72" s="50"/>
      <c r="CR72" s="50"/>
      <c r="CS72" s="50"/>
      <c r="CT72" s="50"/>
      <c r="CU72" s="50"/>
      <c r="CV72" s="50"/>
      <c r="CW72" s="50"/>
      <c r="CX72" s="50"/>
      <c r="CY72" s="50"/>
      <c r="CZ72" s="50"/>
      <c r="DA72" s="50"/>
      <c r="DB72" s="50"/>
      <c r="DC72" s="50"/>
      <c r="DD72" s="50"/>
      <c r="DE72" s="50"/>
      <c r="DF72" s="50"/>
      <c r="DG72" s="50"/>
      <c r="DH72" s="50"/>
      <c r="DI72" s="50"/>
      <c r="DJ72" s="50"/>
      <c r="DK72" s="50"/>
      <c r="DL72" s="50"/>
      <c r="DM72" s="50"/>
      <c r="DN72" s="50"/>
      <c r="DO72" s="50"/>
      <c r="DP72" s="50"/>
      <c r="DQ72" s="50"/>
      <c r="DR72" s="50"/>
      <c r="DS72" s="50"/>
      <c r="DT72" s="50"/>
      <c r="DU72" s="50"/>
      <c r="DV72" s="50"/>
      <c r="DW72" s="50"/>
      <c r="DX72" s="50"/>
      <c r="DY72" s="50"/>
      <c r="DZ72" s="50"/>
      <c r="EA72" s="50"/>
      <c r="EB72" s="50"/>
      <c r="EC72" s="50"/>
      <c r="ED72" s="50"/>
      <c r="EE72" s="50"/>
      <c r="EF72" s="50"/>
      <c r="EG72" s="50"/>
      <c r="EH72" s="50"/>
      <c r="EI72" s="50"/>
      <c r="EJ72" s="50"/>
      <c r="EK72" s="50"/>
      <c r="EL72" s="50"/>
      <c r="EM72" s="50"/>
      <c r="EN72" s="50"/>
      <c r="EO72" s="50"/>
      <c r="EP72" s="50"/>
      <c r="EQ72" s="50"/>
      <c r="ER72" s="50"/>
      <c r="ES72" s="50"/>
      <c r="ET72" s="50"/>
      <c r="EU72" s="50"/>
      <c r="EV72" s="50"/>
      <c r="EW72" s="50"/>
      <c r="EX72" s="50"/>
      <c r="EY72" s="50"/>
      <c r="EZ72" s="50"/>
      <c r="FA72" s="50"/>
      <c r="FB72" s="50"/>
      <c r="FC72" s="50"/>
      <c r="FD72" s="50"/>
      <c r="FE72" s="50"/>
      <c r="FF72" s="50"/>
      <c r="FG72" s="50"/>
      <c r="FH72" s="50"/>
      <c r="FI72" s="50"/>
      <c r="FJ72" s="50"/>
      <c r="FK72" s="50"/>
      <c r="FL72" s="50"/>
      <c r="FM72" s="50"/>
      <c r="FN72" s="50"/>
      <c r="FO72" s="50"/>
      <c r="FP72" s="50"/>
      <c r="FQ72" s="50"/>
      <c r="FR72" s="50"/>
      <c r="FS72" s="50"/>
      <c r="FT72" s="50"/>
      <c r="FU72" s="50"/>
      <c r="FV72" s="50"/>
      <c r="FW72" s="50"/>
      <c r="FX72" s="50"/>
      <c r="FY72" s="50"/>
      <c r="FZ72" s="50"/>
      <c r="GA72" s="50"/>
      <c r="GB72" s="50"/>
      <c r="GC72" s="50"/>
      <c r="GD72" s="50"/>
      <c r="GE72" s="50"/>
      <c r="GF72" s="50"/>
      <c r="GG72" s="50"/>
      <c r="GH72" s="50"/>
      <c r="GI72" s="50"/>
      <c r="GJ72" s="50"/>
      <c r="GK72" s="50"/>
    </row>
    <row r="73" ht="15.7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  <c r="CP73" s="50"/>
      <c r="CQ73" s="50"/>
      <c r="CR73" s="50"/>
      <c r="CS73" s="50"/>
      <c r="CT73" s="50"/>
      <c r="CU73" s="50"/>
      <c r="CV73" s="50"/>
      <c r="CW73" s="50"/>
      <c r="CX73" s="50"/>
      <c r="CY73" s="50"/>
      <c r="CZ73" s="50"/>
      <c r="DA73" s="50"/>
      <c r="DB73" s="50"/>
      <c r="DC73" s="50"/>
      <c r="DD73" s="50"/>
      <c r="DE73" s="50"/>
      <c r="DF73" s="50"/>
      <c r="DG73" s="50"/>
      <c r="DH73" s="50"/>
      <c r="DI73" s="50"/>
      <c r="DJ73" s="50"/>
      <c r="DK73" s="50"/>
      <c r="DL73" s="50"/>
      <c r="DM73" s="50"/>
      <c r="DN73" s="50"/>
      <c r="DO73" s="50"/>
      <c r="DP73" s="50"/>
      <c r="DQ73" s="50"/>
      <c r="DR73" s="50"/>
      <c r="DS73" s="50"/>
      <c r="DT73" s="50"/>
      <c r="DU73" s="50"/>
      <c r="DV73" s="50"/>
      <c r="DW73" s="50"/>
      <c r="DX73" s="50"/>
      <c r="DY73" s="50"/>
      <c r="DZ73" s="50"/>
      <c r="EA73" s="50"/>
      <c r="EB73" s="50"/>
      <c r="EC73" s="50"/>
      <c r="ED73" s="50"/>
      <c r="EE73" s="50"/>
      <c r="EF73" s="50"/>
      <c r="EG73" s="50"/>
      <c r="EH73" s="50"/>
      <c r="EI73" s="50"/>
      <c r="EJ73" s="50"/>
      <c r="EK73" s="50"/>
      <c r="EL73" s="50"/>
      <c r="EM73" s="50"/>
      <c r="EN73" s="50"/>
      <c r="EO73" s="50"/>
      <c r="EP73" s="50"/>
      <c r="EQ73" s="50"/>
      <c r="ER73" s="50"/>
      <c r="ES73" s="50"/>
      <c r="ET73" s="50"/>
      <c r="EU73" s="50"/>
      <c r="EV73" s="50"/>
      <c r="EW73" s="50"/>
      <c r="EX73" s="50"/>
      <c r="EY73" s="50"/>
      <c r="EZ73" s="50"/>
      <c r="FA73" s="50"/>
      <c r="FB73" s="50"/>
      <c r="FC73" s="50"/>
      <c r="FD73" s="50"/>
      <c r="FE73" s="50"/>
      <c r="FF73" s="50"/>
      <c r="FG73" s="50"/>
      <c r="FH73" s="50"/>
      <c r="FI73" s="50"/>
      <c r="FJ73" s="50"/>
      <c r="FK73" s="50"/>
      <c r="FL73" s="50"/>
      <c r="FM73" s="50"/>
      <c r="FN73" s="50"/>
      <c r="FO73" s="50"/>
      <c r="FP73" s="50"/>
      <c r="FQ73" s="50"/>
      <c r="FR73" s="50"/>
      <c r="FS73" s="50"/>
      <c r="FT73" s="50"/>
      <c r="FU73" s="50"/>
      <c r="FV73" s="50"/>
      <c r="FW73" s="50"/>
      <c r="FX73" s="50"/>
      <c r="FY73" s="50"/>
      <c r="FZ73" s="50"/>
      <c r="GA73" s="50"/>
      <c r="GB73" s="50"/>
      <c r="GC73" s="50"/>
      <c r="GD73" s="50"/>
      <c r="GE73" s="50"/>
      <c r="GF73" s="50"/>
      <c r="GG73" s="50"/>
      <c r="GH73" s="50"/>
      <c r="GI73" s="50"/>
      <c r="GJ73" s="50"/>
      <c r="GK73" s="50"/>
    </row>
    <row r="74" ht="15.7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  <c r="DC74" s="50"/>
      <c r="DD74" s="50"/>
      <c r="DE74" s="50"/>
      <c r="DF74" s="50"/>
      <c r="DG74" s="50"/>
      <c r="DH74" s="50"/>
      <c r="DI74" s="50"/>
      <c r="DJ74" s="50"/>
      <c r="DK74" s="50"/>
      <c r="DL74" s="50"/>
      <c r="DM74" s="50"/>
      <c r="DN74" s="50"/>
      <c r="DO74" s="50"/>
      <c r="DP74" s="50"/>
      <c r="DQ74" s="50"/>
      <c r="DR74" s="50"/>
      <c r="DS74" s="50"/>
      <c r="DT74" s="50"/>
      <c r="DU74" s="50"/>
      <c r="DV74" s="50"/>
      <c r="DW74" s="50"/>
      <c r="DX74" s="50"/>
      <c r="DY74" s="50"/>
      <c r="DZ74" s="50"/>
      <c r="EA74" s="50"/>
      <c r="EB74" s="50"/>
      <c r="EC74" s="50"/>
      <c r="ED74" s="50"/>
      <c r="EE74" s="50"/>
      <c r="EF74" s="50"/>
      <c r="EG74" s="50"/>
      <c r="EH74" s="50"/>
      <c r="EI74" s="50"/>
      <c r="EJ74" s="50"/>
      <c r="EK74" s="50"/>
      <c r="EL74" s="50"/>
      <c r="EM74" s="50"/>
      <c r="EN74" s="50"/>
      <c r="EO74" s="50"/>
      <c r="EP74" s="50"/>
      <c r="EQ74" s="50"/>
      <c r="ER74" s="50"/>
      <c r="ES74" s="50"/>
      <c r="ET74" s="50"/>
      <c r="EU74" s="50"/>
      <c r="EV74" s="50"/>
      <c r="EW74" s="50"/>
      <c r="EX74" s="50"/>
      <c r="EY74" s="50"/>
      <c r="EZ74" s="50"/>
      <c r="FA74" s="50"/>
      <c r="FB74" s="50"/>
      <c r="FC74" s="50"/>
      <c r="FD74" s="50"/>
      <c r="FE74" s="50"/>
      <c r="FF74" s="50"/>
      <c r="FG74" s="50"/>
      <c r="FH74" s="50"/>
      <c r="FI74" s="50"/>
      <c r="FJ74" s="50"/>
      <c r="FK74" s="50"/>
      <c r="FL74" s="50"/>
      <c r="FM74" s="50"/>
      <c r="FN74" s="50"/>
      <c r="FO74" s="50"/>
      <c r="FP74" s="50"/>
      <c r="FQ74" s="50"/>
      <c r="FR74" s="50"/>
      <c r="FS74" s="50"/>
      <c r="FT74" s="50"/>
      <c r="FU74" s="50"/>
      <c r="FV74" s="50"/>
      <c r="FW74" s="50"/>
      <c r="FX74" s="50"/>
      <c r="FY74" s="50"/>
      <c r="FZ74" s="50"/>
      <c r="GA74" s="50"/>
      <c r="GB74" s="50"/>
      <c r="GC74" s="50"/>
      <c r="GD74" s="50"/>
      <c r="GE74" s="50"/>
      <c r="GF74" s="50"/>
      <c r="GG74" s="50"/>
      <c r="GH74" s="50"/>
      <c r="GI74" s="50"/>
      <c r="GJ74" s="50"/>
      <c r="GK74" s="50"/>
    </row>
    <row r="75" ht="15.7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  <c r="CP75" s="50"/>
      <c r="CQ75" s="50"/>
      <c r="CR75" s="50"/>
      <c r="CS75" s="50"/>
      <c r="CT75" s="50"/>
      <c r="CU75" s="50"/>
      <c r="CV75" s="50"/>
      <c r="CW75" s="50"/>
      <c r="CX75" s="50"/>
      <c r="CY75" s="50"/>
      <c r="CZ75" s="50"/>
      <c r="DA75" s="50"/>
      <c r="DB75" s="50"/>
      <c r="DC75" s="50"/>
      <c r="DD75" s="50"/>
      <c r="DE75" s="50"/>
      <c r="DF75" s="50"/>
      <c r="DG75" s="50"/>
      <c r="DH75" s="50"/>
      <c r="DI75" s="50"/>
      <c r="DJ75" s="50"/>
      <c r="DK75" s="50"/>
      <c r="DL75" s="50"/>
      <c r="DM75" s="50"/>
      <c r="DN75" s="50"/>
      <c r="DO75" s="50"/>
      <c r="DP75" s="50"/>
      <c r="DQ75" s="50"/>
      <c r="DR75" s="50"/>
      <c r="DS75" s="50"/>
      <c r="DT75" s="50"/>
      <c r="DU75" s="50"/>
      <c r="DV75" s="50"/>
      <c r="DW75" s="50"/>
      <c r="DX75" s="50"/>
      <c r="DY75" s="50"/>
      <c r="DZ75" s="50"/>
      <c r="EA75" s="50"/>
      <c r="EB75" s="50"/>
      <c r="EC75" s="50"/>
      <c r="ED75" s="50"/>
      <c r="EE75" s="50"/>
      <c r="EF75" s="50"/>
      <c r="EG75" s="50"/>
      <c r="EH75" s="50"/>
      <c r="EI75" s="50"/>
      <c r="EJ75" s="50"/>
      <c r="EK75" s="50"/>
      <c r="EL75" s="50"/>
      <c r="EM75" s="50"/>
      <c r="EN75" s="50"/>
      <c r="EO75" s="50"/>
      <c r="EP75" s="50"/>
      <c r="EQ75" s="50"/>
      <c r="ER75" s="50"/>
      <c r="ES75" s="50"/>
      <c r="ET75" s="50"/>
      <c r="EU75" s="50"/>
      <c r="EV75" s="50"/>
      <c r="EW75" s="50"/>
      <c r="EX75" s="50"/>
      <c r="EY75" s="50"/>
      <c r="EZ75" s="50"/>
      <c r="FA75" s="50"/>
      <c r="FB75" s="50"/>
      <c r="FC75" s="50"/>
      <c r="FD75" s="50"/>
      <c r="FE75" s="50"/>
      <c r="FF75" s="50"/>
      <c r="FG75" s="50"/>
      <c r="FH75" s="50"/>
      <c r="FI75" s="50"/>
      <c r="FJ75" s="50"/>
      <c r="FK75" s="50"/>
      <c r="FL75" s="50"/>
      <c r="FM75" s="50"/>
      <c r="FN75" s="50"/>
      <c r="FO75" s="50"/>
      <c r="FP75" s="50"/>
      <c r="FQ75" s="50"/>
      <c r="FR75" s="50"/>
      <c r="FS75" s="50"/>
      <c r="FT75" s="50"/>
      <c r="FU75" s="50"/>
      <c r="FV75" s="50"/>
      <c r="FW75" s="50"/>
      <c r="FX75" s="50"/>
      <c r="FY75" s="50"/>
      <c r="FZ75" s="50"/>
      <c r="GA75" s="50"/>
      <c r="GB75" s="50"/>
      <c r="GC75" s="50"/>
      <c r="GD75" s="50"/>
      <c r="GE75" s="50"/>
      <c r="GF75" s="50"/>
      <c r="GG75" s="50"/>
      <c r="GH75" s="50"/>
      <c r="GI75" s="50"/>
      <c r="GJ75" s="50"/>
      <c r="GK75" s="50"/>
    </row>
    <row r="76" ht="15.7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  <c r="DC76" s="50"/>
      <c r="DD76" s="50"/>
      <c r="DE76" s="50"/>
      <c r="DF76" s="50"/>
      <c r="DG76" s="50"/>
      <c r="DH76" s="50"/>
      <c r="DI76" s="50"/>
      <c r="DJ76" s="50"/>
      <c r="DK76" s="50"/>
      <c r="DL76" s="50"/>
      <c r="DM76" s="50"/>
      <c r="DN76" s="50"/>
      <c r="DO76" s="50"/>
      <c r="DP76" s="50"/>
      <c r="DQ76" s="50"/>
      <c r="DR76" s="50"/>
      <c r="DS76" s="50"/>
      <c r="DT76" s="50"/>
      <c r="DU76" s="50"/>
      <c r="DV76" s="50"/>
      <c r="DW76" s="50"/>
      <c r="DX76" s="50"/>
      <c r="DY76" s="50"/>
      <c r="DZ76" s="50"/>
      <c r="EA76" s="50"/>
      <c r="EB76" s="50"/>
      <c r="EC76" s="50"/>
      <c r="ED76" s="50"/>
      <c r="EE76" s="50"/>
      <c r="EF76" s="50"/>
      <c r="EG76" s="50"/>
      <c r="EH76" s="50"/>
      <c r="EI76" s="50"/>
      <c r="EJ76" s="50"/>
      <c r="EK76" s="50"/>
      <c r="EL76" s="50"/>
      <c r="EM76" s="50"/>
      <c r="EN76" s="50"/>
      <c r="EO76" s="50"/>
      <c r="EP76" s="50"/>
      <c r="EQ76" s="50"/>
      <c r="ER76" s="50"/>
      <c r="ES76" s="50"/>
      <c r="ET76" s="50"/>
      <c r="EU76" s="50"/>
      <c r="EV76" s="50"/>
      <c r="EW76" s="50"/>
      <c r="EX76" s="50"/>
      <c r="EY76" s="50"/>
      <c r="EZ76" s="50"/>
      <c r="FA76" s="50"/>
      <c r="FB76" s="50"/>
      <c r="FC76" s="50"/>
      <c r="FD76" s="50"/>
      <c r="FE76" s="50"/>
      <c r="FF76" s="50"/>
      <c r="FG76" s="50"/>
      <c r="FH76" s="50"/>
      <c r="FI76" s="50"/>
      <c r="FJ76" s="50"/>
      <c r="FK76" s="50"/>
      <c r="FL76" s="50"/>
      <c r="FM76" s="50"/>
      <c r="FN76" s="50"/>
      <c r="FO76" s="50"/>
      <c r="FP76" s="50"/>
      <c r="FQ76" s="50"/>
      <c r="FR76" s="50"/>
      <c r="FS76" s="50"/>
      <c r="FT76" s="50"/>
      <c r="FU76" s="50"/>
      <c r="FV76" s="50"/>
      <c r="FW76" s="50"/>
      <c r="FX76" s="50"/>
      <c r="FY76" s="50"/>
      <c r="FZ76" s="50"/>
      <c r="GA76" s="50"/>
      <c r="GB76" s="50"/>
      <c r="GC76" s="50"/>
      <c r="GD76" s="50"/>
      <c r="GE76" s="50"/>
      <c r="GF76" s="50"/>
      <c r="GG76" s="50"/>
      <c r="GH76" s="50"/>
      <c r="GI76" s="50"/>
      <c r="GJ76" s="50"/>
      <c r="GK76" s="50"/>
    </row>
    <row r="77" ht="15.7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  <c r="DC77" s="50"/>
      <c r="DD77" s="50"/>
      <c r="DE77" s="50"/>
      <c r="DF77" s="50"/>
      <c r="DG77" s="50"/>
      <c r="DH77" s="50"/>
      <c r="DI77" s="50"/>
      <c r="DJ77" s="50"/>
      <c r="DK77" s="50"/>
      <c r="DL77" s="50"/>
      <c r="DM77" s="50"/>
      <c r="DN77" s="50"/>
      <c r="DO77" s="50"/>
      <c r="DP77" s="50"/>
      <c r="DQ77" s="50"/>
      <c r="DR77" s="50"/>
      <c r="DS77" s="50"/>
      <c r="DT77" s="50"/>
      <c r="DU77" s="50"/>
      <c r="DV77" s="50"/>
      <c r="DW77" s="50"/>
      <c r="DX77" s="50"/>
      <c r="DY77" s="50"/>
      <c r="DZ77" s="50"/>
      <c r="EA77" s="50"/>
      <c r="EB77" s="50"/>
      <c r="EC77" s="50"/>
      <c r="ED77" s="50"/>
      <c r="EE77" s="50"/>
      <c r="EF77" s="50"/>
      <c r="EG77" s="50"/>
      <c r="EH77" s="50"/>
      <c r="EI77" s="50"/>
      <c r="EJ77" s="50"/>
      <c r="EK77" s="50"/>
      <c r="EL77" s="50"/>
      <c r="EM77" s="50"/>
      <c r="EN77" s="50"/>
      <c r="EO77" s="50"/>
      <c r="EP77" s="50"/>
      <c r="EQ77" s="50"/>
      <c r="ER77" s="50"/>
      <c r="ES77" s="50"/>
      <c r="ET77" s="50"/>
      <c r="EU77" s="50"/>
      <c r="EV77" s="50"/>
      <c r="EW77" s="50"/>
      <c r="EX77" s="50"/>
      <c r="EY77" s="50"/>
      <c r="EZ77" s="50"/>
      <c r="FA77" s="50"/>
      <c r="FB77" s="50"/>
      <c r="FC77" s="50"/>
      <c r="FD77" s="50"/>
      <c r="FE77" s="50"/>
      <c r="FF77" s="50"/>
      <c r="FG77" s="50"/>
      <c r="FH77" s="50"/>
      <c r="FI77" s="50"/>
      <c r="FJ77" s="50"/>
      <c r="FK77" s="50"/>
      <c r="FL77" s="50"/>
      <c r="FM77" s="50"/>
      <c r="FN77" s="50"/>
      <c r="FO77" s="50"/>
      <c r="FP77" s="50"/>
      <c r="FQ77" s="50"/>
      <c r="FR77" s="50"/>
      <c r="FS77" s="50"/>
      <c r="FT77" s="50"/>
      <c r="FU77" s="50"/>
      <c r="FV77" s="50"/>
      <c r="FW77" s="50"/>
      <c r="FX77" s="50"/>
      <c r="FY77" s="50"/>
      <c r="FZ77" s="50"/>
      <c r="GA77" s="50"/>
      <c r="GB77" s="50"/>
      <c r="GC77" s="50"/>
      <c r="GD77" s="50"/>
      <c r="GE77" s="50"/>
      <c r="GF77" s="50"/>
      <c r="GG77" s="50"/>
      <c r="GH77" s="50"/>
      <c r="GI77" s="50"/>
      <c r="GJ77" s="50"/>
      <c r="GK77" s="50"/>
    </row>
    <row r="78" ht="15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50"/>
      <c r="DB78" s="50"/>
      <c r="DC78" s="50"/>
      <c r="DD78" s="50"/>
      <c r="DE78" s="50"/>
      <c r="DF78" s="50"/>
      <c r="DG78" s="50"/>
      <c r="DH78" s="50"/>
      <c r="DI78" s="50"/>
      <c r="DJ78" s="50"/>
      <c r="DK78" s="50"/>
      <c r="DL78" s="50"/>
      <c r="DM78" s="50"/>
      <c r="DN78" s="50"/>
      <c r="DO78" s="50"/>
      <c r="DP78" s="50"/>
      <c r="DQ78" s="50"/>
      <c r="DR78" s="50"/>
      <c r="DS78" s="50"/>
      <c r="DT78" s="50"/>
      <c r="DU78" s="50"/>
      <c r="DV78" s="50"/>
      <c r="DW78" s="50"/>
      <c r="DX78" s="50"/>
      <c r="DY78" s="50"/>
      <c r="DZ78" s="50"/>
      <c r="EA78" s="50"/>
      <c r="EB78" s="50"/>
      <c r="EC78" s="50"/>
      <c r="ED78" s="50"/>
      <c r="EE78" s="50"/>
      <c r="EF78" s="50"/>
      <c r="EG78" s="50"/>
      <c r="EH78" s="50"/>
      <c r="EI78" s="50"/>
      <c r="EJ78" s="50"/>
      <c r="EK78" s="50"/>
      <c r="EL78" s="50"/>
      <c r="EM78" s="50"/>
      <c r="EN78" s="50"/>
      <c r="EO78" s="50"/>
      <c r="EP78" s="50"/>
      <c r="EQ78" s="50"/>
      <c r="ER78" s="50"/>
      <c r="ES78" s="50"/>
      <c r="ET78" s="50"/>
      <c r="EU78" s="50"/>
      <c r="EV78" s="50"/>
      <c r="EW78" s="50"/>
      <c r="EX78" s="50"/>
      <c r="EY78" s="50"/>
      <c r="EZ78" s="50"/>
      <c r="FA78" s="50"/>
      <c r="FB78" s="50"/>
      <c r="FC78" s="50"/>
      <c r="FD78" s="50"/>
      <c r="FE78" s="50"/>
      <c r="FF78" s="50"/>
      <c r="FG78" s="50"/>
      <c r="FH78" s="50"/>
      <c r="FI78" s="50"/>
      <c r="FJ78" s="50"/>
      <c r="FK78" s="50"/>
      <c r="FL78" s="50"/>
      <c r="FM78" s="50"/>
      <c r="FN78" s="50"/>
      <c r="FO78" s="50"/>
      <c r="FP78" s="50"/>
      <c r="FQ78" s="50"/>
      <c r="FR78" s="50"/>
      <c r="FS78" s="50"/>
      <c r="FT78" s="50"/>
      <c r="FU78" s="50"/>
      <c r="FV78" s="50"/>
      <c r="FW78" s="50"/>
      <c r="FX78" s="50"/>
      <c r="FY78" s="50"/>
      <c r="FZ78" s="50"/>
      <c r="GA78" s="50"/>
      <c r="GB78" s="50"/>
      <c r="GC78" s="50"/>
      <c r="GD78" s="50"/>
      <c r="GE78" s="50"/>
      <c r="GF78" s="50"/>
      <c r="GG78" s="50"/>
      <c r="GH78" s="50"/>
      <c r="GI78" s="50"/>
      <c r="GJ78" s="50"/>
      <c r="GK78" s="50"/>
    </row>
    <row r="79" ht="15.7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  <c r="DD79" s="50"/>
      <c r="DE79" s="50"/>
      <c r="DF79" s="50"/>
      <c r="DG79" s="50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/>
      <c r="DS79" s="50"/>
      <c r="DT79" s="50"/>
      <c r="DU79" s="50"/>
      <c r="DV79" s="50"/>
      <c r="DW79" s="50"/>
      <c r="DX79" s="50"/>
      <c r="DY79" s="50"/>
      <c r="DZ79" s="50"/>
      <c r="EA79" s="50"/>
      <c r="EB79" s="50"/>
      <c r="EC79" s="50"/>
      <c r="ED79" s="50"/>
      <c r="EE79" s="50"/>
      <c r="EF79" s="50"/>
      <c r="EG79" s="50"/>
      <c r="EH79" s="50"/>
      <c r="EI79" s="50"/>
      <c r="EJ79" s="50"/>
      <c r="EK79" s="50"/>
      <c r="EL79" s="50"/>
      <c r="EM79" s="50"/>
      <c r="EN79" s="50"/>
      <c r="EO79" s="50"/>
      <c r="EP79" s="50"/>
      <c r="EQ79" s="50"/>
      <c r="ER79" s="50"/>
      <c r="ES79" s="50"/>
      <c r="ET79" s="50"/>
      <c r="EU79" s="50"/>
      <c r="EV79" s="50"/>
      <c r="EW79" s="50"/>
      <c r="EX79" s="50"/>
      <c r="EY79" s="50"/>
      <c r="EZ79" s="50"/>
      <c r="FA79" s="50"/>
      <c r="FB79" s="50"/>
      <c r="FC79" s="50"/>
      <c r="FD79" s="50"/>
      <c r="FE79" s="50"/>
      <c r="FF79" s="50"/>
      <c r="FG79" s="50"/>
      <c r="FH79" s="50"/>
      <c r="FI79" s="50"/>
      <c r="FJ79" s="50"/>
      <c r="FK79" s="50"/>
      <c r="FL79" s="50"/>
      <c r="FM79" s="50"/>
      <c r="FN79" s="50"/>
      <c r="FO79" s="50"/>
      <c r="FP79" s="50"/>
      <c r="FQ79" s="50"/>
      <c r="FR79" s="50"/>
      <c r="FS79" s="50"/>
      <c r="FT79" s="50"/>
      <c r="FU79" s="50"/>
      <c r="FV79" s="50"/>
      <c r="FW79" s="50"/>
      <c r="FX79" s="50"/>
      <c r="FY79" s="50"/>
      <c r="FZ79" s="50"/>
      <c r="GA79" s="50"/>
      <c r="GB79" s="50"/>
      <c r="GC79" s="50"/>
      <c r="GD79" s="50"/>
      <c r="GE79" s="50"/>
      <c r="GF79" s="50"/>
      <c r="GG79" s="50"/>
      <c r="GH79" s="50"/>
      <c r="GI79" s="50"/>
      <c r="GJ79" s="50"/>
      <c r="GK79" s="50"/>
    </row>
    <row r="80" ht="15.7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/>
      <c r="CZ80" s="50"/>
      <c r="DA80" s="50"/>
      <c r="DB80" s="50"/>
      <c r="DC80" s="50"/>
      <c r="DD80" s="50"/>
      <c r="DE80" s="50"/>
      <c r="DF80" s="50"/>
      <c r="DG80" s="50"/>
      <c r="DH80" s="50"/>
      <c r="DI80" s="50"/>
      <c r="DJ80" s="50"/>
      <c r="DK80" s="50"/>
      <c r="DL80" s="50"/>
      <c r="DM80" s="50"/>
      <c r="DN80" s="50"/>
      <c r="DO80" s="50"/>
      <c r="DP80" s="50"/>
      <c r="DQ80" s="50"/>
      <c r="DR80" s="50"/>
      <c r="DS80" s="50"/>
      <c r="DT80" s="50"/>
      <c r="DU80" s="50"/>
      <c r="DV80" s="50"/>
      <c r="DW80" s="50"/>
      <c r="DX80" s="50"/>
      <c r="DY80" s="50"/>
      <c r="DZ80" s="50"/>
      <c r="EA80" s="50"/>
      <c r="EB80" s="50"/>
      <c r="EC80" s="50"/>
      <c r="ED80" s="50"/>
      <c r="EE80" s="50"/>
      <c r="EF80" s="50"/>
      <c r="EG80" s="50"/>
      <c r="EH80" s="50"/>
      <c r="EI80" s="50"/>
      <c r="EJ80" s="50"/>
      <c r="EK80" s="50"/>
      <c r="EL80" s="50"/>
      <c r="EM80" s="50"/>
      <c r="EN80" s="50"/>
      <c r="EO80" s="50"/>
      <c r="EP80" s="50"/>
      <c r="EQ80" s="50"/>
      <c r="ER80" s="50"/>
      <c r="ES80" s="50"/>
      <c r="ET80" s="50"/>
      <c r="EU80" s="50"/>
      <c r="EV80" s="50"/>
      <c r="EW80" s="50"/>
      <c r="EX80" s="50"/>
      <c r="EY80" s="50"/>
      <c r="EZ80" s="50"/>
      <c r="FA80" s="50"/>
      <c r="FB80" s="50"/>
      <c r="FC80" s="50"/>
      <c r="FD80" s="50"/>
      <c r="FE80" s="50"/>
      <c r="FF80" s="50"/>
      <c r="FG80" s="50"/>
      <c r="FH80" s="50"/>
      <c r="FI80" s="50"/>
      <c r="FJ80" s="50"/>
      <c r="FK80" s="50"/>
      <c r="FL80" s="50"/>
      <c r="FM80" s="50"/>
      <c r="FN80" s="50"/>
      <c r="FO80" s="50"/>
      <c r="FP80" s="50"/>
      <c r="FQ80" s="50"/>
      <c r="FR80" s="50"/>
      <c r="FS80" s="50"/>
      <c r="FT80" s="50"/>
      <c r="FU80" s="50"/>
      <c r="FV80" s="50"/>
      <c r="FW80" s="50"/>
      <c r="FX80" s="50"/>
      <c r="FY80" s="50"/>
      <c r="FZ80" s="50"/>
      <c r="GA80" s="50"/>
      <c r="GB80" s="50"/>
      <c r="GC80" s="50"/>
      <c r="GD80" s="50"/>
      <c r="GE80" s="50"/>
      <c r="GF80" s="50"/>
      <c r="GG80" s="50"/>
      <c r="GH80" s="50"/>
      <c r="GI80" s="50"/>
      <c r="GJ80" s="50"/>
      <c r="GK80" s="50"/>
    </row>
    <row r="81" ht="15.7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  <c r="CP81" s="50"/>
      <c r="CQ81" s="50"/>
      <c r="CR81" s="50"/>
      <c r="CS81" s="50"/>
      <c r="CT81" s="50"/>
      <c r="CU81" s="50"/>
      <c r="CV81" s="50"/>
      <c r="CW81" s="50"/>
      <c r="CX81" s="50"/>
      <c r="CY81" s="50"/>
      <c r="CZ81" s="50"/>
      <c r="DA81" s="50"/>
      <c r="DB81" s="50"/>
      <c r="DC81" s="50"/>
      <c r="DD81" s="50"/>
      <c r="DE81" s="50"/>
      <c r="DF81" s="50"/>
      <c r="DG81" s="50"/>
      <c r="DH81" s="50"/>
      <c r="DI81" s="50"/>
      <c r="DJ81" s="50"/>
      <c r="DK81" s="50"/>
      <c r="DL81" s="50"/>
      <c r="DM81" s="50"/>
      <c r="DN81" s="50"/>
      <c r="DO81" s="50"/>
      <c r="DP81" s="50"/>
      <c r="DQ81" s="50"/>
      <c r="DR81" s="50"/>
      <c r="DS81" s="50"/>
      <c r="DT81" s="50"/>
      <c r="DU81" s="50"/>
      <c r="DV81" s="50"/>
      <c r="DW81" s="50"/>
      <c r="DX81" s="50"/>
      <c r="DY81" s="50"/>
      <c r="DZ81" s="50"/>
      <c r="EA81" s="50"/>
      <c r="EB81" s="50"/>
      <c r="EC81" s="50"/>
      <c r="ED81" s="50"/>
      <c r="EE81" s="50"/>
      <c r="EF81" s="50"/>
      <c r="EG81" s="50"/>
      <c r="EH81" s="50"/>
      <c r="EI81" s="50"/>
      <c r="EJ81" s="50"/>
      <c r="EK81" s="50"/>
      <c r="EL81" s="50"/>
      <c r="EM81" s="50"/>
      <c r="EN81" s="50"/>
      <c r="EO81" s="50"/>
      <c r="EP81" s="50"/>
      <c r="EQ81" s="50"/>
      <c r="ER81" s="50"/>
      <c r="ES81" s="50"/>
      <c r="ET81" s="50"/>
      <c r="EU81" s="50"/>
      <c r="EV81" s="50"/>
      <c r="EW81" s="50"/>
      <c r="EX81" s="50"/>
      <c r="EY81" s="50"/>
      <c r="EZ81" s="50"/>
      <c r="FA81" s="50"/>
      <c r="FB81" s="50"/>
      <c r="FC81" s="50"/>
      <c r="FD81" s="50"/>
      <c r="FE81" s="50"/>
      <c r="FF81" s="50"/>
      <c r="FG81" s="50"/>
      <c r="FH81" s="50"/>
      <c r="FI81" s="50"/>
      <c r="FJ81" s="50"/>
      <c r="FK81" s="50"/>
      <c r="FL81" s="50"/>
      <c r="FM81" s="50"/>
      <c r="FN81" s="50"/>
      <c r="FO81" s="50"/>
      <c r="FP81" s="50"/>
      <c r="FQ81" s="50"/>
      <c r="FR81" s="50"/>
      <c r="FS81" s="50"/>
      <c r="FT81" s="50"/>
      <c r="FU81" s="50"/>
      <c r="FV81" s="50"/>
      <c r="FW81" s="50"/>
      <c r="FX81" s="50"/>
      <c r="FY81" s="50"/>
      <c r="FZ81" s="50"/>
      <c r="GA81" s="50"/>
      <c r="GB81" s="50"/>
      <c r="GC81" s="50"/>
      <c r="GD81" s="50"/>
      <c r="GE81" s="50"/>
      <c r="GF81" s="50"/>
      <c r="GG81" s="50"/>
      <c r="GH81" s="50"/>
      <c r="GI81" s="50"/>
      <c r="GJ81" s="50"/>
      <c r="GK81" s="50"/>
    </row>
    <row r="82" ht="15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  <c r="BR82" s="50"/>
      <c r="BS82" s="50"/>
      <c r="BT82" s="50"/>
      <c r="BU82" s="50"/>
      <c r="BV82" s="50"/>
      <c r="BW82" s="50"/>
      <c r="BX82" s="50"/>
      <c r="BY82" s="50"/>
      <c r="BZ82" s="50"/>
      <c r="CA82" s="50"/>
      <c r="CB82" s="50"/>
      <c r="CC82" s="50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0"/>
      <c r="CO82" s="50"/>
      <c r="CP82" s="50"/>
      <c r="CQ82" s="50"/>
      <c r="CR82" s="50"/>
      <c r="CS82" s="50"/>
      <c r="CT82" s="50"/>
      <c r="CU82" s="50"/>
      <c r="CV82" s="50"/>
      <c r="CW82" s="50"/>
      <c r="CX82" s="50"/>
      <c r="CY82" s="50"/>
      <c r="CZ82" s="50"/>
      <c r="DA82" s="50"/>
      <c r="DB82" s="50"/>
      <c r="DC82" s="50"/>
      <c r="DD82" s="50"/>
      <c r="DE82" s="50"/>
      <c r="DF82" s="50"/>
      <c r="DG82" s="50"/>
      <c r="DH82" s="50"/>
      <c r="DI82" s="50"/>
      <c r="DJ82" s="50"/>
      <c r="DK82" s="50"/>
      <c r="DL82" s="50"/>
      <c r="DM82" s="50"/>
      <c r="DN82" s="50"/>
      <c r="DO82" s="50"/>
      <c r="DP82" s="50"/>
      <c r="DQ82" s="50"/>
      <c r="DR82" s="50"/>
      <c r="DS82" s="50"/>
      <c r="DT82" s="50"/>
      <c r="DU82" s="50"/>
      <c r="DV82" s="50"/>
      <c r="DW82" s="50"/>
      <c r="DX82" s="50"/>
      <c r="DY82" s="50"/>
      <c r="DZ82" s="50"/>
      <c r="EA82" s="50"/>
      <c r="EB82" s="50"/>
      <c r="EC82" s="50"/>
      <c r="ED82" s="50"/>
      <c r="EE82" s="50"/>
      <c r="EF82" s="50"/>
      <c r="EG82" s="50"/>
      <c r="EH82" s="50"/>
      <c r="EI82" s="50"/>
      <c r="EJ82" s="50"/>
      <c r="EK82" s="50"/>
      <c r="EL82" s="50"/>
      <c r="EM82" s="50"/>
      <c r="EN82" s="50"/>
      <c r="EO82" s="50"/>
      <c r="EP82" s="50"/>
      <c r="EQ82" s="50"/>
      <c r="ER82" s="50"/>
      <c r="ES82" s="50"/>
      <c r="ET82" s="50"/>
      <c r="EU82" s="50"/>
      <c r="EV82" s="50"/>
      <c r="EW82" s="50"/>
      <c r="EX82" s="50"/>
      <c r="EY82" s="50"/>
      <c r="EZ82" s="50"/>
      <c r="FA82" s="50"/>
      <c r="FB82" s="50"/>
      <c r="FC82" s="50"/>
      <c r="FD82" s="50"/>
      <c r="FE82" s="50"/>
      <c r="FF82" s="50"/>
      <c r="FG82" s="50"/>
      <c r="FH82" s="50"/>
      <c r="FI82" s="50"/>
      <c r="FJ82" s="50"/>
      <c r="FK82" s="50"/>
      <c r="FL82" s="50"/>
      <c r="FM82" s="50"/>
      <c r="FN82" s="50"/>
      <c r="FO82" s="50"/>
      <c r="FP82" s="50"/>
      <c r="FQ82" s="50"/>
      <c r="FR82" s="50"/>
      <c r="FS82" s="50"/>
      <c r="FT82" s="50"/>
      <c r="FU82" s="50"/>
      <c r="FV82" s="50"/>
      <c r="FW82" s="50"/>
      <c r="FX82" s="50"/>
      <c r="FY82" s="50"/>
      <c r="FZ82" s="50"/>
      <c r="GA82" s="50"/>
      <c r="GB82" s="50"/>
      <c r="GC82" s="50"/>
      <c r="GD82" s="50"/>
      <c r="GE82" s="50"/>
      <c r="GF82" s="50"/>
      <c r="GG82" s="50"/>
      <c r="GH82" s="50"/>
      <c r="GI82" s="50"/>
      <c r="GJ82" s="50"/>
      <c r="GK82" s="50"/>
    </row>
    <row r="83" ht="15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  <c r="CP83" s="50"/>
      <c r="CQ83" s="50"/>
      <c r="CR83" s="50"/>
      <c r="CS83" s="50"/>
      <c r="CT83" s="50"/>
      <c r="CU83" s="50"/>
      <c r="CV83" s="50"/>
      <c r="CW83" s="50"/>
      <c r="CX83" s="50"/>
      <c r="CY83" s="50"/>
      <c r="CZ83" s="50"/>
      <c r="DA83" s="50"/>
      <c r="DB83" s="50"/>
      <c r="DC83" s="50"/>
      <c r="DD83" s="50"/>
      <c r="DE83" s="50"/>
      <c r="DF83" s="50"/>
      <c r="DG83" s="50"/>
      <c r="DH83" s="50"/>
      <c r="DI83" s="50"/>
      <c r="DJ83" s="50"/>
      <c r="DK83" s="50"/>
      <c r="DL83" s="50"/>
      <c r="DM83" s="50"/>
      <c r="DN83" s="50"/>
      <c r="DO83" s="50"/>
      <c r="DP83" s="50"/>
      <c r="DQ83" s="50"/>
      <c r="DR83" s="50"/>
      <c r="DS83" s="50"/>
      <c r="DT83" s="50"/>
      <c r="DU83" s="50"/>
      <c r="DV83" s="50"/>
      <c r="DW83" s="50"/>
      <c r="DX83" s="50"/>
      <c r="DY83" s="50"/>
      <c r="DZ83" s="50"/>
      <c r="EA83" s="50"/>
      <c r="EB83" s="50"/>
      <c r="EC83" s="50"/>
      <c r="ED83" s="50"/>
      <c r="EE83" s="50"/>
      <c r="EF83" s="50"/>
      <c r="EG83" s="50"/>
      <c r="EH83" s="50"/>
      <c r="EI83" s="50"/>
      <c r="EJ83" s="50"/>
      <c r="EK83" s="50"/>
      <c r="EL83" s="50"/>
      <c r="EM83" s="50"/>
      <c r="EN83" s="50"/>
      <c r="EO83" s="50"/>
      <c r="EP83" s="50"/>
      <c r="EQ83" s="50"/>
      <c r="ER83" s="50"/>
      <c r="ES83" s="50"/>
      <c r="ET83" s="50"/>
      <c r="EU83" s="50"/>
      <c r="EV83" s="50"/>
      <c r="EW83" s="50"/>
      <c r="EX83" s="50"/>
      <c r="EY83" s="50"/>
      <c r="EZ83" s="50"/>
      <c r="FA83" s="50"/>
      <c r="FB83" s="50"/>
      <c r="FC83" s="50"/>
      <c r="FD83" s="50"/>
      <c r="FE83" s="50"/>
      <c r="FF83" s="50"/>
      <c r="FG83" s="50"/>
      <c r="FH83" s="50"/>
      <c r="FI83" s="50"/>
      <c r="FJ83" s="50"/>
      <c r="FK83" s="50"/>
      <c r="FL83" s="50"/>
      <c r="FM83" s="50"/>
      <c r="FN83" s="50"/>
      <c r="FO83" s="50"/>
      <c r="FP83" s="50"/>
      <c r="FQ83" s="50"/>
      <c r="FR83" s="50"/>
      <c r="FS83" s="50"/>
      <c r="FT83" s="50"/>
      <c r="FU83" s="50"/>
      <c r="FV83" s="50"/>
      <c r="FW83" s="50"/>
      <c r="FX83" s="50"/>
      <c r="FY83" s="50"/>
      <c r="FZ83" s="50"/>
      <c r="GA83" s="50"/>
      <c r="GB83" s="50"/>
      <c r="GC83" s="50"/>
      <c r="GD83" s="50"/>
      <c r="GE83" s="50"/>
      <c r="GF83" s="50"/>
      <c r="GG83" s="50"/>
      <c r="GH83" s="50"/>
      <c r="GI83" s="50"/>
      <c r="GJ83" s="50"/>
      <c r="GK83" s="50"/>
    </row>
    <row r="84" ht="15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  <c r="CP84" s="50"/>
      <c r="CQ84" s="50"/>
      <c r="CR84" s="50"/>
      <c r="CS84" s="50"/>
      <c r="CT84" s="50"/>
      <c r="CU84" s="50"/>
      <c r="CV84" s="50"/>
      <c r="CW84" s="50"/>
      <c r="CX84" s="50"/>
      <c r="CY84" s="50"/>
      <c r="CZ84" s="50"/>
      <c r="DA84" s="50"/>
      <c r="DB84" s="50"/>
      <c r="DC84" s="50"/>
      <c r="DD84" s="50"/>
      <c r="DE84" s="50"/>
      <c r="DF84" s="50"/>
      <c r="DG84" s="50"/>
      <c r="DH84" s="50"/>
      <c r="DI84" s="50"/>
      <c r="DJ84" s="50"/>
      <c r="DK84" s="50"/>
      <c r="DL84" s="50"/>
      <c r="DM84" s="50"/>
      <c r="DN84" s="50"/>
      <c r="DO84" s="50"/>
      <c r="DP84" s="50"/>
      <c r="DQ84" s="50"/>
      <c r="DR84" s="50"/>
      <c r="DS84" s="50"/>
      <c r="DT84" s="50"/>
      <c r="DU84" s="50"/>
      <c r="DV84" s="50"/>
      <c r="DW84" s="50"/>
      <c r="DX84" s="50"/>
      <c r="DY84" s="50"/>
      <c r="DZ84" s="50"/>
      <c r="EA84" s="50"/>
      <c r="EB84" s="50"/>
      <c r="EC84" s="50"/>
      <c r="ED84" s="50"/>
      <c r="EE84" s="50"/>
      <c r="EF84" s="50"/>
      <c r="EG84" s="50"/>
      <c r="EH84" s="50"/>
      <c r="EI84" s="50"/>
      <c r="EJ84" s="50"/>
      <c r="EK84" s="50"/>
      <c r="EL84" s="50"/>
      <c r="EM84" s="50"/>
      <c r="EN84" s="50"/>
      <c r="EO84" s="50"/>
      <c r="EP84" s="50"/>
      <c r="EQ84" s="50"/>
      <c r="ER84" s="50"/>
      <c r="ES84" s="50"/>
      <c r="ET84" s="50"/>
      <c r="EU84" s="50"/>
      <c r="EV84" s="50"/>
      <c r="EW84" s="50"/>
      <c r="EX84" s="50"/>
      <c r="EY84" s="50"/>
      <c r="EZ84" s="50"/>
      <c r="FA84" s="50"/>
      <c r="FB84" s="50"/>
      <c r="FC84" s="50"/>
      <c r="FD84" s="50"/>
      <c r="FE84" s="50"/>
      <c r="FF84" s="50"/>
      <c r="FG84" s="50"/>
      <c r="FH84" s="50"/>
      <c r="FI84" s="50"/>
      <c r="FJ84" s="50"/>
      <c r="FK84" s="50"/>
      <c r="FL84" s="50"/>
      <c r="FM84" s="50"/>
      <c r="FN84" s="50"/>
      <c r="FO84" s="50"/>
      <c r="FP84" s="50"/>
      <c r="FQ84" s="50"/>
      <c r="FR84" s="50"/>
      <c r="FS84" s="50"/>
      <c r="FT84" s="50"/>
      <c r="FU84" s="50"/>
      <c r="FV84" s="50"/>
      <c r="FW84" s="50"/>
      <c r="FX84" s="50"/>
      <c r="FY84" s="50"/>
      <c r="FZ84" s="50"/>
      <c r="GA84" s="50"/>
      <c r="GB84" s="50"/>
      <c r="GC84" s="50"/>
      <c r="GD84" s="50"/>
      <c r="GE84" s="50"/>
      <c r="GF84" s="50"/>
      <c r="GG84" s="50"/>
      <c r="GH84" s="50"/>
      <c r="GI84" s="50"/>
      <c r="GJ84" s="50"/>
      <c r="GK84" s="50"/>
    </row>
    <row r="85" ht="15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  <c r="CP85" s="50"/>
      <c r="CQ85" s="50"/>
      <c r="CR85" s="50"/>
      <c r="CS85" s="50"/>
      <c r="CT85" s="50"/>
      <c r="CU85" s="50"/>
      <c r="CV85" s="50"/>
      <c r="CW85" s="50"/>
      <c r="CX85" s="50"/>
      <c r="CY85" s="50"/>
      <c r="CZ85" s="50"/>
      <c r="DA85" s="50"/>
      <c r="DB85" s="50"/>
      <c r="DC85" s="50"/>
      <c r="DD85" s="50"/>
      <c r="DE85" s="50"/>
      <c r="DF85" s="50"/>
      <c r="DG85" s="50"/>
      <c r="DH85" s="50"/>
      <c r="DI85" s="50"/>
      <c r="DJ85" s="50"/>
      <c r="DK85" s="50"/>
      <c r="DL85" s="50"/>
      <c r="DM85" s="50"/>
      <c r="DN85" s="50"/>
      <c r="DO85" s="50"/>
      <c r="DP85" s="50"/>
      <c r="DQ85" s="50"/>
      <c r="DR85" s="50"/>
      <c r="DS85" s="50"/>
      <c r="DT85" s="50"/>
      <c r="DU85" s="50"/>
      <c r="DV85" s="50"/>
      <c r="DW85" s="50"/>
      <c r="DX85" s="50"/>
      <c r="DY85" s="50"/>
      <c r="DZ85" s="50"/>
      <c r="EA85" s="50"/>
      <c r="EB85" s="50"/>
      <c r="EC85" s="50"/>
      <c r="ED85" s="50"/>
      <c r="EE85" s="50"/>
      <c r="EF85" s="50"/>
      <c r="EG85" s="50"/>
      <c r="EH85" s="50"/>
      <c r="EI85" s="50"/>
      <c r="EJ85" s="50"/>
      <c r="EK85" s="50"/>
      <c r="EL85" s="50"/>
      <c r="EM85" s="50"/>
      <c r="EN85" s="50"/>
      <c r="EO85" s="50"/>
      <c r="EP85" s="50"/>
      <c r="EQ85" s="50"/>
      <c r="ER85" s="50"/>
      <c r="ES85" s="50"/>
      <c r="ET85" s="50"/>
      <c r="EU85" s="50"/>
      <c r="EV85" s="50"/>
      <c r="EW85" s="50"/>
      <c r="EX85" s="50"/>
      <c r="EY85" s="50"/>
      <c r="EZ85" s="50"/>
      <c r="FA85" s="50"/>
      <c r="FB85" s="50"/>
      <c r="FC85" s="50"/>
      <c r="FD85" s="50"/>
      <c r="FE85" s="50"/>
      <c r="FF85" s="50"/>
      <c r="FG85" s="50"/>
      <c r="FH85" s="50"/>
      <c r="FI85" s="50"/>
      <c r="FJ85" s="50"/>
      <c r="FK85" s="50"/>
      <c r="FL85" s="50"/>
      <c r="FM85" s="50"/>
      <c r="FN85" s="50"/>
      <c r="FO85" s="50"/>
      <c r="FP85" s="50"/>
      <c r="FQ85" s="50"/>
      <c r="FR85" s="50"/>
      <c r="FS85" s="50"/>
      <c r="FT85" s="50"/>
      <c r="FU85" s="50"/>
      <c r="FV85" s="50"/>
      <c r="FW85" s="50"/>
      <c r="FX85" s="50"/>
      <c r="FY85" s="50"/>
      <c r="FZ85" s="50"/>
      <c r="GA85" s="50"/>
      <c r="GB85" s="50"/>
      <c r="GC85" s="50"/>
      <c r="GD85" s="50"/>
      <c r="GE85" s="50"/>
      <c r="GF85" s="50"/>
      <c r="GG85" s="50"/>
      <c r="GH85" s="50"/>
      <c r="GI85" s="50"/>
      <c r="GJ85" s="50"/>
      <c r="GK85" s="50"/>
    </row>
    <row r="86" ht="15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  <c r="DA86" s="50"/>
      <c r="DB86" s="50"/>
      <c r="DC86" s="50"/>
      <c r="DD86" s="50"/>
      <c r="DE86" s="50"/>
      <c r="DF86" s="50"/>
      <c r="DG86" s="50"/>
      <c r="DH86" s="50"/>
      <c r="DI86" s="50"/>
      <c r="DJ86" s="50"/>
      <c r="DK86" s="50"/>
      <c r="DL86" s="50"/>
      <c r="DM86" s="50"/>
      <c r="DN86" s="50"/>
      <c r="DO86" s="50"/>
      <c r="DP86" s="50"/>
      <c r="DQ86" s="50"/>
      <c r="DR86" s="50"/>
      <c r="DS86" s="50"/>
      <c r="DT86" s="50"/>
      <c r="DU86" s="50"/>
      <c r="DV86" s="50"/>
      <c r="DW86" s="50"/>
      <c r="DX86" s="50"/>
      <c r="DY86" s="50"/>
      <c r="DZ86" s="50"/>
      <c r="EA86" s="50"/>
      <c r="EB86" s="50"/>
      <c r="EC86" s="50"/>
      <c r="ED86" s="50"/>
      <c r="EE86" s="50"/>
      <c r="EF86" s="50"/>
      <c r="EG86" s="50"/>
      <c r="EH86" s="50"/>
      <c r="EI86" s="50"/>
      <c r="EJ86" s="50"/>
      <c r="EK86" s="50"/>
      <c r="EL86" s="50"/>
      <c r="EM86" s="50"/>
      <c r="EN86" s="50"/>
      <c r="EO86" s="50"/>
      <c r="EP86" s="50"/>
      <c r="EQ86" s="50"/>
      <c r="ER86" s="50"/>
      <c r="ES86" s="50"/>
      <c r="ET86" s="50"/>
      <c r="EU86" s="50"/>
      <c r="EV86" s="50"/>
      <c r="EW86" s="50"/>
      <c r="EX86" s="50"/>
      <c r="EY86" s="50"/>
      <c r="EZ86" s="50"/>
      <c r="FA86" s="50"/>
      <c r="FB86" s="50"/>
      <c r="FC86" s="50"/>
      <c r="FD86" s="50"/>
      <c r="FE86" s="50"/>
      <c r="FF86" s="50"/>
      <c r="FG86" s="50"/>
      <c r="FH86" s="50"/>
      <c r="FI86" s="50"/>
      <c r="FJ86" s="50"/>
      <c r="FK86" s="50"/>
      <c r="FL86" s="50"/>
      <c r="FM86" s="50"/>
      <c r="FN86" s="50"/>
      <c r="FO86" s="50"/>
      <c r="FP86" s="50"/>
      <c r="FQ86" s="50"/>
      <c r="FR86" s="50"/>
      <c r="FS86" s="50"/>
      <c r="FT86" s="50"/>
      <c r="FU86" s="50"/>
      <c r="FV86" s="50"/>
      <c r="FW86" s="50"/>
      <c r="FX86" s="50"/>
      <c r="FY86" s="50"/>
      <c r="FZ86" s="50"/>
      <c r="GA86" s="50"/>
      <c r="GB86" s="50"/>
      <c r="GC86" s="50"/>
      <c r="GD86" s="50"/>
      <c r="GE86" s="50"/>
      <c r="GF86" s="50"/>
      <c r="GG86" s="50"/>
      <c r="GH86" s="50"/>
      <c r="GI86" s="50"/>
      <c r="GJ86" s="50"/>
      <c r="GK86" s="50"/>
    </row>
    <row r="87" ht="15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0"/>
      <c r="DD87" s="50"/>
      <c r="DE87" s="50"/>
      <c r="DF87" s="50"/>
      <c r="DG87" s="50"/>
      <c r="DH87" s="50"/>
      <c r="DI87" s="50"/>
      <c r="DJ87" s="50"/>
      <c r="DK87" s="50"/>
      <c r="DL87" s="50"/>
      <c r="DM87" s="50"/>
      <c r="DN87" s="50"/>
      <c r="DO87" s="50"/>
      <c r="DP87" s="50"/>
      <c r="DQ87" s="50"/>
      <c r="DR87" s="50"/>
      <c r="DS87" s="50"/>
      <c r="DT87" s="50"/>
      <c r="DU87" s="50"/>
      <c r="DV87" s="50"/>
      <c r="DW87" s="50"/>
      <c r="DX87" s="50"/>
      <c r="DY87" s="50"/>
      <c r="DZ87" s="50"/>
      <c r="EA87" s="50"/>
      <c r="EB87" s="50"/>
      <c r="EC87" s="50"/>
      <c r="ED87" s="50"/>
      <c r="EE87" s="50"/>
      <c r="EF87" s="50"/>
      <c r="EG87" s="50"/>
      <c r="EH87" s="50"/>
      <c r="EI87" s="50"/>
      <c r="EJ87" s="50"/>
      <c r="EK87" s="50"/>
      <c r="EL87" s="50"/>
      <c r="EM87" s="50"/>
      <c r="EN87" s="50"/>
      <c r="EO87" s="50"/>
      <c r="EP87" s="50"/>
      <c r="EQ87" s="50"/>
      <c r="ER87" s="50"/>
      <c r="ES87" s="50"/>
      <c r="ET87" s="50"/>
      <c r="EU87" s="50"/>
      <c r="EV87" s="50"/>
      <c r="EW87" s="50"/>
      <c r="EX87" s="50"/>
      <c r="EY87" s="50"/>
      <c r="EZ87" s="50"/>
      <c r="FA87" s="50"/>
      <c r="FB87" s="50"/>
      <c r="FC87" s="50"/>
      <c r="FD87" s="50"/>
      <c r="FE87" s="50"/>
      <c r="FF87" s="50"/>
      <c r="FG87" s="50"/>
      <c r="FH87" s="50"/>
      <c r="FI87" s="50"/>
      <c r="FJ87" s="50"/>
      <c r="FK87" s="50"/>
      <c r="FL87" s="50"/>
      <c r="FM87" s="50"/>
      <c r="FN87" s="50"/>
      <c r="FO87" s="50"/>
      <c r="FP87" s="50"/>
      <c r="FQ87" s="50"/>
      <c r="FR87" s="50"/>
      <c r="FS87" s="50"/>
      <c r="FT87" s="50"/>
      <c r="FU87" s="50"/>
      <c r="FV87" s="50"/>
      <c r="FW87" s="50"/>
      <c r="FX87" s="50"/>
      <c r="FY87" s="50"/>
      <c r="FZ87" s="50"/>
      <c r="GA87" s="50"/>
      <c r="GB87" s="50"/>
      <c r="GC87" s="50"/>
      <c r="GD87" s="50"/>
      <c r="GE87" s="50"/>
      <c r="GF87" s="50"/>
      <c r="GG87" s="50"/>
      <c r="GH87" s="50"/>
      <c r="GI87" s="50"/>
      <c r="GJ87" s="50"/>
      <c r="GK87" s="50"/>
    </row>
    <row r="88" ht="15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  <c r="DA88" s="50"/>
      <c r="DB88" s="50"/>
      <c r="DC88" s="50"/>
      <c r="DD88" s="50"/>
      <c r="DE88" s="50"/>
      <c r="DF88" s="50"/>
      <c r="DG88" s="50"/>
      <c r="DH88" s="50"/>
      <c r="DI88" s="50"/>
      <c r="DJ88" s="50"/>
      <c r="DK88" s="50"/>
      <c r="DL88" s="50"/>
      <c r="DM88" s="50"/>
      <c r="DN88" s="50"/>
      <c r="DO88" s="50"/>
      <c r="DP88" s="50"/>
      <c r="DQ88" s="50"/>
      <c r="DR88" s="50"/>
      <c r="DS88" s="50"/>
      <c r="DT88" s="50"/>
      <c r="DU88" s="50"/>
      <c r="DV88" s="50"/>
      <c r="DW88" s="50"/>
      <c r="DX88" s="50"/>
      <c r="DY88" s="50"/>
      <c r="DZ88" s="50"/>
      <c r="EA88" s="50"/>
      <c r="EB88" s="50"/>
      <c r="EC88" s="50"/>
      <c r="ED88" s="50"/>
      <c r="EE88" s="50"/>
      <c r="EF88" s="50"/>
      <c r="EG88" s="50"/>
      <c r="EH88" s="50"/>
      <c r="EI88" s="50"/>
      <c r="EJ88" s="50"/>
      <c r="EK88" s="50"/>
      <c r="EL88" s="50"/>
      <c r="EM88" s="50"/>
      <c r="EN88" s="50"/>
      <c r="EO88" s="50"/>
      <c r="EP88" s="50"/>
      <c r="EQ88" s="50"/>
      <c r="ER88" s="50"/>
      <c r="ES88" s="50"/>
      <c r="ET88" s="50"/>
      <c r="EU88" s="50"/>
      <c r="EV88" s="50"/>
      <c r="EW88" s="50"/>
      <c r="EX88" s="50"/>
      <c r="EY88" s="50"/>
      <c r="EZ88" s="50"/>
      <c r="FA88" s="50"/>
      <c r="FB88" s="50"/>
      <c r="FC88" s="50"/>
      <c r="FD88" s="50"/>
      <c r="FE88" s="50"/>
      <c r="FF88" s="50"/>
      <c r="FG88" s="50"/>
      <c r="FH88" s="50"/>
      <c r="FI88" s="50"/>
      <c r="FJ88" s="50"/>
      <c r="FK88" s="50"/>
      <c r="FL88" s="50"/>
      <c r="FM88" s="50"/>
      <c r="FN88" s="50"/>
      <c r="FO88" s="50"/>
      <c r="FP88" s="50"/>
      <c r="FQ88" s="50"/>
      <c r="FR88" s="50"/>
      <c r="FS88" s="50"/>
      <c r="FT88" s="50"/>
      <c r="FU88" s="50"/>
      <c r="FV88" s="50"/>
      <c r="FW88" s="50"/>
      <c r="FX88" s="50"/>
      <c r="FY88" s="50"/>
      <c r="FZ88" s="50"/>
      <c r="GA88" s="50"/>
      <c r="GB88" s="50"/>
      <c r="GC88" s="50"/>
      <c r="GD88" s="50"/>
      <c r="GE88" s="50"/>
      <c r="GF88" s="50"/>
      <c r="GG88" s="50"/>
      <c r="GH88" s="50"/>
      <c r="GI88" s="50"/>
      <c r="GJ88" s="50"/>
      <c r="GK88" s="50"/>
    </row>
    <row r="89" ht="15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  <c r="DA89" s="50"/>
      <c r="DB89" s="50"/>
      <c r="DC89" s="50"/>
      <c r="DD89" s="50"/>
      <c r="DE89" s="50"/>
      <c r="DF89" s="50"/>
      <c r="DG89" s="50"/>
      <c r="DH89" s="50"/>
      <c r="DI89" s="50"/>
      <c r="DJ89" s="50"/>
      <c r="DK89" s="50"/>
      <c r="DL89" s="50"/>
      <c r="DM89" s="50"/>
      <c r="DN89" s="50"/>
      <c r="DO89" s="50"/>
      <c r="DP89" s="50"/>
      <c r="DQ89" s="50"/>
      <c r="DR89" s="50"/>
      <c r="DS89" s="50"/>
      <c r="DT89" s="50"/>
      <c r="DU89" s="50"/>
      <c r="DV89" s="50"/>
      <c r="DW89" s="50"/>
      <c r="DX89" s="50"/>
      <c r="DY89" s="50"/>
      <c r="DZ89" s="50"/>
      <c r="EA89" s="50"/>
      <c r="EB89" s="50"/>
      <c r="EC89" s="50"/>
      <c r="ED89" s="50"/>
      <c r="EE89" s="50"/>
      <c r="EF89" s="50"/>
      <c r="EG89" s="50"/>
      <c r="EH89" s="50"/>
      <c r="EI89" s="50"/>
      <c r="EJ89" s="50"/>
      <c r="EK89" s="50"/>
      <c r="EL89" s="50"/>
      <c r="EM89" s="50"/>
      <c r="EN89" s="50"/>
      <c r="EO89" s="50"/>
      <c r="EP89" s="50"/>
      <c r="EQ89" s="50"/>
      <c r="ER89" s="50"/>
      <c r="ES89" s="50"/>
      <c r="ET89" s="50"/>
      <c r="EU89" s="50"/>
      <c r="EV89" s="50"/>
      <c r="EW89" s="50"/>
      <c r="EX89" s="50"/>
      <c r="EY89" s="50"/>
      <c r="EZ89" s="50"/>
      <c r="FA89" s="50"/>
      <c r="FB89" s="50"/>
      <c r="FC89" s="50"/>
      <c r="FD89" s="50"/>
      <c r="FE89" s="50"/>
      <c r="FF89" s="50"/>
      <c r="FG89" s="50"/>
      <c r="FH89" s="50"/>
      <c r="FI89" s="50"/>
      <c r="FJ89" s="50"/>
      <c r="FK89" s="50"/>
      <c r="FL89" s="50"/>
      <c r="FM89" s="50"/>
      <c r="FN89" s="50"/>
      <c r="FO89" s="50"/>
      <c r="FP89" s="50"/>
      <c r="FQ89" s="50"/>
      <c r="FR89" s="50"/>
      <c r="FS89" s="50"/>
      <c r="FT89" s="50"/>
      <c r="FU89" s="50"/>
      <c r="FV89" s="50"/>
      <c r="FW89" s="50"/>
      <c r="FX89" s="50"/>
      <c r="FY89" s="50"/>
      <c r="FZ89" s="50"/>
      <c r="GA89" s="50"/>
      <c r="GB89" s="50"/>
      <c r="GC89" s="50"/>
      <c r="GD89" s="50"/>
      <c r="GE89" s="50"/>
      <c r="GF89" s="50"/>
      <c r="GG89" s="50"/>
      <c r="GH89" s="50"/>
      <c r="GI89" s="50"/>
      <c r="GJ89" s="50"/>
      <c r="GK89" s="50"/>
    </row>
    <row r="90" ht="15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  <c r="DB90" s="50"/>
      <c r="DC90" s="50"/>
      <c r="DD90" s="50"/>
      <c r="DE90" s="50"/>
      <c r="DF90" s="50"/>
      <c r="DG90" s="50"/>
      <c r="DH90" s="50"/>
      <c r="DI90" s="50"/>
      <c r="DJ90" s="50"/>
      <c r="DK90" s="50"/>
      <c r="DL90" s="50"/>
      <c r="DM90" s="50"/>
      <c r="DN90" s="50"/>
      <c r="DO90" s="50"/>
      <c r="DP90" s="50"/>
      <c r="DQ90" s="50"/>
      <c r="DR90" s="50"/>
      <c r="DS90" s="50"/>
      <c r="DT90" s="50"/>
      <c r="DU90" s="50"/>
      <c r="DV90" s="50"/>
      <c r="DW90" s="50"/>
      <c r="DX90" s="50"/>
      <c r="DY90" s="50"/>
      <c r="DZ90" s="50"/>
      <c r="EA90" s="50"/>
      <c r="EB90" s="50"/>
      <c r="EC90" s="50"/>
      <c r="ED90" s="50"/>
      <c r="EE90" s="50"/>
      <c r="EF90" s="50"/>
      <c r="EG90" s="50"/>
      <c r="EH90" s="50"/>
      <c r="EI90" s="50"/>
      <c r="EJ90" s="50"/>
      <c r="EK90" s="50"/>
      <c r="EL90" s="50"/>
      <c r="EM90" s="50"/>
      <c r="EN90" s="50"/>
      <c r="EO90" s="50"/>
      <c r="EP90" s="50"/>
      <c r="EQ90" s="50"/>
      <c r="ER90" s="50"/>
      <c r="ES90" s="50"/>
      <c r="ET90" s="50"/>
      <c r="EU90" s="50"/>
      <c r="EV90" s="50"/>
      <c r="EW90" s="50"/>
      <c r="EX90" s="50"/>
      <c r="EY90" s="50"/>
      <c r="EZ90" s="50"/>
      <c r="FA90" s="50"/>
      <c r="FB90" s="50"/>
      <c r="FC90" s="50"/>
      <c r="FD90" s="50"/>
      <c r="FE90" s="50"/>
      <c r="FF90" s="50"/>
      <c r="FG90" s="50"/>
      <c r="FH90" s="50"/>
      <c r="FI90" s="50"/>
      <c r="FJ90" s="50"/>
      <c r="FK90" s="50"/>
      <c r="FL90" s="50"/>
      <c r="FM90" s="50"/>
      <c r="FN90" s="50"/>
      <c r="FO90" s="50"/>
      <c r="FP90" s="50"/>
      <c r="FQ90" s="50"/>
      <c r="FR90" s="50"/>
      <c r="FS90" s="50"/>
      <c r="FT90" s="50"/>
      <c r="FU90" s="50"/>
      <c r="FV90" s="50"/>
      <c r="FW90" s="50"/>
      <c r="FX90" s="50"/>
      <c r="FY90" s="50"/>
      <c r="FZ90" s="50"/>
      <c r="GA90" s="50"/>
      <c r="GB90" s="50"/>
      <c r="GC90" s="50"/>
      <c r="GD90" s="50"/>
      <c r="GE90" s="50"/>
      <c r="GF90" s="50"/>
      <c r="GG90" s="50"/>
      <c r="GH90" s="50"/>
      <c r="GI90" s="50"/>
      <c r="GJ90" s="50"/>
      <c r="GK90" s="50"/>
    </row>
    <row r="91" ht="15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0"/>
      <c r="CS91" s="50"/>
      <c r="CT91" s="50"/>
      <c r="CU91" s="50"/>
      <c r="CV91" s="50"/>
      <c r="CW91" s="50"/>
      <c r="CX91" s="50"/>
      <c r="CY91" s="50"/>
      <c r="CZ91" s="50"/>
      <c r="DA91" s="50"/>
      <c r="DB91" s="50"/>
      <c r="DC91" s="50"/>
      <c r="DD91" s="50"/>
      <c r="DE91" s="50"/>
      <c r="DF91" s="50"/>
      <c r="DG91" s="50"/>
      <c r="DH91" s="50"/>
      <c r="DI91" s="50"/>
      <c r="DJ91" s="50"/>
      <c r="DK91" s="50"/>
      <c r="DL91" s="50"/>
      <c r="DM91" s="50"/>
      <c r="DN91" s="50"/>
      <c r="DO91" s="50"/>
      <c r="DP91" s="50"/>
      <c r="DQ91" s="50"/>
      <c r="DR91" s="50"/>
      <c r="DS91" s="50"/>
      <c r="DT91" s="50"/>
      <c r="DU91" s="50"/>
      <c r="DV91" s="50"/>
      <c r="DW91" s="50"/>
      <c r="DX91" s="50"/>
      <c r="DY91" s="50"/>
      <c r="DZ91" s="50"/>
      <c r="EA91" s="50"/>
      <c r="EB91" s="50"/>
      <c r="EC91" s="50"/>
      <c r="ED91" s="50"/>
      <c r="EE91" s="50"/>
      <c r="EF91" s="50"/>
      <c r="EG91" s="50"/>
      <c r="EH91" s="50"/>
      <c r="EI91" s="50"/>
      <c r="EJ91" s="50"/>
      <c r="EK91" s="50"/>
      <c r="EL91" s="50"/>
      <c r="EM91" s="50"/>
      <c r="EN91" s="50"/>
      <c r="EO91" s="50"/>
      <c r="EP91" s="50"/>
      <c r="EQ91" s="50"/>
      <c r="ER91" s="50"/>
      <c r="ES91" s="50"/>
      <c r="ET91" s="50"/>
      <c r="EU91" s="50"/>
      <c r="EV91" s="50"/>
      <c r="EW91" s="50"/>
      <c r="EX91" s="50"/>
      <c r="EY91" s="50"/>
      <c r="EZ91" s="50"/>
      <c r="FA91" s="50"/>
      <c r="FB91" s="50"/>
      <c r="FC91" s="50"/>
      <c r="FD91" s="50"/>
      <c r="FE91" s="50"/>
      <c r="FF91" s="50"/>
      <c r="FG91" s="50"/>
      <c r="FH91" s="50"/>
      <c r="FI91" s="50"/>
      <c r="FJ91" s="50"/>
      <c r="FK91" s="50"/>
      <c r="FL91" s="50"/>
      <c r="FM91" s="50"/>
      <c r="FN91" s="50"/>
      <c r="FO91" s="50"/>
      <c r="FP91" s="50"/>
      <c r="FQ91" s="50"/>
      <c r="FR91" s="50"/>
      <c r="FS91" s="50"/>
      <c r="FT91" s="50"/>
      <c r="FU91" s="50"/>
      <c r="FV91" s="50"/>
      <c r="FW91" s="50"/>
      <c r="FX91" s="50"/>
      <c r="FY91" s="50"/>
      <c r="FZ91" s="50"/>
      <c r="GA91" s="50"/>
      <c r="GB91" s="50"/>
      <c r="GC91" s="50"/>
      <c r="GD91" s="50"/>
      <c r="GE91" s="50"/>
      <c r="GF91" s="50"/>
      <c r="GG91" s="50"/>
      <c r="GH91" s="50"/>
      <c r="GI91" s="50"/>
      <c r="GJ91" s="50"/>
      <c r="GK91" s="50"/>
    </row>
    <row r="92" ht="15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  <c r="CP92" s="50"/>
      <c r="CQ92" s="50"/>
      <c r="CR92" s="50"/>
      <c r="CS92" s="50"/>
      <c r="CT92" s="50"/>
      <c r="CU92" s="50"/>
      <c r="CV92" s="50"/>
      <c r="CW92" s="50"/>
      <c r="CX92" s="50"/>
      <c r="CY92" s="50"/>
      <c r="CZ92" s="50"/>
      <c r="DA92" s="50"/>
      <c r="DB92" s="50"/>
      <c r="DC92" s="50"/>
      <c r="DD92" s="50"/>
      <c r="DE92" s="50"/>
      <c r="DF92" s="50"/>
      <c r="DG92" s="50"/>
      <c r="DH92" s="50"/>
      <c r="DI92" s="50"/>
      <c r="DJ92" s="50"/>
      <c r="DK92" s="50"/>
      <c r="DL92" s="50"/>
      <c r="DM92" s="50"/>
      <c r="DN92" s="50"/>
      <c r="DO92" s="50"/>
      <c r="DP92" s="50"/>
      <c r="DQ92" s="50"/>
      <c r="DR92" s="50"/>
      <c r="DS92" s="50"/>
      <c r="DT92" s="50"/>
      <c r="DU92" s="50"/>
      <c r="DV92" s="50"/>
      <c r="DW92" s="50"/>
      <c r="DX92" s="50"/>
      <c r="DY92" s="50"/>
      <c r="DZ92" s="50"/>
      <c r="EA92" s="50"/>
      <c r="EB92" s="50"/>
      <c r="EC92" s="50"/>
      <c r="ED92" s="50"/>
      <c r="EE92" s="50"/>
      <c r="EF92" s="50"/>
      <c r="EG92" s="50"/>
      <c r="EH92" s="50"/>
      <c r="EI92" s="50"/>
      <c r="EJ92" s="50"/>
      <c r="EK92" s="50"/>
      <c r="EL92" s="50"/>
      <c r="EM92" s="50"/>
      <c r="EN92" s="50"/>
      <c r="EO92" s="50"/>
      <c r="EP92" s="50"/>
      <c r="EQ92" s="50"/>
      <c r="ER92" s="50"/>
      <c r="ES92" s="50"/>
      <c r="ET92" s="50"/>
      <c r="EU92" s="50"/>
      <c r="EV92" s="50"/>
      <c r="EW92" s="50"/>
      <c r="EX92" s="50"/>
      <c r="EY92" s="50"/>
      <c r="EZ92" s="50"/>
      <c r="FA92" s="50"/>
      <c r="FB92" s="50"/>
      <c r="FC92" s="50"/>
      <c r="FD92" s="50"/>
      <c r="FE92" s="50"/>
      <c r="FF92" s="50"/>
      <c r="FG92" s="50"/>
      <c r="FH92" s="50"/>
      <c r="FI92" s="50"/>
      <c r="FJ92" s="50"/>
      <c r="FK92" s="50"/>
      <c r="FL92" s="50"/>
      <c r="FM92" s="50"/>
      <c r="FN92" s="50"/>
      <c r="FO92" s="50"/>
      <c r="FP92" s="50"/>
      <c r="FQ92" s="50"/>
      <c r="FR92" s="50"/>
      <c r="FS92" s="50"/>
      <c r="FT92" s="50"/>
      <c r="FU92" s="50"/>
      <c r="FV92" s="50"/>
      <c r="FW92" s="50"/>
      <c r="FX92" s="50"/>
      <c r="FY92" s="50"/>
      <c r="FZ92" s="50"/>
      <c r="GA92" s="50"/>
      <c r="GB92" s="50"/>
      <c r="GC92" s="50"/>
      <c r="GD92" s="50"/>
      <c r="GE92" s="50"/>
      <c r="GF92" s="50"/>
      <c r="GG92" s="50"/>
      <c r="GH92" s="50"/>
      <c r="GI92" s="50"/>
      <c r="GJ92" s="50"/>
      <c r="GK92" s="50"/>
    </row>
    <row r="93" ht="15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50"/>
      <c r="CY93" s="50"/>
      <c r="CZ93" s="50"/>
      <c r="DA93" s="50"/>
      <c r="DB93" s="50"/>
      <c r="DC93" s="50"/>
      <c r="DD93" s="50"/>
      <c r="DE93" s="50"/>
      <c r="DF93" s="50"/>
      <c r="DG93" s="50"/>
      <c r="DH93" s="50"/>
      <c r="DI93" s="50"/>
      <c r="DJ93" s="50"/>
      <c r="DK93" s="50"/>
      <c r="DL93" s="50"/>
      <c r="DM93" s="50"/>
      <c r="DN93" s="50"/>
      <c r="DO93" s="50"/>
      <c r="DP93" s="50"/>
      <c r="DQ93" s="50"/>
      <c r="DR93" s="50"/>
      <c r="DS93" s="50"/>
      <c r="DT93" s="50"/>
      <c r="DU93" s="50"/>
      <c r="DV93" s="50"/>
      <c r="DW93" s="50"/>
      <c r="DX93" s="50"/>
      <c r="DY93" s="50"/>
      <c r="DZ93" s="50"/>
      <c r="EA93" s="50"/>
      <c r="EB93" s="50"/>
      <c r="EC93" s="50"/>
      <c r="ED93" s="50"/>
      <c r="EE93" s="50"/>
      <c r="EF93" s="50"/>
      <c r="EG93" s="50"/>
      <c r="EH93" s="50"/>
      <c r="EI93" s="50"/>
      <c r="EJ93" s="50"/>
      <c r="EK93" s="50"/>
      <c r="EL93" s="50"/>
      <c r="EM93" s="50"/>
      <c r="EN93" s="50"/>
      <c r="EO93" s="50"/>
      <c r="EP93" s="50"/>
      <c r="EQ93" s="50"/>
      <c r="ER93" s="50"/>
      <c r="ES93" s="50"/>
      <c r="ET93" s="50"/>
      <c r="EU93" s="50"/>
      <c r="EV93" s="50"/>
      <c r="EW93" s="50"/>
      <c r="EX93" s="50"/>
      <c r="EY93" s="50"/>
      <c r="EZ93" s="50"/>
      <c r="FA93" s="50"/>
      <c r="FB93" s="50"/>
      <c r="FC93" s="50"/>
      <c r="FD93" s="50"/>
      <c r="FE93" s="50"/>
      <c r="FF93" s="50"/>
      <c r="FG93" s="50"/>
      <c r="FH93" s="50"/>
      <c r="FI93" s="50"/>
      <c r="FJ93" s="50"/>
      <c r="FK93" s="50"/>
      <c r="FL93" s="50"/>
      <c r="FM93" s="50"/>
      <c r="FN93" s="50"/>
      <c r="FO93" s="50"/>
      <c r="FP93" s="50"/>
      <c r="FQ93" s="50"/>
      <c r="FR93" s="50"/>
      <c r="FS93" s="50"/>
      <c r="FT93" s="50"/>
      <c r="FU93" s="50"/>
      <c r="FV93" s="50"/>
      <c r="FW93" s="50"/>
      <c r="FX93" s="50"/>
      <c r="FY93" s="50"/>
      <c r="FZ93" s="50"/>
      <c r="GA93" s="50"/>
      <c r="GB93" s="50"/>
      <c r="GC93" s="50"/>
      <c r="GD93" s="50"/>
      <c r="GE93" s="50"/>
      <c r="GF93" s="50"/>
      <c r="GG93" s="50"/>
      <c r="GH93" s="50"/>
      <c r="GI93" s="50"/>
      <c r="GJ93" s="50"/>
      <c r="GK93" s="50"/>
    </row>
    <row r="94" ht="15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  <c r="DA94" s="50"/>
      <c r="DB94" s="50"/>
      <c r="DC94" s="50"/>
      <c r="DD94" s="50"/>
      <c r="DE94" s="50"/>
      <c r="DF94" s="50"/>
      <c r="DG94" s="50"/>
      <c r="DH94" s="50"/>
      <c r="DI94" s="50"/>
      <c r="DJ94" s="50"/>
      <c r="DK94" s="50"/>
      <c r="DL94" s="50"/>
      <c r="DM94" s="50"/>
      <c r="DN94" s="50"/>
      <c r="DO94" s="50"/>
      <c r="DP94" s="50"/>
      <c r="DQ94" s="50"/>
      <c r="DR94" s="50"/>
      <c r="DS94" s="50"/>
      <c r="DT94" s="50"/>
      <c r="DU94" s="50"/>
      <c r="DV94" s="50"/>
      <c r="DW94" s="50"/>
      <c r="DX94" s="50"/>
      <c r="DY94" s="50"/>
      <c r="DZ94" s="50"/>
      <c r="EA94" s="50"/>
      <c r="EB94" s="50"/>
      <c r="EC94" s="50"/>
      <c r="ED94" s="50"/>
      <c r="EE94" s="50"/>
      <c r="EF94" s="50"/>
      <c r="EG94" s="50"/>
      <c r="EH94" s="50"/>
      <c r="EI94" s="50"/>
      <c r="EJ94" s="50"/>
      <c r="EK94" s="50"/>
      <c r="EL94" s="50"/>
      <c r="EM94" s="50"/>
      <c r="EN94" s="50"/>
      <c r="EO94" s="50"/>
      <c r="EP94" s="50"/>
      <c r="EQ94" s="50"/>
      <c r="ER94" s="50"/>
      <c r="ES94" s="50"/>
      <c r="ET94" s="50"/>
      <c r="EU94" s="50"/>
      <c r="EV94" s="50"/>
      <c r="EW94" s="50"/>
      <c r="EX94" s="50"/>
      <c r="EY94" s="50"/>
      <c r="EZ94" s="50"/>
      <c r="FA94" s="50"/>
      <c r="FB94" s="50"/>
      <c r="FC94" s="50"/>
      <c r="FD94" s="50"/>
      <c r="FE94" s="50"/>
      <c r="FF94" s="50"/>
      <c r="FG94" s="50"/>
      <c r="FH94" s="50"/>
      <c r="FI94" s="50"/>
      <c r="FJ94" s="50"/>
      <c r="FK94" s="50"/>
      <c r="FL94" s="50"/>
      <c r="FM94" s="50"/>
      <c r="FN94" s="50"/>
      <c r="FO94" s="50"/>
      <c r="FP94" s="50"/>
      <c r="FQ94" s="50"/>
      <c r="FR94" s="50"/>
      <c r="FS94" s="50"/>
      <c r="FT94" s="50"/>
      <c r="FU94" s="50"/>
      <c r="FV94" s="50"/>
      <c r="FW94" s="50"/>
      <c r="FX94" s="50"/>
      <c r="FY94" s="50"/>
      <c r="FZ94" s="50"/>
      <c r="GA94" s="50"/>
      <c r="GB94" s="50"/>
      <c r="GC94" s="50"/>
      <c r="GD94" s="50"/>
      <c r="GE94" s="50"/>
      <c r="GF94" s="50"/>
      <c r="GG94" s="50"/>
      <c r="GH94" s="50"/>
      <c r="GI94" s="50"/>
      <c r="GJ94" s="50"/>
      <c r="GK94" s="50"/>
    </row>
    <row r="95" ht="15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  <c r="DA95" s="50"/>
      <c r="DB95" s="50"/>
      <c r="DC95" s="50"/>
      <c r="DD95" s="50"/>
      <c r="DE95" s="50"/>
      <c r="DF95" s="50"/>
      <c r="DG95" s="50"/>
      <c r="DH95" s="50"/>
      <c r="DI95" s="50"/>
      <c r="DJ95" s="50"/>
      <c r="DK95" s="50"/>
      <c r="DL95" s="50"/>
      <c r="DM95" s="50"/>
      <c r="DN95" s="50"/>
      <c r="DO95" s="50"/>
      <c r="DP95" s="50"/>
      <c r="DQ95" s="50"/>
      <c r="DR95" s="50"/>
      <c r="DS95" s="50"/>
      <c r="DT95" s="50"/>
      <c r="DU95" s="50"/>
      <c r="DV95" s="50"/>
      <c r="DW95" s="50"/>
      <c r="DX95" s="50"/>
      <c r="DY95" s="50"/>
      <c r="DZ95" s="50"/>
      <c r="EA95" s="50"/>
      <c r="EB95" s="50"/>
      <c r="EC95" s="50"/>
      <c r="ED95" s="50"/>
      <c r="EE95" s="50"/>
      <c r="EF95" s="50"/>
      <c r="EG95" s="50"/>
      <c r="EH95" s="50"/>
      <c r="EI95" s="50"/>
      <c r="EJ95" s="50"/>
      <c r="EK95" s="50"/>
      <c r="EL95" s="50"/>
      <c r="EM95" s="50"/>
      <c r="EN95" s="50"/>
      <c r="EO95" s="50"/>
      <c r="EP95" s="50"/>
      <c r="EQ95" s="50"/>
      <c r="ER95" s="50"/>
      <c r="ES95" s="50"/>
      <c r="ET95" s="50"/>
      <c r="EU95" s="50"/>
      <c r="EV95" s="50"/>
      <c r="EW95" s="50"/>
      <c r="EX95" s="50"/>
      <c r="EY95" s="50"/>
      <c r="EZ95" s="50"/>
      <c r="FA95" s="50"/>
      <c r="FB95" s="50"/>
      <c r="FC95" s="50"/>
      <c r="FD95" s="50"/>
      <c r="FE95" s="50"/>
      <c r="FF95" s="50"/>
      <c r="FG95" s="50"/>
      <c r="FH95" s="50"/>
      <c r="FI95" s="50"/>
      <c r="FJ95" s="50"/>
      <c r="FK95" s="50"/>
      <c r="FL95" s="50"/>
      <c r="FM95" s="50"/>
      <c r="FN95" s="50"/>
      <c r="FO95" s="50"/>
      <c r="FP95" s="50"/>
      <c r="FQ95" s="50"/>
      <c r="FR95" s="50"/>
      <c r="FS95" s="50"/>
      <c r="FT95" s="50"/>
      <c r="FU95" s="50"/>
      <c r="FV95" s="50"/>
      <c r="FW95" s="50"/>
      <c r="FX95" s="50"/>
      <c r="FY95" s="50"/>
      <c r="FZ95" s="50"/>
      <c r="GA95" s="50"/>
      <c r="GB95" s="50"/>
      <c r="GC95" s="50"/>
      <c r="GD95" s="50"/>
      <c r="GE95" s="50"/>
      <c r="GF95" s="50"/>
      <c r="GG95" s="50"/>
      <c r="GH95" s="50"/>
      <c r="GI95" s="50"/>
      <c r="GJ95" s="50"/>
      <c r="GK95" s="50"/>
    </row>
    <row r="96" ht="15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  <c r="CP96" s="50"/>
      <c r="CQ96" s="50"/>
      <c r="CR96" s="50"/>
      <c r="CS96" s="50"/>
      <c r="CT96" s="50"/>
      <c r="CU96" s="50"/>
      <c r="CV96" s="50"/>
      <c r="CW96" s="50"/>
      <c r="CX96" s="50"/>
      <c r="CY96" s="50"/>
      <c r="CZ96" s="50"/>
      <c r="DA96" s="50"/>
      <c r="DB96" s="50"/>
      <c r="DC96" s="50"/>
      <c r="DD96" s="50"/>
      <c r="DE96" s="50"/>
      <c r="DF96" s="50"/>
      <c r="DG96" s="50"/>
      <c r="DH96" s="50"/>
      <c r="DI96" s="50"/>
      <c r="DJ96" s="50"/>
      <c r="DK96" s="50"/>
      <c r="DL96" s="50"/>
      <c r="DM96" s="50"/>
      <c r="DN96" s="50"/>
      <c r="DO96" s="50"/>
      <c r="DP96" s="50"/>
      <c r="DQ96" s="50"/>
      <c r="DR96" s="50"/>
      <c r="DS96" s="50"/>
      <c r="DT96" s="50"/>
      <c r="DU96" s="50"/>
      <c r="DV96" s="50"/>
      <c r="DW96" s="50"/>
      <c r="DX96" s="50"/>
      <c r="DY96" s="50"/>
      <c r="DZ96" s="50"/>
      <c r="EA96" s="50"/>
      <c r="EB96" s="50"/>
      <c r="EC96" s="50"/>
      <c r="ED96" s="50"/>
      <c r="EE96" s="50"/>
      <c r="EF96" s="50"/>
      <c r="EG96" s="50"/>
      <c r="EH96" s="50"/>
      <c r="EI96" s="50"/>
      <c r="EJ96" s="50"/>
      <c r="EK96" s="50"/>
      <c r="EL96" s="50"/>
      <c r="EM96" s="50"/>
      <c r="EN96" s="50"/>
      <c r="EO96" s="50"/>
      <c r="EP96" s="50"/>
      <c r="EQ96" s="50"/>
      <c r="ER96" s="50"/>
      <c r="ES96" s="50"/>
      <c r="ET96" s="50"/>
      <c r="EU96" s="50"/>
      <c r="EV96" s="50"/>
      <c r="EW96" s="50"/>
      <c r="EX96" s="50"/>
      <c r="EY96" s="50"/>
      <c r="EZ96" s="50"/>
      <c r="FA96" s="50"/>
      <c r="FB96" s="50"/>
      <c r="FC96" s="50"/>
      <c r="FD96" s="50"/>
      <c r="FE96" s="50"/>
      <c r="FF96" s="50"/>
      <c r="FG96" s="50"/>
      <c r="FH96" s="50"/>
      <c r="FI96" s="50"/>
      <c r="FJ96" s="50"/>
      <c r="FK96" s="50"/>
      <c r="FL96" s="50"/>
      <c r="FM96" s="50"/>
      <c r="FN96" s="50"/>
      <c r="FO96" s="50"/>
      <c r="FP96" s="50"/>
      <c r="FQ96" s="50"/>
      <c r="FR96" s="50"/>
      <c r="FS96" s="50"/>
      <c r="FT96" s="50"/>
      <c r="FU96" s="50"/>
      <c r="FV96" s="50"/>
      <c r="FW96" s="50"/>
      <c r="FX96" s="50"/>
      <c r="FY96" s="50"/>
      <c r="FZ96" s="50"/>
      <c r="GA96" s="50"/>
      <c r="GB96" s="50"/>
      <c r="GC96" s="50"/>
      <c r="GD96" s="50"/>
      <c r="GE96" s="50"/>
      <c r="GF96" s="50"/>
      <c r="GG96" s="50"/>
      <c r="GH96" s="50"/>
      <c r="GI96" s="50"/>
      <c r="GJ96" s="50"/>
      <c r="GK96" s="50"/>
    </row>
    <row r="97" ht="15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50"/>
      <c r="DB97" s="50"/>
      <c r="DC97" s="50"/>
      <c r="DD97" s="50"/>
      <c r="DE97" s="50"/>
      <c r="DF97" s="50"/>
      <c r="DG97" s="50"/>
      <c r="DH97" s="50"/>
      <c r="DI97" s="50"/>
      <c r="DJ97" s="50"/>
      <c r="DK97" s="50"/>
      <c r="DL97" s="50"/>
      <c r="DM97" s="50"/>
      <c r="DN97" s="50"/>
      <c r="DO97" s="50"/>
      <c r="DP97" s="50"/>
      <c r="DQ97" s="50"/>
      <c r="DR97" s="50"/>
      <c r="DS97" s="50"/>
      <c r="DT97" s="50"/>
      <c r="DU97" s="50"/>
      <c r="DV97" s="50"/>
      <c r="DW97" s="50"/>
      <c r="DX97" s="50"/>
      <c r="DY97" s="50"/>
      <c r="DZ97" s="50"/>
      <c r="EA97" s="50"/>
      <c r="EB97" s="50"/>
      <c r="EC97" s="50"/>
      <c r="ED97" s="50"/>
      <c r="EE97" s="50"/>
      <c r="EF97" s="50"/>
      <c r="EG97" s="50"/>
      <c r="EH97" s="50"/>
      <c r="EI97" s="50"/>
      <c r="EJ97" s="50"/>
      <c r="EK97" s="50"/>
      <c r="EL97" s="50"/>
      <c r="EM97" s="50"/>
      <c r="EN97" s="50"/>
      <c r="EO97" s="50"/>
      <c r="EP97" s="50"/>
      <c r="EQ97" s="50"/>
      <c r="ER97" s="50"/>
      <c r="ES97" s="50"/>
      <c r="ET97" s="50"/>
      <c r="EU97" s="50"/>
      <c r="EV97" s="50"/>
      <c r="EW97" s="50"/>
      <c r="EX97" s="50"/>
      <c r="EY97" s="50"/>
      <c r="EZ97" s="50"/>
      <c r="FA97" s="50"/>
      <c r="FB97" s="50"/>
      <c r="FC97" s="50"/>
      <c r="FD97" s="50"/>
      <c r="FE97" s="50"/>
      <c r="FF97" s="50"/>
      <c r="FG97" s="50"/>
      <c r="FH97" s="50"/>
      <c r="FI97" s="50"/>
      <c r="FJ97" s="50"/>
      <c r="FK97" s="50"/>
      <c r="FL97" s="50"/>
      <c r="FM97" s="50"/>
      <c r="FN97" s="50"/>
      <c r="FO97" s="50"/>
      <c r="FP97" s="50"/>
      <c r="FQ97" s="50"/>
      <c r="FR97" s="50"/>
      <c r="FS97" s="50"/>
      <c r="FT97" s="50"/>
      <c r="FU97" s="50"/>
      <c r="FV97" s="50"/>
      <c r="FW97" s="50"/>
      <c r="FX97" s="50"/>
      <c r="FY97" s="50"/>
      <c r="FZ97" s="50"/>
      <c r="GA97" s="50"/>
      <c r="GB97" s="50"/>
      <c r="GC97" s="50"/>
      <c r="GD97" s="50"/>
      <c r="GE97" s="50"/>
      <c r="GF97" s="50"/>
      <c r="GG97" s="50"/>
      <c r="GH97" s="50"/>
      <c r="GI97" s="50"/>
      <c r="GJ97" s="50"/>
      <c r="GK97" s="50"/>
    </row>
    <row r="98" ht="15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50"/>
      <c r="DB98" s="50"/>
      <c r="DC98" s="50"/>
      <c r="DD98" s="50"/>
      <c r="DE98" s="50"/>
      <c r="DF98" s="50"/>
      <c r="DG98" s="50"/>
      <c r="DH98" s="50"/>
      <c r="DI98" s="50"/>
      <c r="DJ98" s="50"/>
      <c r="DK98" s="50"/>
      <c r="DL98" s="50"/>
      <c r="DM98" s="50"/>
      <c r="DN98" s="50"/>
      <c r="DO98" s="50"/>
      <c r="DP98" s="50"/>
      <c r="DQ98" s="50"/>
      <c r="DR98" s="50"/>
      <c r="DS98" s="50"/>
      <c r="DT98" s="50"/>
      <c r="DU98" s="50"/>
      <c r="DV98" s="50"/>
      <c r="DW98" s="50"/>
      <c r="DX98" s="50"/>
      <c r="DY98" s="50"/>
      <c r="DZ98" s="50"/>
      <c r="EA98" s="50"/>
      <c r="EB98" s="50"/>
      <c r="EC98" s="50"/>
      <c r="ED98" s="50"/>
      <c r="EE98" s="50"/>
      <c r="EF98" s="50"/>
      <c r="EG98" s="50"/>
      <c r="EH98" s="50"/>
      <c r="EI98" s="50"/>
      <c r="EJ98" s="50"/>
      <c r="EK98" s="50"/>
      <c r="EL98" s="50"/>
      <c r="EM98" s="50"/>
      <c r="EN98" s="50"/>
      <c r="EO98" s="50"/>
      <c r="EP98" s="50"/>
      <c r="EQ98" s="50"/>
      <c r="ER98" s="50"/>
      <c r="ES98" s="50"/>
      <c r="ET98" s="50"/>
      <c r="EU98" s="50"/>
      <c r="EV98" s="50"/>
      <c r="EW98" s="50"/>
      <c r="EX98" s="50"/>
      <c r="EY98" s="50"/>
      <c r="EZ98" s="50"/>
      <c r="FA98" s="50"/>
      <c r="FB98" s="50"/>
      <c r="FC98" s="50"/>
      <c r="FD98" s="50"/>
      <c r="FE98" s="50"/>
      <c r="FF98" s="50"/>
      <c r="FG98" s="50"/>
      <c r="FH98" s="50"/>
      <c r="FI98" s="50"/>
      <c r="FJ98" s="50"/>
      <c r="FK98" s="50"/>
      <c r="FL98" s="50"/>
      <c r="FM98" s="50"/>
      <c r="FN98" s="50"/>
      <c r="FO98" s="50"/>
      <c r="FP98" s="50"/>
      <c r="FQ98" s="50"/>
      <c r="FR98" s="50"/>
      <c r="FS98" s="50"/>
      <c r="FT98" s="50"/>
      <c r="FU98" s="50"/>
      <c r="FV98" s="50"/>
      <c r="FW98" s="50"/>
      <c r="FX98" s="50"/>
      <c r="FY98" s="50"/>
      <c r="FZ98" s="50"/>
      <c r="GA98" s="50"/>
      <c r="GB98" s="50"/>
      <c r="GC98" s="50"/>
      <c r="GD98" s="50"/>
      <c r="GE98" s="50"/>
      <c r="GF98" s="50"/>
      <c r="GG98" s="50"/>
      <c r="GH98" s="50"/>
      <c r="GI98" s="50"/>
      <c r="GJ98" s="50"/>
      <c r="GK98" s="50"/>
    </row>
    <row r="99" ht="15.7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  <c r="CP99" s="50"/>
      <c r="CQ99" s="50"/>
      <c r="CR99" s="50"/>
      <c r="CS99" s="50"/>
      <c r="CT99" s="50"/>
      <c r="CU99" s="50"/>
      <c r="CV99" s="50"/>
      <c r="CW99" s="50"/>
      <c r="CX99" s="50"/>
      <c r="CY99" s="50"/>
      <c r="CZ99" s="50"/>
      <c r="DA99" s="50"/>
      <c r="DB99" s="50"/>
      <c r="DC99" s="50"/>
      <c r="DD99" s="50"/>
      <c r="DE99" s="50"/>
      <c r="DF99" s="50"/>
      <c r="DG99" s="50"/>
      <c r="DH99" s="50"/>
      <c r="DI99" s="50"/>
      <c r="DJ99" s="50"/>
      <c r="DK99" s="50"/>
      <c r="DL99" s="50"/>
      <c r="DM99" s="50"/>
      <c r="DN99" s="50"/>
      <c r="DO99" s="50"/>
      <c r="DP99" s="50"/>
      <c r="DQ99" s="50"/>
      <c r="DR99" s="50"/>
      <c r="DS99" s="50"/>
      <c r="DT99" s="50"/>
      <c r="DU99" s="50"/>
      <c r="DV99" s="50"/>
      <c r="DW99" s="50"/>
      <c r="DX99" s="50"/>
      <c r="DY99" s="50"/>
      <c r="DZ99" s="50"/>
      <c r="EA99" s="50"/>
      <c r="EB99" s="50"/>
      <c r="EC99" s="50"/>
      <c r="ED99" s="50"/>
      <c r="EE99" s="50"/>
      <c r="EF99" s="50"/>
      <c r="EG99" s="50"/>
      <c r="EH99" s="50"/>
      <c r="EI99" s="50"/>
      <c r="EJ99" s="50"/>
      <c r="EK99" s="50"/>
      <c r="EL99" s="50"/>
      <c r="EM99" s="50"/>
      <c r="EN99" s="50"/>
      <c r="EO99" s="50"/>
      <c r="EP99" s="50"/>
      <c r="EQ99" s="50"/>
      <c r="ER99" s="50"/>
      <c r="ES99" s="50"/>
      <c r="ET99" s="50"/>
      <c r="EU99" s="50"/>
      <c r="EV99" s="50"/>
      <c r="EW99" s="50"/>
      <c r="EX99" s="50"/>
      <c r="EY99" s="50"/>
      <c r="EZ99" s="50"/>
      <c r="FA99" s="50"/>
      <c r="FB99" s="50"/>
      <c r="FC99" s="50"/>
      <c r="FD99" s="50"/>
      <c r="FE99" s="50"/>
      <c r="FF99" s="50"/>
      <c r="FG99" s="50"/>
      <c r="FH99" s="50"/>
      <c r="FI99" s="50"/>
      <c r="FJ99" s="50"/>
      <c r="FK99" s="50"/>
      <c r="FL99" s="50"/>
      <c r="FM99" s="50"/>
      <c r="FN99" s="50"/>
      <c r="FO99" s="50"/>
      <c r="FP99" s="50"/>
      <c r="FQ99" s="50"/>
      <c r="FR99" s="50"/>
      <c r="FS99" s="50"/>
      <c r="FT99" s="50"/>
      <c r="FU99" s="50"/>
      <c r="FV99" s="50"/>
      <c r="FW99" s="50"/>
      <c r="FX99" s="50"/>
      <c r="FY99" s="50"/>
      <c r="FZ99" s="50"/>
      <c r="GA99" s="50"/>
      <c r="GB99" s="50"/>
      <c r="GC99" s="50"/>
      <c r="GD99" s="50"/>
      <c r="GE99" s="50"/>
      <c r="GF99" s="50"/>
      <c r="GG99" s="50"/>
      <c r="GH99" s="50"/>
      <c r="GI99" s="50"/>
      <c r="GJ99" s="50"/>
      <c r="GK99" s="50"/>
    </row>
    <row r="100" ht="15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  <c r="CE100" s="50"/>
      <c r="CF100" s="50"/>
      <c r="CG100" s="50"/>
      <c r="CH100" s="50"/>
      <c r="CI100" s="50"/>
      <c r="CJ100" s="50"/>
      <c r="CK100" s="50"/>
      <c r="CL100" s="50"/>
      <c r="CM100" s="50"/>
      <c r="CN100" s="50"/>
      <c r="CO100" s="50"/>
      <c r="CP100" s="50"/>
      <c r="CQ100" s="50"/>
      <c r="CR100" s="50"/>
      <c r="CS100" s="50"/>
      <c r="CT100" s="50"/>
      <c r="CU100" s="50"/>
      <c r="CV100" s="50"/>
      <c r="CW100" s="50"/>
      <c r="CX100" s="50"/>
      <c r="CY100" s="50"/>
      <c r="CZ100" s="50"/>
      <c r="DA100" s="50"/>
      <c r="DB100" s="50"/>
      <c r="DC100" s="50"/>
      <c r="DD100" s="50"/>
      <c r="DE100" s="50"/>
      <c r="DF100" s="50"/>
      <c r="DG100" s="50"/>
      <c r="DH100" s="50"/>
      <c r="DI100" s="50"/>
      <c r="DJ100" s="50"/>
      <c r="DK100" s="50"/>
      <c r="DL100" s="50"/>
      <c r="DM100" s="50"/>
      <c r="DN100" s="50"/>
      <c r="DO100" s="50"/>
      <c r="DP100" s="50"/>
      <c r="DQ100" s="50"/>
      <c r="DR100" s="50"/>
      <c r="DS100" s="50"/>
      <c r="DT100" s="50"/>
      <c r="DU100" s="50"/>
      <c r="DV100" s="50"/>
      <c r="DW100" s="50"/>
      <c r="DX100" s="50"/>
      <c r="DY100" s="50"/>
      <c r="DZ100" s="50"/>
      <c r="EA100" s="50"/>
      <c r="EB100" s="50"/>
      <c r="EC100" s="50"/>
      <c r="ED100" s="50"/>
      <c r="EE100" s="50"/>
      <c r="EF100" s="50"/>
      <c r="EG100" s="50"/>
      <c r="EH100" s="50"/>
      <c r="EI100" s="50"/>
      <c r="EJ100" s="50"/>
      <c r="EK100" s="50"/>
      <c r="EL100" s="50"/>
      <c r="EM100" s="50"/>
      <c r="EN100" s="50"/>
      <c r="EO100" s="50"/>
      <c r="EP100" s="50"/>
      <c r="EQ100" s="50"/>
      <c r="ER100" s="50"/>
      <c r="ES100" s="50"/>
      <c r="ET100" s="50"/>
      <c r="EU100" s="50"/>
      <c r="EV100" s="50"/>
      <c r="EW100" s="50"/>
      <c r="EX100" s="50"/>
      <c r="EY100" s="50"/>
      <c r="EZ100" s="50"/>
      <c r="FA100" s="50"/>
      <c r="FB100" s="50"/>
      <c r="FC100" s="50"/>
      <c r="FD100" s="50"/>
      <c r="FE100" s="50"/>
      <c r="FF100" s="50"/>
      <c r="FG100" s="50"/>
      <c r="FH100" s="50"/>
      <c r="FI100" s="50"/>
      <c r="FJ100" s="50"/>
      <c r="FK100" s="50"/>
      <c r="FL100" s="50"/>
      <c r="FM100" s="50"/>
      <c r="FN100" s="50"/>
      <c r="FO100" s="50"/>
      <c r="FP100" s="50"/>
      <c r="FQ100" s="50"/>
      <c r="FR100" s="50"/>
      <c r="FS100" s="50"/>
      <c r="FT100" s="50"/>
      <c r="FU100" s="50"/>
      <c r="FV100" s="50"/>
      <c r="FW100" s="50"/>
      <c r="FX100" s="50"/>
      <c r="FY100" s="50"/>
      <c r="FZ100" s="50"/>
      <c r="GA100" s="50"/>
      <c r="GB100" s="50"/>
      <c r="GC100" s="50"/>
      <c r="GD100" s="50"/>
      <c r="GE100" s="50"/>
      <c r="GF100" s="50"/>
      <c r="GG100" s="50"/>
      <c r="GH100" s="50"/>
      <c r="GI100" s="50"/>
      <c r="GJ100" s="50"/>
      <c r="GK100" s="5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41"/>
      <c r="E6" s="36"/>
      <c r="F6" s="41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41"/>
      <c r="E6" s="36"/>
      <c r="F6" s="41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6"/>
      <c r="H6" s="59" t="s">
        <v>21</v>
      </c>
      <c r="I6" s="60">
        <v>0.0</v>
      </c>
      <c r="J6" s="60">
        <v>35.0</v>
      </c>
      <c r="K6" s="60">
        <v>35.0</v>
      </c>
      <c r="L6" s="60">
        <v>35.0</v>
      </c>
      <c r="M6" s="59" t="s">
        <v>40</v>
      </c>
      <c r="N6" s="62"/>
      <c r="O6" s="59" t="s">
        <v>22</v>
      </c>
      <c r="P6" s="62"/>
      <c r="Q6" s="62" t="s">
        <v>21</v>
      </c>
      <c r="R6" s="62"/>
      <c r="S6" s="62"/>
      <c r="T6" s="63" t="s">
        <v>43</v>
      </c>
      <c r="U6" s="63" t="s">
        <v>43</v>
      </c>
      <c r="V6" s="40"/>
      <c r="W6" s="40"/>
      <c r="X6" s="40"/>
      <c r="Y6" s="40"/>
      <c r="Z6" s="40"/>
      <c r="AA6" s="40"/>
      <c r="AB6" s="61">
        <v>350.0</v>
      </c>
      <c r="AC6" s="40"/>
      <c r="AD6" s="61">
        <v>350.0</v>
      </c>
      <c r="AE6" s="40"/>
      <c r="AF6" s="40"/>
      <c r="AG6" s="43">
        <v>35.0</v>
      </c>
      <c r="AH6" s="61">
        <v>350.0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68">
        <v>10.0</v>
      </c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59" t="s">
        <v>21</v>
      </c>
      <c r="I7" s="60">
        <v>0.0</v>
      </c>
      <c r="J7" s="60">
        <v>35.0</v>
      </c>
      <c r="K7" s="60">
        <v>35.0</v>
      </c>
      <c r="L7" s="60">
        <v>35.0</v>
      </c>
      <c r="M7" s="59" t="s">
        <v>40</v>
      </c>
      <c r="N7" s="62"/>
      <c r="O7" s="59" t="s">
        <v>22</v>
      </c>
      <c r="P7" s="62"/>
      <c r="Q7" s="62" t="s">
        <v>21</v>
      </c>
      <c r="R7" s="62"/>
      <c r="S7" s="62"/>
      <c r="T7" s="63" t="s">
        <v>44</v>
      </c>
      <c r="U7" s="63" t="s">
        <v>44</v>
      </c>
      <c r="V7" s="40"/>
      <c r="W7" s="40"/>
      <c r="X7" s="40"/>
      <c r="Y7" s="40"/>
      <c r="Z7" s="40"/>
      <c r="AA7" s="40"/>
      <c r="AB7" s="61">
        <v>350.0</v>
      </c>
      <c r="AC7" s="40"/>
      <c r="AD7" s="61">
        <v>350.0</v>
      </c>
      <c r="AE7" s="40"/>
      <c r="AF7" s="40"/>
      <c r="AG7" s="43">
        <v>35.0</v>
      </c>
      <c r="AH7" s="61">
        <v>350.0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68">
        <v>10.0</v>
      </c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/>
      <c r="D8" s="36"/>
      <c r="E8" s="36"/>
      <c r="F8" s="36"/>
      <c r="G8" s="36"/>
      <c r="H8" s="59" t="s">
        <v>21</v>
      </c>
      <c r="I8" s="60">
        <v>0.0</v>
      </c>
      <c r="J8" s="60">
        <v>15.0</v>
      </c>
      <c r="K8" s="60">
        <v>15.0</v>
      </c>
      <c r="L8" s="60">
        <v>15.0</v>
      </c>
      <c r="M8" s="59" t="s">
        <v>41</v>
      </c>
      <c r="N8" s="62"/>
      <c r="O8" s="59" t="s">
        <v>22</v>
      </c>
      <c r="P8" s="62"/>
      <c r="Q8" s="62" t="s">
        <v>21</v>
      </c>
      <c r="R8" s="62"/>
      <c r="S8" s="62"/>
      <c r="T8" s="63" t="s">
        <v>43</v>
      </c>
      <c r="U8" s="63" t="s">
        <v>43</v>
      </c>
      <c r="V8" s="40"/>
      <c r="W8" s="40"/>
      <c r="X8" s="40"/>
      <c r="Y8" s="40"/>
      <c r="Z8" s="40"/>
      <c r="AA8" s="40"/>
      <c r="AB8" s="61">
        <v>150.0</v>
      </c>
      <c r="AC8" s="40"/>
      <c r="AD8" s="61">
        <v>150.0</v>
      </c>
      <c r="AE8" s="40"/>
      <c r="AF8" s="40"/>
      <c r="AG8" s="43">
        <v>15.0</v>
      </c>
      <c r="AH8" s="61">
        <v>150.0</v>
      </c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68">
        <v>10.0</v>
      </c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36"/>
      <c r="B9" s="36"/>
      <c r="C9" s="36"/>
      <c r="D9" s="36"/>
      <c r="E9" s="36"/>
      <c r="F9" s="36"/>
      <c r="G9" s="36"/>
      <c r="H9" s="59" t="s">
        <v>21</v>
      </c>
      <c r="I9" s="60">
        <v>0.0</v>
      </c>
      <c r="J9" s="60">
        <v>15.0</v>
      </c>
      <c r="K9" s="60">
        <v>15.0</v>
      </c>
      <c r="L9" s="60">
        <v>15.0</v>
      </c>
      <c r="M9" s="59" t="s">
        <v>41</v>
      </c>
      <c r="N9" s="62"/>
      <c r="O9" s="59" t="s">
        <v>22</v>
      </c>
      <c r="P9" s="62"/>
      <c r="Q9" s="62" t="s">
        <v>21</v>
      </c>
      <c r="R9" s="62"/>
      <c r="S9" s="62"/>
      <c r="T9" s="63" t="s">
        <v>44</v>
      </c>
      <c r="U9" s="63" t="s">
        <v>44</v>
      </c>
      <c r="V9" s="40"/>
      <c r="W9" s="40"/>
      <c r="X9" s="40"/>
      <c r="Y9" s="40"/>
      <c r="Z9" s="40"/>
      <c r="AA9" s="40"/>
      <c r="AB9" s="61">
        <v>150.0</v>
      </c>
      <c r="AC9" s="40"/>
      <c r="AD9" s="61">
        <v>150.0</v>
      </c>
      <c r="AE9" s="40"/>
      <c r="AF9" s="40"/>
      <c r="AG9" s="43">
        <v>15.0</v>
      </c>
      <c r="AH9" s="61">
        <v>150.0</v>
      </c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68">
        <v>10.0</v>
      </c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1"/>
      <c r="CS3" s="51"/>
      <c r="CT3" s="51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1"/>
      <c r="DG3" s="51"/>
      <c r="DH3" s="51"/>
      <c r="DI3" s="51"/>
      <c r="DJ3" s="51"/>
      <c r="DK3" s="51"/>
      <c r="DL3" s="51"/>
      <c r="DM3" s="51"/>
      <c r="DN3" s="51"/>
      <c r="DO3" s="51"/>
      <c r="DP3" s="51"/>
      <c r="DQ3" s="51"/>
      <c r="DR3" s="51"/>
      <c r="DS3" s="51"/>
      <c r="DT3" s="51"/>
      <c r="DU3" s="51"/>
      <c r="DV3" s="51"/>
      <c r="DW3" s="51"/>
      <c r="DX3" s="51"/>
      <c r="DY3" s="51"/>
      <c r="DZ3" s="51"/>
      <c r="EA3" s="51"/>
      <c r="EB3" s="51"/>
      <c r="EC3" s="51"/>
      <c r="ED3" s="51"/>
      <c r="EE3" s="51"/>
      <c r="EF3" s="51"/>
      <c r="EG3" s="51"/>
      <c r="EH3" s="51"/>
      <c r="EI3" s="51"/>
      <c r="EJ3" s="51"/>
      <c r="EK3" s="51"/>
      <c r="EL3" s="51"/>
      <c r="EM3" s="51"/>
      <c r="EN3" s="51"/>
      <c r="EO3" s="51"/>
      <c r="EP3" s="51"/>
      <c r="EQ3" s="51"/>
      <c r="ER3" s="51"/>
      <c r="ES3" s="51"/>
      <c r="ET3" s="51"/>
      <c r="EU3" s="51"/>
      <c r="EV3" s="51"/>
      <c r="EW3" s="51"/>
      <c r="EX3" s="51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52" t="str">
        <f>IFERROR(__xludf.DUMMYFUNCTION("""COMPUTED_VALUE"""),"VerifyDbNavWindow")</f>
        <v>VerifyDbNavWindow</v>
      </c>
      <c r="Q4" s="52" t="str">
        <f>IFERROR(__xludf.DUMMYFUNCTION("""COMPUTED_VALUE"""),"VerifyGlobalDivisorWindow")</f>
        <v>VerifyGlobalDivisorWindow</v>
      </c>
      <c r="R4" s="52" t="str">
        <f>IFERROR(__xludf.DUMMYFUNCTION("""COMPUTED_VALUE"""),"VerifyPmCalculationPreferenceWindow")</f>
        <v>VerifyPmCalculationPreferenceWindow</v>
      </c>
      <c r="S4" s="52" t="str">
        <f>IFERROR(__xludf.DUMMYFUNCTION("""COMPUTED_VALUE"""),"VerifyRowCalculationBaseWindow")</f>
        <v>VerifyRowCalculationBaseWindow</v>
      </c>
      <c r="T4" s="52" t="str">
        <f>IFERROR(__xludf.DUMMYFUNCTION("""COMPUTED_VALUE"""),"VerifySecurityWindow")</f>
        <v>VerifySecurityWindow</v>
      </c>
      <c r="U4" s="52" t="str">
        <f>IFERROR(__xludf.DUMMYFUNCTION("""COMPUTED_VALUE"""),"VerifySymbolDataWindow")</f>
        <v>VerifySymbolDataWindow</v>
      </c>
      <c r="V4" s="52" t="str">
        <f>IFERROR(__xludf.DUMMYFUNCTION("""COMPUTED_VALUE"""),"VerifySymbolDivisorWindow")</f>
        <v>VerifySymbolDivisorWindow</v>
      </c>
      <c r="W4" s="52" t="str">
        <f>IFERROR(__xludf.DUMMYFUNCTION("""COMPUTED_VALUE"""),"VerifyTaxlotWindow")</f>
        <v>VerifyTaxlotWindow</v>
      </c>
      <c r="X4" s="52" t="str">
        <f>IFERROR(__xludf.DUMMYFUNCTION("""COMPUTED_VALUE"""),"RestartEsper")</f>
        <v>RestartEsper</v>
      </c>
      <c r="Y4" s="52" t="str">
        <f>IFERROR(__xludf.DUMMYFUNCTION("""COMPUTED_VALUE"""),"VerifyAccountNavPreferenceWindow")</f>
        <v>VerifyAccountNavPreferenceWindow</v>
      </c>
      <c r="Z4" s="52" t="str">
        <f>IFERROR(__xludf.DUMMYFUNCTION("""COMPUTED_VALUE"""),"VerifyAggregationAccountUnderlyingSymbolWithNav")</f>
        <v>VerifyAggregationAccountUnderlyingSymbolWithNav</v>
      </c>
      <c r="AA4" s="52" t="str">
        <f>IFERROR(__xludf.DUMMYFUNCTION("""COMPUTED_VALUE"""),"VerifyAggregationAssetWithNav")</f>
        <v>VerifyAggregationAssetWithNav</v>
      </c>
      <c r="AB4" s="52" t="str">
        <f>IFERROR(__xludf.DUMMYFUNCTION("""COMPUTED_VALUE"""),"VerifyAggregationSymbolWithNav")</f>
        <v>VerifyAggregationSymbolWithNav</v>
      </c>
      <c r="AC4" s="52" t="str">
        <f>IFERROR(__xludf.DUMMYFUNCTION("""COMPUTED_VALUE"""),"VerifyAggregationSubSectorWithNav")</f>
        <v>VerifyAggregationSubSectorWithNav</v>
      </c>
      <c r="AD4" s="52" t="str">
        <f>IFERROR(__xludf.DUMMYFUNCTION("""COMPUTED_VALUE"""),"VerifyAggregationGlobalWithNav")</f>
        <v>VerifyAggregationGlobalWithNav</v>
      </c>
      <c r="AE4" s="52" t="str">
        <f>IFERROR(__xludf.DUMMYFUNCTION("""COMPUTED_VALUE"""),"VerifyAggregationGlobalWithNav")</f>
        <v>VerifyAggregationGlobalWithNav</v>
      </c>
      <c r="AF4" s="52" t="str">
        <f>IFERROR(__xludf.DUMMYFUNCTION("""COMPUTED_VALUE"""),"VerifyGlobalDivisorWindow")</f>
        <v>VerifyGlobalDivisorWindow</v>
      </c>
      <c r="AG4" s="52" t="str">
        <f>IFERROR(__xludf.DUMMYFUNCTION("""COMPUTED_VALUE"""),"VerifyAccrualForAccountWindow")</f>
        <v>VerifyAccrualForAccountWindow</v>
      </c>
      <c r="AH4" s="52" t="str">
        <f>IFERROR(__xludf.DUMMYFUNCTION("""COMPUTED_VALUE"""),"VerifyGlobalDivisorWindow")</f>
        <v>VerifyGlobalDivisorWindow</v>
      </c>
      <c r="AI4" s="52" t="str">
        <f>IFERROR(__xludf.DUMMYFUNCTION("""COMPUTED_VALUE"""),"VerifyMasterFundDivisorWindow")</f>
        <v>VerifyMasterFundDivisorWindow</v>
      </c>
      <c r="AJ4" s="52" t="str">
        <f>IFERROR(__xludf.DUMMYFUNCTION("""COMPUTED_VALUE"""),"VerifyMasterFundSymbolDivisorWindow")</f>
        <v>VerifyMasterFundSymbolDivisorWindow</v>
      </c>
      <c r="AK4" s="52" t="str">
        <f>IFERROR(__xludf.DUMMYFUNCTION("""COMPUTED_VALUE"""),"VerifyAggAccountSymbolWithNav")</f>
        <v>VerifyAggAccountSymbolWithNav</v>
      </c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53" t="str">
        <f>IFERROR(__xludf.DUMMYFUNCTION("""COMPUTED_VALUE"""),"isSwapped")</f>
        <v>isSwapped</v>
      </c>
      <c r="U5" s="53" t="str">
        <f>IFERROR(__xludf.DUMMYFUNCTION("""COMPUTED_VALUE"""),"benchMarkRate")</f>
        <v>benchMarkRate</v>
      </c>
      <c r="V5" s="53" t="str">
        <f>IFERROR(__xludf.DUMMYFUNCTION("""COMPUTED_VALUE"""),"differential")</f>
        <v>differential</v>
      </c>
      <c r="W5" s="53" t="str">
        <f>IFERROR(__xludf.DUMMYFUNCTION("""COMPUTED_VALUE"""),"swapNotional")</f>
        <v>swapNotional</v>
      </c>
      <c r="X5" s="53" t="str">
        <f>IFERROR(__xludf.DUMMYFUNCTION("""COMPUTED_VALUE"""),"dayCount")</f>
        <v>dayCount</v>
      </c>
      <c r="Y5" s="53" t="str">
        <f>IFERROR(__xludf.DUMMYFUNCTION("""COMPUTED_VALUE"""),"avgFxRateForTrade")</f>
        <v>avgFxRateForTrade</v>
      </c>
      <c r="Z5" s="53" t="str">
        <f>IFERROR(__xludf.DUMMYFUNCTION("""COMPUTED_VALUE"""),"conversionMethodOperator")</f>
        <v>conversionMethodOperator</v>
      </c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</row>
    <row r="6" ht="15.75" customHeight="1">
      <c r="A6" s="55"/>
      <c r="B6" s="55"/>
      <c r="C6" s="56" t="s">
        <v>21</v>
      </c>
      <c r="D6" s="55"/>
      <c r="E6" s="56"/>
      <c r="F6" s="56" t="s">
        <v>40</v>
      </c>
      <c r="G6" s="56"/>
      <c r="H6" s="56" t="s">
        <v>21</v>
      </c>
      <c r="I6" s="38">
        <v>35.0</v>
      </c>
      <c r="J6" s="38">
        <v>10.0</v>
      </c>
      <c r="K6" s="56"/>
      <c r="L6" s="56"/>
      <c r="M6" s="56"/>
      <c r="N6" s="56"/>
      <c r="O6" s="56"/>
      <c r="P6" s="56"/>
      <c r="Q6" s="56"/>
      <c r="R6" s="56"/>
      <c r="S6" s="56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  <c r="DZ6" s="57"/>
      <c r="EA6" s="57"/>
      <c r="EB6" s="57"/>
      <c r="EC6" s="57"/>
      <c r="ED6" s="57"/>
      <c r="EE6" s="57"/>
      <c r="EF6" s="57"/>
      <c r="EG6" s="57"/>
      <c r="EH6" s="57"/>
      <c r="EI6" s="57"/>
      <c r="EJ6" s="57"/>
      <c r="EK6" s="57"/>
      <c r="EL6" s="57"/>
      <c r="EM6" s="57"/>
      <c r="EN6" s="57"/>
      <c r="EO6" s="57"/>
      <c r="EP6" s="57"/>
      <c r="EQ6" s="57"/>
      <c r="ER6" s="57"/>
      <c r="ES6" s="57"/>
      <c r="ET6" s="57"/>
      <c r="EU6" s="57"/>
      <c r="EV6" s="57"/>
      <c r="EW6" s="57"/>
      <c r="EX6" s="57"/>
    </row>
    <row r="7" ht="15.75" customHeight="1">
      <c r="A7" s="56"/>
      <c r="B7" s="56"/>
      <c r="C7" s="56" t="s">
        <v>21</v>
      </c>
      <c r="D7" s="56"/>
      <c r="E7" s="56"/>
      <c r="F7" s="56" t="s">
        <v>40</v>
      </c>
      <c r="G7" s="56"/>
      <c r="H7" s="56" t="s">
        <v>21</v>
      </c>
      <c r="I7" s="38">
        <v>35.0</v>
      </c>
      <c r="J7" s="38">
        <v>10.0</v>
      </c>
      <c r="K7" s="56"/>
      <c r="L7" s="56"/>
      <c r="M7" s="56"/>
      <c r="N7" s="56"/>
      <c r="O7" s="56"/>
      <c r="P7" s="56"/>
      <c r="Q7" s="56"/>
      <c r="R7" s="56"/>
      <c r="S7" s="56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7"/>
      <c r="DR7" s="57"/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7"/>
      <c r="ED7" s="57"/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7"/>
      <c r="EP7" s="57"/>
      <c r="EQ7" s="57"/>
      <c r="ER7" s="57"/>
      <c r="ES7" s="57"/>
      <c r="ET7" s="57"/>
      <c r="EU7" s="57"/>
      <c r="EV7" s="57"/>
      <c r="EW7" s="57"/>
      <c r="EX7" s="57"/>
    </row>
    <row r="8" ht="15.75" customHeight="1">
      <c r="A8" s="57"/>
      <c r="B8" s="57"/>
      <c r="C8" s="57" t="s">
        <v>21</v>
      </c>
      <c r="D8" s="57"/>
      <c r="E8" s="57"/>
      <c r="F8" s="57" t="s">
        <v>41</v>
      </c>
      <c r="G8" s="57"/>
      <c r="H8" s="57" t="s">
        <v>21</v>
      </c>
      <c r="I8" s="58">
        <v>15.0</v>
      </c>
      <c r="J8" s="58">
        <v>10.0</v>
      </c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7"/>
      <c r="CU8" s="57"/>
      <c r="CV8" s="57"/>
      <c r="CW8" s="57"/>
      <c r="CX8" s="57"/>
      <c r="CY8" s="57"/>
      <c r="CZ8" s="57"/>
      <c r="DA8" s="57"/>
      <c r="DB8" s="57"/>
      <c r="DC8" s="57"/>
      <c r="DD8" s="57"/>
      <c r="DE8" s="57"/>
      <c r="DF8" s="57"/>
      <c r="DG8" s="57"/>
      <c r="DH8" s="57"/>
      <c r="DI8" s="57"/>
      <c r="DJ8" s="57"/>
      <c r="DK8" s="57"/>
      <c r="DL8" s="57"/>
      <c r="DM8" s="57"/>
      <c r="DN8" s="57"/>
      <c r="DO8" s="57"/>
      <c r="DP8" s="57"/>
      <c r="DQ8" s="57"/>
      <c r="DR8" s="57"/>
      <c r="DS8" s="57"/>
      <c r="DT8" s="57"/>
      <c r="DU8" s="57"/>
      <c r="DV8" s="57"/>
      <c r="DW8" s="57"/>
      <c r="DX8" s="57"/>
      <c r="DY8" s="57"/>
      <c r="DZ8" s="57"/>
      <c r="EA8" s="57"/>
      <c r="EB8" s="57"/>
      <c r="EC8" s="57"/>
      <c r="ED8" s="57"/>
      <c r="EE8" s="57"/>
      <c r="EF8" s="57"/>
      <c r="EG8" s="57"/>
      <c r="EH8" s="57"/>
      <c r="EI8" s="57"/>
      <c r="EJ8" s="57"/>
      <c r="EK8" s="57"/>
      <c r="EL8" s="57"/>
      <c r="EM8" s="57"/>
      <c r="EN8" s="57"/>
      <c r="EO8" s="57"/>
      <c r="EP8" s="57"/>
      <c r="EQ8" s="57"/>
      <c r="ER8" s="57"/>
      <c r="ES8" s="57"/>
      <c r="ET8" s="57"/>
      <c r="EU8" s="57"/>
      <c r="EV8" s="57"/>
      <c r="EW8" s="57"/>
      <c r="EX8" s="57"/>
    </row>
    <row r="9" ht="15.75" customHeight="1">
      <c r="A9" s="57"/>
      <c r="B9" s="57"/>
      <c r="C9" s="57" t="s">
        <v>21</v>
      </c>
      <c r="D9" s="57"/>
      <c r="E9" s="57"/>
      <c r="F9" s="57" t="s">
        <v>41</v>
      </c>
      <c r="G9" s="57"/>
      <c r="H9" s="57" t="s">
        <v>21</v>
      </c>
      <c r="I9" s="58">
        <v>15.0</v>
      </c>
      <c r="J9" s="58">
        <v>10.0</v>
      </c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  <c r="DB9" s="57"/>
      <c r="DC9" s="57"/>
      <c r="DD9" s="57"/>
      <c r="DE9" s="57"/>
      <c r="DF9" s="57"/>
      <c r="DG9" s="57"/>
      <c r="DH9" s="57"/>
      <c r="DI9" s="57"/>
      <c r="DJ9" s="57"/>
      <c r="DK9" s="57"/>
      <c r="DL9" s="57"/>
      <c r="DM9" s="57"/>
      <c r="DN9" s="57"/>
      <c r="DO9" s="57"/>
      <c r="DP9" s="57"/>
      <c r="DQ9" s="57"/>
      <c r="DR9" s="57"/>
      <c r="DS9" s="57"/>
      <c r="DT9" s="57"/>
      <c r="DU9" s="57"/>
      <c r="DV9" s="57"/>
      <c r="DW9" s="57"/>
      <c r="DX9" s="57"/>
      <c r="DY9" s="57"/>
      <c r="DZ9" s="57"/>
      <c r="EA9" s="57"/>
      <c r="EB9" s="57"/>
      <c r="EC9" s="57"/>
      <c r="ED9" s="57"/>
      <c r="EE9" s="57"/>
      <c r="EF9" s="57"/>
      <c r="EG9" s="57"/>
      <c r="EH9" s="57"/>
      <c r="EI9" s="57"/>
      <c r="EJ9" s="57"/>
      <c r="EK9" s="57"/>
      <c r="EL9" s="57"/>
      <c r="EM9" s="57"/>
      <c r="EN9" s="57"/>
      <c r="EO9" s="57"/>
      <c r="EP9" s="57"/>
      <c r="EQ9" s="57"/>
      <c r="ER9" s="57"/>
      <c r="ES9" s="57"/>
      <c r="ET9" s="57"/>
      <c r="EU9" s="57"/>
      <c r="EV9" s="57"/>
      <c r="EW9" s="57"/>
      <c r="EX9" s="5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</row>
    <row r="27" ht="15.7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</row>
    <row r="28" ht="15.75" customHeight="1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</row>
    <row r="29" ht="15.75" customHeight="1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</row>
    <row r="30" ht="15.75" customHeight="1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</row>
    <row r="31" ht="15.7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</row>
    <row r="32" ht="15.75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</row>
    <row r="33" ht="15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</row>
    <row r="34" ht="15.75" customHeight="1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</row>
    <row r="35" ht="15.7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</row>
    <row r="36" ht="15.75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</row>
    <row r="37" ht="15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</row>
    <row r="38" ht="15.7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</row>
    <row r="39" ht="15.7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</row>
    <row r="40" ht="15.7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</row>
    <row r="41" ht="15.7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</row>
    <row r="42" ht="15.7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</row>
    <row r="43" ht="15.75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</row>
    <row r="44" ht="15.7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</row>
    <row r="45" ht="15.7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/>
      <c r="DS45" s="50"/>
      <c r="DT45" s="50"/>
      <c r="DU45" s="50"/>
      <c r="DV45" s="50"/>
      <c r="DW45" s="50"/>
      <c r="DX45" s="50"/>
      <c r="DY45" s="50"/>
      <c r="DZ45" s="50"/>
      <c r="EA45" s="50"/>
      <c r="EB45" s="50"/>
      <c r="EC45" s="50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50"/>
      <c r="ER45" s="50"/>
      <c r="ES45" s="50"/>
      <c r="ET45" s="50"/>
      <c r="EU45" s="50"/>
      <c r="EV45" s="50"/>
      <c r="EW45" s="50"/>
      <c r="EX45" s="50"/>
    </row>
    <row r="46" ht="15.7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</row>
    <row r="47" ht="15.7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</row>
    <row r="48" ht="15.7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</row>
    <row r="49" ht="15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50"/>
      <c r="DT49" s="50"/>
      <c r="DU49" s="50"/>
      <c r="DV49" s="50"/>
      <c r="DW49" s="50"/>
      <c r="DX49" s="50"/>
      <c r="DY49" s="50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0"/>
      <c r="EW49" s="50"/>
      <c r="EX49" s="50"/>
    </row>
    <row r="50" ht="15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50"/>
      <c r="DC50" s="50"/>
      <c r="DD50" s="50"/>
      <c r="DE50" s="50"/>
      <c r="DF50" s="50"/>
      <c r="DG50" s="50"/>
      <c r="DH50" s="50"/>
      <c r="DI50" s="50"/>
      <c r="DJ50" s="50"/>
      <c r="DK50" s="50"/>
      <c r="DL50" s="50"/>
      <c r="DM50" s="50"/>
      <c r="DN50" s="50"/>
      <c r="DO50" s="50"/>
      <c r="DP50" s="50"/>
      <c r="DQ50" s="50"/>
      <c r="DR50" s="50"/>
      <c r="DS50" s="50"/>
      <c r="DT50" s="50"/>
      <c r="DU50" s="50"/>
      <c r="DV50" s="50"/>
      <c r="DW50" s="50"/>
      <c r="DX50" s="50"/>
      <c r="DY50" s="50"/>
      <c r="DZ50" s="50"/>
      <c r="EA50" s="50"/>
      <c r="EB50" s="50"/>
      <c r="EC50" s="50"/>
      <c r="ED50" s="50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  <c r="EP50" s="50"/>
      <c r="EQ50" s="50"/>
      <c r="ER50" s="50"/>
      <c r="ES50" s="50"/>
      <c r="ET50" s="50"/>
      <c r="EU50" s="50"/>
      <c r="EV50" s="50"/>
      <c r="EW50" s="50"/>
      <c r="EX50" s="50"/>
    </row>
    <row r="51" ht="15.7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0"/>
      <c r="DD51" s="50"/>
      <c r="DE51" s="50"/>
      <c r="DF51" s="50"/>
      <c r="DG51" s="50"/>
      <c r="DH51" s="50"/>
      <c r="DI51" s="50"/>
      <c r="DJ51" s="50"/>
      <c r="DK51" s="50"/>
      <c r="DL51" s="50"/>
      <c r="DM51" s="50"/>
      <c r="DN51" s="50"/>
      <c r="DO51" s="50"/>
      <c r="DP51" s="50"/>
      <c r="DQ51" s="50"/>
      <c r="DR51" s="50"/>
      <c r="DS51" s="50"/>
      <c r="DT51" s="50"/>
      <c r="DU51" s="50"/>
      <c r="DV51" s="50"/>
      <c r="DW51" s="50"/>
      <c r="DX51" s="50"/>
      <c r="DY51" s="50"/>
      <c r="DZ51" s="50"/>
      <c r="EA51" s="50"/>
      <c r="EB51" s="50"/>
      <c r="EC51" s="50"/>
      <c r="ED51" s="50"/>
      <c r="EE51" s="50"/>
      <c r="EF51" s="50"/>
      <c r="EG51" s="50"/>
      <c r="EH51" s="50"/>
      <c r="EI51" s="50"/>
      <c r="EJ51" s="50"/>
      <c r="EK51" s="50"/>
      <c r="EL51" s="50"/>
      <c r="EM51" s="50"/>
      <c r="EN51" s="50"/>
      <c r="EO51" s="50"/>
      <c r="EP51" s="50"/>
      <c r="EQ51" s="50"/>
      <c r="ER51" s="50"/>
      <c r="ES51" s="50"/>
      <c r="ET51" s="50"/>
      <c r="EU51" s="50"/>
      <c r="EV51" s="50"/>
      <c r="EW51" s="50"/>
      <c r="EX51" s="50"/>
    </row>
    <row r="52" ht="15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50"/>
      <c r="DC52" s="50"/>
      <c r="DD52" s="50"/>
      <c r="DE52" s="50"/>
      <c r="DF52" s="50"/>
      <c r="DG52" s="50"/>
      <c r="DH52" s="50"/>
      <c r="DI52" s="50"/>
      <c r="DJ52" s="50"/>
      <c r="DK52" s="50"/>
      <c r="DL52" s="50"/>
      <c r="DM52" s="50"/>
      <c r="DN52" s="50"/>
      <c r="DO52" s="50"/>
      <c r="DP52" s="50"/>
      <c r="DQ52" s="50"/>
      <c r="DR52" s="50"/>
      <c r="DS52" s="50"/>
      <c r="DT52" s="50"/>
      <c r="DU52" s="50"/>
      <c r="DV52" s="50"/>
      <c r="DW52" s="50"/>
      <c r="DX52" s="50"/>
      <c r="DY52" s="50"/>
      <c r="DZ52" s="50"/>
      <c r="EA52" s="50"/>
      <c r="EB52" s="50"/>
      <c r="EC52" s="50"/>
      <c r="ED52" s="50"/>
      <c r="EE52" s="50"/>
      <c r="EF52" s="50"/>
      <c r="EG52" s="50"/>
      <c r="EH52" s="50"/>
      <c r="EI52" s="50"/>
      <c r="EJ52" s="50"/>
      <c r="EK52" s="50"/>
      <c r="EL52" s="50"/>
      <c r="EM52" s="50"/>
      <c r="EN52" s="50"/>
      <c r="EO52" s="50"/>
      <c r="EP52" s="50"/>
      <c r="EQ52" s="50"/>
      <c r="ER52" s="50"/>
      <c r="ES52" s="50"/>
      <c r="ET52" s="50"/>
      <c r="EU52" s="50"/>
      <c r="EV52" s="50"/>
      <c r="EW52" s="50"/>
      <c r="EX52" s="50"/>
    </row>
    <row r="53" ht="15.7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  <c r="CP53" s="50"/>
      <c r="CQ53" s="50"/>
      <c r="CR53" s="50"/>
      <c r="CS53" s="50"/>
      <c r="CT53" s="50"/>
      <c r="CU53" s="50"/>
      <c r="CV53" s="50"/>
      <c r="CW53" s="50"/>
      <c r="CX53" s="50"/>
      <c r="CY53" s="50"/>
      <c r="CZ53" s="50"/>
      <c r="DA53" s="50"/>
      <c r="DB53" s="50"/>
      <c r="DC53" s="50"/>
      <c r="DD53" s="50"/>
      <c r="DE53" s="50"/>
      <c r="DF53" s="50"/>
      <c r="DG53" s="50"/>
      <c r="DH53" s="50"/>
      <c r="DI53" s="50"/>
      <c r="DJ53" s="50"/>
      <c r="DK53" s="50"/>
      <c r="DL53" s="50"/>
      <c r="DM53" s="50"/>
      <c r="DN53" s="50"/>
      <c r="DO53" s="50"/>
      <c r="DP53" s="50"/>
      <c r="DQ53" s="50"/>
      <c r="DR53" s="50"/>
      <c r="DS53" s="50"/>
      <c r="DT53" s="50"/>
      <c r="DU53" s="50"/>
      <c r="DV53" s="50"/>
      <c r="DW53" s="50"/>
      <c r="DX53" s="50"/>
      <c r="DY53" s="50"/>
      <c r="DZ53" s="50"/>
      <c r="EA53" s="50"/>
      <c r="EB53" s="50"/>
      <c r="EC53" s="50"/>
      <c r="ED53" s="50"/>
      <c r="EE53" s="50"/>
      <c r="EF53" s="50"/>
      <c r="EG53" s="50"/>
      <c r="EH53" s="50"/>
      <c r="EI53" s="50"/>
      <c r="EJ53" s="50"/>
      <c r="EK53" s="50"/>
      <c r="EL53" s="50"/>
      <c r="EM53" s="50"/>
      <c r="EN53" s="50"/>
      <c r="EO53" s="50"/>
      <c r="EP53" s="50"/>
      <c r="EQ53" s="50"/>
      <c r="ER53" s="50"/>
      <c r="ES53" s="50"/>
      <c r="ET53" s="50"/>
      <c r="EU53" s="50"/>
      <c r="EV53" s="50"/>
      <c r="EW53" s="50"/>
      <c r="EX53" s="50"/>
    </row>
    <row r="54" ht="15.7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/>
      <c r="CZ54" s="50"/>
      <c r="DA54" s="50"/>
      <c r="DB54" s="50"/>
      <c r="DC54" s="50"/>
      <c r="DD54" s="50"/>
      <c r="DE54" s="50"/>
      <c r="DF54" s="50"/>
      <c r="DG54" s="50"/>
      <c r="DH54" s="50"/>
      <c r="DI54" s="50"/>
      <c r="DJ54" s="50"/>
      <c r="DK54" s="50"/>
      <c r="DL54" s="50"/>
      <c r="DM54" s="50"/>
      <c r="DN54" s="50"/>
      <c r="DO54" s="50"/>
      <c r="DP54" s="50"/>
      <c r="DQ54" s="50"/>
      <c r="DR54" s="50"/>
      <c r="DS54" s="50"/>
      <c r="DT54" s="50"/>
      <c r="DU54" s="50"/>
      <c r="DV54" s="50"/>
      <c r="DW54" s="50"/>
      <c r="DX54" s="50"/>
      <c r="DY54" s="50"/>
      <c r="DZ54" s="50"/>
      <c r="EA54" s="50"/>
      <c r="EB54" s="50"/>
      <c r="EC54" s="50"/>
      <c r="ED54" s="50"/>
      <c r="EE54" s="50"/>
      <c r="EF54" s="50"/>
      <c r="EG54" s="50"/>
      <c r="EH54" s="50"/>
      <c r="EI54" s="50"/>
      <c r="EJ54" s="50"/>
      <c r="EK54" s="50"/>
      <c r="EL54" s="50"/>
      <c r="EM54" s="50"/>
      <c r="EN54" s="50"/>
      <c r="EO54" s="50"/>
      <c r="EP54" s="50"/>
      <c r="EQ54" s="50"/>
      <c r="ER54" s="50"/>
      <c r="ES54" s="50"/>
      <c r="ET54" s="50"/>
      <c r="EU54" s="50"/>
      <c r="EV54" s="50"/>
      <c r="EW54" s="50"/>
      <c r="EX54" s="50"/>
    </row>
    <row r="55" ht="15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0"/>
      <c r="CP55" s="50"/>
      <c r="CQ55" s="50"/>
      <c r="CR55" s="50"/>
      <c r="CS55" s="50"/>
      <c r="CT55" s="50"/>
      <c r="CU55" s="50"/>
      <c r="CV55" s="50"/>
      <c r="CW55" s="50"/>
      <c r="CX55" s="50"/>
      <c r="CY55" s="50"/>
      <c r="CZ55" s="50"/>
      <c r="DA55" s="50"/>
      <c r="DB55" s="50"/>
      <c r="DC55" s="50"/>
      <c r="DD55" s="50"/>
      <c r="DE55" s="50"/>
      <c r="DF55" s="50"/>
      <c r="DG55" s="50"/>
      <c r="DH55" s="50"/>
      <c r="DI55" s="50"/>
      <c r="DJ55" s="50"/>
      <c r="DK55" s="50"/>
      <c r="DL55" s="50"/>
      <c r="DM55" s="50"/>
      <c r="DN55" s="50"/>
      <c r="DO55" s="50"/>
      <c r="DP55" s="50"/>
      <c r="DQ55" s="50"/>
      <c r="DR55" s="50"/>
      <c r="DS55" s="50"/>
      <c r="DT55" s="50"/>
      <c r="DU55" s="50"/>
      <c r="DV55" s="50"/>
      <c r="DW55" s="50"/>
      <c r="DX55" s="50"/>
      <c r="DY55" s="50"/>
      <c r="DZ55" s="50"/>
      <c r="EA55" s="50"/>
      <c r="EB55" s="50"/>
      <c r="EC55" s="50"/>
      <c r="ED55" s="50"/>
      <c r="EE55" s="50"/>
      <c r="EF55" s="50"/>
      <c r="EG55" s="50"/>
      <c r="EH55" s="50"/>
      <c r="EI55" s="50"/>
      <c r="EJ55" s="50"/>
      <c r="EK55" s="50"/>
      <c r="EL55" s="50"/>
      <c r="EM55" s="50"/>
      <c r="EN55" s="50"/>
      <c r="EO55" s="50"/>
      <c r="EP55" s="50"/>
      <c r="EQ55" s="50"/>
      <c r="ER55" s="50"/>
      <c r="ES55" s="50"/>
      <c r="ET55" s="50"/>
      <c r="EU55" s="50"/>
      <c r="EV55" s="50"/>
      <c r="EW55" s="50"/>
      <c r="EX55" s="50"/>
    </row>
    <row r="56" ht="15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  <c r="CP56" s="50"/>
      <c r="CQ56" s="50"/>
      <c r="CR56" s="50"/>
      <c r="CS56" s="50"/>
      <c r="CT56" s="50"/>
      <c r="CU56" s="50"/>
      <c r="CV56" s="50"/>
      <c r="CW56" s="50"/>
      <c r="CX56" s="50"/>
      <c r="CY56" s="50"/>
      <c r="CZ56" s="50"/>
      <c r="DA56" s="50"/>
      <c r="DB56" s="50"/>
      <c r="DC56" s="50"/>
      <c r="DD56" s="50"/>
      <c r="DE56" s="50"/>
      <c r="DF56" s="50"/>
      <c r="DG56" s="50"/>
      <c r="DH56" s="50"/>
      <c r="DI56" s="50"/>
      <c r="DJ56" s="50"/>
      <c r="DK56" s="50"/>
      <c r="DL56" s="50"/>
      <c r="DM56" s="50"/>
      <c r="DN56" s="50"/>
      <c r="DO56" s="50"/>
      <c r="DP56" s="50"/>
      <c r="DQ56" s="50"/>
      <c r="DR56" s="50"/>
      <c r="DS56" s="50"/>
      <c r="DT56" s="50"/>
      <c r="DU56" s="50"/>
      <c r="DV56" s="50"/>
      <c r="DW56" s="50"/>
      <c r="DX56" s="50"/>
      <c r="DY56" s="50"/>
      <c r="DZ56" s="50"/>
      <c r="EA56" s="50"/>
      <c r="EB56" s="50"/>
      <c r="EC56" s="50"/>
      <c r="ED56" s="50"/>
      <c r="EE56" s="50"/>
      <c r="EF56" s="50"/>
      <c r="EG56" s="50"/>
      <c r="EH56" s="50"/>
      <c r="EI56" s="50"/>
      <c r="EJ56" s="50"/>
      <c r="EK56" s="50"/>
      <c r="EL56" s="50"/>
      <c r="EM56" s="50"/>
      <c r="EN56" s="50"/>
      <c r="EO56" s="50"/>
      <c r="EP56" s="50"/>
      <c r="EQ56" s="50"/>
      <c r="ER56" s="50"/>
      <c r="ES56" s="50"/>
      <c r="ET56" s="50"/>
      <c r="EU56" s="50"/>
      <c r="EV56" s="50"/>
      <c r="EW56" s="50"/>
      <c r="EX56" s="50"/>
    </row>
    <row r="57" ht="15.7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  <c r="CB57" s="50"/>
      <c r="CC57" s="50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0"/>
      <c r="CO57" s="50"/>
      <c r="CP57" s="50"/>
      <c r="CQ57" s="50"/>
      <c r="CR57" s="50"/>
      <c r="CS57" s="50"/>
      <c r="CT57" s="50"/>
      <c r="CU57" s="50"/>
      <c r="CV57" s="50"/>
      <c r="CW57" s="50"/>
      <c r="CX57" s="50"/>
      <c r="CY57" s="50"/>
      <c r="CZ57" s="50"/>
      <c r="DA57" s="50"/>
      <c r="DB57" s="50"/>
      <c r="DC57" s="50"/>
      <c r="DD57" s="50"/>
      <c r="DE57" s="50"/>
      <c r="DF57" s="50"/>
      <c r="DG57" s="50"/>
      <c r="DH57" s="50"/>
      <c r="DI57" s="50"/>
      <c r="DJ57" s="50"/>
      <c r="DK57" s="50"/>
      <c r="DL57" s="50"/>
      <c r="DM57" s="50"/>
      <c r="DN57" s="50"/>
      <c r="DO57" s="50"/>
      <c r="DP57" s="50"/>
      <c r="DQ57" s="50"/>
      <c r="DR57" s="50"/>
      <c r="DS57" s="50"/>
      <c r="DT57" s="50"/>
      <c r="DU57" s="50"/>
      <c r="DV57" s="50"/>
      <c r="DW57" s="50"/>
      <c r="DX57" s="50"/>
      <c r="DY57" s="50"/>
      <c r="DZ57" s="50"/>
      <c r="EA57" s="50"/>
      <c r="EB57" s="50"/>
      <c r="EC57" s="50"/>
      <c r="ED57" s="50"/>
      <c r="EE57" s="50"/>
      <c r="EF57" s="50"/>
      <c r="EG57" s="50"/>
      <c r="EH57" s="50"/>
      <c r="EI57" s="50"/>
      <c r="EJ57" s="50"/>
      <c r="EK57" s="50"/>
      <c r="EL57" s="50"/>
      <c r="EM57" s="50"/>
      <c r="EN57" s="50"/>
      <c r="EO57" s="50"/>
      <c r="EP57" s="50"/>
      <c r="EQ57" s="50"/>
      <c r="ER57" s="50"/>
      <c r="ES57" s="50"/>
      <c r="ET57" s="50"/>
      <c r="EU57" s="50"/>
      <c r="EV57" s="50"/>
      <c r="EW57" s="50"/>
      <c r="EX57" s="50"/>
    </row>
    <row r="58" ht="15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  <c r="CQ58" s="50"/>
      <c r="CR58" s="50"/>
      <c r="CS58" s="50"/>
      <c r="CT58" s="50"/>
      <c r="CU58" s="50"/>
      <c r="CV58" s="50"/>
      <c r="CW58" s="50"/>
      <c r="CX58" s="50"/>
      <c r="CY58" s="50"/>
      <c r="CZ58" s="50"/>
      <c r="DA58" s="50"/>
      <c r="DB58" s="50"/>
      <c r="DC58" s="50"/>
      <c r="DD58" s="50"/>
      <c r="DE58" s="50"/>
      <c r="DF58" s="50"/>
      <c r="DG58" s="50"/>
      <c r="DH58" s="50"/>
      <c r="DI58" s="50"/>
      <c r="DJ58" s="50"/>
      <c r="DK58" s="50"/>
      <c r="DL58" s="50"/>
      <c r="DM58" s="50"/>
      <c r="DN58" s="50"/>
      <c r="DO58" s="50"/>
      <c r="DP58" s="50"/>
      <c r="DQ58" s="50"/>
      <c r="DR58" s="50"/>
      <c r="DS58" s="50"/>
      <c r="DT58" s="50"/>
      <c r="DU58" s="50"/>
      <c r="DV58" s="50"/>
      <c r="DW58" s="50"/>
      <c r="DX58" s="50"/>
      <c r="DY58" s="50"/>
      <c r="DZ58" s="50"/>
      <c r="EA58" s="50"/>
      <c r="EB58" s="50"/>
      <c r="EC58" s="50"/>
      <c r="ED58" s="50"/>
      <c r="EE58" s="50"/>
      <c r="EF58" s="50"/>
      <c r="EG58" s="50"/>
      <c r="EH58" s="50"/>
      <c r="EI58" s="50"/>
      <c r="EJ58" s="50"/>
      <c r="EK58" s="50"/>
      <c r="EL58" s="50"/>
      <c r="EM58" s="50"/>
      <c r="EN58" s="50"/>
      <c r="EO58" s="50"/>
      <c r="EP58" s="50"/>
      <c r="EQ58" s="50"/>
      <c r="ER58" s="50"/>
      <c r="ES58" s="50"/>
      <c r="ET58" s="50"/>
      <c r="EU58" s="50"/>
      <c r="EV58" s="50"/>
      <c r="EW58" s="50"/>
      <c r="EX58" s="50"/>
    </row>
    <row r="59" ht="15.7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  <c r="CP59" s="50"/>
      <c r="CQ59" s="50"/>
      <c r="CR59" s="50"/>
      <c r="CS59" s="50"/>
      <c r="CT59" s="50"/>
      <c r="CU59" s="50"/>
      <c r="CV59" s="50"/>
      <c r="CW59" s="50"/>
      <c r="CX59" s="50"/>
      <c r="CY59" s="50"/>
      <c r="CZ59" s="50"/>
      <c r="DA59" s="50"/>
      <c r="DB59" s="50"/>
      <c r="DC59" s="50"/>
      <c r="DD59" s="50"/>
      <c r="DE59" s="50"/>
      <c r="DF59" s="50"/>
      <c r="DG59" s="50"/>
      <c r="DH59" s="50"/>
      <c r="DI59" s="50"/>
      <c r="DJ59" s="50"/>
      <c r="DK59" s="50"/>
      <c r="DL59" s="50"/>
      <c r="DM59" s="50"/>
      <c r="DN59" s="50"/>
      <c r="DO59" s="50"/>
      <c r="DP59" s="50"/>
      <c r="DQ59" s="50"/>
      <c r="DR59" s="50"/>
      <c r="DS59" s="50"/>
      <c r="DT59" s="50"/>
      <c r="DU59" s="50"/>
      <c r="DV59" s="50"/>
      <c r="DW59" s="50"/>
      <c r="DX59" s="50"/>
      <c r="DY59" s="50"/>
      <c r="DZ59" s="50"/>
      <c r="EA59" s="50"/>
      <c r="EB59" s="50"/>
      <c r="EC59" s="50"/>
      <c r="ED59" s="50"/>
      <c r="EE59" s="50"/>
      <c r="EF59" s="50"/>
      <c r="EG59" s="50"/>
      <c r="EH59" s="50"/>
      <c r="EI59" s="50"/>
      <c r="EJ59" s="50"/>
      <c r="EK59" s="50"/>
      <c r="EL59" s="50"/>
      <c r="EM59" s="50"/>
      <c r="EN59" s="50"/>
      <c r="EO59" s="50"/>
      <c r="EP59" s="50"/>
      <c r="EQ59" s="50"/>
      <c r="ER59" s="50"/>
      <c r="ES59" s="50"/>
      <c r="ET59" s="50"/>
      <c r="EU59" s="50"/>
      <c r="EV59" s="50"/>
      <c r="EW59" s="50"/>
      <c r="EX59" s="50"/>
    </row>
    <row r="60" ht="15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50"/>
      <c r="CY60" s="50"/>
      <c r="CZ60" s="50"/>
      <c r="DA60" s="50"/>
      <c r="DB60" s="50"/>
      <c r="DC60" s="50"/>
      <c r="DD60" s="50"/>
      <c r="DE60" s="50"/>
      <c r="DF60" s="50"/>
      <c r="DG60" s="50"/>
      <c r="DH60" s="50"/>
      <c r="DI60" s="50"/>
      <c r="DJ60" s="50"/>
      <c r="DK60" s="50"/>
      <c r="DL60" s="50"/>
      <c r="DM60" s="50"/>
      <c r="DN60" s="50"/>
      <c r="DO60" s="50"/>
      <c r="DP60" s="50"/>
      <c r="DQ60" s="50"/>
      <c r="DR60" s="50"/>
      <c r="DS60" s="50"/>
      <c r="DT60" s="50"/>
      <c r="DU60" s="50"/>
      <c r="DV60" s="50"/>
      <c r="DW60" s="50"/>
      <c r="DX60" s="50"/>
      <c r="DY60" s="50"/>
      <c r="DZ60" s="50"/>
      <c r="EA60" s="50"/>
      <c r="EB60" s="50"/>
      <c r="EC60" s="50"/>
      <c r="ED60" s="50"/>
      <c r="EE60" s="50"/>
      <c r="EF60" s="50"/>
      <c r="EG60" s="50"/>
      <c r="EH60" s="50"/>
      <c r="EI60" s="50"/>
      <c r="EJ60" s="50"/>
      <c r="EK60" s="50"/>
      <c r="EL60" s="50"/>
      <c r="EM60" s="50"/>
      <c r="EN60" s="50"/>
      <c r="EO60" s="50"/>
      <c r="EP60" s="50"/>
      <c r="EQ60" s="50"/>
      <c r="ER60" s="50"/>
      <c r="ES60" s="50"/>
      <c r="ET60" s="50"/>
      <c r="EU60" s="50"/>
      <c r="EV60" s="50"/>
      <c r="EW60" s="50"/>
      <c r="EX60" s="50"/>
    </row>
    <row r="61" ht="15.7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/>
      <c r="CY61" s="50"/>
      <c r="CZ61" s="50"/>
      <c r="DA61" s="50"/>
      <c r="DB61" s="50"/>
      <c r="DC61" s="50"/>
      <c r="DD61" s="50"/>
      <c r="DE61" s="50"/>
      <c r="DF61" s="50"/>
      <c r="DG61" s="50"/>
      <c r="DH61" s="50"/>
      <c r="DI61" s="50"/>
      <c r="DJ61" s="50"/>
      <c r="DK61" s="50"/>
      <c r="DL61" s="50"/>
      <c r="DM61" s="50"/>
      <c r="DN61" s="50"/>
      <c r="DO61" s="50"/>
      <c r="DP61" s="50"/>
      <c r="DQ61" s="50"/>
      <c r="DR61" s="50"/>
      <c r="DS61" s="50"/>
      <c r="DT61" s="50"/>
      <c r="DU61" s="50"/>
      <c r="DV61" s="50"/>
      <c r="DW61" s="50"/>
      <c r="DX61" s="50"/>
      <c r="DY61" s="50"/>
      <c r="DZ61" s="50"/>
      <c r="EA61" s="50"/>
      <c r="EB61" s="50"/>
      <c r="EC61" s="50"/>
      <c r="ED61" s="50"/>
      <c r="EE61" s="50"/>
      <c r="EF61" s="50"/>
      <c r="EG61" s="50"/>
      <c r="EH61" s="50"/>
      <c r="EI61" s="50"/>
      <c r="EJ61" s="50"/>
      <c r="EK61" s="50"/>
      <c r="EL61" s="50"/>
      <c r="EM61" s="50"/>
      <c r="EN61" s="50"/>
      <c r="EO61" s="50"/>
      <c r="EP61" s="50"/>
      <c r="EQ61" s="50"/>
      <c r="ER61" s="50"/>
      <c r="ES61" s="50"/>
      <c r="ET61" s="50"/>
      <c r="EU61" s="50"/>
      <c r="EV61" s="50"/>
      <c r="EW61" s="50"/>
      <c r="EX61" s="50"/>
    </row>
    <row r="62" ht="15.7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0"/>
      <c r="CS62" s="50"/>
      <c r="CT62" s="50"/>
      <c r="CU62" s="50"/>
      <c r="CV62" s="50"/>
      <c r="CW62" s="50"/>
      <c r="CX62" s="50"/>
      <c r="CY62" s="50"/>
      <c r="CZ62" s="50"/>
      <c r="DA62" s="50"/>
      <c r="DB62" s="50"/>
      <c r="DC62" s="50"/>
      <c r="DD62" s="50"/>
      <c r="DE62" s="50"/>
      <c r="DF62" s="50"/>
      <c r="DG62" s="50"/>
      <c r="DH62" s="50"/>
      <c r="DI62" s="50"/>
      <c r="DJ62" s="50"/>
      <c r="DK62" s="50"/>
      <c r="DL62" s="50"/>
      <c r="DM62" s="50"/>
      <c r="DN62" s="50"/>
      <c r="DO62" s="50"/>
      <c r="DP62" s="50"/>
      <c r="DQ62" s="50"/>
      <c r="DR62" s="50"/>
      <c r="DS62" s="50"/>
      <c r="DT62" s="50"/>
      <c r="DU62" s="50"/>
      <c r="DV62" s="50"/>
      <c r="DW62" s="50"/>
      <c r="DX62" s="50"/>
      <c r="DY62" s="50"/>
      <c r="DZ62" s="50"/>
      <c r="EA62" s="50"/>
      <c r="EB62" s="50"/>
      <c r="EC62" s="50"/>
      <c r="ED62" s="50"/>
      <c r="EE62" s="50"/>
      <c r="EF62" s="50"/>
      <c r="EG62" s="50"/>
      <c r="EH62" s="50"/>
      <c r="EI62" s="50"/>
      <c r="EJ62" s="50"/>
      <c r="EK62" s="50"/>
      <c r="EL62" s="50"/>
      <c r="EM62" s="50"/>
      <c r="EN62" s="50"/>
      <c r="EO62" s="50"/>
      <c r="EP62" s="50"/>
      <c r="EQ62" s="50"/>
      <c r="ER62" s="50"/>
      <c r="ES62" s="50"/>
      <c r="ET62" s="50"/>
      <c r="EU62" s="50"/>
      <c r="EV62" s="50"/>
      <c r="EW62" s="50"/>
      <c r="EX62" s="50"/>
    </row>
    <row r="63" ht="15.7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/>
      <c r="CY63" s="50"/>
      <c r="CZ63" s="50"/>
      <c r="DA63" s="50"/>
      <c r="DB63" s="50"/>
      <c r="DC63" s="50"/>
      <c r="DD63" s="50"/>
      <c r="DE63" s="50"/>
      <c r="DF63" s="50"/>
      <c r="DG63" s="50"/>
      <c r="DH63" s="50"/>
      <c r="DI63" s="50"/>
      <c r="DJ63" s="50"/>
      <c r="DK63" s="50"/>
      <c r="DL63" s="50"/>
      <c r="DM63" s="50"/>
      <c r="DN63" s="50"/>
      <c r="DO63" s="50"/>
      <c r="DP63" s="50"/>
      <c r="DQ63" s="50"/>
      <c r="DR63" s="50"/>
      <c r="DS63" s="50"/>
      <c r="DT63" s="50"/>
      <c r="DU63" s="50"/>
      <c r="DV63" s="50"/>
      <c r="DW63" s="50"/>
      <c r="DX63" s="50"/>
      <c r="DY63" s="50"/>
      <c r="DZ63" s="50"/>
      <c r="EA63" s="50"/>
      <c r="EB63" s="50"/>
      <c r="EC63" s="50"/>
      <c r="ED63" s="50"/>
      <c r="EE63" s="50"/>
      <c r="EF63" s="50"/>
      <c r="EG63" s="50"/>
      <c r="EH63" s="50"/>
      <c r="EI63" s="50"/>
      <c r="EJ63" s="50"/>
      <c r="EK63" s="50"/>
      <c r="EL63" s="50"/>
      <c r="EM63" s="50"/>
      <c r="EN63" s="50"/>
      <c r="EO63" s="50"/>
      <c r="EP63" s="50"/>
      <c r="EQ63" s="50"/>
      <c r="ER63" s="50"/>
      <c r="ES63" s="50"/>
      <c r="ET63" s="50"/>
      <c r="EU63" s="50"/>
      <c r="EV63" s="50"/>
      <c r="EW63" s="50"/>
      <c r="EX63" s="50"/>
    </row>
    <row r="64" ht="15.7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/>
      <c r="CY64" s="50"/>
      <c r="CZ64" s="50"/>
      <c r="DA64" s="50"/>
      <c r="DB64" s="50"/>
      <c r="DC64" s="50"/>
      <c r="DD64" s="50"/>
      <c r="DE64" s="50"/>
      <c r="DF64" s="50"/>
      <c r="DG64" s="50"/>
      <c r="DH64" s="50"/>
      <c r="DI64" s="50"/>
      <c r="DJ64" s="50"/>
      <c r="DK64" s="50"/>
      <c r="DL64" s="50"/>
      <c r="DM64" s="50"/>
      <c r="DN64" s="50"/>
      <c r="DO64" s="50"/>
      <c r="DP64" s="50"/>
      <c r="DQ64" s="50"/>
      <c r="DR64" s="50"/>
      <c r="DS64" s="50"/>
      <c r="DT64" s="50"/>
      <c r="DU64" s="50"/>
      <c r="DV64" s="50"/>
      <c r="DW64" s="50"/>
      <c r="DX64" s="50"/>
      <c r="DY64" s="50"/>
      <c r="DZ64" s="50"/>
      <c r="EA64" s="50"/>
      <c r="EB64" s="50"/>
      <c r="EC64" s="50"/>
      <c r="ED64" s="50"/>
      <c r="EE64" s="50"/>
      <c r="EF64" s="50"/>
      <c r="EG64" s="50"/>
      <c r="EH64" s="50"/>
      <c r="EI64" s="50"/>
      <c r="EJ64" s="50"/>
      <c r="EK64" s="50"/>
      <c r="EL64" s="50"/>
      <c r="EM64" s="50"/>
      <c r="EN64" s="50"/>
      <c r="EO64" s="50"/>
      <c r="EP64" s="50"/>
      <c r="EQ64" s="50"/>
      <c r="ER64" s="50"/>
      <c r="ES64" s="50"/>
      <c r="ET64" s="50"/>
      <c r="EU64" s="50"/>
      <c r="EV64" s="50"/>
      <c r="EW64" s="50"/>
      <c r="EX64" s="50"/>
    </row>
    <row r="65" ht="15.7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  <c r="DA65" s="50"/>
      <c r="DB65" s="50"/>
      <c r="DC65" s="50"/>
      <c r="DD65" s="50"/>
      <c r="DE65" s="50"/>
      <c r="DF65" s="50"/>
      <c r="DG65" s="50"/>
      <c r="DH65" s="50"/>
      <c r="DI65" s="50"/>
      <c r="DJ65" s="50"/>
      <c r="DK65" s="50"/>
      <c r="DL65" s="50"/>
      <c r="DM65" s="50"/>
      <c r="DN65" s="50"/>
      <c r="DO65" s="50"/>
      <c r="DP65" s="50"/>
      <c r="DQ65" s="50"/>
      <c r="DR65" s="50"/>
      <c r="DS65" s="50"/>
      <c r="DT65" s="50"/>
      <c r="DU65" s="50"/>
      <c r="DV65" s="50"/>
      <c r="DW65" s="50"/>
      <c r="DX65" s="50"/>
      <c r="DY65" s="50"/>
      <c r="DZ65" s="50"/>
      <c r="EA65" s="50"/>
      <c r="EB65" s="50"/>
      <c r="EC65" s="50"/>
      <c r="ED65" s="50"/>
      <c r="EE65" s="50"/>
      <c r="EF65" s="50"/>
      <c r="EG65" s="50"/>
      <c r="EH65" s="50"/>
      <c r="EI65" s="50"/>
      <c r="EJ65" s="50"/>
      <c r="EK65" s="50"/>
      <c r="EL65" s="50"/>
      <c r="EM65" s="50"/>
      <c r="EN65" s="50"/>
      <c r="EO65" s="50"/>
      <c r="EP65" s="50"/>
      <c r="EQ65" s="50"/>
      <c r="ER65" s="50"/>
      <c r="ES65" s="50"/>
      <c r="ET65" s="50"/>
      <c r="EU65" s="50"/>
      <c r="EV65" s="50"/>
      <c r="EW65" s="50"/>
      <c r="EX65" s="50"/>
    </row>
    <row r="66" ht="15.7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  <c r="DA66" s="50"/>
      <c r="DB66" s="50"/>
      <c r="DC66" s="50"/>
      <c r="DD66" s="50"/>
      <c r="DE66" s="50"/>
      <c r="DF66" s="50"/>
      <c r="DG66" s="50"/>
      <c r="DH66" s="50"/>
      <c r="DI66" s="50"/>
      <c r="DJ66" s="50"/>
      <c r="DK66" s="50"/>
      <c r="DL66" s="50"/>
      <c r="DM66" s="50"/>
      <c r="DN66" s="50"/>
      <c r="DO66" s="50"/>
      <c r="DP66" s="50"/>
      <c r="DQ66" s="50"/>
      <c r="DR66" s="50"/>
      <c r="DS66" s="50"/>
      <c r="DT66" s="50"/>
      <c r="DU66" s="50"/>
      <c r="DV66" s="50"/>
      <c r="DW66" s="50"/>
      <c r="DX66" s="50"/>
      <c r="DY66" s="50"/>
      <c r="DZ66" s="50"/>
      <c r="EA66" s="50"/>
      <c r="EB66" s="50"/>
      <c r="EC66" s="50"/>
      <c r="ED66" s="50"/>
      <c r="EE66" s="50"/>
      <c r="EF66" s="50"/>
      <c r="EG66" s="50"/>
      <c r="EH66" s="50"/>
      <c r="EI66" s="50"/>
      <c r="EJ66" s="50"/>
      <c r="EK66" s="50"/>
      <c r="EL66" s="50"/>
      <c r="EM66" s="50"/>
      <c r="EN66" s="50"/>
      <c r="EO66" s="50"/>
      <c r="EP66" s="50"/>
      <c r="EQ66" s="50"/>
      <c r="ER66" s="50"/>
      <c r="ES66" s="50"/>
      <c r="ET66" s="50"/>
      <c r="EU66" s="50"/>
      <c r="EV66" s="50"/>
      <c r="EW66" s="50"/>
      <c r="EX66" s="50"/>
    </row>
    <row r="67" ht="15.7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/>
      <c r="CY67" s="50"/>
      <c r="CZ67" s="50"/>
      <c r="DA67" s="50"/>
      <c r="DB67" s="50"/>
      <c r="DC67" s="50"/>
      <c r="DD67" s="50"/>
      <c r="DE67" s="50"/>
      <c r="DF67" s="50"/>
      <c r="DG67" s="50"/>
      <c r="DH67" s="50"/>
      <c r="DI67" s="50"/>
      <c r="DJ67" s="50"/>
      <c r="DK67" s="50"/>
      <c r="DL67" s="50"/>
      <c r="DM67" s="50"/>
      <c r="DN67" s="50"/>
      <c r="DO67" s="50"/>
      <c r="DP67" s="50"/>
      <c r="DQ67" s="50"/>
      <c r="DR67" s="50"/>
      <c r="DS67" s="50"/>
      <c r="DT67" s="50"/>
      <c r="DU67" s="50"/>
      <c r="DV67" s="50"/>
      <c r="DW67" s="50"/>
      <c r="DX67" s="50"/>
      <c r="DY67" s="50"/>
      <c r="DZ67" s="50"/>
      <c r="EA67" s="50"/>
      <c r="EB67" s="50"/>
      <c r="EC67" s="50"/>
      <c r="ED67" s="50"/>
      <c r="EE67" s="50"/>
      <c r="EF67" s="50"/>
      <c r="EG67" s="50"/>
      <c r="EH67" s="50"/>
      <c r="EI67" s="50"/>
      <c r="EJ67" s="50"/>
      <c r="EK67" s="50"/>
      <c r="EL67" s="50"/>
      <c r="EM67" s="50"/>
      <c r="EN67" s="50"/>
      <c r="EO67" s="50"/>
      <c r="EP67" s="50"/>
      <c r="EQ67" s="50"/>
      <c r="ER67" s="50"/>
      <c r="ES67" s="50"/>
      <c r="ET67" s="50"/>
      <c r="EU67" s="50"/>
      <c r="EV67" s="50"/>
      <c r="EW67" s="50"/>
      <c r="EX67" s="50"/>
    </row>
    <row r="68" ht="15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/>
      <c r="CY68" s="50"/>
      <c r="CZ68" s="50"/>
      <c r="DA68" s="50"/>
      <c r="DB68" s="50"/>
      <c r="DC68" s="50"/>
      <c r="DD68" s="50"/>
      <c r="DE68" s="50"/>
      <c r="DF68" s="50"/>
      <c r="DG68" s="50"/>
      <c r="DH68" s="50"/>
      <c r="DI68" s="50"/>
      <c r="DJ68" s="50"/>
      <c r="DK68" s="50"/>
      <c r="DL68" s="50"/>
      <c r="DM68" s="50"/>
      <c r="DN68" s="50"/>
      <c r="DO68" s="50"/>
      <c r="DP68" s="50"/>
      <c r="DQ68" s="50"/>
      <c r="DR68" s="50"/>
      <c r="DS68" s="50"/>
      <c r="DT68" s="50"/>
      <c r="DU68" s="50"/>
      <c r="DV68" s="50"/>
      <c r="DW68" s="50"/>
      <c r="DX68" s="50"/>
      <c r="DY68" s="50"/>
      <c r="DZ68" s="50"/>
      <c r="EA68" s="50"/>
      <c r="EB68" s="50"/>
      <c r="EC68" s="50"/>
      <c r="ED68" s="50"/>
      <c r="EE68" s="50"/>
      <c r="EF68" s="50"/>
      <c r="EG68" s="50"/>
      <c r="EH68" s="50"/>
      <c r="EI68" s="50"/>
      <c r="EJ68" s="50"/>
      <c r="EK68" s="50"/>
      <c r="EL68" s="50"/>
      <c r="EM68" s="50"/>
      <c r="EN68" s="50"/>
      <c r="EO68" s="50"/>
      <c r="EP68" s="50"/>
      <c r="EQ68" s="50"/>
      <c r="ER68" s="50"/>
      <c r="ES68" s="50"/>
      <c r="ET68" s="50"/>
      <c r="EU68" s="50"/>
      <c r="EV68" s="50"/>
      <c r="EW68" s="50"/>
      <c r="EX68" s="50"/>
    </row>
    <row r="69" ht="15.7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50"/>
      <c r="CR69" s="50"/>
      <c r="CS69" s="50"/>
      <c r="CT69" s="50"/>
      <c r="CU69" s="50"/>
      <c r="CV69" s="50"/>
      <c r="CW69" s="50"/>
      <c r="CX69" s="50"/>
      <c r="CY69" s="50"/>
      <c r="CZ69" s="50"/>
      <c r="DA69" s="50"/>
      <c r="DB69" s="50"/>
      <c r="DC69" s="50"/>
      <c r="DD69" s="50"/>
      <c r="DE69" s="50"/>
      <c r="DF69" s="50"/>
      <c r="DG69" s="50"/>
      <c r="DH69" s="50"/>
      <c r="DI69" s="50"/>
      <c r="DJ69" s="50"/>
      <c r="DK69" s="50"/>
      <c r="DL69" s="50"/>
      <c r="DM69" s="50"/>
      <c r="DN69" s="50"/>
      <c r="DO69" s="50"/>
      <c r="DP69" s="50"/>
      <c r="DQ69" s="50"/>
      <c r="DR69" s="50"/>
      <c r="DS69" s="50"/>
      <c r="DT69" s="50"/>
      <c r="DU69" s="50"/>
      <c r="DV69" s="50"/>
      <c r="DW69" s="50"/>
      <c r="DX69" s="50"/>
      <c r="DY69" s="50"/>
      <c r="DZ69" s="50"/>
      <c r="EA69" s="50"/>
      <c r="EB69" s="50"/>
      <c r="EC69" s="50"/>
      <c r="ED69" s="50"/>
      <c r="EE69" s="50"/>
      <c r="EF69" s="50"/>
      <c r="EG69" s="50"/>
      <c r="EH69" s="50"/>
      <c r="EI69" s="50"/>
      <c r="EJ69" s="50"/>
      <c r="EK69" s="50"/>
      <c r="EL69" s="50"/>
      <c r="EM69" s="50"/>
      <c r="EN69" s="50"/>
      <c r="EO69" s="50"/>
      <c r="EP69" s="50"/>
      <c r="EQ69" s="50"/>
      <c r="ER69" s="50"/>
      <c r="ES69" s="50"/>
      <c r="ET69" s="50"/>
      <c r="EU69" s="50"/>
      <c r="EV69" s="50"/>
      <c r="EW69" s="50"/>
      <c r="EX69" s="50"/>
    </row>
    <row r="70" ht="15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  <c r="CP70" s="50"/>
      <c r="CQ70" s="50"/>
      <c r="CR70" s="50"/>
      <c r="CS70" s="50"/>
      <c r="CT70" s="50"/>
      <c r="CU70" s="50"/>
      <c r="CV70" s="50"/>
      <c r="CW70" s="50"/>
      <c r="CX70" s="50"/>
      <c r="CY70" s="50"/>
      <c r="CZ70" s="50"/>
      <c r="DA70" s="50"/>
      <c r="DB70" s="50"/>
      <c r="DC70" s="50"/>
      <c r="DD70" s="50"/>
      <c r="DE70" s="50"/>
      <c r="DF70" s="50"/>
      <c r="DG70" s="50"/>
      <c r="DH70" s="50"/>
      <c r="DI70" s="50"/>
      <c r="DJ70" s="50"/>
      <c r="DK70" s="50"/>
      <c r="DL70" s="50"/>
      <c r="DM70" s="50"/>
      <c r="DN70" s="50"/>
      <c r="DO70" s="50"/>
      <c r="DP70" s="50"/>
      <c r="DQ70" s="50"/>
      <c r="DR70" s="50"/>
      <c r="DS70" s="50"/>
      <c r="DT70" s="50"/>
      <c r="DU70" s="50"/>
      <c r="DV70" s="50"/>
      <c r="DW70" s="50"/>
      <c r="DX70" s="50"/>
      <c r="DY70" s="50"/>
      <c r="DZ70" s="50"/>
      <c r="EA70" s="50"/>
      <c r="EB70" s="50"/>
      <c r="EC70" s="50"/>
      <c r="ED70" s="50"/>
      <c r="EE70" s="50"/>
      <c r="EF70" s="50"/>
      <c r="EG70" s="50"/>
      <c r="EH70" s="50"/>
      <c r="EI70" s="50"/>
      <c r="EJ70" s="50"/>
      <c r="EK70" s="50"/>
      <c r="EL70" s="50"/>
      <c r="EM70" s="50"/>
      <c r="EN70" s="50"/>
      <c r="EO70" s="50"/>
      <c r="EP70" s="50"/>
      <c r="EQ70" s="50"/>
      <c r="ER70" s="50"/>
      <c r="ES70" s="50"/>
      <c r="ET70" s="50"/>
      <c r="EU70" s="50"/>
      <c r="EV70" s="50"/>
      <c r="EW70" s="50"/>
      <c r="EX70" s="50"/>
    </row>
    <row r="71" ht="15.7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  <c r="BS71" s="50"/>
      <c r="BT71" s="50"/>
      <c r="BU71" s="50"/>
      <c r="BV71" s="50"/>
      <c r="BW71" s="50"/>
      <c r="BX71" s="50"/>
      <c r="BY71" s="50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  <c r="CP71" s="50"/>
      <c r="CQ71" s="50"/>
      <c r="CR71" s="50"/>
      <c r="CS71" s="50"/>
      <c r="CT71" s="50"/>
      <c r="CU71" s="50"/>
      <c r="CV71" s="50"/>
      <c r="CW71" s="50"/>
      <c r="CX71" s="50"/>
      <c r="CY71" s="50"/>
      <c r="CZ71" s="50"/>
      <c r="DA71" s="50"/>
      <c r="DB71" s="50"/>
      <c r="DC71" s="50"/>
      <c r="DD71" s="50"/>
      <c r="DE71" s="50"/>
      <c r="DF71" s="50"/>
      <c r="DG71" s="50"/>
      <c r="DH71" s="50"/>
      <c r="DI71" s="50"/>
      <c r="DJ71" s="50"/>
      <c r="DK71" s="50"/>
      <c r="DL71" s="50"/>
      <c r="DM71" s="50"/>
      <c r="DN71" s="50"/>
      <c r="DO71" s="50"/>
      <c r="DP71" s="50"/>
      <c r="DQ71" s="50"/>
      <c r="DR71" s="50"/>
      <c r="DS71" s="50"/>
      <c r="DT71" s="50"/>
      <c r="DU71" s="50"/>
      <c r="DV71" s="50"/>
      <c r="DW71" s="50"/>
      <c r="DX71" s="50"/>
      <c r="DY71" s="50"/>
      <c r="DZ71" s="50"/>
      <c r="EA71" s="50"/>
      <c r="EB71" s="50"/>
      <c r="EC71" s="50"/>
      <c r="ED71" s="50"/>
      <c r="EE71" s="50"/>
      <c r="EF71" s="50"/>
      <c r="EG71" s="50"/>
      <c r="EH71" s="50"/>
      <c r="EI71" s="50"/>
      <c r="EJ71" s="50"/>
      <c r="EK71" s="50"/>
      <c r="EL71" s="50"/>
      <c r="EM71" s="50"/>
      <c r="EN71" s="50"/>
      <c r="EO71" s="50"/>
      <c r="EP71" s="50"/>
      <c r="EQ71" s="50"/>
      <c r="ER71" s="50"/>
      <c r="ES71" s="50"/>
      <c r="ET71" s="50"/>
      <c r="EU71" s="50"/>
      <c r="EV71" s="50"/>
      <c r="EW71" s="50"/>
      <c r="EX71" s="50"/>
    </row>
    <row r="72" ht="15.7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  <c r="BS72" s="50"/>
      <c r="BT72" s="50"/>
      <c r="BU72" s="50"/>
      <c r="BV72" s="50"/>
      <c r="BW72" s="50"/>
      <c r="BX72" s="50"/>
      <c r="BY72" s="50"/>
      <c r="BZ72" s="50"/>
      <c r="CA72" s="50"/>
      <c r="CB72" s="50"/>
      <c r="CC72" s="50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  <c r="CP72" s="50"/>
      <c r="CQ72" s="50"/>
      <c r="CR72" s="50"/>
      <c r="CS72" s="50"/>
      <c r="CT72" s="50"/>
      <c r="CU72" s="50"/>
      <c r="CV72" s="50"/>
      <c r="CW72" s="50"/>
      <c r="CX72" s="50"/>
      <c r="CY72" s="50"/>
      <c r="CZ72" s="50"/>
      <c r="DA72" s="50"/>
      <c r="DB72" s="50"/>
      <c r="DC72" s="50"/>
      <c r="DD72" s="50"/>
      <c r="DE72" s="50"/>
      <c r="DF72" s="50"/>
      <c r="DG72" s="50"/>
      <c r="DH72" s="50"/>
      <c r="DI72" s="50"/>
      <c r="DJ72" s="50"/>
      <c r="DK72" s="50"/>
      <c r="DL72" s="50"/>
      <c r="DM72" s="50"/>
      <c r="DN72" s="50"/>
      <c r="DO72" s="50"/>
      <c r="DP72" s="50"/>
      <c r="DQ72" s="50"/>
      <c r="DR72" s="50"/>
      <c r="DS72" s="50"/>
      <c r="DT72" s="50"/>
      <c r="DU72" s="50"/>
      <c r="DV72" s="50"/>
      <c r="DW72" s="50"/>
      <c r="DX72" s="50"/>
      <c r="DY72" s="50"/>
      <c r="DZ72" s="50"/>
      <c r="EA72" s="50"/>
      <c r="EB72" s="50"/>
      <c r="EC72" s="50"/>
      <c r="ED72" s="50"/>
      <c r="EE72" s="50"/>
      <c r="EF72" s="50"/>
      <c r="EG72" s="50"/>
      <c r="EH72" s="50"/>
      <c r="EI72" s="50"/>
      <c r="EJ72" s="50"/>
      <c r="EK72" s="50"/>
      <c r="EL72" s="50"/>
      <c r="EM72" s="50"/>
      <c r="EN72" s="50"/>
      <c r="EO72" s="50"/>
      <c r="EP72" s="50"/>
      <c r="EQ72" s="50"/>
      <c r="ER72" s="50"/>
      <c r="ES72" s="50"/>
      <c r="ET72" s="50"/>
      <c r="EU72" s="50"/>
      <c r="EV72" s="50"/>
      <c r="EW72" s="50"/>
      <c r="EX72" s="50"/>
    </row>
    <row r="73" ht="15.7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  <c r="CP73" s="50"/>
      <c r="CQ73" s="50"/>
      <c r="CR73" s="50"/>
      <c r="CS73" s="50"/>
      <c r="CT73" s="50"/>
      <c r="CU73" s="50"/>
      <c r="CV73" s="50"/>
      <c r="CW73" s="50"/>
      <c r="CX73" s="50"/>
      <c r="CY73" s="50"/>
      <c r="CZ73" s="50"/>
      <c r="DA73" s="50"/>
      <c r="DB73" s="50"/>
      <c r="DC73" s="50"/>
      <c r="DD73" s="50"/>
      <c r="DE73" s="50"/>
      <c r="DF73" s="50"/>
      <c r="DG73" s="50"/>
      <c r="DH73" s="50"/>
      <c r="DI73" s="50"/>
      <c r="DJ73" s="50"/>
      <c r="DK73" s="50"/>
      <c r="DL73" s="50"/>
      <c r="DM73" s="50"/>
      <c r="DN73" s="50"/>
      <c r="DO73" s="50"/>
      <c r="DP73" s="50"/>
      <c r="DQ73" s="50"/>
      <c r="DR73" s="50"/>
      <c r="DS73" s="50"/>
      <c r="DT73" s="50"/>
      <c r="DU73" s="50"/>
      <c r="DV73" s="50"/>
      <c r="DW73" s="50"/>
      <c r="DX73" s="50"/>
      <c r="DY73" s="50"/>
      <c r="DZ73" s="50"/>
      <c r="EA73" s="50"/>
      <c r="EB73" s="50"/>
      <c r="EC73" s="50"/>
      <c r="ED73" s="50"/>
      <c r="EE73" s="50"/>
      <c r="EF73" s="50"/>
      <c r="EG73" s="50"/>
      <c r="EH73" s="50"/>
      <c r="EI73" s="50"/>
      <c r="EJ73" s="50"/>
      <c r="EK73" s="50"/>
      <c r="EL73" s="50"/>
      <c r="EM73" s="50"/>
      <c r="EN73" s="50"/>
      <c r="EO73" s="50"/>
      <c r="EP73" s="50"/>
      <c r="EQ73" s="50"/>
      <c r="ER73" s="50"/>
      <c r="ES73" s="50"/>
      <c r="ET73" s="50"/>
      <c r="EU73" s="50"/>
      <c r="EV73" s="50"/>
      <c r="EW73" s="50"/>
      <c r="EX73" s="50"/>
    </row>
    <row r="74" ht="15.7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  <c r="DC74" s="50"/>
      <c r="DD74" s="50"/>
      <c r="DE74" s="50"/>
      <c r="DF74" s="50"/>
      <c r="DG74" s="50"/>
      <c r="DH74" s="50"/>
      <c r="DI74" s="50"/>
      <c r="DJ74" s="50"/>
      <c r="DK74" s="50"/>
      <c r="DL74" s="50"/>
      <c r="DM74" s="50"/>
      <c r="DN74" s="50"/>
      <c r="DO74" s="50"/>
      <c r="DP74" s="50"/>
      <c r="DQ74" s="50"/>
      <c r="DR74" s="50"/>
      <c r="DS74" s="50"/>
      <c r="DT74" s="50"/>
      <c r="DU74" s="50"/>
      <c r="DV74" s="50"/>
      <c r="DW74" s="50"/>
      <c r="DX74" s="50"/>
      <c r="DY74" s="50"/>
      <c r="DZ74" s="50"/>
      <c r="EA74" s="50"/>
      <c r="EB74" s="50"/>
      <c r="EC74" s="50"/>
      <c r="ED74" s="50"/>
      <c r="EE74" s="50"/>
      <c r="EF74" s="50"/>
      <c r="EG74" s="50"/>
      <c r="EH74" s="50"/>
      <c r="EI74" s="50"/>
      <c r="EJ74" s="50"/>
      <c r="EK74" s="50"/>
      <c r="EL74" s="50"/>
      <c r="EM74" s="50"/>
      <c r="EN74" s="50"/>
      <c r="EO74" s="50"/>
      <c r="EP74" s="50"/>
      <c r="EQ74" s="50"/>
      <c r="ER74" s="50"/>
      <c r="ES74" s="50"/>
      <c r="ET74" s="50"/>
      <c r="EU74" s="50"/>
      <c r="EV74" s="50"/>
      <c r="EW74" s="50"/>
      <c r="EX74" s="50"/>
    </row>
    <row r="75" ht="15.7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  <c r="CP75" s="50"/>
      <c r="CQ75" s="50"/>
      <c r="CR75" s="50"/>
      <c r="CS75" s="50"/>
      <c r="CT75" s="50"/>
      <c r="CU75" s="50"/>
      <c r="CV75" s="50"/>
      <c r="CW75" s="50"/>
      <c r="CX75" s="50"/>
      <c r="CY75" s="50"/>
      <c r="CZ75" s="50"/>
      <c r="DA75" s="50"/>
      <c r="DB75" s="50"/>
      <c r="DC75" s="50"/>
      <c r="DD75" s="50"/>
      <c r="DE75" s="50"/>
      <c r="DF75" s="50"/>
      <c r="DG75" s="50"/>
      <c r="DH75" s="50"/>
      <c r="DI75" s="50"/>
      <c r="DJ75" s="50"/>
      <c r="DK75" s="50"/>
      <c r="DL75" s="50"/>
      <c r="DM75" s="50"/>
      <c r="DN75" s="50"/>
      <c r="DO75" s="50"/>
      <c r="DP75" s="50"/>
      <c r="DQ75" s="50"/>
      <c r="DR75" s="50"/>
      <c r="DS75" s="50"/>
      <c r="DT75" s="50"/>
      <c r="DU75" s="50"/>
      <c r="DV75" s="50"/>
      <c r="DW75" s="50"/>
      <c r="DX75" s="50"/>
      <c r="DY75" s="50"/>
      <c r="DZ75" s="50"/>
      <c r="EA75" s="50"/>
      <c r="EB75" s="50"/>
      <c r="EC75" s="50"/>
      <c r="ED75" s="50"/>
      <c r="EE75" s="50"/>
      <c r="EF75" s="50"/>
      <c r="EG75" s="50"/>
      <c r="EH75" s="50"/>
      <c r="EI75" s="50"/>
      <c r="EJ75" s="50"/>
      <c r="EK75" s="50"/>
      <c r="EL75" s="50"/>
      <c r="EM75" s="50"/>
      <c r="EN75" s="50"/>
      <c r="EO75" s="50"/>
      <c r="EP75" s="50"/>
      <c r="EQ75" s="50"/>
      <c r="ER75" s="50"/>
      <c r="ES75" s="50"/>
      <c r="ET75" s="50"/>
      <c r="EU75" s="50"/>
      <c r="EV75" s="50"/>
      <c r="EW75" s="50"/>
      <c r="EX75" s="50"/>
    </row>
    <row r="76" ht="15.7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  <c r="DC76" s="50"/>
      <c r="DD76" s="50"/>
      <c r="DE76" s="50"/>
      <c r="DF76" s="50"/>
      <c r="DG76" s="50"/>
      <c r="DH76" s="50"/>
      <c r="DI76" s="50"/>
      <c r="DJ76" s="50"/>
      <c r="DK76" s="50"/>
      <c r="DL76" s="50"/>
      <c r="DM76" s="50"/>
      <c r="DN76" s="50"/>
      <c r="DO76" s="50"/>
      <c r="DP76" s="50"/>
      <c r="DQ76" s="50"/>
      <c r="DR76" s="50"/>
      <c r="DS76" s="50"/>
      <c r="DT76" s="50"/>
      <c r="DU76" s="50"/>
      <c r="DV76" s="50"/>
      <c r="DW76" s="50"/>
      <c r="DX76" s="50"/>
      <c r="DY76" s="50"/>
      <c r="DZ76" s="50"/>
      <c r="EA76" s="50"/>
      <c r="EB76" s="50"/>
      <c r="EC76" s="50"/>
      <c r="ED76" s="50"/>
      <c r="EE76" s="50"/>
      <c r="EF76" s="50"/>
      <c r="EG76" s="50"/>
      <c r="EH76" s="50"/>
      <c r="EI76" s="50"/>
      <c r="EJ76" s="50"/>
      <c r="EK76" s="50"/>
      <c r="EL76" s="50"/>
      <c r="EM76" s="50"/>
      <c r="EN76" s="50"/>
      <c r="EO76" s="50"/>
      <c r="EP76" s="50"/>
      <c r="EQ76" s="50"/>
      <c r="ER76" s="50"/>
      <c r="ES76" s="50"/>
      <c r="ET76" s="50"/>
      <c r="EU76" s="50"/>
      <c r="EV76" s="50"/>
      <c r="EW76" s="50"/>
      <c r="EX76" s="50"/>
    </row>
    <row r="77" ht="15.7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  <c r="DC77" s="50"/>
      <c r="DD77" s="50"/>
      <c r="DE77" s="50"/>
      <c r="DF77" s="50"/>
      <c r="DG77" s="50"/>
      <c r="DH77" s="50"/>
      <c r="DI77" s="50"/>
      <c r="DJ77" s="50"/>
      <c r="DK77" s="50"/>
      <c r="DL77" s="50"/>
      <c r="DM77" s="50"/>
      <c r="DN77" s="50"/>
      <c r="DO77" s="50"/>
      <c r="DP77" s="50"/>
      <c r="DQ77" s="50"/>
      <c r="DR77" s="50"/>
      <c r="DS77" s="50"/>
      <c r="DT77" s="50"/>
      <c r="DU77" s="50"/>
      <c r="DV77" s="50"/>
      <c r="DW77" s="50"/>
      <c r="DX77" s="50"/>
      <c r="DY77" s="50"/>
      <c r="DZ77" s="50"/>
      <c r="EA77" s="50"/>
      <c r="EB77" s="50"/>
      <c r="EC77" s="50"/>
      <c r="ED77" s="50"/>
      <c r="EE77" s="50"/>
      <c r="EF77" s="50"/>
      <c r="EG77" s="50"/>
      <c r="EH77" s="50"/>
      <c r="EI77" s="50"/>
      <c r="EJ77" s="50"/>
      <c r="EK77" s="50"/>
      <c r="EL77" s="50"/>
      <c r="EM77" s="50"/>
      <c r="EN77" s="50"/>
      <c r="EO77" s="50"/>
      <c r="EP77" s="50"/>
      <c r="EQ77" s="50"/>
      <c r="ER77" s="50"/>
      <c r="ES77" s="50"/>
      <c r="ET77" s="50"/>
      <c r="EU77" s="50"/>
      <c r="EV77" s="50"/>
      <c r="EW77" s="50"/>
      <c r="EX77" s="50"/>
    </row>
    <row r="78" ht="15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50"/>
      <c r="DB78" s="50"/>
      <c r="DC78" s="50"/>
      <c r="DD78" s="50"/>
      <c r="DE78" s="50"/>
      <c r="DF78" s="50"/>
      <c r="DG78" s="50"/>
      <c r="DH78" s="50"/>
      <c r="DI78" s="50"/>
      <c r="DJ78" s="50"/>
      <c r="DK78" s="50"/>
      <c r="DL78" s="50"/>
      <c r="DM78" s="50"/>
      <c r="DN78" s="50"/>
      <c r="DO78" s="50"/>
      <c r="DP78" s="50"/>
      <c r="DQ78" s="50"/>
      <c r="DR78" s="50"/>
      <c r="DS78" s="50"/>
      <c r="DT78" s="50"/>
      <c r="DU78" s="50"/>
      <c r="DV78" s="50"/>
      <c r="DW78" s="50"/>
      <c r="DX78" s="50"/>
      <c r="DY78" s="50"/>
      <c r="DZ78" s="50"/>
      <c r="EA78" s="50"/>
      <c r="EB78" s="50"/>
      <c r="EC78" s="50"/>
      <c r="ED78" s="50"/>
      <c r="EE78" s="50"/>
      <c r="EF78" s="50"/>
      <c r="EG78" s="50"/>
      <c r="EH78" s="50"/>
      <c r="EI78" s="50"/>
      <c r="EJ78" s="50"/>
      <c r="EK78" s="50"/>
      <c r="EL78" s="50"/>
      <c r="EM78" s="50"/>
      <c r="EN78" s="50"/>
      <c r="EO78" s="50"/>
      <c r="EP78" s="50"/>
      <c r="EQ78" s="50"/>
      <c r="ER78" s="50"/>
      <c r="ES78" s="50"/>
      <c r="ET78" s="50"/>
      <c r="EU78" s="50"/>
      <c r="EV78" s="50"/>
      <c r="EW78" s="50"/>
      <c r="EX78" s="50"/>
    </row>
    <row r="79" ht="15.7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  <c r="DD79" s="50"/>
      <c r="DE79" s="50"/>
      <c r="DF79" s="50"/>
      <c r="DG79" s="50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/>
      <c r="DS79" s="50"/>
      <c r="DT79" s="50"/>
      <c r="DU79" s="50"/>
      <c r="DV79" s="50"/>
      <c r="DW79" s="50"/>
      <c r="DX79" s="50"/>
      <c r="DY79" s="50"/>
      <c r="DZ79" s="50"/>
      <c r="EA79" s="50"/>
      <c r="EB79" s="50"/>
      <c r="EC79" s="50"/>
      <c r="ED79" s="50"/>
      <c r="EE79" s="50"/>
      <c r="EF79" s="50"/>
      <c r="EG79" s="50"/>
      <c r="EH79" s="50"/>
      <c r="EI79" s="50"/>
      <c r="EJ79" s="50"/>
      <c r="EK79" s="50"/>
      <c r="EL79" s="50"/>
      <c r="EM79" s="50"/>
      <c r="EN79" s="50"/>
      <c r="EO79" s="50"/>
      <c r="EP79" s="50"/>
      <c r="EQ79" s="50"/>
      <c r="ER79" s="50"/>
      <c r="ES79" s="50"/>
      <c r="ET79" s="50"/>
      <c r="EU79" s="50"/>
      <c r="EV79" s="50"/>
      <c r="EW79" s="50"/>
      <c r="EX79" s="50"/>
    </row>
    <row r="80" ht="15.7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/>
      <c r="CZ80" s="50"/>
      <c r="DA80" s="50"/>
      <c r="DB80" s="50"/>
      <c r="DC80" s="50"/>
      <c r="DD80" s="50"/>
      <c r="DE80" s="50"/>
      <c r="DF80" s="50"/>
      <c r="DG80" s="50"/>
      <c r="DH80" s="50"/>
      <c r="DI80" s="50"/>
      <c r="DJ80" s="50"/>
      <c r="DK80" s="50"/>
      <c r="DL80" s="50"/>
      <c r="DM80" s="50"/>
      <c r="DN80" s="50"/>
      <c r="DO80" s="50"/>
      <c r="DP80" s="50"/>
      <c r="DQ80" s="50"/>
      <c r="DR80" s="50"/>
      <c r="DS80" s="50"/>
      <c r="DT80" s="50"/>
      <c r="DU80" s="50"/>
      <c r="DV80" s="50"/>
      <c r="DW80" s="50"/>
      <c r="DX80" s="50"/>
      <c r="DY80" s="50"/>
      <c r="DZ80" s="50"/>
      <c r="EA80" s="50"/>
      <c r="EB80" s="50"/>
      <c r="EC80" s="50"/>
      <c r="ED80" s="50"/>
      <c r="EE80" s="50"/>
      <c r="EF80" s="50"/>
      <c r="EG80" s="50"/>
      <c r="EH80" s="50"/>
      <c r="EI80" s="50"/>
      <c r="EJ80" s="50"/>
      <c r="EK80" s="50"/>
      <c r="EL80" s="50"/>
      <c r="EM80" s="50"/>
      <c r="EN80" s="50"/>
      <c r="EO80" s="50"/>
      <c r="EP80" s="50"/>
      <c r="EQ80" s="50"/>
      <c r="ER80" s="50"/>
      <c r="ES80" s="50"/>
      <c r="ET80" s="50"/>
      <c r="EU80" s="50"/>
      <c r="EV80" s="50"/>
      <c r="EW80" s="50"/>
      <c r="EX80" s="50"/>
    </row>
    <row r="81" ht="15.7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  <c r="CP81" s="50"/>
      <c r="CQ81" s="50"/>
      <c r="CR81" s="50"/>
      <c r="CS81" s="50"/>
      <c r="CT81" s="50"/>
      <c r="CU81" s="50"/>
      <c r="CV81" s="50"/>
      <c r="CW81" s="50"/>
      <c r="CX81" s="50"/>
      <c r="CY81" s="50"/>
      <c r="CZ81" s="50"/>
      <c r="DA81" s="50"/>
      <c r="DB81" s="50"/>
      <c r="DC81" s="50"/>
      <c r="DD81" s="50"/>
      <c r="DE81" s="50"/>
      <c r="DF81" s="50"/>
      <c r="DG81" s="50"/>
      <c r="DH81" s="50"/>
      <c r="DI81" s="50"/>
      <c r="DJ81" s="50"/>
      <c r="DK81" s="50"/>
      <c r="DL81" s="50"/>
      <c r="DM81" s="50"/>
      <c r="DN81" s="50"/>
      <c r="DO81" s="50"/>
      <c r="DP81" s="50"/>
      <c r="DQ81" s="50"/>
      <c r="DR81" s="50"/>
      <c r="DS81" s="50"/>
      <c r="DT81" s="50"/>
      <c r="DU81" s="50"/>
      <c r="DV81" s="50"/>
      <c r="DW81" s="50"/>
      <c r="DX81" s="50"/>
      <c r="DY81" s="50"/>
      <c r="DZ81" s="50"/>
      <c r="EA81" s="50"/>
      <c r="EB81" s="50"/>
      <c r="EC81" s="50"/>
      <c r="ED81" s="50"/>
      <c r="EE81" s="50"/>
      <c r="EF81" s="50"/>
      <c r="EG81" s="50"/>
      <c r="EH81" s="50"/>
      <c r="EI81" s="50"/>
      <c r="EJ81" s="50"/>
      <c r="EK81" s="50"/>
      <c r="EL81" s="50"/>
      <c r="EM81" s="50"/>
      <c r="EN81" s="50"/>
      <c r="EO81" s="50"/>
      <c r="EP81" s="50"/>
      <c r="EQ81" s="50"/>
      <c r="ER81" s="50"/>
      <c r="ES81" s="50"/>
      <c r="ET81" s="50"/>
      <c r="EU81" s="50"/>
      <c r="EV81" s="50"/>
      <c r="EW81" s="50"/>
      <c r="EX81" s="50"/>
    </row>
    <row r="82" ht="15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  <c r="BR82" s="50"/>
      <c r="BS82" s="50"/>
      <c r="BT82" s="50"/>
      <c r="BU82" s="50"/>
      <c r="BV82" s="50"/>
      <c r="BW82" s="50"/>
      <c r="BX82" s="50"/>
      <c r="BY82" s="50"/>
      <c r="BZ82" s="50"/>
      <c r="CA82" s="50"/>
      <c r="CB82" s="50"/>
      <c r="CC82" s="50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0"/>
      <c r="CO82" s="50"/>
      <c r="CP82" s="50"/>
      <c r="CQ82" s="50"/>
      <c r="CR82" s="50"/>
      <c r="CS82" s="50"/>
      <c r="CT82" s="50"/>
      <c r="CU82" s="50"/>
      <c r="CV82" s="50"/>
      <c r="CW82" s="50"/>
      <c r="CX82" s="50"/>
      <c r="CY82" s="50"/>
      <c r="CZ82" s="50"/>
      <c r="DA82" s="50"/>
      <c r="DB82" s="50"/>
      <c r="DC82" s="50"/>
      <c r="DD82" s="50"/>
      <c r="DE82" s="50"/>
      <c r="DF82" s="50"/>
      <c r="DG82" s="50"/>
      <c r="DH82" s="50"/>
      <c r="DI82" s="50"/>
      <c r="DJ82" s="50"/>
      <c r="DK82" s="50"/>
      <c r="DL82" s="50"/>
      <c r="DM82" s="50"/>
      <c r="DN82" s="50"/>
      <c r="DO82" s="50"/>
      <c r="DP82" s="50"/>
      <c r="DQ82" s="50"/>
      <c r="DR82" s="50"/>
      <c r="DS82" s="50"/>
      <c r="DT82" s="50"/>
      <c r="DU82" s="50"/>
      <c r="DV82" s="50"/>
      <c r="DW82" s="50"/>
      <c r="DX82" s="50"/>
      <c r="DY82" s="50"/>
      <c r="DZ82" s="50"/>
      <c r="EA82" s="50"/>
      <c r="EB82" s="50"/>
      <c r="EC82" s="50"/>
      <c r="ED82" s="50"/>
      <c r="EE82" s="50"/>
      <c r="EF82" s="50"/>
      <c r="EG82" s="50"/>
      <c r="EH82" s="50"/>
      <c r="EI82" s="50"/>
      <c r="EJ82" s="50"/>
      <c r="EK82" s="50"/>
      <c r="EL82" s="50"/>
      <c r="EM82" s="50"/>
      <c r="EN82" s="50"/>
      <c r="EO82" s="50"/>
      <c r="EP82" s="50"/>
      <c r="EQ82" s="50"/>
      <c r="ER82" s="50"/>
      <c r="ES82" s="50"/>
      <c r="ET82" s="50"/>
      <c r="EU82" s="50"/>
      <c r="EV82" s="50"/>
      <c r="EW82" s="50"/>
      <c r="EX82" s="50"/>
    </row>
    <row r="83" ht="15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  <c r="CP83" s="50"/>
      <c r="CQ83" s="50"/>
      <c r="CR83" s="50"/>
      <c r="CS83" s="50"/>
      <c r="CT83" s="50"/>
      <c r="CU83" s="50"/>
      <c r="CV83" s="50"/>
      <c r="CW83" s="50"/>
      <c r="CX83" s="50"/>
      <c r="CY83" s="50"/>
      <c r="CZ83" s="50"/>
      <c r="DA83" s="50"/>
      <c r="DB83" s="50"/>
      <c r="DC83" s="50"/>
      <c r="DD83" s="50"/>
      <c r="DE83" s="50"/>
      <c r="DF83" s="50"/>
      <c r="DG83" s="50"/>
      <c r="DH83" s="50"/>
      <c r="DI83" s="50"/>
      <c r="DJ83" s="50"/>
      <c r="DK83" s="50"/>
      <c r="DL83" s="50"/>
      <c r="DM83" s="50"/>
      <c r="DN83" s="50"/>
      <c r="DO83" s="50"/>
      <c r="DP83" s="50"/>
      <c r="DQ83" s="50"/>
      <c r="DR83" s="50"/>
      <c r="DS83" s="50"/>
      <c r="DT83" s="50"/>
      <c r="DU83" s="50"/>
      <c r="DV83" s="50"/>
      <c r="DW83" s="50"/>
      <c r="DX83" s="50"/>
      <c r="DY83" s="50"/>
      <c r="DZ83" s="50"/>
      <c r="EA83" s="50"/>
      <c r="EB83" s="50"/>
      <c r="EC83" s="50"/>
      <c r="ED83" s="50"/>
      <c r="EE83" s="50"/>
      <c r="EF83" s="50"/>
      <c r="EG83" s="50"/>
      <c r="EH83" s="50"/>
      <c r="EI83" s="50"/>
      <c r="EJ83" s="50"/>
      <c r="EK83" s="50"/>
      <c r="EL83" s="50"/>
      <c r="EM83" s="50"/>
      <c r="EN83" s="50"/>
      <c r="EO83" s="50"/>
      <c r="EP83" s="50"/>
      <c r="EQ83" s="50"/>
      <c r="ER83" s="50"/>
      <c r="ES83" s="50"/>
      <c r="ET83" s="50"/>
      <c r="EU83" s="50"/>
      <c r="EV83" s="50"/>
      <c r="EW83" s="50"/>
      <c r="EX83" s="50"/>
    </row>
    <row r="84" ht="15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  <c r="CP84" s="50"/>
      <c r="CQ84" s="50"/>
      <c r="CR84" s="50"/>
      <c r="CS84" s="50"/>
      <c r="CT84" s="50"/>
      <c r="CU84" s="50"/>
      <c r="CV84" s="50"/>
      <c r="CW84" s="50"/>
      <c r="CX84" s="50"/>
      <c r="CY84" s="50"/>
      <c r="CZ84" s="50"/>
      <c r="DA84" s="50"/>
      <c r="DB84" s="50"/>
      <c r="DC84" s="50"/>
      <c r="DD84" s="50"/>
      <c r="DE84" s="50"/>
      <c r="DF84" s="50"/>
      <c r="DG84" s="50"/>
      <c r="DH84" s="50"/>
      <c r="DI84" s="50"/>
      <c r="DJ84" s="50"/>
      <c r="DK84" s="50"/>
      <c r="DL84" s="50"/>
      <c r="DM84" s="50"/>
      <c r="DN84" s="50"/>
      <c r="DO84" s="50"/>
      <c r="DP84" s="50"/>
      <c r="DQ84" s="50"/>
      <c r="DR84" s="50"/>
      <c r="DS84" s="50"/>
      <c r="DT84" s="50"/>
      <c r="DU84" s="50"/>
      <c r="DV84" s="50"/>
      <c r="DW84" s="50"/>
      <c r="DX84" s="50"/>
      <c r="DY84" s="50"/>
      <c r="DZ84" s="50"/>
      <c r="EA84" s="50"/>
      <c r="EB84" s="50"/>
      <c r="EC84" s="50"/>
      <c r="ED84" s="50"/>
      <c r="EE84" s="50"/>
      <c r="EF84" s="50"/>
      <c r="EG84" s="50"/>
      <c r="EH84" s="50"/>
      <c r="EI84" s="50"/>
      <c r="EJ84" s="50"/>
      <c r="EK84" s="50"/>
      <c r="EL84" s="50"/>
      <c r="EM84" s="50"/>
      <c r="EN84" s="50"/>
      <c r="EO84" s="50"/>
      <c r="EP84" s="50"/>
      <c r="EQ84" s="50"/>
      <c r="ER84" s="50"/>
      <c r="ES84" s="50"/>
      <c r="ET84" s="50"/>
      <c r="EU84" s="50"/>
      <c r="EV84" s="50"/>
      <c r="EW84" s="50"/>
      <c r="EX84" s="50"/>
    </row>
    <row r="85" ht="15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  <c r="CP85" s="50"/>
      <c r="CQ85" s="50"/>
      <c r="CR85" s="50"/>
      <c r="CS85" s="50"/>
      <c r="CT85" s="50"/>
      <c r="CU85" s="50"/>
      <c r="CV85" s="50"/>
      <c r="CW85" s="50"/>
      <c r="CX85" s="50"/>
      <c r="CY85" s="50"/>
      <c r="CZ85" s="50"/>
      <c r="DA85" s="50"/>
      <c r="DB85" s="50"/>
      <c r="DC85" s="50"/>
      <c r="DD85" s="50"/>
      <c r="DE85" s="50"/>
      <c r="DF85" s="50"/>
      <c r="DG85" s="50"/>
      <c r="DH85" s="50"/>
      <c r="DI85" s="50"/>
      <c r="DJ85" s="50"/>
      <c r="DK85" s="50"/>
      <c r="DL85" s="50"/>
      <c r="DM85" s="50"/>
      <c r="DN85" s="50"/>
      <c r="DO85" s="50"/>
      <c r="DP85" s="50"/>
      <c r="DQ85" s="50"/>
      <c r="DR85" s="50"/>
      <c r="DS85" s="50"/>
      <c r="DT85" s="50"/>
      <c r="DU85" s="50"/>
      <c r="DV85" s="50"/>
      <c r="DW85" s="50"/>
      <c r="DX85" s="50"/>
      <c r="DY85" s="50"/>
      <c r="DZ85" s="50"/>
      <c r="EA85" s="50"/>
      <c r="EB85" s="50"/>
      <c r="EC85" s="50"/>
      <c r="ED85" s="50"/>
      <c r="EE85" s="50"/>
      <c r="EF85" s="50"/>
      <c r="EG85" s="50"/>
      <c r="EH85" s="50"/>
      <c r="EI85" s="50"/>
      <c r="EJ85" s="50"/>
      <c r="EK85" s="50"/>
      <c r="EL85" s="50"/>
      <c r="EM85" s="50"/>
      <c r="EN85" s="50"/>
      <c r="EO85" s="50"/>
      <c r="EP85" s="50"/>
      <c r="EQ85" s="50"/>
      <c r="ER85" s="50"/>
      <c r="ES85" s="50"/>
      <c r="ET85" s="50"/>
      <c r="EU85" s="50"/>
      <c r="EV85" s="50"/>
      <c r="EW85" s="50"/>
      <c r="EX85" s="50"/>
    </row>
    <row r="86" ht="15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  <c r="DA86" s="50"/>
      <c r="DB86" s="50"/>
      <c r="DC86" s="50"/>
      <c r="DD86" s="50"/>
      <c r="DE86" s="50"/>
      <c r="DF86" s="50"/>
      <c r="DG86" s="50"/>
      <c r="DH86" s="50"/>
      <c r="DI86" s="50"/>
      <c r="DJ86" s="50"/>
      <c r="DK86" s="50"/>
      <c r="DL86" s="50"/>
      <c r="DM86" s="50"/>
      <c r="DN86" s="50"/>
      <c r="DO86" s="50"/>
      <c r="DP86" s="50"/>
      <c r="DQ86" s="50"/>
      <c r="DR86" s="50"/>
      <c r="DS86" s="50"/>
      <c r="DT86" s="50"/>
      <c r="DU86" s="50"/>
      <c r="DV86" s="50"/>
      <c r="DW86" s="50"/>
      <c r="DX86" s="50"/>
      <c r="DY86" s="50"/>
      <c r="DZ86" s="50"/>
      <c r="EA86" s="50"/>
      <c r="EB86" s="50"/>
      <c r="EC86" s="50"/>
      <c r="ED86" s="50"/>
      <c r="EE86" s="50"/>
      <c r="EF86" s="50"/>
      <c r="EG86" s="50"/>
      <c r="EH86" s="50"/>
      <c r="EI86" s="50"/>
      <c r="EJ86" s="50"/>
      <c r="EK86" s="50"/>
      <c r="EL86" s="50"/>
      <c r="EM86" s="50"/>
      <c r="EN86" s="50"/>
      <c r="EO86" s="50"/>
      <c r="EP86" s="50"/>
      <c r="EQ86" s="50"/>
      <c r="ER86" s="50"/>
      <c r="ES86" s="50"/>
      <c r="ET86" s="50"/>
      <c r="EU86" s="50"/>
      <c r="EV86" s="50"/>
      <c r="EW86" s="50"/>
      <c r="EX86" s="50"/>
    </row>
    <row r="87" ht="15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0"/>
      <c r="DD87" s="50"/>
      <c r="DE87" s="50"/>
      <c r="DF87" s="50"/>
      <c r="DG87" s="50"/>
      <c r="DH87" s="50"/>
      <c r="DI87" s="50"/>
      <c r="DJ87" s="50"/>
      <c r="DK87" s="50"/>
      <c r="DL87" s="50"/>
      <c r="DM87" s="50"/>
      <c r="DN87" s="50"/>
      <c r="DO87" s="50"/>
      <c r="DP87" s="50"/>
      <c r="DQ87" s="50"/>
      <c r="DR87" s="50"/>
      <c r="DS87" s="50"/>
      <c r="DT87" s="50"/>
      <c r="DU87" s="50"/>
      <c r="DV87" s="50"/>
      <c r="DW87" s="50"/>
      <c r="DX87" s="50"/>
      <c r="DY87" s="50"/>
      <c r="DZ87" s="50"/>
      <c r="EA87" s="50"/>
      <c r="EB87" s="50"/>
      <c r="EC87" s="50"/>
      <c r="ED87" s="50"/>
      <c r="EE87" s="50"/>
      <c r="EF87" s="50"/>
      <c r="EG87" s="50"/>
      <c r="EH87" s="50"/>
      <c r="EI87" s="50"/>
      <c r="EJ87" s="50"/>
      <c r="EK87" s="50"/>
      <c r="EL87" s="50"/>
      <c r="EM87" s="50"/>
      <c r="EN87" s="50"/>
      <c r="EO87" s="50"/>
      <c r="EP87" s="50"/>
      <c r="EQ87" s="50"/>
      <c r="ER87" s="50"/>
      <c r="ES87" s="50"/>
      <c r="ET87" s="50"/>
      <c r="EU87" s="50"/>
      <c r="EV87" s="50"/>
      <c r="EW87" s="50"/>
      <c r="EX87" s="50"/>
    </row>
    <row r="88" ht="15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  <c r="DA88" s="50"/>
      <c r="DB88" s="50"/>
      <c r="DC88" s="50"/>
      <c r="DD88" s="50"/>
      <c r="DE88" s="50"/>
      <c r="DF88" s="50"/>
      <c r="DG88" s="50"/>
      <c r="DH88" s="50"/>
      <c r="DI88" s="50"/>
      <c r="DJ88" s="50"/>
      <c r="DK88" s="50"/>
      <c r="DL88" s="50"/>
      <c r="DM88" s="50"/>
      <c r="DN88" s="50"/>
      <c r="DO88" s="50"/>
      <c r="DP88" s="50"/>
      <c r="DQ88" s="50"/>
      <c r="DR88" s="50"/>
      <c r="DS88" s="50"/>
      <c r="DT88" s="50"/>
      <c r="DU88" s="50"/>
      <c r="DV88" s="50"/>
      <c r="DW88" s="50"/>
      <c r="DX88" s="50"/>
      <c r="DY88" s="50"/>
      <c r="DZ88" s="50"/>
      <c r="EA88" s="50"/>
      <c r="EB88" s="50"/>
      <c r="EC88" s="50"/>
      <c r="ED88" s="50"/>
      <c r="EE88" s="50"/>
      <c r="EF88" s="50"/>
      <c r="EG88" s="50"/>
      <c r="EH88" s="50"/>
      <c r="EI88" s="50"/>
      <c r="EJ88" s="50"/>
      <c r="EK88" s="50"/>
      <c r="EL88" s="50"/>
      <c r="EM88" s="50"/>
      <c r="EN88" s="50"/>
      <c r="EO88" s="50"/>
      <c r="EP88" s="50"/>
      <c r="EQ88" s="50"/>
      <c r="ER88" s="50"/>
      <c r="ES88" s="50"/>
      <c r="ET88" s="50"/>
      <c r="EU88" s="50"/>
      <c r="EV88" s="50"/>
      <c r="EW88" s="50"/>
      <c r="EX88" s="50"/>
    </row>
    <row r="89" ht="15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  <c r="DA89" s="50"/>
      <c r="DB89" s="50"/>
      <c r="DC89" s="50"/>
      <c r="DD89" s="50"/>
      <c r="DE89" s="50"/>
      <c r="DF89" s="50"/>
      <c r="DG89" s="50"/>
      <c r="DH89" s="50"/>
      <c r="DI89" s="50"/>
      <c r="DJ89" s="50"/>
      <c r="DK89" s="50"/>
      <c r="DL89" s="50"/>
      <c r="DM89" s="50"/>
      <c r="DN89" s="50"/>
      <c r="DO89" s="50"/>
      <c r="DP89" s="50"/>
      <c r="DQ89" s="50"/>
      <c r="DR89" s="50"/>
      <c r="DS89" s="50"/>
      <c r="DT89" s="50"/>
      <c r="DU89" s="50"/>
      <c r="DV89" s="50"/>
      <c r="DW89" s="50"/>
      <c r="DX89" s="50"/>
      <c r="DY89" s="50"/>
      <c r="DZ89" s="50"/>
      <c r="EA89" s="50"/>
      <c r="EB89" s="50"/>
      <c r="EC89" s="50"/>
      <c r="ED89" s="50"/>
      <c r="EE89" s="50"/>
      <c r="EF89" s="50"/>
      <c r="EG89" s="50"/>
      <c r="EH89" s="50"/>
      <c r="EI89" s="50"/>
      <c r="EJ89" s="50"/>
      <c r="EK89" s="50"/>
      <c r="EL89" s="50"/>
      <c r="EM89" s="50"/>
      <c r="EN89" s="50"/>
      <c r="EO89" s="50"/>
      <c r="EP89" s="50"/>
      <c r="EQ89" s="50"/>
      <c r="ER89" s="50"/>
      <c r="ES89" s="50"/>
      <c r="ET89" s="50"/>
      <c r="EU89" s="50"/>
      <c r="EV89" s="50"/>
      <c r="EW89" s="50"/>
      <c r="EX89" s="50"/>
    </row>
    <row r="90" ht="15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  <c r="DB90" s="50"/>
      <c r="DC90" s="50"/>
      <c r="DD90" s="50"/>
      <c r="DE90" s="50"/>
      <c r="DF90" s="50"/>
      <c r="DG90" s="50"/>
      <c r="DH90" s="50"/>
      <c r="DI90" s="50"/>
      <c r="DJ90" s="50"/>
      <c r="DK90" s="50"/>
      <c r="DL90" s="50"/>
      <c r="DM90" s="50"/>
      <c r="DN90" s="50"/>
      <c r="DO90" s="50"/>
      <c r="DP90" s="50"/>
      <c r="DQ90" s="50"/>
      <c r="DR90" s="50"/>
      <c r="DS90" s="50"/>
      <c r="DT90" s="50"/>
      <c r="DU90" s="50"/>
      <c r="DV90" s="50"/>
      <c r="DW90" s="50"/>
      <c r="DX90" s="50"/>
      <c r="DY90" s="50"/>
      <c r="DZ90" s="50"/>
      <c r="EA90" s="50"/>
      <c r="EB90" s="50"/>
      <c r="EC90" s="50"/>
      <c r="ED90" s="50"/>
      <c r="EE90" s="50"/>
      <c r="EF90" s="50"/>
      <c r="EG90" s="50"/>
      <c r="EH90" s="50"/>
      <c r="EI90" s="50"/>
      <c r="EJ90" s="50"/>
      <c r="EK90" s="50"/>
      <c r="EL90" s="50"/>
      <c r="EM90" s="50"/>
      <c r="EN90" s="50"/>
      <c r="EO90" s="50"/>
      <c r="EP90" s="50"/>
      <c r="EQ90" s="50"/>
      <c r="ER90" s="50"/>
      <c r="ES90" s="50"/>
      <c r="ET90" s="50"/>
      <c r="EU90" s="50"/>
      <c r="EV90" s="50"/>
      <c r="EW90" s="50"/>
      <c r="EX90" s="50"/>
    </row>
    <row r="91" ht="15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0"/>
      <c r="CS91" s="50"/>
      <c r="CT91" s="50"/>
      <c r="CU91" s="50"/>
      <c r="CV91" s="50"/>
      <c r="CW91" s="50"/>
      <c r="CX91" s="50"/>
      <c r="CY91" s="50"/>
      <c r="CZ91" s="50"/>
      <c r="DA91" s="50"/>
      <c r="DB91" s="50"/>
      <c r="DC91" s="50"/>
      <c r="DD91" s="50"/>
      <c r="DE91" s="50"/>
      <c r="DF91" s="50"/>
      <c r="DG91" s="50"/>
      <c r="DH91" s="50"/>
      <c r="DI91" s="50"/>
      <c r="DJ91" s="50"/>
      <c r="DK91" s="50"/>
      <c r="DL91" s="50"/>
      <c r="DM91" s="50"/>
      <c r="DN91" s="50"/>
      <c r="DO91" s="50"/>
      <c r="DP91" s="50"/>
      <c r="DQ91" s="50"/>
      <c r="DR91" s="50"/>
      <c r="DS91" s="50"/>
      <c r="DT91" s="50"/>
      <c r="DU91" s="50"/>
      <c r="DV91" s="50"/>
      <c r="DW91" s="50"/>
      <c r="DX91" s="50"/>
      <c r="DY91" s="50"/>
      <c r="DZ91" s="50"/>
      <c r="EA91" s="50"/>
      <c r="EB91" s="50"/>
      <c r="EC91" s="50"/>
      <c r="ED91" s="50"/>
      <c r="EE91" s="50"/>
      <c r="EF91" s="50"/>
      <c r="EG91" s="50"/>
      <c r="EH91" s="50"/>
      <c r="EI91" s="50"/>
      <c r="EJ91" s="50"/>
      <c r="EK91" s="50"/>
      <c r="EL91" s="50"/>
      <c r="EM91" s="50"/>
      <c r="EN91" s="50"/>
      <c r="EO91" s="50"/>
      <c r="EP91" s="50"/>
      <c r="EQ91" s="50"/>
      <c r="ER91" s="50"/>
      <c r="ES91" s="50"/>
      <c r="ET91" s="50"/>
      <c r="EU91" s="50"/>
      <c r="EV91" s="50"/>
      <c r="EW91" s="50"/>
      <c r="EX91" s="50"/>
    </row>
    <row r="92" ht="15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  <c r="CP92" s="50"/>
      <c r="CQ92" s="50"/>
      <c r="CR92" s="50"/>
      <c r="CS92" s="50"/>
      <c r="CT92" s="50"/>
      <c r="CU92" s="50"/>
      <c r="CV92" s="50"/>
      <c r="CW92" s="50"/>
      <c r="CX92" s="50"/>
      <c r="CY92" s="50"/>
      <c r="CZ92" s="50"/>
      <c r="DA92" s="50"/>
      <c r="DB92" s="50"/>
      <c r="DC92" s="50"/>
      <c r="DD92" s="50"/>
      <c r="DE92" s="50"/>
      <c r="DF92" s="50"/>
      <c r="DG92" s="50"/>
      <c r="DH92" s="50"/>
      <c r="DI92" s="50"/>
      <c r="DJ92" s="50"/>
      <c r="DK92" s="50"/>
      <c r="DL92" s="50"/>
      <c r="DM92" s="50"/>
      <c r="DN92" s="50"/>
      <c r="DO92" s="50"/>
      <c r="DP92" s="50"/>
      <c r="DQ92" s="50"/>
      <c r="DR92" s="50"/>
      <c r="DS92" s="50"/>
      <c r="DT92" s="50"/>
      <c r="DU92" s="50"/>
      <c r="DV92" s="50"/>
      <c r="DW92" s="50"/>
      <c r="DX92" s="50"/>
      <c r="DY92" s="50"/>
      <c r="DZ92" s="50"/>
      <c r="EA92" s="50"/>
      <c r="EB92" s="50"/>
      <c r="EC92" s="50"/>
      <c r="ED92" s="50"/>
      <c r="EE92" s="50"/>
      <c r="EF92" s="50"/>
      <c r="EG92" s="50"/>
      <c r="EH92" s="50"/>
      <c r="EI92" s="50"/>
      <c r="EJ92" s="50"/>
      <c r="EK92" s="50"/>
      <c r="EL92" s="50"/>
      <c r="EM92" s="50"/>
      <c r="EN92" s="50"/>
      <c r="EO92" s="50"/>
      <c r="EP92" s="50"/>
      <c r="EQ92" s="50"/>
      <c r="ER92" s="50"/>
      <c r="ES92" s="50"/>
      <c r="ET92" s="50"/>
      <c r="EU92" s="50"/>
      <c r="EV92" s="50"/>
      <c r="EW92" s="50"/>
      <c r="EX92" s="50"/>
    </row>
    <row r="93" ht="15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50"/>
      <c r="CY93" s="50"/>
      <c r="CZ93" s="50"/>
      <c r="DA93" s="50"/>
      <c r="DB93" s="50"/>
      <c r="DC93" s="50"/>
      <c r="DD93" s="50"/>
      <c r="DE93" s="50"/>
      <c r="DF93" s="50"/>
      <c r="DG93" s="50"/>
      <c r="DH93" s="50"/>
      <c r="DI93" s="50"/>
      <c r="DJ93" s="50"/>
      <c r="DK93" s="50"/>
      <c r="DL93" s="50"/>
      <c r="DM93" s="50"/>
      <c r="DN93" s="50"/>
      <c r="DO93" s="50"/>
      <c r="DP93" s="50"/>
      <c r="DQ93" s="50"/>
      <c r="DR93" s="50"/>
      <c r="DS93" s="50"/>
      <c r="DT93" s="50"/>
      <c r="DU93" s="50"/>
      <c r="DV93" s="50"/>
      <c r="DW93" s="50"/>
      <c r="DX93" s="50"/>
      <c r="DY93" s="50"/>
      <c r="DZ93" s="50"/>
      <c r="EA93" s="50"/>
      <c r="EB93" s="50"/>
      <c r="EC93" s="50"/>
      <c r="ED93" s="50"/>
      <c r="EE93" s="50"/>
      <c r="EF93" s="50"/>
      <c r="EG93" s="50"/>
      <c r="EH93" s="50"/>
      <c r="EI93" s="50"/>
      <c r="EJ93" s="50"/>
      <c r="EK93" s="50"/>
      <c r="EL93" s="50"/>
      <c r="EM93" s="50"/>
      <c r="EN93" s="50"/>
      <c r="EO93" s="50"/>
      <c r="EP93" s="50"/>
      <c r="EQ93" s="50"/>
      <c r="ER93" s="50"/>
      <c r="ES93" s="50"/>
      <c r="ET93" s="50"/>
      <c r="EU93" s="50"/>
      <c r="EV93" s="50"/>
      <c r="EW93" s="50"/>
      <c r="EX93" s="50"/>
    </row>
    <row r="94" ht="15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  <c r="DA94" s="50"/>
      <c r="DB94" s="50"/>
      <c r="DC94" s="50"/>
      <c r="DD94" s="50"/>
      <c r="DE94" s="50"/>
      <c r="DF94" s="50"/>
      <c r="DG94" s="50"/>
      <c r="DH94" s="50"/>
      <c r="DI94" s="50"/>
      <c r="DJ94" s="50"/>
      <c r="DK94" s="50"/>
      <c r="DL94" s="50"/>
      <c r="DM94" s="50"/>
      <c r="DN94" s="50"/>
      <c r="DO94" s="50"/>
      <c r="DP94" s="50"/>
      <c r="DQ94" s="50"/>
      <c r="DR94" s="50"/>
      <c r="DS94" s="50"/>
      <c r="DT94" s="50"/>
      <c r="DU94" s="50"/>
      <c r="DV94" s="50"/>
      <c r="DW94" s="50"/>
      <c r="DX94" s="50"/>
      <c r="DY94" s="50"/>
      <c r="DZ94" s="50"/>
      <c r="EA94" s="50"/>
      <c r="EB94" s="50"/>
      <c r="EC94" s="50"/>
      <c r="ED94" s="50"/>
      <c r="EE94" s="50"/>
      <c r="EF94" s="50"/>
      <c r="EG94" s="50"/>
      <c r="EH94" s="50"/>
      <c r="EI94" s="50"/>
      <c r="EJ94" s="50"/>
      <c r="EK94" s="50"/>
      <c r="EL94" s="50"/>
      <c r="EM94" s="50"/>
      <c r="EN94" s="50"/>
      <c r="EO94" s="50"/>
      <c r="EP94" s="50"/>
      <c r="EQ94" s="50"/>
      <c r="ER94" s="50"/>
      <c r="ES94" s="50"/>
      <c r="ET94" s="50"/>
      <c r="EU94" s="50"/>
      <c r="EV94" s="50"/>
      <c r="EW94" s="50"/>
      <c r="EX94" s="50"/>
    </row>
    <row r="95" ht="15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  <c r="DA95" s="50"/>
      <c r="DB95" s="50"/>
      <c r="DC95" s="50"/>
      <c r="DD95" s="50"/>
      <c r="DE95" s="50"/>
      <c r="DF95" s="50"/>
      <c r="DG95" s="50"/>
      <c r="DH95" s="50"/>
      <c r="DI95" s="50"/>
      <c r="DJ95" s="50"/>
      <c r="DK95" s="50"/>
      <c r="DL95" s="50"/>
      <c r="DM95" s="50"/>
      <c r="DN95" s="50"/>
      <c r="DO95" s="50"/>
      <c r="DP95" s="50"/>
      <c r="DQ95" s="50"/>
      <c r="DR95" s="50"/>
      <c r="DS95" s="50"/>
      <c r="DT95" s="50"/>
      <c r="DU95" s="50"/>
      <c r="DV95" s="50"/>
      <c r="DW95" s="50"/>
      <c r="DX95" s="50"/>
      <c r="DY95" s="50"/>
      <c r="DZ95" s="50"/>
      <c r="EA95" s="50"/>
      <c r="EB95" s="50"/>
      <c r="EC95" s="50"/>
      <c r="ED95" s="50"/>
      <c r="EE95" s="50"/>
      <c r="EF95" s="50"/>
      <c r="EG95" s="50"/>
      <c r="EH95" s="50"/>
      <c r="EI95" s="50"/>
      <c r="EJ95" s="50"/>
      <c r="EK95" s="50"/>
      <c r="EL95" s="50"/>
      <c r="EM95" s="50"/>
      <c r="EN95" s="50"/>
      <c r="EO95" s="50"/>
      <c r="EP95" s="50"/>
      <c r="EQ95" s="50"/>
      <c r="ER95" s="50"/>
      <c r="ES95" s="50"/>
      <c r="ET95" s="50"/>
      <c r="EU95" s="50"/>
      <c r="EV95" s="50"/>
      <c r="EW95" s="50"/>
      <c r="EX95" s="50"/>
    </row>
    <row r="96" ht="15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  <c r="CP96" s="50"/>
      <c r="CQ96" s="50"/>
      <c r="CR96" s="50"/>
      <c r="CS96" s="50"/>
      <c r="CT96" s="50"/>
      <c r="CU96" s="50"/>
      <c r="CV96" s="50"/>
      <c r="CW96" s="50"/>
      <c r="CX96" s="50"/>
      <c r="CY96" s="50"/>
      <c r="CZ96" s="50"/>
      <c r="DA96" s="50"/>
      <c r="DB96" s="50"/>
      <c r="DC96" s="50"/>
      <c r="DD96" s="50"/>
      <c r="DE96" s="50"/>
      <c r="DF96" s="50"/>
      <c r="DG96" s="50"/>
      <c r="DH96" s="50"/>
      <c r="DI96" s="50"/>
      <c r="DJ96" s="50"/>
      <c r="DK96" s="50"/>
      <c r="DL96" s="50"/>
      <c r="DM96" s="50"/>
      <c r="DN96" s="50"/>
      <c r="DO96" s="50"/>
      <c r="DP96" s="50"/>
      <c r="DQ96" s="50"/>
      <c r="DR96" s="50"/>
      <c r="DS96" s="50"/>
      <c r="DT96" s="50"/>
      <c r="DU96" s="50"/>
      <c r="DV96" s="50"/>
      <c r="DW96" s="50"/>
      <c r="DX96" s="50"/>
      <c r="DY96" s="50"/>
      <c r="DZ96" s="50"/>
      <c r="EA96" s="50"/>
      <c r="EB96" s="50"/>
      <c r="EC96" s="50"/>
      <c r="ED96" s="50"/>
      <c r="EE96" s="50"/>
      <c r="EF96" s="50"/>
      <c r="EG96" s="50"/>
      <c r="EH96" s="50"/>
      <c r="EI96" s="50"/>
      <c r="EJ96" s="50"/>
      <c r="EK96" s="50"/>
      <c r="EL96" s="50"/>
      <c r="EM96" s="50"/>
      <c r="EN96" s="50"/>
      <c r="EO96" s="50"/>
      <c r="EP96" s="50"/>
      <c r="EQ96" s="50"/>
      <c r="ER96" s="50"/>
      <c r="ES96" s="50"/>
      <c r="ET96" s="50"/>
      <c r="EU96" s="50"/>
      <c r="EV96" s="50"/>
      <c r="EW96" s="50"/>
      <c r="EX96" s="50"/>
    </row>
    <row r="97" ht="15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50"/>
      <c r="DB97" s="50"/>
      <c r="DC97" s="50"/>
      <c r="DD97" s="50"/>
      <c r="DE97" s="50"/>
      <c r="DF97" s="50"/>
      <c r="DG97" s="50"/>
      <c r="DH97" s="50"/>
      <c r="DI97" s="50"/>
      <c r="DJ97" s="50"/>
      <c r="DK97" s="50"/>
      <c r="DL97" s="50"/>
      <c r="DM97" s="50"/>
      <c r="DN97" s="50"/>
      <c r="DO97" s="50"/>
      <c r="DP97" s="50"/>
      <c r="DQ97" s="50"/>
      <c r="DR97" s="50"/>
      <c r="DS97" s="50"/>
      <c r="DT97" s="50"/>
      <c r="DU97" s="50"/>
      <c r="DV97" s="50"/>
      <c r="DW97" s="50"/>
      <c r="DX97" s="50"/>
      <c r="DY97" s="50"/>
      <c r="DZ97" s="50"/>
      <c r="EA97" s="50"/>
      <c r="EB97" s="50"/>
      <c r="EC97" s="50"/>
      <c r="ED97" s="50"/>
      <c r="EE97" s="50"/>
      <c r="EF97" s="50"/>
      <c r="EG97" s="50"/>
      <c r="EH97" s="50"/>
      <c r="EI97" s="50"/>
      <c r="EJ97" s="50"/>
      <c r="EK97" s="50"/>
      <c r="EL97" s="50"/>
      <c r="EM97" s="50"/>
      <c r="EN97" s="50"/>
      <c r="EO97" s="50"/>
      <c r="EP97" s="50"/>
      <c r="EQ97" s="50"/>
      <c r="ER97" s="50"/>
      <c r="ES97" s="50"/>
      <c r="ET97" s="50"/>
      <c r="EU97" s="50"/>
      <c r="EV97" s="50"/>
      <c r="EW97" s="50"/>
      <c r="EX97" s="50"/>
    </row>
    <row r="98" ht="15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50"/>
      <c r="DB98" s="50"/>
      <c r="DC98" s="50"/>
      <c r="DD98" s="50"/>
      <c r="DE98" s="50"/>
      <c r="DF98" s="50"/>
      <c r="DG98" s="50"/>
      <c r="DH98" s="50"/>
      <c r="DI98" s="50"/>
      <c r="DJ98" s="50"/>
      <c r="DK98" s="50"/>
      <c r="DL98" s="50"/>
      <c r="DM98" s="50"/>
      <c r="DN98" s="50"/>
      <c r="DO98" s="50"/>
      <c r="DP98" s="50"/>
      <c r="DQ98" s="50"/>
      <c r="DR98" s="50"/>
      <c r="DS98" s="50"/>
      <c r="DT98" s="50"/>
      <c r="DU98" s="50"/>
      <c r="DV98" s="50"/>
      <c r="DW98" s="50"/>
      <c r="DX98" s="50"/>
      <c r="DY98" s="50"/>
      <c r="DZ98" s="50"/>
      <c r="EA98" s="50"/>
      <c r="EB98" s="50"/>
      <c r="EC98" s="50"/>
      <c r="ED98" s="50"/>
      <c r="EE98" s="50"/>
      <c r="EF98" s="50"/>
      <c r="EG98" s="50"/>
      <c r="EH98" s="50"/>
      <c r="EI98" s="50"/>
      <c r="EJ98" s="50"/>
      <c r="EK98" s="50"/>
      <c r="EL98" s="50"/>
      <c r="EM98" s="50"/>
      <c r="EN98" s="50"/>
      <c r="EO98" s="50"/>
      <c r="EP98" s="50"/>
      <c r="EQ98" s="50"/>
      <c r="ER98" s="50"/>
      <c r="ES98" s="50"/>
      <c r="ET98" s="50"/>
      <c r="EU98" s="50"/>
      <c r="EV98" s="50"/>
      <c r="EW98" s="50"/>
      <c r="EX98" s="50"/>
    </row>
    <row r="99" ht="15.7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  <c r="CP99" s="50"/>
      <c r="CQ99" s="50"/>
      <c r="CR99" s="50"/>
      <c r="CS99" s="50"/>
      <c r="CT99" s="50"/>
      <c r="CU99" s="50"/>
      <c r="CV99" s="50"/>
      <c r="CW99" s="50"/>
      <c r="CX99" s="50"/>
      <c r="CY99" s="50"/>
      <c r="CZ99" s="50"/>
      <c r="DA99" s="50"/>
      <c r="DB99" s="50"/>
      <c r="DC99" s="50"/>
      <c r="DD99" s="50"/>
      <c r="DE99" s="50"/>
      <c r="DF99" s="50"/>
      <c r="DG99" s="50"/>
      <c r="DH99" s="50"/>
      <c r="DI99" s="50"/>
      <c r="DJ99" s="50"/>
      <c r="DK99" s="50"/>
      <c r="DL99" s="50"/>
      <c r="DM99" s="50"/>
      <c r="DN99" s="50"/>
      <c r="DO99" s="50"/>
      <c r="DP99" s="50"/>
      <c r="DQ99" s="50"/>
      <c r="DR99" s="50"/>
      <c r="DS99" s="50"/>
      <c r="DT99" s="50"/>
      <c r="DU99" s="50"/>
      <c r="DV99" s="50"/>
      <c r="DW99" s="50"/>
      <c r="DX99" s="50"/>
      <c r="DY99" s="50"/>
      <c r="DZ99" s="50"/>
      <c r="EA99" s="50"/>
      <c r="EB99" s="50"/>
      <c r="EC99" s="50"/>
      <c r="ED99" s="50"/>
      <c r="EE99" s="50"/>
      <c r="EF99" s="50"/>
      <c r="EG99" s="50"/>
      <c r="EH99" s="50"/>
      <c r="EI99" s="50"/>
      <c r="EJ99" s="50"/>
      <c r="EK99" s="50"/>
      <c r="EL99" s="50"/>
      <c r="EM99" s="50"/>
      <c r="EN99" s="50"/>
      <c r="EO99" s="50"/>
      <c r="EP99" s="50"/>
      <c r="EQ99" s="50"/>
      <c r="ER99" s="50"/>
      <c r="ES99" s="50"/>
      <c r="ET99" s="50"/>
      <c r="EU99" s="50"/>
      <c r="EV99" s="50"/>
      <c r="EW99" s="50"/>
      <c r="EX99" s="50"/>
    </row>
    <row r="100" ht="15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  <c r="CE100" s="50"/>
      <c r="CF100" s="50"/>
      <c r="CG100" s="50"/>
      <c r="CH100" s="50"/>
      <c r="CI100" s="50"/>
      <c r="CJ100" s="50"/>
      <c r="CK100" s="50"/>
      <c r="CL100" s="50"/>
      <c r="CM100" s="50"/>
      <c r="CN100" s="50"/>
      <c r="CO100" s="50"/>
      <c r="CP100" s="50"/>
      <c r="CQ100" s="50"/>
      <c r="CR100" s="50"/>
      <c r="CS100" s="50"/>
      <c r="CT100" s="50"/>
      <c r="CU100" s="50"/>
      <c r="CV100" s="50"/>
      <c r="CW100" s="50"/>
      <c r="CX100" s="50"/>
      <c r="CY100" s="50"/>
      <c r="CZ100" s="50"/>
      <c r="DA100" s="50"/>
      <c r="DB100" s="50"/>
      <c r="DC100" s="50"/>
      <c r="DD100" s="50"/>
      <c r="DE100" s="50"/>
      <c r="DF100" s="50"/>
      <c r="DG100" s="50"/>
      <c r="DH100" s="50"/>
      <c r="DI100" s="50"/>
      <c r="DJ100" s="50"/>
      <c r="DK100" s="50"/>
      <c r="DL100" s="50"/>
      <c r="DM100" s="50"/>
      <c r="DN100" s="50"/>
      <c r="DO100" s="50"/>
      <c r="DP100" s="50"/>
      <c r="DQ100" s="50"/>
      <c r="DR100" s="50"/>
      <c r="DS100" s="50"/>
      <c r="DT100" s="50"/>
      <c r="DU100" s="50"/>
      <c r="DV100" s="50"/>
      <c r="DW100" s="50"/>
      <c r="DX100" s="50"/>
      <c r="DY100" s="50"/>
      <c r="DZ100" s="50"/>
      <c r="EA100" s="50"/>
      <c r="EB100" s="50"/>
      <c r="EC100" s="50"/>
      <c r="ED100" s="50"/>
      <c r="EE100" s="50"/>
      <c r="EF100" s="50"/>
      <c r="EG100" s="50"/>
      <c r="EH100" s="50"/>
      <c r="EI100" s="50"/>
      <c r="EJ100" s="50"/>
      <c r="EK100" s="50"/>
      <c r="EL100" s="50"/>
      <c r="EM100" s="50"/>
      <c r="EN100" s="50"/>
      <c r="EO100" s="50"/>
      <c r="EP100" s="50"/>
      <c r="EQ100" s="50"/>
      <c r="ER100" s="50"/>
      <c r="ES100" s="50"/>
      <c r="ET100" s="50"/>
      <c r="EU100" s="50"/>
      <c r="EV100" s="50"/>
      <c r="EW100" s="50"/>
      <c r="EX100" s="5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8">
        <v>100.0</v>
      </c>
      <c r="D6" s="44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69" t="s">
        <v>41</v>
      </c>
      <c r="C6" s="70"/>
      <c r="D6" s="69" t="s">
        <v>46</v>
      </c>
      <c r="E6" s="71" t="s">
        <v>44</v>
      </c>
      <c r="F6" s="71" t="s">
        <v>44</v>
      </c>
      <c r="G6" s="70" t="s">
        <v>21</v>
      </c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3"/>
      <c r="AL6" s="70"/>
      <c r="AM6" s="73"/>
      <c r="AN6" s="72"/>
      <c r="AO6" s="72"/>
      <c r="AP6" s="74">
        <v>500.0</v>
      </c>
      <c r="AQ6" s="75">
        <v>500.0</v>
      </c>
      <c r="AR6" s="76">
        <v>0.0</v>
      </c>
      <c r="AS6" s="72">
        <v>50.0</v>
      </c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2"/>
      <c r="BT6" s="72"/>
      <c r="BU6" s="72"/>
      <c r="BV6" s="72"/>
      <c r="BW6" s="72"/>
      <c r="BX6" s="72"/>
      <c r="BY6" s="72"/>
      <c r="BZ6" s="72"/>
      <c r="CA6" s="72"/>
      <c r="CB6" s="72"/>
      <c r="CC6" s="72"/>
      <c r="CD6" s="72"/>
      <c r="CE6" s="72"/>
      <c r="CF6" s="72"/>
      <c r="CG6" s="72"/>
      <c r="CH6" s="72"/>
      <c r="CI6" s="72"/>
      <c r="CJ6" s="72"/>
      <c r="CK6" s="72"/>
      <c r="CL6" s="72"/>
      <c r="CM6" s="72"/>
      <c r="CN6" s="72"/>
      <c r="CO6" s="72"/>
      <c r="CP6" s="72"/>
      <c r="CQ6" s="72"/>
      <c r="CR6" s="72"/>
      <c r="CS6" s="72"/>
      <c r="CT6" s="72"/>
      <c r="CU6" s="72"/>
      <c r="CV6" s="72"/>
      <c r="CW6" s="72"/>
      <c r="CX6" s="72"/>
      <c r="CY6" s="72"/>
      <c r="CZ6" s="72"/>
      <c r="DA6" s="72"/>
      <c r="DB6" s="72"/>
      <c r="DC6" s="72"/>
      <c r="DD6" s="72"/>
      <c r="DE6" s="72"/>
      <c r="DF6" s="72"/>
      <c r="DG6" s="72"/>
      <c r="DH6" s="72"/>
      <c r="DI6" s="72"/>
      <c r="DJ6" s="72"/>
      <c r="DK6" s="72"/>
      <c r="DL6" s="72"/>
      <c r="DM6" s="72"/>
      <c r="DN6" s="72"/>
      <c r="DO6" s="72"/>
      <c r="DP6" s="72"/>
      <c r="DQ6" s="72"/>
      <c r="DR6" s="72"/>
      <c r="DS6" s="72"/>
      <c r="DT6" s="72"/>
      <c r="DU6" s="72"/>
      <c r="DV6" s="72"/>
      <c r="DW6" s="72"/>
      <c r="DX6" s="72"/>
      <c r="DY6" s="72"/>
      <c r="DZ6" s="72"/>
      <c r="EA6" s="72"/>
      <c r="EB6" s="72"/>
      <c r="EC6" s="72"/>
      <c r="ED6" s="72"/>
      <c r="EE6" s="72"/>
      <c r="EF6" s="72"/>
      <c r="EG6" s="72"/>
      <c r="EH6" s="72"/>
      <c r="EI6" s="72"/>
      <c r="EJ6" s="72"/>
      <c r="EK6" s="72"/>
      <c r="EL6" s="72"/>
      <c r="EM6" s="72"/>
      <c r="EN6" s="72"/>
      <c r="EO6" s="72"/>
      <c r="EP6" s="72"/>
      <c r="EQ6" s="72"/>
      <c r="ER6" s="72"/>
      <c r="ES6" s="72"/>
      <c r="ET6" s="72"/>
      <c r="EU6" s="72"/>
      <c r="EV6" s="72"/>
      <c r="EW6" s="72"/>
      <c r="EX6" s="72"/>
      <c r="EY6" s="72"/>
      <c r="EZ6" s="72"/>
      <c r="FA6" s="72"/>
      <c r="FB6" s="72"/>
      <c r="FC6" s="72"/>
      <c r="FD6" s="72"/>
      <c r="FE6" s="72"/>
      <c r="FF6" s="72"/>
      <c r="FG6" s="72"/>
      <c r="FH6" s="72"/>
      <c r="FI6" s="72"/>
      <c r="FJ6" s="72"/>
      <c r="FK6" s="72"/>
      <c r="FL6" s="72"/>
      <c r="FM6" s="72"/>
      <c r="FN6" s="72"/>
      <c r="FO6" s="72"/>
      <c r="FP6" s="72"/>
      <c r="FQ6" s="72"/>
      <c r="FR6" s="72"/>
      <c r="FS6" s="72"/>
      <c r="FT6" s="72"/>
      <c r="FU6" s="72"/>
      <c r="FV6" s="72"/>
      <c r="FW6" s="72"/>
      <c r="FX6" s="72"/>
      <c r="FY6" s="72"/>
      <c r="FZ6" s="72"/>
      <c r="GA6" s="72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70" t="s">
        <v>41</v>
      </c>
      <c r="C7" s="70"/>
      <c r="D7" s="70" t="s">
        <v>46</v>
      </c>
      <c r="E7" s="71" t="s">
        <v>43</v>
      </c>
      <c r="F7" s="71" t="s">
        <v>43</v>
      </c>
      <c r="G7" s="70" t="s">
        <v>21</v>
      </c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3"/>
      <c r="AL7" s="70"/>
      <c r="AM7" s="73"/>
      <c r="AN7" s="72"/>
      <c r="AO7" s="72"/>
      <c r="AP7" s="74">
        <v>500.0</v>
      </c>
      <c r="AQ7" s="75">
        <v>500.0</v>
      </c>
      <c r="AR7" s="76">
        <v>0.0</v>
      </c>
      <c r="AS7" s="72">
        <v>50.0</v>
      </c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BU7" s="72"/>
      <c r="BV7" s="72"/>
      <c r="BW7" s="72"/>
      <c r="BX7" s="72"/>
      <c r="BY7" s="72"/>
      <c r="BZ7" s="72"/>
      <c r="CA7" s="72"/>
      <c r="CB7" s="72"/>
      <c r="CC7" s="72"/>
      <c r="CD7" s="72"/>
      <c r="CE7" s="72"/>
      <c r="CF7" s="72"/>
      <c r="CG7" s="72"/>
      <c r="CH7" s="72"/>
      <c r="CI7" s="72"/>
      <c r="CJ7" s="72"/>
      <c r="CK7" s="72"/>
      <c r="CL7" s="72"/>
      <c r="CM7" s="72"/>
      <c r="CN7" s="72"/>
      <c r="CO7" s="72"/>
      <c r="CP7" s="72"/>
      <c r="CQ7" s="72"/>
      <c r="CR7" s="72"/>
      <c r="CS7" s="72"/>
      <c r="CT7" s="72"/>
      <c r="CU7" s="72"/>
      <c r="CV7" s="72"/>
      <c r="CW7" s="72"/>
      <c r="CX7" s="72"/>
      <c r="CY7" s="72"/>
      <c r="CZ7" s="72"/>
      <c r="DA7" s="72"/>
      <c r="DB7" s="72"/>
      <c r="DC7" s="72"/>
      <c r="DD7" s="72"/>
      <c r="DE7" s="72"/>
      <c r="DF7" s="72"/>
      <c r="DG7" s="72"/>
      <c r="DH7" s="72"/>
      <c r="DI7" s="72"/>
      <c r="DJ7" s="72"/>
      <c r="DK7" s="72"/>
      <c r="DL7" s="72"/>
      <c r="DM7" s="72"/>
      <c r="DN7" s="72"/>
      <c r="DO7" s="72"/>
      <c r="DP7" s="72"/>
      <c r="DQ7" s="72"/>
      <c r="DR7" s="72"/>
      <c r="DS7" s="72"/>
      <c r="DT7" s="72"/>
      <c r="DU7" s="72"/>
      <c r="DV7" s="72"/>
      <c r="DW7" s="72"/>
      <c r="DX7" s="72"/>
      <c r="DY7" s="72"/>
      <c r="DZ7" s="72"/>
      <c r="EA7" s="72"/>
      <c r="EB7" s="72"/>
      <c r="EC7" s="72"/>
      <c r="ED7" s="72"/>
      <c r="EE7" s="72"/>
      <c r="EF7" s="72"/>
      <c r="EG7" s="72"/>
      <c r="EH7" s="72"/>
      <c r="EI7" s="72"/>
      <c r="EJ7" s="72"/>
      <c r="EK7" s="72"/>
      <c r="EL7" s="72"/>
      <c r="EM7" s="72"/>
      <c r="EN7" s="72"/>
      <c r="EO7" s="72"/>
      <c r="EP7" s="72"/>
      <c r="EQ7" s="72"/>
      <c r="ER7" s="72"/>
      <c r="ES7" s="72"/>
      <c r="ET7" s="72"/>
      <c r="EU7" s="72"/>
      <c r="EV7" s="72"/>
      <c r="EW7" s="72"/>
      <c r="EX7" s="72"/>
      <c r="EY7" s="72"/>
      <c r="EZ7" s="72"/>
      <c r="FA7" s="72"/>
      <c r="FB7" s="72"/>
      <c r="FC7" s="72"/>
      <c r="FD7" s="72"/>
      <c r="FE7" s="72"/>
      <c r="FF7" s="72"/>
      <c r="FG7" s="72"/>
      <c r="FH7" s="72"/>
      <c r="FI7" s="72"/>
      <c r="FJ7" s="72"/>
      <c r="FK7" s="72"/>
      <c r="FL7" s="72"/>
      <c r="FM7" s="72"/>
      <c r="FN7" s="72"/>
      <c r="FO7" s="72"/>
      <c r="FP7" s="72"/>
      <c r="FQ7" s="72"/>
      <c r="FR7" s="72"/>
      <c r="FS7" s="72"/>
      <c r="FT7" s="72"/>
      <c r="FU7" s="72"/>
      <c r="FV7" s="72"/>
      <c r="FW7" s="72"/>
      <c r="FX7" s="72"/>
      <c r="FY7" s="72"/>
      <c r="FZ7" s="72"/>
      <c r="GA7" s="72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1" t="s">
        <v>22</v>
      </c>
      <c r="C6" s="41" t="s">
        <v>21</v>
      </c>
      <c r="D6" s="44"/>
      <c r="E6" s="36"/>
      <c r="F6" s="41"/>
      <c r="G6" s="41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7">
        <v>10.0</v>
      </c>
      <c r="C6" s="44">
        <v>20.0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59" t="s">
        <v>21</v>
      </c>
      <c r="I6" s="60">
        <v>0.0</v>
      </c>
      <c r="J6" s="61">
        <v>25.0</v>
      </c>
      <c r="K6" s="61">
        <v>25.0</v>
      </c>
      <c r="L6" s="61">
        <v>25.0</v>
      </c>
      <c r="M6" s="59" t="s">
        <v>40</v>
      </c>
      <c r="N6" s="62"/>
      <c r="O6" s="59" t="s">
        <v>22</v>
      </c>
      <c r="P6" s="62"/>
      <c r="Q6" s="62" t="s">
        <v>21</v>
      </c>
      <c r="R6" s="62"/>
      <c r="S6" s="62"/>
      <c r="T6" s="63" t="s">
        <v>43</v>
      </c>
      <c r="U6" s="63" t="s">
        <v>43</v>
      </c>
      <c r="V6" s="40"/>
      <c r="W6" s="40"/>
      <c r="X6" s="40"/>
      <c r="Y6" s="40"/>
      <c r="Z6" s="40"/>
      <c r="AA6" s="40"/>
      <c r="AB6" s="43">
        <v>250.0</v>
      </c>
      <c r="AC6" s="40"/>
      <c r="AD6" s="43">
        <v>250.0</v>
      </c>
      <c r="AE6" s="40"/>
      <c r="AF6" s="40"/>
      <c r="AG6" s="43">
        <v>25.0</v>
      </c>
      <c r="AH6" s="43">
        <v>250.0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68">
        <v>10.0</v>
      </c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59" t="s">
        <v>21</v>
      </c>
      <c r="I7" s="60">
        <v>0.0</v>
      </c>
      <c r="J7" s="61">
        <v>25.0</v>
      </c>
      <c r="K7" s="61">
        <v>25.0</v>
      </c>
      <c r="L7" s="61">
        <v>25.0</v>
      </c>
      <c r="M7" s="59" t="s">
        <v>40</v>
      </c>
      <c r="N7" s="62"/>
      <c r="O7" s="59" t="s">
        <v>22</v>
      </c>
      <c r="P7" s="62"/>
      <c r="Q7" s="62" t="s">
        <v>21</v>
      </c>
      <c r="R7" s="62"/>
      <c r="S7" s="62"/>
      <c r="T7" s="65" t="s">
        <v>44</v>
      </c>
      <c r="U7" s="65" t="s">
        <v>44</v>
      </c>
      <c r="V7" s="40"/>
      <c r="W7" s="40"/>
      <c r="X7" s="40"/>
      <c r="Y7" s="40"/>
      <c r="Z7" s="40"/>
      <c r="AA7" s="40"/>
      <c r="AB7" s="43">
        <v>250.0</v>
      </c>
      <c r="AC7" s="40"/>
      <c r="AD7" s="43">
        <v>250.0</v>
      </c>
      <c r="AE7" s="40"/>
      <c r="AF7" s="40"/>
      <c r="AG7" s="43">
        <v>25.0</v>
      </c>
      <c r="AH7" s="43">
        <v>250.0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68">
        <v>10.0</v>
      </c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/>
      <c r="D8" s="36"/>
      <c r="E8" s="36"/>
      <c r="F8" s="36"/>
      <c r="G8" s="36"/>
      <c r="H8" s="59" t="s">
        <v>21</v>
      </c>
      <c r="I8" s="60">
        <v>0.0</v>
      </c>
      <c r="J8" s="61">
        <v>25.0</v>
      </c>
      <c r="K8" s="61">
        <v>25.0</v>
      </c>
      <c r="L8" s="61">
        <v>25.0</v>
      </c>
      <c r="M8" s="59" t="s">
        <v>41</v>
      </c>
      <c r="N8" s="62"/>
      <c r="O8" s="59" t="s">
        <v>22</v>
      </c>
      <c r="P8" s="62"/>
      <c r="Q8" s="62" t="s">
        <v>21</v>
      </c>
      <c r="R8" s="62"/>
      <c r="S8" s="62"/>
      <c r="T8" s="63" t="s">
        <v>43</v>
      </c>
      <c r="U8" s="63" t="s">
        <v>43</v>
      </c>
      <c r="V8" s="40"/>
      <c r="W8" s="40"/>
      <c r="X8" s="40"/>
      <c r="Y8" s="40"/>
      <c r="Z8" s="40"/>
      <c r="AA8" s="40"/>
      <c r="AB8" s="43">
        <v>250.0</v>
      </c>
      <c r="AC8" s="40"/>
      <c r="AD8" s="43">
        <v>250.0</v>
      </c>
      <c r="AE8" s="40"/>
      <c r="AF8" s="40"/>
      <c r="AG8" s="43">
        <v>25.0</v>
      </c>
      <c r="AH8" s="43">
        <v>250.0</v>
      </c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68">
        <v>10.0</v>
      </c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36"/>
      <c r="B9" s="36"/>
      <c r="C9" s="36"/>
      <c r="D9" s="36"/>
      <c r="E9" s="36"/>
      <c r="F9" s="36"/>
      <c r="G9" s="36"/>
      <c r="H9" s="59" t="s">
        <v>21</v>
      </c>
      <c r="I9" s="60">
        <v>0.0</v>
      </c>
      <c r="J9" s="61">
        <v>25.0</v>
      </c>
      <c r="K9" s="61">
        <v>25.0</v>
      </c>
      <c r="L9" s="61">
        <v>25.0</v>
      </c>
      <c r="M9" s="59" t="s">
        <v>41</v>
      </c>
      <c r="N9" s="62"/>
      <c r="O9" s="59" t="s">
        <v>22</v>
      </c>
      <c r="P9" s="62"/>
      <c r="Q9" s="62" t="s">
        <v>21</v>
      </c>
      <c r="R9" s="62"/>
      <c r="S9" s="62"/>
      <c r="T9" s="65" t="s">
        <v>44</v>
      </c>
      <c r="U9" s="65" t="s">
        <v>44</v>
      </c>
      <c r="V9" s="40"/>
      <c r="W9" s="40"/>
      <c r="X9" s="40"/>
      <c r="Y9" s="40"/>
      <c r="Z9" s="40"/>
      <c r="AA9" s="40"/>
      <c r="AB9" s="43">
        <v>250.0</v>
      </c>
      <c r="AC9" s="40"/>
      <c r="AD9" s="43">
        <v>250.0</v>
      </c>
      <c r="AE9" s="40"/>
      <c r="AF9" s="40"/>
      <c r="AG9" s="43">
        <v>25.0</v>
      </c>
      <c r="AH9" s="43">
        <v>250.0</v>
      </c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68">
        <v>10.0</v>
      </c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1"/>
      <c r="CS3" s="51"/>
      <c r="CT3" s="51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1"/>
      <c r="DG3" s="51"/>
      <c r="DH3" s="51"/>
      <c r="DI3" s="51"/>
      <c r="DJ3" s="51"/>
      <c r="DK3" s="51"/>
      <c r="DL3" s="51"/>
      <c r="DM3" s="51"/>
      <c r="DN3" s="51"/>
      <c r="DO3" s="51"/>
      <c r="DP3" s="51"/>
      <c r="DQ3" s="51"/>
      <c r="DR3" s="51"/>
      <c r="DS3" s="51"/>
      <c r="DT3" s="51"/>
      <c r="DU3" s="51"/>
      <c r="DV3" s="51"/>
      <c r="DW3" s="51"/>
      <c r="DX3" s="51"/>
      <c r="DY3" s="51"/>
      <c r="DZ3" s="51"/>
      <c r="EA3" s="51"/>
      <c r="EB3" s="51"/>
      <c r="EC3" s="51"/>
      <c r="ED3" s="51"/>
      <c r="EE3" s="51"/>
      <c r="EF3" s="51"/>
      <c r="EG3" s="51"/>
      <c r="EH3" s="51"/>
      <c r="EI3" s="51"/>
      <c r="EJ3" s="51"/>
      <c r="EK3" s="51"/>
      <c r="EL3" s="51"/>
      <c r="EM3" s="51"/>
      <c r="EN3" s="51"/>
      <c r="EO3" s="51"/>
      <c r="EP3" s="51"/>
      <c r="EQ3" s="51"/>
      <c r="ER3" s="51"/>
      <c r="ES3" s="51"/>
      <c r="ET3" s="51"/>
      <c r="EU3" s="51"/>
      <c r="EV3" s="51"/>
      <c r="EW3" s="51"/>
      <c r="EX3" s="51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52" t="str">
        <f>IFERROR(__xludf.DUMMYFUNCTION("""COMPUTED_VALUE"""),"VerifyDbNavWindow")</f>
        <v>VerifyDbNavWindow</v>
      </c>
      <c r="Q4" s="52" t="str">
        <f>IFERROR(__xludf.DUMMYFUNCTION("""COMPUTED_VALUE"""),"VerifyGlobalDivisorWindow")</f>
        <v>VerifyGlobalDivisorWindow</v>
      </c>
      <c r="R4" s="52" t="str">
        <f>IFERROR(__xludf.DUMMYFUNCTION("""COMPUTED_VALUE"""),"VerifyPmCalculationPreferenceWindow")</f>
        <v>VerifyPmCalculationPreferenceWindow</v>
      </c>
      <c r="S4" s="52" t="str">
        <f>IFERROR(__xludf.DUMMYFUNCTION("""COMPUTED_VALUE"""),"VerifyRowCalculationBaseWindow")</f>
        <v>VerifyRowCalculationBaseWindow</v>
      </c>
      <c r="T4" s="52" t="str">
        <f>IFERROR(__xludf.DUMMYFUNCTION("""COMPUTED_VALUE"""),"VerifySecurityWindow")</f>
        <v>VerifySecurityWindow</v>
      </c>
      <c r="U4" s="52" t="str">
        <f>IFERROR(__xludf.DUMMYFUNCTION("""COMPUTED_VALUE"""),"VerifySymbolDataWindow")</f>
        <v>VerifySymbolDataWindow</v>
      </c>
      <c r="V4" s="52" t="str">
        <f>IFERROR(__xludf.DUMMYFUNCTION("""COMPUTED_VALUE"""),"VerifySymbolDivisorWindow")</f>
        <v>VerifySymbolDivisorWindow</v>
      </c>
      <c r="W4" s="52" t="str">
        <f>IFERROR(__xludf.DUMMYFUNCTION("""COMPUTED_VALUE"""),"VerifyTaxlotWindow")</f>
        <v>VerifyTaxlotWindow</v>
      </c>
      <c r="X4" s="52" t="str">
        <f>IFERROR(__xludf.DUMMYFUNCTION("""COMPUTED_VALUE"""),"RestartEsper")</f>
        <v>RestartEsper</v>
      </c>
      <c r="Y4" s="52" t="str">
        <f>IFERROR(__xludf.DUMMYFUNCTION("""COMPUTED_VALUE"""),"VerifyAccountNavPreferenceWindow")</f>
        <v>VerifyAccountNavPreferenceWindow</v>
      </c>
      <c r="Z4" s="52" t="str">
        <f>IFERROR(__xludf.DUMMYFUNCTION("""COMPUTED_VALUE"""),"VerifyAggregationAccountUnderlyingSymbolWithNav")</f>
        <v>VerifyAggregationAccountUnderlyingSymbolWithNav</v>
      </c>
      <c r="AA4" s="52" t="str">
        <f>IFERROR(__xludf.DUMMYFUNCTION("""COMPUTED_VALUE"""),"VerifyAggregationAssetWithNav")</f>
        <v>VerifyAggregationAssetWithNav</v>
      </c>
      <c r="AB4" s="52" t="str">
        <f>IFERROR(__xludf.DUMMYFUNCTION("""COMPUTED_VALUE"""),"VerifyAggregationSymbolWithNav")</f>
        <v>VerifyAggregationSymbolWithNav</v>
      </c>
      <c r="AC4" s="52" t="str">
        <f>IFERROR(__xludf.DUMMYFUNCTION("""COMPUTED_VALUE"""),"VerifyAggregationSubSectorWithNav")</f>
        <v>VerifyAggregationSubSectorWithNav</v>
      </c>
      <c r="AD4" s="52" t="str">
        <f>IFERROR(__xludf.DUMMYFUNCTION("""COMPUTED_VALUE"""),"VerifyAggregationGlobalWithNav")</f>
        <v>VerifyAggregationGlobalWithNav</v>
      </c>
      <c r="AE4" s="52" t="str">
        <f>IFERROR(__xludf.DUMMYFUNCTION("""COMPUTED_VALUE"""),"VerifyAggregationGlobalWithNav")</f>
        <v>VerifyAggregationGlobalWithNav</v>
      </c>
      <c r="AF4" s="52" t="str">
        <f>IFERROR(__xludf.DUMMYFUNCTION("""COMPUTED_VALUE"""),"VerifyGlobalDivisorWindow")</f>
        <v>VerifyGlobalDivisorWindow</v>
      </c>
      <c r="AG4" s="52" t="str">
        <f>IFERROR(__xludf.DUMMYFUNCTION("""COMPUTED_VALUE"""),"VerifyAccrualForAccountWindow")</f>
        <v>VerifyAccrualForAccountWindow</v>
      </c>
      <c r="AH4" s="52" t="str">
        <f>IFERROR(__xludf.DUMMYFUNCTION("""COMPUTED_VALUE"""),"VerifyGlobalDivisorWindow")</f>
        <v>VerifyGlobalDivisorWindow</v>
      </c>
      <c r="AI4" s="52" t="str">
        <f>IFERROR(__xludf.DUMMYFUNCTION("""COMPUTED_VALUE"""),"VerifyMasterFundDivisorWindow")</f>
        <v>VerifyMasterFundDivisorWindow</v>
      </c>
      <c r="AJ4" s="52" t="str">
        <f>IFERROR(__xludf.DUMMYFUNCTION("""COMPUTED_VALUE"""),"VerifyMasterFundSymbolDivisorWindow")</f>
        <v>VerifyMasterFundSymbolDivisorWindow</v>
      </c>
      <c r="AK4" s="52" t="str">
        <f>IFERROR(__xludf.DUMMYFUNCTION("""COMPUTED_VALUE"""),"VerifyAggAccountSymbolWithNav")</f>
        <v>VerifyAggAccountSymbolWithNav</v>
      </c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53" t="str">
        <f>IFERROR(__xludf.DUMMYFUNCTION("""COMPUTED_VALUE"""),"isSwapped")</f>
        <v>isSwapped</v>
      </c>
      <c r="U5" s="53" t="str">
        <f>IFERROR(__xludf.DUMMYFUNCTION("""COMPUTED_VALUE"""),"benchMarkRate")</f>
        <v>benchMarkRate</v>
      </c>
      <c r="V5" s="53" t="str">
        <f>IFERROR(__xludf.DUMMYFUNCTION("""COMPUTED_VALUE"""),"differential")</f>
        <v>differential</v>
      </c>
      <c r="W5" s="53" t="str">
        <f>IFERROR(__xludf.DUMMYFUNCTION("""COMPUTED_VALUE"""),"swapNotional")</f>
        <v>swapNotional</v>
      </c>
      <c r="X5" s="53" t="str">
        <f>IFERROR(__xludf.DUMMYFUNCTION("""COMPUTED_VALUE"""),"dayCount")</f>
        <v>dayCount</v>
      </c>
      <c r="Y5" s="53" t="str">
        <f>IFERROR(__xludf.DUMMYFUNCTION("""COMPUTED_VALUE"""),"avgFxRateForTrade")</f>
        <v>avgFxRateForTrade</v>
      </c>
      <c r="Z5" s="53" t="str">
        <f>IFERROR(__xludf.DUMMYFUNCTION("""COMPUTED_VALUE"""),"conversionMethodOperator")</f>
        <v>conversionMethodOperator</v>
      </c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</row>
    <row r="6" ht="15.75" customHeight="1">
      <c r="A6" s="54"/>
      <c r="B6" s="55"/>
      <c r="C6" s="56" t="s">
        <v>21</v>
      </c>
      <c r="D6" s="55"/>
      <c r="E6" s="56"/>
      <c r="F6" s="56" t="s">
        <v>40</v>
      </c>
      <c r="G6" s="56"/>
      <c r="H6" s="56" t="s">
        <v>21</v>
      </c>
      <c r="I6" s="44">
        <v>25.0</v>
      </c>
      <c r="J6" s="38">
        <v>10.0</v>
      </c>
      <c r="K6" s="56"/>
      <c r="L6" s="56"/>
      <c r="M6" s="56"/>
      <c r="N6" s="56"/>
      <c r="O6" s="56"/>
      <c r="P6" s="56"/>
      <c r="Q6" s="56"/>
      <c r="R6" s="56"/>
      <c r="S6" s="56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  <c r="DZ6" s="57"/>
      <c r="EA6" s="57"/>
      <c r="EB6" s="57"/>
      <c r="EC6" s="57"/>
      <c r="ED6" s="57"/>
      <c r="EE6" s="57"/>
      <c r="EF6" s="57"/>
      <c r="EG6" s="57"/>
      <c r="EH6" s="57"/>
      <c r="EI6" s="57"/>
      <c r="EJ6" s="57"/>
      <c r="EK6" s="57"/>
      <c r="EL6" s="57"/>
      <c r="EM6" s="57"/>
      <c r="EN6" s="57"/>
      <c r="EO6" s="57"/>
      <c r="EP6" s="57"/>
      <c r="EQ6" s="57"/>
      <c r="ER6" s="57"/>
      <c r="ES6" s="57"/>
      <c r="ET6" s="57"/>
      <c r="EU6" s="57"/>
      <c r="EV6" s="57"/>
      <c r="EW6" s="57"/>
      <c r="EX6" s="57"/>
    </row>
    <row r="7" ht="15.75" customHeight="1">
      <c r="A7" s="57"/>
      <c r="B7" s="57"/>
      <c r="C7" s="57" t="s">
        <v>21</v>
      </c>
      <c r="D7" s="57"/>
      <c r="E7" s="57"/>
      <c r="F7" s="57" t="s">
        <v>40</v>
      </c>
      <c r="G7" s="57"/>
      <c r="H7" s="57" t="s">
        <v>21</v>
      </c>
      <c r="I7" s="67">
        <v>25.0</v>
      </c>
      <c r="J7" s="58">
        <v>10.0</v>
      </c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7"/>
      <c r="DR7" s="57"/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7"/>
      <c r="ED7" s="57"/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7"/>
      <c r="EP7" s="57"/>
      <c r="EQ7" s="57"/>
      <c r="ER7" s="57"/>
      <c r="ES7" s="57"/>
      <c r="ET7" s="57"/>
      <c r="EU7" s="57"/>
      <c r="EV7" s="57"/>
      <c r="EW7" s="57"/>
      <c r="EX7" s="57"/>
    </row>
    <row r="8" ht="15.75" customHeight="1">
      <c r="A8" s="57"/>
      <c r="B8" s="57"/>
      <c r="C8" s="57" t="s">
        <v>21</v>
      </c>
      <c r="D8" s="57"/>
      <c r="E8" s="57"/>
      <c r="F8" s="57" t="s">
        <v>41</v>
      </c>
      <c r="G8" s="57"/>
      <c r="H8" s="57" t="s">
        <v>21</v>
      </c>
      <c r="I8" s="67">
        <v>25.0</v>
      </c>
      <c r="J8" s="58">
        <v>10.0</v>
      </c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7"/>
      <c r="CU8" s="57"/>
      <c r="CV8" s="57"/>
      <c r="CW8" s="57"/>
      <c r="CX8" s="57"/>
      <c r="CY8" s="57"/>
      <c r="CZ8" s="57"/>
      <c r="DA8" s="57"/>
      <c r="DB8" s="57"/>
      <c r="DC8" s="57"/>
      <c r="DD8" s="57"/>
      <c r="DE8" s="57"/>
      <c r="DF8" s="57"/>
      <c r="DG8" s="57"/>
      <c r="DH8" s="57"/>
      <c r="DI8" s="57"/>
      <c r="DJ8" s="57"/>
      <c r="DK8" s="57"/>
      <c r="DL8" s="57"/>
      <c r="DM8" s="57"/>
      <c r="DN8" s="57"/>
      <c r="DO8" s="57"/>
      <c r="DP8" s="57"/>
      <c r="DQ8" s="57"/>
      <c r="DR8" s="57"/>
      <c r="DS8" s="57"/>
      <c r="DT8" s="57"/>
      <c r="DU8" s="57"/>
      <c r="DV8" s="57"/>
      <c r="DW8" s="57"/>
      <c r="DX8" s="57"/>
      <c r="DY8" s="57"/>
      <c r="DZ8" s="57"/>
      <c r="EA8" s="57"/>
      <c r="EB8" s="57"/>
      <c r="EC8" s="57"/>
      <c r="ED8" s="57"/>
      <c r="EE8" s="57"/>
      <c r="EF8" s="57"/>
      <c r="EG8" s="57"/>
      <c r="EH8" s="57"/>
      <c r="EI8" s="57"/>
      <c r="EJ8" s="57"/>
      <c r="EK8" s="57"/>
      <c r="EL8" s="57"/>
      <c r="EM8" s="57"/>
      <c r="EN8" s="57"/>
      <c r="EO8" s="57"/>
      <c r="EP8" s="57"/>
      <c r="EQ8" s="57"/>
      <c r="ER8" s="57"/>
      <c r="ES8" s="57"/>
      <c r="ET8" s="57"/>
      <c r="EU8" s="57"/>
      <c r="EV8" s="57"/>
      <c r="EW8" s="57"/>
      <c r="EX8" s="57"/>
    </row>
    <row r="9" ht="15.75" customHeight="1">
      <c r="A9" s="57"/>
      <c r="B9" s="57"/>
      <c r="C9" s="57" t="s">
        <v>21</v>
      </c>
      <c r="D9" s="57"/>
      <c r="E9" s="57"/>
      <c r="F9" s="57" t="s">
        <v>41</v>
      </c>
      <c r="G9" s="57"/>
      <c r="H9" s="57" t="s">
        <v>21</v>
      </c>
      <c r="I9" s="67">
        <v>25.0</v>
      </c>
      <c r="J9" s="58">
        <v>10.0</v>
      </c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  <c r="DB9" s="57"/>
      <c r="DC9" s="57"/>
      <c r="DD9" s="57"/>
      <c r="DE9" s="57"/>
      <c r="DF9" s="57"/>
      <c r="DG9" s="57"/>
      <c r="DH9" s="57"/>
      <c r="DI9" s="57"/>
      <c r="DJ9" s="57"/>
      <c r="DK9" s="57"/>
      <c r="DL9" s="57"/>
      <c r="DM9" s="57"/>
      <c r="DN9" s="57"/>
      <c r="DO9" s="57"/>
      <c r="DP9" s="57"/>
      <c r="DQ9" s="57"/>
      <c r="DR9" s="57"/>
      <c r="DS9" s="57"/>
      <c r="DT9" s="57"/>
      <c r="DU9" s="57"/>
      <c r="DV9" s="57"/>
      <c r="DW9" s="57"/>
      <c r="DX9" s="57"/>
      <c r="DY9" s="57"/>
      <c r="DZ9" s="57"/>
      <c r="EA9" s="57"/>
      <c r="EB9" s="57"/>
      <c r="EC9" s="57"/>
      <c r="ED9" s="57"/>
      <c r="EE9" s="57"/>
      <c r="EF9" s="57"/>
      <c r="EG9" s="57"/>
      <c r="EH9" s="57"/>
      <c r="EI9" s="57"/>
      <c r="EJ9" s="57"/>
      <c r="EK9" s="57"/>
      <c r="EL9" s="57"/>
      <c r="EM9" s="57"/>
      <c r="EN9" s="57"/>
      <c r="EO9" s="57"/>
      <c r="EP9" s="57"/>
      <c r="EQ9" s="57"/>
      <c r="ER9" s="57"/>
      <c r="ES9" s="57"/>
      <c r="ET9" s="57"/>
      <c r="EU9" s="57"/>
      <c r="EV9" s="57"/>
      <c r="EW9" s="57"/>
      <c r="EX9" s="5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</row>
    <row r="27" ht="15.7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</row>
    <row r="28" ht="15.75" customHeight="1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</row>
    <row r="29" ht="15.75" customHeight="1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</row>
    <row r="30" ht="15.75" customHeight="1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</row>
    <row r="31" ht="15.7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</row>
    <row r="32" ht="15.75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</row>
    <row r="33" ht="15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</row>
    <row r="34" ht="15.75" customHeight="1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</row>
    <row r="35" ht="15.7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</row>
    <row r="36" ht="15.75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</row>
    <row r="37" ht="15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</row>
    <row r="38" ht="15.7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</row>
    <row r="39" ht="15.7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</row>
    <row r="40" ht="15.7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</row>
    <row r="41" ht="15.7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</row>
    <row r="42" ht="15.7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</row>
    <row r="43" ht="15.75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</row>
    <row r="44" ht="15.7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</row>
    <row r="45" ht="15.7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/>
      <c r="DS45" s="50"/>
      <c r="DT45" s="50"/>
      <c r="DU45" s="50"/>
      <c r="DV45" s="50"/>
      <c r="DW45" s="50"/>
      <c r="DX45" s="50"/>
      <c r="DY45" s="50"/>
      <c r="DZ45" s="50"/>
      <c r="EA45" s="50"/>
      <c r="EB45" s="50"/>
      <c r="EC45" s="50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50"/>
      <c r="ER45" s="50"/>
      <c r="ES45" s="50"/>
      <c r="ET45" s="50"/>
      <c r="EU45" s="50"/>
      <c r="EV45" s="50"/>
      <c r="EW45" s="50"/>
      <c r="EX45" s="50"/>
    </row>
    <row r="46" ht="15.7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</row>
    <row r="47" ht="15.7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</row>
    <row r="48" ht="15.7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</row>
    <row r="49" ht="15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50"/>
      <c r="DT49" s="50"/>
      <c r="DU49" s="50"/>
      <c r="DV49" s="50"/>
      <c r="DW49" s="50"/>
      <c r="DX49" s="50"/>
      <c r="DY49" s="50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0"/>
      <c r="EW49" s="50"/>
      <c r="EX49" s="50"/>
    </row>
    <row r="50" ht="15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50"/>
      <c r="DC50" s="50"/>
      <c r="DD50" s="50"/>
      <c r="DE50" s="50"/>
      <c r="DF50" s="50"/>
      <c r="DG50" s="50"/>
      <c r="DH50" s="50"/>
      <c r="DI50" s="50"/>
      <c r="DJ50" s="50"/>
      <c r="DK50" s="50"/>
      <c r="DL50" s="50"/>
      <c r="DM50" s="50"/>
      <c r="DN50" s="50"/>
      <c r="DO50" s="50"/>
      <c r="DP50" s="50"/>
      <c r="DQ50" s="50"/>
      <c r="DR50" s="50"/>
      <c r="DS50" s="50"/>
      <c r="DT50" s="50"/>
      <c r="DU50" s="50"/>
      <c r="DV50" s="50"/>
      <c r="DW50" s="50"/>
      <c r="DX50" s="50"/>
      <c r="DY50" s="50"/>
      <c r="DZ50" s="50"/>
      <c r="EA50" s="50"/>
      <c r="EB50" s="50"/>
      <c r="EC50" s="50"/>
      <c r="ED50" s="50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  <c r="EP50" s="50"/>
      <c r="EQ50" s="50"/>
      <c r="ER50" s="50"/>
      <c r="ES50" s="50"/>
      <c r="ET50" s="50"/>
      <c r="EU50" s="50"/>
      <c r="EV50" s="50"/>
      <c r="EW50" s="50"/>
      <c r="EX50" s="50"/>
    </row>
    <row r="51" ht="15.7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0"/>
      <c r="DD51" s="50"/>
      <c r="DE51" s="50"/>
      <c r="DF51" s="50"/>
      <c r="DG51" s="50"/>
      <c r="DH51" s="50"/>
      <c r="DI51" s="50"/>
      <c r="DJ51" s="50"/>
      <c r="DK51" s="50"/>
      <c r="DL51" s="50"/>
      <c r="DM51" s="50"/>
      <c r="DN51" s="50"/>
      <c r="DO51" s="50"/>
      <c r="DP51" s="50"/>
      <c r="DQ51" s="50"/>
      <c r="DR51" s="50"/>
      <c r="DS51" s="50"/>
      <c r="DT51" s="50"/>
      <c r="DU51" s="50"/>
      <c r="DV51" s="50"/>
      <c r="DW51" s="50"/>
      <c r="DX51" s="50"/>
      <c r="DY51" s="50"/>
      <c r="DZ51" s="50"/>
      <c r="EA51" s="50"/>
      <c r="EB51" s="50"/>
      <c r="EC51" s="50"/>
      <c r="ED51" s="50"/>
      <c r="EE51" s="50"/>
      <c r="EF51" s="50"/>
      <c r="EG51" s="50"/>
      <c r="EH51" s="50"/>
      <c r="EI51" s="50"/>
      <c r="EJ51" s="50"/>
      <c r="EK51" s="50"/>
      <c r="EL51" s="50"/>
      <c r="EM51" s="50"/>
      <c r="EN51" s="50"/>
      <c r="EO51" s="50"/>
      <c r="EP51" s="50"/>
      <c r="EQ51" s="50"/>
      <c r="ER51" s="50"/>
      <c r="ES51" s="50"/>
      <c r="ET51" s="50"/>
      <c r="EU51" s="50"/>
      <c r="EV51" s="50"/>
      <c r="EW51" s="50"/>
      <c r="EX51" s="50"/>
    </row>
    <row r="52" ht="15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50"/>
      <c r="DC52" s="50"/>
      <c r="DD52" s="50"/>
      <c r="DE52" s="50"/>
      <c r="DF52" s="50"/>
      <c r="DG52" s="50"/>
      <c r="DH52" s="50"/>
      <c r="DI52" s="50"/>
      <c r="DJ52" s="50"/>
      <c r="DK52" s="50"/>
      <c r="DL52" s="50"/>
      <c r="DM52" s="50"/>
      <c r="DN52" s="50"/>
      <c r="DO52" s="50"/>
      <c r="DP52" s="50"/>
      <c r="DQ52" s="50"/>
      <c r="DR52" s="50"/>
      <c r="DS52" s="50"/>
      <c r="DT52" s="50"/>
      <c r="DU52" s="50"/>
      <c r="DV52" s="50"/>
      <c r="DW52" s="50"/>
      <c r="DX52" s="50"/>
      <c r="DY52" s="50"/>
      <c r="DZ52" s="50"/>
      <c r="EA52" s="50"/>
      <c r="EB52" s="50"/>
      <c r="EC52" s="50"/>
      <c r="ED52" s="50"/>
      <c r="EE52" s="50"/>
      <c r="EF52" s="50"/>
      <c r="EG52" s="50"/>
      <c r="EH52" s="50"/>
      <c r="EI52" s="50"/>
      <c r="EJ52" s="50"/>
      <c r="EK52" s="50"/>
      <c r="EL52" s="50"/>
      <c r="EM52" s="50"/>
      <c r="EN52" s="50"/>
      <c r="EO52" s="50"/>
      <c r="EP52" s="50"/>
      <c r="EQ52" s="50"/>
      <c r="ER52" s="50"/>
      <c r="ES52" s="50"/>
      <c r="ET52" s="50"/>
      <c r="EU52" s="50"/>
      <c r="EV52" s="50"/>
      <c r="EW52" s="50"/>
      <c r="EX52" s="50"/>
    </row>
    <row r="53" ht="15.7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  <c r="CP53" s="50"/>
      <c r="CQ53" s="50"/>
      <c r="CR53" s="50"/>
      <c r="CS53" s="50"/>
      <c r="CT53" s="50"/>
      <c r="CU53" s="50"/>
      <c r="CV53" s="50"/>
      <c r="CW53" s="50"/>
      <c r="CX53" s="50"/>
      <c r="CY53" s="50"/>
      <c r="CZ53" s="50"/>
      <c r="DA53" s="50"/>
      <c r="DB53" s="50"/>
      <c r="DC53" s="50"/>
      <c r="DD53" s="50"/>
      <c r="DE53" s="50"/>
      <c r="DF53" s="50"/>
      <c r="DG53" s="50"/>
      <c r="DH53" s="50"/>
      <c r="DI53" s="50"/>
      <c r="DJ53" s="50"/>
      <c r="DK53" s="50"/>
      <c r="DL53" s="50"/>
      <c r="DM53" s="50"/>
      <c r="DN53" s="50"/>
      <c r="DO53" s="50"/>
      <c r="DP53" s="50"/>
      <c r="DQ53" s="50"/>
      <c r="DR53" s="50"/>
      <c r="DS53" s="50"/>
      <c r="DT53" s="50"/>
      <c r="DU53" s="50"/>
      <c r="DV53" s="50"/>
      <c r="DW53" s="50"/>
      <c r="DX53" s="50"/>
      <c r="DY53" s="50"/>
      <c r="DZ53" s="50"/>
      <c r="EA53" s="50"/>
      <c r="EB53" s="50"/>
      <c r="EC53" s="50"/>
      <c r="ED53" s="50"/>
      <c r="EE53" s="50"/>
      <c r="EF53" s="50"/>
      <c r="EG53" s="50"/>
      <c r="EH53" s="50"/>
      <c r="EI53" s="50"/>
      <c r="EJ53" s="50"/>
      <c r="EK53" s="50"/>
      <c r="EL53" s="50"/>
      <c r="EM53" s="50"/>
      <c r="EN53" s="50"/>
      <c r="EO53" s="50"/>
      <c r="EP53" s="50"/>
      <c r="EQ53" s="50"/>
      <c r="ER53" s="50"/>
      <c r="ES53" s="50"/>
      <c r="ET53" s="50"/>
      <c r="EU53" s="50"/>
      <c r="EV53" s="50"/>
      <c r="EW53" s="50"/>
      <c r="EX53" s="50"/>
    </row>
    <row r="54" ht="15.7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/>
      <c r="CZ54" s="50"/>
      <c r="DA54" s="50"/>
      <c r="DB54" s="50"/>
      <c r="DC54" s="50"/>
      <c r="DD54" s="50"/>
      <c r="DE54" s="50"/>
      <c r="DF54" s="50"/>
      <c r="DG54" s="50"/>
      <c r="DH54" s="50"/>
      <c r="DI54" s="50"/>
      <c r="DJ54" s="50"/>
      <c r="DK54" s="50"/>
      <c r="DL54" s="50"/>
      <c r="DM54" s="50"/>
      <c r="DN54" s="50"/>
      <c r="DO54" s="50"/>
      <c r="DP54" s="50"/>
      <c r="DQ54" s="50"/>
      <c r="DR54" s="50"/>
      <c r="DS54" s="50"/>
      <c r="DT54" s="50"/>
      <c r="DU54" s="50"/>
      <c r="DV54" s="50"/>
      <c r="DW54" s="50"/>
      <c r="DX54" s="50"/>
      <c r="DY54" s="50"/>
      <c r="DZ54" s="50"/>
      <c r="EA54" s="50"/>
      <c r="EB54" s="50"/>
      <c r="EC54" s="50"/>
      <c r="ED54" s="50"/>
      <c r="EE54" s="50"/>
      <c r="EF54" s="50"/>
      <c r="EG54" s="50"/>
      <c r="EH54" s="50"/>
      <c r="EI54" s="50"/>
      <c r="EJ54" s="50"/>
      <c r="EK54" s="50"/>
      <c r="EL54" s="50"/>
      <c r="EM54" s="50"/>
      <c r="EN54" s="50"/>
      <c r="EO54" s="50"/>
      <c r="EP54" s="50"/>
      <c r="EQ54" s="50"/>
      <c r="ER54" s="50"/>
      <c r="ES54" s="50"/>
      <c r="ET54" s="50"/>
      <c r="EU54" s="50"/>
      <c r="EV54" s="50"/>
      <c r="EW54" s="50"/>
      <c r="EX54" s="50"/>
    </row>
    <row r="55" ht="15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0"/>
      <c r="CP55" s="50"/>
      <c r="CQ55" s="50"/>
      <c r="CR55" s="50"/>
      <c r="CS55" s="50"/>
      <c r="CT55" s="50"/>
      <c r="CU55" s="50"/>
      <c r="CV55" s="50"/>
      <c r="CW55" s="50"/>
      <c r="CX55" s="50"/>
      <c r="CY55" s="50"/>
      <c r="CZ55" s="50"/>
      <c r="DA55" s="50"/>
      <c r="DB55" s="50"/>
      <c r="DC55" s="50"/>
      <c r="DD55" s="50"/>
      <c r="DE55" s="50"/>
      <c r="DF55" s="50"/>
      <c r="DG55" s="50"/>
      <c r="DH55" s="50"/>
      <c r="DI55" s="50"/>
      <c r="DJ55" s="50"/>
      <c r="DK55" s="50"/>
      <c r="DL55" s="50"/>
      <c r="DM55" s="50"/>
      <c r="DN55" s="50"/>
      <c r="DO55" s="50"/>
      <c r="DP55" s="50"/>
      <c r="DQ55" s="50"/>
      <c r="DR55" s="50"/>
      <c r="DS55" s="50"/>
      <c r="DT55" s="50"/>
      <c r="DU55" s="50"/>
      <c r="DV55" s="50"/>
      <c r="DW55" s="50"/>
      <c r="DX55" s="50"/>
      <c r="DY55" s="50"/>
      <c r="DZ55" s="50"/>
      <c r="EA55" s="50"/>
      <c r="EB55" s="50"/>
      <c r="EC55" s="50"/>
      <c r="ED55" s="50"/>
      <c r="EE55" s="50"/>
      <c r="EF55" s="50"/>
      <c r="EG55" s="50"/>
      <c r="EH55" s="50"/>
      <c r="EI55" s="50"/>
      <c r="EJ55" s="50"/>
      <c r="EK55" s="50"/>
      <c r="EL55" s="50"/>
      <c r="EM55" s="50"/>
      <c r="EN55" s="50"/>
      <c r="EO55" s="50"/>
      <c r="EP55" s="50"/>
      <c r="EQ55" s="50"/>
      <c r="ER55" s="50"/>
      <c r="ES55" s="50"/>
      <c r="ET55" s="50"/>
      <c r="EU55" s="50"/>
      <c r="EV55" s="50"/>
      <c r="EW55" s="50"/>
      <c r="EX55" s="50"/>
    </row>
    <row r="56" ht="15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  <c r="CP56" s="50"/>
      <c r="CQ56" s="50"/>
      <c r="CR56" s="50"/>
      <c r="CS56" s="50"/>
      <c r="CT56" s="50"/>
      <c r="CU56" s="50"/>
      <c r="CV56" s="50"/>
      <c r="CW56" s="50"/>
      <c r="CX56" s="50"/>
      <c r="CY56" s="50"/>
      <c r="CZ56" s="50"/>
      <c r="DA56" s="50"/>
      <c r="DB56" s="50"/>
      <c r="DC56" s="50"/>
      <c r="DD56" s="50"/>
      <c r="DE56" s="50"/>
      <c r="DF56" s="50"/>
      <c r="DG56" s="50"/>
      <c r="DH56" s="50"/>
      <c r="DI56" s="50"/>
      <c r="DJ56" s="50"/>
      <c r="DK56" s="50"/>
      <c r="DL56" s="50"/>
      <c r="DM56" s="50"/>
      <c r="DN56" s="50"/>
      <c r="DO56" s="50"/>
      <c r="DP56" s="50"/>
      <c r="DQ56" s="50"/>
      <c r="DR56" s="50"/>
      <c r="DS56" s="50"/>
      <c r="DT56" s="50"/>
      <c r="DU56" s="50"/>
      <c r="DV56" s="50"/>
      <c r="DW56" s="50"/>
      <c r="DX56" s="50"/>
      <c r="DY56" s="50"/>
      <c r="DZ56" s="50"/>
      <c r="EA56" s="50"/>
      <c r="EB56" s="50"/>
      <c r="EC56" s="50"/>
      <c r="ED56" s="50"/>
      <c r="EE56" s="50"/>
      <c r="EF56" s="50"/>
      <c r="EG56" s="50"/>
      <c r="EH56" s="50"/>
      <c r="EI56" s="50"/>
      <c r="EJ56" s="50"/>
      <c r="EK56" s="50"/>
      <c r="EL56" s="50"/>
      <c r="EM56" s="50"/>
      <c r="EN56" s="50"/>
      <c r="EO56" s="50"/>
      <c r="EP56" s="50"/>
      <c r="EQ56" s="50"/>
      <c r="ER56" s="50"/>
      <c r="ES56" s="50"/>
      <c r="ET56" s="50"/>
      <c r="EU56" s="50"/>
      <c r="EV56" s="50"/>
      <c r="EW56" s="50"/>
      <c r="EX56" s="50"/>
    </row>
    <row r="57" ht="15.7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  <c r="CB57" s="50"/>
      <c r="CC57" s="50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0"/>
      <c r="CO57" s="50"/>
      <c r="CP57" s="50"/>
      <c r="CQ57" s="50"/>
      <c r="CR57" s="50"/>
      <c r="CS57" s="50"/>
      <c r="CT57" s="50"/>
      <c r="CU57" s="50"/>
      <c r="CV57" s="50"/>
      <c r="CW57" s="50"/>
      <c r="CX57" s="50"/>
      <c r="CY57" s="50"/>
      <c r="CZ57" s="50"/>
      <c r="DA57" s="50"/>
      <c r="DB57" s="50"/>
      <c r="DC57" s="50"/>
      <c r="DD57" s="50"/>
      <c r="DE57" s="50"/>
      <c r="DF57" s="50"/>
      <c r="DG57" s="50"/>
      <c r="DH57" s="50"/>
      <c r="DI57" s="50"/>
      <c r="DJ57" s="50"/>
      <c r="DK57" s="50"/>
      <c r="DL57" s="50"/>
      <c r="DM57" s="50"/>
      <c r="DN57" s="50"/>
      <c r="DO57" s="50"/>
      <c r="DP57" s="50"/>
      <c r="DQ57" s="50"/>
      <c r="DR57" s="50"/>
      <c r="DS57" s="50"/>
      <c r="DT57" s="50"/>
      <c r="DU57" s="50"/>
      <c r="DV57" s="50"/>
      <c r="DW57" s="50"/>
      <c r="DX57" s="50"/>
      <c r="DY57" s="50"/>
      <c r="DZ57" s="50"/>
      <c r="EA57" s="50"/>
      <c r="EB57" s="50"/>
      <c r="EC57" s="50"/>
      <c r="ED57" s="50"/>
      <c r="EE57" s="50"/>
      <c r="EF57" s="50"/>
      <c r="EG57" s="50"/>
      <c r="EH57" s="50"/>
      <c r="EI57" s="50"/>
      <c r="EJ57" s="50"/>
      <c r="EK57" s="50"/>
      <c r="EL57" s="50"/>
      <c r="EM57" s="50"/>
      <c r="EN57" s="50"/>
      <c r="EO57" s="50"/>
      <c r="EP57" s="50"/>
      <c r="EQ57" s="50"/>
      <c r="ER57" s="50"/>
      <c r="ES57" s="50"/>
      <c r="ET57" s="50"/>
      <c r="EU57" s="50"/>
      <c r="EV57" s="50"/>
      <c r="EW57" s="50"/>
      <c r="EX57" s="50"/>
    </row>
    <row r="58" ht="15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  <c r="CQ58" s="50"/>
      <c r="CR58" s="50"/>
      <c r="CS58" s="50"/>
      <c r="CT58" s="50"/>
      <c r="CU58" s="50"/>
      <c r="CV58" s="50"/>
      <c r="CW58" s="50"/>
      <c r="CX58" s="50"/>
      <c r="CY58" s="50"/>
      <c r="CZ58" s="50"/>
      <c r="DA58" s="50"/>
      <c r="DB58" s="50"/>
      <c r="DC58" s="50"/>
      <c r="DD58" s="50"/>
      <c r="DE58" s="50"/>
      <c r="DF58" s="50"/>
      <c r="DG58" s="50"/>
      <c r="DH58" s="50"/>
      <c r="DI58" s="50"/>
      <c r="DJ58" s="50"/>
      <c r="DK58" s="50"/>
      <c r="DL58" s="50"/>
      <c r="DM58" s="50"/>
      <c r="DN58" s="50"/>
      <c r="DO58" s="50"/>
      <c r="DP58" s="50"/>
      <c r="DQ58" s="50"/>
      <c r="DR58" s="50"/>
      <c r="DS58" s="50"/>
      <c r="DT58" s="50"/>
      <c r="DU58" s="50"/>
      <c r="DV58" s="50"/>
      <c r="DW58" s="50"/>
      <c r="DX58" s="50"/>
      <c r="DY58" s="50"/>
      <c r="DZ58" s="50"/>
      <c r="EA58" s="50"/>
      <c r="EB58" s="50"/>
      <c r="EC58" s="50"/>
      <c r="ED58" s="50"/>
      <c r="EE58" s="50"/>
      <c r="EF58" s="50"/>
      <c r="EG58" s="50"/>
      <c r="EH58" s="50"/>
      <c r="EI58" s="50"/>
      <c r="EJ58" s="50"/>
      <c r="EK58" s="50"/>
      <c r="EL58" s="50"/>
      <c r="EM58" s="50"/>
      <c r="EN58" s="50"/>
      <c r="EO58" s="50"/>
      <c r="EP58" s="50"/>
      <c r="EQ58" s="50"/>
      <c r="ER58" s="50"/>
      <c r="ES58" s="50"/>
      <c r="ET58" s="50"/>
      <c r="EU58" s="50"/>
      <c r="EV58" s="50"/>
      <c r="EW58" s="50"/>
      <c r="EX58" s="50"/>
    </row>
    <row r="59" ht="15.7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  <c r="CP59" s="50"/>
      <c r="CQ59" s="50"/>
      <c r="CR59" s="50"/>
      <c r="CS59" s="50"/>
      <c r="CT59" s="50"/>
      <c r="CU59" s="50"/>
      <c r="CV59" s="50"/>
      <c r="CW59" s="50"/>
      <c r="CX59" s="50"/>
      <c r="CY59" s="50"/>
      <c r="CZ59" s="50"/>
      <c r="DA59" s="50"/>
      <c r="DB59" s="50"/>
      <c r="DC59" s="50"/>
      <c r="DD59" s="50"/>
      <c r="DE59" s="50"/>
      <c r="DF59" s="50"/>
      <c r="DG59" s="50"/>
      <c r="DH59" s="50"/>
      <c r="DI59" s="50"/>
      <c r="DJ59" s="50"/>
      <c r="DK59" s="50"/>
      <c r="DL59" s="50"/>
      <c r="DM59" s="50"/>
      <c r="DN59" s="50"/>
      <c r="DO59" s="50"/>
      <c r="DP59" s="50"/>
      <c r="DQ59" s="50"/>
      <c r="DR59" s="50"/>
      <c r="DS59" s="50"/>
      <c r="DT59" s="50"/>
      <c r="DU59" s="50"/>
      <c r="DV59" s="50"/>
      <c r="DW59" s="50"/>
      <c r="DX59" s="50"/>
      <c r="DY59" s="50"/>
      <c r="DZ59" s="50"/>
      <c r="EA59" s="50"/>
      <c r="EB59" s="50"/>
      <c r="EC59" s="50"/>
      <c r="ED59" s="50"/>
      <c r="EE59" s="50"/>
      <c r="EF59" s="50"/>
      <c r="EG59" s="50"/>
      <c r="EH59" s="50"/>
      <c r="EI59" s="50"/>
      <c r="EJ59" s="50"/>
      <c r="EK59" s="50"/>
      <c r="EL59" s="50"/>
      <c r="EM59" s="50"/>
      <c r="EN59" s="50"/>
      <c r="EO59" s="50"/>
      <c r="EP59" s="50"/>
      <c r="EQ59" s="50"/>
      <c r="ER59" s="50"/>
      <c r="ES59" s="50"/>
      <c r="ET59" s="50"/>
      <c r="EU59" s="50"/>
      <c r="EV59" s="50"/>
      <c r="EW59" s="50"/>
      <c r="EX59" s="50"/>
    </row>
    <row r="60" ht="15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50"/>
      <c r="CY60" s="50"/>
      <c r="CZ60" s="50"/>
      <c r="DA60" s="50"/>
      <c r="DB60" s="50"/>
      <c r="DC60" s="50"/>
      <c r="DD60" s="50"/>
      <c r="DE60" s="50"/>
      <c r="DF60" s="50"/>
      <c r="DG60" s="50"/>
      <c r="DH60" s="50"/>
      <c r="DI60" s="50"/>
      <c r="DJ60" s="50"/>
      <c r="DK60" s="50"/>
      <c r="DL60" s="50"/>
      <c r="DM60" s="50"/>
      <c r="DN60" s="50"/>
      <c r="DO60" s="50"/>
      <c r="DP60" s="50"/>
      <c r="DQ60" s="50"/>
      <c r="DR60" s="50"/>
      <c r="DS60" s="50"/>
      <c r="DT60" s="50"/>
      <c r="DU60" s="50"/>
      <c r="DV60" s="50"/>
      <c r="DW60" s="50"/>
      <c r="DX60" s="50"/>
      <c r="DY60" s="50"/>
      <c r="DZ60" s="50"/>
      <c r="EA60" s="50"/>
      <c r="EB60" s="50"/>
      <c r="EC60" s="50"/>
      <c r="ED60" s="50"/>
      <c r="EE60" s="50"/>
      <c r="EF60" s="50"/>
      <c r="EG60" s="50"/>
      <c r="EH60" s="50"/>
      <c r="EI60" s="50"/>
      <c r="EJ60" s="50"/>
      <c r="EK60" s="50"/>
      <c r="EL60" s="50"/>
      <c r="EM60" s="50"/>
      <c r="EN60" s="50"/>
      <c r="EO60" s="50"/>
      <c r="EP60" s="50"/>
      <c r="EQ60" s="50"/>
      <c r="ER60" s="50"/>
      <c r="ES60" s="50"/>
      <c r="ET60" s="50"/>
      <c r="EU60" s="50"/>
      <c r="EV60" s="50"/>
      <c r="EW60" s="50"/>
      <c r="EX60" s="50"/>
    </row>
    <row r="61" ht="15.7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/>
      <c r="CY61" s="50"/>
      <c r="CZ61" s="50"/>
      <c r="DA61" s="50"/>
      <c r="DB61" s="50"/>
      <c r="DC61" s="50"/>
      <c r="DD61" s="50"/>
      <c r="DE61" s="50"/>
      <c r="DF61" s="50"/>
      <c r="DG61" s="50"/>
      <c r="DH61" s="50"/>
      <c r="DI61" s="50"/>
      <c r="DJ61" s="50"/>
      <c r="DK61" s="50"/>
      <c r="DL61" s="50"/>
      <c r="DM61" s="50"/>
      <c r="DN61" s="50"/>
      <c r="DO61" s="50"/>
      <c r="DP61" s="50"/>
      <c r="DQ61" s="50"/>
      <c r="DR61" s="50"/>
      <c r="DS61" s="50"/>
      <c r="DT61" s="50"/>
      <c r="DU61" s="50"/>
      <c r="DV61" s="50"/>
      <c r="DW61" s="50"/>
      <c r="DX61" s="50"/>
      <c r="DY61" s="50"/>
      <c r="DZ61" s="50"/>
      <c r="EA61" s="50"/>
      <c r="EB61" s="50"/>
      <c r="EC61" s="50"/>
      <c r="ED61" s="50"/>
      <c r="EE61" s="50"/>
      <c r="EF61" s="50"/>
      <c r="EG61" s="50"/>
      <c r="EH61" s="50"/>
      <c r="EI61" s="50"/>
      <c r="EJ61" s="50"/>
      <c r="EK61" s="50"/>
      <c r="EL61" s="50"/>
      <c r="EM61" s="50"/>
      <c r="EN61" s="50"/>
      <c r="EO61" s="50"/>
      <c r="EP61" s="50"/>
      <c r="EQ61" s="50"/>
      <c r="ER61" s="50"/>
      <c r="ES61" s="50"/>
      <c r="ET61" s="50"/>
      <c r="EU61" s="50"/>
      <c r="EV61" s="50"/>
      <c r="EW61" s="50"/>
      <c r="EX61" s="50"/>
    </row>
    <row r="62" ht="15.7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0"/>
      <c r="CS62" s="50"/>
      <c r="CT62" s="50"/>
      <c r="CU62" s="50"/>
      <c r="CV62" s="50"/>
      <c r="CW62" s="50"/>
      <c r="CX62" s="50"/>
      <c r="CY62" s="50"/>
      <c r="CZ62" s="50"/>
      <c r="DA62" s="50"/>
      <c r="DB62" s="50"/>
      <c r="DC62" s="50"/>
      <c r="DD62" s="50"/>
      <c r="DE62" s="50"/>
      <c r="DF62" s="50"/>
      <c r="DG62" s="50"/>
      <c r="DH62" s="50"/>
      <c r="DI62" s="50"/>
      <c r="DJ62" s="50"/>
      <c r="DK62" s="50"/>
      <c r="DL62" s="50"/>
      <c r="DM62" s="50"/>
      <c r="DN62" s="50"/>
      <c r="DO62" s="50"/>
      <c r="DP62" s="50"/>
      <c r="DQ62" s="50"/>
      <c r="DR62" s="50"/>
      <c r="DS62" s="50"/>
      <c r="DT62" s="50"/>
      <c r="DU62" s="50"/>
      <c r="DV62" s="50"/>
      <c r="DW62" s="50"/>
      <c r="DX62" s="50"/>
      <c r="DY62" s="50"/>
      <c r="DZ62" s="50"/>
      <c r="EA62" s="50"/>
      <c r="EB62" s="50"/>
      <c r="EC62" s="50"/>
      <c r="ED62" s="50"/>
      <c r="EE62" s="50"/>
      <c r="EF62" s="50"/>
      <c r="EG62" s="50"/>
      <c r="EH62" s="50"/>
      <c r="EI62" s="50"/>
      <c r="EJ62" s="50"/>
      <c r="EK62" s="50"/>
      <c r="EL62" s="50"/>
      <c r="EM62" s="50"/>
      <c r="EN62" s="50"/>
      <c r="EO62" s="50"/>
      <c r="EP62" s="50"/>
      <c r="EQ62" s="50"/>
      <c r="ER62" s="50"/>
      <c r="ES62" s="50"/>
      <c r="ET62" s="50"/>
      <c r="EU62" s="50"/>
      <c r="EV62" s="50"/>
      <c r="EW62" s="50"/>
      <c r="EX62" s="50"/>
    </row>
    <row r="63" ht="15.7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/>
      <c r="CY63" s="50"/>
      <c r="CZ63" s="50"/>
      <c r="DA63" s="50"/>
      <c r="DB63" s="50"/>
      <c r="DC63" s="50"/>
      <c r="DD63" s="50"/>
      <c r="DE63" s="50"/>
      <c r="DF63" s="50"/>
      <c r="DG63" s="50"/>
      <c r="DH63" s="50"/>
      <c r="DI63" s="50"/>
      <c r="DJ63" s="50"/>
      <c r="DK63" s="50"/>
      <c r="DL63" s="50"/>
      <c r="DM63" s="50"/>
      <c r="DN63" s="50"/>
      <c r="DO63" s="50"/>
      <c r="DP63" s="50"/>
      <c r="DQ63" s="50"/>
      <c r="DR63" s="50"/>
      <c r="DS63" s="50"/>
      <c r="DT63" s="50"/>
      <c r="DU63" s="50"/>
      <c r="DV63" s="50"/>
      <c r="DW63" s="50"/>
      <c r="DX63" s="50"/>
      <c r="DY63" s="50"/>
      <c r="DZ63" s="50"/>
      <c r="EA63" s="50"/>
      <c r="EB63" s="50"/>
      <c r="EC63" s="50"/>
      <c r="ED63" s="50"/>
      <c r="EE63" s="50"/>
      <c r="EF63" s="50"/>
      <c r="EG63" s="50"/>
      <c r="EH63" s="50"/>
      <c r="EI63" s="50"/>
      <c r="EJ63" s="50"/>
      <c r="EK63" s="50"/>
      <c r="EL63" s="50"/>
      <c r="EM63" s="50"/>
      <c r="EN63" s="50"/>
      <c r="EO63" s="50"/>
      <c r="EP63" s="50"/>
      <c r="EQ63" s="50"/>
      <c r="ER63" s="50"/>
      <c r="ES63" s="50"/>
      <c r="ET63" s="50"/>
      <c r="EU63" s="50"/>
      <c r="EV63" s="50"/>
      <c r="EW63" s="50"/>
      <c r="EX63" s="50"/>
    </row>
    <row r="64" ht="15.7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/>
      <c r="CY64" s="50"/>
      <c r="CZ64" s="50"/>
      <c r="DA64" s="50"/>
      <c r="DB64" s="50"/>
      <c r="DC64" s="50"/>
      <c r="DD64" s="50"/>
      <c r="DE64" s="50"/>
      <c r="DF64" s="50"/>
      <c r="DG64" s="50"/>
      <c r="DH64" s="50"/>
      <c r="DI64" s="50"/>
      <c r="DJ64" s="50"/>
      <c r="DK64" s="50"/>
      <c r="DL64" s="50"/>
      <c r="DM64" s="50"/>
      <c r="DN64" s="50"/>
      <c r="DO64" s="50"/>
      <c r="DP64" s="50"/>
      <c r="DQ64" s="50"/>
      <c r="DR64" s="50"/>
      <c r="DS64" s="50"/>
      <c r="DT64" s="50"/>
      <c r="DU64" s="50"/>
      <c r="DV64" s="50"/>
      <c r="DW64" s="50"/>
      <c r="DX64" s="50"/>
      <c r="DY64" s="50"/>
      <c r="DZ64" s="50"/>
      <c r="EA64" s="50"/>
      <c r="EB64" s="50"/>
      <c r="EC64" s="50"/>
      <c r="ED64" s="50"/>
      <c r="EE64" s="50"/>
      <c r="EF64" s="50"/>
      <c r="EG64" s="50"/>
      <c r="EH64" s="50"/>
      <c r="EI64" s="50"/>
      <c r="EJ64" s="50"/>
      <c r="EK64" s="50"/>
      <c r="EL64" s="50"/>
      <c r="EM64" s="50"/>
      <c r="EN64" s="50"/>
      <c r="EO64" s="50"/>
      <c r="EP64" s="50"/>
      <c r="EQ64" s="50"/>
      <c r="ER64" s="50"/>
      <c r="ES64" s="50"/>
      <c r="ET64" s="50"/>
      <c r="EU64" s="50"/>
      <c r="EV64" s="50"/>
      <c r="EW64" s="50"/>
      <c r="EX64" s="50"/>
    </row>
    <row r="65" ht="15.7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  <c r="DA65" s="50"/>
      <c r="DB65" s="50"/>
      <c r="DC65" s="50"/>
      <c r="DD65" s="50"/>
      <c r="DE65" s="50"/>
      <c r="DF65" s="50"/>
      <c r="DG65" s="50"/>
      <c r="DH65" s="50"/>
      <c r="DI65" s="50"/>
      <c r="DJ65" s="50"/>
      <c r="DK65" s="50"/>
      <c r="DL65" s="50"/>
      <c r="DM65" s="50"/>
      <c r="DN65" s="50"/>
      <c r="DO65" s="50"/>
      <c r="DP65" s="50"/>
      <c r="DQ65" s="50"/>
      <c r="DR65" s="50"/>
      <c r="DS65" s="50"/>
      <c r="DT65" s="50"/>
      <c r="DU65" s="50"/>
      <c r="DV65" s="50"/>
      <c r="DW65" s="50"/>
      <c r="DX65" s="50"/>
      <c r="DY65" s="50"/>
      <c r="DZ65" s="50"/>
      <c r="EA65" s="50"/>
      <c r="EB65" s="50"/>
      <c r="EC65" s="50"/>
      <c r="ED65" s="50"/>
      <c r="EE65" s="50"/>
      <c r="EF65" s="50"/>
      <c r="EG65" s="50"/>
      <c r="EH65" s="50"/>
      <c r="EI65" s="50"/>
      <c r="EJ65" s="50"/>
      <c r="EK65" s="50"/>
      <c r="EL65" s="50"/>
      <c r="EM65" s="50"/>
      <c r="EN65" s="50"/>
      <c r="EO65" s="50"/>
      <c r="EP65" s="50"/>
      <c r="EQ65" s="50"/>
      <c r="ER65" s="50"/>
      <c r="ES65" s="50"/>
      <c r="ET65" s="50"/>
      <c r="EU65" s="50"/>
      <c r="EV65" s="50"/>
      <c r="EW65" s="50"/>
      <c r="EX65" s="50"/>
    </row>
    <row r="66" ht="15.7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  <c r="DA66" s="50"/>
      <c r="DB66" s="50"/>
      <c r="DC66" s="50"/>
      <c r="DD66" s="50"/>
      <c r="DE66" s="50"/>
      <c r="DF66" s="50"/>
      <c r="DG66" s="50"/>
      <c r="DH66" s="50"/>
      <c r="DI66" s="50"/>
      <c r="DJ66" s="50"/>
      <c r="DK66" s="50"/>
      <c r="DL66" s="50"/>
      <c r="DM66" s="50"/>
      <c r="DN66" s="50"/>
      <c r="DO66" s="50"/>
      <c r="DP66" s="50"/>
      <c r="DQ66" s="50"/>
      <c r="DR66" s="50"/>
      <c r="DS66" s="50"/>
      <c r="DT66" s="50"/>
      <c r="DU66" s="50"/>
      <c r="DV66" s="50"/>
      <c r="DW66" s="50"/>
      <c r="DX66" s="50"/>
      <c r="DY66" s="50"/>
      <c r="DZ66" s="50"/>
      <c r="EA66" s="50"/>
      <c r="EB66" s="50"/>
      <c r="EC66" s="50"/>
      <c r="ED66" s="50"/>
      <c r="EE66" s="50"/>
      <c r="EF66" s="50"/>
      <c r="EG66" s="50"/>
      <c r="EH66" s="50"/>
      <c r="EI66" s="50"/>
      <c r="EJ66" s="50"/>
      <c r="EK66" s="50"/>
      <c r="EL66" s="50"/>
      <c r="EM66" s="50"/>
      <c r="EN66" s="50"/>
      <c r="EO66" s="50"/>
      <c r="EP66" s="50"/>
      <c r="EQ66" s="50"/>
      <c r="ER66" s="50"/>
      <c r="ES66" s="50"/>
      <c r="ET66" s="50"/>
      <c r="EU66" s="50"/>
      <c r="EV66" s="50"/>
      <c r="EW66" s="50"/>
      <c r="EX66" s="50"/>
    </row>
    <row r="67" ht="15.7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/>
      <c r="CY67" s="50"/>
      <c r="CZ67" s="50"/>
      <c r="DA67" s="50"/>
      <c r="DB67" s="50"/>
      <c r="DC67" s="50"/>
      <c r="DD67" s="50"/>
      <c r="DE67" s="50"/>
      <c r="DF67" s="50"/>
      <c r="DG67" s="50"/>
      <c r="DH67" s="50"/>
      <c r="DI67" s="50"/>
      <c r="DJ67" s="50"/>
      <c r="DK67" s="50"/>
      <c r="DL67" s="50"/>
      <c r="DM67" s="50"/>
      <c r="DN67" s="50"/>
      <c r="DO67" s="50"/>
      <c r="DP67" s="50"/>
      <c r="DQ67" s="50"/>
      <c r="DR67" s="50"/>
      <c r="DS67" s="50"/>
      <c r="DT67" s="50"/>
      <c r="DU67" s="50"/>
      <c r="DV67" s="50"/>
      <c r="DW67" s="50"/>
      <c r="DX67" s="50"/>
      <c r="DY67" s="50"/>
      <c r="DZ67" s="50"/>
      <c r="EA67" s="50"/>
      <c r="EB67" s="50"/>
      <c r="EC67" s="50"/>
      <c r="ED67" s="50"/>
      <c r="EE67" s="50"/>
      <c r="EF67" s="50"/>
      <c r="EG67" s="50"/>
      <c r="EH67" s="50"/>
      <c r="EI67" s="50"/>
      <c r="EJ67" s="50"/>
      <c r="EK67" s="50"/>
      <c r="EL67" s="50"/>
      <c r="EM67" s="50"/>
      <c r="EN67" s="50"/>
      <c r="EO67" s="50"/>
      <c r="EP67" s="50"/>
      <c r="EQ67" s="50"/>
      <c r="ER67" s="50"/>
      <c r="ES67" s="50"/>
      <c r="ET67" s="50"/>
      <c r="EU67" s="50"/>
      <c r="EV67" s="50"/>
      <c r="EW67" s="50"/>
      <c r="EX67" s="50"/>
    </row>
    <row r="68" ht="15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/>
      <c r="CY68" s="50"/>
      <c r="CZ68" s="50"/>
      <c r="DA68" s="50"/>
      <c r="DB68" s="50"/>
      <c r="DC68" s="50"/>
      <c r="DD68" s="50"/>
      <c r="DE68" s="50"/>
      <c r="DF68" s="50"/>
      <c r="DG68" s="50"/>
      <c r="DH68" s="50"/>
      <c r="DI68" s="50"/>
      <c r="DJ68" s="50"/>
      <c r="DK68" s="50"/>
      <c r="DL68" s="50"/>
      <c r="DM68" s="50"/>
      <c r="DN68" s="50"/>
      <c r="DO68" s="50"/>
      <c r="DP68" s="50"/>
      <c r="DQ68" s="50"/>
      <c r="DR68" s="50"/>
      <c r="DS68" s="50"/>
      <c r="DT68" s="50"/>
      <c r="DU68" s="50"/>
      <c r="DV68" s="50"/>
      <c r="DW68" s="50"/>
      <c r="DX68" s="50"/>
      <c r="DY68" s="50"/>
      <c r="DZ68" s="50"/>
      <c r="EA68" s="50"/>
      <c r="EB68" s="50"/>
      <c r="EC68" s="50"/>
      <c r="ED68" s="50"/>
      <c r="EE68" s="50"/>
      <c r="EF68" s="50"/>
      <c r="EG68" s="50"/>
      <c r="EH68" s="50"/>
      <c r="EI68" s="50"/>
      <c r="EJ68" s="50"/>
      <c r="EK68" s="50"/>
      <c r="EL68" s="50"/>
      <c r="EM68" s="50"/>
      <c r="EN68" s="50"/>
      <c r="EO68" s="50"/>
      <c r="EP68" s="50"/>
      <c r="EQ68" s="50"/>
      <c r="ER68" s="50"/>
      <c r="ES68" s="50"/>
      <c r="ET68" s="50"/>
      <c r="EU68" s="50"/>
      <c r="EV68" s="50"/>
      <c r="EW68" s="50"/>
      <c r="EX68" s="50"/>
    </row>
    <row r="69" ht="15.7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50"/>
      <c r="CR69" s="50"/>
      <c r="CS69" s="50"/>
      <c r="CT69" s="50"/>
      <c r="CU69" s="50"/>
      <c r="CV69" s="50"/>
      <c r="CW69" s="50"/>
      <c r="CX69" s="50"/>
      <c r="CY69" s="50"/>
      <c r="CZ69" s="50"/>
      <c r="DA69" s="50"/>
      <c r="DB69" s="50"/>
      <c r="DC69" s="50"/>
      <c r="DD69" s="50"/>
      <c r="DE69" s="50"/>
      <c r="DF69" s="50"/>
      <c r="DG69" s="50"/>
      <c r="DH69" s="50"/>
      <c r="DI69" s="50"/>
      <c r="DJ69" s="50"/>
      <c r="DK69" s="50"/>
      <c r="DL69" s="50"/>
      <c r="DM69" s="50"/>
      <c r="DN69" s="50"/>
      <c r="DO69" s="50"/>
      <c r="DP69" s="50"/>
      <c r="DQ69" s="50"/>
      <c r="DR69" s="50"/>
      <c r="DS69" s="50"/>
      <c r="DT69" s="50"/>
      <c r="DU69" s="50"/>
      <c r="DV69" s="50"/>
      <c r="DW69" s="50"/>
      <c r="DX69" s="50"/>
      <c r="DY69" s="50"/>
      <c r="DZ69" s="50"/>
      <c r="EA69" s="50"/>
      <c r="EB69" s="50"/>
      <c r="EC69" s="50"/>
      <c r="ED69" s="50"/>
      <c r="EE69" s="50"/>
      <c r="EF69" s="50"/>
      <c r="EG69" s="50"/>
      <c r="EH69" s="50"/>
      <c r="EI69" s="50"/>
      <c r="EJ69" s="50"/>
      <c r="EK69" s="50"/>
      <c r="EL69" s="50"/>
      <c r="EM69" s="50"/>
      <c r="EN69" s="50"/>
      <c r="EO69" s="50"/>
      <c r="EP69" s="50"/>
      <c r="EQ69" s="50"/>
      <c r="ER69" s="50"/>
      <c r="ES69" s="50"/>
      <c r="ET69" s="50"/>
      <c r="EU69" s="50"/>
      <c r="EV69" s="50"/>
      <c r="EW69" s="50"/>
      <c r="EX69" s="50"/>
    </row>
    <row r="70" ht="15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  <c r="CP70" s="50"/>
      <c r="CQ70" s="50"/>
      <c r="CR70" s="50"/>
      <c r="CS70" s="50"/>
      <c r="CT70" s="50"/>
      <c r="CU70" s="50"/>
      <c r="CV70" s="50"/>
      <c r="CW70" s="50"/>
      <c r="CX70" s="50"/>
      <c r="CY70" s="50"/>
      <c r="CZ70" s="50"/>
      <c r="DA70" s="50"/>
      <c r="DB70" s="50"/>
      <c r="DC70" s="50"/>
      <c r="DD70" s="50"/>
      <c r="DE70" s="50"/>
      <c r="DF70" s="50"/>
      <c r="DG70" s="50"/>
      <c r="DH70" s="50"/>
      <c r="DI70" s="50"/>
      <c r="DJ70" s="50"/>
      <c r="DK70" s="50"/>
      <c r="DL70" s="50"/>
      <c r="DM70" s="50"/>
      <c r="DN70" s="50"/>
      <c r="DO70" s="50"/>
      <c r="DP70" s="50"/>
      <c r="DQ70" s="50"/>
      <c r="DR70" s="50"/>
      <c r="DS70" s="50"/>
      <c r="DT70" s="50"/>
      <c r="DU70" s="50"/>
      <c r="DV70" s="50"/>
      <c r="DW70" s="50"/>
      <c r="DX70" s="50"/>
      <c r="DY70" s="50"/>
      <c r="DZ70" s="50"/>
      <c r="EA70" s="50"/>
      <c r="EB70" s="50"/>
      <c r="EC70" s="50"/>
      <c r="ED70" s="50"/>
      <c r="EE70" s="50"/>
      <c r="EF70" s="50"/>
      <c r="EG70" s="50"/>
      <c r="EH70" s="50"/>
      <c r="EI70" s="50"/>
      <c r="EJ70" s="50"/>
      <c r="EK70" s="50"/>
      <c r="EL70" s="50"/>
      <c r="EM70" s="50"/>
      <c r="EN70" s="50"/>
      <c r="EO70" s="50"/>
      <c r="EP70" s="50"/>
      <c r="EQ70" s="50"/>
      <c r="ER70" s="50"/>
      <c r="ES70" s="50"/>
      <c r="ET70" s="50"/>
      <c r="EU70" s="50"/>
      <c r="EV70" s="50"/>
      <c r="EW70" s="50"/>
      <c r="EX70" s="50"/>
    </row>
    <row r="71" ht="15.7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  <c r="BS71" s="50"/>
      <c r="BT71" s="50"/>
      <c r="BU71" s="50"/>
      <c r="BV71" s="50"/>
      <c r="BW71" s="50"/>
      <c r="BX71" s="50"/>
      <c r="BY71" s="50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  <c r="CP71" s="50"/>
      <c r="CQ71" s="50"/>
      <c r="CR71" s="50"/>
      <c r="CS71" s="50"/>
      <c r="CT71" s="50"/>
      <c r="CU71" s="50"/>
      <c r="CV71" s="50"/>
      <c r="CW71" s="50"/>
      <c r="CX71" s="50"/>
      <c r="CY71" s="50"/>
      <c r="CZ71" s="50"/>
      <c r="DA71" s="50"/>
      <c r="DB71" s="50"/>
      <c r="DC71" s="50"/>
      <c r="DD71" s="50"/>
      <c r="DE71" s="50"/>
      <c r="DF71" s="50"/>
      <c r="DG71" s="50"/>
      <c r="DH71" s="50"/>
      <c r="DI71" s="50"/>
      <c r="DJ71" s="50"/>
      <c r="DK71" s="50"/>
      <c r="DL71" s="50"/>
      <c r="DM71" s="50"/>
      <c r="DN71" s="50"/>
      <c r="DO71" s="50"/>
      <c r="DP71" s="50"/>
      <c r="DQ71" s="50"/>
      <c r="DR71" s="50"/>
      <c r="DS71" s="50"/>
      <c r="DT71" s="50"/>
      <c r="DU71" s="50"/>
      <c r="DV71" s="50"/>
      <c r="DW71" s="50"/>
      <c r="DX71" s="50"/>
      <c r="DY71" s="50"/>
      <c r="DZ71" s="50"/>
      <c r="EA71" s="50"/>
      <c r="EB71" s="50"/>
      <c r="EC71" s="50"/>
      <c r="ED71" s="50"/>
      <c r="EE71" s="50"/>
      <c r="EF71" s="50"/>
      <c r="EG71" s="50"/>
      <c r="EH71" s="50"/>
      <c r="EI71" s="50"/>
      <c r="EJ71" s="50"/>
      <c r="EK71" s="50"/>
      <c r="EL71" s="50"/>
      <c r="EM71" s="50"/>
      <c r="EN71" s="50"/>
      <c r="EO71" s="50"/>
      <c r="EP71" s="50"/>
      <c r="EQ71" s="50"/>
      <c r="ER71" s="50"/>
      <c r="ES71" s="50"/>
      <c r="ET71" s="50"/>
      <c r="EU71" s="50"/>
      <c r="EV71" s="50"/>
      <c r="EW71" s="50"/>
      <c r="EX71" s="50"/>
    </row>
    <row r="72" ht="15.7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  <c r="BS72" s="50"/>
      <c r="BT72" s="50"/>
      <c r="BU72" s="50"/>
      <c r="BV72" s="50"/>
      <c r="BW72" s="50"/>
      <c r="BX72" s="50"/>
      <c r="BY72" s="50"/>
      <c r="BZ72" s="50"/>
      <c r="CA72" s="50"/>
      <c r="CB72" s="50"/>
      <c r="CC72" s="50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  <c r="CP72" s="50"/>
      <c r="CQ72" s="50"/>
      <c r="CR72" s="50"/>
      <c r="CS72" s="50"/>
      <c r="CT72" s="50"/>
      <c r="CU72" s="50"/>
      <c r="CV72" s="50"/>
      <c r="CW72" s="50"/>
      <c r="CX72" s="50"/>
      <c r="CY72" s="50"/>
      <c r="CZ72" s="50"/>
      <c r="DA72" s="50"/>
      <c r="DB72" s="50"/>
      <c r="DC72" s="50"/>
      <c r="DD72" s="50"/>
      <c r="DE72" s="50"/>
      <c r="DF72" s="50"/>
      <c r="DG72" s="50"/>
      <c r="DH72" s="50"/>
      <c r="DI72" s="50"/>
      <c r="DJ72" s="50"/>
      <c r="DK72" s="50"/>
      <c r="DL72" s="50"/>
      <c r="DM72" s="50"/>
      <c r="DN72" s="50"/>
      <c r="DO72" s="50"/>
      <c r="DP72" s="50"/>
      <c r="DQ72" s="50"/>
      <c r="DR72" s="50"/>
      <c r="DS72" s="50"/>
      <c r="DT72" s="50"/>
      <c r="DU72" s="50"/>
      <c r="DV72" s="50"/>
      <c r="DW72" s="50"/>
      <c r="DX72" s="50"/>
      <c r="DY72" s="50"/>
      <c r="DZ72" s="50"/>
      <c r="EA72" s="50"/>
      <c r="EB72" s="50"/>
      <c r="EC72" s="50"/>
      <c r="ED72" s="50"/>
      <c r="EE72" s="50"/>
      <c r="EF72" s="50"/>
      <c r="EG72" s="50"/>
      <c r="EH72" s="50"/>
      <c r="EI72" s="50"/>
      <c r="EJ72" s="50"/>
      <c r="EK72" s="50"/>
      <c r="EL72" s="50"/>
      <c r="EM72" s="50"/>
      <c r="EN72" s="50"/>
      <c r="EO72" s="50"/>
      <c r="EP72" s="50"/>
      <c r="EQ72" s="50"/>
      <c r="ER72" s="50"/>
      <c r="ES72" s="50"/>
      <c r="ET72" s="50"/>
      <c r="EU72" s="50"/>
      <c r="EV72" s="50"/>
      <c r="EW72" s="50"/>
      <c r="EX72" s="50"/>
    </row>
    <row r="73" ht="15.7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  <c r="CP73" s="50"/>
      <c r="CQ73" s="50"/>
      <c r="CR73" s="50"/>
      <c r="CS73" s="50"/>
      <c r="CT73" s="50"/>
      <c r="CU73" s="50"/>
      <c r="CV73" s="50"/>
      <c r="CW73" s="50"/>
      <c r="CX73" s="50"/>
      <c r="CY73" s="50"/>
      <c r="CZ73" s="50"/>
      <c r="DA73" s="50"/>
      <c r="DB73" s="50"/>
      <c r="DC73" s="50"/>
      <c r="DD73" s="50"/>
      <c r="DE73" s="50"/>
      <c r="DF73" s="50"/>
      <c r="DG73" s="50"/>
      <c r="DH73" s="50"/>
      <c r="DI73" s="50"/>
      <c r="DJ73" s="50"/>
      <c r="DK73" s="50"/>
      <c r="DL73" s="50"/>
      <c r="DM73" s="50"/>
      <c r="DN73" s="50"/>
      <c r="DO73" s="50"/>
      <c r="DP73" s="50"/>
      <c r="DQ73" s="50"/>
      <c r="DR73" s="50"/>
      <c r="DS73" s="50"/>
      <c r="DT73" s="50"/>
      <c r="DU73" s="50"/>
      <c r="DV73" s="50"/>
      <c r="DW73" s="50"/>
      <c r="DX73" s="50"/>
      <c r="DY73" s="50"/>
      <c r="DZ73" s="50"/>
      <c r="EA73" s="50"/>
      <c r="EB73" s="50"/>
      <c r="EC73" s="50"/>
      <c r="ED73" s="50"/>
      <c r="EE73" s="50"/>
      <c r="EF73" s="50"/>
      <c r="EG73" s="50"/>
      <c r="EH73" s="50"/>
      <c r="EI73" s="50"/>
      <c r="EJ73" s="50"/>
      <c r="EK73" s="50"/>
      <c r="EL73" s="50"/>
      <c r="EM73" s="50"/>
      <c r="EN73" s="50"/>
      <c r="EO73" s="50"/>
      <c r="EP73" s="50"/>
      <c r="EQ73" s="50"/>
      <c r="ER73" s="50"/>
      <c r="ES73" s="50"/>
      <c r="ET73" s="50"/>
      <c r="EU73" s="50"/>
      <c r="EV73" s="50"/>
      <c r="EW73" s="50"/>
      <c r="EX73" s="50"/>
    </row>
    <row r="74" ht="15.7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  <c r="DC74" s="50"/>
      <c r="DD74" s="50"/>
      <c r="DE74" s="50"/>
      <c r="DF74" s="50"/>
      <c r="DG74" s="50"/>
      <c r="DH74" s="50"/>
      <c r="DI74" s="50"/>
      <c r="DJ74" s="50"/>
      <c r="DK74" s="50"/>
      <c r="DL74" s="50"/>
      <c r="DM74" s="50"/>
      <c r="DN74" s="50"/>
      <c r="DO74" s="50"/>
      <c r="DP74" s="50"/>
      <c r="DQ74" s="50"/>
      <c r="DR74" s="50"/>
      <c r="DS74" s="50"/>
      <c r="DT74" s="50"/>
      <c r="DU74" s="50"/>
      <c r="DV74" s="50"/>
      <c r="DW74" s="50"/>
      <c r="DX74" s="50"/>
      <c r="DY74" s="50"/>
      <c r="DZ74" s="50"/>
      <c r="EA74" s="50"/>
      <c r="EB74" s="50"/>
      <c r="EC74" s="50"/>
      <c r="ED74" s="50"/>
      <c r="EE74" s="50"/>
      <c r="EF74" s="50"/>
      <c r="EG74" s="50"/>
      <c r="EH74" s="50"/>
      <c r="EI74" s="50"/>
      <c r="EJ74" s="50"/>
      <c r="EK74" s="50"/>
      <c r="EL74" s="50"/>
      <c r="EM74" s="50"/>
      <c r="EN74" s="50"/>
      <c r="EO74" s="50"/>
      <c r="EP74" s="50"/>
      <c r="EQ74" s="50"/>
      <c r="ER74" s="50"/>
      <c r="ES74" s="50"/>
      <c r="ET74" s="50"/>
      <c r="EU74" s="50"/>
      <c r="EV74" s="50"/>
      <c r="EW74" s="50"/>
      <c r="EX74" s="50"/>
    </row>
    <row r="75" ht="15.7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  <c r="CP75" s="50"/>
      <c r="CQ75" s="50"/>
      <c r="CR75" s="50"/>
      <c r="CS75" s="50"/>
      <c r="CT75" s="50"/>
      <c r="CU75" s="50"/>
      <c r="CV75" s="50"/>
      <c r="CW75" s="50"/>
      <c r="CX75" s="50"/>
      <c r="CY75" s="50"/>
      <c r="CZ75" s="50"/>
      <c r="DA75" s="50"/>
      <c r="DB75" s="50"/>
      <c r="DC75" s="50"/>
      <c r="DD75" s="50"/>
      <c r="DE75" s="50"/>
      <c r="DF75" s="50"/>
      <c r="DG75" s="50"/>
      <c r="DH75" s="50"/>
      <c r="DI75" s="50"/>
      <c r="DJ75" s="50"/>
      <c r="DK75" s="50"/>
      <c r="DL75" s="50"/>
      <c r="DM75" s="50"/>
      <c r="DN75" s="50"/>
      <c r="DO75" s="50"/>
      <c r="DP75" s="50"/>
      <c r="DQ75" s="50"/>
      <c r="DR75" s="50"/>
      <c r="DS75" s="50"/>
      <c r="DT75" s="50"/>
      <c r="DU75" s="50"/>
      <c r="DV75" s="50"/>
      <c r="DW75" s="50"/>
      <c r="DX75" s="50"/>
      <c r="DY75" s="50"/>
      <c r="DZ75" s="50"/>
      <c r="EA75" s="50"/>
      <c r="EB75" s="50"/>
      <c r="EC75" s="50"/>
      <c r="ED75" s="50"/>
      <c r="EE75" s="50"/>
      <c r="EF75" s="50"/>
      <c r="EG75" s="50"/>
      <c r="EH75" s="50"/>
      <c r="EI75" s="50"/>
      <c r="EJ75" s="50"/>
      <c r="EK75" s="50"/>
      <c r="EL75" s="50"/>
      <c r="EM75" s="50"/>
      <c r="EN75" s="50"/>
      <c r="EO75" s="50"/>
      <c r="EP75" s="50"/>
      <c r="EQ75" s="50"/>
      <c r="ER75" s="50"/>
      <c r="ES75" s="50"/>
      <c r="ET75" s="50"/>
      <c r="EU75" s="50"/>
      <c r="EV75" s="50"/>
      <c r="EW75" s="50"/>
      <c r="EX75" s="50"/>
    </row>
    <row r="76" ht="15.7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  <c r="DC76" s="50"/>
      <c r="DD76" s="50"/>
      <c r="DE76" s="50"/>
      <c r="DF76" s="50"/>
      <c r="DG76" s="50"/>
      <c r="DH76" s="50"/>
      <c r="DI76" s="50"/>
      <c r="DJ76" s="50"/>
      <c r="DK76" s="50"/>
      <c r="DL76" s="50"/>
      <c r="DM76" s="50"/>
      <c r="DN76" s="50"/>
      <c r="DO76" s="50"/>
      <c r="DP76" s="50"/>
      <c r="DQ76" s="50"/>
      <c r="DR76" s="50"/>
      <c r="DS76" s="50"/>
      <c r="DT76" s="50"/>
      <c r="DU76" s="50"/>
      <c r="DV76" s="50"/>
      <c r="DW76" s="50"/>
      <c r="DX76" s="50"/>
      <c r="DY76" s="50"/>
      <c r="DZ76" s="50"/>
      <c r="EA76" s="50"/>
      <c r="EB76" s="50"/>
      <c r="EC76" s="50"/>
      <c r="ED76" s="50"/>
      <c r="EE76" s="50"/>
      <c r="EF76" s="50"/>
      <c r="EG76" s="50"/>
      <c r="EH76" s="50"/>
      <c r="EI76" s="50"/>
      <c r="EJ76" s="50"/>
      <c r="EK76" s="50"/>
      <c r="EL76" s="50"/>
      <c r="EM76" s="50"/>
      <c r="EN76" s="50"/>
      <c r="EO76" s="50"/>
      <c r="EP76" s="50"/>
      <c r="EQ76" s="50"/>
      <c r="ER76" s="50"/>
      <c r="ES76" s="50"/>
      <c r="ET76" s="50"/>
      <c r="EU76" s="50"/>
      <c r="EV76" s="50"/>
      <c r="EW76" s="50"/>
      <c r="EX76" s="50"/>
    </row>
    <row r="77" ht="15.7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  <c r="DC77" s="50"/>
      <c r="DD77" s="50"/>
      <c r="DE77" s="50"/>
      <c r="DF77" s="50"/>
      <c r="DG77" s="50"/>
      <c r="DH77" s="50"/>
      <c r="DI77" s="50"/>
      <c r="DJ77" s="50"/>
      <c r="DK77" s="50"/>
      <c r="DL77" s="50"/>
      <c r="DM77" s="50"/>
      <c r="DN77" s="50"/>
      <c r="DO77" s="50"/>
      <c r="DP77" s="50"/>
      <c r="DQ77" s="50"/>
      <c r="DR77" s="50"/>
      <c r="DS77" s="50"/>
      <c r="DT77" s="50"/>
      <c r="DU77" s="50"/>
      <c r="DV77" s="50"/>
      <c r="DW77" s="50"/>
      <c r="DX77" s="50"/>
      <c r="DY77" s="50"/>
      <c r="DZ77" s="50"/>
      <c r="EA77" s="50"/>
      <c r="EB77" s="50"/>
      <c r="EC77" s="50"/>
      <c r="ED77" s="50"/>
      <c r="EE77" s="50"/>
      <c r="EF77" s="50"/>
      <c r="EG77" s="50"/>
      <c r="EH77" s="50"/>
      <c r="EI77" s="50"/>
      <c r="EJ77" s="50"/>
      <c r="EK77" s="50"/>
      <c r="EL77" s="50"/>
      <c r="EM77" s="50"/>
      <c r="EN77" s="50"/>
      <c r="EO77" s="50"/>
      <c r="EP77" s="50"/>
      <c r="EQ77" s="50"/>
      <c r="ER77" s="50"/>
      <c r="ES77" s="50"/>
      <c r="ET77" s="50"/>
      <c r="EU77" s="50"/>
      <c r="EV77" s="50"/>
      <c r="EW77" s="50"/>
      <c r="EX77" s="50"/>
    </row>
    <row r="78" ht="15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50"/>
      <c r="DB78" s="50"/>
      <c r="DC78" s="50"/>
      <c r="DD78" s="50"/>
      <c r="DE78" s="50"/>
      <c r="DF78" s="50"/>
      <c r="DG78" s="50"/>
      <c r="DH78" s="50"/>
      <c r="DI78" s="50"/>
      <c r="DJ78" s="50"/>
      <c r="DK78" s="50"/>
      <c r="DL78" s="50"/>
      <c r="DM78" s="50"/>
      <c r="DN78" s="50"/>
      <c r="DO78" s="50"/>
      <c r="DP78" s="50"/>
      <c r="DQ78" s="50"/>
      <c r="DR78" s="50"/>
      <c r="DS78" s="50"/>
      <c r="DT78" s="50"/>
      <c r="DU78" s="50"/>
      <c r="DV78" s="50"/>
      <c r="DW78" s="50"/>
      <c r="DX78" s="50"/>
      <c r="DY78" s="50"/>
      <c r="DZ78" s="50"/>
      <c r="EA78" s="50"/>
      <c r="EB78" s="50"/>
      <c r="EC78" s="50"/>
      <c r="ED78" s="50"/>
      <c r="EE78" s="50"/>
      <c r="EF78" s="50"/>
      <c r="EG78" s="50"/>
      <c r="EH78" s="50"/>
      <c r="EI78" s="50"/>
      <c r="EJ78" s="50"/>
      <c r="EK78" s="50"/>
      <c r="EL78" s="50"/>
      <c r="EM78" s="50"/>
      <c r="EN78" s="50"/>
      <c r="EO78" s="50"/>
      <c r="EP78" s="50"/>
      <c r="EQ78" s="50"/>
      <c r="ER78" s="50"/>
      <c r="ES78" s="50"/>
      <c r="ET78" s="50"/>
      <c r="EU78" s="50"/>
      <c r="EV78" s="50"/>
      <c r="EW78" s="50"/>
      <c r="EX78" s="50"/>
    </row>
    <row r="79" ht="15.7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  <c r="DD79" s="50"/>
      <c r="DE79" s="50"/>
      <c r="DF79" s="50"/>
      <c r="DG79" s="50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/>
      <c r="DS79" s="50"/>
      <c r="DT79" s="50"/>
      <c r="DU79" s="50"/>
      <c r="DV79" s="50"/>
      <c r="DW79" s="50"/>
      <c r="DX79" s="50"/>
      <c r="DY79" s="50"/>
      <c r="DZ79" s="50"/>
      <c r="EA79" s="50"/>
      <c r="EB79" s="50"/>
      <c r="EC79" s="50"/>
      <c r="ED79" s="50"/>
      <c r="EE79" s="50"/>
      <c r="EF79" s="50"/>
      <c r="EG79" s="50"/>
      <c r="EH79" s="50"/>
      <c r="EI79" s="50"/>
      <c r="EJ79" s="50"/>
      <c r="EK79" s="50"/>
      <c r="EL79" s="50"/>
      <c r="EM79" s="50"/>
      <c r="EN79" s="50"/>
      <c r="EO79" s="50"/>
      <c r="EP79" s="50"/>
      <c r="EQ79" s="50"/>
      <c r="ER79" s="50"/>
      <c r="ES79" s="50"/>
      <c r="ET79" s="50"/>
      <c r="EU79" s="50"/>
      <c r="EV79" s="50"/>
      <c r="EW79" s="50"/>
      <c r="EX79" s="50"/>
    </row>
    <row r="80" ht="15.7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/>
      <c r="CZ80" s="50"/>
      <c r="DA80" s="50"/>
      <c r="DB80" s="50"/>
      <c r="DC80" s="50"/>
      <c r="DD80" s="50"/>
      <c r="DE80" s="50"/>
      <c r="DF80" s="50"/>
      <c r="DG80" s="50"/>
      <c r="DH80" s="50"/>
      <c r="DI80" s="50"/>
      <c r="DJ80" s="50"/>
      <c r="DK80" s="50"/>
      <c r="DL80" s="50"/>
      <c r="DM80" s="50"/>
      <c r="DN80" s="50"/>
      <c r="DO80" s="50"/>
      <c r="DP80" s="50"/>
      <c r="DQ80" s="50"/>
      <c r="DR80" s="50"/>
      <c r="DS80" s="50"/>
      <c r="DT80" s="50"/>
      <c r="DU80" s="50"/>
      <c r="DV80" s="50"/>
      <c r="DW80" s="50"/>
      <c r="DX80" s="50"/>
      <c r="DY80" s="50"/>
      <c r="DZ80" s="50"/>
      <c r="EA80" s="50"/>
      <c r="EB80" s="50"/>
      <c r="EC80" s="50"/>
      <c r="ED80" s="50"/>
      <c r="EE80" s="50"/>
      <c r="EF80" s="50"/>
      <c r="EG80" s="50"/>
      <c r="EH80" s="50"/>
      <c r="EI80" s="50"/>
      <c r="EJ80" s="50"/>
      <c r="EK80" s="50"/>
      <c r="EL80" s="50"/>
      <c r="EM80" s="50"/>
      <c r="EN80" s="50"/>
      <c r="EO80" s="50"/>
      <c r="EP80" s="50"/>
      <c r="EQ80" s="50"/>
      <c r="ER80" s="50"/>
      <c r="ES80" s="50"/>
      <c r="ET80" s="50"/>
      <c r="EU80" s="50"/>
      <c r="EV80" s="50"/>
      <c r="EW80" s="50"/>
      <c r="EX80" s="50"/>
    </row>
    <row r="81" ht="15.7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  <c r="CP81" s="50"/>
      <c r="CQ81" s="50"/>
      <c r="CR81" s="50"/>
      <c r="CS81" s="50"/>
      <c r="CT81" s="50"/>
      <c r="CU81" s="50"/>
      <c r="CV81" s="50"/>
      <c r="CW81" s="50"/>
      <c r="CX81" s="50"/>
      <c r="CY81" s="50"/>
      <c r="CZ81" s="50"/>
      <c r="DA81" s="50"/>
      <c r="DB81" s="50"/>
      <c r="DC81" s="50"/>
      <c r="DD81" s="50"/>
      <c r="DE81" s="50"/>
      <c r="DF81" s="50"/>
      <c r="DG81" s="50"/>
      <c r="DH81" s="50"/>
      <c r="DI81" s="50"/>
      <c r="DJ81" s="50"/>
      <c r="DK81" s="50"/>
      <c r="DL81" s="50"/>
      <c r="DM81" s="50"/>
      <c r="DN81" s="50"/>
      <c r="DO81" s="50"/>
      <c r="DP81" s="50"/>
      <c r="DQ81" s="50"/>
      <c r="DR81" s="50"/>
      <c r="DS81" s="50"/>
      <c r="DT81" s="50"/>
      <c r="DU81" s="50"/>
      <c r="DV81" s="50"/>
      <c r="DW81" s="50"/>
      <c r="DX81" s="50"/>
      <c r="DY81" s="50"/>
      <c r="DZ81" s="50"/>
      <c r="EA81" s="50"/>
      <c r="EB81" s="50"/>
      <c r="EC81" s="50"/>
      <c r="ED81" s="50"/>
      <c r="EE81" s="50"/>
      <c r="EF81" s="50"/>
      <c r="EG81" s="50"/>
      <c r="EH81" s="50"/>
      <c r="EI81" s="50"/>
      <c r="EJ81" s="50"/>
      <c r="EK81" s="50"/>
      <c r="EL81" s="50"/>
      <c r="EM81" s="50"/>
      <c r="EN81" s="50"/>
      <c r="EO81" s="50"/>
      <c r="EP81" s="50"/>
      <c r="EQ81" s="50"/>
      <c r="ER81" s="50"/>
      <c r="ES81" s="50"/>
      <c r="ET81" s="50"/>
      <c r="EU81" s="50"/>
      <c r="EV81" s="50"/>
      <c r="EW81" s="50"/>
      <c r="EX81" s="50"/>
    </row>
    <row r="82" ht="15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  <c r="BR82" s="50"/>
      <c r="BS82" s="50"/>
      <c r="BT82" s="50"/>
      <c r="BU82" s="50"/>
      <c r="BV82" s="50"/>
      <c r="BW82" s="50"/>
      <c r="BX82" s="50"/>
      <c r="BY82" s="50"/>
      <c r="BZ82" s="50"/>
      <c r="CA82" s="50"/>
      <c r="CB82" s="50"/>
      <c r="CC82" s="50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0"/>
      <c r="CO82" s="50"/>
      <c r="CP82" s="50"/>
      <c r="CQ82" s="50"/>
      <c r="CR82" s="50"/>
      <c r="CS82" s="50"/>
      <c r="CT82" s="50"/>
      <c r="CU82" s="50"/>
      <c r="CV82" s="50"/>
      <c r="CW82" s="50"/>
      <c r="CX82" s="50"/>
      <c r="CY82" s="50"/>
      <c r="CZ82" s="50"/>
      <c r="DA82" s="50"/>
      <c r="DB82" s="50"/>
      <c r="DC82" s="50"/>
      <c r="DD82" s="50"/>
      <c r="DE82" s="50"/>
      <c r="DF82" s="50"/>
      <c r="DG82" s="50"/>
      <c r="DH82" s="50"/>
      <c r="DI82" s="50"/>
      <c r="DJ82" s="50"/>
      <c r="DK82" s="50"/>
      <c r="DL82" s="50"/>
      <c r="DM82" s="50"/>
      <c r="DN82" s="50"/>
      <c r="DO82" s="50"/>
      <c r="DP82" s="50"/>
      <c r="DQ82" s="50"/>
      <c r="DR82" s="50"/>
      <c r="DS82" s="50"/>
      <c r="DT82" s="50"/>
      <c r="DU82" s="50"/>
      <c r="DV82" s="50"/>
      <c r="DW82" s="50"/>
      <c r="DX82" s="50"/>
      <c r="DY82" s="50"/>
      <c r="DZ82" s="50"/>
      <c r="EA82" s="50"/>
      <c r="EB82" s="50"/>
      <c r="EC82" s="50"/>
      <c r="ED82" s="50"/>
      <c r="EE82" s="50"/>
      <c r="EF82" s="50"/>
      <c r="EG82" s="50"/>
      <c r="EH82" s="50"/>
      <c r="EI82" s="50"/>
      <c r="EJ82" s="50"/>
      <c r="EK82" s="50"/>
      <c r="EL82" s="50"/>
      <c r="EM82" s="50"/>
      <c r="EN82" s="50"/>
      <c r="EO82" s="50"/>
      <c r="EP82" s="50"/>
      <c r="EQ82" s="50"/>
      <c r="ER82" s="50"/>
      <c r="ES82" s="50"/>
      <c r="ET82" s="50"/>
      <c r="EU82" s="50"/>
      <c r="EV82" s="50"/>
      <c r="EW82" s="50"/>
      <c r="EX82" s="50"/>
    </row>
    <row r="83" ht="15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  <c r="CP83" s="50"/>
      <c r="CQ83" s="50"/>
      <c r="CR83" s="50"/>
      <c r="CS83" s="50"/>
      <c r="CT83" s="50"/>
      <c r="CU83" s="50"/>
      <c r="CV83" s="50"/>
      <c r="CW83" s="50"/>
      <c r="CX83" s="50"/>
      <c r="CY83" s="50"/>
      <c r="CZ83" s="50"/>
      <c r="DA83" s="50"/>
      <c r="DB83" s="50"/>
      <c r="DC83" s="50"/>
      <c r="DD83" s="50"/>
      <c r="DE83" s="50"/>
      <c r="DF83" s="50"/>
      <c r="DG83" s="50"/>
      <c r="DH83" s="50"/>
      <c r="DI83" s="50"/>
      <c r="DJ83" s="50"/>
      <c r="DK83" s="50"/>
      <c r="DL83" s="50"/>
      <c r="DM83" s="50"/>
      <c r="DN83" s="50"/>
      <c r="DO83" s="50"/>
      <c r="DP83" s="50"/>
      <c r="DQ83" s="50"/>
      <c r="DR83" s="50"/>
      <c r="DS83" s="50"/>
      <c r="DT83" s="50"/>
      <c r="DU83" s="50"/>
      <c r="DV83" s="50"/>
      <c r="DW83" s="50"/>
      <c r="DX83" s="50"/>
      <c r="DY83" s="50"/>
      <c r="DZ83" s="50"/>
      <c r="EA83" s="50"/>
      <c r="EB83" s="50"/>
      <c r="EC83" s="50"/>
      <c r="ED83" s="50"/>
      <c r="EE83" s="50"/>
      <c r="EF83" s="50"/>
      <c r="EG83" s="50"/>
      <c r="EH83" s="50"/>
      <c r="EI83" s="50"/>
      <c r="EJ83" s="50"/>
      <c r="EK83" s="50"/>
      <c r="EL83" s="50"/>
      <c r="EM83" s="50"/>
      <c r="EN83" s="50"/>
      <c r="EO83" s="50"/>
      <c r="EP83" s="50"/>
      <c r="EQ83" s="50"/>
      <c r="ER83" s="50"/>
      <c r="ES83" s="50"/>
      <c r="ET83" s="50"/>
      <c r="EU83" s="50"/>
      <c r="EV83" s="50"/>
      <c r="EW83" s="50"/>
      <c r="EX83" s="50"/>
    </row>
    <row r="84" ht="15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  <c r="CP84" s="50"/>
      <c r="CQ84" s="50"/>
      <c r="CR84" s="50"/>
      <c r="CS84" s="50"/>
      <c r="CT84" s="50"/>
      <c r="CU84" s="50"/>
      <c r="CV84" s="50"/>
      <c r="CW84" s="50"/>
      <c r="CX84" s="50"/>
      <c r="CY84" s="50"/>
      <c r="CZ84" s="50"/>
      <c r="DA84" s="50"/>
      <c r="DB84" s="50"/>
      <c r="DC84" s="50"/>
      <c r="DD84" s="50"/>
      <c r="DE84" s="50"/>
      <c r="DF84" s="50"/>
      <c r="DG84" s="50"/>
      <c r="DH84" s="50"/>
      <c r="DI84" s="50"/>
      <c r="DJ84" s="50"/>
      <c r="DK84" s="50"/>
      <c r="DL84" s="50"/>
      <c r="DM84" s="50"/>
      <c r="DN84" s="50"/>
      <c r="DO84" s="50"/>
      <c r="DP84" s="50"/>
      <c r="DQ84" s="50"/>
      <c r="DR84" s="50"/>
      <c r="DS84" s="50"/>
      <c r="DT84" s="50"/>
      <c r="DU84" s="50"/>
      <c r="DV84" s="50"/>
      <c r="DW84" s="50"/>
      <c r="DX84" s="50"/>
      <c r="DY84" s="50"/>
      <c r="DZ84" s="50"/>
      <c r="EA84" s="50"/>
      <c r="EB84" s="50"/>
      <c r="EC84" s="50"/>
      <c r="ED84" s="50"/>
      <c r="EE84" s="50"/>
      <c r="EF84" s="50"/>
      <c r="EG84" s="50"/>
      <c r="EH84" s="50"/>
      <c r="EI84" s="50"/>
      <c r="EJ84" s="50"/>
      <c r="EK84" s="50"/>
      <c r="EL84" s="50"/>
      <c r="EM84" s="50"/>
      <c r="EN84" s="50"/>
      <c r="EO84" s="50"/>
      <c r="EP84" s="50"/>
      <c r="EQ84" s="50"/>
      <c r="ER84" s="50"/>
      <c r="ES84" s="50"/>
      <c r="ET84" s="50"/>
      <c r="EU84" s="50"/>
      <c r="EV84" s="50"/>
      <c r="EW84" s="50"/>
      <c r="EX84" s="50"/>
    </row>
    <row r="85" ht="15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  <c r="CP85" s="50"/>
      <c r="CQ85" s="50"/>
      <c r="CR85" s="50"/>
      <c r="CS85" s="50"/>
      <c r="CT85" s="50"/>
      <c r="CU85" s="50"/>
      <c r="CV85" s="50"/>
      <c r="CW85" s="50"/>
      <c r="CX85" s="50"/>
      <c r="CY85" s="50"/>
      <c r="CZ85" s="50"/>
      <c r="DA85" s="50"/>
      <c r="DB85" s="50"/>
      <c r="DC85" s="50"/>
      <c r="DD85" s="50"/>
      <c r="DE85" s="50"/>
      <c r="DF85" s="50"/>
      <c r="DG85" s="50"/>
      <c r="DH85" s="50"/>
      <c r="DI85" s="50"/>
      <c r="DJ85" s="50"/>
      <c r="DK85" s="50"/>
      <c r="DL85" s="50"/>
      <c r="DM85" s="50"/>
      <c r="DN85" s="50"/>
      <c r="DO85" s="50"/>
      <c r="DP85" s="50"/>
      <c r="DQ85" s="50"/>
      <c r="DR85" s="50"/>
      <c r="DS85" s="50"/>
      <c r="DT85" s="50"/>
      <c r="DU85" s="50"/>
      <c r="DV85" s="50"/>
      <c r="DW85" s="50"/>
      <c r="DX85" s="50"/>
      <c r="DY85" s="50"/>
      <c r="DZ85" s="50"/>
      <c r="EA85" s="50"/>
      <c r="EB85" s="50"/>
      <c r="EC85" s="50"/>
      <c r="ED85" s="50"/>
      <c r="EE85" s="50"/>
      <c r="EF85" s="50"/>
      <c r="EG85" s="50"/>
      <c r="EH85" s="50"/>
      <c r="EI85" s="50"/>
      <c r="EJ85" s="50"/>
      <c r="EK85" s="50"/>
      <c r="EL85" s="50"/>
      <c r="EM85" s="50"/>
      <c r="EN85" s="50"/>
      <c r="EO85" s="50"/>
      <c r="EP85" s="50"/>
      <c r="EQ85" s="50"/>
      <c r="ER85" s="50"/>
      <c r="ES85" s="50"/>
      <c r="ET85" s="50"/>
      <c r="EU85" s="50"/>
      <c r="EV85" s="50"/>
      <c r="EW85" s="50"/>
      <c r="EX85" s="50"/>
    </row>
    <row r="86" ht="15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  <c r="DA86" s="50"/>
      <c r="DB86" s="50"/>
      <c r="DC86" s="50"/>
      <c r="DD86" s="50"/>
      <c r="DE86" s="50"/>
      <c r="DF86" s="50"/>
      <c r="DG86" s="50"/>
      <c r="DH86" s="50"/>
      <c r="DI86" s="50"/>
      <c r="DJ86" s="50"/>
      <c r="DK86" s="50"/>
      <c r="DL86" s="50"/>
      <c r="DM86" s="50"/>
      <c r="DN86" s="50"/>
      <c r="DO86" s="50"/>
      <c r="DP86" s="50"/>
      <c r="DQ86" s="50"/>
      <c r="DR86" s="50"/>
      <c r="DS86" s="50"/>
      <c r="DT86" s="50"/>
      <c r="DU86" s="50"/>
      <c r="DV86" s="50"/>
      <c r="DW86" s="50"/>
      <c r="DX86" s="50"/>
      <c r="DY86" s="50"/>
      <c r="DZ86" s="50"/>
      <c r="EA86" s="50"/>
      <c r="EB86" s="50"/>
      <c r="EC86" s="50"/>
      <c r="ED86" s="50"/>
      <c r="EE86" s="50"/>
      <c r="EF86" s="50"/>
      <c r="EG86" s="50"/>
      <c r="EH86" s="50"/>
      <c r="EI86" s="50"/>
      <c r="EJ86" s="50"/>
      <c r="EK86" s="50"/>
      <c r="EL86" s="50"/>
      <c r="EM86" s="50"/>
      <c r="EN86" s="50"/>
      <c r="EO86" s="50"/>
      <c r="EP86" s="50"/>
      <c r="EQ86" s="50"/>
      <c r="ER86" s="50"/>
      <c r="ES86" s="50"/>
      <c r="ET86" s="50"/>
      <c r="EU86" s="50"/>
      <c r="EV86" s="50"/>
      <c r="EW86" s="50"/>
      <c r="EX86" s="50"/>
    </row>
    <row r="87" ht="15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0"/>
      <c r="DD87" s="50"/>
      <c r="DE87" s="50"/>
      <c r="DF87" s="50"/>
      <c r="DG87" s="50"/>
      <c r="DH87" s="50"/>
      <c r="DI87" s="50"/>
      <c r="DJ87" s="50"/>
      <c r="DK87" s="50"/>
      <c r="DL87" s="50"/>
      <c r="DM87" s="50"/>
      <c r="DN87" s="50"/>
      <c r="DO87" s="50"/>
      <c r="DP87" s="50"/>
      <c r="DQ87" s="50"/>
      <c r="DR87" s="50"/>
      <c r="DS87" s="50"/>
      <c r="DT87" s="50"/>
      <c r="DU87" s="50"/>
      <c r="DV87" s="50"/>
      <c r="DW87" s="50"/>
      <c r="DX87" s="50"/>
      <c r="DY87" s="50"/>
      <c r="DZ87" s="50"/>
      <c r="EA87" s="50"/>
      <c r="EB87" s="50"/>
      <c r="EC87" s="50"/>
      <c r="ED87" s="50"/>
      <c r="EE87" s="50"/>
      <c r="EF87" s="50"/>
      <c r="EG87" s="50"/>
      <c r="EH87" s="50"/>
      <c r="EI87" s="50"/>
      <c r="EJ87" s="50"/>
      <c r="EK87" s="50"/>
      <c r="EL87" s="50"/>
      <c r="EM87" s="50"/>
      <c r="EN87" s="50"/>
      <c r="EO87" s="50"/>
      <c r="EP87" s="50"/>
      <c r="EQ87" s="50"/>
      <c r="ER87" s="50"/>
      <c r="ES87" s="50"/>
      <c r="ET87" s="50"/>
      <c r="EU87" s="50"/>
      <c r="EV87" s="50"/>
      <c r="EW87" s="50"/>
      <c r="EX87" s="50"/>
    </row>
    <row r="88" ht="15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  <c r="DA88" s="50"/>
      <c r="DB88" s="50"/>
      <c r="DC88" s="50"/>
      <c r="DD88" s="50"/>
      <c r="DE88" s="50"/>
      <c r="DF88" s="50"/>
      <c r="DG88" s="50"/>
      <c r="DH88" s="50"/>
      <c r="DI88" s="50"/>
      <c r="DJ88" s="50"/>
      <c r="DK88" s="50"/>
      <c r="DL88" s="50"/>
      <c r="DM88" s="50"/>
      <c r="DN88" s="50"/>
      <c r="DO88" s="50"/>
      <c r="DP88" s="50"/>
      <c r="DQ88" s="50"/>
      <c r="DR88" s="50"/>
      <c r="DS88" s="50"/>
      <c r="DT88" s="50"/>
      <c r="DU88" s="50"/>
      <c r="DV88" s="50"/>
      <c r="DW88" s="50"/>
      <c r="DX88" s="50"/>
      <c r="DY88" s="50"/>
      <c r="DZ88" s="50"/>
      <c r="EA88" s="50"/>
      <c r="EB88" s="50"/>
      <c r="EC88" s="50"/>
      <c r="ED88" s="50"/>
      <c r="EE88" s="50"/>
      <c r="EF88" s="50"/>
      <c r="EG88" s="50"/>
      <c r="EH88" s="50"/>
      <c r="EI88" s="50"/>
      <c r="EJ88" s="50"/>
      <c r="EK88" s="50"/>
      <c r="EL88" s="50"/>
      <c r="EM88" s="50"/>
      <c r="EN88" s="50"/>
      <c r="EO88" s="50"/>
      <c r="EP88" s="50"/>
      <c r="EQ88" s="50"/>
      <c r="ER88" s="50"/>
      <c r="ES88" s="50"/>
      <c r="ET88" s="50"/>
      <c r="EU88" s="50"/>
      <c r="EV88" s="50"/>
      <c r="EW88" s="50"/>
      <c r="EX88" s="50"/>
    </row>
    <row r="89" ht="15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  <c r="DA89" s="50"/>
      <c r="DB89" s="50"/>
      <c r="DC89" s="50"/>
      <c r="DD89" s="50"/>
      <c r="DE89" s="50"/>
      <c r="DF89" s="50"/>
      <c r="DG89" s="50"/>
      <c r="DH89" s="50"/>
      <c r="DI89" s="50"/>
      <c r="DJ89" s="50"/>
      <c r="DK89" s="50"/>
      <c r="DL89" s="50"/>
      <c r="DM89" s="50"/>
      <c r="DN89" s="50"/>
      <c r="DO89" s="50"/>
      <c r="DP89" s="50"/>
      <c r="DQ89" s="50"/>
      <c r="DR89" s="50"/>
      <c r="DS89" s="50"/>
      <c r="DT89" s="50"/>
      <c r="DU89" s="50"/>
      <c r="DV89" s="50"/>
      <c r="DW89" s="50"/>
      <c r="DX89" s="50"/>
      <c r="DY89" s="50"/>
      <c r="DZ89" s="50"/>
      <c r="EA89" s="50"/>
      <c r="EB89" s="50"/>
      <c r="EC89" s="50"/>
      <c r="ED89" s="50"/>
      <c r="EE89" s="50"/>
      <c r="EF89" s="50"/>
      <c r="EG89" s="50"/>
      <c r="EH89" s="50"/>
      <c r="EI89" s="50"/>
      <c r="EJ89" s="50"/>
      <c r="EK89" s="50"/>
      <c r="EL89" s="50"/>
      <c r="EM89" s="50"/>
      <c r="EN89" s="50"/>
      <c r="EO89" s="50"/>
      <c r="EP89" s="50"/>
      <c r="EQ89" s="50"/>
      <c r="ER89" s="50"/>
      <c r="ES89" s="50"/>
      <c r="ET89" s="50"/>
      <c r="EU89" s="50"/>
      <c r="EV89" s="50"/>
      <c r="EW89" s="50"/>
      <c r="EX89" s="50"/>
    </row>
    <row r="90" ht="15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  <c r="DB90" s="50"/>
      <c r="DC90" s="50"/>
      <c r="DD90" s="50"/>
      <c r="DE90" s="50"/>
      <c r="DF90" s="50"/>
      <c r="DG90" s="50"/>
      <c r="DH90" s="50"/>
      <c r="DI90" s="50"/>
      <c r="DJ90" s="50"/>
      <c r="DK90" s="50"/>
      <c r="DL90" s="50"/>
      <c r="DM90" s="50"/>
      <c r="DN90" s="50"/>
      <c r="DO90" s="50"/>
      <c r="DP90" s="50"/>
      <c r="DQ90" s="50"/>
      <c r="DR90" s="50"/>
      <c r="DS90" s="50"/>
      <c r="DT90" s="50"/>
      <c r="DU90" s="50"/>
      <c r="DV90" s="50"/>
      <c r="DW90" s="50"/>
      <c r="DX90" s="50"/>
      <c r="DY90" s="50"/>
      <c r="DZ90" s="50"/>
      <c r="EA90" s="50"/>
      <c r="EB90" s="50"/>
      <c r="EC90" s="50"/>
      <c r="ED90" s="50"/>
      <c r="EE90" s="50"/>
      <c r="EF90" s="50"/>
      <c r="EG90" s="50"/>
      <c r="EH90" s="50"/>
      <c r="EI90" s="50"/>
      <c r="EJ90" s="50"/>
      <c r="EK90" s="50"/>
      <c r="EL90" s="50"/>
      <c r="EM90" s="50"/>
      <c r="EN90" s="50"/>
      <c r="EO90" s="50"/>
      <c r="EP90" s="50"/>
      <c r="EQ90" s="50"/>
      <c r="ER90" s="50"/>
      <c r="ES90" s="50"/>
      <c r="ET90" s="50"/>
      <c r="EU90" s="50"/>
      <c r="EV90" s="50"/>
      <c r="EW90" s="50"/>
      <c r="EX90" s="50"/>
    </row>
    <row r="91" ht="15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0"/>
      <c r="CS91" s="50"/>
      <c r="CT91" s="50"/>
      <c r="CU91" s="50"/>
      <c r="CV91" s="50"/>
      <c r="CW91" s="50"/>
      <c r="CX91" s="50"/>
      <c r="CY91" s="50"/>
      <c r="CZ91" s="50"/>
      <c r="DA91" s="50"/>
      <c r="DB91" s="50"/>
      <c r="DC91" s="50"/>
      <c r="DD91" s="50"/>
      <c r="DE91" s="50"/>
      <c r="DF91" s="50"/>
      <c r="DG91" s="50"/>
      <c r="DH91" s="50"/>
      <c r="DI91" s="50"/>
      <c r="DJ91" s="50"/>
      <c r="DK91" s="50"/>
      <c r="DL91" s="50"/>
      <c r="DM91" s="50"/>
      <c r="DN91" s="50"/>
      <c r="DO91" s="50"/>
      <c r="DP91" s="50"/>
      <c r="DQ91" s="50"/>
      <c r="DR91" s="50"/>
      <c r="DS91" s="50"/>
      <c r="DT91" s="50"/>
      <c r="DU91" s="50"/>
      <c r="DV91" s="50"/>
      <c r="DW91" s="50"/>
      <c r="DX91" s="50"/>
      <c r="DY91" s="50"/>
      <c r="DZ91" s="50"/>
      <c r="EA91" s="50"/>
      <c r="EB91" s="50"/>
      <c r="EC91" s="50"/>
      <c r="ED91" s="50"/>
      <c r="EE91" s="50"/>
      <c r="EF91" s="50"/>
      <c r="EG91" s="50"/>
      <c r="EH91" s="50"/>
      <c r="EI91" s="50"/>
      <c r="EJ91" s="50"/>
      <c r="EK91" s="50"/>
      <c r="EL91" s="50"/>
      <c r="EM91" s="50"/>
      <c r="EN91" s="50"/>
      <c r="EO91" s="50"/>
      <c r="EP91" s="50"/>
      <c r="EQ91" s="50"/>
      <c r="ER91" s="50"/>
      <c r="ES91" s="50"/>
      <c r="ET91" s="50"/>
      <c r="EU91" s="50"/>
      <c r="EV91" s="50"/>
      <c r="EW91" s="50"/>
      <c r="EX91" s="50"/>
    </row>
    <row r="92" ht="15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  <c r="CP92" s="50"/>
      <c r="CQ92" s="50"/>
      <c r="CR92" s="50"/>
      <c r="CS92" s="50"/>
      <c r="CT92" s="50"/>
      <c r="CU92" s="50"/>
      <c r="CV92" s="50"/>
      <c r="CW92" s="50"/>
      <c r="CX92" s="50"/>
      <c r="CY92" s="50"/>
      <c r="CZ92" s="50"/>
      <c r="DA92" s="50"/>
      <c r="DB92" s="50"/>
      <c r="DC92" s="50"/>
      <c r="DD92" s="50"/>
      <c r="DE92" s="50"/>
      <c r="DF92" s="50"/>
      <c r="DG92" s="50"/>
      <c r="DH92" s="50"/>
      <c r="DI92" s="50"/>
      <c r="DJ92" s="50"/>
      <c r="DK92" s="50"/>
      <c r="DL92" s="50"/>
      <c r="DM92" s="50"/>
      <c r="DN92" s="50"/>
      <c r="DO92" s="50"/>
      <c r="DP92" s="50"/>
      <c r="DQ92" s="50"/>
      <c r="DR92" s="50"/>
      <c r="DS92" s="50"/>
      <c r="DT92" s="50"/>
      <c r="DU92" s="50"/>
      <c r="DV92" s="50"/>
      <c r="DW92" s="50"/>
      <c r="DX92" s="50"/>
      <c r="DY92" s="50"/>
      <c r="DZ92" s="50"/>
      <c r="EA92" s="50"/>
      <c r="EB92" s="50"/>
      <c r="EC92" s="50"/>
      <c r="ED92" s="50"/>
      <c r="EE92" s="50"/>
      <c r="EF92" s="50"/>
      <c r="EG92" s="50"/>
      <c r="EH92" s="50"/>
      <c r="EI92" s="50"/>
      <c r="EJ92" s="50"/>
      <c r="EK92" s="50"/>
      <c r="EL92" s="50"/>
      <c r="EM92" s="50"/>
      <c r="EN92" s="50"/>
      <c r="EO92" s="50"/>
      <c r="EP92" s="50"/>
      <c r="EQ92" s="50"/>
      <c r="ER92" s="50"/>
      <c r="ES92" s="50"/>
      <c r="ET92" s="50"/>
      <c r="EU92" s="50"/>
      <c r="EV92" s="50"/>
      <c r="EW92" s="50"/>
      <c r="EX92" s="50"/>
    </row>
    <row r="93" ht="15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50"/>
      <c r="CY93" s="50"/>
      <c r="CZ93" s="50"/>
      <c r="DA93" s="50"/>
      <c r="DB93" s="50"/>
      <c r="DC93" s="50"/>
      <c r="DD93" s="50"/>
      <c r="DE93" s="50"/>
      <c r="DF93" s="50"/>
      <c r="DG93" s="50"/>
      <c r="DH93" s="50"/>
      <c r="DI93" s="50"/>
      <c r="DJ93" s="50"/>
      <c r="DK93" s="50"/>
      <c r="DL93" s="50"/>
      <c r="DM93" s="50"/>
      <c r="DN93" s="50"/>
      <c r="DO93" s="50"/>
      <c r="DP93" s="50"/>
      <c r="DQ93" s="50"/>
      <c r="DR93" s="50"/>
      <c r="DS93" s="50"/>
      <c r="DT93" s="50"/>
      <c r="DU93" s="50"/>
      <c r="DV93" s="50"/>
      <c r="DW93" s="50"/>
      <c r="DX93" s="50"/>
      <c r="DY93" s="50"/>
      <c r="DZ93" s="50"/>
      <c r="EA93" s="50"/>
      <c r="EB93" s="50"/>
      <c r="EC93" s="50"/>
      <c r="ED93" s="50"/>
      <c r="EE93" s="50"/>
      <c r="EF93" s="50"/>
      <c r="EG93" s="50"/>
      <c r="EH93" s="50"/>
      <c r="EI93" s="50"/>
      <c r="EJ93" s="50"/>
      <c r="EK93" s="50"/>
      <c r="EL93" s="50"/>
      <c r="EM93" s="50"/>
      <c r="EN93" s="50"/>
      <c r="EO93" s="50"/>
      <c r="EP93" s="50"/>
      <c r="EQ93" s="50"/>
      <c r="ER93" s="50"/>
      <c r="ES93" s="50"/>
      <c r="ET93" s="50"/>
      <c r="EU93" s="50"/>
      <c r="EV93" s="50"/>
      <c r="EW93" s="50"/>
      <c r="EX93" s="50"/>
    </row>
    <row r="94" ht="15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  <c r="DA94" s="50"/>
      <c r="DB94" s="50"/>
      <c r="DC94" s="50"/>
      <c r="DD94" s="50"/>
      <c r="DE94" s="50"/>
      <c r="DF94" s="50"/>
      <c r="DG94" s="50"/>
      <c r="DH94" s="50"/>
      <c r="DI94" s="50"/>
      <c r="DJ94" s="50"/>
      <c r="DK94" s="50"/>
      <c r="DL94" s="50"/>
      <c r="DM94" s="50"/>
      <c r="DN94" s="50"/>
      <c r="DO94" s="50"/>
      <c r="DP94" s="50"/>
      <c r="DQ94" s="50"/>
      <c r="DR94" s="50"/>
      <c r="DS94" s="50"/>
      <c r="DT94" s="50"/>
      <c r="DU94" s="50"/>
      <c r="DV94" s="50"/>
      <c r="DW94" s="50"/>
      <c r="DX94" s="50"/>
      <c r="DY94" s="50"/>
      <c r="DZ94" s="50"/>
      <c r="EA94" s="50"/>
      <c r="EB94" s="50"/>
      <c r="EC94" s="50"/>
      <c r="ED94" s="50"/>
      <c r="EE94" s="50"/>
      <c r="EF94" s="50"/>
      <c r="EG94" s="50"/>
      <c r="EH94" s="50"/>
      <c r="EI94" s="50"/>
      <c r="EJ94" s="50"/>
      <c r="EK94" s="50"/>
      <c r="EL94" s="50"/>
      <c r="EM94" s="50"/>
      <c r="EN94" s="50"/>
      <c r="EO94" s="50"/>
      <c r="EP94" s="50"/>
      <c r="EQ94" s="50"/>
      <c r="ER94" s="50"/>
      <c r="ES94" s="50"/>
      <c r="ET94" s="50"/>
      <c r="EU94" s="50"/>
      <c r="EV94" s="50"/>
      <c r="EW94" s="50"/>
      <c r="EX94" s="50"/>
    </row>
    <row r="95" ht="15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  <c r="DA95" s="50"/>
      <c r="DB95" s="50"/>
      <c r="DC95" s="50"/>
      <c r="DD95" s="50"/>
      <c r="DE95" s="50"/>
      <c r="DF95" s="50"/>
      <c r="DG95" s="50"/>
      <c r="DH95" s="50"/>
      <c r="DI95" s="50"/>
      <c r="DJ95" s="50"/>
      <c r="DK95" s="50"/>
      <c r="DL95" s="50"/>
      <c r="DM95" s="50"/>
      <c r="DN95" s="50"/>
      <c r="DO95" s="50"/>
      <c r="DP95" s="50"/>
      <c r="DQ95" s="50"/>
      <c r="DR95" s="50"/>
      <c r="DS95" s="50"/>
      <c r="DT95" s="50"/>
      <c r="DU95" s="50"/>
      <c r="DV95" s="50"/>
      <c r="DW95" s="50"/>
      <c r="DX95" s="50"/>
      <c r="DY95" s="50"/>
      <c r="DZ95" s="50"/>
      <c r="EA95" s="50"/>
      <c r="EB95" s="50"/>
      <c r="EC95" s="50"/>
      <c r="ED95" s="50"/>
      <c r="EE95" s="50"/>
      <c r="EF95" s="50"/>
      <c r="EG95" s="50"/>
      <c r="EH95" s="50"/>
      <c r="EI95" s="50"/>
      <c r="EJ95" s="50"/>
      <c r="EK95" s="50"/>
      <c r="EL95" s="50"/>
      <c r="EM95" s="50"/>
      <c r="EN95" s="50"/>
      <c r="EO95" s="50"/>
      <c r="EP95" s="50"/>
      <c r="EQ95" s="50"/>
      <c r="ER95" s="50"/>
      <c r="ES95" s="50"/>
      <c r="ET95" s="50"/>
      <c r="EU95" s="50"/>
      <c r="EV95" s="50"/>
      <c r="EW95" s="50"/>
      <c r="EX95" s="50"/>
    </row>
    <row r="96" ht="15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  <c r="CP96" s="50"/>
      <c r="CQ96" s="50"/>
      <c r="CR96" s="50"/>
      <c r="CS96" s="50"/>
      <c r="CT96" s="50"/>
      <c r="CU96" s="50"/>
      <c r="CV96" s="50"/>
      <c r="CW96" s="50"/>
      <c r="CX96" s="50"/>
      <c r="CY96" s="50"/>
      <c r="CZ96" s="50"/>
      <c r="DA96" s="50"/>
      <c r="DB96" s="50"/>
      <c r="DC96" s="50"/>
      <c r="DD96" s="50"/>
      <c r="DE96" s="50"/>
      <c r="DF96" s="50"/>
      <c r="DG96" s="50"/>
      <c r="DH96" s="50"/>
      <c r="DI96" s="50"/>
      <c r="DJ96" s="50"/>
      <c r="DK96" s="50"/>
      <c r="DL96" s="50"/>
      <c r="DM96" s="50"/>
      <c r="DN96" s="50"/>
      <c r="DO96" s="50"/>
      <c r="DP96" s="50"/>
      <c r="DQ96" s="50"/>
      <c r="DR96" s="50"/>
      <c r="DS96" s="50"/>
      <c r="DT96" s="50"/>
      <c r="DU96" s="50"/>
      <c r="DV96" s="50"/>
      <c r="DW96" s="50"/>
      <c r="DX96" s="50"/>
      <c r="DY96" s="50"/>
      <c r="DZ96" s="50"/>
      <c r="EA96" s="50"/>
      <c r="EB96" s="50"/>
      <c r="EC96" s="50"/>
      <c r="ED96" s="50"/>
      <c r="EE96" s="50"/>
      <c r="EF96" s="50"/>
      <c r="EG96" s="50"/>
      <c r="EH96" s="50"/>
      <c r="EI96" s="50"/>
      <c r="EJ96" s="50"/>
      <c r="EK96" s="50"/>
      <c r="EL96" s="50"/>
      <c r="EM96" s="50"/>
      <c r="EN96" s="50"/>
      <c r="EO96" s="50"/>
      <c r="EP96" s="50"/>
      <c r="EQ96" s="50"/>
      <c r="ER96" s="50"/>
      <c r="ES96" s="50"/>
      <c r="ET96" s="50"/>
      <c r="EU96" s="50"/>
      <c r="EV96" s="50"/>
      <c r="EW96" s="50"/>
      <c r="EX96" s="50"/>
    </row>
    <row r="97" ht="15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50"/>
      <c r="DB97" s="50"/>
      <c r="DC97" s="50"/>
      <c r="DD97" s="50"/>
      <c r="DE97" s="50"/>
      <c r="DF97" s="50"/>
      <c r="DG97" s="50"/>
      <c r="DH97" s="50"/>
      <c r="DI97" s="50"/>
      <c r="DJ97" s="50"/>
      <c r="DK97" s="50"/>
      <c r="DL97" s="50"/>
      <c r="DM97" s="50"/>
      <c r="DN97" s="50"/>
      <c r="DO97" s="50"/>
      <c r="DP97" s="50"/>
      <c r="DQ97" s="50"/>
      <c r="DR97" s="50"/>
      <c r="DS97" s="50"/>
      <c r="DT97" s="50"/>
      <c r="DU97" s="50"/>
      <c r="DV97" s="50"/>
      <c r="DW97" s="50"/>
      <c r="DX97" s="50"/>
      <c r="DY97" s="50"/>
      <c r="DZ97" s="50"/>
      <c r="EA97" s="50"/>
      <c r="EB97" s="50"/>
      <c r="EC97" s="50"/>
      <c r="ED97" s="50"/>
      <c r="EE97" s="50"/>
      <c r="EF97" s="50"/>
      <c r="EG97" s="50"/>
      <c r="EH97" s="50"/>
      <c r="EI97" s="50"/>
      <c r="EJ97" s="50"/>
      <c r="EK97" s="50"/>
      <c r="EL97" s="50"/>
      <c r="EM97" s="50"/>
      <c r="EN97" s="50"/>
      <c r="EO97" s="50"/>
      <c r="EP97" s="50"/>
      <c r="EQ97" s="50"/>
      <c r="ER97" s="50"/>
      <c r="ES97" s="50"/>
      <c r="ET97" s="50"/>
      <c r="EU97" s="50"/>
      <c r="EV97" s="50"/>
      <c r="EW97" s="50"/>
      <c r="EX97" s="50"/>
    </row>
    <row r="98" ht="15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50"/>
      <c r="DB98" s="50"/>
      <c r="DC98" s="50"/>
      <c r="DD98" s="50"/>
      <c r="DE98" s="50"/>
      <c r="DF98" s="50"/>
      <c r="DG98" s="50"/>
      <c r="DH98" s="50"/>
      <c r="DI98" s="50"/>
      <c r="DJ98" s="50"/>
      <c r="DK98" s="50"/>
      <c r="DL98" s="50"/>
      <c r="DM98" s="50"/>
      <c r="DN98" s="50"/>
      <c r="DO98" s="50"/>
      <c r="DP98" s="50"/>
      <c r="DQ98" s="50"/>
      <c r="DR98" s="50"/>
      <c r="DS98" s="50"/>
      <c r="DT98" s="50"/>
      <c r="DU98" s="50"/>
      <c r="DV98" s="50"/>
      <c r="DW98" s="50"/>
      <c r="DX98" s="50"/>
      <c r="DY98" s="50"/>
      <c r="DZ98" s="50"/>
      <c r="EA98" s="50"/>
      <c r="EB98" s="50"/>
      <c r="EC98" s="50"/>
      <c r="ED98" s="50"/>
      <c r="EE98" s="50"/>
      <c r="EF98" s="50"/>
      <c r="EG98" s="50"/>
      <c r="EH98" s="50"/>
      <c r="EI98" s="50"/>
      <c r="EJ98" s="50"/>
      <c r="EK98" s="50"/>
      <c r="EL98" s="50"/>
      <c r="EM98" s="50"/>
      <c r="EN98" s="50"/>
      <c r="EO98" s="50"/>
      <c r="EP98" s="50"/>
      <c r="EQ98" s="50"/>
      <c r="ER98" s="50"/>
      <c r="ES98" s="50"/>
      <c r="ET98" s="50"/>
      <c r="EU98" s="50"/>
      <c r="EV98" s="50"/>
      <c r="EW98" s="50"/>
      <c r="EX98" s="50"/>
    </row>
    <row r="99" ht="15.7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  <c r="CP99" s="50"/>
      <c r="CQ99" s="50"/>
      <c r="CR99" s="50"/>
      <c r="CS99" s="50"/>
      <c r="CT99" s="50"/>
      <c r="CU99" s="50"/>
      <c r="CV99" s="50"/>
      <c r="CW99" s="50"/>
      <c r="CX99" s="50"/>
      <c r="CY99" s="50"/>
      <c r="CZ99" s="50"/>
      <c r="DA99" s="50"/>
      <c r="DB99" s="50"/>
      <c r="DC99" s="50"/>
      <c r="DD99" s="50"/>
      <c r="DE99" s="50"/>
      <c r="DF99" s="50"/>
      <c r="DG99" s="50"/>
      <c r="DH99" s="50"/>
      <c r="DI99" s="50"/>
      <c r="DJ99" s="50"/>
      <c r="DK99" s="50"/>
      <c r="DL99" s="50"/>
      <c r="DM99" s="50"/>
      <c r="DN99" s="50"/>
      <c r="DO99" s="50"/>
      <c r="DP99" s="50"/>
      <c r="DQ99" s="50"/>
      <c r="DR99" s="50"/>
      <c r="DS99" s="50"/>
      <c r="DT99" s="50"/>
      <c r="DU99" s="50"/>
      <c r="DV99" s="50"/>
      <c r="DW99" s="50"/>
      <c r="DX99" s="50"/>
      <c r="DY99" s="50"/>
      <c r="DZ99" s="50"/>
      <c r="EA99" s="50"/>
      <c r="EB99" s="50"/>
      <c r="EC99" s="50"/>
      <c r="ED99" s="50"/>
      <c r="EE99" s="50"/>
      <c r="EF99" s="50"/>
      <c r="EG99" s="50"/>
      <c r="EH99" s="50"/>
      <c r="EI99" s="50"/>
      <c r="EJ99" s="50"/>
      <c r="EK99" s="50"/>
      <c r="EL99" s="50"/>
      <c r="EM99" s="50"/>
      <c r="EN99" s="50"/>
      <c r="EO99" s="50"/>
      <c r="EP99" s="50"/>
      <c r="EQ99" s="50"/>
      <c r="ER99" s="50"/>
      <c r="ES99" s="50"/>
      <c r="ET99" s="50"/>
      <c r="EU99" s="50"/>
      <c r="EV99" s="50"/>
      <c r="EW99" s="50"/>
      <c r="EX99" s="50"/>
    </row>
    <row r="100" ht="15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  <c r="CE100" s="50"/>
      <c r="CF100" s="50"/>
      <c r="CG100" s="50"/>
      <c r="CH100" s="50"/>
      <c r="CI100" s="50"/>
      <c r="CJ100" s="50"/>
      <c r="CK100" s="50"/>
      <c r="CL100" s="50"/>
      <c r="CM100" s="50"/>
      <c r="CN100" s="50"/>
      <c r="CO100" s="50"/>
      <c r="CP100" s="50"/>
      <c r="CQ100" s="50"/>
      <c r="CR100" s="50"/>
      <c r="CS100" s="50"/>
      <c r="CT100" s="50"/>
      <c r="CU100" s="50"/>
      <c r="CV100" s="50"/>
      <c r="CW100" s="50"/>
      <c r="CX100" s="50"/>
      <c r="CY100" s="50"/>
      <c r="CZ100" s="50"/>
      <c r="DA100" s="50"/>
      <c r="DB100" s="50"/>
      <c r="DC100" s="50"/>
      <c r="DD100" s="50"/>
      <c r="DE100" s="50"/>
      <c r="DF100" s="50"/>
      <c r="DG100" s="50"/>
      <c r="DH100" s="50"/>
      <c r="DI100" s="50"/>
      <c r="DJ100" s="50"/>
      <c r="DK100" s="50"/>
      <c r="DL100" s="50"/>
      <c r="DM100" s="50"/>
      <c r="DN100" s="50"/>
      <c r="DO100" s="50"/>
      <c r="DP100" s="50"/>
      <c r="DQ100" s="50"/>
      <c r="DR100" s="50"/>
      <c r="DS100" s="50"/>
      <c r="DT100" s="50"/>
      <c r="DU100" s="50"/>
      <c r="DV100" s="50"/>
      <c r="DW100" s="50"/>
      <c r="DX100" s="50"/>
      <c r="DY100" s="50"/>
      <c r="DZ100" s="50"/>
      <c r="EA100" s="50"/>
      <c r="EB100" s="50"/>
      <c r="EC100" s="50"/>
      <c r="ED100" s="50"/>
      <c r="EE100" s="50"/>
      <c r="EF100" s="50"/>
      <c r="EG100" s="50"/>
      <c r="EH100" s="50"/>
      <c r="EI100" s="50"/>
      <c r="EJ100" s="50"/>
      <c r="EK100" s="50"/>
      <c r="EL100" s="50"/>
      <c r="EM100" s="50"/>
      <c r="EN100" s="50"/>
      <c r="EO100" s="50"/>
      <c r="EP100" s="50"/>
      <c r="EQ100" s="50"/>
      <c r="ER100" s="50"/>
      <c r="ES100" s="50"/>
      <c r="ET100" s="50"/>
      <c r="EU100" s="50"/>
      <c r="EV100" s="50"/>
      <c r="EW100" s="50"/>
      <c r="EX100" s="5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50"/>
      <c r="FF2" s="50"/>
      <c r="FG2" s="50"/>
      <c r="FH2" s="50"/>
      <c r="FI2" s="50"/>
      <c r="FJ2" s="50"/>
      <c r="FK2" s="50"/>
      <c r="FL2" s="50"/>
      <c r="FM2" s="50"/>
      <c r="FN2" s="50"/>
      <c r="FO2" s="50"/>
      <c r="FP2" s="50"/>
      <c r="FQ2" s="50"/>
      <c r="FR2" s="50"/>
      <c r="FS2" s="50"/>
      <c r="FT2" s="50"/>
      <c r="FU2" s="50"/>
      <c r="FV2" s="50"/>
      <c r="FW2" s="50"/>
      <c r="FX2" s="50"/>
      <c r="FY2" s="50"/>
      <c r="FZ2" s="50"/>
      <c r="GA2" s="50"/>
      <c r="GB2" s="50"/>
      <c r="GC2" s="50"/>
      <c r="GD2" s="50"/>
      <c r="GE2" s="50"/>
      <c r="GF2" s="50"/>
      <c r="GG2" s="50"/>
      <c r="GH2" s="50"/>
      <c r="GI2" s="50"/>
      <c r="GJ2" s="50"/>
      <c r="GK2" s="50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1"/>
      <c r="CS3" s="51"/>
      <c r="CT3" s="51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1"/>
      <c r="DG3" s="51"/>
      <c r="DH3" s="51"/>
      <c r="DI3" s="51"/>
      <c r="DJ3" s="51"/>
      <c r="DK3" s="51"/>
      <c r="DL3" s="51"/>
      <c r="DM3" s="51"/>
      <c r="DN3" s="51"/>
      <c r="DO3" s="51"/>
      <c r="DP3" s="51"/>
      <c r="DQ3" s="51"/>
      <c r="DR3" s="51"/>
      <c r="DS3" s="51"/>
      <c r="DT3" s="51"/>
      <c r="DU3" s="51"/>
      <c r="DV3" s="51"/>
      <c r="DW3" s="51"/>
      <c r="DX3" s="51"/>
      <c r="DY3" s="51"/>
      <c r="DZ3" s="51"/>
      <c r="EA3" s="51"/>
      <c r="EB3" s="51"/>
      <c r="EC3" s="51"/>
      <c r="ED3" s="51"/>
      <c r="EE3" s="51"/>
      <c r="EF3" s="51"/>
      <c r="EG3" s="51"/>
      <c r="EH3" s="51"/>
      <c r="EI3" s="51"/>
      <c r="EJ3" s="51"/>
      <c r="EK3" s="51"/>
      <c r="EL3" s="51"/>
      <c r="EM3" s="51"/>
      <c r="EN3" s="51"/>
      <c r="EO3" s="51"/>
      <c r="EP3" s="51"/>
      <c r="EQ3" s="51"/>
      <c r="ER3" s="51"/>
      <c r="ES3" s="51"/>
      <c r="ET3" s="51"/>
      <c r="EU3" s="51"/>
      <c r="EV3" s="51"/>
      <c r="EW3" s="51"/>
      <c r="EX3" s="51"/>
      <c r="EY3" s="51"/>
      <c r="EZ3" s="51"/>
      <c r="FA3" s="51"/>
      <c r="FB3" s="51"/>
      <c r="FC3" s="51"/>
      <c r="FD3" s="51"/>
      <c r="FE3" s="51"/>
      <c r="FF3" s="51"/>
      <c r="FG3" s="51"/>
      <c r="FH3" s="51"/>
      <c r="FI3" s="51"/>
      <c r="FJ3" s="51"/>
      <c r="FK3" s="51"/>
      <c r="FL3" s="51"/>
      <c r="FM3" s="51"/>
      <c r="FN3" s="51"/>
      <c r="FO3" s="51"/>
      <c r="FP3" s="51"/>
      <c r="FQ3" s="51"/>
      <c r="FR3" s="51"/>
      <c r="FS3" s="51"/>
      <c r="FT3" s="51"/>
      <c r="FU3" s="51"/>
      <c r="FV3" s="51"/>
      <c r="FW3" s="51"/>
      <c r="FX3" s="51"/>
      <c r="FY3" s="51"/>
      <c r="FZ3" s="51"/>
      <c r="GA3" s="51"/>
      <c r="GB3" s="51"/>
      <c r="GC3" s="51"/>
      <c r="GD3" s="51"/>
      <c r="GE3" s="51"/>
      <c r="GF3" s="51"/>
      <c r="GG3" s="51"/>
      <c r="GH3" s="51"/>
      <c r="GI3" s="51"/>
      <c r="GJ3" s="51"/>
      <c r="GK3" s="51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52" t="str">
        <f>IFERROR(__xludf.DUMMYFUNCTION("""COMPUTED_VALUE"""),"VerifyDbNavWindow")</f>
        <v>VerifyDbNavWindow</v>
      </c>
      <c r="Q4" s="52" t="str">
        <f>IFERROR(__xludf.DUMMYFUNCTION("""COMPUTED_VALUE"""),"VerifyGlobalDivisorWindow")</f>
        <v>VerifyGlobalDivisorWindow</v>
      </c>
      <c r="R4" s="52" t="str">
        <f>IFERROR(__xludf.DUMMYFUNCTION("""COMPUTED_VALUE"""),"VerifyPmCalculationPreferenceWindow")</f>
        <v>VerifyPmCalculationPreferenceWindow</v>
      </c>
      <c r="S4" s="52" t="str">
        <f>IFERROR(__xludf.DUMMYFUNCTION("""COMPUTED_VALUE"""),"VerifyRowCalculationBaseWindow")</f>
        <v>VerifyRowCalculationBaseWindow</v>
      </c>
      <c r="T4" s="52" t="str">
        <f>IFERROR(__xludf.DUMMYFUNCTION("""COMPUTED_VALUE"""),"VerifySecurityWindow")</f>
        <v>VerifySecurityWindow</v>
      </c>
      <c r="U4" s="52" t="str">
        <f>IFERROR(__xludf.DUMMYFUNCTION("""COMPUTED_VALUE"""),"VerifySymbolDataWindow")</f>
        <v>VerifySymbolDataWindow</v>
      </c>
      <c r="V4" s="52" t="str">
        <f>IFERROR(__xludf.DUMMYFUNCTION("""COMPUTED_VALUE"""),"VerifySymbolDivisorWindow")</f>
        <v>VerifySymbolDivisorWindow</v>
      </c>
      <c r="W4" s="52" t="str">
        <f>IFERROR(__xludf.DUMMYFUNCTION("""COMPUTED_VALUE"""),"VerifyTaxlotWindow")</f>
        <v>VerifyTaxlotWindow</v>
      </c>
      <c r="X4" s="52" t="str">
        <f>IFERROR(__xludf.DUMMYFUNCTION("""COMPUTED_VALUE"""),"RestartEsper")</f>
        <v>RestartEsper</v>
      </c>
      <c r="Y4" s="52" t="str">
        <f>IFERROR(__xludf.DUMMYFUNCTION("""COMPUTED_VALUE"""),"VerifyAccountNavPreferenceWindow")</f>
        <v>VerifyAccountNavPreferenceWindow</v>
      </c>
      <c r="Z4" s="52" t="str">
        <f>IFERROR(__xludf.DUMMYFUNCTION("""COMPUTED_VALUE"""),"VerifyAggregationAccountUnderlyingSymbolWithNav")</f>
        <v>VerifyAggregationAccountUnderlyingSymbolWithNav</v>
      </c>
      <c r="AA4" s="52" t="str">
        <f>IFERROR(__xludf.DUMMYFUNCTION("""COMPUTED_VALUE"""),"VerifyAggregationAssetWithNav")</f>
        <v>VerifyAggregationAssetWithNav</v>
      </c>
      <c r="AB4" s="52" t="str">
        <f>IFERROR(__xludf.DUMMYFUNCTION("""COMPUTED_VALUE"""),"VerifyAggregationSymbolWithNav")</f>
        <v>VerifyAggregationSymbolWithNav</v>
      </c>
      <c r="AC4" s="52" t="str">
        <f>IFERROR(__xludf.DUMMYFUNCTION("""COMPUTED_VALUE"""),"VerifyAggregationSubSectorWithNav")</f>
        <v>VerifyAggregationSubSectorWithNav</v>
      </c>
      <c r="AD4" s="52" t="str">
        <f>IFERROR(__xludf.DUMMYFUNCTION("""COMPUTED_VALUE"""),"VerifyAggregationGlobalWithNav")</f>
        <v>VerifyAggregationGlobalWithNav</v>
      </c>
      <c r="AE4" s="52" t="str">
        <f>IFERROR(__xludf.DUMMYFUNCTION("""COMPUTED_VALUE"""),"VerifyAggregationGlobalWithNav")</f>
        <v>VerifyAggregationGlobalWithNav</v>
      </c>
      <c r="AF4" s="52" t="str">
        <f>IFERROR(__xludf.DUMMYFUNCTION("""COMPUTED_VALUE"""),"VerifyGlobalDivisorWindow")</f>
        <v>VerifyGlobalDivisorWindow</v>
      </c>
      <c r="AG4" s="52" t="str">
        <f>IFERROR(__xludf.DUMMYFUNCTION("""COMPUTED_VALUE"""),"VerifyAccrualForAccountWindow")</f>
        <v>VerifyAccrualForAccountWindow</v>
      </c>
      <c r="AH4" s="52" t="str">
        <f>IFERROR(__xludf.DUMMYFUNCTION("""COMPUTED_VALUE"""),"VerifyGlobalDivisorWindow")</f>
        <v>VerifyGlobalDivisorWindow</v>
      </c>
      <c r="AI4" s="52" t="str">
        <f>IFERROR(__xludf.DUMMYFUNCTION("""COMPUTED_VALUE"""),"VerifyMasterFundDivisorWindow")</f>
        <v>VerifyMasterFundDivisorWindow</v>
      </c>
      <c r="AJ4" s="52" t="str">
        <f>IFERROR(__xludf.DUMMYFUNCTION("""COMPUTED_VALUE"""),"VerifyMasterFundSymbolDivisorWindow")</f>
        <v>VerifyMasterFundSymbolDivisorWindow</v>
      </c>
      <c r="AK4" s="52" t="str">
        <f>IFERROR(__xludf.DUMMYFUNCTION("""COMPUTED_VALUE"""),"VerifyAggAccountSymbolWithNav")</f>
        <v>VerifyAggAccountSymbolWithNav</v>
      </c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53" t="str">
        <f>IFERROR(__xludf.DUMMYFUNCTION("""COMPUTED_VALUE"""),"masterFundId")</f>
        <v>masterFundId</v>
      </c>
      <c r="U5" s="53" t="str">
        <f>IFERROR(__xludf.DUMMYFUNCTION("""COMPUTED_VALUE"""),"masterFundName")</f>
        <v>masterFundName</v>
      </c>
      <c r="V5" s="53" t="str">
        <f>IFERROR(__xludf.DUMMYFUNCTION("""COMPUTED_VALUE"""),"putOrCall")</f>
        <v>putOrCall</v>
      </c>
      <c r="W5" s="53" t="str">
        <f>IFERROR(__xludf.DUMMYFUNCTION("""COMPUTED_VALUE"""),"strikePrice")</f>
        <v>strikePrice</v>
      </c>
      <c r="X5" s="53" t="str">
        <f>IFERROR(__xludf.DUMMYFUNCTION("""COMPUTED_VALUE"""),"riskCurrency")</f>
        <v>riskCurrency</v>
      </c>
      <c r="Y5" s="53" t="str">
        <f>IFERROR(__xludf.DUMMYFUNCTION("""COMPUTED_VALUE"""),"issuer")</f>
        <v>issuer</v>
      </c>
      <c r="Z5" s="53" t="str">
        <f>IFERROR(__xludf.DUMMYFUNCTION("""COMPUTED_VALUE"""),"countryOfRisk")</f>
        <v>countryOfRisk</v>
      </c>
      <c r="AA5" s="53" t="str">
        <f>IFERROR(__xludf.DUMMYFUNCTION("""COMPUTED_VALUE"""),"region")</f>
        <v>region</v>
      </c>
      <c r="AB5" s="53" t="str">
        <f>IFERROR(__xludf.DUMMYFUNCTION("""COMPUTED_VALUE"""),"analyst")</f>
        <v>analyst</v>
      </c>
      <c r="AC5" s="53" t="str">
        <f>IFERROR(__xludf.DUMMYFUNCTION("""COMPUTED_VALUE"""),"ucitsEligibleTag")</f>
        <v>ucitsEligibleTag</v>
      </c>
      <c r="AD5" s="53" t="str">
        <f>IFERROR(__xludf.DUMMYFUNCTION("""COMPUTED_VALUE"""),"liquidTag")</f>
        <v>liquidTag</v>
      </c>
      <c r="AE5" s="53" t="str">
        <f>IFERROR(__xludf.DUMMYFUNCTION("""COMPUTED_VALUE"""),"marketCap")</f>
        <v>marketCap</v>
      </c>
      <c r="AF5" s="53" t="str">
        <f>IFERROR(__xludf.DUMMYFUNCTION("""COMPUTED_VALUE"""),"customUDA1")</f>
        <v>customUDA1</v>
      </c>
      <c r="AG5" s="53" t="str">
        <f>IFERROR(__xludf.DUMMYFUNCTION("""COMPUTED_VALUE"""),"customUDA2")</f>
        <v>customUDA2</v>
      </c>
      <c r="AH5" s="53" t="str">
        <f>IFERROR(__xludf.DUMMYFUNCTION("""COMPUTED_VALUE"""),"customUDA3")</f>
        <v>customUDA3</v>
      </c>
      <c r="AI5" s="53" t="str">
        <f>IFERROR(__xludf.DUMMYFUNCTION("""COMPUTED_VALUE"""),"customUDA4")</f>
        <v>customUDA4</v>
      </c>
      <c r="AJ5" s="53" t="str">
        <f>IFERROR(__xludf.DUMMYFUNCTION("""COMPUTED_VALUE"""),"customUDA5")</f>
        <v>customUDA5</v>
      </c>
      <c r="AK5" s="53" t="str">
        <f>IFERROR(__xludf.DUMMYFUNCTION("""COMPUTED_VALUE"""),"customUDA6")</f>
        <v>customUDA6</v>
      </c>
      <c r="AL5" s="53" t="str">
        <f>IFERROR(__xludf.DUMMYFUNCTION("""COMPUTED_VALUE"""),"customUDA7")</f>
        <v>customUDA7</v>
      </c>
      <c r="AM5" s="53" t="str">
        <f>IFERROR(__xludf.DUMMYFUNCTION("""COMPUTED_VALUE"""),"todayAbsTradeQuantity")</f>
        <v>todayAbsTradeQuantity</v>
      </c>
      <c r="AN5" s="53" t="str">
        <f>IFERROR(__xludf.DUMMYFUNCTION("""COMPUTED_VALUE"""),"todayLongTradeQuantity")</f>
        <v>todayLongTradeQuantity</v>
      </c>
      <c r="AO5" s="53" t="str">
        <f>IFERROR(__xludf.DUMMYFUNCTION("""COMPUTED_VALUE"""),"todayShortTradeQuantity")</f>
        <v>todayShortTradeQuantity</v>
      </c>
      <c r="AP5" s="53" t="str">
        <f>IFERROR(__xludf.DUMMYFUNCTION("""COMPUTED_VALUE"""),"todayNetNotionalBase")</f>
        <v>todayNetNotionalBase</v>
      </c>
      <c r="AQ5" s="53" t="str">
        <f>IFERROR(__xludf.DUMMYFUNCTION("""COMPUTED_VALUE"""),"todayLongNotionalBase")</f>
        <v>todayLongNotionalBase</v>
      </c>
      <c r="AR5" s="53" t="str">
        <f>IFERROR(__xludf.DUMMYFUNCTION("""COMPUTED_VALUE"""),"todayShortNotionalBase")</f>
        <v>todayShortNotionalBase</v>
      </c>
      <c r="AS5" s="53" t="str">
        <f>IFERROR(__xludf.DUMMYFUNCTION("""COMPUTED_VALUE"""),"quantity")</f>
        <v>quantity</v>
      </c>
      <c r="AT5" s="53" t="str">
        <f>IFERROR(__xludf.DUMMYFUNCTION("""COMPUTED_VALUE"""),"netMarketValueLocal")</f>
        <v>netMarketValueLocal</v>
      </c>
      <c r="AU5" s="53" t="str">
        <f>IFERROR(__xludf.DUMMYFUNCTION("""COMPUTED_VALUE"""),"yesterdayMarketValueLocal")</f>
        <v>yesterdayMarketValueLocal</v>
      </c>
      <c r="AV5" s="53" t="str">
        <f>IFERROR(__xludf.DUMMYFUNCTION("""COMPUTED_VALUE"""),"grossMarketValueLocal")</f>
        <v>grossMarketValueLocal</v>
      </c>
      <c r="AW5" s="53" t="str">
        <f>IFERROR(__xludf.DUMMYFUNCTION("""COMPUTED_VALUE"""),"notionalLocal")</f>
        <v>notionalLocal</v>
      </c>
      <c r="AX5" s="53" t="str">
        <f>IFERROR(__xludf.DUMMYFUNCTION("""COMPUTED_VALUE"""),"equityHaircutLocal")</f>
        <v>equityHaircutLocal</v>
      </c>
      <c r="AY5" s="53" t="str">
        <f>IFERROR(__xludf.DUMMYFUNCTION("""COMPUTED_VALUE"""),"indexHaircutLocal")</f>
        <v>indexHaircutLocal</v>
      </c>
      <c r="AZ5" s="53" t="str">
        <f>IFERROR(__xludf.DUMMYFUNCTION("""COMPUTED_VALUE"""),"equityHaircutBase")</f>
        <v>equityHaircutBase</v>
      </c>
      <c r="BA5" s="53" t="str">
        <f>IFERROR(__xludf.DUMMYFUNCTION("""COMPUTED_VALUE"""),"indexHaircutBase")</f>
        <v>indexHaircutBase</v>
      </c>
      <c r="BB5" s="53" t="str">
        <f>IFERROR(__xludf.DUMMYFUNCTION("""COMPUTED_VALUE"""),"cashImpactLocal")</f>
        <v>cashImpactLocal</v>
      </c>
      <c r="BC5" s="53" t="str">
        <f>IFERROR(__xludf.DUMMYFUNCTION("""COMPUTED_VALUE"""),"cashInflowLocal")</f>
        <v>cashInflowLocal</v>
      </c>
      <c r="BD5" s="53" t="str">
        <f>IFERROR(__xludf.DUMMYFUNCTION("""COMPUTED_VALUE"""),"cashOutflowLocal")</f>
        <v>cashOutflowLocal</v>
      </c>
      <c r="BE5" s="53" t="str">
        <f>IFERROR(__xludf.DUMMYFUNCTION("""COMPUTED_VALUE"""),"costBasisPnLLocal")</f>
        <v>costBasisPnLLocal</v>
      </c>
      <c r="BF5" s="53" t="str">
        <f>IFERROR(__xludf.DUMMYFUNCTION("""COMPUTED_VALUE"""),"dayPnLLocal")</f>
        <v>dayPnLLocal</v>
      </c>
      <c r="BG5" s="53" t="str">
        <f>IFERROR(__xludf.DUMMYFUNCTION("""COMPUTED_VALUE"""),"netExposureLocal")</f>
        <v>netExposureLocal</v>
      </c>
      <c r="BH5" s="53" t="str">
        <f>IFERROR(__xludf.DUMMYFUNCTION("""COMPUTED_VALUE"""),"grossExposureLocal")</f>
        <v>grossExposureLocal</v>
      </c>
      <c r="BI5" s="53" t="str">
        <f>IFERROR(__xludf.DUMMYFUNCTION("""COMPUTED_VALUE"""),"betaAdjustedExposureLocal")</f>
        <v>betaAdjustedExposureLocal</v>
      </c>
      <c r="BJ5" s="53" t="str">
        <f>IFERROR(__xludf.DUMMYFUNCTION("""COMPUTED_VALUE"""),"deltaAdjPosition")</f>
        <v>deltaAdjPosition</v>
      </c>
      <c r="BK5" s="53" t="str">
        <f>IFERROR(__xludf.DUMMYFUNCTION("""COMPUTED_VALUE"""),"liquidationPnlLocal")</f>
        <v>liquidationPnlLocal</v>
      </c>
      <c r="BL5" s="53" t="str">
        <f>IFERROR(__xludf.DUMMYFUNCTION("""COMPUTED_VALUE"""),"liquidationPnlBase")</f>
        <v>liquidationPnlBase</v>
      </c>
      <c r="BM5" s="53" t="str">
        <f>IFERROR(__xludf.DUMMYFUNCTION("""COMPUTED_VALUE"""),"underlyingValueForOptionsLocal")</f>
        <v>underlyingValueForOptionsLocal</v>
      </c>
      <c r="BN5" s="53" t="str">
        <f>IFERROR(__xludf.DUMMYFUNCTION("""COMPUTED_VALUE"""),"notionalBase")</f>
        <v>notionalBase</v>
      </c>
      <c r="BO5" s="53" t="str">
        <f>IFERROR(__xludf.DUMMYFUNCTION("""COMPUTED_VALUE"""),"cashImpactBase")</f>
        <v>cashImpactBase</v>
      </c>
      <c r="BP5" s="53" t="str">
        <f>IFERROR(__xludf.DUMMYFUNCTION("""COMPUTED_VALUE"""),"cashInflowBase")</f>
        <v>cashInflowBase</v>
      </c>
      <c r="BQ5" s="53" t="str">
        <f>IFERROR(__xludf.DUMMYFUNCTION("""COMPUTED_VALUE"""),"cashOutflowBase")</f>
        <v>cashOutflowBase</v>
      </c>
      <c r="BR5" s="53" t="str">
        <f>IFERROR(__xludf.DUMMYFUNCTION("""COMPUTED_VALUE"""),"netMarketValueBase")</f>
        <v>netMarketValueBase</v>
      </c>
      <c r="BS5" s="53" t="str">
        <f>IFERROR(__xludf.DUMMYFUNCTION("""COMPUTED_VALUE"""),"yesterdayMarketValueBase")</f>
        <v>yesterdayMarketValueBase</v>
      </c>
      <c r="BT5" s="53" t="str">
        <f>IFERROR(__xludf.DUMMYFUNCTION("""COMPUTED_VALUE"""),"grossMarketValueBase")</f>
        <v>grossMarketValueBase</v>
      </c>
      <c r="BU5" s="53" t="str">
        <f>IFERROR(__xludf.DUMMYFUNCTION("""COMPUTED_VALUE"""),"costBasisPnLBase")</f>
        <v>costBasisPnLBase</v>
      </c>
      <c r="BV5" s="53" t="str">
        <f>IFERROR(__xludf.DUMMYFUNCTION("""COMPUTED_VALUE"""),"dayPnLBase")</f>
        <v>dayPnLBase</v>
      </c>
      <c r="BW5" s="53" t="str">
        <f>IFERROR(__xludf.DUMMYFUNCTION("""COMPUTED_VALUE"""),"netExposureBase")</f>
        <v>netExposureBase</v>
      </c>
      <c r="BX5" s="53" t="str">
        <f>IFERROR(__xludf.DUMMYFUNCTION("""COMPUTED_VALUE"""),"grossExposureBase")</f>
        <v>grossExposureBase</v>
      </c>
      <c r="BY5" s="53" t="str">
        <f>IFERROR(__xludf.DUMMYFUNCTION("""COMPUTED_VALUE"""),"betaAdjustedExposureBase")</f>
        <v>betaAdjustedExposureBase</v>
      </c>
      <c r="BZ5" s="53" t="str">
        <f>IFERROR(__xludf.DUMMYFUNCTION("""COMPUTED_VALUE"""),"underlyingValueForOptionsBase")</f>
        <v>underlyingValueForOptionsBase</v>
      </c>
      <c r="CA5" s="53" t="str">
        <f>IFERROR(__xludf.DUMMYFUNCTION("""COMPUTED_VALUE"""),"currentFxRate")</f>
        <v>currentFxRate</v>
      </c>
      <c r="CB5" s="53" t="str">
        <f>IFERROR(__xludf.DUMMYFUNCTION("""COMPUTED_VALUE"""),"yesterdayFxRate")</f>
        <v>yesterdayFxRate</v>
      </c>
      <c r="CC5" s="53" t="str">
        <f>IFERROR(__xludf.DUMMYFUNCTION("""COMPUTED_VALUE"""),"fxConversionMethod")</f>
        <v>fxConversionMethod</v>
      </c>
      <c r="CD5" s="53" t="str">
        <f>IFERROR(__xludf.DUMMYFUNCTION("""COMPUTED_VALUE"""),"askPrice")</f>
        <v>askPrice</v>
      </c>
      <c r="CE5" s="53" t="str">
        <f>IFERROR(__xludf.DUMMYFUNCTION("""COMPUTED_VALUE"""),"bidPrice")</f>
        <v>bidPrice</v>
      </c>
      <c r="CF5" s="53" t="str">
        <f>IFERROR(__xludf.DUMMYFUNCTION("""COMPUTED_VALUE"""),"lowPrice")</f>
        <v>lowPrice</v>
      </c>
      <c r="CG5" s="53" t="str">
        <f>IFERROR(__xludf.DUMMYFUNCTION("""COMPUTED_VALUE"""),"highPrice")</f>
        <v>highPrice</v>
      </c>
      <c r="CH5" s="53" t="str">
        <f>IFERROR(__xludf.DUMMYFUNCTION("""COMPUTED_VALUE"""),"openPrice")</f>
        <v>openPrice</v>
      </c>
      <c r="CI5" s="53" t="str">
        <f>IFERROR(__xludf.DUMMYFUNCTION("""COMPUTED_VALUE"""),"closePrice")</f>
        <v>closePrice</v>
      </c>
      <c r="CJ5" s="53" t="str">
        <f>IFERROR(__xludf.DUMMYFUNCTION("""COMPUTED_VALUE"""),"lastPrice")</f>
        <v>lastPrice</v>
      </c>
      <c r="CK5" s="53" t="str">
        <f>IFERROR(__xludf.DUMMYFUNCTION("""COMPUTED_VALUE"""),"markPrice")</f>
        <v>markPrice</v>
      </c>
      <c r="CL5" s="53" t="str">
        <f>IFERROR(__xludf.DUMMYFUNCTION("""COMPUTED_VALUE"""),"delta")</f>
        <v>delta</v>
      </c>
      <c r="CM5" s="53" t="str">
        <f>IFERROR(__xludf.DUMMYFUNCTION("""COMPUTED_VALUE"""),"leveragedFactor")</f>
        <v>leveragedFactor</v>
      </c>
      <c r="CN5" s="53" t="str">
        <f>IFERROR(__xludf.DUMMYFUNCTION("""COMPUTED_VALUE"""),"beta5YearMonthly")</f>
        <v>beta5YearMonthly</v>
      </c>
      <c r="CO5" s="53" t="str">
        <f>IFERROR(__xludf.DUMMYFUNCTION("""COMPUTED_VALUE"""),"selectedFeedPrice")</f>
        <v>selectedFeedPrice</v>
      </c>
      <c r="CP5" s="53" t="str">
        <f>IFERROR(__xludf.DUMMYFUNCTION("""COMPUTED_VALUE"""),"openInterest")</f>
        <v>openInterest</v>
      </c>
      <c r="CQ5" s="53" t="str">
        <f>IFERROR(__xludf.DUMMYFUNCTION("""COMPUTED_VALUE"""),"underlyingPrice")</f>
        <v>underlyingPrice</v>
      </c>
      <c r="CR5" s="53" t="str">
        <f>IFERROR(__xludf.DUMMYFUNCTION("""COMPUTED_VALUE"""),"avgVolume20Days")</f>
        <v>avgVolume20Days</v>
      </c>
      <c r="CS5" s="53" t="str">
        <f>IFERROR(__xludf.DUMMYFUNCTION("""COMPUTED_VALUE"""),"percentAvgVolume")</f>
        <v>percentAvgVolume</v>
      </c>
      <c r="CT5" s="53" t="str">
        <f>IFERROR(__xludf.DUMMYFUNCTION("""COMPUTED_VALUE"""),"sharesOutstanding")</f>
        <v>sharesOutstanding</v>
      </c>
      <c r="CU5" s="53" t="str">
        <f>IFERROR(__xludf.DUMMYFUNCTION("""COMPUTED_VALUE"""),"underlyingSharesOutstanding")</f>
        <v>underlyingSharesOutstanding</v>
      </c>
      <c r="CV5" s="53" t="str">
        <f>IFERROR(__xludf.DUMMYFUNCTION("""COMPUTED_VALUE"""),"marketCapitalization")</f>
        <v>marketCapitalization</v>
      </c>
      <c r="CW5" s="53" t="str">
        <f>IFERROR(__xludf.DUMMYFUNCTION("""COMPUTED_VALUE"""),"underlyingMarketCapitalization")</f>
        <v>underlyingMarketCapitalization</v>
      </c>
      <c r="CX5" s="53" t="str">
        <f>IFERROR(__xludf.DUMMYFUNCTION("""COMPUTED_VALUE"""),"avgVolume")</f>
        <v>avgVolume</v>
      </c>
      <c r="CY5" s="53" t="str">
        <f>IFERROR(__xludf.DUMMYFUNCTION("""COMPUTED_VALUE"""),"businessDaysToExpire")</f>
        <v>businessDaysToExpire</v>
      </c>
      <c r="CZ5" s="53" t="str">
        <f>IFERROR(__xludf.DUMMYFUNCTION("""COMPUTED_VALUE"""),"actualDaysToExpire")</f>
        <v>actualDaysToExpire</v>
      </c>
      <c r="DA5" s="53" t="str">
        <f>IFERROR(__xludf.DUMMYFUNCTION("""COMPUTED_VALUE"""),"equivalent")</f>
        <v>equivalent</v>
      </c>
      <c r="DB5" s="53" t="str">
        <f>IFERROR(__xludf.DUMMYFUNCTION("""COMPUTED_VALUE"""),"multiplier")</f>
        <v>multiplier</v>
      </c>
      <c r="DC5" s="53" t="str">
        <f>IFERROR(__xludf.DUMMYFUNCTION("""COMPUTED_VALUE"""),"dayInterestBase")</f>
        <v>dayInterestBase</v>
      </c>
      <c r="DD5" s="53" t="str">
        <f>IFERROR(__xludf.DUMMYFUNCTION("""COMPUTED_VALUE"""),"totalInterestBase")</f>
        <v>totalInterestBase</v>
      </c>
      <c r="DE5" s="53" t="str">
        <f>IFERROR(__xludf.DUMMYFUNCTION("""COMPUTED_VALUE"""),"dayInterestLocal")</f>
        <v>dayInterestLocal</v>
      </c>
      <c r="DF5" s="53" t="str">
        <f>IFERROR(__xludf.DUMMYFUNCTION("""COMPUTED_VALUE"""),"totalInterestLocal")</f>
        <v>totalInterestLocal</v>
      </c>
      <c r="DG5" s="53" t="str">
        <f>IFERROR(__xludf.DUMMYFUNCTION("""COMPUTED_VALUE"""),"defaultPositionSide")</f>
        <v>defaultPositionSide</v>
      </c>
      <c r="DH5" s="53" t="str">
        <f>IFERROR(__xludf.DUMMYFUNCTION("""COMPUTED_VALUE"""),"exposurePositionSide")</f>
        <v>exposurePositionSide</v>
      </c>
      <c r="DI5" s="53" t="str">
        <f>IFERROR(__xludf.DUMMYFUNCTION("""COMPUTED_VALUE"""),"longNotionalBase")</f>
        <v>longNotionalBase</v>
      </c>
      <c r="DJ5" s="53" t="str">
        <f>IFERROR(__xludf.DUMMYFUNCTION("""COMPUTED_VALUE"""),"shortNotionalBase")</f>
        <v>shortNotionalBase</v>
      </c>
      <c r="DK5" s="53" t="str">
        <f>IFERROR(__xludf.DUMMYFUNCTION("""COMPUTED_VALUE"""),"shortMarketValueBase")</f>
        <v>shortMarketValueBase</v>
      </c>
      <c r="DL5" s="53" t="str">
        <f>IFERROR(__xludf.DUMMYFUNCTION("""COMPUTED_VALUE"""),"longMarketValueBase")</f>
        <v>longMarketValueBase</v>
      </c>
      <c r="DM5" s="53" t="str">
        <f>IFERROR(__xludf.DUMMYFUNCTION("""COMPUTED_VALUE"""),"shortExposureBase")</f>
        <v>shortExposureBase</v>
      </c>
      <c r="DN5" s="53" t="str">
        <f>IFERROR(__xludf.DUMMYFUNCTION("""COMPUTED_VALUE"""),"longExposureBase")</f>
        <v>longExposureBase</v>
      </c>
      <c r="DO5" s="53" t="str">
        <f>IFERROR(__xludf.DUMMYFUNCTION("""COMPUTED_VALUE"""),"globalNav")</f>
        <v>globalNav</v>
      </c>
      <c r="DP5" s="53" t="str">
        <f>IFERROR(__xludf.DUMMYFUNCTION("""COMPUTED_VALUE"""),"startOfDayNavGlobal")</f>
        <v>startOfDayNavGlobal</v>
      </c>
      <c r="DQ5" s="53" t="str">
        <f>IFERROR(__xludf.DUMMYFUNCTION("""COMPUTED_VALUE"""),"grossMarketValueBaseGlobal")</f>
        <v>grossMarketValueBaseGlobal</v>
      </c>
      <c r="DR5" s="53" t="str">
        <f>IFERROR(__xludf.DUMMYFUNCTION("""COMPUTED_VALUE"""),"grossExposureBaseGlobal")</f>
        <v>grossExposureBaseGlobal</v>
      </c>
      <c r="DS5" s="53" t="str">
        <f>IFERROR(__xludf.DUMMYFUNCTION("""COMPUTED_VALUE"""),"netExposureBaseGlobal")</f>
        <v>netExposureBaseGlobal</v>
      </c>
      <c r="DT5" s="53" t="str">
        <f>IFERROR(__xludf.DUMMYFUNCTION("""COMPUTED_VALUE"""),"accountNav")</f>
        <v>accountNav</v>
      </c>
      <c r="DU5" s="53" t="str">
        <f>IFERROR(__xludf.DUMMYFUNCTION("""COMPUTED_VALUE"""),"accountNRA")</f>
        <v>accountNRA</v>
      </c>
      <c r="DV5" s="53" t="str">
        <f>IFERROR(__xludf.DUMMYFUNCTION("""COMPUTED_VALUE"""),"startOfDayNavAccount")</f>
        <v>startOfDayNavAccount</v>
      </c>
      <c r="DW5" s="53" t="str">
        <f>IFERROR(__xludf.DUMMYFUNCTION("""COMPUTED_VALUE"""),"grossMarketValueBaseAccount")</f>
        <v>grossMarketValueBaseAccount</v>
      </c>
      <c r="DX5" s="53" t="str">
        <f>IFERROR(__xludf.DUMMYFUNCTION("""COMPUTED_VALUE"""),"grossExposureBaseAccount")</f>
        <v>grossExposureBaseAccount</v>
      </c>
      <c r="DY5" s="53" t="str">
        <f>IFERROR(__xludf.DUMMYFUNCTION("""COMPUTED_VALUE"""),"netExposureBaseAccount")</f>
        <v>netExposureBaseAccount</v>
      </c>
      <c r="DZ5" s="53" t="str">
        <f>IFERROR(__xludf.DUMMYFUNCTION("""COMPUTED_VALUE"""),"currentCash")</f>
        <v>currentCash</v>
      </c>
      <c r="EA5" s="53" t="str">
        <f>IFERROR(__xludf.DUMMYFUNCTION("""COMPUTED_VALUE"""),"accrual")</f>
        <v>accrual</v>
      </c>
      <c r="EB5" s="53" t="str">
        <f>IFERROR(__xludf.DUMMYFUNCTION("""COMPUTED_VALUE"""),"masterFundNav")</f>
        <v>masterFundNav</v>
      </c>
      <c r="EC5" s="53" t="str">
        <f>IFERROR(__xludf.DUMMYFUNCTION("""COMPUTED_VALUE"""),"startOfDayNavMasterFund")</f>
        <v>startOfDayNavMasterFund</v>
      </c>
      <c r="ED5" s="53" t="str">
        <f>IFERROR(__xludf.DUMMYFUNCTION("""COMPUTED_VALUE"""),"grossMarketValueBaseMasterFund")</f>
        <v>grossMarketValueBaseMasterFund</v>
      </c>
      <c r="EE5" s="53" t="str">
        <f>IFERROR(__xludf.DUMMYFUNCTION("""COMPUTED_VALUE"""),"grossExposureBaseMasterFund")</f>
        <v>grossExposureBaseMasterFund</v>
      </c>
      <c r="EF5" s="53" t="str">
        <f>IFERROR(__xludf.DUMMYFUNCTION("""COMPUTED_VALUE"""),"netExposureBaseMasterFund")</f>
        <v>netExposureBaseMasterFund</v>
      </c>
      <c r="EG5" s="53" t="str">
        <f>IFERROR(__xludf.DUMMYFUNCTION("""COMPUTED_VALUE"""),"percentNetMarketValueAccount")</f>
        <v>percentNetMarketValueAccount</v>
      </c>
      <c r="EH5" s="53" t="str">
        <f>IFERROR(__xludf.DUMMYFUNCTION("""COMPUTED_VALUE"""),"percentLongExposureAccount")</f>
        <v>percentLongExposureAccount</v>
      </c>
      <c r="EI5" s="53" t="str">
        <f>IFERROR(__xludf.DUMMYFUNCTION("""COMPUTED_VALUE"""),"percentShortExposureAccount")</f>
        <v>percentShortExposureAccount</v>
      </c>
      <c r="EJ5" s="53" t="str">
        <f>IFERROR(__xludf.DUMMYFUNCTION("""COMPUTED_VALUE"""),"percentNetExposureAccount")</f>
        <v>percentNetExposureAccount</v>
      </c>
      <c r="EK5" s="53" t="str">
        <f>IFERROR(__xludf.DUMMYFUNCTION("""COMPUTED_VALUE"""),"percentBetaAdjustedExposureAccount")</f>
        <v>percentBetaAdjustedExposureAccount</v>
      </c>
      <c r="EL5" s="53" t="str">
        <f>IFERROR(__xludf.DUMMYFUNCTION("""COMPUTED_VALUE"""),"percentGrossExposureAccount")</f>
        <v>percentGrossExposureAccount</v>
      </c>
      <c r="EM5" s="53" t="str">
        <f>IFERROR(__xludf.DUMMYFUNCTION("""COMPUTED_VALUE"""),"percentLongMarketValueAccount")</f>
        <v>percentLongMarketValueAccount</v>
      </c>
      <c r="EN5" s="53" t="str">
        <f>IFERROR(__xludf.DUMMYFUNCTION("""COMPUTED_VALUE"""),"percentShortMarketValueAccount")</f>
        <v>percentShortMarketValueAccount</v>
      </c>
      <c r="EO5" s="53" t="str">
        <f>IFERROR(__xludf.DUMMYFUNCTION("""COMPUTED_VALUE"""),"percentGrossMarketValueAccount")</f>
        <v>percentGrossMarketValueAccount</v>
      </c>
      <c r="EP5" s="53" t="str">
        <f>IFERROR(__xludf.DUMMYFUNCTION("""COMPUTED_VALUE"""),"percentLongNotionalAccount")</f>
        <v>percentLongNotionalAccount</v>
      </c>
      <c r="EQ5" s="53" t="str">
        <f>IFERROR(__xludf.DUMMYFUNCTION("""COMPUTED_VALUE"""),"percentShortNotionalAccount")</f>
        <v>percentShortNotionalAccount</v>
      </c>
      <c r="ER5" s="53" t="str">
        <f>IFERROR(__xludf.DUMMYFUNCTION("""COMPUTED_VALUE"""),"percentNetNotionalAccount")</f>
        <v>percentNetNotionalAccount</v>
      </c>
      <c r="ES5" s="53" t="str">
        <f>IFERROR(__xludf.DUMMYFUNCTION("""COMPUTED_VALUE"""),"pnlContributionAccount")</f>
        <v>pnlContributionAccount</v>
      </c>
      <c r="ET5" s="53" t="str">
        <f>IFERROR(__xludf.DUMMYFUNCTION("""COMPUTED_VALUE"""),"percentCostBasisPnlAccount")</f>
        <v>percentCostBasisPnlAccount</v>
      </c>
      <c r="EU5" s="53" t="str">
        <f>IFERROR(__xludf.DUMMYFUNCTION("""COMPUTED_VALUE"""),"dayReturnAccount")</f>
        <v>dayReturnAccount</v>
      </c>
      <c r="EV5" s="53" t="str">
        <f>IFERROR(__xludf.DUMMYFUNCTION("""COMPUTED_VALUE"""),"percentNetMarketValueMasterFund")</f>
        <v>percentNetMarketValueMasterFund</v>
      </c>
      <c r="EW5" s="53" t="str">
        <f>IFERROR(__xludf.DUMMYFUNCTION("""COMPUTED_VALUE"""),"percentLongExposureMasterFund")</f>
        <v>percentLongExposureMasterFund</v>
      </c>
      <c r="EX5" s="53" t="str">
        <f>IFERROR(__xludf.DUMMYFUNCTION("""COMPUTED_VALUE"""),"percentShortExposureMasterFund")</f>
        <v>percentShortExposureMasterFund</v>
      </c>
      <c r="EY5" s="53" t="str">
        <f>IFERROR(__xludf.DUMMYFUNCTION("""COMPUTED_VALUE"""),"percentNetExposureMasterFund")</f>
        <v>percentNetExposureMasterFund</v>
      </c>
      <c r="EZ5" s="53" t="str">
        <f>IFERROR(__xludf.DUMMYFUNCTION("""COMPUTED_VALUE"""),"percentBetaAdjustedExposureMasterFund")</f>
        <v>percentBetaAdjustedExposureMasterFund</v>
      </c>
      <c r="FA5" s="53" t="str">
        <f>IFERROR(__xludf.DUMMYFUNCTION("""COMPUTED_VALUE"""),"percentGrossExposureMasterFund")</f>
        <v>percentGrossExposureMasterFund</v>
      </c>
      <c r="FB5" s="53" t="str">
        <f>IFERROR(__xludf.DUMMYFUNCTION("""COMPUTED_VALUE"""),"percentLongMarketValueMasterFund")</f>
        <v>percentLongMarketValueMasterFund</v>
      </c>
      <c r="FC5" s="53" t="str">
        <f>IFERROR(__xludf.DUMMYFUNCTION("""COMPUTED_VALUE"""),"percentShortMarketValueMasterFund")</f>
        <v>percentShortMarketValueMasterFund</v>
      </c>
      <c r="FD5" s="53" t="str">
        <f>IFERROR(__xludf.DUMMYFUNCTION("""COMPUTED_VALUE"""),"percentGrossMarketValueMasterFund")</f>
        <v>percentGrossMarketValueMasterFund</v>
      </c>
      <c r="FE5" s="53" t="str">
        <f>IFERROR(__xludf.DUMMYFUNCTION("""COMPUTED_VALUE"""),"percentLongNotionalMasterFund")</f>
        <v>percentLongNotionalMasterFund</v>
      </c>
      <c r="FF5" s="53" t="str">
        <f>IFERROR(__xludf.DUMMYFUNCTION("""COMPUTED_VALUE"""),"percentShortNotionalMasterFund")</f>
        <v>percentShortNotionalMasterFund</v>
      </c>
      <c r="FG5" s="53" t="str">
        <f>IFERROR(__xludf.DUMMYFUNCTION("""COMPUTED_VALUE"""),"percentNetNotionalMasterFund")</f>
        <v>percentNetNotionalMasterFund</v>
      </c>
      <c r="FH5" s="53" t="str">
        <f>IFERROR(__xludf.DUMMYFUNCTION("""COMPUTED_VALUE"""),"pnlContributionMasterFund")</f>
        <v>pnlContributionMasterFund</v>
      </c>
      <c r="FI5" s="53" t="str">
        <f>IFERROR(__xludf.DUMMYFUNCTION("""COMPUTED_VALUE"""),"percentCostBasisPnlMasterFund")</f>
        <v>percentCostBasisPnlMasterFund</v>
      </c>
      <c r="FJ5" s="53" t="str">
        <f>IFERROR(__xludf.DUMMYFUNCTION("""COMPUTED_VALUE"""),"dayReturnMasterFund")</f>
        <v>dayReturnMasterFund</v>
      </c>
      <c r="FK5" s="53" t="str">
        <f>IFERROR(__xludf.DUMMYFUNCTION("""COMPUTED_VALUE"""),"percentNetMarketValueGlobal")</f>
        <v>percentNetMarketValueGlobal</v>
      </c>
      <c r="FL5" s="53" t="str">
        <f>IFERROR(__xludf.DUMMYFUNCTION("""COMPUTED_VALUE"""),"percentLongExposureGlobal")</f>
        <v>percentLongExposureGlobal</v>
      </c>
      <c r="FM5" s="53" t="str">
        <f>IFERROR(__xludf.DUMMYFUNCTION("""COMPUTED_VALUE"""),"percentShortExposureGlobal")</f>
        <v>percentShortExposureGlobal</v>
      </c>
      <c r="FN5" s="53" t="str">
        <f>IFERROR(__xludf.DUMMYFUNCTION("""COMPUTED_VALUE"""),"percentNetExposureGlobal")</f>
        <v>percentNetExposureGlobal</v>
      </c>
      <c r="FO5" s="53" t="str">
        <f>IFERROR(__xludf.DUMMYFUNCTION("""COMPUTED_VALUE"""),"percentBetaAdjustedExposureGlobal")</f>
        <v>percentBetaAdjustedExposureGlobal</v>
      </c>
      <c r="FP5" s="53" t="str">
        <f>IFERROR(__xludf.DUMMYFUNCTION("""COMPUTED_VALUE"""),"percentGrossExposureGlobal")</f>
        <v>percentGrossExposureGlobal</v>
      </c>
      <c r="FQ5" s="53" t="str">
        <f>IFERROR(__xludf.DUMMYFUNCTION("""COMPUTED_VALUE"""),"percentLongMarketValueGlobal")</f>
        <v>percentLongMarketValueGlobal</v>
      </c>
      <c r="FR5" s="53" t="str">
        <f>IFERROR(__xludf.DUMMYFUNCTION("""COMPUTED_VALUE"""),"percentShortMarketValueGlobal")</f>
        <v>percentShortMarketValueGlobal</v>
      </c>
      <c r="FS5" s="53" t="str">
        <f>IFERROR(__xludf.DUMMYFUNCTION("""COMPUTED_VALUE"""),"percentGrossMarketValueGlobal")</f>
        <v>percentGrossMarketValueGlobal</v>
      </c>
      <c r="FT5" s="53" t="str">
        <f>IFERROR(__xludf.DUMMYFUNCTION("""COMPUTED_VALUE"""),"percentLongNotionalGlobal")</f>
        <v>percentLongNotionalGlobal</v>
      </c>
      <c r="FU5" s="53" t="str">
        <f>IFERROR(__xludf.DUMMYFUNCTION("""COMPUTED_VALUE"""),"percentShortNotionalGlobal")</f>
        <v>percentShortNotionalGlobal</v>
      </c>
      <c r="FV5" s="53" t="str">
        <f>IFERROR(__xludf.DUMMYFUNCTION("""COMPUTED_VALUE"""),"percentNetNotionalGlobal")</f>
        <v>percentNetNotionalGlobal</v>
      </c>
      <c r="FW5" s="53" t="str">
        <f>IFERROR(__xludf.DUMMYFUNCTION("""COMPUTED_VALUE"""),"pnlContributionGlobal")</f>
        <v>pnlContributionGlobal</v>
      </c>
      <c r="FX5" s="53" t="str">
        <f>IFERROR(__xludf.DUMMYFUNCTION("""COMPUTED_VALUE"""),"percentCostBasisPnlGlobal")</f>
        <v>percentCostBasisPnlGlobal</v>
      </c>
      <c r="FY5" s="53" t="str">
        <f>IFERROR(__xludf.DUMMYFUNCTION("""COMPUTED_VALUE"""),"dayReturnGlobal")</f>
        <v>dayReturnGlobal</v>
      </c>
      <c r="FZ5" s="53" t="str">
        <f>IFERROR(__xludf.DUMMYFUNCTION("""COMPUTED_VALUE"""),"longDebitBalance")</f>
        <v>longDebitBalance</v>
      </c>
      <c r="GA5" s="53" t="str">
        <f>IFERROR(__xludf.DUMMYFUNCTION("""COMPUTED_VALUE"""),"shortCreditBalance")</f>
        <v>shortCreditBalance</v>
      </c>
      <c r="GB5" s="53"/>
      <c r="GC5" s="53"/>
      <c r="GD5" s="53"/>
      <c r="GE5" s="53"/>
      <c r="GF5" s="53"/>
      <c r="GG5" s="53"/>
      <c r="GH5" s="53"/>
      <c r="GI5" s="53"/>
      <c r="GJ5" s="53"/>
      <c r="GK5" s="53"/>
    </row>
    <row r="6" ht="15.75" customHeight="1">
      <c r="A6" s="54"/>
      <c r="B6" s="55" t="s">
        <v>41</v>
      </c>
      <c r="C6" s="56"/>
      <c r="D6" s="55" t="s">
        <v>46</v>
      </c>
      <c r="E6" s="77" t="s">
        <v>44</v>
      </c>
      <c r="F6" s="77" t="s">
        <v>44</v>
      </c>
      <c r="G6" s="56" t="s">
        <v>21</v>
      </c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6"/>
      <c r="AK6" s="56"/>
      <c r="AL6" s="56"/>
      <c r="AM6" s="56"/>
      <c r="AN6" s="57"/>
      <c r="AO6" s="66"/>
      <c r="AP6" s="66">
        <v>500.0</v>
      </c>
      <c r="AQ6" s="67">
        <v>500.0</v>
      </c>
      <c r="AR6" s="58">
        <v>0.0</v>
      </c>
      <c r="AS6" s="67">
        <v>50.0</v>
      </c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  <c r="DZ6" s="57"/>
      <c r="EA6" s="57"/>
      <c r="EB6" s="57"/>
      <c r="EC6" s="57"/>
      <c r="ED6" s="57"/>
      <c r="EE6" s="57"/>
      <c r="EF6" s="57"/>
      <c r="EG6" s="57"/>
      <c r="EH6" s="57"/>
      <c r="EI6" s="57"/>
      <c r="EJ6" s="57"/>
      <c r="EK6" s="57"/>
      <c r="EL6" s="57"/>
      <c r="EM6" s="57"/>
      <c r="EN6" s="57"/>
      <c r="EO6" s="57"/>
      <c r="EP6" s="57"/>
      <c r="EQ6" s="57"/>
      <c r="ER6" s="57"/>
      <c r="ES6" s="57"/>
      <c r="ET6" s="57"/>
      <c r="EU6" s="57"/>
      <c r="EV6" s="57"/>
      <c r="EW6" s="57"/>
      <c r="EX6" s="57"/>
      <c r="EY6" s="57"/>
      <c r="EZ6" s="57"/>
      <c r="FA6" s="57"/>
      <c r="FB6" s="57"/>
      <c r="FC6" s="57"/>
      <c r="FD6" s="57"/>
      <c r="FE6" s="57"/>
      <c r="FF6" s="57"/>
      <c r="FG6" s="57"/>
      <c r="FH6" s="57"/>
      <c r="FI6" s="57"/>
      <c r="FJ6" s="57"/>
      <c r="FK6" s="57"/>
      <c r="FL6" s="57"/>
      <c r="FM6" s="57"/>
      <c r="FN6" s="57"/>
      <c r="FO6" s="57"/>
      <c r="FP6" s="57"/>
      <c r="FQ6" s="57"/>
      <c r="FR6" s="57"/>
      <c r="FS6" s="57"/>
      <c r="FT6" s="57"/>
      <c r="FU6" s="57"/>
      <c r="FV6" s="57"/>
      <c r="FW6" s="57"/>
      <c r="FX6" s="57"/>
      <c r="FY6" s="57"/>
      <c r="FZ6" s="57"/>
      <c r="GA6" s="57"/>
      <c r="GB6" s="57"/>
      <c r="GC6" s="57"/>
      <c r="GD6" s="57"/>
      <c r="GE6" s="57"/>
      <c r="GF6" s="57"/>
      <c r="GG6" s="57"/>
      <c r="GH6" s="57"/>
      <c r="GI6" s="57"/>
      <c r="GJ6" s="57"/>
      <c r="GK6" s="57"/>
    </row>
    <row r="7" ht="15.75" customHeight="1">
      <c r="A7" s="56"/>
      <c r="B7" s="56" t="s">
        <v>41</v>
      </c>
      <c r="C7" s="56"/>
      <c r="D7" s="56" t="s">
        <v>46</v>
      </c>
      <c r="E7" s="77" t="s">
        <v>43</v>
      </c>
      <c r="F7" s="77" t="s">
        <v>43</v>
      </c>
      <c r="G7" s="57" t="s">
        <v>21</v>
      </c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66"/>
      <c r="AP7" s="66">
        <v>500.0</v>
      </c>
      <c r="AQ7" s="67">
        <v>500.0</v>
      </c>
      <c r="AR7" s="58">
        <v>0.0</v>
      </c>
      <c r="AS7" s="67">
        <v>50.0</v>
      </c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7"/>
      <c r="DR7" s="57"/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7"/>
      <c r="ED7" s="57"/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7"/>
      <c r="EP7" s="57"/>
      <c r="EQ7" s="57"/>
      <c r="ER7" s="57"/>
      <c r="ES7" s="57"/>
      <c r="ET7" s="57"/>
      <c r="EU7" s="57"/>
      <c r="EV7" s="57"/>
      <c r="EW7" s="57"/>
      <c r="EX7" s="57"/>
      <c r="EY7" s="57"/>
      <c r="EZ7" s="57"/>
      <c r="FA7" s="57"/>
      <c r="FB7" s="57"/>
      <c r="FC7" s="57"/>
      <c r="FD7" s="57"/>
      <c r="FE7" s="57"/>
      <c r="FF7" s="57"/>
      <c r="FG7" s="57"/>
      <c r="FH7" s="57"/>
      <c r="FI7" s="57"/>
      <c r="FJ7" s="57"/>
      <c r="FK7" s="57"/>
      <c r="FL7" s="57"/>
      <c r="FM7" s="57"/>
      <c r="FN7" s="57"/>
      <c r="FO7" s="57"/>
      <c r="FP7" s="57"/>
      <c r="FQ7" s="57"/>
      <c r="FR7" s="57"/>
      <c r="FS7" s="57"/>
      <c r="FT7" s="57"/>
      <c r="FU7" s="57"/>
      <c r="FV7" s="57"/>
      <c r="FW7" s="57"/>
      <c r="FX7" s="57"/>
      <c r="FY7" s="57"/>
      <c r="FZ7" s="57"/>
      <c r="GA7" s="57"/>
      <c r="GB7" s="57"/>
      <c r="GC7" s="57"/>
      <c r="GD7" s="57"/>
      <c r="GE7" s="57"/>
      <c r="GF7" s="57"/>
      <c r="GG7" s="57"/>
      <c r="GH7" s="57"/>
      <c r="GI7" s="57"/>
      <c r="GJ7" s="57"/>
      <c r="GK7" s="5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  <c r="FK12" s="50"/>
      <c r="FL12" s="50"/>
      <c r="FM12" s="50"/>
      <c r="FN12" s="50"/>
      <c r="FO12" s="50"/>
      <c r="FP12" s="50"/>
      <c r="FQ12" s="50"/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  <c r="FK14" s="50"/>
      <c r="FL14" s="50"/>
      <c r="FM14" s="50"/>
      <c r="FN14" s="50"/>
      <c r="FO14" s="50"/>
      <c r="FP14" s="50"/>
      <c r="FQ14" s="50"/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0"/>
      <c r="GC14" s="50"/>
      <c r="GD14" s="50"/>
      <c r="GE14" s="50"/>
      <c r="GF14" s="50"/>
      <c r="GG14" s="50"/>
      <c r="GH14" s="50"/>
      <c r="GI14" s="50"/>
      <c r="GJ14" s="50"/>
      <c r="GK14" s="50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  <c r="FK15" s="50"/>
      <c r="FL15" s="50"/>
      <c r="FM15" s="50"/>
      <c r="FN15" s="50"/>
      <c r="FO15" s="50"/>
      <c r="FP15" s="50"/>
      <c r="FQ15" s="50"/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  <c r="FL16" s="50"/>
      <c r="FM16" s="50"/>
      <c r="FN16" s="50"/>
      <c r="FO16" s="50"/>
      <c r="FP16" s="50"/>
      <c r="FQ16" s="50"/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0"/>
      <c r="GC16" s="50"/>
      <c r="GD16" s="50"/>
      <c r="GE16" s="50"/>
      <c r="GF16" s="50"/>
      <c r="GG16" s="50"/>
      <c r="GH16" s="50"/>
      <c r="GI16" s="50"/>
      <c r="GJ16" s="50"/>
      <c r="GK16" s="50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50"/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  <c r="FL18" s="50"/>
      <c r="FM18" s="50"/>
      <c r="FN18" s="50"/>
      <c r="FO18" s="50"/>
      <c r="FP18" s="50"/>
      <c r="FQ18" s="50"/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0"/>
      <c r="GC18" s="50"/>
      <c r="GD18" s="50"/>
      <c r="GE18" s="50"/>
      <c r="GF18" s="50"/>
      <c r="GG18" s="50"/>
      <c r="GH18" s="50"/>
      <c r="GI18" s="50"/>
      <c r="GJ18" s="50"/>
      <c r="GK18" s="50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  <c r="FK23" s="50"/>
      <c r="FL23" s="50"/>
      <c r="FM23" s="50"/>
      <c r="FN23" s="50"/>
      <c r="FO23" s="50"/>
      <c r="FP23" s="50"/>
      <c r="FQ23" s="50"/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  <c r="FK26" s="50"/>
      <c r="FL26" s="50"/>
      <c r="FM26" s="50"/>
      <c r="FN26" s="50"/>
      <c r="FO26" s="50"/>
      <c r="FP26" s="50"/>
      <c r="FQ26" s="50"/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0"/>
      <c r="GC26" s="50"/>
      <c r="GD26" s="50"/>
      <c r="GE26" s="50"/>
      <c r="GF26" s="50"/>
      <c r="GG26" s="50"/>
      <c r="GH26" s="50"/>
      <c r="GI26" s="50"/>
      <c r="GJ26" s="50"/>
      <c r="GK26" s="50"/>
    </row>
    <row r="27" ht="15.7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</row>
    <row r="28" ht="15.75" customHeight="1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  <c r="FK28" s="50"/>
      <c r="FL28" s="50"/>
      <c r="FM28" s="50"/>
      <c r="FN28" s="50"/>
      <c r="FO28" s="50"/>
      <c r="FP28" s="50"/>
      <c r="FQ28" s="50"/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0"/>
      <c r="GC28" s="50"/>
      <c r="GD28" s="50"/>
      <c r="GE28" s="50"/>
      <c r="GF28" s="50"/>
      <c r="GG28" s="50"/>
      <c r="GH28" s="50"/>
      <c r="GI28" s="50"/>
      <c r="GJ28" s="50"/>
      <c r="GK28" s="50"/>
    </row>
    <row r="29" ht="15.75" customHeight="1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  <c r="FK29" s="50"/>
      <c r="FL29" s="50"/>
      <c r="FM29" s="50"/>
      <c r="FN29" s="50"/>
      <c r="FO29" s="50"/>
      <c r="FP29" s="50"/>
      <c r="FQ29" s="50"/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0"/>
      <c r="GC29" s="50"/>
      <c r="GD29" s="50"/>
      <c r="GE29" s="50"/>
      <c r="GF29" s="50"/>
      <c r="GG29" s="50"/>
      <c r="GH29" s="50"/>
      <c r="GI29" s="50"/>
      <c r="GJ29" s="50"/>
      <c r="GK29" s="50"/>
    </row>
    <row r="30" ht="15.75" customHeight="1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  <c r="EY30" s="50"/>
      <c r="EZ30" s="50"/>
      <c r="FA30" s="50"/>
      <c r="FB30" s="50"/>
      <c r="FC30" s="50"/>
      <c r="FD30" s="50"/>
      <c r="FE30" s="50"/>
      <c r="FF30" s="50"/>
      <c r="FG30" s="50"/>
      <c r="FH30" s="50"/>
      <c r="FI30" s="50"/>
      <c r="FJ30" s="50"/>
      <c r="FK30" s="50"/>
      <c r="FL30" s="50"/>
      <c r="FM30" s="50"/>
      <c r="FN30" s="50"/>
      <c r="FO30" s="50"/>
      <c r="FP30" s="50"/>
      <c r="FQ30" s="50"/>
      <c r="FR30" s="50"/>
      <c r="FS30" s="50"/>
      <c r="FT30" s="50"/>
      <c r="FU30" s="50"/>
      <c r="FV30" s="50"/>
      <c r="FW30" s="50"/>
      <c r="FX30" s="50"/>
      <c r="FY30" s="50"/>
      <c r="FZ30" s="50"/>
      <c r="GA30" s="50"/>
      <c r="GB30" s="50"/>
      <c r="GC30" s="50"/>
      <c r="GD30" s="50"/>
      <c r="GE30" s="50"/>
      <c r="GF30" s="50"/>
      <c r="GG30" s="50"/>
      <c r="GH30" s="50"/>
      <c r="GI30" s="50"/>
      <c r="GJ30" s="50"/>
      <c r="GK30" s="50"/>
    </row>
    <row r="31" ht="15.7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  <c r="FK31" s="50"/>
      <c r="FL31" s="50"/>
      <c r="FM31" s="50"/>
      <c r="FN31" s="50"/>
      <c r="FO31" s="50"/>
      <c r="FP31" s="50"/>
      <c r="FQ31" s="50"/>
      <c r="FR31" s="50"/>
      <c r="FS31" s="50"/>
      <c r="FT31" s="50"/>
      <c r="FU31" s="50"/>
      <c r="FV31" s="50"/>
      <c r="FW31" s="50"/>
      <c r="FX31" s="50"/>
      <c r="FY31" s="50"/>
      <c r="FZ31" s="50"/>
      <c r="GA31" s="50"/>
      <c r="GB31" s="50"/>
      <c r="GC31" s="50"/>
      <c r="GD31" s="50"/>
      <c r="GE31" s="50"/>
      <c r="GF31" s="50"/>
      <c r="GG31" s="50"/>
      <c r="GH31" s="50"/>
      <c r="GI31" s="50"/>
      <c r="GJ31" s="50"/>
      <c r="GK31" s="50"/>
    </row>
    <row r="32" ht="15.75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  <c r="FK32" s="50"/>
      <c r="FL32" s="50"/>
      <c r="FM32" s="50"/>
      <c r="FN32" s="50"/>
      <c r="FO32" s="50"/>
      <c r="FP32" s="50"/>
      <c r="FQ32" s="50"/>
      <c r="FR32" s="50"/>
      <c r="FS32" s="50"/>
      <c r="FT32" s="50"/>
      <c r="FU32" s="50"/>
      <c r="FV32" s="50"/>
      <c r="FW32" s="50"/>
      <c r="FX32" s="50"/>
      <c r="FY32" s="50"/>
      <c r="FZ32" s="50"/>
      <c r="GA32" s="50"/>
      <c r="GB32" s="50"/>
      <c r="GC32" s="50"/>
      <c r="GD32" s="50"/>
      <c r="GE32" s="50"/>
      <c r="GF32" s="50"/>
      <c r="GG32" s="50"/>
      <c r="GH32" s="50"/>
      <c r="GI32" s="50"/>
      <c r="GJ32" s="50"/>
      <c r="GK32" s="50"/>
    </row>
    <row r="33" ht="15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  <c r="FK33" s="50"/>
      <c r="FL33" s="50"/>
      <c r="FM33" s="50"/>
      <c r="FN33" s="50"/>
      <c r="FO33" s="50"/>
      <c r="FP33" s="50"/>
      <c r="FQ33" s="50"/>
      <c r="FR33" s="50"/>
      <c r="FS33" s="50"/>
      <c r="FT33" s="50"/>
      <c r="FU33" s="50"/>
      <c r="FV33" s="50"/>
      <c r="FW33" s="50"/>
      <c r="FX33" s="50"/>
      <c r="FY33" s="50"/>
      <c r="FZ33" s="50"/>
      <c r="GA33" s="50"/>
      <c r="GB33" s="50"/>
      <c r="GC33" s="50"/>
      <c r="GD33" s="50"/>
      <c r="GE33" s="50"/>
      <c r="GF33" s="50"/>
      <c r="GG33" s="50"/>
      <c r="GH33" s="50"/>
      <c r="GI33" s="50"/>
      <c r="GJ33" s="50"/>
      <c r="GK33" s="50"/>
    </row>
    <row r="34" ht="15.75" customHeight="1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  <c r="FK34" s="50"/>
      <c r="FL34" s="50"/>
      <c r="FM34" s="50"/>
      <c r="FN34" s="50"/>
      <c r="FO34" s="50"/>
      <c r="FP34" s="50"/>
      <c r="FQ34" s="50"/>
      <c r="FR34" s="50"/>
      <c r="FS34" s="50"/>
      <c r="FT34" s="50"/>
      <c r="FU34" s="50"/>
      <c r="FV34" s="50"/>
      <c r="FW34" s="50"/>
      <c r="FX34" s="50"/>
      <c r="FY34" s="50"/>
      <c r="FZ34" s="50"/>
      <c r="GA34" s="50"/>
      <c r="GB34" s="50"/>
      <c r="GC34" s="50"/>
      <c r="GD34" s="50"/>
      <c r="GE34" s="50"/>
      <c r="GF34" s="50"/>
      <c r="GG34" s="50"/>
      <c r="GH34" s="50"/>
      <c r="GI34" s="50"/>
      <c r="GJ34" s="50"/>
      <c r="GK34" s="50"/>
    </row>
    <row r="35" ht="15.7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  <c r="FK35" s="50"/>
      <c r="FL35" s="50"/>
      <c r="FM35" s="50"/>
      <c r="FN35" s="50"/>
      <c r="FO35" s="50"/>
      <c r="FP35" s="50"/>
      <c r="FQ35" s="50"/>
      <c r="FR35" s="50"/>
      <c r="FS35" s="50"/>
      <c r="FT35" s="50"/>
      <c r="FU35" s="50"/>
      <c r="FV35" s="50"/>
      <c r="FW35" s="50"/>
      <c r="FX35" s="50"/>
      <c r="FY35" s="50"/>
      <c r="FZ35" s="50"/>
      <c r="GA35" s="50"/>
      <c r="GB35" s="50"/>
      <c r="GC35" s="50"/>
      <c r="GD35" s="50"/>
      <c r="GE35" s="50"/>
      <c r="GF35" s="50"/>
      <c r="GG35" s="50"/>
      <c r="GH35" s="50"/>
      <c r="GI35" s="50"/>
      <c r="GJ35" s="50"/>
      <c r="GK35" s="50"/>
    </row>
    <row r="36" ht="15.75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  <c r="FK36" s="50"/>
      <c r="FL36" s="50"/>
      <c r="FM36" s="50"/>
      <c r="FN36" s="50"/>
      <c r="FO36" s="50"/>
      <c r="FP36" s="50"/>
      <c r="FQ36" s="50"/>
      <c r="FR36" s="50"/>
      <c r="FS36" s="50"/>
      <c r="FT36" s="50"/>
      <c r="FU36" s="50"/>
      <c r="FV36" s="50"/>
      <c r="FW36" s="50"/>
      <c r="FX36" s="50"/>
      <c r="FY36" s="50"/>
      <c r="FZ36" s="50"/>
      <c r="GA36" s="50"/>
      <c r="GB36" s="50"/>
      <c r="GC36" s="50"/>
      <c r="GD36" s="50"/>
      <c r="GE36" s="50"/>
      <c r="GF36" s="50"/>
      <c r="GG36" s="50"/>
      <c r="GH36" s="50"/>
      <c r="GI36" s="50"/>
      <c r="GJ36" s="50"/>
      <c r="GK36" s="50"/>
    </row>
    <row r="37" ht="15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  <c r="FK37" s="50"/>
      <c r="FL37" s="50"/>
      <c r="FM37" s="50"/>
      <c r="FN37" s="50"/>
      <c r="FO37" s="50"/>
      <c r="FP37" s="50"/>
      <c r="FQ37" s="50"/>
      <c r="FR37" s="50"/>
      <c r="FS37" s="50"/>
      <c r="FT37" s="50"/>
      <c r="FU37" s="50"/>
      <c r="FV37" s="50"/>
      <c r="FW37" s="50"/>
      <c r="FX37" s="50"/>
      <c r="FY37" s="50"/>
      <c r="FZ37" s="50"/>
      <c r="GA37" s="50"/>
      <c r="GB37" s="50"/>
      <c r="GC37" s="50"/>
      <c r="GD37" s="50"/>
      <c r="GE37" s="50"/>
      <c r="GF37" s="50"/>
      <c r="GG37" s="50"/>
      <c r="GH37" s="50"/>
      <c r="GI37" s="50"/>
      <c r="GJ37" s="50"/>
      <c r="GK37" s="50"/>
    </row>
    <row r="38" ht="15.7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  <c r="EY38" s="50"/>
      <c r="EZ38" s="50"/>
      <c r="FA38" s="50"/>
      <c r="FB38" s="50"/>
      <c r="FC38" s="50"/>
      <c r="FD38" s="50"/>
      <c r="FE38" s="50"/>
      <c r="FF38" s="50"/>
      <c r="FG38" s="50"/>
      <c r="FH38" s="50"/>
      <c r="FI38" s="50"/>
      <c r="FJ38" s="50"/>
      <c r="FK38" s="50"/>
      <c r="FL38" s="50"/>
      <c r="FM38" s="50"/>
      <c r="FN38" s="50"/>
      <c r="FO38" s="50"/>
      <c r="FP38" s="50"/>
      <c r="FQ38" s="50"/>
      <c r="FR38" s="50"/>
      <c r="FS38" s="50"/>
      <c r="FT38" s="50"/>
      <c r="FU38" s="50"/>
      <c r="FV38" s="50"/>
      <c r="FW38" s="50"/>
      <c r="FX38" s="50"/>
      <c r="FY38" s="50"/>
      <c r="FZ38" s="50"/>
      <c r="GA38" s="50"/>
      <c r="GB38" s="50"/>
      <c r="GC38" s="50"/>
      <c r="GD38" s="50"/>
      <c r="GE38" s="50"/>
      <c r="GF38" s="50"/>
      <c r="GG38" s="50"/>
      <c r="GH38" s="50"/>
      <c r="GI38" s="50"/>
      <c r="GJ38" s="50"/>
      <c r="GK38" s="50"/>
    </row>
    <row r="39" ht="15.7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  <c r="EY39" s="50"/>
      <c r="EZ39" s="50"/>
      <c r="FA39" s="50"/>
      <c r="FB39" s="50"/>
      <c r="FC39" s="50"/>
      <c r="FD39" s="50"/>
      <c r="FE39" s="50"/>
      <c r="FF39" s="50"/>
      <c r="FG39" s="50"/>
      <c r="FH39" s="50"/>
      <c r="FI39" s="50"/>
      <c r="FJ39" s="50"/>
      <c r="FK39" s="50"/>
      <c r="FL39" s="50"/>
      <c r="FM39" s="50"/>
      <c r="FN39" s="50"/>
      <c r="FO39" s="50"/>
      <c r="FP39" s="50"/>
      <c r="FQ39" s="50"/>
      <c r="FR39" s="50"/>
      <c r="FS39" s="50"/>
      <c r="FT39" s="50"/>
      <c r="FU39" s="50"/>
      <c r="FV39" s="50"/>
      <c r="FW39" s="50"/>
      <c r="FX39" s="50"/>
      <c r="FY39" s="50"/>
      <c r="FZ39" s="50"/>
      <c r="GA39" s="50"/>
      <c r="GB39" s="50"/>
      <c r="GC39" s="50"/>
      <c r="GD39" s="50"/>
      <c r="GE39" s="50"/>
      <c r="GF39" s="50"/>
      <c r="GG39" s="50"/>
      <c r="GH39" s="50"/>
      <c r="GI39" s="50"/>
      <c r="GJ39" s="50"/>
      <c r="GK39" s="50"/>
    </row>
    <row r="40" ht="15.7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  <c r="EY40" s="50"/>
      <c r="EZ40" s="50"/>
      <c r="FA40" s="50"/>
      <c r="FB40" s="50"/>
      <c r="FC40" s="50"/>
      <c r="FD40" s="50"/>
      <c r="FE40" s="50"/>
      <c r="FF40" s="50"/>
      <c r="FG40" s="50"/>
      <c r="FH40" s="50"/>
      <c r="FI40" s="50"/>
      <c r="FJ40" s="50"/>
      <c r="FK40" s="50"/>
      <c r="FL40" s="50"/>
      <c r="FM40" s="50"/>
      <c r="FN40" s="50"/>
      <c r="FO40" s="50"/>
      <c r="FP40" s="50"/>
      <c r="FQ40" s="50"/>
      <c r="FR40" s="50"/>
      <c r="FS40" s="50"/>
      <c r="FT40" s="50"/>
      <c r="FU40" s="50"/>
      <c r="FV40" s="50"/>
      <c r="FW40" s="50"/>
      <c r="FX40" s="50"/>
      <c r="FY40" s="50"/>
      <c r="FZ40" s="50"/>
      <c r="GA40" s="50"/>
      <c r="GB40" s="50"/>
      <c r="GC40" s="50"/>
      <c r="GD40" s="50"/>
      <c r="GE40" s="50"/>
      <c r="GF40" s="50"/>
      <c r="GG40" s="50"/>
      <c r="GH40" s="50"/>
      <c r="GI40" s="50"/>
      <c r="GJ40" s="50"/>
      <c r="GK40" s="50"/>
    </row>
    <row r="41" ht="15.7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  <c r="EY41" s="50"/>
      <c r="EZ41" s="50"/>
      <c r="FA41" s="50"/>
      <c r="FB41" s="50"/>
      <c r="FC41" s="50"/>
      <c r="FD41" s="50"/>
      <c r="FE41" s="50"/>
      <c r="FF41" s="50"/>
      <c r="FG41" s="50"/>
      <c r="FH41" s="50"/>
      <c r="FI41" s="50"/>
      <c r="FJ41" s="50"/>
      <c r="FK41" s="50"/>
      <c r="FL41" s="50"/>
      <c r="FM41" s="50"/>
      <c r="FN41" s="50"/>
      <c r="FO41" s="50"/>
      <c r="FP41" s="50"/>
      <c r="FQ41" s="50"/>
      <c r="FR41" s="50"/>
      <c r="FS41" s="50"/>
      <c r="FT41" s="50"/>
      <c r="FU41" s="50"/>
      <c r="FV41" s="50"/>
      <c r="FW41" s="50"/>
      <c r="FX41" s="50"/>
      <c r="FY41" s="50"/>
      <c r="FZ41" s="50"/>
      <c r="GA41" s="50"/>
      <c r="GB41" s="50"/>
      <c r="GC41" s="50"/>
      <c r="GD41" s="50"/>
      <c r="GE41" s="50"/>
      <c r="GF41" s="50"/>
      <c r="GG41" s="50"/>
      <c r="GH41" s="50"/>
      <c r="GI41" s="50"/>
      <c r="GJ41" s="50"/>
      <c r="GK41" s="50"/>
    </row>
    <row r="42" ht="15.7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  <c r="EY42" s="50"/>
      <c r="EZ42" s="50"/>
      <c r="FA42" s="50"/>
      <c r="FB42" s="50"/>
      <c r="FC42" s="50"/>
      <c r="FD42" s="50"/>
      <c r="FE42" s="50"/>
      <c r="FF42" s="50"/>
      <c r="FG42" s="50"/>
      <c r="FH42" s="50"/>
      <c r="FI42" s="50"/>
      <c r="FJ42" s="50"/>
      <c r="FK42" s="50"/>
      <c r="FL42" s="50"/>
      <c r="FM42" s="50"/>
      <c r="FN42" s="50"/>
      <c r="FO42" s="50"/>
      <c r="FP42" s="50"/>
      <c r="FQ42" s="50"/>
      <c r="FR42" s="50"/>
      <c r="FS42" s="50"/>
      <c r="FT42" s="50"/>
      <c r="FU42" s="50"/>
      <c r="FV42" s="50"/>
      <c r="FW42" s="50"/>
      <c r="FX42" s="50"/>
      <c r="FY42" s="50"/>
      <c r="FZ42" s="50"/>
      <c r="GA42" s="50"/>
      <c r="GB42" s="50"/>
      <c r="GC42" s="50"/>
      <c r="GD42" s="50"/>
      <c r="GE42" s="50"/>
      <c r="GF42" s="50"/>
      <c r="GG42" s="50"/>
      <c r="GH42" s="50"/>
      <c r="GI42" s="50"/>
      <c r="GJ42" s="50"/>
      <c r="GK42" s="50"/>
    </row>
    <row r="43" ht="15.75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  <c r="EY43" s="50"/>
      <c r="EZ43" s="50"/>
      <c r="FA43" s="50"/>
      <c r="FB43" s="50"/>
      <c r="FC43" s="50"/>
      <c r="FD43" s="50"/>
      <c r="FE43" s="50"/>
      <c r="FF43" s="50"/>
      <c r="FG43" s="50"/>
      <c r="FH43" s="50"/>
      <c r="FI43" s="50"/>
      <c r="FJ43" s="50"/>
      <c r="FK43" s="50"/>
      <c r="FL43" s="50"/>
      <c r="FM43" s="50"/>
      <c r="FN43" s="50"/>
      <c r="FO43" s="50"/>
      <c r="FP43" s="50"/>
      <c r="FQ43" s="50"/>
      <c r="FR43" s="50"/>
      <c r="FS43" s="50"/>
      <c r="FT43" s="50"/>
      <c r="FU43" s="50"/>
      <c r="FV43" s="50"/>
      <c r="FW43" s="50"/>
      <c r="FX43" s="50"/>
      <c r="FY43" s="50"/>
      <c r="FZ43" s="50"/>
      <c r="GA43" s="50"/>
      <c r="GB43" s="50"/>
      <c r="GC43" s="50"/>
      <c r="GD43" s="50"/>
      <c r="GE43" s="50"/>
      <c r="GF43" s="50"/>
      <c r="GG43" s="50"/>
      <c r="GH43" s="50"/>
      <c r="GI43" s="50"/>
      <c r="GJ43" s="50"/>
      <c r="GK43" s="50"/>
    </row>
    <row r="44" ht="15.7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  <c r="EY44" s="50"/>
      <c r="EZ44" s="50"/>
      <c r="FA44" s="50"/>
      <c r="FB44" s="50"/>
      <c r="FC44" s="50"/>
      <c r="FD44" s="50"/>
      <c r="FE44" s="50"/>
      <c r="FF44" s="50"/>
      <c r="FG44" s="50"/>
      <c r="FH44" s="50"/>
      <c r="FI44" s="50"/>
      <c r="FJ44" s="50"/>
      <c r="FK44" s="50"/>
      <c r="FL44" s="50"/>
      <c r="FM44" s="50"/>
      <c r="FN44" s="50"/>
      <c r="FO44" s="50"/>
      <c r="FP44" s="50"/>
      <c r="FQ44" s="50"/>
      <c r="FR44" s="50"/>
      <c r="FS44" s="50"/>
      <c r="FT44" s="50"/>
      <c r="FU44" s="50"/>
      <c r="FV44" s="50"/>
      <c r="FW44" s="50"/>
      <c r="FX44" s="50"/>
      <c r="FY44" s="50"/>
      <c r="FZ44" s="50"/>
      <c r="GA44" s="50"/>
      <c r="GB44" s="50"/>
      <c r="GC44" s="50"/>
      <c r="GD44" s="50"/>
      <c r="GE44" s="50"/>
      <c r="GF44" s="50"/>
      <c r="GG44" s="50"/>
      <c r="GH44" s="50"/>
      <c r="GI44" s="50"/>
      <c r="GJ44" s="50"/>
      <c r="GK44" s="50"/>
    </row>
    <row r="45" ht="15.7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/>
      <c r="DS45" s="50"/>
      <c r="DT45" s="50"/>
      <c r="DU45" s="50"/>
      <c r="DV45" s="50"/>
      <c r="DW45" s="50"/>
      <c r="DX45" s="50"/>
      <c r="DY45" s="50"/>
      <c r="DZ45" s="50"/>
      <c r="EA45" s="50"/>
      <c r="EB45" s="50"/>
      <c r="EC45" s="50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50"/>
      <c r="ER45" s="50"/>
      <c r="ES45" s="50"/>
      <c r="ET45" s="50"/>
      <c r="EU45" s="50"/>
      <c r="EV45" s="50"/>
      <c r="EW45" s="50"/>
      <c r="EX45" s="50"/>
      <c r="EY45" s="50"/>
      <c r="EZ45" s="50"/>
      <c r="FA45" s="50"/>
      <c r="FB45" s="50"/>
      <c r="FC45" s="50"/>
      <c r="FD45" s="50"/>
      <c r="FE45" s="50"/>
      <c r="FF45" s="50"/>
      <c r="FG45" s="50"/>
      <c r="FH45" s="50"/>
      <c r="FI45" s="50"/>
      <c r="FJ45" s="50"/>
      <c r="FK45" s="50"/>
      <c r="FL45" s="50"/>
      <c r="FM45" s="50"/>
      <c r="FN45" s="50"/>
      <c r="FO45" s="50"/>
      <c r="FP45" s="50"/>
      <c r="FQ45" s="50"/>
      <c r="FR45" s="50"/>
      <c r="FS45" s="50"/>
      <c r="FT45" s="50"/>
      <c r="FU45" s="50"/>
      <c r="FV45" s="50"/>
      <c r="FW45" s="50"/>
      <c r="FX45" s="50"/>
      <c r="FY45" s="50"/>
      <c r="FZ45" s="50"/>
      <c r="GA45" s="50"/>
      <c r="GB45" s="50"/>
      <c r="GC45" s="50"/>
      <c r="GD45" s="50"/>
      <c r="GE45" s="50"/>
      <c r="GF45" s="50"/>
      <c r="GG45" s="50"/>
      <c r="GH45" s="50"/>
      <c r="GI45" s="50"/>
      <c r="GJ45" s="50"/>
      <c r="GK45" s="50"/>
    </row>
    <row r="46" ht="15.7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  <c r="EY46" s="50"/>
      <c r="EZ46" s="50"/>
      <c r="FA46" s="50"/>
      <c r="FB46" s="50"/>
      <c r="FC46" s="50"/>
      <c r="FD46" s="50"/>
      <c r="FE46" s="50"/>
      <c r="FF46" s="50"/>
      <c r="FG46" s="50"/>
      <c r="FH46" s="50"/>
      <c r="FI46" s="50"/>
      <c r="FJ46" s="50"/>
      <c r="FK46" s="50"/>
      <c r="FL46" s="50"/>
      <c r="FM46" s="50"/>
      <c r="FN46" s="50"/>
      <c r="FO46" s="50"/>
      <c r="FP46" s="50"/>
      <c r="FQ46" s="50"/>
      <c r="FR46" s="50"/>
      <c r="FS46" s="50"/>
      <c r="FT46" s="50"/>
      <c r="FU46" s="50"/>
      <c r="FV46" s="50"/>
      <c r="FW46" s="50"/>
      <c r="FX46" s="50"/>
      <c r="FY46" s="50"/>
      <c r="FZ46" s="50"/>
      <c r="GA46" s="50"/>
      <c r="GB46" s="50"/>
      <c r="GC46" s="50"/>
      <c r="GD46" s="50"/>
      <c r="GE46" s="50"/>
      <c r="GF46" s="50"/>
      <c r="GG46" s="50"/>
      <c r="GH46" s="50"/>
      <c r="GI46" s="50"/>
      <c r="GJ46" s="50"/>
      <c r="GK46" s="50"/>
    </row>
    <row r="47" ht="15.7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  <c r="EY47" s="50"/>
      <c r="EZ47" s="50"/>
      <c r="FA47" s="50"/>
      <c r="FB47" s="50"/>
      <c r="FC47" s="50"/>
      <c r="FD47" s="50"/>
      <c r="FE47" s="50"/>
      <c r="FF47" s="50"/>
      <c r="FG47" s="50"/>
      <c r="FH47" s="50"/>
      <c r="FI47" s="50"/>
      <c r="FJ47" s="50"/>
      <c r="FK47" s="50"/>
      <c r="FL47" s="50"/>
      <c r="FM47" s="50"/>
      <c r="FN47" s="50"/>
      <c r="FO47" s="50"/>
      <c r="FP47" s="50"/>
      <c r="FQ47" s="50"/>
      <c r="FR47" s="50"/>
      <c r="FS47" s="50"/>
      <c r="FT47" s="50"/>
      <c r="FU47" s="50"/>
      <c r="FV47" s="50"/>
      <c r="FW47" s="50"/>
      <c r="FX47" s="50"/>
      <c r="FY47" s="50"/>
      <c r="FZ47" s="50"/>
      <c r="GA47" s="50"/>
      <c r="GB47" s="50"/>
      <c r="GC47" s="50"/>
      <c r="GD47" s="50"/>
      <c r="GE47" s="50"/>
      <c r="GF47" s="50"/>
      <c r="GG47" s="50"/>
      <c r="GH47" s="50"/>
      <c r="GI47" s="50"/>
      <c r="GJ47" s="50"/>
      <c r="GK47" s="50"/>
    </row>
    <row r="48" ht="15.7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  <c r="EY48" s="50"/>
      <c r="EZ48" s="50"/>
      <c r="FA48" s="50"/>
      <c r="FB48" s="50"/>
      <c r="FC48" s="50"/>
      <c r="FD48" s="50"/>
      <c r="FE48" s="50"/>
      <c r="FF48" s="50"/>
      <c r="FG48" s="50"/>
      <c r="FH48" s="50"/>
      <c r="FI48" s="50"/>
      <c r="FJ48" s="50"/>
      <c r="FK48" s="50"/>
      <c r="FL48" s="50"/>
      <c r="FM48" s="50"/>
      <c r="FN48" s="50"/>
      <c r="FO48" s="50"/>
      <c r="FP48" s="50"/>
      <c r="FQ48" s="50"/>
      <c r="FR48" s="50"/>
      <c r="FS48" s="50"/>
      <c r="FT48" s="50"/>
      <c r="FU48" s="50"/>
      <c r="FV48" s="50"/>
      <c r="FW48" s="50"/>
      <c r="FX48" s="50"/>
      <c r="FY48" s="50"/>
      <c r="FZ48" s="50"/>
      <c r="GA48" s="50"/>
      <c r="GB48" s="50"/>
      <c r="GC48" s="50"/>
      <c r="GD48" s="50"/>
      <c r="GE48" s="50"/>
      <c r="GF48" s="50"/>
      <c r="GG48" s="50"/>
      <c r="GH48" s="50"/>
      <c r="GI48" s="50"/>
      <c r="GJ48" s="50"/>
      <c r="GK48" s="50"/>
    </row>
    <row r="49" ht="15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50"/>
      <c r="DT49" s="50"/>
      <c r="DU49" s="50"/>
      <c r="DV49" s="50"/>
      <c r="DW49" s="50"/>
      <c r="DX49" s="50"/>
      <c r="DY49" s="50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0"/>
      <c r="EW49" s="50"/>
      <c r="EX49" s="50"/>
      <c r="EY49" s="50"/>
      <c r="EZ49" s="50"/>
      <c r="FA49" s="50"/>
      <c r="FB49" s="50"/>
      <c r="FC49" s="50"/>
      <c r="FD49" s="50"/>
      <c r="FE49" s="50"/>
      <c r="FF49" s="50"/>
      <c r="FG49" s="50"/>
      <c r="FH49" s="50"/>
      <c r="FI49" s="50"/>
      <c r="FJ49" s="50"/>
      <c r="FK49" s="50"/>
      <c r="FL49" s="50"/>
      <c r="FM49" s="50"/>
      <c r="FN49" s="50"/>
      <c r="FO49" s="50"/>
      <c r="FP49" s="50"/>
      <c r="FQ49" s="50"/>
      <c r="FR49" s="50"/>
      <c r="FS49" s="50"/>
      <c r="FT49" s="50"/>
      <c r="FU49" s="50"/>
      <c r="FV49" s="50"/>
      <c r="FW49" s="50"/>
      <c r="FX49" s="50"/>
      <c r="FY49" s="50"/>
      <c r="FZ49" s="50"/>
      <c r="GA49" s="50"/>
      <c r="GB49" s="50"/>
      <c r="GC49" s="50"/>
      <c r="GD49" s="50"/>
      <c r="GE49" s="50"/>
      <c r="GF49" s="50"/>
      <c r="GG49" s="50"/>
      <c r="GH49" s="50"/>
      <c r="GI49" s="50"/>
      <c r="GJ49" s="50"/>
      <c r="GK49" s="50"/>
    </row>
    <row r="50" ht="15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50"/>
      <c r="DC50" s="50"/>
      <c r="DD50" s="50"/>
      <c r="DE50" s="50"/>
      <c r="DF50" s="50"/>
      <c r="DG50" s="50"/>
      <c r="DH50" s="50"/>
      <c r="DI50" s="50"/>
      <c r="DJ50" s="50"/>
      <c r="DK50" s="50"/>
      <c r="DL50" s="50"/>
      <c r="DM50" s="50"/>
      <c r="DN50" s="50"/>
      <c r="DO50" s="50"/>
      <c r="DP50" s="50"/>
      <c r="DQ50" s="50"/>
      <c r="DR50" s="50"/>
      <c r="DS50" s="50"/>
      <c r="DT50" s="50"/>
      <c r="DU50" s="50"/>
      <c r="DV50" s="50"/>
      <c r="DW50" s="50"/>
      <c r="DX50" s="50"/>
      <c r="DY50" s="50"/>
      <c r="DZ50" s="50"/>
      <c r="EA50" s="50"/>
      <c r="EB50" s="50"/>
      <c r="EC50" s="50"/>
      <c r="ED50" s="50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  <c r="EP50" s="50"/>
      <c r="EQ50" s="50"/>
      <c r="ER50" s="50"/>
      <c r="ES50" s="50"/>
      <c r="ET50" s="50"/>
      <c r="EU50" s="50"/>
      <c r="EV50" s="50"/>
      <c r="EW50" s="50"/>
      <c r="EX50" s="50"/>
      <c r="EY50" s="50"/>
      <c r="EZ50" s="50"/>
      <c r="FA50" s="50"/>
      <c r="FB50" s="50"/>
      <c r="FC50" s="50"/>
      <c r="FD50" s="50"/>
      <c r="FE50" s="50"/>
      <c r="FF50" s="50"/>
      <c r="FG50" s="50"/>
      <c r="FH50" s="50"/>
      <c r="FI50" s="50"/>
      <c r="FJ50" s="50"/>
      <c r="FK50" s="50"/>
      <c r="FL50" s="50"/>
      <c r="FM50" s="50"/>
      <c r="FN50" s="50"/>
      <c r="FO50" s="50"/>
      <c r="FP50" s="50"/>
      <c r="FQ50" s="50"/>
      <c r="FR50" s="50"/>
      <c r="FS50" s="50"/>
      <c r="FT50" s="50"/>
      <c r="FU50" s="50"/>
      <c r="FV50" s="50"/>
      <c r="FW50" s="50"/>
      <c r="FX50" s="50"/>
      <c r="FY50" s="50"/>
      <c r="FZ50" s="50"/>
      <c r="GA50" s="50"/>
      <c r="GB50" s="50"/>
      <c r="GC50" s="50"/>
      <c r="GD50" s="50"/>
      <c r="GE50" s="50"/>
      <c r="GF50" s="50"/>
      <c r="GG50" s="50"/>
      <c r="GH50" s="50"/>
      <c r="GI50" s="50"/>
      <c r="GJ50" s="50"/>
      <c r="GK50" s="50"/>
    </row>
    <row r="51" ht="15.7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0"/>
      <c r="DD51" s="50"/>
      <c r="DE51" s="50"/>
      <c r="DF51" s="50"/>
      <c r="DG51" s="50"/>
      <c r="DH51" s="50"/>
      <c r="DI51" s="50"/>
      <c r="DJ51" s="50"/>
      <c r="DK51" s="50"/>
      <c r="DL51" s="50"/>
      <c r="DM51" s="50"/>
      <c r="DN51" s="50"/>
      <c r="DO51" s="50"/>
      <c r="DP51" s="50"/>
      <c r="DQ51" s="50"/>
      <c r="DR51" s="50"/>
      <c r="DS51" s="50"/>
      <c r="DT51" s="50"/>
      <c r="DU51" s="50"/>
      <c r="DV51" s="50"/>
      <c r="DW51" s="50"/>
      <c r="DX51" s="50"/>
      <c r="DY51" s="50"/>
      <c r="DZ51" s="50"/>
      <c r="EA51" s="50"/>
      <c r="EB51" s="50"/>
      <c r="EC51" s="50"/>
      <c r="ED51" s="50"/>
      <c r="EE51" s="50"/>
      <c r="EF51" s="50"/>
      <c r="EG51" s="50"/>
      <c r="EH51" s="50"/>
      <c r="EI51" s="50"/>
      <c r="EJ51" s="50"/>
      <c r="EK51" s="50"/>
      <c r="EL51" s="50"/>
      <c r="EM51" s="50"/>
      <c r="EN51" s="50"/>
      <c r="EO51" s="50"/>
      <c r="EP51" s="50"/>
      <c r="EQ51" s="50"/>
      <c r="ER51" s="50"/>
      <c r="ES51" s="50"/>
      <c r="ET51" s="50"/>
      <c r="EU51" s="50"/>
      <c r="EV51" s="50"/>
      <c r="EW51" s="50"/>
      <c r="EX51" s="50"/>
      <c r="EY51" s="50"/>
      <c r="EZ51" s="50"/>
      <c r="FA51" s="50"/>
      <c r="FB51" s="50"/>
      <c r="FC51" s="50"/>
      <c r="FD51" s="50"/>
      <c r="FE51" s="50"/>
      <c r="FF51" s="50"/>
      <c r="FG51" s="50"/>
      <c r="FH51" s="50"/>
      <c r="FI51" s="50"/>
      <c r="FJ51" s="50"/>
      <c r="FK51" s="50"/>
      <c r="FL51" s="50"/>
      <c r="FM51" s="50"/>
      <c r="FN51" s="50"/>
      <c r="FO51" s="50"/>
      <c r="FP51" s="50"/>
      <c r="FQ51" s="50"/>
      <c r="FR51" s="50"/>
      <c r="FS51" s="50"/>
      <c r="FT51" s="50"/>
      <c r="FU51" s="50"/>
      <c r="FV51" s="50"/>
      <c r="FW51" s="50"/>
      <c r="FX51" s="50"/>
      <c r="FY51" s="50"/>
      <c r="FZ51" s="50"/>
      <c r="GA51" s="50"/>
      <c r="GB51" s="50"/>
      <c r="GC51" s="50"/>
      <c r="GD51" s="50"/>
      <c r="GE51" s="50"/>
      <c r="GF51" s="50"/>
      <c r="GG51" s="50"/>
      <c r="GH51" s="50"/>
      <c r="GI51" s="50"/>
      <c r="GJ51" s="50"/>
      <c r="GK51" s="50"/>
    </row>
    <row r="52" ht="15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50"/>
      <c r="DC52" s="50"/>
      <c r="DD52" s="50"/>
      <c r="DE52" s="50"/>
      <c r="DF52" s="50"/>
      <c r="DG52" s="50"/>
      <c r="DH52" s="50"/>
      <c r="DI52" s="50"/>
      <c r="DJ52" s="50"/>
      <c r="DK52" s="50"/>
      <c r="DL52" s="50"/>
      <c r="DM52" s="50"/>
      <c r="DN52" s="50"/>
      <c r="DO52" s="50"/>
      <c r="DP52" s="50"/>
      <c r="DQ52" s="50"/>
      <c r="DR52" s="50"/>
      <c r="DS52" s="50"/>
      <c r="DT52" s="50"/>
      <c r="DU52" s="50"/>
      <c r="DV52" s="50"/>
      <c r="DW52" s="50"/>
      <c r="DX52" s="50"/>
      <c r="DY52" s="50"/>
      <c r="DZ52" s="50"/>
      <c r="EA52" s="50"/>
      <c r="EB52" s="50"/>
      <c r="EC52" s="50"/>
      <c r="ED52" s="50"/>
      <c r="EE52" s="50"/>
      <c r="EF52" s="50"/>
      <c r="EG52" s="50"/>
      <c r="EH52" s="50"/>
      <c r="EI52" s="50"/>
      <c r="EJ52" s="50"/>
      <c r="EK52" s="50"/>
      <c r="EL52" s="50"/>
      <c r="EM52" s="50"/>
      <c r="EN52" s="50"/>
      <c r="EO52" s="50"/>
      <c r="EP52" s="50"/>
      <c r="EQ52" s="50"/>
      <c r="ER52" s="50"/>
      <c r="ES52" s="50"/>
      <c r="ET52" s="50"/>
      <c r="EU52" s="50"/>
      <c r="EV52" s="50"/>
      <c r="EW52" s="50"/>
      <c r="EX52" s="50"/>
      <c r="EY52" s="50"/>
      <c r="EZ52" s="50"/>
      <c r="FA52" s="50"/>
      <c r="FB52" s="50"/>
      <c r="FC52" s="50"/>
      <c r="FD52" s="50"/>
      <c r="FE52" s="50"/>
      <c r="FF52" s="50"/>
      <c r="FG52" s="50"/>
      <c r="FH52" s="50"/>
      <c r="FI52" s="50"/>
      <c r="FJ52" s="50"/>
      <c r="FK52" s="50"/>
      <c r="FL52" s="50"/>
      <c r="FM52" s="50"/>
      <c r="FN52" s="50"/>
      <c r="FO52" s="50"/>
      <c r="FP52" s="50"/>
      <c r="FQ52" s="50"/>
      <c r="FR52" s="50"/>
      <c r="FS52" s="50"/>
      <c r="FT52" s="50"/>
      <c r="FU52" s="50"/>
      <c r="FV52" s="50"/>
      <c r="FW52" s="50"/>
      <c r="FX52" s="50"/>
      <c r="FY52" s="50"/>
      <c r="FZ52" s="50"/>
      <c r="GA52" s="50"/>
      <c r="GB52" s="50"/>
      <c r="GC52" s="50"/>
      <c r="GD52" s="50"/>
      <c r="GE52" s="50"/>
      <c r="GF52" s="50"/>
      <c r="GG52" s="50"/>
      <c r="GH52" s="50"/>
      <c r="GI52" s="50"/>
      <c r="GJ52" s="50"/>
      <c r="GK52" s="50"/>
    </row>
    <row r="53" ht="15.7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  <c r="CP53" s="50"/>
      <c r="CQ53" s="50"/>
      <c r="CR53" s="50"/>
      <c r="CS53" s="50"/>
      <c r="CT53" s="50"/>
      <c r="CU53" s="50"/>
      <c r="CV53" s="50"/>
      <c r="CW53" s="50"/>
      <c r="CX53" s="50"/>
      <c r="CY53" s="50"/>
      <c r="CZ53" s="50"/>
      <c r="DA53" s="50"/>
      <c r="DB53" s="50"/>
      <c r="DC53" s="50"/>
      <c r="DD53" s="50"/>
      <c r="DE53" s="50"/>
      <c r="DF53" s="50"/>
      <c r="DG53" s="50"/>
      <c r="DH53" s="50"/>
      <c r="DI53" s="50"/>
      <c r="DJ53" s="50"/>
      <c r="DK53" s="50"/>
      <c r="DL53" s="50"/>
      <c r="DM53" s="50"/>
      <c r="DN53" s="50"/>
      <c r="DO53" s="50"/>
      <c r="DP53" s="50"/>
      <c r="DQ53" s="50"/>
      <c r="DR53" s="50"/>
      <c r="DS53" s="50"/>
      <c r="DT53" s="50"/>
      <c r="DU53" s="50"/>
      <c r="DV53" s="50"/>
      <c r="DW53" s="50"/>
      <c r="DX53" s="50"/>
      <c r="DY53" s="50"/>
      <c r="DZ53" s="50"/>
      <c r="EA53" s="50"/>
      <c r="EB53" s="50"/>
      <c r="EC53" s="50"/>
      <c r="ED53" s="50"/>
      <c r="EE53" s="50"/>
      <c r="EF53" s="50"/>
      <c r="EG53" s="50"/>
      <c r="EH53" s="50"/>
      <c r="EI53" s="50"/>
      <c r="EJ53" s="50"/>
      <c r="EK53" s="50"/>
      <c r="EL53" s="50"/>
      <c r="EM53" s="50"/>
      <c r="EN53" s="50"/>
      <c r="EO53" s="50"/>
      <c r="EP53" s="50"/>
      <c r="EQ53" s="50"/>
      <c r="ER53" s="50"/>
      <c r="ES53" s="50"/>
      <c r="ET53" s="50"/>
      <c r="EU53" s="50"/>
      <c r="EV53" s="50"/>
      <c r="EW53" s="50"/>
      <c r="EX53" s="50"/>
      <c r="EY53" s="50"/>
      <c r="EZ53" s="50"/>
      <c r="FA53" s="50"/>
      <c r="FB53" s="50"/>
      <c r="FC53" s="50"/>
      <c r="FD53" s="50"/>
      <c r="FE53" s="50"/>
      <c r="FF53" s="50"/>
      <c r="FG53" s="50"/>
      <c r="FH53" s="50"/>
      <c r="FI53" s="50"/>
      <c r="FJ53" s="50"/>
      <c r="FK53" s="50"/>
      <c r="FL53" s="50"/>
      <c r="FM53" s="50"/>
      <c r="FN53" s="50"/>
      <c r="FO53" s="50"/>
      <c r="FP53" s="50"/>
      <c r="FQ53" s="50"/>
      <c r="FR53" s="50"/>
      <c r="FS53" s="50"/>
      <c r="FT53" s="50"/>
      <c r="FU53" s="50"/>
      <c r="FV53" s="50"/>
      <c r="FW53" s="50"/>
      <c r="FX53" s="50"/>
      <c r="FY53" s="50"/>
      <c r="FZ53" s="50"/>
      <c r="GA53" s="50"/>
      <c r="GB53" s="50"/>
      <c r="GC53" s="50"/>
      <c r="GD53" s="50"/>
      <c r="GE53" s="50"/>
      <c r="GF53" s="50"/>
      <c r="GG53" s="50"/>
      <c r="GH53" s="50"/>
      <c r="GI53" s="50"/>
      <c r="GJ53" s="50"/>
      <c r="GK53" s="50"/>
    </row>
    <row r="54" ht="15.7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/>
      <c r="CZ54" s="50"/>
      <c r="DA54" s="50"/>
      <c r="DB54" s="50"/>
      <c r="DC54" s="50"/>
      <c r="DD54" s="50"/>
      <c r="DE54" s="50"/>
      <c r="DF54" s="50"/>
      <c r="DG54" s="50"/>
      <c r="DH54" s="50"/>
      <c r="DI54" s="50"/>
      <c r="DJ54" s="50"/>
      <c r="DK54" s="50"/>
      <c r="DL54" s="50"/>
      <c r="DM54" s="50"/>
      <c r="DN54" s="50"/>
      <c r="DO54" s="50"/>
      <c r="DP54" s="50"/>
      <c r="DQ54" s="50"/>
      <c r="DR54" s="50"/>
      <c r="DS54" s="50"/>
      <c r="DT54" s="50"/>
      <c r="DU54" s="50"/>
      <c r="DV54" s="50"/>
      <c r="DW54" s="50"/>
      <c r="DX54" s="50"/>
      <c r="DY54" s="50"/>
      <c r="DZ54" s="50"/>
      <c r="EA54" s="50"/>
      <c r="EB54" s="50"/>
      <c r="EC54" s="50"/>
      <c r="ED54" s="50"/>
      <c r="EE54" s="50"/>
      <c r="EF54" s="50"/>
      <c r="EG54" s="50"/>
      <c r="EH54" s="50"/>
      <c r="EI54" s="50"/>
      <c r="EJ54" s="50"/>
      <c r="EK54" s="50"/>
      <c r="EL54" s="50"/>
      <c r="EM54" s="50"/>
      <c r="EN54" s="50"/>
      <c r="EO54" s="50"/>
      <c r="EP54" s="50"/>
      <c r="EQ54" s="50"/>
      <c r="ER54" s="50"/>
      <c r="ES54" s="50"/>
      <c r="ET54" s="50"/>
      <c r="EU54" s="50"/>
      <c r="EV54" s="50"/>
      <c r="EW54" s="50"/>
      <c r="EX54" s="50"/>
      <c r="EY54" s="50"/>
      <c r="EZ54" s="50"/>
      <c r="FA54" s="50"/>
      <c r="FB54" s="50"/>
      <c r="FC54" s="50"/>
      <c r="FD54" s="50"/>
      <c r="FE54" s="50"/>
      <c r="FF54" s="50"/>
      <c r="FG54" s="50"/>
      <c r="FH54" s="50"/>
      <c r="FI54" s="50"/>
      <c r="FJ54" s="50"/>
      <c r="FK54" s="50"/>
      <c r="FL54" s="50"/>
      <c r="FM54" s="50"/>
      <c r="FN54" s="50"/>
      <c r="FO54" s="50"/>
      <c r="FP54" s="50"/>
      <c r="FQ54" s="50"/>
      <c r="FR54" s="50"/>
      <c r="FS54" s="50"/>
      <c r="FT54" s="50"/>
      <c r="FU54" s="50"/>
      <c r="FV54" s="50"/>
      <c r="FW54" s="50"/>
      <c r="FX54" s="50"/>
      <c r="FY54" s="50"/>
      <c r="FZ54" s="50"/>
      <c r="GA54" s="50"/>
      <c r="GB54" s="50"/>
      <c r="GC54" s="50"/>
      <c r="GD54" s="50"/>
      <c r="GE54" s="50"/>
      <c r="GF54" s="50"/>
      <c r="GG54" s="50"/>
      <c r="GH54" s="50"/>
      <c r="GI54" s="50"/>
      <c r="GJ54" s="50"/>
      <c r="GK54" s="50"/>
    </row>
    <row r="55" ht="15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0"/>
      <c r="CP55" s="50"/>
      <c r="CQ55" s="50"/>
      <c r="CR55" s="50"/>
      <c r="CS55" s="50"/>
      <c r="CT55" s="50"/>
      <c r="CU55" s="50"/>
      <c r="CV55" s="50"/>
      <c r="CW55" s="50"/>
      <c r="CX55" s="50"/>
      <c r="CY55" s="50"/>
      <c r="CZ55" s="50"/>
      <c r="DA55" s="50"/>
      <c r="DB55" s="50"/>
      <c r="DC55" s="50"/>
      <c r="DD55" s="50"/>
      <c r="DE55" s="50"/>
      <c r="DF55" s="50"/>
      <c r="DG55" s="50"/>
      <c r="DH55" s="50"/>
      <c r="DI55" s="50"/>
      <c r="DJ55" s="50"/>
      <c r="DK55" s="50"/>
      <c r="DL55" s="50"/>
      <c r="DM55" s="50"/>
      <c r="DN55" s="50"/>
      <c r="DO55" s="50"/>
      <c r="DP55" s="50"/>
      <c r="DQ55" s="50"/>
      <c r="DR55" s="50"/>
      <c r="DS55" s="50"/>
      <c r="DT55" s="50"/>
      <c r="DU55" s="50"/>
      <c r="DV55" s="50"/>
      <c r="DW55" s="50"/>
      <c r="DX55" s="50"/>
      <c r="DY55" s="50"/>
      <c r="DZ55" s="50"/>
      <c r="EA55" s="50"/>
      <c r="EB55" s="50"/>
      <c r="EC55" s="50"/>
      <c r="ED55" s="50"/>
      <c r="EE55" s="50"/>
      <c r="EF55" s="50"/>
      <c r="EG55" s="50"/>
      <c r="EH55" s="50"/>
      <c r="EI55" s="50"/>
      <c r="EJ55" s="50"/>
      <c r="EK55" s="50"/>
      <c r="EL55" s="50"/>
      <c r="EM55" s="50"/>
      <c r="EN55" s="50"/>
      <c r="EO55" s="50"/>
      <c r="EP55" s="50"/>
      <c r="EQ55" s="50"/>
      <c r="ER55" s="50"/>
      <c r="ES55" s="50"/>
      <c r="ET55" s="50"/>
      <c r="EU55" s="50"/>
      <c r="EV55" s="50"/>
      <c r="EW55" s="50"/>
      <c r="EX55" s="50"/>
      <c r="EY55" s="50"/>
      <c r="EZ55" s="50"/>
      <c r="FA55" s="50"/>
      <c r="FB55" s="50"/>
      <c r="FC55" s="50"/>
      <c r="FD55" s="50"/>
      <c r="FE55" s="50"/>
      <c r="FF55" s="50"/>
      <c r="FG55" s="50"/>
      <c r="FH55" s="50"/>
      <c r="FI55" s="50"/>
      <c r="FJ55" s="50"/>
      <c r="FK55" s="50"/>
      <c r="FL55" s="50"/>
      <c r="FM55" s="50"/>
      <c r="FN55" s="50"/>
      <c r="FO55" s="50"/>
      <c r="FP55" s="50"/>
      <c r="FQ55" s="50"/>
      <c r="FR55" s="50"/>
      <c r="FS55" s="50"/>
      <c r="FT55" s="50"/>
      <c r="FU55" s="50"/>
      <c r="FV55" s="50"/>
      <c r="FW55" s="50"/>
      <c r="FX55" s="50"/>
      <c r="FY55" s="50"/>
      <c r="FZ55" s="50"/>
      <c r="GA55" s="50"/>
      <c r="GB55" s="50"/>
      <c r="GC55" s="50"/>
      <c r="GD55" s="50"/>
      <c r="GE55" s="50"/>
      <c r="GF55" s="50"/>
      <c r="GG55" s="50"/>
      <c r="GH55" s="50"/>
      <c r="GI55" s="50"/>
      <c r="GJ55" s="50"/>
      <c r="GK55" s="50"/>
    </row>
    <row r="56" ht="15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  <c r="CP56" s="50"/>
      <c r="CQ56" s="50"/>
      <c r="CR56" s="50"/>
      <c r="CS56" s="50"/>
      <c r="CT56" s="50"/>
      <c r="CU56" s="50"/>
      <c r="CV56" s="50"/>
      <c r="CW56" s="50"/>
      <c r="CX56" s="50"/>
      <c r="CY56" s="50"/>
      <c r="CZ56" s="50"/>
      <c r="DA56" s="50"/>
      <c r="DB56" s="50"/>
      <c r="DC56" s="50"/>
      <c r="DD56" s="50"/>
      <c r="DE56" s="50"/>
      <c r="DF56" s="50"/>
      <c r="DG56" s="50"/>
      <c r="DH56" s="50"/>
      <c r="DI56" s="50"/>
      <c r="DJ56" s="50"/>
      <c r="DK56" s="50"/>
      <c r="DL56" s="50"/>
      <c r="DM56" s="50"/>
      <c r="DN56" s="50"/>
      <c r="DO56" s="50"/>
      <c r="DP56" s="50"/>
      <c r="DQ56" s="50"/>
      <c r="DR56" s="50"/>
      <c r="DS56" s="50"/>
      <c r="DT56" s="50"/>
      <c r="DU56" s="50"/>
      <c r="DV56" s="50"/>
      <c r="DW56" s="50"/>
      <c r="DX56" s="50"/>
      <c r="DY56" s="50"/>
      <c r="DZ56" s="50"/>
      <c r="EA56" s="50"/>
      <c r="EB56" s="50"/>
      <c r="EC56" s="50"/>
      <c r="ED56" s="50"/>
      <c r="EE56" s="50"/>
      <c r="EF56" s="50"/>
      <c r="EG56" s="50"/>
      <c r="EH56" s="50"/>
      <c r="EI56" s="50"/>
      <c r="EJ56" s="50"/>
      <c r="EK56" s="50"/>
      <c r="EL56" s="50"/>
      <c r="EM56" s="50"/>
      <c r="EN56" s="50"/>
      <c r="EO56" s="50"/>
      <c r="EP56" s="50"/>
      <c r="EQ56" s="50"/>
      <c r="ER56" s="50"/>
      <c r="ES56" s="50"/>
      <c r="ET56" s="50"/>
      <c r="EU56" s="50"/>
      <c r="EV56" s="50"/>
      <c r="EW56" s="50"/>
      <c r="EX56" s="50"/>
      <c r="EY56" s="50"/>
      <c r="EZ56" s="50"/>
      <c r="FA56" s="50"/>
      <c r="FB56" s="50"/>
      <c r="FC56" s="50"/>
      <c r="FD56" s="50"/>
      <c r="FE56" s="50"/>
      <c r="FF56" s="50"/>
      <c r="FG56" s="50"/>
      <c r="FH56" s="50"/>
      <c r="FI56" s="50"/>
      <c r="FJ56" s="50"/>
      <c r="FK56" s="50"/>
      <c r="FL56" s="50"/>
      <c r="FM56" s="50"/>
      <c r="FN56" s="50"/>
      <c r="FO56" s="50"/>
      <c r="FP56" s="50"/>
      <c r="FQ56" s="50"/>
      <c r="FR56" s="50"/>
      <c r="FS56" s="50"/>
      <c r="FT56" s="50"/>
      <c r="FU56" s="50"/>
      <c r="FV56" s="50"/>
      <c r="FW56" s="50"/>
      <c r="FX56" s="50"/>
      <c r="FY56" s="50"/>
      <c r="FZ56" s="50"/>
      <c r="GA56" s="50"/>
      <c r="GB56" s="50"/>
      <c r="GC56" s="50"/>
      <c r="GD56" s="50"/>
      <c r="GE56" s="50"/>
      <c r="GF56" s="50"/>
      <c r="GG56" s="50"/>
      <c r="GH56" s="50"/>
      <c r="GI56" s="50"/>
      <c r="GJ56" s="50"/>
      <c r="GK56" s="50"/>
    </row>
    <row r="57" ht="15.7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  <c r="CB57" s="50"/>
      <c r="CC57" s="50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0"/>
      <c r="CO57" s="50"/>
      <c r="CP57" s="50"/>
      <c r="CQ57" s="50"/>
      <c r="CR57" s="50"/>
      <c r="CS57" s="50"/>
      <c r="CT57" s="50"/>
      <c r="CU57" s="50"/>
      <c r="CV57" s="50"/>
      <c r="CW57" s="50"/>
      <c r="CX57" s="50"/>
      <c r="CY57" s="50"/>
      <c r="CZ57" s="50"/>
      <c r="DA57" s="50"/>
      <c r="DB57" s="50"/>
      <c r="DC57" s="50"/>
      <c r="DD57" s="50"/>
      <c r="DE57" s="50"/>
      <c r="DF57" s="50"/>
      <c r="DG57" s="50"/>
      <c r="DH57" s="50"/>
      <c r="DI57" s="50"/>
      <c r="DJ57" s="50"/>
      <c r="DK57" s="50"/>
      <c r="DL57" s="50"/>
      <c r="DM57" s="50"/>
      <c r="DN57" s="50"/>
      <c r="DO57" s="50"/>
      <c r="DP57" s="50"/>
      <c r="DQ57" s="50"/>
      <c r="DR57" s="50"/>
      <c r="DS57" s="50"/>
      <c r="DT57" s="50"/>
      <c r="DU57" s="50"/>
      <c r="DV57" s="50"/>
      <c r="DW57" s="50"/>
      <c r="DX57" s="50"/>
      <c r="DY57" s="50"/>
      <c r="DZ57" s="50"/>
      <c r="EA57" s="50"/>
      <c r="EB57" s="50"/>
      <c r="EC57" s="50"/>
      <c r="ED57" s="50"/>
      <c r="EE57" s="50"/>
      <c r="EF57" s="50"/>
      <c r="EG57" s="50"/>
      <c r="EH57" s="50"/>
      <c r="EI57" s="50"/>
      <c r="EJ57" s="50"/>
      <c r="EK57" s="50"/>
      <c r="EL57" s="50"/>
      <c r="EM57" s="50"/>
      <c r="EN57" s="50"/>
      <c r="EO57" s="50"/>
      <c r="EP57" s="50"/>
      <c r="EQ57" s="50"/>
      <c r="ER57" s="50"/>
      <c r="ES57" s="50"/>
      <c r="ET57" s="50"/>
      <c r="EU57" s="50"/>
      <c r="EV57" s="50"/>
      <c r="EW57" s="50"/>
      <c r="EX57" s="50"/>
      <c r="EY57" s="50"/>
      <c r="EZ57" s="50"/>
      <c r="FA57" s="50"/>
      <c r="FB57" s="50"/>
      <c r="FC57" s="50"/>
      <c r="FD57" s="50"/>
      <c r="FE57" s="50"/>
      <c r="FF57" s="50"/>
      <c r="FG57" s="50"/>
      <c r="FH57" s="50"/>
      <c r="FI57" s="50"/>
      <c r="FJ57" s="50"/>
      <c r="FK57" s="50"/>
      <c r="FL57" s="50"/>
      <c r="FM57" s="50"/>
      <c r="FN57" s="50"/>
      <c r="FO57" s="50"/>
      <c r="FP57" s="50"/>
      <c r="FQ57" s="50"/>
      <c r="FR57" s="50"/>
      <c r="FS57" s="50"/>
      <c r="FT57" s="50"/>
      <c r="FU57" s="50"/>
      <c r="FV57" s="50"/>
      <c r="FW57" s="50"/>
      <c r="FX57" s="50"/>
      <c r="FY57" s="50"/>
      <c r="FZ57" s="50"/>
      <c r="GA57" s="50"/>
      <c r="GB57" s="50"/>
      <c r="GC57" s="50"/>
      <c r="GD57" s="50"/>
      <c r="GE57" s="50"/>
      <c r="GF57" s="50"/>
      <c r="GG57" s="50"/>
      <c r="GH57" s="50"/>
      <c r="GI57" s="50"/>
      <c r="GJ57" s="50"/>
      <c r="GK57" s="50"/>
    </row>
    <row r="58" ht="15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  <c r="CQ58" s="50"/>
      <c r="CR58" s="50"/>
      <c r="CS58" s="50"/>
      <c r="CT58" s="50"/>
      <c r="CU58" s="50"/>
      <c r="CV58" s="50"/>
      <c r="CW58" s="50"/>
      <c r="CX58" s="50"/>
      <c r="CY58" s="50"/>
      <c r="CZ58" s="50"/>
      <c r="DA58" s="50"/>
      <c r="DB58" s="50"/>
      <c r="DC58" s="50"/>
      <c r="DD58" s="50"/>
      <c r="DE58" s="50"/>
      <c r="DF58" s="50"/>
      <c r="DG58" s="50"/>
      <c r="DH58" s="50"/>
      <c r="DI58" s="50"/>
      <c r="DJ58" s="50"/>
      <c r="DK58" s="50"/>
      <c r="DL58" s="50"/>
      <c r="DM58" s="50"/>
      <c r="DN58" s="50"/>
      <c r="DO58" s="50"/>
      <c r="DP58" s="50"/>
      <c r="DQ58" s="50"/>
      <c r="DR58" s="50"/>
      <c r="DS58" s="50"/>
      <c r="DT58" s="50"/>
      <c r="DU58" s="50"/>
      <c r="DV58" s="50"/>
      <c r="DW58" s="50"/>
      <c r="DX58" s="50"/>
      <c r="DY58" s="50"/>
      <c r="DZ58" s="50"/>
      <c r="EA58" s="50"/>
      <c r="EB58" s="50"/>
      <c r="EC58" s="50"/>
      <c r="ED58" s="50"/>
      <c r="EE58" s="50"/>
      <c r="EF58" s="50"/>
      <c r="EG58" s="50"/>
      <c r="EH58" s="50"/>
      <c r="EI58" s="50"/>
      <c r="EJ58" s="50"/>
      <c r="EK58" s="50"/>
      <c r="EL58" s="50"/>
      <c r="EM58" s="50"/>
      <c r="EN58" s="50"/>
      <c r="EO58" s="50"/>
      <c r="EP58" s="50"/>
      <c r="EQ58" s="50"/>
      <c r="ER58" s="50"/>
      <c r="ES58" s="50"/>
      <c r="ET58" s="50"/>
      <c r="EU58" s="50"/>
      <c r="EV58" s="50"/>
      <c r="EW58" s="50"/>
      <c r="EX58" s="50"/>
      <c r="EY58" s="50"/>
      <c r="EZ58" s="50"/>
      <c r="FA58" s="50"/>
      <c r="FB58" s="50"/>
      <c r="FC58" s="50"/>
      <c r="FD58" s="50"/>
      <c r="FE58" s="50"/>
      <c r="FF58" s="50"/>
      <c r="FG58" s="50"/>
      <c r="FH58" s="50"/>
      <c r="FI58" s="50"/>
      <c r="FJ58" s="50"/>
      <c r="FK58" s="50"/>
      <c r="FL58" s="50"/>
      <c r="FM58" s="50"/>
      <c r="FN58" s="50"/>
      <c r="FO58" s="50"/>
      <c r="FP58" s="50"/>
      <c r="FQ58" s="50"/>
      <c r="FR58" s="50"/>
      <c r="FS58" s="50"/>
      <c r="FT58" s="50"/>
      <c r="FU58" s="50"/>
      <c r="FV58" s="50"/>
      <c r="FW58" s="50"/>
      <c r="FX58" s="50"/>
      <c r="FY58" s="50"/>
      <c r="FZ58" s="50"/>
      <c r="GA58" s="50"/>
      <c r="GB58" s="50"/>
      <c r="GC58" s="50"/>
      <c r="GD58" s="50"/>
      <c r="GE58" s="50"/>
      <c r="GF58" s="50"/>
      <c r="GG58" s="50"/>
      <c r="GH58" s="50"/>
      <c r="GI58" s="50"/>
      <c r="GJ58" s="50"/>
      <c r="GK58" s="50"/>
    </row>
    <row r="59" ht="15.7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  <c r="CP59" s="50"/>
      <c r="CQ59" s="50"/>
      <c r="CR59" s="50"/>
      <c r="CS59" s="50"/>
      <c r="CT59" s="50"/>
      <c r="CU59" s="50"/>
      <c r="CV59" s="50"/>
      <c r="CW59" s="50"/>
      <c r="CX59" s="50"/>
      <c r="CY59" s="50"/>
      <c r="CZ59" s="50"/>
      <c r="DA59" s="50"/>
      <c r="DB59" s="50"/>
      <c r="DC59" s="50"/>
      <c r="DD59" s="50"/>
      <c r="DE59" s="50"/>
      <c r="DF59" s="50"/>
      <c r="DG59" s="50"/>
      <c r="DH59" s="50"/>
      <c r="DI59" s="50"/>
      <c r="DJ59" s="50"/>
      <c r="DK59" s="50"/>
      <c r="DL59" s="50"/>
      <c r="DM59" s="50"/>
      <c r="DN59" s="50"/>
      <c r="DO59" s="50"/>
      <c r="DP59" s="50"/>
      <c r="DQ59" s="50"/>
      <c r="DR59" s="50"/>
      <c r="DS59" s="50"/>
      <c r="DT59" s="50"/>
      <c r="DU59" s="50"/>
      <c r="DV59" s="50"/>
      <c r="DW59" s="50"/>
      <c r="DX59" s="50"/>
      <c r="DY59" s="50"/>
      <c r="DZ59" s="50"/>
      <c r="EA59" s="50"/>
      <c r="EB59" s="50"/>
      <c r="EC59" s="50"/>
      <c r="ED59" s="50"/>
      <c r="EE59" s="50"/>
      <c r="EF59" s="50"/>
      <c r="EG59" s="50"/>
      <c r="EH59" s="50"/>
      <c r="EI59" s="50"/>
      <c r="EJ59" s="50"/>
      <c r="EK59" s="50"/>
      <c r="EL59" s="50"/>
      <c r="EM59" s="50"/>
      <c r="EN59" s="50"/>
      <c r="EO59" s="50"/>
      <c r="EP59" s="50"/>
      <c r="EQ59" s="50"/>
      <c r="ER59" s="50"/>
      <c r="ES59" s="50"/>
      <c r="ET59" s="50"/>
      <c r="EU59" s="50"/>
      <c r="EV59" s="50"/>
      <c r="EW59" s="50"/>
      <c r="EX59" s="50"/>
      <c r="EY59" s="50"/>
      <c r="EZ59" s="50"/>
      <c r="FA59" s="50"/>
      <c r="FB59" s="50"/>
      <c r="FC59" s="50"/>
      <c r="FD59" s="50"/>
      <c r="FE59" s="50"/>
      <c r="FF59" s="50"/>
      <c r="FG59" s="50"/>
      <c r="FH59" s="50"/>
      <c r="FI59" s="50"/>
      <c r="FJ59" s="50"/>
      <c r="FK59" s="50"/>
      <c r="FL59" s="50"/>
      <c r="FM59" s="50"/>
      <c r="FN59" s="50"/>
      <c r="FO59" s="50"/>
      <c r="FP59" s="50"/>
      <c r="FQ59" s="50"/>
      <c r="FR59" s="50"/>
      <c r="FS59" s="50"/>
      <c r="FT59" s="50"/>
      <c r="FU59" s="50"/>
      <c r="FV59" s="50"/>
      <c r="FW59" s="50"/>
      <c r="FX59" s="50"/>
      <c r="FY59" s="50"/>
      <c r="FZ59" s="50"/>
      <c r="GA59" s="50"/>
      <c r="GB59" s="50"/>
      <c r="GC59" s="50"/>
      <c r="GD59" s="50"/>
      <c r="GE59" s="50"/>
      <c r="GF59" s="50"/>
      <c r="GG59" s="50"/>
      <c r="GH59" s="50"/>
      <c r="GI59" s="50"/>
      <c r="GJ59" s="50"/>
      <c r="GK59" s="50"/>
    </row>
    <row r="60" ht="15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50"/>
      <c r="CY60" s="50"/>
      <c r="CZ60" s="50"/>
      <c r="DA60" s="50"/>
      <c r="DB60" s="50"/>
      <c r="DC60" s="50"/>
      <c r="DD60" s="50"/>
      <c r="DE60" s="50"/>
      <c r="DF60" s="50"/>
      <c r="DG60" s="50"/>
      <c r="DH60" s="50"/>
      <c r="DI60" s="50"/>
      <c r="DJ60" s="50"/>
      <c r="DK60" s="50"/>
      <c r="DL60" s="50"/>
      <c r="DM60" s="50"/>
      <c r="DN60" s="50"/>
      <c r="DO60" s="50"/>
      <c r="DP60" s="50"/>
      <c r="DQ60" s="50"/>
      <c r="DR60" s="50"/>
      <c r="DS60" s="50"/>
      <c r="DT60" s="50"/>
      <c r="DU60" s="50"/>
      <c r="DV60" s="50"/>
      <c r="DW60" s="50"/>
      <c r="DX60" s="50"/>
      <c r="DY60" s="50"/>
      <c r="DZ60" s="50"/>
      <c r="EA60" s="50"/>
      <c r="EB60" s="50"/>
      <c r="EC60" s="50"/>
      <c r="ED60" s="50"/>
      <c r="EE60" s="50"/>
      <c r="EF60" s="50"/>
      <c r="EG60" s="50"/>
      <c r="EH60" s="50"/>
      <c r="EI60" s="50"/>
      <c r="EJ60" s="50"/>
      <c r="EK60" s="50"/>
      <c r="EL60" s="50"/>
      <c r="EM60" s="50"/>
      <c r="EN60" s="50"/>
      <c r="EO60" s="50"/>
      <c r="EP60" s="50"/>
      <c r="EQ60" s="50"/>
      <c r="ER60" s="50"/>
      <c r="ES60" s="50"/>
      <c r="ET60" s="50"/>
      <c r="EU60" s="50"/>
      <c r="EV60" s="50"/>
      <c r="EW60" s="50"/>
      <c r="EX60" s="50"/>
      <c r="EY60" s="50"/>
      <c r="EZ60" s="50"/>
      <c r="FA60" s="50"/>
      <c r="FB60" s="50"/>
      <c r="FC60" s="50"/>
      <c r="FD60" s="50"/>
      <c r="FE60" s="50"/>
      <c r="FF60" s="50"/>
      <c r="FG60" s="50"/>
      <c r="FH60" s="50"/>
      <c r="FI60" s="50"/>
      <c r="FJ60" s="50"/>
      <c r="FK60" s="50"/>
      <c r="FL60" s="50"/>
      <c r="FM60" s="50"/>
      <c r="FN60" s="50"/>
      <c r="FO60" s="50"/>
      <c r="FP60" s="50"/>
      <c r="FQ60" s="50"/>
      <c r="FR60" s="50"/>
      <c r="FS60" s="50"/>
      <c r="FT60" s="50"/>
      <c r="FU60" s="50"/>
      <c r="FV60" s="50"/>
      <c r="FW60" s="50"/>
      <c r="FX60" s="50"/>
      <c r="FY60" s="50"/>
      <c r="FZ60" s="50"/>
      <c r="GA60" s="50"/>
      <c r="GB60" s="50"/>
      <c r="GC60" s="50"/>
      <c r="GD60" s="50"/>
      <c r="GE60" s="50"/>
      <c r="GF60" s="50"/>
      <c r="GG60" s="50"/>
      <c r="GH60" s="50"/>
      <c r="GI60" s="50"/>
      <c r="GJ60" s="50"/>
      <c r="GK60" s="50"/>
    </row>
    <row r="61" ht="15.7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/>
      <c r="CY61" s="50"/>
      <c r="CZ61" s="50"/>
      <c r="DA61" s="50"/>
      <c r="DB61" s="50"/>
      <c r="DC61" s="50"/>
      <c r="DD61" s="50"/>
      <c r="DE61" s="50"/>
      <c r="DF61" s="50"/>
      <c r="DG61" s="50"/>
      <c r="DH61" s="50"/>
      <c r="DI61" s="50"/>
      <c r="DJ61" s="50"/>
      <c r="DK61" s="50"/>
      <c r="DL61" s="50"/>
      <c r="DM61" s="50"/>
      <c r="DN61" s="50"/>
      <c r="DO61" s="50"/>
      <c r="DP61" s="50"/>
      <c r="DQ61" s="50"/>
      <c r="DR61" s="50"/>
      <c r="DS61" s="50"/>
      <c r="DT61" s="50"/>
      <c r="DU61" s="50"/>
      <c r="DV61" s="50"/>
      <c r="DW61" s="50"/>
      <c r="DX61" s="50"/>
      <c r="DY61" s="50"/>
      <c r="DZ61" s="50"/>
      <c r="EA61" s="50"/>
      <c r="EB61" s="50"/>
      <c r="EC61" s="50"/>
      <c r="ED61" s="50"/>
      <c r="EE61" s="50"/>
      <c r="EF61" s="50"/>
      <c r="EG61" s="50"/>
      <c r="EH61" s="50"/>
      <c r="EI61" s="50"/>
      <c r="EJ61" s="50"/>
      <c r="EK61" s="50"/>
      <c r="EL61" s="50"/>
      <c r="EM61" s="50"/>
      <c r="EN61" s="50"/>
      <c r="EO61" s="50"/>
      <c r="EP61" s="50"/>
      <c r="EQ61" s="50"/>
      <c r="ER61" s="50"/>
      <c r="ES61" s="50"/>
      <c r="ET61" s="50"/>
      <c r="EU61" s="50"/>
      <c r="EV61" s="50"/>
      <c r="EW61" s="50"/>
      <c r="EX61" s="50"/>
      <c r="EY61" s="50"/>
      <c r="EZ61" s="50"/>
      <c r="FA61" s="50"/>
      <c r="FB61" s="50"/>
      <c r="FC61" s="50"/>
      <c r="FD61" s="50"/>
      <c r="FE61" s="50"/>
      <c r="FF61" s="50"/>
      <c r="FG61" s="50"/>
      <c r="FH61" s="50"/>
      <c r="FI61" s="50"/>
      <c r="FJ61" s="50"/>
      <c r="FK61" s="50"/>
      <c r="FL61" s="50"/>
      <c r="FM61" s="50"/>
      <c r="FN61" s="50"/>
      <c r="FO61" s="50"/>
      <c r="FP61" s="50"/>
      <c r="FQ61" s="50"/>
      <c r="FR61" s="50"/>
      <c r="FS61" s="50"/>
      <c r="FT61" s="50"/>
      <c r="FU61" s="50"/>
      <c r="FV61" s="50"/>
      <c r="FW61" s="50"/>
      <c r="FX61" s="50"/>
      <c r="FY61" s="50"/>
      <c r="FZ61" s="50"/>
      <c r="GA61" s="50"/>
      <c r="GB61" s="50"/>
      <c r="GC61" s="50"/>
      <c r="GD61" s="50"/>
      <c r="GE61" s="50"/>
      <c r="GF61" s="50"/>
      <c r="GG61" s="50"/>
      <c r="GH61" s="50"/>
      <c r="GI61" s="50"/>
      <c r="GJ61" s="50"/>
      <c r="GK61" s="50"/>
    </row>
    <row r="62" ht="15.7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0"/>
      <c r="CS62" s="50"/>
      <c r="CT62" s="50"/>
      <c r="CU62" s="50"/>
      <c r="CV62" s="50"/>
      <c r="CW62" s="50"/>
      <c r="CX62" s="50"/>
      <c r="CY62" s="50"/>
      <c r="CZ62" s="50"/>
      <c r="DA62" s="50"/>
      <c r="DB62" s="50"/>
      <c r="DC62" s="50"/>
      <c r="DD62" s="50"/>
      <c r="DE62" s="50"/>
      <c r="DF62" s="50"/>
      <c r="DG62" s="50"/>
      <c r="DH62" s="50"/>
      <c r="DI62" s="50"/>
      <c r="DJ62" s="50"/>
      <c r="DK62" s="50"/>
      <c r="DL62" s="50"/>
      <c r="DM62" s="50"/>
      <c r="DN62" s="50"/>
      <c r="DO62" s="50"/>
      <c r="DP62" s="50"/>
      <c r="DQ62" s="50"/>
      <c r="DR62" s="50"/>
      <c r="DS62" s="50"/>
      <c r="DT62" s="50"/>
      <c r="DU62" s="50"/>
      <c r="DV62" s="50"/>
      <c r="DW62" s="50"/>
      <c r="DX62" s="50"/>
      <c r="DY62" s="50"/>
      <c r="DZ62" s="50"/>
      <c r="EA62" s="50"/>
      <c r="EB62" s="50"/>
      <c r="EC62" s="50"/>
      <c r="ED62" s="50"/>
      <c r="EE62" s="50"/>
      <c r="EF62" s="50"/>
      <c r="EG62" s="50"/>
      <c r="EH62" s="50"/>
      <c r="EI62" s="50"/>
      <c r="EJ62" s="50"/>
      <c r="EK62" s="50"/>
      <c r="EL62" s="50"/>
      <c r="EM62" s="50"/>
      <c r="EN62" s="50"/>
      <c r="EO62" s="50"/>
      <c r="EP62" s="50"/>
      <c r="EQ62" s="50"/>
      <c r="ER62" s="50"/>
      <c r="ES62" s="50"/>
      <c r="ET62" s="50"/>
      <c r="EU62" s="50"/>
      <c r="EV62" s="50"/>
      <c r="EW62" s="50"/>
      <c r="EX62" s="50"/>
      <c r="EY62" s="50"/>
      <c r="EZ62" s="50"/>
      <c r="FA62" s="50"/>
      <c r="FB62" s="50"/>
      <c r="FC62" s="50"/>
      <c r="FD62" s="50"/>
      <c r="FE62" s="50"/>
      <c r="FF62" s="50"/>
      <c r="FG62" s="50"/>
      <c r="FH62" s="50"/>
      <c r="FI62" s="50"/>
      <c r="FJ62" s="50"/>
      <c r="FK62" s="50"/>
      <c r="FL62" s="50"/>
      <c r="FM62" s="50"/>
      <c r="FN62" s="50"/>
      <c r="FO62" s="50"/>
      <c r="FP62" s="50"/>
      <c r="FQ62" s="50"/>
      <c r="FR62" s="50"/>
      <c r="FS62" s="50"/>
      <c r="FT62" s="50"/>
      <c r="FU62" s="50"/>
      <c r="FV62" s="50"/>
      <c r="FW62" s="50"/>
      <c r="FX62" s="50"/>
      <c r="FY62" s="50"/>
      <c r="FZ62" s="50"/>
      <c r="GA62" s="50"/>
      <c r="GB62" s="50"/>
      <c r="GC62" s="50"/>
      <c r="GD62" s="50"/>
      <c r="GE62" s="50"/>
      <c r="GF62" s="50"/>
      <c r="GG62" s="50"/>
      <c r="GH62" s="50"/>
      <c r="GI62" s="50"/>
      <c r="GJ62" s="50"/>
      <c r="GK62" s="50"/>
    </row>
    <row r="63" ht="15.7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/>
      <c r="CY63" s="50"/>
      <c r="CZ63" s="50"/>
      <c r="DA63" s="50"/>
      <c r="DB63" s="50"/>
      <c r="DC63" s="50"/>
      <c r="DD63" s="50"/>
      <c r="DE63" s="50"/>
      <c r="DF63" s="50"/>
      <c r="DG63" s="50"/>
      <c r="DH63" s="50"/>
      <c r="DI63" s="50"/>
      <c r="DJ63" s="50"/>
      <c r="DK63" s="50"/>
      <c r="DL63" s="50"/>
      <c r="DM63" s="50"/>
      <c r="DN63" s="50"/>
      <c r="DO63" s="50"/>
      <c r="DP63" s="50"/>
      <c r="DQ63" s="50"/>
      <c r="DR63" s="50"/>
      <c r="DS63" s="50"/>
      <c r="DT63" s="50"/>
      <c r="DU63" s="50"/>
      <c r="DV63" s="50"/>
      <c r="DW63" s="50"/>
      <c r="DX63" s="50"/>
      <c r="DY63" s="50"/>
      <c r="DZ63" s="50"/>
      <c r="EA63" s="50"/>
      <c r="EB63" s="50"/>
      <c r="EC63" s="50"/>
      <c r="ED63" s="50"/>
      <c r="EE63" s="50"/>
      <c r="EF63" s="50"/>
      <c r="EG63" s="50"/>
      <c r="EH63" s="50"/>
      <c r="EI63" s="50"/>
      <c r="EJ63" s="50"/>
      <c r="EK63" s="50"/>
      <c r="EL63" s="50"/>
      <c r="EM63" s="50"/>
      <c r="EN63" s="50"/>
      <c r="EO63" s="50"/>
      <c r="EP63" s="50"/>
      <c r="EQ63" s="50"/>
      <c r="ER63" s="50"/>
      <c r="ES63" s="50"/>
      <c r="ET63" s="50"/>
      <c r="EU63" s="50"/>
      <c r="EV63" s="50"/>
      <c r="EW63" s="50"/>
      <c r="EX63" s="50"/>
      <c r="EY63" s="50"/>
      <c r="EZ63" s="50"/>
      <c r="FA63" s="50"/>
      <c r="FB63" s="50"/>
      <c r="FC63" s="50"/>
      <c r="FD63" s="50"/>
      <c r="FE63" s="50"/>
      <c r="FF63" s="50"/>
      <c r="FG63" s="50"/>
      <c r="FH63" s="50"/>
      <c r="FI63" s="50"/>
      <c r="FJ63" s="50"/>
      <c r="FK63" s="50"/>
      <c r="FL63" s="50"/>
      <c r="FM63" s="50"/>
      <c r="FN63" s="50"/>
      <c r="FO63" s="50"/>
      <c r="FP63" s="50"/>
      <c r="FQ63" s="50"/>
      <c r="FR63" s="50"/>
      <c r="FS63" s="50"/>
      <c r="FT63" s="50"/>
      <c r="FU63" s="50"/>
      <c r="FV63" s="50"/>
      <c r="FW63" s="50"/>
      <c r="FX63" s="50"/>
      <c r="FY63" s="50"/>
      <c r="FZ63" s="50"/>
      <c r="GA63" s="50"/>
      <c r="GB63" s="50"/>
      <c r="GC63" s="50"/>
      <c r="GD63" s="50"/>
      <c r="GE63" s="50"/>
      <c r="GF63" s="50"/>
      <c r="GG63" s="50"/>
      <c r="GH63" s="50"/>
      <c r="GI63" s="50"/>
      <c r="GJ63" s="50"/>
      <c r="GK63" s="50"/>
    </row>
    <row r="64" ht="15.7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/>
      <c r="CY64" s="50"/>
      <c r="CZ64" s="50"/>
      <c r="DA64" s="50"/>
      <c r="DB64" s="50"/>
      <c r="DC64" s="50"/>
      <c r="DD64" s="50"/>
      <c r="DE64" s="50"/>
      <c r="DF64" s="50"/>
      <c r="DG64" s="50"/>
      <c r="DH64" s="50"/>
      <c r="DI64" s="50"/>
      <c r="DJ64" s="50"/>
      <c r="DK64" s="50"/>
      <c r="DL64" s="50"/>
      <c r="DM64" s="50"/>
      <c r="DN64" s="50"/>
      <c r="DO64" s="50"/>
      <c r="DP64" s="50"/>
      <c r="DQ64" s="50"/>
      <c r="DR64" s="50"/>
      <c r="DS64" s="50"/>
      <c r="DT64" s="50"/>
      <c r="DU64" s="50"/>
      <c r="DV64" s="50"/>
      <c r="DW64" s="50"/>
      <c r="DX64" s="50"/>
      <c r="DY64" s="50"/>
      <c r="DZ64" s="50"/>
      <c r="EA64" s="50"/>
      <c r="EB64" s="50"/>
      <c r="EC64" s="50"/>
      <c r="ED64" s="50"/>
      <c r="EE64" s="50"/>
      <c r="EF64" s="50"/>
      <c r="EG64" s="50"/>
      <c r="EH64" s="50"/>
      <c r="EI64" s="50"/>
      <c r="EJ64" s="50"/>
      <c r="EK64" s="50"/>
      <c r="EL64" s="50"/>
      <c r="EM64" s="50"/>
      <c r="EN64" s="50"/>
      <c r="EO64" s="50"/>
      <c r="EP64" s="50"/>
      <c r="EQ64" s="50"/>
      <c r="ER64" s="50"/>
      <c r="ES64" s="50"/>
      <c r="ET64" s="50"/>
      <c r="EU64" s="50"/>
      <c r="EV64" s="50"/>
      <c r="EW64" s="50"/>
      <c r="EX64" s="50"/>
      <c r="EY64" s="50"/>
      <c r="EZ64" s="50"/>
      <c r="FA64" s="50"/>
      <c r="FB64" s="50"/>
      <c r="FC64" s="50"/>
      <c r="FD64" s="50"/>
      <c r="FE64" s="50"/>
      <c r="FF64" s="50"/>
      <c r="FG64" s="50"/>
      <c r="FH64" s="50"/>
      <c r="FI64" s="50"/>
      <c r="FJ64" s="50"/>
      <c r="FK64" s="50"/>
      <c r="FL64" s="50"/>
      <c r="FM64" s="50"/>
      <c r="FN64" s="50"/>
      <c r="FO64" s="50"/>
      <c r="FP64" s="50"/>
      <c r="FQ64" s="50"/>
      <c r="FR64" s="50"/>
      <c r="FS64" s="50"/>
      <c r="FT64" s="50"/>
      <c r="FU64" s="50"/>
      <c r="FV64" s="50"/>
      <c r="FW64" s="50"/>
      <c r="FX64" s="50"/>
      <c r="FY64" s="50"/>
      <c r="FZ64" s="50"/>
      <c r="GA64" s="50"/>
      <c r="GB64" s="50"/>
      <c r="GC64" s="50"/>
      <c r="GD64" s="50"/>
      <c r="GE64" s="50"/>
      <c r="GF64" s="50"/>
      <c r="GG64" s="50"/>
      <c r="GH64" s="50"/>
      <c r="GI64" s="50"/>
      <c r="GJ64" s="50"/>
      <c r="GK64" s="50"/>
    </row>
    <row r="65" ht="15.7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  <c r="DA65" s="50"/>
      <c r="DB65" s="50"/>
      <c r="DC65" s="50"/>
      <c r="DD65" s="50"/>
      <c r="DE65" s="50"/>
      <c r="DF65" s="50"/>
      <c r="DG65" s="50"/>
      <c r="DH65" s="50"/>
      <c r="DI65" s="50"/>
      <c r="DJ65" s="50"/>
      <c r="DK65" s="50"/>
      <c r="DL65" s="50"/>
      <c r="DM65" s="50"/>
      <c r="DN65" s="50"/>
      <c r="DO65" s="50"/>
      <c r="DP65" s="50"/>
      <c r="DQ65" s="50"/>
      <c r="DR65" s="50"/>
      <c r="DS65" s="50"/>
      <c r="DT65" s="50"/>
      <c r="DU65" s="50"/>
      <c r="DV65" s="50"/>
      <c r="DW65" s="50"/>
      <c r="DX65" s="50"/>
      <c r="DY65" s="50"/>
      <c r="DZ65" s="50"/>
      <c r="EA65" s="50"/>
      <c r="EB65" s="50"/>
      <c r="EC65" s="50"/>
      <c r="ED65" s="50"/>
      <c r="EE65" s="50"/>
      <c r="EF65" s="50"/>
      <c r="EG65" s="50"/>
      <c r="EH65" s="50"/>
      <c r="EI65" s="50"/>
      <c r="EJ65" s="50"/>
      <c r="EK65" s="50"/>
      <c r="EL65" s="50"/>
      <c r="EM65" s="50"/>
      <c r="EN65" s="50"/>
      <c r="EO65" s="50"/>
      <c r="EP65" s="50"/>
      <c r="EQ65" s="50"/>
      <c r="ER65" s="50"/>
      <c r="ES65" s="50"/>
      <c r="ET65" s="50"/>
      <c r="EU65" s="50"/>
      <c r="EV65" s="50"/>
      <c r="EW65" s="50"/>
      <c r="EX65" s="50"/>
      <c r="EY65" s="50"/>
      <c r="EZ65" s="50"/>
      <c r="FA65" s="50"/>
      <c r="FB65" s="50"/>
      <c r="FC65" s="50"/>
      <c r="FD65" s="50"/>
      <c r="FE65" s="50"/>
      <c r="FF65" s="50"/>
      <c r="FG65" s="50"/>
      <c r="FH65" s="50"/>
      <c r="FI65" s="50"/>
      <c r="FJ65" s="50"/>
      <c r="FK65" s="50"/>
      <c r="FL65" s="50"/>
      <c r="FM65" s="50"/>
      <c r="FN65" s="50"/>
      <c r="FO65" s="50"/>
      <c r="FP65" s="50"/>
      <c r="FQ65" s="50"/>
      <c r="FR65" s="50"/>
      <c r="FS65" s="50"/>
      <c r="FT65" s="50"/>
      <c r="FU65" s="50"/>
      <c r="FV65" s="50"/>
      <c r="FW65" s="50"/>
      <c r="FX65" s="50"/>
      <c r="FY65" s="50"/>
      <c r="FZ65" s="50"/>
      <c r="GA65" s="50"/>
      <c r="GB65" s="50"/>
      <c r="GC65" s="50"/>
      <c r="GD65" s="50"/>
      <c r="GE65" s="50"/>
      <c r="GF65" s="50"/>
      <c r="GG65" s="50"/>
      <c r="GH65" s="50"/>
      <c r="GI65" s="50"/>
      <c r="GJ65" s="50"/>
      <c r="GK65" s="50"/>
    </row>
    <row r="66" ht="15.7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  <c r="DA66" s="50"/>
      <c r="DB66" s="50"/>
      <c r="DC66" s="50"/>
      <c r="DD66" s="50"/>
      <c r="DE66" s="50"/>
      <c r="DF66" s="50"/>
      <c r="DG66" s="50"/>
      <c r="DH66" s="50"/>
      <c r="DI66" s="50"/>
      <c r="DJ66" s="50"/>
      <c r="DK66" s="50"/>
      <c r="DL66" s="50"/>
      <c r="DM66" s="50"/>
      <c r="DN66" s="50"/>
      <c r="DO66" s="50"/>
      <c r="DP66" s="50"/>
      <c r="DQ66" s="50"/>
      <c r="DR66" s="50"/>
      <c r="DS66" s="50"/>
      <c r="DT66" s="50"/>
      <c r="DU66" s="50"/>
      <c r="DV66" s="50"/>
      <c r="DW66" s="50"/>
      <c r="DX66" s="50"/>
      <c r="DY66" s="50"/>
      <c r="DZ66" s="50"/>
      <c r="EA66" s="50"/>
      <c r="EB66" s="50"/>
      <c r="EC66" s="50"/>
      <c r="ED66" s="50"/>
      <c r="EE66" s="50"/>
      <c r="EF66" s="50"/>
      <c r="EG66" s="50"/>
      <c r="EH66" s="50"/>
      <c r="EI66" s="50"/>
      <c r="EJ66" s="50"/>
      <c r="EK66" s="50"/>
      <c r="EL66" s="50"/>
      <c r="EM66" s="50"/>
      <c r="EN66" s="50"/>
      <c r="EO66" s="50"/>
      <c r="EP66" s="50"/>
      <c r="EQ66" s="50"/>
      <c r="ER66" s="50"/>
      <c r="ES66" s="50"/>
      <c r="ET66" s="50"/>
      <c r="EU66" s="50"/>
      <c r="EV66" s="50"/>
      <c r="EW66" s="50"/>
      <c r="EX66" s="50"/>
      <c r="EY66" s="50"/>
      <c r="EZ66" s="50"/>
      <c r="FA66" s="50"/>
      <c r="FB66" s="50"/>
      <c r="FC66" s="50"/>
      <c r="FD66" s="50"/>
      <c r="FE66" s="50"/>
      <c r="FF66" s="50"/>
      <c r="FG66" s="50"/>
      <c r="FH66" s="50"/>
      <c r="FI66" s="50"/>
      <c r="FJ66" s="50"/>
      <c r="FK66" s="50"/>
      <c r="FL66" s="50"/>
      <c r="FM66" s="50"/>
      <c r="FN66" s="50"/>
      <c r="FO66" s="50"/>
      <c r="FP66" s="50"/>
      <c r="FQ66" s="50"/>
      <c r="FR66" s="50"/>
      <c r="FS66" s="50"/>
      <c r="FT66" s="50"/>
      <c r="FU66" s="50"/>
      <c r="FV66" s="50"/>
      <c r="FW66" s="50"/>
      <c r="FX66" s="50"/>
      <c r="FY66" s="50"/>
      <c r="FZ66" s="50"/>
      <c r="GA66" s="50"/>
      <c r="GB66" s="50"/>
      <c r="GC66" s="50"/>
      <c r="GD66" s="50"/>
      <c r="GE66" s="50"/>
      <c r="GF66" s="50"/>
      <c r="GG66" s="50"/>
      <c r="GH66" s="50"/>
      <c r="GI66" s="50"/>
      <c r="GJ66" s="50"/>
      <c r="GK66" s="50"/>
    </row>
    <row r="67" ht="15.7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/>
      <c r="CY67" s="50"/>
      <c r="CZ67" s="50"/>
      <c r="DA67" s="50"/>
      <c r="DB67" s="50"/>
      <c r="DC67" s="50"/>
      <c r="DD67" s="50"/>
      <c r="DE67" s="50"/>
      <c r="DF67" s="50"/>
      <c r="DG67" s="50"/>
      <c r="DH67" s="50"/>
      <c r="DI67" s="50"/>
      <c r="DJ67" s="50"/>
      <c r="DK67" s="50"/>
      <c r="DL67" s="50"/>
      <c r="DM67" s="50"/>
      <c r="DN67" s="50"/>
      <c r="DO67" s="50"/>
      <c r="DP67" s="50"/>
      <c r="DQ67" s="50"/>
      <c r="DR67" s="50"/>
      <c r="DS67" s="50"/>
      <c r="DT67" s="50"/>
      <c r="DU67" s="50"/>
      <c r="DV67" s="50"/>
      <c r="DW67" s="50"/>
      <c r="DX67" s="50"/>
      <c r="DY67" s="50"/>
      <c r="DZ67" s="50"/>
      <c r="EA67" s="50"/>
      <c r="EB67" s="50"/>
      <c r="EC67" s="50"/>
      <c r="ED67" s="50"/>
      <c r="EE67" s="50"/>
      <c r="EF67" s="50"/>
      <c r="EG67" s="50"/>
      <c r="EH67" s="50"/>
      <c r="EI67" s="50"/>
      <c r="EJ67" s="50"/>
      <c r="EK67" s="50"/>
      <c r="EL67" s="50"/>
      <c r="EM67" s="50"/>
      <c r="EN67" s="50"/>
      <c r="EO67" s="50"/>
      <c r="EP67" s="50"/>
      <c r="EQ67" s="50"/>
      <c r="ER67" s="50"/>
      <c r="ES67" s="50"/>
      <c r="ET67" s="50"/>
      <c r="EU67" s="50"/>
      <c r="EV67" s="50"/>
      <c r="EW67" s="50"/>
      <c r="EX67" s="50"/>
      <c r="EY67" s="50"/>
      <c r="EZ67" s="50"/>
      <c r="FA67" s="50"/>
      <c r="FB67" s="50"/>
      <c r="FC67" s="50"/>
      <c r="FD67" s="50"/>
      <c r="FE67" s="50"/>
      <c r="FF67" s="50"/>
      <c r="FG67" s="50"/>
      <c r="FH67" s="50"/>
      <c r="FI67" s="50"/>
      <c r="FJ67" s="50"/>
      <c r="FK67" s="50"/>
      <c r="FL67" s="50"/>
      <c r="FM67" s="50"/>
      <c r="FN67" s="50"/>
      <c r="FO67" s="50"/>
      <c r="FP67" s="50"/>
      <c r="FQ67" s="50"/>
      <c r="FR67" s="50"/>
      <c r="FS67" s="50"/>
      <c r="FT67" s="50"/>
      <c r="FU67" s="50"/>
      <c r="FV67" s="50"/>
      <c r="FW67" s="50"/>
      <c r="FX67" s="50"/>
      <c r="FY67" s="50"/>
      <c r="FZ67" s="50"/>
      <c r="GA67" s="50"/>
      <c r="GB67" s="50"/>
      <c r="GC67" s="50"/>
      <c r="GD67" s="50"/>
      <c r="GE67" s="50"/>
      <c r="GF67" s="50"/>
      <c r="GG67" s="50"/>
      <c r="GH67" s="50"/>
      <c r="GI67" s="50"/>
      <c r="GJ67" s="50"/>
      <c r="GK67" s="50"/>
    </row>
    <row r="68" ht="15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/>
      <c r="CY68" s="50"/>
      <c r="CZ68" s="50"/>
      <c r="DA68" s="50"/>
      <c r="DB68" s="50"/>
      <c r="DC68" s="50"/>
      <c r="DD68" s="50"/>
      <c r="DE68" s="50"/>
      <c r="DF68" s="50"/>
      <c r="DG68" s="50"/>
      <c r="DH68" s="50"/>
      <c r="DI68" s="50"/>
      <c r="DJ68" s="50"/>
      <c r="DK68" s="50"/>
      <c r="DL68" s="50"/>
      <c r="DM68" s="50"/>
      <c r="DN68" s="50"/>
      <c r="DO68" s="50"/>
      <c r="DP68" s="50"/>
      <c r="DQ68" s="50"/>
      <c r="DR68" s="50"/>
      <c r="DS68" s="50"/>
      <c r="DT68" s="50"/>
      <c r="DU68" s="50"/>
      <c r="DV68" s="50"/>
      <c r="DW68" s="50"/>
      <c r="DX68" s="50"/>
      <c r="DY68" s="50"/>
      <c r="DZ68" s="50"/>
      <c r="EA68" s="50"/>
      <c r="EB68" s="50"/>
      <c r="EC68" s="50"/>
      <c r="ED68" s="50"/>
      <c r="EE68" s="50"/>
      <c r="EF68" s="50"/>
      <c r="EG68" s="50"/>
      <c r="EH68" s="50"/>
      <c r="EI68" s="50"/>
      <c r="EJ68" s="50"/>
      <c r="EK68" s="50"/>
      <c r="EL68" s="50"/>
      <c r="EM68" s="50"/>
      <c r="EN68" s="50"/>
      <c r="EO68" s="50"/>
      <c r="EP68" s="50"/>
      <c r="EQ68" s="50"/>
      <c r="ER68" s="50"/>
      <c r="ES68" s="50"/>
      <c r="ET68" s="50"/>
      <c r="EU68" s="50"/>
      <c r="EV68" s="50"/>
      <c r="EW68" s="50"/>
      <c r="EX68" s="50"/>
      <c r="EY68" s="50"/>
      <c r="EZ68" s="50"/>
      <c r="FA68" s="50"/>
      <c r="FB68" s="50"/>
      <c r="FC68" s="50"/>
      <c r="FD68" s="50"/>
      <c r="FE68" s="50"/>
      <c r="FF68" s="50"/>
      <c r="FG68" s="50"/>
      <c r="FH68" s="50"/>
      <c r="FI68" s="50"/>
      <c r="FJ68" s="50"/>
      <c r="FK68" s="50"/>
      <c r="FL68" s="50"/>
      <c r="FM68" s="50"/>
      <c r="FN68" s="50"/>
      <c r="FO68" s="50"/>
      <c r="FP68" s="50"/>
      <c r="FQ68" s="50"/>
      <c r="FR68" s="50"/>
      <c r="FS68" s="50"/>
      <c r="FT68" s="50"/>
      <c r="FU68" s="50"/>
      <c r="FV68" s="50"/>
      <c r="FW68" s="50"/>
      <c r="FX68" s="50"/>
      <c r="FY68" s="50"/>
      <c r="FZ68" s="50"/>
      <c r="GA68" s="50"/>
      <c r="GB68" s="50"/>
      <c r="GC68" s="50"/>
      <c r="GD68" s="50"/>
      <c r="GE68" s="50"/>
      <c r="GF68" s="50"/>
      <c r="GG68" s="50"/>
      <c r="GH68" s="50"/>
      <c r="GI68" s="50"/>
      <c r="GJ68" s="50"/>
      <c r="GK68" s="50"/>
    </row>
    <row r="69" ht="15.7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50"/>
      <c r="CR69" s="50"/>
      <c r="CS69" s="50"/>
      <c r="CT69" s="50"/>
      <c r="CU69" s="50"/>
      <c r="CV69" s="50"/>
      <c r="CW69" s="50"/>
      <c r="CX69" s="50"/>
      <c r="CY69" s="50"/>
      <c r="CZ69" s="50"/>
      <c r="DA69" s="50"/>
      <c r="DB69" s="50"/>
      <c r="DC69" s="50"/>
      <c r="DD69" s="50"/>
      <c r="DE69" s="50"/>
      <c r="DF69" s="50"/>
      <c r="DG69" s="50"/>
      <c r="DH69" s="50"/>
      <c r="DI69" s="50"/>
      <c r="DJ69" s="50"/>
      <c r="DK69" s="50"/>
      <c r="DL69" s="50"/>
      <c r="DM69" s="50"/>
      <c r="DN69" s="50"/>
      <c r="DO69" s="50"/>
      <c r="DP69" s="50"/>
      <c r="DQ69" s="50"/>
      <c r="DR69" s="50"/>
      <c r="DS69" s="50"/>
      <c r="DT69" s="50"/>
      <c r="DU69" s="50"/>
      <c r="DV69" s="50"/>
      <c r="DW69" s="50"/>
      <c r="DX69" s="50"/>
      <c r="DY69" s="50"/>
      <c r="DZ69" s="50"/>
      <c r="EA69" s="50"/>
      <c r="EB69" s="50"/>
      <c r="EC69" s="50"/>
      <c r="ED69" s="50"/>
      <c r="EE69" s="50"/>
      <c r="EF69" s="50"/>
      <c r="EG69" s="50"/>
      <c r="EH69" s="50"/>
      <c r="EI69" s="50"/>
      <c r="EJ69" s="50"/>
      <c r="EK69" s="50"/>
      <c r="EL69" s="50"/>
      <c r="EM69" s="50"/>
      <c r="EN69" s="50"/>
      <c r="EO69" s="50"/>
      <c r="EP69" s="50"/>
      <c r="EQ69" s="50"/>
      <c r="ER69" s="50"/>
      <c r="ES69" s="50"/>
      <c r="ET69" s="50"/>
      <c r="EU69" s="50"/>
      <c r="EV69" s="50"/>
      <c r="EW69" s="50"/>
      <c r="EX69" s="50"/>
      <c r="EY69" s="50"/>
      <c r="EZ69" s="50"/>
      <c r="FA69" s="50"/>
      <c r="FB69" s="50"/>
      <c r="FC69" s="50"/>
      <c r="FD69" s="50"/>
      <c r="FE69" s="50"/>
      <c r="FF69" s="50"/>
      <c r="FG69" s="50"/>
      <c r="FH69" s="50"/>
      <c r="FI69" s="50"/>
      <c r="FJ69" s="50"/>
      <c r="FK69" s="50"/>
      <c r="FL69" s="50"/>
      <c r="FM69" s="50"/>
      <c r="FN69" s="50"/>
      <c r="FO69" s="50"/>
      <c r="FP69" s="50"/>
      <c r="FQ69" s="50"/>
      <c r="FR69" s="50"/>
      <c r="FS69" s="50"/>
      <c r="FT69" s="50"/>
      <c r="FU69" s="50"/>
      <c r="FV69" s="50"/>
      <c r="FW69" s="50"/>
      <c r="FX69" s="50"/>
      <c r="FY69" s="50"/>
      <c r="FZ69" s="50"/>
      <c r="GA69" s="50"/>
      <c r="GB69" s="50"/>
      <c r="GC69" s="50"/>
      <c r="GD69" s="50"/>
      <c r="GE69" s="50"/>
      <c r="GF69" s="50"/>
      <c r="GG69" s="50"/>
      <c r="GH69" s="50"/>
      <c r="GI69" s="50"/>
      <c r="GJ69" s="50"/>
      <c r="GK69" s="50"/>
    </row>
    <row r="70" ht="15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  <c r="CP70" s="50"/>
      <c r="CQ70" s="50"/>
      <c r="CR70" s="50"/>
      <c r="CS70" s="50"/>
      <c r="CT70" s="50"/>
      <c r="CU70" s="50"/>
      <c r="CV70" s="50"/>
      <c r="CW70" s="50"/>
      <c r="CX70" s="50"/>
      <c r="CY70" s="50"/>
      <c r="CZ70" s="50"/>
      <c r="DA70" s="50"/>
      <c r="DB70" s="50"/>
      <c r="DC70" s="50"/>
      <c r="DD70" s="50"/>
      <c r="DE70" s="50"/>
      <c r="DF70" s="50"/>
      <c r="DG70" s="50"/>
      <c r="DH70" s="50"/>
      <c r="DI70" s="50"/>
      <c r="DJ70" s="50"/>
      <c r="DK70" s="50"/>
      <c r="DL70" s="50"/>
      <c r="DM70" s="50"/>
      <c r="DN70" s="50"/>
      <c r="DO70" s="50"/>
      <c r="DP70" s="50"/>
      <c r="DQ70" s="50"/>
      <c r="DR70" s="50"/>
      <c r="DS70" s="50"/>
      <c r="DT70" s="50"/>
      <c r="DU70" s="50"/>
      <c r="DV70" s="50"/>
      <c r="DW70" s="50"/>
      <c r="DX70" s="50"/>
      <c r="DY70" s="50"/>
      <c r="DZ70" s="50"/>
      <c r="EA70" s="50"/>
      <c r="EB70" s="50"/>
      <c r="EC70" s="50"/>
      <c r="ED70" s="50"/>
      <c r="EE70" s="50"/>
      <c r="EF70" s="50"/>
      <c r="EG70" s="50"/>
      <c r="EH70" s="50"/>
      <c r="EI70" s="50"/>
      <c r="EJ70" s="50"/>
      <c r="EK70" s="50"/>
      <c r="EL70" s="50"/>
      <c r="EM70" s="50"/>
      <c r="EN70" s="50"/>
      <c r="EO70" s="50"/>
      <c r="EP70" s="50"/>
      <c r="EQ70" s="50"/>
      <c r="ER70" s="50"/>
      <c r="ES70" s="50"/>
      <c r="ET70" s="50"/>
      <c r="EU70" s="50"/>
      <c r="EV70" s="50"/>
      <c r="EW70" s="50"/>
      <c r="EX70" s="50"/>
      <c r="EY70" s="50"/>
      <c r="EZ70" s="50"/>
      <c r="FA70" s="50"/>
      <c r="FB70" s="50"/>
      <c r="FC70" s="50"/>
      <c r="FD70" s="50"/>
      <c r="FE70" s="50"/>
      <c r="FF70" s="50"/>
      <c r="FG70" s="50"/>
      <c r="FH70" s="50"/>
      <c r="FI70" s="50"/>
      <c r="FJ70" s="50"/>
      <c r="FK70" s="50"/>
      <c r="FL70" s="50"/>
      <c r="FM70" s="50"/>
      <c r="FN70" s="50"/>
      <c r="FO70" s="50"/>
      <c r="FP70" s="50"/>
      <c r="FQ70" s="50"/>
      <c r="FR70" s="50"/>
      <c r="FS70" s="50"/>
      <c r="FT70" s="50"/>
      <c r="FU70" s="50"/>
      <c r="FV70" s="50"/>
      <c r="FW70" s="50"/>
      <c r="FX70" s="50"/>
      <c r="FY70" s="50"/>
      <c r="FZ70" s="50"/>
      <c r="GA70" s="50"/>
      <c r="GB70" s="50"/>
      <c r="GC70" s="50"/>
      <c r="GD70" s="50"/>
      <c r="GE70" s="50"/>
      <c r="GF70" s="50"/>
      <c r="GG70" s="50"/>
      <c r="GH70" s="50"/>
      <c r="GI70" s="50"/>
      <c r="GJ70" s="50"/>
      <c r="GK70" s="50"/>
    </row>
    <row r="71" ht="15.7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  <c r="BS71" s="50"/>
      <c r="BT71" s="50"/>
      <c r="BU71" s="50"/>
      <c r="BV71" s="50"/>
      <c r="BW71" s="50"/>
      <c r="BX71" s="50"/>
      <c r="BY71" s="50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  <c r="CP71" s="50"/>
      <c r="CQ71" s="50"/>
      <c r="CR71" s="50"/>
      <c r="CS71" s="50"/>
      <c r="CT71" s="50"/>
      <c r="CU71" s="50"/>
      <c r="CV71" s="50"/>
      <c r="CW71" s="50"/>
      <c r="CX71" s="50"/>
      <c r="CY71" s="50"/>
      <c r="CZ71" s="50"/>
      <c r="DA71" s="50"/>
      <c r="DB71" s="50"/>
      <c r="DC71" s="50"/>
      <c r="DD71" s="50"/>
      <c r="DE71" s="50"/>
      <c r="DF71" s="50"/>
      <c r="DG71" s="50"/>
      <c r="DH71" s="50"/>
      <c r="DI71" s="50"/>
      <c r="DJ71" s="50"/>
      <c r="DK71" s="50"/>
      <c r="DL71" s="50"/>
      <c r="DM71" s="50"/>
      <c r="DN71" s="50"/>
      <c r="DO71" s="50"/>
      <c r="DP71" s="50"/>
      <c r="DQ71" s="50"/>
      <c r="DR71" s="50"/>
      <c r="DS71" s="50"/>
      <c r="DT71" s="50"/>
      <c r="DU71" s="50"/>
      <c r="DV71" s="50"/>
      <c r="DW71" s="50"/>
      <c r="DX71" s="50"/>
      <c r="DY71" s="50"/>
      <c r="DZ71" s="50"/>
      <c r="EA71" s="50"/>
      <c r="EB71" s="50"/>
      <c r="EC71" s="50"/>
      <c r="ED71" s="50"/>
      <c r="EE71" s="50"/>
      <c r="EF71" s="50"/>
      <c r="EG71" s="50"/>
      <c r="EH71" s="50"/>
      <c r="EI71" s="50"/>
      <c r="EJ71" s="50"/>
      <c r="EK71" s="50"/>
      <c r="EL71" s="50"/>
      <c r="EM71" s="50"/>
      <c r="EN71" s="50"/>
      <c r="EO71" s="50"/>
      <c r="EP71" s="50"/>
      <c r="EQ71" s="50"/>
      <c r="ER71" s="50"/>
      <c r="ES71" s="50"/>
      <c r="ET71" s="50"/>
      <c r="EU71" s="50"/>
      <c r="EV71" s="50"/>
      <c r="EW71" s="50"/>
      <c r="EX71" s="50"/>
      <c r="EY71" s="50"/>
      <c r="EZ71" s="50"/>
      <c r="FA71" s="50"/>
      <c r="FB71" s="50"/>
      <c r="FC71" s="50"/>
      <c r="FD71" s="50"/>
      <c r="FE71" s="50"/>
      <c r="FF71" s="50"/>
      <c r="FG71" s="50"/>
      <c r="FH71" s="50"/>
      <c r="FI71" s="50"/>
      <c r="FJ71" s="50"/>
      <c r="FK71" s="50"/>
      <c r="FL71" s="50"/>
      <c r="FM71" s="50"/>
      <c r="FN71" s="50"/>
      <c r="FO71" s="50"/>
      <c r="FP71" s="50"/>
      <c r="FQ71" s="50"/>
      <c r="FR71" s="50"/>
      <c r="FS71" s="50"/>
      <c r="FT71" s="50"/>
      <c r="FU71" s="50"/>
      <c r="FV71" s="50"/>
      <c r="FW71" s="50"/>
      <c r="FX71" s="50"/>
      <c r="FY71" s="50"/>
      <c r="FZ71" s="50"/>
      <c r="GA71" s="50"/>
      <c r="GB71" s="50"/>
      <c r="GC71" s="50"/>
      <c r="GD71" s="50"/>
      <c r="GE71" s="50"/>
      <c r="GF71" s="50"/>
      <c r="GG71" s="50"/>
      <c r="GH71" s="50"/>
      <c r="GI71" s="50"/>
      <c r="GJ71" s="50"/>
      <c r="GK71" s="50"/>
    </row>
    <row r="72" ht="15.7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  <c r="BS72" s="50"/>
      <c r="BT72" s="50"/>
      <c r="BU72" s="50"/>
      <c r="BV72" s="50"/>
      <c r="BW72" s="50"/>
      <c r="BX72" s="50"/>
      <c r="BY72" s="50"/>
      <c r="BZ72" s="50"/>
      <c r="CA72" s="50"/>
      <c r="CB72" s="50"/>
      <c r="CC72" s="50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  <c r="CP72" s="50"/>
      <c r="CQ72" s="50"/>
      <c r="CR72" s="50"/>
      <c r="CS72" s="50"/>
      <c r="CT72" s="50"/>
      <c r="CU72" s="50"/>
      <c r="CV72" s="50"/>
      <c r="CW72" s="50"/>
      <c r="CX72" s="50"/>
      <c r="CY72" s="50"/>
      <c r="CZ72" s="50"/>
      <c r="DA72" s="50"/>
      <c r="DB72" s="50"/>
      <c r="DC72" s="50"/>
      <c r="DD72" s="50"/>
      <c r="DE72" s="50"/>
      <c r="DF72" s="50"/>
      <c r="DG72" s="50"/>
      <c r="DH72" s="50"/>
      <c r="DI72" s="50"/>
      <c r="DJ72" s="50"/>
      <c r="DK72" s="50"/>
      <c r="DL72" s="50"/>
      <c r="DM72" s="50"/>
      <c r="DN72" s="50"/>
      <c r="DO72" s="50"/>
      <c r="DP72" s="50"/>
      <c r="DQ72" s="50"/>
      <c r="DR72" s="50"/>
      <c r="DS72" s="50"/>
      <c r="DT72" s="50"/>
      <c r="DU72" s="50"/>
      <c r="DV72" s="50"/>
      <c r="DW72" s="50"/>
      <c r="DX72" s="50"/>
      <c r="DY72" s="50"/>
      <c r="DZ72" s="50"/>
      <c r="EA72" s="50"/>
      <c r="EB72" s="50"/>
      <c r="EC72" s="50"/>
      <c r="ED72" s="50"/>
      <c r="EE72" s="50"/>
      <c r="EF72" s="50"/>
      <c r="EG72" s="50"/>
      <c r="EH72" s="50"/>
      <c r="EI72" s="50"/>
      <c r="EJ72" s="50"/>
      <c r="EK72" s="50"/>
      <c r="EL72" s="50"/>
      <c r="EM72" s="50"/>
      <c r="EN72" s="50"/>
      <c r="EO72" s="50"/>
      <c r="EP72" s="50"/>
      <c r="EQ72" s="50"/>
      <c r="ER72" s="50"/>
      <c r="ES72" s="50"/>
      <c r="ET72" s="50"/>
      <c r="EU72" s="50"/>
      <c r="EV72" s="50"/>
      <c r="EW72" s="50"/>
      <c r="EX72" s="50"/>
      <c r="EY72" s="50"/>
      <c r="EZ72" s="50"/>
      <c r="FA72" s="50"/>
      <c r="FB72" s="50"/>
      <c r="FC72" s="50"/>
      <c r="FD72" s="50"/>
      <c r="FE72" s="50"/>
      <c r="FF72" s="50"/>
      <c r="FG72" s="50"/>
      <c r="FH72" s="50"/>
      <c r="FI72" s="50"/>
      <c r="FJ72" s="50"/>
      <c r="FK72" s="50"/>
      <c r="FL72" s="50"/>
      <c r="FM72" s="50"/>
      <c r="FN72" s="50"/>
      <c r="FO72" s="50"/>
      <c r="FP72" s="50"/>
      <c r="FQ72" s="50"/>
      <c r="FR72" s="50"/>
      <c r="FS72" s="50"/>
      <c r="FT72" s="50"/>
      <c r="FU72" s="50"/>
      <c r="FV72" s="50"/>
      <c r="FW72" s="50"/>
      <c r="FX72" s="50"/>
      <c r="FY72" s="50"/>
      <c r="FZ72" s="50"/>
      <c r="GA72" s="50"/>
      <c r="GB72" s="50"/>
      <c r="GC72" s="50"/>
      <c r="GD72" s="50"/>
      <c r="GE72" s="50"/>
      <c r="GF72" s="50"/>
      <c r="GG72" s="50"/>
      <c r="GH72" s="50"/>
      <c r="GI72" s="50"/>
      <c r="GJ72" s="50"/>
      <c r="GK72" s="50"/>
    </row>
    <row r="73" ht="15.7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  <c r="CP73" s="50"/>
      <c r="CQ73" s="50"/>
      <c r="CR73" s="50"/>
      <c r="CS73" s="50"/>
      <c r="CT73" s="50"/>
      <c r="CU73" s="50"/>
      <c r="CV73" s="50"/>
      <c r="CW73" s="50"/>
      <c r="CX73" s="50"/>
      <c r="CY73" s="50"/>
      <c r="CZ73" s="50"/>
      <c r="DA73" s="50"/>
      <c r="DB73" s="50"/>
      <c r="DC73" s="50"/>
      <c r="DD73" s="50"/>
      <c r="DE73" s="50"/>
      <c r="DF73" s="50"/>
      <c r="DG73" s="50"/>
      <c r="DH73" s="50"/>
      <c r="DI73" s="50"/>
      <c r="DJ73" s="50"/>
      <c r="DK73" s="50"/>
      <c r="DL73" s="50"/>
      <c r="DM73" s="50"/>
      <c r="DN73" s="50"/>
      <c r="DO73" s="50"/>
      <c r="DP73" s="50"/>
      <c r="DQ73" s="50"/>
      <c r="DR73" s="50"/>
      <c r="DS73" s="50"/>
      <c r="DT73" s="50"/>
      <c r="DU73" s="50"/>
      <c r="DV73" s="50"/>
      <c r="DW73" s="50"/>
      <c r="DX73" s="50"/>
      <c r="DY73" s="50"/>
      <c r="DZ73" s="50"/>
      <c r="EA73" s="50"/>
      <c r="EB73" s="50"/>
      <c r="EC73" s="50"/>
      <c r="ED73" s="50"/>
      <c r="EE73" s="50"/>
      <c r="EF73" s="50"/>
      <c r="EG73" s="50"/>
      <c r="EH73" s="50"/>
      <c r="EI73" s="50"/>
      <c r="EJ73" s="50"/>
      <c r="EK73" s="50"/>
      <c r="EL73" s="50"/>
      <c r="EM73" s="50"/>
      <c r="EN73" s="50"/>
      <c r="EO73" s="50"/>
      <c r="EP73" s="50"/>
      <c r="EQ73" s="50"/>
      <c r="ER73" s="50"/>
      <c r="ES73" s="50"/>
      <c r="ET73" s="50"/>
      <c r="EU73" s="50"/>
      <c r="EV73" s="50"/>
      <c r="EW73" s="50"/>
      <c r="EX73" s="50"/>
      <c r="EY73" s="50"/>
      <c r="EZ73" s="50"/>
      <c r="FA73" s="50"/>
      <c r="FB73" s="50"/>
      <c r="FC73" s="50"/>
      <c r="FD73" s="50"/>
      <c r="FE73" s="50"/>
      <c r="FF73" s="50"/>
      <c r="FG73" s="50"/>
      <c r="FH73" s="50"/>
      <c r="FI73" s="50"/>
      <c r="FJ73" s="50"/>
      <c r="FK73" s="50"/>
      <c r="FL73" s="50"/>
      <c r="FM73" s="50"/>
      <c r="FN73" s="50"/>
      <c r="FO73" s="50"/>
      <c r="FP73" s="50"/>
      <c r="FQ73" s="50"/>
      <c r="FR73" s="50"/>
      <c r="FS73" s="50"/>
      <c r="FT73" s="50"/>
      <c r="FU73" s="50"/>
      <c r="FV73" s="50"/>
      <c r="FW73" s="50"/>
      <c r="FX73" s="50"/>
      <c r="FY73" s="50"/>
      <c r="FZ73" s="50"/>
      <c r="GA73" s="50"/>
      <c r="GB73" s="50"/>
      <c r="GC73" s="50"/>
      <c r="GD73" s="50"/>
      <c r="GE73" s="50"/>
      <c r="GF73" s="50"/>
      <c r="GG73" s="50"/>
      <c r="GH73" s="50"/>
      <c r="GI73" s="50"/>
      <c r="GJ73" s="50"/>
      <c r="GK73" s="50"/>
    </row>
    <row r="74" ht="15.7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  <c r="DC74" s="50"/>
      <c r="DD74" s="50"/>
      <c r="DE74" s="50"/>
      <c r="DF74" s="50"/>
      <c r="DG74" s="50"/>
      <c r="DH74" s="50"/>
      <c r="DI74" s="50"/>
      <c r="DJ74" s="50"/>
      <c r="DK74" s="50"/>
      <c r="DL74" s="50"/>
      <c r="DM74" s="50"/>
      <c r="DN74" s="50"/>
      <c r="DO74" s="50"/>
      <c r="DP74" s="50"/>
      <c r="DQ74" s="50"/>
      <c r="DR74" s="50"/>
      <c r="DS74" s="50"/>
      <c r="DT74" s="50"/>
      <c r="DU74" s="50"/>
      <c r="DV74" s="50"/>
      <c r="DW74" s="50"/>
      <c r="DX74" s="50"/>
      <c r="DY74" s="50"/>
      <c r="DZ74" s="50"/>
      <c r="EA74" s="50"/>
      <c r="EB74" s="50"/>
      <c r="EC74" s="50"/>
      <c r="ED74" s="50"/>
      <c r="EE74" s="50"/>
      <c r="EF74" s="50"/>
      <c r="EG74" s="50"/>
      <c r="EH74" s="50"/>
      <c r="EI74" s="50"/>
      <c r="EJ74" s="50"/>
      <c r="EK74" s="50"/>
      <c r="EL74" s="50"/>
      <c r="EM74" s="50"/>
      <c r="EN74" s="50"/>
      <c r="EO74" s="50"/>
      <c r="EP74" s="50"/>
      <c r="EQ74" s="50"/>
      <c r="ER74" s="50"/>
      <c r="ES74" s="50"/>
      <c r="ET74" s="50"/>
      <c r="EU74" s="50"/>
      <c r="EV74" s="50"/>
      <c r="EW74" s="50"/>
      <c r="EX74" s="50"/>
      <c r="EY74" s="50"/>
      <c r="EZ74" s="50"/>
      <c r="FA74" s="50"/>
      <c r="FB74" s="50"/>
      <c r="FC74" s="50"/>
      <c r="FD74" s="50"/>
      <c r="FE74" s="50"/>
      <c r="FF74" s="50"/>
      <c r="FG74" s="50"/>
      <c r="FH74" s="50"/>
      <c r="FI74" s="50"/>
      <c r="FJ74" s="50"/>
      <c r="FK74" s="50"/>
      <c r="FL74" s="50"/>
      <c r="FM74" s="50"/>
      <c r="FN74" s="50"/>
      <c r="FO74" s="50"/>
      <c r="FP74" s="50"/>
      <c r="FQ74" s="50"/>
      <c r="FR74" s="50"/>
      <c r="FS74" s="50"/>
      <c r="FT74" s="50"/>
      <c r="FU74" s="50"/>
      <c r="FV74" s="50"/>
      <c r="FW74" s="50"/>
      <c r="FX74" s="50"/>
      <c r="FY74" s="50"/>
      <c r="FZ74" s="50"/>
      <c r="GA74" s="50"/>
      <c r="GB74" s="50"/>
      <c r="GC74" s="50"/>
      <c r="GD74" s="50"/>
      <c r="GE74" s="50"/>
      <c r="GF74" s="50"/>
      <c r="GG74" s="50"/>
      <c r="GH74" s="50"/>
      <c r="GI74" s="50"/>
      <c r="GJ74" s="50"/>
      <c r="GK74" s="50"/>
    </row>
    <row r="75" ht="15.7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  <c r="CP75" s="50"/>
      <c r="CQ75" s="50"/>
      <c r="CR75" s="50"/>
      <c r="CS75" s="50"/>
      <c r="CT75" s="50"/>
      <c r="CU75" s="50"/>
      <c r="CV75" s="50"/>
      <c r="CW75" s="50"/>
      <c r="CX75" s="50"/>
      <c r="CY75" s="50"/>
      <c r="CZ75" s="50"/>
      <c r="DA75" s="50"/>
      <c r="DB75" s="50"/>
      <c r="DC75" s="50"/>
      <c r="DD75" s="50"/>
      <c r="DE75" s="50"/>
      <c r="DF75" s="50"/>
      <c r="DG75" s="50"/>
      <c r="DH75" s="50"/>
      <c r="DI75" s="50"/>
      <c r="DJ75" s="50"/>
      <c r="DK75" s="50"/>
      <c r="DL75" s="50"/>
      <c r="DM75" s="50"/>
      <c r="DN75" s="50"/>
      <c r="DO75" s="50"/>
      <c r="DP75" s="50"/>
      <c r="DQ75" s="50"/>
      <c r="DR75" s="50"/>
      <c r="DS75" s="50"/>
      <c r="DT75" s="50"/>
      <c r="DU75" s="50"/>
      <c r="DV75" s="50"/>
      <c r="DW75" s="50"/>
      <c r="DX75" s="50"/>
      <c r="DY75" s="50"/>
      <c r="DZ75" s="50"/>
      <c r="EA75" s="50"/>
      <c r="EB75" s="50"/>
      <c r="EC75" s="50"/>
      <c r="ED75" s="50"/>
      <c r="EE75" s="50"/>
      <c r="EF75" s="50"/>
      <c r="EG75" s="50"/>
      <c r="EH75" s="50"/>
      <c r="EI75" s="50"/>
      <c r="EJ75" s="50"/>
      <c r="EK75" s="50"/>
      <c r="EL75" s="50"/>
      <c r="EM75" s="50"/>
      <c r="EN75" s="50"/>
      <c r="EO75" s="50"/>
      <c r="EP75" s="50"/>
      <c r="EQ75" s="50"/>
      <c r="ER75" s="50"/>
      <c r="ES75" s="50"/>
      <c r="ET75" s="50"/>
      <c r="EU75" s="50"/>
      <c r="EV75" s="50"/>
      <c r="EW75" s="50"/>
      <c r="EX75" s="50"/>
      <c r="EY75" s="50"/>
      <c r="EZ75" s="50"/>
      <c r="FA75" s="50"/>
      <c r="FB75" s="50"/>
      <c r="FC75" s="50"/>
      <c r="FD75" s="50"/>
      <c r="FE75" s="50"/>
      <c r="FF75" s="50"/>
      <c r="FG75" s="50"/>
      <c r="FH75" s="50"/>
      <c r="FI75" s="50"/>
      <c r="FJ75" s="50"/>
      <c r="FK75" s="50"/>
      <c r="FL75" s="50"/>
      <c r="FM75" s="50"/>
      <c r="FN75" s="50"/>
      <c r="FO75" s="50"/>
      <c r="FP75" s="50"/>
      <c r="FQ75" s="50"/>
      <c r="FR75" s="50"/>
      <c r="FS75" s="50"/>
      <c r="FT75" s="50"/>
      <c r="FU75" s="50"/>
      <c r="FV75" s="50"/>
      <c r="FW75" s="50"/>
      <c r="FX75" s="50"/>
      <c r="FY75" s="50"/>
      <c r="FZ75" s="50"/>
      <c r="GA75" s="50"/>
      <c r="GB75" s="50"/>
      <c r="GC75" s="50"/>
      <c r="GD75" s="50"/>
      <c r="GE75" s="50"/>
      <c r="GF75" s="50"/>
      <c r="GG75" s="50"/>
      <c r="GH75" s="50"/>
      <c r="GI75" s="50"/>
      <c r="GJ75" s="50"/>
      <c r="GK75" s="50"/>
    </row>
    <row r="76" ht="15.7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  <c r="DC76" s="50"/>
      <c r="DD76" s="50"/>
      <c r="DE76" s="50"/>
      <c r="DF76" s="50"/>
      <c r="DG76" s="50"/>
      <c r="DH76" s="50"/>
      <c r="DI76" s="50"/>
      <c r="DJ76" s="50"/>
      <c r="DK76" s="50"/>
      <c r="DL76" s="50"/>
      <c r="DM76" s="50"/>
      <c r="DN76" s="50"/>
      <c r="DO76" s="50"/>
      <c r="DP76" s="50"/>
      <c r="DQ76" s="50"/>
      <c r="DR76" s="50"/>
      <c r="DS76" s="50"/>
      <c r="DT76" s="50"/>
      <c r="DU76" s="50"/>
      <c r="DV76" s="50"/>
      <c r="DW76" s="50"/>
      <c r="DX76" s="50"/>
      <c r="DY76" s="50"/>
      <c r="DZ76" s="50"/>
      <c r="EA76" s="50"/>
      <c r="EB76" s="50"/>
      <c r="EC76" s="50"/>
      <c r="ED76" s="50"/>
      <c r="EE76" s="50"/>
      <c r="EF76" s="50"/>
      <c r="EG76" s="50"/>
      <c r="EH76" s="50"/>
      <c r="EI76" s="50"/>
      <c r="EJ76" s="50"/>
      <c r="EK76" s="50"/>
      <c r="EL76" s="50"/>
      <c r="EM76" s="50"/>
      <c r="EN76" s="50"/>
      <c r="EO76" s="50"/>
      <c r="EP76" s="50"/>
      <c r="EQ76" s="50"/>
      <c r="ER76" s="50"/>
      <c r="ES76" s="50"/>
      <c r="ET76" s="50"/>
      <c r="EU76" s="50"/>
      <c r="EV76" s="50"/>
      <c r="EW76" s="50"/>
      <c r="EX76" s="50"/>
      <c r="EY76" s="50"/>
      <c r="EZ76" s="50"/>
      <c r="FA76" s="50"/>
      <c r="FB76" s="50"/>
      <c r="FC76" s="50"/>
      <c r="FD76" s="50"/>
      <c r="FE76" s="50"/>
      <c r="FF76" s="50"/>
      <c r="FG76" s="50"/>
      <c r="FH76" s="50"/>
      <c r="FI76" s="50"/>
      <c r="FJ76" s="50"/>
      <c r="FK76" s="50"/>
      <c r="FL76" s="50"/>
      <c r="FM76" s="50"/>
      <c r="FN76" s="50"/>
      <c r="FO76" s="50"/>
      <c r="FP76" s="50"/>
      <c r="FQ76" s="50"/>
      <c r="FR76" s="50"/>
      <c r="FS76" s="50"/>
      <c r="FT76" s="50"/>
      <c r="FU76" s="50"/>
      <c r="FV76" s="50"/>
      <c r="FW76" s="50"/>
      <c r="FX76" s="50"/>
      <c r="FY76" s="50"/>
      <c r="FZ76" s="50"/>
      <c r="GA76" s="50"/>
      <c r="GB76" s="50"/>
      <c r="GC76" s="50"/>
      <c r="GD76" s="50"/>
      <c r="GE76" s="50"/>
      <c r="GF76" s="50"/>
      <c r="GG76" s="50"/>
      <c r="GH76" s="50"/>
      <c r="GI76" s="50"/>
      <c r="GJ76" s="50"/>
      <c r="GK76" s="50"/>
    </row>
    <row r="77" ht="15.7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  <c r="DC77" s="50"/>
      <c r="DD77" s="50"/>
      <c r="DE77" s="50"/>
      <c r="DF77" s="50"/>
      <c r="DG77" s="50"/>
      <c r="DH77" s="50"/>
      <c r="DI77" s="50"/>
      <c r="DJ77" s="50"/>
      <c r="DK77" s="50"/>
      <c r="DL77" s="50"/>
      <c r="DM77" s="50"/>
      <c r="DN77" s="50"/>
      <c r="DO77" s="50"/>
      <c r="DP77" s="50"/>
      <c r="DQ77" s="50"/>
      <c r="DR77" s="50"/>
      <c r="DS77" s="50"/>
      <c r="DT77" s="50"/>
      <c r="DU77" s="50"/>
      <c r="DV77" s="50"/>
      <c r="DW77" s="50"/>
      <c r="DX77" s="50"/>
      <c r="DY77" s="50"/>
      <c r="DZ77" s="50"/>
      <c r="EA77" s="50"/>
      <c r="EB77" s="50"/>
      <c r="EC77" s="50"/>
      <c r="ED77" s="50"/>
      <c r="EE77" s="50"/>
      <c r="EF77" s="50"/>
      <c r="EG77" s="50"/>
      <c r="EH77" s="50"/>
      <c r="EI77" s="50"/>
      <c r="EJ77" s="50"/>
      <c r="EK77" s="50"/>
      <c r="EL77" s="50"/>
      <c r="EM77" s="50"/>
      <c r="EN77" s="50"/>
      <c r="EO77" s="50"/>
      <c r="EP77" s="50"/>
      <c r="EQ77" s="50"/>
      <c r="ER77" s="50"/>
      <c r="ES77" s="50"/>
      <c r="ET77" s="50"/>
      <c r="EU77" s="50"/>
      <c r="EV77" s="50"/>
      <c r="EW77" s="50"/>
      <c r="EX77" s="50"/>
      <c r="EY77" s="50"/>
      <c r="EZ77" s="50"/>
      <c r="FA77" s="50"/>
      <c r="FB77" s="50"/>
      <c r="FC77" s="50"/>
      <c r="FD77" s="50"/>
      <c r="FE77" s="50"/>
      <c r="FF77" s="50"/>
      <c r="FG77" s="50"/>
      <c r="FH77" s="50"/>
      <c r="FI77" s="50"/>
      <c r="FJ77" s="50"/>
      <c r="FK77" s="50"/>
      <c r="FL77" s="50"/>
      <c r="FM77" s="50"/>
      <c r="FN77" s="50"/>
      <c r="FO77" s="50"/>
      <c r="FP77" s="50"/>
      <c r="FQ77" s="50"/>
      <c r="FR77" s="50"/>
      <c r="FS77" s="50"/>
      <c r="FT77" s="50"/>
      <c r="FU77" s="50"/>
      <c r="FV77" s="50"/>
      <c r="FW77" s="50"/>
      <c r="FX77" s="50"/>
      <c r="FY77" s="50"/>
      <c r="FZ77" s="50"/>
      <c r="GA77" s="50"/>
      <c r="GB77" s="50"/>
      <c r="GC77" s="50"/>
      <c r="GD77" s="50"/>
      <c r="GE77" s="50"/>
      <c r="GF77" s="50"/>
      <c r="GG77" s="50"/>
      <c r="GH77" s="50"/>
      <c r="GI77" s="50"/>
      <c r="GJ77" s="50"/>
      <c r="GK77" s="50"/>
    </row>
    <row r="78" ht="15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50"/>
      <c r="DB78" s="50"/>
      <c r="DC78" s="50"/>
      <c r="DD78" s="50"/>
      <c r="DE78" s="50"/>
      <c r="DF78" s="50"/>
      <c r="DG78" s="50"/>
      <c r="DH78" s="50"/>
      <c r="DI78" s="50"/>
      <c r="DJ78" s="50"/>
      <c r="DK78" s="50"/>
      <c r="DL78" s="50"/>
      <c r="DM78" s="50"/>
      <c r="DN78" s="50"/>
      <c r="DO78" s="50"/>
      <c r="DP78" s="50"/>
      <c r="DQ78" s="50"/>
      <c r="DR78" s="50"/>
      <c r="DS78" s="50"/>
      <c r="DT78" s="50"/>
      <c r="DU78" s="50"/>
      <c r="DV78" s="50"/>
      <c r="DW78" s="50"/>
      <c r="DX78" s="50"/>
      <c r="DY78" s="50"/>
      <c r="DZ78" s="50"/>
      <c r="EA78" s="50"/>
      <c r="EB78" s="50"/>
      <c r="EC78" s="50"/>
      <c r="ED78" s="50"/>
      <c r="EE78" s="50"/>
      <c r="EF78" s="50"/>
      <c r="EG78" s="50"/>
      <c r="EH78" s="50"/>
      <c r="EI78" s="50"/>
      <c r="EJ78" s="50"/>
      <c r="EK78" s="50"/>
      <c r="EL78" s="50"/>
      <c r="EM78" s="50"/>
      <c r="EN78" s="50"/>
      <c r="EO78" s="50"/>
      <c r="EP78" s="50"/>
      <c r="EQ78" s="50"/>
      <c r="ER78" s="50"/>
      <c r="ES78" s="50"/>
      <c r="ET78" s="50"/>
      <c r="EU78" s="50"/>
      <c r="EV78" s="50"/>
      <c r="EW78" s="50"/>
      <c r="EX78" s="50"/>
      <c r="EY78" s="50"/>
      <c r="EZ78" s="50"/>
      <c r="FA78" s="50"/>
      <c r="FB78" s="50"/>
      <c r="FC78" s="50"/>
      <c r="FD78" s="50"/>
      <c r="FE78" s="50"/>
      <c r="FF78" s="50"/>
      <c r="FG78" s="50"/>
      <c r="FH78" s="50"/>
      <c r="FI78" s="50"/>
      <c r="FJ78" s="50"/>
      <c r="FK78" s="50"/>
      <c r="FL78" s="50"/>
      <c r="FM78" s="50"/>
      <c r="FN78" s="50"/>
      <c r="FO78" s="50"/>
      <c r="FP78" s="50"/>
      <c r="FQ78" s="50"/>
      <c r="FR78" s="50"/>
      <c r="FS78" s="50"/>
      <c r="FT78" s="50"/>
      <c r="FU78" s="50"/>
      <c r="FV78" s="50"/>
      <c r="FW78" s="50"/>
      <c r="FX78" s="50"/>
      <c r="FY78" s="50"/>
      <c r="FZ78" s="50"/>
      <c r="GA78" s="50"/>
      <c r="GB78" s="50"/>
      <c r="GC78" s="50"/>
      <c r="GD78" s="50"/>
      <c r="GE78" s="50"/>
      <c r="GF78" s="50"/>
      <c r="GG78" s="50"/>
      <c r="GH78" s="50"/>
      <c r="GI78" s="50"/>
      <c r="GJ78" s="50"/>
      <c r="GK78" s="50"/>
    </row>
    <row r="79" ht="15.7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  <c r="DD79" s="50"/>
      <c r="DE79" s="50"/>
      <c r="DF79" s="50"/>
      <c r="DG79" s="50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/>
      <c r="DS79" s="50"/>
      <c r="DT79" s="50"/>
      <c r="DU79" s="50"/>
      <c r="DV79" s="50"/>
      <c r="DW79" s="50"/>
      <c r="DX79" s="50"/>
      <c r="DY79" s="50"/>
      <c r="DZ79" s="50"/>
      <c r="EA79" s="50"/>
      <c r="EB79" s="50"/>
      <c r="EC79" s="50"/>
      <c r="ED79" s="50"/>
      <c r="EE79" s="50"/>
      <c r="EF79" s="50"/>
      <c r="EG79" s="50"/>
      <c r="EH79" s="50"/>
      <c r="EI79" s="50"/>
      <c r="EJ79" s="50"/>
      <c r="EK79" s="50"/>
      <c r="EL79" s="50"/>
      <c r="EM79" s="50"/>
      <c r="EN79" s="50"/>
      <c r="EO79" s="50"/>
      <c r="EP79" s="50"/>
      <c r="EQ79" s="50"/>
      <c r="ER79" s="50"/>
      <c r="ES79" s="50"/>
      <c r="ET79" s="50"/>
      <c r="EU79" s="50"/>
      <c r="EV79" s="50"/>
      <c r="EW79" s="50"/>
      <c r="EX79" s="50"/>
      <c r="EY79" s="50"/>
      <c r="EZ79" s="50"/>
      <c r="FA79" s="50"/>
      <c r="FB79" s="50"/>
      <c r="FC79" s="50"/>
      <c r="FD79" s="50"/>
      <c r="FE79" s="50"/>
      <c r="FF79" s="50"/>
      <c r="FG79" s="50"/>
      <c r="FH79" s="50"/>
      <c r="FI79" s="50"/>
      <c r="FJ79" s="50"/>
      <c r="FK79" s="50"/>
      <c r="FL79" s="50"/>
      <c r="FM79" s="50"/>
      <c r="FN79" s="50"/>
      <c r="FO79" s="50"/>
      <c r="FP79" s="50"/>
      <c r="FQ79" s="50"/>
      <c r="FR79" s="50"/>
      <c r="FS79" s="50"/>
      <c r="FT79" s="50"/>
      <c r="FU79" s="50"/>
      <c r="FV79" s="50"/>
      <c r="FW79" s="50"/>
      <c r="FX79" s="50"/>
      <c r="FY79" s="50"/>
      <c r="FZ79" s="50"/>
      <c r="GA79" s="50"/>
      <c r="GB79" s="50"/>
      <c r="GC79" s="50"/>
      <c r="GD79" s="50"/>
      <c r="GE79" s="50"/>
      <c r="GF79" s="50"/>
      <c r="GG79" s="50"/>
      <c r="GH79" s="50"/>
      <c r="GI79" s="50"/>
      <c r="GJ79" s="50"/>
      <c r="GK79" s="50"/>
    </row>
    <row r="80" ht="15.7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/>
      <c r="CZ80" s="50"/>
      <c r="DA80" s="50"/>
      <c r="DB80" s="50"/>
      <c r="DC80" s="50"/>
      <c r="DD80" s="50"/>
      <c r="DE80" s="50"/>
      <c r="DF80" s="50"/>
      <c r="DG80" s="50"/>
      <c r="DH80" s="50"/>
      <c r="DI80" s="50"/>
      <c r="DJ80" s="50"/>
      <c r="DK80" s="50"/>
      <c r="DL80" s="50"/>
      <c r="DM80" s="50"/>
      <c r="DN80" s="50"/>
      <c r="DO80" s="50"/>
      <c r="DP80" s="50"/>
      <c r="DQ80" s="50"/>
      <c r="DR80" s="50"/>
      <c r="DS80" s="50"/>
      <c r="DT80" s="50"/>
      <c r="DU80" s="50"/>
      <c r="DV80" s="50"/>
      <c r="DW80" s="50"/>
      <c r="DX80" s="50"/>
      <c r="DY80" s="50"/>
      <c r="DZ80" s="50"/>
      <c r="EA80" s="50"/>
      <c r="EB80" s="50"/>
      <c r="EC80" s="50"/>
      <c r="ED80" s="50"/>
      <c r="EE80" s="50"/>
      <c r="EF80" s="50"/>
      <c r="EG80" s="50"/>
      <c r="EH80" s="50"/>
      <c r="EI80" s="50"/>
      <c r="EJ80" s="50"/>
      <c r="EK80" s="50"/>
      <c r="EL80" s="50"/>
      <c r="EM80" s="50"/>
      <c r="EN80" s="50"/>
      <c r="EO80" s="50"/>
      <c r="EP80" s="50"/>
      <c r="EQ80" s="50"/>
      <c r="ER80" s="50"/>
      <c r="ES80" s="50"/>
      <c r="ET80" s="50"/>
      <c r="EU80" s="50"/>
      <c r="EV80" s="50"/>
      <c r="EW80" s="50"/>
      <c r="EX80" s="50"/>
      <c r="EY80" s="50"/>
      <c r="EZ80" s="50"/>
      <c r="FA80" s="50"/>
      <c r="FB80" s="50"/>
      <c r="FC80" s="50"/>
      <c r="FD80" s="50"/>
      <c r="FE80" s="50"/>
      <c r="FF80" s="50"/>
      <c r="FG80" s="50"/>
      <c r="FH80" s="50"/>
      <c r="FI80" s="50"/>
      <c r="FJ80" s="50"/>
      <c r="FK80" s="50"/>
      <c r="FL80" s="50"/>
      <c r="FM80" s="50"/>
      <c r="FN80" s="50"/>
      <c r="FO80" s="50"/>
      <c r="FP80" s="50"/>
      <c r="FQ80" s="50"/>
      <c r="FR80" s="50"/>
      <c r="FS80" s="50"/>
      <c r="FT80" s="50"/>
      <c r="FU80" s="50"/>
      <c r="FV80" s="50"/>
      <c r="FW80" s="50"/>
      <c r="FX80" s="50"/>
      <c r="FY80" s="50"/>
      <c r="FZ80" s="50"/>
      <c r="GA80" s="50"/>
      <c r="GB80" s="50"/>
      <c r="GC80" s="50"/>
      <c r="GD80" s="50"/>
      <c r="GE80" s="50"/>
      <c r="GF80" s="50"/>
      <c r="GG80" s="50"/>
      <c r="GH80" s="50"/>
      <c r="GI80" s="50"/>
      <c r="GJ80" s="50"/>
      <c r="GK80" s="50"/>
    </row>
    <row r="81" ht="15.7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  <c r="CP81" s="50"/>
      <c r="CQ81" s="50"/>
      <c r="CR81" s="50"/>
      <c r="CS81" s="50"/>
      <c r="CT81" s="50"/>
      <c r="CU81" s="50"/>
      <c r="CV81" s="50"/>
      <c r="CW81" s="50"/>
      <c r="CX81" s="50"/>
      <c r="CY81" s="50"/>
      <c r="CZ81" s="50"/>
      <c r="DA81" s="50"/>
      <c r="DB81" s="50"/>
      <c r="DC81" s="50"/>
      <c r="DD81" s="50"/>
      <c r="DE81" s="50"/>
      <c r="DF81" s="50"/>
      <c r="DG81" s="50"/>
      <c r="DH81" s="50"/>
      <c r="DI81" s="50"/>
      <c r="DJ81" s="50"/>
      <c r="DK81" s="50"/>
      <c r="DL81" s="50"/>
      <c r="DM81" s="50"/>
      <c r="DN81" s="50"/>
      <c r="DO81" s="50"/>
      <c r="DP81" s="50"/>
      <c r="DQ81" s="50"/>
      <c r="DR81" s="50"/>
      <c r="DS81" s="50"/>
      <c r="DT81" s="50"/>
      <c r="DU81" s="50"/>
      <c r="DV81" s="50"/>
      <c r="DW81" s="50"/>
      <c r="DX81" s="50"/>
      <c r="DY81" s="50"/>
      <c r="DZ81" s="50"/>
      <c r="EA81" s="50"/>
      <c r="EB81" s="50"/>
      <c r="EC81" s="50"/>
      <c r="ED81" s="50"/>
      <c r="EE81" s="50"/>
      <c r="EF81" s="50"/>
      <c r="EG81" s="50"/>
      <c r="EH81" s="50"/>
      <c r="EI81" s="50"/>
      <c r="EJ81" s="50"/>
      <c r="EK81" s="50"/>
      <c r="EL81" s="50"/>
      <c r="EM81" s="50"/>
      <c r="EN81" s="50"/>
      <c r="EO81" s="50"/>
      <c r="EP81" s="50"/>
      <c r="EQ81" s="50"/>
      <c r="ER81" s="50"/>
      <c r="ES81" s="50"/>
      <c r="ET81" s="50"/>
      <c r="EU81" s="50"/>
      <c r="EV81" s="50"/>
      <c r="EW81" s="50"/>
      <c r="EX81" s="50"/>
      <c r="EY81" s="50"/>
      <c r="EZ81" s="50"/>
      <c r="FA81" s="50"/>
      <c r="FB81" s="50"/>
      <c r="FC81" s="50"/>
      <c r="FD81" s="50"/>
      <c r="FE81" s="50"/>
      <c r="FF81" s="50"/>
      <c r="FG81" s="50"/>
      <c r="FH81" s="50"/>
      <c r="FI81" s="50"/>
      <c r="FJ81" s="50"/>
      <c r="FK81" s="50"/>
      <c r="FL81" s="50"/>
      <c r="FM81" s="50"/>
      <c r="FN81" s="50"/>
      <c r="FO81" s="50"/>
      <c r="FP81" s="50"/>
      <c r="FQ81" s="50"/>
      <c r="FR81" s="50"/>
      <c r="FS81" s="50"/>
      <c r="FT81" s="50"/>
      <c r="FU81" s="50"/>
      <c r="FV81" s="50"/>
      <c r="FW81" s="50"/>
      <c r="FX81" s="50"/>
      <c r="FY81" s="50"/>
      <c r="FZ81" s="50"/>
      <c r="GA81" s="50"/>
      <c r="GB81" s="50"/>
      <c r="GC81" s="50"/>
      <c r="GD81" s="50"/>
      <c r="GE81" s="50"/>
      <c r="GF81" s="50"/>
      <c r="GG81" s="50"/>
      <c r="GH81" s="50"/>
      <c r="GI81" s="50"/>
      <c r="GJ81" s="50"/>
      <c r="GK81" s="50"/>
    </row>
    <row r="82" ht="15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  <c r="BR82" s="50"/>
      <c r="BS82" s="50"/>
      <c r="BT82" s="50"/>
      <c r="BU82" s="50"/>
      <c r="BV82" s="50"/>
      <c r="BW82" s="50"/>
      <c r="BX82" s="50"/>
      <c r="BY82" s="50"/>
      <c r="BZ82" s="50"/>
      <c r="CA82" s="50"/>
      <c r="CB82" s="50"/>
      <c r="CC82" s="50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0"/>
      <c r="CO82" s="50"/>
      <c r="CP82" s="50"/>
      <c r="CQ82" s="50"/>
      <c r="CR82" s="50"/>
      <c r="CS82" s="50"/>
      <c r="CT82" s="50"/>
      <c r="CU82" s="50"/>
      <c r="CV82" s="50"/>
      <c r="CW82" s="50"/>
      <c r="CX82" s="50"/>
      <c r="CY82" s="50"/>
      <c r="CZ82" s="50"/>
      <c r="DA82" s="50"/>
      <c r="DB82" s="50"/>
      <c r="DC82" s="50"/>
      <c r="DD82" s="50"/>
      <c r="DE82" s="50"/>
      <c r="DF82" s="50"/>
      <c r="DG82" s="50"/>
      <c r="DH82" s="50"/>
      <c r="DI82" s="50"/>
      <c r="DJ82" s="50"/>
      <c r="DK82" s="50"/>
      <c r="DL82" s="50"/>
      <c r="DM82" s="50"/>
      <c r="DN82" s="50"/>
      <c r="DO82" s="50"/>
      <c r="DP82" s="50"/>
      <c r="DQ82" s="50"/>
      <c r="DR82" s="50"/>
      <c r="DS82" s="50"/>
      <c r="DT82" s="50"/>
      <c r="DU82" s="50"/>
      <c r="DV82" s="50"/>
      <c r="DW82" s="50"/>
      <c r="DX82" s="50"/>
      <c r="DY82" s="50"/>
      <c r="DZ82" s="50"/>
      <c r="EA82" s="50"/>
      <c r="EB82" s="50"/>
      <c r="EC82" s="50"/>
      <c r="ED82" s="50"/>
      <c r="EE82" s="50"/>
      <c r="EF82" s="50"/>
      <c r="EG82" s="50"/>
      <c r="EH82" s="50"/>
      <c r="EI82" s="50"/>
      <c r="EJ82" s="50"/>
      <c r="EK82" s="50"/>
      <c r="EL82" s="50"/>
      <c r="EM82" s="50"/>
      <c r="EN82" s="50"/>
      <c r="EO82" s="50"/>
      <c r="EP82" s="50"/>
      <c r="EQ82" s="50"/>
      <c r="ER82" s="50"/>
      <c r="ES82" s="50"/>
      <c r="ET82" s="50"/>
      <c r="EU82" s="50"/>
      <c r="EV82" s="50"/>
      <c r="EW82" s="50"/>
      <c r="EX82" s="50"/>
      <c r="EY82" s="50"/>
      <c r="EZ82" s="50"/>
      <c r="FA82" s="50"/>
      <c r="FB82" s="50"/>
      <c r="FC82" s="50"/>
      <c r="FD82" s="50"/>
      <c r="FE82" s="50"/>
      <c r="FF82" s="50"/>
      <c r="FG82" s="50"/>
      <c r="FH82" s="50"/>
      <c r="FI82" s="50"/>
      <c r="FJ82" s="50"/>
      <c r="FK82" s="50"/>
      <c r="FL82" s="50"/>
      <c r="FM82" s="50"/>
      <c r="FN82" s="50"/>
      <c r="FO82" s="50"/>
      <c r="FP82" s="50"/>
      <c r="FQ82" s="50"/>
      <c r="FR82" s="50"/>
      <c r="FS82" s="50"/>
      <c r="FT82" s="50"/>
      <c r="FU82" s="50"/>
      <c r="FV82" s="50"/>
      <c r="FW82" s="50"/>
      <c r="FX82" s="50"/>
      <c r="FY82" s="50"/>
      <c r="FZ82" s="50"/>
      <c r="GA82" s="50"/>
      <c r="GB82" s="50"/>
      <c r="GC82" s="50"/>
      <c r="GD82" s="50"/>
      <c r="GE82" s="50"/>
      <c r="GF82" s="50"/>
      <c r="GG82" s="50"/>
      <c r="GH82" s="50"/>
      <c r="GI82" s="50"/>
      <c r="GJ82" s="50"/>
      <c r="GK82" s="50"/>
    </row>
    <row r="83" ht="15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  <c r="CP83" s="50"/>
      <c r="CQ83" s="50"/>
      <c r="CR83" s="50"/>
      <c r="CS83" s="50"/>
      <c r="CT83" s="50"/>
      <c r="CU83" s="50"/>
      <c r="CV83" s="50"/>
      <c r="CW83" s="50"/>
      <c r="CX83" s="50"/>
      <c r="CY83" s="50"/>
      <c r="CZ83" s="50"/>
      <c r="DA83" s="50"/>
      <c r="DB83" s="50"/>
      <c r="DC83" s="50"/>
      <c r="DD83" s="50"/>
      <c r="DE83" s="50"/>
      <c r="DF83" s="50"/>
      <c r="DG83" s="50"/>
      <c r="DH83" s="50"/>
      <c r="DI83" s="50"/>
      <c r="DJ83" s="50"/>
      <c r="DK83" s="50"/>
      <c r="DL83" s="50"/>
      <c r="DM83" s="50"/>
      <c r="DN83" s="50"/>
      <c r="DO83" s="50"/>
      <c r="DP83" s="50"/>
      <c r="DQ83" s="50"/>
      <c r="DR83" s="50"/>
      <c r="DS83" s="50"/>
      <c r="DT83" s="50"/>
      <c r="DU83" s="50"/>
      <c r="DV83" s="50"/>
      <c r="DW83" s="50"/>
      <c r="DX83" s="50"/>
      <c r="DY83" s="50"/>
      <c r="DZ83" s="50"/>
      <c r="EA83" s="50"/>
      <c r="EB83" s="50"/>
      <c r="EC83" s="50"/>
      <c r="ED83" s="50"/>
      <c r="EE83" s="50"/>
      <c r="EF83" s="50"/>
      <c r="EG83" s="50"/>
      <c r="EH83" s="50"/>
      <c r="EI83" s="50"/>
      <c r="EJ83" s="50"/>
      <c r="EK83" s="50"/>
      <c r="EL83" s="50"/>
      <c r="EM83" s="50"/>
      <c r="EN83" s="50"/>
      <c r="EO83" s="50"/>
      <c r="EP83" s="50"/>
      <c r="EQ83" s="50"/>
      <c r="ER83" s="50"/>
      <c r="ES83" s="50"/>
      <c r="ET83" s="50"/>
      <c r="EU83" s="50"/>
      <c r="EV83" s="50"/>
      <c r="EW83" s="50"/>
      <c r="EX83" s="50"/>
      <c r="EY83" s="50"/>
      <c r="EZ83" s="50"/>
      <c r="FA83" s="50"/>
      <c r="FB83" s="50"/>
      <c r="FC83" s="50"/>
      <c r="FD83" s="50"/>
      <c r="FE83" s="50"/>
      <c r="FF83" s="50"/>
      <c r="FG83" s="50"/>
      <c r="FH83" s="50"/>
      <c r="FI83" s="50"/>
      <c r="FJ83" s="50"/>
      <c r="FK83" s="50"/>
      <c r="FL83" s="50"/>
      <c r="FM83" s="50"/>
      <c r="FN83" s="50"/>
      <c r="FO83" s="50"/>
      <c r="FP83" s="50"/>
      <c r="FQ83" s="50"/>
      <c r="FR83" s="50"/>
      <c r="FS83" s="50"/>
      <c r="FT83" s="50"/>
      <c r="FU83" s="50"/>
      <c r="FV83" s="50"/>
      <c r="FW83" s="50"/>
      <c r="FX83" s="50"/>
      <c r="FY83" s="50"/>
      <c r="FZ83" s="50"/>
      <c r="GA83" s="50"/>
      <c r="GB83" s="50"/>
      <c r="GC83" s="50"/>
      <c r="GD83" s="50"/>
      <c r="GE83" s="50"/>
      <c r="GF83" s="50"/>
      <c r="GG83" s="50"/>
      <c r="GH83" s="50"/>
      <c r="GI83" s="50"/>
      <c r="GJ83" s="50"/>
      <c r="GK83" s="50"/>
    </row>
    <row r="84" ht="15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  <c r="CP84" s="50"/>
      <c r="CQ84" s="50"/>
      <c r="CR84" s="50"/>
      <c r="CS84" s="50"/>
      <c r="CT84" s="50"/>
      <c r="CU84" s="50"/>
      <c r="CV84" s="50"/>
      <c r="CW84" s="50"/>
      <c r="CX84" s="50"/>
      <c r="CY84" s="50"/>
      <c r="CZ84" s="50"/>
      <c r="DA84" s="50"/>
      <c r="DB84" s="50"/>
      <c r="DC84" s="50"/>
      <c r="DD84" s="50"/>
      <c r="DE84" s="50"/>
      <c r="DF84" s="50"/>
      <c r="DG84" s="50"/>
      <c r="DH84" s="50"/>
      <c r="DI84" s="50"/>
      <c r="DJ84" s="50"/>
      <c r="DK84" s="50"/>
      <c r="DL84" s="50"/>
      <c r="DM84" s="50"/>
      <c r="DN84" s="50"/>
      <c r="DO84" s="50"/>
      <c r="DP84" s="50"/>
      <c r="DQ84" s="50"/>
      <c r="DR84" s="50"/>
      <c r="DS84" s="50"/>
      <c r="DT84" s="50"/>
      <c r="DU84" s="50"/>
      <c r="DV84" s="50"/>
      <c r="DW84" s="50"/>
      <c r="DX84" s="50"/>
      <c r="DY84" s="50"/>
      <c r="DZ84" s="50"/>
      <c r="EA84" s="50"/>
      <c r="EB84" s="50"/>
      <c r="EC84" s="50"/>
      <c r="ED84" s="50"/>
      <c r="EE84" s="50"/>
      <c r="EF84" s="50"/>
      <c r="EG84" s="50"/>
      <c r="EH84" s="50"/>
      <c r="EI84" s="50"/>
      <c r="EJ84" s="50"/>
      <c r="EK84" s="50"/>
      <c r="EL84" s="50"/>
      <c r="EM84" s="50"/>
      <c r="EN84" s="50"/>
      <c r="EO84" s="50"/>
      <c r="EP84" s="50"/>
      <c r="EQ84" s="50"/>
      <c r="ER84" s="50"/>
      <c r="ES84" s="50"/>
      <c r="ET84" s="50"/>
      <c r="EU84" s="50"/>
      <c r="EV84" s="50"/>
      <c r="EW84" s="50"/>
      <c r="EX84" s="50"/>
      <c r="EY84" s="50"/>
      <c r="EZ84" s="50"/>
      <c r="FA84" s="50"/>
      <c r="FB84" s="50"/>
      <c r="FC84" s="50"/>
      <c r="FD84" s="50"/>
      <c r="FE84" s="50"/>
      <c r="FF84" s="50"/>
      <c r="FG84" s="50"/>
      <c r="FH84" s="50"/>
      <c r="FI84" s="50"/>
      <c r="FJ84" s="50"/>
      <c r="FK84" s="50"/>
      <c r="FL84" s="50"/>
      <c r="FM84" s="50"/>
      <c r="FN84" s="50"/>
      <c r="FO84" s="50"/>
      <c r="FP84" s="50"/>
      <c r="FQ84" s="50"/>
      <c r="FR84" s="50"/>
      <c r="FS84" s="50"/>
      <c r="FT84" s="50"/>
      <c r="FU84" s="50"/>
      <c r="FV84" s="50"/>
      <c r="FW84" s="50"/>
      <c r="FX84" s="50"/>
      <c r="FY84" s="50"/>
      <c r="FZ84" s="50"/>
      <c r="GA84" s="50"/>
      <c r="GB84" s="50"/>
      <c r="GC84" s="50"/>
      <c r="GD84" s="50"/>
      <c r="GE84" s="50"/>
      <c r="GF84" s="50"/>
      <c r="GG84" s="50"/>
      <c r="GH84" s="50"/>
      <c r="GI84" s="50"/>
      <c r="GJ84" s="50"/>
      <c r="GK84" s="50"/>
    </row>
    <row r="85" ht="15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  <c r="CP85" s="50"/>
      <c r="CQ85" s="50"/>
      <c r="CR85" s="50"/>
      <c r="CS85" s="50"/>
      <c r="CT85" s="50"/>
      <c r="CU85" s="50"/>
      <c r="CV85" s="50"/>
      <c r="CW85" s="50"/>
      <c r="CX85" s="50"/>
      <c r="CY85" s="50"/>
      <c r="CZ85" s="50"/>
      <c r="DA85" s="50"/>
      <c r="DB85" s="50"/>
      <c r="DC85" s="50"/>
      <c r="DD85" s="50"/>
      <c r="DE85" s="50"/>
      <c r="DF85" s="50"/>
      <c r="DG85" s="50"/>
      <c r="DH85" s="50"/>
      <c r="DI85" s="50"/>
      <c r="DJ85" s="50"/>
      <c r="DK85" s="50"/>
      <c r="DL85" s="50"/>
      <c r="DM85" s="50"/>
      <c r="DN85" s="50"/>
      <c r="DO85" s="50"/>
      <c r="DP85" s="50"/>
      <c r="DQ85" s="50"/>
      <c r="DR85" s="50"/>
      <c r="DS85" s="50"/>
      <c r="DT85" s="50"/>
      <c r="DU85" s="50"/>
      <c r="DV85" s="50"/>
      <c r="DW85" s="50"/>
      <c r="DX85" s="50"/>
      <c r="DY85" s="50"/>
      <c r="DZ85" s="50"/>
      <c r="EA85" s="50"/>
      <c r="EB85" s="50"/>
      <c r="EC85" s="50"/>
      <c r="ED85" s="50"/>
      <c r="EE85" s="50"/>
      <c r="EF85" s="50"/>
      <c r="EG85" s="50"/>
      <c r="EH85" s="50"/>
      <c r="EI85" s="50"/>
      <c r="EJ85" s="50"/>
      <c r="EK85" s="50"/>
      <c r="EL85" s="50"/>
      <c r="EM85" s="50"/>
      <c r="EN85" s="50"/>
      <c r="EO85" s="50"/>
      <c r="EP85" s="50"/>
      <c r="EQ85" s="50"/>
      <c r="ER85" s="50"/>
      <c r="ES85" s="50"/>
      <c r="ET85" s="50"/>
      <c r="EU85" s="50"/>
      <c r="EV85" s="50"/>
      <c r="EW85" s="50"/>
      <c r="EX85" s="50"/>
      <c r="EY85" s="50"/>
      <c r="EZ85" s="50"/>
      <c r="FA85" s="50"/>
      <c r="FB85" s="50"/>
      <c r="FC85" s="50"/>
      <c r="FD85" s="50"/>
      <c r="FE85" s="50"/>
      <c r="FF85" s="50"/>
      <c r="FG85" s="50"/>
      <c r="FH85" s="50"/>
      <c r="FI85" s="50"/>
      <c r="FJ85" s="50"/>
      <c r="FK85" s="50"/>
      <c r="FL85" s="50"/>
      <c r="FM85" s="50"/>
      <c r="FN85" s="50"/>
      <c r="FO85" s="50"/>
      <c r="FP85" s="50"/>
      <c r="FQ85" s="50"/>
      <c r="FR85" s="50"/>
      <c r="FS85" s="50"/>
      <c r="FT85" s="50"/>
      <c r="FU85" s="50"/>
      <c r="FV85" s="50"/>
      <c r="FW85" s="50"/>
      <c r="FX85" s="50"/>
      <c r="FY85" s="50"/>
      <c r="FZ85" s="50"/>
      <c r="GA85" s="50"/>
      <c r="GB85" s="50"/>
      <c r="GC85" s="50"/>
      <c r="GD85" s="50"/>
      <c r="GE85" s="50"/>
      <c r="GF85" s="50"/>
      <c r="GG85" s="50"/>
      <c r="GH85" s="50"/>
      <c r="GI85" s="50"/>
      <c r="GJ85" s="50"/>
      <c r="GK85" s="50"/>
    </row>
    <row r="86" ht="15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  <c r="DA86" s="50"/>
      <c r="DB86" s="50"/>
      <c r="DC86" s="50"/>
      <c r="DD86" s="50"/>
      <c r="DE86" s="50"/>
      <c r="DF86" s="50"/>
      <c r="DG86" s="50"/>
      <c r="DH86" s="50"/>
      <c r="DI86" s="50"/>
      <c r="DJ86" s="50"/>
      <c r="DK86" s="50"/>
      <c r="DL86" s="50"/>
      <c r="DM86" s="50"/>
      <c r="DN86" s="50"/>
      <c r="DO86" s="50"/>
      <c r="DP86" s="50"/>
      <c r="DQ86" s="50"/>
      <c r="DR86" s="50"/>
      <c r="DS86" s="50"/>
      <c r="DT86" s="50"/>
      <c r="DU86" s="50"/>
      <c r="DV86" s="50"/>
      <c r="DW86" s="50"/>
      <c r="DX86" s="50"/>
      <c r="DY86" s="50"/>
      <c r="DZ86" s="50"/>
      <c r="EA86" s="50"/>
      <c r="EB86" s="50"/>
      <c r="EC86" s="50"/>
      <c r="ED86" s="50"/>
      <c r="EE86" s="50"/>
      <c r="EF86" s="50"/>
      <c r="EG86" s="50"/>
      <c r="EH86" s="50"/>
      <c r="EI86" s="50"/>
      <c r="EJ86" s="50"/>
      <c r="EK86" s="50"/>
      <c r="EL86" s="50"/>
      <c r="EM86" s="50"/>
      <c r="EN86" s="50"/>
      <c r="EO86" s="50"/>
      <c r="EP86" s="50"/>
      <c r="EQ86" s="50"/>
      <c r="ER86" s="50"/>
      <c r="ES86" s="50"/>
      <c r="ET86" s="50"/>
      <c r="EU86" s="50"/>
      <c r="EV86" s="50"/>
      <c r="EW86" s="50"/>
      <c r="EX86" s="50"/>
      <c r="EY86" s="50"/>
      <c r="EZ86" s="50"/>
      <c r="FA86" s="50"/>
      <c r="FB86" s="50"/>
      <c r="FC86" s="50"/>
      <c r="FD86" s="50"/>
      <c r="FE86" s="50"/>
      <c r="FF86" s="50"/>
      <c r="FG86" s="50"/>
      <c r="FH86" s="50"/>
      <c r="FI86" s="50"/>
      <c r="FJ86" s="50"/>
      <c r="FK86" s="50"/>
      <c r="FL86" s="50"/>
      <c r="FM86" s="50"/>
      <c r="FN86" s="50"/>
      <c r="FO86" s="50"/>
      <c r="FP86" s="50"/>
      <c r="FQ86" s="50"/>
      <c r="FR86" s="50"/>
      <c r="FS86" s="50"/>
      <c r="FT86" s="50"/>
      <c r="FU86" s="50"/>
      <c r="FV86" s="50"/>
      <c r="FW86" s="50"/>
      <c r="FX86" s="50"/>
      <c r="FY86" s="50"/>
      <c r="FZ86" s="50"/>
      <c r="GA86" s="50"/>
      <c r="GB86" s="50"/>
      <c r="GC86" s="50"/>
      <c r="GD86" s="50"/>
      <c r="GE86" s="50"/>
      <c r="GF86" s="50"/>
      <c r="GG86" s="50"/>
      <c r="GH86" s="50"/>
      <c r="GI86" s="50"/>
      <c r="GJ86" s="50"/>
      <c r="GK86" s="50"/>
    </row>
    <row r="87" ht="15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0"/>
      <c r="DD87" s="50"/>
      <c r="DE87" s="50"/>
      <c r="DF87" s="50"/>
      <c r="DG87" s="50"/>
      <c r="DH87" s="50"/>
      <c r="DI87" s="50"/>
      <c r="DJ87" s="50"/>
      <c r="DK87" s="50"/>
      <c r="DL87" s="50"/>
      <c r="DM87" s="50"/>
      <c r="DN87" s="50"/>
      <c r="DO87" s="50"/>
      <c r="DP87" s="50"/>
      <c r="DQ87" s="50"/>
      <c r="DR87" s="50"/>
      <c r="DS87" s="50"/>
      <c r="DT87" s="50"/>
      <c r="DU87" s="50"/>
      <c r="DV87" s="50"/>
      <c r="DW87" s="50"/>
      <c r="DX87" s="50"/>
      <c r="DY87" s="50"/>
      <c r="DZ87" s="50"/>
      <c r="EA87" s="50"/>
      <c r="EB87" s="50"/>
      <c r="EC87" s="50"/>
      <c r="ED87" s="50"/>
      <c r="EE87" s="50"/>
      <c r="EF87" s="50"/>
      <c r="EG87" s="50"/>
      <c r="EH87" s="50"/>
      <c r="EI87" s="50"/>
      <c r="EJ87" s="50"/>
      <c r="EK87" s="50"/>
      <c r="EL87" s="50"/>
      <c r="EM87" s="50"/>
      <c r="EN87" s="50"/>
      <c r="EO87" s="50"/>
      <c r="EP87" s="50"/>
      <c r="EQ87" s="50"/>
      <c r="ER87" s="50"/>
      <c r="ES87" s="50"/>
      <c r="ET87" s="50"/>
      <c r="EU87" s="50"/>
      <c r="EV87" s="50"/>
      <c r="EW87" s="50"/>
      <c r="EX87" s="50"/>
      <c r="EY87" s="50"/>
      <c r="EZ87" s="50"/>
      <c r="FA87" s="50"/>
      <c r="FB87" s="50"/>
      <c r="FC87" s="50"/>
      <c r="FD87" s="50"/>
      <c r="FE87" s="50"/>
      <c r="FF87" s="50"/>
      <c r="FG87" s="50"/>
      <c r="FH87" s="50"/>
      <c r="FI87" s="50"/>
      <c r="FJ87" s="50"/>
      <c r="FK87" s="50"/>
      <c r="FL87" s="50"/>
      <c r="FM87" s="50"/>
      <c r="FN87" s="50"/>
      <c r="FO87" s="50"/>
      <c r="FP87" s="50"/>
      <c r="FQ87" s="50"/>
      <c r="FR87" s="50"/>
      <c r="FS87" s="50"/>
      <c r="FT87" s="50"/>
      <c r="FU87" s="50"/>
      <c r="FV87" s="50"/>
      <c r="FW87" s="50"/>
      <c r="FX87" s="50"/>
      <c r="FY87" s="50"/>
      <c r="FZ87" s="50"/>
      <c r="GA87" s="50"/>
      <c r="GB87" s="50"/>
      <c r="GC87" s="50"/>
      <c r="GD87" s="50"/>
      <c r="GE87" s="50"/>
      <c r="GF87" s="50"/>
      <c r="GG87" s="50"/>
      <c r="GH87" s="50"/>
      <c r="GI87" s="50"/>
      <c r="GJ87" s="50"/>
      <c r="GK87" s="50"/>
    </row>
    <row r="88" ht="15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  <c r="DA88" s="50"/>
      <c r="DB88" s="50"/>
      <c r="DC88" s="50"/>
      <c r="DD88" s="50"/>
      <c r="DE88" s="50"/>
      <c r="DF88" s="50"/>
      <c r="DG88" s="50"/>
      <c r="DH88" s="50"/>
      <c r="DI88" s="50"/>
      <c r="DJ88" s="50"/>
      <c r="DK88" s="50"/>
      <c r="DL88" s="50"/>
      <c r="DM88" s="50"/>
      <c r="DN88" s="50"/>
      <c r="DO88" s="50"/>
      <c r="DP88" s="50"/>
      <c r="DQ88" s="50"/>
      <c r="DR88" s="50"/>
      <c r="DS88" s="50"/>
      <c r="DT88" s="50"/>
      <c r="DU88" s="50"/>
      <c r="DV88" s="50"/>
      <c r="DW88" s="50"/>
      <c r="DX88" s="50"/>
      <c r="DY88" s="50"/>
      <c r="DZ88" s="50"/>
      <c r="EA88" s="50"/>
      <c r="EB88" s="50"/>
      <c r="EC88" s="50"/>
      <c r="ED88" s="50"/>
      <c r="EE88" s="50"/>
      <c r="EF88" s="50"/>
      <c r="EG88" s="50"/>
      <c r="EH88" s="50"/>
      <c r="EI88" s="50"/>
      <c r="EJ88" s="50"/>
      <c r="EK88" s="50"/>
      <c r="EL88" s="50"/>
      <c r="EM88" s="50"/>
      <c r="EN88" s="50"/>
      <c r="EO88" s="50"/>
      <c r="EP88" s="50"/>
      <c r="EQ88" s="50"/>
      <c r="ER88" s="50"/>
      <c r="ES88" s="50"/>
      <c r="ET88" s="50"/>
      <c r="EU88" s="50"/>
      <c r="EV88" s="50"/>
      <c r="EW88" s="50"/>
      <c r="EX88" s="50"/>
      <c r="EY88" s="50"/>
      <c r="EZ88" s="50"/>
      <c r="FA88" s="50"/>
      <c r="FB88" s="50"/>
      <c r="FC88" s="50"/>
      <c r="FD88" s="50"/>
      <c r="FE88" s="50"/>
      <c r="FF88" s="50"/>
      <c r="FG88" s="50"/>
      <c r="FH88" s="50"/>
      <c r="FI88" s="50"/>
      <c r="FJ88" s="50"/>
      <c r="FK88" s="50"/>
      <c r="FL88" s="50"/>
      <c r="FM88" s="50"/>
      <c r="FN88" s="50"/>
      <c r="FO88" s="50"/>
      <c r="FP88" s="50"/>
      <c r="FQ88" s="50"/>
      <c r="FR88" s="50"/>
      <c r="FS88" s="50"/>
      <c r="FT88" s="50"/>
      <c r="FU88" s="50"/>
      <c r="FV88" s="50"/>
      <c r="FW88" s="50"/>
      <c r="FX88" s="50"/>
      <c r="FY88" s="50"/>
      <c r="FZ88" s="50"/>
      <c r="GA88" s="50"/>
      <c r="GB88" s="50"/>
      <c r="GC88" s="50"/>
      <c r="GD88" s="50"/>
      <c r="GE88" s="50"/>
      <c r="GF88" s="50"/>
      <c r="GG88" s="50"/>
      <c r="GH88" s="50"/>
      <c r="GI88" s="50"/>
      <c r="GJ88" s="50"/>
      <c r="GK88" s="50"/>
    </row>
    <row r="89" ht="15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  <c r="DA89" s="50"/>
      <c r="DB89" s="50"/>
      <c r="DC89" s="50"/>
      <c r="DD89" s="50"/>
      <c r="DE89" s="50"/>
      <c r="DF89" s="50"/>
      <c r="DG89" s="50"/>
      <c r="DH89" s="50"/>
      <c r="DI89" s="50"/>
      <c r="DJ89" s="50"/>
      <c r="DK89" s="50"/>
      <c r="DL89" s="50"/>
      <c r="DM89" s="50"/>
      <c r="DN89" s="50"/>
      <c r="DO89" s="50"/>
      <c r="DP89" s="50"/>
      <c r="DQ89" s="50"/>
      <c r="DR89" s="50"/>
      <c r="DS89" s="50"/>
      <c r="DT89" s="50"/>
      <c r="DU89" s="50"/>
      <c r="DV89" s="50"/>
      <c r="DW89" s="50"/>
      <c r="DX89" s="50"/>
      <c r="DY89" s="50"/>
      <c r="DZ89" s="50"/>
      <c r="EA89" s="50"/>
      <c r="EB89" s="50"/>
      <c r="EC89" s="50"/>
      <c r="ED89" s="50"/>
      <c r="EE89" s="50"/>
      <c r="EF89" s="50"/>
      <c r="EG89" s="50"/>
      <c r="EH89" s="50"/>
      <c r="EI89" s="50"/>
      <c r="EJ89" s="50"/>
      <c r="EK89" s="50"/>
      <c r="EL89" s="50"/>
      <c r="EM89" s="50"/>
      <c r="EN89" s="50"/>
      <c r="EO89" s="50"/>
      <c r="EP89" s="50"/>
      <c r="EQ89" s="50"/>
      <c r="ER89" s="50"/>
      <c r="ES89" s="50"/>
      <c r="ET89" s="50"/>
      <c r="EU89" s="50"/>
      <c r="EV89" s="50"/>
      <c r="EW89" s="50"/>
      <c r="EX89" s="50"/>
      <c r="EY89" s="50"/>
      <c r="EZ89" s="50"/>
      <c r="FA89" s="50"/>
      <c r="FB89" s="50"/>
      <c r="FC89" s="50"/>
      <c r="FD89" s="50"/>
      <c r="FE89" s="50"/>
      <c r="FF89" s="50"/>
      <c r="FG89" s="50"/>
      <c r="FH89" s="50"/>
      <c r="FI89" s="50"/>
      <c r="FJ89" s="50"/>
      <c r="FK89" s="50"/>
      <c r="FL89" s="50"/>
      <c r="FM89" s="50"/>
      <c r="FN89" s="50"/>
      <c r="FO89" s="50"/>
      <c r="FP89" s="50"/>
      <c r="FQ89" s="50"/>
      <c r="FR89" s="50"/>
      <c r="FS89" s="50"/>
      <c r="FT89" s="50"/>
      <c r="FU89" s="50"/>
      <c r="FV89" s="50"/>
      <c r="FW89" s="50"/>
      <c r="FX89" s="50"/>
      <c r="FY89" s="50"/>
      <c r="FZ89" s="50"/>
      <c r="GA89" s="50"/>
      <c r="GB89" s="50"/>
      <c r="GC89" s="50"/>
      <c r="GD89" s="50"/>
      <c r="GE89" s="50"/>
      <c r="GF89" s="50"/>
      <c r="GG89" s="50"/>
      <c r="GH89" s="50"/>
      <c r="GI89" s="50"/>
      <c r="GJ89" s="50"/>
      <c r="GK89" s="50"/>
    </row>
    <row r="90" ht="15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  <c r="DB90" s="50"/>
      <c r="DC90" s="50"/>
      <c r="DD90" s="50"/>
      <c r="DE90" s="50"/>
      <c r="DF90" s="50"/>
      <c r="DG90" s="50"/>
      <c r="DH90" s="50"/>
      <c r="DI90" s="50"/>
      <c r="DJ90" s="50"/>
      <c r="DK90" s="50"/>
      <c r="DL90" s="50"/>
      <c r="DM90" s="50"/>
      <c r="DN90" s="50"/>
      <c r="DO90" s="50"/>
      <c r="DP90" s="50"/>
      <c r="DQ90" s="50"/>
      <c r="DR90" s="50"/>
      <c r="DS90" s="50"/>
      <c r="DT90" s="50"/>
      <c r="DU90" s="50"/>
      <c r="DV90" s="50"/>
      <c r="DW90" s="50"/>
      <c r="DX90" s="50"/>
      <c r="DY90" s="50"/>
      <c r="DZ90" s="50"/>
      <c r="EA90" s="50"/>
      <c r="EB90" s="50"/>
      <c r="EC90" s="50"/>
      <c r="ED90" s="50"/>
      <c r="EE90" s="50"/>
      <c r="EF90" s="50"/>
      <c r="EG90" s="50"/>
      <c r="EH90" s="50"/>
      <c r="EI90" s="50"/>
      <c r="EJ90" s="50"/>
      <c r="EK90" s="50"/>
      <c r="EL90" s="50"/>
      <c r="EM90" s="50"/>
      <c r="EN90" s="50"/>
      <c r="EO90" s="50"/>
      <c r="EP90" s="50"/>
      <c r="EQ90" s="50"/>
      <c r="ER90" s="50"/>
      <c r="ES90" s="50"/>
      <c r="ET90" s="50"/>
      <c r="EU90" s="50"/>
      <c r="EV90" s="50"/>
      <c r="EW90" s="50"/>
      <c r="EX90" s="50"/>
      <c r="EY90" s="50"/>
      <c r="EZ90" s="50"/>
      <c r="FA90" s="50"/>
      <c r="FB90" s="50"/>
      <c r="FC90" s="50"/>
      <c r="FD90" s="50"/>
      <c r="FE90" s="50"/>
      <c r="FF90" s="50"/>
      <c r="FG90" s="50"/>
      <c r="FH90" s="50"/>
      <c r="FI90" s="50"/>
      <c r="FJ90" s="50"/>
      <c r="FK90" s="50"/>
      <c r="FL90" s="50"/>
      <c r="FM90" s="50"/>
      <c r="FN90" s="50"/>
      <c r="FO90" s="50"/>
      <c r="FP90" s="50"/>
      <c r="FQ90" s="50"/>
      <c r="FR90" s="50"/>
      <c r="FS90" s="50"/>
      <c r="FT90" s="50"/>
      <c r="FU90" s="50"/>
      <c r="FV90" s="50"/>
      <c r="FW90" s="50"/>
      <c r="FX90" s="50"/>
      <c r="FY90" s="50"/>
      <c r="FZ90" s="50"/>
      <c r="GA90" s="50"/>
      <c r="GB90" s="50"/>
      <c r="GC90" s="50"/>
      <c r="GD90" s="50"/>
      <c r="GE90" s="50"/>
      <c r="GF90" s="50"/>
      <c r="GG90" s="50"/>
      <c r="GH90" s="50"/>
      <c r="GI90" s="50"/>
      <c r="GJ90" s="50"/>
      <c r="GK90" s="50"/>
    </row>
    <row r="91" ht="15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0"/>
      <c r="CS91" s="50"/>
      <c r="CT91" s="50"/>
      <c r="CU91" s="50"/>
      <c r="CV91" s="50"/>
      <c r="CW91" s="50"/>
      <c r="CX91" s="50"/>
      <c r="CY91" s="50"/>
      <c r="CZ91" s="50"/>
      <c r="DA91" s="50"/>
      <c r="DB91" s="50"/>
      <c r="DC91" s="50"/>
      <c r="DD91" s="50"/>
      <c r="DE91" s="50"/>
      <c r="DF91" s="50"/>
      <c r="DG91" s="50"/>
      <c r="DH91" s="50"/>
      <c r="DI91" s="50"/>
      <c r="DJ91" s="50"/>
      <c r="DK91" s="50"/>
      <c r="DL91" s="50"/>
      <c r="DM91" s="50"/>
      <c r="DN91" s="50"/>
      <c r="DO91" s="50"/>
      <c r="DP91" s="50"/>
      <c r="DQ91" s="50"/>
      <c r="DR91" s="50"/>
      <c r="DS91" s="50"/>
      <c r="DT91" s="50"/>
      <c r="DU91" s="50"/>
      <c r="DV91" s="50"/>
      <c r="DW91" s="50"/>
      <c r="DX91" s="50"/>
      <c r="DY91" s="50"/>
      <c r="DZ91" s="50"/>
      <c r="EA91" s="50"/>
      <c r="EB91" s="50"/>
      <c r="EC91" s="50"/>
      <c r="ED91" s="50"/>
      <c r="EE91" s="50"/>
      <c r="EF91" s="50"/>
      <c r="EG91" s="50"/>
      <c r="EH91" s="50"/>
      <c r="EI91" s="50"/>
      <c r="EJ91" s="50"/>
      <c r="EK91" s="50"/>
      <c r="EL91" s="50"/>
      <c r="EM91" s="50"/>
      <c r="EN91" s="50"/>
      <c r="EO91" s="50"/>
      <c r="EP91" s="50"/>
      <c r="EQ91" s="50"/>
      <c r="ER91" s="50"/>
      <c r="ES91" s="50"/>
      <c r="ET91" s="50"/>
      <c r="EU91" s="50"/>
      <c r="EV91" s="50"/>
      <c r="EW91" s="50"/>
      <c r="EX91" s="50"/>
      <c r="EY91" s="50"/>
      <c r="EZ91" s="50"/>
      <c r="FA91" s="50"/>
      <c r="FB91" s="50"/>
      <c r="FC91" s="50"/>
      <c r="FD91" s="50"/>
      <c r="FE91" s="50"/>
      <c r="FF91" s="50"/>
      <c r="FG91" s="50"/>
      <c r="FH91" s="50"/>
      <c r="FI91" s="50"/>
      <c r="FJ91" s="50"/>
      <c r="FK91" s="50"/>
      <c r="FL91" s="50"/>
      <c r="FM91" s="50"/>
      <c r="FN91" s="50"/>
      <c r="FO91" s="50"/>
      <c r="FP91" s="50"/>
      <c r="FQ91" s="50"/>
      <c r="FR91" s="50"/>
      <c r="FS91" s="50"/>
      <c r="FT91" s="50"/>
      <c r="FU91" s="50"/>
      <c r="FV91" s="50"/>
      <c r="FW91" s="50"/>
      <c r="FX91" s="50"/>
      <c r="FY91" s="50"/>
      <c r="FZ91" s="50"/>
      <c r="GA91" s="50"/>
      <c r="GB91" s="50"/>
      <c r="GC91" s="50"/>
      <c r="GD91" s="50"/>
      <c r="GE91" s="50"/>
      <c r="GF91" s="50"/>
      <c r="GG91" s="50"/>
      <c r="GH91" s="50"/>
      <c r="GI91" s="50"/>
      <c r="GJ91" s="50"/>
      <c r="GK91" s="50"/>
    </row>
    <row r="92" ht="15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  <c r="CP92" s="50"/>
      <c r="CQ92" s="50"/>
      <c r="CR92" s="50"/>
      <c r="CS92" s="50"/>
      <c r="CT92" s="50"/>
      <c r="CU92" s="50"/>
      <c r="CV92" s="50"/>
      <c r="CW92" s="50"/>
      <c r="CX92" s="50"/>
      <c r="CY92" s="50"/>
      <c r="CZ92" s="50"/>
      <c r="DA92" s="50"/>
      <c r="DB92" s="50"/>
      <c r="DC92" s="50"/>
      <c r="DD92" s="50"/>
      <c r="DE92" s="50"/>
      <c r="DF92" s="50"/>
      <c r="DG92" s="50"/>
      <c r="DH92" s="50"/>
      <c r="DI92" s="50"/>
      <c r="DJ92" s="50"/>
      <c r="DK92" s="50"/>
      <c r="DL92" s="50"/>
      <c r="DM92" s="50"/>
      <c r="DN92" s="50"/>
      <c r="DO92" s="50"/>
      <c r="DP92" s="50"/>
      <c r="DQ92" s="50"/>
      <c r="DR92" s="50"/>
      <c r="DS92" s="50"/>
      <c r="DT92" s="50"/>
      <c r="DU92" s="50"/>
      <c r="DV92" s="50"/>
      <c r="DW92" s="50"/>
      <c r="DX92" s="50"/>
      <c r="DY92" s="50"/>
      <c r="DZ92" s="50"/>
      <c r="EA92" s="50"/>
      <c r="EB92" s="50"/>
      <c r="EC92" s="50"/>
      <c r="ED92" s="50"/>
      <c r="EE92" s="50"/>
      <c r="EF92" s="50"/>
      <c r="EG92" s="50"/>
      <c r="EH92" s="50"/>
      <c r="EI92" s="50"/>
      <c r="EJ92" s="50"/>
      <c r="EK92" s="50"/>
      <c r="EL92" s="50"/>
      <c r="EM92" s="50"/>
      <c r="EN92" s="50"/>
      <c r="EO92" s="50"/>
      <c r="EP92" s="50"/>
      <c r="EQ92" s="50"/>
      <c r="ER92" s="50"/>
      <c r="ES92" s="50"/>
      <c r="ET92" s="50"/>
      <c r="EU92" s="50"/>
      <c r="EV92" s="50"/>
      <c r="EW92" s="50"/>
      <c r="EX92" s="50"/>
      <c r="EY92" s="50"/>
      <c r="EZ92" s="50"/>
      <c r="FA92" s="50"/>
      <c r="FB92" s="50"/>
      <c r="FC92" s="50"/>
      <c r="FD92" s="50"/>
      <c r="FE92" s="50"/>
      <c r="FF92" s="50"/>
      <c r="FG92" s="50"/>
      <c r="FH92" s="50"/>
      <c r="FI92" s="50"/>
      <c r="FJ92" s="50"/>
      <c r="FK92" s="50"/>
      <c r="FL92" s="50"/>
      <c r="FM92" s="50"/>
      <c r="FN92" s="50"/>
      <c r="FO92" s="50"/>
      <c r="FP92" s="50"/>
      <c r="FQ92" s="50"/>
      <c r="FR92" s="50"/>
      <c r="FS92" s="50"/>
      <c r="FT92" s="50"/>
      <c r="FU92" s="50"/>
      <c r="FV92" s="50"/>
      <c r="FW92" s="50"/>
      <c r="FX92" s="50"/>
      <c r="FY92" s="50"/>
      <c r="FZ92" s="50"/>
      <c r="GA92" s="50"/>
      <c r="GB92" s="50"/>
      <c r="GC92" s="50"/>
      <c r="GD92" s="50"/>
      <c r="GE92" s="50"/>
      <c r="GF92" s="50"/>
      <c r="GG92" s="50"/>
      <c r="GH92" s="50"/>
      <c r="GI92" s="50"/>
      <c r="GJ92" s="50"/>
      <c r="GK92" s="50"/>
    </row>
    <row r="93" ht="15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50"/>
      <c r="CY93" s="50"/>
      <c r="CZ93" s="50"/>
      <c r="DA93" s="50"/>
      <c r="DB93" s="50"/>
      <c r="DC93" s="50"/>
      <c r="DD93" s="50"/>
      <c r="DE93" s="50"/>
      <c r="DF93" s="50"/>
      <c r="DG93" s="50"/>
      <c r="DH93" s="50"/>
      <c r="DI93" s="50"/>
      <c r="DJ93" s="50"/>
      <c r="DK93" s="50"/>
      <c r="DL93" s="50"/>
      <c r="DM93" s="50"/>
      <c r="DN93" s="50"/>
      <c r="DO93" s="50"/>
      <c r="DP93" s="50"/>
      <c r="DQ93" s="50"/>
      <c r="DR93" s="50"/>
      <c r="DS93" s="50"/>
      <c r="DT93" s="50"/>
      <c r="DU93" s="50"/>
      <c r="DV93" s="50"/>
      <c r="DW93" s="50"/>
      <c r="DX93" s="50"/>
      <c r="DY93" s="50"/>
      <c r="DZ93" s="50"/>
      <c r="EA93" s="50"/>
      <c r="EB93" s="50"/>
      <c r="EC93" s="50"/>
      <c r="ED93" s="50"/>
      <c r="EE93" s="50"/>
      <c r="EF93" s="50"/>
      <c r="EG93" s="50"/>
      <c r="EH93" s="50"/>
      <c r="EI93" s="50"/>
      <c r="EJ93" s="50"/>
      <c r="EK93" s="50"/>
      <c r="EL93" s="50"/>
      <c r="EM93" s="50"/>
      <c r="EN93" s="50"/>
      <c r="EO93" s="50"/>
      <c r="EP93" s="50"/>
      <c r="EQ93" s="50"/>
      <c r="ER93" s="50"/>
      <c r="ES93" s="50"/>
      <c r="ET93" s="50"/>
      <c r="EU93" s="50"/>
      <c r="EV93" s="50"/>
      <c r="EW93" s="50"/>
      <c r="EX93" s="50"/>
      <c r="EY93" s="50"/>
      <c r="EZ93" s="50"/>
      <c r="FA93" s="50"/>
      <c r="FB93" s="50"/>
      <c r="FC93" s="50"/>
      <c r="FD93" s="50"/>
      <c r="FE93" s="50"/>
      <c r="FF93" s="50"/>
      <c r="FG93" s="50"/>
      <c r="FH93" s="50"/>
      <c r="FI93" s="50"/>
      <c r="FJ93" s="50"/>
      <c r="FK93" s="50"/>
      <c r="FL93" s="50"/>
      <c r="FM93" s="50"/>
      <c r="FN93" s="50"/>
      <c r="FO93" s="50"/>
      <c r="FP93" s="50"/>
      <c r="FQ93" s="50"/>
      <c r="FR93" s="50"/>
      <c r="FS93" s="50"/>
      <c r="FT93" s="50"/>
      <c r="FU93" s="50"/>
      <c r="FV93" s="50"/>
      <c r="FW93" s="50"/>
      <c r="FX93" s="50"/>
      <c r="FY93" s="50"/>
      <c r="FZ93" s="50"/>
      <c r="GA93" s="50"/>
      <c r="GB93" s="50"/>
      <c r="GC93" s="50"/>
      <c r="GD93" s="50"/>
      <c r="GE93" s="50"/>
      <c r="GF93" s="50"/>
      <c r="GG93" s="50"/>
      <c r="GH93" s="50"/>
      <c r="GI93" s="50"/>
      <c r="GJ93" s="50"/>
      <c r="GK93" s="50"/>
    </row>
    <row r="94" ht="15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  <c r="DA94" s="50"/>
      <c r="DB94" s="50"/>
      <c r="DC94" s="50"/>
      <c r="DD94" s="50"/>
      <c r="DE94" s="50"/>
      <c r="DF94" s="50"/>
      <c r="DG94" s="50"/>
      <c r="DH94" s="50"/>
      <c r="DI94" s="50"/>
      <c r="DJ94" s="50"/>
      <c r="DK94" s="50"/>
      <c r="DL94" s="50"/>
      <c r="DM94" s="50"/>
      <c r="DN94" s="50"/>
      <c r="DO94" s="50"/>
      <c r="DP94" s="50"/>
      <c r="DQ94" s="50"/>
      <c r="DR94" s="50"/>
      <c r="DS94" s="50"/>
      <c r="DT94" s="50"/>
      <c r="DU94" s="50"/>
      <c r="DV94" s="50"/>
      <c r="DW94" s="50"/>
      <c r="DX94" s="50"/>
      <c r="DY94" s="50"/>
      <c r="DZ94" s="50"/>
      <c r="EA94" s="50"/>
      <c r="EB94" s="50"/>
      <c r="EC94" s="50"/>
      <c r="ED94" s="50"/>
      <c r="EE94" s="50"/>
      <c r="EF94" s="50"/>
      <c r="EG94" s="50"/>
      <c r="EH94" s="50"/>
      <c r="EI94" s="50"/>
      <c r="EJ94" s="50"/>
      <c r="EK94" s="50"/>
      <c r="EL94" s="50"/>
      <c r="EM94" s="50"/>
      <c r="EN94" s="50"/>
      <c r="EO94" s="50"/>
      <c r="EP94" s="50"/>
      <c r="EQ94" s="50"/>
      <c r="ER94" s="50"/>
      <c r="ES94" s="50"/>
      <c r="ET94" s="50"/>
      <c r="EU94" s="50"/>
      <c r="EV94" s="50"/>
      <c r="EW94" s="50"/>
      <c r="EX94" s="50"/>
      <c r="EY94" s="50"/>
      <c r="EZ94" s="50"/>
      <c r="FA94" s="50"/>
      <c r="FB94" s="50"/>
      <c r="FC94" s="50"/>
      <c r="FD94" s="50"/>
      <c r="FE94" s="50"/>
      <c r="FF94" s="50"/>
      <c r="FG94" s="50"/>
      <c r="FH94" s="50"/>
      <c r="FI94" s="50"/>
      <c r="FJ94" s="50"/>
      <c r="FK94" s="50"/>
      <c r="FL94" s="50"/>
      <c r="FM94" s="50"/>
      <c r="FN94" s="50"/>
      <c r="FO94" s="50"/>
      <c r="FP94" s="50"/>
      <c r="FQ94" s="50"/>
      <c r="FR94" s="50"/>
      <c r="FS94" s="50"/>
      <c r="FT94" s="50"/>
      <c r="FU94" s="50"/>
      <c r="FV94" s="50"/>
      <c r="FW94" s="50"/>
      <c r="FX94" s="50"/>
      <c r="FY94" s="50"/>
      <c r="FZ94" s="50"/>
      <c r="GA94" s="50"/>
      <c r="GB94" s="50"/>
      <c r="GC94" s="50"/>
      <c r="GD94" s="50"/>
      <c r="GE94" s="50"/>
      <c r="GF94" s="50"/>
      <c r="GG94" s="50"/>
      <c r="GH94" s="50"/>
      <c r="GI94" s="50"/>
      <c r="GJ94" s="50"/>
      <c r="GK94" s="50"/>
    </row>
    <row r="95" ht="15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  <c r="DA95" s="50"/>
      <c r="DB95" s="50"/>
      <c r="DC95" s="50"/>
      <c r="DD95" s="50"/>
      <c r="DE95" s="50"/>
      <c r="DF95" s="50"/>
      <c r="DG95" s="50"/>
      <c r="DH95" s="50"/>
      <c r="DI95" s="50"/>
      <c r="DJ95" s="50"/>
      <c r="DK95" s="50"/>
      <c r="DL95" s="50"/>
      <c r="DM95" s="50"/>
      <c r="DN95" s="50"/>
      <c r="DO95" s="50"/>
      <c r="DP95" s="50"/>
      <c r="DQ95" s="50"/>
      <c r="DR95" s="50"/>
      <c r="DS95" s="50"/>
      <c r="DT95" s="50"/>
      <c r="DU95" s="50"/>
      <c r="DV95" s="50"/>
      <c r="DW95" s="50"/>
      <c r="DX95" s="50"/>
      <c r="DY95" s="50"/>
      <c r="DZ95" s="50"/>
      <c r="EA95" s="50"/>
      <c r="EB95" s="50"/>
      <c r="EC95" s="50"/>
      <c r="ED95" s="50"/>
      <c r="EE95" s="50"/>
      <c r="EF95" s="50"/>
      <c r="EG95" s="50"/>
      <c r="EH95" s="50"/>
      <c r="EI95" s="50"/>
      <c r="EJ95" s="50"/>
      <c r="EK95" s="50"/>
      <c r="EL95" s="50"/>
      <c r="EM95" s="50"/>
      <c r="EN95" s="50"/>
      <c r="EO95" s="50"/>
      <c r="EP95" s="50"/>
      <c r="EQ95" s="50"/>
      <c r="ER95" s="50"/>
      <c r="ES95" s="50"/>
      <c r="ET95" s="50"/>
      <c r="EU95" s="50"/>
      <c r="EV95" s="50"/>
      <c r="EW95" s="50"/>
      <c r="EX95" s="50"/>
      <c r="EY95" s="50"/>
      <c r="EZ95" s="50"/>
      <c r="FA95" s="50"/>
      <c r="FB95" s="50"/>
      <c r="FC95" s="50"/>
      <c r="FD95" s="50"/>
      <c r="FE95" s="50"/>
      <c r="FF95" s="50"/>
      <c r="FG95" s="50"/>
      <c r="FH95" s="50"/>
      <c r="FI95" s="50"/>
      <c r="FJ95" s="50"/>
      <c r="FK95" s="50"/>
      <c r="FL95" s="50"/>
      <c r="FM95" s="50"/>
      <c r="FN95" s="50"/>
      <c r="FO95" s="50"/>
      <c r="FP95" s="50"/>
      <c r="FQ95" s="50"/>
      <c r="FR95" s="50"/>
      <c r="FS95" s="50"/>
      <c r="FT95" s="50"/>
      <c r="FU95" s="50"/>
      <c r="FV95" s="50"/>
      <c r="FW95" s="50"/>
      <c r="FX95" s="50"/>
      <c r="FY95" s="50"/>
      <c r="FZ95" s="50"/>
      <c r="GA95" s="50"/>
      <c r="GB95" s="50"/>
      <c r="GC95" s="50"/>
      <c r="GD95" s="50"/>
      <c r="GE95" s="50"/>
      <c r="GF95" s="50"/>
      <c r="GG95" s="50"/>
      <c r="GH95" s="50"/>
      <c r="GI95" s="50"/>
      <c r="GJ95" s="50"/>
      <c r="GK95" s="50"/>
    </row>
    <row r="96" ht="15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  <c r="CP96" s="50"/>
      <c r="CQ96" s="50"/>
      <c r="CR96" s="50"/>
      <c r="CS96" s="50"/>
      <c r="CT96" s="50"/>
      <c r="CU96" s="50"/>
      <c r="CV96" s="50"/>
      <c r="CW96" s="50"/>
      <c r="CX96" s="50"/>
      <c r="CY96" s="50"/>
      <c r="CZ96" s="50"/>
      <c r="DA96" s="50"/>
      <c r="DB96" s="50"/>
      <c r="DC96" s="50"/>
      <c r="DD96" s="50"/>
      <c r="DE96" s="50"/>
      <c r="DF96" s="50"/>
      <c r="DG96" s="50"/>
      <c r="DH96" s="50"/>
      <c r="DI96" s="50"/>
      <c r="DJ96" s="50"/>
      <c r="DK96" s="50"/>
      <c r="DL96" s="50"/>
      <c r="DM96" s="50"/>
      <c r="DN96" s="50"/>
      <c r="DO96" s="50"/>
      <c r="DP96" s="50"/>
      <c r="DQ96" s="50"/>
      <c r="DR96" s="50"/>
      <c r="DS96" s="50"/>
      <c r="DT96" s="50"/>
      <c r="DU96" s="50"/>
      <c r="DV96" s="50"/>
      <c r="DW96" s="50"/>
      <c r="DX96" s="50"/>
      <c r="DY96" s="50"/>
      <c r="DZ96" s="50"/>
      <c r="EA96" s="50"/>
      <c r="EB96" s="50"/>
      <c r="EC96" s="50"/>
      <c r="ED96" s="50"/>
      <c r="EE96" s="50"/>
      <c r="EF96" s="50"/>
      <c r="EG96" s="50"/>
      <c r="EH96" s="50"/>
      <c r="EI96" s="50"/>
      <c r="EJ96" s="50"/>
      <c r="EK96" s="50"/>
      <c r="EL96" s="50"/>
      <c r="EM96" s="50"/>
      <c r="EN96" s="50"/>
      <c r="EO96" s="50"/>
      <c r="EP96" s="50"/>
      <c r="EQ96" s="50"/>
      <c r="ER96" s="50"/>
      <c r="ES96" s="50"/>
      <c r="ET96" s="50"/>
      <c r="EU96" s="50"/>
      <c r="EV96" s="50"/>
      <c r="EW96" s="50"/>
      <c r="EX96" s="50"/>
      <c r="EY96" s="50"/>
      <c r="EZ96" s="50"/>
      <c r="FA96" s="50"/>
      <c r="FB96" s="50"/>
      <c r="FC96" s="50"/>
      <c r="FD96" s="50"/>
      <c r="FE96" s="50"/>
      <c r="FF96" s="50"/>
      <c r="FG96" s="50"/>
      <c r="FH96" s="50"/>
      <c r="FI96" s="50"/>
      <c r="FJ96" s="50"/>
      <c r="FK96" s="50"/>
      <c r="FL96" s="50"/>
      <c r="FM96" s="50"/>
      <c r="FN96" s="50"/>
      <c r="FO96" s="50"/>
      <c r="FP96" s="50"/>
      <c r="FQ96" s="50"/>
      <c r="FR96" s="50"/>
      <c r="FS96" s="50"/>
      <c r="FT96" s="50"/>
      <c r="FU96" s="50"/>
      <c r="FV96" s="50"/>
      <c r="FW96" s="50"/>
      <c r="FX96" s="50"/>
      <c r="FY96" s="50"/>
      <c r="FZ96" s="50"/>
      <c r="GA96" s="50"/>
      <c r="GB96" s="50"/>
      <c r="GC96" s="50"/>
      <c r="GD96" s="50"/>
      <c r="GE96" s="50"/>
      <c r="GF96" s="50"/>
      <c r="GG96" s="50"/>
      <c r="GH96" s="50"/>
      <c r="GI96" s="50"/>
      <c r="GJ96" s="50"/>
      <c r="GK96" s="50"/>
    </row>
    <row r="97" ht="15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50"/>
      <c r="DB97" s="50"/>
      <c r="DC97" s="50"/>
      <c r="DD97" s="50"/>
      <c r="DE97" s="50"/>
      <c r="DF97" s="50"/>
      <c r="DG97" s="50"/>
      <c r="DH97" s="50"/>
      <c r="DI97" s="50"/>
      <c r="DJ97" s="50"/>
      <c r="DK97" s="50"/>
      <c r="DL97" s="50"/>
      <c r="DM97" s="50"/>
      <c r="DN97" s="50"/>
      <c r="DO97" s="50"/>
      <c r="DP97" s="50"/>
      <c r="DQ97" s="50"/>
      <c r="DR97" s="50"/>
      <c r="DS97" s="50"/>
      <c r="DT97" s="50"/>
      <c r="DU97" s="50"/>
      <c r="DV97" s="50"/>
      <c r="DW97" s="50"/>
      <c r="DX97" s="50"/>
      <c r="DY97" s="50"/>
      <c r="DZ97" s="50"/>
      <c r="EA97" s="50"/>
      <c r="EB97" s="50"/>
      <c r="EC97" s="50"/>
      <c r="ED97" s="50"/>
      <c r="EE97" s="50"/>
      <c r="EF97" s="50"/>
      <c r="EG97" s="50"/>
      <c r="EH97" s="50"/>
      <c r="EI97" s="50"/>
      <c r="EJ97" s="50"/>
      <c r="EK97" s="50"/>
      <c r="EL97" s="50"/>
      <c r="EM97" s="50"/>
      <c r="EN97" s="50"/>
      <c r="EO97" s="50"/>
      <c r="EP97" s="50"/>
      <c r="EQ97" s="50"/>
      <c r="ER97" s="50"/>
      <c r="ES97" s="50"/>
      <c r="ET97" s="50"/>
      <c r="EU97" s="50"/>
      <c r="EV97" s="50"/>
      <c r="EW97" s="50"/>
      <c r="EX97" s="50"/>
      <c r="EY97" s="50"/>
      <c r="EZ97" s="50"/>
      <c r="FA97" s="50"/>
      <c r="FB97" s="50"/>
      <c r="FC97" s="50"/>
      <c r="FD97" s="50"/>
      <c r="FE97" s="50"/>
      <c r="FF97" s="50"/>
      <c r="FG97" s="50"/>
      <c r="FH97" s="50"/>
      <c r="FI97" s="50"/>
      <c r="FJ97" s="50"/>
      <c r="FK97" s="50"/>
      <c r="FL97" s="50"/>
      <c r="FM97" s="50"/>
      <c r="FN97" s="50"/>
      <c r="FO97" s="50"/>
      <c r="FP97" s="50"/>
      <c r="FQ97" s="50"/>
      <c r="FR97" s="50"/>
      <c r="FS97" s="50"/>
      <c r="FT97" s="50"/>
      <c r="FU97" s="50"/>
      <c r="FV97" s="50"/>
      <c r="FW97" s="50"/>
      <c r="FX97" s="50"/>
      <c r="FY97" s="50"/>
      <c r="FZ97" s="50"/>
      <c r="GA97" s="50"/>
      <c r="GB97" s="50"/>
      <c r="GC97" s="50"/>
      <c r="GD97" s="50"/>
      <c r="GE97" s="50"/>
      <c r="GF97" s="50"/>
      <c r="GG97" s="50"/>
      <c r="GH97" s="50"/>
      <c r="GI97" s="50"/>
      <c r="GJ97" s="50"/>
      <c r="GK97" s="50"/>
    </row>
    <row r="98" ht="15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50"/>
      <c r="DB98" s="50"/>
      <c r="DC98" s="50"/>
      <c r="DD98" s="50"/>
      <c r="DE98" s="50"/>
      <c r="DF98" s="50"/>
      <c r="DG98" s="50"/>
      <c r="DH98" s="50"/>
      <c r="DI98" s="50"/>
      <c r="DJ98" s="50"/>
      <c r="DK98" s="50"/>
      <c r="DL98" s="50"/>
      <c r="DM98" s="50"/>
      <c r="DN98" s="50"/>
      <c r="DO98" s="50"/>
      <c r="DP98" s="50"/>
      <c r="DQ98" s="50"/>
      <c r="DR98" s="50"/>
      <c r="DS98" s="50"/>
      <c r="DT98" s="50"/>
      <c r="DU98" s="50"/>
      <c r="DV98" s="50"/>
      <c r="DW98" s="50"/>
      <c r="DX98" s="50"/>
      <c r="DY98" s="50"/>
      <c r="DZ98" s="50"/>
      <c r="EA98" s="50"/>
      <c r="EB98" s="50"/>
      <c r="EC98" s="50"/>
      <c r="ED98" s="50"/>
      <c r="EE98" s="50"/>
      <c r="EF98" s="50"/>
      <c r="EG98" s="50"/>
      <c r="EH98" s="50"/>
      <c r="EI98" s="50"/>
      <c r="EJ98" s="50"/>
      <c r="EK98" s="50"/>
      <c r="EL98" s="50"/>
      <c r="EM98" s="50"/>
      <c r="EN98" s="50"/>
      <c r="EO98" s="50"/>
      <c r="EP98" s="50"/>
      <c r="EQ98" s="50"/>
      <c r="ER98" s="50"/>
      <c r="ES98" s="50"/>
      <c r="ET98" s="50"/>
      <c r="EU98" s="50"/>
      <c r="EV98" s="50"/>
      <c r="EW98" s="50"/>
      <c r="EX98" s="50"/>
      <c r="EY98" s="50"/>
      <c r="EZ98" s="50"/>
      <c r="FA98" s="50"/>
      <c r="FB98" s="50"/>
      <c r="FC98" s="50"/>
      <c r="FD98" s="50"/>
      <c r="FE98" s="50"/>
      <c r="FF98" s="50"/>
      <c r="FG98" s="50"/>
      <c r="FH98" s="50"/>
      <c r="FI98" s="50"/>
      <c r="FJ98" s="50"/>
      <c r="FK98" s="50"/>
      <c r="FL98" s="50"/>
      <c r="FM98" s="50"/>
      <c r="FN98" s="50"/>
      <c r="FO98" s="50"/>
      <c r="FP98" s="50"/>
      <c r="FQ98" s="50"/>
      <c r="FR98" s="50"/>
      <c r="FS98" s="50"/>
      <c r="FT98" s="50"/>
      <c r="FU98" s="50"/>
      <c r="FV98" s="50"/>
      <c r="FW98" s="50"/>
      <c r="FX98" s="50"/>
      <c r="FY98" s="50"/>
      <c r="FZ98" s="50"/>
      <c r="GA98" s="50"/>
      <c r="GB98" s="50"/>
      <c r="GC98" s="50"/>
      <c r="GD98" s="50"/>
      <c r="GE98" s="50"/>
      <c r="GF98" s="50"/>
      <c r="GG98" s="50"/>
      <c r="GH98" s="50"/>
      <c r="GI98" s="50"/>
      <c r="GJ98" s="50"/>
      <c r="GK98" s="50"/>
    </row>
    <row r="99" ht="15.7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  <c r="CP99" s="50"/>
      <c r="CQ99" s="50"/>
      <c r="CR99" s="50"/>
      <c r="CS99" s="50"/>
      <c r="CT99" s="50"/>
      <c r="CU99" s="50"/>
      <c r="CV99" s="50"/>
      <c r="CW99" s="50"/>
      <c r="CX99" s="50"/>
      <c r="CY99" s="50"/>
      <c r="CZ99" s="50"/>
      <c r="DA99" s="50"/>
      <c r="DB99" s="50"/>
      <c r="DC99" s="50"/>
      <c r="DD99" s="50"/>
      <c r="DE99" s="50"/>
      <c r="DF99" s="50"/>
      <c r="DG99" s="50"/>
      <c r="DH99" s="50"/>
      <c r="DI99" s="50"/>
      <c r="DJ99" s="50"/>
      <c r="DK99" s="50"/>
      <c r="DL99" s="50"/>
      <c r="DM99" s="50"/>
      <c r="DN99" s="50"/>
      <c r="DO99" s="50"/>
      <c r="DP99" s="50"/>
      <c r="DQ99" s="50"/>
      <c r="DR99" s="50"/>
      <c r="DS99" s="50"/>
      <c r="DT99" s="50"/>
      <c r="DU99" s="50"/>
      <c r="DV99" s="50"/>
      <c r="DW99" s="50"/>
      <c r="DX99" s="50"/>
      <c r="DY99" s="50"/>
      <c r="DZ99" s="50"/>
      <c r="EA99" s="50"/>
      <c r="EB99" s="50"/>
      <c r="EC99" s="50"/>
      <c r="ED99" s="50"/>
      <c r="EE99" s="50"/>
      <c r="EF99" s="50"/>
      <c r="EG99" s="50"/>
      <c r="EH99" s="50"/>
      <c r="EI99" s="50"/>
      <c r="EJ99" s="50"/>
      <c r="EK99" s="50"/>
      <c r="EL99" s="50"/>
      <c r="EM99" s="50"/>
      <c r="EN99" s="50"/>
      <c r="EO99" s="50"/>
      <c r="EP99" s="50"/>
      <c r="EQ99" s="50"/>
      <c r="ER99" s="50"/>
      <c r="ES99" s="50"/>
      <c r="ET99" s="50"/>
      <c r="EU99" s="50"/>
      <c r="EV99" s="50"/>
      <c r="EW99" s="50"/>
      <c r="EX99" s="50"/>
      <c r="EY99" s="50"/>
      <c r="EZ99" s="50"/>
      <c r="FA99" s="50"/>
      <c r="FB99" s="50"/>
      <c r="FC99" s="50"/>
      <c r="FD99" s="50"/>
      <c r="FE99" s="50"/>
      <c r="FF99" s="50"/>
      <c r="FG99" s="50"/>
      <c r="FH99" s="50"/>
      <c r="FI99" s="50"/>
      <c r="FJ99" s="50"/>
      <c r="FK99" s="50"/>
      <c r="FL99" s="50"/>
      <c r="FM99" s="50"/>
      <c r="FN99" s="50"/>
      <c r="FO99" s="50"/>
      <c r="FP99" s="50"/>
      <c r="FQ99" s="50"/>
      <c r="FR99" s="50"/>
      <c r="FS99" s="50"/>
      <c r="FT99" s="50"/>
      <c r="FU99" s="50"/>
      <c r="FV99" s="50"/>
      <c r="FW99" s="50"/>
      <c r="FX99" s="50"/>
      <c r="FY99" s="50"/>
      <c r="FZ99" s="50"/>
      <c r="GA99" s="50"/>
      <c r="GB99" s="50"/>
      <c r="GC99" s="50"/>
      <c r="GD99" s="50"/>
      <c r="GE99" s="50"/>
      <c r="GF99" s="50"/>
      <c r="GG99" s="50"/>
      <c r="GH99" s="50"/>
      <c r="GI99" s="50"/>
      <c r="GJ99" s="50"/>
      <c r="GK99" s="50"/>
    </row>
    <row r="100" ht="15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  <c r="CE100" s="50"/>
      <c r="CF100" s="50"/>
      <c r="CG100" s="50"/>
      <c r="CH100" s="50"/>
      <c r="CI100" s="50"/>
      <c r="CJ100" s="50"/>
      <c r="CK100" s="50"/>
      <c r="CL100" s="50"/>
      <c r="CM100" s="50"/>
      <c r="CN100" s="50"/>
      <c r="CO100" s="50"/>
      <c r="CP100" s="50"/>
      <c r="CQ100" s="50"/>
      <c r="CR100" s="50"/>
      <c r="CS100" s="50"/>
      <c r="CT100" s="50"/>
      <c r="CU100" s="50"/>
      <c r="CV100" s="50"/>
      <c r="CW100" s="50"/>
      <c r="CX100" s="50"/>
      <c r="CY100" s="50"/>
      <c r="CZ100" s="50"/>
      <c r="DA100" s="50"/>
      <c r="DB100" s="50"/>
      <c r="DC100" s="50"/>
      <c r="DD100" s="50"/>
      <c r="DE100" s="50"/>
      <c r="DF100" s="50"/>
      <c r="DG100" s="50"/>
      <c r="DH100" s="50"/>
      <c r="DI100" s="50"/>
      <c r="DJ100" s="50"/>
      <c r="DK100" s="50"/>
      <c r="DL100" s="50"/>
      <c r="DM100" s="50"/>
      <c r="DN100" s="50"/>
      <c r="DO100" s="50"/>
      <c r="DP100" s="50"/>
      <c r="DQ100" s="50"/>
      <c r="DR100" s="50"/>
      <c r="DS100" s="50"/>
      <c r="DT100" s="50"/>
      <c r="DU100" s="50"/>
      <c r="DV100" s="50"/>
      <c r="DW100" s="50"/>
      <c r="DX100" s="50"/>
      <c r="DY100" s="50"/>
      <c r="DZ100" s="50"/>
      <c r="EA100" s="50"/>
      <c r="EB100" s="50"/>
      <c r="EC100" s="50"/>
      <c r="ED100" s="50"/>
      <c r="EE100" s="50"/>
      <c r="EF100" s="50"/>
      <c r="EG100" s="50"/>
      <c r="EH100" s="50"/>
      <c r="EI100" s="50"/>
      <c r="EJ100" s="50"/>
      <c r="EK100" s="50"/>
      <c r="EL100" s="50"/>
      <c r="EM100" s="50"/>
      <c r="EN100" s="50"/>
      <c r="EO100" s="50"/>
      <c r="EP100" s="50"/>
      <c r="EQ100" s="50"/>
      <c r="ER100" s="50"/>
      <c r="ES100" s="50"/>
      <c r="ET100" s="50"/>
      <c r="EU100" s="50"/>
      <c r="EV100" s="50"/>
      <c r="EW100" s="50"/>
      <c r="EX100" s="50"/>
      <c r="EY100" s="50"/>
      <c r="EZ100" s="50"/>
      <c r="FA100" s="50"/>
      <c r="FB100" s="50"/>
      <c r="FC100" s="50"/>
      <c r="FD100" s="50"/>
      <c r="FE100" s="50"/>
      <c r="FF100" s="50"/>
      <c r="FG100" s="50"/>
      <c r="FH100" s="50"/>
      <c r="FI100" s="50"/>
      <c r="FJ100" s="50"/>
      <c r="FK100" s="50"/>
      <c r="FL100" s="50"/>
      <c r="FM100" s="50"/>
      <c r="FN100" s="50"/>
      <c r="FO100" s="50"/>
      <c r="FP100" s="50"/>
      <c r="FQ100" s="50"/>
      <c r="FR100" s="50"/>
      <c r="FS100" s="50"/>
      <c r="FT100" s="50"/>
      <c r="FU100" s="50"/>
      <c r="FV100" s="50"/>
      <c r="FW100" s="50"/>
      <c r="FX100" s="50"/>
      <c r="FY100" s="50"/>
      <c r="FZ100" s="50"/>
      <c r="GA100" s="50"/>
      <c r="GB100" s="50"/>
      <c r="GC100" s="50"/>
      <c r="GD100" s="50"/>
      <c r="GE100" s="50"/>
      <c r="GF100" s="50"/>
      <c r="GG100" s="50"/>
      <c r="GH100" s="50"/>
      <c r="GI100" s="50"/>
      <c r="GJ100" s="50"/>
      <c r="GK100" s="5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44">
        <v>100.0</v>
      </c>
      <c r="D6" s="35"/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VerifySymbolDivisorWindow2!$4:$4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44">
        <v>50.0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0" t="s">
        <v>22</v>
      </c>
      <c r="AK6" s="43" t="s">
        <v>32</v>
      </c>
      <c r="AL6" s="64">
        <v>100.0</v>
      </c>
      <c r="AM6" s="64"/>
      <c r="AN6" s="64"/>
      <c r="AO6" s="64"/>
      <c r="AP6" s="64"/>
      <c r="AQ6" s="68">
        <v>10.0</v>
      </c>
      <c r="AR6" s="68">
        <v>10.0</v>
      </c>
      <c r="AS6" s="40" t="s">
        <v>33</v>
      </c>
      <c r="AT6" s="40" t="s">
        <v>34</v>
      </c>
      <c r="AU6" s="40" t="s">
        <v>35</v>
      </c>
      <c r="AV6" s="68">
        <v>500.0</v>
      </c>
      <c r="AW6" s="68">
        <v>500.0</v>
      </c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41">
        <v>10.0</v>
      </c>
      <c r="C6" s="36"/>
      <c r="D6" s="35" t="s">
        <v>21</v>
      </c>
      <c r="E6" s="36"/>
      <c r="F6" s="36" t="s">
        <v>22</v>
      </c>
      <c r="G6" s="41" t="s">
        <v>32</v>
      </c>
      <c r="H6" s="42">
        <v>100.0</v>
      </c>
      <c r="I6" s="78">
        <v>50.0</v>
      </c>
      <c r="J6" s="41">
        <v>50.0</v>
      </c>
      <c r="K6" s="41">
        <v>50.0</v>
      </c>
      <c r="L6" s="36"/>
      <c r="M6" s="36"/>
      <c r="N6" s="36"/>
      <c r="O6" s="36"/>
      <c r="P6" s="36"/>
      <c r="Q6" s="36" t="s">
        <v>33</v>
      </c>
      <c r="R6" s="36" t="s">
        <v>34</v>
      </c>
      <c r="S6" s="36"/>
      <c r="T6" s="40" t="s">
        <v>35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44">
        <v>50.0</v>
      </c>
      <c r="H6" s="36"/>
      <c r="I6" s="36"/>
      <c r="J6" s="56" t="s">
        <v>21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0" t="s">
        <v>22</v>
      </c>
      <c r="AK6" s="43" t="s">
        <v>32</v>
      </c>
      <c r="AL6" s="68">
        <v>100.0</v>
      </c>
      <c r="AM6" s="40"/>
      <c r="AN6" s="40"/>
      <c r="AO6" s="68">
        <v>10.0</v>
      </c>
      <c r="AP6" s="68">
        <v>10.0</v>
      </c>
      <c r="AQ6" s="40"/>
      <c r="AR6" s="40"/>
      <c r="AS6" s="40"/>
      <c r="AT6" s="40"/>
      <c r="AU6" s="40"/>
      <c r="AV6" s="40"/>
      <c r="AW6" s="40"/>
      <c r="AX6" s="64">
        <v>50.0</v>
      </c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79" t="s">
        <v>11</v>
      </c>
      <c r="C1" s="2"/>
      <c r="D1" s="2"/>
      <c r="E1" s="2"/>
      <c r="F1" s="2"/>
      <c r="G1" s="2"/>
      <c r="H1" s="3"/>
      <c r="I1" s="80"/>
      <c r="J1" s="80"/>
      <c r="K1" s="80"/>
      <c r="L1" s="80"/>
      <c r="M1" s="80"/>
      <c r="N1" s="80"/>
      <c r="O1" s="80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1"/>
      <c r="BZ1" s="81"/>
      <c r="CA1" s="81"/>
      <c r="CB1" s="81"/>
      <c r="CC1" s="81"/>
      <c r="CD1" s="81"/>
      <c r="CE1" s="81"/>
      <c r="CF1" s="81"/>
      <c r="CG1" s="81"/>
      <c r="CH1" s="81"/>
      <c r="CI1" s="81"/>
      <c r="CJ1" s="81"/>
      <c r="CK1" s="81"/>
      <c r="CL1" s="81"/>
      <c r="CM1" s="81"/>
      <c r="CN1" s="81"/>
      <c r="CO1" s="81"/>
      <c r="CP1" s="81"/>
      <c r="CQ1" s="81"/>
      <c r="CR1" s="81"/>
      <c r="CS1" s="81"/>
      <c r="CT1" s="81"/>
      <c r="CU1" s="81"/>
      <c r="CV1" s="81"/>
      <c r="CW1" s="81"/>
      <c r="CX1" s="81"/>
      <c r="CY1" s="81"/>
      <c r="CZ1" s="81"/>
      <c r="DA1" s="81"/>
      <c r="DB1" s="81"/>
      <c r="DC1" s="81"/>
      <c r="DD1" s="81"/>
      <c r="DE1" s="81"/>
      <c r="DF1" s="81"/>
      <c r="DG1" s="81"/>
      <c r="DH1" s="81"/>
      <c r="DI1" s="81"/>
      <c r="DJ1" s="81"/>
      <c r="DK1" s="81"/>
      <c r="DL1" s="81"/>
      <c r="DM1" s="81"/>
      <c r="DN1" s="81"/>
      <c r="DO1" s="81"/>
      <c r="DP1" s="81"/>
      <c r="DQ1" s="81"/>
      <c r="DR1" s="81"/>
      <c r="DS1" s="81"/>
      <c r="DT1" s="81"/>
      <c r="DU1" s="81"/>
      <c r="DV1" s="81"/>
      <c r="DW1" s="81"/>
      <c r="DX1" s="81"/>
      <c r="DY1" s="81"/>
      <c r="DZ1" s="81"/>
      <c r="EA1" s="81"/>
      <c r="EB1" s="81"/>
      <c r="EC1" s="81"/>
      <c r="ED1" s="81"/>
      <c r="EE1" s="81"/>
      <c r="EF1" s="81"/>
      <c r="EG1" s="81"/>
      <c r="EH1" s="81"/>
      <c r="EI1" s="81"/>
      <c r="EJ1" s="81"/>
      <c r="EK1" s="81"/>
      <c r="EL1" s="81"/>
      <c r="EM1" s="81"/>
      <c r="EN1" s="81"/>
      <c r="EO1" s="81"/>
      <c r="EP1" s="81"/>
      <c r="EQ1" s="81"/>
      <c r="ER1" s="81"/>
      <c r="ES1" s="81"/>
      <c r="ET1" s="81"/>
      <c r="EU1" s="81"/>
      <c r="EV1" s="81"/>
      <c r="EW1" s="81"/>
      <c r="EX1" s="81"/>
      <c r="EY1" s="81"/>
      <c r="EZ1" s="81"/>
      <c r="FA1" s="81"/>
      <c r="FB1" s="81"/>
      <c r="FC1" s="49"/>
      <c r="FD1" s="49"/>
      <c r="FE1" s="49"/>
      <c r="FF1" s="49"/>
      <c r="FG1" s="49"/>
      <c r="FH1" s="49"/>
      <c r="FI1" s="49"/>
      <c r="FJ1" s="49"/>
      <c r="FK1" s="49"/>
      <c r="FL1" s="49"/>
    </row>
    <row r="2" ht="15.75" customHeight="1">
      <c r="A2" s="8"/>
      <c r="B2" s="82"/>
      <c r="C2" s="82"/>
      <c r="D2" s="82"/>
      <c r="E2" s="82"/>
      <c r="F2" s="82"/>
      <c r="G2" s="82"/>
      <c r="H2" s="82"/>
      <c r="I2" s="82"/>
      <c r="J2" s="83" t="str">
        <f> VLOOKUP($E$3,'_MasterData'!B4:D1000,3,FALSE)</f>
        <v>#N/A</v>
      </c>
      <c r="K2" s="83"/>
      <c r="L2" s="82"/>
      <c r="M2" s="82"/>
      <c r="N2" s="82"/>
      <c r="O2" s="82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  <c r="BU2" s="84"/>
      <c r="BV2" s="84"/>
      <c r="BW2" s="84"/>
      <c r="BX2" s="84"/>
      <c r="BY2" s="84"/>
      <c r="BZ2" s="84"/>
      <c r="CA2" s="84"/>
      <c r="CB2" s="84"/>
      <c r="CC2" s="84"/>
      <c r="CD2" s="84"/>
      <c r="CE2" s="84"/>
      <c r="CF2" s="84"/>
      <c r="CG2" s="84"/>
      <c r="CH2" s="84"/>
      <c r="CI2" s="84"/>
      <c r="CJ2" s="84"/>
      <c r="CK2" s="84"/>
      <c r="CL2" s="84"/>
      <c r="CM2" s="84"/>
      <c r="CN2" s="84"/>
      <c r="CO2" s="84"/>
      <c r="CP2" s="84"/>
      <c r="CQ2" s="84"/>
      <c r="CR2" s="84"/>
      <c r="CS2" s="84"/>
      <c r="CT2" s="84"/>
      <c r="CU2" s="84"/>
      <c r="CV2" s="84"/>
      <c r="CW2" s="84"/>
      <c r="CX2" s="84"/>
      <c r="CY2" s="84"/>
      <c r="CZ2" s="84"/>
      <c r="DA2" s="84"/>
      <c r="DB2" s="84"/>
      <c r="DC2" s="84"/>
      <c r="DD2" s="84"/>
      <c r="DE2" s="84"/>
      <c r="DF2" s="84"/>
      <c r="DG2" s="84"/>
      <c r="DH2" s="84"/>
      <c r="DI2" s="84"/>
      <c r="DJ2" s="84"/>
      <c r="DK2" s="84"/>
      <c r="DL2" s="84"/>
      <c r="DM2" s="84"/>
      <c r="DN2" s="84"/>
      <c r="DO2" s="84"/>
      <c r="DP2" s="84"/>
      <c r="DQ2" s="84"/>
      <c r="DR2" s="84"/>
      <c r="DS2" s="84"/>
      <c r="DT2" s="84"/>
      <c r="DU2" s="84"/>
      <c r="DV2" s="84"/>
      <c r="DW2" s="84"/>
      <c r="DX2" s="84"/>
      <c r="DY2" s="84"/>
      <c r="DZ2" s="84"/>
      <c r="EA2" s="84"/>
      <c r="EB2" s="84"/>
      <c r="EC2" s="84"/>
      <c r="ED2" s="84"/>
      <c r="EE2" s="84"/>
      <c r="EF2" s="84"/>
      <c r="EG2" s="84"/>
      <c r="EH2" s="84"/>
      <c r="EI2" s="84"/>
      <c r="EJ2" s="84"/>
      <c r="EK2" s="84"/>
      <c r="EL2" s="84"/>
      <c r="EM2" s="84"/>
      <c r="EN2" s="84"/>
      <c r="EO2" s="84"/>
      <c r="EP2" s="84"/>
      <c r="EQ2" s="84"/>
      <c r="ER2" s="84"/>
      <c r="ES2" s="84"/>
      <c r="ET2" s="84"/>
      <c r="EU2" s="84"/>
      <c r="EV2" s="84"/>
      <c r="EW2" s="84"/>
      <c r="EX2" s="84"/>
      <c r="EY2" s="84"/>
      <c r="EZ2" s="84"/>
      <c r="FA2" s="84"/>
      <c r="FB2" s="84"/>
      <c r="FC2" s="50"/>
      <c r="FD2" s="50"/>
      <c r="FE2" s="50"/>
      <c r="FF2" s="50"/>
      <c r="FG2" s="50"/>
      <c r="FH2" s="50"/>
      <c r="FI2" s="50"/>
      <c r="FJ2" s="50"/>
      <c r="FK2" s="50"/>
      <c r="FL2" s="50"/>
    </row>
    <row r="3" ht="15.75" customHeight="1">
      <c r="A3" s="21"/>
      <c r="B3" s="85" t="s">
        <v>8</v>
      </c>
      <c r="C3" s="86" t="s">
        <v>50</v>
      </c>
      <c r="D3" s="85" t="s">
        <v>9</v>
      </c>
      <c r="E3" s="86" t="s">
        <v>51</v>
      </c>
      <c r="F3" s="85" t="s">
        <v>14</v>
      </c>
      <c r="G3" s="87" t="s">
        <v>15</v>
      </c>
      <c r="H3" s="85"/>
      <c r="I3" s="88"/>
      <c r="J3" s="88"/>
      <c r="K3" s="88"/>
      <c r="L3" s="88"/>
      <c r="M3" s="88"/>
      <c r="N3" s="88"/>
      <c r="O3" s="88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  <c r="BR3" s="89"/>
      <c r="BS3" s="89"/>
      <c r="BT3" s="89"/>
      <c r="BU3" s="89"/>
      <c r="BV3" s="89"/>
      <c r="BW3" s="89"/>
      <c r="BX3" s="89"/>
      <c r="BY3" s="89"/>
      <c r="BZ3" s="89"/>
      <c r="CA3" s="89"/>
      <c r="CB3" s="89"/>
      <c r="CC3" s="89"/>
      <c r="CD3" s="89"/>
      <c r="CE3" s="89"/>
      <c r="CF3" s="89"/>
      <c r="CG3" s="89"/>
      <c r="CH3" s="89"/>
      <c r="CI3" s="89"/>
      <c r="CJ3" s="89"/>
      <c r="CK3" s="89"/>
      <c r="CL3" s="89"/>
      <c r="CM3" s="89"/>
      <c r="CN3" s="89"/>
      <c r="CO3" s="89"/>
      <c r="CP3" s="89"/>
      <c r="CQ3" s="89"/>
      <c r="CR3" s="89"/>
      <c r="CS3" s="89"/>
      <c r="CT3" s="89"/>
      <c r="CU3" s="89"/>
      <c r="CV3" s="89"/>
      <c r="CW3" s="89"/>
      <c r="CX3" s="89"/>
      <c r="CY3" s="89"/>
      <c r="CZ3" s="89"/>
      <c r="DA3" s="89"/>
      <c r="DB3" s="89"/>
      <c r="DC3" s="89"/>
      <c r="DD3" s="89"/>
      <c r="DE3" s="89"/>
      <c r="DF3" s="89"/>
      <c r="DG3" s="89"/>
      <c r="DH3" s="89"/>
      <c r="DI3" s="89"/>
      <c r="DJ3" s="89"/>
      <c r="DK3" s="89"/>
      <c r="DL3" s="89"/>
      <c r="DM3" s="89"/>
      <c r="DN3" s="89"/>
      <c r="DO3" s="89"/>
      <c r="DP3" s="89"/>
      <c r="DQ3" s="89"/>
      <c r="DR3" s="89"/>
      <c r="DS3" s="89"/>
      <c r="DT3" s="89"/>
      <c r="DU3" s="89"/>
      <c r="DV3" s="89"/>
      <c r="DW3" s="89"/>
      <c r="DX3" s="89"/>
      <c r="DY3" s="89"/>
      <c r="DZ3" s="89"/>
      <c r="EA3" s="89"/>
      <c r="EB3" s="89"/>
      <c r="EC3" s="89"/>
      <c r="ED3" s="89"/>
      <c r="EE3" s="89"/>
      <c r="EF3" s="89"/>
      <c r="EG3" s="89"/>
      <c r="EH3" s="89"/>
      <c r="EI3" s="89"/>
      <c r="EJ3" s="89"/>
      <c r="EK3" s="89"/>
      <c r="EL3" s="89"/>
      <c r="EM3" s="89"/>
      <c r="EN3" s="89"/>
      <c r="EO3" s="89"/>
      <c r="EP3" s="89"/>
      <c r="EQ3" s="89"/>
      <c r="ER3" s="89"/>
      <c r="ES3" s="89"/>
      <c r="ET3" s="89"/>
      <c r="EU3" s="89"/>
      <c r="EV3" s="89"/>
      <c r="EW3" s="89"/>
      <c r="EX3" s="89"/>
      <c r="EY3" s="89"/>
      <c r="EZ3" s="89"/>
      <c r="FA3" s="89"/>
      <c r="FB3" s="89"/>
      <c r="FC3" s="51"/>
      <c r="FD3" s="51"/>
      <c r="FE3" s="51"/>
      <c r="FF3" s="51"/>
      <c r="FG3" s="51"/>
      <c r="FH3" s="51"/>
      <c r="FI3" s="51"/>
      <c r="FJ3" s="51"/>
      <c r="FK3" s="51"/>
      <c r="FL3" s="51"/>
    </row>
    <row r="4" ht="15.75" customHeight="1">
      <c r="A4" s="24"/>
      <c r="B4" s="90" t="str">
        <f>IFERROR(__xludf.DUMMYFUNCTION("IF(C3="""","""",Transpose(IMPORTRANGE('_Settings'!$B$3,C3&amp;""!A4:A1000"")))"),"CheckDashboardPM")</f>
        <v>CheckDashboardPM</v>
      </c>
      <c r="C4" s="90" t="str">
        <f>IFERROR(__xludf.DUMMYFUNCTION("""COMPUTED_VALUE"""),"CheckPortfolioManagement")</f>
        <v>CheckPortfolioManagement</v>
      </c>
      <c r="D4" s="90" t="str">
        <f>IFERROR(__xludf.DUMMYFUNCTION("""COMPUTED_VALUE"""),"OpenPSTFromPM")</f>
        <v>OpenPSTFromPM</v>
      </c>
      <c r="E4" s="90" t="str">
        <f>IFERROR(__xludf.DUMMYFUNCTION("""COMPUTED_VALUE"""),"ClosePM")</f>
        <v>ClosePM</v>
      </c>
      <c r="F4" s="90" t="str">
        <f>IFERROR(__xludf.DUMMYFUNCTION("""COMPUTED_VALUE"""),"FilterPM")</f>
        <v>FilterPM</v>
      </c>
      <c r="G4" s="90" t="str">
        <f>IFERROR(__xludf.DUMMYFUNCTION("""COMPUTED_VALUE"""),"GroupRowPM")</f>
        <v>GroupRowPM</v>
      </c>
      <c r="H4" s="90" t="str">
        <f>IFERROR(__xludf.DUMMYFUNCTION("""COMPUTED_VALUE"""),"CheckDashboardWithPM")</f>
        <v>CheckDashboardWithPM</v>
      </c>
      <c r="I4" s="90" t="str">
        <f>IFERROR(__xludf.DUMMYFUNCTION("""COMPUTED_VALUE"""),"RemoveFilterPM")</f>
        <v>RemoveFilterPM</v>
      </c>
      <c r="J4" s="90" t="str">
        <f>IFERROR(__xludf.DUMMYFUNCTION("""COMPUTED_VALUE"""),"CheckSummaryRowsPM")</f>
        <v>CheckSummaryRowsPM</v>
      </c>
      <c r="K4" s="90" t="str">
        <f>IFERROR(__xludf.DUMMYFUNCTION("""COMPUTED_VALUE"""),"OpenPTTFromPM")</f>
        <v>OpenPTTFromPM</v>
      </c>
      <c r="L4" s="90" t="str">
        <f>IFERROR(__xludf.DUMMYFUNCTION("""COMPUTED_VALUE"""),"OpenClosingFromPM")</f>
        <v>OpenClosingFromPM</v>
      </c>
      <c r="M4" s="90" t="str">
        <f>IFERROR(__xludf.DUMMYFUNCTION("""COMPUTED_VALUE"""),"OpenCorporateActionFromPM")</f>
        <v>OpenCorporateActionFromPM</v>
      </c>
      <c r="N4" s="90" t="str">
        <f>IFERROR(__xludf.DUMMYFUNCTION("""COMPUTED_VALUE"""),"OpenDailyValuationFromPM")</f>
        <v>OpenDailyValuationFromPM</v>
      </c>
      <c r="O4" s="90" t="str">
        <f>IFERROR(__xludf.DUMMYFUNCTION("""COMPUTED_VALUE"""),"ClosePositionFromPM")</f>
        <v>ClosePositionFromPM</v>
      </c>
      <c r="P4" s="91" t="str">
        <f>IFERROR(__xludf.DUMMYFUNCTION("""COMPUTED_VALUE"""),"ShowSummaryToolFromPM")</f>
        <v>ShowSummaryToolFromPM</v>
      </c>
      <c r="Q4" s="91" t="str">
        <f>IFERROR(__xludf.DUMMYFUNCTION("""COMPUTED_VALUE"""),"HideSummaryToolFromPM")</f>
        <v>HideSummaryToolFromPM</v>
      </c>
      <c r="R4" s="91" t="str">
        <f>IFERROR(__xludf.DUMMYFUNCTION("""COMPUTED_VALUE"""),"CloseAccountPositionFromPM")</f>
        <v>CloseAccountPositionFromPM</v>
      </c>
      <c r="S4" s="91" t="str">
        <f>IFERROR(__xludf.DUMMYFUNCTION("""COMPUTED_VALUE"""),"CloseSelectedTaxlotsFromPM")</f>
        <v>CloseSelectedTaxlotsFromPM</v>
      </c>
      <c r="T4" s="91" t="str">
        <f>IFERROR(__xludf.DUMMYFUNCTION("""COMPUTED_VALUE"""),"ExpandCollapsePM")</f>
        <v>ExpandCollapsePM</v>
      </c>
      <c r="U4" s="91" t="str">
        <f>IFERROR(__xludf.DUMMYFUNCTION("""COMPUTED_VALUE"""),"AddCustomViewPM")</f>
        <v>AddCustomViewPM</v>
      </c>
      <c r="V4" s="91" t="str">
        <f>IFERROR(__xludf.DUMMYFUNCTION("""COMPUTED_VALUE"""),"AddCustomViewRightClickPM")</f>
        <v>AddCustomViewRightClickPM</v>
      </c>
      <c r="W4" s="91" t="str">
        <f>IFERROR(__xludf.DUMMYFUNCTION("""COMPUTED_VALUE"""),"RenameCustomViewPM")</f>
        <v>RenameCustomViewPM</v>
      </c>
      <c r="X4" s="91" t="str">
        <f>IFERROR(__xludf.DUMMYFUNCTION("""COMPUTED_VALUE"""),"DeleteCustomViewPM")</f>
        <v>DeleteCustomViewPM</v>
      </c>
      <c r="Y4" s="91" t="str">
        <f>IFERROR(__xludf.DUMMYFUNCTION("""COMPUTED_VALUE"""),"OpenCreateTransactionFromPM")</f>
        <v>OpenCreateTransactionFromPM</v>
      </c>
      <c r="Z4" s="91" t="str">
        <f>IFERROR(__xludf.DUMMYFUNCTION("""COMPUTED_VALUE"""),"RemoveGroupingFromPM")</f>
        <v>RemoveGroupingFromPM</v>
      </c>
      <c r="AA4" s="91" t="str">
        <f>IFERROR(__xludf.DUMMYFUNCTION("""COMPUTED_VALUE"""),"IncreasePositionFromPM")</f>
        <v>IncreasePositionFromPM</v>
      </c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  <c r="BJ4" s="91"/>
      <c r="BK4" s="91"/>
      <c r="BL4" s="91"/>
      <c r="BM4" s="91"/>
      <c r="BN4" s="91"/>
      <c r="BO4" s="91"/>
      <c r="BP4" s="91"/>
      <c r="BQ4" s="91"/>
      <c r="BR4" s="91"/>
      <c r="BS4" s="91"/>
      <c r="BT4" s="91"/>
      <c r="BU4" s="91"/>
      <c r="BV4" s="91"/>
      <c r="BW4" s="91"/>
      <c r="BX4" s="91"/>
      <c r="BY4" s="91"/>
      <c r="BZ4" s="91"/>
      <c r="CA4" s="91"/>
      <c r="CB4" s="91"/>
      <c r="CC4" s="91"/>
      <c r="CD4" s="91"/>
      <c r="CE4" s="91"/>
      <c r="CF4" s="91"/>
      <c r="CG4" s="91"/>
      <c r="CH4" s="91"/>
      <c r="CI4" s="91"/>
      <c r="CJ4" s="91"/>
      <c r="CK4" s="91"/>
      <c r="CL4" s="91"/>
      <c r="CM4" s="91"/>
      <c r="CN4" s="91"/>
      <c r="CO4" s="91"/>
      <c r="CP4" s="91"/>
      <c r="CQ4" s="91"/>
      <c r="CR4" s="91"/>
      <c r="CS4" s="91"/>
      <c r="CT4" s="91"/>
      <c r="CU4" s="91"/>
      <c r="CV4" s="91"/>
      <c r="CW4" s="91"/>
      <c r="CX4" s="91"/>
      <c r="CY4" s="91"/>
      <c r="CZ4" s="91"/>
      <c r="DA4" s="91"/>
      <c r="DB4" s="91"/>
      <c r="DC4" s="91"/>
      <c r="DD4" s="91"/>
      <c r="DE4" s="91"/>
      <c r="DF4" s="91"/>
      <c r="DG4" s="91"/>
      <c r="DH4" s="91"/>
      <c r="DI4" s="91"/>
      <c r="DJ4" s="91"/>
      <c r="DK4" s="91"/>
      <c r="DL4" s="91"/>
      <c r="DM4" s="91"/>
      <c r="DN4" s="91"/>
      <c r="DO4" s="91"/>
      <c r="DP4" s="91"/>
      <c r="DQ4" s="91"/>
      <c r="DR4" s="91"/>
      <c r="DS4" s="91"/>
      <c r="DT4" s="91"/>
      <c r="DU4" s="91"/>
      <c r="DV4" s="91"/>
      <c r="DW4" s="91"/>
      <c r="DX4" s="91"/>
      <c r="DY4" s="91"/>
      <c r="DZ4" s="91"/>
      <c r="EA4" s="91"/>
      <c r="EB4" s="91"/>
      <c r="EC4" s="91"/>
      <c r="ED4" s="91"/>
      <c r="EE4" s="91"/>
      <c r="EF4" s="91"/>
      <c r="EG4" s="91"/>
      <c r="EH4" s="91"/>
      <c r="EI4" s="91"/>
      <c r="EJ4" s="91"/>
      <c r="EK4" s="91"/>
      <c r="EL4" s="91"/>
      <c r="EM4" s="91"/>
      <c r="EN4" s="91"/>
      <c r="EO4" s="91"/>
      <c r="EP4" s="91"/>
      <c r="EQ4" s="91"/>
      <c r="ER4" s="91"/>
      <c r="ES4" s="91"/>
      <c r="ET4" s="91"/>
      <c r="EU4" s="91"/>
      <c r="EV4" s="91"/>
      <c r="EW4" s="91"/>
      <c r="EX4" s="91"/>
      <c r="EY4" s="91"/>
      <c r="EZ4" s="91"/>
      <c r="FA4" s="91"/>
      <c r="FB4" s="91"/>
      <c r="FC4" s="52"/>
      <c r="FD4" s="52"/>
      <c r="FE4" s="52"/>
      <c r="FF4" s="52"/>
      <c r="FG4" s="52"/>
      <c r="FH4" s="52"/>
      <c r="FI4" s="52"/>
      <c r="FJ4" s="52"/>
      <c r="FK4" s="52"/>
      <c r="FL4" s="52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92" t="str">
        <f>IFERROR(__xludf.DUMMYFUNCTION("""COMPUTED_VALUE"""),"Trade Date")</f>
        <v>Trade Date</v>
      </c>
      <c r="C5" s="92" t="str">
        <f>IFERROR(__xludf.DUMMYFUNCTION("""COMPUTED_VALUE"""),"Symbol")</f>
        <v>Symbol</v>
      </c>
      <c r="D5" s="92" t="str">
        <f>IFERROR(__xludf.DUMMYFUNCTION("""COMPUTED_VALUE"""),"Position")</f>
        <v>Position</v>
      </c>
      <c r="E5" s="92" t="str">
        <f>IFERROR(__xludf.DUMMYFUNCTION("""COMPUTED_VALUE"""),"Account")</f>
        <v>Account</v>
      </c>
      <c r="F5" s="93" t="str">
        <f>IFERROR(__xludf.DUMMYFUNCTION("""COMPUTED_VALUE"""),"MasterFund")</f>
        <v>MasterFund</v>
      </c>
      <c r="G5" s="92" t="str">
        <f>IFERROR(__xludf.DUMMYFUNCTION("""COMPUTED_VALUE"""),"Cost Basis")</f>
        <v>Cost Basis</v>
      </c>
      <c r="H5" s="92" t="str">
        <f>IFERROR(__xludf.DUMMYFUNCTION("""COMPUTED_VALUE"""),"Position Side")</f>
        <v>Position Side</v>
      </c>
      <c r="I5" s="92" t="str">
        <f>IFERROR(__xludf.DUMMYFUNCTION("""COMPUTED_VALUE"""),"Market Value (Base)")</f>
        <v>Market Value (Base)</v>
      </c>
      <c r="J5" s="92" t="str">
        <f>IFERROR(__xludf.DUMMYFUNCTION("""COMPUTED_VALUE"""),"% Day P&amp;L (Gross MV)")</f>
        <v>% Day P&amp;L (Gross MV)</v>
      </c>
      <c r="K5" s="92" t="str">
        <f>IFERROR(__xludf.DUMMYFUNCTION("""COMPUTED_VALUE"""),"Net Exposure (Base)")</f>
        <v>Net Exposure (Base)</v>
      </c>
      <c r="L5" s="92" t="str">
        <f>IFERROR(__xludf.DUMMYFUNCTION("""COMPUTED_VALUE"""),"Beta Adj. Gross Exposure (Base)")</f>
        <v>Beta Adj. Gross Exposure (Base)</v>
      </c>
      <c r="M5" s="92" t="str">
        <f>IFERROR(__xludf.DUMMYFUNCTION("""COMPUTED_VALUE"""),"Beta Adj. Gross Exposure (Underlying) (Base)")</f>
        <v>Beta Adj. Gross Exposure (Underlying) (Base)</v>
      </c>
      <c r="N5" s="92" t="str">
        <f>IFERROR(__xludf.DUMMYFUNCTION("""COMPUTED_VALUE"""),"Day P&amp;L (Base)")</f>
        <v>Day P&amp;L (Base)</v>
      </c>
      <c r="O5" s="92" t="str">
        <f>IFERROR(__xludf.DUMMYFUNCTION("""COMPUTED_VALUE"""),"Security Name")</f>
        <v>Security Name</v>
      </c>
      <c r="P5" s="92" t="str">
        <f>IFERROR(__xludf.DUMMYFUNCTION("""COMPUTED_VALUE"""),"Closing Mark")</f>
        <v>Closing Mark</v>
      </c>
      <c r="Q5" s="92" t="str">
        <f>IFERROR(__xludf.DUMMYFUNCTION("""COMPUTED_VALUE"""),"Cost Basis P&amp;L (Base)")</f>
        <v>Cost Basis P&amp;L (Base)</v>
      </c>
      <c r="R5" s="92" t="str">
        <f>IFERROR(__xludf.DUMMYFUNCTION("""COMPUTED_VALUE"""),"Prime Broker")</f>
        <v>Prime Broker</v>
      </c>
      <c r="S5" s="92" t="str">
        <f>IFERROR(__xludf.DUMMYFUNCTION("""COMPUTED_VALUE"""),"Strategy")</f>
        <v>Strategy</v>
      </c>
      <c r="T5" s="94" t="str">
        <f>IFERROR(__xludf.DUMMYFUNCTION("""COMPUTED_VALUE"""),"Asset Class")</f>
        <v>Asset Class</v>
      </c>
      <c r="U5" s="94" t="str">
        <f>IFERROR(__xludf.DUMMYFUNCTION("""COMPUTED_VALUE"""),"Underlying")</f>
        <v>Underlying</v>
      </c>
      <c r="V5" s="94" t="str">
        <f>IFERROR(__xludf.DUMMYFUNCTION("""COMPUTED_VALUE"""),"Exchange")</f>
        <v>Exchange</v>
      </c>
      <c r="W5" s="94" t="str">
        <f>IFERROR(__xludf.DUMMYFUNCTION("""COMPUTED_VALUE"""),"Trade Currency")</f>
        <v>Trade Currency</v>
      </c>
      <c r="X5" s="94" t="str">
        <f>IFERROR(__xludf.DUMMYFUNCTION("""COMPUTED_VALUE"""),"Multiplier")</f>
        <v>Multiplier</v>
      </c>
      <c r="Y5" s="94" t="str">
        <f>IFERROR(__xludf.DUMMYFUNCTION("""COMPUTED_VALUE"""),"FX Rate")</f>
        <v>FX Rate</v>
      </c>
      <c r="Z5" s="94" t="str">
        <f>IFERROR(__xludf.DUMMYFUNCTION("""COMPUTED_VALUE"""),"Vs Currency")</f>
        <v>Vs Currency</v>
      </c>
      <c r="AA5" s="94" t="str">
        <f>IFERROR(__xludf.DUMMYFUNCTION("""COMPUTED_VALUE"""),"Lead Currency")</f>
        <v>Lead Currency</v>
      </c>
      <c r="AB5" s="94" t="str">
        <f>IFERROR(__xludf.DUMMYFUNCTION("""COMPUTED_VALUE"""),"Dividend Yield (%)")</f>
        <v>Dividend Yield (%)</v>
      </c>
      <c r="AC5" s="94" t="str">
        <f>IFERROR(__xludf.DUMMYFUNCTION("""COMPUTED_VALUE"""),"% Change")</f>
        <v>% Change</v>
      </c>
      <c r="AD5" s="94" t="str">
        <f>IFERROR(__xludf.DUMMYFUNCTION("""COMPUTED_VALUE"""),"Net Exposure (Local)")</f>
        <v>Net Exposure (Local)</v>
      </c>
      <c r="AE5" s="94" t="str">
        <f>IFERROR(__xludf.DUMMYFUNCTION("""COMPUTED_VALUE"""),"Exposure (Local)")</f>
        <v>Exposure (Local)</v>
      </c>
      <c r="AF5" s="94" t="str">
        <f>IFERROR(__xludf.DUMMYFUNCTION("""COMPUTED_VALUE"""),"Delta Adj. Position")</f>
        <v>Delta Adj. Position</v>
      </c>
      <c r="AG5" s="94" t="str">
        <f>IFERROR(__xludf.DUMMYFUNCTION("""COMPUTED_VALUE"""),"Exposure (Base)")</f>
        <v>Exposure (Base)</v>
      </c>
      <c r="AH5" s="94" t="str">
        <f>IFERROR(__xludf.DUMMYFUNCTION("""COMPUTED_VALUE"""),"Beta Adj. Exposure (Local)")</f>
        <v>Beta Adj. Exposure (Local)</v>
      </c>
      <c r="AI5" s="94" t="str">
        <f>IFERROR(__xludf.DUMMYFUNCTION("""COMPUTED_VALUE"""),"Beta Adj. Exposure (Base)")</f>
        <v>Beta Adj. Exposure (Base)</v>
      </c>
      <c r="AJ5" s="94" t="str">
        <f>IFERROR(__xludf.DUMMYFUNCTION("""COMPUTED_VALUE"""),"Exposure (BP)(Base)")</f>
        <v>Exposure (BP)(Base)</v>
      </c>
      <c r="AK5" s="94" t="str">
        <f>IFERROR(__xludf.DUMMYFUNCTION("""COMPUTED_VALUE"""),"Day P&amp;L (Local)")</f>
        <v>Day P&amp;L (Local)</v>
      </c>
      <c r="AL5" s="94" t="str">
        <f>IFERROR(__xludf.DUMMYFUNCTION("""COMPUTED_VALUE"""),"Delta")</f>
        <v>Delta</v>
      </c>
      <c r="AM5" s="94" t="str">
        <f>IFERROR(__xludf.DUMMYFUNCTION("""COMPUTED_VALUE"""),"Leveraged Factor")</f>
        <v>Leveraged Factor</v>
      </c>
      <c r="AN5" s="94" t="str">
        <f>IFERROR(__xludf.DUMMYFUNCTION("""COMPUTED_VALUE"""),"Order Side")</f>
        <v>Order Side</v>
      </c>
      <c r="AO5" s="94" t="str">
        <f>IFERROR(__xludf.DUMMYFUNCTION("""COMPUTED_VALUE"""),"Master Strategy")</f>
        <v>Master Strategy</v>
      </c>
      <c r="AP5" s="94" t="str">
        <f>IFERROR(__xludf.DUMMYFUNCTION("""COMPUTED_VALUE"""),"Transaction Side")</f>
        <v>Transaction Side</v>
      </c>
      <c r="AQ5" s="94" t="str">
        <f>IFERROR(__xludf.DUMMYFUNCTION("""COMPUTED_VALUE"""),"Underlying Symbol")</f>
        <v>Underlying Symbol</v>
      </c>
      <c r="AR5" s="94" t="str">
        <f>IFERROR(__xludf.DUMMYFUNCTION("""COMPUTED_VALUE"""),"Underlying Price")</f>
        <v>Underlying Price</v>
      </c>
      <c r="AS5" s="94" t="str">
        <f>IFERROR(__xludf.DUMMYFUNCTION("""COMPUTED_VALUE"""),"Side Multiplier")</f>
        <v>Side Multiplier</v>
      </c>
      <c r="AT5" s="94" t="str">
        <f>IFERROR(__xludf.DUMMYFUNCTION("""COMPUTED_VALUE"""),"Description")</f>
        <v>Description</v>
      </c>
      <c r="AU5" s="94" t="str">
        <f>IFERROR(__xludf.DUMMYFUNCTION("""COMPUTED_VALUE"""),"Internal Comments")</f>
        <v>Internal Comments</v>
      </c>
      <c r="AV5" s="94" t="str">
        <f>IFERROR(__xludf.DUMMYFUNCTION("""COMPUTED_VALUE"""),"FX Rate On Trade Date")</f>
        <v>FX Rate On Trade Date</v>
      </c>
      <c r="AW5" s="94" t="str">
        <f>IFERROR(__xludf.DUMMYFUNCTION("""COMPUTED_VALUE"""),"Cost Basis P&amp;L (Local)")</f>
        <v>Cost Basis P&amp;L (Local)</v>
      </c>
      <c r="AX5" s="94" t="str">
        <f>IFERROR(__xludf.DUMMYFUNCTION("""COMPUTED_VALUE"""),"Day Interest")</f>
        <v>Day Interest</v>
      </c>
      <c r="AY5" s="94" t="str">
        <f>IFERROR(__xludf.DUMMYFUNCTION("""COMPUTED_VALUE"""),"Total Interest")</f>
        <v>Total Interest</v>
      </c>
      <c r="AZ5" s="94" t="str">
        <f>IFERROR(__xludf.DUMMYFUNCTION("""COMPUTED_VALUE"""),"Market Value (Local)")</f>
        <v>Market Value (Local)</v>
      </c>
      <c r="BA5" s="94" t="str">
        <f>IFERROR(__xludf.DUMMYFUNCTION("""COMPUTED_VALUE"""),"% Gain/Loss Day")</f>
        <v>% Gain/Loss Day</v>
      </c>
      <c r="BB5" s="94" t="str">
        <f>IFERROR(__xludf.DUMMYFUNCTION("""COMPUTED_VALUE"""),"Update Time (Last Price)")</f>
        <v>Update Time (Last Price)</v>
      </c>
      <c r="BC5" s="94" t="str">
        <f>IFERROR(__xludf.DUMMYFUNCTION("""COMPUTED_VALUE"""),"Beta")</f>
        <v>Beta</v>
      </c>
      <c r="BD5" s="94" t="str">
        <f>IFERROR(__xludf.DUMMYFUNCTION("""COMPUTED_VALUE"""),"Cash Impact (Local)")</f>
        <v>Cash Impact (Local)</v>
      </c>
      <c r="BE5" s="94" t="str">
        <f>IFERROR(__xludf.DUMMYFUNCTION("""COMPUTED_VALUE"""),"User Asset")</f>
        <v>User Asset</v>
      </c>
      <c r="BF5" s="94" t="str">
        <f>IFERROR(__xludf.DUMMYFUNCTION("""COMPUTED_VALUE"""),"Security Type")</f>
        <v>Security Type</v>
      </c>
      <c r="BG5" s="94" t="str">
        <f>IFERROR(__xludf.DUMMYFUNCTION("""COMPUTED_VALUE"""),"Sector")</f>
        <v>Sector</v>
      </c>
      <c r="BH5" s="94" t="str">
        <f>IFERROR(__xludf.DUMMYFUNCTION("""COMPUTED_VALUE"""),"Sub Sector")</f>
        <v>Sub Sector</v>
      </c>
      <c r="BI5" s="94" t="str">
        <f>IFERROR(__xludf.DUMMYFUNCTION("""COMPUTED_VALUE"""),"Country")</f>
        <v>Country</v>
      </c>
      <c r="BJ5" s="94" t="str">
        <f>IFERROR(__xludf.DUMMYFUNCTION("""COMPUTED_VALUE"""),"Market Cap")</f>
        <v>Market Cap</v>
      </c>
      <c r="BK5" s="94" t="str">
        <f>IFERROR(__xludf.DUMMYFUNCTION("""COMPUTED_VALUE"""),"Shares Outstanding (MM)")</f>
        <v>Shares Outstanding (MM)</v>
      </c>
      <c r="BL5" s="94" t="str">
        <f>IFERROR(__xludf.DUMMYFUNCTION("""COMPUTED_VALUE"""),"Avg Volume 20 Day")</f>
        <v>Avg Volume 20 Day</v>
      </c>
      <c r="BM5" s="94" t="str">
        <f>IFERROR(__xludf.DUMMYFUNCTION("""COMPUTED_VALUE"""),"% Avg Volume (Delta Adj.)")</f>
        <v>% Avg Volume (Delta Adj.)</v>
      </c>
      <c r="BN5" s="94" t="str">
        <f>IFERROR(__xludf.DUMMYFUNCTION("""COMPUTED_VALUE"""),"Ex Dividend Date")</f>
        <v>Ex Dividend Date</v>
      </c>
      <c r="BO5" s="94" t="str">
        <f>IFERROR(__xludf.DUMMYFUNCTION("""COMPUTED_VALUE"""),"Cash Impact (Base)")</f>
        <v>Cash Impact (Base)</v>
      </c>
      <c r="BP5" s="94" t="str">
        <f>IFERROR(__xludf.DUMMYFUNCTION("""COMPUTED_VALUE"""),"Volatility (%)")</f>
        <v>Volatility (%)</v>
      </c>
      <c r="BQ5" s="94" t="str">
        <f>IFERROR(__xludf.DUMMYFUNCTION("""COMPUTED_VALUE"""),"User")</f>
        <v>User</v>
      </c>
      <c r="BR5" s="94" t="str">
        <f>IFERROR(__xludf.DUMMYFUNCTION("""COMPUTED_VALUE"""),"Broker")</f>
        <v>Broker</v>
      </c>
      <c r="BS5" s="94" t="str">
        <f>IFERROR(__xludf.DUMMYFUNCTION("""COMPUTED_VALUE"""),"Earned Dividend (Local)")</f>
        <v>Earned Dividend (Local)</v>
      </c>
      <c r="BT5" s="94" t="str">
        <f>IFERROR(__xludf.DUMMYFUNCTION("""COMPUTED_VALUE"""),"Earned Dividend (Base)")</f>
        <v>Earned Dividend (Base)</v>
      </c>
      <c r="BU5" s="94" t="str">
        <f>IFERROR(__xludf.DUMMYFUNCTION("""COMPUTED_VALUE"""),"Put/Call")</f>
        <v>Put/Call</v>
      </c>
      <c r="BV5" s="94" t="str">
        <f>IFERROR(__xludf.DUMMYFUNCTION("""COMPUTED_VALUE"""),"Expiration Date")</f>
        <v>Expiration Date</v>
      </c>
      <c r="BW5" s="94" t="str">
        <f>IFERROR(__xludf.DUMMYFUNCTION("""COMPUTED_VALUE"""),"Strike Price")</f>
        <v>Strike Price</v>
      </c>
      <c r="BX5" s="94" t="str">
        <f>IFERROR(__xludf.DUMMYFUNCTION("""COMPUTED_VALUE"""),"Gross Exposure (Base)")</f>
        <v>Gross Exposure (Base)</v>
      </c>
      <c r="BY5" s="94" t="str">
        <f>IFERROR(__xludf.DUMMYFUNCTION("""COMPUTED_VALUE"""),"Gross Market Value (Base)")</f>
        <v>Gross Market Value (Base)</v>
      </c>
      <c r="BZ5" s="94" t="str">
        <f>IFERROR(__xludf.DUMMYFUNCTION("""COMPUTED_VALUE"""),"Px Selected Feed (Local)")</f>
        <v>Px Selected Feed (Local)</v>
      </c>
      <c r="CA5" s="94" t="str">
        <f>IFERROR(__xludf.DUMMYFUNCTION("""COMPUTED_VALUE"""),"Px Selected Feed (Base)")</f>
        <v>Px Selected Feed (Base)</v>
      </c>
      <c r="CB5" s="94" t="str">
        <f>IFERROR(__xludf.DUMMYFUNCTION("""COMPUTED_VALUE"""),"Settlement Date")</f>
        <v>Settlement Date</v>
      </c>
      <c r="CC5" s="94" t="str">
        <f>IFERROR(__xludf.DUMMYFUNCTION("""COMPUTED_VALUE"""),"% Avg Volume")</f>
        <v>% Avg Volume</v>
      </c>
      <c r="CD5" s="94" t="str">
        <f>IFERROR(__xludf.DUMMYFUNCTION("""COMPUTED_VALUE"""),"Day P&amp;L (Base)(Price Gain)")</f>
        <v>Day P&amp;L (Base)(Price Gain)</v>
      </c>
      <c r="CE5" s="94" t="str">
        <f>IFERROR(__xludf.DUMMYFUNCTION("""COMPUTED_VALUE"""),"Day P&amp;L (Base)(FX Gain)")</f>
        <v>Day P&amp;L (Base)(FX Gain)</v>
      </c>
      <c r="CF5" s="94" t="str">
        <f>IFERROR(__xludf.DUMMYFUNCTION("""COMPUTED_VALUE"""),"Cost Basis P&amp;L (Base)(FX Gain)")</f>
        <v>Cost Basis P&amp;L (Base)(FX Gain)</v>
      </c>
      <c r="CG5" s="94" t="str">
        <f>IFERROR(__xludf.DUMMYFUNCTION("""COMPUTED_VALUE"""),"Cost Basis P&amp;L (Base)(Price Gain)")</f>
        <v>Cost Basis P&amp;L (Base)(Price Gain)</v>
      </c>
      <c r="CH5" s="94" t="str">
        <f>IFERROR(__xludf.DUMMYFUNCTION("""COMPUTED_VALUE"""),"% Gain/Loss Cost")</f>
        <v>% Gain/Loss Cost</v>
      </c>
      <c r="CI5" s="94" t="str">
        <f>IFERROR(__xludf.DUMMYFUNCTION("""COMPUTED_VALUE"""),"Underlying Value (Options)")</f>
        <v>Underlying Value (Options)</v>
      </c>
      <c r="CJ5" s="94" t="str">
        <f>IFERROR(__xludf.DUMMYFUNCTION("""COMPUTED_VALUE"""),"Avg Volume 20 Day (Underlying Symbol)")</f>
        <v>Avg Volume 20 Day (Underlying Symbol)</v>
      </c>
      <c r="CK5" s="94" t="str">
        <f>IFERROR(__xludf.DUMMYFUNCTION("""COMPUTED_VALUE"""),"IsStaleData")</f>
        <v>IsStaleData</v>
      </c>
      <c r="CL5" s="94" t="str">
        <f>IFERROR(__xludf.DUMMYFUNCTION("""COMPUTED_VALUE"""),"IDCO")</f>
        <v>IDCO</v>
      </c>
      <c r="CM5" s="94" t="str">
        <f>IFERROR(__xludf.DUMMYFUNCTION("""COMPUTED_VALUE"""),"OSI")</f>
        <v>OSI</v>
      </c>
      <c r="CN5" s="94" t="str">
        <f>IFERROR(__xludf.DUMMYFUNCTION("""COMPUTED_VALUE"""),"SEDOL")</f>
        <v>SEDOL</v>
      </c>
      <c r="CO5" s="94" t="str">
        <f>IFERROR(__xludf.DUMMYFUNCTION("""COMPUTED_VALUE"""),"CUSIP")</f>
        <v>CUSIP</v>
      </c>
      <c r="CP5" s="94" t="str">
        <f>IFERROR(__xludf.DUMMYFUNCTION("""COMPUTED_VALUE"""),"Bloomberg")</f>
        <v>Bloomberg</v>
      </c>
      <c r="CQ5" s="94" t="str">
        <f>IFERROR(__xludf.DUMMYFUNCTION("""COMPUTED_VALUE"""),"ISIN")</f>
        <v>ISIN</v>
      </c>
      <c r="CR5" s="94" t="str">
        <f>IFERROR(__xludf.DUMMYFUNCTION("""COMPUTED_VALUE"""),"Start Trade Date")</f>
        <v>Start Trade Date</v>
      </c>
      <c r="CS5" s="94" t="str">
        <f>IFERROR(__xludf.DUMMYFUNCTION("""COMPUTED_VALUE"""),"Cost Basis (Break Even)")</f>
        <v>Cost Basis (Break Even)</v>
      </c>
      <c r="CT5" s="94" t="str">
        <f>IFERROR(__xludf.DUMMYFUNCTION("""COMPUTED_VALUE"""),"Trade Attribute 3")</f>
        <v>Trade Attribute 3</v>
      </c>
      <c r="CU5" s="94" t="str">
        <f>IFERROR(__xludf.DUMMYFUNCTION("""COMPUTED_VALUE"""),"Trade Attribute 4")</f>
        <v>Trade Attribute 4</v>
      </c>
      <c r="CV5" s="94" t="str">
        <f>IFERROR(__xludf.DUMMYFUNCTION("""COMPUTED_VALUE"""),"Trade Attribute 5")</f>
        <v>Trade Attribute 5</v>
      </c>
      <c r="CW5" s="94" t="str">
        <f>IFERROR(__xludf.DUMMYFUNCTION("""COMPUTED_VALUE"""),"Trade Attribute 6")</f>
        <v>Trade Attribute 6</v>
      </c>
      <c r="CX5" s="94" t="str">
        <f>IFERROR(__xludf.DUMMYFUNCTION("""COMPUTED_VALUE"""),"Proxy Symbol")</f>
        <v>Proxy Symbol</v>
      </c>
      <c r="CY5" s="94" t="str">
        <f>IFERROR(__xludf.DUMMYFUNCTION("""COMPUTED_VALUE"""),"Pricing Source")</f>
        <v>Pricing Source</v>
      </c>
      <c r="CZ5" s="94" t="str">
        <f>IFERROR(__xludf.DUMMYFUNCTION("""COMPUTED_VALUE"""),"Delta Source")</f>
        <v>Delta Source</v>
      </c>
      <c r="DA5" s="94" t="str">
        <f>IFERROR(__xludf.DUMMYFUNCTION("""COMPUTED_VALUE"""),"Gross Exposure (Local)")</f>
        <v>Gross Exposure (Local)</v>
      </c>
      <c r="DB5" s="94" t="str">
        <f>IFERROR(__xludf.DUMMYFUNCTION("""COMPUTED_VALUE"""),"% Day P&amp;L (Net MV)")</f>
        <v>% Day P&amp;L (Net MV)</v>
      </c>
      <c r="DC5" s="94" t="str">
        <f>IFERROR(__xludf.DUMMYFUNCTION("""COMPUTED_VALUE"""),"Expiration Month")</f>
        <v>Expiration Month</v>
      </c>
      <c r="DD5" s="94" t="str">
        <f>IFERROR(__xludf.DUMMYFUNCTION("""COMPUTED_VALUE"""),"Delta Adj. Position (LME)")</f>
        <v>Delta Adj. Position (LME)</v>
      </c>
      <c r="DE5" s="94" t="str">
        <f>IFERROR(__xludf.DUMMYFUNCTION("""COMPUTED_VALUE"""),"Premium")</f>
        <v>Premium</v>
      </c>
      <c r="DF5" s="94" t="str">
        <f>IFERROR(__xludf.DUMMYFUNCTION("""COMPUTED_VALUE"""),"Premium $")</f>
        <v>Premium $</v>
      </c>
      <c r="DG5" s="94" t="str">
        <f>IFERROR(__xludf.DUMMYFUNCTION("""COMPUTED_VALUE"""),"Forward Points")</f>
        <v>Forward Points</v>
      </c>
      <c r="DH5" s="94" t="str">
        <f>IFERROR(__xludf.DUMMYFUNCTION("""COMPUTED_VALUE"""),"Closing Mark (Underlying)")</f>
        <v>Closing Mark (Underlying)</v>
      </c>
      <c r="DI5" s="94" t="str">
        <f>IFERROR(__xludf.DUMMYFUNCTION("""COMPUTED_VALUE"""),"% Change (Underlying Price)")</f>
        <v>% Change (Underlying Price)</v>
      </c>
      <c r="DJ5" s="94" t="str">
        <f>IFERROR(__xludf.DUMMYFUNCTION("""COMPUTED_VALUE"""),"Transaction Type")</f>
        <v>Transaction Type</v>
      </c>
      <c r="DK5" s="94" t="str">
        <f>IFERROR(__xludf.DUMMYFUNCTION("""COMPUTED_VALUE"""),"Closing Market Value (Local)")</f>
        <v>Closing Market Value (Local)</v>
      </c>
      <c r="DL5" s="94" t="str">
        <f>IFERROR(__xludf.DUMMYFUNCTION("""COMPUTED_VALUE"""),"Closing Market Value (Base)")</f>
        <v>Closing Market Value (Base)</v>
      </c>
      <c r="DM5" s="94" t="str">
        <f>IFERROR(__xludf.DUMMYFUNCTION("""COMPUTED_VALUE"""),"Closing FX Rate")</f>
        <v>Closing FX Rate</v>
      </c>
      <c r="DN5" s="94" t="str">
        <f>IFERROR(__xludf.DUMMYFUNCTION("""COMPUTED_VALUE"""),"Change In Underlying Price")</f>
        <v>Change In Underlying Price</v>
      </c>
      <c r="DO5" s="94" t="str">
        <f>IFERROR(__xludf.DUMMYFUNCTION("""COMPUTED_VALUE"""),"RIC")</f>
        <v>RIC</v>
      </c>
      <c r="DP5" s="94" t="str">
        <f>IFERROR(__xludf.DUMMYFUNCTION("""COMPUTED_VALUE"""),"Position Side Exposure (Boxed)")</f>
        <v>Position Side Exposure (Boxed)</v>
      </c>
      <c r="DQ5" s="94" t="str">
        <f>IFERROR(__xludf.DUMMYFUNCTION("""COMPUTED_VALUE"""),"Analyst")</f>
        <v>Analyst</v>
      </c>
      <c r="DR5" s="94" t="str">
        <f>IFERROR(__xludf.DUMMYFUNCTION("""COMPUTED_VALUE"""),"Country Of Risk")</f>
        <v>Country Of Risk</v>
      </c>
      <c r="DS5" s="94" t="str">
        <f>IFERROR(__xludf.DUMMYFUNCTION("""COMPUTED_VALUE"""),"Custom UDA1")</f>
        <v>Custom UDA1</v>
      </c>
      <c r="DT5" s="94" t="str">
        <f>IFERROR(__xludf.DUMMYFUNCTION("""COMPUTED_VALUE"""),"Custom UDA2")</f>
        <v>Custom UDA2</v>
      </c>
      <c r="DU5" s="94" t="str">
        <f>IFERROR(__xludf.DUMMYFUNCTION("""COMPUTED_VALUE"""),"Custom UDA3")</f>
        <v>Custom UDA3</v>
      </c>
      <c r="DV5" s="94" t="str">
        <f>IFERROR(__xludf.DUMMYFUNCTION("""COMPUTED_VALUE"""),"Custom UDA4")</f>
        <v>Custom UDA4</v>
      </c>
      <c r="DW5" s="94" t="str">
        <f>IFERROR(__xludf.DUMMYFUNCTION("""COMPUTED_VALUE"""),"Custom UDA5")</f>
        <v>Custom UDA5</v>
      </c>
      <c r="DX5" s="94" t="str">
        <f>IFERROR(__xludf.DUMMYFUNCTION("""COMPUTED_VALUE"""),"Custom UDA6")</f>
        <v>Custom UDA6</v>
      </c>
      <c r="DY5" s="94" t="str">
        <f>IFERROR(__xludf.DUMMYFUNCTION("""COMPUTED_VALUE"""),"Custom UDA7")</f>
        <v>Custom UDA7</v>
      </c>
      <c r="DZ5" s="94" t="str">
        <f>IFERROR(__xludf.DUMMYFUNCTION("""COMPUTED_VALUE"""),"Issuer")</f>
        <v>Issuer</v>
      </c>
      <c r="EA5" s="94" t="str">
        <f>IFERROR(__xludf.DUMMYFUNCTION("""COMPUTED_VALUE"""),"Liquid Tag")</f>
        <v>Liquid Tag</v>
      </c>
      <c r="EB5" s="94" t="str">
        <f>IFERROR(__xludf.DUMMYFUNCTION("""COMPUTED_VALUE"""),"Market Cap UDA")</f>
        <v>Market Cap UDA</v>
      </c>
      <c r="EC5" s="94" t="str">
        <f>IFERROR(__xludf.DUMMYFUNCTION("""COMPUTED_VALUE"""),"Region")</f>
        <v>Region</v>
      </c>
      <c r="ED5" s="94" t="str">
        <f>IFERROR(__xludf.DUMMYFUNCTION("""COMPUTED_VALUE"""),"Risk Currency")</f>
        <v>Risk Currency</v>
      </c>
      <c r="EE5" s="94" t="str">
        <f>IFERROR(__xludf.DUMMYFUNCTION("""COMPUTED_VALUE"""),"UCITS Eligible Tag")</f>
        <v>UCITS Eligible Tag</v>
      </c>
      <c r="EF5" s="94" t="str">
        <f>IFERROR(__xludf.DUMMYFUNCTION("""COMPUTED_VALUE"""),"FX Rate (Display)")</f>
        <v>FX Rate (Display)</v>
      </c>
      <c r="EG5" s="94" t="str">
        <f>IFERROR(__xludf.DUMMYFUNCTION("""COMPUTED_VALUE"""),"% Net Exposure (Base)")</f>
        <v>% Net Exposure (Base)</v>
      </c>
      <c r="EH5" s="94" t="str">
        <f>IFERROR(__xludf.DUMMYFUNCTION("""COMPUTED_VALUE"""),"% Gross Exposure (Base)")</f>
        <v>% Gross Exposure (Base)</v>
      </c>
      <c r="EI5" s="94" t="str">
        <f>IFERROR(__xludf.DUMMYFUNCTION("""COMPUTED_VALUE"""),"% Exposure (Base)")</f>
        <v>% Exposure (Base)</v>
      </c>
      <c r="EJ5" s="94" t="str">
        <f>IFERROR(__xludf.DUMMYFUNCTION("""COMPUTED_VALUE"""),"% Gross Exposure (Underlying) (Base)")</f>
        <v>% Gross Exposure (Underlying) (Base)</v>
      </c>
      <c r="EK5" s="94" t="str">
        <f>IFERROR(__xludf.DUMMYFUNCTION("""COMPUTED_VALUE"""),"% Beta Adj. Gross Exposure (Base)")</f>
        <v>% Beta Adj. Gross Exposure (Base)</v>
      </c>
      <c r="EL5" s="94" t="str">
        <f>IFERROR(__xludf.DUMMYFUNCTION("""COMPUTED_VALUE"""),"Position Side Exposure (Underlying)")</f>
        <v>Position Side Exposure (Underlying)</v>
      </c>
      <c r="EM5" s="94" t="str">
        <f>IFERROR(__xludf.DUMMYFUNCTION("""COMPUTED_VALUE"""),"Gross Exposure (Underlying) (Base)")</f>
        <v>Gross Exposure (Underlying) (Base)</v>
      </c>
      <c r="EN5" s="94" t="str">
        <f>IFERROR(__xludf.DUMMYFUNCTION("""COMPUTED_VALUE"""),"Gross Exposure (Underlying)")</f>
        <v>Gross Exposure (Underlying)</v>
      </c>
      <c r="EO5" s="94" t="str">
        <f>IFERROR(__xludf.DUMMYFUNCTION("""COMPUTED_VALUE"""),"Day Return")</f>
        <v>Day Return</v>
      </c>
      <c r="EP5" s="94" t="str">
        <f>IFERROR(__xludf.DUMMYFUNCTION("""COMPUTED_VALUE"""),"Start of Day NAV")</f>
        <v>Start of Day NAV</v>
      </c>
      <c r="EQ5" s="94" t="str">
        <f>IFERROR(__xludf.DUMMYFUNCTION("""COMPUTED_VALUE"""),"% Gross Market Value (Base)")</f>
        <v>% Gross Market Value (Base)</v>
      </c>
      <c r="ER5" s="94" t="str">
        <f>IFERROR(__xludf.DUMMYFUNCTION("""COMPUTED_VALUE"""),"Beta Adj. Gross Exposure (Underlying) (Local)")</f>
        <v>Beta Adj. Gross Exposure (Underlying) (Local)</v>
      </c>
      <c r="ES5" s="94" t="str">
        <f>IFERROR(__xludf.DUMMYFUNCTION("""COMPUTED_VALUE"""),"NAV")</f>
        <v>NAV</v>
      </c>
      <c r="ET5" s="94" t="str">
        <f>IFERROR(__xludf.DUMMYFUNCTION("""COMPUTED_VALUE"""),"% P&amp;L Contribution")</f>
        <v>% P&amp;L Contribution</v>
      </c>
      <c r="EU5" s="94" t="str">
        <f>IFERROR(__xludf.DUMMYFUNCTION("""COMPUTED_VALUE"""),"% Net Market Value (Base)")</f>
        <v>% Net Market Value (Base)</v>
      </c>
      <c r="EV5" s="94" t="str">
        <f>IFERROR(__xludf.DUMMYFUNCTION("""COMPUTED_VALUE"""),"Position Side Exposure")</f>
        <v>Position Side Exposure</v>
      </c>
      <c r="EW5" s="94" t="str">
        <f>IFERROR(__xludf.DUMMYFUNCTION("""COMPUTED_VALUE"""),"NAV (Touch)")</f>
        <v>NAV (Touch)</v>
      </c>
      <c r="EX5" s="94" t="str">
        <f>IFERROR(__xludf.DUMMYFUNCTION("""COMPUTED_VALUE"""),"IgnorePropertyChangeEvents")</f>
        <v>IgnorePropertyChangeEvents</v>
      </c>
      <c r="EY5" s="94" t="str">
        <f>IFERROR(__xludf.DUMMYFUNCTION("""COMPUTED_VALUE"""),"Trade Attribute 1")</f>
        <v>Trade Attribute 1</v>
      </c>
      <c r="EZ5" s="94" t="str">
        <f>IFERROR(__xludf.DUMMYFUNCTION("""COMPUTED_VALUE"""),"Trade Attribute 2")</f>
        <v>Trade Attribute 2</v>
      </c>
      <c r="FA5" s="94" t="str">
        <f>IFERROR(__xludf.DUMMYFUNCTION("""COMPUTED_VALUE"""),"Client")</f>
        <v>Client</v>
      </c>
      <c r="FB5" s="94" t="str">
        <f>IFERROR(__xludf.DUMMYFUNCTION("""COMPUTED_VALUE"""),"IsCustomViewTab")</f>
        <v>IsCustomViewTab</v>
      </c>
      <c r="FC5" s="53" t="str">
        <f>IFERROR(__xludf.DUMMYFUNCTION("""COMPUTED_VALUE"""),"ITM/OTM")</f>
        <v>ITM/OTM</v>
      </c>
      <c r="FD5" s="53" t="str">
        <f>IFERROR(__xludf.DUMMYFUNCTION("""COMPUTED_VALUE"""),"Days to Expiry")</f>
        <v>Days to Expiry</v>
      </c>
      <c r="FE5" s="53" t="str">
        <f>IFERROR(__xludf.DUMMYFUNCTION("""COMPUTED_VALUE"""),"% of Underlying Price")</f>
        <v>% of Underlying Price</v>
      </c>
      <c r="FF5" s="53" t="str">
        <f>IFERROR(__xludf.DUMMYFUNCTION("""COMPUTED_VALUE"""),"Intrinsic value")</f>
        <v>Intrinsic value</v>
      </c>
      <c r="FG5" s="53" t="str">
        <f>IFERROR(__xludf.DUMMYFUNCTION("""COMPUTED_VALUE"""),"Gain/Loss if Ex./Assign")</f>
        <v>Gain/Loss if Ex./Assign</v>
      </c>
      <c r="FH5" s="53"/>
      <c r="FI5" s="53"/>
      <c r="FJ5" s="53"/>
      <c r="FK5" s="53"/>
      <c r="FL5" s="53"/>
    </row>
    <row r="6" ht="15.75" customHeight="1">
      <c r="A6" s="56"/>
      <c r="B6" s="95"/>
      <c r="C6" s="96" t="s">
        <v>21</v>
      </c>
      <c r="D6" s="97">
        <v>25.0</v>
      </c>
      <c r="E6" s="95" t="s">
        <v>44</v>
      </c>
      <c r="F6" s="95" t="s">
        <v>52</v>
      </c>
      <c r="G6" s="98">
        <v>10.0</v>
      </c>
      <c r="H6" s="95" t="s">
        <v>53</v>
      </c>
      <c r="I6" s="97"/>
      <c r="J6" s="95"/>
      <c r="K6" s="97">
        <v>0.0</v>
      </c>
      <c r="L6" s="95"/>
      <c r="M6" s="95"/>
      <c r="N6" s="97">
        <v>-250.0</v>
      </c>
      <c r="O6" s="99" t="s">
        <v>54</v>
      </c>
      <c r="P6" s="95" t="s">
        <v>55</v>
      </c>
      <c r="Q6" s="97">
        <v>-250.0</v>
      </c>
      <c r="R6" s="95" t="s">
        <v>33</v>
      </c>
      <c r="S6" s="95" t="s">
        <v>56</v>
      </c>
      <c r="T6" s="100" t="s">
        <v>57</v>
      </c>
      <c r="U6" s="100" t="s">
        <v>58</v>
      </c>
      <c r="V6" s="100" t="s">
        <v>59</v>
      </c>
      <c r="W6" s="100" t="s">
        <v>60</v>
      </c>
      <c r="X6" s="101"/>
      <c r="Y6" s="101">
        <v>1.0</v>
      </c>
      <c r="Z6" s="100"/>
      <c r="AA6" s="100"/>
      <c r="AB6" s="101">
        <v>0.0</v>
      </c>
      <c r="AC6" s="101">
        <v>0.0</v>
      </c>
      <c r="AD6" s="102">
        <v>0.0</v>
      </c>
      <c r="AE6" s="102">
        <v>0.0</v>
      </c>
      <c r="AF6" s="102">
        <v>25.0</v>
      </c>
      <c r="AG6" s="102">
        <v>0.0</v>
      </c>
      <c r="AH6" s="102">
        <v>0.0</v>
      </c>
      <c r="AI6" s="102">
        <v>0.0</v>
      </c>
      <c r="AJ6" s="103"/>
      <c r="AK6" s="102">
        <v>-250.0</v>
      </c>
      <c r="AL6" s="101">
        <v>1.0</v>
      </c>
      <c r="AM6" s="101">
        <v>1.0</v>
      </c>
      <c r="AN6" s="100" t="s">
        <v>22</v>
      </c>
      <c r="AO6" s="100"/>
      <c r="AP6" s="100" t="s">
        <v>53</v>
      </c>
      <c r="AQ6" s="99" t="s">
        <v>21</v>
      </c>
      <c r="AR6" s="104">
        <v>0.0</v>
      </c>
      <c r="AS6" s="101">
        <v>1.0</v>
      </c>
      <c r="AT6" s="100"/>
      <c r="AU6" s="100" t="s">
        <v>61</v>
      </c>
      <c r="AV6" s="100"/>
      <c r="AW6" s="102">
        <v>-250.0</v>
      </c>
      <c r="AX6" s="101">
        <v>0.0</v>
      </c>
      <c r="AY6" s="101">
        <v>0.0</v>
      </c>
      <c r="AZ6" s="102">
        <v>0.0</v>
      </c>
      <c r="BA6" s="104">
        <v>-100.0</v>
      </c>
      <c r="BB6" s="100"/>
      <c r="BC6" s="100"/>
      <c r="BD6" s="102">
        <v>-250.0</v>
      </c>
      <c r="BE6" s="100" t="s">
        <v>57</v>
      </c>
      <c r="BF6" s="99" t="s">
        <v>62</v>
      </c>
      <c r="BG6" s="99" t="s">
        <v>63</v>
      </c>
      <c r="BH6" s="100"/>
      <c r="BI6" s="100"/>
      <c r="BJ6" s="101">
        <v>0.0</v>
      </c>
      <c r="BK6" s="101">
        <v>0.0</v>
      </c>
      <c r="BL6" s="101">
        <v>0.0</v>
      </c>
      <c r="BM6" s="101">
        <v>0.0</v>
      </c>
      <c r="BN6" s="100"/>
      <c r="BO6" s="102">
        <v>-250.0</v>
      </c>
      <c r="BP6" s="101">
        <v>0.0</v>
      </c>
      <c r="BQ6" s="100"/>
      <c r="BR6" s="100" t="s">
        <v>33</v>
      </c>
      <c r="BS6" s="101">
        <v>0.0</v>
      </c>
      <c r="BT6" s="101">
        <v>0.0</v>
      </c>
      <c r="BU6" s="100" t="s">
        <v>57</v>
      </c>
      <c r="BV6" s="100"/>
      <c r="BW6" s="100"/>
      <c r="BX6" s="102">
        <v>0.0</v>
      </c>
      <c r="BY6" s="102">
        <v>0.0</v>
      </c>
      <c r="BZ6" s="101">
        <v>0.0</v>
      </c>
      <c r="CA6" s="101">
        <v>0.0</v>
      </c>
      <c r="CB6" s="100"/>
      <c r="CC6" s="101">
        <v>0.0</v>
      </c>
      <c r="CD6" s="102">
        <v>-250.0</v>
      </c>
      <c r="CE6" s="101">
        <v>0.0</v>
      </c>
      <c r="CF6" s="101">
        <v>0.0</v>
      </c>
      <c r="CG6" s="102">
        <v>-250.0</v>
      </c>
      <c r="CH6" s="101">
        <v>-100.0</v>
      </c>
      <c r="CI6" s="101">
        <v>0.0</v>
      </c>
      <c r="CJ6" s="101">
        <v>0.0</v>
      </c>
      <c r="CK6" s="101" t="b">
        <v>0</v>
      </c>
      <c r="CL6" s="100"/>
      <c r="CM6" s="100"/>
      <c r="CN6" s="100"/>
      <c r="CO6" s="100"/>
      <c r="CP6" s="99" t="s">
        <v>64</v>
      </c>
      <c r="CQ6" s="100"/>
      <c r="CR6" s="100"/>
      <c r="CS6" s="101">
        <v>10.0</v>
      </c>
      <c r="CT6" s="100"/>
      <c r="CU6" s="100"/>
      <c r="CV6" s="100"/>
      <c r="CW6" s="100"/>
      <c r="CX6" s="100"/>
      <c r="CY6" s="100"/>
      <c r="CZ6" s="100"/>
      <c r="DA6" s="102">
        <v>0.0</v>
      </c>
      <c r="DB6" s="101"/>
      <c r="DC6" s="100"/>
      <c r="DD6" s="102">
        <v>25.0</v>
      </c>
      <c r="DE6" s="100"/>
      <c r="DF6" s="100"/>
      <c r="DG6" s="100"/>
      <c r="DH6" s="100" t="s">
        <v>55</v>
      </c>
      <c r="DI6" s="101">
        <v>0.0</v>
      </c>
      <c r="DJ6" s="100" t="s">
        <v>22</v>
      </c>
      <c r="DK6" s="101">
        <v>0.0</v>
      </c>
      <c r="DL6" s="101">
        <v>0.0</v>
      </c>
      <c r="DM6" s="101">
        <v>1.0</v>
      </c>
      <c r="DN6" s="101"/>
      <c r="DO6" s="100"/>
      <c r="DP6" s="100" t="s">
        <v>53</v>
      </c>
      <c r="DQ6" s="99" t="s">
        <v>65</v>
      </c>
      <c r="DR6" s="99" t="s">
        <v>66</v>
      </c>
      <c r="DS6" s="99" t="s">
        <v>65</v>
      </c>
      <c r="DT6" s="99" t="s">
        <v>65</v>
      </c>
      <c r="DU6" s="105" t="s">
        <v>67</v>
      </c>
      <c r="DV6" s="99" t="s">
        <v>65</v>
      </c>
      <c r="DW6" s="106"/>
      <c r="DX6" s="100"/>
      <c r="DY6" s="107" t="s">
        <v>65</v>
      </c>
      <c r="DZ6" s="107" t="s">
        <v>54</v>
      </c>
      <c r="EA6" s="107" t="s">
        <v>67</v>
      </c>
      <c r="EB6" s="107" t="s">
        <v>65</v>
      </c>
      <c r="EC6" s="107" t="s">
        <v>65</v>
      </c>
      <c r="ED6" s="100" t="s">
        <v>60</v>
      </c>
      <c r="EE6" s="100"/>
      <c r="EF6" s="100"/>
      <c r="EG6" s="101">
        <v>0.0</v>
      </c>
      <c r="EH6" s="101">
        <v>0.0</v>
      </c>
      <c r="EI6" s="101">
        <v>0.0</v>
      </c>
      <c r="EJ6" s="101">
        <v>0.0</v>
      </c>
      <c r="EK6" s="101">
        <v>0.0</v>
      </c>
      <c r="EL6" s="100" t="s">
        <v>53</v>
      </c>
      <c r="EM6" s="101">
        <v>0.0</v>
      </c>
      <c r="EN6" s="101">
        <v>0.0</v>
      </c>
      <c r="EO6" s="101">
        <v>0.0</v>
      </c>
      <c r="EP6" s="101">
        <v>0.0</v>
      </c>
      <c r="EQ6" s="101">
        <v>0.0</v>
      </c>
      <c r="ER6" s="101">
        <v>0.0</v>
      </c>
      <c r="ES6" s="102">
        <v>-500.0</v>
      </c>
      <c r="ET6" s="101">
        <v>0.0</v>
      </c>
      <c r="EU6" s="101">
        <v>0.0</v>
      </c>
      <c r="EV6" s="100" t="s">
        <v>53</v>
      </c>
      <c r="EW6" s="101">
        <v>-250.0</v>
      </c>
      <c r="EX6" s="108" t="b">
        <v>0</v>
      </c>
      <c r="EY6" s="100"/>
      <c r="EZ6" s="100"/>
      <c r="FA6" s="100"/>
      <c r="FB6" s="100"/>
      <c r="FC6" s="57"/>
      <c r="FD6" s="57"/>
      <c r="FE6" s="57"/>
      <c r="FF6" s="57"/>
      <c r="FG6" s="57"/>
      <c r="FH6" s="57"/>
      <c r="FI6" s="57"/>
      <c r="FJ6" s="57"/>
      <c r="FK6" s="57"/>
      <c r="FL6" s="57"/>
    </row>
    <row r="7" ht="15.75" customHeight="1">
      <c r="A7" s="56"/>
      <c r="B7" s="95"/>
      <c r="C7" s="96" t="s">
        <v>21</v>
      </c>
      <c r="D7" s="97">
        <v>25.0</v>
      </c>
      <c r="E7" s="95" t="s">
        <v>43</v>
      </c>
      <c r="F7" s="95" t="s">
        <v>68</v>
      </c>
      <c r="G7" s="98">
        <v>10.0</v>
      </c>
      <c r="H7" s="95" t="s">
        <v>53</v>
      </c>
      <c r="I7" s="97"/>
      <c r="J7" s="95"/>
      <c r="K7" s="97">
        <v>0.0</v>
      </c>
      <c r="L7" s="95"/>
      <c r="M7" s="95"/>
      <c r="N7" s="98">
        <v>-250.0</v>
      </c>
      <c r="O7" s="99" t="s">
        <v>54</v>
      </c>
      <c r="P7" s="95" t="s">
        <v>55</v>
      </c>
      <c r="Q7" s="97">
        <v>-250.0</v>
      </c>
      <c r="R7" s="95" t="s">
        <v>69</v>
      </c>
      <c r="S7" s="95" t="s">
        <v>56</v>
      </c>
      <c r="T7" s="100" t="s">
        <v>57</v>
      </c>
      <c r="U7" s="100" t="s">
        <v>58</v>
      </c>
      <c r="V7" s="100" t="s">
        <v>59</v>
      </c>
      <c r="W7" s="100" t="s">
        <v>60</v>
      </c>
      <c r="X7" s="101"/>
      <c r="Y7" s="101">
        <v>1.0</v>
      </c>
      <c r="Z7" s="100"/>
      <c r="AA7" s="100"/>
      <c r="AB7" s="101">
        <v>0.0</v>
      </c>
      <c r="AC7" s="101">
        <v>0.0</v>
      </c>
      <c r="AD7" s="102">
        <v>0.0</v>
      </c>
      <c r="AE7" s="102">
        <v>0.0</v>
      </c>
      <c r="AF7" s="102">
        <v>25.0</v>
      </c>
      <c r="AG7" s="102">
        <v>0.0</v>
      </c>
      <c r="AH7" s="102">
        <v>0.0</v>
      </c>
      <c r="AI7" s="102">
        <v>0.0</v>
      </c>
      <c r="AJ7" s="103"/>
      <c r="AK7" s="102">
        <v>-250.0</v>
      </c>
      <c r="AL7" s="101">
        <v>1.0</v>
      </c>
      <c r="AM7" s="101">
        <v>1.0</v>
      </c>
      <c r="AN7" s="100" t="s">
        <v>22</v>
      </c>
      <c r="AO7" s="100"/>
      <c r="AP7" s="100" t="s">
        <v>53</v>
      </c>
      <c r="AQ7" s="99" t="s">
        <v>21</v>
      </c>
      <c r="AR7" s="104">
        <v>0.0</v>
      </c>
      <c r="AS7" s="101">
        <v>1.0</v>
      </c>
      <c r="AT7" s="100"/>
      <c r="AU7" s="100" t="s">
        <v>61</v>
      </c>
      <c r="AV7" s="100"/>
      <c r="AW7" s="102">
        <v>-250.0</v>
      </c>
      <c r="AX7" s="101">
        <v>0.0</v>
      </c>
      <c r="AY7" s="101">
        <v>0.0</v>
      </c>
      <c r="AZ7" s="102">
        <v>0.0</v>
      </c>
      <c r="BA7" s="104">
        <v>-100.0</v>
      </c>
      <c r="BB7" s="100"/>
      <c r="BC7" s="100"/>
      <c r="BD7" s="102">
        <v>-250.0</v>
      </c>
      <c r="BE7" s="100" t="s">
        <v>57</v>
      </c>
      <c r="BF7" s="99" t="s">
        <v>62</v>
      </c>
      <c r="BG7" s="99" t="s">
        <v>63</v>
      </c>
      <c r="BH7" s="100"/>
      <c r="BI7" s="100"/>
      <c r="BJ7" s="101">
        <v>0.0</v>
      </c>
      <c r="BK7" s="101">
        <v>0.0</v>
      </c>
      <c r="BL7" s="101">
        <v>0.0</v>
      </c>
      <c r="BM7" s="101">
        <v>0.0</v>
      </c>
      <c r="BN7" s="100"/>
      <c r="BO7" s="102">
        <v>-250.0</v>
      </c>
      <c r="BP7" s="101">
        <v>0.0</v>
      </c>
      <c r="BQ7" s="100"/>
      <c r="BR7" s="100" t="s">
        <v>33</v>
      </c>
      <c r="BS7" s="101">
        <v>0.0</v>
      </c>
      <c r="BT7" s="101">
        <v>0.0</v>
      </c>
      <c r="BU7" s="100" t="s">
        <v>57</v>
      </c>
      <c r="BV7" s="100"/>
      <c r="BW7" s="100"/>
      <c r="BX7" s="102">
        <v>0.0</v>
      </c>
      <c r="BY7" s="102">
        <v>0.0</v>
      </c>
      <c r="BZ7" s="101">
        <v>0.0</v>
      </c>
      <c r="CA7" s="101">
        <v>0.0</v>
      </c>
      <c r="CB7" s="100"/>
      <c r="CC7" s="101">
        <v>0.0</v>
      </c>
      <c r="CD7" s="102">
        <v>-250.0</v>
      </c>
      <c r="CE7" s="101">
        <v>0.0</v>
      </c>
      <c r="CF7" s="101">
        <v>0.0</v>
      </c>
      <c r="CG7" s="102">
        <v>-250.0</v>
      </c>
      <c r="CH7" s="101">
        <v>-100.0</v>
      </c>
      <c r="CI7" s="101">
        <v>0.0</v>
      </c>
      <c r="CJ7" s="101">
        <v>0.0</v>
      </c>
      <c r="CK7" s="101" t="b">
        <v>0</v>
      </c>
      <c r="CL7" s="100"/>
      <c r="CM7" s="100"/>
      <c r="CN7" s="100"/>
      <c r="CO7" s="100"/>
      <c r="CP7" s="99" t="s">
        <v>64</v>
      </c>
      <c r="CQ7" s="100"/>
      <c r="CR7" s="100"/>
      <c r="CS7" s="101">
        <v>10.0</v>
      </c>
      <c r="CT7" s="100"/>
      <c r="CU7" s="100"/>
      <c r="CV7" s="100"/>
      <c r="CW7" s="100"/>
      <c r="CX7" s="100"/>
      <c r="CY7" s="100"/>
      <c r="CZ7" s="100"/>
      <c r="DA7" s="102">
        <v>0.0</v>
      </c>
      <c r="DB7" s="101"/>
      <c r="DC7" s="100"/>
      <c r="DD7" s="102">
        <v>25.0</v>
      </c>
      <c r="DE7" s="100"/>
      <c r="DF7" s="100"/>
      <c r="DG7" s="100"/>
      <c r="DH7" s="100" t="s">
        <v>55</v>
      </c>
      <c r="DI7" s="101">
        <v>0.0</v>
      </c>
      <c r="DJ7" s="100" t="s">
        <v>22</v>
      </c>
      <c r="DK7" s="101">
        <v>0.0</v>
      </c>
      <c r="DL7" s="101">
        <v>0.0</v>
      </c>
      <c r="DM7" s="101">
        <v>1.0</v>
      </c>
      <c r="DN7" s="101"/>
      <c r="DO7" s="100"/>
      <c r="DP7" s="100" t="s">
        <v>53</v>
      </c>
      <c r="DQ7" s="99" t="s">
        <v>65</v>
      </c>
      <c r="DR7" s="99" t="s">
        <v>66</v>
      </c>
      <c r="DS7" s="99" t="s">
        <v>65</v>
      </c>
      <c r="DT7" s="99" t="s">
        <v>65</v>
      </c>
      <c r="DU7" s="105" t="s">
        <v>67</v>
      </c>
      <c r="DV7" s="99" t="s">
        <v>65</v>
      </c>
      <c r="DW7" s="106"/>
      <c r="DX7" s="100"/>
      <c r="DY7" s="107" t="s">
        <v>65</v>
      </c>
      <c r="DZ7" s="107" t="s">
        <v>54</v>
      </c>
      <c r="EA7" s="107" t="s">
        <v>67</v>
      </c>
      <c r="EB7" s="107" t="s">
        <v>65</v>
      </c>
      <c r="EC7" s="107" t="s">
        <v>65</v>
      </c>
      <c r="ED7" s="100" t="s">
        <v>60</v>
      </c>
      <c r="EE7" s="100"/>
      <c r="EF7" s="100"/>
      <c r="EG7" s="101">
        <v>0.0</v>
      </c>
      <c r="EH7" s="101">
        <v>0.0</v>
      </c>
      <c r="EI7" s="101">
        <v>0.0</v>
      </c>
      <c r="EJ7" s="101">
        <v>0.0</v>
      </c>
      <c r="EK7" s="101">
        <v>0.0</v>
      </c>
      <c r="EL7" s="100" t="s">
        <v>53</v>
      </c>
      <c r="EM7" s="101">
        <v>0.0</v>
      </c>
      <c r="EN7" s="101">
        <v>0.0</v>
      </c>
      <c r="EO7" s="101">
        <v>0.0</v>
      </c>
      <c r="EP7" s="101">
        <v>0.0</v>
      </c>
      <c r="EQ7" s="101">
        <v>0.0</v>
      </c>
      <c r="ER7" s="101">
        <v>0.0</v>
      </c>
      <c r="ES7" s="102">
        <v>-500.0</v>
      </c>
      <c r="ET7" s="101">
        <v>0.0</v>
      </c>
      <c r="EU7" s="101">
        <v>0.0</v>
      </c>
      <c r="EV7" s="100" t="s">
        <v>53</v>
      </c>
      <c r="EW7" s="101">
        <v>-250.0</v>
      </c>
      <c r="EX7" s="108" t="b">
        <v>0</v>
      </c>
      <c r="EY7" s="100"/>
      <c r="EZ7" s="100"/>
      <c r="FA7" s="100"/>
      <c r="FB7" s="100"/>
      <c r="FC7" s="57"/>
      <c r="FD7" s="57"/>
      <c r="FE7" s="57"/>
      <c r="FF7" s="57"/>
      <c r="FG7" s="57"/>
      <c r="FH7" s="57"/>
      <c r="FI7" s="57"/>
      <c r="FJ7" s="57"/>
      <c r="FK7" s="57"/>
      <c r="FL7" s="5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  <c r="FK11" s="50"/>
      <c r="FL11" s="5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  <c r="FK12" s="50"/>
      <c r="FL12" s="50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  <c r="FK13" s="50"/>
      <c r="FL13" s="50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  <c r="FK14" s="50"/>
      <c r="FL14" s="50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  <c r="FK15" s="50"/>
      <c r="FL15" s="50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  <c r="FL16" s="50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  <c r="FL18" s="50"/>
    </row>
    <row r="19" ht="15.75" customHeight="1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</row>
    <row r="20" ht="15.75" customHeight="1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</row>
    <row r="21" ht="15.75" customHeigh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</row>
    <row r="22" ht="15.75" customHeight="1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</row>
    <row r="23" ht="15.75" customHeight="1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  <c r="FK23" s="50"/>
      <c r="FL23" s="50"/>
    </row>
    <row r="24" ht="15.75" customHeight="1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</row>
    <row r="25" ht="15.75" customHeight="1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</row>
    <row r="26" ht="15.75" customHeight="1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  <c r="FK26" s="50"/>
      <c r="FL26" s="50"/>
    </row>
    <row r="27" ht="15.7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  <c r="FK27" s="50"/>
      <c r="FL27" s="50"/>
    </row>
    <row r="28" ht="15.75" customHeight="1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  <c r="FK28" s="50"/>
      <c r="FL28" s="50"/>
    </row>
    <row r="29" ht="15.75" customHeight="1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  <c r="FK29" s="50"/>
      <c r="FL29" s="50"/>
    </row>
    <row r="30" ht="15.75" customHeight="1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  <c r="EY30" s="50"/>
      <c r="EZ30" s="50"/>
      <c r="FA30" s="50"/>
      <c r="FB30" s="50"/>
      <c r="FC30" s="50"/>
      <c r="FD30" s="50"/>
      <c r="FE30" s="50"/>
      <c r="FF30" s="50"/>
      <c r="FG30" s="50"/>
      <c r="FH30" s="50"/>
      <c r="FI30" s="50"/>
      <c r="FJ30" s="50"/>
      <c r="FK30" s="50"/>
      <c r="FL30" s="50"/>
    </row>
    <row r="31" ht="15.7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  <c r="FK31" s="50"/>
      <c r="FL31" s="50"/>
    </row>
    <row r="32" ht="15.75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  <c r="FK32" s="50"/>
      <c r="FL32" s="50"/>
    </row>
    <row r="33" ht="15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  <c r="FK33" s="50"/>
      <c r="FL33" s="50"/>
    </row>
    <row r="34" ht="15.75" customHeight="1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  <c r="FK34" s="50"/>
      <c r="FL34" s="50"/>
    </row>
    <row r="35" ht="15.7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  <c r="FK35" s="50"/>
      <c r="FL35" s="50"/>
    </row>
    <row r="36" ht="15.75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  <c r="FK36" s="50"/>
      <c r="FL36" s="50"/>
    </row>
    <row r="37" ht="15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  <c r="FK37" s="50"/>
      <c r="FL37" s="50"/>
    </row>
    <row r="38" ht="15.7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  <c r="EY38" s="50"/>
      <c r="EZ38" s="50"/>
      <c r="FA38" s="50"/>
      <c r="FB38" s="50"/>
      <c r="FC38" s="50"/>
      <c r="FD38" s="50"/>
      <c r="FE38" s="50"/>
      <c r="FF38" s="50"/>
      <c r="FG38" s="50"/>
      <c r="FH38" s="50"/>
      <c r="FI38" s="50"/>
      <c r="FJ38" s="50"/>
      <c r="FK38" s="50"/>
      <c r="FL38" s="50"/>
    </row>
    <row r="39" ht="15.7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  <c r="EY39" s="50"/>
      <c r="EZ39" s="50"/>
      <c r="FA39" s="50"/>
      <c r="FB39" s="50"/>
      <c r="FC39" s="50"/>
      <c r="FD39" s="50"/>
      <c r="FE39" s="50"/>
      <c r="FF39" s="50"/>
      <c r="FG39" s="50"/>
      <c r="FH39" s="50"/>
      <c r="FI39" s="50"/>
      <c r="FJ39" s="50"/>
      <c r="FK39" s="50"/>
      <c r="FL39" s="50"/>
    </row>
    <row r="40" ht="15.7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  <c r="EY40" s="50"/>
      <c r="EZ40" s="50"/>
      <c r="FA40" s="50"/>
      <c r="FB40" s="50"/>
      <c r="FC40" s="50"/>
      <c r="FD40" s="50"/>
      <c r="FE40" s="50"/>
      <c r="FF40" s="50"/>
      <c r="FG40" s="50"/>
      <c r="FH40" s="50"/>
      <c r="FI40" s="50"/>
      <c r="FJ40" s="50"/>
      <c r="FK40" s="50"/>
      <c r="FL40" s="50"/>
    </row>
    <row r="41" ht="15.7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  <c r="EY41" s="50"/>
      <c r="EZ41" s="50"/>
      <c r="FA41" s="50"/>
      <c r="FB41" s="50"/>
      <c r="FC41" s="50"/>
      <c r="FD41" s="50"/>
      <c r="FE41" s="50"/>
      <c r="FF41" s="50"/>
      <c r="FG41" s="50"/>
      <c r="FH41" s="50"/>
      <c r="FI41" s="50"/>
      <c r="FJ41" s="50"/>
      <c r="FK41" s="50"/>
      <c r="FL41" s="50"/>
    </row>
    <row r="42" ht="15.7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  <c r="EY42" s="50"/>
      <c r="EZ42" s="50"/>
      <c r="FA42" s="50"/>
      <c r="FB42" s="50"/>
      <c r="FC42" s="50"/>
      <c r="FD42" s="50"/>
      <c r="FE42" s="50"/>
      <c r="FF42" s="50"/>
      <c r="FG42" s="50"/>
      <c r="FH42" s="50"/>
      <c r="FI42" s="50"/>
      <c r="FJ42" s="50"/>
      <c r="FK42" s="50"/>
      <c r="FL42" s="50"/>
    </row>
    <row r="43" ht="15.75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  <c r="EY43" s="50"/>
      <c r="EZ43" s="50"/>
      <c r="FA43" s="50"/>
      <c r="FB43" s="50"/>
      <c r="FC43" s="50"/>
      <c r="FD43" s="50"/>
      <c r="FE43" s="50"/>
      <c r="FF43" s="50"/>
      <c r="FG43" s="50"/>
      <c r="FH43" s="50"/>
      <c r="FI43" s="50"/>
      <c r="FJ43" s="50"/>
      <c r="FK43" s="50"/>
      <c r="FL43" s="50"/>
    </row>
    <row r="44" ht="15.7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  <c r="EY44" s="50"/>
      <c r="EZ44" s="50"/>
      <c r="FA44" s="50"/>
      <c r="FB44" s="50"/>
      <c r="FC44" s="50"/>
      <c r="FD44" s="50"/>
      <c r="FE44" s="50"/>
      <c r="FF44" s="50"/>
      <c r="FG44" s="50"/>
      <c r="FH44" s="50"/>
      <c r="FI44" s="50"/>
      <c r="FJ44" s="50"/>
      <c r="FK44" s="50"/>
      <c r="FL44" s="50"/>
    </row>
    <row r="45" ht="15.7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/>
      <c r="DS45" s="50"/>
      <c r="DT45" s="50"/>
      <c r="DU45" s="50"/>
      <c r="DV45" s="50"/>
      <c r="DW45" s="50"/>
      <c r="DX45" s="50"/>
      <c r="DY45" s="50"/>
      <c r="DZ45" s="50"/>
      <c r="EA45" s="50"/>
      <c r="EB45" s="50"/>
      <c r="EC45" s="50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50"/>
      <c r="ER45" s="50"/>
      <c r="ES45" s="50"/>
      <c r="ET45" s="50"/>
      <c r="EU45" s="50"/>
      <c r="EV45" s="50"/>
      <c r="EW45" s="50"/>
      <c r="EX45" s="50"/>
      <c r="EY45" s="50"/>
      <c r="EZ45" s="50"/>
      <c r="FA45" s="50"/>
      <c r="FB45" s="50"/>
      <c r="FC45" s="50"/>
      <c r="FD45" s="50"/>
      <c r="FE45" s="50"/>
      <c r="FF45" s="50"/>
      <c r="FG45" s="50"/>
      <c r="FH45" s="50"/>
      <c r="FI45" s="50"/>
      <c r="FJ45" s="50"/>
      <c r="FK45" s="50"/>
      <c r="FL45" s="50"/>
    </row>
    <row r="46" ht="15.7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  <c r="EY46" s="50"/>
      <c r="EZ46" s="50"/>
      <c r="FA46" s="50"/>
      <c r="FB46" s="50"/>
      <c r="FC46" s="50"/>
      <c r="FD46" s="50"/>
      <c r="FE46" s="50"/>
      <c r="FF46" s="50"/>
      <c r="FG46" s="50"/>
      <c r="FH46" s="50"/>
      <c r="FI46" s="50"/>
      <c r="FJ46" s="50"/>
      <c r="FK46" s="50"/>
      <c r="FL46" s="50"/>
    </row>
    <row r="47" ht="15.7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  <c r="EY47" s="50"/>
      <c r="EZ47" s="50"/>
      <c r="FA47" s="50"/>
      <c r="FB47" s="50"/>
      <c r="FC47" s="50"/>
      <c r="FD47" s="50"/>
      <c r="FE47" s="50"/>
      <c r="FF47" s="50"/>
      <c r="FG47" s="50"/>
      <c r="FH47" s="50"/>
      <c r="FI47" s="50"/>
      <c r="FJ47" s="50"/>
      <c r="FK47" s="50"/>
      <c r="FL47" s="50"/>
    </row>
    <row r="48" ht="15.7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  <c r="EY48" s="50"/>
      <c r="EZ48" s="50"/>
      <c r="FA48" s="50"/>
      <c r="FB48" s="50"/>
      <c r="FC48" s="50"/>
      <c r="FD48" s="50"/>
      <c r="FE48" s="50"/>
      <c r="FF48" s="50"/>
      <c r="FG48" s="50"/>
      <c r="FH48" s="50"/>
      <c r="FI48" s="50"/>
      <c r="FJ48" s="50"/>
      <c r="FK48" s="50"/>
      <c r="FL48" s="50"/>
    </row>
    <row r="49" ht="15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50"/>
      <c r="DT49" s="50"/>
      <c r="DU49" s="50"/>
      <c r="DV49" s="50"/>
      <c r="DW49" s="50"/>
      <c r="DX49" s="50"/>
      <c r="DY49" s="50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0"/>
      <c r="EW49" s="50"/>
      <c r="EX49" s="50"/>
      <c r="EY49" s="50"/>
      <c r="EZ49" s="50"/>
      <c r="FA49" s="50"/>
      <c r="FB49" s="50"/>
      <c r="FC49" s="50"/>
      <c r="FD49" s="50"/>
      <c r="FE49" s="50"/>
      <c r="FF49" s="50"/>
      <c r="FG49" s="50"/>
      <c r="FH49" s="50"/>
      <c r="FI49" s="50"/>
      <c r="FJ49" s="50"/>
      <c r="FK49" s="50"/>
      <c r="FL49" s="50"/>
    </row>
    <row r="50" ht="15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50"/>
      <c r="DC50" s="50"/>
      <c r="DD50" s="50"/>
      <c r="DE50" s="50"/>
      <c r="DF50" s="50"/>
      <c r="DG50" s="50"/>
      <c r="DH50" s="50"/>
      <c r="DI50" s="50"/>
      <c r="DJ50" s="50"/>
      <c r="DK50" s="50"/>
      <c r="DL50" s="50"/>
      <c r="DM50" s="50"/>
      <c r="DN50" s="50"/>
      <c r="DO50" s="50"/>
      <c r="DP50" s="50"/>
      <c r="DQ50" s="50"/>
      <c r="DR50" s="50"/>
      <c r="DS50" s="50"/>
      <c r="DT50" s="50"/>
      <c r="DU50" s="50"/>
      <c r="DV50" s="50"/>
      <c r="DW50" s="50"/>
      <c r="DX50" s="50"/>
      <c r="DY50" s="50"/>
      <c r="DZ50" s="50"/>
      <c r="EA50" s="50"/>
      <c r="EB50" s="50"/>
      <c r="EC50" s="50"/>
      <c r="ED50" s="50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  <c r="EP50" s="50"/>
      <c r="EQ50" s="50"/>
      <c r="ER50" s="50"/>
      <c r="ES50" s="50"/>
      <c r="ET50" s="50"/>
      <c r="EU50" s="50"/>
      <c r="EV50" s="50"/>
      <c r="EW50" s="50"/>
      <c r="EX50" s="50"/>
      <c r="EY50" s="50"/>
      <c r="EZ50" s="50"/>
      <c r="FA50" s="50"/>
      <c r="FB50" s="50"/>
      <c r="FC50" s="50"/>
      <c r="FD50" s="50"/>
      <c r="FE50" s="50"/>
      <c r="FF50" s="50"/>
      <c r="FG50" s="50"/>
      <c r="FH50" s="50"/>
      <c r="FI50" s="50"/>
      <c r="FJ50" s="50"/>
      <c r="FK50" s="50"/>
      <c r="FL50" s="50"/>
    </row>
    <row r="51" ht="15.7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0"/>
      <c r="DD51" s="50"/>
      <c r="DE51" s="50"/>
      <c r="DF51" s="50"/>
      <c r="DG51" s="50"/>
      <c r="DH51" s="50"/>
      <c r="DI51" s="50"/>
      <c r="DJ51" s="50"/>
      <c r="DK51" s="50"/>
      <c r="DL51" s="50"/>
      <c r="DM51" s="50"/>
      <c r="DN51" s="50"/>
      <c r="DO51" s="50"/>
      <c r="DP51" s="50"/>
      <c r="DQ51" s="50"/>
      <c r="DR51" s="50"/>
      <c r="DS51" s="50"/>
      <c r="DT51" s="50"/>
      <c r="DU51" s="50"/>
      <c r="DV51" s="50"/>
      <c r="DW51" s="50"/>
      <c r="DX51" s="50"/>
      <c r="DY51" s="50"/>
      <c r="DZ51" s="50"/>
      <c r="EA51" s="50"/>
      <c r="EB51" s="50"/>
      <c r="EC51" s="50"/>
      <c r="ED51" s="50"/>
      <c r="EE51" s="50"/>
      <c r="EF51" s="50"/>
      <c r="EG51" s="50"/>
      <c r="EH51" s="50"/>
      <c r="EI51" s="50"/>
      <c r="EJ51" s="50"/>
      <c r="EK51" s="50"/>
      <c r="EL51" s="50"/>
      <c r="EM51" s="50"/>
      <c r="EN51" s="50"/>
      <c r="EO51" s="50"/>
      <c r="EP51" s="50"/>
      <c r="EQ51" s="50"/>
      <c r="ER51" s="50"/>
      <c r="ES51" s="50"/>
      <c r="ET51" s="50"/>
      <c r="EU51" s="50"/>
      <c r="EV51" s="50"/>
      <c r="EW51" s="50"/>
      <c r="EX51" s="50"/>
      <c r="EY51" s="50"/>
      <c r="EZ51" s="50"/>
      <c r="FA51" s="50"/>
      <c r="FB51" s="50"/>
      <c r="FC51" s="50"/>
      <c r="FD51" s="50"/>
      <c r="FE51" s="50"/>
      <c r="FF51" s="50"/>
      <c r="FG51" s="50"/>
      <c r="FH51" s="50"/>
      <c r="FI51" s="50"/>
      <c r="FJ51" s="50"/>
      <c r="FK51" s="50"/>
      <c r="FL51" s="50"/>
    </row>
    <row r="52" ht="15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50"/>
      <c r="DC52" s="50"/>
      <c r="DD52" s="50"/>
      <c r="DE52" s="50"/>
      <c r="DF52" s="50"/>
      <c r="DG52" s="50"/>
      <c r="DH52" s="50"/>
      <c r="DI52" s="50"/>
      <c r="DJ52" s="50"/>
      <c r="DK52" s="50"/>
      <c r="DL52" s="50"/>
      <c r="DM52" s="50"/>
      <c r="DN52" s="50"/>
      <c r="DO52" s="50"/>
      <c r="DP52" s="50"/>
      <c r="DQ52" s="50"/>
      <c r="DR52" s="50"/>
      <c r="DS52" s="50"/>
      <c r="DT52" s="50"/>
      <c r="DU52" s="50"/>
      <c r="DV52" s="50"/>
      <c r="DW52" s="50"/>
      <c r="DX52" s="50"/>
      <c r="DY52" s="50"/>
      <c r="DZ52" s="50"/>
      <c r="EA52" s="50"/>
      <c r="EB52" s="50"/>
      <c r="EC52" s="50"/>
      <c r="ED52" s="50"/>
      <c r="EE52" s="50"/>
      <c r="EF52" s="50"/>
      <c r="EG52" s="50"/>
      <c r="EH52" s="50"/>
      <c r="EI52" s="50"/>
      <c r="EJ52" s="50"/>
      <c r="EK52" s="50"/>
      <c r="EL52" s="50"/>
      <c r="EM52" s="50"/>
      <c r="EN52" s="50"/>
      <c r="EO52" s="50"/>
      <c r="EP52" s="50"/>
      <c r="EQ52" s="50"/>
      <c r="ER52" s="50"/>
      <c r="ES52" s="50"/>
      <c r="ET52" s="50"/>
      <c r="EU52" s="50"/>
      <c r="EV52" s="50"/>
      <c r="EW52" s="50"/>
      <c r="EX52" s="50"/>
      <c r="EY52" s="50"/>
      <c r="EZ52" s="50"/>
      <c r="FA52" s="50"/>
      <c r="FB52" s="50"/>
      <c r="FC52" s="50"/>
      <c r="FD52" s="50"/>
      <c r="FE52" s="50"/>
      <c r="FF52" s="50"/>
      <c r="FG52" s="50"/>
      <c r="FH52" s="50"/>
      <c r="FI52" s="50"/>
      <c r="FJ52" s="50"/>
      <c r="FK52" s="50"/>
      <c r="FL52" s="50"/>
    </row>
    <row r="53" ht="15.7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  <c r="CP53" s="50"/>
      <c r="CQ53" s="50"/>
      <c r="CR53" s="50"/>
      <c r="CS53" s="50"/>
      <c r="CT53" s="50"/>
      <c r="CU53" s="50"/>
      <c r="CV53" s="50"/>
      <c r="CW53" s="50"/>
      <c r="CX53" s="50"/>
      <c r="CY53" s="50"/>
      <c r="CZ53" s="50"/>
      <c r="DA53" s="50"/>
      <c r="DB53" s="50"/>
      <c r="DC53" s="50"/>
      <c r="DD53" s="50"/>
      <c r="DE53" s="50"/>
      <c r="DF53" s="50"/>
      <c r="DG53" s="50"/>
      <c r="DH53" s="50"/>
      <c r="DI53" s="50"/>
      <c r="DJ53" s="50"/>
      <c r="DK53" s="50"/>
      <c r="DL53" s="50"/>
      <c r="DM53" s="50"/>
      <c r="DN53" s="50"/>
      <c r="DO53" s="50"/>
      <c r="DP53" s="50"/>
      <c r="DQ53" s="50"/>
      <c r="DR53" s="50"/>
      <c r="DS53" s="50"/>
      <c r="DT53" s="50"/>
      <c r="DU53" s="50"/>
      <c r="DV53" s="50"/>
      <c r="DW53" s="50"/>
      <c r="DX53" s="50"/>
      <c r="DY53" s="50"/>
      <c r="DZ53" s="50"/>
      <c r="EA53" s="50"/>
      <c r="EB53" s="50"/>
      <c r="EC53" s="50"/>
      <c r="ED53" s="50"/>
      <c r="EE53" s="50"/>
      <c r="EF53" s="50"/>
      <c r="EG53" s="50"/>
      <c r="EH53" s="50"/>
      <c r="EI53" s="50"/>
      <c r="EJ53" s="50"/>
      <c r="EK53" s="50"/>
      <c r="EL53" s="50"/>
      <c r="EM53" s="50"/>
      <c r="EN53" s="50"/>
      <c r="EO53" s="50"/>
      <c r="EP53" s="50"/>
      <c r="EQ53" s="50"/>
      <c r="ER53" s="50"/>
      <c r="ES53" s="50"/>
      <c r="ET53" s="50"/>
      <c r="EU53" s="50"/>
      <c r="EV53" s="50"/>
      <c r="EW53" s="50"/>
      <c r="EX53" s="50"/>
      <c r="EY53" s="50"/>
      <c r="EZ53" s="50"/>
      <c r="FA53" s="50"/>
      <c r="FB53" s="50"/>
      <c r="FC53" s="50"/>
      <c r="FD53" s="50"/>
      <c r="FE53" s="50"/>
      <c r="FF53" s="50"/>
      <c r="FG53" s="50"/>
      <c r="FH53" s="50"/>
      <c r="FI53" s="50"/>
      <c r="FJ53" s="50"/>
      <c r="FK53" s="50"/>
      <c r="FL53" s="50"/>
    </row>
    <row r="54" ht="15.7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/>
      <c r="CZ54" s="50"/>
      <c r="DA54" s="50"/>
      <c r="DB54" s="50"/>
      <c r="DC54" s="50"/>
      <c r="DD54" s="50"/>
      <c r="DE54" s="50"/>
      <c r="DF54" s="50"/>
      <c r="DG54" s="50"/>
      <c r="DH54" s="50"/>
      <c r="DI54" s="50"/>
      <c r="DJ54" s="50"/>
      <c r="DK54" s="50"/>
      <c r="DL54" s="50"/>
      <c r="DM54" s="50"/>
      <c r="DN54" s="50"/>
      <c r="DO54" s="50"/>
      <c r="DP54" s="50"/>
      <c r="DQ54" s="50"/>
      <c r="DR54" s="50"/>
      <c r="DS54" s="50"/>
      <c r="DT54" s="50"/>
      <c r="DU54" s="50"/>
      <c r="DV54" s="50"/>
      <c r="DW54" s="50"/>
      <c r="DX54" s="50"/>
      <c r="DY54" s="50"/>
      <c r="DZ54" s="50"/>
      <c r="EA54" s="50"/>
      <c r="EB54" s="50"/>
      <c r="EC54" s="50"/>
      <c r="ED54" s="50"/>
      <c r="EE54" s="50"/>
      <c r="EF54" s="50"/>
      <c r="EG54" s="50"/>
      <c r="EH54" s="50"/>
      <c r="EI54" s="50"/>
      <c r="EJ54" s="50"/>
      <c r="EK54" s="50"/>
      <c r="EL54" s="50"/>
      <c r="EM54" s="50"/>
      <c r="EN54" s="50"/>
      <c r="EO54" s="50"/>
      <c r="EP54" s="50"/>
      <c r="EQ54" s="50"/>
      <c r="ER54" s="50"/>
      <c r="ES54" s="50"/>
      <c r="ET54" s="50"/>
      <c r="EU54" s="50"/>
      <c r="EV54" s="50"/>
      <c r="EW54" s="50"/>
      <c r="EX54" s="50"/>
      <c r="EY54" s="50"/>
      <c r="EZ54" s="50"/>
      <c r="FA54" s="50"/>
      <c r="FB54" s="50"/>
      <c r="FC54" s="50"/>
      <c r="FD54" s="50"/>
      <c r="FE54" s="50"/>
      <c r="FF54" s="50"/>
      <c r="FG54" s="50"/>
      <c r="FH54" s="50"/>
      <c r="FI54" s="50"/>
      <c r="FJ54" s="50"/>
      <c r="FK54" s="50"/>
      <c r="FL54" s="50"/>
    </row>
    <row r="55" ht="15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0"/>
      <c r="CP55" s="50"/>
      <c r="CQ55" s="50"/>
      <c r="CR55" s="50"/>
      <c r="CS55" s="50"/>
      <c r="CT55" s="50"/>
      <c r="CU55" s="50"/>
      <c r="CV55" s="50"/>
      <c r="CW55" s="50"/>
      <c r="CX55" s="50"/>
      <c r="CY55" s="50"/>
      <c r="CZ55" s="50"/>
      <c r="DA55" s="50"/>
      <c r="DB55" s="50"/>
      <c r="DC55" s="50"/>
      <c r="DD55" s="50"/>
      <c r="DE55" s="50"/>
      <c r="DF55" s="50"/>
      <c r="DG55" s="50"/>
      <c r="DH55" s="50"/>
      <c r="DI55" s="50"/>
      <c r="DJ55" s="50"/>
      <c r="DK55" s="50"/>
      <c r="DL55" s="50"/>
      <c r="DM55" s="50"/>
      <c r="DN55" s="50"/>
      <c r="DO55" s="50"/>
      <c r="DP55" s="50"/>
      <c r="DQ55" s="50"/>
      <c r="DR55" s="50"/>
      <c r="DS55" s="50"/>
      <c r="DT55" s="50"/>
      <c r="DU55" s="50"/>
      <c r="DV55" s="50"/>
      <c r="DW55" s="50"/>
      <c r="DX55" s="50"/>
      <c r="DY55" s="50"/>
      <c r="DZ55" s="50"/>
      <c r="EA55" s="50"/>
      <c r="EB55" s="50"/>
      <c r="EC55" s="50"/>
      <c r="ED55" s="50"/>
      <c r="EE55" s="50"/>
      <c r="EF55" s="50"/>
      <c r="EG55" s="50"/>
      <c r="EH55" s="50"/>
      <c r="EI55" s="50"/>
      <c r="EJ55" s="50"/>
      <c r="EK55" s="50"/>
      <c r="EL55" s="50"/>
      <c r="EM55" s="50"/>
      <c r="EN55" s="50"/>
      <c r="EO55" s="50"/>
      <c r="EP55" s="50"/>
      <c r="EQ55" s="50"/>
      <c r="ER55" s="50"/>
      <c r="ES55" s="50"/>
      <c r="ET55" s="50"/>
      <c r="EU55" s="50"/>
      <c r="EV55" s="50"/>
      <c r="EW55" s="50"/>
      <c r="EX55" s="50"/>
      <c r="EY55" s="50"/>
      <c r="EZ55" s="50"/>
      <c r="FA55" s="50"/>
      <c r="FB55" s="50"/>
      <c r="FC55" s="50"/>
      <c r="FD55" s="50"/>
      <c r="FE55" s="50"/>
      <c r="FF55" s="50"/>
      <c r="FG55" s="50"/>
      <c r="FH55" s="50"/>
      <c r="FI55" s="50"/>
      <c r="FJ55" s="50"/>
      <c r="FK55" s="50"/>
      <c r="FL55" s="50"/>
    </row>
    <row r="56" ht="15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  <c r="CP56" s="50"/>
      <c r="CQ56" s="50"/>
      <c r="CR56" s="50"/>
      <c r="CS56" s="50"/>
      <c r="CT56" s="50"/>
      <c r="CU56" s="50"/>
      <c r="CV56" s="50"/>
      <c r="CW56" s="50"/>
      <c r="CX56" s="50"/>
      <c r="CY56" s="50"/>
      <c r="CZ56" s="50"/>
      <c r="DA56" s="50"/>
      <c r="DB56" s="50"/>
      <c r="DC56" s="50"/>
      <c r="DD56" s="50"/>
      <c r="DE56" s="50"/>
      <c r="DF56" s="50"/>
      <c r="DG56" s="50"/>
      <c r="DH56" s="50"/>
      <c r="DI56" s="50"/>
      <c r="DJ56" s="50"/>
      <c r="DK56" s="50"/>
      <c r="DL56" s="50"/>
      <c r="DM56" s="50"/>
      <c r="DN56" s="50"/>
      <c r="DO56" s="50"/>
      <c r="DP56" s="50"/>
      <c r="DQ56" s="50"/>
      <c r="DR56" s="50"/>
      <c r="DS56" s="50"/>
      <c r="DT56" s="50"/>
      <c r="DU56" s="50"/>
      <c r="DV56" s="50"/>
      <c r="DW56" s="50"/>
      <c r="DX56" s="50"/>
      <c r="DY56" s="50"/>
      <c r="DZ56" s="50"/>
      <c r="EA56" s="50"/>
      <c r="EB56" s="50"/>
      <c r="EC56" s="50"/>
      <c r="ED56" s="50"/>
      <c r="EE56" s="50"/>
      <c r="EF56" s="50"/>
      <c r="EG56" s="50"/>
      <c r="EH56" s="50"/>
      <c r="EI56" s="50"/>
      <c r="EJ56" s="50"/>
      <c r="EK56" s="50"/>
      <c r="EL56" s="50"/>
      <c r="EM56" s="50"/>
      <c r="EN56" s="50"/>
      <c r="EO56" s="50"/>
      <c r="EP56" s="50"/>
      <c r="EQ56" s="50"/>
      <c r="ER56" s="50"/>
      <c r="ES56" s="50"/>
      <c r="ET56" s="50"/>
      <c r="EU56" s="50"/>
      <c r="EV56" s="50"/>
      <c r="EW56" s="50"/>
      <c r="EX56" s="50"/>
      <c r="EY56" s="50"/>
      <c r="EZ56" s="50"/>
      <c r="FA56" s="50"/>
      <c r="FB56" s="50"/>
      <c r="FC56" s="50"/>
      <c r="FD56" s="50"/>
      <c r="FE56" s="50"/>
      <c r="FF56" s="50"/>
      <c r="FG56" s="50"/>
      <c r="FH56" s="50"/>
      <c r="FI56" s="50"/>
      <c r="FJ56" s="50"/>
      <c r="FK56" s="50"/>
      <c r="FL56" s="50"/>
    </row>
    <row r="57" ht="15.7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  <c r="CB57" s="50"/>
      <c r="CC57" s="50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0"/>
      <c r="CO57" s="50"/>
      <c r="CP57" s="50"/>
      <c r="CQ57" s="50"/>
      <c r="CR57" s="50"/>
      <c r="CS57" s="50"/>
      <c r="CT57" s="50"/>
      <c r="CU57" s="50"/>
      <c r="CV57" s="50"/>
      <c r="CW57" s="50"/>
      <c r="CX57" s="50"/>
      <c r="CY57" s="50"/>
      <c r="CZ57" s="50"/>
      <c r="DA57" s="50"/>
      <c r="DB57" s="50"/>
      <c r="DC57" s="50"/>
      <c r="DD57" s="50"/>
      <c r="DE57" s="50"/>
      <c r="DF57" s="50"/>
      <c r="DG57" s="50"/>
      <c r="DH57" s="50"/>
      <c r="DI57" s="50"/>
      <c r="DJ57" s="50"/>
      <c r="DK57" s="50"/>
      <c r="DL57" s="50"/>
      <c r="DM57" s="50"/>
      <c r="DN57" s="50"/>
      <c r="DO57" s="50"/>
      <c r="DP57" s="50"/>
      <c r="DQ57" s="50"/>
      <c r="DR57" s="50"/>
      <c r="DS57" s="50"/>
      <c r="DT57" s="50"/>
      <c r="DU57" s="50"/>
      <c r="DV57" s="50"/>
      <c r="DW57" s="50"/>
      <c r="DX57" s="50"/>
      <c r="DY57" s="50"/>
      <c r="DZ57" s="50"/>
      <c r="EA57" s="50"/>
      <c r="EB57" s="50"/>
      <c r="EC57" s="50"/>
      <c r="ED57" s="50"/>
      <c r="EE57" s="50"/>
      <c r="EF57" s="50"/>
      <c r="EG57" s="50"/>
      <c r="EH57" s="50"/>
      <c r="EI57" s="50"/>
      <c r="EJ57" s="50"/>
      <c r="EK57" s="50"/>
      <c r="EL57" s="50"/>
      <c r="EM57" s="50"/>
      <c r="EN57" s="50"/>
      <c r="EO57" s="50"/>
      <c r="EP57" s="50"/>
      <c r="EQ57" s="50"/>
      <c r="ER57" s="50"/>
      <c r="ES57" s="50"/>
      <c r="ET57" s="50"/>
      <c r="EU57" s="50"/>
      <c r="EV57" s="50"/>
      <c r="EW57" s="50"/>
      <c r="EX57" s="50"/>
      <c r="EY57" s="50"/>
      <c r="EZ57" s="50"/>
      <c r="FA57" s="50"/>
      <c r="FB57" s="50"/>
      <c r="FC57" s="50"/>
      <c r="FD57" s="50"/>
      <c r="FE57" s="50"/>
      <c r="FF57" s="50"/>
      <c r="FG57" s="50"/>
      <c r="FH57" s="50"/>
      <c r="FI57" s="50"/>
      <c r="FJ57" s="50"/>
      <c r="FK57" s="50"/>
      <c r="FL57" s="50"/>
    </row>
    <row r="58" ht="15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  <c r="CQ58" s="50"/>
      <c r="CR58" s="50"/>
      <c r="CS58" s="50"/>
      <c r="CT58" s="50"/>
      <c r="CU58" s="50"/>
      <c r="CV58" s="50"/>
      <c r="CW58" s="50"/>
      <c r="CX58" s="50"/>
      <c r="CY58" s="50"/>
      <c r="CZ58" s="50"/>
      <c r="DA58" s="50"/>
      <c r="DB58" s="50"/>
      <c r="DC58" s="50"/>
      <c r="DD58" s="50"/>
      <c r="DE58" s="50"/>
      <c r="DF58" s="50"/>
      <c r="DG58" s="50"/>
      <c r="DH58" s="50"/>
      <c r="DI58" s="50"/>
      <c r="DJ58" s="50"/>
      <c r="DK58" s="50"/>
      <c r="DL58" s="50"/>
      <c r="DM58" s="50"/>
      <c r="DN58" s="50"/>
      <c r="DO58" s="50"/>
      <c r="DP58" s="50"/>
      <c r="DQ58" s="50"/>
      <c r="DR58" s="50"/>
      <c r="DS58" s="50"/>
      <c r="DT58" s="50"/>
      <c r="DU58" s="50"/>
      <c r="DV58" s="50"/>
      <c r="DW58" s="50"/>
      <c r="DX58" s="50"/>
      <c r="DY58" s="50"/>
      <c r="DZ58" s="50"/>
      <c r="EA58" s="50"/>
      <c r="EB58" s="50"/>
      <c r="EC58" s="50"/>
      <c r="ED58" s="50"/>
      <c r="EE58" s="50"/>
      <c r="EF58" s="50"/>
      <c r="EG58" s="50"/>
      <c r="EH58" s="50"/>
      <c r="EI58" s="50"/>
      <c r="EJ58" s="50"/>
      <c r="EK58" s="50"/>
      <c r="EL58" s="50"/>
      <c r="EM58" s="50"/>
      <c r="EN58" s="50"/>
      <c r="EO58" s="50"/>
      <c r="EP58" s="50"/>
      <c r="EQ58" s="50"/>
      <c r="ER58" s="50"/>
      <c r="ES58" s="50"/>
      <c r="ET58" s="50"/>
      <c r="EU58" s="50"/>
      <c r="EV58" s="50"/>
      <c r="EW58" s="50"/>
      <c r="EX58" s="50"/>
      <c r="EY58" s="50"/>
      <c r="EZ58" s="50"/>
      <c r="FA58" s="50"/>
      <c r="FB58" s="50"/>
      <c r="FC58" s="50"/>
      <c r="FD58" s="50"/>
      <c r="FE58" s="50"/>
      <c r="FF58" s="50"/>
      <c r="FG58" s="50"/>
      <c r="FH58" s="50"/>
      <c r="FI58" s="50"/>
      <c r="FJ58" s="50"/>
      <c r="FK58" s="50"/>
      <c r="FL58" s="50"/>
    </row>
    <row r="59" ht="15.7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  <c r="CP59" s="50"/>
      <c r="CQ59" s="50"/>
      <c r="CR59" s="50"/>
      <c r="CS59" s="50"/>
      <c r="CT59" s="50"/>
      <c r="CU59" s="50"/>
      <c r="CV59" s="50"/>
      <c r="CW59" s="50"/>
      <c r="CX59" s="50"/>
      <c r="CY59" s="50"/>
      <c r="CZ59" s="50"/>
      <c r="DA59" s="50"/>
      <c r="DB59" s="50"/>
      <c r="DC59" s="50"/>
      <c r="DD59" s="50"/>
      <c r="DE59" s="50"/>
      <c r="DF59" s="50"/>
      <c r="DG59" s="50"/>
      <c r="DH59" s="50"/>
      <c r="DI59" s="50"/>
      <c r="DJ59" s="50"/>
      <c r="DK59" s="50"/>
      <c r="DL59" s="50"/>
      <c r="DM59" s="50"/>
      <c r="DN59" s="50"/>
      <c r="DO59" s="50"/>
      <c r="DP59" s="50"/>
      <c r="DQ59" s="50"/>
      <c r="DR59" s="50"/>
      <c r="DS59" s="50"/>
      <c r="DT59" s="50"/>
      <c r="DU59" s="50"/>
      <c r="DV59" s="50"/>
      <c r="DW59" s="50"/>
      <c r="DX59" s="50"/>
      <c r="DY59" s="50"/>
      <c r="DZ59" s="50"/>
      <c r="EA59" s="50"/>
      <c r="EB59" s="50"/>
      <c r="EC59" s="50"/>
      <c r="ED59" s="50"/>
      <c r="EE59" s="50"/>
      <c r="EF59" s="50"/>
      <c r="EG59" s="50"/>
      <c r="EH59" s="50"/>
      <c r="EI59" s="50"/>
      <c r="EJ59" s="50"/>
      <c r="EK59" s="50"/>
      <c r="EL59" s="50"/>
      <c r="EM59" s="50"/>
      <c r="EN59" s="50"/>
      <c r="EO59" s="50"/>
      <c r="EP59" s="50"/>
      <c r="EQ59" s="50"/>
      <c r="ER59" s="50"/>
      <c r="ES59" s="50"/>
      <c r="ET59" s="50"/>
      <c r="EU59" s="50"/>
      <c r="EV59" s="50"/>
      <c r="EW59" s="50"/>
      <c r="EX59" s="50"/>
      <c r="EY59" s="50"/>
      <c r="EZ59" s="50"/>
      <c r="FA59" s="50"/>
      <c r="FB59" s="50"/>
      <c r="FC59" s="50"/>
      <c r="FD59" s="50"/>
      <c r="FE59" s="50"/>
      <c r="FF59" s="50"/>
      <c r="FG59" s="50"/>
      <c r="FH59" s="50"/>
      <c r="FI59" s="50"/>
      <c r="FJ59" s="50"/>
      <c r="FK59" s="50"/>
      <c r="FL59" s="50"/>
    </row>
    <row r="60" ht="15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50"/>
      <c r="CY60" s="50"/>
      <c r="CZ60" s="50"/>
      <c r="DA60" s="50"/>
      <c r="DB60" s="50"/>
      <c r="DC60" s="50"/>
      <c r="DD60" s="50"/>
      <c r="DE60" s="50"/>
      <c r="DF60" s="50"/>
      <c r="DG60" s="50"/>
      <c r="DH60" s="50"/>
      <c r="DI60" s="50"/>
      <c r="DJ60" s="50"/>
      <c r="DK60" s="50"/>
      <c r="DL60" s="50"/>
      <c r="DM60" s="50"/>
      <c r="DN60" s="50"/>
      <c r="DO60" s="50"/>
      <c r="DP60" s="50"/>
      <c r="DQ60" s="50"/>
      <c r="DR60" s="50"/>
      <c r="DS60" s="50"/>
      <c r="DT60" s="50"/>
      <c r="DU60" s="50"/>
      <c r="DV60" s="50"/>
      <c r="DW60" s="50"/>
      <c r="DX60" s="50"/>
      <c r="DY60" s="50"/>
      <c r="DZ60" s="50"/>
      <c r="EA60" s="50"/>
      <c r="EB60" s="50"/>
      <c r="EC60" s="50"/>
      <c r="ED60" s="50"/>
      <c r="EE60" s="50"/>
      <c r="EF60" s="50"/>
      <c r="EG60" s="50"/>
      <c r="EH60" s="50"/>
      <c r="EI60" s="50"/>
      <c r="EJ60" s="50"/>
      <c r="EK60" s="50"/>
      <c r="EL60" s="50"/>
      <c r="EM60" s="50"/>
      <c r="EN60" s="50"/>
      <c r="EO60" s="50"/>
      <c r="EP60" s="50"/>
      <c r="EQ60" s="50"/>
      <c r="ER60" s="50"/>
      <c r="ES60" s="50"/>
      <c r="ET60" s="50"/>
      <c r="EU60" s="50"/>
      <c r="EV60" s="50"/>
      <c r="EW60" s="50"/>
      <c r="EX60" s="50"/>
      <c r="EY60" s="50"/>
      <c r="EZ60" s="50"/>
      <c r="FA60" s="50"/>
      <c r="FB60" s="50"/>
      <c r="FC60" s="50"/>
      <c r="FD60" s="50"/>
      <c r="FE60" s="50"/>
      <c r="FF60" s="50"/>
      <c r="FG60" s="50"/>
      <c r="FH60" s="50"/>
      <c r="FI60" s="50"/>
      <c r="FJ60" s="50"/>
      <c r="FK60" s="50"/>
      <c r="FL60" s="50"/>
    </row>
    <row r="61" ht="15.7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/>
      <c r="CY61" s="50"/>
      <c r="CZ61" s="50"/>
      <c r="DA61" s="50"/>
      <c r="DB61" s="50"/>
      <c r="DC61" s="50"/>
      <c r="DD61" s="50"/>
      <c r="DE61" s="50"/>
      <c r="DF61" s="50"/>
      <c r="DG61" s="50"/>
      <c r="DH61" s="50"/>
      <c r="DI61" s="50"/>
      <c r="DJ61" s="50"/>
      <c r="DK61" s="50"/>
      <c r="DL61" s="50"/>
      <c r="DM61" s="50"/>
      <c r="DN61" s="50"/>
      <c r="DO61" s="50"/>
      <c r="DP61" s="50"/>
      <c r="DQ61" s="50"/>
      <c r="DR61" s="50"/>
      <c r="DS61" s="50"/>
      <c r="DT61" s="50"/>
      <c r="DU61" s="50"/>
      <c r="DV61" s="50"/>
      <c r="DW61" s="50"/>
      <c r="DX61" s="50"/>
      <c r="DY61" s="50"/>
      <c r="DZ61" s="50"/>
      <c r="EA61" s="50"/>
      <c r="EB61" s="50"/>
      <c r="EC61" s="50"/>
      <c r="ED61" s="50"/>
      <c r="EE61" s="50"/>
      <c r="EF61" s="50"/>
      <c r="EG61" s="50"/>
      <c r="EH61" s="50"/>
      <c r="EI61" s="50"/>
      <c r="EJ61" s="50"/>
      <c r="EK61" s="50"/>
      <c r="EL61" s="50"/>
      <c r="EM61" s="50"/>
      <c r="EN61" s="50"/>
      <c r="EO61" s="50"/>
      <c r="EP61" s="50"/>
      <c r="EQ61" s="50"/>
      <c r="ER61" s="50"/>
      <c r="ES61" s="50"/>
      <c r="ET61" s="50"/>
      <c r="EU61" s="50"/>
      <c r="EV61" s="50"/>
      <c r="EW61" s="50"/>
      <c r="EX61" s="50"/>
      <c r="EY61" s="50"/>
      <c r="EZ61" s="50"/>
      <c r="FA61" s="50"/>
      <c r="FB61" s="50"/>
      <c r="FC61" s="50"/>
      <c r="FD61" s="50"/>
      <c r="FE61" s="50"/>
      <c r="FF61" s="50"/>
      <c r="FG61" s="50"/>
      <c r="FH61" s="50"/>
      <c r="FI61" s="50"/>
      <c r="FJ61" s="50"/>
      <c r="FK61" s="50"/>
      <c r="FL61" s="50"/>
    </row>
    <row r="62" ht="15.7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0"/>
      <c r="CS62" s="50"/>
      <c r="CT62" s="50"/>
      <c r="CU62" s="50"/>
      <c r="CV62" s="50"/>
      <c r="CW62" s="50"/>
      <c r="CX62" s="50"/>
      <c r="CY62" s="50"/>
      <c r="CZ62" s="50"/>
      <c r="DA62" s="50"/>
      <c r="DB62" s="50"/>
      <c r="DC62" s="50"/>
      <c r="DD62" s="50"/>
      <c r="DE62" s="50"/>
      <c r="DF62" s="50"/>
      <c r="DG62" s="50"/>
      <c r="DH62" s="50"/>
      <c r="DI62" s="50"/>
      <c r="DJ62" s="50"/>
      <c r="DK62" s="50"/>
      <c r="DL62" s="50"/>
      <c r="DM62" s="50"/>
      <c r="DN62" s="50"/>
      <c r="DO62" s="50"/>
      <c r="DP62" s="50"/>
      <c r="DQ62" s="50"/>
      <c r="DR62" s="50"/>
      <c r="DS62" s="50"/>
      <c r="DT62" s="50"/>
      <c r="DU62" s="50"/>
      <c r="DV62" s="50"/>
      <c r="DW62" s="50"/>
      <c r="DX62" s="50"/>
      <c r="DY62" s="50"/>
      <c r="DZ62" s="50"/>
      <c r="EA62" s="50"/>
      <c r="EB62" s="50"/>
      <c r="EC62" s="50"/>
      <c r="ED62" s="50"/>
      <c r="EE62" s="50"/>
      <c r="EF62" s="50"/>
      <c r="EG62" s="50"/>
      <c r="EH62" s="50"/>
      <c r="EI62" s="50"/>
      <c r="EJ62" s="50"/>
      <c r="EK62" s="50"/>
      <c r="EL62" s="50"/>
      <c r="EM62" s="50"/>
      <c r="EN62" s="50"/>
      <c r="EO62" s="50"/>
      <c r="EP62" s="50"/>
      <c r="EQ62" s="50"/>
      <c r="ER62" s="50"/>
      <c r="ES62" s="50"/>
      <c r="ET62" s="50"/>
      <c r="EU62" s="50"/>
      <c r="EV62" s="50"/>
      <c r="EW62" s="50"/>
      <c r="EX62" s="50"/>
      <c r="EY62" s="50"/>
      <c r="EZ62" s="50"/>
      <c r="FA62" s="50"/>
      <c r="FB62" s="50"/>
      <c r="FC62" s="50"/>
      <c r="FD62" s="50"/>
      <c r="FE62" s="50"/>
      <c r="FF62" s="50"/>
      <c r="FG62" s="50"/>
      <c r="FH62" s="50"/>
      <c r="FI62" s="50"/>
      <c r="FJ62" s="50"/>
      <c r="FK62" s="50"/>
      <c r="FL62" s="50"/>
    </row>
    <row r="63" ht="15.7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/>
      <c r="CY63" s="50"/>
      <c r="CZ63" s="50"/>
      <c r="DA63" s="50"/>
      <c r="DB63" s="50"/>
      <c r="DC63" s="50"/>
      <c r="DD63" s="50"/>
      <c r="DE63" s="50"/>
      <c r="DF63" s="50"/>
      <c r="DG63" s="50"/>
      <c r="DH63" s="50"/>
      <c r="DI63" s="50"/>
      <c r="DJ63" s="50"/>
      <c r="DK63" s="50"/>
      <c r="DL63" s="50"/>
      <c r="DM63" s="50"/>
      <c r="DN63" s="50"/>
      <c r="DO63" s="50"/>
      <c r="DP63" s="50"/>
      <c r="DQ63" s="50"/>
      <c r="DR63" s="50"/>
      <c r="DS63" s="50"/>
      <c r="DT63" s="50"/>
      <c r="DU63" s="50"/>
      <c r="DV63" s="50"/>
      <c r="DW63" s="50"/>
      <c r="DX63" s="50"/>
      <c r="DY63" s="50"/>
      <c r="DZ63" s="50"/>
      <c r="EA63" s="50"/>
      <c r="EB63" s="50"/>
      <c r="EC63" s="50"/>
      <c r="ED63" s="50"/>
      <c r="EE63" s="50"/>
      <c r="EF63" s="50"/>
      <c r="EG63" s="50"/>
      <c r="EH63" s="50"/>
      <c r="EI63" s="50"/>
      <c r="EJ63" s="50"/>
      <c r="EK63" s="50"/>
      <c r="EL63" s="50"/>
      <c r="EM63" s="50"/>
      <c r="EN63" s="50"/>
      <c r="EO63" s="50"/>
      <c r="EP63" s="50"/>
      <c r="EQ63" s="50"/>
      <c r="ER63" s="50"/>
      <c r="ES63" s="50"/>
      <c r="ET63" s="50"/>
      <c r="EU63" s="50"/>
      <c r="EV63" s="50"/>
      <c r="EW63" s="50"/>
      <c r="EX63" s="50"/>
      <c r="EY63" s="50"/>
      <c r="EZ63" s="50"/>
      <c r="FA63" s="50"/>
      <c r="FB63" s="50"/>
      <c r="FC63" s="50"/>
      <c r="FD63" s="50"/>
      <c r="FE63" s="50"/>
      <c r="FF63" s="50"/>
      <c r="FG63" s="50"/>
      <c r="FH63" s="50"/>
      <c r="FI63" s="50"/>
      <c r="FJ63" s="50"/>
      <c r="FK63" s="50"/>
      <c r="FL63" s="50"/>
    </row>
    <row r="64" ht="15.7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/>
      <c r="CY64" s="50"/>
      <c r="CZ64" s="50"/>
      <c r="DA64" s="50"/>
      <c r="DB64" s="50"/>
      <c r="DC64" s="50"/>
      <c r="DD64" s="50"/>
      <c r="DE64" s="50"/>
      <c r="DF64" s="50"/>
      <c r="DG64" s="50"/>
      <c r="DH64" s="50"/>
      <c r="DI64" s="50"/>
      <c r="DJ64" s="50"/>
      <c r="DK64" s="50"/>
      <c r="DL64" s="50"/>
      <c r="DM64" s="50"/>
      <c r="DN64" s="50"/>
      <c r="DO64" s="50"/>
      <c r="DP64" s="50"/>
      <c r="DQ64" s="50"/>
      <c r="DR64" s="50"/>
      <c r="DS64" s="50"/>
      <c r="DT64" s="50"/>
      <c r="DU64" s="50"/>
      <c r="DV64" s="50"/>
      <c r="DW64" s="50"/>
      <c r="DX64" s="50"/>
      <c r="DY64" s="50"/>
      <c r="DZ64" s="50"/>
      <c r="EA64" s="50"/>
      <c r="EB64" s="50"/>
      <c r="EC64" s="50"/>
      <c r="ED64" s="50"/>
      <c r="EE64" s="50"/>
      <c r="EF64" s="50"/>
      <c r="EG64" s="50"/>
      <c r="EH64" s="50"/>
      <c r="EI64" s="50"/>
      <c r="EJ64" s="50"/>
      <c r="EK64" s="50"/>
      <c r="EL64" s="50"/>
      <c r="EM64" s="50"/>
      <c r="EN64" s="50"/>
      <c r="EO64" s="50"/>
      <c r="EP64" s="50"/>
      <c r="EQ64" s="50"/>
      <c r="ER64" s="50"/>
      <c r="ES64" s="50"/>
      <c r="ET64" s="50"/>
      <c r="EU64" s="50"/>
      <c r="EV64" s="50"/>
      <c r="EW64" s="50"/>
      <c r="EX64" s="50"/>
      <c r="EY64" s="50"/>
      <c r="EZ64" s="50"/>
      <c r="FA64" s="50"/>
      <c r="FB64" s="50"/>
      <c r="FC64" s="50"/>
      <c r="FD64" s="50"/>
      <c r="FE64" s="50"/>
      <c r="FF64" s="50"/>
      <c r="FG64" s="50"/>
      <c r="FH64" s="50"/>
      <c r="FI64" s="50"/>
      <c r="FJ64" s="50"/>
      <c r="FK64" s="50"/>
      <c r="FL64" s="50"/>
    </row>
    <row r="65" ht="15.7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  <c r="DA65" s="50"/>
      <c r="DB65" s="50"/>
      <c r="DC65" s="50"/>
      <c r="DD65" s="50"/>
      <c r="DE65" s="50"/>
      <c r="DF65" s="50"/>
      <c r="DG65" s="50"/>
      <c r="DH65" s="50"/>
      <c r="DI65" s="50"/>
      <c r="DJ65" s="50"/>
      <c r="DK65" s="50"/>
      <c r="DL65" s="50"/>
      <c r="DM65" s="50"/>
      <c r="DN65" s="50"/>
      <c r="DO65" s="50"/>
      <c r="DP65" s="50"/>
      <c r="DQ65" s="50"/>
      <c r="DR65" s="50"/>
      <c r="DS65" s="50"/>
      <c r="DT65" s="50"/>
      <c r="DU65" s="50"/>
      <c r="DV65" s="50"/>
      <c r="DW65" s="50"/>
      <c r="DX65" s="50"/>
      <c r="DY65" s="50"/>
      <c r="DZ65" s="50"/>
      <c r="EA65" s="50"/>
      <c r="EB65" s="50"/>
      <c r="EC65" s="50"/>
      <c r="ED65" s="50"/>
      <c r="EE65" s="50"/>
      <c r="EF65" s="50"/>
      <c r="EG65" s="50"/>
      <c r="EH65" s="50"/>
      <c r="EI65" s="50"/>
      <c r="EJ65" s="50"/>
      <c r="EK65" s="50"/>
      <c r="EL65" s="50"/>
      <c r="EM65" s="50"/>
      <c r="EN65" s="50"/>
      <c r="EO65" s="50"/>
      <c r="EP65" s="50"/>
      <c r="EQ65" s="50"/>
      <c r="ER65" s="50"/>
      <c r="ES65" s="50"/>
      <c r="ET65" s="50"/>
      <c r="EU65" s="50"/>
      <c r="EV65" s="50"/>
      <c r="EW65" s="50"/>
      <c r="EX65" s="50"/>
      <c r="EY65" s="50"/>
      <c r="EZ65" s="50"/>
      <c r="FA65" s="50"/>
      <c r="FB65" s="50"/>
      <c r="FC65" s="50"/>
      <c r="FD65" s="50"/>
      <c r="FE65" s="50"/>
      <c r="FF65" s="50"/>
      <c r="FG65" s="50"/>
      <c r="FH65" s="50"/>
      <c r="FI65" s="50"/>
      <c r="FJ65" s="50"/>
      <c r="FK65" s="50"/>
      <c r="FL65" s="50"/>
    </row>
    <row r="66" ht="15.7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  <c r="DA66" s="50"/>
      <c r="DB66" s="50"/>
      <c r="DC66" s="50"/>
      <c r="DD66" s="50"/>
      <c r="DE66" s="50"/>
      <c r="DF66" s="50"/>
      <c r="DG66" s="50"/>
      <c r="DH66" s="50"/>
      <c r="DI66" s="50"/>
      <c r="DJ66" s="50"/>
      <c r="DK66" s="50"/>
      <c r="DL66" s="50"/>
      <c r="DM66" s="50"/>
      <c r="DN66" s="50"/>
      <c r="DO66" s="50"/>
      <c r="DP66" s="50"/>
      <c r="DQ66" s="50"/>
      <c r="DR66" s="50"/>
      <c r="DS66" s="50"/>
      <c r="DT66" s="50"/>
      <c r="DU66" s="50"/>
      <c r="DV66" s="50"/>
      <c r="DW66" s="50"/>
      <c r="DX66" s="50"/>
      <c r="DY66" s="50"/>
      <c r="DZ66" s="50"/>
      <c r="EA66" s="50"/>
      <c r="EB66" s="50"/>
      <c r="EC66" s="50"/>
      <c r="ED66" s="50"/>
      <c r="EE66" s="50"/>
      <c r="EF66" s="50"/>
      <c r="EG66" s="50"/>
      <c r="EH66" s="50"/>
      <c r="EI66" s="50"/>
      <c r="EJ66" s="50"/>
      <c r="EK66" s="50"/>
      <c r="EL66" s="50"/>
      <c r="EM66" s="50"/>
      <c r="EN66" s="50"/>
      <c r="EO66" s="50"/>
      <c r="EP66" s="50"/>
      <c r="EQ66" s="50"/>
      <c r="ER66" s="50"/>
      <c r="ES66" s="50"/>
      <c r="ET66" s="50"/>
      <c r="EU66" s="50"/>
      <c r="EV66" s="50"/>
      <c r="EW66" s="50"/>
      <c r="EX66" s="50"/>
      <c r="EY66" s="50"/>
      <c r="EZ66" s="50"/>
      <c r="FA66" s="50"/>
      <c r="FB66" s="50"/>
      <c r="FC66" s="50"/>
      <c r="FD66" s="50"/>
      <c r="FE66" s="50"/>
      <c r="FF66" s="50"/>
      <c r="FG66" s="50"/>
      <c r="FH66" s="50"/>
      <c r="FI66" s="50"/>
      <c r="FJ66" s="50"/>
      <c r="FK66" s="50"/>
      <c r="FL66" s="50"/>
    </row>
    <row r="67" ht="15.7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/>
      <c r="CY67" s="50"/>
      <c r="CZ67" s="50"/>
      <c r="DA67" s="50"/>
      <c r="DB67" s="50"/>
      <c r="DC67" s="50"/>
      <c r="DD67" s="50"/>
      <c r="DE67" s="50"/>
      <c r="DF67" s="50"/>
      <c r="DG67" s="50"/>
      <c r="DH67" s="50"/>
      <c r="DI67" s="50"/>
      <c r="DJ67" s="50"/>
      <c r="DK67" s="50"/>
      <c r="DL67" s="50"/>
      <c r="DM67" s="50"/>
      <c r="DN67" s="50"/>
      <c r="DO67" s="50"/>
      <c r="DP67" s="50"/>
      <c r="DQ67" s="50"/>
      <c r="DR67" s="50"/>
      <c r="DS67" s="50"/>
      <c r="DT67" s="50"/>
      <c r="DU67" s="50"/>
      <c r="DV67" s="50"/>
      <c r="DW67" s="50"/>
      <c r="DX67" s="50"/>
      <c r="DY67" s="50"/>
      <c r="DZ67" s="50"/>
      <c r="EA67" s="50"/>
      <c r="EB67" s="50"/>
      <c r="EC67" s="50"/>
      <c r="ED67" s="50"/>
      <c r="EE67" s="50"/>
      <c r="EF67" s="50"/>
      <c r="EG67" s="50"/>
      <c r="EH67" s="50"/>
      <c r="EI67" s="50"/>
      <c r="EJ67" s="50"/>
      <c r="EK67" s="50"/>
      <c r="EL67" s="50"/>
      <c r="EM67" s="50"/>
      <c r="EN67" s="50"/>
      <c r="EO67" s="50"/>
      <c r="EP67" s="50"/>
      <c r="EQ67" s="50"/>
      <c r="ER67" s="50"/>
      <c r="ES67" s="50"/>
      <c r="ET67" s="50"/>
      <c r="EU67" s="50"/>
      <c r="EV67" s="50"/>
      <c r="EW67" s="50"/>
      <c r="EX67" s="50"/>
      <c r="EY67" s="50"/>
      <c r="EZ67" s="50"/>
      <c r="FA67" s="50"/>
      <c r="FB67" s="50"/>
      <c r="FC67" s="50"/>
      <c r="FD67" s="50"/>
      <c r="FE67" s="50"/>
      <c r="FF67" s="50"/>
      <c r="FG67" s="50"/>
      <c r="FH67" s="50"/>
      <c r="FI67" s="50"/>
      <c r="FJ67" s="50"/>
      <c r="FK67" s="50"/>
      <c r="FL67" s="50"/>
    </row>
    <row r="68" ht="15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/>
      <c r="CY68" s="50"/>
      <c r="CZ68" s="50"/>
      <c r="DA68" s="50"/>
      <c r="DB68" s="50"/>
      <c r="DC68" s="50"/>
      <c r="DD68" s="50"/>
      <c r="DE68" s="50"/>
      <c r="DF68" s="50"/>
      <c r="DG68" s="50"/>
      <c r="DH68" s="50"/>
      <c r="DI68" s="50"/>
      <c r="DJ68" s="50"/>
      <c r="DK68" s="50"/>
      <c r="DL68" s="50"/>
      <c r="DM68" s="50"/>
      <c r="DN68" s="50"/>
      <c r="DO68" s="50"/>
      <c r="DP68" s="50"/>
      <c r="DQ68" s="50"/>
      <c r="DR68" s="50"/>
      <c r="DS68" s="50"/>
      <c r="DT68" s="50"/>
      <c r="DU68" s="50"/>
      <c r="DV68" s="50"/>
      <c r="DW68" s="50"/>
      <c r="DX68" s="50"/>
      <c r="DY68" s="50"/>
      <c r="DZ68" s="50"/>
      <c r="EA68" s="50"/>
      <c r="EB68" s="50"/>
      <c r="EC68" s="50"/>
      <c r="ED68" s="50"/>
      <c r="EE68" s="50"/>
      <c r="EF68" s="50"/>
      <c r="EG68" s="50"/>
      <c r="EH68" s="50"/>
      <c r="EI68" s="50"/>
      <c r="EJ68" s="50"/>
      <c r="EK68" s="50"/>
      <c r="EL68" s="50"/>
      <c r="EM68" s="50"/>
      <c r="EN68" s="50"/>
      <c r="EO68" s="50"/>
      <c r="EP68" s="50"/>
      <c r="EQ68" s="50"/>
      <c r="ER68" s="50"/>
      <c r="ES68" s="50"/>
      <c r="ET68" s="50"/>
      <c r="EU68" s="50"/>
      <c r="EV68" s="50"/>
      <c r="EW68" s="50"/>
      <c r="EX68" s="50"/>
      <c r="EY68" s="50"/>
      <c r="EZ68" s="50"/>
      <c r="FA68" s="50"/>
      <c r="FB68" s="50"/>
      <c r="FC68" s="50"/>
      <c r="FD68" s="50"/>
      <c r="FE68" s="50"/>
      <c r="FF68" s="50"/>
      <c r="FG68" s="50"/>
      <c r="FH68" s="50"/>
      <c r="FI68" s="50"/>
      <c r="FJ68" s="50"/>
      <c r="FK68" s="50"/>
      <c r="FL68" s="50"/>
    </row>
    <row r="69" ht="15.7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50"/>
      <c r="CR69" s="50"/>
      <c r="CS69" s="50"/>
      <c r="CT69" s="50"/>
      <c r="CU69" s="50"/>
      <c r="CV69" s="50"/>
      <c r="CW69" s="50"/>
      <c r="CX69" s="50"/>
      <c r="CY69" s="50"/>
      <c r="CZ69" s="50"/>
      <c r="DA69" s="50"/>
      <c r="DB69" s="50"/>
      <c r="DC69" s="50"/>
      <c r="DD69" s="50"/>
      <c r="DE69" s="50"/>
      <c r="DF69" s="50"/>
      <c r="DG69" s="50"/>
      <c r="DH69" s="50"/>
      <c r="DI69" s="50"/>
      <c r="DJ69" s="50"/>
      <c r="DK69" s="50"/>
      <c r="DL69" s="50"/>
      <c r="DM69" s="50"/>
      <c r="DN69" s="50"/>
      <c r="DO69" s="50"/>
      <c r="DP69" s="50"/>
      <c r="DQ69" s="50"/>
      <c r="DR69" s="50"/>
      <c r="DS69" s="50"/>
      <c r="DT69" s="50"/>
      <c r="DU69" s="50"/>
      <c r="DV69" s="50"/>
      <c r="DW69" s="50"/>
      <c r="DX69" s="50"/>
      <c r="DY69" s="50"/>
      <c r="DZ69" s="50"/>
      <c r="EA69" s="50"/>
      <c r="EB69" s="50"/>
      <c r="EC69" s="50"/>
      <c r="ED69" s="50"/>
      <c r="EE69" s="50"/>
      <c r="EF69" s="50"/>
      <c r="EG69" s="50"/>
      <c r="EH69" s="50"/>
      <c r="EI69" s="50"/>
      <c r="EJ69" s="50"/>
      <c r="EK69" s="50"/>
      <c r="EL69" s="50"/>
      <c r="EM69" s="50"/>
      <c r="EN69" s="50"/>
      <c r="EO69" s="50"/>
      <c r="EP69" s="50"/>
      <c r="EQ69" s="50"/>
      <c r="ER69" s="50"/>
      <c r="ES69" s="50"/>
      <c r="ET69" s="50"/>
      <c r="EU69" s="50"/>
      <c r="EV69" s="50"/>
      <c r="EW69" s="50"/>
      <c r="EX69" s="50"/>
      <c r="EY69" s="50"/>
      <c r="EZ69" s="50"/>
      <c r="FA69" s="50"/>
      <c r="FB69" s="50"/>
      <c r="FC69" s="50"/>
      <c r="FD69" s="50"/>
      <c r="FE69" s="50"/>
      <c r="FF69" s="50"/>
      <c r="FG69" s="50"/>
      <c r="FH69" s="50"/>
      <c r="FI69" s="50"/>
      <c r="FJ69" s="50"/>
      <c r="FK69" s="50"/>
      <c r="FL69" s="50"/>
    </row>
    <row r="70" ht="15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  <c r="CP70" s="50"/>
      <c r="CQ70" s="50"/>
      <c r="CR70" s="50"/>
      <c r="CS70" s="50"/>
      <c r="CT70" s="50"/>
      <c r="CU70" s="50"/>
      <c r="CV70" s="50"/>
      <c r="CW70" s="50"/>
      <c r="CX70" s="50"/>
      <c r="CY70" s="50"/>
      <c r="CZ70" s="50"/>
      <c r="DA70" s="50"/>
      <c r="DB70" s="50"/>
      <c r="DC70" s="50"/>
      <c r="DD70" s="50"/>
      <c r="DE70" s="50"/>
      <c r="DF70" s="50"/>
      <c r="DG70" s="50"/>
      <c r="DH70" s="50"/>
      <c r="DI70" s="50"/>
      <c r="DJ70" s="50"/>
      <c r="DK70" s="50"/>
      <c r="DL70" s="50"/>
      <c r="DM70" s="50"/>
      <c r="DN70" s="50"/>
      <c r="DO70" s="50"/>
      <c r="DP70" s="50"/>
      <c r="DQ70" s="50"/>
      <c r="DR70" s="50"/>
      <c r="DS70" s="50"/>
      <c r="DT70" s="50"/>
      <c r="DU70" s="50"/>
      <c r="DV70" s="50"/>
      <c r="DW70" s="50"/>
      <c r="DX70" s="50"/>
      <c r="DY70" s="50"/>
      <c r="DZ70" s="50"/>
      <c r="EA70" s="50"/>
      <c r="EB70" s="50"/>
      <c r="EC70" s="50"/>
      <c r="ED70" s="50"/>
      <c r="EE70" s="50"/>
      <c r="EF70" s="50"/>
      <c r="EG70" s="50"/>
      <c r="EH70" s="50"/>
      <c r="EI70" s="50"/>
      <c r="EJ70" s="50"/>
      <c r="EK70" s="50"/>
      <c r="EL70" s="50"/>
      <c r="EM70" s="50"/>
      <c r="EN70" s="50"/>
      <c r="EO70" s="50"/>
      <c r="EP70" s="50"/>
      <c r="EQ70" s="50"/>
      <c r="ER70" s="50"/>
      <c r="ES70" s="50"/>
      <c r="ET70" s="50"/>
      <c r="EU70" s="50"/>
      <c r="EV70" s="50"/>
      <c r="EW70" s="50"/>
      <c r="EX70" s="50"/>
      <c r="EY70" s="50"/>
      <c r="EZ70" s="50"/>
      <c r="FA70" s="50"/>
      <c r="FB70" s="50"/>
      <c r="FC70" s="50"/>
      <c r="FD70" s="50"/>
      <c r="FE70" s="50"/>
      <c r="FF70" s="50"/>
      <c r="FG70" s="50"/>
      <c r="FH70" s="50"/>
      <c r="FI70" s="50"/>
      <c r="FJ70" s="50"/>
      <c r="FK70" s="50"/>
      <c r="FL70" s="50"/>
    </row>
    <row r="71" ht="15.7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  <c r="BS71" s="50"/>
      <c r="BT71" s="50"/>
      <c r="BU71" s="50"/>
      <c r="BV71" s="50"/>
      <c r="BW71" s="50"/>
      <c r="BX71" s="50"/>
      <c r="BY71" s="50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  <c r="CP71" s="50"/>
      <c r="CQ71" s="50"/>
      <c r="CR71" s="50"/>
      <c r="CS71" s="50"/>
      <c r="CT71" s="50"/>
      <c r="CU71" s="50"/>
      <c r="CV71" s="50"/>
      <c r="CW71" s="50"/>
      <c r="CX71" s="50"/>
      <c r="CY71" s="50"/>
      <c r="CZ71" s="50"/>
      <c r="DA71" s="50"/>
      <c r="DB71" s="50"/>
      <c r="DC71" s="50"/>
      <c r="DD71" s="50"/>
      <c r="DE71" s="50"/>
      <c r="DF71" s="50"/>
      <c r="DG71" s="50"/>
      <c r="DH71" s="50"/>
      <c r="DI71" s="50"/>
      <c r="DJ71" s="50"/>
      <c r="DK71" s="50"/>
      <c r="DL71" s="50"/>
      <c r="DM71" s="50"/>
      <c r="DN71" s="50"/>
      <c r="DO71" s="50"/>
      <c r="DP71" s="50"/>
      <c r="DQ71" s="50"/>
      <c r="DR71" s="50"/>
      <c r="DS71" s="50"/>
      <c r="DT71" s="50"/>
      <c r="DU71" s="50"/>
      <c r="DV71" s="50"/>
      <c r="DW71" s="50"/>
      <c r="DX71" s="50"/>
      <c r="DY71" s="50"/>
      <c r="DZ71" s="50"/>
      <c r="EA71" s="50"/>
      <c r="EB71" s="50"/>
      <c r="EC71" s="50"/>
      <c r="ED71" s="50"/>
      <c r="EE71" s="50"/>
      <c r="EF71" s="50"/>
      <c r="EG71" s="50"/>
      <c r="EH71" s="50"/>
      <c r="EI71" s="50"/>
      <c r="EJ71" s="50"/>
      <c r="EK71" s="50"/>
      <c r="EL71" s="50"/>
      <c r="EM71" s="50"/>
      <c r="EN71" s="50"/>
      <c r="EO71" s="50"/>
      <c r="EP71" s="50"/>
      <c r="EQ71" s="50"/>
      <c r="ER71" s="50"/>
      <c r="ES71" s="50"/>
      <c r="ET71" s="50"/>
      <c r="EU71" s="50"/>
      <c r="EV71" s="50"/>
      <c r="EW71" s="50"/>
      <c r="EX71" s="50"/>
      <c r="EY71" s="50"/>
      <c r="EZ71" s="50"/>
      <c r="FA71" s="50"/>
      <c r="FB71" s="50"/>
      <c r="FC71" s="50"/>
      <c r="FD71" s="50"/>
      <c r="FE71" s="50"/>
      <c r="FF71" s="50"/>
      <c r="FG71" s="50"/>
      <c r="FH71" s="50"/>
      <c r="FI71" s="50"/>
      <c r="FJ71" s="50"/>
      <c r="FK71" s="50"/>
      <c r="FL71" s="50"/>
    </row>
    <row r="72" ht="15.7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  <c r="BS72" s="50"/>
      <c r="BT72" s="50"/>
      <c r="BU72" s="50"/>
      <c r="BV72" s="50"/>
      <c r="BW72" s="50"/>
      <c r="BX72" s="50"/>
      <c r="BY72" s="50"/>
      <c r="BZ72" s="50"/>
      <c r="CA72" s="50"/>
      <c r="CB72" s="50"/>
      <c r="CC72" s="50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  <c r="CP72" s="50"/>
      <c r="CQ72" s="50"/>
      <c r="CR72" s="50"/>
      <c r="CS72" s="50"/>
      <c r="CT72" s="50"/>
      <c r="CU72" s="50"/>
      <c r="CV72" s="50"/>
      <c r="CW72" s="50"/>
      <c r="CX72" s="50"/>
      <c r="CY72" s="50"/>
      <c r="CZ72" s="50"/>
      <c r="DA72" s="50"/>
      <c r="DB72" s="50"/>
      <c r="DC72" s="50"/>
      <c r="DD72" s="50"/>
      <c r="DE72" s="50"/>
      <c r="DF72" s="50"/>
      <c r="DG72" s="50"/>
      <c r="DH72" s="50"/>
      <c r="DI72" s="50"/>
      <c r="DJ72" s="50"/>
      <c r="DK72" s="50"/>
      <c r="DL72" s="50"/>
      <c r="DM72" s="50"/>
      <c r="DN72" s="50"/>
      <c r="DO72" s="50"/>
      <c r="DP72" s="50"/>
      <c r="DQ72" s="50"/>
      <c r="DR72" s="50"/>
      <c r="DS72" s="50"/>
      <c r="DT72" s="50"/>
      <c r="DU72" s="50"/>
      <c r="DV72" s="50"/>
      <c r="DW72" s="50"/>
      <c r="DX72" s="50"/>
      <c r="DY72" s="50"/>
      <c r="DZ72" s="50"/>
      <c r="EA72" s="50"/>
      <c r="EB72" s="50"/>
      <c r="EC72" s="50"/>
      <c r="ED72" s="50"/>
      <c r="EE72" s="50"/>
      <c r="EF72" s="50"/>
      <c r="EG72" s="50"/>
      <c r="EH72" s="50"/>
      <c r="EI72" s="50"/>
      <c r="EJ72" s="50"/>
      <c r="EK72" s="50"/>
      <c r="EL72" s="50"/>
      <c r="EM72" s="50"/>
      <c r="EN72" s="50"/>
      <c r="EO72" s="50"/>
      <c r="EP72" s="50"/>
      <c r="EQ72" s="50"/>
      <c r="ER72" s="50"/>
      <c r="ES72" s="50"/>
      <c r="ET72" s="50"/>
      <c r="EU72" s="50"/>
      <c r="EV72" s="50"/>
      <c r="EW72" s="50"/>
      <c r="EX72" s="50"/>
      <c r="EY72" s="50"/>
      <c r="EZ72" s="50"/>
      <c r="FA72" s="50"/>
      <c r="FB72" s="50"/>
      <c r="FC72" s="50"/>
      <c r="FD72" s="50"/>
      <c r="FE72" s="50"/>
      <c r="FF72" s="50"/>
      <c r="FG72" s="50"/>
      <c r="FH72" s="50"/>
      <c r="FI72" s="50"/>
      <c r="FJ72" s="50"/>
      <c r="FK72" s="50"/>
      <c r="FL72" s="50"/>
    </row>
    <row r="73" ht="15.7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  <c r="CP73" s="50"/>
      <c r="CQ73" s="50"/>
      <c r="CR73" s="50"/>
      <c r="CS73" s="50"/>
      <c r="CT73" s="50"/>
      <c r="CU73" s="50"/>
      <c r="CV73" s="50"/>
      <c r="CW73" s="50"/>
      <c r="CX73" s="50"/>
      <c r="CY73" s="50"/>
      <c r="CZ73" s="50"/>
      <c r="DA73" s="50"/>
      <c r="DB73" s="50"/>
      <c r="DC73" s="50"/>
      <c r="DD73" s="50"/>
      <c r="DE73" s="50"/>
      <c r="DF73" s="50"/>
      <c r="DG73" s="50"/>
      <c r="DH73" s="50"/>
      <c r="DI73" s="50"/>
      <c r="DJ73" s="50"/>
      <c r="DK73" s="50"/>
      <c r="DL73" s="50"/>
      <c r="DM73" s="50"/>
      <c r="DN73" s="50"/>
      <c r="DO73" s="50"/>
      <c r="DP73" s="50"/>
      <c r="DQ73" s="50"/>
      <c r="DR73" s="50"/>
      <c r="DS73" s="50"/>
      <c r="DT73" s="50"/>
      <c r="DU73" s="50"/>
      <c r="DV73" s="50"/>
      <c r="DW73" s="50"/>
      <c r="DX73" s="50"/>
      <c r="DY73" s="50"/>
      <c r="DZ73" s="50"/>
      <c r="EA73" s="50"/>
      <c r="EB73" s="50"/>
      <c r="EC73" s="50"/>
      <c r="ED73" s="50"/>
      <c r="EE73" s="50"/>
      <c r="EF73" s="50"/>
      <c r="EG73" s="50"/>
      <c r="EH73" s="50"/>
      <c r="EI73" s="50"/>
      <c r="EJ73" s="50"/>
      <c r="EK73" s="50"/>
      <c r="EL73" s="50"/>
      <c r="EM73" s="50"/>
      <c r="EN73" s="50"/>
      <c r="EO73" s="50"/>
      <c r="EP73" s="50"/>
      <c r="EQ73" s="50"/>
      <c r="ER73" s="50"/>
      <c r="ES73" s="50"/>
      <c r="ET73" s="50"/>
      <c r="EU73" s="50"/>
      <c r="EV73" s="50"/>
      <c r="EW73" s="50"/>
      <c r="EX73" s="50"/>
      <c r="EY73" s="50"/>
      <c r="EZ73" s="50"/>
      <c r="FA73" s="50"/>
      <c r="FB73" s="50"/>
      <c r="FC73" s="50"/>
      <c r="FD73" s="50"/>
      <c r="FE73" s="50"/>
      <c r="FF73" s="50"/>
      <c r="FG73" s="50"/>
      <c r="FH73" s="50"/>
      <c r="FI73" s="50"/>
      <c r="FJ73" s="50"/>
      <c r="FK73" s="50"/>
      <c r="FL73" s="50"/>
    </row>
    <row r="74" ht="15.7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  <c r="DC74" s="50"/>
      <c r="DD74" s="50"/>
      <c r="DE74" s="50"/>
      <c r="DF74" s="50"/>
      <c r="DG74" s="50"/>
      <c r="DH74" s="50"/>
      <c r="DI74" s="50"/>
      <c r="DJ74" s="50"/>
      <c r="DK74" s="50"/>
      <c r="DL74" s="50"/>
      <c r="DM74" s="50"/>
      <c r="DN74" s="50"/>
      <c r="DO74" s="50"/>
      <c r="DP74" s="50"/>
      <c r="DQ74" s="50"/>
      <c r="DR74" s="50"/>
      <c r="DS74" s="50"/>
      <c r="DT74" s="50"/>
      <c r="DU74" s="50"/>
      <c r="DV74" s="50"/>
      <c r="DW74" s="50"/>
      <c r="DX74" s="50"/>
      <c r="DY74" s="50"/>
      <c r="DZ74" s="50"/>
      <c r="EA74" s="50"/>
      <c r="EB74" s="50"/>
      <c r="EC74" s="50"/>
      <c r="ED74" s="50"/>
      <c r="EE74" s="50"/>
      <c r="EF74" s="50"/>
      <c r="EG74" s="50"/>
      <c r="EH74" s="50"/>
      <c r="EI74" s="50"/>
      <c r="EJ74" s="50"/>
      <c r="EK74" s="50"/>
      <c r="EL74" s="50"/>
      <c r="EM74" s="50"/>
      <c r="EN74" s="50"/>
      <c r="EO74" s="50"/>
      <c r="EP74" s="50"/>
      <c r="EQ74" s="50"/>
      <c r="ER74" s="50"/>
      <c r="ES74" s="50"/>
      <c r="ET74" s="50"/>
      <c r="EU74" s="50"/>
      <c r="EV74" s="50"/>
      <c r="EW74" s="50"/>
      <c r="EX74" s="50"/>
      <c r="EY74" s="50"/>
      <c r="EZ74" s="50"/>
      <c r="FA74" s="50"/>
      <c r="FB74" s="50"/>
      <c r="FC74" s="50"/>
      <c r="FD74" s="50"/>
      <c r="FE74" s="50"/>
      <c r="FF74" s="50"/>
      <c r="FG74" s="50"/>
      <c r="FH74" s="50"/>
      <c r="FI74" s="50"/>
      <c r="FJ74" s="50"/>
      <c r="FK74" s="50"/>
      <c r="FL74" s="50"/>
    </row>
    <row r="75" ht="15.7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  <c r="CP75" s="50"/>
      <c r="CQ75" s="50"/>
      <c r="CR75" s="50"/>
      <c r="CS75" s="50"/>
      <c r="CT75" s="50"/>
      <c r="CU75" s="50"/>
      <c r="CV75" s="50"/>
      <c r="CW75" s="50"/>
      <c r="CX75" s="50"/>
      <c r="CY75" s="50"/>
      <c r="CZ75" s="50"/>
      <c r="DA75" s="50"/>
      <c r="DB75" s="50"/>
      <c r="DC75" s="50"/>
      <c r="DD75" s="50"/>
      <c r="DE75" s="50"/>
      <c r="DF75" s="50"/>
      <c r="DG75" s="50"/>
      <c r="DH75" s="50"/>
      <c r="DI75" s="50"/>
      <c r="DJ75" s="50"/>
      <c r="DK75" s="50"/>
      <c r="DL75" s="50"/>
      <c r="DM75" s="50"/>
      <c r="DN75" s="50"/>
      <c r="DO75" s="50"/>
      <c r="DP75" s="50"/>
      <c r="DQ75" s="50"/>
      <c r="DR75" s="50"/>
      <c r="DS75" s="50"/>
      <c r="DT75" s="50"/>
      <c r="DU75" s="50"/>
      <c r="DV75" s="50"/>
      <c r="DW75" s="50"/>
      <c r="DX75" s="50"/>
      <c r="DY75" s="50"/>
      <c r="DZ75" s="50"/>
      <c r="EA75" s="50"/>
      <c r="EB75" s="50"/>
      <c r="EC75" s="50"/>
      <c r="ED75" s="50"/>
      <c r="EE75" s="50"/>
      <c r="EF75" s="50"/>
      <c r="EG75" s="50"/>
      <c r="EH75" s="50"/>
      <c r="EI75" s="50"/>
      <c r="EJ75" s="50"/>
      <c r="EK75" s="50"/>
      <c r="EL75" s="50"/>
      <c r="EM75" s="50"/>
      <c r="EN75" s="50"/>
      <c r="EO75" s="50"/>
      <c r="EP75" s="50"/>
      <c r="EQ75" s="50"/>
      <c r="ER75" s="50"/>
      <c r="ES75" s="50"/>
      <c r="ET75" s="50"/>
      <c r="EU75" s="50"/>
      <c r="EV75" s="50"/>
      <c r="EW75" s="50"/>
      <c r="EX75" s="50"/>
      <c r="EY75" s="50"/>
      <c r="EZ75" s="50"/>
      <c r="FA75" s="50"/>
      <c r="FB75" s="50"/>
      <c r="FC75" s="50"/>
      <c r="FD75" s="50"/>
      <c r="FE75" s="50"/>
      <c r="FF75" s="50"/>
      <c r="FG75" s="50"/>
      <c r="FH75" s="50"/>
      <c r="FI75" s="50"/>
      <c r="FJ75" s="50"/>
      <c r="FK75" s="50"/>
      <c r="FL75" s="50"/>
    </row>
    <row r="76" ht="15.7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  <c r="DC76" s="50"/>
      <c r="DD76" s="50"/>
      <c r="DE76" s="50"/>
      <c r="DF76" s="50"/>
      <c r="DG76" s="50"/>
      <c r="DH76" s="50"/>
      <c r="DI76" s="50"/>
      <c r="DJ76" s="50"/>
      <c r="DK76" s="50"/>
      <c r="DL76" s="50"/>
      <c r="DM76" s="50"/>
      <c r="DN76" s="50"/>
      <c r="DO76" s="50"/>
      <c r="DP76" s="50"/>
      <c r="DQ76" s="50"/>
      <c r="DR76" s="50"/>
      <c r="DS76" s="50"/>
      <c r="DT76" s="50"/>
      <c r="DU76" s="50"/>
      <c r="DV76" s="50"/>
      <c r="DW76" s="50"/>
      <c r="DX76" s="50"/>
      <c r="DY76" s="50"/>
      <c r="DZ76" s="50"/>
      <c r="EA76" s="50"/>
      <c r="EB76" s="50"/>
      <c r="EC76" s="50"/>
      <c r="ED76" s="50"/>
      <c r="EE76" s="50"/>
      <c r="EF76" s="50"/>
      <c r="EG76" s="50"/>
      <c r="EH76" s="50"/>
      <c r="EI76" s="50"/>
      <c r="EJ76" s="50"/>
      <c r="EK76" s="50"/>
      <c r="EL76" s="50"/>
      <c r="EM76" s="50"/>
      <c r="EN76" s="50"/>
      <c r="EO76" s="50"/>
      <c r="EP76" s="50"/>
      <c r="EQ76" s="50"/>
      <c r="ER76" s="50"/>
      <c r="ES76" s="50"/>
      <c r="ET76" s="50"/>
      <c r="EU76" s="50"/>
      <c r="EV76" s="50"/>
      <c r="EW76" s="50"/>
      <c r="EX76" s="50"/>
      <c r="EY76" s="50"/>
      <c r="EZ76" s="50"/>
      <c r="FA76" s="50"/>
      <c r="FB76" s="50"/>
      <c r="FC76" s="50"/>
      <c r="FD76" s="50"/>
      <c r="FE76" s="50"/>
      <c r="FF76" s="50"/>
      <c r="FG76" s="50"/>
      <c r="FH76" s="50"/>
      <c r="FI76" s="50"/>
      <c r="FJ76" s="50"/>
      <c r="FK76" s="50"/>
      <c r="FL76" s="50"/>
    </row>
    <row r="77" ht="15.7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  <c r="DC77" s="50"/>
      <c r="DD77" s="50"/>
      <c r="DE77" s="50"/>
      <c r="DF77" s="50"/>
      <c r="DG77" s="50"/>
      <c r="DH77" s="50"/>
      <c r="DI77" s="50"/>
      <c r="DJ77" s="50"/>
      <c r="DK77" s="50"/>
      <c r="DL77" s="50"/>
      <c r="DM77" s="50"/>
      <c r="DN77" s="50"/>
      <c r="DO77" s="50"/>
      <c r="DP77" s="50"/>
      <c r="DQ77" s="50"/>
      <c r="DR77" s="50"/>
      <c r="DS77" s="50"/>
      <c r="DT77" s="50"/>
      <c r="DU77" s="50"/>
      <c r="DV77" s="50"/>
      <c r="DW77" s="50"/>
      <c r="DX77" s="50"/>
      <c r="DY77" s="50"/>
      <c r="DZ77" s="50"/>
      <c r="EA77" s="50"/>
      <c r="EB77" s="50"/>
      <c r="EC77" s="50"/>
      <c r="ED77" s="50"/>
      <c r="EE77" s="50"/>
      <c r="EF77" s="50"/>
      <c r="EG77" s="50"/>
      <c r="EH77" s="50"/>
      <c r="EI77" s="50"/>
      <c r="EJ77" s="50"/>
      <c r="EK77" s="50"/>
      <c r="EL77" s="50"/>
      <c r="EM77" s="50"/>
      <c r="EN77" s="50"/>
      <c r="EO77" s="50"/>
      <c r="EP77" s="50"/>
      <c r="EQ77" s="50"/>
      <c r="ER77" s="50"/>
      <c r="ES77" s="50"/>
      <c r="ET77" s="50"/>
      <c r="EU77" s="50"/>
      <c r="EV77" s="50"/>
      <c r="EW77" s="50"/>
      <c r="EX77" s="50"/>
      <c r="EY77" s="50"/>
      <c r="EZ77" s="50"/>
      <c r="FA77" s="50"/>
      <c r="FB77" s="50"/>
      <c r="FC77" s="50"/>
      <c r="FD77" s="50"/>
      <c r="FE77" s="50"/>
      <c r="FF77" s="50"/>
      <c r="FG77" s="50"/>
      <c r="FH77" s="50"/>
      <c r="FI77" s="50"/>
      <c r="FJ77" s="50"/>
      <c r="FK77" s="50"/>
      <c r="FL77" s="50"/>
    </row>
    <row r="78" ht="15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50"/>
      <c r="DB78" s="50"/>
      <c r="DC78" s="50"/>
      <c r="DD78" s="50"/>
      <c r="DE78" s="50"/>
      <c r="DF78" s="50"/>
      <c r="DG78" s="50"/>
      <c r="DH78" s="50"/>
      <c r="DI78" s="50"/>
      <c r="DJ78" s="50"/>
      <c r="DK78" s="50"/>
      <c r="DL78" s="50"/>
      <c r="DM78" s="50"/>
      <c r="DN78" s="50"/>
      <c r="DO78" s="50"/>
      <c r="DP78" s="50"/>
      <c r="DQ78" s="50"/>
      <c r="DR78" s="50"/>
      <c r="DS78" s="50"/>
      <c r="DT78" s="50"/>
      <c r="DU78" s="50"/>
      <c r="DV78" s="50"/>
      <c r="DW78" s="50"/>
      <c r="DX78" s="50"/>
      <c r="DY78" s="50"/>
      <c r="DZ78" s="50"/>
      <c r="EA78" s="50"/>
      <c r="EB78" s="50"/>
      <c r="EC78" s="50"/>
      <c r="ED78" s="50"/>
      <c r="EE78" s="50"/>
      <c r="EF78" s="50"/>
      <c r="EG78" s="50"/>
      <c r="EH78" s="50"/>
      <c r="EI78" s="50"/>
      <c r="EJ78" s="50"/>
      <c r="EK78" s="50"/>
      <c r="EL78" s="50"/>
      <c r="EM78" s="50"/>
      <c r="EN78" s="50"/>
      <c r="EO78" s="50"/>
      <c r="EP78" s="50"/>
      <c r="EQ78" s="50"/>
      <c r="ER78" s="50"/>
      <c r="ES78" s="50"/>
      <c r="ET78" s="50"/>
      <c r="EU78" s="50"/>
      <c r="EV78" s="50"/>
      <c r="EW78" s="50"/>
      <c r="EX78" s="50"/>
      <c r="EY78" s="50"/>
      <c r="EZ78" s="50"/>
      <c r="FA78" s="50"/>
      <c r="FB78" s="50"/>
      <c r="FC78" s="50"/>
      <c r="FD78" s="50"/>
      <c r="FE78" s="50"/>
      <c r="FF78" s="50"/>
      <c r="FG78" s="50"/>
      <c r="FH78" s="50"/>
      <c r="FI78" s="50"/>
      <c r="FJ78" s="50"/>
      <c r="FK78" s="50"/>
      <c r="FL78" s="50"/>
    </row>
    <row r="79" ht="15.7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  <c r="DD79" s="50"/>
      <c r="DE79" s="50"/>
      <c r="DF79" s="50"/>
      <c r="DG79" s="50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/>
      <c r="DS79" s="50"/>
      <c r="DT79" s="50"/>
      <c r="DU79" s="50"/>
      <c r="DV79" s="50"/>
      <c r="DW79" s="50"/>
      <c r="DX79" s="50"/>
      <c r="DY79" s="50"/>
      <c r="DZ79" s="50"/>
      <c r="EA79" s="50"/>
      <c r="EB79" s="50"/>
      <c r="EC79" s="50"/>
      <c r="ED79" s="50"/>
      <c r="EE79" s="50"/>
      <c r="EF79" s="50"/>
      <c r="EG79" s="50"/>
      <c r="EH79" s="50"/>
      <c r="EI79" s="50"/>
      <c r="EJ79" s="50"/>
      <c r="EK79" s="50"/>
      <c r="EL79" s="50"/>
      <c r="EM79" s="50"/>
      <c r="EN79" s="50"/>
      <c r="EO79" s="50"/>
      <c r="EP79" s="50"/>
      <c r="EQ79" s="50"/>
      <c r="ER79" s="50"/>
      <c r="ES79" s="50"/>
      <c r="ET79" s="50"/>
      <c r="EU79" s="50"/>
      <c r="EV79" s="50"/>
      <c r="EW79" s="50"/>
      <c r="EX79" s="50"/>
      <c r="EY79" s="50"/>
      <c r="EZ79" s="50"/>
      <c r="FA79" s="50"/>
      <c r="FB79" s="50"/>
      <c r="FC79" s="50"/>
      <c r="FD79" s="50"/>
      <c r="FE79" s="50"/>
      <c r="FF79" s="50"/>
      <c r="FG79" s="50"/>
      <c r="FH79" s="50"/>
      <c r="FI79" s="50"/>
      <c r="FJ79" s="50"/>
      <c r="FK79" s="50"/>
      <c r="FL79" s="50"/>
    </row>
    <row r="80" ht="15.7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/>
      <c r="CZ80" s="50"/>
      <c r="DA80" s="50"/>
      <c r="DB80" s="50"/>
      <c r="DC80" s="50"/>
      <c r="DD80" s="50"/>
      <c r="DE80" s="50"/>
      <c r="DF80" s="50"/>
      <c r="DG80" s="50"/>
      <c r="DH80" s="50"/>
      <c r="DI80" s="50"/>
      <c r="DJ80" s="50"/>
      <c r="DK80" s="50"/>
      <c r="DL80" s="50"/>
      <c r="DM80" s="50"/>
      <c r="DN80" s="50"/>
      <c r="DO80" s="50"/>
      <c r="DP80" s="50"/>
      <c r="DQ80" s="50"/>
      <c r="DR80" s="50"/>
      <c r="DS80" s="50"/>
      <c r="DT80" s="50"/>
      <c r="DU80" s="50"/>
      <c r="DV80" s="50"/>
      <c r="DW80" s="50"/>
      <c r="DX80" s="50"/>
      <c r="DY80" s="50"/>
      <c r="DZ80" s="50"/>
      <c r="EA80" s="50"/>
      <c r="EB80" s="50"/>
      <c r="EC80" s="50"/>
      <c r="ED80" s="50"/>
      <c r="EE80" s="50"/>
      <c r="EF80" s="50"/>
      <c r="EG80" s="50"/>
      <c r="EH80" s="50"/>
      <c r="EI80" s="50"/>
      <c r="EJ80" s="50"/>
      <c r="EK80" s="50"/>
      <c r="EL80" s="50"/>
      <c r="EM80" s="50"/>
      <c r="EN80" s="50"/>
      <c r="EO80" s="50"/>
      <c r="EP80" s="50"/>
      <c r="EQ80" s="50"/>
      <c r="ER80" s="50"/>
      <c r="ES80" s="50"/>
      <c r="ET80" s="50"/>
      <c r="EU80" s="50"/>
      <c r="EV80" s="50"/>
      <c r="EW80" s="50"/>
      <c r="EX80" s="50"/>
      <c r="EY80" s="50"/>
      <c r="EZ80" s="50"/>
      <c r="FA80" s="50"/>
      <c r="FB80" s="50"/>
      <c r="FC80" s="50"/>
      <c r="FD80" s="50"/>
      <c r="FE80" s="50"/>
      <c r="FF80" s="50"/>
      <c r="FG80" s="50"/>
      <c r="FH80" s="50"/>
      <c r="FI80" s="50"/>
      <c r="FJ80" s="50"/>
      <c r="FK80" s="50"/>
      <c r="FL80" s="50"/>
    </row>
    <row r="81" ht="15.7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  <c r="CP81" s="50"/>
      <c r="CQ81" s="50"/>
      <c r="CR81" s="50"/>
      <c r="CS81" s="50"/>
      <c r="CT81" s="50"/>
      <c r="CU81" s="50"/>
      <c r="CV81" s="50"/>
      <c r="CW81" s="50"/>
      <c r="CX81" s="50"/>
      <c r="CY81" s="50"/>
      <c r="CZ81" s="50"/>
      <c r="DA81" s="50"/>
      <c r="DB81" s="50"/>
      <c r="DC81" s="50"/>
      <c r="DD81" s="50"/>
      <c r="DE81" s="50"/>
      <c r="DF81" s="50"/>
      <c r="DG81" s="50"/>
      <c r="DH81" s="50"/>
      <c r="DI81" s="50"/>
      <c r="DJ81" s="50"/>
      <c r="DK81" s="50"/>
      <c r="DL81" s="50"/>
      <c r="DM81" s="50"/>
      <c r="DN81" s="50"/>
      <c r="DO81" s="50"/>
      <c r="DP81" s="50"/>
      <c r="DQ81" s="50"/>
      <c r="DR81" s="50"/>
      <c r="DS81" s="50"/>
      <c r="DT81" s="50"/>
      <c r="DU81" s="50"/>
      <c r="DV81" s="50"/>
      <c r="DW81" s="50"/>
      <c r="DX81" s="50"/>
      <c r="DY81" s="50"/>
      <c r="DZ81" s="50"/>
      <c r="EA81" s="50"/>
      <c r="EB81" s="50"/>
      <c r="EC81" s="50"/>
      <c r="ED81" s="50"/>
      <c r="EE81" s="50"/>
      <c r="EF81" s="50"/>
      <c r="EG81" s="50"/>
      <c r="EH81" s="50"/>
      <c r="EI81" s="50"/>
      <c r="EJ81" s="50"/>
      <c r="EK81" s="50"/>
      <c r="EL81" s="50"/>
      <c r="EM81" s="50"/>
      <c r="EN81" s="50"/>
      <c r="EO81" s="50"/>
      <c r="EP81" s="50"/>
      <c r="EQ81" s="50"/>
      <c r="ER81" s="50"/>
      <c r="ES81" s="50"/>
      <c r="ET81" s="50"/>
      <c r="EU81" s="50"/>
      <c r="EV81" s="50"/>
      <c r="EW81" s="50"/>
      <c r="EX81" s="50"/>
      <c r="EY81" s="50"/>
      <c r="EZ81" s="50"/>
      <c r="FA81" s="50"/>
      <c r="FB81" s="50"/>
      <c r="FC81" s="50"/>
      <c r="FD81" s="50"/>
      <c r="FE81" s="50"/>
      <c r="FF81" s="50"/>
      <c r="FG81" s="50"/>
      <c r="FH81" s="50"/>
      <c r="FI81" s="50"/>
      <c r="FJ81" s="50"/>
      <c r="FK81" s="50"/>
      <c r="FL81" s="50"/>
    </row>
    <row r="82" ht="15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  <c r="BR82" s="50"/>
      <c r="BS82" s="50"/>
      <c r="BT82" s="50"/>
      <c r="BU82" s="50"/>
      <c r="BV82" s="50"/>
      <c r="BW82" s="50"/>
      <c r="BX82" s="50"/>
      <c r="BY82" s="50"/>
      <c r="BZ82" s="50"/>
      <c r="CA82" s="50"/>
      <c r="CB82" s="50"/>
      <c r="CC82" s="50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0"/>
      <c r="CO82" s="50"/>
      <c r="CP82" s="50"/>
      <c r="CQ82" s="50"/>
      <c r="CR82" s="50"/>
      <c r="CS82" s="50"/>
      <c r="CT82" s="50"/>
      <c r="CU82" s="50"/>
      <c r="CV82" s="50"/>
      <c r="CW82" s="50"/>
      <c r="CX82" s="50"/>
      <c r="CY82" s="50"/>
      <c r="CZ82" s="50"/>
      <c r="DA82" s="50"/>
      <c r="DB82" s="50"/>
      <c r="DC82" s="50"/>
      <c r="DD82" s="50"/>
      <c r="DE82" s="50"/>
      <c r="DF82" s="50"/>
      <c r="DG82" s="50"/>
      <c r="DH82" s="50"/>
      <c r="DI82" s="50"/>
      <c r="DJ82" s="50"/>
      <c r="DK82" s="50"/>
      <c r="DL82" s="50"/>
      <c r="DM82" s="50"/>
      <c r="DN82" s="50"/>
      <c r="DO82" s="50"/>
      <c r="DP82" s="50"/>
      <c r="DQ82" s="50"/>
      <c r="DR82" s="50"/>
      <c r="DS82" s="50"/>
      <c r="DT82" s="50"/>
      <c r="DU82" s="50"/>
      <c r="DV82" s="50"/>
      <c r="DW82" s="50"/>
      <c r="DX82" s="50"/>
      <c r="DY82" s="50"/>
      <c r="DZ82" s="50"/>
      <c r="EA82" s="50"/>
      <c r="EB82" s="50"/>
      <c r="EC82" s="50"/>
      <c r="ED82" s="50"/>
      <c r="EE82" s="50"/>
      <c r="EF82" s="50"/>
      <c r="EG82" s="50"/>
      <c r="EH82" s="50"/>
      <c r="EI82" s="50"/>
      <c r="EJ82" s="50"/>
      <c r="EK82" s="50"/>
      <c r="EL82" s="50"/>
      <c r="EM82" s="50"/>
      <c r="EN82" s="50"/>
      <c r="EO82" s="50"/>
      <c r="EP82" s="50"/>
      <c r="EQ82" s="50"/>
      <c r="ER82" s="50"/>
      <c r="ES82" s="50"/>
      <c r="ET82" s="50"/>
      <c r="EU82" s="50"/>
      <c r="EV82" s="50"/>
      <c r="EW82" s="50"/>
      <c r="EX82" s="50"/>
      <c r="EY82" s="50"/>
      <c r="EZ82" s="50"/>
      <c r="FA82" s="50"/>
      <c r="FB82" s="50"/>
      <c r="FC82" s="50"/>
      <c r="FD82" s="50"/>
      <c r="FE82" s="50"/>
      <c r="FF82" s="50"/>
      <c r="FG82" s="50"/>
      <c r="FH82" s="50"/>
      <c r="FI82" s="50"/>
      <c r="FJ82" s="50"/>
      <c r="FK82" s="50"/>
      <c r="FL82" s="50"/>
    </row>
    <row r="83" ht="15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  <c r="CP83" s="50"/>
      <c r="CQ83" s="50"/>
      <c r="CR83" s="50"/>
      <c r="CS83" s="50"/>
      <c r="CT83" s="50"/>
      <c r="CU83" s="50"/>
      <c r="CV83" s="50"/>
      <c r="CW83" s="50"/>
      <c r="CX83" s="50"/>
      <c r="CY83" s="50"/>
      <c r="CZ83" s="50"/>
      <c r="DA83" s="50"/>
      <c r="DB83" s="50"/>
      <c r="DC83" s="50"/>
      <c r="DD83" s="50"/>
      <c r="DE83" s="50"/>
      <c r="DF83" s="50"/>
      <c r="DG83" s="50"/>
      <c r="DH83" s="50"/>
      <c r="DI83" s="50"/>
      <c r="DJ83" s="50"/>
      <c r="DK83" s="50"/>
      <c r="DL83" s="50"/>
      <c r="DM83" s="50"/>
      <c r="DN83" s="50"/>
      <c r="DO83" s="50"/>
      <c r="DP83" s="50"/>
      <c r="DQ83" s="50"/>
      <c r="DR83" s="50"/>
      <c r="DS83" s="50"/>
      <c r="DT83" s="50"/>
      <c r="DU83" s="50"/>
      <c r="DV83" s="50"/>
      <c r="DW83" s="50"/>
      <c r="DX83" s="50"/>
      <c r="DY83" s="50"/>
      <c r="DZ83" s="50"/>
      <c r="EA83" s="50"/>
      <c r="EB83" s="50"/>
      <c r="EC83" s="50"/>
      <c r="ED83" s="50"/>
      <c r="EE83" s="50"/>
      <c r="EF83" s="50"/>
      <c r="EG83" s="50"/>
      <c r="EH83" s="50"/>
      <c r="EI83" s="50"/>
      <c r="EJ83" s="50"/>
      <c r="EK83" s="50"/>
      <c r="EL83" s="50"/>
      <c r="EM83" s="50"/>
      <c r="EN83" s="50"/>
      <c r="EO83" s="50"/>
      <c r="EP83" s="50"/>
      <c r="EQ83" s="50"/>
      <c r="ER83" s="50"/>
      <c r="ES83" s="50"/>
      <c r="ET83" s="50"/>
      <c r="EU83" s="50"/>
      <c r="EV83" s="50"/>
      <c r="EW83" s="50"/>
      <c r="EX83" s="50"/>
      <c r="EY83" s="50"/>
      <c r="EZ83" s="50"/>
      <c r="FA83" s="50"/>
      <c r="FB83" s="50"/>
      <c r="FC83" s="50"/>
      <c r="FD83" s="50"/>
      <c r="FE83" s="50"/>
      <c r="FF83" s="50"/>
      <c r="FG83" s="50"/>
      <c r="FH83" s="50"/>
      <c r="FI83" s="50"/>
      <c r="FJ83" s="50"/>
      <c r="FK83" s="50"/>
      <c r="FL83" s="50"/>
    </row>
    <row r="84" ht="15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  <c r="CP84" s="50"/>
      <c r="CQ84" s="50"/>
      <c r="CR84" s="50"/>
      <c r="CS84" s="50"/>
      <c r="CT84" s="50"/>
      <c r="CU84" s="50"/>
      <c r="CV84" s="50"/>
      <c r="CW84" s="50"/>
      <c r="CX84" s="50"/>
      <c r="CY84" s="50"/>
      <c r="CZ84" s="50"/>
      <c r="DA84" s="50"/>
      <c r="DB84" s="50"/>
      <c r="DC84" s="50"/>
      <c r="DD84" s="50"/>
      <c r="DE84" s="50"/>
      <c r="DF84" s="50"/>
      <c r="DG84" s="50"/>
      <c r="DH84" s="50"/>
      <c r="DI84" s="50"/>
      <c r="DJ84" s="50"/>
      <c r="DK84" s="50"/>
      <c r="DL84" s="50"/>
      <c r="DM84" s="50"/>
      <c r="DN84" s="50"/>
      <c r="DO84" s="50"/>
      <c r="DP84" s="50"/>
      <c r="DQ84" s="50"/>
      <c r="DR84" s="50"/>
      <c r="DS84" s="50"/>
      <c r="DT84" s="50"/>
      <c r="DU84" s="50"/>
      <c r="DV84" s="50"/>
      <c r="DW84" s="50"/>
      <c r="DX84" s="50"/>
      <c r="DY84" s="50"/>
      <c r="DZ84" s="50"/>
      <c r="EA84" s="50"/>
      <c r="EB84" s="50"/>
      <c r="EC84" s="50"/>
      <c r="ED84" s="50"/>
      <c r="EE84" s="50"/>
      <c r="EF84" s="50"/>
      <c r="EG84" s="50"/>
      <c r="EH84" s="50"/>
      <c r="EI84" s="50"/>
      <c r="EJ84" s="50"/>
      <c r="EK84" s="50"/>
      <c r="EL84" s="50"/>
      <c r="EM84" s="50"/>
      <c r="EN84" s="50"/>
      <c r="EO84" s="50"/>
      <c r="EP84" s="50"/>
      <c r="EQ84" s="50"/>
      <c r="ER84" s="50"/>
      <c r="ES84" s="50"/>
      <c r="ET84" s="50"/>
      <c r="EU84" s="50"/>
      <c r="EV84" s="50"/>
      <c r="EW84" s="50"/>
      <c r="EX84" s="50"/>
      <c r="EY84" s="50"/>
      <c r="EZ84" s="50"/>
      <c r="FA84" s="50"/>
      <c r="FB84" s="50"/>
      <c r="FC84" s="50"/>
      <c r="FD84" s="50"/>
      <c r="FE84" s="50"/>
      <c r="FF84" s="50"/>
      <c r="FG84" s="50"/>
      <c r="FH84" s="50"/>
      <c r="FI84" s="50"/>
      <c r="FJ84" s="50"/>
      <c r="FK84" s="50"/>
      <c r="FL84" s="50"/>
    </row>
    <row r="85" ht="15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  <c r="CP85" s="50"/>
      <c r="CQ85" s="50"/>
      <c r="CR85" s="50"/>
      <c r="CS85" s="50"/>
      <c r="CT85" s="50"/>
      <c r="CU85" s="50"/>
      <c r="CV85" s="50"/>
      <c r="CW85" s="50"/>
      <c r="CX85" s="50"/>
      <c r="CY85" s="50"/>
      <c r="CZ85" s="50"/>
      <c r="DA85" s="50"/>
      <c r="DB85" s="50"/>
      <c r="DC85" s="50"/>
      <c r="DD85" s="50"/>
      <c r="DE85" s="50"/>
      <c r="DF85" s="50"/>
      <c r="DG85" s="50"/>
      <c r="DH85" s="50"/>
      <c r="DI85" s="50"/>
      <c r="DJ85" s="50"/>
      <c r="DK85" s="50"/>
      <c r="DL85" s="50"/>
      <c r="DM85" s="50"/>
      <c r="DN85" s="50"/>
      <c r="DO85" s="50"/>
      <c r="DP85" s="50"/>
      <c r="DQ85" s="50"/>
      <c r="DR85" s="50"/>
      <c r="DS85" s="50"/>
      <c r="DT85" s="50"/>
      <c r="DU85" s="50"/>
      <c r="DV85" s="50"/>
      <c r="DW85" s="50"/>
      <c r="DX85" s="50"/>
      <c r="DY85" s="50"/>
      <c r="DZ85" s="50"/>
      <c r="EA85" s="50"/>
      <c r="EB85" s="50"/>
      <c r="EC85" s="50"/>
      <c r="ED85" s="50"/>
      <c r="EE85" s="50"/>
      <c r="EF85" s="50"/>
      <c r="EG85" s="50"/>
      <c r="EH85" s="50"/>
      <c r="EI85" s="50"/>
      <c r="EJ85" s="50"/>
      <c r="EK85" s="50"/>
      <c r="EL85" s="50"/>
      <c r="EM85" s="50"/>
      <c r="EN85" s="50"/>
      <c r="EO85" s="50"/>
      <c r="EP85" s="50"/>
      <c r="EQ85" s="50"/>
      <c r="ER85" s="50"/>
      <c r="ES85" s="50"/>
      <c r="ET85" s="50"/>
      <c r="EU85" s="50"/>
      <c r="EV85" s="50"/>
      <c r="EW85" s="50"/>
      <c r="EX85" s="50"/>
      <c r="EY85" s="50"/>
      <c r="EZ85" s="50"/>
      <c r="FA85" s="50"/>
      <c r="FB85" s="50"/>
      <c r="FC85" s="50"/>
      <c r="FD85" s="50"/>
      <c r="FE85" s="50"/>
      <c r="FF85" s="50"/>
      <c r="FG85" s="50"/>
      <c r="FH85" s="50"/>
      <c r="FI85" s="50"/>
      <c r="FJ85" s="50"/>
      <c r="FK85" s="50"/>
      <c r="FL85" s="50"/>
    </row>
    <row r="86" ht="15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  <c r="DA86" s="50"/>
      <c r="DB86" s="50"/>
      <c r="DC86" s="50"/>
      <c r="DD86" s="50"/>
      <c r="DE86" s="50"/>
      <c r="DF86" s="50"/>
      <c r="DG86" s="50"/>
      <c r="DH86" s="50"/>
      <c r="DI86" s="50"/>
      <c r="DJ86" s="50"/>
      <c r="DK86" s="50"/>
      <c r="DL86" s="50"/>
      <c r="DM86" s="50"/>
      <c r="DN86" s="50"/>
      <c r="DO86" s="50"/>
      <c r="DP86" s="50"/>
      <c r="DQ86" s="50"/>
      <c r="DR86" s="50"/>
      <c r="DS86" s="50"/>
      <c r="DT86" s="50"/>
      <c r="DU86" s="50"/>
      <c r="DV86" s="50"/>
      <c r="DW86" s="50"/>
      <c r="DX86" s="50"/>
      <c r="DY86" s="50"/>
      <c r="DZ86" s="50"/>
      <c r="EA86" s="50"/>
      <c r="EB86" s="50"/>
      <c r="EC86" s="50"/>
      <c r="ED86" s="50"/>
      <c r="EE86" s="50"/>
      <c r="EF86" s="50"/>
      <c r="EG86" s="50"/>
      <c r="EH86" s="50"/>
      <c r="EI86" s="50"/>
      <c r="EJ86" s="50"/>
      <c r="EK86" s="50"/>
      <c r="EL86" s="50"/>
      <c r="EM86" s="50"/>
      <c r="EN86" s="50"/>
      <c r="EO86" s="50"/>
      <c r="EP86" s="50"/>
      <c r="EQ86" s="50"/>
      <c r="ER86" s="50"/>
      <c r="ES86" s="50"/>
      <c r="ET86" s="50"/>
      <c r="EU86" s="50"/>
      <c r="EV86" s="50"/>
      <c r="EW86" s="50"/>
      <c r="EX86" s="50"/>
      <c r="EY86" s="50"/>
      <c r="EZ86" s="50"/>
      <c r="FA86" s="50"/>
      <c r="FB86" s="50"/>
      <c r="FC86" s="50"/>
      <c r="FD86" s="50"/>
      <c r="FE86" s="50"/>
      <c r="FF86" s="50"/>
      <c r="FG86" s="50"/>
      <c r="FH86" s="50"/>
      <c r="FI86" s="50"/>
      <c r="FJ86" s="50"/>
      <c r="FK86" s="50"/>
      <c r="FL86" s="50"/>
    </row>
    <row r="87" ht="15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0"/>
      <c r="DD87" s="50"/>
      <c r="DE87" s="50"/>
      <c r="DF87" s="50"/>
      <c r="DG87" s="50"/>
      <c r="DH87" s="50"/>
      <c r="DI87" s="50"/>
      <c r="DJ87" s="50"/>
      <c r="DK87" s="50"/>
      <c r="DL87" s="50"/>
      <c r="DM87" s="50"/>
      <c r="DN87" s="50"/>
      <c r="DO87" s="50"/>
      <c r="DP87" s="50"/>
      <c r="DQ87" s="50"/>
      <c r="DR87" s="50"/>
      <c r="DS87" s="50"/>
      <c r="DT87" s="50"/>
      <c r="DU87" s="50"/>
      <c r="DV87" s="50"/>
      <c r="DW87" s="50"/>
      <c r="DX87" s="50"/>
      <c r="DY87" s="50"/>
      <c r="DZ87" s="50"/>
      <c r="EA87" s="50"/>
      <c r="EB87" s="50"/>
      <c r="EC87" s="50"/>
      <c r="ED87" s="50"/>
      <c r="EE87" s="50"/>
      <c r="EF87" s="50"/>
      <c r="EG87" s="50"/>
      <c r="EH87" s="50"/>
      <c r="EI87" s="50"/>
      <c r="EJ87" s="50"/>
      <c r="EK87" s="50"/>
      <c r="EL87" s="50"/>
      <c r="EM87" s="50"/>
      <c r="EN87" s="50"/>
      <c r="EO87" s="50"/>
      <c r="EP87" s="50"/>
      <c r="EQ87" s="50"/>
      <c r="ER87" s="50"/>
      <c r="ES87" s="50"/>
      <c r="ET87" s="50"/>
      <c r="EU87" s="50"/>
      <c r="EV87" s="50"/>
      <c r="EW87" s="50"/>
      <c r="EX87" s="50"/>
      <c r="EY87" s="50"/>
      <c r="EZ87" s="50"/>
      <c r="FA87" s="50"/>
      <c r="FB87" s="50"/>
      <c r="FC87" s="50"/>
      <c r="FD87" s="50"/>
      <c r="FE87" s="50"/>
      <c r="FF87" s="50"/>
      <c r="FG87" s="50"/>
      <c r="FH87" s="50"/>
      <c r="FI87" s="50"/>
      <c r="FJ87" s="50"/>
      <c r="FK87" s="50"/>
      <c r="FL87" s="50"/>
    </row>
    <row r="88" ht="15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  <c r="DA88" s="50"/>
      <c r="DB88" s="50"/>
      <c r="DC88" s="50"/>
      <c r="DD88" s="50"/>
      <c r="DE88" s="50"/>
      <c r="DF88" s="50"/>
      <c r="DG88" s="50"/>
      <c r="DH88" s="50"/>
      <c r="DI88" s="50"/>
      <c r="DJ88" s="50"/>
      <c r="DK88" s="50"/>
      <c r="DL88" s="50"/>
      <c r="DM88" s="50"/>
      <c r="DN88" s="50"/>
      <c r="DO88" s="50"/>
      <c r="DP88" s="50"/>
      <c r="DQ88" s="50"/>
      <c r="DR88" s="50"/>
      <c r="DS88" s="50"/>
      <c r="DT88" s="50"/>
      <c r="DU88" s="50"/>
      <c r="DV88" s="50"/>
      <c r="DW88" s="50"/>
      <c r="DX88" s="50"/>
      <c r="DY88" s="50"/>
      <c r="DZ88" s="50"/>
      <c r="EA88" s="50"/>
      <c r="EB88" s="50"/>
      <c r="EC88" s="50"/>
      <c r="ED88" s="50"/>
      <c r="EE88" s="50"/>
      <c r="EF88" s="50"/>
      <c r="EG88" s="50"/>
      <c r="EH88" s="50"/>
      <c r="EI88" s="50"/>
      <c r="EJ88" s="50"/>
      <c r="EK88" s="50"/>
      <c r="EL88" s="50"/>
      <c r="EM88" s="50"/>
      <c r="EN88" s="50"/>
      <c r="EO88" s="50"/>
      <c r="EP88" s="50"/>
      <c r="EQ88" s="50"/>
      <c r="ER88" s="50"/>
      <c r="ES88" s="50"/>
      <c r="ET88" s="50"/>
      <c r="EU88" s="50"/>
      <c r="EV88" s="50"/>
      <c r="EW88" s="50"/>
      <c r="EX88" s="50"/>
      <c r="EY88" s="50"/>
      <c r="EZ88" s="50"/>
      <c r="FA88" s="50"/>
      <c r="FB88" s="50"/>
      <c r="FC88" s="50"/>
      <c r="FD88" s="50"/>
      <c r="FE88" s="50"/>
      <c r="FF88" s="50"/>
      <c r="FG88" s="50"/>
      <c r="FH88" s="50"/>
      <c r="FI88" s="50"/>
      <c r="FJ88" s="50"/>
      <c r="FK88" s="50"/>
      <c r="FL88" s="50"/>
    </row>
    <row r="89" ht="15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  <c r="DA89" s="50"/>
      <c r="DB89" s="50"/>
      <c r="DC89" s="50"/>
      <c r="DD89" s="50"/>
      <c r="DE89" s="50"/>
      <c r="DF89" s="50"/>
      <c r="DG89" s="50"/>
      <c r="DH89" s="50"/>
      <c r="DI89" s="50"/>
      <c r="DJ89" s="50"/>
      <c r="DK89" s="50"/>
      <c r="DL89" s="50"/>
      <c r="DM89" s="50"/>
      <c r="DN89" s="50"/>
      <c r="DO89" s="50"/>
      <c r="DP89" s="50"/>
      <c r="DQ89" s="50"/>
      <c r="DR89" s="50"/>
      <c r="DS89" s="50"/>
      <c r="DT89" s="50"/>
      <c r="DU89" s="50"/>
      <c r="DV89" s="50"/>
      <c r="DW89" s="50"/>
      <c r="DX89" s="50"/>
      <c r="DY89" s="50"/>
      <c r="DZ89" s="50"/>
      <c r="EA89" s="50"/>
      <c r="EB89" s="50"/>
      <c r="EC89" s="50"/>
      <c r="ED89" s="50"/>
      <c r="EE89" s="50"/>
      <c r="EF89" s="50"/>
      <c r="EG89" s="50"/>
      <c r="EH89" s="50"/>
      <c r="EI89" s="50"/>
      <c r="EJ89" s="50"/>
      <c r="EK89" s="50"/>
      <c r="EL89" s="50"/>
      <c r="EM89" s="50"/>
      <c r="EN89" s="50"/>
      <c r="EO89" s="50"/>
      <c r="EP89" s="50"/>
      <c r="EQ89" s="50"/>
      <c r="ER89" s="50"/>
      <c r="ES89" s="50"/>
      <c r="ET89" s="50"/>
      <c r="EU89" s="50"/>
      <c r="EV89" s="50"/>
      <c r="EW89" s="50"/>
      <c r="EX89" s="50"/>
      <c r="EY89" s="50"/>
      <c r="EZ89" s="50"/>
      <c r="FA89" s="50"/>
      <c r="FB89" s="50"/>
      <c r="FC89" s="50"/>
      <c r="FD89" s="50"/>
      <c r="FE89" s="50"/>
      <c r="FF89" s="50"/>
      <c r="FG89" s="50"/>
      <c r="FH89" s="50"/>
      <c r="FI89" s="50"/>
      <c r="FJ89" s="50"/>
      <c r="FK89" s="50"/>
      <c r="FL89" s="50"/>
    </row>
    <row r="90" ht="15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  <c r="DB90" s="50"/>
      <c r="DC90" s="50"/>
      <c r="DD90" s="50"/>
      <c r="DE90" s="50"/>
      <c r="DF90" s="50"/>
      <c r="DG90" s="50"/>
      <c r="DH90" s="50"/>
      <c r="DI90" s="50"/>
      <c r="DJ90" s="50"/>
      <c r="DK90" s="50"/>
      <c r="DL90" s="50"/>
      <c r="DM90" s="50"/>
      <c r="DN90" s="50"/>
      <c r="DO90" s="50"/>
      <c r="DP90" s="50"/>
      <c r="DQ90" s="50"/>
      <c r="DR90" s="50"/>
      <c r="DS90" s="50"/>
      <c r="DT90" s="50"/>
      <c r="DU90" s="50"/>
      <c r="DV90" s="50"/>
      <c r="DW90" s="50"/>
      <c r="DX90" s="50"/>
      <c r="DY90" s="50"/>
      <c r="DZ90" s="50"/>
      <c r="EA90" s="50"/>
      <c r="EB90" s="50"/>
      <c r="EC90" s="50"/>
      <c r="ED90" s="50"/>
      <c r="EE90" s="50"/>
      <c r="EF90" s="50"/>
      <c r="EG90" s="50"/>
      <c r="EH90" s="50"/>
      <c r="EI90" s="50"/>
      <c r="EJ90" s="50"/>
      <c r="EK90" s="50"/>
      <c r="EL90" s="50"/>
      <c r="EM90" s="50"/>
      <c r="EN90" s="50"/>
      <c r="EO90" s="50"/>
      <c r="EP90" s="50"/>
      <c r="EQ90" s="50"/>
      <c r="ER90" s="50"/>
      <c r="ES90" s="50"/>
      <c r="ET90" s="50"/>
      <c r="EU90" s="50"/>
      <c r="EV90" s="50"/>
      <c r="EW90" s="50"/>
      <c r="EX90" s="50"/>
      <c r="EY90" s="50"/>
      <c r="EZ90" s="50"/>
      <c r="FA90" s="50"/>
      <c r="FB90" s="50"/>
      <c r="FC90" s="50"/>
      <c r="FD90" s="50"/>
      <c r="FE90" s="50"/>
      <c r="FF90" s="50"/>
      <c r="FG90" s="50"/>
      <c r="FH90" s="50"/>
      <c r="FI90" s="50"/>
      <c r="FJ90" s="50"/>
      <c r="FK90" s="50"/>
      <c r="FL90" s="50"/>
    </row>
    <row r="91" ht="15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0"/>
      <c r="CS91" s="50"/>
      <c r="CT91" s="50"/>
      <c r="CU91" s="50"/>
      <c r="CV91" s="50"/>
      <c r="CW91" s="50"/>
      <c r="CX91" s="50"/>
      <c r="CY91" s="50"/>
      <c r="CZ91" s="50"/>
      <c r="DA91" s="50"/>
      <c r="DB91" s="50"/>
      <c r="DC91" s="50"/>
      <c r="DD91" s="50"/>
      <c r="DE91" s="50"/>
      <c r="DF91" s="50"/>
      <c r="DG91" s="50"/>
      <c r="DH91" s="50"/>
      <c r="DI91" s="50"/>
      <c r="DJ91" s="50"/>
      <c r="DK91" s="50"/>
      <c r="DL91" s="50"/>
      <c r="DM91" s="50"/>
      <c r="DN91" s="50"/>
      <c r="DO91" s="50"/>
      <c r="DP91" s="50"/>
      <c r="DQ91" s="50"/>
      <c r="DR91" s="50"/>
      <c r="DS91" s="50"/>
      <c r="DT91" s="50"/>
      <c r="DU91" s="50"/>
      <c r="DV91" s="50"/>
      <c r="DW91" s="50"/>
      <c r="DX91" s="50"/>
      <c r="DY91" s="50"/>
      <c r="DZ91" s="50"/>
      <c r="EA91" s="50"/>
      <c r="EB91" s="50"/>
      <c r="EC91" s="50"/>
      <c r="ED91" s="50"/>
      <c r="EE91" s="50"/>
      <c r="EF91" s="50"/>
      <c r="EG91" s="50"/>
      <c r="EH91" s="50"/>
      <c r="EI91" s="50"/>
      <c r="EJ91" s="50"/>
      <c r="EK91" s="50"/>
      <c r="EL91" s="50"/>
      <c r="EM91" s="50"/>
      <c r="EN91" s="50"/>
      <c r="EO91" s="50"/>
      <c r="EP91" s="50"/>
      <c r="EQ91" s="50"/>
      <c r="ER91" s="50"/>
      <c r="ES91" s="50"/>
      <c r="ET91" s="50"/>
      <c r="EU91" s="50"/>
      <c r="EV91" s="50"/>
      <c r="EW91" s="50"/>
      <c r="EX91" s="50"/>
      <c r="EY91" s="50"/>
      <c r="EZ91" s="50"/>
      <c r="FA91" s="50"/>
      <c r="FB91" s="50"/>
      <c r="FC91" s="50"/>
      <c r="FD91" s="50"/>
      <c r="FE91" s="50"/>
      <c r="FF91" s="50"/>
      <c r="FG91" s="50"/>
      <c r="FH91" s="50"/>
      <c r="FI91" s="50"/>
      <c r="FJ91" s="50"/>
      <c r="FK91" s="50"/>
      <c r="FL91" s="50"/>
    </row>
    <row r="92" ht="15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  <c r="CP92" s="50"/>
      <c r="CQ92" s="50"/>
      <c r="CR92" s="50"/>
      <c r="CS92" s="50"/>
      <c r="CT92" s="50"/>
      <c r="CU92" s="50"/>
      <c r="CV92" s="50"/>
      <c r="CW92" s="50"/>
      <c r="CX92" s="50"/>
      <c r="CY92" s="50"/>
      <c r="CZ92" s="50"/>
      <c r="DA92" s="50"/>
      <c r="DB92" s="50"/>
      <c r="DC92" s="50"/>
      <c r="DD92" s="50"/>
      <c r="DE92" s="50"/>
      <c r="DF92" s="50"/>
      <c r="DG92" s="50"/>
      <c r="DH92" s="50"/>
      <c r="DI92" s="50"/>
      <c r="DJ92" s="50"/>
      <c r="DK92" s="50"/>
      <c r="DL92" s="50"/>
      <c r="DM92" s="50"/>
      <c r="DN92" s="50"/>
      <c r="DO92" s="50"/>
      <c r="DP92" s="50"/>
      <c r="DQ92" s="50"/>
      <c r="DR92" s="50"/>
      <c r="DS92" s="50"/>
      <c r="DT92" s="50"/>
      <c r="DU92" s="50"/>
      <c r="DV92" s="50"/>
      <c r="DW92" s="50"/>
      <c r="DX92" s="50"/>
      <c r="DY92" s="50"/>
      <c r="DZ92" s="50"/>
      <c r="EA92" s="50"/>
      <c r="EB92" s="50"/>
      <c r="EC92" s="50"/>
      <c r="ED92" s="50"/>
      <c r="EE92" s="50"/>
      <c r="EF92" s="50"/>
      <c r="EG92" s="50"/>
      <c r="EH92" s="50"/>
      <c r="EI92" s="50"/>
      <c r="EJ92" s="50"/>
      <c r="EK92" s="50"/>
      <c r="EL92" s="50"/>
      <c r="EM92" s="50"/>
      <c r="EN92" s="50"/>
      <c r="EO92" s="50"/>
      <c r="EP92" s="50"/>
      <c r="EQ92" s="50"/>
      <c r="ER92" s="50"/>
      <c r="ES92" s="50"/>
      <c r="ET92" s="50"/>
      <c r="EU92" s="50"/>
      <c r="EV92" s="50"/>
      <c r="EW92" s="50"/>
      <c r="EX92" s="50"/>
      <c r="EY92" s="50"/>
      <c r="EZ92" s="50"/>
      <c r="FA92" s="50"/>
      <c r="FB92" s="50"/>
      <c r="FC92" s="50"/>
      <c r="FD92" s="50"/>
      <c r="FE92" s="50"/>
      <c r="FF92" s="50"/>
      <c r="FG92" s="50"/>
      <c r="FH92" s="50"/>
      <c r="FI92" s="50"/>
      <c r="FJ92" s="50"/>
      <c r="FK92" s="50"/>
      <c r="FL92" s="50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09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