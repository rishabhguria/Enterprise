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AcknowledgeTrade" sheetId="5" r:id="rId7"/>
    <sheet state="visible" name="ExecuteTrade" sheetId="6" r:id="rId8"/>
    <sheet state="visible" name="SelectTradeOnOrderGrid" sheetId="7" r:id="rId9"/>
    <sheet state="visible" name="AllocateFromBlotter" sheetId="8" r:id="rId10"/>
    <sheet state="visible" name="Unallocate" sheetId="9" r:id="rId11"/>
    <sheet state="visible" name="ReplaceSubOrder" sheetId="10" r:id="rId12"/>
    <sheet state="visible" name="CustomOrderTT1" sheetId="11" r:id="rId13"/>
    <sheet state="visible" name="SelectUnallocatedGroup" sheetId="12" r:id="rId14"/>
    <sheet state="visible" name="EnterAccountValuesToAllocate" sheetId="13" r:id="rId15"/>
    <sheet state="visible" name="CheckAllocatedGroups" sheetId="14" r:id="rId16"/>
  </sheets>
  <definedNames/>
  <calcPr/>
</workbook>
</file>

<file path=xl/sharedStrings.xml><?xml version="1.0" encoding="utf-8"?>
<sst xmlns="http://schemas.openxmlformats.org/spreadsheetml/2006/main" count="203" uniqueCount="59">
  <si>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</si>
  <si>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</si>
  <si>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</si>
  <si>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</si>
  <si>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</si>
  <si>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</si>
  <si>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</si>
  <si>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</si>
  <si>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</si>
  <si>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</si>
  <si>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</si>
  <si>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</si>
  <si>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</si>
  <si>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</si>
  <si>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</si>
  <si>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</si>
  <si>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</si>
  <si>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</si>
  <si>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Unallocated</t>
  </si>
  <si>
    <t>GTC</t>
  </si>
  <si>
    <t>Simulator</t>
  </si>
  <si>
    <t>AcknowledgeTrade</t>
  </si>
  <si>
    <t>ExecuteTrade</t>
  </si>
  <si>
    <t>Blotter</t>
  </si>
  <si>
    <t>SelectTradeOnOrderGrid</t>
  </si>
  <si>
    <t>AllocateFromBlotter</t>
  </si>
  <si>
    <t>Allocation1</t>
  </si>
  <si>
    <t>Allocation</t>
  </si>
  <si>
    <t>Unallocate</t>
  </si>
  <si>
    <t>ReplaceSubOrder</t>
  </si>
  <si>
    <t>Replace</t>
  </si>
  <si>
    <t>Good Till Date</t>
  </si>
  <si>
    <t>SelectUnallocatedGroup</t>
  </si>
  <si>
    <t>EnterAccountValuesToAllocate</t>
  </si>
  <si>
    <t>Allocation2</t>
  </si>
  <si>
    <t>CheckAllocatedGroups</t>
  </si>
  <si>
    <t/>
  </si>
  <si>
    <t>Actual_365</t>
  </si>
  <si>
    <t>Manual</t>
  </si>
  <si>
    <t>Equity</t>
  </si>
  <si>
    <t>AAPL US EQUITY</t>
  </si>
  <si>
    <t>Treasury</t>
  </si>
  <si>
    <t>MS</t>
  </si>
  <si>
    <t>Open</t>
  </si>
  <si>
    <t>APPLE</t>
  </si>
  <si>
    <t>USD</t>
  </si>
  <si>
    <t>NASDAQ</t>
  </si>
  <si>
    <t>M</t>
  </si>
  <si>
    <t>None</t>
  </si>
  <si>
    <t>DefaultNotes</t>
  </si>
  <si>
    <t>Market</t>
  </si>
  <si>
    <t>InternalOrder</t>
  </si>
  <si>
    <t>Buy</t>
  </si>
  <si>
    <t>Strategy Unallocated</t>
  </si>
  <si>
    <t>GCCAP1</t>
  </si>
  <si>
    <t>US</t>
  </si>
  <si>
    <t>jpearce</t>
  </si>
  <si>
    <t>NONE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</si>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</sst>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10.0</v>
      </c>
      <c r="E6" s="13" t="s">
        <v>17</v>
      </c>
      <c r="F6" s="8"/>
      <c r="G6" s="8"/>
      <c r="H6" s="8"/>
      <c r="I6" s="13" t="s">
        <v>18</v>
      </c>
      <c r="J6" s="8"/>
      <c r="K6" s="8"/>
      <c r="L6" s="8"/>
      <c r="M6" s="8"/>
      <c r="N6" s="8"/>
      <c r="O6" s="8"/>
      <c r="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IFERROR(__xludf.DUMMYFUNCTION("""COMPUTED_VALUE"""),"TargetAllocationQuantity")</f>
        <v>TargetAllocationQuantity</v>
      </c>
      <c r="F5" s="29" t="str">
        <f>IFERROR(__xludf.DUMMYFUNCTION("""COMPUTED_VALUE"""),"ViewAllocationVerfication")</f>
        <v>ViewAllocationVerfication</v>
      </c>
      <c r="G5" s="28" t="str">
        <f>IFERROR(__xludf.DUMMYFUNCTION("""COMPUTED_VALUE"""),"RESET")</f>
        <v>RESET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26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>
        <v>101.0</v>
      </c>
      <c r="D6" s="34">
        <v>10.0</v>
      </c>
      <c r="E6" s="35" t="s">
        <v>30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 t="s">
        <v>31</v>
      </c>
      <c r="V6" s="36"/>
      <c r="W6" s="36"/>
      <c r="X6" s="36"/>
      <c r="Y6" s="37">
        <f>TODAY()+1</f>
        <v>45827</v>
      </c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8" t="s">
        <v>36</v>
      </c>
      <c r="B6" s="38" t="s">
        <v>34</v>
      </c>
      <c r="C6" s="8" t="s">
        <v>37</v>
      </c>
      <c r="D6" s="38">
        <v>0.0</v>
      </c>
      <c r="E6" s="8">
        <v>50.0</v>
      </c>
      <c r="F6" s="8" t="s">
        <v>38</v>
      </c>
      <c r="G6" s="8" t="s">
        <v>39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40</v>
      </c>
      <c r="N6" s="8" t="s">
        <v>41</v>
      </c>
      <c r="O6" s="8" t="s">
        <v>42</v>
      </c>
      <c r="Q6">
        <v>3.0</v>
      </c>
      <c r="R6">
        <v>0.0</v>
      </c>
      <c r="S6" t="s">
        <v>43</v>
      </c>
      <c r="T6">
        <v>0.0</v>
      </c>
      <c r="U6">
        <v>0.0</v>
      </c>
      <c r="V6" t="s">
        <v>44</v>
      </c>
      <c r="W6">
        <v>1.0</v>
      </c>
      <c r="X6">
        <v>0.0</v>
      </c>
      <c r="Y6" t="s">
        <v>36</v>
      </c>
      <c r="Z6" t="s">
        <v>45</v>
      </c>
      <c r="AA6" t="s">
        <v>16</v>
      </c>
      <c r="AB6">
        <v>1.0</v>
      </c>
      <c r="AD6" t="s">
        <v>46</v>
      </c>
      <c r="AE6">
        <v>50.0</v>
      </c>
      <c r="AF6" t="s">
        <v>36</v>
      </c>
      <c r="AH6" t="s">
        <v>47</v>
      </c>
      <c r="AI6">
        <v>1.0</v>
      </c>
      <c r="AJ6" t="s">
        <v>48</v>
      </c>
      <c r="AM6" t="s">
        <v>49</v>
      </c>
      <c r="AN6" t="b">
        <v>0</v>
      </c>
      <c r="AP6" t="b">
        <v>0</v>
      </c>
      <c r="AQ6" t="b">
        <v>0</v>
      </c>
      <c r="AR6" t="b">
        <v>0</v>
      </c>
      <c r="AS6">
        <v>0.0</v>
      </c>
      <c r="AT6">
        <v>514.0003</v>
      </c>
      <c r="AU6">
        <v>514.0003</v>
      </c>
      <c r="AW6">
        <v>0.0</v>
      </c>
      <c r="AX6">
        <v>0.0</v>
      </c>
      <c r="AY6" t="s">
        <v>50</v>
      </c>
      <c r="AZ6">
        <v>0.0</v>
      </c>
      <c r="BC6">
        <v>0.0</v>
      </c>
      <c r="BD6" t="s">
        <v>51</v>
      </c>
      <c r="BE6">
        <v>500.0</v>
      </c>
      <c r="BF6">
        <v>500.0</v>
      </c>
      <c r="BJ6">
        <v>101.0</v>
      </c>
      <c r="BK6">
        <v>0.0</v>
      </c>
      <c r="BL6" t="s">
        <v>36</v>
      </c>
      <c r="BM6" t="s">
        <v>45</v>
      </c>
      <c r="BO6" t="s">
        <v>52</v>
      </c>
      <c r="BP6">
        <v>0.0</v>
      </c>
      <c r="BQ6">
        <v>0.0</v>
      </c>
      <c r="BR6">
        <v>3.0E-4</v>
      </c>
      <c r="BS6" t="s">
        <v>53</v>
      </c>
      <c r="BT6" t="s">
        <v>16</v>
      </c>
      <c r="BU6">
        <v>3.0</v>
      </c>
      <c r="BV6">
        <v>0.0</v>
      </c>
      <c r="BW6">
        <v>14.0003</v>
      </c>
      <c r="BX6">
        <v>0.0</v>
      </c>
      <c r="CF6" t="s">
        <v>54</v>
      </c>
      <c r="CG6">
        <v>2.0</v>
      </c>
      <c r="CH6" t="s">
        <v>12</v>
      </c>
      <c r="CI6" t="s">
        <v>52</v>
      </c>
      <c r="CJ6">
        <v>0.0</v>
      </c>
      <c r="CK6" t="s">
        <v>55</v>
      </c>
      <c r="CL6">
        <v>1.0</v>
      </c>
      <c r="CM6" t="s">
        <v>16</v>
      </c>
      <c r="CN6" t="s">
        <v>56</v>
      </c>
      <c r="CO6" t="s">
        <v>46</v>
      </c>
      <c r="CP6" t="s">
        <v>57</v>
      </c>
      <c r="CW6">
        <v>0.0</v>
      </c>
      <c r="CX6" t="s">
        <v>58</v>
      </c>
      <c r="CY6" t="s">
        <v>36</v>
      </c>
      <c r="CZ6" t="s">
        <v>36</v>
      </c>
      <c r="DA6" t="s">
        <v>36</v>
      </c>
      <c r="DB6" t="s">
        <v>36</v>
      </c>
      <c r="DC6" t="s">
        <v>36</v>
      </c>
      <c r="DD6" t="s">
        <v>36</v>
      </c>
      <c r="DE6" t="s">
        <v>36</v>
      </c>
      <c r="DF6" t="s">
        <v>36</v>
      </c>
      <c r="DG6" t="s">
        <v>36</v>
      </c>
      <c r="DH6" t="s">
        <v>36</v>
      </c>
      <c r="DI6" t="s">
        <v>36</v>
      </c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FA6" t="s">
        <v>36</v>
      </c>
      <c r="FB6" t="s">
        <v>36</v>
      </c>
      <c r="FC6" t="s">
        <v>36</v>
      </c>
      <c r="FD6" t="s">
        <v>36</v>
      </c>
      <c r="FE6" t="s">
        <v>36</v>
      </c>
      <c r="FF6" t="s">
        <v>36</v>
      </c>
      <c r="FG6" t="s">
        <v>36</v>
      </c>
      <c r="FH6" t="s">
        <v>36</v>
      </c>
      <c r="FI6" t="s">
        <v>36</v>
      </c>
      <c r="FK6" t="s">
        <v>36</v>
      </c>
      <c r="FL6" t="s">
        <v>36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