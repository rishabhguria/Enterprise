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CustomOrderTT1" sheetId="6" r:id="rId8"/>
    <sheet state="visible" name="SetGeneralPreferences1" sheetId="7" r:id="rId9"/>
    <sheet state="visible" name="SelectUnallocatedGroup" sheetId="8" r:id="rId10"/>
    <sheet state="visible" name="EnterAccountValuesToAllocate" sheetId="9" r:id="rId11"/>
    <sheet state="visible" name="SelectAllocatedGroup" sheetId="10" r:id="rId12"/>
    <sheet state="visible" name="ReviewExistingPositions" sheetId="11" r:id="rId13"/>
    <sheet state="visible" name="SelectUnallocatedGroup1" sheetId="12" r:id="rId14"/>
    <sheet state="visible" name="EnterAccountValuesToAllocate1" sheetId="13" r:id="rId15"/>
    <sheet state="visible" name="SelectAllocatedGroup1" sheetId="14" r:id="rId16"/>
    <sheet state="visible" name="ReviewExistingPositions1" sheetId="15" r:id="rId17"/>
    <sheet state="visible" name="Copy of Data" sheetId="16" r:id="rId18"/>
  </sheets>
  <calcPr fullCalcOnLoad="1" fullPrecision="1"/>
</workbook>
</file>

<file path=xl/sharedStrings.xml><?xml version="1.0" encoding="utf-8"?>
<sst xmlns="http://schemas.openxmlformats.org/spreadsheetml/2006/main" count="35" uniqueCount="35">
  <si>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</si>
  <si>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</si>
  <si>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</si>
  <si>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</si>
  <si>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</si>
  <si>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</si>
  <si>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</si>
  <si>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</si>
  <si>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</si>
  <si>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</si>
  <si>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</si>
  <si>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</si>
  <si>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</si>
  <si>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</si>
  <si>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</si>
  <si>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</si>
  <si>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</si>
  <si>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</si>
  <si>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Allocation1</t>
  </si>
  <si>
    <t>Sell</t>
  </si>
  <si>
    <t>Allocation2</t>
  </si>
  <si>
    <t>IBM</t>
  </si>
  <si>
    <t>Allocation</t>
  </si>
  <si>
    <t>SetGeneralPreferences</t>
  </si>
  <si>
    <t>Trade Quantity</t>
  </si>
  <si>
    <t>Current Preference</t>
  </si>
  <si>
    <t>Unallocated</t>
  </si>
  <si>
    <t>Buy to Close</t>
  </si>
  <si>
    <t>SelectUnallocatedGroup</t>
  </si>
  <si>
    <t>EnterAccountValuesToAllocate</t>
  </si>
  <si>
    <t>SelectAllocatedGroup</t>
  </si>
  <si>
    <t>ReviewExistingPositions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</si>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</sst>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4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>
      <alignment horizontal="center"/>
    </xf>
    <xf numFmtId="0" fontId="3" applyFont="1" fillId="0" borderId="0" xfId="0" applyAlignment="1">
      <alignment horizontal="center"/>
    </xf>
    <xf numFmtId="0" fontId="3" applyFont="1" fillId="0" borderId="0" xfId="0" applyAlignment="1">
      <alignment horizontal="center"/>
    </xf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IFERROR(__xludf.DUMMYFUNCTION("""COMPUTED_VALUE"""),"PTT")</f>
        <v>PTT</v>
      </c>
      <c r="B788" s="0" t="str">
        <f>IFERROR(__xludf.DUMMYFUNCTION("""COMPUTED_VALUE"""),"OperationsonPTT")</f>
        <v>OperationsonPTT</v>
      </c>
      <c r="C788" s="0" t="str">
        <f>IFERROR(__xludf.DUMMYFUNCTION("""COMPUTED_VALUE"""),"1J40rCXEDilLEF_x0Wkeeg1lwGfejucV1VSY9UcyeSlw")</f>
        <v>1J40rCXEDilLEF_x0Wkeeg1lwGfejucV1VSY9UcyeSlw</v>
      </c>
    </row>
    <row r="789" ht="15.75" customHeight="1">
      <c r="A789" s="0" t="str">
        <f>IFERROR(__xludf.DUMMYFUNCTION("""COMPUTED_VALUE"""),"PricingInput")</f>
        <v>PricingInput</v>
      </c>
      <c r="B789" s="0" t="str">
        <f>IFERROR(__xludf.DUMMYFUNCTION("""COMPUTED_VALUE"""),"UpdatePricingInput")</f>
        <v>UpdatePricingInput</v>
      </c>
      <c r="C789" s="0" t="str">
        <f>IFERROR(__xludf.DUMMYFUNCTION("""COMPUTED_VALUE"""),"1CG9iYOkRKzlGEsKh7QuEyMdGRQea_W4KDWwlnjE2BdE")</f>
        <v>1CG9iYOkRKzlGEsKh7QuEyMdGRQea_W4KDWwlnjE2BdE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IFERROR(__xludf.DUMMYFUNCTION("""COMPUTED_VALUE"""),"ImportOnRB")</f>
        <v>ImportOnRB</v>
      </c>
      <c r="C790" s="0" t="str">
        <f>IFERROR(__xludf.DUMMYFUNCTION("""COMPUTED_VALUE"""),"1EntkiGIsU6aSZPpMKhixdhGFyyVCmlI1jMgvbCFq3oM")</f>
        <v>1EntkiGIsU6aSZPpMKhixdhGFyyVCmlI1jMgvbCFq3oM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IFERROR(__xludf.DUMMYFUNCTION("""COMPUTED_VALUE"""),"ActionOnRSAImportGrid")</f>
        <v>ActionOnRSAImportGrid</v>
      </c>
      <c r="C791" s="0" t="str">
        <f>IFERROR(__xludf.DUMMYFUNCTION("""COMPUTED_VALUE"""),"1qyFUqeWV7-Gy2PHnDNHGdUCBuvTKxxZhflKe9pguJEE")</f>
        <v>1qyFUqeWV7-Gy2PHnDNHGdUCBuvTKxxZhflKe9pguJEE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IFERROR(__xludf.DUMMYFUNCTION("""COMPUTED_VALUE"""),"VerifyImportGridRBForInvalidSec")</f>
        <v>VerifyImportGridRBForInvalidSec</v>
      </c>
      <c r="C792" s="0" t="str">
        <f>IFERROR(__xludf.DUMMYFUNCTION("""COMPUTED_VALUE"""),"13tlfzcOYlxn2sOASC-JNdqZmR9A1Cesa2Ah5348pLN8")</f>
        <v>13tlfzcOYlxn2sOASC-JNdqZmR9A1Cesa2Ah5348pLN8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IFERROR(__xludf.DUMMYFUNCTION("""COMPUTED_VALUE"""),"VerifyImportGridRBForValidSec")</f>
        <v>VerifyImportGridRBForValidSec</v>
      </c>
      <c r="C793" s="0" t="str">
        <f>IFERROR(__xludf.DUMMYFUNCTION("""COMPUTED_VALUE"""),"1KiLapuRaYEZfokVV1TZf8gTWNe8d9PblbpJsN983CaI")</f>
        <v>1KiLapuRaYEZfokVV1TZf8gTWNe8d9PblbpJsN983CaI</v>
      </c>
    </row>
    <row r="794" ht="15.75" customHeight="1">
      <c r="A794" s="0" t="str">
        <f>IFERROR(__xludf.DUMMYFUNCTION("""COMPUTED_VALUE"""),"Import")</f>
        <v>Import</v>
      </c>
      <c r="B794" s="0" t="str">
        <f>IFERROR(__xludf.DUMMYFUNCTION("""COMPUTED_VALUE"""),"ActionOnImport")</f>
        <v>ActionOnImport</v>
      </c>
      <c r="C794" s="0" t="str">
        <f>IFERROR(__xludf.DUMMYFUNCTION("""COMPUTED_VALUE"""),"1YM2boQt7BrzysPpsUbIqt27cfA6-btDPEZntG5NhBUc")</f>
        <v>1YM2boQt7BrzysPpsUbIqt27cfA6-btDPEZntG5NhBUc</v>
      </c>
    </row>
    <row r="795" ht="15.75" customHeight="1">
      <c r="A795" s="0" t="str">
        <f>IFERROR(__xludf.DUMMYFUNCTION("""COMPUTED_VALUE"""),"Import")</f>
        <v>Import</v>
      </c>
      <c r="B795" s="0" t="str">
        <f>IFERROR(__xludf.DUMMYFUNCTION("""COMPUTED_VALUE"""),"ValidateImportPositions")</f>
        <v>ValidateImportPositions</v>
      </c>
      <c r="C795" s="0" t="str">
        <f>IFERROR(__xludf.DUMMYFUNCTION("""COMPUTED_VALUE"""),"1ApMxUfr4smtwBJX_cppynzY1M99QXnDpTRjevjraQtA")</f>
        <v>1ApMxUfr4smtwBJX_cppynzY1M99QXnDpTRjevjraQtA</v>
      </c>
    </row>
    <row r="796" ht="15.75" customHeight="1">
      <c r="A796" s="0" t="str">
        <f>IFERROR(__xludf.DUMMYFUNCTION("""COMPUTED_VALUE"""),"DailyValuation")</f>
        <v>DailyValuation</v>
      </c>
      <c r="B796" s="0" t="str">
        <f>IFERROR(__xludf.DUMMYFUNCTION("""COMPUTED_VALUE"""),"UpdateMPAndFC")</f>
        <v>UpdateMPAndFC</v>
      </c>
      <c r="C796" s="0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21</v>
      </c>
      <c r="D6" s="34">
        <v>12</v>
      </c>
      <c r="E6" s="35" t="s">
        <v>17</v>
      </c>
      <c r="F6" s="36"/>
      <c r="G6" s="36"/>
      <c r="H6" s="36"/>
      <c r="I6" s="37" t="s">
        <v>18</v>
      </c>
      <c r="J6" s="38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8" t="s">
        <v>16</v>
      </c>
      <c r="C7" s="33">
        <v>80</v>
      </c>
      <c r="D7" s="39">
        <v>12</v>
      </c>
      <c r="E7" s="35" t="s">
        <v>17</v>
      </c>
      <c r="F7" s="36"/>
      <c r="G7" s="36"/>
      <c r="H7" s="36"/>
      <c r="I7" s="37" t="s">
        <v>20</v>
      </c>
      <c r="J7" s="38" t="s">
        <v>19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8" t="s">
        <v>21</v>
      </c>
      <c r="C8" s="33">
        <v>84</v>
      </c>
      <c r="D8" s="33">
        <v>13</v>
      </c>
      <c r="E8" s="35" t="s">
        <v>17</v>
      </c>
      <c r="F8" s="36"/>
      <c r="G8" s="36"/>
      <c r="H8" s="36"/>
      <c r="I8" s="37" t="s">
        <v>18</v>
      </c>
      <c r="J8" s="38" t="s">
        <v>19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5" t="s">
        <v>21</v>
      </c>
      <c r="C9" s="33">
        <v>166</v>
      </c>
      <c r="D9" s="33">
        <v>13</v>
      </c>
      <c r="E9" s="35" t="s">
        <v>17</v>
      </c>
      <c r="F9" s="36"/>
      <c r="G9" s="36"/>
      <c r="H9" s="36"/>
      <c r="I9" s="37" t="s">
        <v>20</v>
      </c>
      <c r="J9" s="38" t="s">
        <v>19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766EDD2-1441-42C7-A27E-CE0AD9BF656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7B65C9C-0D43-4C47-8D09-7DDFAAF4775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E11F6F0-FA4A-40A4-BCF8-72DDBD287627}">
          <x14:formula1>
            <xm:f>CustomOrderTT!$4:$4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b">
        <v>1</v>
      </c>
      <c r="C6" s="36"/>
      <c r="D6" s="31"/>
      <c r="E6" s="36"/>
      <c r="F6" s="36"/>
      <c r="G6" s="36"/>
      <c r="H6" s="36"/>
      <c r="I6" s="36"/>
      <c r="J6" s="36"/>
      <c r="K6" s="36"/>
      <c r="L6" s="35" t="s">
        <v>24</v>
      </c>
      <c r="M6" s="36"/>
      <c r="N6" s="35" t="s">
        <v>25</v>
      </c>
      <c r="O6" s="36"/>
      <c r="P6" s="36"/>
      <c r="Q6" s="41" t="b">
        <v>1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8C21A5C-5C2F-4D13-965E-09DFC4430FD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043983E-7225-4C08-98FE-62D06DD72ED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38A762B-1B9E-42AC-A993-4DBB555E0EE8}">
          <x14:formula1>
            <xm:f>SetGeneralPreferences!$4:$4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101</v>
      </c>
      <c r="D6" s="34">
        <v>12</v>
      </c>
      <c r="E6" s="35" t="s">
        <v>17</v>
      </c>
      <c r="F6" s="36"/>
      <c r="G6" s="36"/>
      <c r="H6" s="36"/>
      <c r="I6" s="37" t="s">
        <v>26</v>
      </c>
      <c r="J6" s="38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8" t="s">
        <v>21</v>
      </c>
      <c r="C7" s="33">
        <v>250</v>
      </c>
      <c r="D7" s="33">
        <v>13</v>
      </c>
      <c r="E7" s="35" t="s">
        <v>17</v>
      </c>
      <c r="F7" s="36"/>
      <c r="G7" s="36"/>
      <c r="H7" s="36"/>
      <c r="I7" s="37" t="s">
        <v>26</v>
      </c>
      <c r="J7" s="38" t="s">
        <v>27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F8A0087-26E2-4D3C-803A-96EAE9CED3B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890BEC9-E49A-4C62-86F0-BECE7DEAE41F}">
          <x14:formula1>
            <xm:f>CustomOrderTT1!$4:$4</xm:f>
          </x14:formula1>
          <xm:sqref>E3</xm:sqref>
        </x14:dataValidation>
        <x14:dataValidation type="list" allowBlank="1" showInputMessage="1" showErrorMessage="1" prompt="Choose an available module" xr:uid="{DCCA6825-C258-4A23-8E99-4F14E2D9DB68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b">
        <v>1</v>
      </c>
      <c r="C6" s="36"/>
      <c r="D6" s="31"/>
      <c r="E6" s="36"/>
      <c r="F6" s="36"/>
      <c r="G6" s="36"/>
      <c r="H6" s="36"/>
      <c r="I6" s="36"/>
      <c r="J6" s="36"/>
      <c r="K6" s="36"/>
      <c r="L6" s="35" t="s">
        <v>24</v>
      </c>
      <c r="M6" s="36"/>
      <c r="N6" s="35" t="s">
        <v>25</v>
      </c>
      <c r="O6" s="36"/>
      <c r="P6" s="36"/>
      <c r="Q6" s="42" t="b">
        <v>0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7C3E4AA-D4E3-4955-B285-8E4A4C2A461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3C414B0-6DD7-43EE-A412-E47858A18EA8}">
          <x14:formula1>
            <xm:f>SetGeneralPreferences1!$4:$4</xm:f>
          </x14:formula1>
          <xm:sqref>E3</xm:sqref>
        </x14:dataValidation>
        <x14:dataValidation type="list" allowBlank="1" showInputMessage="1" showErrorMessage="1" prompt="Choose an available module" xr:uid="{F639E5EB-CA51-4AF4-9F34-51E2D8DF0CE2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CD2F057-AAFB-4D37-97E5-09C34A7408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43DAC4B-4BB4-4DEA-AE2B-B6B32CEB93C4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8320E81F-4CA2-439D-B5A9-75D33828C093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3">
        <v>70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3">
        <v>30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4F3218F-A29F-4134-89C7-BF1E2F54EAC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A90C851-C573-4361-A0B3-EBECF31FBEF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6970EEF-C4D0-4D3D-A318-2969ABE16E7E}">
          <x14:formula1>
            <xm:f>EnterAccountValuesToAllocate!$4:$4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E239626-B96F-4323-B5E4-287855AEE2E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DB2006E-41B0-4BF3-9D97-B3C09DB7186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A7788C1-4C3D-4EA3-8717-B02B46E079C7}">
          <x14:formula1>
            <xm:f>SelectAllocatedGroup!$4:$4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5" t="s">
        <v>18</v>
      </c>
      <c r="D6" s="33">
        <v>-21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35" t="s">
        <v>20</v>
      </c>
      <c r="D7" s="33">
        <v>-80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920BFB8-FCF4-4B58-97F2-B3CCFF4046A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E8ADC30-C4EE-4581-9437-9310FFEB2511}">
          <x14:formula1>
            <xm:f>ReviewExistingPositions!$4:$4</xm:f>
          </x14:formula1>
          <xm:sqref>E3</xm:sqref>
        </x14:dataValidation>
        <x14:dataValidation type="list" allowBlank="1" showInputMessage="1" showErrorMessage="1" prompt="Choose an available module" xr:uid="{36052D91-2571-4100-A1E9-9996380BDC7A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A2EEEA6-88C3-426F-B3B2-BDBA43AC2B1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78DAABE-96A0-4614-8F30-16990D9BDAD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B59379D-1EC0-4CB4-98FE-110094104191}">
          <x14:formula1>
            <xm:f>SelectUnallocatedGroup1!$4:$4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3">
        <v>35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3">
        <v>65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E8A79B5-4D22-40C0-B52C-B80BD9B8350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4A1BFD9-5F6D-43BE-BFB2-CC7B7BA3CA00}">
          <x14:formula1>
            <xm:f>EnterAccountValuesToAllocate1!$4:$4</xm:f>
          </x14:formula1>
          <xm:sqref>E3</xm:sqref>
        </x14:dataValidation>
        <x14:dataValidation type="list" allowBlank="1" showInputMessage="1" showErrorMessage="1" prompt="Choose an available module" xr:uid="{60D02586-37C2-4BE2-B136-12FD8BE95A27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A5801C3-C49A-4852-BBA1-2BD3EC6D65E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3EC64C8-8B8C-4C7A-BCFC-E5DE3C4C3EA9}">
          <x14:formula1>
            <xm:f>SelectAllocatedGroup1!$4:$4</xm:f>
          </x14:formula1>
          <xm:sqref>E3</xm:sqref>
        </x14:dataValidation>
        <x14:dataValidation type="list" allowBlank="1" showInputMessage="1" showErrorMessage="1" prompt="Choose an available module" xr:uid="{7CDCB4EB-9F0B-4117-BE37-71835E7F0E68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5" t="s">
        <v>18</v>
      </c>
      <c r="D6" s="33">
        <v>-84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35" t="s">
        <v>20</v>
      </c>
      <c r="D7" s="33">
        <v>-166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3B819FC-F892-4BA8-A838-F276C3916FE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6164B20-E16A-4CF9-8BF4-A662FD28632B}">
          <x14:formula1>
            <xm:f>ReviewExistingPositions1!$4:$4</xm:f>
          </x14:formula1>
          <xm:sqref>E3</xm:sqref>
        </x14:dataValidation>
        <x14:dataValidation type="list" allowBlank="1" showInputMessage="1" showErrorMessage="1" prompt="Choose an available module" xr:uid="{EF18417E-7FA0-4B84-A386-0AF184B08179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33</v>
      </c>
      <c r="C6" s="8"/>
      <c r="D6" s="13" t="s">
        <v>34</v>
      </c>
      <c r="E6" s="43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39D45F5-81E5-47E6-BFDE-4CD752C8CE2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7DA953A-B50B-46D6-8DCC-08A77A01AA8D}">
          <x14:formula1>
            <xm:f>'Copy of Data'!$4:$4</xm:f>
          </x14:formula1>
          <xm:sqref>E3</xm:sqref>
        </x14:dataValidation>
        <x14:dataValidation type="list" allowBlank="1" showInputMessage="1" showErrorMessage="1" prompt="Choose an available module" xr:uid="{E5B0D2E1-B6DF-4903-B134-9A540F4263EC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