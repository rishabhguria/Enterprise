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<sst xmlns="http://schemas.openxmlformats.org/spreadsheetml/2006/main" count="104" uniqueCount="43">
  <si>
    <t>Modules Info</t>
  </si>
  <si>
    <t>Settings</t>
  </si>
  <si>
    <t>Master Data Info</t>
  </si>
  <si>
    <t>Module</t>
  </si>
  <si>
    <t>Module Step Setting File</t>
  </si>
  <si>
    <t>Modules</t>
  </si>
  <si>
    <t>Step</t>
  </si>
  <si>
    <t>Master Data Sheet</t>
  </si>
  <si>
    <t>1BICZ_GcMhh_S937ZinFvSYqvvKYtOYB2Bc4woEPpgPg</t>
  </si>
  <si>
    <t>Master Data Settings File</t>
  </si>
  <si>
    <t>1hEhI9rg16D4Xvfk19pDaFUFF78jjfIG29BBaNg8kT0A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</si>
  <si>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</si>
  <si>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</si>
  <si>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</si>
  <si>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</si>
  <si>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</si>
  <si>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</si>
  <si>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</si>
  <si>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</si>
  <si>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</si>
  <si>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</si>
  <si>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</si>
  <si>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</si>
  <si>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</si>
  <si>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</si>
  <si>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</si>
  <si>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</si>
  <si>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</si>
  <si>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</si>
  <si>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</si>
  <si>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</si>
  <si>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</si>
  <si>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</si>
  <si>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</si>
  <si>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</si>
  <si>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</si>
  <si>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</si>
  <si>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</si>
  <si>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VerifyGridData</t>
  </si>
  <si>
    <t>Long</t>
  </si>
  <si>
    <t>Short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</si>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</sst>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2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From")</f>
        <v>Copy From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29">
        <f t="shared" ref="B6:C6" si="1">TODAY()-1</f>
        <v>43647</v>
      </c>
      <c r="C6" s="29">
        <f t="shared" si="1"/>
        <v>43647</v>
      </c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16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IFERROR(__xludf.DUMMYFUNCTION("""COMPUTED_VALUE"""),"Local Currency")</f>
        <v>Local Currency</v>
      </c>
      <c r="D5" s="26" t="str">
        <f>IFERROR(__xludf.DUMMYFUNCTION("""COMPUTED_VALUE"""),"Cash Value Local")</f>
        <v>Cash Value Local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1" t="s">
        <v>17</v>
      </c>
      <c r="C6" s="32" t="s">
        <v>18</v>
      </c>
      <c r="D6" s="33">
        <v>10000.0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4" t="s">
        <v>19</v>
      </c>
      <c r="C7" s="34" t="s">
        <v>18</v>
      </c>
      <c r="D7" s="35">
        <v>20000.0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22</v>
      </c>
      <c r="C6" s="32" t="s">
        <v>23</v>
      </c>
      <c r="D6" s="33">
        <v>100.0</v>
      </c>
      <c r="E6" s="38">
        <v>100.0</v>
      </c>
      <c r="F6" s="32" t="s">
        <v>17</v>
      </c>
      <c r="G6" s="7"/>
      <c r="H6" s="7"/>
      <c r="I6" s="7"/>
      <c r="J6" s="15">
        <v>20.0</v>
      </c>
      <c r="K6" s="7"/>
      <c r="L6" s="7"/>
      <c r="M6" s="7"/>
      <c r="N6" s="7"/>
      <c r="O6" s="7"/>
    </row>
    <row r="7" ht="15.75" customHeight="1">
      <c r="A7" s="7"/>
      <c r="B7" s="15" t="s">
        <v>24</v>
      </c>
      <c r="C7" s="15" t="s">
        <v>25</v>
      </c>
      <c r="D7" s="15">
        <v>20.0</v>
      </c>
      <c r="E7" s="15">
        <v>20.0</v>
      </c>
      <c r="F7" s="15" t="s">
        <v>19</v>
      </c>
      <c r="G7" s="7"/>
      <c r="H7" s="7"/>
      <c r="I7" s="7"/>
      <c r="J7" s="15">
        <v>10.0</v>
      </c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26</v>
      </c>
      <c r="D3" s="9" t="s">
        <v>6</v>
      </c>
      <c r="E3" s="21" t="s">
        <v>26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22</v>
      </c>
      <c r="C6" s="38">
        <v>20.0</v>
      </c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24</v>
      </c>
      <c r="C7" s="15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28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IFERROR(__xludf.DUMMYFUNCTION("""COMPUTED_VALUE"""),"Account/Groups")</f>
        <v>Account/Groups</v>
      </c>
      <c r="C5" s="26" t="str">
        <f>IFERROR(__xludf.DUMMYFUNCTION("""COMPUTED_VALUE"""),"Account Positions")</f>
        <v>Account Positions</v>
      </c>
      <c r="D5" s="26" t="str">
        <f>IFERROR(__xludf.DUMMYFUNCTION("""COMPUTED_VALUE"""),"Calculation Level")</f>
        <v>Calculation Level</v>
      </c>
      <c r="E5" s="26" t="str">
        <f>IFERROR(__xludf.DUMMYFUNCTION("""COMPUTED_VALUE"""),"Refresh")</f>
        <v>Refresh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7" t="s">
        <v>29</v>
      </c>
      <c r="C6" s="32" t="s">
        <v>30</v>
      </c>
      <c r="D6" s="37" t="s">
        <v>31</v>
      </c>
      <c r="E6" s="32" t="s">
        <v>32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IFERROR(__xludf.DUMMYFUNCTION("""COMPUTED_VALUE"""),"Cash Flow(USD)")</f>
        <v>Cash Flow(USD)</v>
      </c>
      <c r="C5" s="26" t="str">
        <f>IFERROR(__xludf.DUMMYFUNCTION("""COMPUTED_VALUE"""),"Cash Flow Impact on NAV")</f>
        <v>Cash Flow Impact on NAV</v>
      </c>
      <c r="D5" s="26" t="str">
        <f>IFERROR(__xludf.DUMMYFUNCTION("""COMPUTED_VALUE"""),"Select Model")</f>
        <v>Select Model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1000.0</v>
      </c>
      <c r="C6" s="15" t="s">
        <v>34</v>
      </c>
      <c r="D6" s="15" t="s">
        <v>35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36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IFERROR(__xludf.DUMMYFUNCTION("""COMPUTED_VALUE"""),"Rounding Type")</f>
        <v>Rounding Type</v>
      </c>
      <c r="C5" s="26" t="str">
        <f>IFERROR(__xludf.DUMMYFUNCTION("""COMPUTED_VALUE"""),"Rebalance")</f>
        <v>Rebalance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37</v>
      </c>
      <c r="C6" s="7"/>
      <c r="D6" s="15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27</v>
      </c>
      <c r="D3" s="9" t="s">
        <v>6</v>
      </c>
      <c r="E3" s="21" t="s">
        <v>38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IFERROR(__xludf.DUMMYFUNCTION("IF(C3="""","""",Transpose(IMPORTRANGE('_Settings'!$B$3,C3&amp;""!A4:A1000"")))"),"FetchAccountPositions")</f>
        <v>FetchAccountPositions</v>
      </c>
      <c r="C4" s="23" t="str">
        <f>IFERROR(__xludf.DUMMYFUNCTION("""COMPUTED_VALUE"""),"AddCash")</f>
        <v>AddCash</v>
      </c>
      <c r="D4" s="23" t="str">
        <f>IFERROR(__xludf.DUMMYFUNCTION("""COMPUTED_VALUE"""),"VerifyGridData")</f>
        <v>VerifyGridData</v>
      </c>
      <c r="E4" s="23" t="str">
        <f>IFERROR(__xludf.DUMMYFUNCTION("""COMPUTED_VALUE"""),"RunRebalance")</f>
        <v>RunRebalance</v>
      </c>
      <c r="F4" s="23" t="str">
        <f>IFERROR(__xludf.DUMMYFUNCTION("""COMPUTED_VALUE"""),"RebalanceAcrossSecurities")</f>
        <v>RebalanceAcrossSecurities</v>
      </c>
      <c r="G4" s="23" t="str">
        <f>IFERROR(__xludf.DUMMYFUNCTION("""COMPUTED_VALUE"""),"ModifyRebalance")</f>
        <v>ModifyRebalance</v>
      </c>
      <c r="H4" s="23" t="str">
        <f>IFERROR(__xludf.DUMMYFUNCTION("""COMPUTED_VALUE"""),"ClearCalculations")</f>
        <v>ClearCalculations</v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IFERROR(__xludf.DUMMYFUNCTION("""COMPUTED_VALUE"""),"Lock/Unlock")</f>
        <v>Lock/Unlock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IFERROR(__xludf.DUMMYFUNCTION("""COMPUTED_VALUE"""),"Asset")</f>
        <v>Asset</v>
      </c>
      <c r="F5" s="27" t="str">
        <f>IFERROR(__xludf.DUMMYFUNCTION("""COMPUTED_VALUE"""),"Side")</f>
        <v>Side</v>
      </c>
      <c r="G5" s="26" t="str">
        <f>IFERROR(__xludf.DUMMYFUNCTION("""COMPUTED_VALUE"""),"Price (Local)")</f>
        <v>Price (Local)</v>
      </c>
      <c r="H5" s="26" t="str">
        <f>IFERROR(__xludf.DUMMYFUNCTION("""COMPUTED_VALUE"""),"Price")</f>
        <v>Price</v>
      </c>
      <c r="I5" s="26" t="str">
        <f>IFERROR(__xludf.DUMMYFUNCTION("""COMPUTED_VALUE"""),"FX Rate")</f>
        <v>FX Rate</v>
      </c>
      <c r="J5" s="26" t="str">
        <f>IFERROR(__xludf.DUMMYFUNCTION("""COMPUTED_VALUE"""),"Current %")</f>
        <v>Current %</v>
      </c>
      <c r="K5" s="26" t="str">
        <f>IFERROR(__xludf.DUMMYFUNCTION("""COMPUTED_VALUE"""),"Current Position")</f>
        <v>Current Position</v>
      </c>
      <c r="L5" s="26" t="str">
        <f>IFERROR(__xludf.DUMMYFUNCTION("""COMPUTED_VALUE"""),"Current Market Value (Local)")</f>
        <v>Current Market Value (Local)</v>
      </c>
      <c r="M5" s="26" t="str">
        <f>IFERROR(__xludf.DUMMYFUNCTION("""COMPUTED_VALUE"""),"Current Market Value")</f>
        <v>Current Market Value</v>
      </c>
      <c r="N5" s="26" t="str">
        <f>IFERROR(__xludf.DUMMYFUNCTION("""COMPUTED_VALUE"""),"Target %")</f>
        <v>Target %</v>
      </c>
      <c r="O5" s="26" t="str">
        <f>IFERROR(__xludf.DUMMYFUNCTION("""COMPUTED_VALUE"""),"Target Position")</f>
        <v>Target Position</v>
      </c>
      <c r="P5" s="26" t="str">
        <f>IFERROR(__xludf.DUMMYFUNCTION("""COMPUTED_VALUE"""),"Target Market Value (Local)")</f>
        <v>Target Market Value (Local)</v>
      </c>
      <c r="Q5" s="26" t="str">
        <f>IFERROR(__xludf.DUMMYFUNCTION("""COMPUTED_VALUE"""),"Target Market Value")</f>
        <v>Target Market Value</v>
      </c>
      <c r="R5" s="26" t="str">
        <f>IFERROR(__xludf.DUMMYFUNCTION("""COMPUTED_VALUE"""),"Buy/Sell Qty")</f>
        <v>Buy/Sell Qty</v>
      </c>
      <c r="S5" s="26" t="str">
        <f>IFERROR(__xludf.DUMMYFUNCTION("""COMPUTED_VALUE"""),"Buy/Sell Value")</f>
        <v>Buy/Sell Value</v>
      </c>
      <c r="T5" s="28" t="str">
        <f>IFERROR(__xludf.DUMMYFUNCTION("""COMPUTED_VALUE"""),"Sector")</f>
        <v>Sector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39" t="s">
        <v>17</v>
      </c>
      <c r="D6" s="39" t="s">
        <v>22</v>
      </c>
      <c r="E6" s="30"/>
      <c r="F6" s="39" t="s">
        <v>39</v>
      </c>
      <c r="G6" s="7"/>
      <c r="H6" s="40">
        <v>20.0</v>
      </c>
      <c r="I6" s="7"/>
      <c r="J6" s="40">
        <v>20.0</v>
      </c>
      <c r="K6" s="40">
        <v>100.0</v>
      </c>
      <c r="L6" s="7"/>
      <c r="M6" s="7"/>
      <c r="O6" s="40">
        <v>103.0</v>
      </c>
      <c r="R6" s="40">
        <v>3.0</v>
      </c>
    </row>
    <row r="7" ht="15.75" customHeight="1">
      <c r="A7" s="7"/>
      <c r="B7" s="7"/>
      <c r="C7" s="39" t="s">
        <v>19</v>
      </c>
      <c r="D7" s="39" t="s">
        <v>24</v>
      </c>
      <c r="E7" s="7"/>
      <c r="F7" s="39" t="s">
        <v>40</v>
      </c>
      <c r="G7" s="7"/>
      <c r="H7" s="40">
        <v>10.0</v>
      </c>
      <c r="I7" s="7"/>
      <c r="J7" s="40">
        <v>-1.0</v>
      </c>
      <c r="K7" s="40">
        <v>20.0</v>
      </c>
      <c r="L7" s="7"/>
      <c r="M7" s="7"/>
      <c r="O7" s="40">
        <v>21.0</v>
      </c>
      <c r="R7" s="40">
        <v>1.0</v>
      </c>
    </row>
    <row r="8" ht="15.75" customHeight="1">
      <c r="A8" s="7"/>
      <c r="B8" s="7"/>
      <c r="C8" s="39" t="s">
        <v>17</v>
      </c>
      <c r="D8" s="39" t="s">
        <v>41</v>
      </c>
      <c r="E8" s="7"/>
      <c r="F8" s="39" t="s">
        <v>39</v>
      </c>
      <c r="G8" s="7"/>
      <c r="H8" s="40">
        <v>1.0</v>
      </c>
      <c r="I8" s="7"/>
      <c r="J8" s="40">
        <v>0.0</v>
      </c>
      <c r="K8" s="40">
        <v>0.0</v>
      </c>
      <c r="L8" s="7"/>
      <c r="M8" s="7"/>
      <c r="N8" s="39"/>
      <c r="O8" s="40">
        <v>0.0</v>
      </c>
      <c r="R8" s="40">
        <v>0.0</v>
      </c>
    </row>
    <row r="9" ht="15.75" customHeight="1">
      <c r="A9" s="7"/>
      <c r="B9" s="7"/>
      <c r="C9" s="39" t="s">
        <v>19</v>
      </c>
      <c r="D9" s="39" t="s">
        <v>41</v>
      </c>
      <c r="E9" s="7"/>
      <c r="F9" s="39" t="s">
        <v>39</v>
      </c>
      <c r="G9" s="7"/>
      <c r="H9" s="40">
        <v>1.0</v>
      </c>
      <c r="I9" s="7"/>
      <c r="J9" s="40">
        <v>0.0</v>
      </c>
      <c r="K9" s="40">
        <v>0.0</v>
      </c>
      <c r="L9" s="7"/>
      <c r="M9" s="7"/>
      <c r="N9" s="39"/>
      <c r="O9" s="40">
        <v>0.0</v>
      </c>
      <c r="R9" s="40">
        <v>0.0</v>
      </c>
    </row>
    <row r="10" ht="15.75" customHeight="1">
      <c r="A10" s="7"/>
      <c r="B10" s="7"/>
      <c r="C10" s="39" t="s">
        <v>17</v>
      </c>
      <c r="D10" s="39" t="s">
        <v>42</v>
      </c>
      <c r="E10" s="7"/>
      <c r="F10" s="39" t="s">
        <v>39</v>
      </c>
      <c r="G10" s="7"/>
      <c r="H10" s="40">
        <v>1.0</v>
      </c>
      <c r="I10" s="7"/>
      <c r="J10" s="40">
        <v>80.0</v>
      </c>
      <c r="K10" s="40">
        <v>8000.0</v>
      </c>
      <c r="L10" s="7"/>
      <c r="M10" s="7"/>
      <c r="N10" s="39"/>
      <c r="O10" s="40">
        <v>7940.0</v>
      </c>
      <c r="R10" s="40">
        <v>-60.0</v>
      </c>
    </row>
    <row r="11" ht="15.75" customHeight="1">
      <c r="A11" s="7"/>
      <c r="B11" s="7"/>
      <c r="C11" s="39" t="s">
        <v>19</v>
      </c>
      <c r="D11" s="39" t="s">
        <v>42</v>
      </c>
      <c r="E11" s="7"/>
      <c r="F11" s="39" t="s">
        <v>39</v>
      </c>
      <c r="G11" s="7"/>
      <c r="H11" s="40">
        <v>1.0</v>
      </c>
      <c r="I11" s="7"/>
      <c r="J11" s="40">
        <v>101.0</v>
      </c>
      <c r="K11" s="40">
        <v>20200.0</v>
      </c>
      <c r="L11" s="7"/>
      <c r="M11" s="7"/>
      <c r="N11" s="39"/>
      <c r="O11" s="40">
        <v>20210.0</v>
      </c>
      <c r="R11" s="40">
        <v>10.0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