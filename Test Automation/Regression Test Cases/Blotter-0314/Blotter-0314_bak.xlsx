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<sst xmlns="http://schemas.openxmlformats.org/spreadsheetml/2006/main" count="80" uniqueCount="35">
  <si>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</si>
  <si>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</si>
  <si>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</si>
  <si>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</si>
  <si>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</si>
  <si>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</si>
  <si>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</si>
  <si>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</si>
  <si>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</si>
  <si>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</si>
  <si>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</si>
  <si>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</si>
  <si>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</si>
  <si>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</si>
  <si>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</si>
  <si>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</si>
  <si>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</si>
  <si>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</si>
  <si>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Cases\Stage(Blotter-0314).csv</t>
  </si>
  <si>
    <t>ISOX</t>
  </si>
  <si>
    <t>Staged Order</t>
  </si>
  <si>
    <t>SelectAllOnImport</t>
  </si>
  <si>
    <t>Blotter</t>
  </si>
  <si>
    <t>VerifyOrder</t>
  </si>
  <si>
    <t>NASDAQ</t>
  </si>
  <si>
    <t>AMZN</t>
  </si>
  <si>
    <t>US</t>
  </si>
  <si>
    <t>Equity</t>
  </si>
  <si>
    <t>Buy</t>
  </si>
  <si>
    <t>New</t>
  </si>
  <si>
    <t>Multiple</t>
  </si>
  <si>
    <t>Limit</t>
  </si>
  <si>
    <t>Sell short</t>
  </si>
  <si>
    <t>Sell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</si>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</sst>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b">
        <v>0</v>
      </c>
      <c r="D6" s="34"/>
      <c r="E6" s="35" t="s">
        <v>18</v>
      </c>
      <c r="F6" s="31" t="s">
        <v>19</v>
      </c>
      <c r="G6" s="31" t="s">
        <v>20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IFERROR(__xludf.DUMMYFUNCTION("""COMPUTED_VALUE"""),"SelectTradeOnImport")</f>
        <v>SelectTradeOnImport</v>
      </c>
      <c r="D4" s="25" t="str">
        <f>IFERROR(__xludf.DUMMYFUNCTION("""COMPUTED_VALUE"""),"ApplyFilterOnImport")</f>
        <v>ApplyFilterOnImport</v>
      </c>
      <c r="E4" s="25" t="str">
        <f>IFERROR(__xludf.DUMMYFUNCTION("""COMPUTED_VALUE"""),"SelectActivitiesImportType")</f>
        <v>SelectActivitiesImportType</v>
      </c>
      <c r="F4" s="25" t="str">
        <f>IFERROR(__xludf.DUMMYFUNCTION("""COMPUTED_VALUE"""),"SelectDoubleEntryCashImportType")</f>
        <v>SelectDoubleEntryCashImportType</v>
      </c>
      <c r="G4" s="25" t="str">
        <f>IFERROR(__xludf.DUMMYFUNCTION("""COMPUTED_VALUE"""),"SelectForexImportType")</f>
        <v>SelectForexImportType</v>
      </c>
      <c r="H4" s="25" t="str">
        <f>IFERROR(__xludf.DUMMYFUNCTION("""COMPUTED_VALUE"""),"SelectMarkPriceImportType")</f>
        <v>SelectMarkPriceImportType</v>
      </c>
      <c r="I4" s="25" t="str">
        <f>IFERROR(__xludf.DUMMYFUNCTION("""COMPUTED_VALUE"""),"SelectAllOnImport")</f>
        <v>SelectAllOnImport</v>
      </c>
      <c r="J4" s="25" t="str">
        <f>IFERROR(__xludf.DUMMYFUNCTION("""COMPUTED_VALUE"""),"SelectTransactionImportType")</f>
        <v>SelectTransactionImportType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24</v>
      </c>
      <c r="I6" s="8"/>
      <c r="J6" s="13" t="s">
        <v>25</v>
      </c>
      <c r="K6" s="13" t="s">
        <v>26</v>
      </c>
      <c r="L6" s="8"/>
      <c r="M6" s="8"/>
      <c r="N6" s="8"/>
      <c r="O6" s="8"/>
      <c r="AH6" s="9" t="s">
        <v>27</v>
      </c>
      <c r="AI6" s="9" t="s">
        <v>25</v>
      </c>
      <c r="AJ6" s="9" t="s">
        <v>28</v>
      </c>
      <c r="AK6" s="9" t="s">
        <v>29</v>
      </c>
      <c r="AL6" s="9">
        <v>300.0</v>
      </c>
      <c r="AT6" s="9" t="s">
        <v>30</v>
      </c>
      <c r="AU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24</v>
      </c>
      <c r="I7" s="8"/>
      <c r="J7" s="13" t="s">
        <v>25</v>
      </c>
      <c r="K7" s="13" t="s">
        <v>26</v>
      </c>
      <c r="L7" s="8"/>
      <c r="M7" s="8"/>
      <c r="N7" s="8"/>
      <c r="O7" s="8"/>
      <c r="AH7" s="9" t="s">
        <v>27</v>
      </c>
      <c r="AI7" s="9" t="s">
        <v>25</v>
      </c>
      <c r="AJ7" s="9" t="s">
        <v>32</v>
      </c>
      <c r="AK7" s="9" t="s">
        <v>29</v>
      </c>
      <c r="AL7" s="9">
        <v>400.0</v>
      </c>
      <c r="AT7" s="9" t="s">
        <v>30</v>
      </c>
      <c r="AU7" s="9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24</v>
      </c>
      <c r="I8" s="8"/>
      <c r="J8" s="13" t="s">
        <v>25</v>
      </c>
      <c r="K8" s="13" t="s">
        <v>26</v>
      </c>
      <c r="L8" s="8"/>
      <c r="M8" s="8"/>
      <c r="N8" s="8"/>
      <c r="O8" s="8"/>
      <c r="AH8" s="9" t="s">
        <v>27</v>
      </c>
      <c r="AI8" s="9" t="s">
        <v>25</v>
      </c>
      <c r="AJ8" s="9" t="s">
        <v>33</v>
      </c>
      <c r="AK8" s="9" t="s">
        <v>29</v>
      </c>
      <c r="AL8" s="9">
        <v>500.0</v>
      </c>
      <c r="AT8" s="9" t="s">
        <v>30</v>
      </c>
      <c r="AU8" s="9" t="s">
        <v>31</v>
      </c>
    </row>
    <row r="9" ht="15.75" customHeight="1">
      <c r="A9" s="8"/>
      <c r="B9" s="8"/>
      <c r="C9" s="8"/>
      <c r="D9" s="8"/>
      <c r="E9" s="8"/>
      <c r="F9" s="8"/>
      <c r="G9" s="8"/>
      <c r="H9" s="13" t="s">
        <v>24</v>
      </c>
      <c r="I9" s="8"/>
      <c r="J9" s="13" t="s">
        <v>25</v>
      </c>
      <c r="K9" s="13" t="s">
        <v>26</v>
      </c>
      <c r="L9" s="8"/>
      <c r="M9" s="8"/>
      <c r="N9" s="8"/>
      <c r="O9" s="8"/>
      <c r="AH9" s="9" t="s">
        <v>27</v>
      </c>
      <c r="AI9" s="9" t="s">
        <v>25</v>
      </c>
      <c r="AJ9" s="9" t="s">
        <v>34</v>
      </c>
      <c r="AK9" s="9" t="s">
        <v>29</v>
      </c>
      <c r="AL9" s="9">
        <v>1000.0</v>
      </c>
      <c r="AT9" s="9" t="s">
        <v>30</v>
      </c>
      <c r="AU9" s="9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