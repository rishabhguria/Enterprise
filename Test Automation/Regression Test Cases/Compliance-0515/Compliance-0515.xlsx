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AddTabBlotter" sheetId="6" r:id="rId8"/>
    <sheet state="visible" name="CustomOrderTT" sheetId="7" r:id="rId9"/>
    <sheet state="visible" name="LoginClient" sheetId="8" r:id="rId10"/>
    <sheet state="visible" name="ApproveorRejectpendingapproval" sheetId="9" r:id="rId11"/>
    <sheet state="visible" name="ApproveorRejectpendingapproval1" sheetId="10" r:id="rId12"/>
    <sheet state="visible" name="LoginClient1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DoneAwayUsingMTT1" sheetId="15" r:id="rId17"/>
    <sheet state="visible" name="VerifyComplianceOrder1" sheetId="16" r:id="rId18"/>
    <sheet state="visible" name="SelectTradeUsingMTT1" sheetId="17" r:id="rId19"/>
    <sheet state="visible" name="EditTradeUsingMTT1" sheetId="18" r:id="rId20"/>
    <sheet state="visible" name="DoneAwayUsingMTT" sheetId="19" r:id="rId21"/>
    <sheet state="visible" name="VerifyComplianceOrder" sheetId="20" r:id="rId22"/>
    <sheet state="visible" name="GetDataFromAuditTrail" sheetId="21" r:id="rId23"/>
    <sheet state="visible" name="VerifyAuditTrail" sheetId="22" r:id="rId24"/>
    <sheet state="visible" name="SelectCheckBoxOnCustomTab" sheetId="23" r:id="rId25"/>
    <sheet state="visible" name="CancelAllSubs" sheetId="24" r:id="rId26"/>
    <sheet state="visible" name="SelectTradeOnOrderGrid" sheetId="25" r:id="rId27"/>
    <sheet state="visible" name="VerifyOrder" sheetId="26" r:id="rId28"/>
  </sheets>
  <definedNames/>
  <calcPr/>
</workbook>
</file>

<file path=xl/sharedStrings.xml><?xml version="1.0" encoding="utf-8"?>
<sst xmlns="http://schemas.openxmlformats.org/spreadsheetml/2006/main" count="260" uniqueCount="66">
  <si>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</si>
  <si>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</si>
  <si>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</si>
  <si>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</si>
  <si>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</si>
  <si>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</si>
  <si>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</si>
  <si>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</si>
  <si>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</si>
  <si>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</si>
  <si>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</si>
  <si>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</si>
  <si>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</si>
  <si>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</si>
  <si>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</si>
  <si>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</si>
  <si>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</si>
  <si>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</si>
  <si>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Compliance</t>
  </si>
  <si>
    <t>RestartReleasesAndServices</t>
  </si>
  <si>
    <t>No</t>
  </si>
  <si>
    <t>Blotter</t>
  </si>
  <si>
    <t>AddTabBlotter</t>
  </si>
  <si>
    <t>CustomOrder</t>
  </si>
  <si>
    <t>Add Tab(Order)</t>
  </si>
  <si>
    <t>TradingTicket</t>
  </si>
  <si>
    <t>CustomOrderTT</t>
  </si>
  <si>
    <t>AAPL</t>
  </si>
  <si>
    <t>CreateOrder</t>
  </si>
  <si>
    <t>Buy</t>
  </si>
  <si>
    <t>Allocation1</t>
  </si>
  <si>
    <t>IBM</t>
  </si>
  <si>
    <t>PranaClient</t>
  </si>
  <si>
    <t>LoginClient</t>
  </si>
  <si>
    <t>LoginUserName</t>
  </si>
  <si>
    <t>LoginPassword</t>
  </si>
  <si>
    <t>Support2</t>
  </si>
  <si>
    <t>Nirvana@1</t>
  </si>
  <si>
    <t>ApproveorRejectpendingapproval</t>
  </si>
  <si>
    <t>Approve</t>
  </si>
  <si>
    <t>Support1</t>
  </si>
  <si>
    <t>MultiTradingTicketFromBlotter</t>
  </si>
  <si>
    <t>NASDAQ</t>
  </si>
  <si>
    <t>New</t>
  </si>
  <si>
    <t>MS</t>
  </si>
  <si>
    <t>MultiTradingTicket</t>
  </si>
  <si>
    <t>SelectTradeUsingMTT</t>
  </si>
  <si>
    <t>EditTradeUsingMTT</t>
  </si>
  <si>
    <t>DoneAwayUsingMTT</t>
  </si>
  <si>
    <t>VerifyComplianceOrder</t>
  </si>
  <si>
    <t>Requires Approval</t>
  </si>
  <si>
    <t>Enter Summary</t>
  </si>
  <si>
    <t>quantity: 990.00, Symbol: AAPL</t>
  </si>
  <si>
    <t>Compliance Officer - Please Approve</t>
  </si>
  <si>
    <t>Yes</t>
  </si>
  <si>
    <t>DoneAway</t>
  </si>
  <si>
    <t>quantity: 990.00, Symbol: IBM</t>
  </si>
  <si>
    <t>AuditTrail</t>
  </si>
  <si>
    <t>GetDataFromAuditTrail</t>
  </si>
  <si>
    <t>VerifyAuditTrail</t>
  </si>
  <si>
    <t>SelectCheckBoxOnCustomTab</t>
  </si>
  <si>
    <t>CancelAllSubs</t>
  </si>
  <si>
    <t>CreateDoneAwayOrder</t>
  </si>
  <si>
    <t>msft</t>
  </si>
  <si>
    <t>buy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</si>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</sst>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34" t="s">
        <v>24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1000.0</v>
      </c>
      <c r="D6" s="13">
        <v>2.0</v>
      </c>
      <c r="E6" s="13" t="s">
        <v>28</v>
      </c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  <c r="P6" s="9" t="s">
        <v>30</v>
      </c>
    </row>
    <row r="7" ht="15.75" customHeight="1">
      <c r="A7" s="8"/>
      <c r="B7" s="13" t="s">
        <v>31</v>
      </c>
      <c r="C7" s="13">
        <v>1000.0</v>
      </c>
      <c r="D7" s="13">
        <v>2.0</v>
      </c>
      <c r="E7" s="13" t="s">
        <v>28</v>
      </c>
      <c r="F7" s="8"/>
      <c r="G7" s="8"/>
      <c r="H7" s="8"/>
      <c r="I7" s="8"/>
      <c r="J7" s="13" t="s">
        <v>29</v>
      </c>
      <c r="K7" s="8"/>
      <c r="L7" s="8"/>
      <c r="M7" s="8"/>
      <c r="N7" s="8"/>
      <c r="O7" s="8"/>
      <c r="P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5" t="s">
        <v>34</v>
      </c>
      <c r="C5" s="35" t="s">
        <v>35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39</v>
      </c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5" t="s">
        <v>34</v>
      </c>
      <c r="C5" s="35" t="s">
        <v>35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42</v>
      </c>
      <c r="I6" s="8"/>
      <c r="J6" s="8"/>
      <c r="K6" s="8"/>
      <c r="L6" s="8"/>
      <c r="M6" s="8"/>
      <c r="N6" s="8"/>
      <c r="O6" s="8"/>
      <c r="AI6" s="9" t="s">
        <v>27</v>
      </c>
      <c r="AJ6" s="9" t="s">
        <v>29</v>
      </c>
      <c r="AK6" s="9" t="s">
        <v>43</v>
      </c>
      <c r="AS6" s="9" t="s">
        <v>44</v>
      </c>
      <c r="A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42</v>
      </c>
      <c r="I7" s="8"/>
      <c r="J7" s="8"/>
      <c r="K7" s="8"/>
      <c r="L7" s="8"/>
      <c r="M7" s="8"/>
      <c r="N7" s="8"/>
      <c r="O7" s="8"/>
      <c r="AI7" s="9" t="s">
        <v>31</v>
      </c>
      <c r="AJ7" s="9" t="s">
        <v>29</v>
      </c>
      <c r="AK7" s="9" t="s">
        <v>43</v>
      </c>
      <c r="AS7" s="9" t="s">
        <v>44</v>
      </c>
      <c r="A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16</v>
      </c>
      <c r="D6" s="13" t="s">
        <v>51</v>
      </c>
      <c r="E6" s="13" t="s">
        <v>27</v>
      </c>
      <c r="F6" s="13">
        <v>-123.0</v>
      </c>
      <c r="G6" s="13">
        <v>990.0</v>
      </c>
      <c r="H6" s="13" t="s">
        <v>52</v>
      </c>
      <c r="I6" s="13" t="s">
        <v>53</v>
      </c>
      <c r="J6" s="8"/>
      <c r="K6" s="13" t="s">
        <v>54</v>
      </c>
      <c r="L6" s="8"/>
      <c r="M6" s="13" t="s">
        <v>55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29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D6" s="9">
        <v>10.0</v>
      </c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29</v>
      </c>
      <c r="D7" s="8"/>
      <c r="E7" s="8"/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16</v>
      </c>
      <c r="D6" s="13" t="s">
        <v>51</v>
      </c>
      <c r="E6" s="13" t="s">
        <v>31</v>
      </c>
      <c r="F6" s="13">
        <v>-123.0</v>
      </c>
      <c r="G6" s="13">
        <v>990.0</v>
      </c>
      <c r="H6" s="13" t="s">
        <v>56</v>
      </c>
      <c r="I6" s="13" t="s">
        <v>53</v>
      </c>
      <c r="J6" s="8"/>
      <c r="K6" s="13" t="s">
        <v>54</v>
      </c>
      <c r="L6" s="8"/>
      <c r="M6" s="13" t="s">
        <v>55</v>
      </c>
      <c r="N6" s="8"/>
      <c r="O6" s="8"/>
    </row>
    <row r="7" ht="15.75" customHeight="1">
      <c r="A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</f>
        <v>45826</v>
      </c>
      <c r="C6" s="36">
        <f t="shared" si="1"/>
        <v>45826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27</v>
      </c>
      <c r="D6" s="34" t="s">
        <v>29</v>
      </c>
      <c r="E6" s="13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8" t="s">
        <v>31</v>
      </c>
      <c r="D7" s="37" t="s">
        <v>29</v>
      </c>
      <c r="E7" s="13" t="s">
        <v>30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IFERROR(__xludf.DUMMYFUNCTION("""COMPUTED_VALUE"""),"Transaction Time")</f>
        <v>Transaction Time</v>
      </c>
      <c r="D5" s="28" t="str">
        <f>IFERROR(__xludf.DUMMYFUNCTION("""COMPUTED_VALUE"""),"Algo")</f>
        <v>Algo</v>
      </c>
      <c r="E5" s="28" t="str">
        <f>IFERROR(__xludf.DUMMYFUNCTION("""COMPUTED_VALUE"""),"Avg Fill Price (Base)")</f>
        <v>Avg Fill Price (Base)</v>
      </c>
      <c r="F5" s="29" t="str">
        <f>IFERROR(__xludf.DUMMYFUNCTION("""COMPUTED_VALUE"""),"Bloomberg Symbol")</f>
        <v>Bloomberg Symbol</v>
      </c>
      <c r="G5" s="28" t="str">
        <f>IFERROR(__xludf.DUMMYFUNCTION("""COMPUTED_VALUE"""),"Limit Price")</f>
        <v>Limit Price</v>
      </c>
      <c r="H5" s="28" t="str">
        <f>IFERROR(__xludf.DUMMYFUNCTION("""COMPUTED_VALUE"""),"Working Qty")</f>
        <v>Working Qty</v>
      </c>
      <c r="I5" s="28" t="str">
        <f>IFERROR(__xludf.DUMMYFUNCTION("""COMPUTED_VALUE"""),"Venue")</f>
        <v>Venue</v>
      </c>
      <c r="J5" s="28" t="str">
        <f>IFERROR(__xludf.DUMMYFUNCTION("""COMPUTED_VALUE"""),"User")</f>
        <v>User</v>
      </c>
      <c r="K5" s="28" t="str">
        <f>IFERROR(__xludf.DUMMYFUNCTION("""COMPUTED_VALUE"""),"Underlying Symbol")</f>
        <v>Underlying Symbol</v>
      </c>
      <c r="L5" s="28" t="str">
        <f>IFERROR(__xludf.DUMMYFUNCTION("""COMPUTED_VALUE"""),"Underlying Country")</f>
        <v>Underlying Country</v>
      </c>
      <c r="M5" s="28" t="str">
        <f>IFERROR(__xludf.DUMMYFUNCTION("""COMPUTED_VALUE"""),"Trader")</f>
        <v>Trader</v>
      </c>
      <c r="N5" s="28" t="str">
        <f>IFERROR(__xludf.DUMMYFUNCTION("""COMPUTED_VALUE"""),"Trade Attribute 1")</f>
        <v>Trade Attribute 1</v>
      </c>
      <c r="O5" s="28" t="str">
        <f>IFERROR(__xludf.DUMMYFUNCTION("""COMPUTED_VALUE"""),"Trade Attribute 2")</f>
        <v>Trade Attribute 2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4")</f>
        <v>Trade Attribute 4</v>
      </c>
      <c r="R5" s="28" t="str">
        <f>IFERROR(__xludf.DUMMYFUNCTION("""COMPUTED_VALUE"""),"Trade Attribute 5")</f>
        <v>Trade Attribute 5</v>
      </c>
      <c r="S5" s="28" t="str">
        <f>IFERROR(__xludf.DUMMYFUNCTION("""COMPUTED_VALUE"""),"Trade Attribute 6")</f>
        <v>Trade Attribute 6</v>
      </c>
      <c r="T5" s="30" t="str">
        <f>IFERROR(__xludf.DUMMYFUNCTION("""COMPUTED_VALUE"""),"Strike Price")</f>
        <v>Strike Price</v>
      </c>
      <c r="U5" s="30" t="str">
        <f>IFERROR(__xludf.DUMMYFUNCTION("""COMPUTED_VALUE"""),"Stop Price")</f>
        <v>Stop Price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IFERROR(__xludf.DUMMYFUNCTION("""COMPUTED_VALUE"""),"Target Qty")</f>
        <v>Target Qty</v>
      </c>
      <c r="AN5" s="30" t="str">
        <f>IFERROR(__xludf.DUMMYFUNCTION("""COMPUTED_VALUE"""),"Total Executed Qty")</f>
        <v>Total 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3"/>
      <c r="F6" s="8"/>
      <c r="G6" s="8"/>
      <c r="H6" s="8"/>
      <c r="I6" s="13" t="s">
        <v>42</v>
      </c>
      <c r="J6" s="8"/>
      <c r="K6" s="8"/>
      <c r="L6" s="8"/>
      <c r="M6" s="8"/>
      <c r="N6" s="8"/>
      <c r="O6" s="8"/>
      <c r="AJ6" s="9" t="s">
        <v>27</v>
      </c>
      <c r="AK6" s="9" t="s">
        <v>29</v>
      </c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13" t="s">
        <v>42</v>
      </c>
      <c r="J7" s="8"/>
      <c r="K7" s="8"/>
      <c r="L7" s="8"/>
      <c r="M7" s="8"/>
      <c r="N7" s="8"/>
      <c r="O7" s="8"/>
      <c r="AJ7" s="9" t="s">
        <v>31</v>
      </c>
      <c r="AK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SelectCheckBoxOnCustomTab!$4:$4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31</v>
      </c>
      <c r="AJ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 t="s">
        <v>64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42</v>
      </c>
      <c r="I6" s="8"/>
      <c r="J6" s="8"/>
      <c r="K6" s="8"/>
      <c r="L6" s="8"/>
      <c r="M6" s="8"/>
      <c r="N6" s="8"/>
      <c r="O6" s="8"/>
      <c r="AI6" s="37" t="s">
        <v>27</v>
      </c>
      <c r="AJ6" s="34" t="s">
        <v>29</v>
      </c>
      <c r="AS6" s="9" t="s">
        <v>44</v>
      </c>
      <c r="AT6" s="13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