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locationPreferenc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LiveOrder" sheetId="8" r:id="rId10"/>
    <sheet state="visible" name="AcknowledgeTrade" sheetId="9" r:id="rId11"/>
    <sheet state="visible" name="SelectTrade" sheetId="10" r:id="rId12"/>
    <sheet state="visible" name="ExecuteTrade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SelectTrade2" sheetId="15" r:id="rId17"/>
    <sheet state="visible" name="AcknowledgeTrade2" sheetId="16" r:id="rId18"/>
    <sheet state="visible" name="ExecuteTrade2" sheetId="17" r:id="rId19"/>
    <sheet state="visible" name="SelectTrade3" sheetId="18" r:id="rId20"/>
    <sheet state="visible" name="AcknowledgeTrade3" sheetId="19" r:id="rId21"/>
    <sheet state="visible" name="ExecuteTrade3" sheetId="20" r:id="rId22"/>
    <sheet state="visible" name="SelectTradeOnOrderGrid" sheetId="21" r:id="rId23"/>
    <sheet state="visible" name="AllocateFromBlotter" sheetId="22" r:id="rId24"/>
    <sheet state="visible" name="SelectTradeOnOrderGrid1" sheetId="23" r:id="rId25"/>
    <sheet state="visible" name="AllocateFromBlotter1" sheetId="24" r:id="rId26"/>
    <sheet state="visible" name="CheckAllocatedGroups" sheetId="25" r:id="rId27"/>
    <sheet state="visible" name="CheckAllocatedTaxlots" sheetId="26" r:id="rId28"/>
  </sheets>
  <definedNames/>
  <calcPr/>
</workbook>
</file>

<file path=xl/sharedStrings.xml><?xml version="1.0" encoding="utf-8"?>
<sst xmlns="http://schemas.openxmlformats.org/spreadsheetml/2006/main" count="454" uniqueCount="70">
  <si>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</si>
  <si>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</si>
  <si>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</si>
  <si>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</si>
  <si>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</si>
  <si>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</si>
  <si>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</si>
  <si>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</si>
  <si>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</si>
  <si>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</si>
  <si>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</si>
  <si>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</si>
  <si>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</si>
  <si>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SetAllocationPreferences</t>
  </si>
  <si>
    <t>Data Format</t>
  </si>
  <si>
    <t>Input Format</t>
  </si>
  <si>
    <t>Allocation</t>
  </si>
  <si>
    <t>AddCalculatedPreferences</t>
  </si>
  <si>
    <t>Test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</si>
  <si>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</si>
  <si>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</si>
  <si>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</si>
  <si>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</si>
  <si>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</si>
  <si>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</si>
  <si>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TradingTicket</t>
  </si>
  <si>
    <t>CreateLiveOrder</t>
  </si>
  <si>
    <t>AAPL</t>
  </si>
  <si>
    <t>Buy</t>
  </si>
  <si>
    <t>AMZN</t>
  </si>
  <si>
    <t>Simulator</t>
  </si>
  <si>
    <t>AcknowledgeTrade</t>
  </si>
  <si>
    <t>SelectTrade</t>
  </si>
  <si>
    <t>ExecuteTrade</t>
  </si>
  <si>
    <t>Blotter</t>
  </si>
  <si>
    <t>SelectTradeOnOrderGrid</t>
  </si>
  <si>
    <t>Filled</t>
  </si>
  <si>
    <t>AllocateFromBlotter</t>
  </si>
  <si>
    <t>Allocation5</t>
  </si>
  <si>
    <t>Allocation6</t>
  </si>
  <si>
    <t>Allocation7</t>
  </si>
  <si>
    <t>Allocation8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</si>
  <si>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</si>
  <si>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</si>
  <si>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</si>
  <si>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</si>
  <si>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</si>
  <si>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</si>
  <si>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</si>
  <si>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</si>
  <si>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</si>
  <si>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</si>
  <si>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</si>
  <si>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</si>
  <si>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</si>
  <si>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</si>
  <si>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</si>
  <si>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</si>
  <si>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</si>
  <si>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</si>
  <si>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</si>
  <si>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</si>
  <si>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NONE</t>
  </si>
  <si>
    <t>NewMF1</t>
  </si>
  <si>
    <t>Multiple</t>
  </si>
  <si>
    <t>AMZN US EQUITY</t>
  </si>
  <si>
    <t>AMAZON.COM</t>
  </si>
  <si>
    <t>US0231351067</t>
  </si>
  <si>
    <t>NewMF3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</si>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</sst>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IFERROR(__xludf.DUMMYFUNCTION("""COMPUTED_VALUE"""),"CompanyId")</f>
        <v>CompanyId</v>
      </c>
      <c r="C5" s="27" t="str">
        <f>IFERROR(__xludf.DUMMYFUNCTION("""COMPUTED_VALUE"""),"AutoGroup")</f>
        <v>AutoGroup</v>
      </c>
      <c r="D5" s="27" t="str">
        <f>IFERROR(__xludf.DUMMYFUNCTION("""COMPUTED_VALUE"""),"TradeAttribute1")</f>
        <v>TradeAttribute1</v>
      </c>
      <c r="E5" s="27" t="str">
        <f>IFERROR(__xludf.DUMMYFUNCTION("""COMPUTED_VALUE"""),"TradeAttribute2")</f>
        <v>TradeAttribute2</v>
      </c>
      <c r="F5" s="28" t="str">
        <f>IFERROR(__xludf.DUMMYFUNCTION("""COMPUTED_VALUE"""),"TradeAttribute3")</f>
        <v>TradeAttribute3</v>
      </c>
      <c r="G5" s="27" t="str">
        <f>IFERROR(__xludf.DUMMYFUNCTION("""COMPUTED_VALUE"""),"TradeAttribute4")</f>
        <v>TradeAttribute4</v>
      </c>
      <c r="H5" s="27" t="str">
        <f>IFERROR(__xludf.DUMMYFUNCTION("""COMPUTED_VALUE"""),"TradeAttribute5")</f>
        <v>TradeAttribute5</v>
      </c>
      <c r="I5" s="27" t="str">
        <f>IFERROR(__xludf.DUMMYFUNCTION("""COMPUTED_VALUE"""),"TradeAttribute6")</f>
        <v>TradeAttribute6</v>
      </c>
      <c r="J5" s="27" t="str">
        <f>IFERROR(__xludf.DUMMYFUNCTION("""COMPUTED_VALUE"""),"Broker")</f>
        <v>Broker</v>
      </c>
      <c r="K5" s="27" t="str">
        <f>IFERROR(__xludf.DUMMYFUNCTION("""COMPUTED_VALUE"""),"Venue")</f>
        <v>Venue</v>
      </c>
      <c r="L5" s="27" t="str">
        <f>IFERROR(__xludf.DUMMYFUNCTION("""COMPUTED_VALUE"""),"TradingAC")</f>
        <v>TradingAC</v>
      </c>
      <c r="M5" s="27" t="str">
        <f>IFERROR(__xludf.DUMMYFUNCTION("""COMPUTED_VALUE"""),"TradeDate")</f>
        <v>TradeDate</v>
      </c>
      <c r="N5" s="27" t="str">
        <f>IFERROR(__xludf.DUMMYFUNCTION("""COMPUTED_VALUE"""),"ProcessDate")</f>
        <v>ProcessDate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v>5.0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SetAllocationPreferences!$4:$4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3" t="s">
        <v>20</v>
      </c>
      <c r="D6" s="31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5" t="s">
        <v>21</v>
      </c>
      <c r="D7" s="32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23</v>
      </c>
      <c r="C6" s="33"/>
      <c r="D6" s="37" t="s">
        <v>24</v>
      </c>
      <c r="E6" s="33"/>
      <c r="F6" s="33"/>
      <c r="G6" s="33"/>
      <c r="H6" s="38" t="s">
        <v>18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27</v>
      </c>
      <c r="C6" s="38" t="s">
        <v>28</v>
      </c>
      <c r="D6" s="31">
        <v>100.0</v>
      </c>
      <c r="E6" s="33"/>
      <c r="F6" s="38" t="s">
        <v>18</v>
      </c>
      <c r="G6" s="33"/>
      <c r="H6" s="33"/>
      <c r="I6" s="33"/>
      <c r="J6" s="32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27</v>
      </c>
      <c r="C7" s="38" t="s">
        <v>28</v>
      </c>
      <c r="D7" s="32">
        <v>120.0</v>
      </c>
      <c r="E7" s="33"/>
      <c r="F7" s="38" t="s">
        <v>18</v>
      </c>
      <c r="G7" s="33"/>
      <c r="H7" s="33"/>
      <c r="I7" s="33"/>
      <c r="J7" s="32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8" t="s">
        <v>29</v>
      </c>
      <c r="C8" s="38" t="s">
        <v>28</v>
      </c>
      <c r="D8" s="32">
        <v>100.0</v>
      </c>
      <c r="E8" s="33"/>
      <c r="F8" s="38" t="s">
        <v>18</v>
      </c>
      <c r="G8" s="33"/>
      <c r="H8" s="33"/>
      <c r="I8" s="33"/>
      <c r="J8" s="32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8" t="s">
        <v>29</v>
      </c>
      <c r="C9" s="38" t="s">
        <v>28</v>
      </c>
      <c r="D9" s="32">
        <v>120.0</v>
      </c>
      <c r="E9" s="33"/>
      <c r="F9" s="39" t="s">
        <v>18</v>
      </c>
      <c r="G9" s="33"/>
      <c r="H9" s="33"/>
      <c r="I9" s="33"/>
      <c r="J9" s="32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28</v>
      </c>
      <c r="C6" s="38" t="s">
        <v>27</v>
      </c>
      <c r="D6" s="30"/>
      <c r="E6" s="33"/>
      <c r="F6" s="33"/>
      <c r="G6" s="32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28</v>
      </c>
      <c r="C6" s="38" t="s">
        <v>27</v>
      </c>
      <c r="D6" s="30"/>
      <c r="E6" s="33"/>
      <c r="F6" s="33"/>
      <c r="G6" s="32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28</v>
      </c>
      <c r="C6" s="38" t="s">
        <v>27</v>
      </c>
      <c r="D6" s="30"/>
      <c r="E6" s="33"/>
      <c r="F6" s="33"/>
      <c r="G6" s="40">
        <v>120.0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28</v>
      </c>
      <c r="C6" s="38" t="s">
        <v>27</v>
      </c>
      <c r="D6" s="30"/>
      <c r="E6" s="33"/>
      <c r="F6" s="33"/>
      <c r="G6" s="40">
        <v>120.0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28</v>
      </c>
      <c r="C6" s="41" t="s">
        <v>29</v>
      </c>
      <c r="D6" s="30"/>
      <c r="E6" s="33"/>
      <c r="F6" s="33"/>
      <c r="G6" s="40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28</v>
      </c>
      <c r="C6" s="41" t="s">
        <v>29</v>
      </c>
      <c r="D6" s="30"/>
      <c r="E6" s="33"/>
      <c r="F6" s="33"/>
      <c r="G6" s="40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28</v>
      </c>
      <c r="C6" s="41" t="s">
        <v>29</v>
      </c>
      <c r="D6" s="30"/>
      <c r="E6" s="33"/>
      <c r="F6" s="33"/>
      <c r="G6" s="40">
        <v>120.0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28</v>
      </c>
      <c r="C6" s="41" t="s">
        <v>29</v>
      </c>
      <c r="D6" s="30"/>
      <c r="E6" s="33"/>
      <c r="F6" s="33"/>
      <c r="G6" s="40">
        <v>120.0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4"/>
      <c r="F6" s="12" t="s">
        <v>28</v>
      </c>
      <c r="G6" s="12" t="s">
        <v>36</v>
      </c>
      <c r="H6" s="12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>
        <v>100.0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4"/>
      <c r="F6" s="12" t="s">
        <v>28</v>
      </c>
      <c r="G6" s="12" t="s">
        <v>36</v>
      </c>
      <c r="H6" s="12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38</v>
      </c>
      <c r="D6" s="12">
        <v>10.0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39</v>
      </c>
      <c r="D7" s="12">
        <v>22.0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 t="s">
        <v>40</v>
      </c>
      <c r="D8" s="12">
        <v>65.0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2" t="s">
        <v>41</v>
      </c>
      <c r="D9" s="12">
        <v>3.0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43</v>
      </c>
      <c r="B6" s="42" t="s">
        <v>20</v>
      </c>
      <c r="C6" s="8" t="s">
        <v>44</v>
      </c>
      <c r="D6" s="42">
        <v>0.0</v>
      </c>
      <c r="E6" s="8">
        <v>220.0</v>
      </c>
      <c r="F6" s="8" t="s">
        <v>45</v>
      </c>
      <c r="G6" s="8" t="s">
        <v>46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47</v>
      </c>
      <c r="N6" s="8" t="s">
        <v>48</v>
      </c>
      <c r="O6" s="8" t="s">
        <v>49</v>
      </c>
      <c r="Q6">
        <v>3.0</v>
      </c>
      <c r="R6">
        <v>0.0</v>
      </c>
      <c r="S6" t="s">
        <v>50</v>
      </c>
      <c r="T6">
        <v>0.0</v>
      </c>
      <c r="U6">
        <v>0.0</v>
      </c>
      <c r="V6" t="s">
        <v>51</v>
      </c>
      <c r="W6">
        <v>1.0</v>
      </c>
      <c r="X6">
        <v>0.0</v>
      </c>
      <c r="Y6" t="s">
        <v>43</v>
      </c>
      <c r="Z6" t="s">
        <v>52</v>
      </c>
      <c r="AA6" t="s">
        <v>27</v>
      </c>
      <c r="AB6">
        <v>1.0</v>
      </c>
      <c r="AD6" t="s">
        <v>53</v>
      </c>
      <c r="AE6">
        <v>220.0</v>
      </c>
      <c r="AF6" t="s">
        <v>43</v>
      </c>
      <c r="AH6" t="s">
        <v>54</v>
      </c>
      <c r="AI6">
        <v>1.0</v>
      </c>
      <c r="AJ6" t="s">
        <v>55</v>
      </c>
      <c r="AM6" t="s">
        <v>56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57</v>
      </c>
      <c r="AZ6">
        <v>0.0</v>
      </c>
      <c r="BC6">
        <v>0.0</v>
      </c>
      <c r="BD6" t="s">
        <v>58</v>
      </c>
      <c r="BE6">
        <v>440.0</v>
      </c>
      <c r="BF6">
        <v>440.0</v>
      </c>
      <c r="BJ6">
        <v>220.0</v>
      </c>
      <c r="BK6">
        <v>0.0</v>
      </c>
      <c r="BL6" t="s">
        <v>43</v>
      </c>
      <c r="BM6" t="s">
        <v>52</v>
      </c>
      <c r="BO6" t="s">
        <v>28</v>
      </c>
      <c r="BP6">
        <v>0.0</v>
      </c>
      <c r="BQ6">
        <v>0.0</v>
      </c>
      <c r="BS6" t="s">
        <v>59</v>
      </c>
      <c r="BT6" t="s">
        <v>27</v>
      </c>
      <c r="BU6">
        <v>3.0</v>
      </c>
      <c r="BV6">
        <v>0.0</v>
      </c>
      <c r="BX6">
        <v>0.0</v>
      </c>
      <c r="CF6" t="s">
        <v>60</v>
      </c>
      <c r="CG6">
        <v>2.0</v>
      </c>
      <c r="CH6" t="s">
        <v>55</v>
      </c>
      <c r="CI6" t="s">
        <v>28</v>
      </c>
      <c r="CJ6">
        <v>0.0</v>
      </c>
      <c r="CK6" t="s">
        <v>61</v>
      </c>
      <c r="CL6">
        <v>1.0</v>
      </c>
      <c r="CM6" t="s">
        <v>27</v>
      </c>
      <c r="CO6" t="s">
        <v>53</v>
      </c>
      <c r="CP6" t="s">
        <v>62</v>
      </c>
      <c r="CS6" t="s">
        <v>43</v>
      </c>
      <c r="CW6">
        <v>0.0</v>
      </c>
      <c r="CX6" t="s">
        <v>63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43</v>
      </c>
      <c r="B7" s="8" t="s">
        <v>64</v>
      </c>
      <c r="C7" s="8" t="s">
        <v>44</v>
      </c>
      <c r="D7" s="8">
        <v>0.0</v>
      </c>
      <c r="E7" s="8">
        <v>220.0</v>
      </c>
      <c r="F7" s="8" t="s">
        <v>45</v>
      </c>
      <c r="G7" s="8" t="s">
        <v>46</v>
      </c>
      <c r="H7" s="8">
        <v>4.0</v>
      </c>
      <c r="I7" s="8">
        <v>5.0</v>
      </c>
      <c r="J7" s="8">
        <v>1.0</v>
      </c>
      <c r="K7" s="8">
        <v>2.0</v>
      </c>
      <c r="L7" s="8">
        <v>2.0</v>
      </c>
      <c r="M7" s="8" t="s">
        <v>65</v>
      </c>
      <c r="N7" s="8" t="s">
        <v>48</v>
      </c>
      <c r="O7" s="8" t="s">
        <v>49</v>
      </c>
      <c r="Q7">
        <v>3.0</v>
      </c>
      <c r="R7">
        <v>0.0</v>
      </c>
      <c r="S7" t="s">
        <v>50</v>
      </c>
      <c r="T7">
        <v>0.0</v>
      </c>
      <c r="U7">
        <v>0.0</v>
      </c>
      <c r="V7" t="s">
        <v>66</v>
      </c>
      <c r="W7">
        <v>1.0</v>
      </c>
      <c r="X7">
        <v>0.0</v>
      </c>
      <c r="Y7" t="s">
        <v>43</v>
      </c>
      <c r="Z7" t="s">
        <v>52</v>
      </c>
      <c r="AA7">
        <v>2.3135106E7</v>
      </c>
      <c r="AB7">
        <v>1.0</v>
      </c>
      <c r="AD7" t="s">
        <v>53</v>
      </c>
      <c r="AE7">
        <v>220.0</v>
      </c>
      <c r="AF7" t="s">
        <v>43</v>
      </c>
      <c r="AH7" t="s">
        <v>54</v>
      </c>
      <c r="AI7">
        <v>1.0</v>
      </c>
      <c r="AJ7" t="s">
        <v>55</v>
      </c>
      <c r="AM7" t="s">
        <v>56</v>
      </c>
      <c r="AN7" t="b">
        <v>0</v>
      </c>
      <c r="AO7" t="s">
        <v>67</v>
      </c>
      <c r="AP7" t="b">
        <v>0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57</v>
      </c>
      <c r="AZ7">
        <v>0.0</v>
      </c>
      <c r="BC7">
        <v>0.0</v>
      </c>
      <c r="BD7" t="s">
        <v>58</v>
      </c>
      <c r="BE7">
        <v>440.0</v>
      </c>
      <c r="BF7">
        <v>440.0</v>
      </c>
      <c r="BJ7">
        <v>220.0</v>
      </c>
      <c r="BK7">
        <v>0.0</v>
      </c>
      <c r="BL7" t="s">
        <v>43</v>
      </c>
      <c r="BM7" t="s">
        <v>52</v>
      </c>
      <c r="BO7" t="s">
        <v>28</v>
      </c>
      <c r="BP7">
        <v>0.0</v>
      </c>
      <c r="BQ7">
        <v>0.0</v>
      </c>
      <c r="BS7" t="s">
        <v>59</v>
      </c>
      <c r="BT7" t="s">
        <v>29</v>
      </c>
      <c r="BU7">
        <v>3.0</v>
      </c>
      <c r="BV7">
        <v>0.0</v>
      </c>
      <c r="BX7">
        <v>0.0</v>
      </c>
      <c r="CF7" t="s">
        <v>60</v>
      </c>
      <c r="CG7">
        <v>2.0</v>
      </c>
      <c r="CH7" t="s">
        <v>55</v>
      </c>
      <c r="CI7" t="s">
        <v>28</v>
      </c>
      <c r="CJ7">
        <v>0.0</v>
      </c>
      <c r="CK7" t="s">
        <v>61</v>
      </c>
      <c r="CL7">
        <v>1.0</v>
      </c>
      <c r="CM7" t="s">
        <v>29</v>
      </c>
      <c r="CO7" t="s">
        <v>53</v>
      </c>
      <c r="CP7" t="s">
        <v>62</v>
      </c>
      <c r="CS7" t="s">
        <v>43</v>
      </c>
      <c r="CW7">
        <v>0.0</v>
      </c>
      <c r="CX7" t="s">
        <v>68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>
        <v>454.0</v>
      </c>
      <c r="C6" s="44">
        <v>454.0</v>
      </c>
      <c r="D6" s="44">
        <v>440.0</v>
      </c>
      <c r="E6" s="44">
        <v>440.0</v>
      </c>
      <c r="F6" s="45" t="s">
        <v>54</v>
      </c>
      <c r="G6" s="8"/>
      <c r="H6" s="45" t="s">
        <v>52</v>
      </c>
      <c r="I6" s="8"/>
      <c r="J6" s="8"/>
      <c r="K6" s="8"/>
      <c r="L6" s="8"/>
      <c r="M6" s="8"/>
      <c r="N6" s="8"/>
      <c r="O6" s="45" t="s">
        <v>20</v>
      </c>
      <c r="P6" s="45" t="s">
        <v>59</v>
      </c>
      <c r="Q6" s="44"/>
      <c r="R6" s="44"/>
      <c r="S6" s="44">
        <v>0.0</v>
      </c>
      <c r="T6" s="44">
        <v>0.0</v>
      </c>
      <c r="U6" s="44">
        <v>0.0</v>
      </c>
      <c r="V6" s="44">
        <v>0.0</v>
      </c>
      <c r="W6" s="44"/>
      <c r="X6" s="44"/>
      <c r="Y6" s="44"/>
      <c r="Z6" s="44"/>
      <c r="AA6" s="44"/>
      <c r="AB6" s="44">
        <v>0.0</v>
      </c>
      <c r="AC6" s="44">
        <v>0.0</v>
      </c>
      <c r="AD6" s="44">
        <v>0.0</v>
      </c>
      <c r="AE6" s="44">
        <v>0.0</v>
      </c>
      <c r="AF6" s="45" t="s">
        <v>50</v>
      </c>
      <c r="AG6" s="46"/>
    </row>
    <row r="7" ht="15.75" customHeight="1">
      <c r="A7" s="8"/>
      <c r="B7" s="44"/>
      <c r="C7" s="44"/>
      <c r="D7" s="44">
        <v>44.0</v>
      </c>
      <c r="E7" s="44">
        <v>44.0</v>
      </c>
      <c r="F7" s="45" t="s">
        <v>54</v>
      </c>
      <c r="G7" s="8"/>
      <c r="H7" s="45" t="s">
        <v>52</v>
      </c>
      <c r="I7" s="8"/>
      <c r="J7" s="8"/>
      <c r="K7" s="8"/>
      <c r="L7" s="8"/>
      <c r="M7" s="8"/>
      <c r="N7" s="8"/>
      <c r="O7" s="45" t="s">
        <v>38</v>
      </c>
      <c r="P7" s="45" t="s">
        <v>59</v>
      </c>
      <c r="Q7" s="44"/>
      <c r="R7" s="44">
        <v>22.0</v>
      </c>
      <c r="S7" s="44">
        <v>0.0</v>
      </c>
      <c r="T7" s="44">
        <v>0.0</v>
      </c>
      <c r="U7" s="44">
        <v>0.0</v>
      </c>
      <c r="V7" s="44">
        <v>0.0</v>
      </c>
      <c r="W7" s="44"/>
      <c r="X7" s="44"/>
      <c r="Y7" s="44"/>
      <c r="Z7" s="44"/>
      <c r="AA7" s="44"/>
      <c r="AB7" s="44">
        <v>0.0</v>
      </c>
      <c r="AC7" s="44">
        <v>0.0</v>
      </c>
      <c r="AD7" s="44">
        <v>0.0</v>
      </c>
      <c r="AE7" s="44">
        <v>0.0</v>
      </c>
      <c r="AF7" s="45" t="s">
        <v>50</v>
      </c>
      <c r="AG7" s="46"/>
    </row>
    <row r="8" ht="15.75" customHeight="1">
      <c r="A8" s="8"/>
      <c r="B8" s="44"/>
      <c r="C8" s="44"/>
      <c r="D8" s="44">
        <v>96.0</v>
      </c>
      <c r="E8" s="44">
        <v>96.0</v>
      </c>
      <c r="F8" s="45" t="s">
        <v>54</v>
      </c>
      <c r="G8" s="8"/>
      <c r="H8" s="45" t="s">
        <v>52</v>
      </c>
      <c r="I8" s="8"/>
      <c r="J8" s="8"/>
      <c r="K8" s="8"/>
      <c r="L8" s="8"/>
      <c r="M8" s="8"/>
      <c r="N8" s="8"/>
      <c r="O8" s="45" t="s">
        <v>39</v>
      </c>
      <c r="P8" s="45" t="s">
        <v>59</v>
      </c>
      <c r="Q8" s="44"/>
      <c r="R8" s="44">
        <v>48.0</v>
      </c>
      <c r="S8" s="44">
        <v>0.0</v>
      </c>
      <c r="T8" s="44">
        <v>0.0</v>
      </c>
      <c r="U8" s="44">
        <v>0.0</v>
      </c>
      <c r="V8" s="44">
        <v>0.0</v>
      </c>
      <c r="W8" s="44"/>
      <c r="X8" s="44"/>
      <c r="Y8" s="44"/>
      <c r="Z8" s="44"/>
      <c r="AA8" s="44"/>
      <c r="AB8" s="44">
        <v>0.0</v>
      </c>
      <c r="AC8" s="44">
        <v>0.0</v>
      </c>
      <c r="AD8" s="44">
        <v>0.0</v>
      </c>
      <c r="AE8" s="44">
        <v>0.0</v>
      </c>
      <c r="AF8" s="45" t="s">
        <v>50</v>
      </c>
      <c r="AG8" s="46"/>
    </row>
    <row r="9" ht="15.75" customHeight="1">
      <c r="A9" s="8"/>
      <c r="B9" s="44"/>
      <c r="C9" s="44"/>
      <c r="D9" s="44">
        <v>286.0</v>
      </c>
      <c r="E9" s="44">
        <v>286.0</v>
      </c>
      <c r="F9" s="45" t="s">
        <v>54</v>
      </c>
      <c r="G9" s="8"/>
      <c r="H9" s="45" t="s">
        <v>52</v>
      </c>
      <c r="I9" s="8"/>
      <c r="J9" s="8"/>
      <c r="K9" s="8"/>
      <c r="L9" s="8"/>
      <c r="M9" s="8"/>
      <c r="N9" s="8"/>
      <c r="O9" s="45" t="s">
        <v>40</v>
      </c>
      <c r="P9" s="45" t="s">
        <v>59</v>
      </c>
      <c r="Q9" s="44"/>
      <c r="R9" s="44">
        <v>143.0</v>
      </c>
      <c r="S9" s="44">
        <v>0.0</v>
      </c>
      <c r="T9" s="44">
        <v>0.0</v>
      </c>
      <c r="U9" s="44">
        <v>0.0</v>
      </c>
      <c r="V9" s="44">
        <v>0.0</v>
      </c>
      <c r="W9" s="44"/>
      <c r="X9" s="44"/>
      <c r="Y9" s="44"/>
      <c r="Z9" s="44"/>
      <c r="AA9" s="44"/>
      <c r="AB9" s="44">
        <v>0.0</v>
      </c>
      <c r="AC9" s="44">
        <v>0.0</v>
      </c>
      <c r="AD9" s="44">
        <v>0.0</v>
      </c>
      <c r="AE9" s="44">
        <v>0.0</v>
      </c>
      <c r="AF9" s="45" t="s">
        <v>50</v>
      </c>
      <c r="AG9" s="46"/>
    </row>
    <row r="10" ht="15.75" customHeight="1">
      <c r="A10" s="8"/>
      <c r="B10" s="44"/>
      <c r="C10" s="44"/>
      <c r="D10" s="44">
        <v>14.0</v>
      </c>
      <c r="E10" s="44">
        <v>14.0</v>
      </c>
      <c r="F10" s="45" t="s">
        <v>54</v>
      </c>
      <c r="G10" s="8"/>
      <c r="H10" s="45" t="s">
        <v>52</v>
      </c>
      <c r="I10" s="8"/>
      <c r="J10" s="8"/>
      <c r="K10" s="8"/>
      <c r="L10" s="8"/>
      <c r="M10" s="8"/>
      <c r="N10" s="8"/>
      <c r="O10" s="45" t="s">
        <v>41</v>
      </c>
      <c r="P10" s="45" t="s">
        <v>59</v>
      </c>
      <c r="Q10" s="44"/>
      <c r="R10" s="44">
        <v>7.0</v>
      </c>
      <c r="S10" s="44">
        <v>0.0</v>
      </c>
      <c r="T10" s="44">
        <v>0.0</v>
      </c>
      <c r="U10" s="44">
        <v>0.0</v>
      </c>
      <c r="V10" s="44">
        <v>0.0</v>
      </c>
      <c r="W10" s="44"/>
      <c r="X10" s="44"/>
      <c r="Y10" s="44"/>
      <c r="Z10" s="44"/>
      <c r="AA10" s="44"/>
      <c r="AB10" s="44">
        <v>0.0</v>
      </c>
      <c r="AC10" s="44">
        <v>0.0</v>
      </c>
      <c r="AD10" s="44">
        <v>0.0</v>
      </c>
      <c r="AE10" s="44">
        <v>0.0</v>
      </c>
      <c r="AF10" s="45" t="s">
        <v>50</v>
      </c>
      <c r="AG10" s="4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