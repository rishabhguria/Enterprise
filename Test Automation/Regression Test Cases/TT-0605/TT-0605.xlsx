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StageOrder" sheetId="4" r:id="rId6"/>
    <sheet name="TradeNewSubOrder" sheetId="5" r:id="rId7"/>
    <sheet name="CreateLiveOrder" sheetId="6" r:id="rId8"/>
    <sheet name="TradeNewSubOrder1" sheetId="7" r:id="rId9"/>
    <sheet name="CreateLiveOrder1" sheetId="8" r:id="rId10"/>
    <sheet name="TradeNewSubOrder2" sheetId="9" r:id="rId11"/>
    <sheet name="CreateLiveOrder2" sheetId="10" r:id="rId12"/>
    <sheet name="TradeNewSubOrder3" sheetId="11" r:id="rId13"/>
    <sheet name="CreateLiveOrder3" sheetId="12" r:id="rId14"/>
    <sheet name="SelectTrade" sheetId="13" r:id="rId15"/>
    <sheet name="AcknowledgeTrade" sheetId="14" r:id="rId16"/>
    <sheet name="SelectTrade1" sheetId="15" r:id="rId17"/>
    <sheet name="AcknowledgeTrade1" sheetId="16" r:id="rId18"/>
    <sheet name="SelectTrade2" sheetId="17" r:id="rId19"/>
    <sheet name="AcknowledgeTrade2" sheetId="18" r:id="rId20"/>
    <sheet name="SelectTrade3" sheetId="19" r:id="rId21"/>
    <sheet name="AcknowledgeTrade3" sheetId="20" r:id="rId22"/>
    <sheet name="SelectTradeOnOrderGrid" sheetId="21" r:id="rId23"/>
    <sheet name="CancelSubOrder" sheetId="22" r:id="rId24"/>
    <sheet name="SelectTradeOnOrderGrid1" sheetId="23" r:id="rId25"/>
    <sheet name="CancelSubOrder1" sheetId="24" r:id="rId26"/>
    <sheet name="SelectTradeOnOrderGrid2" sheetId="25" r:id="rId27"/>
    <sheet name="CancelSubOrder2" sheetId="26" r:id="rId28"/>
    <sheet name="SelectTradeOnOrderGrid3" sheetId="27" r:id="rId29"/>
    <sheet name="CancelSubOrder3" sheetId="28" r:id="rId30"/>
    <sheet name="RejectTrade" sheetId="29" r:id="rId31"/>
    <sheet name="RejectTrade1" sheetId="30" r:id="rId32"/>
    <sheet name="RejectTrade2" sheetId="31" r:id="rId33"/>
    <sheet name="RejectTrade3" sheetId="32" r:id="rId34"/>
    <sheet name="VerifyWorkingSubs" sheetId="33" r:id="rId35"/>
  </sheets>
  <calcPr fullCalcOnLoad="1"/>
</workbook>
</file>

<file path=xl/sharedStrings.xml><?xml version="1.0" encoding="utf-8"?>
<sst xmlns="http://schemas.openxmlformats.org/spreadsheetml/2006/main" count="35" uniqueCount="35">
  <si>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</si>
  <si>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</si>
  <si>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</si>
  <si>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</si>
  <si>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</si>
  <si>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</si>
  <si>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</si>
  <si>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</si>
  <si>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</si>
  <si>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</si>
  <si>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</si>
  <si>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</si>
  <si>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</si>
  <si>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</si>
  <si>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</si>
  <si>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</si>
  <si>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BP U3C1240</t>
  </si>
  <si>
    <t>Buy</t>
  </si>
  <si>
    <t>FRU-TC</t>
  </si>
  <si>
    <t>KGDFUT</t>
  </si>
  <si>
    <t>O:AAPL 23P60.00D26</t>
  </si>
  <si>
    <t>Buy to Open</t>
  </si>
  <si>
    <t>Blotter</t>
  </si>
  <si>
    <t>TradeNewSubOrder</t>
  </si>
  <si>
    <t>New</t>
  </si>
  <si>
    <t>CreateLiveOrder</t>
  </si>
  <si>
    <t>Simulator</t>
  </si>
  <si>
    <t>SelectTrade</t>
  </si>
  <si>
    <t>AcknowledgeTrade</t>
  </si>
  <si>
    <t>SelectTradeOnOrderGrid</t>
  </si>
  <si>
    <t>CancelSubOrder</t>
  </si>
  <si>
    <t>RejectTrade</t>
  </si>
  <si>
    <t>VerifyWorkingSubs</t>
  </si>
  <si>
    <t>MS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</si>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</sst>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2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>
      <alignment horizontal="right"/>
    </xf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/>
    <xf fontId="5" applyFont="1" fillId="0" applyFill="1" borderId="0" applyBorder="1" xfId="0"/>
    <xf fontId="14" applyFont="1" fillId="6" applyFill="1" borderId="0" applyBorder="1" xfId="0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36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25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26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27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28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29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30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31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32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_rels/drawing33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5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>
      <c r="A650" s="0" t="str">
        <f>IFERROR(__xludf.DUMMYFUNCTION("""COMPUTED_VALUE"""),"Admin")</f>
        <v>Admin</v>
      </c>
      <c r="B650" s="0" t="str">
        <f>IFERROR(__xludf.DUMMYFUNCTION("""COMPUTED_VALUE"""),"SetMarketDataProvider")</f>
        <v>SetMarketDataProvider</v>
      </c>
      <c r="C650" s="0" t="str">
        <f>IFERROR(__xludf.DUMMYFUNCTION("""COMPUTED_VALUE"""),"11vW7fknzM8vTBH8SeRsGGkS29p8E1Xfx9205Qtc5hC4")</f>
        <v>11vW7fknzM8vTBH8SeRsGGkS29p8E1Xfx9205Qtc5hC4</v>
      </c>
    </row>
    <row r="651" ht="15.75" customHeight="1">
      <c r="A651" s="0" t="str">
        <f>IFERROR(__xludf.DUMMYFUNCTION("""COMPUTED_VALUE"""),"Admin")</f>
        <v>Admin</v>
      </c>
      <c r="B651" s="0" t="str">
        <f>IFERROR(__xludf.DUMMYFUNCTION("""COMPUTED_VALUE"""),"SetAllocationPreferences")</f>
        <v>SetAllocationPreferences</v>
      </c>
      <c r="C651" s="0" t="str">
        <f>IFERROR(__xludf.DUMMYFUNCTION("""COMPUTED_VALUE"""),"16PO4KGgITIDM3iQzFlyKHfXPBXba023pXOJQCBN_Elc")</f>
        <v>16PO4KGgITIDM3iQzFlyKHfXPBXba023pXOJQCBN_Elc</v>
      </c>
    </row>
    <row r="652" ht="15.75" customHeight="1">
      <c r="A652" s="0" t="str">
        <f>IFERROR(__xludf.DUMMYFUNCTION("""COMPUTED_VALUE"""),"TradingTicket")</f>
        <v>TradingTicket</v>
      </c>
      <c r="B652" s="0" t="str">
        <f>IFERROR(__xludf.DUMMYFUNCTION("""COMPUTED_VALUE"""),"CustomOrderTT")</f>
        <v>CustomOrderTT</v>
      </c>
      <c r="C652" s="0" t="str">
        <f>IFERROR(__xludf.DUMMYFUNCTION("""COMPUTED_VALUE"""),"1v9UMAQA-yD9UreUAgBLbyi4tqqYMESm4YnqZhD5jKvk")</f>
        <v>1v9UMAQA-yD9UreUAgBLbyi4tqqYMESm4YnqZhD5jKvk</v>
      </c>
    </row>
    <row r="653" ht="15.75" customHeight="1">
      <c r="A653" s="0" t="str">
        <f>IFERROR(__xludf.DUMMYFUNCTION("""COMPUTED_VALUE"""),"TradeServer")</f>
        <v>TradeServer</v>
      </c>
      <c r="B653" s="0" t="str">
        <f>IFERROR(__xludf.DUMMYFUNCTION("""COMPUTED_VALUE"""),"ConnectToSimAutoMan")</f>
        <v>ConnectToSimAutoMan</v>
      </c>
      <c r="C653" s="0" t="str">
        <f>IFERROR(__xludf.DUMMYFUNCTION("""COMPUTED_VALUE"""),"1kmGpZTH9xe92vT2JQhF-Njj6d_RCoVtRypLmoKTlseo")</f>
        <v>1kmGpZTH9xe92vT2JQhF-Njj6d_RCoVtRypLmoKTlseo</v>
      </c>
    </row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3000</v>
      </c>
      <c r="E6" s="33"/>
      <c r="F6" s="33"/>
      <c r="G6" s="33"/>
      <c r="H6" s="33"/>
      <c r="I6" s="33"/>
      <c r="J6" s="35">
        <v>10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18</v>
      </c>
      <c r="C7" s="33" t="s">
        <v>17</v>
      </c>
      <c r="D7" s="35">
        <v>3000</v>
      </c>
      <c r="E7" s="33"/>
      <c r="F7" s="33"/>
      <c r="G7" s="33"/>
      <c r="H7" s="33"/>
      <c r="I7" s="33"/>
      <c r="J7" s="35">
        <v>10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19</v>
      </c>
      <c r="C8" s="33" t="s">
        <v>17</v>
      </c>
      <c r="D8" s="35">
        <v>3000</v>
      </c>
      <c r="E8" s="33"/>
      <c r="F8" s="33"/>
      <c r="G8" s="33"/>
      <c r="H8" s="33"/>
      <c r="I8" s="33"/>
      <c r="J8" s="35">
        <v>10</v>
      </c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20</v>
      </c>
      <c r="C9" s="33" t="s">
        <v>21</v>
      </c>
      <c r="D9" s="35">
        <v>3000</v>
      </c>
      <c r="E9" s="33"/>
      <c r="F9" s="33"/>
      <c r="G9" s="33"/>
      <c r="H9" s="33"/>
      <c r="I9" s="33"/>
      <c r="J9" s="35">
        <v>10</v>
      </c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2" t="s">
        <v>16</v>
      </c>
      <c r="AJ6" s="33" t="s">
        <v>17</v>
      </c>
      <c r="AK6" s="33" t="s">
        <v>24</v>
      </c>
      <c r="AL6" s="36">
        <v>3000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3000</v>
      </c>
      <c r="E6" s="33"/>
      <c r="F6" s="33"/>
      <c r="G6" s="33"/>
      <c r="H6" s="33"/>
      <c r="I6" s="33"/>
      <c r="J6" s="35">
        <v>10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18</v>
      </c>
      <c r="AJ6" s="33" t="s">
        <v>17</v>
      </c>
      <c r="AK6" s="33" t="s">
        <v>24</v>
      </c>
      <c r="AL6" s="36">
        <v>3000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3" t="s">
        <v>17</v>
      </c>
      <c r="D6" s="34">
        <v>3000</v>
      </c>
      <c r="E6" s="33"/>
      <c r="F6" s="33"/>
      <c r="G6" s="33"/>
      <c r="H6" s="33"/>
      <c r="I6" s="33"/>
      <c r="J6" s="35">
        <v>10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19</v>
      </c>
      <c r="AJ6" s="33" t="s">
        <v>17</v>
      </c>
      <c r="AK6" s="33" t="s">
        <v>24</v>
      </c>
      <c r="AL6" s="36">
        <v>3000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TradeNewSubOrder2!$4:$4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3" t="s">
        <v>17</v>
      </c>
      <c r="D6" s="34">
        <v>3000</v>
      </c>
      <c r="E6" s="33"/>
      <c r="F6" s="33"/>
      <c r="G6" s="33"/>
      <c r="H6" s="33"/>
      <c r="I6" s="33"/>
      <c r="J6" s="35">
        <v>10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CreateLiveOrder2!$4:$4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 t="s">
        <v>20</v>
      </c>
      <c r="AJ6" s="33" t="s">
        <v>21</v>
      </c>
      <c r="AK6" s="33" t="s">
        <v>24</v>
      </c>
      <c r="AL6" s="36">
        <v>3000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20</v>
      </c>
      <c r="C6" s="33" t="s">
        <v>21</v>
      </c>
      <c r="D6" s="34">
        <v>3000</v>
      </c>
      <c r="E6" s="33"/>
      <c r="F6" s="33"/>
      <c r="G6" s="33"/>
      <c r="H6" s="33"/>
      <c r="I6" s="33"/>
      <c r="J6" s="35">
        <v>10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AcknowledgeTrade1!$4:$4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7" t="s">
        <v>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7" t="s">
        <v>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AcknowledgeTrade3!$4:$4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2" t="s">
        <v>16</v>
      </c>
      <c r="E6" s="33"/>
      <c r="F6" s="33" t="s">
        <v>17</v>
      </c>
      <c r="G6" s="33" t="s">
        <v>24</v>
      </c>
      <c r="H6" s="35">
        <v>3000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2" t="s">
        <v>16</v>
      </c>
      <c r="AJ6" s="33" t="s">
        <v>17</v>
      </c>
      <c r="AK6" s="32" t="s">
        <v>24</v>
      </c>
      <c r="AL6" s="36">
        <v>3000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18</v>
      </c>
      <c r="E6" s="33"/>
      <c r="F6" s="33" t="s">
        <v>17</v>
      </c>
      <c r="G6" s="33" t="s">
        <v>24</v>
      </c>
      <c r="H6" s="35">
        <v>3000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1" t="s">
        <v>18</v>
      </c>
      <c r="AJ6" s="33" t="s">
        <v>17</v>
      </c>
      <c r="AK6" s="32" t="s">
        <v>24</v>
      </c>
      <c r="AL6" s="36">
        <v>3000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19</v>
      </c>
      <c r="E6" s="33"/>
      <c r="F6" s="33" t="s">
        <v>17</v>
      </c>
      <c r="G6" s="33" t="s">
        <v>24</v>
      </c>
      <c r="H6" s="35">
        <v>3000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1" t="s">
        <v>19</v>
      </c>
      <c r="AJ6" s="33" t="s">
        <v>17</v>
      </c>
      <c r="AK6" s="32" t="s">
        <v>24</v>
      </c>
      <c r="AL6" s="36">
        <v>3000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CancelSubOrder2!$4:$4</formula1>
    </dataValidation>
  </dataValidations>
  <headerFooter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8" t="s">
        <v>20</v>
      </c>
      <c r="E6" s="33"/>
      <c r="F6" s="33" t="s">
        <v>21</v>
      </c>
      <c r="G6" s="33" t="s">
        <v>24</v>
      </c>
      <c r="H6" s="35">
        <v>3000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SelectTradeOnOrderGrid3!$4:$4</formula1>
    </dataValidation>
  </dataValidations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8" t="s">
        <v>20</v>
      </c>
      <c r="AJ6" s="33" t="s">
        <v>21</v>
      </c>
      <c r="AK6" s="32" t="s">
        <v>24</v>
      </c>
      <c r="AL6" s="36">
        <v>3000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CancelSubOrder3!$4:$4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2" t="s">
        <v>16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RejectTrade1!$4:$4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RejectTrade2!$4:$4</formula1>
    </dataValidation>
  </dataValidations>
  <headerFooter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7" t="s">
        <v>20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RejectTrade3!$4:$4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IFERROR(__xludf.DUMMYFUNCTION("""COMPUTED_VALUE"""),"% Completed")</f>
        <v>% Completed</v>
      </c>
      <c r="BD5" s="30" t="str">
        <f>IFERROR(__xludf.DUMMYFUNCTION("""COMPUTED_VALUE"""),"isRowCountCheck")</f>
        <v>isRowCountCheck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16</v>
      </c>
      <c r="C6" s="39" t="s">
        <v>17</v>
      </c>
      <c r="D6" s="34">
        <v>3000</v>
      </c>
      <c r="E6" s="40"/>
      <c r="F6" s="8"/>
      <c r="G6" s="13" t="s">
        <v>24</v>
      </c>
      <c r="H6" s="8"/>
      <c r="I6" s="8"/>
      <c r="J6" s="8"/>
      <c r="K6" s="13" t="s">
        <v>33</v>
      </c>
      <c r="L6" s="13" t="s">
        <v>34</v>
      </c>
      <c r="M6" s="8"/>
      <c r="N6" s="8"/>
      <c r="O6" s="8"/>
    </row>
    <row r="7" ht="15.75" customHeight="1">
      <c r="A7" s="8"/>
      <c r="B7" s="39" t="s">
        <v>18</v>
      </c>
      <c r="C7" s="39" t="s">
        <v>17</v>
      </c>
      <c r="D7" s="35">
        <v>3000</v>
      </c>
      <c r="E7" s="8"/>
      <c r="F7" s="8"/>
      <c r="G7" s="13" t="s">
        <v>24</v>
      </c>
      <c r="H7" s="8"/>
      <c r="I7" s="8"/>
      <c r="J7" s="8"/>
      <c r="K7" s="13" t="s">
        <v>33</v>
      </c>
      <c r="L7" s="41" t="s">
        <v>34</v>
      </c>
      <c r="M7" s="8"/>
      <c r="N7" s="8"/>
      <c r="O7" s="8"/>
    </row>
    <row r="8" ht="15.75" customHeight="1">
      <c r="A8" s="8"/>
      <c r="B8" s="39" t="s">
        <v>19</v>
      </c>
      <c r="C8" s="39" t="s">
        <v>17</v>
      </c>
      <c r="D8" s="35">
        <v>3000</v>
      </c>
      <c r="E8" s="8"/>
      <c r="F8" s="8"/>
      <c r="G8" s="13" t="s">
        <v>24</v>
      </c>
      <c r="H8" s="8"/>
      <c r="I8" s="8"/>
      <c r="J8" s="8"/>
      <c r="K8" s="13" t="s">
        <v>33</v>
      </c>
      <c r="L8" s="41" t="s">
        <v>34</v>
      </c>
      <c r="M8" s="8"/>
      <c r="N8" s="8"/>
      <c r="O8" s="8"/>
    </row>
    <row r="9" ht="15.75" customHeight="1">
      <c r="A9" s="8"/>
      <c r="B9" s="39" t="s">
        <v>20</v>
      </c>
      <c r="C9" s="39" t="s">
        <v>21</v>
      </c>
      <c r="D9" s="35">
        <v>3000</v>
      </c>
      <c r="E9" s="8"/>
      <c r="F9" s="8"/>
      <c r="G9" s="13" t="s">
        <v>24</v>
      </c>
      <c r="H9" s="8"/>
      <c r="I9" s="8"/>
      <c r="J9" s="8"/>
      <c r="K9" s="13" t="s">
        <v>33</v>
      </c>
      <c r="L9" s="41" t="s">
        <v>34</v>
      </c>
      <c r="M9" s="8"/>
      <c r="N9" s="8"/>
      <c r="O9" s="8"/>
    </row>
    <row r="10" ht="15.75" customHeight="1">
      <c r="A10" s="8"/>
      <c r="B10" s="33"/>
      <c r="C10" s="33"/>
      <c r="D10" s="33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headerFooter/>
  <drawing r:id="rId1"/>
</worksheet>
</file>