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CalculatePTT" sheetId="8" r:id="rId10"/>
    <sheet state="visible" name="VerifyPTT" sheetId="9" r:id="rId11"/>
    <sheet state="visible" name="TradePTT" sheetId="10" r:id="rId12"/>
    <sheet state="visible" name="CreateDoneAwayOrder1" sheetId="11" r:id="rId13"/>
    <sheet state="visible" name="CalculatePTT1" sheetId="12" r:id="rId14"/>
    <sheet state="visible" name="VerifyPTT1" sheetId="13" r:id="rId15"/>
    <sheet state="visible" name="TradePTT1" sheetId="14" r:id="rId16"/>
    <sheet state="visible" name="CreateDoneAwayOrder2" sheetId="15" r:id="rId17"/>
    <sheet state="visible" name="CalculatePTT2" sheetId="16" r:id="rId18"/>
    <sheet state="visible" name="VerifyPTT2" sheetId="17" r:id="rId19"/>
    <sheet state="visible" name="TradePTT2" sheetId="18" r:id="rId20"/>
    <sheet state="visible" name="CreateDoneAwayOrder3" sheetId="19" r:id="rId21"/>
    <sheet state="visible" name="CalculatePTT3" sheetId="20" r:id="rId22"/>
    <sheet state="visible" name="VerifyPTT3" sheetId="21" r:id="rId23"/>
    <sheet state="visible" name="TradePTT3" sheetId="22" r:id="rId24"/>
    <sheet state="visible" name="CreateStageOrder" sheetId="23" r:id="rId25"/>
    <sheet state="visible" name="TradeNewSubOrder" sheetId="24" r:id="rId26"/>
    <sheet state="visible" name="CreateNewSubOrder" sheetId="25" r:id="rId27"/>
    <sheet state="visible" name="TradeNewSubOrder1" sheetId="26" r:id="rId28"/>
    <sheet state="visible" name="CreateNewSubOrder1" sheetId="27" r:id="rId29"/>
    <sheet state="visible" name="SelectTradeOnOrderGrid" sheetId="28" r:id="rId30"/>
    <sheet state="visible" name="CancelSubOrder" sheetId="29" r:id="rId31"/>
    <sheet state="visible" name="SelectTradeOnOrderGrid1" sheetId="30" r:id="rId32"/>
    <sheet state="visible" name="ReplaceSubOrder" sheetId="31" r:id="rId33"/>
    <sheet state="visible" name="CreateReplaceOrder" sheetId="32" r:id="rId34"/>
    <sheet state="visible" name="CalculatePTT4" sheetId="33" r:id="rId35"/>
    <sheet state="visible" name="VerifyPTT4" sheetId="34" r:id="rId36"/>
    <sheet state="visible" name="TradePTT4" sheetId="35" r:id="rId37"/>
    <sheet state="visible" name="CreateStageOrder1" sheetId="36" r:id="rId38"/>
    <sheet state="visible" name="SetRollover" sheetId="37" r:id="rId39"/>
    <sheet state="visible" name="SelectTradeOnOrderGrid2" sheetId="38" r:id="rId40"/>
    <sheet state="visible" name="VerifyRollover" sheetId="39" r:id="rId41"/>
    <sheet state="visible" name="VerifyOrder" sheetId="40" r:id="rId42"/>
    <sheet state="visible" name="SelectTradeOnOrderGrid3" sheetId="41" r:id="rId43"/>
    <sheet state="visible" name="VerifySubOrderAfterRollover" sheetId="42" r:id="rId44"/>
    <sheet state="visible" name="SelectTradeOnOrderGrid4" sheetId="43" r:id="rId45"/>
    <sheet state="visible" name="VerifySubOrderAfterRollover1" sheetId="44" r:id="rId46"/>
    <sheet state="visible" name="SelectTradeOnOrderGrid5" sheetId="45" r:id="rId47"/>
    <sheet state="visible" name="VerifySubOrderAfterRollover2" sheetId="46" r:id="rId48"/>
  </sheets>
  <definedNames/>
  <calcPr/>
</workbook>
</file>

<file path=xl/sharedStrings.xml><?xml version="1.0" encoding="utf-8"?>
<sst xmlns="http://schemas.openxmlformats.org/spreadsheetml/2006/main" count="545" uniqueCount="60">
  <si>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</si>
  <si>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</si>
  <si>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</si>
  <si>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</si>
  <si>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</si>
  <si>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</si>
  <si>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</si>
  <si>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</si>
  <si>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</si>
  <si>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</si>
  <si>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</si>
  <si>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</si>
  <si>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</si>
  <si>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</si>
  <si>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</si>
  <si>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</si>
  <si>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</si>
  <si>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</si>
  <si>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</si>
  <si>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</si>
  <si>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</si>
  <si>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GOOG</t>
  </si>
  <si>
    <t>Buy</t>
  </si>
  <si>
    <t>Yes</t>
  </si>
  <si>
    <t>AAPL</t>
  </si>
  <si>
    <t>MSFT</t>
  </si>
  <si>
    <t>PricingInput</t>
  </si>
  <si>
    <t>PTT</t>
  </si>
  <si>
    <t>CalculatePTT</t>
  </si>
  <si>
    <t>Set</t>
  </si>
  <si>
    <t>Percentage</t>
  </si>
  <si>
    <t>No</t>
  </si>
  <si>
    <t>Account</t>
  </si>
  <si>
    <t>VerifyPTT</t>
  </si>
  <si>
    <t>TradePTT</t>
  </si>
  <si>
    <t xml:space="preserve">No	</t>
  </si>
  <si>
    <t>CreateStageOrder</t>
  </si>
  <si>
    <t>Blotter</t>
  </si>
  <si>
    <t>TradeNewSubOrder</t>
  </si>
  <si>
    <t>Equity</t>
  </si>
  <si>
    <t>Sell</t>
  </si>
  <si>
    <t>New</t>
  </si>
  <si>
    <t>MS</t>
  </si>
  <si>
    <t>Market</t>
  </si>
  <si>
    <t>CreateNewSubOrder</t>
  </si>
  <si>
    <t>PartiallyFilled</t>
  </si>
  <si>
    <t>SelectTradeOnOrderGrid</t>
  </si>
  <si>
    <t>CancelSubOrder</t>
  </si>
  <si>
    <t>ReplaceSubOrder</t>
  </si>
  <si>
    <t>CreateReplaceOrder</t>
  </si>
  <si>
    <t>Admin</t>
  </si>
  <si>
    <t>SetRollover</t>
  </si>
  <si>
    <t>US</t>
  </si>
  <si>
    <t>NASDAQ</t>
  </si>
  <si>
    <t>VerifyRollover</t>
  </si>
  <si>
    <t>RollOver</t>
  </si>
  <si>
    <t>VerifyOrder</t>
  </si>
  <si>
    <t>VerifySubOrderAfterRollover</t>
  </si>
  <si>
    <t>Cancelled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</si>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</sst>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5" fillId="0" fontId="14" numFmtId="0" xfId="0" applyAlignment="1" applyBorder="1" applyFont="1">
      <alignment vertical="bottom"/>
    </xf>
    <xf borderId="0" fillId="0" fontId="5" numFmtId="3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  <xf borderId="4" fillId="6" fontId="4" numFmtId="49" xfId="0" applyAlignment="1" applyBorder="1" applyFont="1" applyNumberFormat="1">
      <alignment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46" Type="http://schemas.openxmlformats.org/officeDocument/2006/relationships/worksheet" Target="worksheets/sheet44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48" Type="http://schemas.openxmlformats.org/officeDocument/2006/relationships/worksheet" Target="worksheets/sheet46.xml"/><Relationship Id="rId25" Type="http://schemas.openxmlformats.org/officeDocument/2006/relationships/worksheet" Target="worksheets/sheet23.xml"/><Relationship Id="rId47" Type="http://schemas.openxmlformats.org/officeDocument/2006/relationships/worksheet" Target="worksheets/sheet45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4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4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4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4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4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4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4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4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4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4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4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4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4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4.png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4.png"/></Relationships>
</file>

<file path=xl/drawings/_rels/drawing4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 t="shared" ref="B6:C6" si="1">today() -1</f>
        <v>45921</v>
      </c>
      <c r="C6" s="32">
        <f t="shared" si="1"/>
        <v>45921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17</v>
      </c>
      <c r="C6" s="36" t="s">
        <v>18</v>
      </c>
      <c r="D6" s="37">
        <v>10000.0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1000.0</v>
      </c>
      <c r="E6" s="13">
        <v>1000.0</v>
      </c>
      <c r="F6" s="13" t="s">
        <v>17</v>
      </c>
      <c r="G6" s="8"/>
      <c r="H6" s="8"/>
      <c r="I6" s="8"/>
      <c r="J6" s="13">
        <v>10.0</v>
      </c>
      <c r="K6" s="8"/>
      <c r="L6" s="8"/>
      <c r="M6" s="8"/>
      <c r="N6" s="32">
        <f t="shared" ref="N6:N8" si="1">today()</f>
        <v>45922</v>
      </c>
      <c r="O6" s="8"/>
      <c r="AQ6" s="9" t="s">
        <v>23</v>
      </c>
    </row>
    <row r="7" ht="15.75" customHeight="1">
      <c r="A7" s="8"/>
      <c r="B7" s="13" t="s">
        <v>24</v>
      </c>
      <c r="C7" s="13" t="s">
        <v>22</v>
      </c>
      <c r="D7" s="13">
        <v>1000.0</v>
      </c>
      <c r="E7" s="13">
        <v>1000.0</v>
      </c>
      <c r="F7" s="13" t="s">
        <v>17</v>
      </c>
      <c r="G7" s="8"/>
      <c r="H7" s="8"/>
      <c r="I7" s="8"/>
      <c r="J7" s="13">
        <v>10.0</v>
      </c>
      <c r="K7" s="8"/>
      <c r="L7" s="8"/>
      <c r="M7" s="8"/>
      <c r="N7" s="32">
        <f t="shared" si="1"/>
        <v>45922</v>
      </c>
      <c r="O7" s="8"/>
      <c r="AQ7" s="9" t="s">
        <v>23</v>
      </c>
    </row>
    <row r="8" ht="15.75" customHeight="1">
      <c r="A8" s="8"/>
      <c r="B8" s="13" t="s">
        <v>25</v>
      </c>
      <c r="C8" s="13" t="s">
        <v>22</v>
      </c>
      <c r="D8" s="13">
        <v>1000.0</v>
      </c>
      <c r="E8" s="13">
        <v>1000.0</v>
      </c>
      <c r="F8" s="13" t="s">
        <v>17</v>
      </c>
      <c r="G8" s="8"/>
      <c r="H8" s="8"/>
      <c r="I8" s="8"/>
      <c r="J8" s="13">
        <v>10.0</v>
      </c>
      <c r="K8" s="8"/>
      <c r="L8" s="8"/>
      <c r="M8" s="8"/>
      <c r="N8" s="32">
        <f t="shared" si="1"/>
        <v>45922</v>
      </c>
      <c r="O8" s="8"/>
      <c r="AQ8" s="9" t="s">
        <v>23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10.0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25</v>
      </c>
      <c r="C8" s="13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29</v>
      </c>
      <c r="D6" s="40" t="s">
        <v>30</v>
      </c>
      <c r="E6" s="13">
        <v>0.0</v>
      </c>
      <c r="F6" s="13">
        <v>10.0</v>
      </c>
      <c r="G6" s="41" t="s">
        <v>31</v>
      </c>
      <c r="H6" s="41" t="s">
        <v>32</v>
      </c>
      <c r="I6" s="13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>
        <v>10000.0</v>
      </c>
      <c r="D6" s="42">
        <v>1000.0</v>
      </c>
      <c r="E6" s="13">
        <v>10000.0</v>
      </c>
      <c r="F6" s="13">
        <v>100.0</v>
      </c>
      <c r="G6" s="13">
        <v>-100.0</v>
      </c>
      <c r="H6" s="13">
        <v>0.0</v>
      </c>
      <c r="I6" s="13">
        <v>1000.0</v>
      </c>
      <c r="J6" s="13">
        <v>0.0</v>
      </c>
      <c r="K6" s="13">
        <v>0.0</v>
      </c>
      <c r="L6" s="13">
        <v>100.0</v>
      </c>
      <c r="M6" s="13">
        <v>1.0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29</v>
      </c>
      <c r="D6" s="9" t="s">
        <v>30</v>
      </c>
      <c r="E6" s="13">
        <v>0.0</v>
      </c>
      <c r="F6" s="13">
        <v>10.0</v>
      </c>
      <c r="G6" s="13" t="s">
        <v>35</v>
      </c>
      <c r="H6" s="9" t="s">
        <v>32</v>
      </c>
      <c r="I6" s="13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/>
      <c r="D6" s="13">
        <v>100.0</v>
      </c>
      <c r="E6" s="13">
        <v>0.0</v>
      </c>
      <c r="F6" s="13" t="s">
        <v>17</v>
      </c>
      <c r="G6" s="8"/>
      <c r="H6" s="8"/>
      <c r="I6" s="8"/>
      <c r="J6" s="13">
        <v>20.0</v>
      </c>
      <c r="K6" s="8"/>
      <c r="L6" s="8"/>
      <c r="M6" s="8"/>
      <c r="N6" s="32">
        <f>TODAY()</f>
        <v>45922</v>
      </c>
      <c r="O6" s="8"/>
      <c r="AQ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29</v>
      </c>
      <c r="D6" s="40" t="s">
        <v>30</v>
      </c>
      <c r="E6" s="13">
        <v>0.0</v>
      </c>
      <c r="F6" s="13">
        <v>10.0</v>
      </c>
      <c r="G6" s="41" t="s">
        <v>31</v>
      </c>
      <c r="H6" s="41" t="s">
        <v>32</v>
      </c>
      <c r="I6" s="13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>
        <v>10000.0</v>
      </c>
      <c r="D6" s="42">
        <v>1000.0</v>
      </c>
      <c r="E6" s="13">
        <v>10000.0</v>
      </c>
      <c r="F6" s="13">
        <v>100.0</v>
      </c>
      <c r="G6" s="13">
        <v>-100.0</v>
      </c>
      <c r="H6" s="13">
        <v>0.0</v>
      </c>
      <c r="I6" s="13">
        <v>1000.0</v>
      </c>
      <c r="J6" s="13">
        <v>0.0</v>
      </c>
      <c r="K6" s="13">
        <v>0.0</v>
      </c>
      <c r="L6" s="13">
        <v>100.0</v>
      </c>
      <c r="M6" s="13">
        <v>1.0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29</v>
      </c>
      <c r="D6" s="40" t="s">
        <v>30</v>
      </c>
      <c r="E6" s="13">
        <v>0.0</v>
      </c>
      <c r="F6" s="13">
        <v>10.0</v>
      </c>
      <c r="G6" s="41" t="s">
        <v>31</v>
      </c>
      <c r="H6" s="41" t="s">
        <v>32</v>
      </c>
      <c r="I6" s="13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>
        <v>200.0</v>
      </c>
      <c r="E6" s="13">
        <v>100.0</v>
      </c>
      <c r="F6" s="13" t="s">
        <v>17</v>
      </c>
      <c r="G6" s="8"/>
      <c r="H6" s="8"/>
      <c r="I6" s="8"/>
      <c r="J6" s="13">
        <v>10.0</v>
      </c>
      <c r="K6" s="8"/>
      <c r="L6" s="8"/>
      <c r="M6" s="8"/>
      <c r="N6" s="8"/>
      <c r="O6" s="8"/>
      <c r="AQ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29</v>
      </c>
      <c r="D6" s="40" t="s">
        <v>30</v>
      </c>
      <c r="E6" s="13">
        <v>0.0</v>
      </c>
      <c r="F6" s="13">
        <v>10.0</v>
      </c>
      <c r="G6" s="41" t="s">
        <v>31</v>
      </c>
      <c r="H6" s="41" t="s">
        <v>32</v>
      </c>
      <c r="I6" s="13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>
        <v>10000.0</v>
      </c>
      <c r="D6" s="42">
        <v>900.0</v>
      </c>
      <c r="E6" s="13">
        <v>9000.0</v>
      </c>
      <c r="F6" s="13">
        <v>90.0</v>
      </c>
      <c r="G6" s="13">
        <v>-90.0</v>
      </c>
      <c r="H6" s="13">
        <v>0.0</v>
      </c>
      <c r="I6" s="13">
        <v>900.0</v>
      </c>
      <c r="J6" s="13">
        <v>0.0</v>
      </c>
      <c r="K6" s="13">
        <v>0.0</v>
      </c>
      <c r="L6" s="13">
        <v>100.0</v>
      </c>
      <c r="M6" s="13">
        <v>1.0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29</v>
      </c>
      <c r="D6" s="40" t="s">
        <v>30</v>
      </c>
      <c r="E6" s="13">
        <v>0.0</v>
      </c>
      <c r="F6" s="13">
        <v>10.0</v>
      </c>
      <c r="G6" s="41" t="s">
        <v>31</v>
      </c>
      <c r="H6" s="41" t="s">
        <v>32</v>
      </c>
      <c r="I6" s="13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>
        <v>300.0</v>
      </c>
      <c r="E6" s="13">
        <v>300.0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Q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29</v>
      </c>
      <c r="D6" s="40" t="s">
        <v>30</v>
      </c>
      <c r="E6" s="13">
        <v>0.0</v>
      </c>
      <c r="F6" s="13">
        <v>10.0</v>
      </c>
      <c r="G6" s="41" t="s">
        <v>31</v>
      </c>
      <c r="H6" s="41" t="s">
        <v>32</v>
      </c>
      <c r="I6" s="13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>
        <v>10000.0</v>
      </c>
      <c r="D6" s="42">
        <v>1000.0</v>
      </c>
      <c r="E6" s="13">
        <v>10000.0</v>
      </c>
      <c r="F6" s="13">
        <v>100.0</v>
      </c>
      <c r="G6" s="13">
        <v>-100.0</v>
      </c>
      <c r="H6" s="13">
        <v>0.0</v>
      </c>
      <c r="I6" s="13">
        <v>1000.0</v>
      </c>
      <c r="J6" s="13">
        <v>0.0</v>
      </c>
      <c r="K6" s="13">
        <v>0.0</v>
      </c>
      <c r="L6" s="13">
        <v>100.0</v>
      </c>
      <c r="M6" s="13">
        <v>1.0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29</v>
      </c>
      <c r="D6" s="9" t="s">
        <v>30</v>
      </c>
      <c r="E6" s="13">
        <v>0.0</v>
      </c>
      <c r="F6" s="13">
        <v>10.0</v>
      </c>
      <c r="G6" s="13" t="s">
        <v>35</v>
      </c>
      <c r="H6" s="9" t="s">
        <v>32</v>
      </c>
      <c r="I6" s="13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/>
      <c r="D6" s="9">
        <v>1000.0</v>
      </c>
      <c r="E6" s="13">
        <v>1000.0</v>
      </c>
      <c r="F6" s="13"/>
      <c r="G6" s="13"/>
      <c r="I6" s="13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39</v>
      </c>
      <c r="AI6" s="9" t="s">
        <v>24</v>
      </c>
      <c r="AJ6" s="9" t="s">
        <v>40</v>
      </c>
      <c r="AK6" s="9" t="s">
        <v>41</v>
      </c>
      <c r="AL6" s="43">
        <v>1000.0</v>
      </c>
      <c r="AS6" s="9" t="s">
        <v>42</v>
      </c>
      <c r="AT6" s="9" t="s">
        <v>17</v>
      </c>
      <c r="AU6" s="9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200.0</v>
      </c>
      <c r="E6" s="13">
        <v>100.0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S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39</v>
      </c>
      <c r="AI6" s="9" t="s">
        <v>24</v>
      </c>
      <c r="AJ6" s="9" t="s">
        <v>40</v>
      </c>
      <c r="AK6" s="9" t="s">
        <v>45</v>
      </c>
      <c r="AL6" s="43">
        <v>1000.0</v>
      </c>
      <c r="AS6" s="9" t="s">
        <v>42</v>
      </c>
      <c r="AT6" s="9" t="s">
        <v>17</v>
      </c>
      <c r="AU6" s="9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400.0</v>
      </c>
      <c r="E6" s="13">
        <v>200.0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S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24</v>
      </c>
      <c r="E6" s="33"/>
      <c r="F6" s="13" t="s">
        <v>40</v>
      </c>
      <c r="G6" s="13" t="s">
        <v>45</v>
      </c>
      <c r="H6" s="43">
        <v>1000.0</v>
      </c>
      <c r="I6" s="13">
        <v>300.0</v>
      </c>
      <c r="J6" s="8"/>
      <c r="K6" s="8"/>
      <c r="L6" s="8"/>
      <c r="M6" s="8"/>
      <c r="N6" s="8"/>
      <c r="O6" s="8"/>
      <c r="Q6" s="9" t="s">
        <v>42</v>
      </c>
      <c r="R6" s="9" t="s">
        <v>17</v>
      </c>
      <c r="T6" s="9" t="s">
        <v>43</v>
      </c>
      <c r="AF6" s="9" t="s">
        <v>39</v>
      </c>
      <c r="AP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3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39</v>
      </c>
      <c r="AI6" s="9" t="s">
        <v>24</v>
      </c>
      <c r="AJ6" s="9" t="s">
        <v>40</v>
      </c>
      <c r="AK6" s="9" t="s">
        <v>45</v>
      </c>
      <c r="AL6" s="9">
        <v>200.0</v>
      </c>
      <c r="AM6" s="9">
        <v>100.0</v>
      </c>
      <c r="AS6" s="9" t="s">
        <v>42</v>
      </c>
      <c r="AT6" s="9" t="s">
        <v>17</v>
      </c>
      <c r="AU6" s="9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24</v>
      </c>
      <c r="E6" s="33"/>
      <c r="F6" s="13" t="s">
        <v>40</v>
      </c>
      <c r="G6" s="13" t="s">
        <v>45</v>
      </c>
      <c r="H6" s="43">
        <v>1000.0</v>
      </c>
      <c r="I6" s="13">
        <v>300.0</v>
      </c>
      <c r="J6" s="8"/>
      <c r="K6" s="8"/>
      <c r="L6" s="8"/>
      <c r="M6" s="8"/>
      <c r="N6" s="8"/>
      <c r="O6" s="8"/>
      <c r="Q6" s="9" t="s">
        <v>42</v>
      </c>
      <c r="R6" s="9" t="s">
        <v>17</v>
      </c>
      <c r="T6" s="9" t="s">
        <v>43</v>
      </c>
      <c r="AF6" s="9" t="s">
        <v>39</v>
      </c>
      <c r="AP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3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  <c r="AE6" s="9">
        <v>1.0</v>
      </c>
      <c r="AI6" s="9" t="s">
        <v>39</v>
      </c>
      <c r="AJ6" s="9" t="s">
        <v>24</v>
      </c>
      <c r="AK6" s="9" t="s">
        <v>40</v>
      </c>
      <c r="AL6" s="9" t="s">
        <v>45</v>
      </c>
      <c r="AM6" s="9">
        <v>400.0</v>
      </c>
      <c r="AN6" s="9">
        <v>200.0</v>
      </c>
      <c r="AT6" s="9" t="s">
        <v>42</v>
      </c>
      <c r="AU6" s="9" t="s">
        <v>17</v>
      </c>
      <c r="AV6" s="9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1200.0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O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29</v>
      </c>
      <c r="D6" s="40" t="s">
        <v>30</v>
      </c>
      <c r="E6" s="13">
        <v>0.0</v>
      </c>
      <c r="F6" s="13">
        <v>10.0</v>
      </c>
      <c r="G6" s="41" t="s">
        <v>31</v>
      </c>
      <c r="H6" s="41" t="s">
        <v>32</v>
      </c>
      <c r="I6" s="13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CalculatePTT4!$4:$4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>
        <v>10000.0</v>
      </c>
      <c r="D6" s="42">
        <v>1000.0</v>
      </c>
      <c r="E6" s="13">
        <v>10000.0</v>
      </c>
      <c r="F6" s="13">
        <v>100.0</v>
      </c>
      <c r="G6" s="13">
        <v>-100.0</v>
      </c>
      <c r="H6" s="13">
        <v>0.0</v>
      </c>
      <c r="I6" s="13">
        <v>1000.0</v>
      </c>
      <c r="J6" s="13">
        <v>0.0</v>
      </c>
      <c r="K6" s="13">
        <v>0.0</v>
      </c>
      <c r="L6" s="13">
        <v>100.0</v>
      </c>
      <c r="M6" s="13">
        <v>1.0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29</v>
      </c>
      <c r="D6" s="9" t="s">
        <v>30</v>
      </c>
      <c r="E6" s="13">
        <v>0.0</v>
      </c>
      <c r="F6" s="13">
        <v>10.0</v>
      </c>
      <c r="G6" s="13" t="s">
        <v>35</v>
      </c>
      <c r="H6" s="9" t="s">
        <v>32</v>
      </c>
      <c r="I6" s="13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TradePTT4!$4:$4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>
        <v>1000.0</v>
      </c>
      <c r="E6" s="13">
        <v>1000.0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IFERROR(__xludf.DUMMYFUNCTION("""COMPUTED_VALUE"""),"AssetName")</f>
        <v>AssetName</v>
      </c>
      <c r="C5" s="28" t="str">
        <f>IFERROR(__xludf.DUMMYFUNCTION("""COMPUTED_VALUE"""),"UnderLyingName")</f>
        <v>UnderLyingName</v>
      </c>
      <c r="D5" s="28" t="str">
        <f>IFERROR(__xludf.DUMMYFUNCTION("""COMPUTED_VALUE"""),"DisplayName")</f>
        <v>DisplayName</v>
      </c>
      <c r="E5" s="44" t="str">
        <f>IFERROR(__xludf.DUMMYFUNCTION("""COMPUTED_VALUE"""),"ClearanceTime")</f>
        <v>ClearanceTime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5" t="s">
        <v>39</v>
      </c>
      <c r="C6" s="36" t="s">
        <v>52</v>
      </c>
      <c r="D6" s="35" t="s">
        <v>53</v>
      </c>
      <c r="E6" s="46">
        <v>3.0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21</v>
      </c>
      <c r="E6" s="33"/>
      <c r="F6" s="13" t="s">
        <v>40</v>
      </c>
      <c r="G6" s="13" t="s">
        <v>41</v>
      </c>
      <c r="H6" s="13">
        <v>100.0</v>
      </c>
      <c r="I6" s="8"/>
      <c r="J6" s="8"/>
      <c r="K6" s="8"/>
      <c r="L6" s="13">
        <v>100.0</v>
      </c>
      <c r="M6" s="8"/>
      <c r="N6" s="8"/>
      <c r="O6" s="8"/>
      <c r="Q6" s="9" t="s">
        <v>42</v>
      </c>
      <c r="R6" s="9" t="s">
        <v>17</v>
      </c>
      <c r="AF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33"/>
      <c r="F6" s="8"/>
      <c r="G6" s="13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39</v>
      </c>
      <c r="AI6" s="9" t="s">
        <v>21</v>
      </c>
      <c r="AJ6" s="9" t="s">
        <v>40</v>
      </c>
      <c r="AK6" s="9" t="s">
        <v>41</v>
      </c>
      <c r="AL6" s="9">
        <v>100.0</v>
      </c>
      <c r="AO6" s="9">
        <v>0.0</v>
      </c>
      <c r="AP6" s="9">
        <v>0.0</v>
      </c>
      <c r="AQ6" s="9" t="s">
        <v>42</v>
      </c>
      <c r="AR6" s="9" t="s">
        <v>17</v>
      </c>
      <c r="AS6" s="9" t="s">
        <v>43</v>
      </c>
      <c r="AW6" s="9" t="s">
        <v>55</v>
      </c>
      <c r="AX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39</v>
      </c>
      <c r="AI6" s="9" t="s">
        <v>24</v>
      </c>
      <c r="AJ6" s="9" t="s">
        <v>40</v>
      </c>
      <c r="AK6" s="9" t="s">
        <v>45</v>
      </c>
      <c r="AL6" s="43">
        <v>1000.0</v>
      </c>
      <c r="AM6" s="9">
        <v>300.0</v>
      </c>
      <c r="AP6" s="43">
        <v>700.0</v>
      </c>
      <c r="AQ6" s="9">
        <v>0.0</v>
      </c>
      <c r="AR6" s="9">
        <v>10.0</v>
      </c>
      <c r="AS6" s="9" t="s">
        <v>42</v>
      </c>
      <c r="AT6" s="9" t="s">
        <v>17</v>
      </c>
      <c r="AU6" s="9" t="s">
        <v>43</v>
      </c>
      <c r="AY6" s="43">
        <v>1000.0</v>
      </c>
      <c r="AZ6" s="9">
        <v>1000.0</v>
      </c>
    </row>
    <row r="7" ht="15.75" customHeight="1">
      <c r="A7" s="8"/>
      <c r="B7" s="8"/>
      <c r="C7" s="8"/>
      <c r="D7" s="13">
        <v>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H7" s="9" t="s">
        <v>39</v>
      </c>
      <c r="AI7" s="9" t="s">
        <v>21</v>
      </c>
      <c r="AJ7" s="9" t="s">
        <v>40</v>
      </c>
      <c r="AK7" s="9" t="s">
        <v>41</v>
      </c>
      <c r="AL7" s="9">
        <v>100.0</v>
      </c>
      <c r="AP7" s="9">
        <v>100.0</v>
      </c>
      <c r="AQ7" s="9">
        <v>0.0</v>
      </c>
      <c r="AR7" s="9">
        <v>0.0</v>
      </c>
      <c r="AS7" s="9" t="s">
        <v>42</v>
      </c>
      <c r="AT7" s="9" t="s">
        <v>17</v>
      </c>
      <c r="AU7" s="9" t="s">
        <v>43</v>
      </c>
      <c r="AY7" s="9">
        <v>100.0</v>
      </c>
      <c r="AZ7" s="9">
        <v>100.0</v>
      </c>
    </row>
    <row r="8" ht="15.75" customHeight="1">
      <c r="A8" s="8"/>
      <c r="B8" s="8"/>
      <c r="C8" s="8"/>
      <c r="D8" s="13">
        <v>10.0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D8" s="9">
        <v>1.0</v>
      </c>
      <c r="AH8" s="9" t="s">
        <v>39</v>
      </c>
      <c r="AI8" s="9" t="s">
        <v>21</v>
      </c>
      <c r="AJ8" s="9" t="s">
        <v>40</v>
      </c>
      <c r="AK8" s="9" t="s">
        <v>45</v>
      </c>
      <c r="AL8" s="9">
        <v>200.0</v>
      </c>
      <c r="AM8" s="9">
        <v>100.0</v>
      </c>
      <c r="AP8" s="9">
        <v>100.0</v>
      </c>
      <c r="AQ8" s="9">
        <v>0.0</v>
      </c>
      <c r="AR8" s="9">
        <v>10.0</v>
      </c>
      <c r="AS8" s="9" t="s">
        <v>42</v>
      </c>
      <c r="AT8" s="9" t="s">
        <v>17</v>
      </c>
      <c r="AU8" s="9" t="s">
        <v>43</v>
      </c>
      <c r="AY8" s="9">
        <v>100.0</v>
      </c>
      <c r="AZ8" s="9">
        <v>100.0</v>
      </c>
    </row>
    <row r="9" ht="15.75" customHeight="1">
      <c r="A9" s="8"/>
      <c r="B9" s="8"/>
      <c r="C9" s="8"/>
      <c r="D9" s="13">
        <v>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D9" s="9">
        <v>1.0</v>
      </c>
      <c r="AH9" s="9" t="s">
        <v>39</v>
      </c>
      <c r="AI9" s="9" t="s">
        <v>25</v>
      </c>
      <c r="AJ9" s="9" t="s">
        <v>40</v>
      </c>
      <c r="AK9" s="9" t="s">
        <v>41</v>
      </c>
      <c r="AL9" s="43">
        <v>1000.0</v>
      </c>
      <c r="AP9" s="43">
        <v>1000.0</v>
      </c>
      <c r="AQ9" s="9">
        <v>0.0</v>
      </c>
      <c r="AR9" s="9">
        <v>0.0</v>
      </c>
      <c r="AS9" s="9" t="s">
        <v>42</v>
      </c>
      <c r="AT9" s="9" t="s">
        <v>17</v>
      </c>
      <c r="AU9" s="9" t="s">
        <v>43</v>
      </c>
      <c r="AY9" s="43">
        <v>1000.0</v>
      </c>
      <c r="AZ9" s="9">
        <v>1000.0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21</v>
      </c>
      <c r="E6" s="33"/>
      <c r="F6" s="13" t="s">
        <v>40</v>
      </c>
      <c r="G6" s="13" t="s">
        <v>41</v>
      </c>
      <c r="H6" s="13">
        <v>100.0</v>
      </c>
      <c r="I6" s="8"/>
      <c r="J6" s="8"/>
      <c r="K6" s="8"/>
      <c r="L6" s="13">
        <v>100.0</v>
      </c>
      <c r="M6" s="8"/>
      <c r="N6" s="8"/>
      <c r="O6" s="8"/>
      <c r="Q6" s="9" t="s">
        <v>42</v>
      </c>
      <c r="R6" s="9" t="s">
        <v>17</v>
      </c>
      <c r="AF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33"/>
      <c r="F6" s="8"/>
      <c r="G6" s="13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39</v>
      </c>
      <c r="AI6" s="9" t="s">
        <v>21</v>
      </c>
      <c r="AJ6" s="9" t="s">
        <v>40</v>
      </c>
      <c r="AK6" s="9" t="s">
        <v>41</v>
      </c>
      <c r="AL6" s="9">
        <v>100.0</v>
      </c>
      <c r="AO6" s="9">
        <v>0.0</v>
      </c>
      <c r="AP6" s="9">
        <v>0.0</v>
      </c>
      <c r="AQ6" s="9" t="s">
        <v>42</v>
      </c>
      <c r="AR6" s="9" t="s">
        <v>17</v>
      </c>
      <c r="AS6" s="9" t="s">
        <v>43</v>
      </c>
      <c r="AW6" s="9" t="s">
        <v>55</v>
      </c>
      <c r="AX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VerifySubOrderAfterRollover!$4:$4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21</v>
      </c>
      <c r="E6" s="33"/>
      <c r="F6" s="13" t="s">
        <v>40</v>
      </c>
      <c r="G6" s="13" t="s">
        <v>45</v>
      </c>
      <c r="H6" s="13">
        <v>200.0</v>
      </c>
      <c r="I6" s="13">
        <v>100.0</v>
      </c>
      <c r="J6" s="8"/>
      <c r="K6" s="8"/>
      <c r="L6" s="8"/>
      <c r="M6" s="8"/>
      <c r="N6" s="8"/>
      <c r="O6" s="8"/>
      <c r="Q6" s="9" t="s">
        <v>42</v>
      </c>
      <c r="R6" s="9" t="s">
        <v>17</v>
      </c>
      <c r="AF6" s="9" t="s">
        <v>39</v>
      </c>
      <c r="AP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SelectTradeOnOrderGrid4!$4:$4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39</v>
      </c>
      <c r="AI6" s="9" t="s">
        <v>21</v>
      </c>
      <c r="AJ6" s="9" t="s">
        <v>40</v>
      </c>
      <c r="AK6" s="9" t="s">
        <v>45</v>
      </c>
      <c r="AL6" s="9">
        <v>200.0</v>
      </c>
      <c r="AM6" s="9">
        <v>100.0</v>
      </c>
      <c r="AO6" s="9">
        <v>0.0</v>
      </c>
      <c r="AP6" s="9">
        <v>10.0</v>
      </c>
      <c r="AQ6" s="9" t="s">
        <v>42</v>
      </c>
      <c r="AR6" s="9" t="s">
        <v>17</v>
      </c>
      <c r="AS6" s="9" t="s">
        <v>43</v>
      </c>
      <c r="AW6" s="9" t="s">
        <v>55</v>
      </c>
      <c r="AX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VerifySubOrderAfterRollover1!$4:$4</formula1>
    </dataValidation>
  </dataValidation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8"/>
      <c r="D6" s="13" t="s">
        <v>24</v>
      </c>
      <c r="E6" s="33"/>
      <c r="F6" s="13" t="s">
        <v>40</v>
      </c>
      <c r="G6" s="13" t="s">
        <v>45</v>
      </c>
      <c r="H6" s="42">
        <v>1000.0</v>
      </c>
      <c r="I6" s="8"/>
      <c r="J6" s="8"/>
      <c r="K6" s="8"/>
      <c r="L6" s="8"/>
      <c r="M6" s="8"/>
      <c r="N6" s="8"/>
      <c r="O6" s="8"/>
      <c r="Q6" s="9" t="s">
        <v>42</v>
      </c>
      <c r="R6" s="9" t="s">
        <v>17</v>
      </c>
      <c r="T6" s="9" t="s">
        <v>43</v>
      </c>
      <c r="AF6" s="9" t="s">
        <v>39</v>
      </c>
      <c r="AP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39</v>
      </c>
      <c r="AI6" s="9" t="s">
        <v>24</v>
      </c>
      <c r="AJ6" s="9" t="s">
        <v>40</v>
      </c>
      <c r="AK6" s="9" t="s">
        <v>58</v>
      </c>
      <c r="AL6" s="9">
        <v>200.0</v>
      </c>
      <c r="AM6" s="9">
        <v>100.0</v>
      </c>
      <c r="AQ6" s="9" t="s">
        <v>42</v>
      </c>
      <c r="AR6" s="9" t="s">
        <v>17</v>
      </c>
      <c r="AS6" s="9" t="s">
        <v>43</v>
      </c>
      <c r="AW6" s="9" t="s">
        <v>58</v>
      </c>
      <c r="AX6" s="9">
        <v>100.0</v>
      </c>
    </row>
    <row r="7" ht="15.75" customHeight="1">
      <c r="A7" s="8"/>
      <c r="B7" s="8"/>
      <c r="C7" s="8"/>
      <c r="D7" s="13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H7" s="9" t="s">
        <v>39</v>
      </c>
      <c r="AI7" s="9" t="s">
        <v>24</v>
      </c>
      <c r="AJ7" s="9" t="s">
        <v>40</v>
      </c>
      <c r="AK7" s="9" t="s">
        <v>59</v>
      </c>
      <c r="AL7" s="43">
        <v>1200.0</v>
      </c>
      <c r="AM7" s="9">
        <v>200.0</v>
      </c>
      <c r="AQ7" s="9" t="s">
        <v>42</v>
      </c>
      <c r="AR7" s="9" t="s">
        <v>17</v>
      </c>
      <c r="AS7" s="9" t="s">
        <v>43</v>
      </c>
      <c r="AW7" s="9" t="s">
        <v>55</v>
      </c>
      <c r="AX7" s="9">
        <v>1000.0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VerifySubOrderAfterRollover2!$4:$4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