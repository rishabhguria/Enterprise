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Import" sheetId="4" r:id="rId6"/>
    <sheet state="visible" name="ValidateImportPositions" sheetId="5" r:id="rId7"/>
    <sheet state="visible" name="GetDataAllocation" sheetId="6" r:id="rId8"/>
    <sheet state="visible" name="GetForexConversion" sheetId="7" r:id="rId9"/>
    <sheet state="visible" name="UpdateForexConversion" sheetId="8" r:id="rId10"/>
    <sheet state="visible" name="GetDataClosing" sheetId="9" r:id="rId11"/>
    <sheet state="visible" name="VerifyLongPositionsGrid" sheetId="10" r:id="rId12"/>
    <sheet state="visible" name="SelectAllOnImport" sheetId="11" r:id="rId13"/>
  </sheets>
  <definedNames/>
  <calcPr/>
</workbook>
</file>

<file path=xl/sharedStrings.xml><?xml version="1.0" encoding="utf-8"?>
<sst xmlns="http://schemas.openxmlformats.org/spreadsheetml/2006/main" count="96" uniqueCount="38">
  <si>
    <t>Modules Info</t>
  </si>
  <si>
    <t>Modules</t>
  </si>
  <si>
    <t>Settings</t>
  </si>
  <si>
    <t>Module Step Setting File</t>
  </si>
  <si>
    <t>1zLC2_XjbohxbVZGZgSebGI80QC6jvANPsgOkkJYVWcM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</si>
  <si>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</si>
  <si>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</si>
  <si>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</si>
  <si>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</si>
  <si>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</si>
  <si>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</si>
  <si>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</si>
  <si>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Import</t>
  </si>
  <si>
    <t>Data Format</t>
  </si>
  <si>
    <t>Input Format</t>
  </si>
  <si>
    <t>Allocation1</t>
  </si>
  <si>
    <t>\\192.168.2.108\DistributedAutomation_SlaveWithRead\Import\Trades.csv</t>
  </si>
  <si>
    <t>FIMAT</t>
  </si>
  <si>
    <t>Transaction</t>
  </si>
  <si>
    <t>Continue</t>
  </si>
  <si>
    <t>Abort</t>
  </si>
  <si>
    <t>Security Master</t>
  </si>
  <si>
    <t>Allocation</t>
  </si>
  <si>
    <t>GetDataAllocation</t>
  </si>
  <si>
    <t>Current</t>
  </si>
  <si>
    <t>DailyValuation</t>
  </si>
  <si>
    <t>GetForexConversion</t>
  </si>
  <si>
    <t>UpdateForexConversion</t>
  </si>
  <si>
    <t>EUR</t>
  </si>
  <si>
    <t>USD</t>
  </si>
  <si>
    <t>Closing</t>
  </si>
  <si>
    <t>GetDataClosing</t>
  </si>
  <si>
    <t>VerifyLongPositionsGrid</t>
  </si>
  <si>
    <t>Equity</t>
  </si>
  <si>
    <t>Buy</t>
  </si>
  <si>
    <t>MSFT</t>
  </si>
  <si>
    <t>BMW-FRA</t>
  </si>
  <si>
    <t>SelectAllOnImport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</si>
</sst>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shrinkToFit="0" wrapText="0"/>
    </xf>
    <xf borderId="0" fillId="0" fontId="13" numFmtId="164" xfId="0" applyAlignment="1" applyFont="1" applyNumberFormat="1">
      <alignment horizontal="right" readingOrder="0" shrinkToFit="0" wrapText="0"/>
    </xf>
    <xf borderId="0" fillId="0" fontId="5" numFmtId="0" xfId="0" applyAlignment="1" applyFont="1">
      <alignment readingOrder="0" shrinkToFit="0" wrapText="0"/>
    </xf>
    <xf borderId="0" fillId="0" fontId="13" numFmtId="0" xfId="0" applyAlignment="1" applyFont="1">
      <alignment horizontal="right" readingOrder="0" shrinkToFit="0" wrapText="0"/>
    </xf>
    <xf borderId="0" fillId="0" fontId="13" numFmtId="0" xfId="0" applyAlignment="1" applyFont="1">
      <alignment readingOrder="0" shrinkToFit="0" wrapText="0"/>
    </xf>
    <xf borderId="0" fillId="6" fontId="14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51.63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12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IFERROR(__xludf.DUMMYFUNCTION("IF(C3="""","""",Transpose(IMPORTRANGE('_Settings'!$B$3,C3&amp;""!A4:A1000"")))"),"Import")</f>
        <v>Import</v>
      </c>
      <c r="C4" s="24" t="str">
        <f>IFERROR(__xludf.DUMMYFUNCTION("""COMPUTED_VALUE"""),"SelectTradeOnImport")</f>
        <v>SelectTradeOnImport</v>
      </c>
      <c r="D4" s="24" t="str">
        <f>IFERROR(__xludf.DUMMYFUNCTION("""COMPUTED_VALUE"""),"ApplyFilterOnImport")</f>
        <v>ApplyFilterOnImport</v>
      </c>
      <c r="E4" s="24" t="str">
        <f>IFERROR(__xludf.DUMMYFUNCTION("""COMPUTED_VALUE"""),"SelectActivitiesImportType")</f>
        <v>SelectActivitiesImportType</v>
      </c>
      <c r="F4" s="24" t="str">
        <f>IFERROR(__xludf.DUMMYFUNCTION("""COMPUTED_VALUE"""),"SelectDoubleEntryCashImportType")</f>
        <v>SelectDoubleEntryCashImportType</v>
      </c>
      <c r="G4" s="24" t="str">
        <f>IFERROR(__xludf.DUMMYFUNCTION("""COMPUTED_VALUE"""),"SelectForexImportType")</f>
        <v>SelectForexImportType</v>
      </c>
      <c r="H4" s="24" t="str">
        <f>IFERROR(__xludf.DUMMYFUNCTION("""COMPUTED_VALUE"""),"SelectMarkPriceImportType")</f>
        <v>SelectMarkPriceImportType</v>
      </c>
      <c r="I4" s="24" t="str">
        <f>IFERROR(__xludf.DUMMYFUNCTION("""COMPUTED_VALUE"""),"SelectAllOnImport")</f>
        <v>SelectAllOnImport</v>
      </c>
      <c r="J4" s="24" t="str">
        <f>IFERROR(__xludf.DUMMYFUNCTION("""COMPUTED_VALUE"""),"SelectTransactionImportType")</f>
        <v>SelectTransactionImportType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IFERROR(__xludf.DUMMYFUNCTION("""COMPUTED_VALUE"""),"Select Date")</f>
        <v>Select Date</v>
      </c>
      <c r="D5" s="27" t="str">
        <f>IFERROR(__xludf.DUMMYFUNCTION("""COMPUTED_VALUE"""),"Date")</f>
        <v>Date</v>
      </c>
      <c r="E5" s="27" t="str">
        <f>IFERROR(__xludf.DUMMYFUNCTION("""COMPUTED_VALUE"""),"Select File")</f>
        <v>Select File</v>
      </c>
      <c r="F5" s="28" t="str">
        <f>IFERROR(__xludf.DUMMYFUNCTION("""COMPUTED_VALUE"""),"Upload ThirdParty")</f>
        <v>Upload ThirdParty</v>
      </c>
      <c r="G5" s="27" t="str">
        <f>IFERROR(__xludf.DUMMYFUNCTION("""COMPUTED_VALUE"""),"Import Type")</f>
        <v>Import Type</v>
      </c>
      <c r="H5" s="27" t="str">
        <f>IFERROR(__xludf.DUMMYFUNCTION("""COMPUTED_VALUE"""),"Import Type Format Name")</f>
        <v>Import Type Format 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15</v>
      </c>
      <c r="C6" s="11" t="b">
        <v>1</v>
      </c>
      <c r="D6" s="30">
        <f>Today()</f>
        <v>45915</v>
      </c>
      <c r="E6" s="11" t="s">
        <v>16</v>
      </c>
      <c r="F6" s="11" t="s">
        <v>17</v>
      </c>
      <c r="G6" s="11" t="s">
        <v>18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Import!$4:$4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51.63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12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IFERROR(__xludf.DUMMYFUNCTION("IF(C3="""","""",Transpose(IMPORTRANGE('_Settings'!$B$3,C3&amp;""!A4:A1000"")))"),"Import")</f>
        <v>Import</v>
      </c>
      <c r="C4" s="24" t="str">
        <f>IFERROR(__xludf.DUMMYFUNCTION("""COMPUTED_VALUE"""),"SelectTradeOnImport")</f>
        <v>SelectTradeOnImport</v>
      </c>
      <c r="D4" s="24" t="str">
        <f>IFERROR(__xludf.DUMMYFUNCTION("""COMPUTED_VALUE"""),"ApplyFilterOnImport")</f>
        <v>ApplyFilterOnImport</v>
      </c>
      <c r="E4" s="24" t="str">
        <f>IFERROR(__xludf.DUMMYFUNCTION("""COMPUTED_VALUE"""),"SelectActivitiesImportType")</f>
        <v>SelectActivitiesImportType</v>
      </c>
      <c r="F4" s="24" t="str">
        <f>IFERROR(__xludf.DUMMYFUNCTION("""COMPUTED_VALUE"""),"SelectDoubleEntryCashImportType")</f>
        <v>SelectDoubleEntryCashImportType</v>
      </c>
      <c r="G4" s="24" t="str">
        <f>IFERROR(__xludf.DUMMYFUNCTION("""COMPUTED_VALUE"""),"SelectForexImportType")</f>
        <v>SelectForexImportType</v>
      </c>
      <c r="H4" s="24" t="str">
        <f>IFERROR(__xludf.DUMMYFUNCTION("""COMPUTED_VALUE"""),"SelectMarkPriceImportType")</f>
        <v>SelectMarkPriceImportType</v>
      </c>
      <c r="I4" s="24" t="str">
        <f>IFERROR(__xludf.DUMMYFUNCTION("""COMPUTED_VALUE"""),"SelectAllOnImport")</f>
        <v>SelectAllOnImport</v>
      </c>
      <c r="J4" s="24" t="str">
        <f>IFERROR(__xludf.DUMMYFUNCTION("""COMPUTED_VALUE"""),"SelectTransactionImportType")</f>
        <v>SelectTransactionImportType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19</v>
      </c>
      <c r="C5" s="28" t="s">
        <v>20</v>
      </c>
      <c r="D5" s="28" t="s">
        <v>21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19</v>
      </c>
      <c r="C6" s="11"/>
      <c r="D6" s="8"/>
      <c r="E6" s="11"/>
      <c r="F6" s="11"/>
      <c r="G6" s="11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ValidateImportPositions!$4:$4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IFERROR(__xludf.DUMMYFUNCTION("""COMPUTED_VALUE"""),"SelectAllRowsAllocated")</f>
        <v>SelectAllRowsAllocated</v>
      </c>
      <c r="J4" s="24" t="str">
        <f>IFERROR(__xludf.DUMMYFUNCTION("""COMPUTED_VALUE"""),"AllocateWithPopUp")</f>
        <v>AllocateWithPopUp</v>
      </c>
      <c r="K4" s="24" t="str">
        <f>IFERROR(__xludf.DUMMYFUNCTION("""COMPUTED_VALUE"""),"EditUnallocatedGroupSidePanel")</f>
        <v>EditUnallocatedGroupSidePanel</v>
      </c>
      <c r="L4" s="24" t="str">
        <f>IFERROR(__xludf.DUMMYFUNCTION("""COMPUTED_VALUE"""),"CheckPreferences")</f>
        <v>CheckPreferences</v>
      </c>
      <c r="M4" s="24" t="str">
        <f>IFERROR(__xludf.DUMMYFUNCTION("""COMPUTED_VALUE"""),"DeleteGroupWithOutSave")</f>
        <v>DeleteGroupWithOutSave</v>
      </c>
      <c r="N4" s="24" t="str">
        <f>IFERROR(__xludf.DUMMYFUNCTION("""COMPUTED_VALUE"""),"TradeAttributeBulkChange")</f>
        <v>TradeAttributeBulkChange</v>
      </c>
      <c r="O4" s="24" t="str">
        <f>IFERROR(__xludf.DUMMYFUNCTION("""COMPUTED_VALUE"""),"ApplyBulkUpdateOnGroups")</f>
        <v>ApplyBulkUpdateOnGroups</v>
      </c>
      <c r="P4" s="25" t="str">
        <f>IFERROR(__xludf.DUMMYFUNCTION("""COMPUTED_VALUE"""),"ApplyPrefetchFilters")</f>
        <v>ApplyPrefetchFilters</v>
      </c>
      <c r="Q4" s="25" t="str">
        <f>IFERROR(__xludf.DUMMYFUNCTION("""COMPUTED_VALUE"""),"GeneralPreferencesDefaultRule")</f>
        <v>GeneralPreferencesDefaultRule</v>
      </c>
      <c r="R4" s="25" t="str">
        <f>IFERROR(__xludf.DUMMYFUNCTION("""COMPUTED_VALUE"""),"GeneralPrefCompanyUserWise")</f>
        <v>GeneralPrefCompanyUserWise</v>
      </c>
      <c r="S4" s="25" t="str">
        <f>IFERROR(__xludf.DUMMYFUNCTION("""COMPUTED_VALUE"""),"RenameTradeAttributes")</f>
        <v>RenameTradeAttributes</v>
      </c>
      <c r="T4" s="25" t="str">
        <f>IFERROR(__xludf.DUMMYFUNCTION("""COMPUTED_VALUE"""),"SetGroupingRules")</f>
        <v>SetGroupingRules</v>
      </c>
      <c r="U4" s="25" t="str">
        <f>IFERROR(__xludf.DUMMYFUNCTION("""COMPUTED_VALUE"""),"SetMasterFundRatio")</f>
        <v>SetMasterFundRatio</v>
      </c>
      <c r="V4" s="25" t="str">
        <f>IFERROR(__xludf.DUMMYFUNCTION("""COMPUTED_VALUE"""),"CheckFixedPreference")</f>
        <v>CheckFixedPreference</v>
      </c>
      <c r="W4" s="25" t="str">
        <f>IFERROR(__xludf.DUMMYFUNCTION("""COMPUTED_VALUE"""),"GetFixedPreference")</f>
        <v>GetFixedPreference</v>
      </c>
      <c r="X4" s="25" t="str">
        <f>IFERROR(__xludf.DUMMYFUNCTION("""COMPUTED_VALUE"""),"AddCalculatedPreferences")</f>
        <v>AddCalculatedPreferences</v>
      </c>
      <c r="Y4" s="25" t="str">
        <f>IFERROR(__xludf.DUMMYFUNCTION("""COMPUTED_VALUE"""),"BulkChangeCalculatedPreferences")</f>
        <v>BulkChangeCalculatedPreferences</v>
      </c>
      <c r="Z4" s="25" t="str">
        <f>IFERROR(__xludf.DUMMYFUNCTION("""COMPUTED_VALUE"""),"CheckAuditTrailData")</f>
        <v>CheckAuditTrailData</v>
      </c>
      <c r="AA4" s="25" t="str">
        <f>IFERROR(__xludf.DUMMYFUNCTION("""COMPUTED_VALUE"""),"DeleteCalculatedPreferences")</f>
        <v>DeleteCalculatedPreferences</v>
      </c>
      <c r="AB4" s="25" t="str">
        <f>IFERROR(__xludf.DUMMYFUNCTION("""COMPUTED_VALUE"""),"GetAuditTrailData")</f>
        <v>GetAuditTrailData</v>
      </c>
      <c r="AC4" s="25" t="str">
        <f>IFERROR(__xludf.DUMMYFUNCTION("""COMPUTED_VALUE"""),"RenameCalculatedPreferences")</f>
        <v>RenameCalculatedPreferences</v>
      </c>
      <c r="AD4" s="25" t="str">
        <f>IFERROR(__xludf.DUMMYFUNCTION("""COMPUTED_VALUE"""),"AllocationAuditTrail")</f>
        <v>AllocationAuditTrail</v>
      </c>
      <c r="AE4" s="25" t="str">
        <f>IFERROR(__xludf.DUMMYFUNCTION("""COMPUTED_VALUE"""),"CopyCalculatedPreferences")</f>
        <v>CopyCalculatedPreferences</v>
      </c>
      <c r="AF4" s="25" t="str">
        <f>IFERROR(__xludf.DUMMYFUNCTION("""COMPUTED_VALUE"""),"RunAutoGroup")</f>
        <v>RunAutoGroup</v>
      </c>
      <c r="AG4" s="25" t="str">
        <f>IFERROR(__xludf.DUMMYFUNCTION("""COMPUTED_VALUE"""),"BookOrUpdateSwap")</f>
        <v>BookOrUpdateSwap</v>
      </c>
      <c r="AH4" s="25" t="str">
        <f>IFERROR(__xludf.DUMMYFUNCTION("""COMPUTED_VALUE"""),"SetDefaultRuleCalculatedPref")</f>
        <v>SetDefaultRuleCalculatedPref</v>
      </c>
      <c r="AI4" s="25" t="str">
        <f>IFERROR(__xludf.DUMMYFUNCTION("""COMPUTED_VALUE"""),"RunProrata")</f>
        <v>RunProrata</v>
      </c>
      <c r="AJ4" s="25" t="str">
        <f>IFERROR(__xludf.DUMMYFUNCTION("""COMPUTED_VALUE"""),"SetAccountValueCalculatedPref")</f>
        <v>SetAccountValueCalculatedPref</v>
      </c>
      <c r="AK4" s="25" t="str">
        <f>IFERROR(__xludf.DUMMYFUNCTION("""COMPUTED_VALUE"""),"TradeAttributeBulkChangeGroups")</f>
        <v>TradeAttributeBulkChangeGroups</v>
      </c>
      <c r="AL4" s="25" t="str">
        <f>IFERROR(__xludf.DUMMYFUNCTION("""COMPUTED_VALUE"""),"TradeAttributeBulkChangeTaxlots")</f>
        <v>TradeAttributeBulkChangeTaxlots</v>
      </c>
      <c r="AM4" s="25" t="str">
        <f>IFERROR(__xludf.DUMMYFUNCTION("""COMPUTED_VALUE"""),"AddCalculatedPreferenceToolbar")</f>
        <v>AddCalculatedPreferenceToolbar</v>
      </c>
      <c r="AN4" s="25" t="str">
        <f>IFERROR(__xludf.DUMMYFUNCTION("""COMPUTED_VALUE"""),"SetStrategyValueCalculatedPref")</f>
        <v>SetStrategyValueCalculatedPref</v>
      </c>
      <c r="AO4" s="25" t="str">
        <f>IFERROR(__xludf.DUMMYFUNCTION("""COMPUTED_VALUE"""),"ApplyBulkUpdateOnTaxlots")</f>
        <v>ApplyBulkUpdateOnTaxlots</v>
      </c>
      <c r="AP4" s="25" t="str">
        <f>IFERROR(__xludf.DUMMYFUNCTION("""COMPUTED_VALUE"""),"CommissionBulkChangeOnGroups")</f>
        <v>CommissionBulkChangeOnGroups</v>
      </c>
      <c r="AQ4" s="25" t="str">
        <f>IFERROR(__xludf.DUMMYFUNCTION("""COMPUTED_VALUE"""),"CommissionBulkChangeOnTaxlots")</f>
        <v>CommissionBulkChangeOnTaxlots</v>
      </c>
      <c r="AR4" s="25" t="str">
        <f>IFERROR(__xludf.DUMMYFUNCTION("""COMPUTED_VALUE"""),"SelectUnallocatedGroup")</f>
        <v>SelectUnallocatedGroup</v>
      </c>
      <c r="AS4" s="25" t="str">
        <f>IFERROR(__xludf.DUMMYFUNCTION("""COMPUTED_VALUE"""),"EnterAccountValuesToAllocate")</f>
        <v>EnterAccountValuesToAllocate</v>
      </c>
      <c r="AT4" s="25" t="str">
        <f>IFERROR(__xludf.DUMMYFUNCTION("""COMPUTED_VALUE"""),"EnterAllocatePreference")</f>
        <v>EnterAllocatePreference</v>
      </c>
      <c r="AU4" s="25" t="str">
        <f>IFERROR(__xludf.DUMMYFUNCTION("""COMPUTED_VALUE"""),"EnterStrategyValuesToAllocate")</f>
        <v>EnterStrategyValuesToAllocate</v>
      </c>
      <c r="AV4" s="25" t="str">
        <f>IFERROR(__xludf.DUMMYFUNCTION("""COMPUTED_VALUE"""),"CopyCalculatedPreferenceToolbar")</f>
        <v>CopyCalculatedPreferenceToolbar</v>
      </c>
      <c r="AW4" s="25" t="str">
        <f>IFERROR(__xludf.DUMMYFUNCTION("""COMPUTED_VALUE"""),"SetGeneralRuleCalculatedPref")</f>
        <v>SetGeneralRuleCalculatedPref</v>
      </c>
      <c r="AX4" s="25" t="str">
        <f>IFERROR(__xludf.DUMMYFUNCTION("""COMPUTED_VALUE"""),"ExportAllCalculatedPreferences")</f>
        <v>ExportAllCalculatedPreferences</v>
      </c>
      <c r="AY4" s="25" t="str">
        <f>IFERROR(__xludf.DUMMYFUNCTION("""COMPUTED_VALUE"""),"SaveCalculatedPreferences")</f>
        <v>SaveCalculatedPreferences</v>
      </c>
      <c r="AZ4" s="25" t="str">
        <f>IFERROR(__xludf.DUMMYFUNCTION("""COMPUTED_VALUE"""),"CloseCalculatedPreferences")</f>
        <v>CloseCalculatedPreferences</v>
      </c>
      <c r="BA4" s="25" t="str">
        <f>IFERROR(__xludf.DUMMYFUNCTION("""COMPUTED_VALUE"""),"ExportCalculatedPreference")</f>
        <v>ExportCalculatedPreference</v>
      </c>
      <c r="BB4" s="25" t="str">
        <f>IFERROR(__xludf.DUMMYFUNCTION("""COMPUTED_VALUE"""),"ImportCalculatedPreferences")</f>
        <v>ImportCalculatedPreferences</v>
      </c>
      <c r="BC4" s="25" t="str">
        <f>IFERROR(__xludf.DUMMYFUNCTION("""COMPUTED_VALUE"""),"IsAllocationOpen")</f>
        <v>IsAllocationOpen</v>
      </c>
      <c r="BD4" s="25" t="str">
        <f>IFERROR(__xludf.DUMMYFUNCTION("""COMPUTED_VALUE"""),"OpenAuditTrailUnallocatedGroup")</f>
        <v>OpenAuditTrailUnallocatedGroup</v>
      </c>
      <c r="BE4" s="25" t="str">
        <f>IFERROR(__xludf.DUMMYFUNCTION("""COMPUTED_VALUE"""),"DeleteCalculatedPreferencesTool")</f>
        <v>DeleteCalculatedPreferencesTool</v>
      </c>
      <c r="BF4" s="25" t="str">
        <f>IFERROR(__xludf.DUMMYFUNCTION("""COMPUTED_VALUE"""),"ImportCalculatedPreferencesTool")</f>
        <v>ImportCalculatedPreferencesTool</v>
      </c>
      <c r="BG4" s="25" t="str">
        <f>IFERROR(__xludf.DUMMYFUNCTION("""COMPUTED_VALUE"""),"SetAvgPriceRounding")</f>
        <v>SetAvgPriceRounding</v>
      </c>
      <c r="BH4" s="25" t="str">
        <f>IFERROR(__xludf.DUMMYFUNCTION("""COMPUTED_VALUE"""),"SetAutoGroupingAccount")</f>
        <v>SetAutoGroupingAccount</v>
      </c>
      <c r="BI4" s="25" t="str">
        <f>IFERROR(__xludf.DUMMYFUNCTION("""COMPUTED_VALUE"""),"SetAutoGroupingPreferences")</f>
        <v>SetAutoGroupingPreferences</v>
      </c>
      <c r="BJ4" s="25" t="str">
        <f>IFERROR(__xludf.DUMMYFUNCTION("""COMPUTED_VALUE"""),"ExportAllCalculatedPreferTool")</f>
        <v>ExportAllCalculatedPreferTool</v>
      </c>
      <c r="BK4" s="25" t="str">
        <f>IFERROR(__xludf.DUMMYFUNCTION("""COMPUTED_VALUE"""),"EnterCustomAllocatePreference")</f>
        <v>EnterCustomAllocatePreference</v>
      </c>
      <c r="BL4" s="25" t="str">
        <f>IFERROR(__xludf.DUMMYFUNCTION("""COMPUTED_VALUE"""),"OpenSymbolLookupUnallocateGroup")</f>
        <v>OpenSymbolLookupUnallocateGroup</v>
      </c>
      <c r="BM4" s="25" t="str">
        <f>IFERROR(__xludf.DUMMYFUNCTION("""COMPUTED_VALUE"""),"OpenAuditTrailAllocatedGroup")</f>
        <v>OpenAuditTrailAllocatedGroup</v>
      </c>
      <c r="BN4" s="25" t="str">
        <f>IFERROR(__xludf.DUMMYFUNCTION("""COMPUTED_VALUE"""),"OpenSymbolLookupAllocatedGroup")</f>
        <v>OpenSymbolLookupAllocatedGroup</v>
      </c>
      <c r="BO4" s="25" t="str">
        <f>IFERROR(__xludf.DUMMYFUNCTION("""COMPUTED_VALUE"""),"DeleteFixedPreference")</f>
        <v>DeleteFixedPreference</v>
      </c>
      <c r="BP4" s="25" t="str">
        <f>IFERROR(__xludf.DUMMYFUNCTION("""COMPUTED_VALUE"""),"SetTradeAttributePreferences")</f>
        <v>SetTradeAttributePreferences</v>
      </c>
      <c r="BQ4" s="25" t="str">
        <f>IFERROR(__xludf.DUMMYFUNCTION("""COMPUTED_VALUE"""),"EditAllocatedGroupSidePanel")</f>
        <v>EditAllocatedGroupSidePanel</v>
      </c>
      <c r="BR4" s="25" t="str">
        <f>IFERROR(__xludf.DUMMYFUNCTION("""COMPUTED_VALUE"""),"ExpandCollapseAllocatedGrid")</f>
        <v>ExpandCollapseAllocatedGrid</v>
      </c>
      <c r="BS4" s="25" t="str">
        <f>IFERROR(__xludf.DUMMYFUNCTION("""COMPUTED_VALUE"""),"ExpandCollapseUnallocatedGrid")</f>
        <v>ExpandCollapseUnallocatedGrid</v>
      </c>
      <c r="BT4" s="25" t="str">
        <f>IFERROR(__xludf.DUMMYFUNCTION("""COMPUTED_VALUE"""),"EditAllocatedGridTaxlot")</f>
        <v>EditAllocatedGridTaxlot</v>
      </c>
      <c r="BU4" s="25" t="str">
        <f>IFERROR(__xludf.DUMMYFUNCTION("""COMPUTED_VALUE"""),"CheckUnallocatedGroups")</f>
        <v>CheckUnallocatedGroups</v>
      </c>
      <c r="BV4" s="25" t="str">
        <f>IFERROR(__xludf.DUMMYFUNCTION("""COMPUTED_VALUE"""),"EditAllocatedGridWPF")</f>
        <v>EditAllocatedGridWPF</v>
      </c>
      <c r="BW4" s="25" t="str">
        <f>IFERROR(__xludf.DUMMYFUNCTION("""COMPUTED_VALUE"""),"SetGeneralPreferences")</f>
        <v>SetGeneralPreferences</v>
      </c>
      <c r="BX4" s="25" t="str">
        <f>IFERROR(__xludf.DUMMYFUNCTION("""COMPUTED_VALUE"""),"EditUnallocatedGridWPF")</f>
        <v>EditUnallocatedGridWPF</v>
      </c>
      <c r="BY4" s="25" t="str">
        <f>IFERROR(__xludf.DUMMYFUNCTION("""COMPUTED_VALUE"""),"SetBrokerAccountMapping")</f>
        <v>SetBrokerAccountMapping</v>
      </c>
      <c r="BZ4" s="25" t="str">
        <f>IFERROR(__xludf.DUMMYFUNCTION("""COMPUTED_VALUE"""),"ShowMasterFundAsClient")</f>
        <v>ShowMasterFundAsClient</v>
      </c>
      <c r="CA4" s="25" t="str">
        <f>IFERROR(__xludf.DUMMYFUNCTION("""COMPUTED_VALUE"""),"ShowMasterFundOnTT")</f>
        <v>ShowMasterFundOnTT</v>
      </c>
      <c r="CB4" s="25" t="str">
        <f>IFERROR(__xludf.DUMMYFUNCTION("""COMPUTED_VALUE"""),"ApplyMasterFundFilter")</f>
        <v>ApplyMasterFundFilter</v>
      </c>
      <c r="CC4" s="25" t="str">
        <f>IFERROR(__xludf.DUMMYFUNCTION("""COMPUTED_VALUE"""),"GroupTrades")</f>
        <v>GroupTrades</v>
      </c>
      <c r="CD4" s="25" t="str">
        <f>IFERROR(__xludf.DUMMYFUNCTION("""COMPUTED_VALUE"""),"DisableCheckside")</f>
        <v>DisableCheckside</v>
      </c>
      <c r="CE4" s="25" t="str">
        <f>IFERROR(__xludf.DUMMYFUNCTION("""COMPUTED_VALUE"""),"UngroupTrades")</f>
        <v>UngroupTrades</v>
      </c>
      <c r="CF4" s="25" t="str">
        <f>IFERROR(__xludf.DUMMYFUNCTION("""COMPUTED_VALUE"""),"DisableChecksideForCounterParty")</f>
        <v>DisableChecksideForCounterParty</v>
      </c>
      <c r="CG4" s="25" t="str">
        <f>IFERROR(__xludf.DUMMYFUNCTION("""COMPUTED_VALUE"""),"DisableChecksideForAccount")</f>
        <v>DisableChecksideForAccount</v>
      </c>
      <c r="CH4" s="25" t="str">
        <f>IFERROR(__xludf.DUMMYFUNCTION("""COMPUTED_VALUE"""),"DeleteGroup")</f>
        <v>DeleteGroup</v>
      </c>
      <c r="CI4" s="25" t="str">
        <f>IFERROR(__xludf.DUMMYFUNCTION("""COMPUTED_VALUE"""),"DisableChecksideForAsset")</f>
        <v>DisableChecksideForAsset</v>
      </c>
      <c r="CJ4" s="25" t="str">
        <f>IFERROR(__xludf.DUMMYFUNCTION("""COMPUTED_VALUE"""),"CloseOrder")</f>
        <v>CloseOrder</v>
      </c>
      <c r="CK4" s="25" t="str">
        <f>IFERROR(__xludf.DUMMYFUNCTION("""COMPUTED_VALUE"""),"Unallocate")</f>
        <v>Unallocate</v>
      </c>
      <c r="CL4" s="25" t="str">
        <f>IFERROR(__xludf.DUMMYFUNCTION("""COMPUTED_VALUE"""),"CloseAllocation")</f>
        <v>CloseAllocation</v>
      </c>
      <c r="CM4" s="25" t="str">
        <f>IFERROR(__xludf.DUMMYFUNCTION("""COMPUTED_VALUE"""),"CheckAllocatedTaxlots")</f>
        <v>CheckAllocatedTaxlots</v>
      </c>
      <c r="CN4" s="25" t="str">
        <f>IFERROR(__xludf.DUMMYFUNCTION("""COMPUTED_VALUE"""),"CleanUp")</f>
        <v>CleanUp</v>
      </c>
      <c r="CO4" s="25" t="str">
        <f>IFERROR(__xludf.DUMMYFUNCTION("""COMPUTED_VALUE"""),"VerifyLayoutAllocatedGrid")</f>
        <v>VerifyLayoutAllocatedGrid</v>
      </c>
      <c r="CP4" s="25" t="str">
        <f>IFERROR(__xludf.DUMMYFUNCTION("""COMPUTED_VALUE"""),"VerifyLayoutUnallocatedGrid")</f>
        <v>VerifyLayoutUnallocatedGrid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IFERROR(__xludf.DUMMYFUNCTION("""COMPUTED_VALUE"""),"ClearFiltersAllocatedGrid")</f>
        <v>ClearFiltersAllocatedGrid</v>
      </c>
      <c r="CS4" s="25" t="str">
        <f>IFERROR(__xludf.DUMMYFUNCTION("""COMPUTED_VALUE"""),"UpdateGRAccountValue")</f>
        <v>UpdateGRAccountValue</v>
      </c>
      <c r="CT4" s="25" t="str">
        <f>IFERROR(__xludf.DUMMYFUNCTION("""COMPUTED_VALUE"""),"UpdateGRStrategyValue")</f>
        <v>UpdateGRStrategyValue</v>
      </c>
      <c r="CU4" s="25" t="str">
        <f>IFERROR(__xludf.DUMMYFUNCTION("""COMPUTED_VALUE"""),"UpdateGRDefaultRule")</f>
        <v>UpdateGRDefaultRule</v>
      </c>
      <c r="CV4" s="25" t="str">
        <f>IFERROR(__xludf.DUMMYFUNCTION("""COMPUTED_VALUE"""),"UpdateGeneralRulePref")</f>
        <v>UpdateGeneralRulePref</v>
      </c>
      <c r="CW4" s="25" t="str">
        <f>IFERROR(__xludf.DUMMYFUNCTION("""COMPUTED_VALUE"""),"AddMFPreferences")</f>
        <v>AddMFPreferences</v>
      </c>
      <c r="CX4" s="25" t="str">
        <f>IFERROR(__xludf.DUMMYFUNCTION("""COMPUTED_VALUE"""),"ModifyGRPreferenceValues")</f>
        <v>ModifyGRPreferenceValues</v>
      </c>
      <c r="CY4" s="25" t="str">
        <f>IFERROR(__xludf.DUMMYFUNCTION("""COMPUTED_VALUE"""),"AddMFPreferenceToolbar")</f>
        <v>AddMFPreferenceToolbar</v>
      </c>
      <c r="CZ4" s="25" t="str">
        <f>IFERROR(__xludf.DUMMYFUNCTION("""COMPUTED_VALUE"""),"DeleteMFPreferences")</f>
        <v>DeleteMFPreferences</v>
      </c>
      <c r="DA4" s="25" t="str">
        <f>IFERROR(__xludf.DUMMYFUNCTION("""COMPUTED_VALUE"""),"SaveLayoutAllocationUI")</f>
        <v>SaveLayoutAllocationUI</v>
      </c>
      <c r="DB4" s="25" t="str">
        <f>IFERROR(__xludf.DUMMYFUNCTION("""COMPUTED_VALUE"""),"DeleteMFPreferenceToolbar")</f>
        <v>DeleteMFPreferenceToolbar</v>
      </c>
      <c r="DC4" s="25" t="str">
        <f>IFERROR(__xludf.DUMMYFUNCTION("""COMPUTED_VALUE"""),"SaveLayoutUnallocatedGrid")</f>
        <v>SaveLayoutUnallocatedGrid</v>
      </c>
      <c r="DD4" s="25" t="str">
        <f>IFERROR(__xludf.DUMMYFUNCTION("""COMPUTED_VALUE"""),"SaveLayoutAllocatedGrid")</f>
        <v>SaveLayoutAllocatedGrid</v>
      </c>
      <c r="DE4" s="25" t="str">
        <f>IFERROR(__xludf.DUMMYFUNCTION("""COMPUTED_VALUE"""),"EditAllocatedGrid")</f>
        <v>EditAllocatedGrid</v>
      </c>
      <c r="DF4" s="25" t="str">
        <f>IFERROR(__xludf.DUMMYFUNCTION("""COMPUTED_VALUE"""),"EditUnallocatedGrid")</f>
        <v>EditUnallocatedGrid</v>
      </c>
      <c r="DG4" s="25" t="str">
        <f>IFERROR(__xludf.DUMMYFUNCTION("""COMPUTED_VALUE"""),"UnallocateWithOutSave")</f>
        <v>UnallocateWithOutSave</v>
      </c>
      <c r="DH4" s="25" t="str">
        <f>IFERROR(__xludf.DUMMYFUNCTION("""COMPUTED_VALUE"""),"SaveAllocation")</f>
        <v>SaveAllocation</v>
      </c>
      <c r="DI4" s="25" t="str">
        <f>IFERROR(__xludf.DUMMYFUNCTION("""COMPUTED_VALUE"""),"GenerateCashTransaction")</f>
        <v>GenerateCashTransaction</v>
      </c>
      <c r="DJ4" s="25" t="str">
        <f>IFERROR(__xludf.DUMMYFUNCTION("""COMPUTED_VALUE"""),"ExpandCollapseAllAllocated")</f>
        <v>ExpandCollapseAllAllocated</v>
      </c>
      <c r="DK4" s="25" t="str">
        <f>IFERROR(__xludf.DUMMYFUNCTION("""COMPUTED_VALUE"""),"ExpandCollapseAllUnallocated")</f>
        <v>ExpandCollapseAllUnallocated</v>
      </c>
      <c r="DL4" s="25" t="str">
        <f>IFERROR(__xludf.DUMMYFUNCTION("""COMPUTED_VALUE"""),"ClearPrefetchFilters")</f>
        <v>ClearPrefetchFilters</v>
      </c>
      <c r="DM4" s="25" t="str">
        <f>IFERROR(__xludf.DUMMYFUNCTION("""COMPUTED_VALUE"""),"RenameMFPreferences")</f>
        <v>RenameMFPreferences</v>
      </c>
      <c r="DN4" s="25" t="str">
        <f>IFERROR(__xludf.DUMMYFUNCTION("""COMPUTED_VALUE"""),"SetMFPrefFundDefaultRule")</f>
        <v>SetMFPrefFundDefaultRule</v>
      </c>
      <c r="DO4" s="25" t="str">
        <f>IFERROR(__xludf.DUMMYFUNCTION("""COMPUTED_VALUE"""),"SaveCloseMFPreference")</f>
        <v>SaveCloseMFPreference</v>
      </c>
      <c r="DP4" s="25" t="str">
        <f>IFERROR(__xludf.DUMMYFUNCTION("""COMPUTED_VALUE"""),"SetMFPrefAccountValues")</f>
        <v>SetMFPrefAccountValues</v>
      </c>
      <c r="DQ4" s="25" t="str">
        <f>IFERROR(__xludf.DUMMYFUNCTION("""COMPUTED_VALUE"""),"SetMFPreferencesDefaultRule")</f>
        <v>SetMFPreferencesDefaultRule</v>
      </c>
      <c r="DR4" s="25" t="str">
        <f>IFERROR(__xludf.DUMMYFUNCTION("""COMPUTED_VALUE"""),"SetMFPrefFundDistribution")</f>
        <v>SetMFPrefFundDistribution</v>
      </c>
      <c r="DS4" s="25" t="str">
        <f>IFERROR(__xludf.DUMMYFUNCTION("""COMPUTED_VALUE"""),"SetMFPrefGeneralRule")</f>
        <v>SetMFPrefGeneralRule</v>
      </c>
      <c r="DT4" s="25" t="str">
        <f>IFERROR(__xludf.DUMMYFUNCTION("""COMPUTED_VALUE"""),"ModifyMFPrefGeneralRuleValues")</f>
        <v>ModifyMFPrefGeneralRuleValues</v>
      </c>
      <c r="DU4" s="25" t="str">
        <f>IFERROR(__xludf.DUMMYFUNCTION("""COMPUTED_VALUE"""),"SetMFPrefStrategyValues")</f>
        <v>SetMFPrefStrategyValues</v>
      </c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24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IFERROR(__xludf.DUMMYFUNCTION("IF(C3="""","""",Transpose(IMPORTRANGE('_Settings'!$B$3,C3&amp;""!A4:A1000"")))"),"FilterBlankMP")</f>
        <v>FilterBlankMP</v>
      </c>
      <c r="C4" s="24" t="str">
        <f>IFERROR(__xludf.DUMMYFUNCTION("""COMPUTED_VALUE"""),"UpdateBlankMP")</f>
        <v>UpdateBlankMP</v>
      </c>
      <c r="D4" s="24" t="str">
        <f>IFERROR(__xludf.DUMMYFUNCTION("""COMPUTED_VALUE"""),"UpateSymbolBlankMP")</f>
        <v>UpateSymbolBlankMP</v>
      </c>
      <c r="E4" s="24" t="str">
        <f>IFERROR(__xludf.DUMMYFUNCTION("""COMPUTED_VALUE"""),"EnableBlankMarkPrices")</f>
        <v>EnableBlankMarkPrices</v>
      </c>
      <c r="F4" s="24" t="str">
        <f>IFERROR(__xludf.DUMMYFUNCTION("""COMPUTED_VALUE"""),"UpdateBeta")</f>
        <v>UpdateBeta</v>
      </c>
      <c r="G4" s="24" t="str">
        <f>IFERROR(__xludf.DUMMYFUNCTION("""COMPUTED_VALUE"""),"UpdateDailyCash")</f>
        <v>UpdateDailyCash</v>
      </c>
      <c r="H4" s="24" t="str">
        <f>IFERROR(__xludf.DUMMYFUNCTION("""COMPUTED_VALUE"""),"UpdateMultipleDailyCash")</f>
        <v>UpdateMultipleDailyCash</v>
      </c>
      <c r="I4" s="24" t="str">
        <f>IFERROR(__xludf.DUMMYFUNCTION("""COMPUTED_VALUE"""),"UpdateForexConversion")</f>
        <v>UpdateForexConversion</v>
      </c>
      <c r="J4" s="24" t="str">
        <f>IFERROR(__xludf.DUMMYFUNCTION("""COMPUTED_VALUE"""),"UpdateMarkPrice")</f>
        <v>UpdateMarkPrice</v>
      </c>
      <c r="K4" s="24" t="str">
        <f>IFERROR(__xludf.DUMMYFUNCTION("""COMPUTED_VALUE"""),"CleanUp")</f>
        <v>CleanUp</v>
      </c>
      <c r="L4" s="24" t="str">
        <f>IFERROR(__xludf.DUMMYFUNCTION("""COMPUTED_VALUE"""),"GetMarkPriceData")</f>
        <v>GetMarkPriceData</v>
      </c>
      <c r="M4" s="24" t="str">
        <f>IFERROR(__xludf.DUMMYFUNCTION("""COMPUTED_VALUE"""),"GetForwardPoints")</f>
        <v>GetForwardPoints</v>
      </c>
      <c r="N4" s="24" t="str">
        <f>IFERROR(__xludf.DUMMYFUNCTION("""COMPUTED_VALUE"""),"UpdateForwardPoints")</f>
        <v>UpdateForwardPoints</v>
      </c>
      <c r="O4" s="24" t="str">
        <f>IFERROR(__xludf.DUMMYFUNCTION("""COMPUTED_VALUE"""),"GetForexConversion")</f>
        <v>GetForexConversion</v>
      </c>
      <c r="P4" s="25" t="str">
        <f>IFERROR(__xludf.DUMMYFUNCTION("""COMPUTED_VALUE"""),"DeleteNAV")</f>
        <v>DeleteNAV</v>
      </c>
      <c r="Q4" s="25" t="str">
        <f>IFERROR(__xludf.DUMMYFUNCTION("""COMPUTED_VALUE"""),"GetDailyCash")</f>
        <v>GetDailyCash</v>
      </c>
      <c r="R4" s="25" t="str">
        <f>IFERROR(__xludf.DUMMYFUNCTION("""COMPUTED_VALUE"""),"GetDailyBeta")</f>
        <v>GetDailyBeta</v>
      </c>
      <c r="S4" s="25" t="str">
        <f>IFERROR(__xludf.DUMMYFUNCTION("""COMPUTED_VALUE"""),"GetDailyVolatility")</f>
        <v>GetDailyVolatility</v>
      </c>
      <c r="T4" s="25" t="str">
        <f>IFERROR(__xludf.DUMMYFUNCTION("""COMPUTED_VALUE"""),"GetDailyDividendYield")</f>
        <v>GetDailyDividendYield</v>
      </c>
      <c r="U4" s="25" t="str">
        <f>IFERROR(__xludf.DUMMYFUNCTION("""COMPUTED_VALUE"""),"GetDailyTradingVolume")</f>
        <v>GetDailyTradingVolume</v>
      </c>
      <c r="V4" s="25" t="str">
        <f>IFERROR(__xludf.DUMMYFUNCTION("""COMPUTED_VALUE"""),"GetDailyOutstandings")</f>
        <v>GetDailyOutstandings</v>
      </c>
      <c r="W4" s="25" t="str">
        <f>IFERROR(__xludf.DUMMYFUNCTION("""COMPUTED_VALUE"""),"VerifyDailyCash")</f>
        <v>VerifyDailyCash</v>
      </c>
      <c r="X4" s="25" t="str">
        <f>IFERROR(__xludf.DUMMYFUNCTION("""COMPUTED_VALUE"""),"GetDailyDelta")</f>
        <v>GetDailyDelta</v>
      </c>
      <c r="Y4" s="25" t="str">
        <f>IFERROR(__xludf.DUMMYFUNCTION("""COMPUTED_VALUE"""),"UpdateDailyVolatility")</f>
        <v>UpdateDailyVolatility</v>
      </c>
      <c r="Z4" s="25" t="str">
        <f>IFERROR(__xludf.DUMMYFUNCTION("""COMPUTED_VALUE"""),"UpdateDividendYield")</f>
        <v>UpdateDividendYield</v>
      </c>
      <c r="AA4" s="25" t="str">
        <f>IFERROR(__xludf.DUMMYFUNCTION("""COMPUTED_VALUE"""),"UpdateTradingVolume")</f>
        <v>UpdateTradingVolume</v>
      </c>
      <c r="AB4" s="25" t="str">
        <f>IFERROR(__xludf.DUMMYFUNCTION("""COMPUTED_VALUE"""),"UpdateDailyDelta")</f>
        <v>UpdateDailyDelta</v>
      </c>
      <c r="AC4" s="25" t="str">
        <f>IFERROR(__xludf.DUMMYFUNCTION("""COMPUTED_VALUE"""),"UpdateDailyOutstandings")</f>
        <v>UpdateDailyOutstandings</v>
      </c>
      <c r="AD4" s="25" t="str">
        <f>IFERROR(__xludf.DUMMYFUNCTION("""COMPUTED_VALUE"""),"UpdateBeta")</f>
        <v>UpdateBeta</v>
      </c>
      <c r="AE4" s="25" t="str">
        <f>IFERROR(__xludf.DUMMYFUNCTION("""COMPUTED_VALUE"""),"UpdateNAV")</f>
        <v>UpdateNAV</v>
      </c>
      <c r="AF4" s="25" t="str">
        <f>IFERROR(__xludf.DUMMYFUNCTION("""COMPUTED_VALUE"""),"UpdateDailyCash")</f>
        <v>UpdateDailyCash</v>
      </c>
      <c r="AG4" s="25" t="str">
        <f>IFERROR(__xludf.DUMMYFUNCTION("""COMPUTED_VALUE"""),"UpdateDailyCreditLimt")</f>
        <v>UpdateDailyCreditLimt</v>
      </c>
      <c r="AH4" s="25" t="str">
        <f>IFERROR(__xludf.DUMMYFUNCTION("""COMPUTED_VALUE"""),"RemoveDailyCreditLimit")</f>
        <v>RemoveDailyCreditLimit</v>
      </c>
      <c r="AI4" s="25" t="str">
        <f>IFERROR(__xludf.DUMMYFUNCTION("""COMPUTED_VALUE"""),"RemoveDailyCash")</f>
        <v>RemoveDailyCash</v>
      </c>
      <c r="AJ4" s="25" t="str">
        <f>IFERROR(__xludf.DUMMYFUNCTION("""COMPUTED_VALUE"""),"RemoveNAV")</f>
        <v>RemoveNAV</v>
      </c>
      <c r="AK4" s="25" t="str">
        <f>IFERROR(__xludf.DUMMYFUNCTION("""COMPUTED_VALUE"""),"UpdateMarkPriceMonthly")</f>
        <v>UpdateMarkPriceMonthly</v>
      </c>
      <c r="AL4" s="25" t="str">
        <f>IFERROR(__xludf.DUMMYFUNCTION("""COMPUTED_VALUE"""),"UpdateForexConversionMonthly")</f>
        <v>UpdateForexConversionMonthly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>
        <v>42270.0</v>
      </c>
      <c r="C6" s="31">
        <v>42271.0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IFERROR(__xludf.DUMMYFUNCTION("IF(C3="""","""",Transpose(IMPORTRANGE('_Settings'!$B$3,C3&amp;""!A4:A1000"")))"),"FilterBlankMP")</f>
        <v>FilterBlankMP</v>
      </c>
      <c r="C4" s="24" t="str">
        <f>IFERROR(__xludf.DUMMYFUNCTION("""COMPUTED_VALUE"""),"UpdateBlankMP")</f>
        <v>UpdateBlankMP</v>
      </c>
      <c r="D4" s="24" t="str">
        <f>IFERROR(__xludf.DUMMYFUNCTION("""COMPUTED_VALUE"""),"UpateSymbolBlankMP")</f>
        <v>UpateSymbolBlankMP</v>
      </c>
      <c r="E4" s="24" t="str">
        <f>IFERROR(__xludf.DUMMYFUNCTION("""COMPUTED_VALUE"""),"EnableBlankMarkPrices")</f>
        <v>EnableBlankMarkPrices</v>
      </c>
      <c r="F4" s="24" t="str">
        <f>IFERROR(__xludf.DUMMYFUNCTION("""COMPUTED_VALUE"""),"UpdateBeta")</f>
        <v>UpdateBeta</v>
      </c>
      <c r="G4" s="24" t="str">
        <f>IFERROR(__xludf.DUMMYFUNCTION("""COMPUTED_VALUE"""),"UpdateDailyCash")</f>
        <v>UpdateDailyCash</v>
      </c>
      <c r="H4" s="24" t="str">
        <f>IFERROR(__xludf.DUMMYFUNCTION("""COMPUTED_VALUE"""),"UpdateMultipleDailyCash")</f>
        <v>UpdateMultipleDailyCash</v>
      </c>
      <c r="I4" s="24" t="str">
        <f>IFERROR(__xludf.DUMMYFUNCTION("""COMPUTED_VALUE"""),"UpdateForexConversion")</f>
        <v>UpdateForexConversion</v>
      </c>
      <c r="J4" s="24" t="str">
        <f>IFERROR(__xludf.DUMMYFUNCTION("""COMPUTED_VALUE"""),"UpdateMarkPrice")</f>
        <v>UpdateMarkPrice</v>
      </c>
      <c r="K4" s="24" t="str">
        <f>IFERROR(__xludf.DUMMYFUNCTION("""COMPUTED_VALUE"""),"CleanUp")</f>
        <v>CleanUp</v>
      </c>
      <c r="L4" s="24" t="str">
        <f>IFERROR(__xludf.DUMMYFUNCTION("""COMPUTED_VALUE"""),"GetMarkPriceData")</f>
        <v>GetMarkPriceData</v>
      </c>
      <c r="M4" s="24" t="str">
        <f>IFERROR(__xludf.DUMMYFUNCTION("""COMPUTED_VALUE"""),"GetForwardPoints")</f>
        <v>GetForwardPoints</v>
      </c>
      <c r="N4" s="24" t="str">
        <f>IFERROR(__xludf.DUMMYFUNCTION("""COMPUTED_VALUE"""),"UpdateForwardPoints")</f>
        <v>UpdateForwardPoints</v>
      </c>
      <c r="O4" s="24" t="str">
        <f>IFERROR(__xludf.DUMMYFUNCTION("""COMPUTED_VALUE"""),"GetForexConversion")</f>
        <v>GetForexConversion</v>
      </c>
      <c r="P4" s="25" t="str">
        <f>IFERROR(__xludf.DUMMYFUNCTION("""COMPUTED_VALUE"""),"DeleteNAV")</f>
        <v>DeleteNAV</v>
      </c>
      <c r="Q4" s="25" t="str">
        <f>IFERROR(__xludf.DUMMYFUNCTION("""COMPUTED_VALUE"""),"GetDailyCash")</f>
        <v>GetDailyCash</v>
      </c>
      <c r="R4" s="25" t="str">
        <f>IFERROR(__xludf.DUMMYFUNCTION("""COMPUTED_VALUE"""),"GetDailyBeta")</f>
        <v>GetDailyBeta</v>
      </c>
      <c r="S4" s="25" t="str">
        <f>IFERROR(__xludf.DUMMYFUNCTION("""COMPUTED_VALUE"""),"GetDailyVolatility")</f>
        <v>GetDailyVolatility</v>
      </c>
      <c r="T4" s="25" t="str">
        <f>IFERROR(__xludf.DUMMYFUNCTION("""COMPUTED_VALUE"""),"GetDailyDividendYield")</f>
        <v>GetDailyDividendYield</v>
      </c>
      <c r="U4" s="25" t="str">
        <f>IFERROR(__xludf.DUMMYFUNCTION("""COMPUTED_VALUE"""),"GetDailyTradingVolume")</f>
        <v>GetDailyTradingVolume</v>
      </c>
      <c r="V4" s="25" t="str">
        <f>IFERROR(__xludf.DUMMYFUNCTION("""COMPUTED_VALUE"""),"GetDailyOutstandings")</f>
        <v>GetDailyOutstandings</v>
      </c>
      <c r="W4" s="25" t="str">
        <f>IFERROR(__xludf.DUMMYFUNCTION("""COMPUTED_VALUE"""),"VerifyDailyCash")</f>
        <v>VerifyDailyCash</v>
      </c>
      <c r="X4" s="25" t="str">
        <f>IFERROR(__xludf.DUMMYFUNCTION("""COMPUTED_VALUE"""),"GetDailyDelta")</f>
        <v>GetDailyDelta</v>
      </c>
      <c r="Y4" s="25" t="str">
        <f>IFERROR(__xludf.DUMMYFUNCTION("""COMPUTED_VALUE"""),"UpdateDailyVolatility")</f>
        <v>UpdateDailyVolatility</v>
      </c>
      <c r="Z4" s="25" t="str">
        <f>IFERROR(__xludf.DUMMYFUNCTION("""COMPUTED_VALUE"""),"UpdateDividendYield")</f>
        <v>UpdateDividendYield</v>
      </c>
      <c r="AA4" s="25" t="str">
        <f>IFERROR(__xludf.DUMMYFUNCTION("""COMPUTED_VALUE"""),"UpdateTradingVolume")</f>
        <v>UpdateTradingVolume</v>
      </c>
      <c r="AB4" s="25" t="str">
        <f>IFERROR(__xludf.DUMMYFUNCTION("""COMPUTED_VALUE"""),"UpdateDailyDelta")</f>
        <v>UpdateDailyDelta</v>
      </c>
      <c r="AC4" s="25" t="str">
        <f>IFERROR(__xludf.DUMMYFUNCTION("""COMPUTED_VALUE"""),"UpdateDailyOutstandings")</f>
        <v>UpdateDailyOutstandings</v>
      </c>
      <c r="AD4" s="25" t="str">
        <f>IFERROR(__xludf.DUMMYFUNCTION("""COMPUTED_VALUE"""),"UpdateBeta")</f>
        <v>UpdateBeta</v>
      </c>
      <c r="AE4" s="25" t="str">
        <f>IFERROR(__xludf.DUMMYFUNCTION("""COMPUTED_VALUE"""),"UpdateNAV")</f>
        <v>UpdateNAV</v>
      </c>
      <c r="AF4" s="25" t="str">
        <f>IFERROR(__xludf.DUMMYFUNCTION("""COMPUTED_VALUE"""),"UpdateDailyCash")</f>
        <v>UpdateDailyCash</v>
      </c>
      <c r="AG4" s="25" t="str">
        <f>IFERROR(__xludf.DUMMYFUNCTION("""COMPUTED_VALUE"""),"UpdateDailyCreditLimt")</f>
        <v>UpdateDailyCreditLimt</v>
      </c>
      <c r="AH4" s="25" t="str">
        <f>IFERROR(__xludf.DUMMYFUNCTION("""COMPUTED_VALUE"""),"RemoveDailyCreditLimit")</f>
        <v>RemoveDailyCreditLimit</v>
      </c>
      <c r="AI4" s="25" t="str">
        <f>IFERROR(__xludf.DUMMYFUNCTION("""COMPUTED_VALUE"""),"RemoveDailyCash")</f>
        <v>RemoveDailyCash</v>
      </c>
      <c r="AJ4" s="25" t="str">
        <f>IFERROR(__xludf.DUMMYFUNCTION("""COMPUTED_VALUE"""),"RemoveNAV")</f>
        <v>RemoveNAV</v>
      </c>
      <c r="AK4" s="25" t="str">
        <f>IFERROR(__xludf.DUMMYFUNCTION("""COMPUTED_VALUE"""),"UpdateMarkPriceMonthly")</f>
        <v>UpdateMarkPriceMonthly</v>
      </c>
      <c r="AL4" s="25" t="str">
        <f>IFERROR(__xludf.DUMMYFUNCTION("""COMPUTED_VALUE"""),"UpdateForexConversionMonthly")</f>
        <v>UpdateForexConversionMonthly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28</v>
      </c>
      <c r="C6" s="11" t="s">
        <v>29</v>
      </c>
      <c r="D6" s="8"/>
      <c r="E6" s="11">
        <v>1.2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IFERROR(__xludf.DUMMYFUNCTION("IF(C3="""","""",Transpose(IMPORTRANGE('_Settings'!$B$3,C3&amp;""!A4:A1000"")))"),"FilterClosing")</f>
        <v>FilterClosing</v>
      </c>
      <c r="C4" s="24" t="str">
        <f>IFERROR(__xludf.DUMMYFUNCTION("""COMPUTED_VALUE"""),"UnwindAllClosingData")</f>
        <v>UnwindAllClosingData</v>
      </c>
      <c r="D4" s="24" t="str">
        <f>IFERROR(__xludf.DUMMYFUNCTION("""COMPUTED_VALUE"""),"FilterExpiredGrid")</f>
        <v>FilterExpiredGrid</v>
      </c>
      <c r="E4" s="24" t="str">
        <f>IFERROR(__xludf.DUMMYFUNCTION("""COMPUTED_VALUE"""),"FilterUnexpiredGrid")</f>
        <v>FilterUnexpiredGrid</v>
      </c>
      <c r="F4" s="24" t="str">
        <f>IFERROR(__xludf.DUMMYFUNCTION("""COMPUTED_VALUE"""),"FilterClosingGrid")</f>
        <v>FilterClosingGrid</v>
      </c>
      <c r="G4" s="24" t="str">
        <f>IFERROR(__xludf.DUMMYFUNCTION("""COMPUTED_VALUE"""),"FilterShortPositionGrid")</f>
        <v>FilterShortPositionGrid</v>
      </c>
      <c r="H4" s="24" t="str">
        <f>IFERROR(__xludf.DUMMYFUNCTION("""COMPUTED_VALUE"""),"FilterLongPositionGrid")</f>
        <v>FilterLongPositionGrid</v>
      </c>
      <c r="I4" s="24" t="str">
        <f>IFERROR(__xludf.DUMMYFUNCTION("""COMPUTED_VALUE"""),"SaveCTData")</f>
        <v>SaveCTData</v>
      </c>
      <c r="J4" s="24" t="str">
        <f>IFERROR(__xludf.DUMMYFUNCTION("""COMPUTED_VALUE"""),"ExerciseAssignmentWithOutSave")</f>
        <v>ExerciseAssignmentWithOutSave</v>
      </c>
      <c r="K4" s="24" t="str">
        <f>IFERROR(__xludf.DUMMYFUNCTION("""COMPUTED_VALUE"""),"VerifyCTData")</f>
        <v>VerifyCTData</v>
      </c>
      <c r="L4" s="24" t="str">
        <f>IFERROR(__xludf.DUMMYFUNCTION("""COMPUTED_VALUE"""),"SelectAccountWiseAsset")</f>
        <v>SelectAccountWiseAsset</v>
      </c>
      <c r="M4" s="24" t="str">
        <f>IFERROR(__xludf.DUMMYFUNCTION("""COMPUTED_VALUE"""),"RunTemplate")</f>
        <v>RunTemplate</v>
      </c>
      <c r="N4" s="24" t="str">
        <f>IFERROR(__xludf.DUMMYFUNCTION("""COMPUTED_VALUE"""),"DeleteTemplate")</f>
        <v>DeleteTemplate</v>
      </c>
      <c r="O4" s="24" t="str">
        <f>IFERROR(__xludf.DUMMYFUNCTION("""COMPUTED_VALUE"""),"EditTemplate")</f>
        <v>EditTemplate</v>
      </c>
      <c r="P4" s="25" t="str">
        <f>IFERROR(__xludf.DUMMYFUNCTION("""COMPUTED_VALUE"""),"CreateUnwindingTemplate")</f>
        <v>CreateUnwindingTemplate</v>
      </c>
      <c r="Q4" s="25" t="str">
        <f>IFERROR(__xludf.DUMMYFUNCTION("""COMPUTED_VALUE"""),"CreateClosingTemplate")</f>
        <v>CreateClosingTemplate</v>
      </c>
      <c r="R4" s="25" t="str">
        <f>IFERROR(__xludf.DUMMYFUNCTION("""COMPUTED_VALUE"""),"PreviewDataWithFilters")</f>
        <v>PreviewDataWithFilters</v>
      </c>
      <c r="S4" s="25" t="str">
        <f>IFERROR(__xludf.DUMMYFUNCTION("""COMPUTED_VALUE"""),"ManualCloseOrder")</f>
        <v>ManualCloseOrder</v>
      </c>
      <c r="T4" s="25" t="str">
        <f>IFERROR(__xludf.DUMMYFUNCTION("""COMPUTED_VALUE"""),"EditMultipleCloseQuantity")</f>
        <v>EditMultipleCloseQuantity</v>
      </c>
      <c r="U4" s="25" t="str">
        <f>IFERROR(__xludf.DUMMYFUNCTION("""COMPUTED_VALUE"""),"AutoExercise")</f>
        <v>AutoExercise</v>
      </c>
      <c r="V4" s="25" t="str">
        <f>IFERROR(__xludf.DUMMYFUNCTION("""COMPUTED_VALUE"""),"SwapExpire")</f>
        <v>SwapExpire</v>
      </c>
      <c r="W4" s="25" t="str">
        <f>IFERROR(__xludf.DUMMYFUNCTION("""COMPUTED_VALUE"""),"GetDataClosing")</f>
        <v>GetDataClosing</v>
      </c>
      <c r="X4" s="25" t="str">
        <f>IFERROR(__xludf.DUMMYFUNCTION("""COMPUTED_VALUE"""),"ManualClosing")</f>
        <v>ManualClosing</v>
      </c>
      <c r="Y4" s="25" t="str">
        <f>IFERROR(__xludf.DUMMYFUNCTION("""COMPUTED_VALUE"""),"AutomaticClosing")</f>
        <v>AutomaticClosing</v>
      </c>
      <c r="Z4" s="25" t="str">
        <f>IFERROR(__xludf.DUMMYFUNCTION("""COMPUTED_VALUE"""),"UnwindClosing")</f>
        <v>UnwindClosing</v>
      </c>
      <c r="AA4" s="25" t="str">
        <f>IFERROR(__xludf.DUMMYFUNCTION("""COMPUTED_VALUE"""),"VerifyClosedTrades")</f>
        <v>VerifyClosedTrades</v>
      </c>
      <c r="AB4" s="25" t="str">
        <f>IFERROR(__xludf.DUMMYFUNCTION("""COMPUTED_VALUE"""),"VerifyLongPositionsGrid")</f>
        <v>VerifyLongPositionsGrid</v>
      </c>
      <c r="AC4" s="25" t="str">
        <f>IFERROR(__xludf.DUMMYFUNCTION("""COMPUTED_VALUE"""),"VerifyShortPositionsGrid")</f>
        <v>VerifyShortPositionsGrid</v>
      </c>
      <c r="AD4" s="25" t="str">
        <f>IFERROR(__xludf.DUMMYFUNCTION("""COMPUTED_VALUE"""),"CashSettlementAtCost")</f>
        <v>CashSettlementAtCost</v>
      </c>
      <c r="AE4" s="25" t="str">
        <f>IFERROR(__xludf.DUMMYFUNCTION("""COMPUTED_VALUE"""),"SelectTradeUnexpiredUnsettled")</f>
        <v>SelectTradeUnexpiredUnsettled</v>
      </c>
      <c r="AF4" s="25" t="str">
        <f>IFERROR(__xludf.DUMMYFUNCTION("""COMPUTED_VALUE"""),"CashSettlementAtClosingDtSpotPx")</f>
        <v>CashSettlementAtClosingDtSpotPx</v>
      </c>
      <c r="AG4" s="25" t="str">
        <f>IFERROR(__xludf.DUMMYFUNCTION("""COMPUTED_VALUE"""),"PhysicalSettlement")</f>
        <v>PhysicalSettlement</v>
      </c>
      <c r="AH4" s="25" t="str">
        <f>IFERROR(__xludf.DUMMYFUNCTION("""COMPUTED_VALUE"""),"Expire")</f>
        <v>Expire</v>
      </c>
      <c r="AI4" s="25" t="str">
        <f>IFERROR(__xludf.DUMMYFUNCTION("""COMPUTED_VALUE"""),"ExerciseAssignment")</f>
        <v>ExerciseAssignment</v>
      </c>
      <c r="AJ4" s="25" t="str">
        <f>IFERROR(__xludf.DUMMYFUNCTION("""COMPUTED_VALUE"""),"ExerciseAssignmentAtZero")</f>
        <v>ExerciseAssignmentAtZero</v>
      </c>
      <c r="AK4" s="25" t="str">
        <f>IFERROR(__xludf.DUMMYFUNCTION("""COMPUTED_VALUE"""),"SwapExpireAndRollover")</f>
        <v>SwapExpireAndRollover</v>
      </c>
      <c r="AL4" s="25" t="str">
        <f>IFERROR(__xludf.DUMMYFUNCTION("""COMPUTED_VALUE"""),"SwapExpire")</f>
        <v>SwapExpire</v>
      </c>
      <c r="AM4" s="25" t="str">
        <f>IFERROR(__xludf.DUMMYFUNCTION("""COMPUTED_VALUE"""),"VerifyExpiredSettledGrid")</f>
        <v>VerifyExpiredSettledGrid</v>
      </c>
      <c r="AN4" s="25" t="str">
        <f>IFERROR(__xludf.DUMMYFUNCTION("""COMPUTED_VALUE"""),"VerifyUnExpiredUnSettledGrid")</f>
        <v>VerifyUnExpiredUnSettledGrid</v>
      </c>
      <c r="AO4" s="25" t="str">
        <f>IFERROR(__xludf.DUMMYFUNCTION("""COMPUTED_VALUE"""),"UnWindTradeSettlement")</f>
        <v>UnWindTradeSettlement</v>
      </c>
      <c r="AP4" s="25" t="str">
        <f>IFERROR(__xludf.DUMMYFUNCTION("""COMPUTED_VALUE"""),"CloseOrder")</f>
        <v>CloseOrder</v>
      </c>
      <c r="AQ4" s="25" t="str">
        <f>IFERROR(__xludf.DUMMYFUNCTION("""COMPUTED_VALUE"""),"VerifyCloseOrder")</f>
        <v>VerifyCloseOrder</v>
      </c>
      <c r="AR4" s="25" t="str">
        <f>IFERROR(__xludf.DUMMYFUNCTION("""COMPUTED_VALUE"""),"UnWindCloseOrder")</f>
        <v>UnWindCloseOrder</v>
      </c>
      <c r="AS4" s="25" t="str">
        <f>IFERROR(__xludf.DUMMYFUNCTION("""COMPUTED_VALUE"""),"ClosingCleanUp")</f>
        <v>ClosingCleanUp</v>
      </c>
      <c r="AT4" s="25" t="str">
        <f>IFERROR(__xludf.DUMMYFUNCTION("""COMPUTED_VALUE"""),"CloseClosingUI")</f>
        <v>CloseClosingUI</v>
      </c>
      <c r="AU4" s="25" t="str">
        <f>IFERROR(__xludf.DUMMYFUNCTION("""COMPUTED_VALUE"""),"EditTradeUnexpiredUnsettled")</f>
        <v>EditTradeUnexpiredUnsettled</v>
      </c>
      <c r="AV4" s="25" t="str">
        <f>IFERROR(__xludf.DUMMYFUNCTION("""COMPUTED_VALUE"""),"SetClosingPreference")</f>
        <v>SetClosingPreference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24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32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IFERROR(__xludf.DUMMYFUNCTION("IF(C3="""","""",Transpose(IMPORTRANGE('_Settings'!$B$3,C3&amp;""!A4:A1000"")))"),"FilterClosing")</f>
        <v>FilterClosing</v>
      </c>
      <c r="C4" s="24" t="str">
        <f>IFERROR(__xludf.DUMMYFUNCTION("""COMPUTED_VALUE"""),"UnwindAllClosingData")</f>
        <v>UnwindAllClosingData</v>
      </c>
      <c r="D4" s="24" t="str">
        <f>IFERROR(__xludf.DUMMYFUNCTION("""COMPUTED_VALUE"""),"FilterExpiredGrid")</f>
        <v>FilterExpiredGrid</v>
      </c>
      <c r="E4" s="24" t="str">
        <f>IFERROR(__xludf.DUMMYFUNCTION("""COMPUTED_VALUE"""),"FilterUnexpiredGrid")</f>
        <v>FilterUnexpiredGrid</v>
      </c>
      <c r="F4" s="24" t="str">
        <f>IFERROR(__xludf.DUMMYFUNCTION("""COMPUTED_VALUE"""),"FilterClosingGrid")</f>
        <v>FilterClosingGrid</v>
      </c>
      <c r="G4" s="24" t="str">
        <f>IFERROR(__xludf.DUMMYFUNCTION("""COMPUTED_VALUE"""),"FilterShortPositionGrid")</f>
        <v>FilterShortPositionGrid</v>
      </c>
      <c r="H4" s="24" t="str">
        <f>IFERROR(__xludf.DUMMYFUNCTION("""COMPUTED_VALUE"""),"FilterLongPositionGrid")</f>
        <v>FilterLongPositionGrid</v>
      </c>
      <c r="I4" s="24" t="str">
        <f>IFERROR(__xludf.DUMMYFUNCTION("""COMPUTED_VALUE"""),"SaveCTData")</f>
        <v>SaveCTData</v>
      </c>
      <c r="J4" s="24" t="str">
        <f>IFERROR(__xludf.DUMMYFUNCTION("""COMPUTED_VALUE"""),"ExerciseAssignmentWithOutSave")</f>
        <v>ExerciseAssignmentWithOutSave</v>
      </c>
      <c r="K4" s="24" t="str">
        <f>IFERROR(__xludf.DUMMYFUNCTION("""COMPUTED_VALUE"""),"VerifyCTData")</f>
        <v>VerifyCTData</v>
      </c>
      <c r="L4" s="24" t="str">
        <f>IFERROR(__xludf.DUMMYFUNCTION("""COMPUTED_VALUE"""),"SelectAccountWiseAsset")</f>
        <v>SelectAccountWiseAsset</v>
      </c>
      <c r="M4" s="24" t="str">
        <f>IFERROR(__xludf.DUMMYFUNCTION("""COMPUTED_VALUE"""),"RunTemplate")</f>
        <v>RunTemplate</v>
      </c>
      <c r="N4" s="24" t="str">
        <f>IFERROR(__xludf.DUMMYFUNCTION("""COMPUTED_VALUE"""),"DeleteTemplate")</f>
        <v>DeleteTemplate</v>
      </c>
      <c r="O4" s="24" t="str">
        <f>IFERROR(__xludf.DUMMYFUNCTION("""COMPUTED_VALUE"""),"EditTemplate")</f>
        <v>EditTemplate</v>
      </c>
      <c r="P4" s="25" t="str">
        <f>IFERROR(__xludf.DUMMYFUNCTION("""COMPUTED_VALUE"""),"CreateUnwindingTemplate")</f>
        <v>CreateUnwindingTemplate</v>
      </c>
      <c r="Q4" s="25" t="str">
        <f>IFERROR(__xludf.DUMMYFUNCTION("""COMPUTED_VALUE"""),"CreateClosingTemplate")</f>
        <v>CreateClosingTemplate</v>
      </c>
      <c r="R4" s="25" t="str">
        <f>IFERROR(__xludf.DUMMYFUNCTION("""COMPUTED_VALUE"""),"PreviewDataWithFilters")</f>
        <v>PreviewDataWithFilters</v>
      </c>
      <c r="S4" s="25" t="str">
        <f>IFERROR(__xludf.DUMMYFUNCTION("""COMPUTED_VALUE"""),"ManualCloseOrder")</f>
        <v>ManualCloseOrder</v>
      </c>
      <c r="T4" s="25" t="str">
        <f>IFERROR(__xludf.DUMMYFUNCTION("""COMPUTED_VALUE"""),"EditMultipleCloseQuantity")</f>
        <v>EditMultipleCloseQuantity</v>
      </c>
      <c r="U4" s="25" t="str">
        <f>IFERROR(__xludf.DUMMYFUNCTION("""COMPUTED_VALUE"""),"AutoExercise")</f>
        <v>AutoExercise</v>
      </c>
      <c r="V4" s="25" t="str">
        <f>IFERROR(__xludf.DUMMYFUNCTION("""COMPUTED_VALUE"""),"SwapExpire")</f>
        <v>SwapExpire</v>
      </c>
      <c r="W4" s="25" t="str">
        <f>IFERROR(__xludf.DUMMYFUNCTION("""COMPUTED_VALUE"""),"GetDataClosing")</f>
        <v>GetDataClosing</v>
      </c>
      <c r="X4" s="25" t="str">
        <f>IFERROR(__xludf.DUMMYFUNCTION("""COMPUTED_VALUE"""),"ManualClosing")</f>
        <v>ManualClosing</v>
      </c>
      <c r="Y4" s="25" t="str">
        <f>IFERROR(__xludf.DUMMYFUNCTION("""COMPUTED_VALUE"""),"AutomaticClosing")</f>
        <v>AutomaticClosing</v>
      </c>
      <c r="Z4" s="25" t="str">
        <f>IFERROR(__xludf.DUMMYFUNCTION("""COMPUTED_VALUE"""),"UnwindClosing")</f>
        <v>UnwindClosing</v>
      </c>
      <c r="AA4" s="25" t="str">
        <f>IFERROR(__xludf.DUMMYFUNCTION("""COMPUTED_VALUE"""),"VerifyClosedTrades")</f>
        <v>VerifyClosedTrades</v>
      </c>
      <c r="AB4" s="25" t="str">
        <f>IFERROR(__xludf.DUMMYFUNCTION("""COMPUTED_VALUE"""),"VerifyLongPositionsGrid")</f>
        <v>VerifyLongPositionsGrid</v>
      </c>
      <c r="AC4" s="25" t="str">
        <f>IFERROR(__xludf.DUMMYFUNCTION("""COMPUTED_VALUE"""),"VerifyShortPositionsGrid")</f>
        <v>VerifyShortPositionsGrid</v>
      </c>
      <c r="AD4" s="25" t="str">
        <f>IFERROR(__xludf.DUMMYFUNCTION("""COMPUTED_VALUE"""),"CashSettlementAtCost")</f>
        <v>CashSettlementAtCost</v>
      </c>
      <c r="AE4" s="25" t="str">
        <f>IFERROR(__xludf.DUMMYFUNCTION("""COMPUTED_VALUE"""),"SelectTradeUnexpiredUnsettled")</f>
        <v>SelectTradeUnexpiredUnsettled</v>
      </c>
      <c r="AF4" s="25" t="str">
        <f>IFERROR(__xludf.DUMMYFUNCTION("""COMPUTED_VALUE"""),"CashSettlementAtClosingDtSpotPx")</f>
        <v>CashSettlementAtClosingDtSpotPx</v>
      </c>
      <c r="AG4" s="25" t="str">
        <f>IFERROR(__xludf.DUMMYFUNCTION("""COMPUTED_VALUE"""),"PhysicalSettlement")</f>
        <v>PhysicalSettlement</v>
      </c>
      <c r="AH4" s="25" t="str">
        <f>IFERROR(__xludf.DUMMYFUNCTION("""COMPUTED_VALUE"""),"Expire")</f>
        <v>Expire</v>
      </c>
      <c r="AI4" s="25" t="str">
        <f>IFERROR(__xludf.DUMMYFUNCTION("""COMPUTED_VALUE"""),"ExerciseAssignment")</f>
        <v>ExerciseAssignment</v>
      </c>
      <c r="AJ4" s="25" t="str">
        <f>IFERROR(__xludf.DUMMYFUNCTION("""COMPUTED_VALUE"""),"ExerciseAssignmentAtZero")</f>
        <v>ExerciseAssignmentAtZero</v>
      </c>
      <c r="AK4" s="25" t="str">
        <f>IFERROR(__xludf.DUMMYFUNCTION("""COMPUTED_VALUE"""),"SwapExpireAndRollover")</f>
        <v>SwapExpireAndRollover</v>
      </c>
      <c r="AL4" s="25" t="str">
        <f>IFERROR(__xludf.DUMMYFUNCTION("""COMPUTED_VALUE"""),"SwapExpire")</f>
        <v>SwapExpire</v>
      </c>
      <c r="AM4" s="25" t="str">
        <f>IFERROR(__xludf.DUMMYFUNCTION("""COMPUTED_VALUE"""),"VerifyExpiredSettledGrid")</f>
        <v>VerifyExpiredSettledGrid</v>
      </c>
      <c r="AN4" s="25" t="str">
        <f>IFERROR(__xludf.DUMMYFUNCTION("""COMPUTED_VALUE"""),"VerifyUnExpiredUnSettledGrid")</f>
        <v>VerifyUnExpiredUnSettledGrid</v>
      </c>
      <c r="AO4" s="25" t="str">
        <f>IFERROR(__xludf.DUMMYFUNCTION("""COMPUTED_VALUE"""),"UnWindTradeSettlement")</f>
        <v>UnWindTradeSettlement</v>
      </c>
      <c r="AP4" s="25" t="str">
        <f>IFERROR(__xludf.DUMMYFUNCTION("""COMPUTED_VALUE"""),"CloseOrder")</f>
        <v>CloseOrder</v>
      </c>
      <c r="AQ4" s="25" t="str">
        <f>IFERROR(__xludf.DUMMYFUNCTION("""COMPUTED_VALUE"""),"VerifyCloseOrder")</f>
        <v>VerifyCloseOrder</v>
      </c>
      <c r="AR4" s="25" t="str">
        <f>IFERROR(__xludf.DUMMYFUNCTION("""COMPUTED_VALUE"""),"UnWindCloseOrder")</f>
        <v>UnWindCloseOrder</v>
      </c>
      <c r="AS4" s="25" t="str">
        <f>IFERROR(__xludf.DUMMYFUNCTION("""COMPUTED_VALUE"""),"ClosingCleanUp")</f>
        <v>ClosingCleanUp</v>
      </c>
      <c r="AT4" s="25" t="str">
        <f>IFERROR(__xludf.DUMMYFUNCTION("""COMPUTED_VALUE"""),"CloseClosingUI")</f>
        <v>CloseClosingUI</v>
      </c>
      <c r="AU4" s="25" t="str">
        <f>IFERROR(__xludf.DUMMYFUNCTION("""COMPUTED_VALUE"""),"EditTradeUnexpiredUnsettled")</f>
        <v>EditTradeUnexpiredUnsettled</v>
      </c>
      <c r="AV4" s="25" t="str">
        <f>IFERROR(__xludf.DUMMYFUNCTION("""COMPUTED_VALUE"""),"SetClosingPreference")</f>
        <v>SetClosingPreference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 t="str">
        <f>IFERROR(__xludf.DUMMYFUNCTION("""COMPUTED_VALUE"""),"isRowCountCheck")</f>
        <v>isRowCountCheck</v>
      </c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15</v>
      </c>
      <c r="C6" s="11" t="s">
        <v>33</v>
      </c>
      <c r="D6" s="8"/>
      <c r="E6" s="8"/>
      <c r="F6" s="8"/>
      <c r="G6" s="8"/>
      <c r="H6" s="8"/>
      <c r="I6" s="8"/>
      <c r="J6" s="8"/>
      <c r="K6" s="8"/>
      <c r="L6" s="8"/>
      <c r="M6" s="11">
        <v>1000.0</v>
      </c>
      <c r="N6" s="8"/>
      <c r="O6" s="8"/>
      <c r="P6" s="9" t="s">
        <v>34</v>
      </c>
      <c r="R6" s="9" t="s">
        <v>35</v>
      </c>
      <c r="X6" s="33">
        <v>32.01</v>
      </c>
      <c r="Y6" s="33">
        <v>32.01</v>
      </c>
    </row>
    <row r="7" ht="15.75" customHeight="1">
      <c r="A7" s="8"/>
      <c r="B7" s="11" t="s">
        <v>15</v>
      </c>
      <c r="C7" s="11" t="s">
        <v>33</v>
      </c>
      <c r="D7" s="8"/>
      <c r="E7" s="8"/>
      <c r="F7" s="8"/>
      <c r="G7" s="8"/>
      <c r="H7" s="8"/>
      <c r="I7" s="8"/>
      <c r="J7" s="8"/>
      <c r="K7" s="8"/>
      <c r="L7" s="8"/>
      <c r="M7" s="11">
        <v>600.0</v>
      </c>
      <c r="N7" s="8"/>
      <c r="O7" s="8"/>
      <c r="P7" s="9" t="s">
        <v>34</v>
      </c>
      <c r="R7" s="9" t="s">
        <v>36</v>
      </c>
      <c r="X7" s="34">
        <v>20.0333333333333</v>
      </c>
      <c r="Y7" s="33">
        <v>0.0</v>
      </c>
    </row>
    <row r="8" ht="15.75" customHeight="1">
      <c r="A8" s="8"/>
      <c r="B8" s="11" t="s">
        <v>15</v>
      </c>
      <c r="C8" s="11" t="s">
        <v>33</v>
      </c>
      <c r="D8" s="8"/>
      <c r="E8" s="8"/>
      <c r="F8" s="8"/>
      <c r="G8" s="8"/>
      <c r="H8" s="8"/>
      <c r="I8" s="8"/>
      <c r="J8" s="8"/>
      <c r="K8" s="8"/>
      <c r="L8" s="8"/>
      <c r="M8" s="11">
        <v>2000.0</v>
      </c>
      <c r="N8" s="8"/>
      <c r="O8" s="8"/>
      <c r="P8" s="9" t="s">
        <v>34</v>
      </c>
      <c r="R8" s="9" t="s">
        <v>36</v>
      </c>
      <c r="X8" s="33">
        <v>15.0</v>
      </c>
      <c r="Y8" s="33">
        <v>0.0</v>
      </c>
    </row>
    <row r="9" ht="15.75" customHeight="1">
      <c r="A9" s="8"/>
      <c r="B9" s="11" t="s">
        <v>15</v>
      </c>
      <c r="C9" s="11" t="s">
        <v>33</v>
      </c>
      <c r="D9" s="8"/>
      <c r="E9" s="8"/>
      <c r="F9" s="8"/>
      <c r="G9" s="8"/>
      <c r="H9" s="8"/>
      <c r="I9" s="8"/>
      <c r="J9" s="8"/>
      <c r="K9" s="8"/>
      <c r="L9" s="8"/>
      <c r="M9" s="11">
        <v>555.0</v>
      </c>
      <c r="N9" s="8"/>
      <c r="O9" s="8"/>
      <c r="P9" s="9" t="s">
        <v>34</v>
      </c>
      <c r="R9" s="35" t="s">
        <v>35</v>
      </c>
      <c r="X9" s="33">
        <v>55.0</v>
      </c>
      <c r="Y9" s="33">
        <v>55.0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IFERROR(__xludf.DUMMYFUNCTION("IF(C3="""","""",Transpose(IMPORTRANGE('_Settings'!$B$3,C3&amp;""!A4:A1000"")))"),"Import")</f>
        <v>Import</v>
      </c>
      <c r="C4" s="24" t="str">
        <f>IFERROR(__xludf.DUMMYFUNCTION("""COMPUTED_VALUE"""),"SelectTradeOnImport")</f>
        <v>SelectTradeOnImport</v>
      </c>
      <c r="D4" s="24" t="str">
        <f>IFERROR(__xludf.DUMMYFUNCTION("""COMPUTED_VALUE"""),"ApplyFilterOnImport")</f>
        <v>ApplyFilterOnImport</v>
      </c>
      <c r="E4" s="24" t="str">
        <f>IFERROR(__xludf.DUMMYFUNCTION("""COMPUTED_VALUE"""),"SelectActivitiesImportType")</f>
        <v>SelectActivitiesImportType</v>
      </c>
      <c r="F4" s="24" t="str">
        <f>IFERROR(__xludf.DUMMYFUNCTION("""COMPUTED_VALUE"""),"SelectDoubleEntryCashImportType")</f>
        <v>SelectDoubleEntryCashImportType</v>
      </c>
      <c r="G4" s="24" t="str">
        <f>IFERROR(__xludf.DUMMYFUNCTION("""COMPUTED_VALUE"""),"SelectForexImportType")</f>
        <v>SelectForexImportType</v>
      </c>
      <c r="H4" s="24" t="str">
        <f>IFERROR(__xludf.DUMMYFUNCTION("""COMPUTED_VALUE"""),"SelectMarkPriceImportType")</f>
        <v>SelectMarkPriceImportType</v>
      </c>
      <c r="I4" s="24" t="str">
        <f>IFERROR(__xludf.DUMMYFUNCTION("""COMPUTED_VALUE"""),"SelectAllOnImport")</f>
        <v>SelectAllOnImport</v>
      </c>
      <c r="J4" s="24" t="str">
        <f>IFERROR(__xludf.DUMMYFUNCTION("""COMPUTED_VALUE"""),"SelectTransactionImportType")</f>
        <v>SelectTransactionImportType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 Type")</f>
        <v>Import Type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8"/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SelectAllOnImport!$4:$4</formula1>
    </dataValidation>
  </dataValidations>
  <drawing r:id="rId1"/>
</worksheet>
</file>