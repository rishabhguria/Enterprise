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SelectTrade" sheetId="9" r:id="rId11"/>
    <sheet state="visible" name="ExecuteTrade" sheetId="10" r:id="rId12"/>
    <sheet state="visible" name="VerifySubOrder" sheetId="11" r:id="rId13"/>
    <sheet state="visible" name="TradeNewSubOrder1" sheetId="12" r:id="rId14"/>
    <sheet state="visible" name="VerifySubOrder1" sheetId="13" r:id="rId15"/>
    <sheet state="visible" name="CleanUp" sheetId="14" r:id="rId16"/>
    <sheet state="visible" name="Copy of Data" sheetId="15" r:id="rId17"/>
  </sheets>
  <definedNames/>
  <calcPr/>
</workbook>
</file>

<file path=xl/sharedStrings.xml><?xml version="1.0" encoding="utf-8"?>
<sst xmlns="http://schemas.openxmlformats.org/spreadsheetml/2006/main" count="131" uniqueCount="34">
  <si>
    <t>Master Data Info</t>
  </si>
  <si>
    <t>Settings</t>
  </si>
  <si>
    <t>Modules Info</t>
  </si>
  <si>
    <t>Module</t>
  </si>
  <si>
    <t>Modules</t>
  </si>
  <si>
    <t>Module Step Setting File</t>
  </si>
  <si>
    <t>Step</t>
  </si>
  <si>
    <t>1BICZ_GcMhh_S937ZinFvSYqvvKYtOYB2Bc4woEPpgPg</t>
  </si>
  <si>
    <t>Master Data Sheet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</si>
  <si>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</si>
  <si>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</si>
  <si>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</si>
  <si>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</si>
  <si>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</si>
  <si>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</si>
  <si>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</si>
  <si>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</si>
  <si>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</si>
  <si>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</si>
  <si>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</si>
  <si>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</si>
  <si>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</si>
  <si>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</si>
  <si>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</si>
  <si>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</si>
  <si>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</si>
  <si>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</si>
  <si>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SelectTrade</t>
  </si>
  <si>
    <t>ExecuteTrade</t>
  </si>
  <si>
    <t>VerifySubOrder</t>
  </si>
  <si>
    <t>Filled</t>
  </si>
  <si>
    <t>Allocation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</si>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</sst>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1" fillId="2" fontId="2" numFmtId="0" xfId="0" applyAlignment="1" applyBorder="1" applyFont="1">
      <alignment horizontal="center"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2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9" t="s">
        <v>4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5</v>
      </c>
      <c r="B3" s="13" t="s">
        <v>7</v>
      </c>
      <c r="C3" s="7"/>
    </row>
    <row r="4" ht="15.75" customHeight="1">
      <c r="A4" s="8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0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8" t="s">
        <v>3</v>
      </c>
      <c r="B3" s="12" t="s">
        <v>6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16</v>
      </c>
      <c r="C6" s="13" t="s">
        <v>17</v>
      </c>
      <c r="D6" s="13">
        <v>3000.0</v>
      </c>
      <c r="E6" s="7"/>
      <c r="F6" s="13" t="s">
        <v>18</v>
      </c>
      <c r="G6" s="13" t="s">
        <v>19</v>
      </c>
      <c r="H6" s="7"/>
      <c r="I6" s="7"/>
      <c r="J6" s="13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21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3" t="s">
        <v>16</v>
      </c>
      <c r="E6" s="7"/>
      <c r="F6" s="13" t="s">
        <v>17</v>
      </c>
      <c r="G6" s="13" t="s">
        <v>22</v>
      </c>
      <c r="H6" s="13">
        <v>3000.0</v>
      </c>
      <c r="I6" s="7"/>
      <c r="J6" s="7"/>
      <c r="K6" s="7"/>
      <c r="L6" s="7"/>
      <c r="M6" s="7"/>
      <c r="N6" s="7"/>
      <c r="O6" s="7"/>
      <c r="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22</v>
      </c>
      <c r="AL6" s="30">
        <v>3000.0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24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16</v>
      </c>
      <c r="C6" s="13" t="s">
        <v>17</v>
      </c>
      <c r="D6" s="13">
        <v>3000.0</v>
      </c>
      <c r="E6" s="7"/>
      <c r="F6" s="13" t="s">
        <v>18</v>
      </c>
      <c r="G6" s="13" t="s">
        <v>19</v>
      </c>
      <c r="H6" s="7"/>
      <c r="I6" s="7"/>
      <c r="J6" s="13">
        <v>20.0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25</v>
      </c>
      <c r="D3" s="9" t="s">
        <v>6</v>
      </c>
      <c r="E3" s="21" t="s">
        <v>26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17</v>
      </c>
      <c r="C6" s="13" t="s">
        <v>16</v>
      </c>
      <c r="D6" s="7"/>
      <c r="E6" s="7"/>
      <c r="F6" s="7"/>
      <c r="G6" s="13">
        <v>3000.0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25</v>
      </c>
      <c r="D3" s="9" t="s">
        <v>6</v>
      </c>
      <c r="E3" s="21" t="s">
        <v>27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17</v>
      </c>
      <c r="C6" s="13" t="s">
        <v>16</v>
      </c>
      <c r="D6" s="7"/>
      <c r="E6" s="7"/>
      <c r="F6" s="7"/>
      <c r="G6" s="13">
        <v>3000.0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25</v>
      </c>
      <c r="D3" s="9" t="s">
        <v>6</v>
      </c>
      <c r="E3" s="21" t="s">
        <v>28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>
        <v>20.0</v>
      </c>
      <c r="C6" s="13">
        <v>3000.0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29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2")</f>
        <v>Trade Attribute 2</v>
      </c>
      <c r="R5" s="26" t="str">
        <f>IFERROR(__xludf.DUMMYFUNCTION("""COMPUTED_VALUE"""),"Trade Attribute 1")</f>
        <v>Trade Attribute 1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IFERROR(__xludf.DUMMYFUNCTION("""COMPUTED_VALUE"""),"Day Executed Qty")</f>
        <v>Day Executed Qty</v>
      </c>
      <c r="AO5" s="28" t="str">
        <f>IFERROR(__xludf.DUMMYFUNCTION("""COMPUTED_VALUE"""),"Last Fill Price (Local)")</f>
        <v>Last Fill Price (Local)</v>
      </c>
      <c r="AP5" s="28" t="str">
        <f>IFERROR(__xludf.DUMMYFUNCTION("""COMPUTED_VALUE"""),"Avg Fill Price (Local)")</f>
        <v>Avg Fill Price (Local)</v>
      </c>
      <c r="AQ5" s="28" t="str">
        <f>IFERROR(__xludf.DUMMYFUNCTION("""COMPUTED_VALUE"""),"Broker")</f>
        <v>Broker</v>
      </c>
      <c r="AR5" s="28" t="str">
        <f>IFERROR(__xludf.DUMMYFUNCTION("""COMPUTED_VALUE"""),"Account")</f>
        <v>Account</v>
      </c>
      <c r="AS5" s="28" t="str">
        <f>IFERROR(__xludf.DUMMYFUNCTION("""COMPUTED_VALUE"""),"Order Type")</f>
        <v>Order Type</v>
      </c>
      <c r="AT5" s="28" t="str">
        <f>IFERROR(__xludf.DUMMYFUNCTION("""COMPUTED_VALUE"""),"Principal Amount (Local)")</f>
        <v>Principal Amount (Local)</v>
      </c>
      <c r="AU5" s="28" t="str">
        <f>IFERROR(__xludf.DUMMYFUNCTION("""COMPUTED_VALUE"""),"Principal Amount (Base)")</f>
        <v>Principal Amount (Base)</v>
      </c>
      <c r="AV5" s="28" t="str">
        <f>IFERROR(__xludf.DUMMYFUNCTION("""COMPUTED_VALUE"""),"Allocation Scheme Name")</f>
        <v>Allocation Scheme Name</v>
      </c>
      <c r="AW5" s="28" t="str">
        <f>IFERROR(__xludf.DUMMYFUNCTION("""COMPUTED_VALUE"""),"Status (With Rollover)")</f>
        <v>Status (With Rollover)</v>
      </c>
      <c r="AX5" s="28" t="str">
        <f>IFERROR(__xludf.DUMMYFUNCTION("""COMPUTED_VALUE"""),"Unexecuted Qty")</f>
        <v>Unexecuted Qty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30</v>
      </c>
      <c r="AL6" s="30">
        <v>3000.0</v>
      </c>
      <c r="A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30</v>
      </c>
      <c r="AL6" s="30">
        <v>3000.0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29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2")</f>
        <v>Trade Attribute 2</v>
      </c>
      <c r="R5" s="26" t="str">
        <f>IFERROR(__xludf.DUMMYFUNCTION("""COMPUTED_VALUE"""),"Trade Attribute 1")</f>
        <v>Trade Attribute 1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IFERROR(__xludf.DUMMYFUNCTION("""COMPUTED_VALUE"""),"Day Executed Qty")</f>
        <v>Day Executed Qty</v>
      </c>
      <c r="AO5" s="28" t="str">
        <f>IFERROR(__xludf.DUMMYFUNCTION("""COMPUTED_VALUE"""),"Last Fill Price (Local)")</f>
        <v>Last Fill Price (Local)</v>
      </c>
      <c r="AP5" s="28" t="str">
        <f>IFERROR(__xludf.DUMMYFUNCTION("""COMPUTED_VALUE"""),"Avg Fill Price (Local)")</f>
        <v>Avg Fill Price (Local)</v>
      </c>
      <c r="AQ5" s="28" t="str">
        <f>IFERROR(__xludf.DUMMYFUNCTION("""COMPUTED_VALUE"""),"Broker")</f>
        <v>Broker</v>
      </c>
      <c r="AR5" s="28" t="str">
        <f>IFERROR(__xludf.DUMMYFUNCTION("""COMPUTED_VALUE"""),"Account")</f>
        <v>Account</v>
      </c>
      <c r="AS5" s="28" t="str">
        <f>IFERROR(__xludf.DUMMYFUNCTION("""COMPUTED_VALUE"""),"Order Type")</f>
        <v>Order Type</v>
      </c>
      <c r="AT5" s="28" t="str">
        <f>IFERROR(__xludf.DUMMYFUNCTION("""COMPUTED_VALUE"""),"Principal Amount (Local)")</f>
        <v>Principal Amount (Local)</v>
      </c>
      <c r="AU5" s="28" t="str">
        <f>IFERROR(__xludf.DUMMYFUNCTION("""COMPUTED_VALUE"""),"Principal Amount (Base)")</f>
        <v>Principal Amount (Base)</v>
      </c>
      <c r="AV5" s="28" t="str">
        <f>IFERROR(__xludf.DUMMYFUNCTION("""COMPUTED_VALUE"""),"Allocation Scheme Name")</f>
        <v>Allocation Scheme Name</v>
      </c>
      <c r="AW5" s="28" t="str">
        <f>IFERROR(__xludf.DUMMYFUNCTION("""COMPUTED_VALUE"""),"Status (With Rollover)")</f>
        <v>Status (With Rollover)</v>
      </c>
      <c r="AX5" s="28" t="str">
        <f>IFERROR(__xludf.DUMMYFUNCTION("""COMPUTED_VALUE"""),"Unexecuted Qty")</f>
        <v>Unexecuted Qty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30</v>
      </c>
      <c r="AL6" s="30">
        <v>3000.0</v>
      </c>
      <c r="AR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31</v>
      </c>
      <c r="D3" s="9" t="s">
        <v>6</v>
      </c>
      <c r="E3" s="21" t="s">
        <v>13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IFERROR(__xludf.DUMMYFUNCTION("TRANSPOSE(IMPORTRANGE(VLOOKUP($E$3,IMPORTRANGE('_Settings'!$B$3,$C$3&amp;""!A4:B1000""),2,FALSE),$G$3&amp;""!A4:A1000""))"),"#N/A")</f>
        <v>#N/A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3"/>
      <c r="B6" s="13" t="s">
        <v>32</v>
      </c>
      <c r="C6" s="7"/>
      <c r="D6" s="13" t="s">
        <v>33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5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32</v>
      </c>
      <c r="C6" s="7"/>
      <c r="D6" s="13" t="s">
        <v>33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