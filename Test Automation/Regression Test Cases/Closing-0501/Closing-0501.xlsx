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<sst xmlns="http://schemas.openxmlformats.org/spreadsheetml/2006/main" count="1648" uniqueCount="84">
  <si>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</si>
  <si>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</si>
  <si>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</si>
  <si>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</si>
  <si>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</si>
  <si>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</si>
  <si>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</si>
  <si>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</si>
  <si>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</si>
  <si>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</si>
  <si>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</si>
  <si>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</si>
  <si>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</si>
  <si>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</si>
  <si>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</si>
  <si>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</si>
  <si>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23Q100.15D2</t>
  </si>
  <si>
    <t>O:AAPL 23Q102.25D2</t>
  </si>
  <si>
    <t>O:AAPL 23Q103.25D2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</si>
  <si>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</si>
  <si>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</si>
  <si>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</si>
  <si>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</si>
  <si>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</si>
  <si>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</si>
  <si>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</si>
  <si>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</si>
  <si>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</si>
  <si>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Sell to Open</t>
  </si>
  <si>
    <t>DailyValuation</t>
  </si>
  <si>
    <t>GetMarkPriceData</t>
  </si>
  <si>
    <t>UpdateMarkPrice</t>
  </si>
  <si>
    <t>GetDataClosing</t>
  </si>
  <si>
    <t>Current</t>
  </si>
  <si>
    <t>SelectTradeUnexpiredUnsettled</t>
  </si>
  <si>
    <t>EquityOption</t>
  </si>
  <si>
    <t>Allocation</t>
  </si>
  <si>
    <t>GetDataAllocation</t>
  </si>
  <si>
    <t>Historical</t>
  </si>
  <si>
    <t>1/1/1800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</si>
  <si>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</si>
  <si>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</si>
  <si>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</si>
  <si>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</si>
  <si>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</si>
  <si>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</si>
  <si>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</si>
  <si>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</si>
  <si>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</si>
  <si>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</si>
  <si>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</si>
  <si>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</si>
  <si>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</si>
  <si>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</si>
  <si>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InternalOrder</t>
  </si>
  <si>
    <t>Strategy Unallocated</t>
  </si>
  <si>
    <t>GCCAP1</t>
  </si>
  <si>
    <t>US</t>
  </si>
  <si>
    <t>NONE</t>
  </si>
  <si>
    <t>D</t>
  </si>
  <si>
    <t>Assignment</t>
  </si>
  <si>
    <t>Closed</t>
  </si>
  <si>
    <t>AAPL OPTION</t>
  </si>
  <si>
    <t>OPTS</t>
  </si>
  <si>
    <t>SelltoOpen</t>
  </si>
  <si>
    <t>Buy to Close</t>
  </si>
  <si>
    <t>SellShort</t>
  </si>
  <si>
    <t>PortfolioManagement</t>
  </si>
  <si>
    <t>CheckPortfolioManagement</t>
  </si>
  <si>
    <t>NewMF</t>
  </si>
  <si>
    <t>Long</t>
  </si>
  <si>
    <t>FIMAT</t>
  </si>
  <si>
    <t>DefaultNotes</t>
  </si>
  <si>
    <t>New Hedge</t>
  </si>
  <si>
    <t>Small Cap</t>
  </si>
  <si>
    <t>Undefined</t>
  </si>
  <si>
    <t>jpearce</t>
  </si>
  <si>
    <t>None</t>
  </si>
  <si>
    <t>Default</t>
  </si>
  <si>
    <t>test1</t>
  </si>
  <si>
    <t>india</t>
  </si>
  <si>
    <t>test 1</t>
  </si>
  <si>
    <t>Yes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</si>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</sst>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today()-8</f>
        <v>45067</v>
      </c>
      <c r="D6" s="3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4"/>
      <c r="B7" s="34" t="s">
        <v>17</v>
      </c>
      <c r="C7" s="32">
        <f>today()-7</f>
        <v>45068</v>
      </c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 t="s">
        <v>18</v>
      </c>
      <c r="C8" s="32">
        <f>today()-6</f>
        <v>45069</v>
      </c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4"/>
      <c r="C9" s="34"/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2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4"/>
      <c r="B8" s="34"/>
      <c r="C8" s="32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34"/>
      <c r="C9" s="34"/>
      <c r="D9" s="34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1100.0</v>
      </c>
      <c r="E6" s="40">
        <v>1100.0</v>
      </c>
      <c r="F6" s="38" t="s">
        <v>26</v>
      </c>
      <c r="G6" s="34"/>
      <c r="H6" s="34"/>
      <c r="I6" s="34"/>
      <c r="J6" s="40">
        <v>10.0</v>
      </c>
      <c r="K6" s="34"/>
      <c r="L6" s="34"/>
      <c r="M6" s="34"/>
      <c r="N6" s="41">
        <f t="shared" ref="N6:N8" si="1">TODAY()-25</f>
        <v>45050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8" t="s">
        <v>27</v>
      </c>
      <c r="D7" s="40">
        <v>50.0</v>
      </c>
      <c r="E7" s="40">
        <v>50.0</v>
      </c>
      <c r="F7" s="38" t="s">
        <v>26</v>
      </c>
      <c r="G7" s="34"/>
      <c r="H7" s="34"/>
      <c r="I7" s="34"/>
      <c r="J7" s="40">
        <v>10.0</v>
      </c>
      <c r="K7" s="34"/>
      <c r="L7" s="34"/>
      <c r="M7" s="34"/>
      <c r="N7" s="41">
        <f t="shared" si="1"/>
        <v>45050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38" t="s">
        <v>28</v>
      </c>
      <c r="D8" s="40">
        <v>10.0</v>
      </c>
      <c r="E8" s="40">
        <v>10.0</v>
      </c>
      <c r="F8" s="38" t="s">
        <v>26</v>
      </c>
      <c r="G8" s="34"/>
      <c r="H8" s="34"/>
      <c r="I8" s="34"/>
      <c r="J8" s="40">
        <v>10.0</v>
      </c>
      <c r="K8" s="34"/>
      <c r="L8" s="34"/>
      <c r="M8" s="34"/>
      <c r="N8" s="41">
        <f t="shared" si="1"/>
        <v>45050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38" t="s">
        <v>28</v>
      </c>
      <c r="D9" s="40">
        <v>10.0</v>
      </c>
      <c r="E9" s="40">
        <v>10.0</v>
      </c>
      <c r="F9" s="38" t="s">
        <v>26</v>
      </c>
      <c r="G9" s="34"/>
      <c r="H9" s="34"/>
      <c r="I9" s="34"/>
      <c r="J9" s="40">
        <v>10.0</v>
      </c>
      <c r="K9" s="34"/>
      <c r="L9" s="34"/>
      <c r="M9" s="34"/>
      <c r="N9" s="41">
        <f>TODAY()-24</f>
        <v>45051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18</v>
      </c>
      <c r="C10" s="38" t="s">
        <v>28</v>
      </c>
      <c r="D10" s="40">
        <v>10.0</v>
      </c>
      <c r="E10" s="40">
        <v>10.0</v>
      </c>
      <c r="F10" s="38" t="s">
        <v>26</v>
      </c>
      <c r="G10" s="34"/>
      <c r="H10" s="34"/>
      <c r="I10" s="34"/>
      <c r="J10" s="40">
        <v>10.0</v>
      </c>
      <c r="K10" s="34"/>
      <c r="L10" s="34"/>
      <c r="M10" s="34"/>
      <c r="N10" s="41">
        <f>TODAY()-23</f>
        <v>45052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45074</v>
      </c>
      <c r="C6" s="32">
        <f>Today()</f>
        <v>45075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33</v>
      </c>
      <c r="C6" s="34"/>
      <c r="D6" s="31"/>
      <c r="E6" s="34" t="s">
        <v>26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26</v>
      </c>
      <c r="C6" s="34"/>
      <c r="D6" s="31"/>
      <c r="E6" s="38" t="s">
        <v>35</v>
      </c>
      <c r="F6" s="34"/>
      <c r="G6" s="34"/>
      <c r="H6" s="34"/>
      <c r="I6" s="40">
        <v>10.0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2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26</v>
      </c>
      <c r="C7" s="34"/>
      <c r="D7" s="34"/>
      <c r="E7" s="38" t="s">
        <v>35</v>
      </c>
      <c r="F7" s="34"/>
      <c r="G7" s="34"/>
      <c r="H7" s="34"/>
      <c r="I7" s="40">
        <v>10.0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2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26</v>
      </c>
      <c r="C8" s="34"/>
      <c r="D8" s="34"/>
      <c r="E8" s="38" t="s">
        <v>35</v>
      </c>
      <c r="F8" s="34"/>
      <c r="G8" s="34"/>
      <c r="H8" s="34"/>
      <c r="I8" s="40">
        <v>10.0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2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38</v>
      </c>
      <c r="C6" s="41" t="s">
        <v>39</v>
      </c>
      <c r="D6" s="41">
        <f>TODAY()</f>
        <v>45075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41</v>
      </c>
      <c r="B6" s="31" t="s">
        <v>26</v>
      </c>
      <c r="C6" s="38" t="s">
        <v>42</v>
      </c>
      <c r="D6" s="31"/>
      <c r="E6" s="40">
        <v>1100.0</v>
      </c>
      <c r="F6" s="38" t="s">
        <v>43</v>
      </c>
      <c r="G6" s="38" t="s">
        <v>44</v>
      </c>
      <c r="H6" s="38"/>
      <c r="I6" s="38"/>
      <c r="J6" s="38"/>
      <c r="K6" s="40">
        <v>10.0</v>
      </c>
      <c r="L6" s="40">
        <v>10.0</v>
      </c>
      <c r="M6" s="38" t="s">
        <v>45</v>
      </c>
      <c r="N6" s="38" t="s">
        <v>46</v>
      </c>
      <c r="O6" s="38" t="s">
        <v>47</v>
      </c>
      <c r="P6" s="34"/>
      <c r="Q6" s="42">
        <v>3.0</v>
      </c>
      <c r="R6" s="42">
        <v>0.0</v>
      </c>
      <c r="S6" s="34" t="s">
        <v>48</v>
      </c>
      <c r="T6" s="42">
        <v>0.0</v>
      </c>
      <c r="U6" s="42">
        <v>0.0</v>
      </c>
      <c r="V6" s="34" t="s">
        <v>49</v>
      </c>
      <c r="W6" s="42">
        <v>1.0</v>
      </c>
      <c r="X6" s="42">
        <v>0.0</v>
      </c>
      <c r="Y6" s="34" t="s">
        <v>41</v>
      </c>
      <c r="Z6" s="34" t="s">
        <v>50</v>
      </c>
      <c r="AA6" s="34" t="s">
        <v>24</v>
      </c>
      <c r="AB6" s="42">
        <v>1.0</v>
      </c>
      <c r="AC6" s="34" t="s">
        <v>51</v>
      </c>
      <c r="AD6" s="34" t="s">
        <v>52</v>
      </c>
      <c r="AE6" s="42">
        <v>1100.0</v>
      </c>
      <c r="AF6" s="34" t="s">
        <v>41</v>
      </c>
      <c r="AG6" s="34"/>
      <c r="AH6" s="34" t="s">
        <v>53</v>
      </c>
      <c r="AI6" s="42">
        <v>1.0</v>
      </c>
      <c r="AJ6" s="34"/>
      <c r="AK6" s="34"/>
      <c r="AL6" s="34"/>
      <c r="AM6" s="34"/>
      <c r="AN6" s="34"/>
      <c r="AO6" s="34"/>
      <c r="AP6" s="44" t="b">
        <v>1</v>
      </c>
      <c r="AQ6" s="44" t="b">
        <v>0</v>
      </c>
      <c r="AR6" s="44" t="b">
        <v>1</v>
      </c>
      <c r="AS6" s="42">
        <v>0.0</v>
      </c>
      <c r="AT6" s="42">
        <v>11014.0062</v>
      </c>
      <c r="AU6" s="42">
        <v>11014.0062</v>
      </c>
      <c r="AV6" s="34"/>
      <c r="AW6" s="34"/>
      <c r="AX6" s="34"/>
      <c r="AY6" s="34"/>
      <c r="AZ6" s="34"/>
      <c r="BA6" s="34"/>
      <c r="BB6" s="34"/>
      <c r="BC6" s="42">
        <v>0.0</v>
      </c>
      <c r="BD6" s="34" t="s">
        <v>54</v>
      </c>
      <c r="BE6" s="42">
        <v>11000.0</v>
      </c>
      <c r="BF6" s="42">
        <v>11000.0</v>
      </c>
      <c r="BG6" s="34"/>
      <c r="BH6" s="34"/>
      <c r="BI6" s="34"/>
      <c r="BJ6" s="42">
        <v>1100.0</v>
      </c>
      <c r="BK6" s="34"/>
      <c r="BL6" s="34" t="s">
        <v>41</v>
      </c>
      <c r="BM6" s="34" t="s">
        <v>50</v>
      </c>
      <c r="BN6" s="34"/>
      <c r="BO6" s="34" t="s">
        <v>25</v>
      </c>
      <c r="BP6" s="34"/>
      <c r="BQ6" s="34"/>
      <c r="BR6" s="34"/>
      <c r="BS6" s="34" t="s">
        <v>55</v>
      </c>
      <c r="BT6" s="34" t="s">
        <v>24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 t="s">
        <v>56</v>
      </c>
      <c r="CG6" s="34"/>
      <c r="CH6" s="34" t="s">
        <v>22</v>
      </c>
      <c r="CI6" s="34" t="s">
        <v>25</v>
      </c>
      <c r="CJ6" s="34"/>
      <c r="CK6" s="34" t="s">
        <v>57</v>
      </c>
      <c r="CL6" s="42">
        <v>1.0</v>
      </c>
      <c r="CM6" s="34" t="s">
        <v>24</v>
      </c>
      <c r="CN6" s="34"/>
      <c r="CO6" s="34"/>
      <c r="CP6" s="34" t="s">
        <v>58</v>
      </c>
      <c r="CQ6" s="34"/>
      <c r="CR6" s="34"/>
      <c r="CS6" s="34" t="s">
        <v>41</v>
      </c>
      <c r="CT6" s="34"/>
      <c r="CU6" s="34"/>
      <c r="CV6" s="34" t="s">
        <v>41</v>
      </c>
      <c r="CW6" s="34" t="s">
        <v>41</v>
      </c>
      <c r="CX6" s="34" t="s">
        <v>41</v>
      </c>
      <c r="CY6" s="34" t="s">
        <v>41</v>
      </c>
      <c r="CZ6" s="34" t="s">
        <v>41</v>
      </c>
      <c r="DA6" s="34" t="s">
        <v>41</v>
      </c>
      <c r="DB6" s="34" t="s">
        <v>41</v>
      </c>
      <c r="DC6" s="34" t="s">
        <v>41</v>
      </c>
      <c r="DD6" s="34" t="s">
        <v>41</v>
      </c>
      <c r="DE6" s="34" t="s">
        <v>41</v>
      </c>
      <c r="DF6" s="34" t="s">
        <v>41</v>
      </c>
      <c r="DG6" s="34" t="s">
        <v>41</v>
      </c>
      <c r="DH6" s="34" t="s">
        <v>41</v>
      </c>
      <c r="DI6" s="34" t="s">
        <v>41</v>
      </c>
      <c r="DJ6" s="34" t="s">
        <v>41</v>
      </c>
      <c r="DK6" s="34" t="s">
        <v>41</v>
      </c>
      <c r="DL6" s="34" t="s">
        <v>41</v>
      </c>
      <c r="DM6" s="34" t="s">
        <v>41</v>
      </c>
      <c r="DN6" s="34" t="s">
        <v>41</v>
      </c>
      <c r="DO6" s="34" t="s">
        <v>41</v>
      </c>
      <c r="DP6" s="34" t="s">
        <v>41</v>
      </c>
      <c r="DQ6" s="34" t="s">
        <v>41</v>
      </c>
      <c r="DR6" s="34" t="s">
        <v>41</v>
      </c>
      <c r="DS6" s="34" t="s">
        <v>41</v>
      </c>
      <c r="DT6" s="34" t="s">
        <v>41</v>
      </c>
      <c r="DU6" s="34" t="s">
        <v>41</v>
      </c>
      <c r="DV6" s="34" t="s">
        <v>41</v>
      </c>
      <c r="DW6" s="34" t="s">
        <v>41</v>
      </c>
      <c r="DX6" s="34" t="s">
        <v>41</v>
      </c>
      <c r="DY6" s="34" t="s">
        <v>41</v>
      </c>
      <c r="DZ6" s="34" t="s">
        <v>41</v>
      </c>
      <c r="EA6" s="34" t="s">
        <v>41</v>
      </c>
      <c r="EB6" s="34" t="s">
        <v>41</v>
      </c>
      <c r="EC6" s="34" t="s">
        <v>41</v>
      </c>
      <c r="ED6" s="34" t="s">
        <v>41</v>
      </c>
      <c r="EE6" s="34" t="s">
        <v>41</v>
      </c>
      <c r="EF6" s="34" t="s">
        <v>41</v>
      </c>
      <c r="EG6" s="34" t="s">
        <v>41</v>
      </c>
      <c r="EH6" s="34" t="s">
        <v>41</v>
      </c>
      <c r="EI6" s="34" t="s">
        <v>41</v>
      </c>
      <c r="EJ6" s="34" t="s">
        <v>41</v>
      </c>
      <c r="EK6" s="34" t="s">
        <v>41</v>
      </c>
      <c r="EL6" s="34" t="s">
        <v>41</v>
      </c>
      <c r="EM6" s="34" t="s">
        <v>41</v>
      </c>
      <c r="EN6" s="34" t="s">
        <v>41</v>
      </c>
      <c r="EO6" s="34" t="s">
        <v>41</v>
      </c>
      <c r="EP6" s="34" t="s">
        <v>41</v>
      </c>
      <c r="EQ6" s="34" t="s">
        <v>41</v>
      </c>
      <c r="ER6" s="34" t="s">
        <v>41</v>
      </c>
      <c r="ES6" s="34" t="s">
        <v>41</v>
      </c>
      <c r="ET6" s="34" t="s">
        <v>41</v>
      </c>
      <c r="EU6" s="34" t="s">
        <v>41</v>
      </c>
      <c r="EV6" s="34" t="s">
        <v>41</v>
      </c>
      <c r="EW6" s="34" t="s">
        <v>41</v>
      </c>
      <c r="EX6" s="34" t="s">
        <v>41</v>
      </c>
      <c r="EY6" s="34"/>
      <c r="EZ6" s="34"/>
      <c r="FA6" s="34" t="s">
        <v>41</v>
      </c>
      <c r="FB6" s="34" t="s">
        <v>41</v>
      </c>
      <c r="FC6" s="34" t="s">
        <v>41</v>
      </c>
      <c r="FD6" s="42">
        <v>0.0</v>
      </c>
      <c r="FE6" s="34" t="s">
        <v>41</v>
      </c>
      <c r="FF6" s="34" t="s">
        <v>41</v>
      </c>
      <c r="FG6" s="42">
        <v>0.0</v>
      </c>
      <c r="FH6" s="34" t="s">
        <v>41</v>
      </c>
      <c r="FI6" s="34" t="s">
        <v>41</v>
      </c>
      <c r="FJ6" s="34"/>
      <c r="FK6" s="34" t="s">
        <v>41</v>
      </c>
      <c r="FL6" s="34" t="s">
        <v>41</v>
      </c>
      <c r="FM6" s="34" t="s">
        <v>41</v>
      </c>
      <c r="FN6" s="34" t="s">
        <v>41</v>
      </c>
      <c r="FO6" s="34" t="s">
        <v>41</v>
      </c>
      <c r="FP6" s="34" t="s">
        <v>41</v>
      </c>
      <c r="FQ6" s="34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8" t="s">
        <v>41</v>
      </c>
      <c r="B7" s="38" t="s">
        <v>26</v>
      </c>
      <c r="C7" s="38" t="s">
        <v>42</v>
      </c>
      <c r="D7" s="38"/>
      <c r="E7" s="40">
        <v>1000.0</v>
      </c>
      <c r="F7" s="38" t="s">
        <v>43</v>
      </c>
      <c r="G7" s="38" t="s">
        <v>44</v>
      </c>
      <c r="H7" s="38"/>
      <c r="I7" s="38"/>
      <c r="J7" s="38"/>
      <c r="K7" s="40">
        <v>103.25</v>
      </c>
      <c r="L7" s="40">
        <v>103.25</v>
      </c>
      <c r="M7" s="38" t="s">
        <v>45</v>
      </c>
      <c r="N7" s="38" t="s">
        <v>46</v>
      </c>
      <c r="O7" s="38" t="s">
        <v>47</v>
      </c>
      <c r="P7" s="34"/>
      <c r="Q7" s="42">
        <v>3.0</v>
      </c>
      <c r="R7" s="42">
        <v>0.0</v>
      </c>
      <c r="S7" s="34" t="s">
        <v>48</v>
      </c>
      <c r="T7" s="42">
        <v>0.0</v>
      </c>
      <c r="U7" s="42">
        <v>0.0</v>
      </c>
      <c r="V7" s="34" t="s">
        <v>49</v>
      </c>
      <c r="W7" s="42">
        <v>1.0</v>
      </c>
      <c r="X7" s="42">
        <v>0.0</v>
      </c>
      <c r="Y7" s="34" t="s">
        <v>41</v>
      </c>
      <c r="Z7" s="34" t="s">
        <v>50</v>
      </c>
      <c r="AA7" s="34" t="s">
        <v>24</v>
      </c>
      <c r="AB7" s="42">
        <v>1.0</v>
      </c>
      <c r="AC7" s="34"/>
      <c r="AD7" s="34" t="s">
        <v>52</v>
      </c>
      <c r="AE7" s="42">
        <v>1000.0</v>
      </c>
      <c r="AF7" s="34" t="s">
        <v>41</v>
      </c>
      <c r="AG7" s="34"/>
      <c r="AH7" s="34" t="s">
        <v>59</v>
      </c>
      <c r="AI7" s="42">
        <v>1.0</v>
      </c>
      <c r="AJ7" s="34"/>
      <c r="AK7" s="34"/>
      <c r="AL7" s="34"/>
      <c r="AM7" s="34"/>
      <c r="AN7" s="34"/>
      <c r="AO7" s="34"/>
      <c r="AP7" s="44" t="b">
        <v>1</v>
      </c>
      <c r="AQ7" s="44" t="b">
        <v>0</v>
      </c>
      <c r="AR7" s="44" t="b">
        <v>1</v>
      </c>
      <c r="AS7" s="42">
        <v>0.0</v>
      </c>
      <c r="AT7" s="42">
        <v>93250.0</v>
      </c>
      <c r="AU7" s="42">
        <v>93250.0</v>
      </c>
      <c r="AV7" s="34"/>
      <c r="AW7" s="34"/>
      <c r="AX7" s="34"/>
      <c r="AY7" s="34"/>
      <c r="AZ7" s="34"/>
      <c r="BA7" s="34"/>
      <c r="BB7" s="34"/>
      <c r="BC7" s="42">
        <v>0.0</v>
      </c>
      <c r="BD7" s="34" t="s">
        <v>54</v>
      </c>
      <c r="BE7" s="42">
        <v>103250.0</v>
      </c>
      <c r="BF7" s="42">
        <v>103250.0</v>
      </c>
      <c r="BG7" s="34"/>
      <c r="BH7" s="34"/>
      <c r="BI7" s="34"/>
      <c r="BJ7" s="42">
        <v>1000.0</v>
      </c>
      <c r="BK7" s="34"/>
      <c r="BL7" s="34" t="s">
        <v>41</v>
      </c>
      <c r="BM7" s="34" t="s">
        <v>50</v>
      </c>
      <c r="BN7" s="34"/>
      <c r="BO7" s="34" t="s">
        <v>25</v>
      </c>
      <c r="BP7" s="34"/>
      <c r="BQ7" s="34"/>
      <c r="BR7" s="34"/>
      <c r="BS7" s="34" t="s">
        <v>55</v>
      </c>
      <c r="BT7" s="34" t="s">
        <v>24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 t="s">
        <v>56</v>
      </c>
      <c r="CG7" s="34"/>
      <c r="CH7" s="34" t="s">
        <v>19</v>
      </c>
      <c r="CI7" s="34" t="s">
        <v>60</v>
      </c>
      <c r="CJ7" s="34"/>
      <c r="CK7" s="34" t="s">
        <v>57</v>
      </c>
      <c r="CL7" s="42">
        <v>1.0</v>
      </c>
      <c r="CM7" s="34" t="s">
        <v>24</v>
      </c>
      <c r="CN7" s="34"/>
      <c r="CO7" s="34"/>
      <c r="CP7" s="34" t="s">
        <v>58</v>
      </c>
      <c r="CQ7" s="34"/>
      <c r="CR7" s="34"/>
      <c r="CS7" s="34" t="s">
        <v>41</v>
      </c>
      <c r="CT7" s="34"/>
      <c r="CU7" s="34"/>
      <c r="CV7" s="34" t="s">
        <v>41</v>
      </c>
      <c r="CW7" s="34" t="s">
        <v>41</v>
      </c>
      <c r="CX7" s="34" t="s">
        <v>41</v>
      </c>
      <c r="CY7" s="34" t="s">
        <v>41</v>
      </c>
      <c r="CZ7" s="34" t="s">
        <v>41</v>
      </c>
      <c r="DA7" s="34" t="s">
        <v>41</v>
      </c>
      <c r="DB7" s="34" t="s">
        <v>41</v>
      </c>
      <c r="DC7" s="34" t="s">
        <v>41</v>
      </c>
      <c r="DD7" s="34" t="s">
        <v>41</v>
      </c>
      <c r="DE7" s="34" t="s">
        <v>41</v>
      </c>
      <c r="DF7" s="34" t="s">
        <v>41</v>
      </c>
      <c r="DG7" s="34" t="s">
        <v>41</v>
      </c>
      <c r="DH7" s="34" t="s">
        <v>41</v>
      </c>
      <c r="DI7" s="34" t="s">
        <v>41</v>
      </c>
      <c r="DJ7" s="34" t="s">
        <v>41</v>
      </c>
      <c r="DK7" s="34" t="s">
        <v>41</v>
      </c>
      <c r="DL7" s="34" t="s">
        <v>41</v>
      </c>
      <c r="DM7" s="34" t="s">
        <v>41</v>
      </c>
      <c r="DN7" s="34" t="s">
        <v>41</v>
      </c>
      <c r="DO7" s="34" t="s">
        <v>41</v>
      </c>
      <c r="DP7" s="34" t="s">
        <v>41</v>
      </c>
      <c r="DQ7" s="34" t="s">
        <v>41</v>
      </c>
      <c r="DR7" s="34" t="s">
        <v>41</v>
      </c>
      <c r="DS7" s="34" t="s">
        <v>41</v>
      </c>
      <c r="DT7" s="34" t="s">
        <v>41</v>
      </c>
      <c r="DU7" s="34" t="s">
        <v>41</v>
      </c>
      <c r="DV7" s="34" t="s">
        <v>41</v>
      </c>
      <c r="DW7" s="34" t="s">
        <v>41</v>
      </c>
      <c r="DX7" s="34" t="s">
        <v>41</v>
      </c>
      <c r="DY7" s="34" t="s">
        <v>41</v>
      </c>
      <c r="DZ7" s="34" t="s">
        <v>41</v>
      </c>
      <c r="EA7" s="34" t="s">
        <v>41</v>
      </c>
      <c r="EB7" s="34" t="s">
        <v>41</v>
      </c>
      <c r="EC7" s="34" t="s">
        <v>41</v>
      </c>
      <c r="ED7" s="34" t="s">
        <v>41</v>
      </c>
      <c r="EE7" s="34" t="s">
        <v>41</v>
      </c>
      <c r="EF7" s="34" t="s">
        <v>41</v>
      </c>
      <c r="EG7" s="34" t="s">
        <v>41</v>
      </c>
      <c r="EH7" s="34" t="s">
        <v>41</v>
      </c>
      <c r="EI7" s="34" t="s">
        <v>41</v>
      </c>
      <c r="EJ7" s="34" t="s">
        <v>41</v>
      </c>
      <c r="EK7" s="34" t="s">
        <v>41</v>
      </c>
      <c r="EL7" s="34" t="s">
        <v>41</v>
      </c>
      <c r="EM7" s="34" t="s">
        <v>41</v>
      </c>
      <c r="EN7" s="34" t="s">
        <v>41</v>
      </c>
      <c r="EO7" s="34" t="s">
        <v>41</v>
      </c>
      <c r="EP7" s="34" t="s">
        <v>41</v>
      </c>
      <c r="EQ7" s="34" t="s">
        <v>41</v>
      </c>
      <c r="ER7" s="34" t="s">
        <v>41</v>
      </c>
      <c r="ES7" s="34" t="s">
        <v>41</v>
      </c>
      <c r="ET7" s="34" t="s">
        <v>41</v>
      </c>
      <c r="EU7" s="34" t="s">
        <v>41</v>
      </c>
      <c r="EV7" s="34" t="s">
        <v>41</v>
      </c>
      <c r="EW7" s="34" t="s">
        <v>41</v>
      </c>
      <c r="EX7" s="34" t="s">
        <v>41</v>
      </c>
      <c r="EY7" s="34"/>
      <c r="EZ7" s="34"/>
      <c r="FA7" s="34" t="s">
        <v>41</v>
      </c>
      <c r="FB7" s="34" t="s">
        <v>41</v>
      </c>
      <c r="FC7" s="34" t="s">
        <v>41</v>
      </c>
      <c r="FD7" s="42">
        <v>0.0</v>
      </c>
      <c r="FE7" s="34" t="s">
        <v>41</v>
      </c>
      <c r="FF7" s="34" t="s">
        <v>41</v>
      </c>
      <c r="FG7" s="42">
        <v>0.0</v>
      </c>
      <c r="FH7" s="34" t="s">
        <v>41</v>
      </c>
      <c r="FI7" s="34" t="s">
        <v>41</v>
      </c>
      <c r="FJ7" s="34"/>
      <c r="FK7" s="34" t="s">
        <v>41</v>
      </c>
      <c r="FL7" s="34" t="s">
        <v>41</v>
      </c>
      <c r="FM7" s="34" t="s">
        <v>41</v>
      </c>
      <c r="FN7" s="34" t="s">
        <v>41</v>
      </c>
      <c r="FO7" s="34" t="s">
        <v>41</v>
      </c>
      <c r="FP7" s="34" t="s">
        <v>41</v>
      </c>
      <c r="FQ7" s="34" t="s">
        <v>41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8" t="s">
        <v>41</v>
      </c>
      <c r="B8" s="38" t="s">
        <v>26</v>
      </c>
      <c r="C8" s="38" t="s">
        <v>42</v>
      </c>
      <c r="D8" s="38"/>
      <c r="E8" s="40">
        <v>1000.0</v>
      </c>
      <c r="F8" s="38" t="s">
        <v>43</v>
      </c>
      <c r="G8" s="38" t="s">
        <v>44</v>
      </c>
      <c r="H8" s="38"/>
      <c r="I8" s="38"/>
      <c r="J8" s="38"/>
      <c r="K8" s="40">
        <v>102.25</v>
      </c>
      <c r="L8" s="40">
        <v>102.25</v>
      </c>
      <c r="M8" s="38" t="s">
        <v>45</v>
      </c>
      <c r="N8" s="38" t="s">
        <v>46</v>
      </c>
      <c r="O8" s="38" t="s">
        <v>47</v>
      </c>
      <c r="P8" s="34"/>
      <c r="Q8" s="42">
        <v>3.0</v>
      </c>
      <c r="R8" s="42">
        <v>0.0</v>
      </c>
      <c r="S8" s="34" t="s">
        <v>48</v>
      </c>
      <c r="T8" s="42">
        <v>0.0</v>
      </c>
      <c r="U8" s="42">
        <v>0.0</v>
      </c>
      <c r="V8" s="34" t="s">
        <v>49</v>
      </c>
      <c r="W8" s="42">
        <v>1.0</v>
      </c>
      <c r="X8" s="42">
        <v>0.0</v>
      </c>
      <c r="Y8" s="34" t="s">
        <v>41</v>
      </c>
      <c r="Z8" s="34" t="s">
        <v>50</v>
      </c>
      <c r="AA8" s="34" t="s">
        <v>24</v>
      </c>
      <c r="AB8" s="42">
        <v>1.0</v>
      </c>
      <c r="AC8" s="34"/>
      <c r="AD8" s="34" t="s">
        <v>52</v>
      </c>
      <c r="AE8" s="42">
        <v>1000.0</v>
      </c>
      <c r="AF8" s="34" t="s">
        <v>41</v>
      </c>
      <c r="AG8" s="34"/>
      <c r="AH8" s="34" t="s">
        <v>59</v>
      </c>
      <c r="AI8" s="42">
        <v>1.0</v>
      </c>
      <c r="AJ8" s="34"/>
      <c r="AK8" s="34"/>
      <c r="AL8" s="34"/>
      <c r="AM8" s="34"/>
      <c r="AN8" s="34"/>
      <c r="AO8" s="34"/>
      <c r="AP8" s="44" t="b">
        <v>1</v>
      </c>
      <c r="AQ8" s="44" t="b">
        <v>0</v>
      </c>
      <c r="AR8" s="44" t="b">
        <v>1</v>
      </c>
      <c r="AS8" s="42">
        <v>0.0</v>
      </c>
      <c r="AT8" s="42">
        <v>92250.0</v>
      </c>
      <c r="AU8" s="42">
        <v>92250.0</v>
      </c>
      <c r="AV8" s="34"/>
      <c r="AW8" s="34"/>
      <c r="AX8" s="34"/>
      <c r="AY8" s="34"/>
      <c r="AZ8" s="34"/>
      <c r="BA8" s="34"/>
      <c r="BB8" s="34"/>
      <c r="BC8" s="42">
        <v>0.0</v>
      </c>
      <c r="BD8" s="34" t="s">
        <v>54</v>
      </c>
      <c r="BE8" s="42">
        <v>102250.0</v>
      </c>
      <c r="BF8" s="42">
        <v>102250.0</v>
      </c>
      <c r="BG8" s="34"/>
      <c r="BH8" s="34"/>
      <c r="BI8" s="34"/>
      <c r="BJ8" s="42">
        <v>1000.0</v>
      </c>
      <c r="BK8" s="34"/>
      <c r="BL8" s="34" t="s">
        <v>41</v>
      </c>
      <c r="BM8" s="34" t="s">
        <v>50</v>
      </c>
      <c r="BN8" s="34"/>
      <c r="BO8" s="34" t="s">
        <v>25</v>
      </c>
      <c r="BP8" s="34"/>
      <c r="BQ8" s="34"/>
      <c r="BR8" s="34"/>
      <c r="BS8" s="34" t="s">
        <v>55</v>
      </c>
      <c r="BT8" s="34" t="s">
        <v>24</v>
      </c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 t="s">
        <v>56</v>
      </c>
      <c r="CG8" s="34"/>
      <c r="CH8" s="34" t="s">
        <v>19</v>
      </c>
      <c r="CI8" s="34" t="s">
        <v>60</v>
      </c>
      <c r="CJ8" s="34"/>
      <c r="CK8" s="34" t="s">
        <v>57</v>
      </c>
      <c r="CL8" s="42">
        <v>1.0</v>
      </c>
      <c r="CM8" s="34" t="s">
        <v>24</v>
      </c>
      <c r="CN8" s="34"/>
      <c r="CO8" s="34"/>
      <c r="CP8" s="34" t="s">
        <v>58</v>
      </c>
      <c r="CQ8" s="34"/>
      <c r="CR8" s="34"/>
      <c r="CS8" s="34" t="s">
        <v>41</v>
      </c>
      <c r="CT8" s="34"/>
      <c r="CU8" s="34"/>
      <c r="CV8" s="34" t="s">
        <v>41</v>
      </c>
      <c r="CW8" s="34" t="s">
        <v>41</v>
      </c>
      <c r="CX8" s="34" t="s">
        <v>41</v>
      </c>
      <c r="CY8" s="34" t="s">
        <v>41</v>
      </c>
      <c r="CZ8" s="34" t="s">
        <v>41</v>
      </c>
      <c r="DA8" s="34" t="s">
        <v>41</v>
      </c>
      <c r="DB8" s="34" t="s">
        <v>41</v>
      </c>
      <c r="DC8" s="34" t="s">
        <v>41</v>
      </c>
      <c r="DD8" s="34" t="s">
        <v>41</v>
      </c>
      <c r="DE8" s="34" t="s">
        <v>41</v>
      </c>
      <c r="DF8" s="34" t="s">
        <v>41</v>
      </c>
      <c r="DG8" s="34" t="s">
        <v>41</v>
      </c>
      <c r="DH8" s="34" t="s">
        <v>41</v>
      </c>
      <c r="DI8" s="34" t="s">
        <v>41</v>
      </c>
      <c r="DJ8" s="34" t="s">
        <v>41</v>
      </c>
      <c r="DK8" s="34" t="s">
        <v>41</v>
      </c>
      <c r="DL8" s="34" t="s">
        <v>41</v>
      </c>
      <c r="DM8" s="34" t="s">
        <v>41</v>
      </c>
      <c r="DN8" s="34" t="s">
        <v>41</v>
      </c>
      <c r="DO8" s="34" t="s">
        <v>41</v>
      </c>
      <c r="DP8" s="34" t="s">
        <v>41</v>
      </c>
      <c r="DQ8" s="34" t="s">
        <v>41</v>
      </c>
      <c r="DR8" s="34" t="s">
        <v>41</v>
      </c>
      <c r="DS8" s="34" t="s">
        <v>41</v>
      </c>
      <c r="DT8" s="34" t="s">
        <v>41</v>
      </c>
      <c r="DU8" s="34" t="s">
        <v>41</v>
      </c>
      <c r="DV8" s="34" t="s">
        <v>41</v>
      </c>
      <c r="DW8" s="34" t="s">
        <v>41</v>
      </c>
      <c r="DX8" s="34" t="s">
        <v>41</v>
      </c>
      <c r="DY8" s="34" t="s">
        <v>41</v>
      </c>
      <c r="DZ8" s="34" t="s">
        <v>41</v>
      </c>
      <c r="EA8" s="34" t="s">
        <v>41</v>
      </c>
      <c r="EB8" s="34" t="s">
        <v>41</v>
      </c>
      <c r="EC8" s="34" t="s">
        <v>41</v>
      </c>
      <c r="ED8" s="34" t="s">
        <v>41</v>
      </c>
      <c r="EE8" s="34" t="s">
        <v>41</v>
      </c>
      <c r="EF8" s="34" t="s">
        <v>41</v>
      </c>
      <c r="EG8" s="34" t="s">
        <v>41</v>
      </c>
      <c r="EH8" s="34" t="s">
        <v>41</v>
      </c>
      <c r="EI8" s="34" t="s">
        <v>41</v>
      </c>
      <c r="EJ8" s="34" t="s">
        <v>41</v>
      </c>
      <c r="EK8" s="34" t="s">
        <v>41</v>
      </c>
      <c r="EL8" s="34" t="s">
        <v>41</v>
      </c>
      <c r="EM8" s="34" t="s">
        <v>41</v>
      </c>
      <c r="EN8" s="34" t="s">
        <v>41</v>
      </c>
      <c r="EO8" s="34" t="s">
        <v>41</v>
      </c>
      <c r="EP8" s="34" t="s">
        <v>41</v>
      </c>
      <c r="EQ8" s="34" t="s">
        <v>41</v>
      </c>
      <c r="ER8" s="34" t="s">
        <v>41</v>
      </c>
      <c r="ES8" s="34" t="s">
        <v>41</v>
      </c>
      <c r="ET8" s="34" t="s">
        <v>41</v>
      </c>
      <c r="EU8" s="34" t="s">
        <v>41</v>
      </c>
      <c r="EV8" s="34" t="s">
        <v>41</v>
      </c>
      <c r="EW8" s="34" t="s">
        <v>41</v>
      </c>
      <c r="EX8" s="34" t="s">
        <v>41</v>
      </c>
      <c r="EY8" s="34"/>
      <c r="EZ8" s="34"/>
      <c r="FA8" s="34" t="s">
        <v>41</v>
      </c>
      <c r="FB8" s="34" t="s">
        <v>41</v>
      </c>
      <c r="FC8" s="34" t="s">
        <v>41</v>
      </c>
      <c r="FD8" s="42">
        <v>0.0</v>
      </c>
      <c r="FE8" s="34" t="s">
        <v>41</v>
      </c>
      <c r="FF8" s="34" t="s">
        <v>41</v>
      </c>
      <c r="FG8" s="42">
        <v>0.0</v>
      </c>
      <c r="FH8" s="34" t="s">
        <v>41</v>
      </c>
      <c r="FI8" s="34" t="s">
        <v>41</v>
      </c>
      <c r="FJ8" s="34"/>
      <c r="FK8" s="34" t="s">
        <v>41</v>
      </c>
      <c r="FL8" s="34" t="s">
        <v>41</v>
      </c>
      <c r="FM8" s="34" t="s">
        <v>41</v>
      </c>
      <c r="FN8" s="34" t="s">
        <v>41</v>
      </c>
      <c r="FO8" s="34" t="s">
        <v>41</v>
      </c>
      <c r="FP8" s="34" t="s">
        <v>41</v>
      </c>
      <c r="FQ8" s="34" t="s">
        <v>41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8" t="s">
        <v>41</v>
      </c>
      <c r="B9" s="38" t="s">
        <v>26</v>
      </c>
      <c r="C9" s="38" t="s">
        <v>42</v>
      </c>
      <c r="D9" s="38"/>
      <c r="E9" s="40">
        <v>10.0</v>
      </c>
      <c r="F9" s="38" t="s">
        <v>43</v>
      </c>
      <c r="G9" s="38" t="s">
        <v>35</v>
      </c>
      <c r="H9" s="38"/>
      <c r="I9" s="38"/>
      <c r="J9" s="38"/>
      <c r="K9" s="40">
        <v>10.0</v>
      </c>
      <c r="L9" s="40">
        <v>10.0</v>
      </c>
      <c r="M9" s="38"/>
      <c r="N9" s="38" t="s">
        <v>46</v>
      </c>
      <c r="O9" s="38" t="s">
        <v>47</v>
      </c>
      <c r="P9" s="34"/>
      <c r="Q9" s="42">
        <v>3.0</v>
      </c>
      <c r="R9" s="42">
        <v>0.0</v>
      </c>
      <c r="S9" s="34" t="s">
        <v>61</v>
      </c>
      <c r="T9" s="42">
        <v>0.0</v>
      </c>
      <c r="U9" s="42">
        <v>0.0</v>
      </c>
      <c r="V9" s="34" t="s">
        <v>62</v>
      </c>
      <c r="W9" s="42">
        <v>100.0</v>
      </c>
      <c r="X9" s="42">
        <v>0.0</v>
      </c>
      <c r="Y9" s="34" t="s">
        <v>41</v>
      </c>
      <c r="Z9" s="34" t="s">
        <v>50</v>
      </c>
      <c r="AA9" s="34"/>
      <c r="AB9" s="42">
        <v>1.0</v>
      </c>
      <c r="AC9" s="34" t="s">
        <v>51</v>
      </c>
      <c r="AD9" s="34" t="s">
        <v>63</v>
      </c>
      <c r="AE9" s="42">
        <v>10.0</v>
      </c>
      <c r="AF9" s="34" t="s">
        <v>41</v>
      </c>
      <c r="AG9" s="34"/>
      <c r="AH9" s="34" t="s">
        <v>53</v>
      </c>
      <c r="AI9" s="42">
        <v>1.0</v>
      </c>
      <c r="AJ9" s="34"/>
      <c r="AK9" s="34"/>
      <c r="AL9" s="34"/>
      <c r="AM9" s="34"/>
      <c r="AN9" s="34"/>
      <c r="AO9" s="34"/>
      <c r="AP9" s="44" t="b">
        <v>1</v>
      </c>
      <c r="AQ9" s="44" t="b">
        <v>0</v>
      </c>
      <c r="AR9" s="44" t="b">
        <v>1</v>
      </c>
      <c r="AS9" s="42">
        <v>0.0</v>
      </c>
      <c r="AT9" s="42">
        <v>10000.0</v>
      </c>
      <c r="AU9" s="42">
        <v>10000.0</v>
      </c>
      <c r="AV9" s="34"/>
      <c r="AW9" s="34"/>
      <c r="AX9" s="34"/>
      <c r="AY9" s="34"/>
      <c r="AZ9" s="34"/>
      <c r="BA9" s="34"/>
      <c r="BB9" s="34"/>
      <c r="BC9" s="42">
        <v>0.0</v>
      </c>
      <c r="BD9" s="34" t="s">
        <v>54</v>
      </c>
      <c r="BE9" s="42">
        <v>10000.0</v>
      </c>
      <c r="BF9" s="42">
        <v>10000.0</v>
      </c>
      <c r="BG9" s="34"/>
      <c r="BH9" s="34"/>
      <c r="BI9" s="34"/>
      <c r="BJ9" s="42">
        <v>10.0</v>
      </c>
      <c r="BK9" s="34"/>
      <c r="BL9" s="34" t="s">
        <v>41</v>
      </c>
      <c r="BM9" s="34" t="s">
        <v>50</v>
      </c>
      <c r="BN9" s="34"/>
      <c r="BO9" s="34" t="s">
        <v>28</v>
      </c>
      <c r="BP9" s="34"/>
      <c r="BQ9" s="34"/>
      <c r="BR9" s="34"/>
      <c r="BS9" s="34" t="s">
        <v>55</v>
      </c>
      <c r="BT9" s="43" t="s">
        <v>18</v>
      </c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 t="s">
        <v>56</v>
      </c>
      <c r="CG9" s="34"/>
      <c r="CH9" s="34" t="s">
        <v>22</v>
      </c>
      <c r="CI9" s="34" t="s">
        <v>64</v>
      </c>
      <c r="CJ9" s="34"/>
      <c r="CK9" s="34" t="s">
        <v>57</v>
      </c>
      <c r="CL9" s="42">
        <v>1.0</v>
      </c>
      <c r="CM9" s="34" t="s">
        <v>24</v>
      </c>
      <c r="CN9" s="34"/>
      <c r="CO9" s="34"/>
      <c r="CP9" s="34" t="s">
        <v>58</v>
      </c>
      <c r="CQ9" s="34"/>
      <c r="CR9" s="34"/>
      <c r="CS9" s="34" t="s">
        <v>41</v>
      </c>
      <c r="CT9" s="34"/>
      <c r="CU9" s="34"/>
      <c r="CV9" s="34" t="s">
        <v>41</v>
      </c>
      <c r="CW9" s="34" t="s">
        <v>41</v>
      </c>
      <c r="CX9" s="34" t="s">
        <v>41</v>
      </c>
      <c r="CY9" s="34" t="s">
        <v>41</v>
      </c>
      <c r="CZ9" s="34" t="s">
        <v>41</v>
      </c>
      <c r="DA9" s="34" t="s">
        <v>41</v>
      </c>
      <c r="DB9" s="34" t="s">
        <v>41</v>
      </c>
      <c r="DC9" s="34" t="s">
        <v>41</v>
      </c>
      <c r="DD9" s="34" t="s">
        <v>41</v>
      </c>
      <c r="DE9" s="34" t="s">
        <v>41</v>
      </c>
      <c r="DF9" s="34" t="s">
        <v>41</v>
      </c>
      <c r="DG9" s="34" t="s">
        <v>41</v>
      </c>
      <c r="DH9" s="34" t="s">
        <v>41</v>
      </c>
      <c r="DI9" s="34" t="s">
        <v>41</v>
      </c>
      <c r="DJ9" s="34" t="s">
        <v>41</v>
      </c>
      <c r="DK9" s="34" t="s">
        <v>41</v>
      </c>
      <c r="DL9" s="34" t="s">
        <v>41</v>
      </c>
      <c r="DM9" s="34" t="s">
        <v>41</v>
      </c>
      <c r="DN9" s="34" t="s">
        <v>41</v>
      </c>
      <c r="DO9" s="34" t="s">
        <v>41</v>
      </c>
      <c r="DP9" s="34" t="s">
        <v>41</v>
      </c>
      <c r="DQ9" s="34" t="s">
        <v>41</v>
      </c>
      <c r="DR9" s="34" t="s">
        <v>41</v>
      </c>
      <c r="DS9" s="34" t="s">
        <v>41</v>
      </c>
      <c r="DT9" s="34" t="s">
        <v>41</v>
      </c>
      <c r="DU9" s="34" t="s">
        <v>41</v>
      </c>
      <c r="DV9" s="34" t="s">
        <v>41</v>
      </c>
      <c r="DW9" s="34" t="s">
        <v>41</v>
      </c>
      <c r="DX9" s="34" t="s">
        <v>41</v>
      </c>
      <c r="DY9" s="34" t="s">
        <v>41</v>
      </c>
      <c r="DZ9" s="34" t="s">
        <v>41</v>
      </c>
      <c r="EA9" s="34" t="s">
        <v>41</v>
      </c>
      <c r="EB9" s="34" t="s">
        <v>41</v>
      </c>
      <c r="EC9" s="34" t="s">
        <v>41</v>
      </c>
      <c r="ED9" s="34" t="s">
        <v>41</v>
      </c>
      <c r="EE9" s="34" t="s">
        <v>41</v>
      </c>
      <c r="EF9" s="34" t="s">
        <v>41</v>
      </c>
      <c r="EG9" s="34" t="s">
        <v>41</v>
      </c>
      <c r="EH9" s="34" t="s">
        <v>41</v>
      </c>
      <c r="EI9" s="34" t="s">
        <v>41</v>
      </c>
      <c r="EJ9" s="34" t="s">
        <v>41</v>
      </c>
      <c r="EK9" s="34" t="s">
        <v>41</v>
      </c>
      <c r="EL9" s="34" t="s">
        <v>41</v>
      </c>
      <c r="EM9" s="34" t="s">
        <v>41</v>
      </c>
      <c r="EN9" s="34" t="s">
        <v>41</v>
      </c>
      <c r="EO9" s="34" t="s">
        <v>41</v>
      </c>
      <c r="EP9" s="34" t="s">
        <v>41</v>
      </c>
      <c r="EQ9" s="34" t="s">
        <v>41</v>
      </c>
      <c r="ER9" s="34" t="s">
        <v>41</v>
      </c>
      <c r="ES9" s="34" t="s">
        <v>41</v>
      </c>
      <c r="ET9" s="34" t="s">
        <v>41</v>
      </c>
      <c r="EU9" s="34" t="s">
        <v>41</v>
      </c>
      <c r="EV9" s="34" t="s">
        <v>41</v>
      </c>
      <c r="EW9" s="34" t="s">
        <v>41</v>
      </c>
      <c r="EX9" s="34" t="s">
        <v>41</v>
      </c>
      <c r="EY9" s="34"/>
      <c r="EZ9" s="34"/>
      <c r="FA9" s="34" t="s">
        <v>41</v>
      </c>
      <c r="FB9" s="34" t="s">
        <v>41</v>
      </c>
      <c r="FC9" s="34" t="s">
        <v>41</v>
      </c>
      <c r="FD9" s="42">
        <v>0.0</v>
      </c>
      <c r="FE9" s="34" t="s">
        <v>41</v>
      </c>
      <c r="FF9" s="34" t="s">
        <v>41</v>
      </c>
      <c r="FG9" s="42">
        <v>0.0</v>
      </c>
      <c r="FH9" s="34" t="s">
        <v>41</v>
      </c>
      <c r="FI9" s="34" t="s">
        <v>41</v>
      </c>
      <c r="FJ9" s="34"/>
      <c r="FK9" s="34" t="s">
        <v>41</v>
      </c>
      <c r="FL9" s="34" t="s">
        <v>41</v>
      </c>
      <c r="FM9" s="34" t="s">
        <v>41</v>
      </c>
      <c r="FN9" s="34" t="s">
        <v>41</v>
      </c>
      <c r="FO9" s="34" t="s">
        <v>41</v>
      </c>
      <c r="FP9" s="34" t="s">
        <v>41</v>
      </c>
      <c r="FQ9" s="34" t="s">
        <v>41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8" t="s">
        <v>41</v>
      </c>
      <c r="B10" s="38" t="s">
        <v>26</v>
      </c>
      <c r="C10" s="38" t="s">
        <v>42</v>
      </c>
      <c r="D10" s="38"/>
      <c r="E10" s="40">
        <v>50.0</v>
      </c>
      <c r="F10" s="38" t="s">
        <v>43</v>
      </c>
      <c r="G10" s="38" t="s">
        <v>44</v>
      </c>
      <c r="H10" s="38"/>
      <c r="I10" s="38"/>
      <c r="J10" s="38"/>
      <c r="K10" s="40">
        <v>100.15</v>
      </c>
      <c r="L10" s="40">
        <v>100.15</v>
      </c>
      <c r="M10" s="38" t="s">
        <v>45</v>
      </c>
      <c r="N10" s="38" t="s">
        <v>46</v>
      </c>
      <c r="O10" s="38" t="s">
        <v>47</v>
      </c>
      <c r="P10" s="34"/>
      <c r="Q10" s="42">
        <v>3.0</v>
      </c>
      <c r="R10" s="42">
        <v>0.0</v>
      </c>
      <c r="S10" s="34" t="s">
        <v>48</v>
      </c>
      <c r="T10" s="42">
        <v>0.0</v>
      </c>
      <c r="U10" s="42">
        <v>0.0</v>
      </c>
      <c r="V10" s="34" t="s">
        <v>49</v>
      </c>
      <c r="W10" s="42">
        <v>1.0</v>
      </c>
      <c r="X10" s="42">
        <v>0.0</v>
      </c>
      <c r="Y10" s="34" t="s">
        <v>41</v>
      </c>
      <c r="Z10" s="34" t="s">
        <v>50</v>
      </c>
      <c r="AA10" s="34" t="s">
        <v>24</v>
      </c>
      <c r="AB10" s="42">
        <v>1.0</v>
      </c>
      <c r="AC10" s="34"/>
      <c r="AD10" s="34" t="s">
        <v>52</v>
      </c>
      <c r="AE10" s="42">
        <v>50.0</v>
      </c>
      <c r="AF10" s="34" t="s">
        <v>41</v>
      </c>
      <c r="AG10" s="34"/>
      <c r="AH10" s="34" t="s">
        <v>59</v>
      </c>
      <c r="AI10" s="42">
        <v>1.0</v>
      </c>
      <c r="AJ10" s="34"/>
      <c r="AK10" s="34"/>
      <c r="AL10" s="34"/>
      <c r="AM10" s="34"/>
      <c r="AN10" s="34"/>
      <c r="AO10" s="34"/>
      <c r="AP10" s="44" t="b">
        <v>1</v>
      </c>
      <c r="AQ10" s="44" t="b">
        <v>0</v>
      </c>
      <c r="AR10" s="44" t="b">
        <v>1</v>
      </c>
      <c r="AS10" s="42">
        <v>0.0</v>
      </c>
      <c r="AT10" s="42">
        <v>4507.5</v>
      </c>
      <c r="AU10" s="42">
        <v>4507.5</v>
      </c>
      <c r="AV10" s="34"/>
      <c r="AW10" s="34"/>
      <c r="AX10" s="34"/>
      <c r="AY10" s="34"/>
      <c r="AZ10" s="34"/>
      <c r="BA10" s="34"/>
      <c r="BB10" s="34"/>
      <c r="BC10" s="42">
        <v>0.0</v>
      </c>
      <c r="BD10" s="34" t="s">
        <v>54</v>
      </c>
      <c r="BE10" s="42">
        <v>5007.5</v>
      </c>
      <c r="BF10" s="42">
        <v>5007.5</v>
      </c>
      <c r="BG10" s="34"/>
      <c r="BH10" s="34"/>
      <c r="BI10" s="34"/>
      <c r="BJ10" s="42">
        <v>50.0</v>
      </c>
      <c r="BK10" s="34"/>
      <c r="BL10" s="34" t="s">
        <v>41</v>
      </c>
      <c r="BM10" s="34" t="s">
        <v>50</v>
      </c>
      <c r="BN10" s="34"/>
      <c r="BO10" s="34" t="s">
        <v>65</v>
      </c>
      <c r="BP10" s="34"/>
      <c r="BQ10" s="34"/>
      <c r="BR10" s="34"/>
      <c r="BS10" s="34" t="s">
        <v>55</v>
      </c>
      <c r="BT10" s="34" t="s">
        <v>24</v>
      </c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 t="s">
        <v>56</v>
      </c>
      <c r="CG10" s="34"/>
      <c r="CH10" s="34" t="s">
        <v>19</v>
      </c>
      <c r="CI10" s="34" t="s">
        <v>60</v>
      </c>
      <c r="CJ10" s="34"/>
      <c r="CK10" s="34" t="s">
        <v>57</v>
      </c>
      <c r="CL10" s="42">
        <v>1.0</v>
      </c>
      <c r="CM10" s="34" t="s">
        <v>24</v>
      </c>
      <c r="CN10" s="34"/>
      <c r="CO10" s="34"/>
      <c r="CP10" s="34" t="s">
        <v>58</v>
      </c>
      <c r="CQ10" s="34"/>
      <c r="CR10" s="34"/>
      <c r="CS10" s="34" t="s">
        <v>41</v>
      </c>
      <c r="CT10" s="34"/>
      <c r="CU10" s="34"/>
      <c r="CV10" s="34" t="s">
        <v>41</v>
      </c>
      <c r="CW10" s="34" t="s">
        <v>41</v>
      </c>
      <c r="CX10" s="34" t="s">
        <v>41</v>
      </c>
      <c r="CY10" s="34" t="s">
        <v>41</v>
      </c>
      <c r="CZ10" s="34" t="s">
        <v>41</v>
      </c>
      <c r="DA10" s="34" t="s">
        <v>41</v>
      </c>
      <c r="DB10" s="34" t="s">
        <v>41</v>
      </c>
      <c r="DC10" s="34" t="s">
        <v>41</v>
      </c>
      <c r="DD10" s="34" t="s">
        <v>41</v>
      </c>
      <c r="DE10" s="34" t="s">
        <v>41</v>
      </c>
      <c r="DF10" s="34" t="s">
        <v>41</v>
      </c>
      <c r="DG10" s="34" t="s">
        <v>41</v>
      </c>
      <c r="DH10" s="34" t="s">
        <v>41</v>
      </c>
      <c r="DI10" s="34" t="s">
        <v>41</v>
      </c>
      <c r="DJ10" s="34" t="s">
        <v>41</v>
      </c>
      <c r="DK10" s="34" t="s">
        <v>41</v>
      </c>
      <c r="DL10" s="34" t="s">
        <v>41</v>
      </c>
      <c r="DM10" s="34" t="s">
        <v>41</v>
      </c>
      <c r="DN10" s="34" t="s">
        <v>41</v>
      </c>
      <c r="DO10" s="34" t="s">
        <v>41</v>
      </c>
      <c r="DP10" s="34" t="s">
        <v>41</v>
      </c>
      <c r="DQ10" s="34" t="s">
        <v>41</v>
      </c>
      <c r="DR10" s="34" t="s">
        <v>41</v>
      </c>
      <c r="DS10" s="34" t="s">
        <v>41</v>
      </c>
      <c r="DT10" s="34" t="s">
        <v>41</v>
      </c>
      <c r="DU10" s="34" t="s">
        <v>41</v>
      </c>
      <c r="DV10" s="34" t="s">
        <v>41</v>
      </c>
      <c r="DW10" s="34" t="s">
        <v>41</v>
      </c>
      <c r="DX10" s="34" t="s">
        <v>41</v>
      </c>
      <c r="DY10" s="34" t="s">
        <v>41</v>
      </c>
      <c r="DZ10" s="34" t="s">
        <v>41</v>
      </c>
      <c r="EA10" s="34" t="s">
        <v>41</v>
      </c>
      <c r="EB10" s="34" t="s">
        <v>41</v>
      </c>
      <c r="EC10" s="34" t="s">
        <v>41</v>
      </c>
      <c r="ED10" s="34" t="s">
        <v>41</v>
      </c>
      <c r="EE10" s="34" t="s">
        <v>41</v>
      </c>
      <c r="EF10" s="34" t="s">
        <v>41</v>
      </c>
      <c r="EG10" s="34" t="s">
        <v>41</v>
      </c>
      <c r="EH10" s="34" t="s">
        <v>41</v>
      </c>
      <c r="EI10" s="34" t="s">
        <v>41</v>
      </c>
      <c r="EJ10" s="34" t="s">
        <v>41</v>
      </c>
      <c r="EK10" s="34" t="s">
        <v>41</v>
      </c>
      <c r="EL10" s="34" t="s">
        <v>41</v>
      </c>
      <c r="EM10" s="34" t="s">
        <v>41</v>
      </c>
      <c r="EN10" s="34" t="s">
        <v>41</v>
      </c>
      <c r="EO10" s="34" t="s">
        <v>41</v>
      </c>
      <c r="EP10" s="34" t="s">
        <v>41</v>
      </c>
      <c r="EQ10" s="34" t="s">
        <v>41</v>
      </c>
      <c r="ER10" s="34" t="s">
        <v>41</v>
      </c>
      <c r="ES10" s="34" t="s">
        <v>41</v>
      </c>
      <c r="ET10" s="34" t="s">
        <v>41</v>
      </c>
      <c r="EU10" s="34" t="s">
        <v>41</v>
      </c>
      <c r="EV10" s="34" t="s">
        <v>41</v>
      </c>
      <c r="EW10" s="34" t="s">
        <v>41</v>
      </c>
      <c r="EX10" s="34" t="s">
        <v>41</v>
      </c>
      <c r="EY10" s="34"/>
      <c r="EZ10" s="34"/>
      <c r="FA10" s="34" t="s">
        <v>41</v>
      </c>
      <c r="FB10" s="34" t="s">
        <v>41</v>
      </c>
      <c r="FC10" s="34" t="s">
        <v>41</v>
      </c>
      <c r="FD10" s="42">
        <v>0.0</v>
      </c>
      <c r="FE10" s="34" t="s">
        <v>41</v>
      </c>
      <c r="FF10" s="34" t="s">
        <v>41</v>
      </c>
      <c r="FG10" s="42">
        <v>0.0</v>
      </c>
      <c r="FH10" s="34" t="s">
        <v>41</v>
      </c>
      <c r="FI10" s="34" t="s">
        <v>41</v>
      </c>
      <c r="FJ10" s="34"/>
      <c r="FK10" s="34" t="s">
        <v>41</v>
      </c>
      <c r="FL10" s="34" t="s">
        <v>41</v>
      </c>
      <c r="FM10" s="34" t="s">
        <v>41</v>
      </c>
      <c r="FN10" s="34" t="s">
        <v>41</v>
      </c>
      <c r="FO10" s="34" t="s">
        <v>41</v>
      </c>
      <c r="FP10" s="34" t="s">
        <v>41</v>
      </c>
      <c r="FQ10" s="34" t="s">
        <v>41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8" t="s">
        <v>41</v>
      </c>
      <c r="B11" s="38" t="s">
        <v>26</v>
      </c>
      <c r="C11" s="38" t="s">
        <v>42</v>
      </c>
      <c r="D11" s="38"/>
      <c r="E11" s="40">
        <v>10.0</v>
      </c>
      <c r="F11" s="38" t="s">
        <v>43</v>
      </c>
      <c r="G11" s="38" t="s">
        <v>35</v>
      </c>
      <c r="H11" s="38"/>
      <c r="I11" s="38"/>
      <c r="J11" s="38"/>
      <c r="K11" s="40">
        <v>0.0</v>
      </c>
      <c r="L11" s="40">
        <v>0.0</v>
      </c>
      <c r="M11" s="38"/>
      <c r="N11" s="38" t="s">
        <v>46</v>
      </c>
      <c r="O11" s="38" t="s">
        <v>47</v>
      </c>
      <c r="P11" s="34"/>
      <c r="Q11" s="42">
        <v>3.0</v>
      </c>
      <c r="R11" s="42">
        <v>0.0</v>
      </c>
      <c r="S11" s="34" t="s">
        <v>61</v>
      </c>
      <c r="T11" s="42">
        <v>0.0</v>
      </c>
      <c r="U11" s="42">
        <v>0.0</v>
      </c>
      <c r="V11" s="34" t="s">
        <v>62</v>
      </c>
      <c r="W11" s="42">
        <v>100.0</v>
      </c>
      <c r="X11" s="42">
        <v>0.0</v>
      </c>
      <c r="Y11" s="34" t="s">
        <v>41</v>
      </c>
      <c r="Z11" s="34" t="s">
        <v>50</v>
      </c>
      <c r="AA11" s="34"/>
      <c r="AB11" s="42">
        <v>1.0</v>
      </c>
      <c r="AC11" s="34"/>
      <c r="AD11" s="34" t="s">
        <v>63</v>
      </c>
      <c r="AE11" s="42">
        <v>10.0</v>
      </c>
      <c r="AF11" s="34" t="s">
        <v>41</v>
      </c>
      <c r="AG11" s="34"/>
      <c r="AH11" s="34" t="s">
        <v>53</v>
      </c>
      <c r="AI11" s="42">
        <v>1.0</v>
      </c>
      <c r="AJ11" s="34"/>
      <c r="AK11" s="34"/>
      <c r="AL11" s="34"/>
      <c r="AM11" s="34"/>
      <c r="AN11" s="34"/>
      <c r="AO11" s="34"/>
      <c r="AP11" s="44" t="b">
        <v>0</v>
      </c>
      <c r="AQ11" s="44" t="b">
        <v>0</v>
      </c>
      <c r="AR11" s="44" t="b">
        <v>1</v>
      </c>
      <c r="AS11" s="42">
        <v>0.0</v>
      </c>
      <c r="AT11" s="42">
        <v>10000.0</v>
      </c>
      <c r="AU11" s="42">
        <v>10000.0</v>
      </c>
      <c r="AV11" s="34"/>
      <c r="AW11" s="34"/>
      <c r="AX11" s="34"/>
      <c r="AY11" s="34"/>
      <c r="AZ11" s="34"/>
      <c r="BA11" s="34"/>
      <c r="BB11" s="34"/>
      <c r="BC11" s="42">
        <v>0.0</v>
      </c>
      <c r="BD11" s="34" t="s">
        <v>54</v>
      </c>
      <c r="BE11" s="42">
        <v>0.0</v>
      </c>
      <c r="BF11" s="42">
        <v>0.0</v>
      </c>
      <c r="BG11" s="34"/>
      <c r="BH11" s="34"/>
      <c r="BI11" s="34"/>
      <c r="BJ11" s="42">
        <v>10.0</v>
      </c>
      <c r="BK11" s="34"/>
      <c r="BL11" s="34" t="s">
        <v>41</v>
      </c>
      <c r="BM11" s="34" t="s">
        <v>50</v>
      </c>
      <c r="BN11" s="34"/>
      <c r="BO11" s="34" t="s">
        <v>65</v>
      </c>
      <c r="BP11" s="34"/>
      <c r="BQ11" s="34"/>
      <c r="BR11" s="34"/>
      <c r="BS11" s="34" t="s">
        <v>55</v>
      </c>
      <c r="BT11" s="43" t="s">
        <v>16</v>
      </c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 t="s">
        <v>19</v>
      </c>
      <c r="CI11" s="34" t="s">
        <v>60</v>
      </c>
      <c r="CJ11" s="34"/>
      <c r="CK11" s="34" t="s">
        <v>57</v>
      </c>
      <c r="CL11" s="42">
        <v>1.0</v>
      </c>
      <c r="CM11" s="34" t="s">
        <v>24</v>
      </c>
      <c r="CN11" s="34"/>
      <c r="CO11" s="34"/>
      <c r="CP11" s="34" t="s">
        <v>58</v>
      </c>
      <c r="CQ11" s="34"/>
      <c r="CR11" s="34"/>
      <c r="CS11" s="34" t="s">
        <v>41</v>
      </c>
      <c r="CT11" s="34"/>
      <c r="CU11" s="34"/>
      <c r="CV11" s="34" t="s">
        <v>41</v>
      </c>
      <c r="CW11" s="34" t="s">
        <v>41</v>
      </c>
      <c r="CX11" s="34" t="s">
        <v>41</v>
      </c>
      <c r="CY11" s="34" t="s">
        <v>41</v>
      </c>
      <c r="CZ11" s="34" t="s">
        <v>41</v>
      </c>
      <c r="DA11" s="34" t="s">
        <v>41</v>
      </c>
      <c r="DB11" s="34" t="s">
        <v>41</v>
      </c>
      <c r="DC11" s="34" t="s">
        <v>41</v>
      </c>
      <c r="DD11" s="34" t="s">
        <v>41</v>
      </c>
      <c r="DE11" s="34" t="s">
        <v>41</v>
      </c>
      <c r="DF11" s="34" t="s">
        <v>41</v>
      </c>
      <c r="DG11" s="34" t="s">
        <v>41</v>
      </c>
      <c r="DH11" s="34" t="s">
        <v>41</v>
      </c>
      <c r="DI11" s="34" t="s">
        <v>41</v>
      </c>
      <c r="DJ11" s="34" t="s">
        <v>41</v>
      </c>
      <c r="DK11" s="34" t="s">
        <v>41</v>
      </c>
      <c r="DL11" s="34" t="s">
        <v>41</v>
      </c>
      <c r="DM11" s="34" t="s">
        <v>41</v>
      </c>
      <c r="DN11" s="34" t="s">
        <v>41</v>
      </c>
      <c r="DO11" s="34" t="s">
        <v>41</v>
      </c>
      <c r="DP11" s="34" t="s">
        <v>41</v>
      </c>
      <c r="DQ11" s="34" t="s">
        <v>41</v>
      </c>
      <c r="DR11" s="34" t="s">
        <v>41</v>
      </c>
      <c r="DS11" s="34" t="s">
        <v>41</v>
      </c>
      <c r="DT11" s="34" t="s">
        <v>41</v>
      </c>
      <c r="DU11" s="34" t="s">
        <v>41</v>
      </c>
      <c r="DV11" s="34" t="s">
        <v>41</v>
      </c>
      <c r="DW11" s="34" t="s">
        <v>41</v>
      </c>
      <c r="DX11" s="34" t="s">
        <v>41</v>
      </c>
      <c r="DY11" s="34" t="s">
        <v>41</v>
      </c>
      <c r="DZ11" s="34" t="s">
        <v>41</v>
      </c>
      <c r="EA11" s="34" t="s">
        <v>41</v>
      </c>
      <c r="EB11" s="34" t="s">
        <v>41</v>
      </c>
      <c r="EC11" s="34" t="s">
        <v>41</v>
      </c>
      <c r="ED11" s="34" t="s">
        <v>41</v>
      </c>
      <c r="EE11" s="34" t="s">
        <v>41</v>
      </c>
      <c r="EF11" s="34" t="s">
        <v>41</v>
      </c>
      <c r="EG11" s="34" t="s">
        <v>41</v>
      </c>
      <c r="EH11" s="34" t="s">
        <v>41</v>
      </c>
      <c r="EI11" s="34" t="s">
        <v>41</v>
      </c>
      <c r="EJ11" s="34" t="s">
        <v>41</v>
      </c>
      <c r="EK11" s="34" t="s">
        <v>41</v>
      </c>
      <c r="EL11" s="34" t="s">
        <v>41</v>
      </c>
      <c r="EM11" s="34" t="s">
        <v>41</v>
      </c>
      <c r="EN11" s="34" t="s">
        <v>41</v>
      </c>
      <c r="EO11" s="34" t="s">
        <v>41</v>
      </c>
      <c r="EP11" s="34" t="s">
        <v>41</v>
      </c>
      <c r="EQ11" s="34" t="s">
        <v>41</v>
      </c>
      <c r="ER11" s="34" t="s">
        <v>41</v>
      </c>
      <c r="ES11" s="34" t="s">
        <v>41</v>
      </c>
      <c r="ET11" s="34" t="s">
        <v>41</v>
      </c>
      <c r="EU11" s="34" t="s">
        <v>41</v>
      </c>
      <c r="EV11" s="34" t="s">
        <v>41</v>
      </c>
      <c r="EW11" s="34" t="s">
        <v>41</v>
      </c>
      <c r="EX11" s="34" t="s">
        <v>41</v>
      </c>
      <c r="EY11" s="34"/>
      <c r="EZ11" s="34"/>
      <c r="FA11" s="34" t="s">
        <v>41</v>
      </c>
      <c r="FB11" s="34" t="s">
        <v>41</v>
      </c>
      <c r="FC11" s="34" t="s">
        <v>41</v>
      </c>
      <c r="FD11" s="42">
        <v>0.0</v>
      </c>
      <c r="FE11" s="34" t="s">
        <v>41</v>
      </c>
      <c r="FF11" s="34" t="s">
        <v>41</v>
      </c>
      <c r="FG11" s="42">
        <v>0.0</v>
      </c>
      <c r="FH11" s="34" t="s">
        <v>41</v>
      </c>
      <c r="FI11" s="34" t="s">
        <v>41</v>
      </c>
      <c r="FJ11" s="34"/>
      <c r="FK11" s="34" t="s">
        <v>41</v>
      </c>
      <c r="FL11" s="34" t="s">
        <v>41</v>
      </c>
      <c r="FM11" s="34" t="s">
        <v>41</v>
      </c>
      <c r="FN11" s="34" t="s">
        <v>41</v>
      </c>
      <c r="FO11" s="34" t="s">
        <v>41</v>
      </c>
      <c r="FP11" s="34" t="s">
        <v>41</v>
      </c>
      <c r="FQ11" s="34" t="s">
        <v>41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38" t="s">
        <v>41</v>
      </c>
      <c r="B12" s="38" t="s">
        <v>26</v>
      </c>
      <c r="C12" s="38" t="s">
        <v>42</v>
      </c>
      <c r="D12" s="38"/>
      <c r="E12" s="40">
        <v>10.0</v>
      </c>
      <c r="F12" s="38" t="s">
        <v>43</v>
      </c>
      <c r="G12" s="38" t="s">
        <v>35</v>
      </c>
      <c r="H12" s="38"/>
      <c r="I12" s="38"/>
      <c r="J12" s="38"/>
      <c r="K12" s="40">
        <v>10.0</v>
      </c>
      <c r="L12" s="40">
        <v>10.0</v>
      </c>
      <c r="M12" s="38"/>
      <c r="N12" s="38" t="s">
        <v>46</v>
      </c>
      <c r="O12" s="38" t="s">
        <v>47</v>
      </c>
      <c r="P12" s="34"/>
      <c r="Q12" s="42">
        <v>3.0</v>
      </c>
      <c r="R12" s="42">
        <v>0.0</v>
      </c>
      <c r="S12" s="34" t="s">
        <v>61</v>
      </c>
      <c r="T12" s="42">
        <v>0.0</v>
      </c>
      <c r="U12" s="42">
        <v>0.0</v>
      </c>
      <c r="V12" s="34" t="s">
        <v>62</v>
      </c>
      <c r="W12" s="42">
        <v>100.0</v>
      </c>
      <c r="X12" s="42">
        <v>0.0</v>
      </c>
      <c r="Y12" s="34" t="s">
        <v>41</v>
      </c>
      <c r="Z12" s="34" t="s">
        <v>50</v>
      </c>
      <c r="AA12" s="34"/>
      <c r="AB12" s="42">
        <v>1.0</v>
      </c>
      <c r="AC12" s="34" t="s">
        <v>51</v>
      </c>
      <c r="AD12" s="34" t="s">
        <v>63</v>
      </c>
      <c r="AE12" s="42">
        <v>10.0</v>
      </c>
      <c r="AF12" s="34" t="s">
        <v>41</v>
      </c>
      <c r="AG12" s="34"/>
      <c r="AH12" s="34" t="s">
        <v>53</v>
      </c>
      <c r="AI12" s="42">
        <v>1.0</v>
      </c>
      <c r="AJ12" s="34"/>
      <c r="AK12" s="34"/>
      <c r="AL12" s="34"/>
      <c r="AM12" s="34"/>
      <c r="AN12" s="34"/>
      <c r="AO12" s="34"/>
      <c r="AP12" s="44" t="b">
        <v>1</v>
      </c>
      <c r="AQ12" s="44" t="b">
        <v>0</v>
      </c>
      <c r="AR12" s="44" t="b">
        <v>1</v>
      </c>
      <c r="AS12" s="42">
        <v>0.0</v>
      </c>
      <c r="AT12" s="42">
        <v>10000.0</v>
      </c>
      <c r="AU12" s="42">
        <v>10000.0</v>
      </c>
      <c r="AV12" s="34"/>
      <c r="AW12" s="34"/>
      <c r="AX12" s="34"/>
      <c r="AY12" s="34"/>
      <c r="AZ12" s="34"/>
      <c r="BA12" s="34"/>
      <c r="BB12" s="34"/>
      <c r="BC12" s="42">
        <v>0.0</v>
      </c>
      <c r="BD12" s="34" t="s">
        <v>54</v>
      </c>
      <c r="BE12" s="42">
        <v>10000.0</v>
      </c>
      <c r="BF12" s="42">
        <v>10000.0</v>
      </c>
      <c r="BG12" s="34"/>
      <c r="BH12" s="34"/>
      <c r="BI12" s="34"/>
      <c r="BJ12" s="42">
        <v>10.0</v>
      </c>
      <c r="BK12" s="34"/>
      <c r="BL12" s="34" t="s">
        <v>41</v>
      </c>
      <c r="BM12" s="34" t="s">
        <v>50</v>
      </c>
      <c r="BN12" s="34"/>
      <c r="BO12" s="34" t="s">
        <v>28</v>
      </c>
      <c r="BP12" s="34"/>
      <c r="BQ12" s="34"/>
      <c r="BR12" s="34"/>
      <c r="BS12" s="34" t="s">
        <v>55</v>
      </c>
      <c r="BT12" s="43" t="s">
        <v>16</v>
      </c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 t="s">
        <v>56</v>
      </c>
      <c r="CG12" s="34"/>
      <c r="CH12" s="34" t="s">
        <v>22</v>
      </c>
      <c r="CI12" s="34" t="s">
        <v>64</v>
      </c>
      <c r="CJ12" s="34"/>
      <c r="CK12" s="34" t="s">
        <v>57</v>
      </c>
      <c r="CL12" s="42">
        <v>1.0</v>
      </c>
      <c r="CM12" s="34" t="s">
        <v>24</v>
      </c>
      <c r="CN12" s="34"/>
      <c r="CO12" s="34"/>
      <c r="CP12" s="34" t="s">
        <v>58</v>
      </c>
      <c r="CQ12" s="34"/>
      <c r="CR12" s="34"/>
      <c r="CS12" s="34" t="s">
        <v>41</v>
      </c>
      <c r="CT12" s="34"/>
      <c r="CU12" s="34"/>
      <c r="CV12" s="34" t="s">
        <v>41</v>
      </c>
      <c r="CW12" s="34" t="s">
        <v>41</v>
      </c>
      <c r="CX12" s="34" t="s">
        <v>41</v>
      </c>
      <c r="CY12" s="34" t="s">
        <v>41</v>
      </c>
      <c r="CZ12" s="34" t="s">
        <v>41</v>
      </c>
      <c r="DA12" s="34" t="s">
        <v>41</v>
      </c>
      <c r="DB12" s="34" t="s">
        <v>41</v>
      </c>
      <c r="DC12" s="34" t="s">
        <v>41</v>
      </c>
      <c r="DD12" s="34" t="s">
        <v>41</v>
      </c>
      <c r="DE12" s="34" t="s">
        <v>41</v>
      </c>
      <c r="DF12" s="34" t="s">
        <v>41</v>
      </c>
      <c r="DG12" s="34" t="s">
        <v>41</v>
      </c>
      <c r="DH12" s="34" t="s">
        <v>41</v>
      </c>
      <c r="DI12" s="34" t="s">
        <v>41</v>
      </c>
      <c r="DJ12" s="34" t="s">
        <v>41</v>
      </c>
      <c r="DK12" s="34" t="s">
        <v>41</v>
      </c>
      <c r="DL12" s="34" t="s">
        <v>41</v>
      </c>
      <c r="DM12" s="34" t="s">
        <v>41</v>
      </c>
      <c r="DN12" s="34" t="s">
        <v>41</v>
      </c>
      <c r="DO12" s="34" t="s">
        <v>41</v>
      </c>
      <c r="DP12" s="34" t="s">
        <v>41</v>
      </c>
      <c r="DQ12" s="34" t="s">
        <v>41</v>
      </c>
      <c r="DR12" s="34" t="s">
        <v>41</v>
      </c>
      <c r="DS12" s="34" t="s">
        <v>41</v>
      </c>
      <c r="DT12" s="34" t="s">
        <v>41</v>
      </c>
      <c r="DU12" s="34" t="s">
        <v>41</v>
      </c>
      <c r="DV12" s="34" t="s">
        <v>41</v>
      </c>
      <c r="DW12" s="34" t="s">
        <v>41</v>
      </c>
      <c r="DX12" s="34" t="s">
        <v>41</v>
      </c>
      <c r="DY12" s="34" t="s">
        <v>41</v>
      </c>
      <c r="DZ12" s="34" t="s">
        <v>41</v>
      </c>
      <c r="EA12" s="34" t="s">
        <v>41</v>
      </c>
      <c r="EB12" s="34" t="s">
        <v>41</v>
      </c>
      <c r="EC12" s="34" t="s">
        <v>41</v>
      </c>
      <c r="ED12" s="34" t="s">
        <v>41</v>
      </c>
      <c r="EE12" s="34" t="s">
        <v>41</v>
      </c>
      <c r="EF12" s="34" t="s">
        <v>41</v>
      </c>
      <c r="EG12" s="34" t="s">
        <v>41</v>
      </c>
      <c r="EH12" s="34" t="s">
        <v>41</v>
      </c>
      <c r="EI12" s="34" t="s">
        <v>41</v>
      </c>
      <c r="EJ12" s="34" t="s">
        <v>41</v>
      </c>
      <c r="EK12" s="34" t="s">
        <v>41</v>
      </c>
      <c r="EL12" s="34" t="s">
        <v>41</v>
      </c>
      <c r="EM12" s="34" t="s">
        <v>41</v>
      </c>
      <c r="EN12" s="34" t="s">
        <v>41</v>
      </c>
      <c r="EO12" s="34" t="s">
        <v>41</v>
      </c>
      <c r="EP12" s="34" t="s">
        <v>41</v>
      </c>
      <c r="EQ12" s="34" t="s">
        <v>41</v>
      </c>
      <c r="ER12" s="34" t="s">
        <v>41</v>
      </c>
      <c r="ES12" s="34" t="s">
        <v>41</v>
      </c>
      <c r="ET12" s="34" t="s">
        <v>41</v>
      </c>
      <c r="EU12" s="34" t="s">
        <v>41</v>
      </c>
      <c r="EV12" s="34" t="s">
        <v>41</v>
      </c>
      <c r="EW12" s="34" t="s">
        <v>41</v>
      </c>
      <c r="EX12" s="34" t="s">
        <v>41</v>
      </c>
      <c r="EY12" s="34"/>
      <c r="EZ12" s="34"/>
      <c r="FA12" s="34" t="s">
        <v>41</v>
      </c>
      <c r="FB12" s="34" t="s">
        <v>41</v>
      </c>
      <c r="FC12" s="34" t="s">
        <v>41</v>
      </c>
      <c r="FD12" s="42">
        <v>0.0</v>
      </c>
      <c r="FE12" s="34" t="s">
        <v>41</v>
      </c>
      <c r="FF12" s="34" t="s">
        <v>41</v>
      </c>
      <c r="FG12" s="42">
        <v>0.0</v>
      </c>
      <c r="FH12" s="34" t="s">
        <v>41</v>
      </c>
      <c r="FI12" s="34" t="s">
        <v>41</v>
      </c>
      <c r="FJ12" s="34"/>
      <c r="FK12" s="34" t="s">
        <v>41</v>
      </c>
      <c r="FL12" s="34" t="s">
        <v>41</v>
      </c>
      <c r="FM12" s="34" t="s">
        <v>41</v>
      </c>
      <c r="FN12" s="34" t="s">
        <v>41</v>
      </c>
      <c r="FO12" s="34" t="s">
        <v>41</v>
      </c>
      <c r="FP12" s="34" t="s">
        <v>41</v>
      </c>
      <c r="FQ12" s="34" t="s">
        <v>41</v>
      </c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  <c r="HI12" s="34"/>
      <c r="HJ12" s="34"/>
      <c r="HK12" s="34"/>
      <c r="HL12" s="34"/>
      <c r="HM12" s="34"/>
      <c r="HN12" s="34"/>
      <c r="HO12" s="34"/>
      <c r="HP12" s="34"/>
      <c r="HQ12" s="34"/>
      <c r="HR12" s="34"/>
      <c r="HS12" s="34"/>
      <c r="HT12" s="34"/>
      <c r="HU12" s="34"/>
      <c r="HV12" s="34"/>
      <c r="HW12" s="34"/>
      <c r="HX12" s="34"/>
      <c r="HY12" s="34"/>
      <c r="HZ12" s="34"/>
      <c r="IA12" s="34"/>
      <c r="IB12" s="34"/>
      <c r="IC12" s="34"/>
      <c r="ID12" s="34"/>
      <c r="IE12" s="34"/>
      <c r="IF12" s="34"/>
      <c r="IG12" s="34"/>
      <c r="IH12" s="34"/>
      <c r="II12" s="34"/>
      <c r="IJ12" s="34"/>
      <c r="IK12" s="34"/>
      <c r="IL12" s="34"/>
      <c r="IM12" s="34"/>
      <c r="IN12" s="34"/>
      <c r="IO12" s="34"/>
      <c r="IP12" s="34"/>
      <c r="IQ12" s="34"/>
      <c r="IR12" s="34"/>
      <c r="IS12" s="34"/>
      <c r="IT12" s="34"/>
      <c r="IU12" s="34"/>
      <c r="IV12" s="34"/>
      <c r="IW12" s="34"/>
      <c r="IX12" s="34"/>
      <c r="IY12" s="34"/>
      <c r="IZ12" s="34"/>
      <c r="JA12" s="34"/>
      <c r="JB12" s="34"/>
      <c r="JC12" s="34"/>
      <c r="JD12" s="34"/>
      <c r="JE12" s="34"/>
      <c r="JF12" s="34"/>
      <c r="JG12" s="34"/>
      <c r="JH12" s="34"/>
      <c r="JI12" s="34"/>
      <c r="JJ12" s="34"/>
      <c r="JK12" s="34"/>
      <c r="JL12" s="34"/>
      <c r="JM12" s="34"/>
      <c r="JN12" s="34"/>
      <c r="JO12" s="34"/>
      <c r="JP12" s="34"/>
      <c r="JQ12" s="34"/>
      <c r="JR12" s="34"/>
      <c r="JS12" s="34"/>
      <c r="JT12" s="34"/>
      <c r="JU12" s="34"/>
      <c r="JV12" s="34"/>
      <c r="JW12" s="34"/>
      <c r="JX12" s="34"/>
      <c r="JY12" s="34"/>
      <c r="JZ12" s="34"/>
      <c r="KA12" s="34"/>
      <c r="KB12" s="34"/>
      <c r="KC12" s="34"/>
      <c r="KD12" s="34"/>
      <c r="KE12" s="34"/>
      <c r="KF12" s="34"/>
      <c r="KG12" s="34"/>
      <c r="KH12" s="34"/>
      <c r="KI12" s="34"/>
      <c r="KJ12" s="34"/>
      <c r="KK12" s="34"/>
      <c r="KL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  <c r="KW12" s="34"/>
      <c r="KX12" s="34"/>
      <c r="KY12" s="34"/>
      <c r="KZ12" s="34"/>
      <c r="LA12" s="34"/>
      <c r="LB12" s="34"/>
      <c r="LC12" s="34"/>
      <c r="LD12" s="34"/>
      <c r="LE12" s="34"/>
      <c r="LF12" s="34"/>
      <c r="LG12" s="34"/>
      <c r="LH12" s="34"/>
      <c r="LI12" s="34"/>
      <c r="LJ12" s="34"/>
      <c r="LK12" s="34"/>
      <c r="LL12" s="34"/>
      <c r="LM12" s="34"/>
      <c r="LN12" s="34"/>
      <c r="LO12" s="34"/>
      <c r="LP12" s="34"/>
      <c r="LQ12" s="34"/>
      <c r="LR12" s="34"/>
      <c r="LS12" s="34"/>
      <c r="LT12" s="34"/>
      <c r="LU12" s="34"/>
      <c r="LV12" s="34"/>
      <c r="LW12" s="34"/>
      <c r="LX12" s="34"/>
      <c r="LY12" s="34"/>
      <c r="LZ12" s="34"/>
      <c r="MA12" s="34"/>
      <c r="MB12" s="34"/>
      <c r="MC12" s="34"/>
      <c r="MD12" s="34"/>
      <c r="ME12" s="34"/>
      <c r="MF12" s="34"/>
      <c r="MG12" s="34"/>
      <c r="MH12" s="34"/>
      <c r="MI12" s="34"/>
      <c r="MJ12" s="34"/>
      <c r="MK12" s="34"/>
      <c r="ML12" s="34"/>
      <c r="MM12" s="34"/>
      <c r="MN12" s="34"/>
      <c r="MO12" s="34"/>
      <c r="MP12" s="34"/>
      <c r="MQ12" s="34"/>
      <c r="MR12" s="34"/>
      <c r="MS12" s="34"/>
      <c r="MT12" s="34"/>
      <c r="MU12" s="34"/>
      <c r="MV12" s="34"/>
      <c r="MW12" s="34"/>
      <c r="MX12" s="34"/>
      <c r="MY12" s="34"/>
      <c r="MZ12" s="34"/>
      <c r="NA12" s="34"/>
      <c r="NB12" s="34"/>
      <c r="NC12" s="34"/>
      <c r="ND12" s="34"/>
      <c r="NE12" s="34"/>
      <c r="NF12" s="34"/>
      <c r="NG12" s="34"/>
      <c r="NH12" s="34"/>
      <c r="NI12" s="34"/>
      <c r="NJ12" s="34"/>
      <c r="NK12" s="34"/>
      <c r="NL12" s="34"/>
      <c r="NM12" s="34"/>
      <c r="NN12" s="34"/>
      <c r="NO12" s="34"/>
      <c r="NP12" s="34"/>
      <c r="NQ12" s="34"/>
      <c r="NR12" s="34"/>
      <c r="NS12" s="34"/>
      <c r="NT12" s="34"/>
      <c r="NU12" s="34"/>
      <c r="NV12" s="34"/>
      <c r="NW12" s="34"/>
      <c r="NX12" s="34"/>
      <c r="NY12" s="34"/>
      <c r="NZ12" s="34"/>
      <c r="OA12" s="34"/>
      <c r="OB12" s="34"/>
      <c r="OC12" s="34"/>
      <c r="OD12" s="34"/>
      <c r="OE12" s="34"/>
      <c r="OF12" s="34"/>
      <c r="OG12" s="34"/>
      <c r="OH12" s="34"/>
      <c r="OI12" s="34"/>
      <c r="OJ12" s="34"/>
      <c r="OK12" s="34"/>
      <c r="OL12" s="34"/>
      <c r="OM12" s="34"/>
      <c r="ON12" s="34"/>
      <c r="OO12" s="34"/>
      <c r="OP12" s="34"/>
      <c r="OQ12" s="34"/>
      <c r="OR12" s="34"/>
      <c r="OS12" s="34"/>
      <c r="OT12" s="34"/>
      <c r="OU12" s="34"/>
      <c r="OV12" s="34"/>
      <c r="OW12" s="34"/>
      <c r="OX12" s="34"/>
      <c r="OY12" s="34"/>
      <c r="OZ12" s="34"/>
      <c r="PA12" s="34"/>
      <c r="PB12" s="34"/>
      <c r="PC12" s="34"/>
      <c r="PD12" s="34"/>
      <c r="PE12" s="34"/>
      <c r="PF12" s="34"/>
      <c r="PG12" s="34"/>
      <c r="PH12" s="34"/>
      <c r="PI12" s="34"/>
      <c r="PJ12" s="34"/>
      <c r="PK12" s="34"/>
      <c r="PL12" s="34"/>
      <c r="PM12" s="34"/>
      <c r="PN12" s="34"/>
      <c r="PO12" s="34"/>
      <c r="PP12" s="34"/>
      <c r="PQ12" s="34"/>
      <c r="PR12" s="34"/>
      <c r="PS12" s="34"/>
      <c r="PT12" s="34"/>
      <c r="PU12" s="34"/>
      <c r="PV12" s="34"/>
      <c r="PW12" s="34"/>
      <c r="PX12" s="34"/>
      <c r="PY12" s="34"/>
      <c r="PZ12" s="34"/>
      <c r="QA12" s="34"/>
      <c r="QB12" s="34"/>
      <c r="QC12" s="34"/>
      <c r="QD12" s="34"/>
      <c r="QE12" s="34"/>
      <c r="QF12" s="34"/>
      <c r="QG12" s="34"/>
      <c r="QH12" s="34"/>
      <c r="QI12" s="34"/>
      <c r="QJ12" s="34"/>
      <c r="QK12" s="34"/>
      <c r="QL12" s="34"/>
      <c r="QM12" s="34"/>
      <c r="QN12" s="34"/>
      <c r="QO12" s="34"/>
      <c r="QP12" s="34"/>
      <c r="QQ12" s="34"/>
      <c r="QR12" s="34"/>
      <c r="QS12" s="34"/>
      <c r="QT12" s="34"/>
      <c r="QU12" s="34"/>
      <c r="QV12" s="34"/>
      <c r="QW12" s="34"/>
      <c r="QX12" s="34"/>
      <c r="QY12" s="34"/>
      <c r="QZ12" s="34"/>
      <c r="RA12" s="34"/>
      <c r="RB12" s="34"/>
      <c r="RC12" s="34"/>
      <c r="RD12" s="34"/>
      <c r="RE12" s="34"/>
      <c r="RF12" s="34"/>
      <c r="RG12" s="34"/>
      <c r="RH12" s="34"/>
      <c r="RI12" s="34"/>
      <c r="RJ12" s="34"/>
      <c r="RK12" s="34"/>
      <c r="RL12" s="34"/>
      <c r="RM12" s="34"/>
      <c r="RN12" s="34"/>
      <c r="RO12" s="34"/>
      <c r="RP12" s="34"/>
      <c r="RQ12" s="34"/>
      <c r="RR12" s="34"/>
      <c r="RS12" s="34"/>
      <c r="RT12" s="34"/>
      <c r="RU12" s="34"/>
      <c r="RV12" s="34"/>
      <c r="RW12" s="34"/>
      <c r="RX12" s="34"/>
      <c r="RY12" s="34"/>
      <c r="RZ12" s="34"/>
      <c r="SA12" s="34"/>
      <c r="SB12" s="34"/>
      <c r="SC12" s="34"/>
      <c r="SD12" s="34"/>
      <c r="SE12" s="34"/>
      <c r="SF12" s="34"/>
      <c r="SG12" s="34"/>
      <c r="SH12" s="34"/>
      <c r="SI12" s="34"/>
      <c r="SJ12" s="34"/>
      <c r="SK12" s="34"/>
      <c r="SL12" s="34"/>
      <c r="SM12" s="34"/>
      <c r="SN12" s="34"/>
      <c r="SO12" s="34"/>
      <c r="SP12" s="34"/>
      <c r="SQ12" s="34"/>
      <c r="SR12" s="34"/>
      <c r="SS12" s="34"/>
      <c r="ST12" s="34"/>
      <c r="SU12" s="34"/>
      <c r="SV12" s="34"/>
      <c r="SW12" s="34"/>
      <c r="SX12" s="34"/>
      <c r="SY12" s="34"/>
      <c r="SZ12" s="34"/>
      <c r="TA12" s="34"/>
      <c r="TB12" s="34"/>
      <c r="TC12" s="34"/>
      <c r="TD12" s="34"/>
      <c r="TE12" s="34"/>
      <c r="TF12" s="34"/>
      <c r="TG12" s="34"/>
      <c r="TH12" s="34"/>
      <c r="TI12" s="34"/>
      <c r="TJ12" s="34"/>
      <c r="TK12" s="34"/>
      <c r="TL12" s="34"/>
      <c r="TM12" s="34"/>
      <c r="TN12" s="34"/>
      <c r="TO12" s="34"/>
      <c r="TP12" s="34"/>
      <c r="TQ12" s="34"/>
      <c r="TR12" s="34"/>
      <c r="TS12" s="34"/>
      <c r="TT12" s="34"/>
      <c r="TU12" s="34"/>
      <c r="TV12" s="34"/>
      <c r="TW12" s="34"/>
      <c r="TX12" s="34"/>
      <c r="TY12" s="34"/>
      <c r="TZ12" s="34"/>
      <c r="UA12" s="34"/>
      <c r="UB12" s="34"/>
      <c r="UC12" s="34"/>
      <c r="UD12" s="34"/>
      <c r="UE12" s="34"/>
      <c r="UF12" s="34"/>
      <c r="UG12" s="34"/>
      <c r="UH12" s="34"/>
      <c r="UI12" s="34"/>
      <c r="UJ12" s="34"/>
      <c r="UK12" s="34"/>
      <c r="UL12" s="34"/>
      <c r="UM12" s="34"/>
      <c r="UN12" s="34"/>
      <c r="UO12" s="34"/>
      <c r="UP12" s="34"/>
      <c r="UQ12" s="34"/>
      <c r="UR12" s="34"/>
      <c r="US12" s="34"/>
      <c r="UT12" s="34"/>
      <c r="UU12" s="34"/>
      <c r="UV12" s="34"/>
      <c r="UW12" s="34"/>
      <c r="UX12" s="34"/>
      <c r="UY12" s="34"/>
      <c r="UZ12" s="34"/>
      <c r="VA12" s="34"/>
      <c r="VB12" s="34"/>
      <c r="VC12" s="34"/>
      <c r="VD12" s="34"/>
      <c r="VE12" s="34"/>
      <c r="VF12" s="34"/>
      <c r="VG12" s="34"/>
      <c r="VH12" s="34"/>
      <c r="VI12" s="34"/>
      <c r="VJ12" s="34"/>
      <c r="VK12" s="34"/>
      <c r="VL12" s="34"/>
      <c r="VM12" s="34"/>
      <c r="VN12" s="34"/>
      <c r="VO12" s="34"/>
      <c r="VP12" s="34"/>
      <c r="VQ12" s="34"/>
      <c r="VR12" s="34"/>
      <c r="VS12" s="34"/>
      <c r="VT12" s="34"/>
      <c r="VU12" s="34"/>
      <c r="VV12" s="34"/>
      <c r="VW12" s="34"/>
      <c r="VX12" s="34"/>
      <c r="VY12" s="34"/>
      <c r="VZ12" s="34"/>
      <c r="WA12" s="34"/>
      <c r="WB12" s="34"/>
      <c r="WC12" s="34"/>
      <c r="WD12" s="34"/>
      <c r="WE12" s="34"/>
      <c r="WF12" s="34"/>
      <c r="WG12" s="34"/>
      <c r="WH12" s="34"/>
      <c r="WI12" s="34"/>
      <c r="WJ12" s="34"/>
      <c r="WK12" s="34"/>
      <c r="WL12" s="34"/>
      <c r="WM12" s="34"/>
      <c r="WN12" s="34"/>
      <c r="WO12" s="34"/>
      <c r="WP12" s="34"/>
      <c r="WQ12" s="34"/>
      <c r="WR12" s="34"/>
      <c r="WS12" s="34"/>
      <c r="WT12" s="34"/>
      <c r="WU12" s="34"/>
      <c r="WV12" s="34"/>
      <c r="WW12" s="34"/>
      <c r="WX12" s="34"/>
      <c r="WY12" s="34"/>
      <c r="WZ12" s="34"/>
      <c r="XA12" s="34"/>
      <c r="XB12" s="34"/>
      <c r="XC12" s="34"/>
      <c r="XD12" s="34"/>
      <c r="XE12" s="34"/>
      <c r="XF12" s="34"/>
      <c r="XG12" s="34"/>
      <c r="XH12" s="34"/>
      <c r="XI12" s="34"/>
      <c r="XJ12" s="34"/>
      <c r="XK12" s="34"/>
      <c r="XL12" s="34"/>
      <c r="XM12" s="34"/>
      <c r="XN12" s="34"/>
      <c r="XO12" s="34"/>
      <c r="XP12" s="34"/>
      <c r="XQ12" s="34"/>
      <c r="XR12" s="34"/>
      <c r="XS12" s="34"/>
      <c r="XT12" s="34"/>
      <c r="XU12" s="34"/>
      <c r="XV12" s="34"/>
      <c r="XW12" s="34"/>
      <c r="XX12" s="34"/>
      <c r="XY12" s="34"/>
      <c r="XZ12" s="34"/>
      <c r="YA12" s="34"/>
      <c r="YB12" s="34"/>
      <c r="YC12" s="34"/>
      <c r="YD12" s="34"/>
      <c r="YE12" s="34"/>
      <c r="YF12" s="34"/>
      <c r="YG12" s="34"/>
      <c r="YH12" s="34"/>
      <c r="YI12" s="34"/>
      <c r="YJ12" s="34"/>
      <c r="YK12" s="34"/>
      <c r="YL12" s="34"/>
      <c r="YM12" s="34"/>
      <c r="YN12" s="34"/>
      <c r="YO12" s="34"/>
      <c r="YP12" s="34"/>
      <c r="YQ12" s="34"/>
      <c r="YR12" s="34"/>
      <c r="YS12" s="34"/>
      <c r="YT12" s="34"/>
      <c r="YU12" s="34"/>
      <c r="YV12" s="34"/>
      <c r="YW12" s="34"/>
      <c r="YX12" s="34"/>
      <c r="YY12" s="34"/>
      <c r="YZ12" s="34"/>
      <c r="ZA12" s="34"/>
      <c r="ZB12" s="34"/>
      <c r="ZC12" s="34"/>
      <c r="ZD12" s="34"/>
      <c r="ZE12" s="34"/>
      <c r="ZF12" s="34"/>
      <c r="ZG12" s="34"/>
      <c r="ZH12" s="34"/>
      <c r="ZI12" s="34"/>
      <c r="ZJ12" s="34"/>
      <c r="ZK12" s="34"/>
      <c r="ZL12" s="34"/>
      <c r="ZM12" s="34"/>
      <c r="ZN12" s="34"/>
      <c r="ZO12" s="34"/>
      <c r="ZP12" s="34"/>
      <c r="ZQ12" s="34"/>
      <c r="ZR12" s="34"/>
      <c r="ZS12" s="34"/>
      <c r="ZT12" s="34"/>
      <c r="ZU12" s="34"/>
      <c r="ZV12" s="34"/>
      <c r="ZW12" s="34"/>
      <c r="ZX12" s="34"/>
      <c r="ZY12" s="34"/>
      <c r="ZZ12" s="34"/>
      <c r="AAA12" s="34"/>
      <c r="AAB12" s="34"/>
      <c r="AAC12" s="34"/>
      <c r="AAD12" s="34"/>
      <c r="AAE12" s="34"/>
      <c r="AAF12" s="34"/>
      <c r="AAG12" s="34"/>
      <c r="AAH12" s="34"/>
      <c r="AAI12" s="34"/>
      <c r="AAJ12" s="34"/>
      <c r="AAK12" s="34"/>
      <c r="AAL12" s="34"/>
      <c r="AAM12" s="34"/>
      <c r="AAN12" s="34"/>
      <c r="AAO12" s="34"/>
      <c r="AAP12" s="34"/>
      <c r="AAQ12" s="34"/>
      <c r="AAR12" s="34"/>
      <c r="AAS12" s="34"/>
      <c r="AAT12" s="34"/>
      <c r="AAU12" s="34"/>
      <c r="AAV12" s="34"/>
      <c r="AAW12" s="34"/>
      <c r="AAX12" s="34"/>
      <c r="AAY12" s="34"/>
      <c r="AAZ12" s="34"/>
      <c r="ABA12" s="34"/>
      <c r="ABB12" s="34"/>
      <c r="ABC12" s="34"/>
      <c r="ABD12" s="34"/>
      <c r="ABE12" s="34"/>
      <c r="ABF12" s="34"/>
      <c r="ABG12" s="34"/>
      <c r="ABH12" s="34"/>
      <c r="ABI12" s="34"/>
      <c r="ABJ12" s="34"/>
      <c r="ABK12" s="34"/>
      <c r="ABL12" s="34"/>
      <c r="ABM12" s="34"/>
      <c r="ABN12" s="34"/>
      <c r="ABO12" s="34"/>
      <c r="ABP12" s="34"/>
      <c r="ABQ12" s="34"/>
      <c r="ABR12" s="34"/>
      <c r="ABS12" s="34"/>
      <c r="ABT12" s="34"/>
      <c r="ABU12" s="34"/>
      <c r="ABV12" s="34"/>
      <c r="ABW12" s="34"/>
      <c r="ABX12" s="34"/>
      <c r="ABY12" s="34"/>
      <c r="ABZ12" s="34"/>
      <c r="ACA12" s="34"/>
      <c r="ACB12" s="34"/>
      <c r="ACC12" s="34"/>
      <c r="ACD12" s="34"/>
      <c r="ACE12" s="34"/>
      <c r="ACF12" s="34"/>
      <c r="ACG12" s="34"/>
      <c r="ACH12" s="34"/>
      <c r="ACI12" s="34"/>
      <c r="ACJ12" s="34"/>
      <c r="ACK12" s="34"/>
      <c r="ACL12" s="34"/>
      <c r="ACM12" s="34"/>
      <c r="ACN12" s="34"/>
      <c r="ACO12" s="34"/>
      <c r="ACP12" s="34"/>
      <c r="ACQ12" s="34"/>
      <c r="ACR12" s="34"/>
      <c r="ACS12" s="34"/>
      <c r="ACT12" s="34"/>
      <c r="ACU12" s="34"/>
      <c r="ACV12" s="34"/>
      <c r="ACW12" s="34"/>
      <c r="ACX12" s="34"/>
      <c r="ACY12" s="34"/>
      <c r="ACZ12" s="34"/>
      <c r="ADA12" s="34"/>
      <c r="ADB12" s="34"/>
      <c r="ADC12" s="34"/>
      <c r="ADD12" s="34"/>
      <c r="ADE12" s="34"/>
      <c r="ADF12" s="34"/>
      <c r="ADG12" s="34"/>
      <c r="ADH12" s="34"/>
      <c r="ADI12" s="34"/>
      <c r="ADJ12" s="34"/>
      <c r="ADK12" s="34"/>
      <c r="ADL12" s="34"/>
      <c r="ADM12" s="34"/>
      <c r="ADN12" s="34"/>
      <c r="ADO12" s="34"/>
      <c r="ADP12" s="34"/>
      <c r="ADQ12" s="34"/>
      <c r="ADR12" s="34"/>
      <c r="ADS12" s="34"/>
      <c r="ADT12" s="34"/>
      <c r="ADU12" s="34"/>
      <c r="ADV12" s="34"/>
      <c r="ADW12" s="34"/>
      <c r="ADX12" s="34"/>
      <c r="ADY12" s="34"/>
      <c r="ADZ12" s="34"/>
      <c r="AEA12" s="34"/>
      <c r="AEB12" s="34"/>
      <c r="AEC12" s="34"/>
      <c r="AED12" s="34"/>
      <c r="AEE12" s="34"/>
      <c r="AEF12" s="34"/>
      <c r="AEG12" s="34"/>
      <c r="AEH12" s="34"/>
      <c r="AEI12" s="34"/>
      <c r="AEJ12" s="34"/>
      <c r="AEK12" s="34"/>
      <c r="AEL12" s="34"/>
      <c r="AEM12" s="34"/>
      <c r="AEN12" s="34"/>
      <c r="AEO12" s="34"/>
      <c r="AEP12" s="34"/>
      <c r="AEQ12" s="34"/>
      <c r="AER12" s="34"/>
      <c r="AES12" s="34"/>
      <c r="AET12" s="34"/>
      <c r="AEU12" s="34"/>
      <c r="AEV12" s="34"/>
      <c r="AEW12" s="34"/>
      <c r="AEX12" s="34"/>
      <c r="AEY12" s="34"/>
      <c r="AEZ12" s="34"/>
      <c r="AFA12" s="34"/>
      <c r="AFB12" s="34"/>
      <c r="AFC12" s="34"/>
      <c r="AFD12" s="34"/>
      <c r="AFE12" s="34"/>
      <c r="AFF12" s="34"/>
      <c r="AFG12" s="34"/>
      <c r="AFH12" s="34"/>
      <c r="AFI12" s="34"/>
      <c r="AFJ12" s="34"/>
      <c r="AFK12" s="34"/>
      <c r="AFL12" s="34"/>
      <c r="AFM12" s="34"/>
      <c r="AFN12" s="34"/>
      <c r="AFO12" s="34"/>
      <c r="AFP12" s="34"/>
      <c r="AFQ12" s="34"/>
      <c r="AFR12" s="34"/>
      <c r="AFS12" s="34"/>
      <c r="AFT12" s="34"/>
      <c r="AFU12" s="34"/>
      <c r="AFV12" s="34"/>
      <c r="AFW12" s="34"/>
      <c r="AFX12" s="34"/>
      <c r="AFY12" s="34"/>
      <c r="AFZ12" s="34"/>
      <c r="AGA12" s="34"/>
      <c r="AGB12" s="34"/>
      <c r="AGC12" s="34"/>
      <c r="AGD12" s="34"/>
      <c r="AGE12" s="34"/>
      <c r="AGF12" s="34"/>
      <c r="AGG12" s="34"/>
      <c r="AGH12" s="34"/>
      <c r="AGI12" s="34"/>
      <c r="AGJ12" s="34"/>
      <c r="AGK12" s="34"/>
      <c r="AGL12" s="34"/>
      <c r="AGM12" s="34"/>
      <c r="AGN12" s="34"/>
      <c r="AGO12" s="34"/>
      <c r="AGP12" s="34"/>
      <c r="AGQ12" s="34"/>
      <c r="AGR12" s="34"/>
      <c r="AGS12" s="34"/>
      <c r="AGT12" s="34"/>
      <c r="AGU12" s="34"/>
      <c r="AGV12" s="34"/>
      <c r="AGW12" s="34"/>
      <c r="AGX12" s="34"/>
      <c r="AGY12" s="34"/>
      <c r="AGZ12" s="34"/>
      <c r="AHA12" s="34"/>
      <c r="AHB12" s="34"/>
      <c r="AHC12" s="34"/>
      <c r="AHD12" s="34"/>
      <c r="AHE12" s="34"/>
      <c r="AHF12" s="34"/>
      <c r="AHG12" s="34"/>
      <c r="AHH12" s="34"/>
      <c r="AHI12" s="34"/>
      <c r="AHJ12" s="34"/>
      <c r="AHK12" s="34"/>
      <c r="AHL12" s="34"/>
      <c r="AHM12" s="34"/>
      <c r="AHN12" s="34"/>
      <c r="AHO12" s="34"/>
      <c r="AHP12" s="34"/>
      <c r="AHQ12" s="34"/>
      <c r="AHR12" s="34"/>
      <c r="AHS12" s="34"/>
      <c r="AHT12" s="34"/>
      <c r="AHU12" s="34"/>
      <c r="AHV12" s="34"/>
      <c r="AHW12" s="34"/>
      <c r="AHX12" s="34"/>
      <c r="AHY12" s="34"/>
      <c r="AHZ12" s="34"/>
      <c r="AIA12" s="34"/>
      <c r="AIB12" s="34"/>
      <c r="AIC12" s="34"/>
      <c r="AID12" s="34"/>
      <c r="AIE12" s="34"/>
      <c r="AIF12" s="34"/>
      <c r="AIG12" s="34"/>
      <c r="AIH12" s="34"/>
      <c r="AII12" s="34"/>
      <c r="AIJ12" s="34"/>
      <c r="AIK12" s="34"/>
      <c r="AIL12" s="34"/>
      <c r="AIM12" s="34"/>
      <c r="AIN12" s="34"/>
      <c r="AIO12" s="34"/>
      <c r="AIP12" s="34"/>
      <c r="AIQ12" s="34"/>
      <c r="AIR12" s="34"/>
      <c r="AIS12" s="34"/>
      <c r="AIT12" s="34"/>
      <c r="AIU12" s="34"/>
      <c r="AIV12" s="34"/>
      <c r="AIW12" s="34"/>
      <c r="AIX12" s="34"/>
      <c r="AIY12" s="34"/>
      <c r="AIZ12" s="34"/>
      <c r="AJA12" s="34"/>
      <c r="AJB12" s="34"/>
      <c r="AJC12" s="34"/>
      <c r="AJD12" s="34"/>
      <c r="AJE12" s="34"/>
      <c r="AJF12" s="34"/>
      <c r="AJG12" s="34"/>
      <c r="AJH12" s="34"/>
      <c r="AJI12" s="34"/>
      <c r="AJJ12" s="34"/>
      <c r="AJK12" s="34"/>
      <c r="AJL12" s="34"/>
      <c r="AJM12" s="34"/>
      <c r="AJN12" s="34"/>
      <c r="AJO12" s="34"/>
      <c r="AJP12" s="34"/>
      <c r="AJQ12" s="34"/>
      <c r="AJR12" s="34"/>
      <c r="AJS12" s="34"/>
      <c r="AJT12" s="34"/>
      <c r="AJU12" s="34"/>
      <c r="AJV12" s="34"/>
      <c r="AJW12" s="34"/>
      <c r="AJX12" s="34"/>
      <c r="AJY12" s="34"/>
      <c r="AJZ12" s="34"/>
      <c r="AKA12" s="34"/>
      <c r="AKB12" s="34"/>
      <c r="AKC12" s="34"/>
      <c r="AKD12" s="34"/>
      <c r="AKE12" s="34"/>
      <c r="AKF12" s="34"/>
      <c r="AKG12" s="34"/>
      <c r="AKH12" s="34"/>
      <c r="AKI12" s="34"/>
      <c r="AKJ12" s="34"/>
      <c r="AKK12" s="34"/>
      <c r="AKL12" s="34"/>
      <c r="AKM12" s="34"/>
      <c r="AKN12" s="34"/>
      <c r="AKO12" s="34"/>
      <c r="AKP12" s="34"/>
      <c r="AKQ12" s="34"/>
      <c r="AKR12" s="34"/>
      <c r="AKS12" s="34"/>
      <c r="AKT12" s="34"/>
      <c r="AKU12" s="34"/>
      <c r="AKV12" s="34"/>
      <c r="AKW12" s="34"/>
      <c r="AKX12" s="34"/>
      <c r="AKY12" s="34"/>
      <c r="AKZ12" s="34"/>
      <c r="ALA12" s="34"/>
      <c r="ALB12" s="34"/>
      <c r="ALC12" s="34"/>
      <c r="ALD12" s="34"/>
      <c r="ALE12" s="34"/>
      <c r="ALF12" s="34"/>
      <c r="ALG12" s="34"/>
      <c r="ALH12" s="34"/>
      <c r="ALI12" s="34"/>
      <c r="ALJ12" s="34"/>
      <c r="ALK12" s="34"/>
      <c r="ALL12" s="34"/>
      <c r="ALM12" s="34"/>
      <c r="ALN12" s="34"/>
      <c r="ALO12" s="34"/>
      <c r="ALP12" s="34"/>
      <c r="ALQ12" s="34"/>
      <c r="ALR12" s="34"/>
      <c r="ALS12" s="34"/>
      <c r="ALT12" s="34"/>
      <c r="ALU12" s="34"/>
      <c r="ALV12" s="34"/>
      <c r="ALW12" s="34"/>
      <c r="ALX12" s="34"/>
      <c r="ALY12" s="34"/>
      <c r="ALZ12" s="34"/>
      <c r="AMA12" s="34"/>
      <c r="AMB12" s="34"/>
      <c r="AMC12" s="34"/>
      <c r="AMD12" s="34"/>
      <c r="AME12" s="34"/>
      <c r="AMF12" s="34"/>
      <c r="AMG12" s="34"/>
      <c r="AMH12" s="34"/>
      <c r="AMI12" s="34"/>
      <c r="AMJ12" s="34"/>
      <c r="AMK12" s="34"/>
    </row>
    <row r="13" ht="15.75" customHeight="1">
      <c r="A13" s="38" t="s">
        <v>41</v>
      </c>
      <c r="B13" s="38" t="s">
        <v>26</v>
      </c>
      <c r="C13" s="38" t="s">
        <v>42</v>
      </c>
      <c r="D13" s="38"/>
      <c r="E13" s="40">
        <v>950.0</v>
      </c>
      <c r="F13" s="38" t="s">
        <v>43</v>
      </c>
      <c r="G13" s="38" t="s">
        <v>44</v>
      </c>
      <c r="H13" s="38"/>
      <c r="I13" s="38"/>
      <c r="J13" s="38"/>
      <c r="K13" s="40">
        <v>100.15</v>
      </c>
      <c r="L13" s="40">
        <v>100.15</v>
      </c>
      <c r="M13" s="38" t="s">
        <v>45</v>
      </c>
      <c r="N13" s="38" t="s">
        <v>46</v>
      </c>
      <c r="O13" s="38" t="s">
        <v>47</v>
      </c>
      <c r="P13" s="34"/>
      <c r="Q13" s="42">
        <v>3.0</v>
      </c>
      <c r="R13" s="42">
        <v>0.0</v>
      </c>
      <c r="S13" s="34" t="s">
        <v>48</v>
      </c>
      <c r="T13" s="42">
        <v>0.0</v>
      </c>
      <c r="U13" s="42">
        <v>0.0</v>
      </c>
      <c r="V13" s="34" t="s">
        <v>49</v>
      </c>
      <c r="W13" s="42">
        <v>1.0</v>
      </c>
      <c r="X13" s="42">
        <v>0.0</v>
      </c>
      <c r="Y13" s="34" t="s">
        <v>41</v>
      </c>
      <c r="Z13" s="34" t="s">
        <v>50</v>
      </c>
      <c r="AA13" s="34" t="s">
        <v>24</v>
      </c>
      <c r="AB13" s="42">
        <v>1.0</v>
      </c>
      <c r="AC13" s="34"/>
      <c r="AD13" s="34" t="s">
        <v>52</v>
      </c>
      <c r="AE13" s="42">
        <v>950.0</v>
      </c>
      <c r="AF13" s="34" t="s">
        <v>41</v>
      </c>
      <c r="AG13" s="34"/>
      <c r="AH13" s="34" t="s">
        <v>53</v>
      </c>
      <c r="AI13" s="42">
        <v>1.0</v>
      </c>
      <c r="AJ13" s="34"/>
      <c r="AK13" s="34"/>
      <c r="AL13" s="34"/>
      <c r="AM13" s="34"/>
      <c r="AN13" s="34"/>
      <c r="AO13" s="34"/>
      <c r="AP13" s="44" t="b">
        <v>1</v>
      </c>
      <c r="AQ13" s="44" t="b">
        <v>0</v>
      </c>
      <c r="AR13" s="44" t="b">
        <v>1</v>
      </c>
      <c r="AS13" s="42">
        <v>0.0</v>
      </c>
      <c r="AT13" s="42">
        <v>85642.5</v>
      </c>
      <c r="AU13" s="42">
        <v>85642.5</v>
      </c>
      <c r="AV13" s="34"/>
      <c r="AW13" s="34"/>
      <c r="AX13" s="34"/>
      <c r="AY13" s="34"/>
      <c r="AZ13" s="34"/>
      <c r="BA13" s="34"/>
      <c r="BB13" s="34"/>
      <c r="BC13" s="42">
        <v>0.0</v>
      </c>
      <c r="BD13" s="34" t="s">
        <v>54</v>
      </c>
      <c r="BE13" s="42">
        <v>95142.5</v>
      </c>
      <c r="BF13" s="42">
        <v>95142.5</v>
      </c>
      <c r="BG13" s="34"/>
      <c r="BH13" s="34"/>
      <c r="BI13" s="34"/>
      <c r="BJ13" s="42">
        <v>950.0</v>
      </c>
      <c r="BK13" s="34"/>
      <c r="BL13" s="34" t="s">
        <v>41</v>
      </c>
      <c r="BM13" s="34" t="s">
        <v>50</v>
      </c>
      <c r="BN13" s="34"/>
      <c r="BO13" s="34" t="s">
        <v>25</v>
      </c>
      <c r="BP13" s="34"/>
      <c r="BQ13" s="34"/>
      <c r="BR13" s="34"/>
      <c r="BS13" s="34" t="s">
        <v>55</v>
      </c>
      <c r="BT13" s="34" t="s">
        <v>24</v>
      </c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 t="s">
        <v>56</v>
      </c>
      <c r="CG13" s="34"/>
      <c r="CH13" s="34" t="s">
        <v>19</v>
      </c>
      <c r="CI13" s="34" t="s">
        <v>60</v>
      </c>
      <c r="CJ13" s="34"/>
      <c r="CK13" s="34" t="s">
        <v>57</v>
      </c>
      <c r="CL13" s="42">
        <v>1.0</v>
      </c>
      <c r="CM13" s="34" t="s">
        <v>24</v>
      </c>
      <c r="CN13" s="34"/>
      <c r="CO13" s="34"/>
      <c r="CP13" s="34" t="s">
        <v>58</v>
      </c>
      <c r="CQ13" s="34"/>
      <c r="CR13" s="34"/>
      <c r="CS13" s="34" t="s">
        <v>41</v>
      </c>
      <c r="CT13" s="34"/>
      <c r="CU13" s="34"/>
      <c r="CV13" s="34" t="s">
        <v>41</v>
      </c>
      <c r="CW13" s="34" t="s">
        <v>41</v>
      </c>
      <c r="CX13" s="34" t="s">
        <v>41</v>
      </c>
      <c r="CY13" s="34" t="s">
        <v>41</v>
      </c>
      <c r="CZ13" s="34" t="s">
        <v>41</v>
      </c>
      <c r="DA13" s="34" t="s">
        <v>41</v>
      </c>
      <c r="DB13" s="34" t="s">
        <v>41</v>
      </c>
      <c r="DC13" s="34" t="s">
        <v>41</v>
      </c>
      <c r="DD13" s="34" t="s">
        <v>41</v>
      </c>
      <c r="DE13" s="34" t="s">
        <v>41</v>
      </c>
      <c r="DF13" s="34" t="s">
        <v>41</v>
      </c>
      <c r="DG13" s="34" t="s">
        <v>41</v>
      </c>
      <c r="DH13" s="34" t="s">
        <v>41</v>
      </c>
      <c r="DI13" s="34" t="s">
        <v>41</v>
      </c>
      <c r="DJ13" s="34" t="s">
        <v>41</v>
      </c>
      <c r="DK13" s="34" t="s">
        <v>41</v>
      </c>
      <c r="DL13" s="34" t="s">
        <v>41</v>
      </c>
      <c r="DM13" s="34" t="s">
        <v>41</v>
      </c>
      <c r="DN13" s="34" t="s">
        <v>41</v>
      </c>
      <c r="DO13" s="34" t="s">
        <v>41</v>
      </c>
      <c r="DP13" s="34" t="s">
        <v>41</v>
      </c>
      <c r="DQ13" s="34" t="s">
        <v>41</v>
      </c>
      <c r="DR13" s="34" t="s">
        <v>41</v>
      </c>
      <c r="DS13" s="34" t="s">
        <v>41</v>
      </c>
      <c r="DT13" s="34" t="s">
        <v>41</v>
      </c>
      <c r="DU13" s="34" t="s">
        <v>41</v>
      </c>
      <c r="DV13" s="34" t="s">
        <v>41</v>
      </c>
      <c r="DW13" s="34" t="s">
        <v>41</v>
      </c>
      <c r="DX13" s="34" t="s">
        <v>41</v>
      </c>
      <c r="DY13" s="34" t="s">
        <v>41</v>
      </c>
      <c r="DZ13" s="34" t="s">
        <v>41</v>
      </c>
      <c r="EA13" s="34" t="s">
        <v>41</v>
      </c>
      <c r="EB13" s="34" t="s">
        <v>41</v>
      </c>
      <c r="EC13" s="34" t="s">
        <v>41</v>
      </c>
      <c r="ED13" s="34" t="s">
        <v>41</v>
      </c>
      <c r="EE13" s="34" t="s">
        <v>41</v>
      </c>
      <c r="EF13" s="34" t="s">
        <v>41</v>
      </c>
      <c r="EG13" s="34" t="s">
        <v>41</v>
      </c>
      <c r="EH13" s="34" t="s">
        <v>41</v>
      </c>
      <c r="EI13" s="34" t="s">
        <v>41</v>
      </c>
      <c r="EJ13" s="34" t="s">
        <v>41</v>
      </c>
      <c r="EK13" s="34" t="s">
        <v>41</v>
      </c>
      <c r="EL13" s="34" t="s">
        <v>41</v>
      </c>
      <c r="EM13" s="34" t="s">
        <v>41</v>
      </c>
      <c r="EN13" s="34" t="s">
        <v>41</v>
      </c>
      <c r="EO13" s="34" t="s">
        <v>41</v>
      </c>
      <c r="EP13" s="34" t="s">
        <v>41</v>
      </c>
      <c r="EQ13" s="34" t="s">
        <v>41</v>
      </c>
      <c r="ER13" s="34" t="s">
        <v>41</v>
      </c>
      <c r="ES13" s="34" t="s">
        <v>41</v>
      </c>
      <c r="ET13" s="34" t="s">
        <v>41</v>
      </c>
      <c r="EU13" s="34" t="s">
        <v>41</v>
      </c>
      <c r="EV13" s="34" t="s">
        <v>41</v>
      </c>
      <c r="EW13" s="34" t="s">
        <v>41</v>
      </c>
      <c r="EX13" s="34" t="s">
        <v>41</v>
      </c>
      <c r="EY13" s="34"/>
      <c r="EZ13" s="34"/>
      <c r="FA13" s="34" t="s">
        <v>41</v>
      </c>
      <c r="FB13" s="34" t="s">
        <v>41</v>
      </c>
      <c r="FC13" s="34" t="s">
        <v>41</v>
      </c>
      <c r="FD13" s="42">
        <v>0.0</v>
      </c>
      <c r="FE13" s="34" t="s">
        <v>41</v>
      </c>
      <c r="FF13" s="34" t="s">
        <v>41</v>
      </c>
      <c r="FG13" s="42">
        <v>0.0</v>
      </c>
      <c r="FH13" s="34" t="s">
        <v>41</v>
      </c>
      <c r="FI13" s="34" t="s">
        <v>41</v>
      </c>
      <c r="FJ13" s="34"/>
      <c r="FK13" s="34" t="s">
        <v>41</v>
      </c>
      <c r="FL13" s="34" t="s">
        <v>41</v>
      </c>
      <c r="FM13" s="34" t="s">
        <v>41</v>
      </c>
      <c r="FN13" s="34" t="s">
        <v>41</v>
      </c>
      <c r="FO13" s="34" t="s">
        <v>41</v>
      </c>
      <c r="FP13" s="34" t="s">
        <v>41</v>
      </c>
      <c r="FQ13" s="34" t="s">
        <v>41</v>
      </c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  <c r="HI13" s="34"/>
      <c r="HJ13" s="34"/>
      <c r="HK13" s="34"/>
      <c r="HL13" s="34"/>
      <c r="HM13" s="34"/>
      <c r="HN13" s="34"/>
      <c r="HO13" s="34"/>
      <c r="HP13" s="34"/>
      <c r="HQ13" s="34"/>
      <c r="HR13" s="34"/>
      <c r="HS13" s="34"/>
      <c r="HT13" s="34"/>
      <c r="HU13" s="34"/>
      <c r="HV13" s="34"/>
      <c r="HW13" s="34"/>
      <c r="HX13" s="34"/>
      <c r="HY13" s="34"/>
      <c r="HZ13" s="34"/>
      <c r="IA13" s="34"/>
      <c r="IB13" s="34"/>
      <c r="IC13" s="34"/>
      <c r="ID13" s="34"/>
      <c r="IE13" s="34"/>
      <c r="IF13" s="34"/>
      <c r="IG13" s="34"/>
      <c r="IH13" s="34"/>
      <c r="II13" s="34"/>
      <c r="IJ13" s="34"/>
      <c r="IK13" s="34"/>
      <c r="IL13" s="34"/>
      <c r="IM13" s="34"/>
      <c r="IN13" s="34"/>
      <c r="IO13" s="34"/>
      <c r="IP13" s="34"/>
      <c r="IQ13" s="34"/>
      <c r="IR13" s="34"/>
      <c r="IS13" s="34"/>
      <c r="IT13" s="34"/>
      <c r="IU13" s="34"/>
      <c r="IV13" s="34"/>
      <c r="IW13" s="34"/>
      <c r="IX13" s="34"/>
      <c r="IY13" s="34"/>
      <c r="IZ13" s="34"/>
      <c r="JA13" s="34"/>
      <c r="JB13" s="34"/>
      <c r="JC13" s="34"/>
      <c r="JD13" s="34"/>
      <c r="JE13" s="34"/>
      <c r="JF13" s="34"/>
      <c r="JG13" s="34"/>
      <c r="JH13" s="34"/>
      <c r="JI13" s="34"/>
      <c r="JJ13" s="34"/>
      <c r="JK13" s="34"/>
      <c r="JL13" s="34"/>
      <c r="JM13" s="34"/>
      <c r="JN13" s="34"/>
      <c r="JO13" s="34"/>
      <c r="JP13" s="34"/>
      <c r="JQ13" s="34"/>
      <c r="JR13" s="34"/>
      <c r="JS13" s="34"/>
      <c r="JT13" s="34"/>
      <c r="JU13" s="34"/>
      <c r="JV13" s="34"/>
      <c r="JW13" s="34"/>
      <c r="JX13" s="34"/>
      <c r="JY13" s="34"/>
      <c r="JZ13" s="34"/>
      <c r="KA13" s="34"/>
      <c r="KB13" s="34"/>
      <c r="KC13" s="34"/>
      <c r="KD13" s="34"/>
      <c r="KE13" s="34"/>
      <c r="KF13" s="34"/>
      <c r="KG13" s="34"/>
      <c r="KH13" s="34"/>
      <c r="KI13" s="34"/>
      <c r="KJ13" s="34"/>
      <c r="KK13" s="34"/>
      <c r="KL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  <c r="KW13" s="34"/>
      <c r="KX13" s="34"/>
      <c r="KY13" s="34"/>
      <c r="KZ13" s="34"/>
      <c r="LA13" s="34"/>
      <c r="LB13" s="34"/>
      <c r="LC13" s="34"/>
      <c r="LD13" s="34"/>
      <c r="LE13" s="34"/>
      <c r="LF13" s="34"/>
      <c r="LG13" s="34"/>
      <c r="LH13" s="34"/>
      <c r="LI13" s="34"/>
      <c r="LJ13" s="34"/>
      <c r="LK13" s="34"/>
      <c r="LL13" s="34"/>
      <c r="LM13" s="34"/>
      <c r="LN13" s="34"/>
      <c r="LO13" s="34"/>
      <c r="LP13" s="34"/>
      <c r="LQ13" s="34"/>
      <c r="LR13" s="34"/>
      <c r="LS13" s="34"/>
      <c r="LT13" s="34"/>
      <c r="LU13" s="34"/>
      <c r="LV13" s="34"/>
      <c r="LW13" s="34"/>
      <c r="LX13" s="34"/>
      <c r="LY13" s="34"/>
      <c r="LZ13" s="34"/>
      <c r="MA13" s="34"/>
      <c r="MB13" s="34"/>
      <c r="MC13" s="34"/>
      <c r="MD13" s="34"/>
      <c r="ME13" s="34"/>
      <c r="MF13" s="34"/>
      <c r="MG13" s="34"/>
      <c r="MH13" s="34"/>
      <c r="MI13" s="34"/>
      <c r="MJ13" s="34"/>
      <c r="MK13" s="34"/>
      <c r="ML13" s="34"/>
      <c r="MM13" s="34"/>
      <c r="MN13" s="34"/>
      <c r="MO13" s="34"/>
      <c r="MP13" s="34"/>
      <c r="MQ13" s="34"/>
      <c r="MR13" s="34"/>
      <c r="MS13" s="34"/>
      <c r="MT13" s="34"/>
      <c r="MU13" s="34"/>
      <c r="MV13" s="34"/>
      <c r="MW13" s="34"/>
      <c r="MX13" s="34"/>
      <c r="MY13" s="34"/>
      <c r="MZ13" s="34"/>
      <c r="NA13" s="34"/>
      <c r="NB13" s="34"/>
      <c r="NC13" s="34"/>
      <c r="ND13" s="34"/>
      <c r="NE13" s="34"/>
      <c r="NF13" s="34"/>
      <c r="NG13" s="34"/>
      <c r="NH13" s="34"/>
      <c r="NI13" s="34"/>
      <c r="NJ13" s="34"/>
      <c r="NK13" s="34"/>
      <c r="NL13" s="34"/>
      <c r="NM13" s="34"/>
      <c r="NN13" s="34"/>
      <c r="NO13" s="34"/>
      <c r="NP13" s="34"/>
      <c r="NQ13" s="34"/>
      <c r="NR13" s="34"/>
      <c r="NS13" s="34"/>
      <c r="NT13" s="34"/>
      <c r="NU13" s="34"/>
      <c r="NV13" s="34"/>
      <c r="NW13" s="34"/>
      <c r="NX13" s="34"/>
      <c r="NY13" s="34"/>
      <c r="NZ13" s="34"/>
      <c r="OA13" s="34"/>
      <c r="OB13" s="34"/>
      <c r="OC13" s="34"/>
      <c r="OD13" s="34"/>
      <c r="OE13" s="34"/>
      <c r="OF13" s="34"/>
      <c r="OG13" s="34"/>
      <c r="OH13" s="34"/>
      <c r="OI13" s="34"/>
      <c r="OJ13" s="34"/>
      <c r="OK13" s="34"/>
      <c r="OL13" s="34"/>
      <c r="OM13" s="34"/>
      <c r="ON13" s="34"/>
      <c r="OO13" s="34"/>
      <c r="OP13" s="34"/>
      <c r="OQ13" s="34"/>
      <c r="OR13" s="34"/>
      <c r="OS13" s="34"/>
      <c r="OT13" s="34"/>
      <c r="OU13" s="34"/>
      <c r="OV13" s="34"/>
      <c r="OW13" s="34"/>
      <c r="OX13" s="34"/>
      <c r="OY13" s="34"/>
      <c r="OZ13" s="34"/>
      <c r="PA13" s="34"/>
      <c r="PB13" s="34"/>
      <c r="PC13" s="34"/>
      <c r="PD13" s="34"/>
      <c r="PE13" s="34"/>
      <c r="PF13" s="34"/>
      <c r="PG13" s="34"/>
      <c r="PH13" s="34"/>
      <c r="PI13" s="34"/>
      <c r="PJ13" s="34"/>
      <c r="PK13" s="34"/>
      <c r="PL13" s="34"/>
      <c r="PM13" s="34"/>
      <c r="PN13" s="34"/>
      <c r="PO13" s="34"/>
      <c r="PP13" s="34"/>
      <c r="PQ13" s="34"/>
      <c r="PR13" s="34"/>
      <c r="PS13" s="34"/>
      <c r="PT13" s="34"/>
      <c r="PU13" s="34"/>
      <c r="PV13" s="34"/>
      <c r="PW13" s="34"/>
      <c r="PX13" s="34"/>
      <c r="PY13" s="34"/>
      <c r="PZ13" s="34"/>
      <c r="QA13" s="34"/>
      <c r="QB13" s="34"/>
      <c r="QC13" s="34"/>
      <c r="QD13" s="34"/>
      <c r="QE13" s="34"/>
      <c r="QF13" s="34"/>
      <c r="QG13" s="34"/>
      <c r="QH13" s="34"/>
      <c r="QI13" s="34"/>
      <c r="QJ13" s="34"/>
      <c r="QK13" s="34"/>
      <c r="QL13" s="34"/>
      <c r="QM13" s="34"/>
      <c r="QN13" s="34"/>
      <c r="QO13" s="34"/>
      <c r="QP13" s="34"/>
      <c r="QQ13" s="34"/>
      <c r="QR13" s="34"/>
      <c r="QS13" s="34"/>
      <c r="QT13" s="34"/>
      <c r="QU13" s="34"/>
      <c r="QV13" s="34"/>
      <c r="QW13" s="34"/>
      <c r="QX13" s="34"/>
      <c r="QY13" s="34"/>
      <c r="QZ13" s="34"/>
      <c r="RA13" s="34"/>
      <c r="RB13" s="34"/>
      <c r="RC13" s="34"/>
      <c r="RD13" s="34"/>
      <c r="RE13" s="34"/>
      <c r="RF13" s="34"/>
      <c r="RG13" s="34"/>
      <c r="RH13" s="34"/>
      <c r="RI13" s="34"/>
      <c r="RJ13" s="34"/>
      <c r="RK13" s="34"/>
      <c r="RL13" s="34"/>
      <c r="RM13" s="34"/>
      <c r="RN13" s="34"/>
      <c r="RO13" s="34"/>
      <c r="RP13" s="34"/>
      <c r="RQ13" s="34"/>
      <c r="RR13" s="34"/>
      <c r="RS13" s="34"/>
      <c r="RT13" s="34"/>
      <c r="RU13" s="34"/>
      <c r="RV13" s="34"/>
      <c r="RW13" s="34"/>
      <c r="RX13" s="34"/>
      <c r="RY13" s="34"/>
      <c r="RZ13" s="34"/>
      <c r="SA13" s="34"/>
      <c r="SB13" s="34"/>
      <c r="SC13" s="34"/>
      <c r="SD13" s="34"/>
      <c r="SE13" s="34"/>
      <c r="SF13" s="34"/>
      <c r="SG13" s="34"/>
      <c r="SH13" s="34"/>
      <c r="SI13" s="34"/>
      <c r="SJ13" s="34"/>
      <c r="SK13" s="34"/>
      <c r="SL13" s="34"/>
      <c r="SM13" s="34"/>
      <c r="SN13" s="34"/>
      <c r="SO13" s="34"/>
      <c r="SP13" s="34"/>
      <c r="SQ13" s="34"/>
      <c r="SR13" s="34"/>
      <c r="SS13" s="34"/>
      <c r="ST13" s="34"/>
      <c r="SU13" s="34"/>
      <c r="SV13" s="34"/>
      <c r="SW13" s="34"/>
      <c r="SX13" s="34"/>
      <c r="SY13" s="34"/>
      <c r="SZ13" s="34"/>
      <c r="TA13" s="34"/>
      <c r="TB13" s="34"/>
      <c r="TC13" s="34"/>
      <c r="TD13" s="34"/>
      <c r="TE13" s="34"/>
      <c r="TF13" s="34"/>
      <c r="TG13" s="34"/>
      <c r="TH13" s="34"/>
      <c r="TI13" s="34"/>
      <c r="TJ13" s="34"/>
      <c r="TK13" s="34"/>
      <c r="TL13" s="34"/>
      <c r="TM13" s="34"/>
      <c r="TN13" s="34"/>
      <c r="TO13" s="34"/>
      <c r="TP13" s="34"/>
      <c r="TQ13" s="34"/>
      <c r="TR13" s="34"/>
      <c r="TS13" s="34"/>
      <c r="TT13" s="34"/>
      <c r="TU13" s="34"/>
      <c r="TV13" s="34"/>
      <c r="TW13" s="34"/>
      <c r="TX13" s="34"/>
      <c r="TY13" s="34"/>
      <c r="TZ13" s="34"/>
      <c r="UA13" s="34"/>
      <c r="UB13" s="34"/>
      <c r="UC13" s="34"/>
      <c r="UD13" s="34"/>
      <c r="UE13" s="34"/>
      <c r="UF13" s="34"/>
      <c r="UG13" s="34"/>
      <c r="UH13" s="34"/>
      <c r="UI13" s="34"/>
      <c r="UJ13" s="34"/>
      <c r="UK13" s="34"/>
      <c r="UL13" s="34"/>
      <c r="UM13" s="34"/>
      <c r="UN13" s="34"/>
      <c r="UO13" s="34"/>
      <c r="UP13" s="34"/>
      <c r="UQ13" s="34"/>
      <c r="UR13" s="34"/>
      <c r="US13" s="34"/>
      <c r="UT13" s="34"/>
      <c r="UU13" s="34"/>
      <c r="UV13" s="34"/>
      <c r="UW13" s="34"/>
      <c r="UX13" s="34"/>
      <c r="UY13" s="34"/>
      <c r="UZ13" s="34"/>
      <c r="VA13" s="34"/>
      <c r="VB13" s="34"/>
      <c r="VC13" s="34"/>
      <c r="VD13" s="34"/>
      <c r="VE13" s="34"/>
      <c r="VF13" s="34"/>
      <c r="VG13" s="34"/>
      <c r="VH13" s="34"/>
      <c r="VI13" s="34"/>
      <c r="VJ13" s="34"/>
      <c r="VK13" s="34"/>
      <c r="VL13" s="34"/>
      <c r="VM13" s="34"/>
      <c r="VN13" s="34"/>
      <c r="VO13" s="34"/>
      <c r="VP13" s="34"/>
      <c r="VQ13" s="34"/>
      <c r="VR13" s="34"/>
      <c r="VS13" s="34"/>
      <c r="VT13" s="34"/>
      <c r="VU13" s="34"/>
      <c r="VV13" s="34"/>
      <c r="VW13" s="34"/>
      <c r="VX13" s="34"/>
      <c r="VY13" s="34"/>
      <c r="VZ13" s="34"/>
      <c r="WA13" s="34"/>
      <c r="WB13" s="34"/>
      <c r="WC13" s="34"/>
      <c r="WD13" s="34"/>
      <c r="WE13" s="34"/>
      <c r="WF13" s="34"/>
      <c r="WG13" s="34"/>
      <c r="WH13" s="34"/>
      <c r="WI13" s="34"/>
      <c r="WJ13" s="34"/>
      <c r="WK13" s="34"/>
      <c r="WL13" s="34"/>
      <c r="WM13" s="34"/>
      <c r="WN13" s="34"/>
      <c r="WO13" s="34"/>
      <c r="WP13" s="34"/>
      <c r="WQ13" s="34"/>
      <c r="WR13" s="34"/>
      <c r="WS13" s="34"/>
      <c r="WT13" s="34"/>
      <c r="WU13" s="34"/>
      <c r="WV13" s="34"/>
      <c r="WW13" s="34"/>
      <c r="WX13" s="34"/>
      <c r="WY13" s="34"/>
      <c r="WZ13" s="34"/>
      <c r="XA13" s="34"/>
      <c r="XB13" s="34"/>
      <c r="XC13" s="34"/>
      <c r="XD13" s="34"/>
      <c r="XE13" s="34"/>
      <c r="XF13" s="34"/>
      <c r="XG13" s="34"/>
      <c r="XH13" s="34"/>
      <c r="XI13" s="34"/>
      <c r="XJ13" s="34"/>
      <c r="XK13" s="34"/>
      <c r="XL13" s="34"/>
      <c r="XM13" s="34"/>
      <c r="XN13" s="34"/>
      <c r="XO13" s="34"/>
      <c r="XP13" s="34"/>
      <c r="XQ13" s="34"/>
      <c r="XR13" s="34"/>
      <c r="XS13" s="34"/>
      <c r="XT13" s="34"/>
      <c r="XU13" s="34"/>
      <c r="XV13" s="34"/>
      <c r="XW13" s="34"/>
      <c r="XX13" s="34"/>
      <c r="XY13" s="34"/>
      <c r="XZ13" s="34"/>
      <c r="YA13" s="34"/>
      <c r="YB13" s="34"/>
      <c r="YC13" s="34"/>
      <c r="YD13" s="34"/>
      <c r="YE13" s="34"/>
      <c r="YF13" s="34"/>
      <c r="YG13" s="34"/>
      <c r="YH13" s="34"/>
      <c r="YI13" s="34"/>
      <c r="YJ13" s="34"/>
      <c r="YK13" s="34"/>
      <c r="YL13" s="34"/>
      <c r="YM13" s="34"/>
      <c r="YN13" s="34"/>
      <c r="YO13" s="34"/>
      <c r="YP13" s="34"/>
      <c r="YQ13" s="34"/>
      <c r="YR13" s="34"/>
      <c r="YS13" s="34"/>
      <c r="YT13" s="34"/>
      <c r="YU13" s="34"/>
      <c r="YV13" s="34"/>
      <c r="YW13" s="34"/>
      <c r="YX13" s="34"/>
      <c r="YY13" s="34"/>
      <c r="YZ13" s="34"/>
      <c r="ZA13" s="34"/>
      <c r="ZB13" s="34"/>
      <c r="ZC13" s="34"/>
      <c r="ZD13" s="34"/>
      <c r="ZE13" s="34"/>
      <c r="ZF13" s="34"/>
      <c r="ZG13" s="34"/>
      <c r="ZH13" s="34"/>
      <c r="ZI13" s="34"/>
      <c r="ZJ13" s="34"/>
      <c r="ZK13" s="34"/>
      <c r="ZL13" s="34"/>
      <c r="ZM13" s="34"/>
      <c r="ZN13" s="34"/>
      <c r="ZO13" s="34"/>
      <c r="ZP13" s="34"/>
      <c r="ZQ13" s="34"/>
      <c r="ZR13" s="34"/>
      <c r="ZS13" s="34"/>
      <c r="ZT13" s="34"/>
      <c r="ZU13" s="34"/>
      <c r="ZV13" s="34"/>
      <c r="ZW13" s="34"/>
      <c r="ZX13" s="34"/>
      <c r="ZY13" s="34"/>
      <c r="ZZ13" s="34"/>
      <c r="AAA13" s="34"/>
      <c r="AAB13" s="34"/>
      <c r="AAC13" s="34"/>
      <c r="AAD13" s="34"/>
      <c r="AAE13" s="34"/>
      <c r="AAF13" s="34"/>
      <c r="AAG13" s="34"/>
      <c r="AAH13" s="34"/>
      <c r="AAI13" s="34"/>
      <c r="AAJ13" s="34"/>
      <c r="AAK13" s="34"/>
      <c r="AAL13" s="34"/>
      <c r="AAM13" s="34"/>
      <c r="AAN13" s="34"/>
      <c r="AAO13" s="34"/>
      <c r="AAP13" s="34"/>
      <c r="AAQ13" s="34"/>
      <c r="AAR13" s="34"/>
      <c r="AAS13" s="34"/>
      <c r="AAT13" s="34"/>
      <c r="AAU13" s="34"/>
      <c r="AAV13" s="34"/>
      <c r="AAW13" s="34"/>
      <c r="AAX13" s="34"/>
      <c r="AAY13" s="34"/>
      <c r="AAZ13" s="34"/>
      <c r="ABA13" s="34"/>
      <c r="ABB13" s="34"/>
      <c r="ABC13" s="34"/>
      <c r="ABD13" s="34"/>
      <c r="ABE13" s="34"/>
      <c r="ABF13" s="34"/>
      <c r="ABG13" s="34"/>
      <c r="ABH13" s="34"/>
      <c r="ABI13" s="34"/>
      <c r="ABJ13" s="34"/>
      <c r="ABK13" s="34"/>
      <c r="ABL13" s="34"/>
      <c r="ABM13" s="34"/>
      <c r="ABN13" s="34"/>
      <c r="ABO13" s="34"/>
      <c r="ABP13" s="34"/>
      <c r="ABQ13" s="34"/>
      <c r="ABR13" s="34"/>
      <c r="ABS13" s="34"/>
      <c r="ABT13" s="34"/>
      <c r="ABU13" s="34"/>
      <c r="ABV13" s="34"/>
      <c r="ABW13" s="34"/>
      <c r="ABX13" s="34"/>
      <c r="ABY13" s="34"/>
      <c r="ABZ13" s="34"/>
      <c r="ACA13" s="34"/>
      <c r="ACB13" s="34"/>
      <c r="ACC13" s="34"/>
      <c r="ACD13" s="34"/>
      <c r="ACE13" s="34"/>
      <c r="ACF13" s="34"/>
      <c r="ACG13" s="34"/>
      <c r="ACH13" s="34"/>
      <c r="ACI13" s="34"/>
      <c r="ACJ13" s="34"/>
      <c r="ACK13" s="34"/>
      <c r="ACL13" s="34"/>
      <c r="ACM13" s="34"/>
      <c r="ACN13" s="34"/>
      <c r="ACO13" s="34"/>
      <c r="ACP13" s="34"/>
      <c r="ACQ13" s="34"/>
      <c r="ACR13" s="34"/>
      <c r="ACS13" s="34"/>
      <c r="ACT13" s="34"/>
      <c r="ACU13" s="34"/>
      <c r="ACV13" s="34"/>
      <c r="ACW13" s="34"/>
      <c r="ACX13" s="34"/>
      <c r="ACY13" s="34"/>
      <c r="ACZ13" s="34"/>
      <c r="ADA13" s="34"/>
      <c r="ADB13" s="34"/>
      <c r="ADC13" s="34"/>
      <c r="ADD13" s="34"/>
      <c r="ADE13" s="34"/>
      <c r="ADF13" s="34"/>
      <c r="ADG13" s="34"/>
      <c r="ADH13" s="34"/>
      <c r="ADI13" s="34"/>
      <c r="ADJ13" s="34"/>
      <c r="ADK13" s="34"/>
      <c r="ADL13" s="34"/>
      <c r="ADM13" s="34"/>
      <c r="ADN13" s="34"/>
      <c r="ADO13" s="34"/>
      <c r="ADP13" s="34"/>
      <c r="ADQ13" s="34"/>
      <c r="ADR13" s="34"/>
      <c r="ADS13" s="34"/>
      <c r="ADT13" s="34"/>
      <c r="ADU13" s="34"/>
      <c r="ADV13" s="34"/>
      <c r="ADW13" s="34"/>
      <c r="ADX13" s="34"/>
      <c r="ADY13" s="34"/>
      <c r="ADZ13" s="34"/>
      <c r="AEA13" s="34"/>
      <c r="AEB13" s="34"/>
      <c r="AEC13" s="34"/>
      <c r="AED13" s="34"/>
      <c r="AEE13" s="34"/>
      <c r="AEF13" s="34"/>
      <c r="AEG13" s="34"/>
      <c r="AEH13" s="34"/>
      <c r="AEI13" s="34"/>
      <c r="AEJ13" s="34"/>
      <c r="AEK13" s="34"/>
      <c r="AEL13" s="34"/>
      <c r="AEM13" s="34"/>
      <c r="AEN13" s="34"/>
      <c r="AEO13" s="34"/>
      <c r="AEP13" s="34"/>
      <c r="AEQ13" s="34"/>
      <c r="AER13" s="34"/>
      <c r="AES13" s="34"/>
      <c r="AET13" s="34"/>
      <c r="AEU13" s="34"/>
      <c r="AEV13" s="34"/>
      <c r="AEW13" s="34"/>
      <c r="AEX13" s="34"/>
      <c r="AEY13" s="34"/>
      <c r="AEZ13" s="34"/>
      <c r="AFA13" s="34"/>
      <c r="AFB13" s="34"/>
      <c r="AFC13" s="34"/>
      <c r="AFD13" s="34"/>
      <c r="AFE13" s="34"/>
      <c r="AFF13" s="34"/>
      <c r="AFG13" s="34"/>
      <c r="AFH13" s="34"/>
      <c r="AFI13" s="34"/>
      <c r="AFJ13" s="34"/>
      <c r="AFK13" s="34"/>
      <c r="AFL13" s="34"/>
      <c r="AFM13" s="34"/>
      <c r="AFN13" s="34"/>
      <c r="AFO13" s="34"/>
      <c r="AFP13" s="34"/>
      <c r="AFQ13" s="34"/>
      <c r="AFR13" s="34"/>
      <c r="AFS13" s="34"/>
      <c r="AFT13" s="34"/>
      <c r="AFU13" s="34"/>
      <c r="AFV13" s="34"/>
      <c r="AFW13" s="34"/>
      <c r="AFX13" s="34"/>
      <c r="AFY13" s="34"/>
      <c r="AFZ13" s="34"/>
      <c r="AGA13" s="34"/>
      <c r="AGB13" s="34"/>
      <c r="AGC13" s="34"/>
      <c r="AGD13" s="34"/>
      <c r="AGE13" s="34"/>
      <c r="AGF13" s="34"/>
      <c r="AGG13" s="34"/>
      <c r="AGH13" s="34"/>
      <c r="AGI13" s="34"/>
      <c r="AGJ13" s="34"/>
      <c r="AGK13" s="34"/>
      <c r="AGL13" s="34"/>
      <c r="AGM13" s="34"/>
      <c r="AGN13" s="34"/>
      <c r="AGO13" s="34"/>
      <c r="AGP13" s="34"/>
      <c r="AGQ13" s="34"/>
      <c r="AGR13" s="34"/>
      <c r="AGS13" s="34"/>
      <c r="AGT13" s="34"/>
      <c r="AGU13" s="34"/>
      <c r="AGV13" s="34"/>
      <c r="AGW13" s="34"/>
      <c r="AGX13" s="34"/>
      <c r="AGY13" s="34"/>
      <c r="AGZ13" s="34"/>
      <c r="AHA13" s="34"/>
      <c r="AHB13" s="34"/>
      <c r="AHC13" s="34"/>
      <c r="AHD13" s="34"/>
      <c r="AHE13" s="34"/>
      <c r="AHF13" s="34"/>
      <c r="AHG13" s="34"/>
      <c r="AHH13" s="34"/>
      <c r="AHI13" s="34"/>
      <c r="AHJ13" s="34"/>
      <c r="AHK13" s="34"/>
      <c r="AHL13" s="34"/>
      <c r="AHM13" s="34"/>
      <c r="AHN13" s="34"/>
      <c r="AHO13" s="34"/>
      <c r="AHP13" s="34"/>
      <c r="AHQ13" s="34"/>
      <c r="AHR13" s="34"/>
      <c r="AHS13" s="34"/>
      <c r="AHT13" s="34"/>
      <c r="AHU13" s="34"/>
      <c r="AHV13" s="34"/>
      <c r="AHW13" s="34"/>
      <c r="AHX13" s="34"/>
      <c r="AHY13" s="34"/>
      <c r="AHZ13" s="34"/>
      <c r="AIA13" s="34"/>
      <c r="AIB13" s="34"/>
      <c r="AIC13" s="34"/>
      <c r="AID13" s="34"/>
      <c r="AIE13" s="34"/>
      <c r="AIF13" s="34"/>
      <c r="AIG13" s="34"/>
      <c r="AIH13" s="34"/>
      <c r="AII13" s="34"/>
      <c r="AIJ13" s="34"/>
      <c r="AIK13" s="34"/>
      <c r="AIL13" s="34"/>
      <c r="AIM13" s="34"/>
      <c r="AIN13" s="34"/>
      <c r="AIO13" s="34"/>
      <c r="AIP13" s="34"/>
      <c r="AIQ13" s="34"/>
      <c r="AIR13" s="34"/>
      <c r="AIS13" s="34"/>
      <c r="AIT13" s="34"/>
      <c r="AIU13" s="34"/>
      <c r="AIV13" s="34"/>
      <c r="AIW13" s="34"/>
      <c r="AIX13" s="34"/>
      <c r="AIY13" s="34"/>
      <c r="AIZ13" s="34"/>
      <c r="AJA13" s="34"/>
      <c r="AJB13" s="34"/>
      <c r="AJC13" s="34"/>
      <c r="AJD13" s="34"/>
      <c r="AJE13" s="34"/>
      <c r="AJF13" s="34"/>
      <c r="AJG13" s="34"/>
      <c r="AJH13" s="34"/>
      <c r="AJI13" s="34"/>
      <c r="AJJ13" s="34"/>
      <c r="AJK13" s="34"/>
      <c r="AJL13" s="34"/>
      <c r="AJM13" s="34"/>
      <c r="AJN13" s="34"/>
      <c r="AJO13" s="34"/>
      <c r="AJP13" s="34"/>
      <c r="AJQ13" s="34"/>
      <c r="AJR13" s="34"/>
      <c r="AJS13" s="34"/>
      <c r="AJT13" s="34"/>
      <c r="AJU13" s="34"/>
      <c r="AJV13" s="34"/>
      <c r="AJW13" s="34"/>
      <c r="AJX13" s="34"/>
      <c r="AJY13" s="34"/>
      <c r="AJZ13" s="34"/>
      <c r="AKA13" s="34"/>
      <c r="AKB13" s="34"/>
      <c r="AKC13" s="34"/>
      <c r="AKD13" s="34"/>
      <c r="AKE13" s="34"/>
      <c r="AKF13" s="34"/>
      <c r="AKG13" s="34"/>
      <c r="AKH13" s="34"/>
      <c r="AKI13" s="34"/>
      <c r="AKJ13" s="34"/>
      <c r="AKK13" s="34"/>
      <c r="AKL13" s="34"/>
      <c r="AKM13" s="34"/>
      <c r="AKN13" s="34"/>
      <c r="AKO13" s="34"/>
      <c r="AKP13" s="34"/>
      <c r="AKQ13" s="34"/>
      <c r="AKR13" s="34"/>
      <c r="AKS13" s="34"/>
      <c r="AKT13" s="34"/>
      <c r="AKU13" s="34"/>
      <c r="AKV13" s="34"/>
      <c r="AKW13" s="34"/>
      <c r="AKX13" s="34"/>
      <c r="AKY13" s="34"/>
      <c r="AKZ13" s="34"/>
      <c r="ALA13" s="34"/>
      <c r="ALB13" s="34"/>
      <c r="ALC13" s="34"/>
      <c r="ALD13" s="34"/>
      <c r="ALE13" s="34"/>
      <c r="ALF13" s="34"/>
      <c r="ALG13" s="34"/>
      <c r="ALH13" s="34"/>
      <c r="ALI13" s="34"/>
      <c r="ALJ13" s="34"/>
      <c r="ALK13" s="34"/>
      <c r="ALL13" s="34"/>
      <c r="ALM13" s="34"/>
      <c r="ALN13" s="34"/>
      <c r="ALO13" s="34"/>
      <c r="ALP13" s="34"/>
      <c r="ALQ13" s="34"/>
      <c r="ALR13" s="34"/>
      <c r="ALS13" s="34"/>
      <c r="ALT13" s="34"/>
      <c r="ALU13" s="34"/>
      <c r="ALV13" s="34"/>
      <c r="ALW13" s="34"/>
      <c r="ALX13" s="34"/>
      <c r="ALY13" s="34"/>
      <c r="ALZ13" s="34"/>
      <c r="AMA13" s="34"/>
      <c r="AMB13" s="34"/>
      <c r="AMC13" s="34"/>
      <c r="AMD13" s="34"/>
      <c r="AME13" s="34"/>
      <c r="AMF13" s="34"/>
      <c r="AMG13" s="34"/>
      <c r="AMH13" s="34"/>
      <c r="AMI13" s="34"/>
      <c r="AMJ13" s="34"/>
      <c r="AMK13" s="34"/>
    </row>
    <row r="14" ht="15.75" customHeight="1">
      <c r="A14" s="38" t="s">
        <v>41</v>
      </c>
      <c r="B14" s="38" t="s">
        <v>26</v>
      </c>
      <c r="C14" s="38" t="s">
        <v>42</v>
      </c>
      <c r="D14" s="38"/>
      <c r="E14" s="40">
        <v>10.0</v>
      </c>
      <c r="F14" s="38" t="s">
        <v>43</v>
      </c>
      <c r="G14" s="38" t="s">
        <v>35</v>
      </c>
      <c r="H14" s="38"/>
      <c r="I14" s="38"/>
      <c r="J14" s="38"/>
      <c r="K14" s="40">
        <v>0.0</v>
      </c>
      <c r="L14" s="40">
        <v>0.0</v>
      </c>
      <c r="M14" s="38"/>
      <c r="N14" s="38" t="s">
        <v>46</v>
      </c>
      <c r="O14" s="38" t="s">
        <v>47</v>
      </c>
      <c r="P14" s="34"/>
      <c r="Q14" s="42">
        <v>3.0</v>
      </c>
      <c r="R14" s="42">
        <v>0.0</v>
      </c>
      <c r="S14" s="34" t="s">
        <v>61</v>
      </c>
      <c r="T14" s="42">
        <v>0.0</v>
      </c>
      <c r="U14" s="42">
        <v>0.0</v>
      </c>
      <c r="V14" s="34" t="s">
        <v>62</v>
      </c>
      <c r="W14" s="42">
        <v>100.0</v>
      </c>
      <c r="X14" s="42">
        <v>0.0</v>
      </c>
      <c r="Y14" s="34" t="s">
        <v>41</v>
      </c>
      <c r="Z14" s="34" t="s">
        <v>50</v>
      </c>
      <c r="AA14" s="34"/>
      <c r="AB14" s="42">
        <v>1.0</v>
      </c>
      <c r="AC14" s="34"/>
      <c r="AD14" s="34" t="s">
        <v>63</v>
      </c>
      <c r="AE14" s="42">
        <v>10.0</v>
      </c>
      <c r="AF14" s="34" t="s">
        <v>41</v>
      </c>
      <c r="AG14" s="34"/>
      <c r="AH14" s="34" t="s">
        <v>53</v>
      </c>
      <c r="AI14" s="42">
        <v>1.0</v>
      </c>
      <c r="AJ14" s="34"/>
      <c r="AK14" s="34"/>
      <c r="AL14" s="34"/>
      <c r="AM14" s="34"/>
      <c r="AN14" s="34"/>
      <c r="AO14" s="34"/>
      <c r="AP14" s="44" t="b">
        <v>0</v>
      </c>
      <c r="AQ14" s="44" t="b">
        <v>0</v>
      </c>
      <c r="AR14" s="44" t="b">
        <v>1</v>
      </c>
      <c r="AS14" s="42">
        <v>0.0</v>
      </c>
      <c r="AT14" s="42">
        <v>10000.0</v>
      </c>
      <c r="AU14" s="42">
        <v>10000.0</v>
      </c>
      <c r="AV14" s="34"/>
      <c r="AW14" s="34"/>
      <c r="AX14" s="34"/>
      <c r="AY14" s="34"/>
      <c r="AZ14" s="34"/>
      <c r="BA14" s="34"/>
      <c r="BB14" s="34"/>
      <c r="BC14" s="42">
        <v>0.0</v>
      </c>
      <c r="BD14" s="34" t="s">
        <v>54</v>
      </c>
      <c r="BE14" s="42">
        <v>0.0</v>
      </c>
      <c r="BF14" s="42">
        <v>0.0</v>
      </c>
      <c r="BG14" s="34"/>
      <c r="BH14" s="34"/>
      <c r="BI14" s="34"/>
      <c r="BJ14" s="42">
        <v>10.0</v>
      </c>
      <c r="BK14" s="34"/>
      <c r="BL14" s="34" t="s">
        <v>41</v>
      </c>
      <c r="BM14" s="34" t="s">
        <v>50</v>
      </c>
      <c r="BN14" s="34"/>
      <c r="BO14" s="34" t="s">
        <v>65</v>
      </c>
      <c r="BP14" s="34"/>
      <c r="BQ14" s="34"/>
      <c r="BR14" s="34"/>
      <c r="BS14" s="34" t="s">
        <v>55</v>
      </c>
      <c r="BT14" s="43" t="s">
        <v>17</v>
      </c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 t="s">
        <v>19</v>
      </c>
      <c r="CI14" s="34" t="s">
        <v>60</v>
      </c>
      <c r="CJ14" s="34"/>
      <c r="CK14" s="34" t="s">
        <v>57</v>
      </c>
      <c r="CL14" s="42">
        <v>1.0</v>
      </c>
      <c r="CM14" s="34" t="s">
        <v>24</v>
      </c>
      <c r="CN14" s="34"/>
      <c r="CO14" s="34"/>
      <c r="CP14" s="34" t="s">
        <v>58</v>
      </c>
      <c r="CQ14" s="34"/>
      <c r="CR14" s="34"/>
      <c r="CS14" s="34" t="s">
        <v>41</v>
      </c>
      <c r="CT14" s="34"/>
      <c r="CU14" s="34"/>
      <c r="CV14" s="34" t="s">
        <v>41</v>
      </c>
      <c r="CW14" s="34" t="s">
        <v>41</v>
      </c>
      <c r="CX14" s="34" t="s">
        <v>41</v>
      </c>
      <c r="CY14" s="34" t="s">
        <v>41</v>
      </c>
      <c r="CZ14" s="34" t="s">
        <v>41</v>
      </c>
      <c r="DA14" s="34" t="s">
        <v>41</v>
      </c>
      <c r="DB14" s="34" t="s">
        <v>41</v>
      </c>
      <c r="DC14" s="34" t="s">
        <v>41</v>
      </c>
      <c r="DD14" s="34" t="s">
        <v>41</v>
      </c>
      <c r="DE14" s="34" t="s">
        <v>41</v>
      </c>
      <c r="DF14" s="34" t="s">
        <v>41</v>
      </c>
      <c r="DG14" s="34" t="s">
        <v>41</v>
      </c>
      <c r="DH14" s="34" t="s">
        <v>41</v>
      </c>
      <c r="DI14" s="34" t="s">
        <v>41</v>
      </c>
      <c r="DJ14" s="34" t="s">
        <v>41</v>
      </c>
      <c r="DK14" s="34" t="s">
        <v>41</v>
      </c>
      <c r="DL14" s="34" t="s">
        <v>41</v>
      </c>
      <c r="DM14" s="34" t="s">
        <v>41</v>
      </c>
      <c r="DN14" s="34" t="s">
        <v>41</v>
      </c>
      <c r="DO14" s="34" t="s">
        <v>41</v>
      </c>
      <c r="DP14" s="34" t="s">
        <v>41</v>
      </c>
      <c r="DQ14" s="34" t="s">
        <v>41</v>
      </c>
      <c r="DR14" s="34" t="s">
        <v>41</v>
      </c>
      <c r="DS14" s="34" t="s">
        <v>41</v>
      </c>
      <c r="DT14" s="34" t="s">
        <v>41</v>
      </c>
      <c r="DU14" s="34" t="s">
        <v>41</v>
      </c>
      <c r="DV14" s="34" t="s">
        <v>41</v>
      </c>
      <c r="DW14" s="34" t="s">
        <v>41</v>
      </c>
      <c r="DX14" s="34" t="s">
        <v>41</v>
      </c>
      <c r="DY14" s="34" t="s">
        <v>41</v>
      </c>
      <c r="DZ14" s="34" t="s">
        <v>41</v>
      </c>
      <c r="EA14" s="34" t="s">
        <v>41</v>
      </c>
      <c r="EB14" s="34" t="s">
        <v>41</v>
      </c>
      <c r="EC14" s="34" t="s">
        <v>41</v>
      </c>
      <c r="ED14" s="34" t="s">
        <v>41</v>
      </c>
      <c r="EE14" s="34" t="s">
        <v>41</v>
      </c>
      <c r="EF14" s="34" t="s">
        <v>41</v>
      </c>
      <c r="EG14" s="34" t="s">
        <v>41</v>
      </c>
      <c r="EH14" s="34" t="s">
        <v>41</v>
      </c>
      <c r="EI14" s="34" t="s">
        <v>41</v>
      </c>
      <c r="EJ14" s="34" t="s">
        <v>41</v>
      </c>
      <c r="EK14" s="34" t="s">
        <v>41</v>
      </c>
      <c r="EL14" s="34" t="s">
        <v>41</v>
      </c>
      <c r="EM14" s="34" t="s">
        <v>41</v>
      </c>
      <c r="EN14" s="34" t="s">
        <v>41</v>
      </c>
      <c r="EO14" s="34" t="s">
        <v>41</v>
      </c>
      <c r="EP14" s="34" t="s">
        <v>41</v>
      </c>
      <c r="EQ14" s="34" t="s">
        <v>41</v>
      </c>
      <c r="ER14" s="34" t="s">
        <v>41</v>
      </c>
      <c r="ES14" s="34" t="s">
        <v>41</v>
      </c>
      <c r="ET14" s="34" t="s">
        <v>41</v>
      </c>
      <c r="EU14" s="34" t="s">
        <v>41</v>
      </c>
      <c r="EV14" s="34" t="s">
        <v>41</v>
      </c>
      <c r="EW14" s="34" t="s">
        <v>41</v>
      </c>
      <c r="EX14" s="34" t="s">
        <v>41</v>
      </c>
      <c r="EY14" s="34"/>
      <c r="EZ14" s="34"/>
      <c r="FA14" s="34" t="s">
        <v>41</v>
      </c>
      <c r="FB14" s="34" t="s">
        <v>41</v>
      </c>
      <c r="FC14" s="34" t="s">
        <v>41</v>
      </c>
      <c r="FD14" s="42">
        <v>0.0</v>
      </c>
      <c r="FE14" s="34" t="s">
        <v>41</v>
      </c>
      <c r="FF14" s="34" t="s">
        <v>41</v>
      </c>
      <c r="FG14" s="42">
        <v>0.0</v>
      </c>
      <c r="FH14" s="34" t="s">
        <v>41</v>
      </c>
      <c r="FI14" s="34" t="s">
        <v>41</v>
      </c>
      <c r="FJ14" s="34"/>
      <c r="FK14" s="34" t="s">
        <v>41</v>
      </c>
      <c r="FL14" s="34" t="s">
        <v>41</v>
      </c>
      <c r="FM14" s="34" t="s">
        <v>41</v>
      </c>
      <c r="FN14" s="34" t="s">
        <v>41</v>
      </c>
      <c r="FO14" s="34" t="s">
        <v>41</v>
      </c>
      <c r="FP14" s="34" t="s">
        <v>41</v>
      </c>
      <c r="FQ14" s="34" t="s">
        <v>41</v>
      </c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  <c r="GV14" s="34"/>
      <c r="GW14" s="34"/>
      <c r="GX14" s="34"/>
      <c r="GY14" s="34"/>
      <c r="GZ14" s="34"/>
      <c r="HA14" s="34"/>
      <c r="HB14" s="34"/>
      <c r="HC14" s="34"/>
      <c r="HD14" s="34"/>
      <c r="HE14" s="34"/>
      <c r="HF14" s="34"/>
      <c r="HG14" s="34"/>
      <c r="HH14" s="34"/>
      <c r="HI14" s="34"/>
      <c r="HJ14" s="34"/>
      <c r="HK14" s="34"/>
      <c r="HL14" s="34"/>
      <c r="HM14" s="34"/>
      <c r="HN14" s="34"/>
      <c r="HO14" s="34"/>
      <c r="HP14" s="34"/>
      <c r="HQ14" s="34"/>
      <c r="HR14" s="34"/>
      <c r="HS14" s="34"/>
      <c r="HT14" s="34"/>
      <c r="HU14" s="34"/>
      <c r="HV14" s="34"/>
      <c r="HW14" s="34"/>
      <c r="HX14" s="34"/>
      <c r="HY14" s="34"/>
      <c r="HZ14" s="34"/>
      <c r="IA14" s="34"/>
      <c r="IB14" s="34"/>
      <c r="IC14" s="34"/>
      <c r="ID14" s="34"/>
      <c r="IE14" s="34"/>
      <c r="IF14" s="34"/>
      <c r="IG14" s="34"/>
      <c r="IH14" s="34"/>
      <c r="II14" s="34"/>
      <c r="IJ14" s="34"/>
      <c r="IK14" s="34"/>
      <c r="IL14" s="34"/>
      <c r="IM14" s="34"/>
      <c r="IN14" s="34"/>
      <c r="IO14" s="34"/>
      <c r="IP14" s="34"/>
      <c r="IQ14" s="34"/>
      <c r="IR14" s="34"/>
      <c r="IS14" s="34"/>
      <c r="IT14" s="34"/>
      <c r="IU14" s="34"/>
      <c r="IV14" s="34"/>
      <c r="IW14" s="34"/>
      <c r="IX14" s="34"/>
      <c r="IY14" s="34"/>
      <c r="IZ14" s="34"/>
      <c r="JA14" s="34"/>
      <c r="JB14" s="34"/>
      <c r="JC14" s="34"/>
      <c r="JD14" s="34"/>
      <c r="JE14" s="34"/>
      <c r="JF14" s="34"/>
      <c r="JG14" s="34"/>
      <c r="JH14" s="34"/>
      <c r="JI14" s="34"/>
      <c r="JJ14" s="34"/>
      <c r="JK14" s="34"/>
      <c r="JL14" s="34"/>
      <c r="JM14" s="34"/>
      <c r="JN14" s="34"/>
      <c r="JO14" s="34"/>
      <c r="JP14" s="34"/>
      <c r="JQ14" s="34"/>
      <c r="JR14" s="34"/>
      <c r="JS14" s="34"/>
      <c r="JT14" s="34"/>
      <c r="JU14" s="34"/>
      <c r="JV14" s="34"/>
      <c r="JW14" s="34"/>
      <c r="JX14" s="34"/>
      <c r="JY14" s="34"/>
      <c r="JZ14" s="34"/>
      <c r="KA14" s="34"/>
      <c r="KB14" s="34"/>
      <c r="KC14" s="34"/>
      <c r="KD14" s="34"/>
      <c r="KE14" s="34"/>
      <c r="KF14" s="34"/>
      <c r="KG14" s="34"/>
      <c r="KH14" s="34"/>
      <c r="KI14" s="34"/>
      <c r="KJ14" s="34"/>
      <c r="KK14" s="34"/>
      <c r="KL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  <c r="KW14" s="34"/>
      <c r="KX14" s="34"/>
      <c r="KY14" s="34"/>
      <c r="KZ14" s="34"/>
      <c r="LA14" s="34"/>
      <c r="LB14" s="34"/>
      <c r="LC14" s="34"/>
      <c r="LD14" s="34"/>
      <c r="LE14" s="34"/>
      <c r="LF14" s="34"/>
      <c r="LG14" s="34"/>
      <c r="LH14" s="34"/>
      <c r="LI14" s="34"/>
      <c r="LJ14" s="34"/>
      <c r="LK14" s="34"/>
      <c r="LL14" s="34"/>
      <c r="LM14" s="34"/>
      <c r="LN14" s="34"/>
      <c r="LO14" s="34"/>
      <c r="LP14" s="34"/>
      <c r="LQ14" s="34"/>
      <c r="LR14" s="34"/>
      <c r="LS14" s="34"/>
      <c r="LT14" s="34"/>
      <c r="LU14" s="34"/>
      <c r="LV14" s="34"/>
      <c r="LW14" s="34"/>
      <c r="LX14" s="34"/>
      <c r="LY14" s="34"/>
      <c r="LZ14" s="34"/>
      <c r="MA14" s="34"/>
      <c r="MB14" s="34"/>
      <c r="MC14" s="34"/>
      <c r="MD14" s="34"/>
      <c r="ME14" s="34"/>
      <c r="MF14" s="34"/>
      <c r="MG14" s="34"/>
      <c r="MH14" s="34"/>
      <c r="MI14" s="34"/>
      <c r="MJ14" s="34"/>
      <c r="MK14" s="34"/>
      <c r="ML14" s="34"/>
      <c r="MM14" s="34"/>
      <c r="MN14" s="34"/>
      <c r="MO14" s="34"/>
      <c r="MP14" s="34"/>
      <c r="MQ14" s="34"/>
      <c r="MR14" s="34"/>
      <c r="MS14" s="34"/>
      <c r="MT14" s="34"/>
      <c r="MU14" s="34"/>
      <c r="MV14" s="34"/>
      <c r="MW14" s="34"/>
      <c r="MX14" s="34"/>
      <c r="MY14" s="34"/>
      <c r="MZ14" s="34"/>
      <c r="NA14" s="34"/>
      <c r="NB14" s="34"/>
      <c r="NC14" s="34"/>
      <c r="ND14" s="34"/>
      <c r="NE14" s="34"/>
      <c r="NF14" s="34"/>
      <c r="NG14" s="34"/>
      <c r="NH14" s="34"/>
      <c r="NI14" s="34"/>
      <c r="NJ14" s="34"/>
      <c r="NK14" s="34"/>
      <c r="NL14" s="34"/>
      <c r="NM14" s="34"/>
      <c r="NN14" s="34"/>
      <c r="NO14" s="34"/>
      <c r="NP14" s="34"/>
      <c r="NQ14" s="34"/>
      <c r="NR14" s="34"/>
      <c r="NS14" s="34"/>
      <c r="NT14" s="34"/>
      <c r="NU14" s="34"/>
      <c r="NV14" s="34"/>
      <c r="NW14" s="34"/>
      <c r="NX14" s="34"/>
      <c r="NY14" s="34"/>
      <c r="NZ14" s="34"/>
      <c r="OA14" s="34"/>
      <c r="OB14" s="34"/>
      <c r="OC14" s="34"/>
      <c r="OD14" s="34"/>
      <c r="OE14" s="34"/>
      <c r="OF14" s="34"/>
      <c r="OG14" s="34"/>
      <c r="OH14" s="34"/>
      <c r="OI14" s="34"/>
      <c r="OJ14" s="34"/>
      <c r="OK14" s="34"/>
      <c r="OL14" s="34"/>
      <c r="OM14" s="34"/>
      <c r="ON14" s="34"/>
      <c r="OO14" s="34"/>
      <c r="OP14" s="34"/>
      <c r="OQ14" s="34"/>
      <c r="OR14" s="34"/>
      <c r="OS14" s="34"/>
      <c r="OT14" s="34"/>
      <c r="OU14" s="34"/>
      <c r="OV14" s="34"/>
      <c r="OW14" s="34"/>
      <c r="OX14" s="34"/>
      <c r="OY14" s="34"/>
      <c r="OZ14" s="34"/>
      <c r="PA14" s="34"/>
      <c r="PB14" s="34"/>
      <c r="PC14" s="34"/>
      <c r="PD14" s="34"/>
      <c r="PE14" s="34"/>
      <c r="PF14" s="34"/>
      <c r="PG14" s="34"/>
      <c r="PH14" s="34"/>
      <c r="PI14" s="34"/>
      <c r="PJ14" s="34"/>
      <c r="PK14" s="34"/>
      <c r="PL14" s="34"/>
      <c r="PM14" s="34"/>
      <c r="PN14" s="34"/>
      <c r="PO14" s="34"/>
      <c r="PP14" s="34"/>
      <c r="PQ14" s="34"/>
      <c r="PR14" s="34"/>
      <c r="PS14" s="34"/>
      <c r="PT14" s="34"/>
      <c r="PU14" s="34"/>
      <c r="PV14" s="34"/>
      <c r="PW14" s="34"/>
      <c r="PX14" s="34"/>
      <c r="PY14" s="34"/>
      <c r="PZ14" s="34"/>
      <c r="QA14" s="34"/>
      <c r="QB14" s="34"/>
      <c r="QC14" s="34"/>
      <c r="QD14" s="34"/>
      <c r="QE14" s="34"/>
      <c r="QF14" s="34"/>
      <c r="QG14" s="34"/>
      <c r="QH14" s="34"/>
      <c r="QI14" s="34"/>
      <c r="QJ14" s="34"/>
      <c r="QK14" s="34"/>
      <c r="QL14" s="34"/>
      <c r="QM14" s="34"/>
      <c r="QN14" s="34"/>
      <c r="QO14" s="34"/>
      <c r="QP14" s="34"/>
      <c r="QQ14" s="34"/>
      <c r="QR14" s="34"/>
      <c r="QS14" s="34"/>
      <c r="QT14" s="34"/>
      <c r="QU14" s="34"/>
      <c r="QV14" s="34"/>
      <c r="QW14" s="34"/>
      <c r="QX14" s="34"/>
      <c r="QY14" s="34"/>
      <c r="QZ14" s="34"/>
      <c r="RA14" s="34"/>
      <c r="RB14" s="34"/>
      <c r="RC14" s="34"/>
      <c r="RD14" s="34"/>
      <c r="RE14" s="34"/>
      <c r="RF14" s="34"/>
      <c r="RG14" s="34"/>
      <c r="RH14" s="34"/>
      <c r="RI14" s="34"/>
      <c r="RJ14" s="34"/>
      <c r="RK14" s="34"/>
      <c r="RL14" s="34"/>
      <c r="RM14" s="34"/>
      <c r="RN14" s="34"/>
      <c r="RO14" s="34"/>
      <c r="RP14" s="34"/>
      <c r="RQ14" s="34"/>
      <c r="RR14" s="34"/>
      <c r="RS14" s="34"/>
      <c r="RT14" s="34"/>
      <c r="RU14" s="34"/>
      <c r="RV14" s="34"/>
      <c r="RW14" s="34"/>
      <c r="RX14" s="34"/>
      <c r="RY14" s="34"/>
      <c r="RZ14" s="34"/>
      <c r="SA14" s="34"/>
      <c r="SB14" s="34"/>
      <c r="SC14" s="34"/>
      <c r="SD14" s="34"/>
      <c r="SE14" s="34"/>
      <c r="SF14" s="34"/>
      <c r="SG14" s="34"/>
      <c r="SH14" s="34"/>
      <c r="SI14" s="34"/>
      <c r="SJ14" s="34"/>
      <c r="SK14" s="34"/>
      <c r="SL14" s="34"/>
      <c r="SM14" s="34"/>
      <c r="SN14" s="34"/>
      <c r="SO14" s="34"/>
      <c r="SP14" s="34"/>
      <c r="SQ14" s="34"/>
      <c r="SR14" s="34"/>
      <c r="SS14" s="34"/>
      <c r="ST14" s="34"/>
      <c r="SU14" s="34"/>
      <c r="SV14" s="34"/>
      <c r="SW14" s="34"/>
      <c r="SX14" s="34"/>
      <c r="SY14" s="34"/>
      <c r="SZ14" s="34"/>
      <c r="TA14" s="34"/>
      <c r="TB14" s="34"/>
      <c r="TC14" s="34"/>
      <c r="TD14" s="34"/>
      <c r="TE14" s="34"/>
      <c r="TF14" s="34"/>
      <c r="TG14" s="34"/>
      <c r="TH14" s="34"/>
      <c r="TI14" s="34"/>
      <c r="TJ14" s="34"/>
      <c r="TK14" s="34"/>
      <c r="TL14" s="34"/>
      <c r="TM14" s="34"/>
      <c r="TN14" s="34"/>
      <c r="TO14" s="34"/>
      <c r="TP14" s="34"/>
      <c r="TQ14" s="34"/>
      <c r="TR14" s="34"/>
      <c r="TS14" s="34"/>
      <c r="TT14" s="34"/>
      <c r="TU14" s="34"/>
      <c r="TV14" s="34"/>
      <c r="TW14" s="34"/>
      <c r="TX14" s="34"/>
      <c r="TY14" s="34"/>
      <c r="TZ14" s="34"/>
      <c r="UA14" s="34"/>
      <c r="UB14" s="34"/>
      <c r="UC14" s="34"/>
      <c r="UD14" s="34"/>
      <c r="UE14" s="34"/>
      <c r="UF14" s="34"/>
      <c r="UG14" s="34"/>
      <c r="UH14" s="34"/>
      <c r="UI14" s="34"/>
      <c r="UJ14" s="34"/>
      <c r="UK14" s="34"/>
      <c r="UL14" s="34"/>
      <c r="UM14" s="34"/>
      <c r="UN14" s="34"/>
      <c r="UO14" s="34"/>
      <c r="UP14" s="34"/>
      <c r="UQ14" s="34"/>
      <c r="UR14" s="34"/>
      <c r="US14" s="34"/>
      <c r="UT14" s="34"/>
      <c r="UU14" s="34"/>
      <c r="UV14" s="34"/>
      <c r="UW14" s="34"/>
      <c r="UX14" s="34"/>
      <c r="UY14" s="34"/>
      <c r="UZ14" s="34"/>
      <c r="VA14" s="34"/>
      <c r="VB14" s="34"/>
      <c r="VC14" s="34"/>
      <c r="VD14" s="34"/>
      <c r="VE14" s="34"/>
      <c r="VF14" s="34"/>
      <c r="VG14" s="34"/>
      <c r="VH14" s="34"/>
      <c r="VI14" s="34"/>
      <c r="VJ14" s="34"/>
      <c r="VK14" s="34"/>
      <c r="VL14" s="34"/>
      <c r="VM14" s="34"/>
      <c r="VN14" s="34"/>
      <c r="VO14" s="34"/>
      <c r="VP14" s="34"/>
      <c r="VQ14" s="34"/>
      <c r="VR14" s="34"/>
      <c r="VS14" s="34"/>
      <c r="VT14" s="34"/>
      <c r="VU14" s="34"/>
      <c r="VV14" s="34"/>
      <c r="VW14" s="34"/>
      <c r="VX14" s="34"/>
      <c r="VY14" s="34"/>
      <c r="VZ14" s="34"/>
      <c r="WA14" s="34"/>
      <c r="WB14" s="34"/>
      <c r="WC14" s="34"/>
      <c r="WD14" s="34"/>
      <c r="WE14" s="34"/>
      <c r="WF14" s="34"/>
      <c r="WG14" s="34"/>
      <c r="WH14" s="34"/>
      <c r="WI14" s="34"/>
      <c r="WJ14" s="34"/>
      <c r="WK14" s="34"/>
      <c r="WL14" s="34"/>
      <c r="WM14" s="34"/>
      <c r="WN14" s="34"/>
      <c r="WO14" s="34"/>
      <c r="WP14" s="34"/>
      <c r="WQ14" s="34"/>
      <c r="WR14" s="34"/>
      <c r="WS14" s="34"/>
      <c r="WT14" s="34"/>
      <c r="WU14" s="34"/>
      <c r="WV14" s="34"/>
      <c r="WW14" s="34"/>
      <c r="WX14" s="34"/>
      <c r="WY14" s="34"/>
      <c r="WZ14" s="34"/>
      <c r="XA14" s="34"/>
      <c r="XB14" s="34"/>
      <c r="XC14" s="34"/>
      <c r="XD14" s="34"/>
      <c r="XE14" s="34"/>
      <c r="XF14" s="34"/>
      <c r="XG14" s="34"/>
      <c r="XH14" s="34"/>
      <c r="XI14" s="34"/>
      <c r="XJ14" s="34"/>
      <c r="XK14" s="34"/>
      <c r="XL14" s="34"/>
      <c r="XM14" s="34"/>
      <c r="XN14" s="34"/>
      <c r="XO14" s="34"/>
      <c r="XP14" s="34"/>
      <c r="XQ14" s="34"/>
      <c r="XR14" s="34"/>
      <c r="XS14" s="34"/>
      <c r="XT14" s="34"/>
      <c r="XU14" s="34"/>
      <c r="XV14" s="34"/>
      <c r="XW14" s="34"/>
      <c r="XX14" s="34"/>
      <c r="XY14" s="34"/>
      <c r="XZ14" s="34"/>
      <c r="YA14" s="34"/>
      <c r="YB14" s="34"/>
      <c r="YC14" s="34"/>
      <c r="YD14" s="34"/>
      <c r="YE14" s="34"/>
      <c r="YF14" s="34"/>
      <c r="YG14" s="34"/>
      <c r="YH14" s="34"/>
      <c r="YI14" s="34"/>
      <c r="YJ14" s="34"/>
      <c r="YK14" s="34"/>
      <c r="YL14" s="34"/>
      <c r="YM14" s="34"/>
      <c r="YN14" s="34"/>
      <c r="YO14" s="34"/>
      <c r="YP14" s="34"/>
      <c r="YQ14" s="34"/>
      <c r="YR14" s="34"/>
      <c r="YS14" s="34"/>
      <c r="YT14" s="34"/>
      <c r="YU14" s="34"/>
      <c r="YV14" s="34"/>
      <c r="YW14" s="34"/>
      <c r="YX14" s="34"/>
      <c r="YY14" s="34"/>
      <c r="YZ14" s="34"/>
      <c r="ZA14" s="34"/>
      <c r="ZB14" s="34"/>
      <c r="ZC14" s="34"/>
      <c r="ZD14" s="34"/>
      <c r="ZE14" s="34"/>
      <c r="ZF14" s="34"/>
      <c r="ZG14" s="34"/>
      <c r="ZH14" s="34"/>
      <c r="ZI14" s="34"/>
      <c r="ZJ14" s="34"/>
      <c r="ZK14" s="34"/>
      <c r="ZL14" s="34"/>
      <c r="ZM14" s="34"/>
      <c r="ZN14" s="34"/>
      <c r="ZO14" s="34"/>
      <c r="ZP14" s="34"/>
      <c r="ZQ14" s="34"/>
      <c r="ZR14" s="34"/>
      <c r="ZS14" s="34"/>
      <c r="ZT14" s="34"/>
      <c r="ZU14" s="34"/>
      <c r="ZV14" s="34"/>
      <c r="ZW14" s="34"/>
      <c r="ZX14" s="34"/>
      <c r="ZY14" s="34"/>
      <c r="ZZ14" s="34"/>
      <c r="AAA14" s="34"/>
      <c r="AAB14" s="34"/>
      <c r="AAC14" s="34"/>
      <c r="AAD14" s="34"/>
      <c r="AAE14" s="34"/>
      <c r="AAF14" s="34"/>
      <c r="AAG14" s="34"/>
      <c r="AAH14" s="34"/>
      <c r="AAI14" s="34"/>
      <c r="AAJ14" s="34"/>
      <c r="AAK14" s="34"/>
      <c r="AAL14" s="34"/>
      <c r="AAM14" s="34"/>
      <c r="AAN14" s="34"/>
      <c r="AAO14" s="34"/>
      <c r="AAP14" s="34"/>
      <c r="AAQ14" s="34"/>
      <c r="AAR14" s="34"/>
      <c r="AAS14" s="34"/>
      <c r="AAT14" s="34"/>
      <c r="AAU14" s="34"/>
      <c r="AAV14" s="34"/>
      <c r="AAW14" s="34"/>
      <c r="AAX14" s="34"/>
      <c r="AAY14" s="34"/>
      <c r="AAZ14" s="34"/>
      <c r="ABA14" s="34"/>
      <c r="ABB14" s="34"/>
      <c r="ABC14" s="34"/>
      <c r="ABD14" s="34"/>
      <c r="ABE14" s="34"/>
      <c r="ABF14" s="34"/>
      <c r="ABG14" s="34"/>
      <c r="ABH14" s="34"/>
      <c r="ABI14" s="34"/>
      <c r="ABJ14" s="34"/>
      <c r="ABK14" s="34"/>
      <c r="ABL14" s="34"/>
      <c r="ABM14" s="34"/>
      <c r="ABN14" s="34"/>
      <c r="ABO14" s="34"/>
      <c r="ABP14" s="34"/>
      <c r="ABQ14" s="34"/>
      <c r="ABR14" s="34"/>
      <c r="ABS14" s="34"/>
      <c r="ABT14" s="34"/>
      <c r="ABU14" s="34"/>
      <c r="ABV14" s="34"/>
      <c r="ABW14" s="34"/>
      <c r="ABX14" s="34"/>
      <c r="ABY14" s="34"/>
      <c r="ABZ14" s="34"/>
      <c r="ACA14" s="34"/>
      <c r="ACB14" s="34"/>
      <c r="ACC14" s="34"/>
      <c r="ACD14" s="34"/>
      <c r="ACE14" s="34"/>
      <c r="ACF14" s="34"/>
      <c r="ACG14" s="34"/>
      <c r="ACH14" s="34"/>
      <c r="ACI14" s="34"/>
      <c r="ACJ14" s="34"/>
      <c r="ACK14" s="34"/>
      <c r="ACL14" s="34"/>
      <c r="ACM14" s="34"/>
      <c r="ACN14" s="34"/>
      <c r="ACO14" s="34"/>
      <c r="ACP14" s="34"/>
      <c r="ACQ14" s="34"/>
      <c r="ACR14" s="34"/>
      <c r="ACS14" s="34"/>
      <c r="ACT14" s="34"/>
      <c r="ACU14" s="34"/>
      <c r="ACV14" s="34"/>
      <c r="ACW14" s="34"/>
      <c r="ACX14" s="34"/>
      <c r="ACY14" s="34"/>
      <c r="ACZ14" s="34"/>
      <c r="ADA14" s="34"/>
      <c r="ADB14" s="34"/>
      <c r="ADC14" s="34"/>
      <c r="ADD14" s="34"/>
      <c r="ADE14" s="34"/>
      <c r="ADF14" s="34"/>
      <c r="ADG14" s="34"/>
      <c r="ADH14" s="34"/>
      <c r="ADI14" s="34"/>
      <c r="ADJ14" s="34"/>
      <c r="ADK14" s="34"/>
      <c r="ADL14" s="34"/>
      <c r="ADM14" s="34"/>
      <c r="ADN14" s="34"/>
      <c r="ADO14" s="34"/>
      <c r="ADP14" s="34"/>
      <c r="ADQ14" s="34"/>
      <c r="ADR14" s="34"/>
      <c r="ADS14" s="34"/>
      <c r="ADT14" s="34"/>
      <c r="ADU14" s="34"/>
      <c r="ADV14" s="34"/>
      <c r="ADW14" s="34"/>
      <c r="ADX14" s="34"/>
      <c r="ADY14" s="34"/>
      <c r="ADZ14" s="34"/>
      <c r="AEA14" s="34"/>
      <c r="AEB14" s="34"/>
      <c r="AEC14" s="34"/>
      <c r="AED14" s="34"/>
      <c r="AEE14" s="34"/>
      <c r="AEF14" s="34"/>
      <c r="AEG14" s="34"/>
      <c r="AEH14" s="34"/>
      <c r="AEI14" s="34"/>
      <c r="AEJ14" s="34"/>
      <c r="AEK14" s="34"/>
      <c r="AEL14" s="34"/>
      <c r="AEM14" s="34"/>
      <c r="AEN14" s="34"/>
      <c r="AEO14" s="34"/>
      <c r="AEP14" s="34"/>
      <c r="AEQ14" s="34"/>
      <c r="AER14" s="34"/>
      <c r="AES14" s="34"/>
      <c r="AET14" s="34"/>
      <c r="AEU14" s="34"/>
      <c r="AEV14" s="34"/>
      <c r="AEW14" s="34"/>
      <c r="AEX14" s="34"/>
      <c r="AEY14" s="34"/>
      <c r="AEZ14" s="34"/>
      <c r="AFA14" s="34"/>
      <c r="AFB14" s="34"/>
      <c r="AFC14" s="34"/>
      <c r="AFD14" s="34"/>
      <c r="AFE14" s="34"/>
      <c r="AFF14" s="34"/>
      <c r="AFG14" s="34"/>
      <c r="AFH14" s="34"/>
      <c r="AFI14" s="34"/>
      <c r="AFJ14" s="34"/>
      <c r="AFK14" s="34"/>
      <c r="AFL14" s="34"/>
      <c r="AFM14" s="34"/>
      <c r="AFN14" s="34"/>
      <c r="AFO14" s="34"/>
      <c r="AFP14" s="34"/>
      <c r="AFQ14" s="34"/>
      <c r="AFR14" s="34"/>
      <c r="AFS14" s="34"/>
      <c r="AFT14" s="34"/>
      <c r="AFU14" s="34"/>
      <c r="AFV14" s="34"/>
      <c r="AFW14" s="34"/>
      <c r="AFX14" s="34"/>
      <c r="AFY14" s="34"/>
      <c r="AFZ14" s="34"/>
      <c r="AGA14" s="34"/>
      <c r="AGB14" s="34"/>
      <c r="AGC14" s="34"/>
      <c r="AGD14" s="34"/>
      <c r="AGE14" s="34"/>
      <c r="AGF14" s="34"/>
      <c r="AGG14" s="34"/>
      <c r="AGH14" s="34"/>
      <c r="AGI14" s="34"/>
      <c r="AGJ14" s="34"/>
      <c r="AGK14" s="34"/>
      <c r="AGL14" s="34"/>
      <c r="AGM14" s="34"/>
      <c r="AGN14" s="34"/>
      <c r="AGO14" s="34"/>
      <c r="AGP14" s="34"/>
      <c r="AGQ14" s="34"/>
      <c r="AGR14" s="34"/>
      <c r="AGS14" s="34"/>
      <c r="AGT14" s="34"/>
      <c r="AGU14" s="34"/>
      <c r="AGV14" s="34"/>
      <c r="AGW14" s="34"/>
      <c r="AGX14" s="34"/>
      <c r="AGY14" s="34"/>
      <c r="AGZ14" s="34"/>
      <c r="AHA14" s="34"/>
      <c r="AHB14" s="34"/>
      <c r="AHC14" s="34"/>
      <c r="AHD14" s="34"/>
      <c r="AHE14" s="34"/>
      <c r="AHF14" s="34"/>
      <c r="AHG14" s="34"/>
      <c r="AHH14" s="34"/>
      <c r="AHI14" s="34"/>
      <c r="AHJ14" s="34"/>
      <c r="AHK14" s="34"/>
      <c r="AHL14" s="34"/>
      <c r="AHM14" s="34"/>
      <c r="AHN14" s="34"/>
      <c r="AHO14" s="34"/>
      <c r="AHP14" s="34"/>
      <c r="AHQ14" s="34"/>
      <c r="AHR14" s="34"/>
      <c r="AHS14" s="34"/>
      <c r="AHT14" s="34"/>
      <c r="AHU14" s="34"/>
      <c r="AHV14" s="34"/>
      <c r="AHW14" s="34"/>
      <c r="AHX14" s="34"/>
      <c r="AHY14" s="34"/>
      <c r="AHZ14" s="34"/>
      <c r="AIA14" s="34"/>
      <c r="AIB14" s="34"/>
      <c r="AIC14" s="34"/>
      <c r="AID14" s="34"/>
      <c r="AIE14" s="34"/>
      <c r="AIF14" s="34"/>
      <c r="AIG14" s="34"/>
      <c r="AIH14" s="34"/>
      <c r="AII14" s="34"/>
      <c r="AIJ14" s="34"/>
      <c r="AIK14" s="34"/>
      <c r="AIL14" s="34"/>
      <c r="AIM14" s="34"/>
      <c r="AIN14" s="34"/>
      <c r="AIO14" s="34"/>
      <c r="AIP14" s="34"/>
      <c r="AIQ14" s="34"/>
      <c r="AIR14" s="34"/>
      <c r="AIS14" s="34"/>
      <c r="AIT14" s="34"/>
      <c r="AIU14" s="34"/>
      <c r="AIV14" s="34"/>
      <c r="AIW14" s="34"/>
      <c r="AIX14" s="34"/>
      <c r="AIY14" s="34"/>
      <c r="AIZ14" s="34"/>
      <c r="AJA14" s="34"/>
      <c r="AJB14" s="34"/>
      <c r="AJC14" s="34"/>
      <c r="AJD14" s="34"/>
      <c r="AJE14" s="34"/>
      <c r="AJF14" s="34"/>
      <c r="AJG14" s="34"/>
      <c r="AJH14" s="34"/>
      <c r="AJI14" s="34"/>
      <c r="AJJ14" s="34"/>
      <c r="AJK14" s="34"/>
      <c r="AJL14" s="34"/>
      <c r="AJM14" s="34"/>
      <c r="AJN14" s="34"/>
      <c r="AJO14" s="34"/>
      <c r="AJP14" s="34"/>
      <c r="AJQ14" s="34"/>
      <c r="AJR14" s="34"/>
      <c r="AJS14" s="34"/>
      <c r="AJT14" s="34"/>
      <c r="AJU14" s="34"/>
      <c r="AJV14" s="34"/>
      <c r="AJW14" s="34"/>
      <c r="AJX14" s="34"/>
      <c r="AJY14" s="34"/>
      <c r="AJZ14" s="34"/>
      <c r="AKA14" s="34"/>
      <c r="AKB14" s="34"/>
      <c r="AKC14" s="34"/>
      <c r="AKD14" s="34"/>
      <c r="AKE14" s="34"/>
      <c r="AKF14" s="34"/>
      <c r="AKG14" s="34"/>
      <c r="AKH14" s="34"/>
      <c r="AKI14" s="34"/>
      <c r="AKJ14" s="34"/>
      <c r="AKK14" s="34"/>
      <c r="AKL14" s="34"/>
      <c r="AKM14" s="34"/>
      <c r="AKN14" s="34"/>
      <c r="AKO14" s="34"/>
      <c r="AKP14" s="34"/>
      <c r="AKQ14" s="34"/>
      <c r="AKR14" s="34"/>
      <c r="AKS14" s="34"/>
      <c r="AKT14" s="34"/>
      <c r="AKU14" s="34"/>
      <c r="AKV14" s="34"/>
      <c r="AKW14" s="34"/>
      <c r="AKX14" s="34"/>
      <c r="AKY14" s="34"/>
      <c r="AKZ14" s="34"/>
      <c r="ALA14" s="34"/>
      <c r="ALB14" s="34"/>
      <c r="ALC14" s="34"/>
      <c r="ALD14" s="34"/>
      <c r="ALE14" s="34"/>
      <c r="ALF14" s="34"/>
      <c r="ALG14" s="34"/>
      <c r="ALH14" s="34"/>
      <c r="ALI14" s="34"/>
      <c r="ALJ14" s="34"/>
      <c r="ALK14" s="34"/>
      <c r="ALL14" s="34"/>
      <c r="ALM14" s="34"/>
      <c r="ALN14" s="34"/>
      <c r="ALO14" s="34"/>
      <c r="ALP14" s="34"/>
      <c r="ALQ14" s="34"/>
      <c r="ALR14" s="34"/>
      <c r="ALS14" s="34"/>
      <c r="ALT14" s="34"/>
      <c r="ALU14" s="34"/>
      <c r="ALV14" s="34"/>
      <c r="ALW14" s="34"/>
      <c r="ALX14" s="34"/>
      <c r="ALY14" s="34"/>
      <c r="ALZ14" s="34"/>
      <c r="AMA14" s="34"/>
      <c r="AMB14" s="34"/>
      <c r="AMC14" s="34"/>
      <c r="AMD14" s="34"/>
      <c r="AME14" s="34"/>
      <c r="AMF14" s="34"/>
      <c r="AMG14" s="34"/>
      <c r="AMH14" s="34"/>
      <c r="AMI14" s="34"/>
      <c r="AMJ14" s="34"/>
      <c r="AMK14" s="34"/>
    </row>
    <row r="15" ht="15.75" customHeight="1">
      <c r="A15" s="38" t="s">
        <v>41</v>
      </c>
      <c r="B15" s="38" t="s">
        <v>26</v>
      </c>
      <c r="C15" s="38" t="s">
        <v>42</v>
      </c>
      <c r="D15" s="38"/>
      <c r="E15" s="40">
        <v>50.0</v>
      </c>
      <c r="F15" s="38" t="s">
        <v>43</v>
      </c>
      <c r="G15" s="38" t="s">
        <v>44</v>
      </c>
      <c r="H15" s="38"/>
      <c r="I15" s="38"/>
      <c r="J15" s="38"/>
      <c r="K15" s="40">
        <v>10.0</v>
      </c>
      <c r="L15" s="40">
        <v>10.0</v>
      </c>
      <c r="M15" s="38" t="s">
        <v>45</v>
      </c>
      <c r="N15" s="38" t="s">
        <v>46</v>
      </c>
      <c r="O15" s="38" t="s">
        <v>47</v>
      </c>
      <c r="P15" s="34"/>
      <c r="Q15" s="42">
        <v>3.0</v>
      </c>
      <c r="R15" s="42">
        <v>0.0</v>
      </c>
      <c r="S15" s="34" t="s">
        <v>48</v>
      </c>
      <c r="T15" s="42">
        <v>0.0</v>
      </c>
      <c r="U15" s="42">
        <v>0.0</v>
      </c>
      <c r="V15" s="34" t="s">
        <v>49</v>
      </c>
      <c r="W15" s="42">
        <v>1.0</v>
      </c>
      <c r="X15" s="42">
        <v>0.0</v>
      </c>
      <c r="Y15" s="34" t="s">
        <v>41</v>
      </c>
      <c r="Z15" s="34" t="s">
        <v>50</v>
      </c>
      <c r="AA15" s="34" t="s">
        <v>24</v>
      </c>
      <c r="AB15" s="42">
        <v>1.0</v>
      </c>
      <c r="AC15" s="34" t="s">
        <v>51</v>
      </c>
      <c r="AD15" s="34" t="s">
        <v>52</v>
      </c>
      <c r="AE15" s="42">
        <v>50.0</v>
      </c>
      <c r="AF15" s="34" t="s">
        <v>41</v>
      </c>
      <c r="AG15" s="34"/>
      <c r="AH15" s="34" t="s">
        <v>53</v>
      </c>
      <c r="AI15" s="42">
        <v>1.0</v>
      </c>
      <c r="AJ15" s="34"/>
      <c r="AK15" s="34"/>
      <c r="AL15" s="34"/>
      <c r="AM15" s="34"/>
      <c r="AN15" s="34"/>
      <c r="AO15" s="34"/>
      <c r="AP15" s="44" t="b">
        <v>1</v>
      </c>
      <c r="AQ15" s="44" t="b">
        <v>0</v>
      </c>
      <c r="AR15" s="44" t="b">
        <v>1</v>
      </c>
      <c r="AS15" s="42">
        <v>0.0</v>
      </c>
      <c r="AT15" s="42">
        <v>485.9997</v>
      </c>
      <c r="AU15" s="42">
        <v>485.9997</v>
      </c>
      <c r="AV15" s="34"/>
      <c r="AW15" s="34"/>
      <c r="AX15" s="34"/>
      <c r="AY15" s="34"/>
      <c r="AZ15" s="34"/>
      <c r="BA15" s="34"/>
      <c r="BB15" s="34"/>
      <c r="BC15" s="42">
        <v>0.0</v>
      </c>
      <c r="BD15" s="34" t="s">
        <v>54</v>
      </c>
      <c r="BE15" s="42">
        <v>500.0</v>
      </c>
      <c r="BF15" s="42">
        <v>500.0</v>
      </c>
      <c r="BG15" s="34"/>
      <c r="BH15" s="34"/>
      <c r="BI15" s="34"/>
      <c r="BJ15" s="42">
        <v>50.0</v>
      </c>
      <c r="BK15" s="34"/>
      <c r="BL15" s="34" t="s">
        <v>41</v>
      </c>
      <c r="BM15" s="34" t="s">
        <v>50</v>
      </c>
      <c r="BN15" s="34"/>
      <c r="BO15" s="34" t="s">
        <v>27</v>
      </c>
      <c r="BP15" s="34"/>
      <c r="BQ15" s="34"/>
      <c r="BR15" s="34"/>
      <c r="BS15" s="34" t="s">
        <v>55</v>
      </c>
      <c r="BT15" s="34" t="s">
        <v>24</v>
      </c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 t="s">
        <v>56</v>
      </c>
      <c r="CG15" s="34"/>
      <c r="CH15" s="34" t="s">
        <v>22</v>
      </c>
      <c r="CI15" s="34" t="s">
        <v>66</v>
      </c>
      <c r="CJ15" s="34"/>
      <c r="CK15" s="34" t="s">
        <v>57</v>
      </c>
      <c r="CL15" s="42">
        <v>1.0</v>
      </c>
      <c r="CM15" s="34" t="s">
        <v>24</v>
      </c>
      <c r="CN15" s="34"/>
      <c r="CO15" s="34"/>
      <c r="CP15" s="34" t="s">
        <v>58</v>
      </c>
      <c r="CQ15" s="34"/>
      <c r="CR15" s="34"/>
      <c r="CS15" s="34" t="s">
        <v>41</v>
      </c>
      <c r="CT15" s="34"/>
      <c r="CU15" s="34"/>
      <c r="CV15" s="34" t="s">
        <v>41</v>
      </c>
      <c r="CW15" s="34" t="s">
        <v>41</v>
      </c>
      <c r="CX15" s="34" t="s">
        <v>41</v>
      </c>
      <c r="CY15" s="34" t="s">
        <v>41</v>
      </c>
      <c r="CZ15" s="34" t="s">
        <v>41</v>
      </c>
      <c r="DA15" s="34" t="s">
        <v>41</v>
      </c>
      <c r="DB15" s="34" t="s">
        <v>41</v>
      </c>
      <c r="DC15" s="34" t="s">
        <v>41</v>
      </c>
      <c r="DD15" s="34" t="s">
        <v>41</v>
      </c>
      <c r="DE15" s="34" t="s">
        <v>41</v>
      </c>
      <c r="DF15" s="34" t="s">
        <v>41</v>
      </c>
      <c r="DG15" s="34" t="s">
        <v>41</v>
      </c>
      <c r="DH15" s="34" t="s">
        <v>41</v>
      </c>
      <c r="DI15" s="34" t="s">
        <v>41</v>
      </c>
      <c r="DJ15" s="34" t="s">
        <v>41</v>
      </c>
      <c r="DK15" s="34" t="s">
        <v>41</v>
      </c>
      <c r="DL15" s="34" t="s">
        <v>41</v>
      </c>
      <c r="DM15" s="34" t="s">
        <v>41</v>
      </c>
      <c r="DN15" s="34" t="s">
        <v>41</v>
      </c>
      <c r="DO15" s="34" t="s">
        <v>41</v>
      </c>
      <c r="DP15" s="34" t="s">
        <v>41</v>
      </c>
      <c r="DQ15" s="34" t="s">
        <v>41</v>
      </c>
      <c r="DR15" s="34" t="s">
        <v>41</v>
      </c>
      <c r="DS15" s="34" t="s">
        <v>41</v>
      </c>
      <c r="DT15" s="34" t="s">
        <v>41</v>
      </c>
      <c r="DU15" s="34" t="s">
        <v>41</v>
      </c>
      <c r="DV15" s="34" t="s">
        <v>41</v>
      </c>
      <c r="DW15" s="34" t="s">
        <v>41</v>
      </c>
      <c r="DX15" s="34" t="s">
        <v>41</v>
      </c>
      <c r="DY15" s="34" t="s">
        <v>41</v>
      </c>
      <c r="DZ15" s="34" t="s">
        <v>41</v>
      </c>
      <c r="EA15" s="34" t="s">
        <v>41</v>
      </c>
      <c r="EB15" s="34" t="s">
        <v>41</v>
      </c>
      <c r="EC15" s="34" t="s">
        <v>41</v>
      </c>
      <c r="ED15" s="34" t="s">
        <v>41</v>
      </c>
      <c r="EE15" s="34" t="s">
        <v>41</v>
      </c>
      <c r="EF15" s="34" t="s">
        <v>41</v>
      </c>
      <c r="EG15" s="34" t="s">
        <v>41</v>
      </c>
      <c r="EH15" s="34" t="s">
        <v>41</v>
      </c>
      <c r="EI15" s="34" t="s">
        <v>41</v>
      </c>
      <c r="EJ15" s="34" t="s">
        <v>41</v>
      </c>
      <c r="EK15" s="34" t="s">
        <v>41</v>
      </c>
      <c r="EL15" s="34" t="s">
        <v>41</v>
      </c>
      <c r="EM15" s="34" t="s">
        <v>41</v>
      </c>
      <c r="EN15" s="34" t="s">
        <v>41</v>
      </c>
      <c r="EO15" s="34" t="s">
        <v>41</v>
      </c>
      <c r="EP15" s="34" t="s">
        <v>41</v>
      </c>
      <c r="EQ15" s="34" t="s">
        <v>41</v>
      </c>
      <c r="ER15" s="34" t="s">
        <v>41</v>
      </c>
      <c r="ES15" s="34" t="s">
        <v>41</v>
      </c>
      <c r="ET15" s="34" t="s">
        <v>41</v>
      </c>
      <c r="EU15" s="34" t="s">
        <v>41</v>
      </c>
      <c r="EV15" s="34" t="s">
        <v>41</v>
      </c>
      <c r="EW15" s="34" t="s">
        <v>41</v>
      </c>
      <c r="EX15" s="34" t="s">
        <v>41</v>
      </c>
      <c r="EY15" s="34"/>
      <c r="EZ15" s="34"/>
      <c r="FA15" s="34" t="s">
        <v>41</v>
      </c>
      <c r="FB15" s="34" t="s">
        <v>41</v>
      </c>
      <c r="FC15" s="34" t="s">
        <v>41</v>
      </c>
      <c r="FD15" s="42">
        <v>0.0</v>
      </c>
      <c r="FE15" s="34" t="s">
        <v>41</v>
      </c>
      <c r="FF15" s="34" t="s">
        <v>41</v>
      </c>
      <c r="FG15" s="42">
        <v>0.0</v>
      </c>
      <c r="FH15" s="34" t="s">
        <v>41</v>
      </c>
      <c r="FI15" s="34" t="s">
        <v>41</v>
      </c>
      <c r="FJ15" s="34"/>
      <c r="FK15" s="34" t="s">
        <v>41</v>
      </c>
      <c r="FL15" s="34" t="s">
        <v>41</v>
      </c>
      <c r="FM15" s="34" t="s">
        <v>41</v>
      </c>
      <c r="FN15" s="34" t="s">
        <v>41</v>
      </c>
      <c r="FO15" s="34" t="s">
        <v>41</v>
      </c>
      <c r="FP15" s="34" t="s">
        <v>41</v>
      </c>
      <c r="FQ15" s="34" t="s">
        <v>41</v>
      </c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  <c r="IX15" s="34"/>
      <c r="IY15" s="34"/>
      <c r="IZ15" s="34"/>
      <c r="JA15" s="34"/>
      <c r="JB15" s="34"/>
      <c r="JC15" s="34"/>
      <c r="JD15" s="34"/>
      <c r="JE15" s="34"/>
      <c r="JF15" s="34"/>
      <c r="JG15" s="34"/>
      <c r="JH15" s="34"/>
      <c r="JI15" s="34"/>
      <c r="JJ15" s="34"/>
      <c r="JK15" s="34"/>
      <c r="JL15" s="34"/>
      <c r="JM15" s="34"/>
      <c r="JN15" s="34"/>
      <c r="JO15" s="34"/>
      <c r="JP15" s="34"/>
      <c r="JQ15" s="34"/>
      <c r="JR15" s="34"/>
      <c r="JS15" s="34"/>
      <c r="JT15" s="34"/>
      <c r="JU15" s="34"/>
      <c r="JV15" s="34"/>
      <c r="JW15" s="34"/>
      <c r="JX15" s="34"/>
      <c r="JY15" s="34"/>
      <c r="JZ15" s="34"/>
      <c r="KA15" s="34"/>
      <c r="KB15" s="34"/>
      <c r="KC15" s="34"/>
      <c r="KD15" s="34"/>
      <c r="KE15" s="34"/>
      <c r="KF15" s="34"/>
      <c r="KG15" s="34"/>
      <c r="KH15" s="34"/>
      <c r="KI15" s="34"/>
      <c r="KJ15" s="34"/>
      <c r="KK15" s="34"/>
      <c r="KL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  <c r="KW15" s="34"/>
      <c r="KX15" s="34"/>
      <c r="KY15" s="34"/>
      <c r="KZ15" s="34"/>
      <c r="LA15" s="34"/>
      <c r="LB15" s="34"/>
      <c r="LC15" s="34"/>
      <c r="LD15" s="34"/>
      <c r="LE15" s="34"/>
      <c r="LF15" s="34"/>
      <c r="LG15" s="34"/>
      <c r="LH15" s="34"/>
      <c r="LI15" s="34"/>
      <c r="LJ15" s="34"/>
      <c r="LK15" s="34"/>
      <c r="LL15" s="34"/>
      <c r="LM15" s="34"/>
      <c r="LN15" s="34"/>
      <c r="LO15" s="34"/>
      <c r="LP15" s="34"/>
      <c r="LQ15" s="34"/>
      <c r="LR15" s="34"/>
      <c r="LS15" s="34"/>
      <c r="LT15" s="34"/>
      <c r="LU15" s="34"/>
      <c r="LV15" s="34"/>
      <c r="LW15" s="34"/>
      <c r="LX15" s="34"/>
      <c r="LY15" s="34"/>
      <c r="LZ15" s="34"/>
      <c r="MA15" s="34"/>
      <c r="MB15" s="34"/>
      <c r="MC15" s="34"/>
      <c r="MD15" s="34"/>
      <c r="ME15" s="34"/>
      <c r="MF15" s="34"/>
      <c r="MG15" s="34"/>
      <c r="MH15" s="34"/>
      <c r="MI15" s="34"/>
      <c r="MJ15" s="34"/>
      <c r="MK15" s="34"/>
      <c r="ML15" s="34"/>
      <c r="MM15" s="34"/>
      <c r="MN15" s="34"/>
      <c r="MO15" s="34"/>
      <c r="MP15" s="34"/>
      <c r="MQ15" s="34"/>
      <c r="MR15" s="34"/>
      <c r="MS15" s="34"/>
      <c r="MT15" s="34"/>
      <c r="MU15" s="34"/>
      <c r="MV15" s="34"/>
      <c r="MW15" s="34"/>
      <c r="MX15" s="34"/>
      <c r="MY15" s="34"/>
      <c r="MZ15" s="34"/>
      <c r="NA15" s="34"/>
      <c r="NB15" s="34"/>
      <c r="NC15" s="34"/>
      <c r="ND15" s="34"/>
      <c r="NE15" s="34"/>
      <c r="NF15" s="34"/>
      <c r="NG15" s="34"/>
      <c r="NH15" s="34"/>
      <c r="NI15" s="34"/>
      <c r="NJ15" s="34"/>
      <c r="NK15" s="34"/>
      <c r="NL15" s="34"/>
      <c r="NM15" s="34"/>
      <c r="NN15" s="34"/>
      <c r="NO15" s="34"/>
      <c r="NP15" s="34"/>
      <c r="NQ15" s="34"/>
      <c r="NR15" s="34"/>
      <c r="NS15" s="34"/>
      <c r="NT15" s="34"/>
      <c r="NU15" s="34"/>
      <c r="NV15" s="34"/>
      <c r="NW15" s="34"/>
      <c r="NX15" s="34"/>
      <c r="NY15" s="34"/>
      <c r="NZ15" s="34"/>
      <c r="OA15" s="34"/>
      <c r="OB15" s="34"/>
      <c r="OC15" s="34"/>
      <c r="OD15" s="34"/>
      <c r="OE15" s="34"/>
      <c r="OF15" s="34"/>
      <c r="OG15" s="34"/>
      <c r="OH15" s="34"/>
      <c r="OI15" s="34"/>
      <c r="OJ15" s="34"/>
      <c r="OK15" s="34"/>
      <c r="OL15" s="34"/>
      <c r="OM15" s="34"/>
      <c r="ON15" s="34"/>
      <c r="OO15" s="34"/>
      <c r="OP15" s="34"/>
      <c r="OQ15" s="34"/>
      <c r="OR15" s="34"/>
      <c r="OS15" s="34"/>
      <c r="OT15" s="34"/>
      <c r="OU15" s="34"/>
      <c r="OV15" s="34"/>
      <c r="OW15" s="34"/>
      <c r="OX15" s="34"/>
      <c r="OY15" s="34"/>
      <c r="OZ15" s="34"/>
      <c r="PA15" s="34"/>
      <c r="PB15" s="34"/>
      <c r="PC15" s="34"/>
      <c r="PD15" s="34"/>
      <c r="PE15" s="34"/>
      <c r="PF15" s="34"/>
      <c r="PG15" s="34"/>
      <c r="PH15" s="34"/>
      <c r="PI15" s="34"/>
      <c r="PJ15" s="34"/>
      <c r="PK15" s="34"/>
      <c r="PL15" s="34"/>
      <c r="PM15" s="34"/>
      <c r="PN15" s="34"/>
      <c r="PO15" s="34"/>
      <c r="PP15" s="34"/>
      <c r="PQ15" s="34"/>
      <c r="PR15" s="34"/>
      <c r="PS15" s="34"/>
      <c r="PT15" s="34"/>
      <c r="PU15" s="34"/>
      <c r="PV15" s="34"/>
      <c r="PW15" s="34"/>
      <c r="PX15" s="34"/>
      <c r="PY15" s="34"/>
      <c r="PZ15" s="34"/>
      <c r="QA15" s="34"/>
      <c r="QB15" s="34"/>
      <c r="QC15" s="34"/>
      <c r="QD15" s="34"/>
      <c r="QE15" s="34"/>
      <c r="QF15" s="34"/>
      <c r="QG15" s="34"/>
      <c r="QH15" s="34"/>
      <c r="QI15" s="34"/>
      <c r="QJ15" s="34"/>
      <c r="QK15" s="34"/>
      <c r="QL15" s="34"/>
      <c r="QM15" s="34"/>
      <c r="QN15" s="34"/>
      <c r="QO15" s="34"/>
      <c r="QP15" s="34"/>
      <c r="QQ15" s="34"/>
      <c r="QR15" s="34"/>
      <c r="QS15" s="34"/>
      <c r="QT15" s="34"/>
      <c r="QU15" s="34"/>
      <c r="QV15" s="34"/>
      <c r="QW15" s="34"/>
      <c r="QX15" s="34"/>
      <c r="QY15" s="34"/>
      <c r="QZ15" s="34"/>
      <c r="RA15" s="34"/>
      <c r="RB15" s="34"/>
      <c r="RC15" s="34"/>
      <c r="RD15" s="34"/>
      <c r="RE15" s="34"/>
      <c r="RF15" s="34"/>
      <c r="RG15" s="34"/>
      <c r="RH15" s="34"/>
      <c r="RI15" s="34"/>
      <c r="RJ15" s="34"/>
      <c r="RK15" s="34"/>
      <c r="RL15" s="34"/>
      <c r="RM15" s="34"/>
      <c r="RN15" s="34"/>
      <c r="RO15" s="34"/>
      <c r="RP15" s="34"/>
      <c r="RQ15" s="34"/>
      <c r="RR15" s="34"/>
      <c r="RS15" s="34"/>
      <c r="RT15" s="34"/>
      <c r="RU15" s="34"/>
      <c r="RV15" s="34"/>
      <c r="RW15" s="34"/>
      <c r="RX15" s="34"/>
      <c r="RY15" s="34"/>
      <c r="RZ15" s="34"/>
      <c r="SA15" s="34"/>
      <c r="SB15" s="34"/>
      <c r="SC15" s="34"/>
      <c r="SD15" s="34"/>
      <c r="SE15" s="34"/>
      <c r="SF15" s="34"/>
      <c r="SG15" s="34"/>
      <c r="SH15" s="34"/>
      <c r="SI15" s="34"/>
      <c r="SJ15" s="34"/>
      <c r="SK15" s="34"/>
      <c r="SL15" s="34"/>
      <c r="SM15" s="34"/>
      <c r="SN15" s="34"/>
      <c r="SO15" s="34"/>
      <c r="SP15" s="34"/>
      <c r="SQ15" s="34"/>
      <c r="SR15" s="34"/>
      <c r="SS15" s="34"/>
      <c r="ST15" s="34"/>
      <c r="SU15" s="34"/>
      <c r="SV15" s="34"/>
      <c r="SW15" s="34"/>
      <c r="SX15" s="34"/>
      <c r="SY15" s="34"/>
      <c r="SZ15" s="34"/>
      <c r="TA15" s="34"/>
      <c r="TB15" s="34"/>
      <c r="TC15" s="34"/>
      <c r="TD15" s="34"/>
      <c r="TE15" s="34"/>
      <c r="TF15" s="34"/>
      <c r="TG15" s="34"/>
      <c r="TH15" s="34"/>
      <c r="TI15" s="34"/>
      <c r="TJ15" s="34"/>
      <c r="TK15" s="34"/>
      <c r="TL15" s="34"/>
      <c r="TM15" s="34"/>
      <c r="TN15" s="34"/>
      <c r="TO15" s="34"/>
      <c r="TP15" s="34"/>
      <c r="TQ15" s="34"/>
      <c r="TR15" s="34"/>
      <c r="TS15" s="34"/>
      <c r="TT15" s="34"/>
      <c r="TU15" s="34"/>
      <c r="TV15" s="34"/>
      <c r="TW15" s="34"/>
      <c r="TX15" s="34"/>
      <c r="TY15" s="34"/>
      <c r="TZ15" s="34"/>
      <c r="UA15" s="34"/>
      <c r="UB15" s="34"/>
      <c r="UC15" s="34"/>
      <c r="UD15" s="34"/>
      <c r="UE15" s="34"/>
      <c r="UF15" s="34"/>
      <c r="UG15" s="34"/>
      <c r="UH15" s="34"/>
      <c r="UI15" s="34"/>
      <c r="UJ15" s="34"/>
      <c r="UK15" s="34"/>
      <c r="UL15" s="34"/>
      <c r="UM15" s="34"/>
      <c r="UN15" s="34"/>
      <c r="UO15" s="34"/>
      <c r="UP15" s="34"/>
      <c r="UQ15" s="34"/>
      <c r="UR15" s="34"/>
      <c r="US15" s="34"/>
      <c r="UT15" s="34"/>
      <c r="UU15" s="34"/>
      <c r="UV15" s="34"/>
      <c r="UW15" s="34"/>
      <c r="UX15" s="34"/>
      <c r="UY15" s="34"/>
      <c r="UZ15" s="34"/>
      <c r="VA15" s="34"/>
      <c r="VB15" s="34"/>
      <c r="VC15" s="34"/>
      <c r="VD15" s="34"/>
      <c r="VE15" s="34"/>
      <c r="VF15" s="34"/>
      <c r="VG15" s="34"/>
      <c r="VH15" s="34"/>
      <c r="VI15" s="34"/>
      <c r="VJ15" s="34"/>
      <c r="VK15" s="34"/>
      <c r="VL15" s="34"/>
      <c r="VM15" s="34"/>
      <c r="VN15" s="34"/>
      <c r="VO15" s="34"/>
      <c r="VP15" s="34"/>
      <c r="VQ15" s="34"/>
      <c r="VR15" s="34"/>
      <c r="VS15" s="34"/>
      <c r="VT15" s="34"/>
      <c r="VU15" s="34"/>
      <c r="VV15" s="34"/>
      <c r="VW15" s="34"/>
      <c r="VX15" s="34"/>
      <c r="VY15" s="34"/>
      <c r="VZ15" s="34"/>
      <c r="WA15" s="34"/>
      <c r="WB15" s="34"/>
      <c r="WC15" s="34"/>
      <c r="WD15" s="34"/>
      <c r="WE15" s="34"/>
      <c r="WF15" s="34"/>
      <c r="WG15" s="34"/>
      <c r="WH15" s="34"/>
      <c r="WI15" s="34"/>
      <c r="WJ15" s="34"/>
      <c r="WK15" s="34"/>
      <c r="WL15" s="34"/>
      <c r="WM15" s="34"/>
      <c r="WN15" s="34"/>
      <c r="WO15" s="34"/>
      <c r="WP15" s="34"/>
      <c r="WQ15" s="34"/>
      <c r="WR15" s="34"/>
      <c r="WS15" s="34"/>
      <c r="WT15" s="34"/>
      <c r="WU15" s="34"/>
      <c r="WV15" s="34"/>
      <c r="WW15" s="34"/>
      <c r="WX15" s="34"/>
      <c r="WY15" s="34"/>
      <c r="WZ15" s="34"/>
      <c r="XA15" s="34"/>
      <c r="XB15" s="34"/>
      <c r="XC15" s="34"/>
      <c r="XD15" s="34"/>
      <c r="XE15" s="34"/>
      <c r="XF15" s="34"/>
      <c r="XG15" s="34"/>
      <c r="XH15" s="34"/>
      <c r="XI15" s="34"/>
      <c r="XJ15" s="34"/>
      <c r="XK15" s="34"/>
      <c r="XL15" s="34"/>
      <c r="XM15" s="34"/>
      <c r="XN15" s="34"/>
      <c r="XO15" s="34"/>
      <c r="XP15" s="34"/>
      <c r="XQ15" s="34"/>
      <c r="XR15" s="34"/>
      <c r="XS15" s="34"/>
      <c r="XT15" s="34"/>
      <c r="XU15" s="34"/>
      <c r="XV15" s="34"/>
      <c r="XW15" s="34"/>
      <c r="XX15" s="34"/>
      <c r="XY15" s="34"/>
      <c r="XZ15" s="34"/>
      <c r="YA15" s="34"/>
      <c r="YB15" s="34"/>
      <c r="YC15" s="34"/>
      <c r="YD15" s="34"/>
      <c r="YE15" s="34"/>
      <c r="YF15" s="34"/>
      <c r="YG15" s="34"/>
      <c r="YH15" s="34"/>
      <c r="YI15" s="34"/>
      <c r="YJ15" s="34"/>
      <c r="YK15" s="34"/>
      <c r="YL15" s="34"/>
      <c r="YM15" s="34"/>
      <c r="YN15" s="34"/>
      <c r="YO15" s="34"/>
      <c r="YP15" s="34"/>
      <c r="YQ15" s="34"/>
      <c r="YR15" s="34"/>
      <c r="YS15" s="34"/>
      <c r="YT15" s="34"/>
      <c r="YU15" s="34"/>
      <c r="YV15" s="34"/>
      <c r="YW15" s="34"/>
      <c r="YX15" s="34"/>
      <c r="YY15" s="34"/>
      <c r="YZ15" s="34"/>
      <c r="ZA15" s="34"/>
      <c r="ZB15" s="34"/>
      <c r="ZC15" s="34"/>
      <c r="ZD15" s="34"/>
      <c r="ZE15" s="34"/>
      <c r="ZF15" s="34"/>
      <c r="ZG15" s="34"/>
      <c r="ZH15" s="34"/>
      <c r="ZI15" s="34"/>
      <c r="ZJ15" s="34"/>
      <c r="ZK15" s="34"/>
      <c r="ZL15" s="34"/>
      <c r="ZM15" s="34"/>
      <c r="ZN15" s="34"/>
      <c r="ZO15" s="34"/>
      <c r="ZP15" s="34"/>
      <c r="ZQ15" s="34"/>
      <c r="ZR15" s="34"/>
      <c r="ZS15" s="34"/>
      <c r="ZT15" s="34"/>
      <c r="ZU15" s="34"/>
      <c r="ZV15" s="34"/>
      <c r="ZW15" s="34"/>
      <c r="ZX15" s="34"/>
      <c r="ZY15" s="34"/>
      <c r="ZZ15" s="34"/>
      <c r="AAA15" s="34"/>
      <c r="AAB15" s="34"/>
      <c r="AAC15" s="34"/>
      <c r="AAD15" s="34"/>
      <c r="AAE15" s="34"/>
      <c r="AAF15" s="34"/>
      <c r="AAG15" s="34"/>
      <c r="AAH15" s="34"/>
      <c r="AAI15" s="34"/>
      <c r="AAJ15" s="34"/>
      <c r="AAK15" s="34"/>
      <c r="AAL15" s="34"/>
      <c r="AAM15" s="34"/>
      <c r="AAN15" s="34"/>
      <c r="AAO15" s="34"/>
      <c r="AAP15" s="34"/>
      <c r="AAQ15" s="34"/>
      <c r="AAR15" s="34"/>
      <c r="AAS15" s="34"/>
      <c r="AAT15" s="34"/>
      <c r="AAU15" s="34"/>
      <c r="AAV15" s="34"/>
      <c r="AAW15" s="34"/>
      <c r="AAX15" s="34"/>
      <c r="AAY15" s="34"/>
      <c r="AAZ15" s="34"/>
      <c r="ABA15" s="34"/>
      <c r="ABB15" s="34"/>
      <c r="ABC15" s="34"/>
      <c r="ABD15" s="34"/>
      <c r="ABE15" s="34"/>
      <c r="ABF15" s="34"/>
      <c r="ABG15" s="34"/>
      <c r="ABH15" s="34"/>
      <c r="ABI15" s="34"/>
      <c r="ABJ15" s="34"/>
      <c r="ABK15" s="34"/>
      <c r="ABL15" s="34"/>
      <c r="ABM15" s="34"/>
      <c r="ABN15" s="34"/>
      <c r="ABO15" s="34"/>
      <c r="ABP15" s="34"/>
      <c r="ABQ15" s="34"/>
      <c r="ABR15" s="34"/>
      <c r="ABS15" s="34"/>
      <c r="ABT15" s="34"/>
      <c r="ABU15" s="34"/>
      <c r="ABV15" s="34"/>
      <c r="ABW15" s="34"/>
      <c r="ABX15" s="34"/>
      <c r="ABY15" s="34"/>
      <c r="ABZ15" s="34"/>
      <c r="ACA15" s="34"/>
      <c r="ACB15" s="34"/>
      <c r="ACC15" s="34"/>
      <c r="ACD15" s="34"/>
      <c r="ACE15" s="34"/>
      <c r="ACF15" s="34"/>
      <c r="ACG15" s="34"/>
      <c r="ACH15" s="34"/>
      <c r="ACI15" s="34"/>
      <c r="ACJ15" s="34"/>
      <c r="ACK15" s="34"/>
      <c r="ACL15" s="34"/>
      <c r="ACM15" s="34"/>
      <c r="ACN15" s="34"/>
      <c r="ACO15" s="34"/>
      <c r="ACP15" s="34"/>
      <c r="ACQ15" s="34"/>
      <c r="ACR15" s="34"/>
      <c r="ACS15" s="34"/>
      <c r="ACT15" s="34"/>
      <c r="ACU15" s="34"/>
      <c r="ACV15" s="34"/>
      <c r="ACW15" s="34"/>
      <c r="ACX15" s="34"/>
      <c r="ACY15" s="34"/>
      <c r="ACZ15" s="34"/>
      <c r="ADA15" s="34"/>
      <c r="ADB15" s="34"/>
      <c r="ADC15" s="34"/>
      <c r="ADD15" s="34"/>
      <c r="ADE15" s="34"/>
      <c r="ADF15" s="34"/>
      <c r="ADG15" s="34"/>
      <c r="ADH15" s="34"/>
      <c r="ADI15" s="34"/>
      <c r="ADJ15" s="34"/>
      <c r="ADK15" s="34"/>
      <c r="ADL15" s="34"/>
      <c r="ADM15" s="34"/>
      <c r="ADN15" s="34"/>
      <c r="ADO15" s="34"/>
      <c r="ADP15" s="34"/>
      <c r="ADQ15" s="34"/>
      <c r="ADR15" s="34"/>
      <c r="ADS15" s="34"/>
      <c r="ADT15" s="34"/>
      <c r="ADU15" s="34"/>
      <c r="ADV15" s="34"/>
      <c r="ADW15" s="34"/>
      <c r="ADX15" s="34"/>
      <c r="ADY15" s="34"/>
      <c r="ADZ15" s="34"/>
      <c r="AEA15" s="34"/>
      <c r="AEB15" s="34"/>
      <c r="AEC15" s="34"/>
      <c r="AED15" s="34"/>
      <c r="AEE15" s="34"/>
      <c r="AEF15" s="34"/>
      <c r="AEG15" s="34"/>
      <c r="AEH15" s="34"/>
      <c r="AEI15" s="34"/>
      <c r="AEJ15" s="34"/>
      <c r="AEK15" s="34"/>
      <c r="AEL15" s="34"/>
      <c r="AEM15" s="34"/>
      <c r="AEN15" s="34"/>
      <c r="AEO15" s="34"/>
      <c r="AEP15" s="34"/>
      <c r="AEQ15" s="34"/>
      <c r="AER15" s="34"/>
      <c r="AES15" s="34"/>
      <c r="AET15" s="34"/>
      <c r="AEU15" s="34"/>
      <c r="AEV15" s="34"/>
      <c r="AEW15" s="34"/>
      <c r="AEX15" s="34"/>
      <c r="AEY15" s="34"/>
      <c r="AEZ15" s="34"/>
      <c r="AFA15" s="34"/>
      <c r="AFB15" s="34"/>
      <c r="AFC15" s="34"/>
      <c r="AFD15" s="34"/>
      <c r="AFE15" s="34"/>
      <c r="AFF15" s="34"/>
      <c r="AFG15" s="34"/>
      <c r="AFH15" s="34"/>
      <c r="AFI15" s="34"/>
      <c r="AFJ15" s="34"/>
      <c r="AFK15" s="34"/>
      <c r="AFL15" s="34"/>
      <c r="AFM15" s="34"/>
      <c r="AFN15" s="34"/>
      <c r="AFO15" s="34"/>
      <c r="AFP15" s="34"/>
      <c r="AFQ15" s="34"/>
      <c r="AFR15" s="34"/>
      <c r="AFS15" s="34"/>
      <c r="AFT15" s="34"/>
      <c r="AFU15" s="34"/>
      <c r="AFV15" s="34"/>
      <c r="AFW15" s="34"/>
      <c r="AFX15" s="34"/>
      <c r="AFY15" s="34"/>
      <c r="AFZ15" s="34"/>
      <c r="AGA15" s="34"/>
      <c r="AGB15" s="34"/>
      <c r="AGC15" s="34"/>
      <c r="AGD15" s="34"/>
      <c r="AGE15" s="34"/>
      <c r="AGF15" s="34"/>
      <c r="AGG15" s="34"/>
      <c r="AGH15" s="34"/>
      <c r="AGI15" s="34"/>
      <c r="AGJ15" s="34"/>
      <c r="AGK15" s="34"/>
      <c r="AGL15" s="34"/>
      <c r="AGM15" s="34"/>
      <c r="AGN15" s="34"/>
      <c r="AGO15" s="34"/>
      <c r="AGP15" s="34"/>
      <c r="AGQ15" s="34"/>
      <c r="AGR15" s="34"/>
      <c r="AGS15" s="34"/>
      <c r="AGT15" s="34"/>
      <c r="AGU15" s="34"/>
      <c r="AGV15" s="34"/>
      <c r="AGW15" s="34"/>
      <c r="AGX15" s="34"/>
      <c r="AGY15" s="34"/>
      <c r="AGZ15" s="34"/>
      <c r="AHA15" s="34"/>
      <c r="AHB15" s="34"/>
      <c r="AHC15" s="34"/>
      <c r="AHD15" s="34"/>
      <c r="AHE15" s="34"/>
      <c r="AHF15" s="34"/>
      <c r="AHG15" s="34"/>
      <c r="AHH15" s="34"/>
      <c r="AHI15" s="34"/>
      <c r="AHJ15" s="34"/>
      <c r="AHK15" s="34"/>
      <c r="AHL15" s="34"/>
      <c r="AHM15" s="34"/>
      <c r="AHN15" s="34"/>
      <c r="AHO15" s="34"/>
      <c r="AHP15" s="34"/>
      <c r="AHQ15" s="34"/>
      <c r="AHR15" s="34"/>
      <c r="AHS15" s="34"/>
      <c r="AHT15" s="34"/>
      <c r="AHU15" s="34"/>
      <c r="AHV15" s="34"/>
      <c r="AHW15" s="34"/>
      <c r="AHX15" s="34"/>
      <c r="AHY15" s="34"/>
      <c r="AHZ15" s="34"/>
      <c r="AIA15" s="34"/>
      <c r="AIB15" s="34"/>
      <c r="AIC15" s="34"/>
      <c r="AID15" s="34"/>
      <c r="AIE15" s="34"/>
      <c r="AIF15" s="34"/>
      <c r="AIG15" s="34"/>
      <c r="AIH15" s="34"/>
      <c r="AII15" s="34"/>
      <c r="AIJ15" s="34"/>
      <c r="AIK15" s="34"/>
      <c r="AIL15" s="34"/>
      <c r="AIM15" s="34"/>
      <c r="AIN15" s="34"/>
      <c r="AIO15" s="34"/>
      <c r="AIP15" s="34"/>
      <c r="AIQ15" s="34"/>
      <c r="AIR15" s="34"/>
      <c r="AIS15" s="34"/>
      <c r="AIT15" s="34"/>
      <c r="AIU15" s="34"/>
      <c r="AIV15" s="34"/>
      <c r="AIW15" s="34"/>
      <c r="AIX15" s="34"/>
      <c r="AIY15" s="34"/>
      <c r="AIZ15" s="34"/>
      <c r="AJA15" s="34"/>
      <c r="AJB15" s="34"/>
      <c r="AJC15" s="34"/>
      <c r="AJD15" s="34"/>
      <c r="AJE15" s="34"/>
      <c r="AJF15" s="34"/>
      <c r="AJG15" s="34"/>
      <c r="AJH15" s="34"/>
      <c r="AJI15" s="34"/>
      <c r="AJJ15" s="34"/>
      <c r="AJK15" s="34"/>
      <c r="AJL15" s="34"/>
      <c r="AJM15" s="34"/>
      <c r="AJN15" s="34"/>
      <c r="AJO15" s="34"/>
      <c r="AJP15" s="34"/>
      <c r="AJQ15" s="34"/>
      <c r="AJR15" s="34"/>
      <c r="AJS15" s="34"/>
      <c r="AJT15" s="34"/>
      <c r="AJU15" s="34"/>
      <c r="AJV15" s="34"/>
      <c r="AJW15" s="34"/>
      <c r="AJX15" s="34"/>
      <c r="AJY15" s="34"/>
      <c r="AJZ15" s="34"/>
      <c r="AKA15" s="34"/>
      <c r="AKB15" s="34"/>
      <c r="AKC15" s="34"/>
      <c r="AKD15" s="34"/>
      <c r="AKE15" s="34"/>
      <c r="AKF15" s="34"/>
      <c r="AKG15" s="34"/>
      <c r="AKH15" s="34"/>
      <c r="AKI15" s="34"/>
      <c r="AKJ15" s="34"/>
      <c r="AKK15" s="34"/>
      <c r="AKL15" s="34"/>
      <c r="AKM15" s="34"/>
      <c r="AKN15" s="34"/>
      <c r="AKO15" s="34"/>
      <c r="AKP15" s="34"/>
      <c r="AKQ15" s="34"/>
      <c r="AKR15" s="34"/>
      <c r="AKS15" s="34"/>
      <c r="AKT15" s="34"/>
      <c r="AKU15" s="34"/>
      <c r="AKV15" s="34"/>
      <c r="AKW15" s="34"/>
      <c r="AKX15" s="34"/>
      <c r="AKY15" s="34"/>
      <c r="AKZ15" s="34"/>
      <c r="ALA15" s="34"/>
      <c r="ALB15" s="34"/>
      <c r="ALC15" s="34"/>
      <c r="ALD15" s="34"/>
      <c r="ALE15" s="34"/>
      <c r="ALF15" s="34"/>
      <c r="ALG15" s="34"/>
      <c r="ALH15" s="34"/>
      <c r="ALI15" s="34"/>
      <c r="ALJ15" s="34"/>
      <c r="ALK15" s="34"/>
      <c r="ALL15" s="34"/>
      <c r="ALM15" s="34"/>
      <c r="ALN15" s="34"/>
      <c r="ALO15" s="34"/>
      <c r="ALP15" s="34"/>
      <c r="ALQ15" s="34"/>
      <c r="ALR15" s="34"/>
      <c r="ALS15" s="34"/>
      <c r="ALT15" s="34"/>
      <c r="ALU15" s="34"/>
      <c r="ALV15" s="34"/>
      <c r="ALW15" s="34"/>
      <c r="ALX15" s="34"/>
      <c r="ALY15" s="34"/>
      <c r="ALZ15" s="34"/>
      <c r="AMA15" s="34"/>
      <c r="AMB15" s="34"/>
      <c r="AMC15" s="34"/>
      <c r="AMD15" s="34"/>
      <c r="AME15" s="34"/>
      <c r="AMF15" s="34"/>
      <c r="AMG15" s="34"/>
      <c r="AMH15" s="34"/>
      <c r="AMI15" s="34"/>
      <c r="AMJ15" s="34"/>
      <c r="AMK15" s="34"/>
    </row>
    <row r="16" ht="15.75" customHeight="1">
      <c r="A16" s="38" t="s">
        <v>41</v>
      </c>
      <c r="B16" s="38" t="s">
        <v>26</v>
      </c>
      <c r="C16" s="38" t="s">
        <v>42</v>
      </c>
      <c r="D16" s="38"/>
      <c r="E16" s="40">
        <v>10.0</v>
      </c>
      <c r="F16" s="38" t="s">
        <v>43</v>
      </c>
      <c r="G16" s="38" t="s">
        <v>35</v>
      </c>
      <c r="H16" s="38"/>
      <c r="I16" s="38"/>
      <c r="J16" s="38"/>
      <c r="K16" s="40">
        <v>10.0</v>
      </c>
      <c r="L16" s="40">
        <v>10.0</v>
      </c>
      <c r="M16" s="38"/>
      <c r="N16" s="38" t="s">
        <v>46</v>
      </c>
      <c r="O16" s="38" t="s">
        <v>47</v>
      </c>
      <c r="P16" s="34"/>
      <c r="Q16" s="42">
        <v>3.0</v>
      </c>
      <c r="R16" s="42">
        <v>0.0</v>
      </c>
      <c r="S16" s="34" t="s">
        <v>61</v>
      </c>
      <c r="T16" s="42">
        <v>0.0</v>
      </c>
      <c r="U16" s="42">
        <v>0.0</v>
      </c>
      <c r="V16" s="34" t="s">
        <v>62</v>
      </c>
      <c r="W16" s="42">
        <v>100.0</v>
      </c>
      <c r="X16" s="42">
        <v>0.0</v>
      </c>
      <c r="Y16" s="34" t="s">
        <v>41</v>
      </c>
      <c r="Z16" s="34" t="s">
        <v>50</v>
      </c>
      <c r="AA16" s="34"/>
      <c r="AB16" s="42">
        <v>1.0</v>
      </c>
      <c r="AC16" s="34" t="s">
        <v>51</v>
      </c>
      <c r="AD16" s="34" t="s">
        <v>63</v>
      </c>
      <c r="AE16" s="42">
        <v>10.0</v>
      </c>
      <c r="AF16" s="34" t="s">
        <v>41</v>
      </c>
      <c r="AG16" s="34"/>
      <c r="AH16" s="34" t="s">
        <v>53</v>
      </c>
      <c r="AI16" s="42">
        <v>1.0</v>
      </c>
      <c r="AJ16" s="34"/>
      <c r="AK16" s="34"/>
      <c r="AL16" s="34"/>
      <c r="AM16" s="34"/>
      <c r="AN16" s="34"/>
      <c r="AO16" s="34"/>
      <c r="AP16" s="44" t="b">
        <v>1</v>
      </c>
      <c r="AQ16" s="44" t="b">
        <v>0</v>
      </c>
      <c r="AR16" s="44" t="b">
        <v>1</v>
      </c>
      <c r="AS16" s="42">
        <v>0.0</v>
      </c>
      <c r="AT16" s="42">
        <v>10000.0</v>
      </c>
      <c r="AU16" s="42">
        <v>10000.0</v>
      </c>
      <c r="AV16" s="34"/>
      <c r="AW16" s="34"/>
      <c r="AX16" s="34"/>
      <c r="AY16" s="34"/>
      <c r="AZ16" s="34"/>
      <c r="BA16" s="34"/>
      <c r="BB16" s="34"/>
      <c r="BC16" s="42">
        <v>0.0</v>
      </c>
      <c r="BD16" s="34" t="s">
        <v>54</v>
      </c>
      <c r="BE16" s="42">
        <v>10000.0</v>
      </c>
      <c r="BF16" s="42">
        <v>10000.0</v>
      </c>
      <c r="BG16" s="34"/>
      <c r="BH16" s="34"/>
      <c r="BI16" s="34"/>
      <c r="BJ16" s="42">
        <v>10.0</v>
      </c>
      <c r="BK16" s="34"/>
      <c r="BL16" s="34" t="s">
        <v>41</v>
      </c>
      <c r="BM16" s="34" t="s">
        <v>50</v>
      </c>
      <c r="BN16" s="34"/>
      <c r="BO16" s="34" t="s">
        <v>28</v>
      </c>
      <c r="BP16" s="34"/>
      <c r="BQ16" s="34"/>
      <c r="BR16" s="34"/>
      <c r="BS16" s="34" t="s">
        <v>55</v>
      </c>
      <c r="BT16" s="43" t="s">
        <v>17</v>
      </c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 t="s">
        <v>56</v>
      </c>
      <c r="CG16" s="34"/>
      <c r="CH16" s="34" t="s">
        <v>22</v>
      </c>
      <c r="CI16" s="34" t="s">
        <v>64</v>
      </c>
      <c r="CJ16" s="34"/>
      <c r="CK16" s="34" t="s">
        <v>57</v>
      </c>
      <c r="CL16" s="42">
        <v>1.0</v>
      </c>
      <c r="CM16" s="34" t="s">
        <v>24</v>
      </c>
      <c r="CN16" s="34"/>
      <c r="CO16" s="34"/>
      <c r="CP16" s="34" t="s">
        <v>58</v>
      </c>
      <c r="CQ16" s="34"/>
      <c r="CR16" s="34"/>
      <c r="CS16" s="34" t="s">
        <v>41</v>
      </c>
      <c r="CT16" s="34"/>
      <c r="CU16" s="34"/>
      <c r="CV16" s="34" t="s">
        <v>41</v>
      </c>
      <c r="CW16" s="34" t="s">
        <v>41</v>
      </c>
      <c r="CX16" s="34" t="s">
        <v>41</v>
      </c>
      <c r="CY16" s="34" t="s">
        <v>41</v>
      </c>
      <c r="CZ16" s="34" t="s">
        <v>41</v>
      </c>
      <c r="DA16" s="34" t="s">
        <v>41</v>
      </c>
      <c r="DB16" s="34" t="s">
        <v>41</v>
      </c>
      <c r="DC16" s="34" t="s">
        <v>41</v>
      </c>
      <c r="DD16" s="34" t="s">
        <v>41</v>
      </c>
      <c r="DE16" s="34" t="s">
        <v>41</v>
      </c>
      <c r="DF16" s="34" t="s">
        <v>41</v>
      </c>
      <c r="DG16" s="34" t="s">
        <v>41</v>
      </c>
      <c r="DH16" s="34" t="s">
        <v>41</v>
      </c>
      <c r="DI16" s="34" t="s">
        <v>41</v>
      </c>
      <c r="DJ16" s="34" t="s">
        <v>41</v>
      </c>
      <c r="DK16" s="34" t="s">
        <v>41</v>
      </c>
      <c r="DL16" s="34" t="s">
        <v>41</v>
      </c>
      <c r="DM16" s="34" t="s">
        <v>41</v>
      </c>
      <c r="DN16" s="34" t="s">
        <v>41</v>
      </c>
      <c r="DO16" s="34" t="s">
        <v>41</v>
      </c>
      <c r="DP16" s="34" t="s">
        <v>41</v>
      </c>
      <c r="DQ16" s="34" t="s">
        <v>41</v>
      </c>
      <c r="DR16" s="34" t="s">
        <v>41</v>
      </c>
      <c r="DS16" s="34" t="s">
        <v>41</v>
      </c>
      <c r="DT16" s="34" t="s">
        <v>41</v>
      </c>
      <c r="DU16" s="34" t="s">
        <v>41</v>
      </c>
      <c r="DV16" s="34" t="s">
        <v>41</v>
      </c>
      <c r="DW16" s="34" t="s">
        <v>41</v>
      </c>
      <c r="DX16" s="34" t="s">
        <v>41</v>
      </c>
      <c r="DY16" s="34" t="s">
        <v>41</v>
      </c>
      <c r="DZ16" s="34" t="s">
        <v>41</v>
      </c>
      <c r="EA16" s="34" t="s">
        <v>41</v>
      </c>
      <c r="EB16" s="34" t="s">
        <v>41</v>
      </c>
      <c r="EC16" s="34" t="s">
        <v>41</v>
      </c>
      <c r="ED16" s="34" t="s">
        <v>41</v>
      </c>
      <c r="EE16" s="34" t="s">
        <v>41</v>
      </c>
      <c r="EF16" s="34" t="s">
        <v>41</v>
      </c>
      <c r="EG16" s="34" t="s">
        <v>41</v>
      </c>
      <c r="EH16" s="34" t="s">
        <v>41</v>
      </c>
      <c r="EI16" s="34" t="s">
        <v>41</v>
      </c>
      <c r="EJ16" s="34" t="s">
        <v>41</v>
      </c>
      <c r="EK16" s="34" t="s">
        <v>41</v>
      </c>
      <c r="EL16" s="34" t="s">
        <v>41</v>
      </c>
      <c r="EM16" s="34" t="s">
        <v>41</v>
      </c>
      <c r="EN16" s="34" t="s">
        <v>41</v>
      </c>
      <c r="EO16" s="34" t="s">
        <v>41</v>
      </c>
      <c r="EP16" s="34" t="s">
        <v>41</v>
      </c>
      <c r="EQ16" s="34" t="s">
        <v>41</v>
      </c>
      <c r="ER16" s="34" t="s">
        <v>41</v>
      </c>
      <c r="ES16" s="34" t="s">
        <v>41</v>
      </c>
      <c r="ET16" s="34" t="s">
        <v>41</v>
      </c>
      <c r="EU16" s="34" t="s">
        <v>41</v>
      </c>
      <c r="EV16" s="34" t="s">
        <v>41</v>
      </c>
      <c r="EW16" s="34" t="s">
        <v>41</v>
      </c>
      <c r="EX16" s="34" t="s">
        <v>41</v>
      </c>
      <c r="EY16" s="34"/>
      <c r="EZ16" s="34"/>
      <c r="FA16" s="34" t="s">
        <v>41</v>
      </c>
      <c r="FB16" s="34" t="s">
        <v>41</v>
      </c>
      <c r="FC16" s="34" t="s">
        <v>41</v>
      </c>
      <c r="FD16" s="42">
        <v>0.0</v>
      </c>
      <c r="FE16" s="34" t="s">
        <v>41</v>
      </c>
      <c r="FF16" s="34" t="s">
        <v>41</v>
      </c>
      <c r="FG16" s="42">
        <v>0.0</v>
      </c>
      <c r="FH16" s="34" t="s">
        <v>41</v>
      </c>
      <c r="FI16" s="34" t="s">
        <v>41</v>
      </c>
      <c r="FJ16" s="34"/>
      <c r="FK16" s="34" t="s">
        <v>41</v>
      </c>
      <c r="FL16" s="34" t="s">
        <v>41</v>
      </c>
      <c r="FM16" s="34" t="s">
        <v>41</v>
      </c>
      <c r="FN16" s="34" t="s">
        <v>41</v>
      </c>
      <c r="FO16" s="34" t="s">
        <v>41</v>
      </c>
      <c r="FP16" s="34" t="s">
        <v>41</v>
      </c>
      <c r="FQ16" s="34" t="s">
        <v>41</v>
      </c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  <c r="HI16" s="34"/>
      <c r="HJ16" s="34"/>
      <c r="HK16" s="34"/>
      <c r="HL16" s="34"/>
      <c r="HM16" s="34"/>
      <c r="HN16" s="34"/>
      <c r="HO16" s="34"/>
      <c r="HP16" s="34"/>
      <c r="HQ16" s="34"/>
      <c r="HR16" s="34"/>
      <c r="HS16" s="34"/>
      <c r="HT16" s="34"/>
      <c r="HU16" s="34"/>
      <c r="HV16" s="34"/>
      <c r="HW16" s="34"/>
      <c r="HX16" s="34"/>
      <c r="HY16" s="34"/>
      <c r="HZ16" s="34"/>
      <c r="IA16" s="34"/>
      <c r="IB16" s="34"/>
      <c r="IC16" s="34"/>
      <c r="ID16" s="34"/>
      <c r="IE16" s="34"/>
      <c r="IF16" s="34"/>
      <c r="IG16" s="34"/>
      <c r="IH16" s="34"/>
      <c r="II16" s="34"/>
      <c r="IJ16" s="34"/>
      <c r="IK16" s="34"/>
      <c r="IL16" s="34"/>
      <c r="IM16" s="34"/>
      <c r="IN16" s="34"/>
      <c r="IO16" s="34"/>
      <c r="IP16" s="34"/>
      <c r="IQ16" s="34"/>
      <c r="IR16" s="34"/>
      <c r="IS16" s="34"/>
      <c r="IT16" s="34"/>
      <c r="IU16" s="34"/>
      <c r="IV16" s="34"/>
      <c r="IW16" s="34"/>
      <c r="IX16" s="34"/>
      <c r="IY16" s="34"/>
      <c r="IZ16" s="34"/>
      <c r="JA16" s="34"/>
      <c r="JB16" s="34"/>
      <c r="JC16" s="34"/>
      <c r="JD16" s="34"/>
      <c r="JE16" s="34"/>
      <c r="JF16" s="34"/>
      <c r="JG16" s="34"/>
      <c r="JH16" s="34"/>
      <c r="JI16" s="34"/>
      <c r="JJ16" s="34"/>
      <c r="JK16" s="34"/>
      <c r="JL16" s="34"/>
      <c r="JM16" s="34"/>
      <c r="JN16" s="34"/>
      <c r="JO16" s="34"/>
      <c r="JP16" s="34"/>
      <c r="JQ16" s="34"/>
      <c r="JR16" s="34"/>
      <c r="JS16" s="34"/>
      <c r="JT16" s="34"/>
      <c r="JU16" s="34"/>
      <c r="JV16" s="34"/>
      <c r="JW16" s="34"/>
      <c r="JX16" s="34"/>
      <c r="JY16" s="34"/>
      <c r="JZ16" s="34"/>
      <c r="KA16" s="34"/>
      <c r="KB16" s="34"/>
      <c r="KC16" s="34"/>
      <c r="KD16" s="34"/>
      <c r="KE16" s="34"/>
      <c r="KF16" s="34"/>
      <c r="KG16" s="34"/>
      <c r="KH16" s="34"/>
      <c r="KI16" s="34"/>
      <c r="KJ16" s="34"/>
      <c r="KK16" s="34"/>
      <c r="KL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  <c r="KW16" s="34"/>
      <c r="KX16" s="34"/>
      <c r="KY16" s="34"/>
      <c r="KZ16" s="34"/>
      <c r="LA16" s="34"/>
      <c r="LB16" s="34"/>
      <c r="LC16" s="34"/>
      <c r="LD16" s="34"/>
      <c r="LE16" s="34"/>
      <c r="LF16" s="34"/>
      <c r="LG16" s="34"/>
      <c r="LH16" s="34"/>
      <c r="LI16" s="34"/>
      <c r="LJ16" s="34"/>
      <c r="LK16" s="34"/>
      <c r="LL16" s="34"/>
      <c r="LM16" s="34"/>
      <c r="LN16" s="34"/>
      <c r="LO16" s="34"/>
      <c r="LP16" s="34"/>
      <c r="LQ16" s="34"/>
      <c r="LR16" s="34"/>
      <c r="LS16" s="34"/>
      <c r="LT16" s="34"/>
      <c r="LU16" s="34"/>
      <c r="LV16" s="34"/>
      <c r="LW16" s="34"/>
      <c r="LX16" s="34"/>
      <c r="LY16" s="34"/>
      <c r="LZ16" s="34"/>
      <c r="MA16" s="34"/>
      <c r="MB16" s="34"/>
      <c r="MC16" s="34"/>
      <c r="MD16" s="34"/>
      <c r="ME16" s="34"/>
      <c r="MF16" s="34"/>
      <c r="MG16" s="34"/>
      <c r="MH16" s="34"/>
      <c r="MI16" s="34"/>
      <c r="MJ16" s="34"/>
      <c r="MK16" s="34"/>
      <c r="ML16" s="34"/>
      <c r="MM16" s="34"/>
      <c r="MN16" s="34"/>
      <c r="MO16" s="34"/>
      <c r="MP16" s="34"/>
      <c r="MQ16" s="34"/>
      <c r="MR16" s="34"/>
      <c r="MS16" s="34"/>
      <c r="MT16" s="34"/>
      <c r="MU16" s="34"/>
      <c r="MV16" s="34"/>
      <c r="MW16" s="34"/>
      <c r="MX16" s="34"/>
      <c r="MY16" s="34"/>
      <c r="MZ16" s="34"/>
      <c r="NA16" s="34"/>
      <c r="NB16" s="34"/>
      <c r="NC16" s="34"/>
      <c r="ND16" s="34"/>
      <c r="NE16" s="34"/>
      <c r="NF16" s="34"/>
      <c r="NG16" s="34"/>
      <c r="NH16" s="34"/>
      <c r="NI16" s="34"/>
      <c r="NJ16" s="34"/>
      <c r="NK16" s="34"/>
      <c r="NL16" s="34"/>
      <c r="NM16" s="34"/>
      <c r="NN16" s="34"/>
      <c r="NO16" s="34"/>
      <c r="NP16" s="34"/>
      <c r="NQ16" s="34"/>
      <c r="NR16" s="34"/>
      <c r="NS16" s="34"/>
      <c r="NT16" s="34"/>
      <c r="NU16" s="34"/>
      <c r="NV16" s="34"/>
      <c r="NW16" s="34"/>
      <c r="NX16" s="34"/>
      <c r="NY16" s="34"/>
      <c r="NZ16" s="34"/>
      <c r="OA16" s="34"/>
      <c r="OB16" s="34"/>
      <c r="OC16" s="34"/>
      <c r="OD16" s="34"/>
      <c r="OE16" s="34"/>
      <c r="OF16" s="34"/>
      <c r="OG16" s="34"/>
      <c r="OH16" s="34"/>
      <c r="OI16" s="34"/>
      <c r="OJ16" s="34"/>
      <c r="OK16" s="34"/>
      <c r="OL16" s="34"/>
      <c r="OM16" s="34"/>
      <c r="ON16" s="34"/>
      <c r="OO16" s="34"/>
      <c r="OP16" s="34"/>
      <c r="OQ16" s="34"/>
      <c r="OR16" s="34"/>
      <c r="OS16" s="34"/>
      <c r="OT16" s="34"/>
      <c r="OU16" s="34"/>
      <c r="OV16" s="34"/>
      <c r="OW16" s="34"/>
      <c r="OX16" s="34"/>
      <c r="OY16" s="34"/>
      <c r="OZ16" s="34"/>
      <c r="PA16" s="34"/>
      <c r="PB16" s="34"/>
      <c r="PC16" s="34"/>
      <c r="PD16" s="34"/>
      <c r="PE16" s="34"/>
      <c r="PF16" s="34"/>
      <c r="PG16" s="34"/>
      <c r="PH16" s="34"/>
      <c r="PI16" s="34"/>
      <c r="PJ16" s="34"/>
      <c r="PK16" s="34"/>
      <c r="PL16" s="34"/>
      <c r="PM16" s="34"/>
      <c r="PN16" s="34"/>
      <c r="PO16" s="34"/>
      <c r="PP16" s="34"/>
      <c r="PQ16" s="34"/>
      <c r="PR16" s="34"/>
      <c r="PS16" s="34"/>
      <c r="PT16" s="34"/>
      <c r="PU16" s="34"/>
      <c r="PV16" s="34"/>
      <c r="PW16" s="34"/>
      <c r="PX16" s="34"/>
      <c r="PY16" s="34"/>
      <c r="PZ16" s="34"/>
      <c r="QA16" s="34"/>
      <c r="QB16" s="34"/>
      <c r="QC16" s="34"/>
      <c r="QD16" s="34"/>
      <c r="QE16" s="34"/>
      <c r="QF16" s="34"/>
      <c r="QG16" s="34"/>
      <c r="QH16" s="34"/>
      <c r="QI16" s="34"/>
      <c r="QJ16" s="34"/>
      <c r="QK16" s="34"/>
      <c r="QL16" s="34"/>
      <c r="QM16" s="34"/>
      <c r="QN16" s="34"/>
      <c r="QO16" s="34"/>
      <c r="QP16" s="34"/>
      <c r="QQ16" s="34"/>
      <c r="QR16" s="34"/>
      <c r="QS16" s="34"/>
      <c r="QT16" s="34"/>
      <c r="QU16" s="34"/>
      <c r="QV16" s="34"/>
      <c r="QW16" s="34"/>
      <c r="QX16" s="34"/>
      <c r="QY16" s="34"/>
      <c r="QZ16" s="34"/>
      <c r="RA16" s="34"/>
      <c r="RB16" s="34"/>
      <c r="RC16" s="34"/>
      <c r="RD16" s="34"/>
      <c r="RE16" s="34"/>
      <c r="RF16" s="34"/>
      <c r="RG16" s="34"/>
      <c r="RH16" s="34"/>
      <c r="RI16" s="34"/>
      <c r="RJ16" s="34"/>
      <c r="RK16" s="34"/>
      <c r="RL16" s="34"/>
      <c r="RM16" s="34"/>
      <c r="RN16" s="34"/>
      <c r="RO16" s="34"/>
      <c r="RP16" s="34"/>
      <c r="RQ16" s="34"/>
      <c r="RR16" s="34"/>
      <c r="RS16" s="34"/>
      <c r="RT16" s="34"/>
      <c r="RU16" s="34"/>
      <c r="RV16" s="34"/>
      <c r="RW16" s="34"/>
      <c r="RX16" s="34"/>
      <c r="RY16" s="34"/>
      <c r="RZ16" s="34"/>
      <c r="SA16" s="34"/>
      <c r="SB16" s="34"/>
      <c r="SC16" s="34"/>
      <c r="SD16" s="34"/>
      <c r="SE16" s="34"/>
      <c r="SF16" s="34"/>
      <c r="SG16" s="34"/>
      <c r="SH16" s="34"/>
      <c r="SI16" s="34"/>
      <c r="SJ16" s="34"/>
      <c r="SK16" s="34"/>
      <c r="SL16" s="34"/>
      <c r="SM16" s="34"/>
      <c r="SN16" s="34"/>
      <c r="SO16" s="34"/>
      <c r="SP16" s="34"/>
      <c r="SQ16" s="34"/>
      <c r="SR16" s="34"/>
      <c r="SS16" s="34"/>
      <c r="ST16" s="34"/>
      <c r="SU16" s="34"/>
      <c r="SV16" s="34"/>
      <c r="SW16" s="34"/>
      <c r="SX16" s="34"/>
      <c r="SY16" s="34"/>
      <c r="SZ16" s="34"/>
      <c r="TA16" s="34"/>
      <c r="TB16" s="34"/>
      <c r="TC16" s="34"/>
      <c r="TD16" s="34"/>
      <c r="TE16" s="34"/>
      <c r="TF16" s="34"/>
      <c r="TG16" s="34"/>
      <c r="TH16" s="34"/>
      <c r="TI16" s="34"/>
      <c r="TJ16" s="34"/>
      <c r="TK16" s="34"/>
      <c r="TL16" s="34"/>
      <c r="TM16" s="34"/>
      <c r="TN16" s="34"/>
      <c r="TO16" s="34"/>
      <c r="TP16" s="34"/>
      <c r="TQ16" s="34"/>
      <c r="TR16" s="34"/>
      <c r="TS16" s="34"/>
      <c r="TT16" s="34"/>
      <c r="TU16" s="34"/>
      <c r="TV16" s="34"/>
      <c r="TW16" s="34"/>
      <c r="TX16" s="34"/>
      <c r="TY16" s="34"/>
      <c r="TZ16" s="34"/>
      <c r="UA16" s="34"/>
      <c r="UB16" s="34"/>
      <c r="UC16" s="34"/>
      <c r="UD16" s="34"/>
      <c r="UE16" s="34"/>
      <c r="UF16" s="34"/>
      <c r="UG16" s="34"/>
      <c r="UH16" s="34"/>
      <c r="UI16" s="34"/>
      <c r="UJ16" s="34"/>
      <c r="UK16" s="34"/>
      <c r="UL16" s="34"/>
      <c r="UM16" s="34"/>
      <c r="UN16" s="34"/>
      <c r="UO16" s="34"/>
      <c r="UP16" s="34"/>
      <c r="UQ16" s="34"/>
      <c r="UR16" s="34"/>
      <c r="US16" s="34"/>
      <c r="UT16" s="34"/>
      <c r="UU16" s="34"/>
      <c r="UV16" s="34"/>
      <c r="UW16" s="34"/>
      <c r="UX16" s="34"/>
      <c r="UY16" s="34"/>
      <c r="UZ16" s="34"/>
      <c r="VA16" s="34"/>
      <c r="VB16" s="34"/>
      <c r="VC16" s="34"/>
      <c r="VD16" s="34"/>
      <c r="VE16" s="34"/>
      <c r="VF16" s="34"/>
      <c r="VG16" s="34"/>
      <c r="VH16" s="34"/>
      <c r="VI16" s="34"/>
      <c r="VJ16" s="34"/>
      <c r="VK16" s="34"/>
      <c r="VL16" s="34"/>
      <c r="VM16" s="34"/>
      <c r="VN16" s="34"/>
      <c r="VO16" s="34"/>
      <c r="VP16" s="34"/>
      <c r="VQ16" s="34"/>
      <c r="VR16" s="34"/>
      <c r="VS16" s="34"/>
      <c r="VT16" s="34"/>
      <c r="VU16" s="34"/>
      <c r="VV16" s="34"/>
      <c r="VW16" s="34"/>
      <c r="VX16" s="34"/>
      <c r="VY16" s="34"/>
      <c r="VZ16" s="34"/>
      <c r="WA16" s="34"/>
      <c r="WB16" s="34"/>
      <c r="WC16" s="34"/>
      <c r="WD16" s="34"/>
      <c r="WE16" s="34"/>
      <c r="WF16" s="34"/>
      <c r="WG16" s="34"/>
      <c r="WH16" s="34"/>
      <c r="WI16" s="34"/>
      <c r="WJ16" s="34"/>
      <c r="WK16" s="34"/>
      <c r="WL16" s="34"/>
      <c r="WM16" s="34"/>
      <c r="WN16" s="34"/>
      <c r="WO16" s="34"/>
      <c r="WP16" s="34"/>
      <c r="WQ16" s="34"/>
      <c r="WR16" s="34"/>
      <c r="WS16" s="34"/>
      <c r="WT16" s="34"/>
      <c r="WU16" s="34"/>
      <c r="WV16" s="34"/>
      <c r="WW16" s="34"/>
      <c r="WX16" s="34"/>
      <c r="WY16" s="34"/>
      <c r="WZ16" s="34"/>
      <c r="XA16" s="34"/>
      <c r="XB16" s="34"/>
      <c r="XC16" s="34"/>
      <c r="XD16" s="34"/>
      <c r="XE16" s="34"/>
      <c r="XF16" s="34"/>
      <c r="XG16" s="34"/>
      <c r="XH16" s="34"/>
      <c r="XI16" s="34"/>
      <c r="XJ16" s="34"/>
      <c r="XK16" s="34"/>
      <c r="XL16" s="34"/>
      <c r="XM16" s="34"/>
      <c r="XN16" s="34"/>
      <c r="XO16" s="34"/>
      <c r="XP16" s="34"/>
      <c r="XQ16" s="34"/>
      <c r="XR16" s="34"/>
      <c r="XS16" s="34"/>
      <c r="XT16" s="34"/>
      <c r="XU16" s="34"/>
      <c r="XV16" s="34"/>
      <c r="XW16" s="34"/>
      <c r="XX16" s="34"/>
      <c r="XY16" s="34"/>
      <c r="XZ16" s="34"/>
      <c r="YA16" s="34"/>
      <c r="YB16" s="34"/>
      <c r="YC16" s="34"/>
      <c r="YD16" s="34"/>
      <c r="YE16" s="34"/>
      <c r="YF16" s="34"/>
      <c r="YG16" s="34"/>
      <c r="YH16" s="34"/>
      <c r="YI16" s="34"/>
      <c r="YJ16" s="34"/>
      <c r="YK16" s="34"/>
      <c r="YL16" s="34"/>
      <c r="YM16" s="34"/>
      <c r="YN16" s="34"/>
      <c r="YO16" s="34"/>
      <c r="YP16" s="34"/>
      <c r="YQ16" s="34"/>
      <c r="YR16" s="34"/>
      <c r="YS16" s="34"/>
      <c r="YT16" s="34"/>
      <c r="YU16" s="34"/>
      <c r="YV16" s="34"/>
      <c r="YW16" s="34"/>
      <c r="YX16" s="34"/>
      <c r="YY16" s="34"/>
      <c r="YZ16" s="34"/>
      <c r="ZA16" s="34"/>
      <c r="ZB16" s="34"/>
      <c r="ZC16" s="34"/>
      <c r="ZD16" s="34"/>
      <c r="ZE16" s="34"/>
      <c r="ZF16" s="34"/>
      <c r="ZG16" s="34"/>
      <c r="ZH16" s="34"/>
      <c r="ZI16" s="34"/>
      <c r="ZJ16" s="34"/>
      <c r="ZK16" s="34"/>
      <c r="ZL16" s="34"/>
      <c r="ZM16" s="34"/>
      <c r="ZN16" s="34"/>
      <c r="ZO16" s="34"/>
      <c r="ZP16" s="34"/>
      <c r="ZQ16" s="34"/>
      <c r="ZR16" s="34"/>
      <c r="ZS16" s="34"/>
      <c r="ZT16" s="34"/>
      <c r="ZU16" s="34"/>
      <c r="ZV16" s="34"/>
      <c r="ZW16" s="34"/>
      <c r="ZX16" s="34"/>
      <c r="ZY16" s="34"/>
      <c r="ZZ16" s="34"/>
      <c r="AAA16" s="34"/>
      <c r="AAB16" s="34"/>
      <c r="AAC16" s="34"/>
      <c r="AAD16" s="34"/>
      <c r="AAE16" s="34"/>
      <c r="AAF16" s="34"/>
      <c r="AAG16" s="34"/>
      <c r="AAH16" s="34"/>
      <c r="AAI16" s="34"/>
      <c r="AAJ16" s="34"/>
      <c r="AAK16" s="34"/>
      <c r="AAL16" s="34"/>
      <c r="AAM16" s="34"/>
      <c r="AAN16" s="34"/>
      <c r="AAO16" s="34"/>
      <c r="AAP16" s="34"/>
      <c r="AAQ16" s="34"/>
      <c r="AAR16" s="34"/>
      <c r="AAS16" s="34"/>
      <c r="AAT16" s="34"/>
      <c r="AAU16" s="34"/>
      <c r="AAV16" s="34"/>
      <c r="AAW16" s="34"/>
      <c r="AAX16" s="34"/>
      <c r="AAY16" s="34"/>
      <c r="AAZ16" s="34"/>
      <c r="ABA16" s="34"/>
      <c r="ABB16" s="34"/>
      <c r="ABC16" s="34"/>
      <c r="ABD16" s="34"/>
      <c r="ABE16" s="34"/>
      <c r="ABF16" s="34"/>
      <c r="ABG16" s="34"/>
      <c r="ABH16" s="34"/>
      <c r="ABI16" s="34"/>
      <c r="ABJ16" s="34"/>
      <c r="ABK16" s="34"/>
      <c r="ABL16" s="34"/>
      <c r="ABM16" s="34"/>
      <c r="ABN16" s="34"/>
      <c r="ABO16" s="34"/>
      <c r="ABP16" s="34"/>
      <c r="ABQ16" s="34"/>
      <c r="ABR16" s="34"/>
      <c r="ABS16" s="34"/>
      <c r="ABT16" s="34"/>
      <c r="ABU16" s="34"/>
      <c r="ABV16" s="34"/>
      <c r="ABW16" s="34"/>
      <c r="ABX16" s="34"/>
      <c r="ABY16" s="34"/>
      <c r="ABZ16" s="34"/>
      <c r="ACA16" s="34"/>
      <c r="ACB16" s="34"/>
      <c r="ACC16" s="34"/>
      <c r="ACD16" s="34"/>
      <c r="ACE16" s="34"/>
      <c r="ACF16" s="34"/>
      <c r="ACG16" s="34"/>
      <c r="ACH16" s="34"/>
      <c r="ACI16" s="34"/>
      <c r="ACJ16" s="34"/>
      <c r="ACK16" s="34"/>
      <c r="ACL16" s="34"/>
      <c r="ACM16" s="34"/>
      <c r="ACN16" s="34"/>
      <c r="ACO16" s="34"/>
      <c r="ACP16" s="34"/>
      <c r="ACQ16" s="34"/>
      <c r="ACR16" s="34"/>
      <c r="ACS16" s="34"/>
      <c r="ACT16" s="34"/>
      <c r="ACU16" s="34"/>
      <c r="ACV16" s="34"/>
      <c r="ACW16" s="34"/>
      <c r="ACX16" s="34"/>
      <c r="ACY16" s="34"/>
      <c r="ACZ16" s="34"/>
      <c r="ADA16" s="34"/>
      <c r="ADB16" s="34"/>
      <c r="ADC16" s="34"/>
      <c r="ADD16" s="34"/>
      <c r="ADE16" s="34"/>
      <c r="ADF16" s="34"/>
      <c r="ADG16" s="34"/>
      <c r="ADH16" s="34"/>
      <c r="ADI16" s="34"/>
      <c r="ADJ16" s="34"/>
      <c r="ADK16" s="34"/>
      <c r="ADL16" s="34"/>
      <c r="ADM16" s="34"/>
      <c r="ADN16" s="34"/>
      <c r="ADO16" s="34"/>
      <c r="ADP16" s="34"/>
      <c r="ADQ16" s="34"/>
      <c r="ADR16" s="34"/>
      <c r="ADS16" s="34"/>
      <c r="ADT16" s="34"/>
      <c r="ADU16" s="34"/>
      <c r="ADV16" s="34"/>
      <c r="ADW16" s="34"/>
      <c r="ADX16" s="34"/>
      <c r="ADY16" s="34"/>
      <c r="ADZ16" s="34"/>
      <c r="AEA16" s="34"/>
      <c r="AEB16" s="34"/>
      <c r="AEC16" s="34"/>
      <c r="AED16" s="34"/>
      <c r="AEE16" s="34"/>
      <c r="AEF16" s="34"/>
      <c r="AEG16" s="34"/>
      <c r="AEH16" s="34"/>
      <c r="AEI16" s="34"/>
      <c r="AEJ16" s="34"/>
      <c r="AEK16" s="34"/>
      <c r="AEL16" s="34"/>
      <c r="AEM16" s="34"/>
      <c r="AEN16" s="34"/>
      <c r="AEO16" s="34"/>
      <c r="AEP16" s="34"/>
      <c r="AEQ16" s="34"/>
      <c r="AER16" s="34"/>
      <c r="AES16" s="34"/>
      <c r="AET16" s="34"/>
      <c r="AEU16" s="34"/>
      <c r="AEV16" s="34"/>
      <c r="AEW16" s="34"/>
      <c r="AEX16" s="34"/>
      <c r="AEY16" s="34"/>
      <c r="AEZ16" s="34"/>
      <c r="AFA16" s="34"/>
      <c r="AFB16" s="34"/>
      <c r="AFC16" s="34"/>
      <c r="AFD16" s="34"/>
      <c r="AFE16" s="34"/>
      <c r="AFF16" s="34"/>
      <c r="AFG16" s="34"/>
      <c r="AFH16" s="34"/>
      <c r="AFI16" s="34"/>
      <c r="AFJ16" s="34"/>
      <c r="AFK16" s="34"/>
      <c r="AFL16" s="34"/>
      <c r="AFM16" s="34"/>
      <c r="AFN16" s="34"/>
      <c r="AFO16" s="34"/>
      <c r="AFP16" s="34"/>
      <c r="AFQ16" s="34"/>
      <c r="AFR16" s="34"/>
      <c r="AFS16" s="34"/>
      <c r="AFT16" s="34"/>
      <c r="AFU16" s="34"/>
      <c r="AFV16" s="34"/>
      <c r="AFW16" s="34"/>
      <c r="AFX16" s="34"/>
      <c r="AFY16" s="34"/>
      <c r="AFZ16" s="34"/>
      <c r="AGA16" s="34"/>
      <c r="AGB16" s="34"/>
      <c r="AGC16" s="34"/>
      <c r="AGD16" s="34"/>
      <c r="AGE16" s="34"/>
      <c r="AGF16" s="34"/>
      <c r="AGG16" s="34"/>
      <c r="AGH16" s="34"/>
      <c r="AGI16" s="34"/>
      <c r="AGJ16" s="34"/>
      <c r="AGK16" s="34"/>
      <c r="AGL16" s="34"/>
      <c r="AGM16" s="34"/>
      <c r="AGN16" s="34"/>
      <c r="AGO16" s="34"/>
      <c r="AGP16" s="34"/>
      <c r="AGQ16" s="34"/>
      <c r="AGR16" s="34"/>
      <c r="AGS16" s="34"/>
      <c r="AGT16" s="34"/>
      <c r="AGU16" s="34"/>
      <c r="AGV16" s="34"/>
      <c r="AGW16" s="34"/>
      <c r="AGX16" s="34"/>
      <c r="AGY16" s="34"/>
      <c r="AGZ16" s="34"/>
      <c r="AHA16" s="34"/>
      <c r="AHB16" s="34"/>
      <c r="AHC16" s="34"/>
      <c r="AHD16" s="34"/>
      <c r="AHE16" s="34"/>
      <c r="AHF16" s="34"/>
      <c r="AHG16" s="34"/>
      <c r="AHH16" s="34"/>
      <c r="AHI16" s="34"/>
      <c r="AHJ16" s="34"/>
      <c r="AHK16" s="34"/>
      <c r="AHL16" s="34"/>
      <c r="AHM16" s="34"/>
      <c r="AHN16" s="34"/>
      <c r="AHO16" s="34"/>
      <c r="AHP16" s="34"/>
      <c r="AHQ16" s="34"/>
      <c r="AHR16" s="34"/>
      <c r="AHS16" s="34"/>
      <c r="AHT16" s="34"/>
      <c r="AHU16" s="34"/>
      <c r="AHV16" s="34"/>
      <c r="AHW16" s="34"/>
      <c r="AHX16" s="34"/>
      <c r="AHY16" s="34"/>
      <c r="AHZ16" s="34"/>
      <c r="AIA16" s="34"/>
      <c r="AIB16" s="34"/>
      <c r="AIC16" s="34"/>
      <c r="AID16" s="34"/>
      <c r="AIE16" s="34"/>
      <c r="AIF16" s="34"/>
      <c r="AIG16" s="34"/>
      <c r="AIH16" s="34"/>
      <c r="AII16" s="34"/>
      <c r="AIJ16" s="34"/>
      <c r="AIK16" s="34"/>
      <c r="AIL16" s="34"/>
      <c r="AIM16" s="34"/>
      <c r="AIN16" s="34"/>
      <c r="AIO16" s="34"/>
      <c r="AIP16" s="34"/>
      <c r="AIQ16" s="34"/>
      <c r="AIR16" s="34"/>
      <c r="AIS16" s="34"/>
      <c r="AIT16" s="34"/>
      <c r="AIU16" s="34"/>
      <c r="AIV16" s="34"/>
      <c r="AIW16" s="34"/>
      <c r="AIX16" s="34"/>
      <c r="AIY16" s="34"/>
      <c r="AIZ16" s="34"/>
      <c r="AJA16" s="34"/>
      <c r="AJB16" s="34"/>
      <c r="AJC16" s="34"/>
      <c r="AJD16" s="34"/>
      <c r="AJE16" s="34"/>
      <c r="AJF16" s="34"/>
      <c r="AJG16" s="34"/>
      <c r="AJH16" s="34"/>
      <c r="AJI16" s="34"/>
      <c r="AJJ16" s="34"/>
      <c r="AJK16" s="34"/>
      <c r="AJL16" s="34"/>
      <c r="AJM16" s="34"/>
      <c r="AJN16" s="34"/>
      <c r="AJO16" s="34"/>
      <c r="AJP16" s="34"/>
      <c r="AJQ16" s="34"/>
      <c r="AJR16" s="34"/>
      <c r="AJS16" s="34"/>
      <c r="AJT16" s="34"/>
      <c r="AJU16" s="34"/>
      <c r="AJV16" s="34"/>
      <c r="AJW16" s="34"/>
      <c r="AJX16" s="34"/>
      <c r="AJY16" s="34"/>
      <c r="AJZ16" s="34"/>
      <c r="AKA16" s="34"/>
      <c r="AKB16" s="34"/>
      <c r="AKC16" s="34"/>
      <c r="AKD16" s="34"/>
      <c r="AKE16" s="34"/>
      <c r="AKF16" s="34"/>
      <c r="AKG16" s="34"/>
      <c r="AKH16" s="34"/>
      <c r="AKI16" s="34"/>
      <c r="AKJ16" s="34"/>
      <c r="AKK16" s="34"/>
      <c r="AKL16" s="34"/>
      <c r="AKM16" s="34"/>
      <c r="AKN16" s="34"/>
      <c r="AKO16" s="34"/>
      <c r="AKP16" s="34"/>
      <c r="AKQ16" s="34"/>
      <c r="AKR16" s="34"/>
      <c r="AKS16" s="34"/>
      <c r="AKT16" s="34"/>
      <c r="AKU16" s="34"/>
      <c r="AKV16" s="34"/>
      <c r="AKW16" s="34"/>
      <c r="AKX16" s="34"/>
      <c r="AKY16" s="34"/>
      <c r="AKZ16" s="34"/>
      <c r="ALA16" s="34"/>
      <c r="ALB16" s="34"/>
      <c r="ALC16" s="34"/>
      <c r="ALD16" s="34"/>
      <c r="ALE16" s="34"/>
      <c r="ALF16" s="34"/>
      <c r="ALG16" s="34"/>
      <c r="ALH16" s="34"/>
      <c r="ALI16" s="34"/>
      <c r="ALJ16" s="34"/>
      <c r="ALK16" s="34"/>
      <c r="ALL16" s="34"/>
      <c r="ALM16" s="34"/>
      <c r="ALN16" s="34"/>
      <c r="ALO16" s="34"/>
      <c r="ALP16" s="34"/>
      <c r="ALQ16" s="34"/>
      <c r="ALR16" s="34"/>
      <c r="ALS16" s="34"/>
      <c r="ALT16" s="34"/>
      <c r="ALU16" s="34"/>
      <c r="ALV16" s="34"/>
      <c r="ALW16" s="34"/>
      <c r="ALX16" s="34"/>
      <c r="ALY16" s="34"/>
      <c r="ALZ16" s="34"/>
      <c r="AMA16" s="34"/>
      <c r="AMB16" s="34"/>
      <c r="AMC16" s="34"/>
      <c r="AMD16" s="34"/>
      <c r="AME16" s="34"/>
      <c r="AMF16" s="34"/>
      <c r="AMG16" s="34"/>
      <c r="AMH16" s="34"/>
      <c r="AMI16" s="34"/>
      <c r="AMJ16" s="34"/>
      <c r="AMK16" s="34"/>
    </row>
    <row r="17" ht="15.75" customHeight="1">
      <c r="A17" s="38" t="s">
        <v>41</v>
      </c>
      <c r="B17" s="38" t="s">
        <v>26</v>
      </c>
      <c r="C17" s="38" t="s">
        <v>42</v>
      </c>
      <c r="D17" s="38"/>
      <c r="E17" s="40">
        <v>10.0</v>
      </c>
      <c r="F17" s="38" t="s">
        <v>43</v>
      </c>
      <c r="G17" s="38" t="s">
        <v>35</v>
      </c>
      <c r="H17" s="38"/>
      <c r="I17" s="38"/>
      <c r="J17" s="38"/>
      <c r="K17" s="40">
        <v>0.0</v>
      </c>
      <c r="L17" s="40">
        <v>0.0</v>
      </c>
      <c r="M17" s="38"/>
      <c r="N17" s="38" t="s">
        <v>46</v>
      </c>
      <c r="O17" s="38" t="s">
        <v>47</v>
      </c>
      <c r="P17" s="34"/>
      <c r="Q17" s="42">
        <v>3.0</v>
      </c>
      <c r="R17" s="42">
        <v>0.0</v>
      </c>
      <c r="S17" s="34" t="s">
        <v>61</v>
      </c>
      <c r="T17" s="42">
        <v>0.0</v>
      </c>
      <c r="U17" s="42">
        <v>0.0</v>
      </c>
      <c r="V17" s="34" t="s">
        <v>62</v>
      </c>
      <c r="W17" s="42">
        <v>100.0</v>
      </c>
      <c r="X17" s="42">
        <v>0.0</v>
      </c>
      <c r="Y17" s="34" t="s">
        <v>41</v>
      </c>
      <c r="Z17" s="34" t="s">
        <v>50</v>
      </c>
      <c r="AA17" s="34"/>
      <c r="AB17" s="42">
        <v>1.0</v>
      </c>
      <c r="AC17" s="34"/>
      <c r="AD17" s="34" t="s">
        <v>63</v>
      </c>
      <c r="AE17" s="42">
        <v>10.0</v>
      </c>
      <c r="AF17" s="34" t="s">
        <v>41</v>
      </c>
      <c r="AG17" s="34"/>
      <c r="AH17" s="34" t="s">
        <v>53</v>
      </c>
      <c r="AI17" s="42">
        <v>1.0</v>
      </c>
      <c r="AJ17" s="34"/>
      <c r="AK17" s="34"/>
      <c r="AL17" s="34"/>
      <c r="AM17" s="34"/>
      <c r="AN17" s="34"/>
      <c r="AO17" s="34"/>
      <c r="AP17" s="44" t="b">
        <v>0</v>
      </c>
      <c r="AQ17" s="44" t="b">
        <v>0</v>
      </c>
      <c r="AR17" s="44" t="b">
        <v>1</v>
      </c>
      <c r="AS17" s="42">
        <v>0.0</v>
      </c>
      <c r="AT17" s="42">
        <v>10000.0</v>
      </c>
      <c r="AU17" s="42">
        <v>10000.0</v>
      </c>
      <c r="AV17" s="34"/>
      <c r="AW17" s="34"/>
      <c r="AX17" s="34"/>
      <c r="AY17" s="34"/>
      <c r="AZ17" s="34"/>
      <c r="BA17" s="34"/>
      <c r="BB17" s="34"/>
      <c r="BC17" s="42">
        <v>0.0</v>
      </c>
      <c r="BD17" s="34" t="s">
        <v>54</v>
      </c>
      <c r="BE17" s="42">
        <v>0.0</v>
      </c>
      <c r="BF17" s="42">
        <v>0.0</v>
      </c>
      <c r="BG17" s="34"/>
      <c r="BH17" s="34"/>
      <c r="BI17" s="34"/>
      <c r="BJ17" s="42">
        <v>10.0</v>
      </c>
      <c r="BK17" s="34"/>
      <c r="BL17" s="34" t="s">
        <v>41</v>
      </c>
      <c r="BM17" s="34" t="s">
        <v>50</v>
      </c>
      <c r="BN17" s="34"/>
      <c r="BO17" s="34" t="s">
        <v>65</v>
      </c>
      <c r="BP17" s="34"/>
      <c r="BQ17" s="34"/>
      <c r="BR17" s="34"/>
      <c r="BS17" s="34" t="s">
        <v>55</v>
      </c>
      <c r="BT17" s="43" t="s">
        <v>18</v>
      </c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 t="s">
        <v>19</v>
      </c>
      <c r="CI17" s="34" t="s">
        <v>60</v>
      </c>
      <c r="CJ17" s="34"/>
      <c r="CK17" s="34" t="s">
        <v>57</v>
      </c>
      <c r="CL17" s="42">
        <v>1.0</v>
      </c>
      <c r="CM17" s="34" t="s">
        <v>24</v>
      </c>
      <c r="CN17" s="34"/>
      <c r="CO17" s="34"/>
      <c r="CP17" s="34" t="s">
        <v>58</v>
      </c>
      <c r="CQ17" s="34"/>
      <c r="CR17" s="34"/>
      <c r="CS17" s="34" t="s">
        <v>41</v>
      </c>
      <c r="CT17" s="34"/>
      <c r="CU17" s="34"/>
      <c r="CV17" s="34" t="s">
        <v>41</v>
      </c>
      <c r="CW17" s="34" t="s">
        <v>41</v>
      </c>
      <c r="CX17" s="34" t="s">
        <v>41</v>
      </c>
      <c r="CY17" s="34" t="s">
        <v>41</v>
      </c>
      <c r="CZ17" s="34" t="s">
        <v>41</v>
      </c>
      <c r="DA17" s="34" t="s">
        <v>41</v>
      </c>
      <c r="DB17" s="34" t="s">
        <v>41</v>
      </c>
      <c r="DC17" s="34" t="s">
        <v>41</v>
      </c>
      <c r="DD17" s="34" t="s">
        <v>41</v>
      </c>
      <c r="DE17" s="34" t="s">
        <v>41</v>
      </c>
      <c r="DF17" s="34" t="s">
        <v>41</v>
      </c>
      <c r="DG17" s="34" t="s">
        <v>41</v>
      </c>
      <c r="DH17" s="34" t="s">
        <v>41</v>
      </c>
      <c r="DI17" s="34" t="s">
        <v>41</v>
      </c>
      <c r="DJ17" s="34" t="s">
        <v>41</v>
      </c>
      <c r="DK17" s="34" t="s">
        <v>41</v>
      </c>
      <c r="DL17" s="34" t="s">
        <v>41</v>
      </c>
      <c r="DM17" s="34" t="s">
        <v>41</v>
      </c>
      <c r="DN17" s="34" t="s">
        <v>41</v>
      </c>
      <c r="DO17" s="34" t="s">
        <v>41</v>
      </c>
      <c r="DP17" s="34" t="s">
        <v>41</v>
      </c>
      <c r="DQ17" s="34" t="s">
        <v>41</v>
      </c>
      <c r="DR17" s="34" t="s">
        <v>41</v>
      </c>
      <c r="DS17" s="34" t="s">
        <v>41</v>
      </c>
      <c r="DT17" s="34" t="s">
        <v>41</v>
      </c>
      <c r="DU17" s="34" t="s">
        <v>41</v>
      </c>
      <c r="DV17" s="34" t="s">
        <v>41</v>
      </c>
      <c r="DW17" s="34" t="s">
        <v>41</v>
      </c>
      <c r="DX17" s="34" t="s">
        <v>41</v>
      </c>
      <c r="DY17" s="34" t="s">
        <v>41</v>
      </c>
      <c r="DZ17" s="34" t="s">
        <v>41</v>
      </c>
      <c r="EA17" s="34" t="s">
        <v>41</v>
      </c>
      <c r="EB17" s="34" t="s">
        <v>41</v>
      </c>
      <c r="EC17" s="34" t="s">
        <v>41</v>
      </c>
      <c r="ED17" s="34" t="s">
        <v>41</v>
      </c>
      <c r="EE17" s="34" t="s">
        <v>41</v>
      </c>
      <c r="EF17" s="34" t="s">
        <v>41</v>
      </c>
      <c r="EG17" s="34" t="s">
        <v>41</v>
      </c>
      <c r="EH17" s="34" t="s">
        <v>41</v>
      </c>
      <c r="EI17" s="34" t="s">
        <v>41</v>
      </c>
      <c r="EJ17" s="34" t="s">
        <v>41</v>
      </c>
      <c r="EK17" s="34" t="s">
        <v>41</v>
      </c>
      <c r="EL17" s="34" t="s">
        <v>41</v>
      </c>
      <c r="EM17" s="34" t="s">
        <v>41</v>
      </c>
      <c r="EN17" s="34" t="s">
        <v>41</v>
      </c>
      <c r="EO17" s="34" t="s">
        <v>41</v>
      </c>
      <c r="EP17" s="34" t="s">
        <v>41</v>
      </c>
      <c r="EQ17" s="34" t="s">
        <v>41</v>
      </c>
      <c r="ER17" s="34" t="s">
        <v>41</v>
      </c>
      <c r="ES17" s="34" t="s">
        <v>41</v>
      </c>
      <c r="ET17" s="34" t="s">
        <v>41</v>
      </c>
      <c r="EU17" s="34" t="s">
        <v>41</v>
      </c>
      <c r="EV17" s="34" t="s">
        <v>41</v>
      </c>
      <c r="EW17" s="34" t="s">
        <v>41</v>
      </c>
      <c r="EX17" s="34" t="s">
        <v>41</v>
      </c>
      <c r="EY17" s="34"/>
      <c r="EZ17" s="34"/>
      <c r="FA17" s="34" t="s">
        <v>41</v>
      </c>
      <c r="FB17" s="34" t="s">
        <v>41</v>
      </c>
      <c r="FC17" s="34" t="s">
        <v>41</v>
      </c>
      <c r="FD17" s="42">
        <v>0.0</v>
      </c>
      <c r="FE17" s="34" t="s">
        <v>41</v>
      </c>
      <c r="FF17" s="34" t="s">
        <v>41</v>
      </c>
      <c r="FG17" s="42">
        <v>0.0</v>
      </c>
      <c r="FH17" s="34" t="s">
        <v>41</v>
      </c>
      <c r="FI17" s="34" t="s">
        <v>41</v>
      </c>
      <c r="FJ17" s="34"/>
      <c r="FK17" s="34" t="s">
        <v>41</v>
      </c>
      <c r="FL17" s="34" t="s">
        <v>41</v>
      </c>
      <c r="FM17" s="34" t="s">
        <v>41</v>
      </c>
      <c r="FN17" s="34" t="s">
        <v>41</v>
      </c>
      <c r="FO17" s="34" t="s">
        <v>41</v>
      </c>
      <c r="FP17" s="34" t="s">
        <v>41</v>
      </c>
      <c r="FQ17" s="34" t="s">
        <v>41</v>
      </c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  <c r="MY17" s="34"/>
      <c r="MZ17" s="34"/>
      <c r="NA17" s="34"/>
      <c r="NB17" s="34"/>
      <c r="NC17" s="34"/>
      <c r="ND17" s="34"/>
      <c r="NE17" s="34"/>
      <c r="NF17" s="34"/>
      <c r="NG17" s="34"/>
      <c r="NH17" s="34"/>
      <c r="NI17" s="34"/>
      <c r="NJ17" s="34"/>
      <c r="NK17" s="34"/>
      <c r="NL17" s="34"/>
      <c r="NM17" s="34"/>
      <c r="NN17" s="34"/>
      <c r="NO17" s="34"/>
      <c r="NP17" s="34"/>
      <c r="NQ17" s="34"/>
      <c r="NR17" s="34"/>
      <c r="NS17" s="34"/>
      <c r="NT17" s="34"/>
      <c r="NU17" s="34"/>
      <c r="NV17" s="34"/>
      <c r="NW17" s="34"/>
      <c r="NX17" s="34"/>
      <c r="NY17" s="34"/>
      <c r="NZ17" s="34"/>
      <c r="OA17" s="34"/>
      <c r="OB17" s="34"/>
      <c r="OC17" s="34"/>
      <c r="OD17" s="34"/>
      <c r="OE17" s="34"/>
      <c r="OF17" s="34"/>
      <c r="OG17" s="34"/>
      <c r="OH17" s="34"/>
      <c r="OI17" s="34"/>
      <c r="OJ17" s="34"/>
      <c r="OK17" s="34"/>
      <c r="OL17" s="34"/>
      <c r="OM17" s="34"/>
      <c r="ON17" s="34"/>
      <c r="OO17" s="34"/>
      <c r="OP17" s="34"/>
      <c r="OQ17" s="34"/>
      <c r="OR17" s="34"/>
      <c r="OS17" s="34"/>
      <c r="OT17" s="34"/>
      <c r="OU17" s="34"/>
      <c r="OV17" s="34"/>
      <c r="OW17" s="34"/>
      <c r="OX17" s="34"/>
      <c r="OY17" s="34"/>
      <c r="OZ17" s="34"/>
      <c r="PA17" s="34"/>
      <c r="PB17" s="34"/>
      <c r="PC17" s="34"/>
      <c r="PD17" s="34"/>
      <c r="PE17" s="34"/>
      <c r="PF17" s="34"/>
      <c r="PG17" s="34"/>
      <c r="PH17" s="34"/>
      <c r="PI17" s="34"/>
      <c r="PJ17" s="34"/>
      <c r="PK17" s="34"/>
      <c r="PL17" s="34"/>
      <c r="PM17" s="34"/>
      <c r="PN17" s="34"/>
      <c r="PO17" s="34"/>
      <c r="PP17" s="34"/>
      <c r="PQ17" s="34"/>
      <c r="PR17" s="34"/>
      <c r="PS17" s="34"/>
      <c r="PT17" s="34"/>
      <c r="PU17" s="34"/>
      <c r="PV17" s="34"/>
      <c r="PW17" s="34"/>
      <c r="PX17" s="34"/>
      <c r="PY17" s="34"/>
      <c r="PZ17" s="34"/>
      <c r="QA17" s="34"/>
      <c r="QB17" s="34"/>
      <c r="QC17" s="34"/>
      <c r="QD17" s="34"/>
      <c r="QE17" s="34"/>
      <c r="QF17" s="34"/>
      <c r="QG17" s="34"/>
      <c r="QH17" s="34"/>
      <c r="QI17" s="34"/>
      <c r="QJ17" s="34"/>
      <c r="QK17" s="34"/>
      <c r="QL17" s="34"/>
      <c r="QM17" s="34"/>
      <c r="QN17" s="34"/>
      <c r="QO17" s="34"/>
      <c r="QP17" s="34"/>
      <c r="QQ17" s="34"/>
      <c r="QR17" s="34"/>
      <c r="QS17" s="34"/>
      <c r="QT17" s="34"/>
      <c r="QU17" s="34"/>
      <c r="QV17" s="34"/>
      <c r="QW17" s="34"/>
      <c r="QX17" s="34"/>
      <c r="QY17" s="34"/>
      <c r="QZ17" s="34"/>
      <c r="RA17" s="34"/>
      <c r="RB17" s="34"/>
      <c r="RC17" s="34"/>
      <c r="RD17" s="34"/>
      <c r="RE17" s="34"/>
      <c r="RF17" s="34"/>
      <c r="RG17" s="34"/>
      <c r="RH17" s="34"/>
      <c r="RI17" s="34"/>
      <c r="RJ17" s="34"/>
      <c r="RK17" s="34"/>
      <c r="RL17" s="34"/>
      <c r="RM17" s="34"/>
      <c r="RN17" s="34"/>
      <c r="RO17" s="34"/>
      <c r="RP17" s="34"/>
      <c r="RQ17" s="34"/>
      <c r="RR17" s="34"/>
      <c r="RS17" s="34"/>
      <c r="RT17" s="34"/>
      <c r="RU17" s="34"/>
      <c r="RV17" s="34"/>
      <c r="RW17" s="34"/>
      <c r="RX17" s="34"/>
      <c r="RY17" s="34"/>
      <c r="RZ17" s="34"/>
      <c r="SA17" s="34"/>
      <c r="SB17" s="34"/>
      <c r="SC17" s="34"/>
      <c r="SD17" s="34"/>
      <c r="SE17" s="34"/>
      <c r="SF17" s="34"/>
      <c r="SG17" s="34"/>
      <c r="SH17" s="34"/>
      <c r="SI17" s="34"/>
      <c r="SJ17" s="34"/>
      <c r="SK17" s="34"/>
      <c r="SL17" s="34"/>
      <c r="SM17" s="34"/>
      <c r="SN17" s="34"/>
      <c r="SO17" s="34"/>
      <c r="SP17" s="34"/>
      <c r="SQ17" s="34"/>
      <c r="SR17" s="34"/>
      <c r="SS17" s="34"/>
      <c r="ST17" s="34"/>
      <c r="SU17" s="34"/>
      <c r="SV17" s="34"/>
      <c r="SW17" s="34"/>
      <c r="SX17" s="34"/>
      <c r="SY17" s="34"/>
      <c r="SZ17" s="34"/>
      <c r="TA17" s="34"/>
      <c r="TB17" s="34"/>
      <c r="TC17" s="34"/>
      <c r="TD17" s="34"/>
      <c r="TE17" s="34"/>
      <c r="TF17" s="34"/>
      <c r="TG17" s="34"/>
      <c r="TH17" s="34"/>
      <c r="TI17" s="34"/>
      <c r="TJ17" s="34"/>
      <c r="TK17" s="34"/>
      <c r="TL17" s="34"/>
      <c r="TM17" s="34"/>
      <c r="TN17" s="34"/>
      <c r="TO17" s="34"/>
      <c r="TP17" s="34"/>
      <c r="TQ17" s="34"/>
      <c r="TR17" s="34"/>
      <c r="TS17" s="34"/>
      <c r="TT17" s="34"/>
      <c r="TU17" s="34"/>
      <c r="TV17" s="34"/>
      <c r="TW17" s="34"/>
      <c r="TX17" s="34"/>
      <c r="TY17" s="34"/>
      <c r="TZ17" s="34"/>
      <c r="UA17" s="34"/>
      <c r="UB17" s="34"/>
      <c r="UC17" s="34"/>
      <c r="UD17" s="34"/>
      <c r="UE17" s="34"/>
      <c r="UF17" s="34"/>
      <c r="UG17" s="34"/>
      <c r="UH17" s="34"/>
      <c r="UI17" s="34"/>
      <c r="UJ17" s="34"/>
      <c r="UK17" s="34"/>
      <c r="UL17" s="34"/>
      <c r="UM17" s="34"/>
      <c r="UN17" s="34"/>
      <c r="UO17" s="34"/>
      <c r="UP17" s="34"/>
      <c r="UQ17" s="34"/>
      <c r="UR17" s="34"/>
      <c r="US17" s="34"/>
      <c r="UT17" s="34"/>
      <c r="UU17" s="34"/>
      <c r="UV17" s="34"/>
      <c r="UW17" s="34"/>
      <c r="UX17" s="34"/>
      <c r="UY17" s="34"/>
      <c r="UZ17" s="34"/>
      <c r="VA17" s="34"/>
      <c r="VB17" s="34"/>
      <c r="VC17" s="34"/>
      <c r="VD17" s="34"/>
      <c r="VE17" s="34"/>
      <c r="VF17" s="34"/>
      <c r="VG17" s="34"/>
      <c r="VH17" s="34"/>
      <c r="VI17" s="34"/>
      <c r="VJ17" s="34"/>
      <c r="VK17" s="34"/>
      <c r="VL17" s="34"/>
      <c r="VM17" s="34"/>
      <c r="VN17" s="34"/>
      <c r="VO17" s="34"/>
      <c r="VP17" s="34"/>
      <c r="VQ17" s="34"/>
      <c r="VR17" s="34"/>
      <c r="VS17" s="34"/>
      <c r="VT17" s="34"/>
      <c r="VU17" s="34"/>
      <c r="VV17" s="34"/>
      <c r="VW17" s="34"/>
      <c r="VX17" s="34"/>
      <c r="VY17" s="34"/>
      <c r="VZ17" s="34"/>
      <c r="WA17" s="34"/>
      <c r="WB17" s="34"/>
      <c r="WC17" s="34"/>
      <c r="WD17" s="34"/>
      <c r="WE17" s="34"/>
      <c r="WF17" s="34"/>
      <c r="WG17" s="34"/>
      <c r="WH17" s="34"/>
      <c r="WI17" s="34"/>
      <c r="WJ17" s="34"/>
      <c r="WK17" s="34"/>
      <c r="WL17" s="34"/>
      <c r="WM17" s="34"/>
      <c r="WN17" s="34"/>
      <c r="WO17" s="34"/>
      <c r="WP17" s="34"/>
      <c r="WQ17" s="34"/>
      <c r="WR17" s="34"/>
      <c r="WS17" s="34"/>
      <c r="WT17" s="34"/>
      <c r="WU17" s="34"/>
      <c r="WV17" s="34"/>
      <c r="WW17" s="34"/>
      <c r="WX17" s="34"/>
      <c r="WY17" s="34"/>
      <c r="WZ17" s="34"/>
      <c r="XA17" s="34"/>
      <c r="XB17" s="34"/>
      <c r="XC17" s="34"/>
      <c r="XD17" s="34"/>
      <c r="XE17" s="34"/>
      <c r="XF17" s="34"/>
      <c r="XG17" s="34"/>
      <c r="XH17" s="34"/>
      <c r="XI17" s="34"/>
      <c r="XJ17" s="34"/>
      <c r="XK17" s="34"/>
      <c r="XL17" s="34"/>
      <c r="XM17" s="34"/>
      <c r="XN17" s="34"/>
      <c r="XO17" s="34"/>
      <c r="XP17" s="34"/>
      <c r="XQ17" s="34"/>
      <c r="XR17" s="34"/>
      <c r="XS17" s="34"/>
      <c r="XT17" s="34"/>
      <c r="XU17" s="34"/>
      <c r="XV17" s="34"/>
      <c r="XW17" s="34"/>
      <c r="XX17" s="34"/>
      <c r="XY17" s="34"/>
      <c r="XZ17" s="34"/>
      <c r="YA17" s="34"/>
      <c r="YB17" s="34"/>
      <c r="YC17" s="34"/>
      <c r="YD17" s="34"/>
      <c r="YE17" s="34"/>
      <c r="YF17" s="34"/>
      <c r="YG17" s="34"/>
      <c r="YH17" s="34"/>
      <c r="YI17" s="34"/>
      <c r="YJ17" s="34"/>
      <c r="YK17" s="34"/>
      <c r="YL17" s="34"/>
      <c r="YM17" s="34"/>
      <c r="YN17" s="34"/>
      <c r="YO17" s="34"/>
      <c r="YP17" s="34"/>
      <c r="YQ17" s="34"/>
      <c r="YR17" s="34"/>
      <c r="YS17" s="34"/>
      <c r="YT17" s="34"/>
      <c r="YU17" s="34"/>
      <c r="YV17" s="34"/>
      <c r="YW17" s="34"/>
      <c r="YX17" s="34"/>
      <c r="YY17" s="34"/>
      <c r="YZ17" s="34"/>
      <c r="ZA17" s="34"/>
      <c r="ZB17" s="34"/>
      <c r="ZC17" s="34"/>
      <c r="ZD17" s="34"/>
      <c r="ZE17" s="34"/>
      <c r="ZF17" s="34"/>
      <c r="ZG17" s="34"/>
      <c r="ZH17" s="34"/>
      <c r="ZI17" s="34"/>
      <c r="ZJ17" s="34"/>
      <c r="ZK17" s="34"/>
      <c r="ZL17" s="34"/>
      <c r="ZM17" s="34"/>
      <c r="ZN17" s="34"/>
      <c r="ZO17" s="34"/>
      <c r="ZP17" s="34"/>
      <c r="ZQ17" s="34"/>
      <c r="ZR17" s="34"/>
      <c r="ZS17" s="34"/>
      <c r="ZT17" s="34"/>
      <c r="ZU17" s="34"/>
      <c r="ZV17" s="34"/>
      <c r="ZW17" s="34"/>
      <c r="ZX17" s="34"/>
      <c r="ZY17" s="34"/>
      <c r="ZZ17" s="34"/>
      <c r="AAA17" s="34"/>
      <c r="AAB17" s="34"/>
      <c r="AAC17" s="34"/>
      <c r="AAD17" s="34"/>
      <c r="AAE17" s="34"/>
      <c r="AAF17" s="34"/>
      <c r="AAG17" s="34"/>
      <c r="AAH17" s="34"/>
      <c r="AAI17" s="34"/>
      <c r="AAJ17" s="34"/>
      <c r="AAK17" s="34"/>
      <c r="AAL17" s="34"/>
      <c r="AAM17" s="34"/>
      <c r="AAN17" s="34"/>
      <c r="AAO17" s="34"/>
      <c r="AAP17" s="34"/>
      <c r="AAQ17" s="34"/>
      <c r="AAR17" s="34"/>
      <c r="AAS17" s="34"/>
      <c r="AAT17" s="34"/>
      <c r="AAU17" s="34"/>
      <c r="AAV17" s="34"/>
      <c r="AAW17" s="34"/>
      <c r="AAX17" s="34"/>
      <c r="AAY17" s="34"/>
      <c r="AAZ17" s="34"/>
      <c r="ABA17" s="34"/>
      <c r="ABB17" s="34"/>
      <c r="ABC17" s="34"/>
      <c r="ABD17" s="34"/>
      <c r="ABE17" s="34"/>
      <c r="ABF17" s="34"/>
      <c r="ABG17" s="34"/>
      <c r="ABH17" s="34"/>
      <c r="ABI17" s="34"/>
      <c r="ABJ17" s="34"/>
      <c r="ABK17" s="34"/>
      <c r="ABL17" s="34"/>
      <c r="ABM17" s="34"/>
      <c r="ABN17" s="34"/>
      <c r="ABO17" s="34"/>
      <c r="ABP17" s="34"/>
      <c r="ABQ17" s="34"/>
      <c r="ABR17" s="34"/>
      <c r="ABS17" s="34"/>
      <c r="ABT17" s="34"/>
      <c r="ABU17" s="34"/>
      <c r="ABV17" s="34"/>
      <c r="ABW17" s="34"/>
      <c r="ABX17" s="34"/>
      <c r="ABY17" s="34"/>
      <c r="ABZ17" s="34"/>
      <c r="ACA17" s="34"/>
      <c r="ACB17" s="34"/>
      <c r="ACC17" s="34"/>
      <c r="ACD17" s="34"/>
      <c r="ACE17" s="34"/>
      <c r="ACF17" s="34"/>
      <c r="ACG17" s="34"/>
      <c r="ACH17" s="34"/>
      <c r="ACI17" s="34"/>
      <c r="ACJ17" s="34"/>
      <c r="ACK17" s="34"/>
      <c r="ACL17" s="34"/>
      <c r="ACM17" s="34"/>
      <c r="ACN17" s="34"/>
      <c r="ACO17" s="34"/>
      <c r="ACP17" s="34"/>
      <c r="ACQ17" s="34"/>
      <c r="ACR17" s="34"/>
      <c r="ACS17" s="34"/>
      <c r="ACT17" s="34"/>
      <c r="ACU17" s="34"/>
      <c r="ACV17" s="34"/>
      <c r="ACW17" s="34"/>
      <c r="ACX17" s="34"/>
      <c r="ACY17" s="34"/>
      <c r="ACZ17" s="34"/>
      <c r="ADA17" s="34"/>
      <c r="ADB17" s="34"/>
      <c r="ADC17" s="34"/>
      <c r="ADD17" s="34"/>
      <c r="ADE17" s="34"/>
      <c r="ADF17" s="34"/>
      <c r="ADG17" s="34"/>
      <c r="ADH17" s="34"/>
      <c r="ADI17" s="34"/>
      <c r="ADJ17" s="34"/>
      <c r="ADK17" s="34"/>
      <c r="ADL17" s="34"/>
      <c r="ADM17" s="34"/>
      <c r="ADN17" s="34"/>
      <c r="ADO17" s="34"/>
      <c r="ADP17" s="34"/>
      <c r="ADQ17" s="34"/>
      <c r="ADR17" s="34"/>
      <c r="ADS17" s="34"/>
      <c r="ADT17" s="34"/>
      <c r="ADU17" s="34"/>
      <c r="ADV17" s="34"/>
      <c r="ADW17" s="34"/>
      <c r="ADX17" s="34"/>
      <c r="ADY17" s="34"/>
      <c r="ADZ17" s="34"/>
      <c r="AEA17" s="34"/>
      <c r="AEB17" s="34"/>
      <c r="AEC17" s="34"/>
      <c r="AED17" s="34"/>
      <c r="AEE17" s="34"/>
      <c r="AEF17" s="34"/>
      <c r="AEG17" s="34"/>
      <c r="AEH17" s="34"/>
      <c r="AEI17" s="34"/>
      <c r="AEJ17" s="34"/>
      <c r="AEK17" s="34"/>
      <c r="AEL17" s="34"/>
      <c r="AEM17" s="34"/>
      <c r="AEN17" s="34"/>
      <c r="AEO17" s="34"/>
      <c r="AEP17" s="34"/>
      <c r="AEQ17" s="34"/>
      <c r="AER17" s="34"/>
      <c r="AES17" s="34"/>
      <c r="AET17" s="34"/>
      <c r="AEU17" s="34"/>
      <c r="AEV17" s="34"/>
      <c r="AEW17" s="34"/>
      <c r="AEX17" s="34"/>
      <c r="AEY17" s="34"/>
      <c r="AEZ17" s="34"/>
      <c r="AFA17" s="34"/>
      <c r="AFB17" s="34"/>
      <c r="AFC17" s="34"/>
      <c r="AFD17" s="34"/>
      <c r="AFE17" s="34"/>
      <c r="AFF17" s="34"/>
      <c r="AFG17" s="34"/>
      <c r="AFH17" s="34"/>
      <c r="AFI17" s="34"/>
      <c r="AFJ17" s="34"/>
      <c r="AFK17" s="34"/>
      <c r="AFL17" s="34"/>
      <c r="AFM17" s="34"/>
      <c r="AFN17" s="34"/>
      <c r="AFO17" s="34"/>
      <c r="AFP17" s="34"/>
      <c r="AFQ17" s="34"/>
      <c r="AFR17" s="34"/>
      <c r="AFS17" s="34"/>
      <c r="AFT17" s="34"/>
      <c r="AFU17" s="34"/>
      <c r="AFV17" s="34"/>
      <c r="AFW17" s="34"/>
      <c r="AFX17" s="34"/>
      <c r="AFY17" s="34"/>
      <c r="AFZ17" s="34"/>
      <c r="AGA17" s="34"/>
      <c r="AGB17" s="34"/>
      <c r="AGC17" s="34"/>
      <c r="AGD17" s="34"/>
      <c r="AGE17" s="34"/>
      <c r="AGF17" s="34"/>
      <c r="AGG17" s="34"/>
      <c r="AGH17" s="34"/>
      <c r="AGI17" s="34"/>
      <c r="AGJ17" s="34"/>
      <c r="AGK17" s="34"/>
      <c r="AGL17" s="34"/>
      <c r="AGM17" s="34"/>
      <c r="AGN17" s="34"/>
      <c r="AGO17" s="34"/>
      <c r="AGP17" s="34"/>
      <c r="AGQ17" s="34"/>
      <c r="AGR17" s="34"/>
      <c r="AGS17" s="34"/>
      <c r="AGT17" s="34"/>
      <c r="AGU17" s="34"/>
      <c r="AGV17" s="34"/>
      <c r="AGW17" s="34"/>
      <c r="AGX17" s="34"/>
      <c r="AGY17" s="34"/>
      <c r="AGZ17" s="34"/>
      <c r="AHA17" s="34"/>
      <c r="AHB17" s="34"/>
      <c r="AHC17" s="34"/>
      <c r="AHD17" s="34"/>
      <c r="AHE17" s="34"/>
      <c r="AHF17" s="34"/>
      <c r="AHG17" s="34"/>
      <c r="AHH17" s="34"/>
      <c r="AHI17" s="34"/>
      <c r="AHJ17" s="34"/>
      <c r="AHK17" s="34"/>
      <c r="AHL17" s="34"/>
      <c r="AHM17" s="34"/>
      <c r="AHN17" s="34"/>
      <c r="AHO17" s="34"/>
      <c r="AHP17" s="34"/>
      <c r="AHQ17" s="34"/>
      <c r="AHR17" s="34"/>
      <c r="AHS17" s="34"/>
      <c r="AHT17" s="34"/>
      <c r="AHU17" s="34"/>
      <c r="AHV17" s="34"/>
      <c r="AHW17" s="34"/>
      <c r="AHX17" s="34"/>
      <c r="AHY17" s="34"/>
      <c r="AHZ17" s="34"/>
      <c r="AIA17" s="34"/>
      <c r="AIB17" s="34"/>
      <c r="AIC17" s="34"/>
      <c r="AID17" s="34"/>
      <c r="AIE17" s="34"/>
      <c r="AIF17" s="34"/>
      <c r="AIG17" s="34"/>
      <c r="AIH17" s="34"/>
      <c r="AII17" s="34"/>
      <c r="AIJ17" s="34"/>
      <c r="AIK17" s="34"/>
      <c r="AIL17" s="34"/>
      <c r="AIM17" s="34"/>
      <c r="AIN17" s="34"/>
      <c r="AIO17" s="34"/>
      <c r="AIP17" s="34"/>
      <c r="AIQ17" s="34"/>
      <c r="AIR17" s="34"/>
      <c r="AIS17" s="34"/>
      <c r="AIT17" s="34"/>
      <c r="AIU17" s="34"/>
      <c r="AIV17" s="34"/>
      <c r="AIW17" s="34"/>
      <c r="AIX17" s="34"/>
      <c r="AIY17" s="34"/>
      <c r="AIZ17" s="34"/>
      <c r="AJA17" s="34"/>
      <c r="AJB17" s="34"/>
      <c r="AJC17" s="34"/>
      <c r="AJD17" s="34"/>
      <c r="AJE17" s="34"/>
      <c r="AJF17" s="34"/>
      <c r="AJG17" s="34"/>
      <c r="AJH17" s="34"/>
      <c r="AJI17" s="34"/>
      <c r="AJJ17" s="34"/>
      <c r="AJK17" s="34"/>
      <c r="AJL17" s="34"/>
      <c r="AJM17" s="34"/>
      <c r="AJN17" s="34"/>
      <c r="AJO17" s="34"/>
      <c r="AJP17" s="34"/>
      <c r="AJQ17" s="34"/>
      <c r="AJR17" s="34"/>
      <c r="AJS17" s="34"/>
      <c r="AJT17" s="34"/>
      <c r="AJU17" s="34"/>
      <c r="AJV17" s="34"/>
      <c r="AJW17" s="34"/>
      <c r="AJX17" s="34"/>
      <c r="AJY17" s="34"/>
      <c r="AJZ17" s="34"/>
      <c r="AKA17" s="34"/>
      <c r="AKB17" s="34"/>
      <c r="AKC17" s="34"/>
      <c r="AKD17" s="34"/>
      <c r="AKE17" s="34"/>
      <c r="AKF17" s="34"/>
      <c r="AKG17" s="34"/>
      <c r="AKH17" s="34"/>
      <c r="AKI17" s="34"/>
      <c r="AKJ17" s="34"/>
      <c r="AKK17" s="34"/>
      <c r="AKL17" s="34"/>
      <c r="AKM17" s="34"/>
      <c r="AKN17" s="34"/>
      <c r="AKO17" s="34"/>
      <c r="AKP17" s="34"/>
      <c r="AKQ17" s="34"/>
      <c r="AKR17" s="34"/>
      <c r="AKS17" s="34"/>
      <c r="AKT17" s="34"/>
      <c r="AKU17" s="34"/>
      <c r="AKV17" s="34"/>
      <c r="AKW17" s="34"/>
      <c r="AKX17" s="34"/>
      <c r="AKY17" s="34"/>
      <c r="AKZ17" s="34"/>
      <c r="ALA17" s="34"/>
      <c r="ALB17" s="34"/>
      <c r="ALC17" s="34"/>
      <c r="ALD17" s="34"/>
      <c r="ALE17" s="34"/>
      <c r="ALF17" s="34"/>
      <c r="ALG17" s="34"/>
      <c r="ALH17" s="34"/>
      <c r="ALI17" s="34"/>
      <c r="ALJ17" s="34"/>
      <c r="ALK17" s="34"/>
      <c r="ALL17" s="34"/>
      <c r="ALM17" s="34"/>
      <c r="ALN17" s="34"/>
      <c r="ALO17" s="34"/>
      <c r="ALP17" s="34"/>
      <c r="ALQ17" s="34"/>
      <c r="ALR17" s="34"/>
      <c r="ALS17" s="34"/>
      <c r="ALT17" s="34"/>
      <c r="ALU17" s="34"/>
      <c r="ALV17" s="34"/>
      <c r="ALW17" s="34"/>
      <c r="ALX17" s="34"/>
      <c r="ALY17" s="34"/>
      <c r="ALZ17" s="34"/>
      <c r="AMA17" s="34"/>
      <c r="AMB17" s="34"/>
      <c r="AMC17" s="34"/>
      <c r="AMD17" s="34"/>
      <c r="AME17" s="34"/>
      <c r="AMF17" s="34"/>
      <c r="AMG17" s="34"/>
      <c r="AMH17" s="34"/>
      <c r="AMI17" s="34"/>
      <c r="AMJ17" s="34"/>
      <c r="AMK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41</v>
      </c>
      <c r="B6" s="31"/>
      <c r="C6" s="38" t="s">
        <v>24</v>
      </c>
      <c r="D6" s="39">
        <v>1100.0</v>
      </c>
      <c r="E6" s="38" t="s">
        <v>26</v>
      </c>
      <c r="F6" s="38" t="s">
        <v>69</v>
      </c>
      <c r="G6" s="38"/>
      <c r="H6" s="38" t="s">
        <v>70</v>
      </c>
      <c r="I6" s="38"/>
      <c r="J6" s="38"/>
      <c r="K6" s="38"/>
      <c r="L6" s="38"/>
      <c r="M6" s="38"/>
      <c r="N6" s="38"/>
      <c r="O6" s="38" t="s">
        <v>49</v>
      </c>
      <c r="P6" s="42">
        <v>120.0</v>
      </c>
      <c r="Q6" s="34"/>
      <c r="R6" s="34" t="s">
        <v>71</v>
      </c>
      <c r="S6" s="34" t="s">
        <v>55</v>
      </c>
      <c r="T6" s="34" t="s">
        <v>44</v>
      </c>
      <c r="U6" s="34" t="s">
        <v>57</v>
      </c>
      <c r="V6" s="34" t="s">
        <v>52</v>
      </c>
      <c r="W6" s="34" t="s">
        <v>50</v>
      </c>
      <c r="X6" s="42">
        <v>1.0</v>
      </c>
      <c r="Y6" s="42">
        <v>1.0</v>
      </c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42">
        <v>1.0</v>
      </c>
      <c r="AM6" s="42">
        <v>1.0</v>
      </c>
      <c r="AN6" s="34" t="s">
        <v>25</v>
      </c>
      <c r="AO6" s="34"/>
      <c r="AP6" s="34" t="s">
        <v>70</v>
      </c>
      <c r="AQ6" s="34" t="s">
        <v>24</v>
      </c>
      <c r="AR6" s="34"/>
      <c r="AS6" s="34"/>
      <c r="AT6" s="34" t="s">
        <v>51</v>
      </c>
      <c r="AU6" s="34" t="s">
        <v>72</v>
      </c>
      <c r="AV6" s="42">
        <v>1.0</v>
      </c>
      <c r="AW6" s="34"/>
      <c r="AX6" s="34"/>
      <c r="AY6" s="34"/>
      <c r="AZ6" s="34"/>
      <c r="BA6" s="34"/>
      <c r="BB6" s="34"/>
      <c r="BC6" s="42">
        <v>1.0</v>
      </c>
      <c r="BD6" s="34"/>
      <c r="BE6" s="34" t="s">
        <v>44</v>
      </c>
      <c r="BF6" s="34" t="s">
        <v>73</v>
      </c>
      <c r="BG6" s="34" t="s">
        <v>74</v>
      </c>
      <c r="BH6" s="34" t="s">
        <v>75</v>
      </c>
      <c r="BI6" s="42">
        <v>5.0</v>
      </c>
      <c r="BJ6" s="34"/>
      <c r="BK6" s="34"/>
      <c r="BL6" s="34"/>
      <c r="BM6" s="34"/>
      <c r="BN6" s="34"/>
      <c r="BO6" s="34"/>
      <c r="BP6" s="34"/>
      <c r="BQ6" s="34" t="s">
        <v>76</v>
      </c>
      <c r="BR6" s="34" t="s">
        <v>47</v>
      </c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44" t="b">
        <v>0</v>
      </c>
      <c r="CL6" s="34"/>
      <c r="CM6" s="34"/>
      <c r="CN6" s="34" t="s">
        <v>24</v>
      </c>
      <c r="CO6" s="34" t="s">
        <v>24</v>
      </c>
      <c r="CP6" s="43" t="s">
        <v>45</v>
      </c>
      <c r="CQ6" s="34"/>
      <c r="CR6" s="34"/>
      <c r="CS6" s="34"/>
      <c r="CT6" s="34"/>
      <c r="CU6" s="34"/>
      <c r="CV6" s="34"/>
      <c r="CW6" s="34"/>
      <c r="CX6" s="34"/>
      <c r="CY6" s="34" t="s">
        <v>77</v>
      </c>
      <c r="CZ6" s="34" t="s">
        <v>78</v>
      </c>
      <c r="DA6" s="34"/>
      <c r="DB6" s="34"/>
      <c r="DC6" s="34"/>
      <c r="DD6" s="34"/>
      <c r="DE6" s="34"/>
      <c r="DF6" s="34"/>
      <c r="DG6" s="34"/>
      <c r="DH6" s="42">
        <v>120.0</v>
      </c>
      <c r="DI6" s="34"/>
      <c r="DJ6" s="34"/>
      <c r="DK6" s="34"/>
      <c r="DL6" s="34"/>
      <c r="DM6" s="42">
        <v>1.0</v>
      </c>
      <c r="DN6" s="34"/>
      <c r="DO6" s="34"/>
      <c r="DP6" s="34" t="s">
        <v>70</v>
      </c>
      <c r="DQ6" s="34" t="s">
        <v>79</v>
      </c>
      <c r="DR6" s="34" t="s">
        <v>80</v>
      </c>
      <c r="DS6" s="34" t="s">
        <v>79</v>
      </c>
      <c r="DT6" s="34" t="s">
        <v>79</v>
      </c>
      <c r="DU6" s="34" t="s">
        <v>81</v>
      </c>
      <c r="DV6" s="34" t="s">
        <v>79</v>
      </c>
      <c r="DW6" s="34" t="s">
        <v>79</v>
      </c>
      <c r="DX6" s="34" t="s">
        <v>79</v>
      </c>
      <c r="DY6" s="34" t="s">
        <v>79</v>
      </c>
      <c r="DZ6" s="34" t="s">
        <v>49</v>
      </c>
      <c r="EA6" s="34" t="s">
        <v>81</v>
      </c>
      <c r="EB6" s="34" t="s">
        <v>79</v>
      </c>
      <c r="EC6" s="34" t="s">
        <v>79</v>
      </c>
      <c r="ED6" s="34" t="s">
        <v>50</v>
      </c>
      <c r="EE6" s="34" t="s">
        <v>82</v>
      </c>
      <c r="EF6" s="34"/>
      <c r="EG6" s="34"/>
      <c r="EH6" s="34"/>
      <c r="EI6" s="34"/>
      <c r="EJ6" s="34"/>
      <c r="EK6" s="34"/>
      <c r="EL6" s="34" t="s">
        <v>70</v>
      </c>
      <c r="EM6" s="34"/>
      <c r="EN6" s="34"/>
      <c r="EO6" s="34"/>
      <c r="EP6" s="34"/>
      <c r="EQ6" s="34"/>
      <c r="ER6" s="34"/>
      <c r="ES6" s="34"/>
      <c r="ET6" s="34"/>
      <c r="EU6" s="34"/>
      <c r="EV6" s="34" t="s">
        <v>70</v>
      </c>
      <c r="EW6" s="34"/>
      <c r="EX6" s="44" t="b">
        <v>0</v>
      </c>
      <c r="EY6" s="34"/>
      <c r="EZ6" s="34"/>
      <c r="FA6" s="34" t="s">
        <v>41</v>
      </c>
      <c r="FB6" s="34" t="s">
        <v>41</v>
      </c>
      <c r="FC6" s="34" t="s">
        <v>41</v>
      </c>
      <c r="FD6" s="34"/>
      <c r="FE6" s="34" t="s">
        <v>41</v>
      </c>
      <c r="FF6" s="34" t="s">
        <v>41</v>
      </c>
      <c r="FG6" s="34"/>
      <c r="FH6" s="34" t="s">
        <v>41</v>
      </c>
      <c r="FI6" s="34" t="s">
        <v>41</v>
      </c>
      <c r="FJ6" s="34" t="s">
        <v>41</v>
      </c>
      <c r="FK6" s="34" t="s">
        <v>41</v>
      </c>
      <c r="FL6" s="34" t="s">
        <v>41</v>
      </c>
      <c r="FM6" s="34" t="s">
        <v>41</v>
      </c>
      <c r="FN6" s="34" t="s">
        <v>41</v>
      </c>
      <c r="FO6" s="34" t="s">
        <v>41</v>
      </c>
      <c r="FP6" s="34" t="s">
        <v>41</v>
      </c>
      <c r="FQ6" s="34" t="s">
        <v>41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8" t="s">
        <v>41</v>
      </c>
      <c r="B7" s="38"/>
      <c r="C7" s="38" t="s">
        <v>24</v>
      </c>
      <c r="D7" s="40">
        <v>-50.0</v>
      </c>
      <c r="E7" s="38" t="s">
        <v>26</v>
      </c>
      <c r="F7" s="38" t="s">
        <v>69</v>
      </c>
      <c r="G7" s="38"/>
      <c r="H7" s="38" t="s">
        <v>70</v>
      </c>
      <c r="I7" s="38"/>
      <c r="J7" s="38"/>
      <c r="K7" s="38"/>
      <c r="L7" s="38"/>
      <c r="M7" s="38"/>
      <c r="N7" s="38"/>
      <c r="O7" s="38" t="s">
        <v>49</v>
      </c>
      <c r="P7" s="42">
        <v>120.0</v>
      </c>
      <c r="Q7" s="34"/>
      <c r="R7" s="34" t="s">
        <v>71</v>
      </c>
      <c r="S7" s="34" t="s">
        <v>55</v>
      </c>
      <c r="T7" s="34" t="s">
        <v>44</v>
      </c>
      <c r="U7" s="34" t="s">
        <v>57</v>
      </c>
      <c r="V7" s="34" t="s">
        <v>52</v>
      </c>
      <c r="W7" s="34" t="s">
        <v>50</v>
      </c>
      <c r="X7" s="42">
        <v>1.0</v>
      </c>
      <c r="Y7" s="42">
        <v>1.0</v>
      </c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42">
        <v>1.0</v>
      </c>
      <c r="AM7" s="42">
        <v>1.0</v>
      </c>
      <c r="AN7" s="34" t="s">
        <v>27</v>
      </c>
      <c r="AO7" s="34"/>
      <c r="AP7" s="34" t="s">
        <v>83</v>
      </c>
      <c r="AQ7" s="34" t="s">
        <v>24</v>
      </c>
      <c r="AR7" s="34"/>
      <c r="AS7" s="34"/>
      <c r="AT7" s="34" t="s">
        <v>51</v>
      </c>
      <c r="AU7" s="34" t="s">
        <v>72</v>
      </c>
      <c r="AV7" s="42">
        <v>1.0</v>
      </c>
      <c r="AW7" s="34"/>
      <c r="AX7" s="34"/>
      <c r="AY7" s="34"/>
      <c r="AZ7" s="34"/>
      <c r="BA7" s="34"/>
      <c r="BB7" s="34"/>
      <c r="BC7" s="42">
        <v>1.0</v>
      </c>
      <c r="BD7" s="34"/>
      <c r="BE7" s="34" t="s">
        <v>44</v>
      </c>
      <c r="BF7" s="34" t="s">
        <v>73</v>
      </c>
      <c r="BG7" s="34" t="s">
        <v>74</v>
      </c>
      <c r="BH7" s="34" t="s">
        <v>75</v>
      </c>
      <c r="BI7" s="42">
        <v>5.0</v>
      </c>
      <c r="BJ7" s="34"/>
      <c r="BK7" s="34"/>
      <c r="BL7" s="34"/>
      <c r="BM7" s="34"/>
      <c r="BN7" s="34"/>
      <c r="BO7" s="34"/>
      <c r="BP7" s="34"/>
      <c r="BQ7" s="34" t="s">
        <v>76</v>
      </c>
      <c r="BR7" s="34" t="s">
        <v>47</v>
      </c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44" t="b">
        <v>0</v>
      </c>
      <c r="CL7" s="34"/>
      <c r="CM7" s="34"/>
      <c r="CN7" s="34" t="s">
        <v>24</v>
      </c>
      <c r="CO7" s="34" t="s">
        <v>24</v>
      </c>
      <c r="CP7" s="43" t="s">
        <v>45</v>
      </c>
      <c r="CQ7" s="34"/>
      <c r="CR7" s="34"/>
      <c r="CS7" s="34"/>
      <c r="CT7" s="34"/>
      <c r="CU7" s="34"/>
      <c r="CV7" s="34"/>
      <c r="CW7" s="34"/>
      <c r="CX7" s="34"/>
      <c r="CY7" s="34" t="s">
        <v>77</v>
      </c>
      <c r="CZ7" s="34" t="s">
        <v>78</v>
      </c>
      <c r="DA7" s="34"/>
      <c r="DB7" s="34"/>
      <c r="DC7" s="34"/>
      <c r="DD7" s="34"/>
      <c r="DE7" s="34"/>
      <c r="DF7" s="34"/>
      <c r="DG7" s="34"/>
      <c r="DH7" s="42">
        <v>120.0</v>
      </c>
      <c r="DI7" s="34"/>
      <c r="DJ7" s="34"/>
      <c r="DK7" s="34"/>
      <c r="DL7" s="34"/>
      <c r="DM7" s="42">
        <v>1.0</v>
      </c>
      <c r="DN7" s="34"/>
      <c r="DO7" s="34"/>
      <c r="DP7" s="34" t="s">
        <v>83</v>
      </c>
      <c r="DQ7" s="34" t="s">
        <v>79</v>
      </c>
      <c r="DR7" s="34" t="s">
        <v>80</v>
      </c>
      <c r="DS7" s="34" t="s">
        <v>79</v>
      </c>
      <c r="DT7" s="34" t="s">
        <v>79</v>
      </c>
      <c r="DU7" s="34" t="s">
        <v>81</v>
      </c>
      <c r="DV7" s="34" t="s">
        <v>79</v>
      </c>
      <c r="DW7" s="34" t="s">
        <v>79</v>
      </c>
      <c r="DX7" s="34" t="s">
        <v>79</v>
      </c>
      <c r="DY7" s="34" t="s">
        <v>79</v>
      </c>
      <c r="DZ7" s="34" t="s">
        <v>49</v>
      </c>
      <c r="EA7" s="34" t="s">
        <v>81</v>
      </c>
      <c r="EB7" s="34" t="s">
        <v>79</v>
      </c>
      <c r="EC7" s="34" t="s">
        <v>79</v>
      </c>
      <c r="ED7" s="34" t="s">
        <v>50</v>
      </c>
      <c r="EE7" s="34" t="s">
        <v>82</v>
      </c>
      <c r="EF7" s="34"/>
      <c r="EG7" s="34"/>
      <c r="EH7" s="34"/>
      <c r="EI7" s="34"/>
      <c r="EJ7" s="34"/>
      <c r="EK7" s="34"/>
      <c r="EL7" s="34" t="s">
        <v>70</v>
      </c>
      <c r="EM7" s="34"/>
      <c r="EN7" s="34"/>
      <c r="EO7" s="34"/>
      <c r="EP7" s="34"/>
      <c r="EQ7" s="34"/>
      <c r="ER7" s="34"/>
      <c r="ES7" s="34"/>
      <c r="ET7" s="34"/>
      <c r="EU7" s="34"/>
      <c r="EV7" s="34" t="s">
        <v>70</v>
      </c>
      <c r="EW7" s="34"/>
      <c r="EX7" s="44" t="b">
        <v>0</v>
      </c>
      <c r="EY7" s="34"/>
      <c r="EZ7" s="34"/>
      <c r="FA7" s="34" t="s">
        <v>41</v>
      </c>
      <c r="FB7" s="34" t="s">
        <v>41</v>
      </c>
      <c r="FC7" s="34" t="s">
        <v>41</v>
      </c>
      <c r="FD7" s="34"/>
      <c r="FE7" s="34" t="s">
        <v>41</v>
      </c>
      <c r="FF7" s="34" t="s">
        <v>41</v>
      </c>
      <c r="FG7" s="34"/>
      <c r="FH7" s="34" t="s">
        <v>41</v>
      </c>
      <c r="FI7" s="34" t="s">
        <v>41</v>
      </c>
      <c r="FJ7" s="34" t="s">
        <v>41</v>
      </c>
      <c r="FK7" s="34" t="s">
        <v>41</v>
      </c>
      <c r="FL7" s="34" t="s">
        <v>41</v>
      </c>
      <c r="FM7" s="34" t="s">
        <v>41</v>
      </c>
      <c r="FN7" s="34" t="s">
        <v>41</v>
      </c>
      <c r="FO7" s="34" t="s">
        <v>41</v>
      </c>
      <c r="FP7" s="34" t="s">
        <v>41</v>
      </c>
      <c r="FQ7" s="34" t="s">
        <v>41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8" t="s">
        <v>41</v>
      </c>
      <c r="B8" s="38"/>
      <c r="C8" s="38" t="s">
        <v>24</v>
      </c>
      <c r="D8" s="40">
        <v>1000.0</v>
      </c>
      <c r="E8" s="38" t="s">
        <v>26</v>
      </c>
      <c r="F8" s="38" t="s">
        <v>69</v>
      </c>
      <c r="G8" s="38"/>
      <c r="H8" s="38" t="s">
        <v>70</v>
      </c>
      <c r="I8" s="38"/>
      <c r="J8" s="38"/>
      <c r="K8" s="38"/>
      <c r="L8" s="38"/>
      <c r="M8" s="38"/>
      <c r="N8" s="38"/>
      <c r="O8" s="38" t="s">
        <v>49</v>
      </c>
      <c r="P8" s="42">
        <v>120.0</v>
      </c>
      <c r="Q8" s="34"/>
      <c r="R8" s="34" t="s">
        <v>71</v>
      </c>
      <c r="S8" s="34" t="s">
        <v>55</v>
      </c>
      <c r="T8" s="34" t="s">
        <v>44</v>
      </c>
      <c r="U8" s="34" t="s">
        <v>57</v>
      </c>
      <c r="V8" s="34" t="s">
        <v>52</v>
      </c>
      <c r="W8" s="34" t="s">
        <v>50</v>
      </c>
      <c r="X8" s="42">
        <v>1.0</v>
      </c>
      <c r="Y8" s="42">
        <v>1.0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42">
        <v>1.0</v>
      </c>
      <c r="AM8" s="42">
        <v>1.0</v>
      </c>
      <c r="AN8" s="34" t="s">
        <v>25</v>
      </c>
      <c r="AO8" s="34"/>
      <c r="AP8" s="34" t="s">
        <v>70</v>
      </c>
      <c r="AQ8" s="34" t="s">
        <v>24</v>
      </c>
      <c r="AR8" s="34"/>
      <c r="AS8" s="34"/>
      <c r="AT8" s="34"/>
      <c r="AU8" s="34"/>
      <c r="AV8" s="42">
        <v>1.0</v>
      </c>
      <c r="AW8" s="34"/>
      <c r="AX8" s="34"/>
      <c r="AY8" s="34"/>
      <c r="AZ8" s="34"/>
      <c r="BA8" s="34"/>
      <c r="BB8" s="34"/>
      <c r="BC8" s="42">
        <v>1.0</v>
      </c>
      <c r="BD8" s="34"/>
      <c r="BE8" s="34" t="s">
        <v>44</v>
      </c>
      <c r="BF8" s="34" t="s">
        <v>73</v>
      </c>
      <c r="BG8" s="34" t="s">
        <v>74</v>
      </c>
      <c r="BH8" s="34" t="s">
        <v>75</v>
      </c>
      <c r="BI8" s="42">
        <v>5.0</v>
      </c>
      <c r="BJ8" s="34"/>
      <c r="BK8" s="34"/>
      <c r="BL8" s="34"/>
      <c r="BM8" s="34"/>
      <c r="BN8" s="34"/>
      <c r="BO8" s="34"/>
      <c r="BP8" s="34"/>
      <c r="BQ8" s="34" t="s">
        <v>76</v>
      </c>
      <c r="BR8" s="34" t="s">
        <v>47</v>
      </c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44" t="b">
        <v>0</v>
      </c>
      <c r="CL8" s="34"/>
      <c r="CM8" s="34"/>
      <c r="CN8" s="34" t="s">
        <v>24</v>
      </c>
      <c r="CO8" s="34" t="s">
        <v>24</v>
      </c>
      <c r="CP8" s="43" t="s">
        <v>45</v>
      </c>
      <c r="CQ8" s="34"/>
      <c r="CR8" s="34"/>
      <c r="CS8" s="34"/>
      <c r="CT8" s="34"/>
      <c r="CU8" s="34"/>
      <c r="CV8" s="34"/>
      <c r="CW8" s="34"/>
      <c r="CX8" s="34"/>
      <c r="CY8" s="34" t="s">
        <v>77</v>
      </c>
      <c r="CZ8" s="34" t="s">
        <v>78</v>
      </c>
      <c r="DA8" s="34"/>
      <c r="DB8" s="34"/>
      <c r="DC8" s="34"/>
      <c r="DD8" s="34"/>
      <c r="DE8" s="34"/>
      <c r="DF8" s="34"/>
      <c r="DG8" s="34"/>
      <c r="DH8" s="42">
        <v>120.0</v>
      </c>
      <c r="DI8" s="34"/>
      <c r="DJ8" s="34"/>
      <c r="DK8" s="34"/>
      <c r="DL8" s="34"/>
      <c r="DM8" s="42">
        <v>1.0</v>
      </c>
      <c r="DN8" s="34"/>
      <c r="DO8" s="34"/>
      <c r="DP8" s="34" t="s">
        <v>70</v>
      </c>
      <c r="DQ8" s="34" t="s">
        <v>79</v>
      </c>
      <c r="DR8" s="34" t="s">
        <v>80</v>
      </c>
      <c r="DS8" s="34" t="s">
        <v>79</v>
      </c>
      <c r="DT8" s="34" t="s">
        <v>79</v>
      </c>
      <c r="DU8" s="34" t="s">
        <v>81</v>
      </c>
      <c r="DV8" s="34" t="s">
        <v>79</v>
      </c>
      <c r="DW8" s="34" t="s">
        <v>79</v>
      </c>
      <c r="DX8" s="34" t="s">
        <v>79</v>
      </c>
      <c r="DY8" s="34" t="s">
        <v>79</v>
      </c>
      <c r="DZ8" s="34" t="s">
        <v>49</v>
      </c>
      <c r="EA8" s="34" t="s">
        <v>81</v>
      </c>
      <c r="EB8" s="34" t="s">
        <v>79</v>
      </c>
      <c r="EC8" s="34" t="s">
        <v>79</v>
      </c>
      <c r="ED8" s="34" t="s">
        <v>50</v>
      </c>
      <c r="EE8" s="34" t="s">
        <v>82</v>
      </c>
      <c r="EF8" s="34"/>
      <c r="EG8" s="34"/>
      <c r="EH8" s="34"/>
      <c r="EI8" s="34"/>
      <c r="EJ8" s="34"/>
      <c r="EK8" s="34"/>
      <c r="EL8" s="34" t="s">
        <v>70</v>
      </c>
      <c r="EM8" s="34"/>
      <c r="EN8" s="34"/>
      <c r="EO8" s="34"/>
      <c r="EP8" s="34"/>
      <c r="EQ8" s="34"/>
      <c r="ER8" s="34"/>
      <c r="ES8" s="34"/>
      <c r="ET8" s="34"/>
      <c r="EU8" s="34"/>
      <c r="EV8" s="34" t="s">
        <v>70</v>
      </c>
      <c r="EW8" s="34"/>
      <c r="EX8" s="44" t="b">
        <v>0</v>
      </c>
      <c r="EY8" s="34"/>
      <c r="EZ8" s="34"/>
      <c r="FA8" s="34" t="s">
        <v>41</v>
      </c>
      <c r="FB8" s="34" t="s">
        <v>41</v>
      </c>
      <c r="FC8" s="34" t="s">
        <v>41</v>
      </c>
      <c r="FD8" s="34"/>
      <c r="FE8" s="34" t="s">
        <v>41</v>
      </c>
      <c r="FF8" s="34" t="s">
        <v>41</v>
      </c>
      <c r="FG8" s="34"/>
      <c r="FH8" s="34" t="s">
        <v>41</v>
      </c>
      <c r="FI8" s="34" t="s">
        <v>41</v>
      </c>
      <c r="FJ8" s="34" t="s">
        <v>41</v>
      </c>
      <c r="FK8" s="34" t="s">
        <v>41</v>
      </c>
      <c r="FL8" s="34" t="s">
        <v>41</v>
      </c>
      <c r="FM8" s="34" t="s">
        <v>41</v>
      </c>
      <c r="FN8" s="34" t="s">
        <v>41</v>
      </c>
      <c r="FO8" s="34" t="s">
        <v>41</v>
      </c>
      <c r="FP8" s="34" t="s">
        <v>41</v>
      </c>
      <c r="FQ8" s="34" t="s">
        <v>41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38" t="s">
        <v>41</v>
      </c>
      <c r="B9" s="38"/>
      <c r="C9" s="38" t="s">
        <v>24</v>
      </c>
      <c r="D9" s="40">
        <v>1000.0</v>
      </c>
      <c r="E9" s="38" t="s">
        <v>26</v>
      </c>
      <c r="F9" s="38" t="s">
        <v>69</v>
      </c>
      <c r="G9" s="38"/>
      <c r="H9" s="38" t="s">
        <v>70</v>
      </c>
      <c r="I9" s="38"/>
      <c r="J9" s="38"/>
      <c r="K9" s="38"/>
      <c r="L9" s="38"/>
      <c r="M9" s="38"/>
      <c r="N9" s="38"/>
      <c r="O9" s="38" t="s">
        <v>49</v>
      </c>
      <c r="P9" s="42">
        <v>120.0</v>
      </c>
      <c r="Q9" s="34"/>
      <c r="R9" s="34" t="s">
        <v>71</v>
      </c>
      <c r="S9" s="34" t="s">
        <v>55</v>
      </c>
      <c r="T9" s="34" t="s">
        <v>44</v>
      </c>
      <c r="U9" s="34" t="s">
        <v>57</v>
      </c>
      <c r="V9" s="34" t="s">
        <v>52</v>
      </c>
      <c r="W9" s="34" t="s">
        <v>50</v>
      </c>
      <c r="X9" s="42">
        <v>1.0</v>
      </c>
      <c r="Y9" s="42">
        <v>1.0</v>
      </c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42">
        <v>1.0</v>
      </c>
      <c r="AM9" s="42">
        <v>1.0</v>
      </c>
      <c r="AN9" s="34" t="s">
        <v>25</v>
      </c>
      <c r="AO9" s="34"/>
      <c r="AP9" s="34" t="s">
        <v>70</v>
      </c>
      <c r="AQ9" s="34" t="s">
        <v>24</v>
      </c>
      <c r="AR9" s="34"/>
      <c r="AS9" s="34"/>
      <c r="AT9" s="34"/>
      <c r="AU9" s="34"/>
      <c r="AV9" s="42">
        <v>1.0</v>
      </c>
      <c r="AW9" s="34"/>
      <c r="AX9" s="34"/>
      <c r="AY9" s="34"/>
      <c r="AZ9" s="34"/>
      <c r="BA9" s="34"/>
      <c r="BB9" s="34"/>
      <c r="BC9" s="42">
        <v>1.0</v>
      </c>
      <c r="BD9" s="34"/>
      <c r="BE9" s="34" t="s">
        <v>44</v>
      </c>
      <c r="BF9" s="34" t="s">
        <v>73</v>
      </c>
      <c r="BG9" s="34" t="s">
        <v>74</v>
      </c>
      <c r="BH9" s="34" t="s">
        <v>75</v>
      </c>
      <c r="BI9" s="42">
        <v>5.0</v>
      </c>
      <c r="BJ9" s="34"/>
      <c r="BK9" s="34"/>
      <c r="BL9" s="34"/>
      <c r="BM9" s="34"/>
      <c r="BN9" s="34"/>
      <c r="BO9" s="34"/>
      <c r="BP9" s="34"/>
      <c r="BQ9" s="34" t="s">
        <v>76</v>
      </c>
      <c r="BR9" s="34" t="s">
        <v>47</v>
      </c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44" t="b">
        <v>0</v>
      </c>
      <c r="CL9" s="34"/>
      <c r="CM9" s="34"/>
      <c r="CN9" s="34" t="s">
        <v>24</v>
      </c>
      <c r="CO9" s="34" t="s">
        <v>24</v>
      </c>
      <c r="CP9" s="43" t="s">
        <v>45</v>
      </c>
      <c r="CQ9" s="34"/>
      <c r="CR9" s="34"/>
      <c r="CS9" s="34"/>
      <c r="CT9" s="34"/>
      <c r="CU9" s="34"/>
      <c r="CV9" s="34"/>
      <c r="CW9" s="34"/>
      <c r="CX9" s="34"/>
      <c r="CY9" s="34" t="s">
        <v>77</v>
      </c>
      <c r="CZ9" s="34" t="s">
        <v>78</v>
      </c>
      <c r="DA9" s="34"/>
      <c r="DB9" s="34"/>
      <c r="DC9" s="34"/>
      <c r="DD9" s="34"/>
      <c r="DE9" s="34"/>
      <c r="DF9" s="34"/>
      <c r="DG9" s="34"/>
      <c r="DH9" s="42">
        <v>120.0</v>
      </c>
      <c r="DI9" s="34"/>
      <c r="DJ9" s="34"/>
      <c r="DK9" s="34"/>
      <c r="DL9" s="34"/>
      <c r="DM9" s="42">
        <v>1.0</v>
      </c>
      <c r="DN9" s="34"/>
      <c r="DO9" s="34"/>
      <c r="DP9" s="34" t="s">
        <v>70</v>
      </c>
      <c r="DQ9" s="34" t="s">
        <v>79</v>
      </c>
      <c r="DR9" s="34" t="s">
        <v>80</v>
      </c>
      <c r="DS9" s="34" t="s">
        <v>79</v>
      </c>
      <c r="DT9" s="34" t="s">
        <v>79</v>
      </c>
      <c r="DU9" s="34" t="s">
        <v>81</v>
      </c>
      <c r="DV9" s="34" t="s">
        <v>79</v>
      </c>
      <c r="DW9" s="34" t="s">
        <v>79</v>
      </c>
      <c r="DX9" s="34" t="s">
        <v>79</v>
      </c>
      <c r="DY9" s="34" t="s">
        <v>79</v>
      </c>
      <c r="DZ9" s="34" t="s">
        <v>49</v>
      </c>
      <c r="EA9" s="34" t="s">
        <v>81</v>
      </c>
      <c r="EB9" s="34" t="s">
        <v>79</v>
      </c>
      <c r="EC9" s="34" t="s">
        <v>79</v>
      </c>
      <c r="ED9" s="34" t="s">
        <v>50</v>
      </c>
      <c r="EE9" s="34" t="s">
        <v>82</v>
      </c>
      <c r="EF9" s="34"/>
      <c r="EG9" s="34"/>
      <c r="EH9" s="34"/>
      <c r="EI9" s="34"/>
      <c r="EJ9" s="34"/>
      <c r="EK9" s="34"/>
      <c r="EL9" s="34" t="s">
        <v>70</v>
      </c>
      <c r="EM9" s="34"/>
      <c r="EN9" s="34"/>
      <c r="EO9" s="34"/>
      <c r="EP9" s="34"/>
      <c r="EQ9" s="34"/>
      <c r="ER9" s="34"/>
      <c r="ES9" s="34"/>
      <c r="ET9" s="34"/>
      <c r="EU9" s="34"/>
      <c r="EV9" s="34" t="s">
        <v>70</v>
      </c>
      <c r="EW9" s="34"/>
      <c r="EX9" s="44" t="b">
        <v>0</v>
      </c>
      <c r="EY9" s="34"/>
      <c r="EZ9" s="34"/>
      <c r="FA9" s="34" t="s">
        <v>41</v>
      </c>
      <c r="FB9" s="34" t="s">
        <v>41</v>
      </c>
      <c r="FC9" s="34" t="s">
        <v>41</v>
      </c>
      <c r="FD9" s="34"/>
      <c r="FE9" s="34" t="s">
        <v>41</v>
      </c>
      <c r="FF9" s="34" t="s">
        <v>41</v>
      </c>
      <c r="FG9" s="34"/>
      <c r="FH9" s="34" t="s">
        <v>41</v>
      </c>
      <c r="FI9" s="34" t="s">
        <v>41</v>
      </c>
      <c r="FJ9" s="34" t="s">
        <v>41</v>
      </c>
      <c r="FK9" s="34" t="s">
        <v>41</v>
      </c>
      <c r="FL9" s="34" t="s">
        <v>41</v>
      </c>
      <c r="FM9" s="34" t="s">
        <v>41</v>
      </c>
      <c r="FN9" s="34" t="s">
        <v>41</v>
      </c>
      <c r="FO9" s="34" t="s">
        <v>41</v>
      </c>
      <c r="FP9" s="34" t="s">
        <v>41</v>
      </c>
      <c r="FQ9" s="34" t="s">
        <v>41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38" t="s">
        <v>41</v>
      </c>
      <c r="B10" s="38"/>
      <c r="C10" s="38" t="s">
        <v>24</v>
      </c>
      <c r="D10" s="40">
        <v>50.0</v>
      </c>
      <c r="E10" s="38" t="s">
        <v>26</v>
      </c>
      <c r="F10" s="38" t="s">
        <v>69</v>
      </c>
      <c r="G10" s="38"/>
      <c r="H10" s="38" t="s">
        <v>70</v>
      </c>
      <c r="I10" s="38"/>
      <c r="J10" s="38"/>
      <c r="K10" s="38"/>
      <c r="L10" s="38"/>
      <c r="M10" s="38"/>
      <c r="N10" s="38"/>
      <c r="O10" s="38" t="s">
        <v>49</v>
      </c>
      <c r="P10" s="42">
        <v>120.0</v>
      </c>
      <c r="Q10" s="34"/>
      <c r="R10" s="34" t="s">
        <v>71</v>
      </c>
      <c r="S10" s="34" t="s">
        <v>55</v>
      </c>
      <c r="T10" s="34" t="s">
        <v>44</v>
      </c>
      <c r="U10" s="34" t="s">
        <v>57</v>
      </c>
      <c r="V10" s="34" t="s">
        <v>52</v>
      </c>
      <c r="W10" s="34" t="s">
        <v>50</v>
      </c>
      <c r="X10" s="42">
        <v>1.0</v>
      </c>
      <c r="Y10" s="42">
        <v>1.0</v>
      </c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42">
        <v>1.0</v>
      </c>
      <c r="AM10" s="42">
        <v>1.0</v>
      </c>
      <c r="AN10" s="34" t="s">
        <v>65</v>
      </c>
      <c r="AO10" s="34"/>
      <c r="AP10" s="34" t="s">
        <v>83</v>
      </c>
      <c r="AQ10" s="34" t="s">
        <v>24</v>
      </c>
      <c r="AR10" s="34"/>
      <c r="AS10" s="34"/>
      <c r="AT10" s="34"/>
      <c r="AU10" s="34"/>
      <c r="AV10" s="42">
        <v>1.0</v>
      </c>
      <c r="AW10" s="34"/>
      <c r="AX10" s="34"/>
      <c r="AY10" s="34"/>
      <c r="AZ10" s="34"/>
      <c r="BA10" s="34"/>
      <c r="BB10" s="34"/>
      <c r="BC10" s="42">
        <v>1.0</v>
      </c>
      <c r="BD10" s="34"/>
      <c r="BE10" s="34" t="s">
        <v>44</v>
      </c>
      <c r="BF10" s="34" t="s">
        <v>73</v>
      </c>
      <c r="BG10" s="34" t="s">
        <v>74</v>
      </c>
      <c r="BH10" s="34" t="s">
        <v>75</v>
      </c>
      <c r="BI10" s="42">
        <v>5.0</v>
      </c>
      <c r="BJ10" s="34"/>
      <c r="BK10" s="34"/>
      <c r="BL10" s="34"/>
      <c r="BM10" s="34"/>
      <c r="BN10" s="34"/>
      <c r="BO10" s="34"/>
      <c r="BP10" s="34"/>
      <c r="BQ10" s="34" t="s">
        <v>76</v>
      </c>
      <c r="BR10" s="34" t="s">
        <v>47</v>
      </c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44" t="b">
        <v>0</v>
      </c>
      <c r="CL10" s="34"/>
      <c r="CM10" s="34"/>
      <c r="CN10" s="34" t="s">
        <v>24</v>
      </c>
      <c r="CO10" s="34" t="s">
        <v>24</v>
      </c>
      <c r="CP10" s="43" t="s">
        <v>45</v>
      </c>
      <c r="CQ10" s="34"/>
      <c r="CR10" s="34"/>
      <c r="CS10" s="34"/>
      <c r="CT10" s="34"/>
      <c r="CU10" s="34"/>
      <c r="CV10" s="34"/>
      <c r="CW10" s="34"/>
      <c r="CX10" s="34"/>
      <c r="CY10" s="34" t="s">
        <v>77</v>
      </c>
      <c r="CZ10" s="34" t="s">
        <v>78</v>
      </c>
      <c r="DA10" s="34"/>
      <c r="DB10" s="34"/>
      <c r="DC10" s="34"/>
      <c r="DD10" s="34"/>
      <c r="DE10" s="34"/>
      <c r="DF10" s="34"/>
      <c r="DG10" s="34"/>
      <c r="DH10" s="42">
        <v>120.0</v>
      </c>
      <c r="DI10" s="34"/>
      <c r="DJ10" s="34"/>
      <c r="DK10" s="34"/>
      <c r="DL10" s="34"/>
      <c r="DM10" s="42">
        <v>1.0</v>
      </c>
      <c r="DN10" s="34"/>
      <c r="DO10" s="34"/>
      <c r="DP10" s="34" t="s">
        <v>83</v>
      </c>
      <c r="DQ10" s="34" t="s">
        <v>79</v>
      </c>
      <c r="DR10" s="34" t="s">
        <v>80</v>
      </c>
      <c r="DS10" s="34" t="s">
        <v>79</v>
      </c>
      <c r="DT10" s="34" t="s">
        <v>79</v>
      </c>
      <c r="DU10" s="34" t="s">
        <v>81</v>
      </c>
      <c r="DV10" s="34" t="s">
        <v>79</v>
      </c>
      <c r="DW10" s="34" t="s">
        <v>79</v>
      </c>
      <c r="DX10" s="34" t="s">
        <v>79</v>
      </c>
      <c r="DY10" s="34" t="s">
        <v>79</v>
      </c>
      <c r="DZ10" s="34" t="s">
        <v>49</v>
      </c>
      <c r="EA10" s="34" t="s">
        <v>81</v>
      </c>
      <c r="EB10" s="34" t="s">
        <v>79</v>
      </c>
      <c r="EC10" s="34" t="s">
        <v>79</v>
      </c>
      <c r="ED10" s="34" t="s">
        <v>50</v>
      </c>
      <c r="EE10" s="34" t="s">
        <v>82</v>
      </c>
      <c r="EF10" s="34"/>
      <c r="EG10" s="34"/>
      <c r="EH10" s="34"/>
      <c r="EI10" s="34"/>
      <c r="EJ10" s="34"/>
      <c r="EK10" s="34"/>
      <c r="EL10" s="34" t="s">
        <v>70</v>
      </c>
      <c r="EM10" s="34"/>
      <c r="EN10" s="34"/>
      <c r="EO10" s="34"/>
      <c r="EP10" s="34"/>
      <c r="EQ10" s="34"/>
      <c r="ER10" s="34"/>
      <c r="ES10" s="34"/>
      <c r="ET10" s="34"/>
      <c r="EU10" s="34"/>
      <c r="EV10" s="34" t="s">
        <v>70</v>
      </c>
      <c r="EW10" s="34"/>
      <c r="EX10" s="44" t="b">
        <v>0</v>
      </c>
      <c r="EY10" s="34"/>
      <c r="EZ10" s="34"/>
      <c r="FA10" s="34" t="s">
        <v>41</v>
      </c>
      <c r="FB10" s="34" t="s">
        <v>41</v>
      </c>
      <c r="FC10" s="34" t="s">
        <v>41</v>
      </c>
      <c r="FD10" s="34"/>
      <c r="FE10" s="34" t="s">
        <v>41</v>
      </c>
      <c r="FF10" s="34" t="s">
        <v>41</v>
      </c>
      <c r="FG10" s="34"/>
      <c r="FH10" s="34" t="s">
        <v>41</v>
      </c>
      <c r="FI10" s="34" t="s">
        <v>41</v>
      </c>
      <c r="FJ10" s="34" t="s">
        <v>41</v>
      </c>
      <c r="FK10" s="34" t="s">
        <v>41</v>
      </c>
      <c r="FL10" s="34" t="s">
        <v>41</v>
      </c>
      <c r="FM10" s="34" t="s">
        <v>41</v>
      </c>
      <c r="FN10" s="34" t="s">
        <v>41</v>
      </c>
      <c r="FO10" s="34" t="s">
        <v>41</v>
      </c>
      <c r="FP10" s="34" t="s">
        <v>41</v>
      </c>
      <c r="FQ10" s="34" t="s">
        <v>41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38" t="s">
        <v>41</v>
      </c>
      <c r="B11" s="38"/>
      <c r="C11" s="38" t="s">
        <v>24</v>
      </c>
      <c r="D11" s="40">
        <v>950.0</v>
      </c>
      <c r="E11" s="38" t="s">
        <v>26</v>
      </c>
      <c r="F11" s="38" t="s">
        <v>69</v>
      </c>
      <c r="G11" s="38"/>
      <c r="H11" s="38" t="s">
        <v>70</v>
      </c>
      <c r="I11" s="38"/>
      <c r="J11" s="38"/>
      <c r="K11" s="38"/>
      <c r="L11" s="38"/>
      <c r="M11" s="38"/>
      <c r="N11" s="38"/>
      <c r="O11" s="38" t="s">
        <v>49</v>
      </c>
      <c r="P11" s="42">
        <v>120.0</v>
      </c>
      <c r="Q11" s="34"/>
      <c r="R11" s="34" t="s">
        <v>71</v>
      </c>
      <c r="S11" s="34" t="s">
        <v>55</v>
      </c>
      <c r="T11" s="34" t="s">
        <v>44</v>
      </c>
      <c r="U11" s="34" t="s">
        <v>57</v>
      </c>
      <c r="V11" s="34" t="s">
        <v>52</v>
      </c>
      <c r="W11" s="34" t="s">
        <v>50</v>
      </c>
      <c r="X11" s="42">
        <v>1.0</v>
      </c>
      <c r="Y11" s="42">
        <v>1.0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42">
        <v>1.0</v>
      </c>
      <c r="AM11" s="42">
        <v>1.0</v>
      </c>
      <c r="AN11" s="34" t="s">
        <v>25</v>
      </c>
      <c r="AO11" s="34"/>
      <c r="AP11" s="34" t="s">
        <v>70</v>
      </c>
      <c r="AQ11" s="34" t="s">
        <v>24</v>
      </c>
      <c r="AR11" s="34"/>
      <c r="AS11" s="34"/>
      <c r="AT11" s="34"/>
      <c r="AU11" s="34"/>
      <c r="AV11" s="42">
        <v>1.0</v>
      </c>
      <c r="AW11" s="34"/>
      <c r="AX11" s="34"/>
      <c r="AY11" s="34"/>
      <c r="AZ11" s="34"/>
      <c r="BA11" s="34"/>
      <c r="BB11" s="34"/>
      <c r="BC11" s="42">
        <v>1.0</v>
      </c>
      <c r="BD11" s="34"/>
      <c r="BE11" s="34" t="s">
        <v>44</v>
      </c>
      <c r="BF11" s="34" t="s">
        <v>73</v>
      </c>
      <c r="BG11" s="34" t="s">
        <v>74</v>
      </c>
      <c r="BH11" s="34" t="s">
        <v>75</v>
      </c>
      <c r="BI11" s="42">
        <v>5.0</v>
      </c>
      <c r="BJ11" s="34"/>
      <c r="BK11" s="34"/>
      <c r="BL11" s="34"/>
      <c r="BM11" s="34"/>
      <c r="BN11" s="34"/>
      <c r="BO11" s="34"/>
      <c r="BP11" s="34"/>
      <c r="BQ11" s="34" t="s">
        <v>76</v>
      </c>
      <c r="BR11" s="34" t="s">
        <v>47</v>
      </c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44" t="b">
        <v>0</v>
      </c>
      <c r="CL11" s="34"/>
      <c r="CM11" s="34"/>
      <c r="CN11" s="34" t="s">
        <v>24</v>
      </c>
      <c r="CO11" s="34" t="s">
        <v>24</v>
      </c>
      <c r="CP11" s="43" t="s">
        <v>45</v>
      </c>
      <c r="CQ11" s="34"/>
      <c r="CR11" s="34"/>
      <c r="CS11" s="34"/>
      <c r="CT11" s="34"/>
      <c r="CU11" s="34"/>
      <c r="CV11" s="34"/>
      <c r="CW11" s="34"/>
      <c r="CX11" s="34"/>
      <c r="CY11" s="34" t="s">
        <v>77</v>
      </c>
      <c r="CZ11" s="34" t="s">
        <v>78</v>
      </c>
      <c r="DA11" s="34"/>
      <c r="DB11" s="34"/>
      <c r="DC11" s="34"/>
      <c r="DD11" s="34"/>
      <c r="DE11" s="34"/>
      <c r="DF11" s="34"/>
      <c r="DG11" s="34"/>
      <c r="DH11" s="42">
        <v>120.0</v>
      </c>
      <c r="DI11" s="34"/>
      <c r="DJ11" s="34"/>
      <c r="DK11" s="34"/>
      <c r="DL11" s="34"/>
      <c r="DM11" s="42">
        <v>1.0</v>
      </c>
      <c r="DN11" s="34"/>
      <c r="DO11" s="34"/>
      <c r="DP11" s="34" t="s">
        <v>70</v>
      </c>
      <c r="DQ11" s="34" t="s">
        <v>79</v>
      </c>
      <c r="DR11" s="34" t="s">
        <v>80</v>
      </c>
      <c r="DS11" s="34" t="s">
        <v>79</v>
      </c>
      <c r="DT11" s="34" t="s">
        <v>79</v>
      </c>
      <c r="DU11" s="34" t="s">
        <v>81</v>
      </c>
      <c r="DV11" s="34" t="s">
        <v>79</v>
      </c>
      <c r="DW11" s="34" t="s">
        <v>79</v>
      </c>
      <c r="DX11" s="34" t="s">
        <v>79</v>
      </c>
      <c r="DY11" s="34" t="s">
        <v>79</v>
      </c>
      <c r="DZ11" s="34" t="s">
        <v>49</v>
      </c>
      <c r="EA11" s="34" t="s">
        <v>81</v>
      </c>
      <c r="EB11" s="34" t="s">
        <v>79</v>
      </c>
      <c r="EC11" s="34" t="s">
        <v>79</v>
      </c>
      <c r="ED11" s="34" t="s">
        <v>50</v>
      </c>
      <c r="EE11" s="34" t="s">
        <v>82</v>
      </c>
      <c r="EF11" s="34"/>
      <c r="EG11" s="34"/>
      <c r="EH11" s="34"/>
      <c r="EI11" s="34"/>
      <c r="EJ11" s="34"/>
      <c r="EK11" s="34"/>
      <c r="EL11" s="34" t="s">
        <v>70</v>
      </c>
      <c r="EM11" s="34"/>
      <c r="EN11" s="34"/>
      <c r="EO11" s="34"/>
      <c r="EP11" s="34"/>
      <c r="EQ11" s="34"/>
      <c r="ER11" s="34"/>
      <c r="ES11" s="34"/>
      <c r="ET11" s="34"/>
      <c r="EU11" s="34"/>
      <c r="EV11" s="34" t="s">
        <v>70</v>
      </c>
      <c r="EW11" s="34"/>
      <c r="EX11" s="44" t="b">
        <v>0</v>
      </c>
      <c r="EY11" s="34"/>
      <c r="EZ11" s="34"/>
      <c r="FA11" s="34" t="s">
        <v>41</v>
      </c>
      <c r="FB11" s="34" t="s">
        <v>41</v>
      </c>
      <c r="FC11" s="34" t="s">
        <v>41</v>
      </c>
      <c r="FD11" s="34"/>
      <c r="FE11" s="34" t="s">
        <v>41</v>
      </c>
      <c r="FF11" s="34" t="s">
        <v>41</v>
      </c>
      <c r="FG11" s="34"/>
      <c r="FH11" s="34" t="s">
        <v>41</v>
      </c>
      <c r="FI11" s="34" t="s">
        <v>41</v>
      </c>
      <c r="FJ11" s="34" t="s">
        <v>41</v>
      </c>
      <c r="FK11" s="34" t="s">
        <v>41</v>
      </c>
      <c r="FL11" s="34" t="s">
        <v>41</v>
      </c>
      <c r="FM11" s="34" t="s">
        <v>41</v>
      </c>
      <c r="FN11" s="34" t="s">
        <v>41</v>
      </c>
      <c r="FO11" s="34" t="s">
        <v>41</v>
      </c>
      <c r="FP11" s="34" t="s">
        <v>41</v>
      </c>
      <c r="FQ11" s="34" t="s">
        <v>41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