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SelectTrade1" sheetId="9" r:id="rId11"/>
    <sheet state="visible" name="AcknowledgeTrade1" sheetId="10" r:id="rId12"/>
    <sheet state="visible" name="SelectAllocatedGroup" sheetId="11" r:id="rId13"/>
    <sheet state="visible" name="ReviewExistingPositions" sheetId="12" r:id="rId14"/>
    <sheet state="visible" name="CheckPortfolioManagement" sheetId="13" r:id="rId15"/>
    <sheet state="visible" name="ExecuteTrade" sheetId="14" r:id="rId16"/>
    <sheet state="visible" name="ExecuteTrade1" sheetId="15" r:id="rId17"/>
    <sheet state="visible" name="GetDataAllocation" sheetId="16" r:id="rId18"/>
  </sheets>
  <definedNames/>
  <calcPr/>
</workbook>
</file>

<file path=xl/sharedStrings.xml><?xml version="1.0" encoding="utf-8"?>
<sst xmlns="http://schemas.openxmlformats.org/spreadsheetml/2006/main" count="179" uniqueCount="44">
  <si>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</si>
  <si>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</si>
  <si>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</si>
  <si>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</si>
  <si>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</si>
  <si>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</si>
  <si>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</si>
  <si>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</si>
  <si>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</si>
  <si>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</si>
  <si>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</si>
  <si>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</si>
  <si>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</si>
  <si>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</si>
  <si>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</si>
  <si>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</si>
  <si>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</si>
  <si>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</si>
  <si>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</si>
  <si>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</si>
  <si>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</si>
  <si>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Yes</t>
  </si>
  <si>
    <t>CreateLiveOrder</t>
  </si>
  <si>
    <t>Sell</t>
  </si>
  <si>
    <t>Simulator</t>
  </si>
  <si>
    <t>SelectTrade</t>
  </si>
  <si>
    <t>AcknowledgeTrade</t>
  </si>
  <si>
    <t>SelectAllocatedGroup</t>
  </si>
  <si>
    <t>ReviewExistingPositions</t>
  </si>
  <si>
    <t>PortfolioManagement</t>
  </si>
  <si>
    <t>CheckPortfolioManagement</t>
  </si>
  <si>
    <t>NewMF</t>
  </si>
  <si>
    <t>Long</t>
  </si>
  <si>
    <t>Strategy Unallocated</t>
  </si>
  <si>
    <t>Equity</t>
  </si>
  <si>
    <t>US</t>
  </si>
  <si>
    <t>NASDAQ</t>
  </si>
  <si>
    <t>USD</t>
  </si>
  <si>
    <t>jpearce</t>
  </si>
  <si>
    <t>MS</t>
  </si>
  <si>
    <t>AAPL US EQUITY</t>
  </si>
  <si>
    <t>ExecuteTrade</t>
  </si>
  <si>
    <t>GetDataAllocation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</si>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</sst>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3" xfId="0" applyAlignment="1" applyFont="1" applyNumberFormat="1">
      <alignment readingOrder="0" shrinkToFit="0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>
        <v>37500.0</v>
      </c>
      <c r="E6" s="30"/>
      <c r="F6" s="12" t="s">
        <v>20</v>
      </c>
      <c r="G6" s="8"/>
      <c r="H6" s="8"/>
      <c r="I6" s="8"/>
      <c r="J6" s="12">
        <v>1.0</v>
      </c>
      <c r="K6" s="8"/>
      <c r="L6" s="8"/>
      <c r="M6" s="8"/>
      <c r="N6" s="31">
        <f>TODAY()-1</f>
        <v>45880</v>
      </c>
      <c r="O6" s="8"/>
      <c r="AQ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23</v>
      </c>
      <c r="D6" s="12">
        <v>5000.0</v>
      </c>
      <c r="E6" s="30"/>
      <c r="F6" s="12" t="s">
        <v>20</v>
      </c>
      <c r="G6" s="8"/>
      <c r="H6" s="8"/>
      <c r="I6" s="8"/>
      <c r="J6" s="12">
        <v>1.0</v>
      </c>
      <c r="K6" s="8"/>
      <c r="L6" s="8"/>
      <c r="M6" s="8"/>
      <c r="N6" s="31">
        <f t="shared" ref="N6:N7" si="1">TODAY()</f>
        <v>45881</v>
      </c>
      <c r="O6" s="8"/>
      <c r="AO6" s="9" t="s">
        <v>21</v>
      </c>
    </row>
    <row r="7" ht="15.75" customHeight="1">
      <c r="A7" s="12"/>
      <c r="B7" s="12" t="s">
        <v>18</v>
      </c>
      <c r="C7" s="12" t="s">
        <v>23</v>
      </c>
      <c r="D7" s="12">
        <v>5000.0</v>
      </c>
      <c r="E7" s="30"/>
      <c r="F7" s="12" t="s">
        <v>20</v>
      </c>
      <c r="G7" s="8"/>
      <c r="H7" s="8"/>
      <c r="I7" s="8"/>
      <c r="J7" s="12">
        <v>2.0</v>
      </c>
      <c r="K7" s="8"/>
      <c r="L7" s="8"/>
      <c r="M7" s="8"/>
      <c r="N7" s="31">
        <f t="shared" si="1"/>
        <v>45881</v>
      </c>
      <c r="O7" s="8"/>
      <c r="AO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18</v>
      </c>
      <c r="D6" s="12"/>
      <c r="E6" s="12">
        <v>1.0</v>
      </c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18</v>
      </c>
      <c r="D6" s="12"/>
      <c r="E6" s="12">
        <v>1.0</v>
      </c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18</v>
      </c>
      <c r="D6" s="12"/>
      <c r="E6" s="12">
        <v>2.0</v>
      </c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18</v>
      </c>
      <c r="D6" s="12"/>
      <c r="E6" s="12">
        <v>2.0</v>
      </c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>
        <v>5000.0</v>
      </c>
      <c r="E6" s="12" t="s">
        <v>20</v>
      </c>
      <c r="F6" s="12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IFERROR(__xludf.DUMMYFUNCTION("""COMPUTED_VALUE"""),"AccountName")</f>
        <v>AccountName</v>
      </c>
      <c r="D5" s="27" t="str">
        <f>IFERROR(__xludf.DUMMYFUNCTION("""COMPUTED_VALUE"""),"Quantity")</f>
        <v>Quantity</v>
      </c>
      <c r="E5" s="27" t="str">
        <f>IFERROR(__xludf.DUMMYFUNCTION("""COMPUTED_VALUE"""),"Notional")</f>
        <v>Notional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20</v>
      </c>
      <c r="D6" s="12">
        <v>27500.0</v>
      </c>
      <c r="E6" s="1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ReviewExistingPositions!$4:$4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12" t="s">
        <v>18</v>
      </c>
      <c r="D6" s="32">
        <v>37500.0</v>
      </c>
      <c r="E6" s="12" t="s">
        <v>20</v>
      </c>
      <c r="F6" s="12" t="s">
        <v>31</v>
      </c>
      <c r="G6" s="9">
        <v>1.0</v>
      </c>
      <c r="H6" s="12" t="s">
        <v>32</v>
      </c>
      <c r="I6" s="8"/>
      <c r="J6" s="8"/>
      <c r="K6" s="8"/>
      <c r="L6" s="8"/>
      <c r="M6" s="8"/>
      <c r="N6" s="12"/>
      <c r="O6" s="12"/>
      <c r="Q6" s="33">
        <v>-37500.0</v>
      </c>
      <c r="S6" s="9" t="s">
        <v>33</v>
      </c>
      <c r="T6" s="9" t="s">
        <v>34</v>
      </c>
      <c r="U6" s="9" t="s">
        <v>35</v>
      </c>
      <c r="V6" s="9" t="s">
        <v>36</v>
      </c>
      <c r="W6" s="9" t="s">
        <v>37</v>
      </c>
      <c r="X6" s="9">
        <v>1.0</v>
      </c>
      <c r="Y6" s="9">
        <v>1.0</v>
      </c>
      <c r="AL6" s="9">
        <v>1.0</v>
      </c>
      <c r="AM6" s="9">
        <v>1.0</v>
      </c>
      <c r="AN6" s="9" t="s">
        <v>19</v>
      </c>
      <c r="AP6" s="9" t="s">
        <v>32</v>
      </c>
      <c r="AQ6" s="9" t="s">
        <v>18</v>
      </c>
      <c r="AS6" s="9">
        <v>1.0</v>
      </c>
      <c r="BO6" s="9">
        <v>0.0</v>
      </c>
      <c r="BQ6" s="9" t="s">
        <v>38</v>
      </c>
      <c r="BR6" s="9" t="s">
        <v>39</v>
      </c>
      <c r="CN6" s="9" t="s">
        <v>18</v>
      </c>
      <c r="CO6" s="9" t="s">
        <v>18</v>
      </c>
      <c r="CP6" s="9" t="s">
        <v>40</v>
      </c>
      <c r="ES6" s="34">
        <v>10000.0</v>
      </c>
      <c r="EW6" s="34">
        <v>10000.0</v>
      </c>
      <c r="FH6" s="33">
        <v>-10000.0</v>
      </c>
    </row>
    <row r="7" ht="15.75" customHeight="1">
      <c r="A7" s="8"/>
      <c r="B7" s="8"/>
      <c r="C7" s="12" t="s">
        <v>18</v>
      </c>
      <c r="D7" s="32">
        <v>-5000.0</v>
      </c>
      <c r="E7" s="12" t="s">
        <v>20</v>
      </c>
      <c r="F7" s="12" t="s">
        <v>31</v>
      </c>
      <c r="G7" s="9">
        <v>1.0</v>
      </c>
      <c r="H7" s="12" t="s">
        <v>32</v>
      </c>
      <c r="I7" s="8"/>
      <c r="J7" s="8"/>
      <c r="K7" s="8"/>
      <c r="L7" s="8"/>
      <c r="M7" s="8"/>
      <c r="N7" s="32"/>
      <c r="O7" s="32"/>
      <c r="Q7" s="33">
        <v>5000.0</v>
      </c>
      <c r="S7" s="9" t="s">
        <v>33</v>
      </c>
      <c r="T7" s="9" t="s">
        <v>34</v>
      </c>
      <c r="U7" s="9" t="s">
        <v>35</v>
      </c>
      <c r="V7" s="9" t="s">
        <v>36</v>
      </c>
      <c r="W7" s="9" t="s">
        <v>37</v>
      </c>
      <c r="X7" s="9">
        <v>1.0</v>
      </c>
      <c r="Y7" s="9">
        <v>1.0</v>
      </c>
      <c r="AL7" s="9">
        <v>1.0</v>
      </c>
      <c r="AM7" s="9">
        <v>1.0</v>
      </c>
      <c r="AN7" s="9" t="s">
        <v>23</v>
      </c>
      <c r="AP7" s="9" t="s">
        <v>32</v>
      </c>
      <c r="AQ7" s="9" t="s">
        <v>18</v>
      </c>
      <c r="AS7" s="9">
        <v>-1.0</v>
      </c>
      <c r="BO7" s="34">
        <v>5000.0</v>
      </c>
      <c r="BQ7" s="9" t="s">
        <v>38</v>
      </c>
      <c r="BR7" s="9" t="s">
        <v>39</v>
      </c>
      <c r="CN7" s="9" t="s">
        <v>18</v>
      </c>
      <c r="CO7" s="9" t="s">
        <v>18</v>
      </c>
      <c r="CP7" s="9" t="s">
        <v>40</v>
      </c>
      <c r="ES7" s="34">
        <v>10000.0</v>
      </c>
      <c r="EW7" s="34">
        <v>10000.0</v>
      </c>
      <c r="FH7" s="33">
        <v>-10000.0</v>
      </c>
    </row>
    <row r="8" ht="15.75" customHeight="1">
      <c r="A8" s="8"/>
      <c r="B8" s="8"/>
      <c r="C8" s="12" t="s">
        <v>18</v>
      </c>
      <c r="D8" s="32">
        <v>-5000.0</v>
      </c>
      <c r="E8" s="12" t="s">
        <v>20</v>
      </c>
      <c r="F8" s="12" t="s">
        <v>31</v>
      </c>
      <c r="G8" s="9">
        <v>1.0</v>
      </c>
      <c r="H8" s="12" t="s">
        <v>32</v>
      </c>
      <c r="I8" s="8"/>
      <c r="J8" s="8"/>
      <c r="K8" s="8"/>
      <c r="L8" s="8"/>
      <c r="M8" s="8"/>
      <c r="N8" s="32"/>
      <c r="O8" s="32"/>
      <c r="Q8" s="33">
        <v>5000.0</v>
      </c>
      <c r="S8" s="9" t="s">
        <v>33</v>
      </c>
      <c r="T8" s="9" t="s">
        <v>34</v>
      </c>
      <c r="U8" s="9" t="s">
        <v>35</v>
      </c>
      <c r="V8" s="9" t="s">
        <v>36</v>
      </c>
      <c r="W8" s="9" t="s">
        <v>37</v>
      </c>
      <c r="X8" s="9">
        <v>1.0</v>
      </c>
      <c r="Y8" s="9">
        <v>1.0</v>
      </c>
      <c r="AL8" s="9">
        <v>1.0</v>
      </c>
      <c r="AM8" s="9">
        <v>1.0</v>
      </c>
      <c r="AN8" s="9" t="s">
        <v>23</v>
      </c>
      <c r="AP8" s="9" t="s">
        <v>32</v>
      </c>
      <c r="AQ8" s="9" t="s">
        <v>18</v>
      </c>
      <c r="AS8" s="9">
        <v>-1.0</v>
      </c>
      <c r="BO8" s="34">
        <v>5000.0</v>
      </c>
      <c r="BQ8" s="9" t="s">
        <v>38</v>
      </c>
      <c r="BR8" s="9" t="s">
        <v>39</v>
      </c>
      <c r="CN8" s="9" t="s">
        <v>18</v>
      </c>
      <c r="CO8" s="9" t="s">
        <v>18</v>
      </c>
      <c r="CP8" s="9" t="s">
        <v>40</v>
      </c>
      <c r="ES8" s="34">
        <v>10000.0</v>
      </c>
      <c r="EW8" s="34">
        <v>10000.0</v>
      </c>
      <c r="FH8" s="33">
        <v>-10000.0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12">
        <v>5000.0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12">
        <v>5000.0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