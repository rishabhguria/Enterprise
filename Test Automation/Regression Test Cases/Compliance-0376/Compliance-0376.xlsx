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CompliancePermission" sheetId="4" r:id="rId6"/>
    <sheet name="EnableDisableModule" sheetId="5" r:id="rId7"/>
    <sheet name="RestartReleasesAndServices" sheetId="6" r:id="rId8"/>
    <sheet name="ImportOnShortLocate" sheetId="7" r:id="rId9"/>
    <sheet name="CreateStageOrder" sheetId="8" r:id="rId10"/>
    <sheet name="LoginClient" sheetId="9" r:id="rId11"/>
    <sheet name="ApproveorRejectpendingapproval" sheetId="10" r:id="rId12"/>
    <sheet name="LoginClient1" sheetId="11" r:id="rId13"/>
    <sheet name="TradeNewSubOrder" sheetId="12" r:id="rId14"/>
    <sheet name="CreateNewSubLiveOrder" sheetId="13" r:id="rId15"/>
    <sheet name="SelectTrade" sheetId="14" r:id="rId16"/>
    <sheet name="AcknowledgeTrade" sheetId="15" r:id="rId17"/>
    <sheet name="VerifyShortLocateGrid" sheetId="16" r:id="rId18"/>
    <sheet name="VerifyShortLocateGrid1" sheetId="17" r:id="rId19"/>
  </sheets>
  <calcPr fullCalcOnLoad="1"/>
</workbook>
</file>

<file path=xl/sharedStrings.xml><?xml version="1.0" encoding="utf-8"?>
<sst xmlns="http://schemas.openxmlformats.org/spreadsheetml/2006/main" count="48" uniqueCount="48">
  <si>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</si>
  <si>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</si>
  <si>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</si>
  <si>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</si>
  <si>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</si>
  <si>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</si>
  <si>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</si>
  <si>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</si>
  <si>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</si>
  <si>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</si>
  <si>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</si>
  <si>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</si>
  <si>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</si>
  <si>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</si>
  <si>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</si>
  <si>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</si>
  <si>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</si>
  <si>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</si>
  <si>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</si>
  <si>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</si>
  <si>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</si>
  <si>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</si>
  <si>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</si>
  <si>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</si>
  <si>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</si>
  <si>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</si>
  <si>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Cases\ShortLocate-009.csv</t>
  </si>
  <si>
    <t>TradingTicket</t>
  </si>
  <si>
    <t>CreateStageOrder</t>
  </si>
  <si>
    <t>MSFT</t>
  </si>
  <si>
    <t>Sell short</t>
  </si>
  <si>
    <t>Limit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</si>
  <si>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</si>
  <si>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</si>
  <si>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</si>
  <si>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</si>
  <si>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</si>
  <si>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</si>
  <si>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</si>
  <si>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</si>
  <si>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</si>
  <si>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</si>
  <si>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</si>
  <si>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</si>
  <si>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</si>
  <si>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</si>
  <si>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VerifyShortLocateGrid</t>
  </si>
  <si>
    <t>GS4566232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</si>
</sst>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IFERROR(__xludf.DUMMYFUNCTION("""COMPUTED_VALUE"""),"PTT")</f>
        <v>PTT</v>
      </c>
      <c r="B788" s="0" t="str">
        <f>IFERROR(__xludf.DUMMYFUNCTION("""COMPUTED_VALUE"""),"OperationsonPTT")</f>
        <v>OperationsonPTT</v>
      </c>
      <c r="C788" s="0" t="str">
        <f>IFERROR(__xludf.DUMMYFUNCTION("""COMPUTED_VALUE"""),"1J40rCXEDilLEF_x0Wkeeg1lwGfejucV1VSY9UcyeSlw")</f>
        <v>1J40rCXEDilLEF_x0Wkeeg1lwGfejucV1VSY9UcyeSlw</v>
      </c>
    </row>
    <row r="789" ht="15.75" customHeight="1">
      <c r="A789" s="0" t="str">
        <f>IFERROR(__xludf.DUMMYFUNCTION("""COMPUTED_VALUE"""),"PricingInput")</f>
        <v>PricingInput</v>
      </c>
      <c r="B789" s="0" t="str">
        <f>IFERROR(__xludf.DUMMYFUNCTION("""COMPUTED_VALUE"""),"UpdatePricingInput")</f>
        <v>UpdatePricingInput</v>
      </c>
      <c r="C789" s="0" t="str">
        <f>IFERROR(__xludf.DUMMYFUNCTION("""COMPUTED_VALUE"""),"1CG9iYOkRKzlGEsKh7QuEyMdGRQea_W4KDWwlnjE2BdE")</f>
        <v>1CG9iYOkRKzlGEsKh7QuEyMdGRQea_W4KDWwlnjE2BdE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IFERROR(__xludf.DUMMYFUNCTION("""COMPUTED_VALUE"""),"ImportOnRB")</f>
        <v>ImportOnRB</v>
      </c>
      <c r="C790" s="0" t="str">
        <f>IFERROR(__xludf.DUMMYFUNCTION("""COMPUTED_VALUE"""),"1EntkiGIsU6aSZPpMKhixdhGFyyVCmlI1jMgvbCFq3oM")</f>
        <v>1EntkiGIsU6aSZPpMKhixdhGFyyVCmlI1jMgvbCFq3oM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IFERROR(__xludf.DUMMYFUNCTION("""COMPUTED_VALUE"""),"ActionOnRSAImportGrid")</f>
        <v>ActionOnRSAImportGrid</v>
      </c>
      <c r="C791" s="0" t="str">
        <f>IFERROR(__xludf.DUMMYFUNCTION("""COMPUTED_VALUE"""),"1qyFUqeWV7-Gy2PHnDNHGdUCBuvTKxxZhflKe9pguJEE")</f>
        <v>1qyFUqeWV7-Gy2PHnDNHGdUCBuvTKxxZhflKe9pguJEE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IFERROR(__xludf.DUMMYFUNCTION("""COMPUTED_VALUE"""),"VerifyImportGridRBForInvalidSec")</f>
        <v>VerifyImportGridRBForInvalidSec</v>
      </c>
      <c r="C792" s="0" t="str">
        <f>IFERROR(__xludf.DUMMYFUNCTION("""COMPUTED_VALUE"""),"13tlfzcOYlxn2sOASC-JNdqZmR9A1Cesa2Ah5348pLN8")</f>
        <v>13tlfzcOYlxn2sOASC-JNdqZmR9A1Cesa2Ah5348pLN8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IFERROR(__xludf.DUMMYFUNCTION("""COMPUTED_VALUE"""),"VerifyImportGridRBForValidSec")</f>
        <v>VerifyImportGridRBForValidSec</v>
      </c>
      <c r="C793" s="0" t="str">
        <f>IFERROR(__xludf.DUMMYFUNCTION("""COMPUTED_VALUE"""),"1KiLapuRaYEZfokVV1TZf8gTWNe8d9PblbpJsN983CaI")</f>
        <v>1KiLapuRaYEZfokVV1TZf8gTWNe8d9PblbpJsN983CaI</v>
      </c>
    </row>
    <row r="794" ht="15.75" customHeight="1">
      <c r="A794" s="0" t="str">
        <f>IFERROR(__xludf.DUMMYFUNCTION("""COMPUTED_VALUE"""),"Import")</f>
        <v>Import</v>
      </c>
      <c r="B794" s="0" t="str">
        <f>IFERROR(__xludf.DUMMYFUNCTION("""COMPUTED_VALUE"""),"ActionOnImport")</f>
        <v>ActionOnImport</v>
      </c>
      <c r="C794" s="0" t="str">
        <f>IFERROR(__xludf.DUMMYFUNCTION("""COMPUTED_VALUE"""),"1YM2boQt7BrzysPpsUbIqt27cfA6-btDPEZntG5NhBUc")</f>
        <v>1YM2boQt7BrzysPpsUbIqt27cfA6-btDPEZntG5NhBUc</v>
      </c>
    </row>
    <row r="795" ht="15.75" customHeight="1">
      <c r="A795" s="0" t="str">
        <f>IFERROR(__xludf.DUMMYFUNCTION("""COMPUTED_VALUE"""),"Import")</f>
        <v>Import</v>
      </c>
      <c r="B795" s="0" t="str">
        <f>IFERROR(__xludf.DUMMYFUNCTION("""COMPUTED_VALUE"""),"ValidateImportPositions")</f>
        <v>ValidateImportPositions</v>
      </c>
      <c r="C795" s="0" t="str">
        <f>IFERROR(__xludf.DUMMYFUNCTION("""COMPUTED_VALUE"""),"1ApMxUfr4smtwBJX_cppynzY1M99QXnDpTRjevjraQtA")</f>
        <v>1ApMxUfr4smtwBJX_cppynzY1M99QXnDpTRjevjraQtA</v>
      </c>
    </row>
    <row r="796" ht="15.75" customHeight="1">
      <c r="A796" s="0" t="str">
        <f>IFERROR(__xludf.DUMMYFUNCTION("""COMPUTED_VALUE"""),"DailyValuation")</f>
        <v>DailyValuation</v>
      </c>
      <c r="B796" s="0" t="str">
        <f>IFERROR(__xludf.DUMMYFUNCTION("""COMPUTED_VALUE"""),"UpdateMPAndFC")</f>
        <v>UpdateMPAndFC</v>
      </c>
      <c r="C796" s="0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>
        <v>6000</v>
      </c>
      <c r="E6" s="37"/>
      <c r="F6" s="8"/>
      <c r="G6" s="8"/>
      <c r="H6" s="8"/>
      <c r="I6" s="13" t="s">
        <v>31</v>
      </c>
      <c r="J6" s="13"/>
      <c r="K6" s="8"/>
      <c r="L6" s="13">
        <v>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35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/>
      <c r="D6" s="13">
        <v>6000</v>
      </c>
      <c r="E6" s="37"/>
      <c r="F6" s="8"/>
      <c r="G6" s="8"/>
      <c r="H6" s="8"/>
      <c r="I6" s="13" t="s">
        <v>31</v>
      </c>
      <c r="J6" s="13">
        <v>5</v>
      </c>
      <c r="K6" s="8"/>
      <c r="L6" s="13">
        <v>5</v>
      </c>
      <c r="M6" s="8"/>
      <c r="N6" s="8"/>
      <c r="O6" s="8"/>
      <c r="AS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 t="s">
        <v>31</v>
      </c>
      <c r="E6" s="37"/>
      <c r="F6" s="8"/>
      <c r="G6" s="13">
        <v>6000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 t="s">
        <v>31</v>
      </c>
      <c r="E6" s="37"/>
      <c r="F6" s="8"/>
      <c r="G6" s="13">
        <v>6000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5000</v>
      </c>
      <c r="G6" s="8"/>
      <c r="H6" s="8"/>
      <c r="I6" s="13" t="s">
        <v>47</v>
      </c>
      <c r="J6" s="13">
        <v>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</v>
      </c>
      <c r="G6" s="8"/>
      <c r="H6" s="8"/>
      <c r="I6" s="13" t="s">
        <v>47</v>
      </c>
      <c r="J6" s="13">
        <v>6000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