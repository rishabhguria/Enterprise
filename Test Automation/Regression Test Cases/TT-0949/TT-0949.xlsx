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ustomOrderTT" sheetId="5" r:id="rId7"/>
    <sheet state="visible" name="ActionOnPrompt" sheetId="6" r:id="rId8"/>
    <sheet state="visible" name="CustomOrderTT1" sheetId="7" r:id="rId9"/>
    <sheet state="visible" name="CustomOrderTT2" sheetId="8" r:id="rId10"/>
    <sheet state="visible" name="SelectTradeOnOrderGrid" sheetId="9" r:id="rId11"/>
    <sheet state="visible" name="ReloadOrderFromBlotter" sheetId="10" r:id="rId12"/>
    <sheet state="visible" name="CreateLiveOrder" sheetId="11" r:id="rId13"/>
    <sheet state="visible" name="SelectTradeOnOrderGrid1" sheetId="12" r:id="rId14"/>
    <sheet state="visible" name="EditOrder" sheetId="13" r:id="rId15"/>
    <sheet state="visible" name="CreateReplaceOrder" sheetId="14" r:id="rId16"/>
    <sheet state="visible" name="CreateReplaceLiveOrder" sheetId="15" r:id="rId17"/>
    <sheet state="visible" name="SelectTradeOnOrderGrid2" sheetId="16" r:id="rId18"/>
    <sheet state="visible" name="TradeNewSubOrder" sheetId="17" r:id="rId19"/>
    <sheet state="visible" name="CreateLiveOrder1" sheetId="18" r:id="rId20"/>
    <sheet state="visible" name="SelectTrade" sheetId="19" r:id="rId21"/>
    <sheet state="visible" name="AcknowledgeTrade" sheetId="20" r:id="rId22"/>
    <sheet state="visible" name="ExecuteTrade" sheetId="21" r:id="rId23"/>
    <sheet state="visible" name="SelectTrade1" sheetId="22" r:id="rId24"/>
    <sheet state="visible" name="AcknowledgeTrade1" sheetId="23" r:id="rId25"/>
    <sheet state="visible" name="ExecuteTrade1" sheetId="24" r:id="rId26"/>
    <sheet state="visible" name="SelectTrade2" sheetId="25" r:id="rId27"/>
    <sheet state="visible" name="AcknowledgeTrade2" sheetId="26" r:id="rId28"/>
    <sheet state="visible" name="ExecuteTrade2" sheetId="27" r:id="rId29"/>
    <sheet state="visible" name="VerifyOrder" sheetId="28" r:id="rId30"/>
  </sheets>
  <definedNames/>
  <calcPr/>
</workbook>
</file>

<file path=xl/sharedStrings.xml><?xml version="1.0" encoding="utf-8"?>
<sst xmlns="http://schemas.openxmlformats.org/spreadsheetml/2006/main" count="318" uniqueCount="62">
  <si>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</si>
  <si>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</si>
  <si>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</si>
  <si>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</si>
  <si>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</si>
  <si>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</si>
  <si>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</si>
  <si>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</si>
  <si>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</si>
  <si>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</si>
  <si>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</si>
  <si>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</si>
  <si>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</si>
  <si>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</si>
  <si>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</si>
  <si>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</si>
  <si>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True</t>
  </si>
  <si>
    <t>CustomOrderTT</t>
  </si>
  <si>
    <t>AAPL</t>
  </si>
  <si>
    <t>CreateOrder</t>
  </si>
  <si>
    <t>Buy</t>
  </si>
  <si>
    <t>GTC</t>
  </si>
  <si>
    <t>VerifyContainslblMsg</t>
  </si>
  <si>
    <t>TargetQuantity</t>
  </si>
  <si>
    <t>Continue</t>
  </si>
  <si>
    <t>Edit Order</t>
  </si>
  <si>
    <t>VerifyStatusCompulsory</t>
  </si>
  <si>
    <t/>
  </si>
  <si>
    <t>MSFT</t>
  </si>
  <si>
    <t>IBM</t>
  </si>
  <si>
    <t>Blotter</t>
  </si>
  <si>
    <t>SelectTradeOnOrderGrid</t>
  </si>
  <si>
    <t>ReloadOrderFromBlotter</t>
  </si>
  <si>
    <t>CreateLiveOrder</t>
  </si>
  <si>
    <t>EditOrder</t>
  </si>
  <si>
    <t>CreateReplaceLiveOrder</t>
  </si>
  <si>
    <t>TradeNewSubOrder</t>
  </si>
  <si>
    <t>Simulator</t>
  </si>
  <si>
    <t>SelectTrade</t>
  </si>
  <si>
    <t>AcknowledgeTrade</t>
  </si>
  <si>
    <t>ExecuteTrade</t>
  </si>
  <si>
    <t>VerifyOrder</t>
  </si>
  <si>
    <t>AAPL US EQUITY</t>
  </si>
  <si>
    <t>NASDAQ</t>
  </si>
  <si>
    <t>jpearce</t>
  </si>
  <si>
    <t>US</t>
  </si>
  <si>
    <t>GCCAP1</t>
  </si>
  <si>
    <t>USD</t>
  </si>
  <si>
    <t>NONE</t>
  </si>
  <si>
    <t>NewMF</t>
  </si>
  <si>
    <t>M</t>
  </si>
  <si>
    <t>Equity</t>
  </si>
  <si>
    <t>New</t>
  </si>
  <si>
    <t>MS</t>
  </si>
  <si>
    <t>Allocation1</t>
  </si>
  <si>
    <t>Limit</t>
  </si>
  <si>
    <t>Manual</t>
  </si>
  <si>
    <t>IBM US EQUITY</t>
  </si>
  <si>
    <t>PartiallyFilled</t>
  </si>
  <si>
    <t>MSFT US EQUITY</t>
  </si>
  <si>
    <t>Replaced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</si>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</sst>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>
        <v>1000.0</v>
      </c>
      <c r="D6" s="35">
        <v>100.0</v>
      </c>
      <c r="E6" s="36" t="s">
        <v>19</v>
      </c>
      <c r="F6" s="37"/>
      <c r="G6" s="37"/>
      <c r="H6" s="37"/>
      <c r="I6" s="37"/>
      <c r="J6" s="36" t="s">
        <v>20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8" t="s">
        <v>21</v>
      </c>
      <c r="V6" s="37"/>
      <c r="W6" s="37"/>
      <c r="X6" s="38">
        <v>100.0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ht="15.75" customHeight="1">
      <c r="A3" s="39"/>
      <c r="B3" s="39"/>
      <c r="C3" s="39"/>
      <c r="D3" s="39"/>
      <c r="E3" s="39"/>
      <c r="F3" s="40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</row>
    <row r="4" ht="15.75" customHeight="1">
      <c r="A4" s="39"/>
      <c r="B4" s="39"/>
      <c r="C4" s="39"/>
      <c r="D4" s="39"/>
      <c r="E4" s="39"/>
      <c r="F4" s="40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9"/>
      <c r="B5" s="39" t="s">
        <v>22</v>
      </c>
      <c r="C5" s="39" t="s">
        <v>23</v>
      </c>
      <c r="D5" s="39" t="s">
        <v>24</v>
      </c>
      <c r="E5" s="39" t="s">
        <v>25</v>
      </c>
      <c r="F5" s="40" t="s">
        <v>26</v>
      </c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39" t="s">
        <v>27</v>
      </c>
      <c r="C6" s="39" t="s">
        <v>27</v>
      </c>
      <c r="D6" s="39" t="s">
        <v>24</v>
      </c>
      <c r="E6" s="39" t="s">
        <v>27</v>
      </c>
      <c r="F6" s="39" t="s">
        <v>27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1000.0</v>
      </c>
      <c r="D6" s="13">
        <v>100.0</v>
      </c>
      <c r="E6" s="13" t="s">
        <v>19</v>
      </c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  <c r="U6" s="9" t="s">
        <v>21</v>
      </c>
      <c r="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1000.0</v>
      </c>
      <c r="D6" s="13">
        <v>100.0</v>
      </c>
      <c r="E6" s="13" t="s">
        <v>19</v>
      </c>
      <c r="F6" s="8"/>
      <c r="G6" s="8"/>
      <c r="H6" s="8"/>
      <c r="I6" s="8"/>
      <c r="J6" s="13" t="s">
        <v>20</v>
      </c>
      <c r="K6" s="8"/>
      <c r="L6" s="8"/>
      <c r="M6" s="8"/>
      <c r="N6" s="8"/>
      <c r="O6" s="8"/>
      <c r="U6" s="9" t="s">
        <v>21</v>
      </c>
      <c r="X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20</v>
      </c>
      <c r="D6" s="13">
        <v>1200.0</v>
      </c>
      <c r="E6" s="31"/>
      <c r="F6" s="8"/>
      <c r="G6" s="8"/>
      <c r="H6" s="8"/>
      <c r="I6" s="8"/>
      <c r="J6" s="13">
        <v>100.0</v>
      </c>
      <c r="K6" s="8"/>
      <c r="L6" s="13">
        <v>100.0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31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28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20</v>
      </c>
      <c r="D6" s="13">
        <v>1200.0</v>
      </c>
      <c r="E6" s="31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IFERROR(__xludf.DUMMYFUNCTION("""COMPUTED_VALUE"""),"TRVAccountName")</f>
        <v>TRVAccountName</v>
      </c>
      <c r="AR5" s="30" t="str">
        <f>IFERROR(__xludf.DUMMYFUNCTION("""COMPUTED_VALUE"""),"TRVTradeQuantity")</f>
        <v>TRVTradeQuantity</v>
      </c>
      <c r="AS5" s="30" t="str">
        <f>IFERROR(__xludf.DUMMYFUNCTION("""COMPUTED_VALUE"""),"TRVCurrentPosition")</f>
        <v>TRVCurrentPosition</v>
      </c>
      <c r="AT5" s="30" t="str">
        <f>IFERROR(__xludf.DUMMYFUNCTION("""COMPUTED_VALUE"""),"TRVNav")</f>
        <v>TRVNav</v>
      </c>
      <c r="AU5" s="30" t="str">
        <f>IFERROR(__xludf.DUMMYFUNCTION("""COMPUTED_VALUE"""),"PendingApprovalPopUp")</f>
        <v>PendingApprovalPopUp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 t="s">
        <v>20</v>
      </c>
      <c r="D6" s="13">
        <v>1200.0</v>
      </c>
      <c r="E6" s="31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29</v>
      </c>
      <c r="E6" s="31"/>
      <c r="F6" s="13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29</v>
      </c>
      <c r="AJ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s">
        <v>20</v>
      </c>
      <c r="D6" s="13">
        <v>500.0</v>
      </c>
      <c r="E6" s="31"/>
      <c r="F6" s="8"/>
      <c r="G6" s="8"/>
      <c r="H6" s="8"/>
      <c r="I6" s="8"/>
      <c r="J6" s="13">
        <v>100.0</v>
      </c>
      <c r="K6" s="8"/>
      <c r="L6" s="13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1200.0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28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1200.0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42</v>
      </c>
      <c r="F6" s="13">
        <v>100.0</v>
      </c>
      <c r="G6" s="8"/>
      <c r="H6" s="13" t="s">
        <v>43</v>
      </c>
      <c r="I6" s="13" t="s">
        <v>44</v>
      </c>
      <c r="J6" s="13" t="s">
        <v>18</v>
      </c>
      <c r="K6" s="13" t="s">
        <v>45</v>
      </c>
      <c r="L6" s="13" t="s">
        <v>46</v>
      </c>
      <c r="M6" s="8"/>
      <c r="N6" s="8"/>
      <c r="O6" s="8"/>
      <c r="U6" s="9" t="s">
        <v>47</v>
      </c>
      <c r="V6" s="9" t="s">
        <v>48</v>
      </c>
      <c r="AA6" s="9" t="s">
        <v>49</v>
      </c>
      <c r="AD6" s="9">
        <v>1.0</v>
      </c>
      <c r="AF6" s="9" t="s">
        <v>50</v>
      </c>
      <c r="AH6" s="9" t="s">
        <v>51</v>
      </c>
      <c r="AI6" s="9" t="s">
        <v>18</v>
      </c>
      <c r="AJ6" s="9" t="s">
        <v>20</v>
      </c>
      <c r="AK6" s="9" t="s">
        <v>52</v>
      </c>
      <c r="AL6" s="9">
        <v>1000.0</v>
      </c>
      <c r="AP6" s="9">
        <v>1000.0</v>
      </c>
      <c r="AS6" s="9" t="s">
        <v>53</v>
      </c>
      <c r="AT6" s="9" t="s">
        <v>54</v>
      </c>
      <c r="AU6" s="9" t="s">
        <v>55</v>
      </c>
      <c r="AV6" s="9">
        <v>0.0</v>
      </c>
      <c r="AW6" s="9">
        <v>0.0</v>
      </c>
      <c r="AX6" s="9" t="s">
        <v>56</v>
      </c>
      <c r="AZ6" s="9">
        <v>1000.0</v>
      </c>
      <c r="BA6" s="9" t="s">
        <v>44</v>
      </c>
      <c r="BG6" s="9" t="s">
        <v>12</v>
      </c>
      <c r="BH6" s="9" t="s">
        <v>21</v>
      </c>
    </row>
    <row r="7" ht="15.75" customHeight="1">
      <c r="A7" s="8"/>
      <c r="B7" s="8"/>
      <c r="C7" s="8"/>
      <c r="D7" s="13">
        <v>100.0</v>
      </c>
      <c r="E7" s="13" t="s">
        <v>57</v>
      </c>
      <c r="F7" s="13">
        <v>100.0</v>
      </c>
      <c r="G7" s="8"/>
      <c r="H7" s="13" t="s">
        <v>43</v>
      </c>
      <c r="I7" s="13" t="s">
        <v>44</v>
      </c>
      <c r="J7" s="13" t="s">
        <v>29</v>
      </c>
      <c r="K7" s="13" t="s">
        <v>45</v>
      </c>
      <c r="L7" s="13" t="s">
        <v>46</v>
      </c>
      <c r="M7" s="8"/>
      <c r="N7" s="8"/>
      <c r="O7" s="8"/>
      <c r="U7" s="9" t="s">
        <v>47</v>
      </c>
      <c r="V7" s="9" t="s">
        <v>48</v>
      </c>
      <c r="AA7" s="9" t="s">
        <v>49</v>
      </c>
      <c r="AB7" s="9">
        <v>500.0</v>
      </c>
      <c r="AD7" s="9">
        <v>1.0</v>
      </c>
      <c r="AF7" s="9" t="s">
        <v>50</v>
      </c>
      <c r="AH7" s="9" t="s">
        <v>51</v>
      </c>
      <c r="AI7" s="9" t="s">
        <v>29</v>
      </c>
      <c r="AJ7" s="9" t="s">
        <v>20</v>
      </c>
      <c r="AK7" s="9" t="s">
        <v>58</v>
      </c>
      <c r="AL7" s="9">
        <v>1000.0</v>
      </c>
      <c r="AM7" s="9">
        <v>500.0</v>
      </c>
      <c r="AN7" s="9">
        <v>50.0</v>
      </c>
      <c r="AP7" s="9">
        <v>500.0</v>
      </c>
      <c r="AQ7" s="9">
        <v>100.0</v>
      </c>
      <c r="AR7" s="9">
        <v>100.0</v>
      </c>
      <c r="AS7" s="9" t="s">
        <v>53</v>
      </c>
      <c r="AT7" s="9" t="s">
        <v>54</v>
      </c>
      <c r="AU7" s="9" t="s">
        <v>55</v>
      </c>
      <c r="AV7" s="9">
        <v>50000.0</v>
      </c>
      <c r="AW7" s="9">
        <v>50000.0</v>
      </c>
      <c r="AX7" s="9" t="s">
        <v>56</v>
      </c>
      <c r="AZ7" s="9">
        <v>500.0</v>
      </c>
      <c r="BA7" s="9" t="s">
        <v>44</v>
      </c>
      <c r="BG7" s="9" t="s">
        <v>12</v>
      </c>
      <c r="BH7" s="9" t="s">
        <v>21</v>
      </c>
    </row>
    <row r="8" ht="15.75" customHeight="1">
      <c r="A8" s="8"/>
      <c r="B8" s="8"/>
      <c r="C8" s="8"/>
      <c r="D8" s="13"/>
      <c r="E8" s="13" t="s">
        <v>59</v>
      </c>
      <c r="F8" s="13">
        <v>100.0</v>
      </c>
      <c r="G8" s="8"/>
      <c r="H8" s="13" t="s">
        <v>43</v>
      </c>
      <c r="I8" s="13" t="s">
        <v>44</v>
      </c>
      <c r="J8" s="13" t="s">
        <v>28</v>
      </c>
      <c r="K8" s="13" t="s">
        <v>45</v>
      </c>
      <c r="L8" s="13" t="s">
        <v>46</v>
      </c>
      <c r="M8" s="8"/>
      <c r="N8" s="8"/>
      <c r="O8" s="8"/>
      <c r="U8" s="9" t="s">
        <v>47</v>
      </c>
      <c r="V8" s="9" t="s">
        <v>48</v>
      </c>
      <c r="AA8" s="9" t="s">
        <v>49</v>
      </c>
      <c r="AD8" s="9">
        <v>1.0</v>
      </c>
      <c r="AF8" s="9" t="s">
        <v>50</v>
      </c>
      <c r="AH8" s="9" t="s">
        <v>51</v>
      </c>
      <c r="AI8" s="9" t="s">
        <v>28</v>
      </c>
      <c r="AJ8" s="9" t="s">
        <v>20</v>
      </c>
      <c r="AK8" s="9" t="s">
        <v>60</v>
      </c>
      <c r="AL8" s="9">
        <v>1200.0</v>
      </c>
      <c r="AP8" s="9">
        <v>1200.0</v>
      </c>
      <c r="AS8" s="9" t="s">
        <v>53</v>
      </c>
      <c r="AT8" s="9" t="s">
        <v>54</v>
      </c>
      <c r="AU8" s="9" t="s">
        <v>55</v>
      </c>
      <c r="AV8" s="9">
        <v>0.0</v>
      </c>
      <c r="AW8" s="9">
        <v>0.0</v>
      </c>
      <c r="AX8" s="9" t="s">
        <v>56</v>
      </c>
      <c r="AZ8" s="9">
        <v>1200.0</v>
      </c>
      <c r="BA8" s="9" t="s">
        <v>44</v>
      </c>
      <c r="BG8" s="9" t="s">
        <v>12</v>
      </c>
      <c r="BH8" s="9" t="s">
        <v>21</v>
      </c>
    </row>
    <row r="9" ht="15.75" customHeight="1">
      <c r="A9" s="8"/>
      <c r="B9" s="8"/>
      <c r="C9" s="8"/>
      <c r="D9" s="13">
        <v>100.0</v>
      </c>
      <c r="E9" s="13" t="s">
        <v>42</v>
      </c>
      <c r="F9" s="13">
        <v>100.0</v>
      </c>
      <c r="G9" s="8"/>
      <c r="H9" s="13" t="s">
        <v>43</v>
      </c>
      <c r="I9" s="13" t="s">
        <v>44</v>
      </c>
      <c r="J9" s="13" t="s">
        <v>18</v>
      </c>
      <c r="K9" s="13" t="s">
        <v>45</v>
      </c>
      <c r="L9" s="13" t="s">
        <v>46</v>
      </c>
      <c r="M9" s="8"/>
      <c r="N9" s="8"/>
      <c r="O9" s="8"/>
      <c r="U9" s="9" t="s">
        <v>47</v>
      </c>
      <c r="V9" s="9" t="s">
        <v>48</v>
      </c>
      <c r="AA9" s="9" t="s">
        <v>49</v>
      </c>
      <c r="AB9" s="9">
        <v>1200.0</v>
      </c>
      <c r="AD9" s="9">
        <v>1.0</v>
      </c>
      <c r="AF9" s="9" t="s">
        <v>50</v>
      </c>
      <c r="AH9" s="9" t="s">
        <v>51</v>
      </c>
      <c r="AI9" s="9" t="s">
        <v>18</v>
      </c>
      <c r="AJ9" s="9" t="s">
        <v>20</v>
      </c>
      <c r="AK9" s="9" t="s">
        <v>61</v>
      </c>
      <c r="AL9" s="9">
        <v>1200.0</v>
      </c>
      <c r="AM9" s="9">
        <v>1200.0</v>
      </c>
      <c r="AN9" s="9">
        <v>100.0</v>
      </c>
      <c r="AQ9" s="9">
        <v>100.0</v>
      </c>
      <c r="AR9" s="9">
        <v>100.0</v>
      </c>
      <c r="AS9" s="9" t="s">
        <v>53</v>
      </c>
      <c r="AT9" s="9" t="s">
        <v>54</v>
      </c>
      <c r="AU9" s="9" t="s">
        <v>55</v>
      </c>
      <c r="AV9" s="9">
        <v>120000.0</v>
      </c>
      <c r="AW9" s="9">
        <v>120000.0</v>
      </c>
      <c r="AX9" s="9" t="s">
        <v>56</v>
      </c>
      <c r="BA9" s="9" t="s">
        <v>44</v>
      </c>
      <c r="BG9" s="9" t="s">
        <v>12</v>
      </c>
      <c r="BH9" s="9" t="s">
        <v>21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