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CashSettlementAtCos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UnWindTradeSettlement" sheetId="12" r:id="rId14"/>
    <sheet state="visible" name="GetTradingTransaction" sheetId="13" r:id="rId15"/>
    <sheet state="visible" name="VerifyTradingTransaction" sheetId="14" r:id="rId16"/>
  </sheets>
  <definedNames/>
  <calcPr/>
</workbook>
</file>

<file path=xl/sharedStrings.xml><?xml version="1.0" encoding="utf-8"?>
<sst xmlns="http://schemas.openxmlformats.org/spreadsheetml/2006/main" count="151" uniqueCount="47">
  <si>
    <t>Modules Info</t>
  </si>
  <si>
    <t>Settings</t>
  </si>
  <si>
    <t>Master Data Info</t>
  </si>
  <si>
    <t>Module</t>
  </si>
  <si>
    <t>Module Step Setting File</t>
  </si>
  <si>
    <t>1eFq-0rBBBruaRgYp8Plf3EAV1IQUFSYg9ee_wKGGGko</t>
  </si>
  <si>
    <t>Master Data Settings File</t>
  </si>
  <si>
    <t>Step</t>
  </si>
  <si>
    <t>Master Data Sheet</t>
  </si>
  <si>
    <t>Modules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</si>
  <si>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</si>
  <si>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</si>
  <si>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</si>
  <si>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</si>
  <si>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</si>
  <si>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</si>
  <si>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USD/JPY 01/01/2016</t>
  </si>
  <si>
    <t>Buy</t>
  </si>
  <si>
    <t>Allocation1</t>
  </si>
  <si>
    <t>Closing</t>
  </si>
  <si>
    <t>VerifyLongPositionsGrid</t>
  </si>
  <si>
    <t>FXForward</t>
  </si>
  <si>
    <t>JPY</t>
  </si>
  <si>
    <t>GetDataClosing</t>
  </si>
  <si>
    <t>SelectTradeUnexpiredUnsettled</t>
  </si>
  <si>
    <t>Current</t>
  </si>
  <si>
    <t>CashSettlementAtCost</t>
  </si>
  <si>
    <t>VerifyExpiredSettledGrid</t>
  </si>
  <si>
    <t>NONE</t>
  </si>
  <si>
    <t>Long</t>
  </si>
  <si>
    <t xml:space="preserve">USD/JPY 01/01/2016 </t>
  </si>
  <si>
    <t>Allocation</t>
  </si>
  <si>
    <t>GetDataAllocation</t>
  </si>
  <si>
    <t>CheckAllocatedGroups</t>
  </si>
  <si>
    <t xml:space="preserve">Buy </t>
  </si>
  <si>
    <t>Sell</t>
  </si>
  <si>
    <t>UnWindTradeSettlement</t>
  </si>
  <si>
    <t>GeneralLedger</t>
  </si>
  <si>
    <t>GetTradingTransaction</t>
  </si>
  <si>
    <t>SelectAll</t>
  </si>
  <si>
    <t>VerifyTradingTransaction</t>
  </si>
  <si>
    <t>DR</t>
  </si>
  <si>
    <t>USD</t>
  </si>
  <si>
    <t>Cash [Cash]</t>
  </si>
  <si>
    <t>CR</t>
  </si>
  <si>
    <t>Investment - Long FX Forward [Asset]</t>
  </si>
  <si>
    <t>Investment - Short FX Forward [Liability]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</si>
</sst>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sz val="14.0"/>
      <color rgb="FFFFFFFF"/>
      <name val="Calibri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/>
    </border>
    <border>
      <top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4" numFmtId="0" xfId="0" applyAlignment="1" applyBorder="1" applyFont="1">
      <alignment horizontal="center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2" numFmtId="14" xfId="0" applyFont="1" applyNumberFormat="1"/>
    <xf borderId="6" fillId="0" fontId="3" numFmtId="0" xfId="0" applyAlignment="1" applyBorder="1" applyFont="1">
      <alignment readingOrder="0" vertical="bottom"/>
    </xf>
    <xf borderId="6" fillId="0" fontId="5" numFmtId="165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0" fillId="6" fontId="1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6" fontId="13" numFmtId="0" xfId="0" applyAlignment="1" applyBorder="1" applyFont="1">
      <alignment shrinkToFit="0" vertical="bottom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8" t="s">
        <v>9</v>
      </c>
      <c r="B3" s="13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3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6" t="s">
        <v>1</v>
      </c>
      <c r="B1" s="2"/>
      <c r="C1" s="4"/>
    </row>
    <row r="2" ht="15.75" customHeight="1">
      <c r="A2" s="7"/>
      <c r="B2" s="7"/>
      <c r="C2" s="7"/>
    </row>
    <row r="3" ht="15.75" customHeight="1">
      <c r="A3" s="8" t="s">
        <v>4</v>
      </c>
      <c r="B3" s="9" t="s">
        <v>5</v>
      </c>
      <c r="C3" s="7"/>
    </row>
    <row r="4" ht="15.75" customHeight="1">
      <c r="A4" s="10" t="s">
        <v>6</v>
      </c>
      <c r="B4" s="9" t="s">
        <v>10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10" t="s">
        <v>3</v>
      </c>
      <c r="B3" s="11" t="s">
        <v>7</v>
      </c>
      <c r="C3" s="11" t="s">
        <v>8</v>
      </c>
      <c r="D3" s="12"/>
      <c r="E3" s="12"/>
      <c r="F3" s="12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7</v>
      </c>
      <c r="E3" s="21" t="s">
        <v>13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90.0</v>
      </c>
      <c r="E6" s="33"/>
      <c r="F6" s="31" t="s">
        <v>18</v>
      </c>
      <c r="G6" s="33"/>
      <c r="H6" s="33"/>
      <c r="I6" s="33"/>
      <c r="J6" s="32">
        <v>5.0</v>
      </c>
      <c r="K6" s="33"/>
      <c r="L6" s="33"/>
      <c r="M6" s="33"/>
      <c r="N6" s="34">
        <f>TODAY()</f>
        <v>43789</v>
      </c>
      <c r="O6" s="35">
        <v>1.0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19</v>
      </c>
      <c r="D3" s="8" t="s">
        <v>7</v>
      </c>
      <c r="E3" s="21" t="s">
        <v>23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9" t="s">
        <v>25</v>
      </c>
      <c r="C6" s="40"/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19</v>
      </c>
      <c r="D3" s="8" t="s">
        <v>7</v>
      </c>
      <c r="E3" s="21" t="s">
        <v>20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5" t="s">
        <v>21</v>
      </c>
      <c r="D6" s="29"/>
      <c r="E6" s="33"/>
      <c r="F6" s="33"/>
      <c r="G6" s="33"/>
      <c r="H6" s="35">
        <v>450.0</v>
      </c>
      <c r="I6" s="32">
        <v>5.0</v>
      </c>
      <c r="J6" s="36">
        <f>today()</f>
        <v>43789</v>
      </c>
      <c r="K6" s="33"/>
      <c r="L6" s="33"/>
      <c r="M6" s="32">
        <v>90.0</v>
      </c>
      <c r="N6" s="33"/>
      <c r="O6" s="35" t="s">
        <v>22</v>
      </c>
      <c r="P6" s="33" t="s">
        <v>17</v>
      </c>
      <c r="Q6" s="33"/>
      <c r="R6" s="37" t="s">
        <v>16</v>
      </c>
      <c r="S6" s="33"/>
      <c r="U6" s="38">
        <f>today()</f>
        <v>43789</v>
      </c>
      <c r="W6" s="33"/>
      <c r="X6" s="35">
        <v>5.0</v>
      </c>
      <c r="Y6" s="35">
        <v>1.0</v>
      </c>
      <c r="Z6" s="35">
        <v>1.0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19</v>
      </c>
      <c r="D3" s="8" t="s">
        <v>7</v>
      </c>
      <c r="E3" s="21" t="s">
        <v>24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7"/>
      <c r="D6" s="9"/>
      <c r="E6" s="42" t="s">
        <v>21</v>
      </c>
      <c r="F6" s="7"/>
      <c r="G6" s="7"/>
      <c r="H6" s="7"/>
      <c r="I6" s="9">
        <v>5.0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19</v>
      </c>
      <c r="D3" s="8" t="s">
        <v>7</v>
      </c>
      <c r="E3" s="21" t="s">
        <v>26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4"/>
      <c r="C6" s="41"/>
      <c r="D6" s="44"/>
      <c r="E6" s="41"/>
      <c r="F6" s="41"/>
      <c r="G6" s="41"/>
      <c r="H6" s="41"/>
      <c r="I6" s="41"/>
      <c r="J6" s="41"/>
      <c r="K6" s="41"/>
      <c r="L6" s="41"/>
      <c r="M6" s="41"/>
      <c r="N6" s="41"/>
      <c r="O6" s="40">
        <f>TODAY()</f>
        <v>43789</v>
      </c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CashSettlementAtCost!$4:$4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19</v>
      </c>
      <c r="D3" s="8" t="s">
        <v>7</v>
      </c>
      <c r="E3" s="21" t="s">
        <v>27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4" t="s">
        <v>18</v>
      </c>
      <c r="C6" s="42" t="s">
        <v>21</v>
      </c>
      <c r="D6" s="44"/>
      <c r="E6" s="40">
        <f>TODAY()</f>
        <v>43789</v>
      </c>
      <c r="F6" s="45">
        <v>5.0</v>
      </c>
      <c r="G6" s="45">
        <v>90.0</v>
      </c>
      <c r="H6" s="41" t="s">
        <v>28</v>
      </c>
      <c r="I6" s="41"/>
      <c r="J6" s="41"/>
      <c r="K6" s="41"/>
      <c r="L6" s="41"/>
      <c r="M6" s="41"/>
      <c r="N6" s="41"/>
      <c r="O6" s="41"/>
      <c r="P6" s="39" t="s">
        <v>22</v>
      </c>
      <c r="Q6" s="41"/>
      <c r="R6" s="41"/>
      <c r="S6" s="39">
        <v>0.0</v>
      </c>
      <c r="T6" s="35">
        <v>5.0</v>
      </c>
      <c r="U6" s="46">
        <f>TODAY()</f>
        <v>43789</v>
      </c>
      <c r="V6" s="33"/>
      <c r="W6" s="33" t="s">
        <v>29</v>
      </c>
      <c r="X6" s="35">
        <v>0.0</v>
      </c>
      <c r="Y6" s="33"/>
      <c r="Z6" s="33" t="s">
        <v>17</v>
      </c>
      <c r="AA6" s="33"/>
      <c r="AB6" s="35" t="s">
        <v>30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31</v>
      </c>
      <c r="D3" s="8" t="s">
        <v>7</v>
      </c>
      <c r="E3" s="21" t="s">
        <v>32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9" t="s">
        <v>25</v>
      </c>
      <c r="C6" s="40"/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1" width="14.43"/>
    <col customWidth="1" min="72" max="72" width="19.43"/>
    <col customWidth="1" min="73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31</v>
      </c>
      <c r="D3" s="8" t="s">
        <v>7</v>
      </c>
      <c r="E3" s="21" t="s">
        <v>33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3"/>
      <c r="D6" s="29"/>
      <c r="E6" s="32">
        <v>90.0</v>
      </c>
      <c r="F6" s="33"/>
      <c r="G6" s="33"/>
      <c r="H6" s="33"/>
      <c r="I6" s="36"/>
      <c r="J6" s="33"/>
      <c r="K6" s="35"/>
      <c r="L6" s="35">
        <v>5.0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7">
        <v>90.0</v>
      </c>
      <c r="AF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7">
        <v>90.0</v>
      </c>
      <c r="BK6" s="33"/>
      <c r="BL6" s="33"/>
      <c r="BM6" s="33"/>
      <c r="BN6" s="33"/>
      <c r="BO6" s="33" t="s">
        <v>34</v>
      </c>
      <c r="BP6" s="33"/>
      <c r="BQ6" s="33"/>
      <c r="BR6" s="33"/>
      <c r="BS6" s="33"/>
      <c r="BT6" s="37" t="s">
        <v>16</v>
      </c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18</v>
      </c>
      <c r="C7" s="33"/>
      <c r="D7" s="33"/>
      <c r="E7" s="32">
        <v>90.0</v>
      </c>
      <c r="F7" s="33"/>
      <c r="G7" s="33"/>
      <c r="H7" s="33"/>
      <c r="I7" s="33"/>
      <c r="J7" s="33"/>
      <c r="K7" s="35"/>
      <c r="L7" s="35">
        <v>5.0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47">
        <v>90.0</v>
      </c>
      <c r="AF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47">
        <v>90.0</v>
      </c>
      <c r="BK7" s="33"/>
      <c r="BL7" s="33"/>
      <c r="BM7" s="33"/>
      <c r="BN7" s="33"/>
      <c r="BO7" s="33" t="s">
        <v>35</v>
      </c>
      <c r="BP7" s="33"/>
      <c r="BQ7" s="33"/>
      <c r="BR7" s="33"/>
      <c r="BS7" s="33"/>
      <c r="BT7" s="37" t="s">
        <v>16</v>
      </c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19</v>
      </c>
      <c r="D3" s="8" t="s">
        <v>7</v>
      </c>
      <c r="E3" s="21" t="s">
        <v>36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42" t="s">
        <v>21</v>
      </c>
      <c r="D6" s="29"/>
      <c r="E6" s="33"/>
      <c r="F6" s="32">
        <v>5.0</v>
      </c>
      <c r="G6" s="32">
        <v>90.0</v>
      </c>
      <c r="H6" s="31" t="s">
        <v>28</v>
      </c>
      <c r="I6" s="33"/>
      <c r="J6" s="31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 t="s">
        <v>29</v>
      </c>
      <c r="W6" s="33"/>
      <c r="X6" s="33"/>
      <c r="Y6" s="33" t="s">
        <v>17</v>
      </c>
      <c r="Z6" s="33"/>
      <c r="AA6" s="48" t="s">
        <v>16</v>
      </c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37</v>
      </c>
      <c r="D3" s="8" t="s">
        <v>7</v>
      </c>
      <c r="E3" s="21" t="s">
        <v>38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39</v>
      </c>
      <c r="C6" s="9" t="s">
        <v>18</v>
      </c>
      <c r="D6" s="49">
        <f t="shared" ref="D6:E6" si="1">TODAY()</f>
        <v>43789</v>
      </c>
      <c r="E6" s="49">
        <f t="shared" si="1"/>
        <v>43789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37</v>
      </c>
      <c r="D3" s="8" t="s">
        <v>7</v>
      </c>
      <c r="E3" s="21" t="s">
        <v>40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9">
        <f t="shared" ref="B6:B11" si="1">TODAY()</f>
        <v>43789</v>
      </c>
      <c r="C6" s="7"/>
      <c r="D6" s="9"/>
      <c r="E6" s="9">
        <v>90.0</v>
      </c>
      <c r="F6" s="7"/>
      <c r="G6" s="7"/>
      <c r="H6" s="7"/>
      <c r="I6" s="9" t="s">
        <v>41</v>
      </c>
      <c r="J6" s="7"/>
      <c r="K6" s="9" t="s">
        <v>42</v>
      </c>
      <c r="L6" s="7"/>
      <c r="M6" s="30" t="s">
        <v>16</v>
      </c>
      <c r="N6" s="7"/>
      <c r="O6" s="7"/>
      <c r="Q6" s="43" t="s">
        <v>43</v>
      </c>
      <c r="R6" s="43" t="s">
        <v>18</v>
      </c>
    </row>
    <row r="7" ht="15.75" customHeight="1">
      <c r="A7" s="7"/>
      <c r="B7" s="49">
        <f t="shared" si="1"/>
        <v>43789</v>
      </c>
      <c r="C7" s="7"/>
      <c r="D7" s="7"/>
      <c r="E7" s="7"/>
      <c r="F7" s="9">
        <v>90.0</v>
      </c>
      <c r="G7" s="7"/>
      <c r="H7" s="7"/>
      <c r="I7" s="9" t="s">
        <v>44</v>
      </c>
      <c r="J7" s="7"/>
      <c r="K7" s="9" t="s">
        <v>42</v>
      </c>
      <c r="L7" s="7"/>
      <c r="M7" s="30" t="s">
        <v>16</v>
      </c>
      <c r="N7" s="7"/>
      <c r="O7" s="7"/>
      <c r="Q7" s="43" t="s">
        <v>45</v>
      </c>
      <c r="R7" s="43" t="s">
        <v>18</v>
      </c>
    </row>
    <row r="8" ht="15.75" customHeight="1">
      <c r="A8" s="7"/>
      <c r="B8" s="49">
        <f t="shared" si="1"/>
        <v>43789</v>
      </c>
      <c r="C8" s="7"/>
      <c r="D8" s="7"/>
      <c r="E8" s="9">
        <v>450.0</v>
      </c>
      <c r="F8" s="7"/>
      <c r="G8" s="7"/>
      <c r="H8" s="7"/>
      <c r="I8" s="9" t="s">
        <v>41</v>
      </c>
      <c r="J8" s="7"/>
      <c r="K8" s="9" t="s">
        <v>22</v>
      </c>
      <c r="L8" s="7"/>
      <c r="M8" s="30" t="s">
        <v>16</v>
      </c>
      <c r="N8" s="7"/>
      <c r="O8" s="7"/>
      <c r="Q8" s="43" t="s">
        <v>46</v>
      </c>
      <c r="R8" s="43" t="s">
        <v>18</v>
      </c>
    </row>
    <row r="9" ht="15.75" customHeight="1">
      <c r="A9" s="7"/>
      <c r="B9" s="49">
        <f t="shared" si="1"/>
        <v>43789</v>
      </c>
      <c r="C9" s="7"/>
      <c r="D9" s="7"/>
      <c r="E9" s="7"/>
      <c r="F9" s="9">
        <v>450.0</v>
      </c>
      <c r="G9" s="7"/>
      <c r="H9" s="7"/>
      <c r="I9" s="9" t="s">
        <v>44</v>
      </c>
      <c r="J9" s="7"/>
      <c r="K9" s="9" t="s">
        <v>22</v>
      </c>
      <c r="L9" s="7"/>
      <c r="M9" s="30" t="s">
        <v>16</v>
      </c>
      <c r="N9" s="7"/>
      <c r="O9" s="7"/>
      <c r="Q9" s="43" t="s">
        <v>43</v>
      </c>
      <c r="R9" s="43" t="s">
        <v>18</v>
      </c>
    </row>
    <row r="10" ht="15.75" customHeight="1">
      <c r="A10" s="7"/>
      <c r="B10" s="49">
        <f t="shared" si="1"/>
        <v>43789</v>
      </c>
      <c r="C10" s="7"/>
      <c r="D10" s="7"/>
      <c r="E10" s="9">
        <v>90.0</v>
      </c>
      <c r="F10" s="7"/>
      <c r="G10" s="7"/>
      <c r="H10" s="7"/>
      <c r="I10" s="9" t="s">
        <v>41</v>
      </c>
      <c r="J10" s="7"/>
      <c r="K10" s="9" t="s">
        <v>42</v>
      </c>
      <c r="L10" s="7"/>
      <c r="M10" s="30" t="s">
        <v>16</v>
      </c>
      <c r="N10" s="7"/>
      <c r="O10" s="7"/>
      <c r="Q10" s="43" t="s">
        <v>45</v>
      </c>
      <c r="R10" s="43" t="s">
        <v>18</v>
      </c>
    </row>
    <row r="11" ht="15.75" customHeight="1">
      <c r="A11" s="7"/>
      <c r="B11" s="49">
        <f t="shared" si="1"/>
        <v>43789</v>
      </c>
      <c r="C11" s="7"/>
      <c r="D11" s="7"/>
      <c r="E11" s="7"/>
      <c r="F11" s="9">
        <v>450.0</v>
      </c>
      <c r="G11" s="7"/>
      <c r="H11" s="7"/>
      <c r="I11" s="9" t="s">
        <v>44</v>
      </c>
      <c r="J11" s="7"/>
      <c r="K11" s="9" t="s">
        <v>22</v>
      </c>
      <c r="L11" s="7"/>
      <c r="M11" s="30" t="s">
        <v>16</v>
      </c>
      <c r="N11" s="7"/>
      <c r="O11" s="7"/>
      <c r="Q11" s="43" t="s">
        <v>46</v>
      </c>
      <c r="R11" s="43" t="s">
        <v>18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