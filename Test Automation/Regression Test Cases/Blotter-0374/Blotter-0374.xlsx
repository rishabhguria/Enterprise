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SymbolToWatchlist" sheetId="4" r:id="rId6"/>
    <sheet state="visible" name="TradeFromWatchlist" sheetId="5" r:id="rId7"/>
    <sheet state="visible" name="SelectTradeUsingMTT" sheetId="6" r:id="rId8"/>
    <sheet state="visible" name="EditTradeUsingMTT" sheetId="7" r:id="rId9"/>
    <sheet state="visible" name="SelectTradeUsingMTT1" sheetId="8" r:id="rId10"/>
    <sheet state="visible" name="EditTradeUsingMTT1" sheetId="9" r:id="rId11"/>
    <sheet state="visible" name="SelectTradeUsingMTT2" sheetId="10" r:id="rId12"/>
    <sheet state="visible" name="EditTradeUsingMTT2" sheetId="11" r:id="rId13"/>
    <sheet state="visible" name="DoneAwayUsingMTT" sheetId="12" r:id="rId14"/>
    <sheet state="visible" name="TransferToUserOrder" sheetId="13" r:id="rId15"/>
    <sheet state="visible" name="VerifyOrder" sheetId="14" r:id="rId16"/>
    <sheet state="visible" name="LoginClient" sheetId="15" r:id="rId17"/>
  </sheets>
  <definedNames/>
  <calcPr/>
</workbook>
</file>

<file path=xl/sharedStrings.xml><?xml version="1.0" encoding="utf-8"?>
<sst xmlns="http://schemas.openxmlformats.org/spreadsheetml/2006/main" count="163" uniqueCount="40">
  <si>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</si>
  <si>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</si>
  <si>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</si>
  <si>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</si>
  <si>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</si>
  <si>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</si>
  <si>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</si>
  <si>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</si>
  <si>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</si>
  <si>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</si>
  <si>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</si>
  <si>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</si>
  <si>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Watchlist</t>
  </si>
  <si>
    <t>AddSymbolToWatchlist</t>
  </si>
  <si>
    <t>Data Format</t>
  </si>
  <si>
    <t>Input Format</t>
  </si>
  <si>
    <t>SAP</t>
  </si>
  <si>
    <t>IBM</t>
  </si>
  <si>
    <t>FB</t>
  </si>
  <si>
    <t>TradeFromWatchlist</t>
  </si>
  <si>
    <t>Buy</t>
  </si>
  <si>
    <t>MultiTradingTicket</t>
  </si>
  <si>
    <t>SelectTradeUsingMTT</t>
  </si>
  <si>
    <t>EditTradeUsingMTT</t>
  </si>
  <si>
    <t>DoneAwayUsingMTT</t>
  </si>
  <si>
    <t>Blotter</t>
  </si>
  <si>
    <t>TransferToUserOrder</t>
  </si>
  <si>
    <t>jgulbrandsen</t>
  </si>
  <si>
    <t>Yes</t>
  </si>
  <si>
    <t>VerifyOrder</t>
  </si>
  <si>
    <t>NASDAQ</t>
  </si>
  <si>
    <t>US</t>
  </si>
  <si>
    <t>NewMF</t>
  </si>
  <si>
    <t>M</t>
  </si>
  <si>
    <t>Equity</t>
  </si>
  <si>
    <t>jpearce</t>
  </si>
  <si>
    <t>PranaClient</t>
  </si>
  <si>
    <t>LoginClient</t>
  </si>
  <si>
    <t>Support2</t>
  </si>
  <si>
    <t>Nirvana@1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</si>
</sst>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6" fontId="13" numFmtId="0" xfId="0" applyAlignment="1" applyFill="1" applyFont="1">
      <alignment horizontal="right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IFERROR(__xludf.DUMMYFUNCTION("IF(C3="""","""",Transpose(IMPORTRANGE('_Settings'!$B$3,C3&amp;""!A4:A1000"")))"),"AddTabOnWatchlist")</f>
        <v>AddTabOnWatchlist</v>
      </c>
      <c r="C4" s="24" t="str">
        <f>IFERROR(__xludf.DUMMYFUNCTION("""COMPUTED_VALUE"""),"DeleteTabOnWatchlist")</f>
        <v>DeleteTabOnWatchlist</v>
      </c>
      <c r="D4" s="24" t="str">
        <f>IFERROR(__xludf.DUMMYFUNCTION("""COMPUTED_VALUE"""),"AddSymbolToWatchlist")</f>
        <v>AddSymbolToWatchlist</v>
      </c>
      <c r="E4" s="24" t="str">
        <f>IFERROR(__xludf.DUMMYFUNCTION("""COMPUTED_VALUE"""),"TradeFromWatchlist")</f>
        <v>TradeFromWatchlist</v>
      </c>
      <c r="F4" s="24" t="str">
        <f>IFERROR(__xludf.DUMMYFUNCTION("""COMPUTED_VALUE"""),"MultiTradeFromWatchlist")</f>
        <v>MultiTradeFromWatchlist</v>
      </c>
      <c r="G4" s="24" t="str">
        <f>IFERROR(__xludf.DUMMYFUNCTION("""COMPUTED_VALUE"""),"DeleteSymbolFromWatchlist")</f>
        <v>DeleteSymbolFromWatchlist</v>
      </c>
      <c r="H4" s="24" t="str">
        <f>IFERROR(__xludf.DUMMYFUNCTION("""COMPUTED_VALUE"""),"VerifySymbolsOnWatchlist")</f>
        <v>VerifySymbolsOnWatchlist</v>
      </c>
      <c r="I4" s="24" t="str">
        <f>IFERROR(__xludf.DUMMYFUNCTION("""COMPUTED_VALUE"""),"OpenPTTFromWatchlist")</f>
        <v>OpenPTTFromWatchlist</v>
      </c>
      <c r="J4" s="24" t="str">
        <f>IFERROR(__xludf.DUMMYFUNCTION("""COMPUTED_VALUE"""),"SelectTradeWatchlist")</f>
        <v>SelectTradeWatchlist</v>
      </c>
      <c r="K4" s="24" t="str">
        <f>IFERROR(__xludf.DUMMYFUNCTION("""COMPUTED_VALUE"""),"ActionOnWatchlist")</f>
        <v>ActionOnWatchlist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18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IFERROR(__xludf.DUMMYFUNCTION("IF(C3="""","""",Transpose(IMPORTRANGE('_Settings'!$B$3,C3&amp;""!A4:A1000"")))"),"AddTabOnWatchlist")</f>
        <v>AddTabOnWatchlist</v>
      </c>
      <c r="C4" s="24" t="str">
        <f>IFERROR(__xludf.DUMMYFUNCTION("""COMPUTED_VALUE"""),"DeleteTabOnWatchlist")</f>
        <v>DeleteTabOnWatchlist</v>
      </c>
      <c r="D4" s="24" t="str">
        <f>IFERROR(__xludf.DUMMYFUNCTION("""COMPUTED_VALUE"""),"AddSymbolToWatchlist")</f>
        <v>AddSymbolToWatchlist</v>
      </c>
      <c r="E4" s="24" t="str">
        <f>IFERROR(__xludf.DUMMYFUNCTION("""COMPUTED_VALUE"""),"TradeFromWatchlist")</f>
        <v>TradeFromWatchlist</v>
      </c>
      <c r="F4" s="24" t="str">
        <f>IFERROR(__xludf.DUMMYFUNCTION("""COMPUTED_VALUE"""),"MultiTradeFromWatchlist")</f>
        <v>MultiTradeFromWatchlist</v>
      </c>
      <c r="G4" s="24" t="str">
        <f>IFERROR(__xludf.DUMMYFUNCTION("""COMPUTED_VALUE"""),"DeleteSymbolFromWatchlist")</f>
        <v>DeleteSymbolFromWatchlist</v>
      </c>
      <c r="H4" s="24" t="str">
        <f>IFERROR(__xludf.DUMMYFUNCTION("""COMPUTED_VALUE"""),"VerifySymbolsOnWatchlist")</f>
        <v>VerifySymbolsOnWatchlist</v>
      </c>
      <c r="I4" s="24" t="str">
        <f>IFERROR(__xludf.DUMMYFUNCTION("""COMPUTED_VALUE"""),"OpenPTTFromWatchlist")</f>
        <v>OpenPTTFromWatchlist</v>
      </c>
      <c r="J4" s="24" t="str">
        <f>IFERROR(__xludf.DUMMYFUNCTION("""COMPUTED_VALUE"""),"SelectTradeWatchlist")</f>
        <v>SelectTradeWatchlist</v>
      </c>
      <c r="K4" s="24" t="str">
        <f>IFERROR(__xludf.DUMMYFUNCTION("""COMPUTED_VALUE"""),"ActionOnWatchlist")</f>
        <v>ActionOnWatchlist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20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17</v>
      </c>
      <c r="C7" s="12" t="s">
        <v>20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18</v>
      </c>
      <c r="C8" s="12" t="s">
        <v>20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20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IFERROR(__xludf.DUMMYFUNCTION("""COMPUTED_VALUE"""),"FX Operator")</f>
        <v>FX Operator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20</v>
      </c>
      <c r="D6" s="12">
        <v>10.0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20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IFERROR(__xludf.DUMMYFUNCTION("""COMPUTED_VALUE"""),"FX Operator")</f>
        <v>FX Operator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20</v>
      </c>
      <c r="D6" s="12">
        <v>10.0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IFERROR(__xludf.DUMMYFUNCTION("""COMPUTED_VALUE"""),"FX Operator")</f>
        <v>FX Operator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20</v>
      </c>
      <c r="D6" s="12">
        <v>10.0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 t="str">
        <f>IFERROR(__xludf.DUMMYFUNCTION("""COMPUTED_VALUE"""),"PopUpQuantity")</f>
        <v>PopUpQuantity</v>
      </c>
      <c r="AM5" s="29" t="str">
        <f>IFERROR(__xludf.DUMMYFUNCTION("""COMPUTED_VALUE"""),"ResAllowedListPopUp")</f>
        <v>ResAllowedListPopUp</v>
      </c>
      <c r="AN5" s="29" t="str">
        <f>IFERROR(__xludf.DUMMYFUNCTION("""COMPUTED_VALUE"""),"INFORMATIONRELATEDPOPUP_YESORNO")</f>
        <v>INFORMATIONRELATEDPOPUP_YESORNO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20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17</v>
      </c>
      <c r="C7" s="12" t="s">
        <v>20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18</v>
      </c>
      <c r="C8" s="12" t="s">
        <v>20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IFERROR(__xludf.DUMMYFUNCTION("""COMPUTED_VALUE"""),"userName")</f>
        <v>userName</v>
      </c>
      <c r="AY5" s="29" t="str">
        <f>IFERROR(__xludf.DUMMYFUNCTION("""COMPUTED_VALUE"""),"Allocation Scheme Name")</f>
        <v>Allocation Scheme Name</v>
      </c>
      <c r="AZ5" s="29" t="str">
        <f>IFERROR(__xludf.DUMMYFUNCTION("""COMPUTED_VALUE"""),"Allow Transfer")</f>
        <v>Allow Transfer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12" t="s">
        <v>16</v>
      </c>
      <c r="AJ6" s="12" t="s">
        <v>20</v>
      </c>
      <c r="AX6" s="31" t="s">
        <v>27</v>
      </c>
      <c r="AZ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12" t="s">
        <v>17</v>
      </c>
      <c r="AJ7" s="12" t="s">
        <v>20</v>
      </c>
      <c r="AX7" s="31" t="s">
        <v>27</v>
      </c>
      <c r="AZ7" s="9" t="s">
        <v>28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12" t="s">
        <v>18</v>
      </c>
      <c r="AJ8" s="12" t="s">
        <v>20</v>
      </c>
      <c r="AX8" s="31" t="s">
        <v>27</v>
      </c>
      <c r="AZ8" s="9" t="s">
        <v>28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TransferToUserOrder!$4:$4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32" t="s">
        <v>30</v>
      </c>
      <c r="I6" s="32" t="s">
        <v>27</v>
      </c>
      <c r="J6" s="8"/>
      <c r="K6" s="32" t="s">
        <v>31</v>
      </c>
      <c r="L6" s="8"/>
      <c r="M6" s="8"/>
      <c r="N6" s="8"/>
      <c r="O6" s="8"/>
      <c r="AA6" t="s">
        <v>32</v>
      </c>
      <c r="AD6" s="33">
        <v>1.0</v>
      </c>
      <c r="AE6" s="34"/>
      <c r="AF6" s="34" t="s">
        <v>33</v>
      </c>
      <c r="AH6" t="s">
        <v>34</v>
      </c>
      <c r="AI6" s="12" t="s">
        <v>16</v>
      </c>
      <c r="AJ6" s="12" t="s">
        <v>20</v>
      </c>
      <c r="BA6" s="34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32" t="s">
        <v>30</v>
      </c>
      <c r="I7" s="32" t="s">
        <v>27</v>
      </c>
      <c r="J7" s="8"/>
      <c r="K7" s="32" t="s">
        <v>31</v>
      </c>
      <c r="L7" s="8"/>
      <c r="M7" s="8"/>
      <c r="N7" s="8"/>
      <c r="O7" s="8"/>
      <c r="AA7" t="s">
        <v>32</v>
      </c>
      <c r="AD7" s="33">
        <v>1.0</v>
      </c>
      <c r="AE7" s="34"/>
      <c r="AF7" s="34" t="s">
        <v>33</v>
      </c>
      <c r="AH7" t="s">
        <v>34</v>
      </c>
      <c r="AI7" s="12" t="s">
        <v>17</v>
      </c>
      <c r="AJ7" s="12" t="s">
        <v>20</v>
      </c>
      <c r="BA7" s="34" t="s">
        <v>35</v>
      </c>
    </row>
    <row r="8" ht="15.75" customHeight="1">
      <c r="A8" s="8"/>
      <c r="B8" s="8"/>
      <c r="C8" s="8"/>
      <c r="D8" s="8"/>
      <c r="E8" s="8"/>
      <c r="F8" s="8"/>
      <c r="G8" s="8"/>
      <c r="H8" s="32" t="s">
        <v>30</v>
      </c>
      <c r="I8" s="32" t="s">
        <v>27</v>
      </c>
      <c r="J8" s="8"/>
      <c r="K8" s="32" t="s">
        <v>31</v>
      </c>
      <c r="L8" s="8"/>
      <c r="M8" s="8"/>
      <c r="N8" s="8"/>
      <c r="O8" s="8"/>
      <c r="AA8" t="s">
        <v>32</v>
      </c>
      <c r="AD8" s="33">
        <v>1.0</v>
      </c>
      <c r="AE8" s="34"/>
      <c r="AF8" s="34" t="s">
        <v>33</v>
      </c>
      <c r="AH8" t="s">
        <v>34</v>
      </c>
      <c r="AI8" s="12" t="s">
        <v>18</v>
      </c>
      <c r="AJ8" s="12" t="s">
        <v>20</v>
      </c>
      <c r="BA8" s="34" t="s">
        <v>35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38</v>
      </c>
      <c r="C6" s="12" t="s">
        <v>39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