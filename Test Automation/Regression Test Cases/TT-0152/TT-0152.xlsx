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UIPreferencesTT" sheetId="4" r:id="rId6"/>
    <sheet state="visible" name="UpdateRoundLot" sheetId="5" r:id="rId7"/>
    <sheet state="visible" name="CreateDoneAwayOrder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<sst xmlns="http://schemas.openxmlformats.org/spreadsheetml/2006/main" count="89" uniqueCount="31">
  <si>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</si>
  <si>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</si>
  <si>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</si>
  <si>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</si>
  <si>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</si>
  <si>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</si>
  <si>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</si>
  <si>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</si>
  <si>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</si>
  <si>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</si>
  <si>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</si>
  <si>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</si>
  <si>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</si>
  <si>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SetUIPreferencesTT</t>
  </si>
  <si>
    <t>Data Format</t>
  </si>
  <si>
    <t>Input Format</t>
  </si>
  <si>
    <t>Quantity</t>
  </si>
  <si>
    <t>Admin</t>
  </si>
  <si>
    <t>UpdateRoundLot</t>
  </si>
  <si>
    <t>AAPL</t>
  </si>
  <si>
    <t>CreateDoneAwayOrder</t>
  </si>
  <si>
    <t>Buy</t>
  </si>
  <si>
    <t>Allocation1</t>
  </si>
  <si>
    <t>Increase</t>
  </si>
  <si>
    <t>Sell</t>
  </si>
  <si>
    <t>Sell short</t>
  </si>
  <si>
    <t>Buy to Close</t>
  </si>
  <si>
    <t>Decrease</t>
  </si>
  <si>
    <t>Blotter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</si>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</sst>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IFERROR(__xludf.DUMMYFUNCTION("""COMPUTED_VALUE"""),"Order Type")</f>
        <v>Order Type</v>
      </c>
      <c r="E5" s="27" t="str">
        <f>IFERROR(__xludf.DUMMYFUNCTION("""COMPUTED_VALUE"""),"TIF")</f>
        <v>TIF</v>
      </c>
      <c r="F5" s="28" t="str">
        <f>IFERROR(__xludf.DUMMYFUNCTION("""COMPUTED_VALUE"""),"Handling Instruction")</f>
        <v>Handling Instruction</v>
      </c>
      <c r="G5" s="27" t="str">
        <f>IFERROR(__xludf.DUMMYFUNCTION("""COMPUTED_VALUE"""),"Execution Instruction")</f>
        <v>Execution Instruction</v>
      </c>
      <c r="H5" s="27" t="str">
        <f>IFERROR(__xludf.DUMMYFUNCTION("""COMPUTED_VALUE"""),"Strategy")</f>
        <v>Strategy</v>
      </c>
      <c r="I5" s="27" t="str">
        <f>IFERROR(__xludf.DUMMYFUNCTION("""COMPUTED_VALUE"""),"Account")</f>
        <v>Account</v>
      </c>
      <c r="J5" s="27" t="str">
        <f>IFERROR(__xludf.DUMMYFUNCTION("""COMPUTED_VALUE"""),"Settlement Currency")</f>
        <v>Settlement Currency</v>
      </c>
      <c r="K5" s="27" t="str">
        <f>IFERROR(__xludf.DUMMYFUNCTION("""COMPUTED_VALUE"""),"Trader")</f>
        <v>Trader</v>
      </c>
      <c r="L5" s="27" t="str">
        <f>IFERROR(__xludf.DUMMYFUNCTION("""COMPUTED_VALUE"""),"Default Quantity")</f>
        <v>Default Quantity</v>
      </c>
      <c r="M5" s="27" t="str">
        <f>IFERROR(__xludf.DUMMYFUNCTION("""COMPUTED_VALUE"""),"Apply Round Lots")</f>
        <v>Apply Round Lots</v>
      </c>
      <c r="N5" s="27" t="str">
        <f>IFERROR(__xludf.DUMMYFUNCTION("""COMPUTED_VALUE"""),"Quantity")</f>
        <v>Quantity</v>
      </c>
      <c r="O5" s="27" t="str">
        <f>IFERROR(__xludf.DUMMYFUNCTION("""COMPUTED_VALUE"""),"Increase On Quantity")</f>
        <v>Increase On Quantity</v>
      </c>
      <c r="P5" s="27" t="str">
        <f>IFERROR(__xludf.DUMMYFUNCTION("""COMPUTED_VALUE"""),"Increase On Stop")</f>
        <v>Increase On Stop</v>
      </c>
      <c r="Q5" s="27" t="str">
        <f>IFERROR(__xludf.DUMMYFUNCTION("""COMPUTED_VALUE"""),"Increase On Limit")</f>
        <v>Increase On Limit</v>
      </c>
      <c r="R5" s="27" t="str">
        <f>IFERROR(__xludf.DUMMYFUNCTION("""COMPUTED_VALUE"""),"Broker_Enable?")</f>
        <v>Broker_Enable?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12" t="s">
        <v>16</v>
      </c>
      <c r="M6" s="8"/>
      <c r="N6" s="8"/>
      <c r="O6" s="12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50.0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21</v>
      </c>
      <c r="D6" s="12">
        <v>100.0</v>
      </c>
      <c r="E6" s="30"/>
      <c r="F6" s="12" t="s">
        <v>22</v>
      </c>
      <c r="G6" s="8"/>
      <c r="H6" s="8"/>
      <c r="I6" s="8"/>
      <c r="J6" s="12">
        <v>2.0</v>
      </c>
      <c r="K6" s="8"/>
      <c r="L6" s="8"/>
      <c r="M6" s="8"/>
      <c r="N6" s="8"/>
      <c r="O6" s="8"/>
      <c r="AX6" s="9" t="s">
        <v>23</v>
      </c>
    </row>
    <row r="7" ht="15.75" customHeight="1">
      <c r="A7" s="12"/>
      <c r="B7" s="12" t="s">
        <v>19</v>
      </c>
      <c r="C7" s="12" t="s">
        <v>24</v>
      </c>
      <c r="D7" s="12">
        <v>100.0</v>
      </c>
      <c r="E7" s="30"/>
      <c r="F7" s="12" t="s">
        <v>22</v>
      </c>
      <c r="G7" s="8"/>
      <c r="H7" s="8"/>
      <c r="I7" s="8"/>
      <c r="J7" s="12">
        <v>2.0</v>
      </c>
      <c r="K7" s="8"/>
      <c r="L7" s="8"/>
      <c r="M7" s="8"/>
      <c r="N7" s="8"/>
      <c r="O7" s="8"/>
      <c r="AX7" s="9" t="s">
        <v>23</v>
      </c>
    </row>
    <row r="8" ht="15.75" customHeight="1">
      <c r="A8" s="12"/>
      <c r="B8" s="12" t="s">
        <v>19</v>
      </c>
      <c r="C8" s="12" t="s">
        <v>25</v>
      </c>
      <c r="D8" s="12">
        <v>100.0</v>
      </c>
      <c r="E8" s="30"/>
      <c r="F8" s="12" t="s">
        <v>22</v>
      </c>
      <c r="G8" s="8"/>
      <c r="H8" s="8"/>
      <c r="I8" s="8"/>
      <c r="J8" s="12">
        <v>2.0</v>
      </c>
      <c r="K8" s="8"/>
      <c r="L8" s="8"/>
      <c r="M8" s="8"/>
      <c r="N8" s="8"/>
      <c r="O8" s="8"/>
      <c r="AX8" s="9" t="s">
        <v>23</v>
      </c>
    </row>
    <row r="9" ht="15.75" customHeight="1">
      <c r="A9" s="12"/>
      <c r="B9" s="12" t="s">
        <v>19</v>
      </c>
      <c r="C9" s="12" t="s">
        <v>26</v>
      </c>
      <c r="D9" s="12">
        <v>100.0</v>
      </c>
      <c r="E9" s="30"/>
      <c r="F9" s="12" t="s">
        <v>22</v>
      </c>
      <c r="G9" s="8"/>
      <c r="H9" s="8"/>
      <c r="I9" s="8"/>
      <c r="J9" s="12">
        <v>2.0</v>
      </c>
      <c r="K9" s="8"/>
      <c r="L9" s="8"/>
      <c r="M9" s="8"/>
      <c r="N9" s="8"/>
      <c r="O9" s="8"/>
      <c r="AX9" s="9" t="s">
        <v>23</v>
      </c>
    </row>
    <row r="10" ht="15.75" customHeight="1">
      <c r="A10" s="31"/>
      <c r="B10" s="31" t="s">
        <v>19</v>
      </c>
      <c r="C10" s="31" t="s">
        <v>21</v>
      </c>
      <c r="D10" s="32">
        <v>100.0</v>
      </c>
      <c r="E10" s="31"/>
      <c r="F10" s="31" t="s">
        <v>22</v>
      </c>
      <c r="G10" s="31"/>
      <c r="H10" s="31"/>
      <c r="I10" s="31"/>
      <c r="J10" s="32">
        <v>2.0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3" t="s">
        <v>27</v>
      </c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1" t="s">
        <v>19</v>
      </c>
      <c r="C11" s="31" t="s">
        <v>24</v>
      </c>
      <c r="D11" s="32">
        <v>100.0</v>
      </c>
      <c r="E11" s="31"/>
      <c r="F11" s="31" t="s">
        <v>22</v>
      </c>
      <c r="G11" s="31"/>
      <c r="H11" s="31"/>
      <c r="I11" s="31"/>
      <c r="J11" s="32">
        <v>2.0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3" t="s">
        <v>27</v>
      </c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1" t="s">
        <v>19</v>
      </c>
      <c r="C12" s="31" t="s">
        <v>25</v>
      </c>
      <c r="D12" s="32">
        <v>100.0</v>
      </c>
      <c r="E12" s="31"/>
      <c r="F12" s="31" t="s">
        <v>22</v>
      </c>
      <c r="G12" s="31"/>
      <c r="H12" s="31"/>
      <c r="I12" s="31"/>
      <c r="J12" s="32">
        <v>2.0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3" t="s">
        <v>27</v>
      </c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1" t="s">
        <v>19</v>
      </c>
      <c r="C13" s="31" t="s">
        <v>26</v>
      </c>
      <c r="D13" s="32">
        <v>100.0</v>
      </c>
      <c r="E13" s="31"/>
      <c r="F13" s="31" t="s">
        <v>22</v>
      </c>
      <c r="G13" s="31"/>
      <c r="H13" s="31"/>
      <c r="I13" s="31"/>
      <c r="J13" s="32">
        <v>2.0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3" t="s">
        <v>27</v>
      </c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31" t="s">
        <v>19</v>
      </c>
      <c r="AJ6" s="31" t="s">
        <v>21</v>
      </c>
      <c r="AK6" s="31" t="s">
        <v>30</v>
      </c>
      <c r="AL6" s="34">
        <v>200.0</v>
      </c>
      <c r="AM6" s="34">
        <v>200.0</v>
      </c>
      <c r="AN6" s="31"/>
      <c r="AO6" s="31"/>
      <c r="AP6" s="31"/>
      <c r="AQ6" s="35">
        <v>2.0</v>
      </c>
      <c r="AR6" s="31"/>
      <c r="AS6" s="31"/>
      <c r="AT6" s="31" t="s">
        <v>22</v>
      </c>
    </row>
    <row r="7" ht="15.75" customHeight="1">
      <c r="A7" s="12"/>
      <c r="B7" s="12"/>
      <c r="C7" s="8"/>
      <c r="D7" s="12">
        <v>2.0</v>
      </c>
      <c r="E7" s="30"/>
      <c r="F7" s="8"/>
      <c r="G7" s="8"/>
      <c r="H7" s="8"/>
      <c r="I7" s="8"/>
      <c r="J7" s="8"/>
      <c r="K7" s="8"/>
      <c r="L7" s="8"/>
      <c r="M7" s="8"/>
      <c r="N7" s="8"/>
      <c r="O7" s="8"/>
      <c r="AI7" s="31" t="s">
        <v>19</v>
      </c>
      <c r="AJ7" s="33" t="s">
        <v>24</v>
      </c>
      <c r="AK7" s="31" t="s">
        <v>30</v>
      </c>
      <c r="AL7" s="34">
        <v>200.0</v>
      </c>
      <c r="AM7" s="34">
        <v>200.0</v>
      </c>
      <c r="AN7" s="31"/>
      <c r="AO7" s="31"/>
      <c r="AP7" s="31"/>
      <c r="AQ7" s="35">
        <v>2.0</v>
      </c>
      <c r="AR7" s="31"/>
      <c r="AS7" s="31"/>
      <c r="AT7" s="31" t="s">
        <v>22</v>
      </c>
    </row>
    <row r="8" ht="15.75" customHeight="1">
      <c r="A8" s="12"/>
      <c r="B8" s="12"/>
      <c r="C8" s="8"/>
      <c r="D8" s="12">
        <v>2.0</v>
      </c>
      <c r="E8" s="30"/>
      <c r="F8" s="8"/>
      <c r="G8" s="8"/>
      <c r="H8" s="8"/>
      <c r="I8" s="8"/>
      <c r="J8" s="8"/>
      <c r="K8" s="8"/>
      <c r="L8" s="8"/>
      <c r="M8" s="8"/>
      <c r="N8" s="8"/>
      <c r="O8" s="8"/>
      <c r="AI8" s="31" t="s">
        <v>19</v>
      </c>
      <c r="AJ8" s="33" t="s">
        <v>25</v>
      </c>
      <c r="AK8" s="31" t="s">
        <v>30</v>
      </c>
      <c r="AL8" s="34">
        <v>200.0</v>
      </c>
      <c r="AM8" s="34">
        <v>200.0</v>
      </c>
      <c r="AN8" s="31"/>
      <c r="AO8" s="31"/>
      <c r="AP8" s="31"/>
      <c r="AQ8" s="35">
        <v>2.0</v>
      </c>
      <c r="AR8" s="31"/>
      <c r="AS8" s="31"/>
      <c r="AT8" s="31" t="s">
        <v>22</v>
      </c>
    </row>
    <row r="9" ht="15.75" customHeight="1">
      <c r="A9" s="12"/>
      <c r="B9" s="12"/>
      <c r="C9" s="8"/>
      <c r="D9" s="12">
        <v>2.0</v>
      </c>
      <c r="E9" s="30"/>
      <c r="F9" s="8"/>
      <c r="G9" s="8"/>
      <c r="H9" s="8"/>
      <c r="I9" s="8"/>
      <c r="J9" s="8"/>
      <c r="K9" s="8"/>
      <c r="L9" s="8"/>
      <c r="M9" s="8"/>
      <c r="N9" s="8"/>
      <c r="O9" s="8"/>
      <c r="AI9" s="31" t="s">
        <v>19</v>
      </c>
      <c r="AJ9" s="33" t="s">
        <v>26</v>
      </c>
      <c r="AK9" s="31" t="s">
        <v>30</v>
      </c>
      <c r="AL9" s="34">
        <v>200.0</v>
      </c>
      <c r="AM9" s="34">
        <v>200.0</v>
      </c>
      <c r="AN9" s="31"/>
      <c r="AO9" s="31"/>
      <c r="AP9" s="31"/>
      <c r="AQ9" s="35">
        <v>2.0</v>
      </c>
      <c r="AR9" s="31"/>
      <c r="AS9" s="31"/>
      <c r="AT9" s="31" t="s">
        <v>22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