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DailyCash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PricingInput" sheetId="12" r:id="rId14"/>
    <sheet state="visible" name="AddCashTransaction" sheetId="13" r:id="rId15"/>
    <sheet state="visible" name="GetDayEndCash" sheetId="14" r:id="rId16"/>
    <sheet state="visible" name="GetAccountBalance" sheetId="15" r:id="rId17"/>
    <sheet state="visible" name="GetDataAllocation" sheetId="16" r:id="rId18"/>
    <sheet state="visible" name="CreateComplianceOrder" sheetId="17" r:id="rId19"/>
    <sheet state="visible" name="VerifyComplianceOrder" sheetId="18" r:id="rId20"/>
    <sheet state="visible" name="GetCashTransaction" sheetId="19" r:id="rId21"/>
    <sheet state="visible" name="UpdateExpnlConfig" sheetId="20" r:id="rId22"/>
    <sheet state="visible" name="UpdateMultipleDailyCash" sheetId="21" r:id="rId23"/>
    <sheet state="visible" name="BookOrUpdateSwap1" sheetId="22" r:id="rId24"/>
    <sheet state="visible" name="SelectAllocatedGroup1" sheetId="23" r:id="rId25"/>
  </sheets>
  <definedNames/>
  <calcPr/>
</workbook>
</file>

<file path=xl/sharedStrings.xml><?xml version="1.0" encoding="utf-8"?>
<sst xmlns="http://schemas.openxmlformats.org/spreadsheetml/2006/main" count="299" uniqueCount="73">
  <si>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</si>
  <si>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</si>
  <si>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</si>
  <si>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</si>
  <si>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</si>
  <si>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</si>
  <si>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</si>
  <si>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</si>
  <si>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</si>
  <si>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</si>
  <si>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</si>
  <si>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</si>
  <si>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</si>
  <si>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</si>
  <si>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</si>
  <si>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</si>
  <si>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</si>
  <si>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</si>
  <si>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</si>
  <si>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</si>
  <si>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</si>
  <si>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</si>
  <si>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</si>
  <si>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</si>
  <si>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</si>
  <si>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</si>
  <si>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</si>
  <si>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</si>
  <si>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</si>
  <si>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DailyValuation</t>
  </si>
  <si>
    <t>GetDailyCash</t>
  </si>
  <si>
    <t>UpdateDailyCash</t>
  </si>
  <si>
    <t>USD</t>
  </si>
  <si>
    <t>GetMarkPriceData</t>
  </si>
  <si>
    <t>UpdateMarkPrice</t>
  </si>
  <si>
    <t>COP</t>
  </si>
  <si>
    <t>GetForexConversion</t>
  </si>
  <si>
    <t>UpdateForexConversion</t>
  </si>
  <si>
    <t>CAD</t>
  </si>
  <si>
    <t>CAD AO-FX</t>
  </si>
  <si>
    <t>PricingInput</t>
  </si>
  <si>
    <t>GeneralLedger</t>
  </si>
  <si>
    <t>AddCashTransaction</t>
  </si>
  <si>
    <t>DividendIncome</t>
  </si>
  <si>
    <t>GetDayEndCash</t>
  </si>
  <si>
    <t>GetAccountBalance</t>
  </si>
  <si>
    <t>Allocation</t>
  </si>
  <si>
    <t>GetDataAllocation</t>
  </si>
  <si>
    <t>Historical</t>
  </si>
  <si>
    <t>CreateComplianceOrder</t>
  </si>
  <si>
    <t>CreateOrder</t>
  </si>
  <si>
    <t>VerifyComplianceOrder</t>
  </si>
  <si>
    <t>Soft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</si>
  <si>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</si>
  <si>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</si>
  <si>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Allocation1-O:COP 14O62.50</t>
  </si>
  <si>
    <t>Multiple</t>
  </si>
  <si>
    <t>quantity: 310.00, dayPnLBase: 100,000.00, dayPnLLocal: 100,000.00, netMarketValueBase: 620,000.00, netMarketValueLocal: 620,000.00, selectedFeedPrice: 20.00, accountNav: 665,173.3333, AccountShortName: Allocation1, Symbol: O:COP 14O62.50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</si>
  <si>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</si>
  <si>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</si>
  <si>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quantity: 10.00, avgPrice: 20.00, selectedFeedPrice: 20.00, netMarketValueBase: 20,000.00, netExposureLocal: -20,000.00, Symbol: O:COP 14O62.50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</si>
  <si>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</si>
  <si>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</si>
  <si>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NewMF-O:COP 14O62.50</t>
  </si>
  <si>
    <t>quantity: 310.00, dayPnLBase: 100,000.00, dayPnLLocal: 100,000.00, netMarketValueBase: 620,000.00, netMarketValueLocal: 620,000.00, selectedFeedPrice: 20.00, masterFundNav: 766,973.3333, MasterFundName: NewMF, Symbol: O:COP 14O62.50</t>
  </si>
  <si>
    <t>GetCashTransaction</t>
  </si>
  <si>
    <t>Expnl</t>
  </si>
  <si>
    <t>UpdateExpnlConfig</t>
  </si>
  <si>
    <t>CalculateFxGainLossOnFutures</t>
  </si>
  <si>
    <t>IsM2MIncludedInCash</t>
  </si>
  <si>
    <t>UpdateMultipleDailyCash</t>
  </si>
  <si>
    <t>BookOrUpdateSwap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</si>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</sst>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11.0"/>
      <color rgb="FF202124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6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0" fillId="4" fontId="14" numFmtId="0" xfId="0" applyFont="1"/>
    <xf borderId="6" fillId="6" fontId="15" numFmtId="0" xfId="0" applyAlignment="1" applyBorder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10.0</v>
      </c>
      <c r="K6" s="35"/>
      <c r="L6" s="35"/>
      <c r="M6" s="35"/>
      <c r="N6" s="37">
        <f>TODAY()-28</f>
        <v>44909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 t="s">
        <v>19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39" t="s">
        <v>20</v>
      </c>
      <c r="C7" s="40" t="s">
        <v>17</v>
      </c>
      <c r="D7" s="41">
        <v>100.0</v>
      </c>
      <c r="E7" s="40"/>
      <c r="F7" s="40" t="s">
        <v>21</v>
      </c>
      <c r="G7" s="40"/>
      <c r="H7" s="40"/>
      <c r="I7" s="40"/>
      <c r="J7" s="42">
        <v>2.0</v>
      </c>
      <c r="K7" s="40"/>
      <c r="L7" s="40"/>
      <c r="M7" s="40"/>
      <c r="N7" s="43">
        <f t="shared" ref="N7:N20" si="1">TODAY()-1</f>
        <v>44936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">
        <v>19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0"/>
      <c r="B8" s="40" t="s">
        <v>22</v>
      </c>
      <c r="C8" s="40" t="s">
        <v>17</v>
      </c>
      <c r="D8" s="42">
        <v>100.0</v>
      </c>
      <c r="E8" s="40"/>
      <c r="F8" s="40" t="s">
        <v>21</v>
      </c>
      <c r="G8" s="40"/>
      <c r="H8" s="40"/>
      <c r="I8" s="40"/>
      <c r="J8" s="42">
        <v>2.0</v>
      </c>
      <c r="K8" s="40"/>
      <c r="L8" s="40"/>
      <c r="M8" s="40"/>
      <c r="N8" s="43">
        <f t="shared" si="1"/>
        <v>44936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">
        <v>19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40"/>
      <c r="B9" s="40" t="s">
        <v>23</v>
      </c>
      <c r="C9" s="40" t="s">
        <v>17</v>
      </c>
      <c r="D9" s="42">
        <v>100.0</v>
      </c>
      <c r="E9" s="40"/>
      <c r="F9" s="40" t="s">
        <v>21</v>
      </c>
      <c r="G9" s="40"/>
      <c r="H9" s="40"/>
      <c r="I9" s="40"/>
      <c r="J9" s="42">
        <v>2.0</v>
      </c>
      <c r="K9" s="40"/>
      <c r="L9" s="40"/>
      <c r="M9" s="40"/>
      <c r="N9" s="43">
        <f t="shared" si="1"/>
        <v>44936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">
        <v>19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40"/>
      <c r="B10" s="40" t="s">
        <v>24</v>
      </c>
      <c r="C10" s="40" t="s">
        <v>17</v>
      </c>
      <c r="D10" s="42">
        <v>100.0</v>
      </c>
      <c r="E10" s="40"/>
      <c r="F10" s="40" t="s">
        <v>21</v>
      </c>
      <c r="G10" s="40"/>
      <c r="H10" s="40"/>
      <c r="I10" s="40"/>
      <c r="J10" s="42">
        <v>2.0</v>
      </c>
      <c r="K10" s="40"/>
      <c r="L10" s="40"/>
      <c r="M10" s="40"/>
      <c r="N10" s="43">
        <f t="shared" si="1"/>
        <v>44936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 t="s">
        <v>19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40"/>
      <c r="B11" s="40" t="s">
        <v>25</v>
      </c>
      <c r="C11" s="40" t="s">
        <v>17</v>
      </c>
      <c r="D11" s="42">
        <v>100.0</v>
      </c>
      <c r="E11" s="40"/>
      <c r="F11" s="40" t="s">
        <v>21</v>
      </c>
      <c r="G11" s="40"/>
      <c r="H11" s="40"/>
      <c r="I11" s="40"/>
      <c r="J11" s="42">
        <v>2.0</v>
      </c>
      <c r="K11" s="40"/>
      <c r="L11" s="40"/>
      <c r="M11" s="40"/>
      <c r="N11" s="43">
        <f t="shared" si="1"/>
        <v>44936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">
        <v>19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40"/>
      <c r="B12" s="40" t="s">
        <v>26</v>
      </c>
      <c r="C12" s="40" t="s">
        <v>17</v>
      </c>
      <c r="D12" s="42">
        <v>100.0</v>
      </c>
      <c r="E12" s="40"/>
      <c r="F12" s="40" t="s">
        <v>21</v>
      </c>
      <c r="G12" s="40"/>
      <c r="H12" s="40"/>
      <c r="I12" s="40"/>
      <c r="J12" s="42">
        <v>2.0</v>
      </c>
      <c r="K12" s="40"/>
      <c r="L12" s="40"/>
      <c r="M12" s="40"/>
      <c r="N12" s="43">
        <f t="shared" si="1"/>
        <v>44936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">
        <v>19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40"/>
      <c r="B13" s="44">
        <v>1.23456789E8</v>
      </c>
      <c r="C13" s="40" t="s">
        <v>17</v>
      </c>
      <c r="D13" s="42">
        <v>100.0</v>
      </c>
      <c r="E13" s="40"/>
      <c r="F13" s="40" t="s">
        <v>21</v>
      </c>
      <c r="G13" s="40"/>
      <c r="H13" s="40"/>
      <c r="I13" s="40"/>
      <c r="J13" s="42">
        <v>2.0</v>
      </c>
      <c r="K13" s="40"/>
      <c r="L13" s="40"/>
      <c r="M13" s="40"/>
      <c r="N13" s="43">
        <f t="shared" si="1"/>
        <v>44936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">
        <v>19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40"/>
      <c r="B14" s="40" t="s">
        <v>20</v>
      </c>
      <c r="C14" s="40" t="s">
        <v>17</v>
      </c>
      <c r="D14" s="42">
        <v>100.0</v>
      </c>
      <c r="E14" s="44">
        <v>0.0</v>
      </c>
      <c r="F14" s="40" t="s">
        <v>21</v>
      </c>
      <c r="G14" s="40"/>
      <c r="H14" s="40"/>
      <c r="I14" s="40"/>
      <c r="J14" s="42">
        <v>2.0</v>
      </c>
      <c r="K14" s="40"/>
      <c r="L14" s="40"/>
      <c r="M14" s="40"/>
      <c r="N14" s="43">
        <f t="shared" si="1"/>
        <v>44936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">
        <v>19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40"/>
      <c r="B15" s="40" t="s">
        <v>22</v>
      </c>
      <c r="C15" s="40" t="s">
        <v>17</v>
      </c>
      <c r="D15" s="42">
        <v>100.0</v>
      </c>
      <c r="E15" s="44">
        <v>0.0</v>
      </c>
      <c r="F15" s="40" t="s">
        <v>21</v>
      </c>
      <c r="G15" s="40"/>
      <c r="H15" s="40"/>
      <c r="I15" s="40"/>
      <c r="J15" s="42">
        <v>2.0</v>
      </c>
      <c r="K15" s="40"/>
      <c r="L15" s="40"/>
      <c r="M15" s="40"/>
      <c r="N15" s="43">
        <f t="shared" si="1"/>
        <v>44936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">
        <v>19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40"/>
      <c r="B16" s="40" t="s">
        <v>23</v>
      </c>
      <c r="C16" s="40" t="s">
        <v>17</v>
      </c>
      <c r="D16" s="42">
        <v>100.0</v>
      </c>
      <c r="E16" s="44">
        <v>0.0</v>
      </c>
      <c r="F16" s="40" t="s">
        <v>21</v>
      </c>
      <c r="G16" s="40"/>
      <c r="H16" s="40"/>
      <c r="I16" s="40"/>
      <c r="J16" s="42">
        <v>2.0</v>
      </c>
      <c r="K16" s="40"/>
      <c r="L16" s="40"/>
      <c r="M16" s="40"/>
      <c r="N16" s="43">
        <f t="shared" si="1"/>
        <v>44936</v>
      </c>
      <c r="O16" s="40"/>
      <c r="P16" s="40"/>
      <c r="Q16" s="40"/>
      <c r="R16" s="40"/>
      <c r="S16" s="40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">
        <v>19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40"/>
      <c r="B17" s="40" t="s">
        <v>24</v>
      </c>
      <c r="C17" s="40" t="s">
        <v>17</v>
      </c>
      <c r="D17" s="42">
        <v>100.0</v>
      </c>
      <c r="E17" s="44">
        <v>0.0</v>
      </c>
      <c r="F17" s="40" t="s">
        <v>21</v>
      </c>
      <c r="G17" s="40"/>
      <c r="H17" s="40"/>
      <c r="I17" s="40"/>
      <c r="J17" s="42">
        <v>2.0</v>
      </c>
      <c r="K17" s="40"/>
      <c r="L17" s="40"/>
      <c r="M17" s="40"/>
      <c r="N17" s="43">
        <f t="shared" si="1"/>
        <v>44936</v>
      </c>
      <c r="O17" s="40"/>
      <c r="P17" s="40"/>
      <c r="Q17" s="40"/>
      <c r="R17" s="40"/>
      <c r="S17" s="40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">
        <v>19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40"/>
      <c r="B18" s="40" t="s">
        <v>25</v>
      </c>
      <c r="C18" s="40" t="s">
        <v>17</v>
      </c>
      <c r="D18" s="42">
        <v>100.0</v>
      </c>
      <c r="E18" s="44">
        <v>0.0</v>
      </c>
      <c r="F18" s="40" t="s">
        <v>21</v>
      </c>
      <c r="G18" s="40"/>
      <c r="H18" s="40"/>
      <c r="I18" s="40"/>
      <c r="J18" s="42">
        <v>2.0</v>
      </c>
      <c r="K18" s="40"/>
      <c r="L18" s="40"/>
      <c r="M18" s="40"/>
      <c r="N18" s="43">
        <f t="shared" si="1"/>
        <v>44936</v>
      </c>
      <c r="O18" s="40"/>
      <c r="P18" s="40"/>
      <c r="Q18" s="40"/>
      <c r="R18" s="40"/>
      <c r="S18" s="40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">
        <v>19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40"/>
      <c r="B19" s="40" t="s">
        <v>26</v>
      </c>
      <c r="C19" s="40" t="s">
        <v>17</v>
      </c>
      <c r="D19" s="42">
        <v>100.0</v>
      </c>
      <c r="E19" s="44">
        <v>0.0</v>
      </c>
      <c r="F19" s="40" t="s">
        <v>21</v>
      </c>
      <c r="G19" s="40"/>
      <c r="H19" s="40"/>
      <c r="I19" s="40"/>
      <c r="J19" s="42">
        <v>2.0</v>
      </c>
      <c r="K19" s="40"/>
      <c r="L19" s="40"/>
      <c r="M19" s="40"/>
      <c r="N19" s="43">
        <f t="shared" si="1"/>
        <v>44936</v>
      </c>
      <c r="O19" s="40"/>
      <c r="P19" s="40"/>
      <c r="Q19" s="40"/>
      <c r="R19" s="40"/>
      <c r="S19" s="40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">
        <v>19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40"/>
      <c r="B20" s="44">
        <v>1.23456789E8</v>
      </c>
      <c r="C20" s="40" t="s">
        <v>17</v>
      </c>
      <c r="D20" s="42">
        <v>100.0</v>
      </c>
      <c r="E20" s="44">
        <v>0.0</v>
      </c>
      <c r="F20" s="40" t="s">
        <v>21</v>
      </c>
      <c r="G20" s="40"/>
      <c r="H20" s="40"/>
      <c r="I20" s="40"/>
      <c r="J20" s="42">
        <v>2.0</v>
      </c>
      <c r="K20" s="40"/>
      <c r="L20" s="40"/>
      <c r="M20" s="40"/>
      <c r="N20" s="43">
        <f t="shared" si="1"/>
        <v>44936</v>
      </c>
      <c r="O20" s="40"/>
      <c r="P20" s="40"/>
      <c r="Q20" s="40"/>
      <c r="R20" s="40"/>
      <c r="S20" s="40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 t="s">
        <v>19</v>
      </c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40"/>
      <c r="B21" s="45" t="s">
        <v>20</v>
      </c>
      <c r="C21" s="45" t="s">
        <v>17</v>
      </c>
      <c r="D21" s="42">
        <v>100.0</v>
      </c>
      <c r="E21" s="40"/>
      <c r="F21" s="45" t="s">
        <v>27</v>
      </c>
      <c r="G21" s="40"/>
      <c r="H21" s="40"/>
      <c r="I21" s="40"/>
      <c r="J21" s="42">
        <v>2.0</v>
      </c>
      <c r="K21" s="40"/>
      <c r="L21" s="40"/>
      <c r="M21" s="40"/>
      <c r="N21" s="40"/>
      <c r="O21" s="40"/>
      <c r="P21" s="40"/>
      <c r="Q21" s="40"/>
      <c r="R21" s="40"/>
      <c r="S21" s="40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 t="s">
        <v>19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</v>
      </c>
      <c r="C6" s="40" t="s">
        <v>17</v>
      </c>
      <c r="D6" s="41">
        <v>100.0</v>
      </c>
      <c r="E6" s="40"/>
      <c r="F6" s="40" t="s">
        <v>21</v>
      </c>
      <c r="G6" s="40"/>
      <c r="H6" s="40"/>
      <c r="I6" s="40"/>
      <c r="J6" s="42">
        <v>2.0</v>
      </c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40"/>
      <c r="B7" s="40" t="s">
        <v>22</v>
      </c>
      <c r="C7" s="40" t="s">
        <v>17</v>
      </c>
      <c r="D7" s="42">
        <v>100.0</v>
      </c>
      <c r="E7" s="40"/>
      <c r="F7" s="40" t="s">
        <v>21</v>
      </c>
      <c r="G7" s="40"/>
      <c r="H7" s="40"/>
      <c r="I7" s="40"/>
      <c r="J7" s="42">
        <v>2.0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0"/>
      <c r="B8" s="40" t="s">
        <v>23</v>
      </c>
      <c r="C8" s="40" t="s">
        <v>17</v>
      </c>
      <c r="D8" s="42">
        <v>100.0</v>
      </c>
      <c r="E8" s="40"/>
      <c r="F8" s="40" t="s">
        <v>21</v>
      </c>
      <c r="G8" s="40"/>
      <c r="H8" s="40"/>
      <c r="I8" s="40"/>
      <c r="J8" s="42">
        <v>2.0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40"/>
      <c r="B9" s="40" t="s">
        <v>24</v>
      </c>
      <c r="C9" s="40" t="s">
        <v>17</v>
      </c>
      <c r="D9" s="42">
        <v>100.0</v>
      </c>
      <c r="E9" s="40"/>
      <c r="F9" s="40" t="s">
        <v>21</v>
      </c>
      <c r="G9" s="40"/>
      <c r="H9" s="40"/>
      <c r="I9" s="40"/>
      <c r="J9" s="42">
        <v>2.0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40"/>
      <c r="B10" s="40" t="s">
        <v>25</v>
      </c>
      <c r="C10" s="40" t="s">
        <v>17</v>
      </c>
      <c r="D10" s="42">
        <v>100.0</v>
      </c>
      <c r="E10" s="40"/>
      <c r="F10" s="40" t="s">
        <v>21</v>
      </c>
      <c r="G10" s="40"/>
      <c r="H10" s="40"/>
      <c r="I10" s="40"/>
      <c r="J10" s="42">
        <v>2.0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40"/>
      <c r="B11" s="40" t="s">
        <v>26</v>
      </c>
      <c r="C11" s="40" t="s">
        <v>17</v>
      </c>
      <c r="D11" s="42">
        <v>100.0</v>
      </c>
      <c r="E11" s="40"/>
      <c r="F11" s="40" t="s">
        <v>21</v>
      </c>
      <c r="G11" s="40"/>
      <c r="H11" s="40"/>
      <c r="I11" s="40"/>
      <c r="J11" s="42">
        <v>2.0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40"/>
      <c r="B12" s="44">
        <v>1.23456789E8</v>
      </c>
      <c r="C12" s="40" t="s">
        <v>17</v>
      </c>
      <c r="D12" s="42">
        <v>100.0</v>
      </c>
      <c r="E12" s="40"/>
      <c r="F12" s="40" t="s">
        <v>21</v>
      </c>
      <c r="G12" s="40"/>
      <c r="H12" s="40"/>
      <c r="I12" s="40"/>
      <c r="J12" s="42">
        <v>2.0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f t="shared" ref="B6:C6" si="1">today()-1</f>
        <v>44936</v>
      </c>
      <c r="C6" s="46">
        <f t="shared" si="1"/>
        <v>44936</v>
      </c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21</v>
      </c>
      <c r="C6" s="40" t="s">
        <v>32</v>
      </c>
      <c r="D6" s="41">
        <v>100000.0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27</v>
      </c>
      <c r="C7" s="38" t="s">
        <v>32</v>
      </c>
      <c r="D7" s="47">
        <v>100000.0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f t="shared" ref="B6:C6" si="1">today()-1</f>
        <v>44936</v>
      </c>
      <c r="C6" s="46">
        <f t="shared" si="1"/>
        <v>44936</v>
      </c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1.23456789E8</v>
      </c>
      <c r="C6" s="36">
        <v>10.0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20</v>
      </c>
      <c r="C7" s="50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22</v>
      </c>
      <c r="C8" s="47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23</v>
      </c>
      <c r="C9" s="47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24</v>
      </c>
      <c r="C10" s="47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25</v>
      </c>
      <c r="C11" s="47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26</v>
      </c>
      <c r="C12" s="47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35</v>
      </c>
      <c r="C13" s="47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f t="shared" ref="B6:C6" si="1">today()-1</f>
        <v>44936</v>
      </c>
      <c r="C6" s="46">
        <f t="shared" si="1"/>
        <v>44936</v>
      </c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32</v>
      </c>
      <c r="C6" s="45" t="s">
        <v>38</v>
      </c>
      <c r="D6" s="39" t="s">
        <v>39</v>
      </c>
      <c r="E6" s="42">
        <v>1.2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20</v>
      </c>
      <c r="C6" s="42">
        <v>20.0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7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23</v>
      </c>
      <c r="C8" s="47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24</v>
      </c>
      <c r="C9" s="47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7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7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1.23456789E8</v>
      </c>
      <c r="C12" s="47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35</v>
      </c>
      <c r="C13" s="47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40" t="s">
        <v>43</v>
      </c>
      <c r="D6" s="39" t="s">
        <v>20</v>
      </c>
      <c r="E6" s="40"/>
      <c r="F6" s="40" t="s">
        <v>21</v>
      </c>
      <c r="G6" s="40" t="s">
        <v>32</v>
      </c>
      <c r="H6" s="44">
        <v>100000.0</v>
      </c>
      <c r="I6" s="54">
        <f>today()-2</f>
        <v>44935</v>
      </c>
      <c r="J6" s="54">
        <f>today()+8</f>
        <v>44945</v>
      </c>
      <c r="K6" s="54"/>
      <c r="L6" s="54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40" t="s">
        <v>21</v>
      </c>
      <c r="D6" s="46">
        <f>today()-2</f>
        <v>44935</v>
      </c>
      <c r="E6" s="46">
        <f>today()</f>
        <v>44937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40" t="s">
        <v>21</v>
      </c>
      <c r="D6" s="46">
        <f>today()</f>
        <v>44937</v>
      </c>
      <c r="E6" s="55" t="b">
        <v>1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48</v>
      </c>
      <c r="C6" s="46">
        <f>today()-1</f>
        <v>44936</v>
      </c>
      <c r="D6" s="46">
        <f>today()</f>
        <v>44937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25</v>
      </c>
      <c r="C6" s="13" t="s">
        <v>17</v>
      </c>
      <c r="D6" s="13">
        <v>10.0</v>
      </c>
      <c r="E6" s="49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2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52</v>
      </c>
      <c r="C6" s="13" t="s">
        <v>53</v>
      </c>
      <c r="D6" s="13" t="s">
        <v>54</v>
      </c>
      <c r="E6" s="13" t="s">
        <v>55</v>
      </c>
      <c r="F6" s="13" t="s">
        <v>56</v>
      </c>
      <c r="G6" s="13" t="s">
        <v>56</v>
      </c>
      <c r="H6" s="13" t="s">
        <v>57</v>
      </c>
      <c r="I6" s="8"/>
      <c r="J6" s="8"/>
      <c r="K6" s="13" t="s">
        <v>19</v>
      </c>
      <c r="L6" s="8"/>
      <c r="M6" s="13" t="s">
        <v>50</v>
      </c>
      <c r="N6" s="8"/>
      <c r="O6" s="8"/>
    </row>
    <row r="7" ht="15.75" customHeight="1">
      <c r="A7" s="8"/>
      <c r="B7" s="13" t="s">
        <v>52</v>
      </c>
      <c r="C7" s="13" t="s">
        <v>58</v>
      </c>
      <c r="D7" s="13" t="s">
        <v>59</v>
      </c>
      <c r="E7" s="13" t="s">
        <v>25</v>
      </c>
      <c r="F7" s="13" t="s">
        <v>56</v>
      </c>
      <c r="G7" s="13" t="s">
        <v>56</v>
      </c>
      <c r="H7" s="13" t="s">
        <v>60</v>
      </c>
      <c r="I7" s="8"/>
      <c r="J7" s="8"/>
      <c r="K7" s="8"/>
      <c r="L7" s="8"/>
      <c r="M7" s="8"/>
      <c r="N7" s="8"/>
      <c r="O7" s="8"/>
    </row>
    <row r="8" ht="15.75" customHeight="1">
      <c r="B8" s="9" t="s">
        <v>52</v>
      </c>
      <c r="C8" s="9" t="s">
        <v>61</v>
      </c>
      <c r="D8" s="9" t="s">
        <v>62</v>
      </c>
      <c r="E8" s="9" t="s">
        <v>63</v>
      </c>
      <c r="F8" s="9" t="s">
        <v>56</v>
      </c>
      <c r="G8" s="9" t="s">
        <v>56</v>
      </c>
      <c r="H8" s="9" t="s">
        <v>64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21</v>
      </c>
      <c r="C6" s="40"/>
      <c r="D6" s="46">
        <f>today()-3</f>
        <v>44934</v>
      </c>
      <c r="E6" s="46">
        <f>today()</f>
        <v>44937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68</v>
      </c>
      <c r="C6" s="55" t="b">
        <v>0</v>
      </c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8" t="s">
        <v>69</v>
      </c>
      <c r="C7" s="59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0" t="s">
        <v>21</v>
      </c>
      <c r="C6" s="61" t="s">
        <v>32</v>
      </c>
      <c r="D6" s="6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27</v>
      </c>
      <c r="C7" s="52" t="s">
        <v>32</v>
      </c>
      <c r="D7" s="47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>
        <v>100.0</v>
      </c>
      <c r="D6" s="8"/>
      <c r="E6" s="13" t="s">
        <v>21</v>
      </c>
      <c r="F6" s="13" t="s">
        <v>17</v>
      </c>
      <c r="G6" s="8"/>
      <c r="H6" s="13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