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taClosing" sheetId="10" r:id="rId12"/>
    <sheet state="visible" name="AutomaticClosing" sheetId="11" r:id="rId13"/>
    <sheet state="visible" name="GetDayEndCash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<sst xmlns="http://schemas.openxmlformats.org/spreadsheetml/2006/main" count="308" uniqueCount="77">
  <si>
    <t>Modules Info</t>
  </si>
  <si>
    <t>Master Data Info</t>
  </si>
  <si>
    <t>Settings</t>
  </si>
  <si>
    <t>Modules</t>
  </si>
  <si>
    <t>Module</t>
  </si>
  <si>
    <t>Step</t>
  </si>
  <si>
    <t>Module Step Setting File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</si>
  <si>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</si>
  <si>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</si>
  <si>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</si>
  <si>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</si>
  <si>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</si>
  <si>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</si>
  <si>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</si>
  <si>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</si>
  <si>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CreateDoneAwayOrder</t>
  </si>
  <si>
    <t>Data Format</t>
  </si>
  <si>
    <t>Input Format</t>
  </si>
  <si>
    <t>AAPL</t>
  </si>
  <si>
    <t>Buy</t>
  </si>
  <si>
    <t>Allocation1</t>
  </si>
  <si>
    <t xml:space="preserve">Flat Amount </t>
  </si>
  <si>
    <t>FRU-TC</t>
  </si>
  <si>
    <t>Flat Amount</t>
  </si>
  <si>
    <t>BMW-FRA</t>
  </si>
  <si>
    <t>Sell</t>
  </si>
  <si>
    <t>GetForexConversion</t>
  </si>
  <si>
    <t>UpdateMarkPrice</t>
  </si>
  <si>
    <t>UpdateForexConversion</t>
  </si>
  <si>
    <t>PricingInput</t>
  </si>
  <si>
    <t>Closing</t>
  </si>
  <si>
    <t>GetDataClosing</t>
  </si>
  <si>
    <t>Historical</t>
  </si>
  <si>
    <t>AutomaticClosing</t>
  </si>
  <si>
    <t>USD</t>
  </si>
  <si>
    <t>CAD</t>
  </si>
  <si>
    <t>CAD AO-FX</t>
  </si>
  <si>
    <t>EUR</t>
  </si>
  <si>
    <t>USD AO-FX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</si>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</sst>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6" numFmtId="14" xfId="0" applyAlignment="1" applyFont="1" applyNumberFormat="1">
      <alignment readingOrder="0" shrinkToFit="0" wrapText="0"/>
    </xf>
    <xf borderId="0" fillId="0" fontId="6" numFmtId="14" xfId="0" applyAlignment="1" applyFont="1" applyNumberFormat="1">
      <alignment shrinkToFit="0" wrapText="0"/>
    </xf>
    <xf borderId="0" fillId="6" fontId="13" numFmtId="0" xfId="0" applyAlignment="1" applyFill="1" applyFont="1">
      <alignment vertical="bottom"/>
    </xf>
    <xf borderId="0" fillId="6" fontId="14" numFmtId="14" xfId="0" applyFont="1" applyNumberFormat="1"/>
    <xf borderId="0" fillId="6" fontId="13" numFmtId="0" xfId="0" applyAlignment="1" applyFont="1">
      <alignment horizontal="left" readingOrder="0"/>
    </xf>
    <xf borderId="0" fillId="6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5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6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6" numFmtId="4" xfId="0" applyAlignment="1" applyFont="1" applyNumberFormat="1">
      <alignment readingOrder="0" shrinkToFit="0" wrapText="0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vertical="bottom"/>
    </xf>
    <xf borderId="0" fillId="0" fontId="16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8"/>
      <c r="C3" s="10"/>
      <c r="D3" s="10"/>
      <c r="E3" s="10"/>
      <c r="F3" s="10"/>
    </row>
    <row r="4" ht="15.75" customHeight="1">
      <c r="A4" s="11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IFERROR(__xludf.DUMMYFUNCTION("""COMPUTED_VALUE"""),"Undefined")</f>
        <v>Undefined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IFERROR(__xludf.DUMMYFUNCTION("""COMPUTED_VALUE"""),"1ASulLlGAl--JRs7NVIiQ-6Q2Y2P3o7Y40cokKmMg-UA")</f>
        <v>1ASulLlGAl--JRs7NVIiQ-6Q2Y2P3o7Y40cokKmMg-UA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IFERROR(__xludf.DUMMYFUNCTION("""COMPUTED_VALUE"""),"153rAtnJuNh4UK26GjSOxUSjAHcOxzWv7CRGvmhrIJRs")</f>
        <v>153rAtnJuNh4UK26GjSOxUSjAHcOxzWv7CRGvmhrIJRs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IFERROR(__xludf.DUMMYFUNCTION("""COMPUTED_VALUE"""),"14c4GsPTH5D3eyeeKaMiqJQXOT6OiyIKnC2Ey2f-mzXU")</f>
        <v>14c4GsPTH5D3eyeeKaMiqJQXOT6OiyIKnC2Ey2f-mzXU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IFERROR(__xludf.DUMMYFUNCTION("""COMPUTED_VALUE"""),"1FoqTScZHaIaLmwoImnVY7WWuCKEwJNYw8_jsXiT_wz4")</f>
        <v>1FoqTScZHaIaLmwoImnVY7WWuCKEwJNYw8_jsXiT_wz4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IFERROR(__xludf.DUMMYFUNCTION("""COMPUTED_VALUE"""),"1nx-Ntcckcf-w1Yr5yyOw4Vmcr4UsalakHe-CHaRihg0")</f>
        <v>1nx-Ntcckcf-w1Yr5yyOw4Vmcr4UsalakHe-CHaRihg0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IFERROR(__xludf.DUMMYFUNCTION("""COMPUTED_VALUE"""),"1aOr-_cYT21IfJctqcBB50iQOXfB0qUo9bBesL3tt_2o")</f>
        <v>1aOr-_cYT21IfJctqcBB50iQOXfB0qUo9bBesL3tt_2o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IFERROR(__xludf.DUMMYFUNCTION("""COMPUTED_VALUE"""),"1NSNUZ7aVjKq-fJWvjMKU9f1Hhbf0UmIY3RQLFu0_U94")</f>
        <v>1NSNUZ7aVjKq-fJWvjMKU9f1Hhbf0UmIY3RQLFu0_U94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IFERROR(__xludf.DUMMYFUNCTION("""COMPUTED_VALUE"""),"1qcpgHRQFZbpv-NnW8K-CvX_auKXD5UD0KzrBvuBL6yQ")</f>
        <v>1qcpgHRQFZbpv-NnW8K-CvX_auKXD5UD0KzrBvuBL6yQ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IFERROR(__xludf.DUMMYFUNCTION("""COMPUTED_VALUE"""),"1AcxAZQwu6HAEJMCMK3bk08quIeXstZWKnCNeDGuqkgc")</f>
        <v>1AcxAZQwu6HAEJMCMK3bk08quIeXstZWKnCNeDGuqkgc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IFERROR(__xludf.DUMMYFUNCTION("""COMPUTED_VALUE"""),"1VLF0uNJJlumCyBscfuDhTN1tOv-0IRCkYlwfDU8GczQ")</f>
        <v>1VLF0uNJJlumCyBscfuDhTN1tOv-0IRCkYlwfDU8GczQ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IFERROR(__xludf.DUMMYFUNCTION("""COMPUTED_VALUE"""),"1_8MIcc2OK_ojl_V4NIwMLs9H7qkQkwyq9sDf1PpIqc8")</f>
        <v>1_8MIcc2OK_ojl_V4NIwMLs9H7qkQkwyq9sDf1PpIqc8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IFERROR(__xludf.DUMMYFUNCTION("""COMPUTED_VALUE"""),"1tN1tbsnXiVRytGN-WCzTnGTmfRxY2nBklQk3AQSJo2c")</f>
        <v>1tN1tbsnXiVRytGN-WCzTnGTmfRxY2nBklQk3AQSJo2c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IFERROR(__xludf.DUMMYFUNCTION("""COMPUTED_VALUE"""),"1VRRuQCPazoSKAv27NBzQzv_Yw_Kgakw-yyKn6w1zhKU")</f>
        <v>1VRRuQCPazoSKAv27NBzQzv_Yw_Kgakw-yyKn6w1zhKU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IFERROR(__xludf.DUMMYFUNCTION("""COMPUTED_VALUE"""),"1fGo94nf55bWXddEMlTwX902cb1V6cWr9GHWYy_sZ8IU")</f>
        <v>1fGo94nf55bWXddEMlTwX902cb1V6cWr9GHWYy_sZ8IU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IFERROR(__xludf.DUMMYFUNCTION("""COMPUTED_VALUE"""),"1rOMKu0Ez7NdxjtZC05lRrPUSa0tkOQSvbOhxjuijMsU")</f>
        <v>1rOMKu0Ez7NdxjtZC05lRrPUSa0tkOQSvbOhxjuijMsU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IFERROR(__xludf.DUMMYFUNCTION("""COMPUTED_VALUE"""),"1yBi-hp0jcYIFB6ymnlQIlx-pUUkfcjJU7Ap0azBbNcE")</f>
        <v>1yBi-hp0jcYIFB6ymnlQIlx-pUUkfcjJU7Ap0azBbNcE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IFERROR(__xludf.DUMMYFUNCTION("""COMPUTED_VALUE"""),"1x5iUjYB72ZJ35IOvQ_JQkWHV-d1FlgKY3bIxxTpk-f0")</f>
        <v>1x5iUjYB72ZJ35IOvQ_JQkWHV-d1FlgKY3bIxxTpk-f0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IFERROR(__xludf.DUMMYFUNCTION("""COMPUTED_VALUE"""),"1Li5RKULV7Lc2MLczTkVbzq0oDYcFGfTlBUO9__NoODc")</f>
        <v>1Li5RKULV7Lc2MLczTkVbzq0oDYcFGfTlBUO9__NoODc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IFERROR(__xludf.DUMMYFUNCTION("""COMPUTED_VALUE"""),"1vnIE6mL0eHSchRF1qTlJ2JL_Ylu6hiC6uOXpzq7M0BQ")</f>
        <v>1vnIE6mL0eHSchRF1qTlJ2JL_Ylu6hiC6uOXpzq7M0BQ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IFERROR(__xludf.DUMMYFUNCTION("""COMPUTED_VALUE"""),"1KCMHfIqMprTfc21JY7-_BuJZCbNmjdI-pAMs1UtHRgM")</f>
        <v>1KCMHfIqMprTfc21JY7-_BuJZCbNmjdI-pAMs1UtHRgM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IFERROR(__xludf.DUMMYFUNCTION("""COMPUTED_VALUE"""),"1tRgcAtzRVDm6tX53uSpBOxZNBYm4sTcJiDaR4fxdfwY")</f>
        <v>1tRgcAtzRVDm6tX53uSpBOxZNBYm4sTcJiDaR4fxdfwY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IFERROR(__xludf.DUMMYFUNCTION("""COMPUTED_VALUE"""),"12DQ8VFmnoIi6USj-pAupggGf1Uakm-iIEO9IboOJPds")</f>
        <v>12DQ8VFmnoIi6USj-pAupggGf1Uakm-iIEO9IboOJPds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IFERROR(__xludf.DUMMYFUNCTION("""COMPUTED_VALUE"""),"1EinrxkfbLK2Tdj1nGXu4y1H2zmS6g6G85Hm0vYSOHlA")</f>
        <v>1EinrxkfbLK2Tdj1nGXu4y1H2zmS6g6G85Hm0vYSOHlA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IFERROR(__xludf.DUMMYFUNCTION("""COMPUTED_VALUE"""),"1qeUVChEAj0eKA7tNZsUWM4FcqW347Jcsk_tvw1-FP3s")</f>
        <v>1qeUVChEAj0eKA7tNZsUWM4FcqW347Jcsk_tvw1-FP3s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IFERROR(__xludf.DUMMYFUNCTION("""COMPUTED_VALUE"""),"1aVxYFzFjJM4FVvXjfioQc67hI5XgzzCTHLg8f7lbJhU")</f>
        <v>1aVxYFzFjJM4FVvXjfioQc67hI5XgzzCTHLg8f7lbJhU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IFERROR(__xludf.DUMMYFUNCTION("""COMPUTED_VALUE"""),"1Fe8M8KnrsIcnAobjXa43I9IzXKCnB39xCSYterKkeEc")</f>
        <v>1Fe8M8KnrsIcnAobjXa43I9IzXKCnB39xCSYterKkeEc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IFERROR(__xludf.DUMMYFUNCTION("""COMPUTED_VALUE"""),"1qJHd_QH5ht3ZzeFZbKiVeEOBmlpAshwV72N701B28uk")</f>
        <v>1qJHd_QH5ht3ZzeFZbKiVeEOBmlpAshwV72N701B28uk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4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4"/>
    </row>
    <row r="2" ht="15.75" customHeight="1">
      <c r="A2" s="11"/>
      <c r="B2" s="11"/>
      <c r="C2" s="11"/>
    </row>
    <row r="3" ht="15.75" customHeight="1">
      <c r="A3" s="6" t="s">
        <v>6</v>
      </c>
      <c r="B3" s="13" t="s">
        <v>7</v>
      </c>
      <c r="C3" s="11"/>
    </row>
    <row r="4" ht="15.75" customHeight="1">
      <c r="A4" s="7" t="s">
        <v>9</v>
      </c>
      <c r="B4" s="13" t="s">
        <v>10</v>
      </c>
      <c r="C4" s="11"/>
    </row>
    <row r="5" ht="15.75" customHeight="1">
      <c r="A5" s="15"/>
      <c r="B5" s="11"/>
      <c r="C5" s="11"/>
    </row>
    <row r="6" ht="15.75" customHeight="1">
      <c r="A6" s="15"/>
      <c r="B6" s="11"/>
      <c r="C6" s="11"/>
    </row>
    <row r="7" ht="15.75" customHeight="1">
      <c r="A7" s="15"/>
      <c r="B7" s="11"/>
      <c r="C7" s="11"/>
    </row>
    <row r="8" ht="15.75" customHeight="1">
      <c r="A8" s="15"/>
      <c r="B8" s="11"/>
      <c r="C8" s="11"/>
    </row>
    <row r="9" ht="15.75" customHeight="1">
      <c r="A9" s="15"/>
      <c r="B9" s="11"/>
      <c r="C9" s="11"/>
    </row>
    <row r="10" ht="15.75" customHeight="1">
      <c r="A10" s="15"/>
      <c r="B10" s="11"/>
      <c r="C10" s="11"/>
    </row>
    <row r="11" ht="15.75" customHeight="1">
      <c r="A11" s="15"/>
      <c r="B11" s="11"/>
      <c r="C11" s="11"/>
    </row>
    <row r="12" ht="15.75" customHeight="1">
      <c r="A12" s="15"/>
      <c r="B12" s="11"/>
      <c r="C12" s="11"/>
    </row>
    <row r="13" ht="15.75" customHeight="1">
      <c r="A13" s="15"/>
      <c r="B13" s="11"/>
      <c r="C13" s="11"/>
    </row>
    <row r="14" ht="15.75" customHeight="1">
      <c r="A14" s="15"/>
      <c r="B14" s="11"/>
      <c r="C14" s="11"/>
    </row>
    <row r="15" ht="15.75" customHeight="1">
      <c r="A15" s="15"/>
      <c r="B15" s="11"/>
      <c r="C15" s="11"/>
    </row>
    <row r="16" ht="15.75" customHeight="1">
      <c r="A16" s="15"/>
      <c r="B16" s="11"/>
      <c r="C16" s="11"/>
    </row>
    <row r="17" ht="15.75" customHeight="1">
      <c r="A17" s="15"/>
      <c r="B17" s="11"/>
      <c r="C17" s="11"/>
    </row>
    <row r="18" ht="15.75" customHeight="1">
      <c r="A18" s="15"/>
      <c r="B18" s="11"/>
      <c r="C18" s="11"/>
    </row>
    <row r="19" ht="15.75" customHeight="1">
      <c r="A19" s="15"/>
      <c r="B19" s="11"/>
      <c r="C19" s="11"/>
    </row>
    <row r="20" ht="15.75" customHeight="1">
      <c r="A20" s="15"/>
      <c r="B20" s="11"/>
      <c r="C20" s="11"/>
    </row>
    <row r="21" ht="15.75" customHeight="1">
      <c r="A21" s="15"/>
      <c r="B21" s="11"/>
      <c r="C21" s="11"/>
    </row>
    <row r="22" ht="15.75" customHeight="1">
      <c r="A22" s="15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7" t="s">
        <v>4</v>
      </c>
      <c r="B3" s="12" t="s">
        <v>5</v>
      </c>
      <c r="C3" s="12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13</v>
      </c>
      <c r="D3" s="6" t="s">
        <v>5</v>
      </c>
      <c r="E3" s="21" t="s">
        <v>15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0" t="s">
        <v>18</v>
      </c>
      <c r="C6" s="31" t="s">
        <v>19</v>
      </c>
      <c r="D6" s="32">
        <v>100.0</v>
      </c>
      <c r="E6" s="33"/>
      <c r="F6" s="31" t="s">
        <v>20</v>
      </c>
      <c r="G6" s="11"/>
      <c r="H6" s="11"/>
      <c r="I6" s="11"/>
      <c r="J6" s="34">
        <v>190.0</v>
      </c>
      <c r="K6" s="11"/>
      <c r="L6" s="11"/>
      <c r="M6" s="11"/>
      <c r="N6" s="36">
        <f t="shared" ref="N6:N11" si="1">Today()-1</f>
        <v>43662</v>
      </c>
      <c r="O6" s="31"/>
      <c r="R6" s="24" t="s">
        <v>21</v>
      </c>
      <c r="S6" s="34">
        <v>20.0</v>
      </c>
    </row>
    <row r="7" ht="15.75" customHeight="1">
      <c r="A7" s="11"/>
      <c r="B7" s="31" t="s">
        <v>22</v>
      </c>
      <c r="C7" s="31" t="s">
        <v>19</v>
      </c>
      <c r="D7" s="34">
        <v>100.0</v>
      </c>
      <c r="E7" s="11"/>
      <c r="F7" s="37" t="s">
        <v>20</v>
      </c>
      <c r="G7" s="11"/>
      <c r="H7" s="11"/>
      <c r="I7" s="11"/>
      <c r="J7" s="34">
        <v>8.0</v>
      </c>
      <c r="K7" s="11"/>
      <c r="L7" s="11"/>
      <c r="M7" s="11"/>
      <c r="N7" s="38">
        <f t="shared" si="1"/>
        <v>43662</v>
      </c>
      <c r="O7" s="34">
        <v>0.7</v>
      </c>
      <c r="R7" s="39" t="s">
        <v>23</v>
      </c>
      <c r="S7" s="34">
        <v>30.0</v>
      </c>
    </row>
    <row r="8" ht="15.75" customHeight="1">
      <c r="A8" s="11"/>
      <c r="B8" s="31" t="s">
        <v>24</v>
      </c>
      <c r="C8" s="31" t="s">
        <v>19</v>
      </c>
      <c r="D8" s="40">
        <v>100.0</v>
      </c>
      <c r="E8" s="11"/>
      <c r="F8" s="37" t="s">
        <v>20</v>
      </c>
      <c r="G8" s="11"/>
      <c r="H8" s="11"/>
      <c r="I8" s="11"/>
      <c r="J8" s="34">
        <v>60.0</v>
      </c>
      <c r="K8" s="11"/>
      <c r="L8" s="11"/>
      <c r="M8" s="11"/>
      <c r="N8" s="38">
        <f t="shared" si="1"/>
        <v>43662</v>
      </c>
      <c r="O8" s="34">
        <v>1.1</v>
      </c>
      <c r="R8" s="39" t="s">
        <v>23</v>
      </c>
      <c r="S8" s="34">
        <v>40.0</v>
      </c>
    </row>
    <row r="9" ht="15.75" customHeight="1">
      <c r="A9" s="11"/>
      <c r="B9" s="31" t="s">
        <v>22</v>
      </c>
      <c r="C9" s="31" t="s">
        <v>25</v>
      </c>
      <c r="D9" s="40">
        <v>50.0</v>
      </c>
      <c r="E9" s="11"/>
      <c r="F9" s="37" t="s">
        <v>20</v>
      </c>
      <c r="G9" s="11"/>
      <c r="H9" s="11"/>
      <c r="I9" s="11"/>
      <c r="J9" s="34">
        <v>191.0</v>
      </c>
      <c r="K9" s="11"/>
      <c r="L9" s="11"/>
      <c r="M9" s="11"/>
      <c r="N9" s="38">
        <f t="shared" si="1"/>
        <v>43662</v>
      </c>
      <c r="O9" s="34">
        <v>0.71</v>
      </c>
      <c r="R9" s="39" t="s">
        <v>23</v>
      </c>
      <c r="S9" s="34">
        <v>52.0</v>
      </c>
    </row>
    <row r="10" ht="15.75" customHeight="1">
      <c r="A10" s="11"/>
      <c r="B10" s="31" t="s">
        <v>24</v>
      </c>
      <c r="C10" s="31" t="s">
        <v>25</v>
      </c>
      <c r="D10" s="40">
        <v>60.0</v>
      </c>
      <c r="E10" s="11"/>
      <c r="F10" s="37" t="s">
        <v>20</v>
      </c>
      <c r="G10" s="11"/>
      <c r="H10" s="11"/>
      <c r="I10" s="11"/>
      <c r="J10" s="34">
        <v>58.0</v>
      </c>
      <c r="K10" s="11"/>
      <c r="L10" s="11"/>
      <c r="M10" s="11"/>
      <c r="N10" s="38">
        <f t="shared" si="1"/>
        <v>43662</v>
      </c>
      <c r="O10" s="34">
        <v>1.1</v>
      </c>
      <c r="R10" s="39" t="s">
        <v>23</v>
      </c>
      <c r="S10" s="34">
        <v>25.0</v>
      </c>
    </row>
    <row r="11" ht="15.75" customHeight="1">
      <c r="A11" s="11"/>
      <c r="B11" s="31" t="s">
        <v>18</v>
      </c>
      <c r="C11" s="31" t="s">
        <v>25</v>
      </c>
      <c r="D11" s="41">
        <v>58.0</v>
      </c>
      <c r="E11" s="11"/>
      <c r="F11" s="42" t="s">
        <v>20</v>
      </c>
      <c r="G11" s="11"/>
      <c r="H11" s="11"/>
      <c r="I11" s="11"/>
      <c r="J11" s="34">
        <v>189.0</v>
      </c>
      <c r="K11" s="11"/>
      <c r="L11" s="11"/>
      <c r="M11" s="11"/>
      <c r="N11" s="38">
        <f t="shared" si="1"/>
        <v>43662</v>
      </c>
      <c r="O11" s="34"/>
      <c r="R11" s="24" t="s">
        <v>21</v>
      </c>
      <c r="S11" s="34">
        <v>41.0</v>
      </c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14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5">
        <f>Today()-1</f>
        <v>43662</v>
      </c>
      <c r="C6" s="35">
        <f>Today()</f>
        <v>43663</v>
      </c>
      <c r="D6" s="13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27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0" t="s">
        <v>18</v>
      </c>
      <c r="C6" s="34">
        <v>192.0</v>
      </c>
      <c r="D6" s="13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43" t="s">
        <v>22</v>
      </c>
      <c r="C7" s="34">
        <v>9.0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1" t="s">
        <v>24</v>
      </c>
      <c r="C8" s="34">
        <v>61.0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26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5">
        <f t="shared" ref="B6:C6" si="1">Today()-1</f>
        <v>43662</v>
      </c>
      <c r="C6" s="36">
        <f t="shared" si="1"/>
        <v>43662</v>
      </c>
      <c r="D6" s="13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28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44" t="s">
        <v>34</v>
      </c>
      <c r="C6" s="45" t="s">
        <v>35</v>
      </c>
      <c r="D6" s="44" t="s">
        <v>36</v>
      </c>
      <c r="E6" s="46">
        <v>1.005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47" t="s">
        <v>37</v>
      </c>
      <c r="C7" s="47" t="s">
        <v>34</v>
      </c>
      <c r="D7" s="47" t="s">
        <v>38</v>
      </c>
      <c r="E7" s="48">
        <v>1.2</v>
      </c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29</v>
      </c>
      <c r="D3" s="6" t="s">
        <v>5</v>
      </c>
      <c r="E3" s="21" t="s">
        <v>29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0" t="s">
        <v>18</v>
      </c>
      <c r="C6" s="34">
        <v>194.0</v>
      </c>
      <c r="D6" s="13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43" t="s">
        <v>22</v>
      </c>
      <c r="C7" s="34">
        <v>10.0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1" t="s">
        <v>24</v>
      </c>
      <c r="C8" s="34">
        <v>62.0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30</v>
      </c>
      <c r="D3" s="6" t="s">
        <v>5</v>
      </c>
      <c r="E3" s="21" t="s">
        <v>31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32</v>
      </c>
      <c r="C6" s="36">
        <f>Today()-1</f>
        <v>43662</v>
      </c>
      <c r="D6" s="35">
        <f>TODAY()</f>
        <v>43663</v>
      </c>
      <c r="E6" s="13" t="s">
        <v>20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30</v>
      </c>
      <c r="D3" s="6" t="s">
        <v>5</v>
      </c>
      <c r="E3" s="21" t="s">
        <v>33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49" t="b">
        <v>0</v>
      </c>
      <c r="C6" s="49" t="b">
        <v>0</v>
      </c>
      <c r="D6" s="50" t="s">
        <v>39</v>
      </c>
      <c r="E6" s="45" t="s">
        <v>40</v>
      </c>
      <c r="F6" s="45" t="s">
        <v>41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42</v>
      </c>
      <c r="D3" s="6" t="s">
        <v>5</v>
      </c>
      <c r="E3" s="21" t="s">
        <v>43</v>
      </c>
      <c r="F3" s="6" t="s">
        <v>16</v>
      </c>
      <c r="G3" s="15" t="s">
        <v>17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46</v>
      </c>
      <c r="C6" s="13" t="s">
        <v>20</v>
      </c>
      <c r="D6" s="35">
        <f>Today()-1</f>
        <v>43662</v>
      </c>
      <c r="E6" s="35">
        <f>today()-1</f>
        <v>43662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6.57"/>
    <col customWidth="1" min="14" max="32" width="14.43"/>
    <col customWidth="1" min="33" max="33" width="22.14"/>
    <col customWidth="1" min="34" max="34" width="30.14"/>
    <col customWidth="1" min="35" max="35" width="29.86"/>
    <col customWidth="1" min="36" max="48" width="14.43"/>
    <col customWidth="1" min="49" max="49" width="26.71"/>
    <col customWidth="1" min="50" max="51" width="14.43"/>
    <col customWidth="1" min="52" max="52" width="22.43"/>
    <col customWidth="1" min="53" max="75" width="14.43"/>
    <col customWidth="1" min="76" max="76" width="25.71"/>
    <col customWidth="1" min="77" max="81" width="14.43"/>
    <col customWidth="1" min="82" max="82" width="19.71"/>
    <col customWidth="1" min="83" max="83" width="24.29"/>
    <col customWidth="1" min="84" max="84" width="26.71"/>
    <col customWidth="1" min="85" max="104" width="14.43"/>
    <col customWidth="1" min="105" max="105" width="23.0"/>
    <col customWidth="1" min="106" max="142" width="14.43"/>
    <col customWidth="1" min="143" max="143" width="27.86"/>
    <col customWidth="1" min="144" max="166" width="14.43"/>
  </cols>
  <sheetData>
    <row r="1" ht="15.75" customHeight="1">
      <c r="A1" s="51"/>
      <c r="B1" s="52" t="s">
        <v>11</v>
      </c>
      <c r="C1" s="2"/>
      <c r="D1" s="2"/>
      <c r="E1" s="2"/>
      <c r="F1" s="2"/>
      <c r="G1" s="2"/>
      <c r="H1" s="4"/>
      <c r="I1" s="51"/>
      <c r="J1" s="51"/>
      <c r="K1" s="51"/>
      <c r="L1" s="51"/>
      <c r="M1" s="51"/>
      <c r="N1" s="51"/>
      <c r="O1" s="51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</row>
    <row r="2" ht="15.75" customHeight="1">
      <c r="A2" s="54"/>
      <c r="B2" s="54"/>
      <c r="C2" s="54"/>
      <c r="D2" s="54"/>
      <c r="E2" s="54"/>
      <c r="F2" s="54"/>
      <c r="G2" s="54"/>
      <c r="H2" s="54"/>
      <c r="I2" s="54"/>
      <c r="J2" s="55" t="str">
        <f> VLOOKUP($E$3,'_MasterData'!B4:D1000,3,FALSE)</f>
        <v>#N/A</v>
      </c>
      <c r="K2" s="55"/>
      <c r="L2" s="54"/>
      <c r="M2" s="54"/>
      <c r="N2" s="54"/>
      <c r="O2" s="54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</row>
    <row r="3" ht="15.75" customHeight="1">
      <c r="A3" s="57"/>
      <c r="B3" s="58" t="s">
        <v>4</v>
      </c>
      <c r="C3" s="59" t="s">
        <v>44</v>
      </c>
      <c r="D3" s="58" t="s">
        <v>5</v>
      </c>
      <c r="E3" s="59" t="s">
        <v>45</v>
      </c>
      <c r="F3" s="58" t="s">
        <v>16</v>
      </c>
      <c r="G3" s="60" t="s">
        <v>17</v>
      </c>
      <c r="H3" s="58"/>
      <c r="I3" s="57"/>
      <c r="J3" s="57"/>
      <c r="K3" s="57"/>
      <c r="L3" s="57"/>
      <c r="M3" s="57"/>
      <c r="N3" s="57"/>
      <c r="O3" s="57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</row>
    <row r="4" ht="15.75" customHeight="1">
      <c r="A4" s="62"/>
      <c r="B4" s="62" t="str">
        <f>IFERROR(__xludf.DUMMYFUNCTION("IF(C3="""","""",Transpose(IMPORTRANGE('_Settings'!$B$3,C3&amp;""!A4:A1000"")))"),"CheckDashboardPM")</f>
        <v>CheckDashboardPM</v>
      </c>
      <c r="C4" s="62" t="str">
        <f>IFERROR(__xludf.DUMMYFUNCTION("""COMPUTED_VALUE"""),"CheckPortfolioManagement")</f>
        <v>CheckPortfolioManagement</v>
      </c>
      <c r="D4" s="62" t="str">
        <f>IFERROR(__xludf.DUMMYFUNCTION("""COMPUTED_VALUE"""),"OpenPSTFromPM")</f>
        <v>OpenPSTFromPM</v>
      </c>
      <c r="E4" s="62" t="str">
        <f>IFERROR(__xludf.DUMMYFUNCTION("""COMPUTED_VALUE"""),"ClosePM")</f>
        <v>ClosePM</v>
      </c>
      <c r="F4" s="62" t="str">
        <f>IFERROR(__xludf.DUMMYFUNCTION("""COMPUTED_VALUE"""),"FilterPM")</f>
        <v>FilterPM</v>
      </c>
      <c r="G4" s="62" t="str">
        <f>IFERROR(__xludf.DUMMYFUNCTION("""COMPUTED_VALUE"""),"GroupRowPM")</f>
        <v>GroupRowPM</v>
      </c>
      <c r="H4" s="62" t="str">
        <f>IFERROR(__xludf.DUMMYFUNCTION("""COMPUTED_VALUE"""),"CheckDashboardWithPM")</f>
        <v>CheckDashboardWithPM</v>
      </c>
      <c r="I4" s="62" t="str">
        <f>IFERROR(__xludf.DUMMYFUNCTION("""COMPUTED_VALUE"""),"RemoveFilterPM")</f>
        <v>RemoveFilterPM</v>
      </c>
      <c r="J4" s="62" t="str">
        <f>IFERROR(__xludf.DUMMYFUNCTION("""COMPUTED_VALUE"""),"CheckSummaryRowsPM")</f>
        <v>CheckSummaryRowsPM</v>
      </c>
      <c r="K4" s="62" t="str">
        <f>IFERROR(__xludf.DUMMYFUNCTION("""COMPUTED_VALUE"""),"OpenPTTFromPM")</f>
        <v>OpenPTTFromPM</v>
      </c>
      <c r="L4" s="62" t="str">
        <f>IFERROR(__xludf.DUMMYFUNCTION("""COMPUTED_VALUE"""),"OpenCreateTransactionFromPM")</f>
        <v>OpenCreateTransactionFromPM</v>
      </c>
      <c r="M4" s="62" t="str">
        <f>IFERROR(__xludf.DUMMYFUNCTION("""COMPUTED_VALUE"""),"OpenClosingFromPM")</f>
        <v>OpenClosingFromPM</v>
      </c>
      <c r="N4" s="62" t="str">
        <f>IFERROR(__xludf.DUMMYFUNCTION("""COMPUTED_VALUE"""),"OpenCorporateActionFromPM")</f>
        <v>OpenCorporateActionFromPM</v>
      </c>
      <c r="O4" s="62" t="str">
        <f>IFERROR(__xludf.DUMMYFUNCTION("""COMPUTED_VALUE"""),"OpenDailyValuationFromPM")</f>
        <v>OpenDailyValuationFromPM</v>
      </c>
      <c r="P4" s="63" t="str">
        <f>IFERROR(__xludf.DUMMYFUNCTION("""COMPUTED_VALUE"""),"ClosePositionFromPM")</f>
        <v>ClosePositionFromPM</v>
      </c>
      <c r="Q4" s="63" t="str">
        <f>IFERROR(__xludf.DUMMYFUNCTION("""COMPUTED_VALUE"""),"ShowSummaryToolFromPM")</f>
        <v>ShowSummaryToolFromPM</v>
      </c>
      <c r="R4" s="63" t="str">
        <f>IFERROR(__xludf.DUMMYFUNCTION("""COMPUTED_VALUE"""),"HideSummaryToolFromPM")</f>
        <v>HideSummaryToolFromPM</v>
      </c>
      <c r="S4" s="63" t="str">
        <f>IFERROR(__xludf.DUMMYFUNCTION("""COMPUTED_VALUE"""),"CloseAccountPositionFromPM")</f>
        <v>CloseAccountPositionFromPM</v>
      </c>
      <c r="T4" s="63" t="str">
        <f>IFERROR(__xludf.DUMMYFUNCTION("""COMPUTED_VALUE"""),"CloseSelectedTaxlotsFromPM")</f>
        <v>CloseSelectedTaxlotsFromPM</v>
      </c>
      <c r="U4" s="63" t="str">
        <f>IFERROR(__xludf.DUMMYFUNCTION("""COMPUTED_VALUE"""),"ExpandCollapsePM")</f>
        <v>ExpandCollapsePM</v>
      </c>
      <c r="V4" s="63" t="str">
        <f>IFERROR(__xludf.DUMMYFUNCTION("""COMPUTED_VALUE"""),"AddCustomViewPM")</f>
        <v>AddCustomViewPM</v>
      </c>
      <c r="W4" s="63" t="str">
        <f>IFERROR(__xludf.DUMMYFUNCTION("""COMPUTED_VALUE"""),"AddCustomViewRightClickPM")</f>
        <v>AddCustomViewRightClickPM</v>
      </c>
      <c r="X4" s="63" t="str">
        <f>IFERROR(__xludf.DUMMYFUNCTION("""COMPUTED_VALUE"""),"RenameCustomViewPM")</f>
        <v>RenameCustomViewPM</v>
      </c>
      <c r="Y4" s="63" t="str">
        <f>IFERROR(__xludf.DUMMYFUNCTION("""COMPUTED_VALUE"""),"DeleteCustomViewPM")</f>
        <v>DeleteCustomViewPM</v>
      </c>
      <c r="Z4" s="63" t="str">
        <f>IFERROR(__xludf.DUMMYFUNCTION("""COMPUTED_VALUE"""),"")</f>
        <v/>
      </c>
      <c r="AA4" s="63" t="str">
        <f>IFERROR(__xludf.DUMMYFUNCTION("""COMPUTED_VALUE"""),"")</f>
        <v/>
      </c>
      <c r="AB4" s="63" t="str">
        <f>IFERROR(__xludf.DUMMYFUNCTION("""COMPUTED_VALUE"""),"")</f>
        <v/>
      </c>
      <c r="AC4" s="63" t="str">
        <f>IFERROR(__xludf.DUMMYFUNCTION("""COMPUTED_VALUE"""),"")</f>
        <v/>
      </c>
      <c r="AD4" s="63" t="str">
        <f>IFERROR(__xludf.DUMMYFUNCTION("""COMPUTED_VALUE"""),"")</f>
        <v/>
      </c>
      <c r="AE4" s="63" t="str">
        <f>IFERROR(__xludf.DUMMYFUNCTION("""COMPUTED_VALUE"""),"")</f>
        <v/>
      </c>
      <c r="AF4" s="63" t="str">
        <f>IFERROR(__xludf.DUMMYFUNCTION("""COMPUTED_VALUE"""),"")</f>
        <v/>
      </c>
      <c r="AG4" s="63" t="str">
        <f>IFERROR(__xludf.DUMMYFUNCTION("""COMPUTED_VALUE"""),"")</f>
        <v/>
      </c>
      <c r="AH4" s="63" t="str">
        <f>IFERROR(__xludf.DUMMYFUNCTION("""COMPUTED_VALUE"""),"")</f>
        <v/>
      </c>
      <c r="AI4" s="63" t="str">
        <f>IFERROR(__xludf.DUMMYFUNCTION("""COMPUTED_VALUE"""),"")</f>
        <v/>
      </c>
      <c r="AJ4" s="63" t="str">
        <f>IFERROR(__xludf.DUMMYFUNCTION("""COMPUTED_VALUE"""),"")</f>
        <v/>
      </c>
      <c r="AK4" s="63" t="str">
        <f>IFERROR(__xludf.DUMMYFUNCTION("""COMPUTED_VALUE"""),"")</f>
        <v/>
      </c>
      <c r="AL4" s="63" t="str">
        <f>IFERROR(__xludf.DUMMYFUNCTION("""COMPUTED_VALUE"""),"")</f>
        <v/>
      </c>
      <c r="AM4" s="63" t="str">
        <f>IFERROR(__xludf.DUMMYFUNCTION("""COMPUTED_VALUE"""),"")</f>
        <v/>
      </c>
      <c r="AN4" s="63" t="str">
        <f>IFERROR(__xludf.DUMMYFUNCTION("""COMPUTED_VALUE"""),"")</f>
        <v/>
      </c>
      <c r="AO4" s="63" t="str">
        <f>IFERROR(__xludf.DUMMYFUNCTION("""COMPUTED_VALUE"""),"")</f>
        <v/>
      </c>
      <c r="AP4" s="63" t="str">
        <f>IFERROR(__xludf.DUMMYFUNCTION("""COMPUTED_VALUE"""),"")</f>
        <v/>
      </c>
      <c r="AQ4" s="63" t="str">
        <f>IFERROR(__xludf.DUMMYFUNCTION("""COMPUTED_VALUE"""),"")</f>
        <v/>
      </c>
      <c r="AR4" s="63" t="str">
        <f>IFERROR(__xludf.DUMMYFUNCTION("""COMPUTED_VALUE"""),"")</f>
        <v/>
      </c>
      <c r="AS4" s="63" t="str">
        <f>IFERROR(__xludf.DUMMYFUNCTION("""COMPUTED_VALUE"""),"")</f>
        <v/>
      </c>
      <c r="AT4" s="63" t="str">
        <f>IFERROR(__xludf.DUMMYFUNCTION("""COMPUTED_VALUE"""),"")</f>
        <v/>
      </c>
      <c r="AU4" s="63" t="str">
        <f>IFERROR(__xludf.DUMMYFUNCTION("""COMPUTED_VALUE"""),"")</f>
        <v/>
      </c>
      <c r="AV4" s="63" t="str">
        <f>IFERROR(__xludf.DUMMYFUNCTION("""COMPUTED_VALUE"""),"")</f>
        <v/>
      </c>
      <c r="AW4" s="63" t="str">
        <f>IFERROR(__xludf.DUMMYFUNCTION("""COMPUTED_VALUE"""),"")</f>
        <v/>
      </c>
      <c r="AX4" s="63" t="str">
        <f>IFERROR(__xludf.DUMMYFUNCTION("""COMPUTED_VALUE"""),"")</f>
        <v/>
      </c>
      <c r="AY4" s="63" t="str">
        <f>IFERROR(__xludf.DUMMYFUNCTION("""COMPUTED_VALUE"""),"")</f>
        <v/>
      </c>
      <c r="AZ4" s="63" t="str">
        <f>IFERROR(__xludf.DUMMYFUNCTION("""COMPUTED_VALUE"""),"")</f>
        <v/>
      </c>
      <c r="BA4" s="63" t="str">
        <f>IFERROR(__xludf.DUMMYFUNCTION("""COMPUTED_VALUE"""),"")</f>
        <v/>
      </c>
      <c r="BB4" s="63" t="str">
        <f>IFERROR(__xludf.DUMMYFUNCTION("""COMPUTED_VALUE"""),"")</f>
        <v/>
      </c>
      <c r="BC4" s="63" t="str">
        <f>IFERROR(__xludf.DUMMYFUNCTION("""COMPUTED_VALUE"""),"")</f>
        <v/>
      </c>
      <c r="BD4" s="63" t="str">
        <f>IFERROR(__xludf.DUMMYFUNCTION("""COMPUTED_VALUE"""),"")</f>
        <v/>
      </c>
      <c r="BE4" s="63" t="str">
        <f>IFERROR(__xludf.DUMMYFUNCTION("""COMPUTED_VALUE"""),"")</f>
        <v/>
      </c>
      <c r="BF4" s="63" t="str">
        <f>IFERROR(__xludf.DUMMYFUNCTION("""COMPUTED_VALUE"""),"")</f>
        <v/>
      </c>
      <c r="BG4" s="63" t="str">
        <f>IFERROR(__xludf.DUMMYFUNCTION("""COMPUTED_VALUE"""),"")</f>
        <v/>
      </c>
      <c r="BH4" s="63" t="str">
        <f>IFERROR(__xludf.DUMMYFUNCTION("""COMPUTED_VALUE"""),"")</f>
        <v/>
      </c>
      <c r="BI4" s="63" t="str">
        <f>IFERROR(__xludf.DUMMYFUNCTION("""COMPUTED_VALUE"""),"")</f>
        <v/>
      </c>
      <c r="BJ4" s="63" t="str">
        <f>IFERROR(__xludf.DUMMYFUNCTION("""COMPUTED_VALUE"""),"")</f>
        <v/>
      </c>
      <c r="BK4" s="63" t="str">
        <f>IFERROR(__xludf.DUMMYFUNCTION("""COMPUTED_VALUE"""),"")</f>
        <v/>
      </c>
      <c r="BL4" s="63" t="str">
        <f>IFERROR(__xludf.DUMMYFUNCTION("""COMPUTED_VALUE"""),"")</f>
        <v/>
      </c>
      <c r="BM4" s="63" t="str">
        <f>IFERROR(__xludf.DUMMYFUNCTION("""COMPUTED_VALUE"""),"")</f>
        <v/>
      </c>
      <c r="BN4" s="63" t="str">
        <f>IFERROR(__xludf.DUMMYFUNCTION("""COMPUTED_VALUE"""),"")</f>
        <v/>
      </c>
      <c r="BO4" s="63" t="str">
        <f>IFERROR(__xludf.DUMMYFUNCTION("""COMPUTED_VALUE"""),"")</f>
        <v/>
      </c>
      <c r="BP4" s="63" t="str">
        <f>IFERROR(__xludf.DUMMYFUNCTION("""COMPUTED_VALUE"""),"")</f>
        <v/>
      </c>
      <c r="BQ4" s="63" t="str">
        <f>IFERROR(__xludf.DUMMYFUNCTION("""COMPUTED_VALUE"""),"")</f>
        <v/>
      </c>
      <c r="BR4" s="63" t="str">
        <f>IFERROR(__xludf.DUMMYFUNCTION("""COMPUTED_VALUE"""),"")</f>
        <v/>
      </c>
      <c r="BS4" s="63" t="str">
        <f>IFERROR(__xludf.DUMMYFUNCTION("""COMPUTED_VALUE"""),"")</f>
        <v/>
      </c>
      <c r="BT4" s="63" t="str">
        <f>IFERROR(__xludf.DUMMYFUNCTION("""COMPUTED_VALUE"""),"")</f>
        <v/>
      </c>
      <c r="BU4" s="63" t="str">
        <f>IFERROR(__xludf.DUMMYFUNCTION("""COMPUTED_VALUE"""),"")</f>
        <v/>
      </c>
      <c r="BV4" s="63" t="str">
        <f>IFERROR(__xludf.DUMMYFUNCTION("""COMPUTED_VALUE"""),"")</f>
        <v/>
      </c>
      <c r="BW4" s="63" t="str">
        <f>IFERROR(__xludf.DUMMYFUNCTION("""COMPUTED_VALUE"""),"")</f>
        <v/>
      </c>
      <c r="BX4" s="63" t="str">
        <f>IFERROR(__xludf.DUMMYFUNCTION("""COMPUTED_VALUE"""),"")</f>
        <v/>
      </c>
      <c r="BY4" s="63" t="str">
        <f>IFERROR(__xludf.DUMMYFUNCTION("""COMPUTED_VALUE"""),"")</f>
        <v/>
      </c>
      <c r="BZ4" s="63" t="str">
        <f>IFERROR(__xludf.DUMMYFUNCTION("""COMPUTED_VALUE"""),"")</f>
        <v/>
      </c>
      <c r="CA4" s="63" t="str">
        <f>IFERROR(__xludf.DUMMYFUNCTION("""COMPUTED_VALUE"""),"")</f>
        <v/>
      </c>
      <c r="CB4" s="63" t="str">
        <f>IFERROR(__xludf.DUMMYFUNCTION("""COMPUTED_VALUE"""),"")</f>
        <v/>
      </c>
      <c r="CC4" s="63" t="str">
        <f>IFERROR(__xludf.DUMMYFUNCTION("""COMPUTED_VALUE"""),"")</f>
        <v/>
      </c>
      <c r="CD4" s="63" t="str">
        <f>IFERROR(__xludf.DUMMYFUNCTION("""COMPUTED_VALUE"""),"")</f>
        <v/>
      </c>
      <c r="CE4" s="63" t="str">
        <f>IFERROR(__xludf.DUMMYFUNCTION("""COMPUTED_VALUE"""),"")</f>
        <v/>
      </c>
      <c r="CF4" s="63" t="str">
        <f>IFERROR(__xludf.DUMMYFUNCTION("""COMPUTED_VALUE"""),"")</f>
        <v/>
      </c>
      <c r="CG4" s="63" t="str">
        <f>IFERROR(__xludf.DUMMYFUNCTION("""COMPUTED_VALUE"""),"")</f>
        <v/>
      </c>
      <c r="CH4" s="63" t="str">
        <f>IFERROR(__xludf.DUMMYFUNCTION("""COMPUTED_VALUE"""),"")</f>
        <v/>
      </c>
      <c r="CI4" s="63" t="str">
        <f>IFERROR(__xludf.DUMMYFUNCTION("""COMPUTED_VALUE"""),"")</f>
        <v/>
      </c>
      <c r="CJ4" s="63" t="str">
        <f>IFERROR(__xludf.DUMMYFUNCTION("""COMPUTED_VALUE"""),"")</f>
        <v/>
      </c>
      <c r="CK4" s="63" t="str">
        <f>IFERROR(__xludf.DUMMYFUNCTION("""COMPUTED_VALUE"""),"")</f>
        <v/>
      </c>
      <c r="CL4" s="63" t="str">
        <f>IFERROR(__xludf.DUMMYFUNCTION("""COMPUTED_VALUE"""),"")</f>
        <v/>
      </c>
      <c r="CM4" s="63" t="str">
        <f>IFERROR(__xludf.DUMMYFUNCTION("""COMPUTED_VALUE"""),"")</f>
        <v/>
      </c>
      <c r="CN4" s="63" t="str">
        <f>IFERROR(__xludf.DUMMYFUNCTION("""COMPUTED_VALUE"""),"")</f>
        <v/>
      </c>
      <c r="CO4" s="63" t="str">
        <f>IFERROR(__xludf.DUMMYFUNCTION("""COMPUTED_VALUE"""),"")</f>
        <v/>
      </c>
      <c r="CP4" s="63" t="str">
        <f>IFERROR(__xludf.DUMMYFUNCTION("""COMPUTED_VALUE"""),"")</f>
        <v/>
      </c>
      <c r="CQ4" s="63" t="str">
        <f>IFERROR(__xludf.DUMMYFUNCTION("""COMPUTED_VALUE"""),"")</f>
        <v/>
      </c>
      <c r="CR4" s="63" t="str">
        <f>IFERROR(__xludf.DUMMYFUNCTION("""COMPUTED_VALUE"""),"")</f>
        <v/>
      </c>
      <c r="CS4" s="63" t="str">
        <f>IFERROR(__xludf.DUMMYFUNCTION("""COMPUTED_VALUE"""),"")</f>
        <v/>
      </c>
      <c r="CT4" s="63" t="str">
        <f>IFERROR(__xludf.DUMMYFUNCTION("""COMPUTED_VALUE"""),"")</f>
        <v/>
      </c>
      <c r="CU4" s="63" t="str">
        <f>IFERROR(__xludf.DUMMYFUNCTION("""COMPUTED_VALUE"""),"")</f>
        <v/>
      </c>
      <c r="CV4" s="63" t="str">
        <f>IFERROR(__xludf.DUMMYFUNCTION("""COMPUTED_VALUE"""),"")</f>
        <v/>
      </c>
      <c r="CW4" s="63" t="str">
        <f>IFERROR(__xludf.DUMMYFUNCTION("""COMPUTED_VALUE"""),"")</f>
        <v/>
      </c>
      <c r="CX4" s="63" t="str">
        <f>IFERROR(__xludf.DUMMYFUNCTION("""COMPUTED_VALUE"""),"")</f>
        <v/>
      </c>
      <c r="CY4" s="63" t="str">
        <f>IFERROR(__xludf.DUMMYFUNCTION("""COMPUTED_VALUE"""),"")</f>
        <v/>
      </c>
      <c r="CZ4" s="63" t="str">
        <f>IFERROR(__xludf.DUMMYFUNCTION("""COMPUTED_VALUE"""),"")</f>
        <v/>
      </c>
      <c r="DA4" s="63" t="str">
        <f>IFERROR(__xludf.DUMMYFUNCTION("""COMPUTED_VALUE"""),"")</f>
        <v/>
      </c>
      <c r="DB4" s="63" t="str">
        <f>IFERROR(__xludf.DUMMYFUNCTION("""COMPUTED_VALUE"""),"")</f>
        <v/>
      </c>
      <c r="DC4" s="63" t="str">
        <f>IFERROR(__xludf.DUMMYFUNCTION("""COMPUTED_VALUE"""),"")</f>
        <v/>
      </c>
      <c r="DD4" s="63" t="str">
        <f>IFERROR(__xludf.DUMMYFUNCTION("""COMPUTED_VALUE"""),"")</f>
        <v/>
      </c>
      <c r="DE4" s="63" t="str">
        <f>IFERROR(__xludf.DUMMYFUNCTION("""COMPUTED_VALUE"""),"")</f>
        <v/>
      </c>
      <c r="DF4" s="63" t="str">
        <f>IFERROR(__xludf.DUMMYFUNCTION("""COMPUTED_VALUE"""),"")</f>
        <v/>
      </c>
      <c r="DG4" s="63" t="str">
        <f>IFERROR(__xludf.DUMMYFUNCTION("""COMPUTED_VALUE"""),"")</f>
        <v/>
      </c>
      <c r="DH4" s="63" t="str">
        <f>IFERROR(__xludf.DUMMYFUNCTION("""COMPUTED_VALUE"""),"")</f>
        <v/>
      </c>
      <c r="DI4" s="63" t="str">
        <f>IFERROR(__xludf.DUMMYFUNCTION("""COMPUTED_VALUE"""),"")</f>
        <v/>
      </c>
      <c r="DJ4" s="63" t="str">
        <f>IFERROR(__xludf.DUMMYFUNCTION("""COMPUTED_VALUE"""),"")</f>
        <v/>
      </c>
      <c r="DK4" s="63" t="str">
        <f>IFERROR(__xludf.DUMMYFUNCTION("""COMPUTED_VALUE"""),"")</f>
        <v/>
      </c>
      <c r="DL4" s="63" t="str">
        <f>IFERROR(__xludf.DUMMYFUNCTION("""COMPUTED_VALUE"""),"")</f>
        <v/>
      </c>
      <c r="DM4" s="63" t="str">
        <f>IFERROR(__xludf.DUMMYFUNCTION("""COMPUTED_VALUE"""),"")</f>
        <v/>
      </c>
      <c r="DN4" s="63" t="str">
        <f>IFERROR(__xludf.DUMMYFUNCTION("""COMPUTED_VALUE"""),"")</f>
        <v/>
      </c>
      <c r="DO4" s="63" t="str">
        <f>IFERROR(__xludf.DUMMYFUNCTION("""COMPUTED_VALUE"""),"")</f>
        <v/>
      </c>
      <c r="DP4" s="63" t="str">
        <f>IFERROR(__xludf.DUMMYFUNCTION("""COMPUTED_VALUE"""),"")</f>
        <v/>
      </c>
      <c r="DQ4" s="63" t="str">
        <f>IFERROR(__xludf.DUMMYFUNCTION("""COMPUTED_VALUE"""),"")</f>
        <v/>
      </c>
      <c r="DR4" s="63" t="str">
        <f>IFERROR(__xludf.DUMMYFUNCTION("""COMPUTED_VALUE"""),"")</f>
        <v/>
      </c>
      <c r="DS4" s="63" t="str">
        <f>IFERROR(__xludf.DUMMYFUNCTION("""COMPUTED_VALUE"""),"")</f>
        <v/>
      </c>
      <c r="DT4" s="63" t="str">
        <f>IFERROR(__xludf.DUMMYFUNCTION("""COMPUTED_VALUE"""),"")</f>
        <v/>
      </c>
      <c r="DU4" s="63" t="str">
        <f>IFERROR(__xludf.DUMMYFUNCTION("""COMPUTED_VALUE"""),"")</f>
        <v/>
      </c>
      <c r="DV4" s="63" t="str">
        <f>IFERROR(__xludf.DUMMYFUNCTION("""COMPUTED_VALUE"""),"")</f>
        <v/>
      </c>
      <c r="DW4" s="63" t="str">
        <f>IFERROR(__xludf.DUMMYFUNCTION("""COMPUTED_VALUE"""),"")</f>
        <v/>
      </c>
      <c r="DX4" s="63" t="str">
        <f>IFERROR(__xludf.DUMMYFUNCTION("""COMPUTED_VALUE"""),"")</f>
        <v/>
      </c>
      <c r="DY4" s="63" t="str">
        <f>IFERROR(__xludf.DUMMYFUNCTION("""COMPUTED_VALUE"""),"")</f>
        <v/>
      </c>
      <c r="DZ4" s="63" t="str">
        <f>IFERROR(__xludf.DUMMYFUNCTION("""COMPUTED_VALUE"""),"")</f>
        <v/>
      </c>
      <c r="EA4" s="63" t="str">
        <f>IFERROR(__xludf.DUMMYFUNCTION("""COMPUTED_VALUE"""),"")</f>
        <v/>
      </c>
      <c r="EB4" s="63" t="str">
        <f>IFERROR(__xludf.DUMMYFUNCTION("""COMPUTED_VALUE"""),"")</f>
        <v/>
      </c>
      <c r="EC4" s="63" t="str">
        <f>IFERROR(__xludf.DUMMYFUNCTION("""COMPUTED_VALUE"""),"")</f>
        <v/>
      </c>
      <c r="ED4" s="63" t="str">
        <f>IFERROR(__xludf.DUMMYFUNCTION("""COMPUTED_VALUE"""),"")</f>
        <v/>
      </c>
      <c r="EE4" s="63" t="str">
        <f>IFERROR(__xludf.DUMMYFUNCTION("""COMPUTED_VALUE"""),"")</f>
        <v/>
      </c>
      <c r="EF4" s="63" t="str">
        <f>IFERROR(__xludf.DUMMYFUNCTION("""COMPUTED_VALUE"""),"")</f>
        <v/>
      </c>
      <c r="EG4" s="63" t="str">
        <f>IFERROR(__xludf.DUMMYFUNCTION("""COMPUTED_VALUE"""),"")</f>
        <v/>
      </c>
      <c r="EH4" s="63" t="str">
        <f>IFERROR(__xludf.DUMMYFUNCTION("""COMPUTED_VALUE"""),"")</f>
        <v/>
      </c>
      <c r="EI4" s="63" t="str">
        <f>IFERROR(__xludf.DUMMYFUNCTION("""COMPUTED_VALUE"""),"")</f>
        <v/>
      </c>
      <c r="EJ4" s="63" t="str">
        <f>IFERROR(__xludf.DUMMYFUNCTION("""COMPUTED_VALUE"""),"")</f>
        <v/>
      </c>
      <c r="EK4" s="63" t="str">
        <f>IFERROR(__xludf.DUMMYFUNCTION("""COMPUTED_VALUE"""),"")</f>
        <v/>
      </c>
      <c r="EL4" s="63" t="str">
        <f>IFERROR(__xludf.DUMMYFUNCTION("""COMPUTED_VALUE"""),"")</f>
        <v/>
      </c>
      <c r="EM4" s="63" t="str">
        <f>IFERROR(__xludf.DUMMYFUNCTION("""COMPUTED_VALUE"""),"")</f>
        <v/>
      </c>
      <c r="EN4" s="63" t="str">
        <f>IFERROR(__xludf.DUMMYFUNCTION("""COMPUTED_VALUE"""),"")</f>
        <v/>
      </c>
      <c r="EO4" s="63" t="str">
        <f>IFERROR(__xludf.DUMMYFUNCTION("""COMPUTED_VALUE"""),"")</f>
        <v/>
      </c>
      <c r="EP4" s="63" t="str">
        <f>IFERROR(__xludf.DUMMYFUNCTION("""COMPUTED_VALUE"""),"")</f>
        <v/>
      </c>
      <c r="EQ4" s="63" t="str">
        <f>IFERROR(__xludf.DUMMYFUNCTION("""COMPUTED_VALUE"""),"")</f>
        <v/>
      </c>
      <c r="ER4" s="63" t="str">
        <f>IFERROR(__xludf.DUMMYFUNCTION("""COMPUTED_VALUE"""),"")</f>
        <v/>
      </c>
      <c r="ES4" s="63" t="str">
        <f>IFERROR(__xludf.DUMMYFUNCTION("""COMPUTED_VALUE"""),"")</f>
        <v/>
      </c>
      <c r="ET4" s="63" t="str">
        <f>IFERROR(__xludf.DUMMYFUNCTION("""COMPUTED_VALUE"""),"")</f>
        <v/>
      </c>
      <c r="EU4" s="63" t="str">
        <f>IFERROR(__xludf.DUMMYFUNCTION("""COMPUTED_VALUE"""),"")</f>
        <v/>
      </c>
      <c r="EV4" s="63" t="str">
        <f>IFERROR(__xludf.DUMMYFUNCTION("""COMPUTED_VALUE"""),"")</f>
        <v/>
      </c>
      <c r="EW4" s="63" t="str">
        <f>IFERROR(__xludf.DUMMYFUNCTION("""COMPUTED_VALUE"""),"")</f>
        <v/>
      </c>
      <c r="EX4" s="63" t="str">
        <f>IFERROR(__xludf.DUMMYFUNCTION("""COMPUTED_VALUE"""),"")</f>
        <v/>
      </c>
      <c r="EY4" s="63" t="str">
        <f>IFERROR(__xludf.DUMMYFUNCTION("""COMPUTED_VALUE"""),"")</f>
        <v/>
      </c>
      <c r="EZ4" s="63" t="str">
        <f>IFERROR(__xludf.DUMMYFUNCTION("""COMPUTED_VALUE"""),"")</f>
        <v/>
      </c>
      <c r="FA4" s="63" t="str">
        <f>IFERROR(__xludf.DUMMYFUNCTION("""COMPUTED_VALUE"""),"")</f>
        <v/>
      </c>
      <c r="FB4" s="63" t="str">
        <f>IFERROR(__xludf.DUMMYFUNCTION("""COMPUTED_VALUE"""),"")</f>
        <v/>
      </c>
      <c r="FC4" s="63" t="str">
        <f>IFERROR(__xludf.DUMMYFUNCTION("""COMPUTED_VALUE"""),"")</f>
        <v/>
      </c>
      <c r="FD4" s="63" t="str">
        <f>IFERROR(__xludf.DUMMYFUNCTION("""COMPUTED_VALUE"""),"")</f>
        <v/>
      </c>
      <c r="FE4" s="63" t="str">
        <f>IFERROR(__xludf.DUMMYFUNCTION("""COMPUTED_VALUE"""),"")</f>
        <v/>
      </c>
      <c r="FF4" s="63" t="str">
        <f>IFERROR(__xludf.DUMMYFUNCTION("""COMPUTED_VALUE"""),"")</f>
        <v/>
      </c>
      <c r="FG4" s="63" t="str">
        <f>IFERROR(__xludf.DUMMYFUNCTION("""COMPUTED_VALUE"""),"")</f>
        <v/>
      </c>
      <c r="FH4" s="63" t="str">
        <f>IFERROR(__xludf.DUMMYFUNCTION("""COMPUTED_VALUE"""),"")</f>
        <v/>
      </c>
      <c r="FI4" s="63" t="str">
        <f>IFERROR(__xludf.DUMMYFUNCTION("""COMPUTED_VALUE"""),"")</f>
        <v/>
      </c>
      <c r="FJ4" s="63" t="str">
        <f>IFERROR(__xludf.DUMMYFUNCTION("""COMPUTED_VALUE"""),"")</f>
        <v/>
      </c>
    </row>
    <row r="5" ht="15.75" customHeight="1">
      <c r="A5" s="64" t="str">
        <f>IFERROR(__xludf.DUMMYFUNCTION("TRANSPOSE(IMPORTRANGE(VLOOKUP($E$3,IMPORTRANGE('_Settings'!$B$3,$C$3&amp;""!A4:B1000""),2,FALSE),$G$3&amp;""!A4:A1000""))"),"")</f>
        <v/>
      </c>
      <c r="B5" s="65" t="str">
        <f>IFERROR(__xludf.DUMMYFUNCTION("""COMPUTED_VALUE"""),"Trade Date")</f>
        <v>Trade Date</v>
      </c>
      <c r="C5" s="65" t="str">
        <f>IFERROR(__xludf.DUMMYFUNCTION("""COMPUTED_VALUE"""),"Symbol")</f>
        <v>Symbol</v>
      </c>
      <c r="D5" s="65" t="str">
        <f>IFERROR(__xludf.DUMMYFUNCTION("""COMPUTED_VALUE"""),"Position")</f>
        <v>Position</v>
      </c>
      <c r="E5" s="65" t="str">
        <f>IFERROR(__xludf.DUMMYFUNCTION("""COMPUTED_VALUE"""),"Account")</f>
        <v>Account</v>
      </c>
      <c r="F5" s="66" t="str">
        <f>IFERROR(__xludf.DUMMYFUNCTION("""COMPUTED_VALUE"""),"MasterFund")</f>
        <v>MasterFund</v>
      </c>
      <c r="G5" s="65" t="str">
        <f>IFERROR(__xludf.DUMMYFUNCTION("""COMPUTED_VALUE"""),"Cost Basis")</f>
        <v>Cost Basis</v>
      </c>
      <c r="H5" s="65" t="str">
        <f>IFERROR(__xludf.DUMMYFUNCTION("""COMPUTED_VALUE"""),"Position Side")</f>
        <v>Position Side</v>
      </c>
      <c r="I5" s="65" t="str">
        <f>IFERROR(__xludf.DUMMYFUNCTION("""COMPUTED_VALUE"""),"Market Value (Base)")</f>
        <v>Market Value (Base)</v>
      </c>
      <c r="J5" s="65" t="str">
        <f>IFERROR(__xludf.DUMMYFUNCTION("""COMPUTED_VALUE"""),"% Day P&amp;L (Gross MV)")</f>
        <v>% Day P&amp;L (Gross MV)</v>
      </c>
      <c r="K5" s="65" t="str">
        <f>IFERROR(__xludf.DUMMYFUNCTION("""COMPUTED_VALUE"""),"Net Exposure (Base)")</f>
        <v>Net Exposure (Base)</v>
      </c>
      <c r="L5" s="65" t="str">
        <f>IFERROR(__xludf.DUMMYFUNCTION("""COMPUTED_VALUE"""),"Beta Adj. Gross Exposure (Base)")</f>
        <v>Beta Adj. Gross Exposure (Base)</v>
      </c>
      <c r="M5" s="65" t="str">
        <f>IFERROR(__xludf.DUMMYFUNCTION("""COMPUTED_VALUE"""),"Beta Adj. Gross Exposure (Underlying) (Base)")</f>
        <v>Beta Adj. Gross Exposure (Underlying) (Base)</v>
      </c>
      <c r="N5" s="65" t="str">
        <f>IFERROR(__xludf.DUMMYFUNCTION("""COMPUTED_VALUE"""),"Day P&amp;L (Base)")</f>
        <v>Day P&amp;L (Base)</v>
      </c>
      <c r="O5" s="65" t="str">
        <f>IFERROR(__xludf.DUMMYFUNCTION("""COMPUTED_VALUE"""),"Security Name")</f>
        <v>Security Name</v>
      </c>
      <c r="P5" s="65" t="str">
        <f>IFERROR(__xludf.DUMMYFUNCTION("""COMPUTED_VALUE"""),"Closing Mark")</f>
        <v>Closing Mark</v>
      </c>
      <c r="Q5" s="65" t="str">
        <f>IFERROR(__xludf.DUMMYFUNCTION("""COMPUTED_VALUE"""),"Cost Basis P&amp;L (Base)")</f>
        <v>Cost Basis P&amp;L (Base)</v>
      </c>
      <c r="R5" s="65" t="str">
        <f>IFERROR(__xludf.DUMMYFUNCTION("""COMPUTED_VALUE"""),"Prime Broker")</f>
        <v>Prime Broker</v>
      </c>
      <c r="S5" s="65" t="str">
        <f>IFERROR(__xludf.DUMMYFUNCTION("""COMPUTED_VALUE"""),"Strategy")</f>
        <v>Strategy</v>
      </c>
      <c r="T5" s="67" t="str">
        <f>IFERROR(__xludf.DUMMYFUNCTION("""COMPUTED_VALUE"""),"Asset Class")</f>
        <v>Asset Class</v>
      </c>
      <c r="U5" s="67" t="str">
        <f>IFERROR(__xludf.DUMMYFUNCTION("""COMPUTED_VALUE"""),"Underlying")</f>
        <v>Underlying</v>
      </c>
      <c r="V5" s="67" t="str">
        <f>IFERROR(__xludf.DUMMYFUNCTION("""COMPUTED_VALUE"""),"Exchange")</f>
        <v>Exchange</v>
      </c>
      <c r="W5" s="67" t="str">
        <f>IFERROR(__xludf.DUMMYFUNCTION("""COMPUTED_VALUE"""),"Trade Currency")</f>
        <v>Trade Currency</v>
      </c>
      <c r="X5" s="67" t="str">
        <f>IFERROR(__xludf.DUMMYFUNCTION("""COMPUTED_VALUE"""),"Multiplier")</f>
        <v>Multiplier</v>
      </c>
      <c r="Y5" s="67" t="str">
        <f>IFERROR(__xludf.DUMMYFUNCTION("""COMPUTED_VALUE"""),"FX Rate")</f>
        <v>FX Rate</v>
      </c>
      <c r="Z5" s="67" t="str">
        <f>IFERROR(__xludf.DUMMYFUNCTION("""COMPUTED_VALUE"""),"Vs Currency")</f>
        <v>Vs Currency</v>
      </c>
      <c r="AA5" s="67" t="str">
        <f>IFERROR(__xludf.DUMMYFUNCTION("""COMPUTED_VALUE"""),"Lead Currency")</f>
        <v>Lead Currency</v>
      </c>
      <c r="AB5" s="67" t="str">
        <f>IFERROR(__xludf.DUMMYFUNCTION("""COMPUTED_VALUE"""),"Dividend Yield (%)")</f>
        <v>Dividend Yield (%)</v>
      </c>
      <c r="AC5" s="67" t="str">
        <f>IFERROR(__xludf.DUMMYFUNCTION("""COMPUTED_VALUE"""),"% Change")</f>
        <v>% Change</v>
      </c>
      <c r="AD5" s="67" t="str">
        <f>IFERROR(__xludf.DUMMYFUNCTION("""COMPUTED_VALUE"""),"Net Exposure (Local)")</f>
        <v>Net Exposure (Local)</v>
      </c>
      <c r="AE5" s="67" t="str">
        <f>IFERROR(__xludf.DUMMYFUNCTION("""COMPUTED_VALUE"""),"Exposure (Local)")</f>
        <v>Exposure (Local)</v>
      </c>
      <c r="AF5" s="67" t="str">
        <f>IFERROR(__xludf.DUMMYFUNCTION("""COMPUTED_VALUE"""),"Delta Adj. Position")</f>
        <v>Delta Adj. Position</v>
      </c>
      <c r="AG5" s="67" t="str">
        <f>IFERROR(__xludf.DUMMYFUNCTION("""COMPUTED_VALUE"""),"Exposure (Base)")</f>
        <v>Exposure (Base)</v>
      </c>
      <c r="AH5" s="67" t="str">
        <f>IFERROR(__xludf.DUMMYFUNCTION("""COMPUTED_VALUE"""),"Beta Adj. Exposure (Local)")</f>
        <v>Beta Adj. Exposure (Local)</v>
      </c>
      <c r="AI5" s="67" t="str">
        <f>IFERROR(__xludf.DUMMYFUNCTION("""COMPUTED_VALUE"""),"Beta Adj. Exposure (Base)")</f>
        <v>Beta Adj. Exposure (Base)</v>
      </c>
      <c r="AJ5" s="67" t="str">
        <f>IFERROR(__xludf.DUMMYFUNCTION("""COMPUTED_VALUE"""),"Exposure (BP)(Base)")</f>
        <v>Exposure (BP)(Base)</v>
      </c>
      <c r="AK5" s="67" t="str">
        <f>IFERROR(__xludf.DUMMYFUNCTION("""COMPUTED_VALUE"""),"Day P&amp;L (Local)")</f>
        <v>Day P&amp;L (Local)</v>
      </c>
      <c r="AL5" s="67" t="str">
        <f>IFERROR(__xludf.DUMMYFUNCTION("""COMPUTED_VALUE"""),"Delta")</f>
        <v>Delta</v>
      </c>
      <c r="AM5" s="67" t="str">
        <f>IFERROR(__xludf.DUMMYFUNCTION("""COMPUTED_VALUE"""),"Leveraged Factor")</f>
        <v>Leveraged Factor</v>
      </c>
      <c r="AN5" s="67" t="str">
        <f>IFERROR(__xludf.DUMMYFUNCTION("""COMPUTED_VALUE"""),"Order Side")</f>
        <v>Order Side</v>
      </c>
      <c r="AO5" s="67" t="str">
        <f>IFERROR(__xludf.DUMMYFUNCTION("""COMPUTED_VALUE"""),"Master Strategy")</f>
        <v>Master Strategy</v>
      </c>
      <c r="AP5" s="67" t="str">
        <f>IFERROR(__xludf.DUMMYFUNCTION("""COMPUTED_VALUE"""),"Transaction Side")</f>
        <v>Transaction Side</v>
      </c>
      <c r="AQ5" s="67" t="str">
        <f>IFERROR(__xludf.DUMMYFUNCTION("""COMPUTED_VALUE"""),"Underlying Symbol")</f>
        <v>Underlying Symbol</v>
      </c>
      <c r="AR5" s="67" t="str">
        <f>IFERROR(__xludf.DUMMYFUNCTION("""COMPUTED_VALUE"""),"Underlying Price")</f>
        <v>Underlying Price</v>
      </c>
      <c r="AS5" s="67" t="str">
        <f>IFERROR(__xludf.DUMMYFUNCTION("""COMPUTED_VALUE"""),"Side Multiplier")</f>
        <v>Side Multiplier</v>
      </c>
      <c r="AT5" s="67" t="str">
        <f>IFERROR(__xludf.DUMMYFUNCTION("""COMPUTED_VALUE"""),"Description")</f>
        <v>Description</v>
      </c>
      <c r="AU5" s="67" t="str">
        <f>IFERROR(__xludf.DUMMYFUNCTION("""COMPUTED_VALUE"""),"Internal Comments")</f>
        <v>Internal Comments</v>
      </c>
      <c r="AV5" s="67" t="str">
        <f>IFERROR(__xludf.DUMMYFUNCTION("""COMPUTED_VALUE"""),"FX Rate On Trade Date")</f>
        <v>FX Rate On Trade Date</v>
      </c>
      <c r="AW5" s="67" t="str">
        <f>IFERROR(__xludf.DUMMYFUNCTION("""COMPUTED_VALUE"""),"Cost Basis P&amp;L (Local)")</f>
        <v>Cost Basis P&amp;L (Local)</v>
      </c>
      <c r="AX5" s="67" t="str">
        <f>IFERROR(__xludf.DUMMYFUNCTION("""COMPUTED_VALUE"""),"Day Interest")</f>
        <v>Day Interest</v>
      </c>
      <c r="AY5" s="67" t="str">
        <f>IFERROR(__xludf.DUMMYFUNCTION("""COMPUTED_VALUE"""),"Total Interest")</f>
        <v>Total Interest</v>
      </c>
      <c r="AZ5" s="67" t="str">
        <f>IFERROR(__xludf.DUMMYFUNCTION("""COMPUTED_VALUE"""),"Market Value (Local)")</f>
        <v>Market Value (Local)</v>
      </c>
      <c r="BA5" s="67" t="str">
        <f>IFERROR(__xludf.DUMMYFUNCTION("""COMPUTED_VALUE"""),"% Gain/Loss Day")</f>
        <v>% Gain/Loss Day</v>
      </c>
      <c r="BB5" s="67" t="str">
        <f>IFERROR(__xludf.DUMMYFUNCTION("""COMPUTED_VALUE"""),"Update Time (Last Price)")</f>
        <v>Update Time (Last Price)</v>
      </c>
      <c r="BC5" s="67" t="str">
        <f>IFERROR(__xludf.DUMMYFUNCTION("""COMPUTED_VALUE"""),"Beta")</f>
        <v>Beta</v>
      </c>
      <c r="BD5" s="67" t="str">
        <f>IFERROR(__xludf.DUMMYFUNCTION("""COMPUTED_VALUE"""),"Cash Impact (Local)")</f>
        <v>Cash Impact (Local)</v>
      </c>
      <c r="BE5" s="67" t="str">
        <f>IFERROR(__xludf.DUMMYFUNCTION("""COMPUTED_VALUE"""),"User Asset")</f>
        <v>User Asset</v>
      </c>
      <c r="BF5" s="67" t="str">
        <f>IFERROR(__xludf.DUMMYFUNCTION("""COMPUTED_VALUE"""),"Security Type")</f>
        <v>Security Type</v>
      </c>
      <c r="BG5" s="67" t="str">
        <f>IFERROR(__xludf.DUMMYFUNCTION("""COMPUTED_VALUE"""),"Sector")</f>
        <v>Sector</v>
      </c>
      <c r="BH5" s="67" t="str">
        <f>IFERROR(__xludf.DUMMYFUNCTION("""COMPUTED_VALUE"""),"Sub Sector")</f>
        <v>Sub Sector</v>
      </c>
      <c r="BI5" s="67" t="str">
        <f>IFERROR(__xludf.DUMMYFUNCTION("""COMPUTED_VALUE"""),"Country")</f>
        <v>Country</v>
      </c>
      <c r="BJ5" s="67" t="str">
        <f>IFERROR(__xludf.DUMMYFUNCTION("""COMPUTED_VALUE"""),"Market Cap")</f>
        <v>Market Cap</v>
      </c>
      <c r="BK5" s="67" t="str">
        <f>IFERROR(__xludf.DUMMYFUNCTION("""COMPUTED_VALUE"""),"Shares Outstanding")</f>
        <v>Shares Outstanding</v>
      </c>
      <c r="BL5" s="67" t="str">
        <f>IFERROR(__xludf.DUMMYFUNCTION("""COMPUTED_VALUE"""),"Avg Volume 20 Day")</f>
        <v>Avg Volume 20 Day</v>
      </c>
      <c r="BM5" s="67" t="str">
        <f>IFERROR(__xludf.DUMMYFUNCTION("""COMPUTED_VALUE"""),"% Avg Volume (Delta Adj.)")</f>
        <v>% Avg Volume (Delta Adj.)</v>
      </c>
      <c r="BN5" s="67" t="str">
        <f>IFERROR(__xludf.DUMMYFUNCTION("""COMPUTED_VALUE"""),"Ex Dividend Date")</f>
        <v>Ex Dividend Date</v>
      </c>
      <c r="BO5" s="67" t="str">
        <f>IFERROR(__xludf.DUMMYFUNCTION("""COMPUTED_VALUE"""),"Cash Impact (Base)")</f>
        <v>Cash Impact (Base)</v>
      </c>
      <c r="BP5" s="67" t="str">
        <f>IFERROR(__xludf.DUMMYFUNCTION("""COMPUTED_VALUE"""),"Volatility (%)")</f>
        <v>Volatility (%)</v>
      </c>
      <c r="BQ5" s="67" t="str">
        <f>IFERROR(__xludf.DUMMYFUNCTION("""COMPUTED_VALUE"""),"User")</f>
        <v>User</v>
      </c>
      <c r="BR5" s="67" t="str">
        <f>IFERROR(__xludf.DUMMYFUNCTION("""COMPUTED_VALUE"""),"Broker")</f>
        <v>Broker</v>
      </c>
      <c r="BS5" s="67" t="str">
        <f>IFERROR(__xludf.DUMMYFUNCTION("""COMPUTED_VALUE"""),"Earned Dividend (Local)")</f>
        <v>Earned Dividend (Local)</v>
      </c>
      <c r="BT5" s="67" t="str">
        <f>IFERROR(__xludf.DUMMYFUNCTION("""COMPUTED_VALUE"""),"Earned Dividend (Base)")</f>
        <v>Earned Dividend (Base)</v>
      </c>
      <c r="BU5" s="67" t="str">
        <f>IFERROR(__xludf.DUMMYFUNCTION("""COMPUTED_VALUE"""),"Put/Call")</f>
        <v>Put/Call</v>
      </c>
      <c r="BV5" s="67" t="str">
        <f>IFERROR(__xludf.DUMMYFUNCTION("""COMPUTED_VALUE"""),"Expiration Date")</f>
        <v>Expiration Date</v>
      </c>
      <c r="BW5" s="67" t="str">
        <f>IFERROR(__xludf.DUMMYFUNCTION("""COMPUTED_VALUE"""),"Strike Price")</f>
        <v>Strike Price</v>
      </c>
      <c r="BX5" s="67" t="str">
        <f>IFERROR(__xludf.DUMMYFUNCTION("""COMPUTED_VALUE"""),"Gross Exposure (Base)")</f>
        <v>Gross Exposure (Base)</v>
      </c>
      <c r="BY5" s="67" t="str">
        <f>IFERROR(__xludf.DUMMYFUNCTION("""COMPUTED_VALUE"""),"Gross Market Value (Base)")</f>
        <v>Gross Market Value (Base)</v>
      </c>
      <c r="BZ5" s="67" t="str">
        <f>IFERROR(__xludf.DUMMYFUNCTION("""COMPUTED_VALUE"""),"Px Selected Feed (Local)")</f>
        <v>Px Selected Feed (Local)</v>
      </c>
      <c r="CA5" s="67" t="str">
        <f>IFERROR(__xludf.DUMMYFUNCTION("""COMPUTED_VALUE"""),"Px Selected Feed (Base)")</f>
        <v>Px Selected Feed (Base)</v>
      </c>
      <c r="CB5" s="67" t="str">
        <f>IFERROR(__xludf.DUMMYFUNCTION("""COMPUTED_VALUE"""),"Settlement Date")</f>
        <v>Settlement Date</v>
      </c>
      <c r="CC5" s="67" t="str">
        <f>IFERROR(__xludf.DUMMYFUNCTION("""COMPUTED_VALUE"""),"% Avg Volume")</f>
        <v>% Avg Volume</v>
      </c>
      <c r="CD5" s="67" t="str">
        <f>IFERROR(__xludf.DUMMYFUNCTION("""COMPUTED_VALUE"""),"Day P&amp;L (Base)(Price Gain)")</f>
        <v>Day P&amp;L (Base)(Price Gain)</v>
      </c>
      <c r="CE5" s="67" t="str">
        <f>IFERROR(__xludf.DUMMYFUNCTION("""COMPUTED_VALUE"""),"Day P&amp;L (Base)(FX Gain)")</f>
        <v>Day P&amp;L (Base)(FX Gain)</v>
      </c>
      <c r="CF5" s="67" t="str">
        <f>IFERROR(__xludf.DUMMYFUNCTION("""COMPUTED_VALUE"""),"Cost Basis P&amp;L (Base)(FX Gain)")</f>
        <v>Cost Basis P&amp;L (Base)(FX Gain)</v>
      </c>
      <c r="CG5" s="67" t="str">
        <f>IFERROR(__xludf.DUMMYFUNCTION("""COMPUTED_VALUE"""),"Cost Basis P&amp;L (Base)(Price Gain)")</f>
        <v>Cost Basis P&amp;L (Base)(Price Gain)</v>
      </c>
      <c r="CH5" s="67" t="str">
        <f>IFERROR(__xludf.DUMMYFUNCTION("""COMPUTED_VALUE"""),"% Gain/Loss Cost")</f>
        <v>% Gain/Loss Cost</v>
      </c>
      <c r="CI5" s="67" t="str">
        <f>IFERROR(__xludf.DUMMYFUNCTION("""COMPUTED_VALUE"""),"Underlying Value (Options)")</f>
        <v>Underlying Value (Options)</v>
      </c>
      <c r="CJ5" s="67" t="str">
        <f>IFERROR(__xludf.DUMMYFUNCTION("""COMPUTED_VALUE"""),"Avg Volume 20 Day (Underlying Symbol)")</f>
        <v>Avg Volume 20 Day (Underlying Symbol)</v>
      </c>
      <c r="CK5" s="67" t="str">
        <f>IFERROR(__xludf.DUMMYFUNCTION("""COMPUTED_VALUE"""),"IsStaleData")</f>
        <v>IsStaleData</v>
      </c>
      <c r="CL5" s="67" t="str">
        <f>IFERROR(__xludf.DUMMYFUNCTION("""COMPUTED_VALUE"""),"IDCO")</f>
        <v>IDCO</v>
      </c>
      <c r="CM5" s="67" t="str">
        <f>IFERROR(__xludf.DUMMYFUNCTION("""COMPUTED_VALUE"""),"OSI")</f>
        <v>OSI</v>
      </c>
      <c r="CN5" s="67" t="str">
        <f>IFERROR(__xludf.DUMMYFUNCTION("""COMPUTED_VALUE"""),"SEDOL")</f>
        <v>SEDOL</v>
      </c>
      <c r="CO5" s="67" t="str">
        <f>IFERROR(__xludf.DUMMYFUNCTION("""COMPUTED_VALUE"""),"CUSIP")</f>
        <v>CUSIP</v>
      </c>
      <c r="CP5" s="67" t="str">
        <f>IFERROR(__xludf.DUMMYFUNCTION("""COMPUTED_VALUE"""),"Bloomberg")</f>
        <v>Bloomberg</v>
      </c>
      <c r="CQ5" s="67" t="str">
        <f>IFERROR(__xludf.DUMMYFUNCTION("""COMPUTED_VALUE"""),"ISIN")</f>
        <v>ISIN</v>
      </c>
      <c r="CR5" s="67" t="str">
        <f>IFERROR(__xludf.DUMMYFUNCTION("""COMPUTED_VALUE"""),"Start Trade Date")</f>
        <v>Start Trade Date</v>
      </c>
      <c r="CS5" s="67" t="str">
        <f>IFERROR(__xludf.DUMMYFUNCTION("""COMPUTED_VALUE"""),"Cost Basis (Break Even)")</f>
        <v>Cost Basis (Break Even)</v>
      </c>
      <c r="CT5" s="67" t="str">
        <f>IFERROR(__xludf.DUMMYFUNCTION("""COMPUTED_VALUE"""),"Trade Attribute 3")</f>
        <v>Trade Attribute 3</v>
      </c>
      <c r="CU5" s="67" t="str">
        <f>IFERROR(__xludf.DUMMYFUNCTION("""COMPUTED_VALUE"""),"Trade Attribute 4")</f>
        <v>Trade Attribute 4</v>
      </c>
      <c r="CV5" s="67" t="str">
        <f>IFERROR(__xludf.DUMMYFUNCTION("""COMPUTED_VALUE"""),"Trade Attribute 5")</f>
        <v>Trade Attribute 5</v>
      </c>
      <c r="CW5" s="67" t="str">
        <f>IFERROR(__xludf.DUMMYFUNCTION("""COMPUTED_VALUE"""),"Trade Attribute 6")</f>
        <v>Trade Attribute 6</v>
      </c>
      <c r="CX5" s="67" t="str">
        <f>IFERROR(__xludf.DUMMYFUNCTION("""COMPUTED_VALUE"""),"Proxy Symbol")</f>
        <v>Proxy Symbol</v>
      </c>
      <c r="CY5" s="67" t="str">
        <f>IFERROR(__xludf.DUMMYFUNCTION("""COMPUTED_VALUE"""),"Pricing Source")</f>
        <v>Pricing Source</v>
      </c>
      <c r="CZ5" s="67" t="str">
        <f>IFERROR(__xludf.DUMMYFUNCTION("""COMPUTED_VALUE"""),"Delta Source")</f>
        <v>Delta Source</v>
      </c>
      <c r="DA5" s="67" t="str">
        <f>IFERROR(__xludf.DUMMYFUNCTION("""COMPUTED_VALUE"""),"Gross Exposure (Local)")</f>
        <v>Gross Exposure (Local)</v>
      </c>
      <c r="DB5" s="67" t="str">
        <f>IFERROR(__xludf.DUMMYFUNCTION("""COMPUTED_VALUE"""),"% Day P&amp;L (Net MV)")</f>
        <v>% Day P&amp;L (Net MV)</v>
      </c>
      <c r="DC5" s="67" t="str">
        <f>IFERROR(__xludf.DUMMYFUNCTION("""COMPUTED_VALUE"""),"Expiration Month")</f>
        <v>Expiration Month</v>
      </c>
      <c r="DD5" s="67" t="str">
        <f>IFERROR(__xludf.DUMMYFUNCTION("""COMPUTED_VALUE"""),"Delta Adj. Position (LME)")</f>
        <v>Delta Adj. Position (LME)</v>
      </c>
      <c r="DE5" s="67" t="str">
        <f>IFERROR(__xludf.DUMMYFUNCTION("""COMPUTED_VALUE"""),"Premium")</f>
        <v>Premium</v>
      </c>
      <c r="DF5" s="67" t="str">
        <f>IFERROR(__xludf.DUMMYFUNCTION("""COMPUTED_VALUE"""),"Premium $")</f>
        <v>Premium $</v>
      </c>
      <c r="DG5" s="67" t="str">
        <f>IFERROR(__xludf.DUMMYFUNCTION("""COMPUTED_VALUE"""),"Forward Points")</f>
        <v>Forward Points</v>
      </c>
      <c r="DH5" s="67" t="str">
        <f>IFERROR(__xludf.DUMMYFUNCTION("""COMPUTED_VALUE"""),"Closing Mark (Underlying)")</f>
        <v>Closing Mark (Underlying)</v>
      </c>
      <c r="DI5" s="67" t="str">
        <f>IFERROR(__xludf.DUMMYFUNCTION("""COMPUTED_VALUE"""),"% Change (Underlying Price)")</f>
        <v>% Change (Underlying Price)</v>
      </c>
      <c r="DJ5" s="67" t="str">
        <f>IFERROR(__xludf.DUMMYFUNCTION("""COMPUTED_VALUE"""),"Transaction Type")</f>
        <v>Transaction Type</v>
      </c>
      <c r="DK5" s="67" t="str">
        <f>IFERROR(__xludf.DUMMYFUNCTION("""COMPUTED_VALUE"""),"Closing Market Value (Local)")</f>
        <v>Closing Market Value (Local)</v>
      </c>
      <c r="DL5" s="67" t="str">
        <f>IFERROR(__xludf.DUMMYFUNCTION("""COMPUTED_VALUE"""),"Closing Market Value (Base)")</f>
        <v>Closing Market Value (Base)</v>
      </c>
      <c r="DM5" s="67" t="str">
        <f>IFERROR(__xludf.DUMMYFUNCTION("""COMPUTED_VALUE"""),"Closing FX Rate")</f>
        <v>Closing FX Rate</v>
      </c>
      <c r="DN5" s="67" t="str">
        <f>IFERROR(__xludf.DUMMYFUNCTION("""COMPUTED_VALUE"""),"Change In Underlying Price")</f>
        <v>Change In Underlying Price</v>
      </c>
      <c r="DO5" s="67" t="str">
        <f>IFERROR(__xludf.DUMMYFUNCTION("""COMPUTED_VALUE"""),"RIC")</f>
        <v>RIC</v>
      </c>
      <c r="DP5" s="67" t="str">
        <f>IFERROR(__xludf.DUMMYFUNCTION("""COMPUTED_VALUE"""),"Position Side Exposure (Boxed)")</f>
        <v>Position Side Exposure (Boxed)</v>
      </c>
      <c r="DQ5" s="67" t="str">
        <f>IFERROR(__xludf.DUMMYFUNCTION("""COMPUTED_VALUE"""),"Analyst")</f>
        <v>Analyst</v>
      </c>
      <c r="DR5" s="67" t="str">
        <f>IFERROR(__xludf.DUMMYFUNCTION("""COMPUTED_VALUE"""),"Country Of Risk")</f>
        <v>Country Of Risk</v>
      </c>
      <c r="DS5" s="67" t="str">
        <f>IFERROR(__xludf.DUMMYFUNCTION("""COMPUTED_VALUE"""),"Custom UDA1")</f>
        <v>Custom UDA1</v>
      </c>
      <c r="DT5" s="67" t="str">
        <f>IFERROR(__xludf.DUMMYFUNCTION("""COMPUTED_VALUE"""),"Custom UDA2")</f>
        <v>Custom UDA2</v>
      </c>
      <c r="DU5" s="67" t="str">
        <f>IFERROR(__xludf.DUMMYFUNCTION("""COMPUTED_VALUE"""),"Custom UDA3")</f>
        <v>Custom UDA3</v>
      </c>
      <c r="DV5" s="67" t="str">
        <f>IFERROR(__xludf.DUMMYFUNCTION("""COMPUTED_VALUE"""),"Custom UDA4")</f>
        <v>Custom UDA4</v>
      </c>
      <c r="DW5" s="67" t="str">
        <f>IFERROR(__xludf.DUMMYFUNCTION("""COMPUTED_VALUE"""),"Custom UDA5")</f>
        <v>Custom UDA5</v>
      </c>
      <c r="DX5" s="67" t="str">
        <f>IFERROR(__xludf.DUMMYFUNCTION("""COMPUTED_VALUE"""),"Custom UDA6")</f>
        <v>Custom UDA6</v>
      </c>
      <c r="DY5" s="67" t="str">
        <f>IFERROR(__xludf.DUMMYFUNCTION("""COMPUTED_VALUE"""),"Custom UDA7")</f>
        <v>Custom UDA7</v>
      </c>
      <c r="DZ5" s="67" t="str">
        <f>IFERROR(__xludf.DUMMYFUNCTION("""COMPUTED_VALUE"""),"Issuer")</f>
        <v>Issuer</v>
      </c>
      <c r="EA5" s="67" t="str">
        <f>IFERROR(__xludf.DUMMYFUNCTION("""COMPUTED_VALUE"""),"Liquid Tag")</f>
        <v>Liquid Tag</v>
      </c>
      <c r="EB5" s="67" t="str">
        <f>IFERROR(__xludf.DUMMYFUNCTION("""COMPUTED_VALUE"""),"Market Cap UDA")</f>
        <v>Market Cap UDA</v>
      </c>
      <c r="EC5" s="67" t="str">
        <f>IFERROR(__xludf.DUMMYFUNCTION("""COMPUTED_VALUE"""),"Region")</f>
        <v>Region</v>
      </c>
      <c r="ED5" s="67" t="str">
        <f>IFERROR(__xludf.DUMMYFUNCTION("""COMPUTED_VALUE"""),"Risk Currency")</f>
        <v>Risk Currency</v>
      </c>
      <c r="EE5" s="67" t="str">
        <f>IFERROR(__xludf.DUMMYFUNCTION("""COMPUTED_VALUE"""),"UCITS Eligible Tag")</f>
        <v>UCITS Eligible Tag</v>
      </c>
      <c r="EF5" s="67" t="str">
        <f>IFERROR(__xludf.DUMMYFUNCTION("""COMPUTED_VALUE"""),"FX Rate (Display)")</f>
        <v>FX Rate (Display)</v>
      </c>
      <c r="EG5" s="67" t="str">
        <f>IFERROR(__xludf.DUMMYFUNCTION("""COMPUTED_VALUE"""),"% Net Exposure (Base)")</f>
        <v>% Net Exposure (Base)</v>
      </c>
      <c r="EH5" s="67" t="str">
        <f>IFERROR(__xludf.DUMMYFUNCTION("""COMPUTED_VALUE"""),"% Gross Exposure (Base)")</f>
        <v>% Gross Exposure (Base)</v>
      </c>
      <c r="EI5" s="67" t="str">
        <f>IFERROR(__xludf.DUMMYFUNCTION("""COMPUTED_VALUE"""),"% Exposure (Base)")</f>
        <v>% Exposure (Base)</v>
      </c>
      <c r="EJ5" s="67" t="str">
        <f>IFERROR(__xludf.DUMMYFUNCTION("""COMPUTED_VALUE"""),"% Gross Exposure (Underlying) (Base)")</f>
        <v>% Gross Exposure (Underlying) (Base)</v>
      </c>
      <c r="EK5" s="67" t="str">
        <f>IFERROR(__xludf.DUMMYFUNCTION("""COMPUTED_VALUE"""),"% Beta Adj. Gross Exposure (Base)")</f>
        <v>% Beta Adj. Gross Exposure (Base)</v>
      </c>
      <c r="EL5" s="67" t="str">
        <f>IFERROR(__xludf.DUMMYFUNCTION("""COMPUTED_VALUE"""),"Position Side Exposure (Underlying)")</f>
        <v>Position Side Exposure (Underlying)</v>
      </c>
      <c r="EM5" s="67" t="str">
        <f>IFERROR(__xludf.DUMMYFUNCTION("""COMPUTED_VALUE"""),"Gross Exposure (Underlying) (Base)")</f>
        <v>Gross Exposure (Underlying) (Base)</v>
      </c>
      <c r="EN5" s="67" t="str">
        <f>IFERROR(__xludf.DUMMYFUNCTION("""COMPUTED_VALUE"""),"Gross Exposure (Underlying)")</f>
        <v>Gross Exposure (Underlying)</v>
      </c>
      <c r="EO5" s="67" t="str">
        <f>IFERROR(__xludf.DUMMYFUNCTION("""COMPUTED_VALUE"""),"Day Return")</f>
        <v>Day Return</v>
      </c>
      <c r="EP5" s="67" t="str">
        <f>IFERROR(__xludf.DUMMYFUNCTION("""COMPUTED_VALUE"""),"Start of Day NAV")</f>
        <v>Start of Day NAV</v>
      </c>
      <c r="EQ5" s="67" t="str">
        <f>IFERROR(__xludf.DUMMYFUNCTION("""COMPUTED_VALUE"""),"% Gross Market Value (Base)")</f>
        <v>% Gross Market Value (Base)</v>
      </c>
      <c r="ER5" s="67" t="str">
        <f>IFERROR(__xludf.DUMMYFUNCTION("""COMPUTED_VALUE"""),"Beta Adj. Gross Exposure (Underlying) (Local)")</f>
        <v>Beta Adj. Gross Exposure (Underlying) (Local)</v>
      </c>
      <c r="ES5" s="67" t="str">
        <f>IFERROR(__xludf.DUMMYFUNCTION("""COMPUTED_VALUE"""),"NAV")</f>
        <v>NAV</v>
      </c>
      <c r="ET5" s="67" t="str">
        <f>IFERROR(__xludf.DUMMYFUNCTION("""COMPUTED_VALUE"""),"% P&amp;L Contribution")</f>
        <v>% P&amp;L Contribution</v>
      </c>
      <c r="EU5" s="67" t="str">
        <f>IFERROR(__xludf.DUMMYFUNCTION("""COMPUTED_VALUE"""),"% Net Market Value (Base)")</f>
        <v>% Net Market Value (Base)</v>
      </c>
      <c r="EV5" s="67" t="str">
        <f>IFERROR(__xludf.DUMMYFUNCTION("""COMPUTED_VALUE"""),"Position Side Exposure")</f>
        <v>Position Side Exposure</v>
      </c>
      <c r="EW5" s="67" t="str">
        <f>IFERROR(__xludf.DUMMYFUNCTION("""COMPUTED_VALUE"""),"NAV (Touch)")</f>
        <v>NAV (Touch)</v>
      </c>
      <c r="EX5" s="67" t="str">
        <f>IFERROR(__xludf.DUMMYFUNCTION("""COMPUTED_VALUE"""),"IgnorePropertyChangeEvents")</f>
        <v>IgnorePropertyChangeEvents</v>
      </c>
      <c r="EY5" s="67" t="str">
        <f>IFERROR(__xludf.DUMMYFUNCTION("""COMPUTED_VALUE"""),"Trade Attribute 1")</f>
        <v>Trade Attribute 1</v>
      </c>
      <c r="EZ5" s="67" t="str">
        <f>IFERROR(__xludf.DUMMYFUNCTION("""COMPUTED_VALUE"""),"Trade Attribute 2")</f>
        <v>Trade Attribute 2</v>
      </c>
      <c r="FA5" s="67" t="str">
        <f>IFERROR(__xludf.DUMMYFUNCTION("""COMPUTED_VALUE"""),"")</f>
        <v/>
      </c>
      <c r="FB5" s="67" t="str">
        <f>IFERROR(__xludf.DUMMYFUNCTION("""COMPUTED_VALUE"""),"")</f>
        <v/>
      </c>
      <c r="FC5" s="67" t="str">
        <f>IFERROR(__xludf.DUMMYFUNCTION("""COMPUTED_VALUE"""),"")</f>
        <v/>
      </c>
      <c r="FD5" s="67" t="str">
        <f>IFERROR(__xludf.DUMMYFUNCTION("""COMPUTED_VALUE"""),"")</f>
        <v/>
      </c>
      <c r="FE5" s="67" t="str">
        <f>IFERROR(__xludf.DUMMYFUNCTION("""COMPUTED_VALUE"""),"")</f>
        <v/>
      </c>
      <c r="FF5" s="67" t="str">
        <f>IFERROR(__xludf.DUMMYFUNCTION("""COMPUTED_VALUE"""),"")</f>
        <v/>
      </c>
      <c r="FG5" s="67" t="str">
        <f>IFERROR(__xludf.DUMMYFUNCTION("""COMPUTED_VALUE"""),"")</f>
        <v/>
      </c>
      <c r="FH5" s="67" t="str">
        <f>IFERROR(__xludf.DUMMYFUNCTION("""COMPUTED_VALUE"""),"")</f>
        <v/>
      </c>
      <c r="FI5" s="67" t="str">
        <f>IFERROR(__xludf.DUMMYFUNCTION("""COMPUTED_VALUE"""),"")</f>
        <v/>
      </c>
      <c r="FJ5" s="67" t="str">
        <f>IFERROR(__xludf.DUMMYFUNCTION("""COMPUTED_VALUE"""),"")</f>
        <v/>
      </c>
    </row>
    <row r="6" ht="15.75" customHeight="1">
      <c r="A6" s="68"/>
      <c r="B6" s="68"/>
      <c r="C6" s="69" t="s">
        <v>18</v>
      </c>
      <c r="D6" s="70">
        <v>42.0</v>
      </c>
      <c r="E6" s="69" t="s">
        <v>20</v>
      </c>
      <c r="F6" s="69" t="s">
        <v>46</v>
      </c>
      <c r="G6" s="70">
        <v>190.0</v>
      </c>
      <c r="H6" s="69" t="s">
        <v>47</v>
      </c>
      <c r="I6" s="70">
        <v>8148.0</v>
      </c>
      <c r="J6" s="71">
        <v>1.03</v>
      </c>
      <c r="K6" s="70">
        <v>8148.0</v>
      </c>
      <c r="L6" s="70">
        <v>8148.0</v>
      </c>
      <c r="M6" s="70">
        <v>8148.0</v>
      </c>
      <c r="N6" s="70">
        <v>84.0</v>
      </c>
      <c r="O6" s="69" t="s">
        <v>48</v>
      </c>
      <c r="P6" s="70">
        <v>192.0</v>
      </c>
      <c r="Q6" s="70">
        <v>168.0</v>
      </c>
      <c r="R6" s="69" t="s">
        <v>49</v>
      </c>
      <c r="S6" s="69" t="s">
        <v>50</v>
      </c>
      <c r="T6" s="69" t="s">
        <v>51</v>
      </c>
      <c r="U6" s="69" t="s">
        <v>52</v>
      </c>
      <c r="V6" s="69" t="s">
        <v>53</v>
      </c>
      <c r="W6" s="69" t="s">
        <v>34</v>
      </c>
      <c r="X6" s="70">
        <v>1.0</v>
      </c>
      <c r="Y6" s="70">
        <v>1.0</v>
      </c>
      <c r="Z6" s="69" t="s">
        <v>54</v>
      </c>
      <c r="AA6" s="69" t="s">
        <v>54</v>
      </c>
      <c r="AB6" s="70">
        <v>0.0</v>
      </c>
      <c r="AC6" s="71">
        <v>1.04</v>
      </c>
      <c r="AD6" s="70">
        <v>8148.0</v>
      </c>
      <c r="AE6" s="70">
        <v>8148.0</v>
      </c>
      <c r="AF6" s="70">
        <v>42.0</v>
      </c>
      <c r="AG6" s="70">
        <v>8148.0</v>
      </c>
      <c r="AH6" s="70">
        <v>8148.0</v>
      </c>
      <c r="AI6" s="70">
        <v>8148.0</v>
      </c>
      <c r="AJ6" s="71">
        <v>9035.89</v>
      </c>
      <c r="AK6" s="70">
        <v>84.0</v>
      </c>
      <c r="AL6" s="70">
        <v>1.0</v>
      </c>
      <c r="AM6" s="70">
        <v>1.0</v>
      </c>
      <c r="AN6" s="69" t="s">
        <v>19</v>
      </c>
      <c r="AO6" s="69" t="s">
        <v>54</v>
      </c>
      <c r="AP6" s="69" t="s">
        <v>47</v>
      </c>
      <c r="AQ6" s="69" t="s">
        <v>18</v>
      </c>
      <c r="AR6" s="70">
        <v>194.0</v>
      </c>
      <c r="AS6" s="70">
        <v>1.0</v>
      </c>
      <c r="AT6" s="69" t="s">
        <v>55</v>
      </c>
      <c r="AU6" s="69" t="s">
        <v>56</v>
      </c>
      <c r="AV6" s="70"/>
      <c r="AW6" s="70">
        <v>168.0</v>
      </c>
      <c r="AX6" s="70">
        <v>0.0</v>
      </c>
      <c r="AY6" s="70">
        <v>0.0</v>
      </c>
      <c r="AZ6" s="70">
        <v>8148.0</v>
      </c>
      <c r="BA6" s="71">
        <v>1.05</v>
      </c>
      <c r="BB6" s="69"/>
      <c r="BC6" s="70">
        <v>1.0</v>
      </c>
      <c r="BD6" s="70">
        <v>0.0</v>
      </c>
      <c r="BE6" s="69" t="s">
        <v>51</v>
      </c>
      <c r="BF6" s="69" t="s">
        <v>57</v>
      </c>
      <c r="BG6" s="69" t="s">
        <v>58</v>
      </c>
      <c r="BH6" s="69" t="s">
        <v>59</v>
      </c>
      <c r="BI6" s="70">
        <v>5.0</v>
      </c>
      <c r="BJ6" s="70">
        <v>0.0</v>
      </c>
      <c r="BK6" s="70">
        <v>0.0</v>
      </c>
      <c r="BL6" s="70">
        <v>0.0</v>
      </c>
      <c r="BM6" s="70">
        <v>0.0</v>
      </c>
      <c r="BN6" s="69"/>
      <c r="BO6" s="70">
        <v>0.0</v>
      </c>
      <c r="BP6" s="70">
        <v>0.0</v>
      </c>
      <c r="BQ6" s="69" t="s">
        <v>60</v>
      </c>
      <c r="BR6" s="69" t="s">
        <v>61</v>
      </c>
      <c r="BS6" s="70">
        <v>0.0</v>
      </c>
      <c r="BT6" s="70">
        <v>0.0</v>
      </c>
      <c r="BU6" s="69" t="s">
        <v>51</v>
      </c>
      <c r="BV6" s="69"/>
      <c r="BW6" s="70">
        <v>0.0</v>
      </c>
      <c r="BX6" s="70">
        <v>8148.0</v>
      </c>
      <c r="BY6" s="70">
        <v>8148.0</v>
      </c>
      <c r="BZ6" s="70">
        <v>194.0</v>
      </c>
      <c r="CA6" s="70">
        <v>194.0</v>
      </c>
      <c r="CB6" s="69"/>
      <c r="CC6" s="70">
        <v>0.0</v>
      </c>
      <c r="CD6" s="70">
        <v>84.0</v>
      </c>
      <c r="CE6" s="70">
        <v>0.0</v>
      </c>
      <c r="CF6" s="70">
        <v>0.0</v>
      </c>
      <c r="CG6" s="70">
        <v>168.0</v>
      </c>
      <c r="CH6" s="71">
        <v>2.11</v>
      </c>
      <c r="CI6" s="70">
        <v>0.0</v>
      </c>
      <c r="CJ6" s="70">
        <v>0.0</v>
      </c>
      <c r="CK6" s="72" t="b">
        <v>0</v>
      </c>
      <c r="CL6" s="69" t="s">
        <v>54</v>
      </c>
      <c r="CM6" s="69" t="s">
        <v>54</v>
      </c>
      <c r="CN6" s="69" t="s">
        <v>18</v>
      </c>
      <c r="CO6" s="69" t="s">
        <v>18</v>
      </c>
      <c r="CP6" s="69" t="s">
        <v>62</v>
      </c>
      <c r="CQ6" s="69" t="s">
        <v>54</v>
      </c>
      <c r="CR6" s="70"/>
      <c r="CS6" s="70">
        <v>190.0</v>
      </c>
      <c r="CT6" s="69" t="s">
        <v>54</v>
      </c>
      <c r="CU6" s="69" t="s">
        <v>54</v>
      </c>
      <c r="CV6" s="69" t="s">
        <v>54</v>
      </c>
      <c r="CW6" s="69" t="s">
        <v>54</v>
      </c>
      <c r="CX6" s="69" t="s">
        <v>54</v>
      </c>
      <c r="CY6" s="69" t="s">
        <v>63</v>
      </c>
      <c r="CZ6" s="69" t="s">
        <v>41</v>
      </c>
      <c r="DA6" s="70">
        <v>8148.0</v>
      </c>
      <c r="DB6" s="71">
        <v>1.03</v>
      </c>
      <c r="DC6" s="73"/>
      <c r="DD6" s="70">
        <v>42.0</v>
      </c>
      <c r="DE6" s="70">
        <v>0.0</v>
      </c>
      <c r="DF6" s="70">
        <v>0.0</v>
      </c>
      <c r="DG6" s="70">
        <v>0.0</v>
      </c>
      <c r="DH6" s="70">
        <v>192.0</v>
      </c>
      <c r="DI6" s="71">
        <v>1.04</v>
      </c>
      <c r="DJ6" s="69" t="s">
        <v>19</v>
      </c>
      <c r="DK6" s="70">
        <v>8064.0</v>
      </c>
      <c r="DL6" s="70">
        <v>8064.0</v>
      </c>
      <c r="DM6" s="70">
        <v>1.0</v>
      </c>
      <c r="DN6" s="70">
        <v>2.0</v>
      </c>
      <c r="DO6" s="69" t="s">
        <v>54</v>
      </c>
      <c r="DP6" s="69" t="s">
        <v>47</v>
      </c>
      <c r="DQ6" s="69" t="s">
        <v>64</v>
      </c>
      <c r="DR6" s="69" t="s">
        <v>65</v>
      </c>
      <c r="DS6" s="69" t="s">
        <v>64</v>
      </c>
      <c r="DT6" s="69" t="s">
        <v>64</v>
      </c>
      <c r="DU6" s="69" t="s">
        <v>66</v>
      </c>
      <c r="DV6" s="69" t="s">
        <v>64</v>
      </c>
      <c r="DW6" s="69" t="s">
        <v>64</v>
      </c>
      <c r="DX6" s="69" t="s">
        <v>64</v>
      </c>
      <c r="DY6" s="69" t="s">
        <v>64</v>
      </c>
      <c r="DZ6" s="69" t="s">
        <v>48</v>
      </c>
      <c r="EA6" s="69" t="s">
        <v>66</v>
      </c>
      <c r="EB6" s="69" t="s">
        <v>64</v>
      </c>
      <c r="EC6" s="69" t="s">
        <v>64</v>
      </c>
      <c r="ED6" s="69" t="s">
        <v>34</v>
      </c>
      <c r="EE6" s="69" t="s">
        <v>67</v>
      </c>
      <c r="EF6" s="70">
        <v>0.0</v>
      </c>
      <c r="EG6" s="71">
        <v>90.36</v>
      </c>
      <c r="EH6" s="71">
        <v>90.36</v>
      </c>
      <c r="EI6" s="71">
        <v>90.36</v>
      </c>
      <c r="EJ6" s="71">
        <v>90.36</v>
      </c>
      <c r="EK6" s="71">
        <v>90.36</v>
      </c>
      <c r="EL6" s="69" t="s">
        <v>47</v>
      </c>
      <c r="EM6" s="70">
        <v>8148.0</v>
      </c>
      <c r="EN6" s="70">
        <v>8148.0</v>
      </c>
      <c r="EO6" s="71">
        <v>0.95</v>
      </c>
      <c r="EP6" s="71">
        <v>8835.62</v>
      </c>
      <c r="EQ6" s="71">
        <v>90.36</v>
      </c>
      <c r="ER6" s="70">
        <v>8148.0</v>
      </c>
      <c r="ES6" s="71">
        <v>9017.37</v>
      </c>
      <c r="ET6" s="71">
        <v>0.93</v>
      </c>
      <c r="EU6" s="71">
        <v>90.36</v>
      </c>
      <c r="EV6" s="69" t="s">
        <v>47</v>
      </c>
      <c r="EW6" s="71">
        <v>9017.37</v>
      </c>
      <c r="EX6" s="72" t="b">
        <v>0</v>
      </c>
      <c r="EY6" s="69" t="s">
        <v>54</v>
      </c>
      <c r="EZ6" s="69" t="s">
        <v>54</v>
      </c>
      <c r="FA6" s="56"/>
      <c r="FB6" s="56"/>
      <c r="FC6" s="56"/>
      <c r="FD6" s="56"/>
      <c r="FE6" s="56"/>
      <c r="FF6" s="56"/>
      <c r="FG6" s="56"/>
      <c r="FH6" s="56"/>
      <c r="FI6" s="56"/>
      <c r="FJ6" s="56"/>
    </row>
    <row r="7" ht="15.75" customHeight="1">
      <c r="A7" s="54"/>
      <c r="B7" s="54"/>
      <c r="C7" s="69" t="s">
        <v>22</v>
      </c>
      <c r="D7" s="70">
        <v>50.0</v>
      </c>
      <c r="E7" s="69" t="s">
        <v>20</v>
      </c>
      <c r="F7" s="69" t="s">
        <v>46</v>
      </c>
      <c r="G7" s="70">
        <v>8.0</v>
      </c>
      <c r="H7" s="69" t="s">
        <v>47</v>
      </c>
      <c r="I7" s="71">
        <v>497.51</v>
      </c>
      <c r="J7" s="70">
        <v>10.0</v>
      </c>
      <c r="K7" s="71">
        <v>497.51</v>
      </c>
      <c r="L7" s="71">
        <v>497.51</v>
      </c>
      <c r="M7" s="71">
        <v>497.51</v>
      </c>
      <c r="N7" s="71">
        <v>49.75</v>
      </c>
      <c r="O7" s="69" t="s">
        <v>22</v>
      </c>
      <c r="P7" s="70">
        <v>9.0</v>
      </c>
      <c r="Q7" s="71">
        <v>-73.92</v>
      </c>
      <c r="R7" s="69" t="s">
        <v>49</v>
      </c>
      <c r="S7" s="69" t="s">
        <v>50</v>
      </c>
      <c r="T7" s="69" t="s">
        <v>51</v>
      </c>
      <c r="U7" s="69" t="s">
        <v>52</v>
      </c>
      <c r="V7" s="69" t="s">
        <v>68</v>
      </c>
      <c r="W7" s="69" t="s">
        <v>35</v>
      </c>
      <c r="X7" s="70">
        <v>1.0</v>
      </c>
      <c r="Y7" s="71">
        <v>1.0</v>
      </c>
      <c r="Z7" s="69" t="s">
        <v>54</v>
      </c>
      <c r="AA7" s="69" t="s">
        <v>54</v>
      </c>
      <c r="AB7" s="70">
        <v>0.0</v>
      </c>
      <c r="AC7" s="71">
        <v>11.11</v>
      </c>
      <c r="AD7" s="70">
        <v>500.0</v>
      </c>
      <c r="AE7" s="70">
        <v>500.0</v>
      </c>
      <c r="AF7" s="70">
        <v>50.0</v>
      </c>
      <c r="AG7" s="71">
        <v>497.51</v>
      </c>
      <c r="AH7" s="70">
        <v>500.0</v>
      </c>
      <c r="AI7" s="71">
        <v>497.51</v>
      </c>
      <c r="AJ7" s="71">
        <v>551.73</v>
      </c>
      <c r="AK7" s="70">
        <v>50.0</v>
      </c>
      <c r="AL7" s="70">
        <v>1.0</v>
      </c>
      <c r="AM7" s="70">
        <v>1.0</v>
      </c>
      <c r="AN7" s="69" t="s">
        <v>19</v>
      </c>
      <c r="AO7" s="69" t="s">
        <v>54</v>
      </c>
      <c r="AP7" s="69" t="s">
        <v>47</v>
      </c>
      <c r="AQ7" s="69" t="s">
        <v>22</v>
      </c>
      <c r="AR7" s="70">
        <v>10.0</v>
      </c>
      <c r="AS7" s="70">
        <v>1.0</v>
      </c>
      <c r="AT7" s="69" t="s">
        <v>55</v>
      </c>
      <c r="AU7" s="69" t="s">
        <v>56</v>
      </c>
      <c r="AV7" s="70"/>
      <c r="AW7" s="70">
        <v>100.0</v>
      </c>
      <c r="AX7" s="70">
        <v>0.0</v>
      </c>
      <c r="AY7" s="70">
        <v>0.0</v>
      </c>
      <c r="AZ7" s="70">
        <v>500.0</v>
      </c>
      <c r="BA7" s="71">
        <v>8.71</v>
      </c>
      <c r="BB7" s="69"/>
      <c r="BC7" s="70">
        <v>1.0</v>
      </c>
      <c r="BD7" s="70">
        <v>0.0</v>
      </c>
      <c r="BE7" s="69" t="s">
        <v>51</v>
      </c>
      <c r="BF7" s="69" t="s">
        <v>59</v>
      </c>
      <c r="BG7" s="69" t="s">
        <v>59</v>
      </c>
      <c r="BH7" s="69" t="s">
        <v>59</v>
      </c>
      <c r="BI7" s="69" t="s">
        <v>59</v>
      </c>
      <c r="BJ7" s="70">
        <v>0.0</v>
      </c>
      <c r="BK7" s="70">
        <v>0.0</v>
      </c>
      <c r="BL7" s="70">
        <v>0.0</v>
      </c>
      <c r="BM7" s="70">
        <v>0.0</v>
      </c>
      <c r="BN7" s="69"/>
      <c r="BO7" s="70">
        <v>0.0</v>
      </c>
      <c r="BP7" s="70">
        <v>0.0</v>
      </c>
      <c r="BQ7" s="69" t="s">
        <v>60</v>
      </c>
      <c r="BR7" s="69" t="s">
        <v>61</v>
      </c>
      <c r="BS7" s="70">
        <v>0.0</v>
      </c>
      <c r="BT7" s="70">
        <v>0.0</v>
      </c>
      <c r="BU7" s="69" t="s">
        <v>51</v>
      </c>
      <c r="BV7" s="69"/>
      <c r="BW7" s="70">
        <v>0.0</v>
      </c>
      <c r="BX7" s="71">
        <v>497.51</v>
      </c>
      <c r="BY7" s="71">
        <v>497.51</v>
      </c>
      <c r="BZ7" s="70">
        <v>10.0</v>
      </c>
      <c r="CA7" s="71">
        <v>9.95</v>
      </c>
      <c r="CB7" s="69"/>
      <c r="CC7" s="70">
        <v>0.0</v>
      </c>
      <c r="CD7" s="71">
        <v>49.75</v>
      </c>
      <c r="CE7" s="70">
        <v>0.0</v>
      </c>
      <c r="CF7" s="71">
        <v>-173.42</v>
      </c>
      <c r="CG7" s="71">
        <v>99.5</v>
      </c>
      <c r="CH7" s="71">
        <v>-12.94</v>
      </c>
      <c r="CI7" s="70">
        <v>0.0</v>
      </c>
      <c r="CJ7" s="70">
        <v>0.0</v>
      </c>
      <c r="CK7" s="72" t="b">
        <v>0</v>
      </c>
      <c r="CL7" s="69" t="s">
        <v>54</v>
      </c>
      <c r="CM7" s="69" t="s">
        <v>54</v>
      </c>
      <c r="CN7" s="69" t="s">
        <v>54</v>
      </c>
      <c r="CO7" s="69" t="s">
        <v>54</v>
      </c>
      <c r="CP7" s="69" t="s">
        <v>69</v>
      </c>
      <c r="CQ7" s="69" t="s">
        <v>54</v>
      </c>
      <c r="CR7" s="70"/>
      <c r="CS7" s="70">
        <v>8.0</v>
      </c>
      <c r="CT7" s="69" t="s">
        <v>54</v>
      </c>
      <c r="CU7" s="69" t="s">
        <v>54</v>
      </c>
      <c r="CV7" s="69" t="s">
        <v>54</v>
      </c>
      <c r="CW7" s="69" t="s">
        <v>54</v>
      </c>
      <c r="CX7" s="69" t="s">
        <v>54</v>
      </c>
      <c r="CY7" s="69" t="s">
        <v>63</v>
      </c>
      <c r="CZ7" s="69" t="s">
        <v>41</v>
      </c>
      <c r="DA7" s="70">
        <v>500.0</v>
      </c>
      <c r="DB7" s="70">
        <v>10.0</v>
      </c>
      <c r="DC7" s="73"/>
      <c r="DD7" s="70">
        <v>50.0</v>
      </c>
      <c r="DE7" s="70">
        <v>0.0</v>
      </c>
      <c r="DF7" s="70">
        <v>0.0</v>
      </c>
      <c r="DG7" s="70">
        <v>0.0</v>
      </c>
      <c r="DH7" s="70">
        <v>9.0</v>
      </c>
      <c r="DI7" s="71">
        <v>11.11</v>
      </c>
      <c r="DJ7" s="69" t="s">
        <v>19</v>
      </c>
      <c r="DK7" s="70">
        <v>450.0</v>
      </c>
      <c r="DL7" s="71">
        <v>447.76</v>
      </c>
      <c r="DM7" s="71">
        <v>1.0</v>
      </c>
      <c r="DN7" s="70">
        <v>1.0</v>
      </c>
      <c r="DO7" s="69" t="s">
        <v>54</v>
      </c>
      <c r="DP7" s="69" t="s">
        <v>47</v>
      </c>
      <c r="DQ7" s="69" t="s">
        <v>59</v>
      </c>
      <c r="DR7" s="69" t="s">
        <v>70</v>
      </c>
      <c r="DS7" s="69" t="s">
        <v>59</v>
      </c>
      <c r="DT7" s="69" t="s">
        <v>59</v>
      </c>
      <c r="DU7" s="69" t="s">
        <v>59</v>
      </c>
      <c r="DV7" s="69" t="s">
        <v>59</v>
      </c>
      <c r="DW7" s="69" t="s">
        <v>59</v>
      </c>
      <c r="DX7" s="69" t="s">
        <v>59</v>
      </c>
      <c r="DY7" s="69" t="s">
        <v>59</v>
      </c>
      <c r="DZ7" s="69" t="s">
        <v>22</v>
      </c>
      <c r="EA7" s="69" t="s">
        <v>67</v>
      </c>
      <c r="EB7" s="69" t="s">
        <v>59</v>
      </c>
      <c r="EC7" s="69" t="s">
        <v>59</v>
      </c>
      <c r="ED7" s="69" t="s">
        <v>35</v>
      </c>
      <c r="EE7" s="69" t="s">
        <v>67</v>
      </c>
      <c r="EF7" s="71">
        <v>1.01</v>
      </c>
      <c r="EG7" s="71">
        <v>5.52</v>
      </c>
      <c r="EH7" s="71">
        <v>5.52</v>
      </c>
      <c r="EI7" s="71">
        <v>5.52</v>
      </c>
      <c r="EJ7" s="71">
        <v>5.52</v>
      </c>
      <c r="EK7" s="71">
        <v>5.52</v>
      </c>
      <c r="EL7" s="69" t="s">
        <v>47</v>
      </c>
      <c r="EM7" s="71">
        <v>497.51</v>
      </c>
      <c r="EN7" s="70">
        <v>500.0</v>
      </c>
      <c r="EO7" s="71">
        <v>0.56</v>
      </c>
      <c r="EP7" s="71">
        <v>8835.62</v>
      </c>
      <c r="EQ7" s="71">
        <v>5.52</v>
      </c>
      <c r="ER7" s="70">
        <v>500.0</v>
      </c>
      <c r="ES7" s="71">
        <v>9017.37</v>
      </c>
      <c r="ET7" s="71">
        <v>0.55</v>
      </c>
      <c r="EU7" s="71">
        <v>5.52</v>
      </c>
      <c r="EV7" s="69" t="s">
        <v>47</v>
      </c>
      <c r="EW7" s="71">
        <v>9017.37</v>
      </c>
      <c r="EX7" s="72" t="b">
        <v>0</v>
      </c>
      <c r="EY7" s="69" t="s">
        <v>54</v>
      </c>
      <c r="EZ7" s="69" t="s">
        <v>54</v>
      </c>
      <c r="FA7" s="56"/>
      <c r="FB7" s="56"/>
      <c r="FC7" s="56"/>
      <c r="FD7" s="56"/>
      <c r="FE7" s="56"/>
      <c r="FF7" s="56"/>
      <c r="FG7" s="56"/>
      <c r="FH7" s="56"/>
      <c r="FI7" s="56"/>
      <c r="FJ7" s="56"/>
    </row>
    <row r="8" ht="15.75" customHeight="1">
      <c r="A8" s="54"/>
      <c r="B8" s="54"/>
      <c r="C8" s="69" t="s">
        <v>24</v>
      </c>
      <c r="D8" s="70">
        <v>40.0</v>
      </c>
      <c r="E8" s="69" t="s">
        <v>20</v>
      </c>
      <c r="F8" s="69" t="s">
        <v>46</v>
      </c>
      <c r="G8" s="70">
        <v>60.0</v>
      </c>
      <c r="H8" s="69" t="s">
        <v>47</v>
      </c>
      <c r="I8" s="70">
        <v>2976.0</v>
      </c>
      <c r="J8" s="71">
        <v>1.61</v>
      </c>
      <c r="K8" s="70">
        <v>2976.0</v>
      </c>
      <c r="L8" s="70">
        <v>2976.0</v>
      </c>
      <c r="M8" s="70">
        <v>2976.0</v>
      </c>
      <c r="N8" s="70">
        <v>48.0</v>
      </c>
      <c r="O8" s="69" t="s">
        <v>71</v>
      </c>
      <c r="P8" s="70">
        <v>61.0</v>
      </c>
      <c r="Q8" s="70">
        <v>336.0</v>
      </c>
      <c r="R8" s="69" t="s">
        <v>49</v>
      </c>
      <c r="S8" s="69" t="s">
        <v>50</v>
      </c>
      <c r="T8" s="69" t="s">
        <v>51</v>
      </c>
      <c r="U8" s="69" t="s">
        <v>72</v>
      </c>
      <c r="V8" s="69" t="s">
        <v>73</v>
      </c>
      <c r="W8" s="69" t="s">
        <v>37</v>
      </c>
      <c r="X8" s="70">
        <v>1.0</v>
      </c>
      <c r="Y8" s="70">
        <v>1.2</v>
      </c>
      <c r="Z8" s="69" t="s">
        <v>54</v>
      </c>
      <c r="AA8" s="69" t="s">
        <v>54</v>
      </c>
      <c r="AB8" s="70">
        <v>0.0</v>
      </c>
      <c r="AC8" s="71">
        <v>1.64</v>
      </c>
      <c r="AD8" s="70">
        <v>2480.0</v>
      </c>
      <c r="AE8" s="70">
        <v>2480.0</v>
      </c>
      <c r="AF8" s="70">
        <v>40.0</v>
      </c>
      <c r="AG8" s="70">
        <v>2976.0</v>
      </c>
      <c r="AH8" s="70">
        <v>2480.0</v>
      </c>
      <c r="AI8" s="70">
        <v>2976.0</v>
      </c>
      <c r="AJ8" s="71">
        <v>3300.3</v>
      </c>
      <c r="AK8" s="70">
        <v>40.0</v>
      </c>
      <c r="AL8" s="70">
        <v>1.0</v>
      </c>
      <c r="AM8" s="70">
        <v>1.0</v>
      </c>
      <c r="AN8" s="69" t="s">
        <v>19</v>
      </c>
      <c r="AO8" s="69" t="s">
        <v>54</v>
      </c>
      <c r="AP8" s="69" t="s">
        <v>47</v>
      </c>
      <c r="AQ8" s="69" t="s">
        <v>24</v>
      </c>
      <c r="AR8" s="70">
        <v>62.0</v>
      </c>
      <c r="AS8" s="70">
        <v>1.0</v>
      </c>
      <c r="AT8" s="69" t="s">
        <v>55</v>
      </c>
      <c r="AU8" s="69" t="s">
        <v>56</v>
      </c>
      <c r="AV8" s="70"/>
      <c r="AW8" s="70">
        <v>80.0</v>
      </c>
      <c r="AX8" s="70">
        <v>0.0</v>
      </c>
      <c r="AY8" s="70">
        <v>0.0</v>
      </c>
      <c r="AZ8" s="70">
        <v>2480.0</v>
      </c>
      <c r="BA8" s="71">
        <v>1.82</v>
      </c>
      <c r="BB8" s="69"/>
      <c r="BC8" s="70">
        <v>1.0</v>
      </c>
      <c r="BD8" s="70">
        <v>0.0</v>
      </c>
      <c r="BE8" s="69" t="s">
        <v>51</v>
      </c>
      <c r="BF8" s="69" t="s">
        <v>59</v>
      </c>
      <c r="BG8" s="69" t="s">
        <v>59</v>
      </c>
      <c r="BH8" s="69" t="s">
        <v>59</v>
      </c>
      <c r="BI8" s="69" t="s">
        <v>59</v>
      </c>
      <c r="BJ8" s="70">
        <v>0.0</v>
      </c>
      <c r="BK8" s="70">
        <v>0.0</v>
      </c>
      <c r="BL8" s="70">
        <v>0.0</v>
      </c>
      <c r="BM8" s="70">
        <v>0.0</v>
      </c>
      <c r="BN8" s="69"/>
      <c r="BO8" s="70">
        <v>0.0</v>
      </c>
      <c r="BP8" s="70">
        <v>0.0</v>
      </c>
      <c r="BQ8" s="69" t="s">
        <v>60</v>
      </c>
      <c r="BR8" s="69" t="s">
        <v>61</v>
      </c>
      <c r="BS8" s="70">
        <v>0.0</v>
      </c>
      <c r="BT8" s="70">
        <v>0.0</v>
      </c>
      <c r="BU8" s="69" t="s">
        <v>51</v>
      </c>
      <c r="BV8" s="69"/>
      <c r="BW8" s="70">
        <v>0.0</v>
      </c>
      <c r="BX8" s="70">
        <v>2976.0</v>
      </c>
      <c r="BY8" s="70">
        <v>2976.0</v>
      </c>
      <c r="BZ8" s="70">
        <v>62.0</v>
      </c>
      <c r="CA8" s="70">
        <v>74.4</v>
      </c>
      <c r="CB8" s="69"/>
      <c r="CC8" s="70">
        <v>0.0</v>
      </c>
      <c r="CD8" s="70">
        <v>48.0</v>
      </c>
      <c r="CE8" s="70">
        <v>0.0</v>
      </c>
      <c r="CF8" s="70">
        <v>240.0</v>
      </c>
      <c r="CG8" s="70">
        <v>96.0</v>
      </c>
      <c r="CH8" s="71">
        <v>12.73</v>
      </c>
      <c r="CI8" s="70">
        <v>0.0</v>
      </c>
      <c r="CJ8" s="70">
        <v>0.0</v>
      </c>
      <c r="CK8" s="72" t="b">
        <v>0</v>
      </c>
      <c r="CL8" s="69" t="s">
        <v>54</v>
      </c>
      <c r="CM8" s="69" t="s">
        <v>54</v>
      </c>
      <c r="CN8" s="70">
        <v>5756029.0</v>
      </c>
      <c r="CO8" s="69" t="s">
        <v>54</v>
      </c>
      <c r="CP8" s="69" t="s">
        <v>74</v>
      </c>
      <c r="CQ8" s="69" t="s">
        <v>75</v>
      </c>
      <c r="CR8" s="70"/>
      <c r="CS8" s="70">
        <v>60.0</v>
      </c>
      <c r="CT8" s="69" t="s">
        <v>54</v>
      </c>
      <c r="CU8" s="69" t="s">
        <v>54</v>
      </c>
      <c r="CV8" s="69" t="s">
        <v>54</v>
      </c>
      <c r="CW8" s="69" t="s">
        <v>54</v>
      </c>
      <c r="CX8" s="69" t="s">
        <v>54</v>
      </c>
      <c r="CY8" s="69" t="s">
        <v>63</v>
      </c>
      <c r="CZ8" s="69" t="s">
        <v>41</v>
      </c>
      <c r="DA8" s="70">
        <v>2480.0</v>
      </c>
      <c r="DB8" s="71">
        <v>1.61</v>
      </c>
      <c r="DC8" s="73"/>
      <c r="DD8" s="70">
        <v>40.0</v>
      </c>
      <c r="DE8" s="70">
        <v>0.0</v>
      </c>
      <c r="DF8" s="70">
        <v>0.0</v>
      </c>
      <c r="DG8" s="70">
        <v>0.0</v>
      </c>
      <c r="DH8" s="70">
        <v>61.0</v>
      </c>
      <c r="DI8" s="71">
        <v>1.64</v>
      </c>
      <c r="DJ8" s="69" t="s">
        <v>19</v>
      </c>
      <c r="DK8" s="70">
        <v>2440.0</v>
      </c>
      <c r="DL8" s="70">
        <v>2928.0</v>
      </c>
      <c r="DM8" s="70">
        <v>1.2</v>
      </c>
      <c r="DN8" s="70">
        <v>1.0</v>
      </c>
      <c r="DO8" s="69" t="s">
        <v>76</v>
      </c>
      <c r="DP8" s="69" t="s">
        <v>47</v>
      </c>
      <c r="DQ8" s="69" t="s">
        <v>59</v>
      </c>
      <c r="DR8" s="69" t="s">
        <v>70</v>
      </c>
      <c r="DS8" s="69" t="s">
        <v>59</v>
      </c>
      <c r="DT8" s="69" t="s">
        <v>59</v>
      </c>
      <c r="DU8" s="69" t="s">
        <v>59</v>
      </c>
      <c r="DV8" s="69" t="s">
        <v>59</v>
      </c>
      <c r="DW8" s="69" t="s">
        <v>59</v>
      </c>
      <c r="DX8" s="69" t="s">
        <v>59</v>
      </c>
      <c r="DY8" s="69" t="s">
        <v>59</v>
      </c>
      <c r="DZ8" s="69" t="s">
        <v>71</v>
      </c>
      <c r="EA8" s="69" t="s">
        <v>67</v>
      </c>
      <c r="EB8" s="69" t="s">
        <v>59</v>
      </c>
      <c r="EC8" s="69" t="s">
        <v>59</v>
      </c>
      <c r="ED8" s="69" t="s">
        <v>37</v>
      </c>
      <c r="EE8" s="69" t="s">
        <v>67</v>
      </c>
      <c r="EF8" s="70">
        <v>1.2</v>
      </c>
      <c r="EG8" s="71">
        <v>33.0</v>
      </c>
      <c r="EH8" s="71">
        <v>33.0</v>
      </c>
      <c r="EI8" s="71">
        <v>33.0</v>
      </c>
      <c r="EJ8" s="71">
        <v>33.0</v>
      </c>
      <c r="EK8" s="71">
        <v>33.0</v>
      </c>
      <c r="EL8" s="69" t="s">
        <v>47</v>
      </c>
      <c r="EM8" s="70">
        <v>2976.0</v>
      </c>
      <c r="EN8" s="70">
        <v>2480.0</v>
      </c>
      <c r="EO8" s="71">
        <v>0.54</v>
      </c>
      <c r="EP8" s="71">
        <v>8835.62</v>
      </c>
      <c r="EQ8" s="71">
        <v>33.0</v>
      </c>
      <c r="ER8" s="70">
        <v>2480.0</v>
      </c>
      <c r="ES8" s="71">
        <v>9017.37</v>
      </c>
      <c r="ET8" s="71">
        <v>0.53</v>
      </c>
      <c r="EU8" s="71">
        <v>33.0</v>
      </c>
      <c r="EV8" s="69" t="s">
        <v>47</v>
      </c>
      <c r="EW8" s="71">
        <v>9017.37</v>
      </c>
      <c r="EX8" s="72" t="b">
        <v>0</v>
      </c>
      <c r="EY8" s="69" t="s">
        <v>54</v>
      </c>
      <c r="EZ8" s="69" t="s">
        <v>54</v>
      </c>
      <c r="FA8" s="56"/>
      <c r="FB8" s="56"/>
      <c r="FC8" s="56"/>
      <c r="FD8" s="56"/>
      <c r="FE8" s="56"/>
      <c r="FF8" s="56"/>
      <c r="FG8" s="56"/>
      <c r="FH8" s="56"/>
      <c r="FI8" s="56"/>
      <c r="FJ8" s="56"/>
    </row>
    <row r="9" ht="15.7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</row>
    <row r="10" ht="15.7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</row>
    <row r="11" ht="15.7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</row>
    <row r="12" ht="15.7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</row>
    <row r="13" ht="15.7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</row>
    <row r="14" ht="15.7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</row>
    <row r="15" ht="15.7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</row>
    <row r="16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</row>
    <row r="17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</row>
    <row r="18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  <c r="CY66" s="56"/>
      <c r="CZ66" s="56"/>
      <c r="DA66" s="56"/>
      <c r="DB66" s="56"/>
      <c r="DC66" s="56"/>
      <c r="DD66" s="56"/>
      <c r="DE66" s="56"/>
      <c r="DF66" s="56"/>
      <c r="DG66" s="56"/>
      <c r="DH66" s="56"/>
      <c r="DI66" s="56"/>
      <c r="DJ66" s="56"/>
      <c r="DK66" s="56"/>
      <c r="DL66" s="56"/>
      <c r="DM66" s="56"/>
      <c r="DN66" s="56"/>
      <c r="DO66" s="56"/>
      <c r="DP66" s="56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  <c r="CX67" s="56"/>
      <c r="CY67" s="56"/>
      <c r="CZ67" s="56"/>
      <c r="DA67" s="56"/>
      <c r="DB67" s="56"/>
      <c r="DC67" s="56"/>
      <c r="DD67" s="56"/>
      <c r="DE67" s="56"/>
      <c r="DF67" s="56"/>
      <c r="DG67" s="56"/>
      <c r="DH67" s="56"/>
      <c r="DI67" s="56"/>
      <c r="DJ67" s="56"/>
      <c r="DK67" s="56"/>
      <c r="DL67" s="56"/>
      <c r="DM67" s="56"/>
      <c r="DN67" s="56"/>
      <c r="DO67" s="56"/>
      <c r="DP67" s="56"/>
      <c r="DQ67" s="56"/>
      <c r="DR67" s="56"/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  <c r="EG67" s="56"/>
      <c r="EH67" s="56"/>
      <c r="EI67" s="56"/>
      <c r="EJ67" s="56"/>
      <c r="EK67" s="56"/>
      <c r="EL67" s="56"/>
      <c r="EM67" s="56"/>
      <c r="EN67" s="56"/>
      <c r="EO67" s="56"/>
      <c r="EP67" s="56"/>
      <c r="EQ67" s="56"/>
      <c r="ER67" s="56"/>
      <c r="ES67" s="56"/>
      <c r="ET67" s="56"/>
      <c r="EU67" s="56"/>
      <c r="EV67" s="56"/>
      <c r="EW67" s="56"/>
      <c r="EX67" s="56"/>
      <c r="EY67" s="56"/>
      <c r="EZ67" s="56"/>
      <c r="FA67" s="56"/>
      <c r="FB67" s="56"/>
      <c r="FC67" s="56"/>
      <c r="FD67" s="56"/>
      <c r="FE67" s="56"/>
      <c r="FF67" s="56"/>
      <c r="FG67" s="56"/>
      <c r="FH67" s="56"/>
      <c r="FI67" s="56"/>
      <c r="FJ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  <c r="CZ68" s="56"/>
      <c r="DA68" s="56"/>
      <c r="DB68" s="56"/>
      <c r="DC68" s="56"/>
      <c r="DD68" s="56"/>
      <c r="DE68" s="56"/>
      <c r="DF68" s="56"/>
      <c r="DG68" s="56"/>
      <c r="DH68" s="56"/>
      <c r="DI68" s="56"/>
      <c r="DJ68" s="56"/>
      <c r="DK68" s="56"/>
      <c r="DL68" s="56"/>
      <c r="DM68" s="56"/>
      <c r="DN68" s="56"/>
      <c r="DO68" s="56"/>
      <c r="DP68" s="56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6"/>
      <c r="EH68" s="56"/>
      <c r="EI68" s="56"/>
      <c r="EJ68" s="56"/>
      <c r="EK68" s="56"/>
      <c r="EL68" s="56"/>
      <c r="EM68" s="56"/>
      <c r="EN68" s="56"/>
      <c r="EO68" s="56"/>
      <c r="EP68" s="56"/>
      <c r="EQ68" s="56"/>
      <c r="ER68" s="56"/>
      <c r="ES68" s="56"/>
      <c r="ET68" s="56"/>
      <c r="EU68" s="56"/>
      <c r="EV68" s="56"/>
      <c r="EW68" s="56"/>
      <c r="EX68" s="56"/>
      <c r="EY68" s="56"/>
      <c r="EZ68" s="56"/>
      <c r="FA68" s="56"/>
      <c r="FB68" s="56"/>
      <c r="FC68" s="56"/>
      <c r="FD68" s="56"/>
      <c r="FE68" s="56"/>
      <c r="FF68" s="56"/>
      <c r="FG68" s="56"/>
      <c r="FH68" s="56"/>
      <c r="FI68" s="56"/>
      <c r="FJ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6"/>
      <c r="CV69" s="56"/>
      <c r="CW69" s="56"/>
      <c r="CX69" s="56"/>
      <c r="CY69" s="56"/>
      <c r="CZ69" s="56"/>
      <c r="DA69" s="56"/>
      <c r="DB69" s="56"/>
      <c r="DC69" s="56"/>
      <c r="DD69" s="56"/>
      <c r="DE69" s="56"/>
      <c r="DF69" s="56"/>
      <c r="DG69" s="56"/>
      <c r="DH69" s="56"/>
      <c r="DI69" s="56"/>
      <c r="DJ69" s="56"/>
      <c r="DK69" s="56"/>
      <c r="DL69" s="56"/>
      <c r="DM69" s="56"/>
      <c r="DN69" s="56"/>
      <c r="DO69" s="56"/>
      <c r="DP69" s="56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  <c r="EL69" s="56"/>
      <c r="EM69" s="56"/>
      <c r="EN69" s="56"/>
      <c r="EO69" s="56"/>
      <c r="EP69" s="56"/>
      <c r="EQ69" s="56"/>
      <c r="ER69" s="56"/>
      <c r="ES69" s="56"/>
      <c r="ET69" s="56"/>
      <c r="EU69" s="56"/>
      <c r="EV69" s="56"/>
      <c r="EW69" s="56"/>
      <c r="EX69" s="56"/>
      <c r="EY69" s="56"/>
      <c r="EZ69" s="56"/>
      <c r="FA69" s="56"/>
      <c r="FB69" s="56"/>
      <c r="FC69" s="56"/>
      <c r="FD69" s="56"/>
      <c r="FE69" s="56"/>
      <c r="FF69" s="56"/>
      <c r="FG69" s="56"/>
      <c r="FH69" s="56"/>
      <c r="FI69" s="56"/>
      <c r="FJ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/>
      <c r="CV70" s="56"/>
      <c r="CW70" s="56"/>
      <c r="CX70" s="56"/>
      <c r="CY70" s="56"/>
      <c r="CZ70" s="56"/>
      <c r="DA70" s="56"/>
      <c r="DB70" s="56"/>
      <c r="DC70" s="56"/>
      <c r="DD70" s="56"/>
      <c r="DE70" s="56"/>
      <c r="DF70" s="56"/>
      <c r="DG70" s="56"/>
      <c r="DH70" s="56"/>
      <c r="DI70" s="56"/>
      <c r="DJ70" s="56"/>
      <c r="DK70" s="56"/>
      <c r="DL70" s="56"/>
      <c r="DM70" s="56"/>
      <c r="DN70" s="56"/>
      <c r="DO70" s="56"/>
      <c r="DP70" s="56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  <c r="EH70" s="56"/>
      <c r="EI70" s="56"/>
      <c r="EJ70" s="56"/>
      <c r="EK70" s="56"/>
      <c r="EL70" s="56"/>
      <c r="EM70" s="56"/>
      <c r="EN70" s="56"/>
      <c r="EO70" s="56"/>
      <c r="EP70" s="56"/>
      <c r="EQ70" s="56"/>
      <c r="ER70" s="56"/>
      <c r="ES70" s="56"/>
      <c r="ET70" s="56"/>
      <c r="EU70" s="56"/>
      <c r="EV70" s="56"/>
      <c r="EW70" s="56"/>
      <c r="EX70" s="56"/>
      <c r="EY70" s="56"/>
      <c r="EZ70" s="56"/>
      <c r="FA70" s="56"/>
      <c r="FB70" s="56"/>
      <c r="FC70" s="56"/>
      <c r="FD70" s="56"/>
      <c r="FE70" s="56"/>
      <c r="FF70" s="56"/>
      <c r="FG70" s="56"/>
      <c r="FH70" s="56"/>
      <c r="FI70" s="56"/>
      <c r="FJ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  <c r="DE71" s="56"/>
      <c r="DF71" s="56"/>
      <c r="DG71" s="56"/>
      <c r="DH71" s="56"/>
      <c r="DI71" s="56"/>
      <c r="DJ71" s="56"/>
      <c r="DK71" s="56"/>
      <c r="DL71" s="56"/>
      <c r="DM71" s="56"/>
      <c r="DN71" s="56"/>
      <c r="DO71" s="56"/>
      <c r="DP71" s="56"/>
      <c r="DQ71" s="56"/>
      <c r="DR71" s="56"/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  <c r="EG71" s="56"/>
      <c r="EH71" s="56"/>
      <c r="EI71" s="56"/>
      <c r="EJ71" s="56"/>
      <c r="EK71" s="56"/>
      <c r="EL71" s="56"/>
      <c r="EM71" s="56"/>
      <c r="EN71" s="56"/>
      <c r="EO71" s="56"/>
      <c r="EP71" s="56"/>
      <c r="EQ71" s="56"/>
      <c r="ER71" s="56"/>
      <c r="ES71" s="56"/>
      <c r="ET71" s="56"/>
      <c r="EU71" s="56"/>
      <c r="EV71" s="56"/>
      <c r="EW71" s="56"/>
      <c r="EX71" s="56"/>
      <c r="EY71" s="56"/>
      <c r="EZ71" s="56"/>
      <c r="FA71" s="56"/>
      <c r="FB71" s="56"/>
      <c r="FC71" s="56"/>
      <c r="FD71" s="56"/>
      <c r="FE71" s="56"/>
      <c r="FF71" s="56"/>
      <c r="FG71" s="56"/>
      <c r="FH71" s="56"/>
      <c r="FI71" s="56"/>
      <c r="FJ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/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/>
      <c r="FI72" s="56"/>
      <c r="FJ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  <c r="CZ73" s="56"/>
      <c r="DA73" s="56"/>
      <c r="DB73" s="56"/>
      <c r="DC73" s="56"/>
      <c r="DD73" s="56"/>
      <c r="DE73" s="56"/>
      <c r="DF73" s="56"/>
      <c r="DG73" s="56"/>
      <c r="DH73" s="56"/>
      <c r="DI73" s="56"/>
      <c r="DJ73" s="56"/>
      <c r="DK73" s="56"/>
      <c r="DL73" s="56"/>
      <c r="DM73" s="56"/>
      <c r="DN73" s="56"/>
      <c r="DO73" s="56"/>
      <c r="DP73" s="56"/>
      <c r="DQ73" s="56"/>
      <c r="DR73" s="56"/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56"/>
      <c r="EG73" s="56"/>
      <c r="EH73" s="56"/>
      <c r="EI73" s="56"/>
      <c r="EJ73" s="56"/>
      <c r="EK73" s="56"/>
      <c r="EL73" s="56"/>
      <c r="EM73" s="56"/>
      <c r="EN73" s="56"/>
      <c r="EO73" s="56"/>
      <c r="EP73" s="56"/>
      <c r="EQ73" s="56"/>
      <c r="ER73" s="56"/>
      <c r="ES73" s="56"/>
      <c r="ET73" s="56"/>
      <c r="EU73" s="56"/>
      <c r="EV73" s="56"/>
      <c r="EW73" s="56"/>
      <c r="EX73" s="56"/>
      <c r="EY73" s="56"/>
      <c r="EZ73" s="56"/>
      <c r="FA73" s="56"/>
      <c r="FB73" s="56"/>
      <c r="FC73" s="56"/>
      <c r="FD73" s="56"/>
      <c r="FE73" s="56"/>
      <c r="FF73" s="56"/>
      <c r="FG73" s="56"/>
      <c r="FH73" s="56"/>
      <c r="FI73" s="56"/>
      <c r="FJ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  <c r="CZ74" s="56"/>
      <c r="DA74" s="56"/>
      <c r="DB74" s="56"/>
      <c r="DC74" s="56"/>
      <c r="DD74" s="56"/>
      <c r="DE74" s="56"/>
      <c r="DF74" s="56"/>
      <c r="DG74" s="56"/>
      <c r="DH74" s="56"/>
      <c r="DI74" s="56"/>
      <c r="DJ74" s="56"/>
      <c r="DK74" s="56"/>
      <c r="DL74" s="56"/>
      <c r="DM74" s="56"/>
      <c r="DN74" s="56"/>
      <c r="DO74" s="56"/>
      <c r="DP74" s="56"/>
      <c r="DQ74" s="56"/>
      <c r="DR74" s="56"/>
      <c r="DS74" s="56"/>
      <c r="DT74" s="56"/>
      <c r="DU74" s="56"/>
      <c r="DV74" s="56"/>
      <c r="DW74" s="56"/>
      <c r="DX74" s="56"/>
      <c r="DY74" s="56"/>
      <c r="DZ74" s="56"/>
      <c r="EA74" s="56"/>
      <c r="EB74" s="56"/>
      <c r="EC74" s="56"/>
      <c r="ED74" s="56"/>
      <c r="EE74" s="56"/>
      <c r="EF74" s="56"/>
      <c r="EG74" s="56"/>
      <c r="EH74" s="56"/>
      <c r="EI74" s="56"/>
      <c r="EJ74" s="56"/>
      <c r="EK74" s="56"/>
      <c r="EL74" s="56"/>
      <c r="EM74" s="56"/>
      <c r="EN74" s="56"/>
      <c r="EO74" s="56"/>
      <c r="EP74" s="56"/>
      <c r="EQ74" s="56"/>
      <c r="ER74" s="56"/>
      <c r="ES74" s="56"/>
      <c r="ET74" s="56"/>
      <c r="EU74" s="56"/>
      <c r="EV74" s="56"/>
      <c r="EW74" s="56"/>
      <c r="EX74" s="56"/>
      <c r="EY74" s="56"/>
      <c r="EZ74" s="56"/>
      <c r="FA74" s="56"/>
      <c r="FB74" s="56"/>
      <c r="FC74" s="56"/>
      <c r="FD74" s="56"/>
      <c r="FE74" s="56"/>
      <c r="FF74" s="56"/>
      <c r="FG74" s="56"/>
      <c r="FH74" s="56"/>
      <c r="FI74" s="56"/>
      <c r="FJ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6"/>
      <c r="CV75" s="56"/>
      <c r="CW75" s="56"/>
      <c r="CX75" s="56"/>
      <c r="CY75" s="56"/>
      <c r="CZ75" s="56"/>
      <c r="DA75" s="56"/>
      <c r="DB75" s="56"/>
      <c r="DC75" s="56"/>
      <c r="DD75" s="56"/>
      <c r="DE75" s="56"/>
      <c r="DF75" s="56"/>
      <c r="DG75" s="56"/>
      <c r="DH75" s="56"/>
      <c r="DI75" s="56"/>
      <c r="DJ75" s="56"/>
      <c r="DK75" s="56"/>
      <c r="DL75" s="56"/>
      <c r="DM75" s="56"/>
      <c r="DN75" s="56"/>
      <c r="DO75" s="56"/>
      <c r="DP75" s="56"/>
      <c r="DQ75" s="56"/>
      <c r="DR75" s="56"/>
      <c r="DS75" s="56"/>
      <c r="DT75" s="56"/>
      <c r="DU75" s="56"/>
      <c r="DV75" s="56"/>
      <c r="DW75" s="56"/>
      <c r="DX75" s="56"/>
      <c r="DY75" s="56"/>
      <c r="DZ75" s="56"/>
      <c r="EA75" s="56"/>
      <c r="EB75" s="56"/>
      <c r="EC75" s="56"/>
      <c r="ED75" s="56"/>
      <c r="EE75" s="56"/>
      <c r="EF75" s="56"/>
      <c r="EG75" s="56"/>
      <c r="EH75" s="56"/>
      <c r="EI75" s="56"/>
      <c r="EJ75" s="56"/>
      <c r="EK75" s="56"/>
      <c r="EL75" s="56"/>
      <c r="EM75" s="56"/>
      <c r="EN75" s="56"/>
      <c r="EO75" s="56"/>
      <c r="EP75" s="56"/>
      <c r="EQ75" s="56"/>
      <c r="ER75" s="56"/>
      <c r="ES75" s="56"/>
      <c r="ET75" s="56"/>
      <c r="EU75" s="56"/>
      <c r="EV75" s="56"/>
      <c r="EW75" s="56"/>
      <c r="EX75" s="56"/>
      <c r="EY75" s="56"/>
      <c r="EZ75" s="56"/>
      <c r="FA75" s="56"/>
      <c r="FB75" s="56"/>
      <c r="FC75" s="56"/>
      <c r="FD75" s="56"/>
      <c r="FE75" s="56"/>
      <c r="FF75" s="56"/>
      <c r="FG75" s="56"/>
      <c r="FH75" s="56"/>
      <c r="FI75" s="56"/>
      <c r="FJ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  <c r="CS76" s="56"/>
      <c r="CT76" s="56"/>
      <c r="CU76" s="56"/>
      <c r="CV76" s="56"/>
      <c r="CW76" s="56"/>
      <c r="CX76" s="56"/>
      <c r="CY76" s="56"/>
      <c r="CZ76" s="56"/>
      <c r="DA76" s="56"/>
      <c r="DB76" s="56"/>
      <c r="DC76" s="56"/>
      <c r="DD76" s="56"/>
      <c r="DE76" s="56"/>
      <c r="DF76" s="56"/>
      <c r="DG76" s="56"/>
      <c r="DH76" s="56"/>
      <c r="DI76" s="56"/>
      <c r="DJ76" s="56"/>
      <c r="DK76" s="56"/>
      <c r="DL76" s="56"/>
      <c r="DM76" s="56"/>
      <c r="DN76" s="56"/>
      <c r="DO76" s="56"/>
      <c r="DP76" s="56"/>
      <c r="DQ76" s="56"/>
      <c r="DR76" s="56"/>
      <c r="DS76" s="56"/>
      <c r="DT76" s="56"/>
      <c r="DU76" s="56"/>
      <c r="DV76" s="56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G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  <c r="FE76" s="56"/>
      <c r="FF76" s="56"/>
      <c r="FG76" s="56"/>
      <c r="FH76" s="56"/>
      <c r="FI76" s="56"/>
      <c r="FJ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  <c r="CZ77" s="56"/>
      <c r="DA77" s="56"/>
      <c r="DB77" s="56"/>
      <c r="DC77" s="56"/>
      <c r="DD77" s="56"/>
      <c r="DE77" s="56"/>
      <c r="DF77" s="56"/>
      <c r="DG77" s="56"/>
      <c r="DH77" s="56"/>
      <c r="DI77" s="56"/>
      <c r="DJ77" s="56"/>
      <c r="DK77" s="56"/>
      <c r="DL77" s="56"/>
      <c r="DM77" s="56"/>
      <c r="DN77" s="56"/>
      <c r="DO77" s="56"/>
      <c r="DP77" s="56"/>
      <c r="DQ77" s="56"/>
      <c r="DR77" s="56"/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  <c r="EG77" s="56"/>
      <c r="EH77" s="56"/>
      <c r="EI77" s="56"/>
      <c r="EJ77" s="56"/>
      <c r="EK77" s="56"/>
      <c r="EL77" s="56"/>
      <c r="EM77" s="56"/>
      <c r="EN77" s="56"/>
      <c r="EO77" s="56"/>
      <c r="EP77" s="56"/>
      <c r="EQ77" s="56"/>
      <c r="ER77" s="56"/>
      <c r="ES77" s="56"/>
      <c r="ET77" s="56"/>
      <c r="EU77" s="56"/>
      <c r="EV77" s="56"/>
      <c r="EW77" s="56"/>
      <c r="EX77" s="56"/>
      <c r="EY77" s="56"/>
      <c r="EZ77" s="56"/>
      <c r="FA77" s="56"/>
      <c r="FB77" s="56"/>
      <c r="FC77" s="56"/>
      <c r="FD77" s="56"/>
      <c r="FE77" s="56"/>
      <c r="FF77" s="56"/>
      <c r="FG77" s="56"/>
      <c r="FH77" s="56"/>
      <c r="FI77" s="56"/>
      <c r="FJ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  <c r="CV78" s="56"/>
      <c r="CW78" s="56"/>
      <c r="CX78" s="56"/>
      <c r="CY78" s="56"/>
      <c r="CZ78" s="56"/>
      <c r="DA78" s="56"/>
      <c r="DB78" s="56"/>
      <c r="DC78" s="56"/>
      <c r="DD78" s="56"/>
      <c r="DE78" s="56"/>
      <c r="DF78" s="56"/>
      <c r="DG78" s="56"/>
      <c r="DH78" s="56"/>
      <c r="DI78" s="56"/>
      <c r="DJ78" s="56"/>
      <c r="DK78" s="56"/>
      <c r="DL78" s="56"/>
      <c r="DM78" s="56"/>
      <c r="DN78" s="56"/>
      <c r="DO78" s="56"/>
      <c r="DP78" s="56"/>
      <c r="DQ78" s="56"/>
      <c r="DR78" s="56"/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  <c r="EG78" s="56"/>
      <c r="EH78" s="56"/>
      <c r="EI78" s="56"/>
      <c r="EJ78" s="56"/>
      <c r="EK78" s="56"/>
      <c r="EL78" s="56"/>
      <c r="EM78" s="56"/>
      <c r="EN78" s="56"/>
      <c r="EO78" s="56"/>
      <c r="EP78" s="56"/>
      <c r="EQ78" s="56"/>
      <c r="ER78" s="56"/>
      <c r="ES78" s="56"/>
      <c r="ET78" s="56"/>
      <c r="EU78" s="56"/>
      <c r="EV78" s="56"/>
      <c r="EW78" s="56"/>
      <c r="EX78" s="56"/>
      <c r="EY78" s="56"/>
      <c r="EZ78" s="56"/>
      <c r="FA78" s="56"/>
      <c r="FB78" s="56"/>
      <c r="FC78" s="56"/>
      <c r="FD78" s="56"/>
      <c r="FE78" s="56"/>
      <c r="FF78" s="56"/>
      <c r="FG78" s="56"/>
      <c r="FH78" s="56"/>
      <c r="FI78" s="56"/>
      <c r="FJ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6"/>
      <c r="CV79" s="56"/>
      <c r="CW79" s="56"/>
      <c r="CX79" s="56"/>
      <c r="CY79" s="56"/>
      <c r="CZ79" s="56"/>
      <c r="DA79" s="56"/>
      <c r="DB79" s="56"/>
      <c r="DC79" s="56"/>
      <c r="DD79" s="56"/>
      <c r="DE79" s="56"/>
      <c r="DF79" s="56"/>
      <c r="DG79" s="56"/>
      <c r="DH79" s="56"/>
      <c r="DI79" s="56"/>
      <c r="DJ79" s="56"/>
      <c r="DK79" s="56"/>
      <c r="DL79" s="56"/>
      <c r="DM79" s="56"/>
      <c r="DN79" s="56"/>
      <c r="DO79" s="56"/>
      <c r="DP79" s="56"/>
      <c r="DQ79" s="56"/>
      <c r="DR79" s="56"/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  <c r="EG79" s="56"/>
      <c r="EH79" s="56"/>
      <c r="EI79" s="56"/>
      <c r="EJ79" s="56"/>
      <c r="EK79" s="56"/>
      <c r="EL79" s="56"/>
      <c r="EM79" s="56"/>
      <c r="EN79" s="56"/>
      <c r="EO79" s="56"/>
      <c r="EP79" s="56"/>
      <c r="EQ79" s="56"/>
      <c r="ER79" s="56"/>
      <c r="ES79" s="56"/>
      <c r="ET79" s="56"/>
      <c r="EU79" s="56"/>
      <c r="EV79" s="56"/>
      <c r="EW79" s="56"/>
      <c r="EX79" s="56"/>
      <c r="EY79" s="56"/>
      <c r="EZ79" s="56"/>
      <c r="FA79" s="56"/>
      <c r="FB79" s="56"/>
      <c r="FC79" s="56"/>
      <c r="FD79" s="56"/>
      <c r="FE79" s="56"/>
      <c r="FF79" s="56"/>
      <c r="FG79" s="56"/>
      <c r="FH79" s="56"/>
      <c r="FI79" s="56"/>
      <c r="FJ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  <c r="EL81" s="56"/>
      <c r="EM81" s="56"/>
      <c r="EN81" s="56"/>
      <c r="EO81" s="56"/>
      <c r="EP81" s="56"/>
      <c r="EQ81" s="56"/>
      <c r="ER81" s="56"/>
      <c r="ES81" s="56"/>
      <c r="ET81" s="56"/>
      <c r="EU81" s="56"/>
      <c r="EV81" s="56"/>
      <c r="EW81" s="56"/>
      <c r="EX81" s="56"/>
      <c r="EY81" s="56"/>
      <c r="EZ81" s="56"/>
      <c r="FA81" s="56"/>
      <c r="FB81" s="56"/>
      <c r="FC81" s="56"/>
      <c r="FD81" s="56"/>
      <c r="FE81" s="56"/>
      <c r="FF81" s="56"/>
      <c r="FG81" s="56"/>
      <c r="FH81" s="56"/>
      <c r="FI81" s="56"/>
      <c r="FJ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  <c r="EL82" s="56"/>
      <c r="EM82" s="56"/>
      <c r="EN82" s="56"/>
      <c r="EO82" s="56"/>
      <c r="EP82" s="56"/>
      <c r="EQ82" s="56"/>
      <c r="ER82" s="56"/>
      <c r="ES82" s="56"/>
      <c r="ET82" s="56"/>
      <c r="EU82" s="56"/>
      <c r="EV82" s="56"/>
      <c r="EW82" s="56"/>
      <c r="EX82" s="56"/>
      <c r="EY82" s="56"/>
      <c r="EZ82" s="56"/>
      <c r="FA82" s="56"/>
      <c r="FB82" s="56"/>
      <c r="FC82" s="56"/>
      <c r="FD82" s="56"/>
      <c r="FE82" s="56"/>
      <c r="FF82" s="56"/>
      <c r="FG82" s="56"/>
      <c r="FH82" s="56"/>
      <c r="FI82" s="56"/>
      <c r="FJ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6"/>
      <c r="CY83" s="56"/>
      <c r="CZ83" s="56"/>
      <c r="DA83" s="56"/>
      <c r="DB83" s="56"/>
      <c r="DC83" s="56"/>
      <c r="DD83" s="56"/>
      <c r="DE83" s="56"/>
      <c r="DF83" s="56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  <c r="EG83" s="56"/>
      <c r="EH83" s="56"/>
      <c r="EI83" s="56"/>
      <c r="EJ83" s="56"/>
      <c r="EK83" s="56"/>
      <c r="EL83" s="56"/>
      <c r="EM83" s="56"/>
      <c r="EN83" s="56"/>
      <c r="EO83" s="56"/>
      <c r="EP83" s="56"/>
      <c r="EQ83" s="56"/>
      <c r="ER83" s="56"/>
      <c r="ES83" s="56"/>
      <c r="ET83" s="56"/>
      <c r="EU83" s="56"/>
      <c r="EV83" s="56"/>
      <c r="EW83" s="56"/>
      <c r="EX83" s="56"/>
      <c r="EY83" s="56"/>
      <c r="EZ83" s="56"/>
      <c r="FA83" s="56"/>
      <c r="FB83" s="56"/>
      <c r="FC83" s="56"/>
      <c r="FD83" s="56"/>
      <c r="FE83" s="56"/>
      <c r="FF83" s="56"/>
      <c r="FG83" s="56"/>
      <c r="FH83" s="56"/>
      <c r="FI83" s="56"/>
      <c r="FJ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  <c r="CY85" s="56"/>
      <c r="CZ85" s="56"/>
      <c r="DA85" s="56"/>
      <c r="DB85" s="56"/>
      <c r="DC85" s="56"/>
      <c r="DD85" s="56"/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V86" s="56"/>
      <c r="EW86" s="56"/>
      <c r="EX86" s="56"/>
      <c r="EY86" s="56"/>
      <c r="EZ86" s="56"/>
      <c r="FA86" s="56"/>
      <c r="FB86" s="56"/>
      <c r="FC86" s="56"/>
      <c r="FD86" s="56"/>
      <c r="FE86" s="56"/>
      <c r="FF86" s="56"/>
      <c r="FG86" s="56"/>
      <c r="FH86" s="56"/>
      <c r="FI86" s="56"/>
      <c r="FJ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  <c r="EL88" s="56"/>
      <c r="EM88" s="56"/>
      <c r="EN88" s="56"/>
      <c r="EO88" s="56"/>
      <c r="EP88" s="56"/>
      <c r="EQ88" s="56"/>
      <c r="ER88" s="56"/>
      <c r="ES88" s="56"/>
      <c r="ET88" s="56"/>
      <c r="EU88" s="56"/>
      <c r="EV88" s="56"/>
      <c r="EW88" s="56"/>
      <c r="EX88" s="56"/>
      <c r="EY88" s="56"/>
      <c r="EZ88" s="56"/>
      <c r="FA88" s="56"/>
      <c r="FB88" s="56"/>
      <c r="FC88" s="56"/>
      <c r="FD88" s="56"/>
      <c r="FE88" s="56"/>
      <c r="FF88" s="56"/>
      <c r="FG88" s="56"/>
      <c r="FH88" s="56"/>
      <c r="FI88" s="56"/>
      <c r="FJ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/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  <c r="EG91" s="56"/>
      <c r="EH91" s="56"/>
      <c r="EI91" s="56"/>
      <c r="EJ91" s="56"/>
      <c r="EK91" s="56"/>
      <c r="EL91" s="56"/>
      <c r="EM91" s="56"/>
      <c r="EN91" s="56"/>
      <c r="EO91" s="56"/>
      <c r="EP91" s="56"/>
      <c r="EQ91" s="56"/>
      <c r="ER91" s="56"/>
      <c r="ES91" s="56"/>
      <c r="ET91" s="56"/>
      <c r="EU91" s="56"/>
      <c r="EV91" s="56"/>
      <c r="EW91" s="56"/>
      <c r="EX91" s="56"/>
      <c r="EY91" s="56"/>
      <c r="EZ91" s="56"/>
      <c r="FA91" s="56"/>
      <c r="FB91" s="56"/>
      <c r="FC91" s="56"/>
      <c r="FD91" s="56"/>
      <c r="FE91" s="56"/>
      <c r="FF91" s="56"/>
      <c r="FG91" s="56"/>
      <c r="FH91" s="56"/>
      <c r="FI91" s="56"/>
      <c r="FJ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  <c r="CZ92" s="56"/>
      <c r="DA92" s="56"/>
      <c r="DB92" s="56"/>
      <c r="DC92" s="56"/>
      <c r="DD92" s="56"/>
      <c r="DE92" s="56"/>
      <c r="DF92" s="56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56"/>
      <c r="ER92" s="56"/>
      <c r="ES92" s="56"/>
      <c r="ET92" s="56"/>
      <c r="EU92" s="56"/>
      <c r="EV92" s="56"/>
      <c r="EW92" s="56"/>
      <c r="EX92" s="56"/>
      <c r="EY92" s="56"/>
      <c r="EZ92" s="56"/>
      <c r="FA92" s="56"/>
      <c r="FB92" s="56"/>
      <c r="FC92" s="56"/>
      <c r="FD92" s="56"/>
      <c r="FE92" s="56"/>
      <c r="FF92" s="56"/>
      <c r="FG92" s="56"/>
      <c r="FH92" s="56"/>
      <c r="FI92" s="56"/>
      <c r="FJ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56"/>
      <c r="EU93" s="56"/>
      <c r="EV93" s="56"/>
      <c r="EW93" s="56"/>
      <c r="EX93" s="56"/>
      <c r="EY93" s="56"/>
      <c r="EZ93" s="56"/>
      <c r="FA93" s="56"/>
      <c r="FB93" s="56"/>
      <c r="FC93" s="56"/>
      <c r="FD93" s="56"/>
      <c r="FE93" s="56"/>
      <c r="FF93" s="56"/>
      <c r="FG93" s="56"/>
      <c r="FH93" s="56"/>
      <c r="FI93" s="56"/>
      <c r="FJ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  <c r="CZ96" s="56"/>
      <c r="DA96" s="56"/>
      <c r="DB96" s="56"/>
      <c r="DC96" s="56"/>
      <c r="DD96" s="56"/>
      <c r="DE96" s="56"/>
      <c r="DF96" s="56"/>
      <c r="DG96" s="56"/>
      <c r="DH96" s="56"/>
      <c r="DI96" s="56"/>
      <c r="DJ96" s="56"/>
      <c r="DK96" s="56"/>
      <c r="DL96" s="56"/>
      <c r="DM96" s="56"/>
      <c r="DN96" s="56"/>
      <c r="DO96" s="56"/>
      <c r="DP96" s="56"/>
      <c r="DQ96" s="56"/>
      <c r="DR96" s="56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56"/>
      <c r="EM96" s="56"/>
      <c r="EN96" s="56"/>
      <c r="EO96" s="56"/>
      <c r="EP96" s="56"/>
      <c r="EQ96" s="56"/>
      <c r="ER96" s="56"/>
      <c r="ES96" s="56"/>
      <c r="ET96" s="56"/>
      <c r="EU96" s="56"/>
      <c r="EV96" s="56"/>
      <c r="EW96" s="56"/>
      <c r="EX96" s="56"/>
      <c r="EY96" s="56"/>
      <c r="EZ96" s="56"/>
      <c r="FA96" s="56"/>
      <c r="FB96" s="56"/>
      <c r="FC96" s="56"/>
      <c r="FD96" s="56"/>
      <c r="FE96" s="56"/>
      <c r="FF96" s="56"/>
      <c r="FG96" s="56"/>
      <c r="FH96" s="56"/>
      <c r="FI96" s="56"/>
      <c r="FJ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6"/>
      <c r="CV97" s="56"/>
      <c r="CW97" s="56"/>
      <c r="CX97" s="56"/>
      <c r="CY97" s="56"/>
      <c r="CZ97" s="56"/>
      <c r="DA97" s="56"/>
      <c r="DB97" s="56"/>
      <c r="DC97" s="56"/>
      <c r="DD97" s="56"/>
      <c r="DE97" s="56"/>
      <c r="DF97" s="56"/>
      <c r="DG97" s="56"/>
      <c r="DH97" s="56"/>
      <c r="DI97" s="56"/>
      <c r="DJ97" s="56"/>
      <c r="DK97" s="56"/>
      <c r="DL97" s="56"/>
      <c r="DM97" s="56"/>
      <c r="DN97" s="56"/>
      <c r="DO97" s="56"/>
      <c r="DP97" s="56"/>
      <c r="DQ97" s="56"/>
      <c r="DR97" s="56"/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  <c r="EG97" s="56"/>
      <c r="EH97" s="56"/>
      <c r="EI97" s="56"/>
      <c r="EJ97" s="56"/>
      <c r="EK97" s="56"/>
      <c r="EL97" s="56"/>
      <c r="EM97" s="56"/>
      <c r="EN97" s="56"/>
      <c r="EO97" s="56"/>
      <c r="EP97" s="56"/>
      <c r="EQ97" s="56"/>
      <c r="ER97" s="56"/>
      <c r="ES97" s="56"/>
      <c r="ET97" s="56"/>
      <c r="EU97" s="56"/>
      <c r="EV97" s="56"/>
      <c r="EW97" s="56"/>
      <c r="EX97" s="56"/>
      <c r="EY97" s="56"/>
      <c r="EZ97" s="56"/>
      <c r="FA97" s="56"/>
      <c r="FB97" s="56"/>
      <c r="FC97" s="56"/>
      <c r="FD97" s="56"/>
      <c r="FE97" s="56"/>
      <c r="FF97" s="56"/>
      <c r="FG97" s="56"/>
      <c r="FH97" s="56"/>
      <c r="FI97" s="56"/>
      <c r="FJ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6"/>
      <c r="CV98" s="56"/>
      <c r="CW98" s="56"/>
      <c r="CX98" s="56"/>
      <c r="CY98" s="56"/>
      <c r="CZ98" s="56"/>
      <c r="DA98" s="56"/>
      <c r="DB98" s="56"/>
      <c r="DC98" s="56"/>
      <c r="DD98" s="56"/>
      <c r="DE98" s="56"/>
      <c r="DF98" s="56"/>
      <c r="DG98" s="56"/>
      <c r="DH98" s="56"/>
      <c r="DI98" s="56"/>
      <c r="DJ98" s="56"/>
      <c r="DK98" s="56"/>
      <c r="DL98" s="56"/>
      <c r="DM98" s="56"/>
      <c r="DN98" s="56"/>
      <c r="DO98" s="56"/>
      <c r="DP98" s="56"/>
      <c r="DQ98" s="56"/>
      <c r="DR98" s="56"/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  <c r="EG98" s="56"/>
      <c r="EH98" s="56"/>
      <c r="EI98" s="56"/>
      <c r="EJ98" s="56"/>
      <c r="EK98" s="56"/>
      <c r="EL98" s="56"/>
      <c r="EM98" s="56"/>
      <c r="EN98" s="56"/>
      <c r="EO98" s="56"/>
      <c r="EP98" s="56"/>
      <c r="EQ98" s="56"/>
      <c r="ER98" s="56"/>
      <c r="ES98" s="56"/>
      <c r="ET98" s="56"/>
      <c r="EU98" s="56"/>
      <c r="EV98" s="56"/>
      <c r="EW98" s="56"/>
      <c r="EX98" s="56"/>
      <c r="EY98" s="56"/>
      <c r="EZ98" s="56"/>
      <c r="FA98" s="56"/>
      <c r="FB98" s="56"/>
      <c r="FC98" s="56"/>
      <c r="FD98" s="56"/>
      <c r="FE98" s="56"/>
      <c r="FF98" s="56"/>
      <c r="FG98" s="56"/>
      <c r="FH98" s="56"/>
      <c r="FI98" s="56"/>
      <c r="FJ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  <c r="FE99" s="56"/>
      <c r="FF99" s="56"/>
      <c r="FG99" s="56"/>
      <c r="FH99" s="56"/>
      <c r="FI99" s="56"/>
      <c r="FJ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/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/>
      <c r="EH100" s="56"/>
      <c r="EI100" s="56"/>
      <c r="EJ100" s="56"/>
      <c r="EK100" s="56"/>
      <c r="EL100" s="56"/>
      <c r="EM100" s="56"/>
      <c r="EN100" s="56"/>
      <c r="EO100" s="56"/>
      <c r="EP100" s="56"/>
      <c r="EQ100" s="56"/>
      <c r="ER100" s="56"/>
      <c r="ES100" s="56"/>
      <c r="ET100" s="56"/>
      <c r="EU100" s="56"/>
      <c r="EV100" s="56"/>
      <c r="EW100" s="56"/>
      <c r="EX100" s="56"/>
      <c r="EY100" s="56"/>
      <c r="EZ100" s="56"/>
      <c r="FA100" s="56"/>
      <c r="FB100" s="56"/>
      <c r="FC100" s="56"/>
      <c r="FD100" s="56"/>
      <c r="FE100" s="56"/>
      <c r="FF100" s="56"/>
      <c r="FG100" s="56"/>
      <c r="FH100" s="56"/>
      <c r="FI100" s="56"/>
      <c r="FJ100" s="5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