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GetDailyCash" sheetId="6" r:id="rId8"/>
    <sheet state="visible" name="UpdateMultipleDailyCash" sheetId="7" r:id="rId9"/>
    <sheet state="visible" name="AddCalculatedPreferences" sheetId="8" r:id="rId10"/>
    <sheet state="visible" name="SetAccountValueCalculatedPref" sheetId="9" r:id="rId11"/>
    <sheet state="visible" name="SetDefaultRuleCalculatedPref" sheetId="10" r:id="rId12"/>
    <sheet state="visible" name="CreateDoneAwayOrder1" sheetId="11" r:id="rId13"/>
    <sheet state="visible" name="CheckUnallocatedGroups" sheetId="12" r:id="rId14"/>
  </sheets>
  <definedNames/>
  <calcPr/>
</workbook>
</file>

<file path=xl/sharedStrings.xml><?xml version="1.0" encoding="utf-8"?>
<sst xmlns="http://schemas.openxmlformats.org/spreadsheetml/2006/main" count="103" uniqueCount="42">
  <si>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</si>
  <si>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</si>
  <si>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</si>
  <si>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</si>
  <si>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</si>
  <si>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</si>
  <si>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</si>
  <si>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</si>
  <si>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</si>
  <si>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</si>
  <si>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</si>
  <si>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</si>
  <si>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</si>
  <si>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</si>
  <si>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</si>
  <si>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</si>
  <si>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</si>
  <si>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</si>
  <si>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</si>
  <si>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</si>
  <si>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Allocation1,Allocation2</t>
  </si>
  <si>
    <t>60,40</t>
  </si>
  <si>
    <t>DailyValuation</t>
  </si>
  <si>
    <t>GetDailyCash</t>
  </si>
  <si>
    <t>UpdateMultipleDailyCash</t>
  </si>
  <si>
    <t>Allocation1</t>
  </si>
  <si>
    <t>USD</t>
  </si>
  <si>
    <t>Allocation2</t>
  </si>
  <si>
    <t>Allocation3</t>
  </si>
  <si>
    <t>Allocation4</t>
  </si>
  <si>
    <t>Allocation</t>
  </si>
  <si>
    <t>AddCalculatedPreferences</t>
  </si>
  <si>
    <t>TestPref</t>
  </si>
  <si>
    <t>SetAccountValueCalculatedPref</t>
  </si>
  <si>
    <t>SetDefaultRuleCalculatedPref</t>
  </si>
  <si>
    <t>Prorata</t>
  </si>
  <si>
    <t>Allocation3,Allocation4</t>
  </si>
  <si>
    <t>Sell</t>
  </si>
  <si>
    <t>CheckUnallocatedGroups</t>
  </si>
  <si>
    <t>AAPL US EQUITY</t>
  </si>
  <si>
    <t>MS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</si>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</sst>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IFERROR(__xludf.DUMMYFUNCTION("""COMPUTED_VALUE"""),"ActionOnCFI")</f>
        <v>ActionOnCFI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IFERROR(__xludf.DUMMYFUNCTION("""COMPUTED_VALUE"""),"Rebalancer")</f>
        <v>Rebalancer</v>
      </c>
      <c r="B879" t="str">
        <f>IFERROR(__xludf.DUMMYFUNCTION("""COMPUTED_VALUE"""),"VerifyCFI")</f>
        <v>VerifyCFI</v>
      </c>
      <c r="C879" t="str">
        <f>IFERROR(__xludf.DUMMYFUNCTION("""COMPUTED_VALUE"""),"1DUwxSUq_47EK60XmK3LOdCXa1fkWqWJE9bLuGS3ccv412")</f>
        <v>1DUwxSUq_47EK60XmK3LOdCXa1fkWqWJE9bLuGS3ccv412</v>
      </c>
    </row>
    <row r="880" ht="15.75" customHeight="1">
      <c r="A880" t="str">
        <f>IFERROR(__xludf.DUMMYFUNCTION("""COMPUTED_VALUE"""),"Blotter")</f>
        <v>Blotter</v>
      </c>
      <c r="B880" t="str">
        <f>IFERROR(__xludf.DUMMYFUNCTION("""COMPUTED_VALUE"""),"EnableOrVerifyHotButton")</f>
        <v>EnableOrVerifyHotButton</v>
      </c>
      <c r="C880" t="str">
        <f>IFERROR(__xludf.DUMMYFUNCTION("""COMPUTED_VALUE"""),"1wa8x9d9kPOHEp49mT2DEW0cyjjOClvAgixk1H2w-Tos")</f>
        <v>1wa8x9d9kPOHEp49mT2DEW0cyjjOClvAgixk1H2w-Tos</v>
      </c>
    </row>
    <row r="881" ht="15.75" customHeight="1">
      <c r="A881" t="str">
        <f>IFERROR(__xludf.DUMMYFUNCTION("""COMPUTED_VALUE"""),"TradeServer")</f>
        <v>TradeServer</v>
      </c>
      <c r="B881" t="str">
        <f>IFERROR(__xludf.DUMMYFUNCTION("""COMPUTED_VALUE"""),"RestartServerOnly")</f>
        <v>RestartServerOnly</v>
      </c>
      <c r="C881" t="str">
        <f>IFERROR(__xludf.DUMMYFUNCTION("""COMPUTED_VALUE"""),"Undefined")</f>
        <v>Undefined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IFERROR(__xludf.DUMMYFUNCTION("""COMPUTED_VALUE"""),"ActionOnCFI")</f>
        <v>ActionOnCFI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IFERROR(__xludf.DUMMYFUNCTION("""COMPUTED_VALUE"""),"VerifyCFI")</f>
        <v>VerifyCFI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IFERROR(__xludf.DUMMYFUNCTION("""COMPUTED_VALUE"""),"Rebalancer")</f>
        <v>Rebalancer</v>
      </c>
      <c r="B884" t="str">
        <f>IFERROR(__xludf.DUMMYFUNCTION("""COMPUTED_VALUE"""),"VerifyDelRASGrid")</f>
        <v>VerifyDelRASGrid</v>
      </c>
      <c r="C884" t="str">
        <f>IFERROR(__xludf.DUMMYFUNCTION("""COMPUTED_VALUE"""),"1DUwxSUq_47EK60XmK3LOdCXa1fkWqWJE9bLuGS3ccv412")</f>
        <v>1DUwxSUq_47EK60XmK3LOdCXa1fkWqWJE9bLuGS3ccv412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IFERROR(__xludf.DUMMYFUNCTION("""COMPUTED_VALUE"""),"ActionOnUPW")</f>
        <v>ActionOnUPW</v>
      </c>
      <c r="C885" t="str">
        <f>IFERROR(__xludf.DUMMYFUNCTION("""COMPUTED_VALUE"""),"1DUwxSUq_47EK60XmK3LOdCXa1fkWqWJE9bLuGS3ccv413")</f>
        <v>1DUwxSUq_47EK60XmK3LOdCXa1fkWqWJE9bLuGS3ccv413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IFERROR(__xludf.DUMMYFUNCTION("""COMPUTED_VALUE"""),"DefaultRuleUPW")</f>
        <v>DefaultRuleUPW</v>
      </c>
      <c r="C886" t="str">
        <f>IFERROR(__xludf.DUMMYFUNCTION("""COMPUTED_VALUE"""),"1DUwxSUq_47EK60XmK3LOdCXa1fkWqWJE9bLuGS3ccv414")</f>
        <v>1DUwxSUq_47EK60XmK3LOdCXa1fkWqWJE9bLuGS3ccv414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IFERROR(__xludf.DUMMYFUNCTION("""COMPUTED_VALUE"""),"AccountStrategyUPW")</f>
        <v>AccountStrategyUPW</v>
      </c>
      <c r="C887" t="str">
        <f>IFERROR(__xludf.DUMMYFUNCTION("""COMPUTED_VALUE"""),"1DUwxSUq_47EK60XmK3LOdCXa1fkWqWJE9bLuGS3ccv415")</f>
        <v>1DUwxSUq_47EK60XmK3LOdCXa1fkWqWJE9bLuGS3ccv415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IFERROR(__xludf.DUMMYFUNCTION("""COMPUTED_VALUE"""),"ActionOnCalPref")</f>
        <v>ActionOnCalPref</v>
      </c>
      <c r="C888" t="str">
        <f>IFERROR(__xludf.DUMMYFUNCTION("""COMPUTED_VALUE"""),"1DUwxSUq_47EK60XmK3LOdCXa1fkWqWJE9bLuGS3ccv416")</f>
        <v>1DUwxSUq_47EK60XmK3LOdCXa1fkWqWJE9bLuGS3ccv416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IFERROR(__xludf.DUMMYFUNCTION("""COMPUTED_VALUE"""),"SetMFDefaultRule")</f>
        <v>SetMFDefaultRule</v>
      </c>
      <c r="C889" t="str">
        <f>IFERROR(__xludf.DUMMYFUNCTION("""COMPUTED_VALUE"""),"1DUwxSUq_47EK60XmK3LOdCXa1fkWqWJE9bLuGS3ccv417")</f>
        <v>1DUwxSUq_47EK60XmK3LOdCXa1fkWqWJE9bLuGS3ccv417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IFERROR(__xludf.DUMMYFUNCTION("""COMPUTED_VALUE"""),"ActionOnPrefWindow")</f>
        <v>ActionOnPrefWindow</v>
      </c>
      <c r="C890" t="str">
        <f>IFERROR(__xludf.DUMMYFUNCTION("""COMPUTED_VALUE"""),"1DUwxSUq_47EK60XmK3LOdCXa1fkWqWJE9bLuGS3ccv418")</f>
        <v>1DUwxSUq_47EK60XmK3LOdCXa1fkWqWJE9bLuGS3ccv418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IFERROR(__xludf.DUMMYFUNCTION("""COMPUTED_VALUE"""),"GetFixedPrefScheme")</f>
        <v>GetFixedPrefScheme</v>
      </c>
      <c r="C891" t="str">
        <f>IFERROR(__xludf.DUMMYFUNCTION("""COMPUTED_VALUE"""),"1DUwxSUq_47EK60XmK3LOdCXa1fkWqWJE9bLuGS3ccv419")</f>
        <v>1DUwxSUq_47EK60XmK3LOdCXa1fkWqWJE9bLuGS3ccv419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IFERROR(__xludf.DUMMYFUNCTION("""COMPUTED_VALUE"""),"VerifyFixedPref")</f>
        <v>VerifyFixedPref</v>
      </c>
      <c r="C892" t="str">
        <f>IFERROR(__xludf.DUMMYFUNCTION("""COMPUTED_VALUE"""),"1DUwxSUq_47EK60XmK3LOdCXa1fkWqWJE9bLuGS3ccv420")</f>
        <v>1DUwxSUq_47EK60XmK3LOdCXa1fkWqWJE9bLuGS3ccv420</v>
      </c>
    </row>
    <row r="893" ht="15.75" customHeight="1">
      <c r="A893" t="str">
        <f>IFERROR(__xludf.DUMMYFUNCTION("""COMPUTED_VALUE"""),"Allocation")</f>
        <v>Allocation</v>
      </c>
      <c r="B893" t="str">
        <f>IFERROR(__xludf.DUMMYFUNCTION("""COMPUTED_VALUE"""),"ActionOnToolBar")</f>
        <v>ActionOnToolBar</v>
      </c>
      <c r="C893" t="str">
        <f>IFERROR(__xludf.DUMMYFUNCTION("""COMPUTED_VALUE"""),"1DUwxSUq_47EK60XmK3LOdCXa1fkWqWJE9bLuGS3ccv421")</f>
        <v>1DUwxSUq_47EK60XmK3LOdCXa1fkWqWJE9bLuGS3ccv421</v>
      </c>
    </row>
    <row r="894" ht="15.75" customHeight="1">
      <c r="A894" t="str">
        <f>IFERROR(__xludf.DUMMYFUNCTION("""COMPUTED_VALUE"""),"Rebalancer")</f>
        <v>Rebalancer</v>
      </c>
      <c r="B894" t="str">
        <f>IFERROR(__xludf.DUMMYFUNCTION("""COMPUTED_VALUE"""),"VerifyCustomGroupModel")</f>
        <v>VerifyCustomGroupModel</v>
      </c>
      <c r="C894" t="str">
        <f>IFERROR(__xludf.DUMMYFUNCTION("""COMPUTED_VALUE"""),"1DUwxSUq_47EK60XmK3LOdCXa1fkWqWJE9bLuGS3ccv422")</f>
        <v>1DUwxSUq_47EK60XmK3LOdCXa1fkWqWJE9bLuGS3ccv422</v>
      </c>
    </row>
    <row r="895" ht="15.75" customHeight="1">
      <c r="A895" t="str">
        <f>IFERROR(__xludf.DUMMYFUNCTION("""COMPUTED_VALUE"""),"Blotter")</f>
        <v>Blotter</v>
      </c>
      <c r="B895" t="str">
        <f>IFERROR(__xludf.DUMMYFUNCTION("""COMPUTED_VALUE"""),"VerifyFilterUiRC")</f>
        <v>VerifyFilterUiRC</v>
      </c>
      <c r="C895" t="str">
        <f>IFERROR(__xludf.DUMMYFUNCTION("""COMPUTED_VALUE"""),"1QQZEZqPXfPnxfNID2a3__xw8RnEAn77igg5Q32S3Sm0")</f>
        <v>1QQZEZqPXfPnxfNID2a3__xw8RnEAn77igg5Q32S3Sm0</v>
      </c>
    </row>
    <row r="896" ht="15.75" customHeight="1">
      <c r="A896" t="str">
        <f>IFERROR(__xludf.DUMMYFUNCTION("""COMPUTED_VALUE"""),"TradingTicket")</f>
        <v>TradingTicket</v>
      </c>
      <c r="B896" t="str">
        <f>IFERROR(__xludf.DUMMYFUNCTION("""COMPUTED_VALUE"""),"SymbolSuggestionVerify")</f>
        <v>SymbolSuggestionVerify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IFERROR(__xludf.DUMMYFUNCTION("""COMPUTED_VALUE"""),"UpdatePTTPref")</f>
        <v>UpdatePTTPref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IFERROR(__xludf.DUMMYFUNCTION("""COMPUTED_VALUE"""),"ActionOnPreferencesMain")</f>
        <v>ActionOnPreferencesMain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IFERROR(__xludf.DUMMYFUNCTION("""COMPUTED_VALUE"""),"VerifyUpdategrdAccountFactor")</f>
        <v>VerifyUpdategrdAccountFactor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IFERROR(__xludf.DUMMYFUNCTION("""COMPUTED_VALUE"""),"VerifyUpdategrdMFA")</f>
        <v>VerifyUpdategrdMFA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IFERROR(__xludf.DUMMYFUNCTION("""COMPUTED_VALUE"""),"SwitchTabMFA")</f>
        <v>SwitchTabMFA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IFERROR(__xludf.DUMMYFUNCTION("""COMPUTED_VALUE"""),"UpdateBlotterPref")</f>
        <v>UpdateBlotterPref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IFERROR(__xludf.DUMMYFUNCTION("""COMPUTED_VALUE"""),"UpdatePMPref")</f>
        <v>UpdatePMPref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IFERROR(__xludf.DUMMYFUNCTION("""COMPUTED_VALUE"""),"UpdateGenPref")</f>
        <v>UpdateGenPref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IFERROR(__xludf.DUMMYFUNCTION("""COMPUTED_VALUE"""),"VerifyUpdateAssetSide")</f>
        <v>VerifyUpdateAssetSide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IFERROR(__xludf.DUMMYFUNCTION("""COMPUTED_VALUE"""),"SwicthTabPref")</f>
        <v>SwicthTabPref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IFERROR(__xludf.DUMMYFUNCTION("""COMPUTED_VALUE"""),"TTDefaultSelection")</f>
        <v>TTDefaultSelection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IFERROR(__xludf.DUMMYFUNCTION("""COMPUTED_VALUE"""),"TTNumSelection")</f>
        <v>TTNumSelection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IFERROR(__xludf.DUMMYFUNCTION("""COMPUTED_VALUE"""),"TTConfirmationPopUps")</f>
        <v>TTConfirmationPopUps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IFERROR(__xludf.DUMMYFUNCTION("""COMPUTED_VALUE"""),"VerifyUpdateBrokerPref")</f>
        <v>VerifyUpdateBrokerPref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IFERROR(__xludf.DUMMYFUNCTION("""COMPUTED_VALUE"""),"TTGeneralPref")</f>
        <v>TTGeneralPref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IFERROR(__xludf.DUMMYFUNCTION("""COMPUTED_VALUE"""),"PreferencesMain")</f>
        <v>PreferencesMain</v>
      </c>
      <c r="B912" t="str">
        <f>IFERROR(__xludf.DUMMYFUNCTION("""COMPUTED_VALUE"""),"UpdateClosingPref")</f>
        <v>UpdateClosingPref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IFERROR(__xludf.DUMMYFUNCTION("""COMPUTED_VALUE"""),"Allocation")</f>
        <v>Allocation</v>
      </c>
      <c r="B913" t="str">
        <f>IFERROR(__xludf.DUMMYFUNCTION("""COMPUTED_VALUE"""),"VerifyEditAttRenaming")</f>
        <v>VerifyEditAttRenaming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IFERROR(__xludf.DUMMYFUNCTION("""COMPUTED_VALUE"""),"Rebalancer")</f>
        <v>Rebalancer</v>
      </c>
      <c r="B914" t="str">
        <f>IFERROR(__xludf.DUMMYFUNCTION("""COMPUTED_VALUE"""),"VerifyTradeList")</f>
        <v>VerifyTradeList</v>
      </c>
      <c r="C914" t="str">
        <f>IFERROR(__xludf.DUMMYFUNCTION("""COMPUTED_VALUE"""),"14aTeLjmUbS-nhaQwjtZAMGxdQ5DS6UsBjE5OTWN-LQU")</f>
        <v>14aTeLjmUbS-nhaQwjtZAMGxdQ5DS6UsBjE5OTWN-LQU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IFERROR(__xludf.DUMMYFUNCTION("""COMPUTED_VALUE"""),"TTMainControls")</f>
        <v>TTMainControls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IFERROR(__xludf.DUMMYFUNCTION("""COMPUTED_VALUE"""),"VerifySymStrip")</f>
        <v>VerifySymStrip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IFERROR(__xludf.DUMMYFUNCTION("""COMPUTED_VALUE"""),"TTBottomTab")</f>
        <v>TTBottomTab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IFERROR(__xludf.DUMMYFUNCTION("""COMPUTED_VALUE"""),"TradingTicket")</f>
        <v>TradingTicket</v>
      </c>
      <c r="B918" t="str">
        <f>IFERROR(__xludf.DUMMYFUNCTION("""COMPUTED_VALUE"""),"TTBottomSwap")</f>
        <v>TTBottomSwap</v>
      </c>
      <c r="C918" t="str">
        <f>IFERROR(__xludf.DUMMYFUNCTION("""COMPUTED_VALUE"""),"1DUwxSUq_47EK60XmK3LOdCXa1fkWqWJE9bLuGS3ccv412")</f>
        <v>1DUwxSUq_47EK60XmK3LOdCXa1fkWqWJE9bLuGS3ccv412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IFERROR(__xludf.DUMMYFUNCTION("""COMPUTED_VALUE"""),"CreateHotButtonOnBlotter")</f>
        <v>CreateHotButtonOnBlotter</v>
      </c>
      <c r="C919" t="str">
        <f>IFERROR(__xludf.DUMMYFUNCTION("""COMPUTED_VALUE"""),"1Yu7Fb6AjhUP8b-KuRJvgAwq8TykNK6BDh9F0Xpf12Ek")</f>
        <v>1Yu7Fb6AjhUP8b-KuRJvgAwq8TykNK6BDh9F0Xpf12Ek</v>
      </c>
    </row>
    <row r="920" ht="15.75" customHeight="1">
      <c r="A920" t="str">
        <f>IFERROR(__xludf.DUMMYFUNCTION("""COMPUTED_VALUE"""),"Blotter")</f>
        <v>Blotter</v>
      </c>
      <c r="B920" t="str">
        <f>IFERROR(__xludf.DUMMYFUNCTION("""COMPUTED_VALUE"""),"FillHBdetailsOnBlotter")</f>
        <v>FillHBdetailsOnBlotter</v>
      </c>
      <c r="C920" t="str">
        <f>IFERROR(__xludf.DUMMYFUNCTION("""COMPUTED_VALUE"""),"13Isj5c5k8kObxI-GBT6Ir9VBOz_46lzhwVxXXVP8jQU")</f>
        <v>13Isj5c5k8kObxI-GBT6Ir9VBOz_46lzhwVxXXVP8jQU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IFERROR(__xludf.DUMMYFUNCTION("""COMPUTED_VALUE"""),"EditAuecWindow")</f>
        <v>EditAuecWindow</v>
      </c>
      <c r="C921" t="str">
        <f>IFERROR(__xludf.DUMMYFUNCTION("""COMPUTED_VALUE"""),"1ottlNphVbp0AC-UFd-HlDpCLwOA2yWO1pN6eR3ML7vA")</f>
        <v>1ottlNphVbp0AC-UFd-HlDpCLwOA2yWO1pN6eR3ML7vA</v>
      </c>
    </row>
    <row r="922" ht="15.75" customHeight="1">
      <c r="A922" t="str">
        <f>IFERROR(__xludf.DUMMYFUNCTION("""COMPUTED_VALUE"""),"TradingTicket")</f>
        <v>TradingTicket</v>
      </c>
      <c r="B922" t="str">
        <f>IFERROR(__xludf.DUMMYFUNCTION("""COMPUTED_VALUE"""),"VerifyBrokerSummary")</f>
        <v>VerifyBrokerSummary</v>
      </c>
      <c r="C922" t="str">
        <f>IFERROR(__xludf.DUMMYFUNCTION("""COMPUTED_VALUE"""),"11hMxlfIQYwM8vPN2h--IGp7O02EDFbvJ4CSvjSfGsMY")</f>
        <v>11hMxlfIQYwM8vPN2h--IGp7O02EDFbvJ4CSvjSfGsMY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IFERROR(__xludf.DUMMYFUNCTION("""COMPUTED_VALUE"""),"EditAuecWindowQTT")</f>
        <v>EditAuecWindowQTT</v>
      </c>
      <c r="C923" t="str">
        <f>IFERROR(__xludf.DUMMYFUNCTION("""COMPUTED_VALUE"""),"1oI_WY3xKQgSjp5JN67BMHtm3zazX5ZiMATISa2ssGB0")</f>
        <v>1oI_WY3xKQgSjp5JN67BMHtm3zazX5ZiMATISa2ssGB0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IFERROR(__xludf.DUMMYFUNCTION("""COMPUTED_VALUE"""),"VerifyBrokerSummaryQTT")</f>
        <v>VerifyBrokerSummaryQTT</v>
      </c>
      <c r="C924" t="str">
        <f>IFERROR(__xludf.DUMMYFUNCTION("""COMPUTED_VALUE"""),"1O6-eqYsZqtvYR6DOH7UM2_Jwpq9pB9uyZvgh5vEhVAI")</f>
        <v>1O6-eqYsZqtvYR6DOH7UM2_Jwpq9pB9uyZvgh5vEhVAI</v>
      </c>
    </row>
    <row r="925" ht="15.75" customHeight="1">
      <c r="A925" t="str">
        <f>IFERROR(__xludf.DUMMYFUNCTION("""COMPUTED_VALUE"""),"QTT")</f>
        <v>QTT</v>
      </c>
      <c r="B925" t="str">
        <f>IFERROR(__xludf.DUMMYFUNCTION("""COMPUTED_VALUE"""),"SaveQTThotKey")</f>
        <v>SaveQTThotKey</v>
      </c>
      <c r="C925" t="str">
        <f>IFERROR(__xludf.DUMMYFUNCTION("""COMPUTED_VALUE"""),"Undefined")</f>
        <v>Undefined</v>
      </c>
    </row>
    <row r="926" ht="15.75" customHeight="1">
      <c r="A926" t="str">
        <f>IFERROR(__xludf.DUMMYFUNCTION("""COMPUTED_VALUE"""),"Blotter")</f>
        <v>Blotter</v>
      </c>
      <c r="B926" t="str">
        <f>IFERROR(__xludf.DUMMYFUNCTION("""COMPUTED_VALUE"""),"BlotterColumnChooser")</f>
        <v>BlotterColumnChooser</v>
      </c>
      <c r="C926" t="str">
        <f>IFERROR(__xludf.DUMMYFUNCTION("""COMPUTED_VALUE"""),"12428TbyucuJDD3KuN7QG-GyRYI3gcoyDNKTQ2UpgGMQ")</f>
        <v>12428TbyucuJDD3KuN7QG-GyRYI3gcoyDNKTQ2UpgGMQ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IFERROR(__xludf.DUMMYFUNCTION("""COMPUTED_VALUE"""),"CreateGroupingWidget")</f>
        <v>CreateGroupingWidget</v>
      </c>
      <c r="C927" t="str">
        <f>IFERROR(__xludf.DUMMYFUNCTION("""COMPUTED_VALUE"""),"1ctXhgvJgrqqe8ees0907Up0TKq9pCEhinMlZnRGqKdY")</f>
        <v>1ctXhgvJgrqqe8ees0907Up0TKq9pCEhinMlZnRGqKdY</v>
      </c>
    </row>
    <row r="928" ht="15.75" customHeight="1">
      <c r="A928" t="str">
        <f>IFERROR(__xludf.DUMMYFUNCTION("""COMPUTED_VALUE"""),"RTPNL")</f>
        <v>RTPNL</v>
      </c>
      <c r="B928" t="str">
        <f>IFERROR(__xludf.DUMMYFUNCTION("""COMPUTED_VALUE"""),"CheckGroupingWidget")</f>
        <v>CheckGroupingWidget</v>
      </c>
      <c r="C928" t="str">
        <f>IFERROR(__xludf.DUMMYFUNCTION("""COMPUTED_VALUE"""),"16mimyUFzQ0Ojogh0t4Evjy-tjzAJ67xgIrWeTNmBdw0")</f>
        <v>16mimyUFzQ0Ojogh0t4Evjy-tjzAJ67xgIrWeTNmBdw0</v>
      </c>
    </row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b">
        <v>1</v>
      </c>
      <c r="C6" s="32" t="b">
        <v>1</v>
      </c>
      <c r="D6" s="30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18</v>
      </c>
      <c r="C6" s="35" t="s">
        <v>19</v>
      </c>
      <c r="D6" s="36">
        <v>1000.0</v>
      </c>
      <c r="E6" s="37">
        <v>1000.0</v>
      </c>
      <c r="F6" s="33"/>
      <c r="G6" s="33"/>
      <c r="H6" s="33"/>
      <c r="I6" s="33"/>
      <c r="J6" s="37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8" t="s">
        <v>20</v>
      </c>
      <c r="AL6" s="33" t="s">
        <v>21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9">
        <f>TODAY()-1</f>
        <v>45795</v>
      </c>
      <c r="C6" s="40">
        <f>TODAY()</f>
        <v>45796</v>
      </c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25</v>
      </c>
      <c r="C6" s="12" t="s">
        <v>26</v>
      </c>
      <c r="D6" s="12">
        <v>100000.0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27</v>
      </c>
      <c r="C7" s="12" t="s">
        <v>26</v>
      </c>
      <c r="D7" s="12">
        <v>200000.0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28</v>
      </c>
      <c r="C8" s="12" t="s">
        <v>26</v>
      </c>
      <c r="D8" s="12">
        <v>300000.0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 t="s">
        <v>29</v>
      </c>
      <c r="C9" s="12" t="s">
        <v>26</v>
      </c>
      <c r="D9" s="12">
        <v>400000.0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8"/>
      <c r="D6" s="12"/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32</v>
      </c>
      <c r="C6" s="12" t="s">
        <v>25</v>
      </c>
      <c r="D6" s="12">
        <v>80.0</v>
      </c>
      <c r="E6" s="4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12"/>
      <c r="B7" s="12" t="s">
        <v>32</v>
      </c>
      <c r="C7" s="12" t="s">
        <v>27</v>
      </c>
      <c r="D7" s="12">
        <v>20.0</v>
      </c>
      <c r="E7" s="41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35</v>
      </c>
      <c r="E6" s="12" t="s">
        <v>36</v>
      </c>
      <c r="F6" s="8"/>
      <c r="G6" s="12" t="b">
        <v>0</v>
      </c>
      <c r="H6" s="12" t="s">
        <v>32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37</v>
      </c>
      <c r="D6" s="12">
        <v>1200.0</v>
      </c>
      <c r="E6" s="41"/>
      <c r="F6" s="12" t="s">
        <v>32</v>
      </c>
      <c r="G6" s="8"/>
      <c r="H6" s="8"/>
      <c r="I6" s="8"/>
      <c r="J6" s="12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IFERROR(__xludf.DUMMYFUNCTION("""COMPUTED_VALUE"""),"Accrual Basis")</f>
        <v>Accrual Basis</v>
      </c>
      <c r="C5" s="27" t="str">
        <f>IFERROR(__xludf.DUMMYFUNCTION("""COMPUTED_VALUE"""),"Accrued Interest")</f>
        <v>Accrued Interest</v>
      </c>
      <c r="D5" s="27" t="str">
        <f>IFERROR(__xludf.DUMMYFUNCTION("""COMPUTED_VALUE"""),"Allocated Qty")</f>
        <v>Allocated Qty</v>
      </c>
      <c r="E5" s="27" t="str">
        <f>IFERROR(__xludf.DUMMYFUNCTION("""COMPUTED_VALUE"""),"Allocation Scheme Name")</f>
        <v>Allocation Scheme Name</v>
      </c>
      <c r="F5" s="28" t="str">
        <f>IFERROR(__xludf.DUMMYFUNCTION("""COMPUTED_VALUE"""),"Asset Category")</f>
        <v>Asset Category</v>
      </c>
      <c r="G5" s="27" t="str">
        <f>IFERROR(__xludf.DUMMYFUNCTION("""COMPUTED_VALUE"""),"AUEC Fee1")</f>
        <v>AUEC Fee1</v>
      </c>
      <c r="H5" s="27" t="str">
        <f>IFERROR(__xludf.DUMMYFUNCTION("""COMPUTED_VALUE"""),"AUEC Fee2")</f>
        <v>AUEC Fee2</v>
      </c>
      <c r="I5" s="27" t="str">
        <f>IFERROR(__xludf.DUMMYFUNCTION("""COMPUTED_VALUE"""),"AUECID")</f>
        <v>AUECID</v>
      </c>
      <c r="J5" s="27" t="str">
        <f>IFERROR(__xludf.DUMMYFUNCTION("""COMPUTED_VALUE"""),"Avg Price(Base)")</f>
        <v>Avg Price(Base)</v>
      </c>
      <c r="K5" s="27" t="str">
        <f>IFERROR(__xludf.DUMMYFUNCTION("""COMPUTED_VALUE"""),"Avg Price(Local)")</f>
        <v>Avg Price(Local)</v>
      </c>
      <c r="L5" s="27" t="str">
        <f>IFERROR(__xludf.DUMMYFUNCTION("""COMPUTED_VALUE"""),"Bloomberg")</f>
        <v>Bloomberg</v>
      </c>
      <c r="M5" s="27" t="str">
        <f>IFERROR(__xludf.DUMMYFUNCTION("""COMPUTED_VALUE"""),"Bond Type")</f>
        <v>Bond Type</v>
      </c>
      <c r="N5" s="27" t="str">
        <f>IFERROR(__xludf.DUMMYFUNCTION("""COMPUTED_VALUE"""),"Broker")</f>
        <v>Broker</v>
      </c>
      <c r="O5" s="27" t="str">
        <f>IFERROR(__xludf.DUMMYFUNCTION("""COMPUTED_VALUE"""),"Change Comment")</f>
        <v>Change Comment</v>
      </c>
      <c r="P5" s="27" t="str">
        <f>IFERROR(__xludf.DUMMYFUNCTION("""COMPUTED_VALUE"""),"Change Type")</f>
        <v>Change Type</v>
      </c>
      <c r="Q5" s="27" t="str">
        <f>IFERROR(__xludf.DUMMYFUNCTION("""COMPUTED_VALUE"""),"Clearing Broker Fee")</f>
        <v>Clearing Broker Fee</v>
      </c>
      <c r="R5" s="27" t="str">
        <f>IFERROR(__xludf.DUMMYFUNCTION("""COMPUTED_VALUE"""),"Closing Method")</f>
        <v>Closing Method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IFERROR(__xludf.DUMMYFUNCTION("""COMPUTED_VALUE"""),"Execution Time")</f>
        <v>Execution Time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IFERROR(__xludf.DUMMYFUNCTION("""COMPUTED_VALUE"""),"FX Rate")</f>
        <v>FX Rate</v>
      </c>
      <c r="AI5" s="29" t="str">
        <f>IFERROR(__xludf.DUMMYFUNCTION("""COMPUTED_VALUE"""),"Group Status")</f>
        <v>Group Status</v>
      </c>
      <c r="AJ5" s="29" t="str">
        <f>IFERROR(__xludf.DUMMYFUNCTION("""COMPUTED_VALUE"""),"GroupID")</f>
        <v>GroupID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IFERROR(__xludf.DUMMYFUNCTION("""COMPUTED_VALUE"""),"Symbol")</f>
        <v>Symbol</v>
      </c>
      <c r="BT5" s="29" t="str">
        <f>IFERROR(__xludf.DUMMYFUNCTION("""COMPUTED_VALUE"""),"Tax On Commissions")</f>
        <v>Tax On Commissions</v>
      </c>
      <c r="BU5" s="29" t="str">
        <f>IFERROR(__xludf.DUMMYFUNCTION("""COMPUTED_VALUE"""),"Total Commission")</f>
        <v>Total Commission</v>
      </c>
      <c r="BV5" s="29" t="str">
        <f>IFERROR(__xludf.DUMMYFUNCTION("""COMPUTED_VALUE"""),"Total Commission And Fee")</f>
        <v>Total Commission And Fee</v>
      </c>
      <c r="BW5" s="29" t="str">
        <f>IFERROR(__xludf.DUMMYFUNCTION("""COMPUTED_VALUE"""),"Total Commission Per Share")</f>
        <v>Total Commission Per Share</v>
      </c>
      <c r="BX5" s="29" t="str">
        <f>IFERROR(__xludf.DUMMYFUNCTION("""COMPUTED_VALUE"""),"Trade Attribute 1")</f>
        <v>Trade Attribute 1</v>
      </c>
      <c r="BY5" s="29" t="str">
        <f>IFERROR(__xludf.DUMMYFUNCTION("""COMPUTED_VALUE"""),"Trade Attribute 2")</f>
        <v>Trade Attribute 2</v>
      </c>
      <c r="BZ5" s="29" t="str">
        <f>IFERROR(__xludf.DUMMYFUNCTION("""COMPUTED_VALUE"""),"Trade Attribute 3")</f>
        <v>Trade Attribute 3</v>
      </c>
      <c r="CA5" s="29" t="str">
        <f>IFERROR(__xludf.DUMMYFUNCTION("""COMPUTED_VALUE"""),"Trade Attribute 4")</f>
        <v>Trade Attribute 4</v>
      </c>
      <c r="CB5" s="29" t="str">
        <f>IFERROR(__xludf.DUMMYFUNCTION("""COMPUTED_VALUE"""),"Trade Attribute 5")</f>
        <v>Trade Attribute 5</v>
      </c>
      <c r="CC5" s="29" t="str">
        <f>IFERROR(__xludf.DUMMYFUNCTION("""COMPUTED_VALUE"""),"Trade Attribute 6")</f>
        <v>Trade Attribute 6</v>
      </c>
      <c r="CD5" s="29" t="str">
        <f>IFERROR(__xludf.DUMMYFUNCTION("""COMPUTED_VALUE"""),"Trade Date")</f>
        <v>Trade Date</v>
      </c>
      <c r="CE5" s="29" t="str">
        <f>IFERROR(__xludf.DUMMYFUNCTION("""COMPUTED_VALUE"""),"Trading Account")</f>
        <v>Trading Account</v>
      </c>
      <c r="CF5" s="29" t="str">
        <f>IFERROR(__xludf.DUMMYFUNCTION("""COMPUTED_VALUE"""),"Transaction Levy")</f>
        <v>Transaction Levy</v>
      </c>
      <c r="CG5" s="29" t="str">
        <f>IFERROR(__xludf.DUMMYFUNCTION("""COMPUTED_VALUE"""),"Transaction Source")</f>
        <v>Transaction Source</v>
      </c>
      <c r="CH5" s="29" t="str">
        <f>IFERROR(__xludf.DUMMYFUNCTION("""COMPUTED_VALUE"""),"Transaction Type")</f>
        <v>Transaction Type</v>
      </c>
      <c r="CI5" s="29" t="str">
        <f>IFERROR(__xludf.DUMMYFUNCTION("""COMPUTED_VALUE"""),"UnAllocatedQty")</f>
        <v>UnAllocatedQty</v>
      </c>
      <c r="CJ5" s="29" t="str">
        <f>IFERROR(__xludf.DUMMYFUNCTION("""COMPUTED_VALUE"""),"Underlying")</f>
        <v>Underlying</v>
      </c>
      <c r="CK5" s="29" t="str">
        <f>IFERROR(__xludf.DUMMYFUNCTION("""COMPUTED_VALUE"""),"Underlying Delta")</f>
        <v>Underlying Delta</v>
      </c>
      <c r="CL5" s="29" t="str">
        <f>IFERROR(__xludf.DUMMYFUNCTION("""COMPUTED_VALUE"""),"Underlying Symbol")</f>
        <v>Underlying Symbol</v>
      </c>
      <c r="CM5" s="29" t="str">
        <f>IFERROR(__xludf.DUMMYFUNCTION("""COMPUTED_VALUE"""),"User")</f>
        <v>User</v>
      </c>
      <c r="CN5" s="29" t="str">
        <f>IFERROR(__xludf.DUMMYFUNCTION("""COMPUTED_VALUE"""),"Venue")</f>
        <v>Venue</v>
      </c>
      <c r="CO5" s="29" t="str">
        <f>IFERROR(__xludf.DUMMYFUNCTION("""COMPUTED_VALUE"""),"Closing Date")</f>
        <v>Closing Date</v>
      </c>
      <c r="CP5" s="29" t="str">
        <f>IFERROR(__xludf.DUMMYFUNCTION("""COMPUTED_VALUE"""),"Expiration Date")</f>
        <v>Expiration Date</v>
      </c>
      <c r="CQ5" s="29" t="str">
        <f>IFERROR(__xludf.DUMMYFUNCTION("""COMPUTED_VALUE"""),"Master Fund")</f>
        <v>Master Fund</v>
      </c>
      <c r="CR5" s="29" t="str">
        <f>IFERROR(__xludf.DUMMYFUNCTION("""COMPUTED_VALUE"""),"Borrow Broker")</f>
        <v>Borrow Broker</v>
      </c>
      <c r="CS5" s="29" t="str">
        <f>IFERROR(__xludf.DUMMYFUNCTION("""COMPUTED_VALUE"""),"MandatoryColumn")</f>
        <v>MandatoryColumn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0.0</v>
      </c>
      <c r="E6" s="41"/>
      <c r="F6" s="8"/>
      <c r="G6" s="12">
        <v>4.0</v>
      </c>
      <c r="H6" s="12">
        <v>5.0</v>
      </c>
      <c r="I6" s="8"/>
      <c r="J6" s="12">
        <v>1.0</v>
      </c>
      <c r="K6" s="12">
        <v>1.0</v>
      </c>
      <c r="L6" s="12" t="s">
        <v>39</v>
      </c>
      <c r="M6" s="8"/>
      <c r="N6" s="12" t="s">
        <v>40</v>
      </c>
      <c r="O6" s="8"/>
      <c r="V6" s="9" t="s">
        <v>41</v>
      </c>
      <c r="Z6" s="9" t="s">
        <v>26</v>
      </c>
      <c r="AE6" s="9">
        <v>1200.0</v>
      </c>
      <c r="AH6" s="9">
        <v>1.0</v>
      </c>
      <c r="BJ6" s="9">
        <v>1200.0</v>
      </c>
      <c r="BO6" s="9" t="s">
        <v>37</v>
      </c>
      <c r="BS6" s="9" t="s">
        <v>18</v>
      </c>
      <c r="CI6" s="9">
        <v>1200.0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