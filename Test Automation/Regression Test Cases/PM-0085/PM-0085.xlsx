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75" windowHeight="10680" firstSheet="18" activeTab="22"/>
  </bookViews>
  <sheets>
    <sheet name="_Modules" sheetId="1" r:id="rId1"/>
    <sheet name="_Settings" sheetId="2" r:id="rId2"/>
    <sheet name="_MasterData" sheetId="3" r:id="rId3"/>
    <sheet name="SetTradingComplianceRules" sheetId="4" r:id="rId4"/>
    <sheet name="GetDailyCash" sheetId="5" r:id="rId5"/>
    <sheet name="UpdateDailyCash" sheetId="6" r:id="rId6"/>
    <sheet name="CreateLiveOrder" sheetId="7" r:id="rId7"/>
    <sheet name="SelectTrade" sheetId="8" r:id="rId8"/>
    <sheet name="AcknowledgeTrade" sheetId="9" r:id="rId9"/>
    <sheet name="ExecuteTrade" sheetId="10" r:id="rId10"/>
    <sheet name="SelectTrade1" sheetId="11" r:id="rId11"/>
    <sheet name="AcknowledgeTrade1" sheetId="12" r:id="rId12"/>
    <sheet name="ExecuteTrade1" sheetId="13" r:id="rId13"/>
    <sheet name="SelectTrade2" sheetId="14" r:id="rId14"/>
    <sheet name="AcknowledgeTrade2" sheetId="15" r:id="rId15"/>
    <sheet name="ExecuteTrade2" sheetId="16" r:id="rId16"/>
    <sheet name="SelectTrade3" sheetId="17" r:id="rId17"/>
    <sheet name="AcknowledgeTrade3" sheetId="18" r:id="rId18"/>
    <sheet name="ExecuteTrade3" sheetId="19" r:id="rId19"/>
    <sheet name="VerifyOrder" sheetId="20" r:id="rId20"/>
    <sheet name="GetDataAllocation" sheetId="21" r:id="rId21"/>
    <sheet name="CheckAllocatedGroups" sheetId="22" r:id="rId22"/>
    <sheet name="CheckPortfolioManagement" sheetId="23" r:id="rId23"/>
  </sheets>
  <calcPr calcId="145621"/>
</workbook>
</file>

<file path=xl/calcChain.xml><?xml version="1.0" encoding="utf-8"?>
<calcChain xmlns="http://schemas.openxmlformats.org/spreadsheetml/2006/main">
  <c r="C6" i="5" l="1"/>
  <c r="B6" i="5"/>
  <c r="BK5" i="23"/>
  <c r="FB5" i="23"/>
  <c r="FA5" i="23"/>
  <c r="ES5" i="23"/>
  <c r="EK5" i="23"/>
  <c r="EC5" i="23"/>
  <c r="DU5" i="23"/>
  <c r="DM5" i="23"/>
  <c r="DE5" i="23"/>
  <c r="CW5" i="23"/>
  <c r="CO5" i="23"/>
  <c r="CG5" i="23"/>
  <c r="BY5" i="23"/>
  <c r="BQ5" i="23"/>
  <c r="BI5" i="23"/>
  <c r="BA5" i="23"/>
  <c r="AS5" i="23"/>
  <c r="AK5" i="23"/>
  <c r="AC5" i="23"/>
  <c r="U5" i="23"/>
  <c r="M5" i="23"/>
  <c r="E5" i="23"/>
  <c r="W4" i="23"/>
  <c r="O4" i="23"/>
  <c r="G4" i="23"/>
  <c r="CR5" i="22"/>
  <c r="CJ5" i="22"/>
  <c r="CB5" i="22"/>
  <c r="BT5" i="22"/>
  <c r="BL5" i="22"/>
  <c r="BD5" i="22"/>
  <c r="AV5" i="22"/>
  <c r="AN5" i="22"/>
  <c r="AF5" i="22"/>
  <c r="X5" i="22"/>
  <c r="P5" i="22"/>
  <c r="H5" i="22"/>
  <c r="DQ4" i="22"/>
  <c r="DI4" i="22"/>
  <c r="DA4" i="22"/>
  <c r="CS4" i="22"/>
  <c r="CK4" i="22"/>
  <c r="CC4" i="22"/>
  <c r="BU4" i="22"/>
  <c r="BM4" i="22"/>
  <c r="BE4" i="22"/>
  <c r="AW4" i="22"/>
  <c r="AO4" i="22"/>
  <c r="AG4" i="22"/>
  <c r="Y4" i="22"/>
  <c r="Q4" i="22"/>
  <c r="I4" i="22"/>
  <c r="K5" i="21"/>
  <c r="C5" i="21"/>
  <c r="DL4" i="21"/>
  <c r="DD4" i="21"/>
  <c r="CV4" i="21"/>
  <c r="CN4" i="21"/>
  <c r="CF4" i="21"/>
  <c r="BX4" i="21"/>
  <c r="BP4" i="21"/>
  <c r="BH4" i="21"/>
  <c r="AZ4" i="21"/>
  <c r="AR4" i="21"/>
  <c r="AJ4" i="21"/>
  <c r="AB4" i="21"/>
  <c r="T4" i="21"/>
  <c r="L4" i="21"/>
  <c r="D4" i="21"/>
  <c r="AW5" i="20"/>
  <c r="AO5" i="20"/>
  <c r="AG5" i="20"/>
  <c r="Y5" i="20"/>
  <c r="Q5" i="20"/>
  <c r="I5" i="20"/>
  <c r="A5" i="20"/>
  <c r="AM4" i="20"/>
  <c r="AE4" i="20"/>
  <c r="W4" i="20"/>
  <c r="O4" i="20"/>
  <c r="G4" i="20"/>
  <c r="B5" i="19"/>
  <c r="EZ5" i="23"/>
  <c r="ER5" i="23"/>
  <c r="EJ5" i="23"/>
  <c r="EB5" i="23"/>
  <c r="DT5" i="23"/>
  <c r="DL5" i="23"/>
  <c r="DD5" i="23"/>
  <c r="CV5" i="23"/>
  <c r="CN5" i="23"/>
  <c r="CF5" i="23"/>
  <c r="BX5" i="23"/>
  <c r="BP5" i="23"/>
  <c r="BH5" i="23"/>
  <c r="AZ5" i="23"/>
  <c r="AR5" i="23"/>
  <c r="AJ5" i="23"/>
  <c r="AB5" i="23"/>
  <c r="T5" i="23"/>
  <c r="L5" i="23"/>
  <c r="D5" i="23"/>
  <c r="V4" i="23"/>
  <c r="N4" i="23"/>
  <c r="F4" i="23"/>
  <c r="CQ5" i="22"/>
  <c r="CI5" i="22"/>
  <c r="CA5" i="22"/>
  <c r="BS5" i="22"/>
  <c r="BK5" i="22"/>
  <c r="BC5" i="22"/>
  <c r="AU5" i="22"/>
  <c r="AM5" i="22"/>
  <c r="AE5" i="22"/>
  <c r="W5" i="22"/>
  <c r="O5" i="22"/>
  <c r="G5" i="22"/>
  <c r="DP4" i="22"/>
  <c r="DH4" i="22"/>
  <c r="CZ4" i="22"/>
  <c r="CR4" i="22"/>
  <c r="CJ4" i="22"/>
  <c r="CB4" i="22"/>
  <c r="BT4" i="22"/>
  <c r="BL4" i="22"/>
  <c r="BD4" i="22"/>
  <c r="AV4" i="22"/>
  <c r="AN4" i="22"/>
  <c r="AF4" i="22"/>
  <c r="X4" i="22"/>
  <c r="P4" i="22"/>
  <c r="H4" i="22"/>
  <c r="R5" i="21"/>
  <c r="J5" i="21"/>
  <c r="B5" i="21"/>
  <c r="DK4" i="21"/>
  <c r="DC4" i="21"/>
  <c r="CU4" i="21"/>
  <c r="CM4" i="21"/>
  <c r="CE4" i="21"/>
  <c r="BW4" i="21"/>
  <c r="BO4" i="21"/>
  <c r="BG4" i="21"/>
  <c r="AY4" i="21"/>
  <c r="AQ4" i="21"/>
  <c r="AI4" i="21"/>
  <c r="AA4" i="21"/>
  <c r="S4" i="21"/>
  <c r="K4" i="21"/>
  <c r="C4" i="21"/>
  <c r="AV5" i="20"/>
  <c r="AN5" i="20"/>
  <c r="AF5" i="20"/>
  <c r="X5" i="20"/>
  <c r="P5" i="20"/>
  <c r="H5" i="20"/>
  <c r="AT4" i="20"/>
  <c r="AL4" i="20"/>
  <c r="AD4" i="20"/>
  <c r="V4" i="20"/>
  <c r="N4" i="20"/>
  <c r="F4" i="20"/>
  <c r="A5" i="19"/>
  <c r="C4" i="19"/>
  <c r="B5" i="18"/>
  <c r="D4" i="18"/>
  <c r="C5" i="17"/>
  <c r="E4" i="17"/>
  <c r="J4" i="16"/>
  <c r="B4" i="16"/>
  <c r="A5" i="15"/>
  <c r="C4" i="15"/>
  <c r="B5" i="14"/>
  <c r="D4" i="14"/>
  <c r="I4" i="13"/>
  <c r="J4" i="12"/>
  <c r="B4" i="12"/>
  <c r="A5" i="11"/>
  <c r="C4" i="11"/>
  <c r="H4" i="10"/>
  <c r="G5" i="9"/>
  <c r="I4" i="9"/>
  <c r="J4" i="8"/>
  <c r="B4" i="8"/>
  <c r="AH5" i="7"/>
  <c r="Z5" i="7"/>
  <c r="R5" i="7"/>
  <c r="J5" i="7"/>
  <c r="B5" i="7"/>
  <c r="V4" i="7"/>
  <c r="N4" i="7"/>
  <c r="F4" i="7"/>
  <c r="B5" i="6"/>
  <c r="AA4" i="6"/>
  <c r="S4" i="6"/>
  <c r="K4" i="6"/>
  <c r="C4" i="6"/>
  <c r="AG4" i="5"/>
  <c r="Y4" i="5"/>
  <c r="Q4" i="5"/>
  <c r="I4" i="5"/>
  <c r="D5" i="4"/>
  <c r="F4" i="4"/>
  <c r="B20" i="3"/>
  <c r="EY5" i="23"/>
  <c r="EQ5" i="23"/>
  <c r="EI5" i="23"/>
  <c r="EA5" i="23"/>
  <c r="DS5" i="23"/>
  <c r="DK5" i="23"/>
  <c r="DC5" i="23"/>
  <c r="CU5" i="23"/>
  <c r="CM5" i="23"/>
  <c r="CE5" i="23"/>
  <c r="BW5" i="23"/>
  <c r="BO5" i="23"/>
  <c r="BG5" i="23"/>
  <c r="AY5" i="23"/>
  <c r="AQ5" i="23"/>
  <c r="AI5" i="23"/>
  <c r="AA5" i="23"/>
  <c r="S5" i="23"/>
  <c r="K5" i="23"/>
  <c r="C5" i="23"/>
  <c r="U4" i="23"/>
  <c r="M4" i="23"/>
  <c r="E4" i="23"/>
  <c r="CP5" i="22"/>
  <c r="CH5" i="22"/>
  <c r="BZ5" i="22"/>
  <c r="BR5" i="22"/>
  <c r="BJ5" i="22"/>
  <c r="BB5" i="22"/>
  <c r="AT5" i="22"/>
  <c r="AL5" i="22"/>
  <c r="AD5" i="22"/>
  <c r="V5" i="22"/>
  <c r="N5" i="22"/>
  <c r="F5" i="22"/>
  <c r="DO4" i="22"/>
  <c r="DG4" i="22"/>
  <c r="CY4" i="22"/>
  <c r="CQ4" i="22"/>
  <c r="CI4" i="22"/>
  <c r="CA4" i="22"/>
  <c r="BS4" i="22"/>
  <c r="BK4" i="22"/>
  <c r="BC4" i="22"/>
  <c r="AU4" i="22"/>
  <c r="AM4" i="22"/>
  <c r="AE4" i="22"/>
  <c r="W4" i="22"/>
  <c r="O4" i="22"/>
  <c r="G4" i="22"/>
  <c r="Q5" i="21"/>
  <c r="I5" i="21"/>
  <c r="A5" i="21"/>
  <c r="DJ4" i="21"/>
  <c r="DB4" i="21"/>
  <c r="CT4" i="21"/>
  <c r="CL4" i="21"/>
  <c r="CD4" i="21"/>
  <c r="BV4" i="21"/>
  <c r="BN4" i="21"/>
  <c r="BF4" i="21"/>
  <c r="AX4" i="21"/>
  <c r="AP4" i="21"/>
  <c r="AH4" i="21"/>
  <c r="Z4" i="21"/>
  <c r="R4" i="21"/>
  <c r="J4" i="21"/>
  <c r="B4" i="21"/>
  <c r="AU5" i="20"/>
  <c r="AM5" i="20"/>
  <c r="AE5" i="20"/>
  <c r="W5" i="20"/>
  <c r="O5" i="20"/>
  <c r="G5" i="20"/>
  <c r="AS4" i="20"/>
  <c r="AK4" i="20"/>
  <c r="AC4" i="20"/>
  <c r="U4" i="20"/>
  <c r="M4" i="20"/>
  <c r="E4" i="20"/>
  <c r="J4" i="19"/>
  <c r="B4" i="19"/>
  <c r="A5" i="18"/>
  <c r="C4" i="18"/>
  <c r="B5" i="17"/>
  <c r="D4" i="17"/>
  <c r="I4" i="16"/>
  <c r="J4" i="15"/>
  <c r="B4" i="15"/>
  <c r="A5" i="14"/>
  <c r="C4" i="14"/>
  <c r="H4" i="13"/>
  <c r="G5" i="12"/>
  <c r="I4" i="12"/>
  <c r="J4" i="11"/>
  <c r="B4" i="11"/>
  <c r="G4" i="10"/>
  <c r="F5" i="9"/>
  <c r="H4" i="9"/>
  <c r="G5" i="8"/>
  <c r="I4" i="8"/>
  <c r="AG5" i="7"/>
  <c r="Y5" i="7"/>
  <c r="Q5" i="7"/>
  <c r="I5" i="7"/>
  <c r="A5" i="7"/>
  <c r="U4" i="7"/>
  <c r="M4" i="7"/>
  <c r="E4" i="7"/>
  <c r="A5" i="6"/>
  <c r="Z4" i="6"/>
  <c r="R4" i="6"/>
  <c r="J4" i="6"/>
  <c r="B4" i="6"/>
  <c r="AF4" i="5"/>
  <c r="X4" i="5"/>
  <c r="P4" i="5"/>
  <c r="H4" i="5"/>
  <c r="K5" i="4"/>
  <c r="C5" i="4"/>
  <c r="E4" i="4"/>
  <c r="A20" i="3"/>
  <c r="A18" i="3"/>
  <c r="EX5" i="23"/>
  <c r="EP5" i="23"/>
  <c r="EH5" i="23"/>
  <c r="DZ5" i="23"/>
  <c r="DR5" i="23"/>
  <c r="DJ5" i="23"/>
  <c r="DB5" i="23"/>
  <c r="CT5" i="23"/>
  <c r="CL5" i="23"/>
  <c r="CD5" i="23"/>
  <c r="BV5" i="23"/>
  <c r="BN5" i="23"/>
  <c r="BF5" i="23"/>
  <c r="AX5" i="23"/>
  <c r="AP5" i="23"/>
  <c r="AH5" i="23"/>
  <c r="Z5" i="23"/>
  <c r="R5" i="23"/>
  <c r="J5" i="23"/>
  <c r="B5" i="23"/>
  <c r="T4" i="23"/>
  <c r="L4" i="23"/>
  <c r="D4" i="23"/>
  <c r="CO5" i="22"/>
  <c r="CG5" i="22"/>
  <c r="BY5" i="22"/>
  <c r="BQ5" i="22"/>
  <c r="BI5" i="22"/>
  <c r="BA5" i="22"/>
  <c r="AS5" i="22"/>
  <c r="AK5" i="22"/>
  <c r="AC5" i="22"/>
  <c r="U5" i="22"/>
  <c r="M5" i="22"/>
  <c r="E5" i="22"/>
  <c r="DN4" i="22"/>
  <c r="DF4" i="22"/>
  <c r="CX4" i="22"/>
  <c r="CP4" i="22"/>
  <c r="CH4" i="22"/>
  <c r="BZ4" i="22"/>
  <c r="BR4" i="22"/>
  <c r="BJ4" i="22"/>
  <c r="BB4" i="22"/>
  <c r="AT4" i="22"/>
  <c r="AL4" i="22"/>
  <c r="AD4" i="22"/>
  <c r="V4" i="22"/>
  <c r="N4" i="22"/>
  <c r="F4" i="22"/>
  <c r="P5" i="21"/>
  <c r="H5" i="21"/>
  <c r="DQ4" i="21"/>
  <c r="DI4" i="21"/>
  <c r="DA4" i="21"/>
  <c r="CS4" i="21"/>
  <c r="CK4" i="21"/>
  <c r="CC4" i="21"/>
  <c r="BU4" i="21"/>
  <c r="BM4" i="21"/>
  <c r="BE4" i="21"/>
  <c r="AW4" i="21"/>
  <c r="AO4" i="21"/>
  <c r="AG4" i="21"/>
  <c r="Y4" i="21"/>
  <c r="Q4" i="21"/>
  <c r="I4" i="21"/>
  <c r="AT5" i="20"/>
  <c r="AL5" i="20"/>
  <c r="AD5" i="20"/>
  <c r="V5" i="20"/>
  <c r="N5" i="20"/>
  <c r="F5" i="20"/>
  <c r="AR4" i="20"/>
  <c r="AJ4" i="20"/>
  <c r="AB4" i="20"/>
  <c r="T4" i="20"/>
  <c r="L4" i="20"/>
  <c r="D4" i="20"/>
  <c r="I4" i="19"/>
  <c r="J4" i="18"/>
  <c r="B4" i="18"/>
  <c r="A5" i="17"/>
  <c r="C4" i="17"/>
  <c r="H4" i="16"/>
  <c r="G5" i="15"/>
  <c r="I4" i="15"/>
  <c r="J4" i="14"/>
  <c r="B4" i="14"/>
  <c r="G4" i="13"/>
  <c r="F5" i="12"/>
  <c r="H4" i="12"/>
  <c r="G5" i="11"/>
  <c r="I4" i="11"/>
  <c r="F4" i="10"/>
  <c r="E5" i="9"/>
  <c r="G4" i="9"/>
  <c r="F5" i="8"/>
  <c r="H4" i="8"/>
  <c r="AN5" i="7"/>
  <c r="AF5" i="7"/>
  <c r="X5" i="7"/>
  <c r="P5" i="7"/>
  <c r="H5" i="7"/>
  <c r="AB4" i="7"/>
  <c r="T4" i="7"/>
  <c r="L4" i="7"/>
  <c r="D4" i="7"/>
  <c r="AG4" i="6"/>
  <c r="Y4" i="6"/>
  <c r="Q4" i="6"/>
  <c r="I4" i="6"/>
  <c r="AE4" i="5"/>
  <c r="W4" i="5"/>
  <c r="O4" i="5"/>
  <c r="G4" i="5"/>
  <c r="EW5" i="23"/>
  <c r="EO5" i="23"/>
  <c r="EG5" i="23"/>
  <c r="DY5" i="23"/>
  <c r="DQ5" i="23"/>
  <c r="DI5" i="23"/>
  <c r="DA5" i="23"/>
  <c r="CS5" i="23"/>
  <c r="CK5" i="23"/>
  <c r="CC5" i="23"/>
  <c r="BU5" i="23"/>
  <c r="BM5" i="23"/>
  <c r="BE5" i="23"/>
  <c r="AW5" i="23"/>
  <c r="AO5" i="23"/>
  <c r="AG5" i="23"/>
  <c r="Y5" i="23"/>
  <c r="Q5" i="23"/>
  <c r="I5" i="23"/>
  <c r="A5" i="23"/>
  <c r="S4" i="23"/>
  <c r="K4" i="23"/>
  <c r="C4" i="23"/>
  <c r="CN5" i="22"/>
  <c r="CF5" i="22"/>
  <c r="BX5" i="22"/>
  <c r="BP5" i="22"/>
  <c r="BH5" i="22"/>
  <c r="AZ5" i="22"/>
  <c r="AR5" i="22"/>
  <c r="AJ5" i="22"/>
  <c r="AB5" i="22"/>
  <c r="T5" i="22"/>
  <c r="L5" i="22"/>
  <c r="D5" i="22"/>
  <c r="DM4" i="22"/>
  <c r="DE4" i="22"/>
  <c r="CW4" i="22"/>
  <c r="CO4" i="22"/>
  <c r="CG4" i="22"/>
  <c r="BY4" i="22"/>
  <c r="BQ4" i="22"/>
  <c r="BI4" i="22"/>
  <c r="BA4" i="22"/>
  <c r="AS4" i="22"/>
  <c r="AK4" i="22"/>
  <c r="AC4" i="22"/>
  <c r="U4" i="22"/>
  <c r="M4" i="22"/>
  <c r="E4" i="22"/>
  <c r="O5" i="21"/>
  <c r="G5" i="21"/>
  <c r="DP4" i="21"/>
  <c r="DH4" i="21"/>
  <c r="CZ4" i="21"/>
  <c r="CR4" i="21"/>
  <c r="CJ4" i="21"/>
  <c r="CB4" i="21"/>
  <c r="BT4" i="21"/>
  <c r="BL4" i="21"/>
  <c r="BD4" i="21"/>
  <c r="AV4" i="21"/>
  <c r="AN4" i="21"/>
  <c r="AF4" i="21"/>
  <c r="X4" i="21"/>
  <c r="P4" i="21"/>
  <c r="H4" i="21"/>
  <c r="BA5" i="20"/>
  <c r="AS5" i="20"/>
  <c r="AK5" i="20"/>
  <c r="AC5" i="20"/>
  <c r="U5" i="20"/>
  <c r="M5" i="20"/>
  <c r="E5" i="20"/>
  <c r="AQ4" i="20"/>
  <c r="AI4" i="20"/>
  <c r="AA4" i="20"/>
  <c r="S4" i="20"/>
  <c r="K4" i="20"/>
  <c r="C4" i="20"/>
  <c r="H4" i="19"/>
  <c r="G5" i="18"/>
  <c r="I4" i="18"/>
  <c r="J4" i="17"/>
  <c r="B4" i="17"/>
  <c r="G4" i="16"/>
  <c r="F5" i="15"/>
  <c r="H4" i="15"/>
  <c r="G5" i="14"/>
  <c r="I4" i="14"/>
  <c r="F4" i="13"/>
  <c r="E5" i="12"/>
  <c r="G4" i="12"/>
  <c r="F5" i="11"/>
  <c r="H4" i="11"/>
  <c r="C5" i="10"/>
  <c r="E4" i="10"/>
  <c r="D5" i="9"/>
  <c r="F4" i="9"/>
  <c r="E5" i="8"/>
  <c r="G4" i="8"/>
  <c r="AM5" i="7"/>
  <c r="AE5" i="7"/>
  <c r="W5" i="7"/>
  <c r="O5" i="7"/>
  <c r="G5" i="7"/>
  <c r="AA4" i="7"/>
  <c r="S4" i="7"/>
  <c r="K4" i="7"/>
  <c r="C4" i="7"/>
  <c r="AF4" i="6"/>
  <c r="EV5" i="23"/>
  <c r="EN5" i="23"/>
  <c r="EF5" i="23"/>
  <c r="DX5" i="23"/>
  <c r="DP5" i="23"/>
  <c r="DH5" i="23"/>
  <c r="CZ5" i="23"/>
  <c r="CR5" i="23"/>
  <c r="CJ5" i="23"/>
  <c r="CB5" i="23"/>
  <c r="BT5" i="23"/>
  <c r="BL5" i="23"/>
  <c r="BD5" i="23"/>
  <c r="AV5" i="23"/>
  <c r="AN5" i="23"/>
  <c r="AF5" i="23"/>
  <c r="X5" i="23"/>
  <c r="P5" i="23"/>
  <c r="H5" i="23"/>
  <c r="Z4" i="23"/>
  <c r="R4" i="23"/>
  <c r="J4" i="23"/>
  <c r="B4" i="23"/>
  <c r="CM5" i="22"/>
  <c r="CE5" i="22"/>
  <c r="BW5" i="22"/>
  <c r="BO5" i="22"/>
  <c r="BG5" i="22"/>
  <c r="AY5" i="22"/>
  <c r="AQ5" i="22"/>
  <c r="AI5" i="22"/>
  <c r="AA5" i="22"/>
  <c r="S5" i="22"/>
  <c r="K5" i="22"/>
  <c r="C5" i="22"/>
  <c r="DL4" i="22"/>
  <c r="DD4" i="22"/>
  <c r="CV4" i="22"/>
  <c r="CN4" i="22"/>
  <c r="CF4" i="22"/>
  <c r="BX4" i="22"/>
  <c r="BP4" i="22"/>
  <c r="BH4" i="22"/>
  <c r="AZ4" i="22"/>
  <c r="AR4" i="22"/>
  <c r="AJ4" i="22"/>
  <c r="AB4" i="22"/>
  <c r="T4" i="22"/>
  <c r="L4" i="22"/>
  <c r="D4" i="22"/>
  <c r="N5" i="21"/>
  <c r="F5" i="21"/>
  <c r="DO4" i="21"/>
  <c r="DG4" i="21"/>
  <c r="CY4" i="21"/>
  <c r="CQ4" i="21"/>
  <c r="CI4" i="21"/>
  <c r="CA4" i="21"/>
  <c r="BS4" i="21"/>
  <c r="BK4" i="21"/>
  <c r="BC4" i="21"/>
  <c r="EU5" i="23"/>
  <c r="EM5" i="23"/>
  <c r="EE5" i="23"/>
  <c r="DW5" i="23"/>
  <c r="DO5" i="23"/>
  <c r="DG5" i="23"/>
  <c r="CY5" i="23"/>
  <c r="CQ5" i="23"/>
  <c r="CI5" i="23"/>
  <c r="CA5" i="23"/>
  <c r="BS5" i="23"/>
  <c r="BC5" i="23"/>
  <c r="AU5" i="23"/>
  <c r="AM5" i="23"/>
  <c r="AE5" i="23"/>
  <c r="W5" i="23"/>
  <c r="O5" i="23"/>
  <c r="G5" i="23"/>
  <c r="Y4" i="23"/>
  <c r="Q4" i="23"/>
  <c r="I4" i="23"/>
  <c r="CL5" i="22"/>
  <c r="CD5" i="22"/>
  <c r="BV5" i="22"/>
  <c r="BN5" i="22"/>
  <c r="BF5" i="22"/>
  <c r="AX5" i="22"/>
  <c r="AP5" i="22"/>
  <c r="AH5" i="22"/>
  <c r="Z5" i="22"/>
  <c r="R5" i="22"/>
  <c r="J5" i="22"/>
  <c r="B5" i="22"/>
  <c r="DK4" i="22"/>
  <c r="DC4" i="22"/>
  <c r="CU4" i="22"/>
  <c r="CM4" i="22"/>
  <c r="CE4" i="22"/>
  <c r="BW4" i="22"/>
  <c r="BO4" i="22"/>
  <c r="BG4" i="22"/>
  <c r="AY4" i="22"/>
  <c r="AQ4" i="22"/>
  <c r="AI4" i="22"/>
  <c r="AA4" i="22"/>
  <c r="S4" i="22"/>
  <c r="K4" i="22"/>
  <c r="C4" i="22"/>
  <c r="M5" i="21"/>
  <c r="E5" i="21"/>
  <c r="DN4" i="21"/>
  <c r="DF4" i="21"/>
  <c r="CX4" i="21"/>
  <c r="CP4" i="21"/>
  <c r="CH4" i="21"/>
  <c r="BZ4" i="21"/>
  <c r="BR4" i="21"/>
  <c r="BJ4" i="21"/>
  <c r="BB4" i="21"/>
  <c r="AT4" i="21"/>
  <c r="AL4" i="21"/>
  <c r="AD4" i="21"/>
  <c r="V4" i="21"/>
  <c r="N4" i="21"/>
  <c r="F4" i="21"/>
  <c r="AY5" i="20"/>
  <c r="AQ5" i="20"/>
  <c r="AI5" i="20"/>
  <c r="AA5" i="20"/>
  <c r="S5" i="20"/>
  <c r="K5" i="20"/>
  <c r="C5" i="20"/>
  <c r="AO4" i="20"/>
  <c r="AG4" i="20"/>
  <c r="Y4" i="20"/>
  <c r="Q4" i="20"/>
  <c r="I4" i="20"/>
  <c r="F4" i="19"/>
  <c r="E5" i="18"/>
  <c r="G4" i="18"/>
  <c r="F5" i="17"/>
  <c r="H4" i="17"/>
  <c r="C5" i="16"/>
  <c r="E4" i="16"/>
  <c r="D5" i="15"/>
  <c r="F4" i="15"/>
  <c r="E5" i="14"/>
  <c r="G4" i="14"/>
  <c r="B5" i="13"/>
  <c r="D4" i="13"/>
  <c r="C5" i="12"/>
  <c r="E4" i="12"/>
  <c r="D5" i="11"/>
  <c r="F4" i="11"/>
  <c r="A5" i="10"/>
  <c r="C4" i="10"/>
  <c r="B5" i="9"/>
  <c r="D4" i="9"/>
  <c r="C5" i="8"/>
  <c r="E4" i="8"/>
  <c r="AK5" i="7"/>
  <c r="AC5" i="7"/>
  <c r="U5" i="7"/>
  <c r="M5" i="7"/>
  <c r="E5" i="7"/>
  <c r="Y4" i="7"/>
  <c r="Q4" i="7"/>
  <c r="I4" i="7"/>
  <c r="AD4" i="6"/>
  <c r="V4" i="6"/>
  <c r="N4" i="6"/>
  <c r="F4" i="6"/>
  <c r="ET5" i="23"/>
  <c r="CH5" i="23"/>
  <c r="V5" i="23"/>
  <c r="CC5" i="22"/>
  <c r="Q5" i="22"/>
  <c r="BV4" i="22"/>
  <c r="J4" i="22"/>
  <c r="CG4" i="21"/>
  <c r="AK4" i="21"/>
  <c r="E4" i="21"/>
  <c r="Z5" i="20"/>
  <c r="AN4" i="20"/>
  <c r="H4" i="20"/>
  <c r="C5" i="18"/>
  <c r="G4" i="17"/>
  <c r="E5" i="15"/>
  <c r="C5" i="14"/>
  <c r="C4" i="13"/>
  <c r="E5" i="11"/>
  <c r="I4" i="10"/>
  <c r="C4" i="9"/>
  <c r="AL5" i="7"/>
  <c r="S5" i="7"/>
  <c r="X4" i="7"/>
  <c r="B4" i="7"/>
  <c r="U4" i="6"/>
  <c r="E4" i="6"/>
  <c r="AC4" i="5"/>
  <c r="R4" i="5"/>
  <c r="D4" i="5"/>
  <c r="E5" i="4"/>
  <c r="C4" i="4"/>
  <c r="A19" i="3"/>
  <c r="D16" i="3"/>
  <c r="D14" i="3"/>
  <c r="D12" i="3"/>
  <c r="D10" i="3"/>
  <c r="D8" i="3"/>
  <c r="D6" i="3"/>
  <c r="D4" i="3"/>
  <c r="B489" i="1"/>
  <c r="C486" i="1"/>
  <c r="A484" i="1"/>
  <c r="B481" i="1"/>
  <c r="C478" i="1"/>
  <c r="A476" i="1"/>
  <c r="B473" i="1"/>
  <c r="C470" i="1"/>
  <c r="A468" i="1"/>
  <c r="B465" i="1"/>
  <c r="C462" i="1"/>
  <c r="A460" i="1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EL5" i="23"/>
  <c r="BZ5" i="23"/>
  <c r="N5" i="23"/>
  <c r="BU5" i="22"/>
  <c r="I5" i="22"/>
  <c r="BN4" i="22"/>
  <c r="B4" i="22"/>
  <c r="BY4" i="21"/>
  <c r="AE4" i="21"/>
  <c r="AZ5" i="20"/>
  <c r="T5" i="20"/>
  <c r="AH4" i="20"/>
  <c r="B4" i="20"/>
  <c r="H4" i="18"/>
  <c r="F4" i="17"/>
  <c r="C5" i="15"/>
  <c r="H4" i="14"/>
  <c r="B4" i="13"/>
  <c r="C5" i="11"/>
  <c r="D4" i="10"/>
  <c r="B4" i="9"/>
  <c r="AJ5" i="7"/>
  <c r="N5" i="7"/>
  <c r="W4" i="7"/>
  <c r="D5" i="6"/>
  <c r="T4" i="6"/>
  <c r="D4" i="6"/>
  <c r="AB4" i="5"/>
  <c r="N4" i="5"/>
  <c r="C4" i="5"/>
  <c r="B5" i="4"/>
  <c r="B4" i="4"/>
  <c r="D18" i="3"/>
  <c r="C16" i="3"/>
  <c r="C14" i="3"/>
  <c r="C12" i="3"/>
  <c r="C10" i="3"/>
  <c r="C8" i="3"/>
  <c r="C6" i="3"/>
  <c r="C4" i="3"/>
  <c r="A489" i="1"/>
  <c r="B486" i="1"/>
  <c r="C483" i="1"/>
  <c r="A481" i="1"/>
  <c r="B478" i="1"/>
  <c r="C475" i="1"/>
  <c r="A473" i="1"/>
  <c r="B470" i="1"/>
  <c r="C467" i="1"/>
  <c r="A465" i="1"/>
  <c r="B462" i="1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ED5" i="23"/>
  <c r="BR5" i="23"/>
  <c r="F5" i="23"/>
  <c r="BM5" i="22"/>
  <c r="A5" i="22"/>
  <c r="BF4" i="22"/>
  <c r="L5" i="21"/>
  <c r="BQ4" i="21"/>
  <c r="AC4" i="21"/>
  <c r="AX5" i="20"/>
  <c r="R5" i="20"/>
  <c r="AF4" i="20"/>
  <c r="C5" i="19"/>
  <c r="F4" i="18"/>
  <c r="B5" i="15"/>
  <c r="F4" i="14"/>
  <c r="D5" i="12"/>
  <c r="B5" i="11"/>
  <c r="B4" i="10"/>
  <c r="D5" i="8"/>
  <c r="AI5" i="7"/>
  <c r="L5" i="7"/>
  <c r="R4" i="7"/>
  <c r="C5" i="6"/>
  <c r="P4" i="6"/>
  <c r="AA4" i="5"/>
  <c r="M4" i="5"/>
  <c r="B4" i="5"/>
  <c r="A5" i="4"/>
  <c r="C18" i="3"/>
  <c r="B16" i="3"/>
  <c r="B14" i="3"/>
  <c r="B12" i="3"/>
  <c r="B10" i="3"/>
  <c r="B8" i="3"/>
  <c r="B6" i="3"/>
  <c r="B4" i="3"/>
  <c r="C488" i="1"/>
  <c r="A486" i="1"/>
  <c r="B483" i="1"/>
  <c r="C480" i="1"/>
  <c r="A478" i="1"/>
  <c r="B475" i="1"/>
  <c r="C472" i="1"/>
  <c r="A470" i="1"/>
  <c r="B467" i="1"/>
  <c r="C464" i="1"/>
  <c r="A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DV5" i="23"/>
  <c r="BJ5" i="23"/>
  <c r="X4" i="23"/>
  <c r="BE5" i="22"/>
  <c r="DJ4" i="22"/>
  <c r="AX4" i="22"/>
  <c r="D5" i="21"/>
  <c r="BI4" i="21"/>
  <c r="W4" i="21"/>
  <c r="AR5" i="20"/>
  <c r="L5" i="20"/>
  <c r="Z4" i="20"/>
  <c r="G4" i="19"/>
  <c r="E4" i="18"/>
  <c r="B5" i="16"/>
  <c r="G4" i="15"/>
  <c r="E4" i="14"/>
  <c r="B5" i="12"/>
  <c r="G4" i="11"/>
  <c r="B5" i="8"/>
  <c r="AD5" i="7"/>
  <c r="K5" i="7"/>
  <c r="P4" i="7"/>
  <c r="AE4" i="6"/>
  <c r="O4" i="6"/>
  <c r="Z4" i="5"/>
  <c r="L4" i="5"/>
  <c r="J5" i="4"/>
  <c r="J4" i="4"/>
  <c r="D20" i="3"/>
  <c r="B18" i="3"/>
  <c r="A16" i="3"/>
  <c r="A14" i="3"/>
  <c r="A12" i="3"/>
  <c r="A10" i="3"/>
  <c r="A8" i="3"/>
  <c r="A6" i="3"/>
  <c r="A4" i="3"/>
  <c r="B488" i="1"/>
  <c r="C485" i="1"/>
  <c r="A483" i="1"/>
  <c r="B480" i="1"/>
  <c r="C477" i="1"/>
  <c r="A475" i="1"/>
  <c r="B472" i="1"/>
  <c r="C469" i="1"/>
  <c r="A467" i="1"/>
  <c r="B464" i="1"/>
  <c r="C461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DN5" i="23"/>
  <c r="BB5" i="23"/>
  <c r="P4" i="23"/>
  <c r="AW5" i="22"/>
  <c r="DB4" i="22"/>
  <c r="AP4" i="22"/>
  <c r="DM4" i="21"/>
  <c r="BA4" i="21"/>
  <c r="U4" i="21"/>
  <c r="AP5" i="20"/>
  <c r="J5" i="20"/>
  <c r="X4" i="20"/>
  <c r="E4" i="19"/>
  <c r="G5" i="17"/>
  <c r="A5" i="16"/>
  <c r="E4" i="15"/>
  <c r="C5" i="13"/>
  <c r="A5" i="12"/>
  <c r="E4" i="11"/>
  <c r="C5" i="9"/>
  <c r="A5" i="8"/>
  <c r="AB5" i="7"/>
  <c r="F5" i="7"/>
  <c r="O4" i="7"/>
  <c r="AC4" i="6"/>
  <c r="M4" i="6"/>
  <c r="C5" i="5"/>
  <c r="V4" i="5"/>
  <c r="K4" i="5"/>
  <c r="I5" i="4"/>
  <c r="I4" i="4"/>
  <c r="C20" i="3"/>
  <c r="D17" i="3"/>
  <c r="D15" i="3"/>
  <c r="D13" i="3"/>
  <c r="D11" i="3"/>
  <c r="D9" i="3"/>
  <c r="D7" i="3"/>
  <c r="D5" i="3"/>
  <c r="C490" i="1"/>
  <c r="A488" i="1"/>
  <c r="B485" i="1"/>
  <c r="C482" i="1"/>
  <c r="A480" i="1"/>
  <c r="B477" i="1"/>
  <c r="C474" i="1"/>
  <c r="A472" i="1"/>
  <c r="B469" i="1"/>
  <c r="C466" i="1"/>
  <c r="A464" i="1"/>
  <c r="B461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DF5" i="23"/>
  <c r="AT5" i="23"/>
  <c r="H4" i="23"/>
  <c r="AO5" i="22"/>
  <c r="CT4" i="22"/>
  <c r="AH4" i="22"/>
  <c r="DE4" i="21"/>
  <c r="AU4" i="21"/>
  <c r="O4" i="21"/>
  <c r="AJ5" i="20"/>
  <c r="D5" i="20"/>
  <c r="R4" i="20"/>
  <c r="D4" i="19"/>
  <c r="E5" i="17"/>
  <c r="F4" i="16"/>
  <c r="D4" i="15"/>
  <c r="A5" i="13"/>
  <c r="F4" i="12"/>
  <c r="D4" i="11"/>
  <c r="A5" i="9"/>
  <c r="F4" i="8"/>
  <c r="AA5" i="7"/>
  <c r="D5" i="7"/>
  <c r="J4" i="7"/>
  <c r="AB4" i="6"/>
  <c r="L4" i="6"/>
  <c r="B5" i="5"/>
  <c r="U4" i="5"/>
  <c r="J4" i="5"/>
  <c r="H5" i="4"/>
  <c r="H4" i="4"/>
  <c r="D19" i="3"/>
  <c r="C17" i="3"/>
  <c r="C15" i="3"/>
  <c r="C13" i="3"/>
  <c r="C11" i="3"/>
  <c r="C9" i="3"/>
  <c r="C7" i="3"/>
  <c r="C5" i="3"/>
  <c r="B490" i="1"/>
  <c r="C487" i="1"/>
  <c r="A485" i="1"/>
  <c r="B482" i="1"/>
  <c r="C479" i="1"/>
  <c r="A477" i="1"/>
  <c r="B474" i="1"/>
  <c r="C471" i="1"/>
  <c r="A469" i="1"/>
  <c r="B466" i="1"/>
  <c r="C463" i="1"/>
  <c r="A461" i="1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CP5" i="23"/>
  <c r="AD5" i="23"/>
  <c r="CK5" i="22"/>
  <c r="Y5" i="22"/>
  <c r="CD4" i="22"/>
  <c r="R4" i="22"/>
  <c r="CO4" i="21"/>
  <c r="AM4" i="21"/>
  <c r="G4" i="21"/>
  <c r="AB5" i="20"/>
  <c r="AP4" i="20"/>
  <c r="J4" i="20"/>
  <c r="D5" i="18"/>
  <c r="I4" i="17"/>
  <c r="C4" i="16"/>
  <c r="D5" i="14"/>
  <c r="E4" i="13"/>
  <c r="C4" i="12"/>
  <c r="J4" i="10"/>
  <c r="E4" i="9"/>
  <c r="C4" i="8"/>
  <c r="T5" i="7"/>
  <c r="Z4" i="7"/>
  <c r="G4" i="7"/>
  <c r="W4" i="6"/>
  <c r="G4" i="6"/>
  <c r="AD4" i="5"/>
  <c r="S4" i="5"/>
  <c r="E4" i="5"/>
  <c r="F5" i="4"/>
  <c r="D4" i="4"/>
  <c r="B19" i="3"/>
  <c r="A17" i="3"/>
  <c r="A15" i="3"/>
  <c r="A13" i="3"/>
  <c r="A11" i="3"/>
  <c r="A9" i="3"/>
  <c r="A7" i="3"/>
  <c r="A5" i="3"/>
  <c r="C489" i="1"/>
  <c r="A487" i="1"/>
  <c r="B484" i="1"/>
  <c r="C481" i="1"/>
  <c r="A479" i="1"/>
  <c r="B476" i="1"/>
  <c r="C473" i="1"/>
  <c r="A471" i="1"/>
  <c r="B468" i="1"/>
  <c r="C465" i="1"/>
  <c r="A463" i="1"/>
  <c r="B460" i="1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CX5" i="23"/>
  <c r="M4" i="21"/>
  <c r="J4" i="13"/>
  <c r="X4" i="6"/>
  <c r="G4" i="4"/>
  <c r="B5" i="3"/>
  <c r="B471" i="1"/>
  <c r="A450" i="1"/>
  <c r="C428" i="1"/>
  <c r="B407" i="1"/>
  <c r="A386" i="1"/>
  <c r="C364" i="1"/>
  <c r="A355" i="1"/>
  <c r="B347" i="1"/>
  <c r="C340" i="1"/>
  <c r="C333" i="1"/>
  <c r="A326" i="1"/>
  <c r="B319" i="1"/>
  <c r="B312" i="1"/>
  <c r="C304" i="1"/>
  <c r="A298" i="1"/>
  <c r="A291" i="1"/>
  <c r="B283" i="1"/>
  <c r="C276" i="1"/>
  <c r="C269" i="1"/>
  <c r="A262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C4" i="1"/>
  <c r="B455" i="1"/>
  <c r="C412" i="1"/>
  <c r="A370" i="1"/>
  <c r="A314" i="1"/>
  <c r="AL5" i="23"/>
  <c r="AH5" i="20"/>
  <c r="D4" i="12"/>
  <c r="H4" i="6"/>
  <c r="C19" i="3"/>
  <c r="A490" i="1"/>
  <c r="C468" i="1"/>
  <c r="B447" i="1"/>
  <c r="A426" i="1"/>
  <c r="C404" i="1"/>
  <c r="B383" i="1"/>
  <c r="A362" i="1"/>
  <c r="A354" i="1"/>
  <c r="A347" i="1"/>
  <c r="B339" i="1"/>
  <c r="C332" i="1"/>
  <c r="C325" i="1"/>
  <c r="A318" i="1"/>
  <c r="B311" i="1"/>
  <c r="B304" i="1"/>
  <c r="C296" i="1"/>
  <c r="A290" i="1"/>
  <c r="A283" i="1"/>
  <c r="B275" i="1"/>
  <c r="C268" i="1"/>
  <c r="C261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F4" i="5"/>
  <c r="B391" i="1"/>
  <c r="C356" i="1"/>
  <c r="B328" i="1"/>
  <c r="C285" i="1"/>
  <c r="CS5" i="22"/>
  <c r="B5" i="20"/>
  <c r="B5" i="10"/>
  <c r="B17" i="3"/>
  <c r="B487" i="1"/>
  <c r="A466" i="1"/>
  <c r="C444" i="1"/>
  <c r="B423" i="1"/>
  <c r="A402" i="1"/>
  <c r="C380" i="1"/>
  <c r="B360" i="1"/>
  <c r="C352" i="1"/>
  <c r="A346" i="1"/>
  <c r="A339" i="1"/>
  <c r="B331" i="1"/>
  <c r="C324" i="1"/>
  <c r="C317" i="1"/>
  <c r="A310" i="1"/>
  <c r="B303" i="1"/>
  <c r="B296" i="1"/>
  <c r="C288" i="1"/>
  <c r="A282" i="1"/>
  <c r="A275" i="1"/>
  <c r="B267" i="1"/>
  <c r="A261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B9" i="3"/>
  <c r="B299" i="1"/>
  <c r="AG5" i="22"/>
  <c r="P4" i="20"/>
  <c r="J4" i="9"/>
  <c r="B15" i="3"/>
  <c r="C484" i="1"/>
  <c r="B463" i="1"/>
  <c r="A442" i="1"/>
  <c r="C420" i="1"/>
  <c r="B399" i="1"/>
  <c r="A378" i="1"/>
  <c r="B359" i="1"/>
  <c r="B352" i="1"/>
  <c r="C344" i="1"/>
  <c r="A338" i="1"/>
  <c r="A331" i="1"/>
  <c r="B323" i="1"/>
  <c r="C316" i="1"/>
  <c r="C309" i="1"/>
  <c r="A302" i="1"/>
  <c r="B295" i="1"/>
  <c r="B288" i="1"/>
  <c r="C280" i="1"/>
  <c r="A274" i="1"/>
  <c r="A267" i="1"/>
  <c r="C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D4" i="16"/>
  <c r="C349" i="1"/>
  <c r="C292" i="1"/>
  <c r="CL4" i="22"/>
  <c r="F5" i="18"/>
  <c r="D4" i="8"/>
  <c r="A5" i="5"/>
  <c r="B13" i="3"/>
  <c r="A482" i="1"/>
  <c r="C460" i="1"/>
  <c r="B439" i="1"/>
  <c r="A418" i="1"/>
  <c r="C396" i="1"/>
  <c r="B375" i="1"/>
  <c r="A358" i="1"/>
  <c r="B351" i="1"/>
  <c r="B344" i="1"/>
  <c r="C336" i="1"/>
  <c r="A330" i="1"/>
  <c r="A323" i="1"/>
  <c r="B315" i="1"/>
  <c r="C308" i="1"/>
  <c r="C301" i="1"/>
  <c r="A294" i="1"/>
  <c r="B287" i="1"/>
  <c r="B280" i="1"/>
  <c r="C272" i="1"/>
  <c r="A266" i="1"/>
  <c r="B260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C5" i="7"/>
  <c r="A434" i="1"/>
  <c r="A342" i="1"/>
  <c r="A307" i="1"/>
  <c r="B264" i="1"/>
  <c r="Z4" i="22"/>
  <c r="D5" i="17"/>
  <c r="V5" i="7"/>
  <c r="T4" i="5"/>
  <c r="B11" i="3"/>
  <c r="B479" i="1"/>
  <c r="A458" i="1"/>
  <c r="C436" i="1"/>
  <c r="B415" i="1"/>
  <c r="A394" i="1"/>
  <c r="C372" i="1"/>
  <c r="C357" i="1"/>
  <c r="A350" i="1"/>
  <c r="B343" i="1"/>
  <c r="B336" i="1"/>
  <c r="C328" i="1"/>
  <c r="A322" i="1"/>
  <c r="A315" i="1"/>
  <c r="B307" i="1"/>
  <c r="C300" i="1"/>
  <c r="C293" i="1"/>
  <c r="A286" i="1"/>
  <c r="B279" i="1"/>
  <c r="B272" i="1"/>
  <c r="C264" i="1"/>
  <c r="A260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CW4" i="21"/>
  <c r="B335" i="1"/>
  <c r="AS4" i="21"/>
  <c r="F5" i="14"/>
  <c r="H4" i="7"/>
  <c r="G5" i="4"/>
  <c r="B7" i="3"/>
  <c r="A474" i="1"/>
  <c r="C452" i="1"/>
  <c r="B431" i="1"/>
  <c r="A410" i="1"/>
  <c r="C388" i="1"/>
  <c r="B367" i="1"/>
  <c r="B355" i="1"/>
  <c r="C348" i="1"/>
  <c r="C341" i="1"/>
  <c r="A334" i="1"/>
  <c r="B327" i="1"/>
  <c r="B320" i="1"/>
  <c r="C312" i="1"/>
  <c r="A306" i="1"/>
  <c r="A299" i="1"/>
  <c r="B291" i="1"/>
  <c r="C284" i="1"/>
  <c r="C277" i="1"/>
  <c r="A270" i="1"/>
  <c r="B263" i="1"/>
  <c r="A259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C476" i="1"/>
  <c r="C320" i="1"/>
  <c r="A278" i="1"/>
  <c r="A243" i="1"/>
  <c r="C221" i="1"/>
  <c r="B200" i="1"/>
  <c r="A179" i="1"/>
  <c r="C157" i="1"/>
  <c r="B136" i="1"/>
  <c r="A115" i="1"/>
  <c r="C93" i="1"/>
  <c r="B72" i="1"/>
  <c r="A51" i="1"/>
  <c r="C29" i="1"/>
  <c r="B8" i="1"/>
  <c r="B144" i="1"/>
  <c r="B248" i="1"/>
  <c r="B56" i="1"/>
  <c r="B271" i="1"/>
  <c r="B240" i="1"/>
  <c r="A219" i="1"/>
  <c r="C197" i="1"/>
  <c r="B176" i="1"/>
  <c r="A155" i="1"/>
  <c r="C133" i="1"/>
  <c r="B112" i="1"/>
  <c r="A91" i="1"/>
  <c r="C69" i="1"/>
  <c r="B48" i="1"/>
  <c r="A27" i="1"/>
  <c r="C5" i="1"/>
  <c r="A123" i="1"/>
  <c r="B16" i="1"/>
  <c r="C141" i="1"/>
  <c r="A35" i="1"/>
  <c r="B259" i="1"/>
  <c r="C237" i="1"/>
  <c r="B216" i="1"/>
  <c r="A195" i="1"/>
  <c r="C173" i="1"/>
  <c r="B152" i="1"/>
  <c r="A131" i="1"/>
  <c r="C109" i="1"/>
  <c r="B88" i="1"/>
  <c r="A67" i="1"/>
  <c r="C45" i="1"/>
  <c r="B24" i="1"/>
  <c r="C101" i="1"/>
  <c r="A227" i="1"/>
  <c r="A99" i="1"/>
  <c r="B256" i="1"/>
  <c r="A235" i="1"/>
  <c r="C213" i="1"/>
  <c r="B192" i="1"/>
  <c r="A171" i="1"/>
  <c r="C149" i="1"/>
  <c r="B128" i="1"/>
  <c r="A107" i="1"/>
  <c r="C85" i="1"/>
  <c r="B64" i="1"/>
  <c r="A43" i="1"/>
  <c r="C21" i="1"/>
  <c r="A19" i="1"/>
  <c r="A59" i="1"/>
  <c r="B184" i="1"/>
  <c r="B120" i="1"/>
  <c r="C253" i="1"/>
  <c r="B232" i="1"/>
  <c r="A211" i="1"/>
  <c r="C189" i="1"/>
  <c r="B168" i="1"/>
  <c r="A147" i="1"/>
  <c r="C125" i="1"/>
  <c r="B104" i="1"/>
  <c r="A83" i="1"/>
  <c r="C61" i="1"/>
  <c r="B40" i="1"/>
  <c r="C37" i="1"/>
  <c r="C205" i="1"/>
  <c r="C77" i="1"/>
  <c r="A251" i="1"/>
  <c r="C229" i="1"/>
  <c r="B208" i="1"/>
  <c r="A187" i="1"/>
  <c r="C165" i="1"/>
  <c r="B80" i="1"/>
  <c r="A163" i="1"/>
  <c r="C13" i="1"/>
  <c r="C245" i="1"/>
  <c r="B224" i="1"/>
  <c r="A203" i="1"/>
  <c r="C181" i="1"/>
  <c r="B160" i="1"/>
  <c r="A139" i="1"/>
  <c r="C117" i="1"/>
  <c r="B96" i="1"/>
  <c r="A75" i="1"/>
  <c r="C53" i="1"/>
  <c r="B32" i="1"/>
  <c r="A11" i="1"/>
  <c r="J2" i="22" l="1"/>
  <c r="J2" i="13"/>
  <c r="J2" i="9"/>
  <c r="J2" i="5"/>
  <c r="J2" i="16"/>
  <c r="J2" i="12"/>
  <c r="J2" i="8"/>
  <c r="J2" i="21"/>
  <c r="J2" i="19"/>
  <c r="J2" i="15"/>
  <c r="J2" i="11"/>
  <c r="J2" i="6"/>
  <c r="J2" i="18"/>
  <c r="J2" i="14"/>
  <c r="J2" i="23"/>
  <c r="J2" i="20"/>
  <c r="J2" i="7"/>
  <c r="J2" i="17"/>
  <c r="J2" i="4"/>
  <c r="J2" i="10"/>
</calcChain>
</file>

<file path=xl/sharedStrings.xml><?xml version="1.0" encoding="utf-8"?>
<sst xmlns="http://schemas.openxmlformats.org/spreadsheetml/2006/main" count="316" uniqueCount="49">
  <si>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</si>
  <si>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</si>
  <si>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</si>
  <si>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</si>
  <si>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</si>
  <si>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</si>
  <si>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</si>
  <si>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</si>
  <si>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</si>
  <si>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</si>
  <si>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</si>
  <si>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</si>
  <si>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</si>
  <si>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</si>
  <si>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</si>
  <si>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</si>
  <si>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DailyValuation</t>
  </si>
  <si>
    <t>GetDailyCash</t>
  </si>
  <si>
    <t>UpdateDailyCash</t>
  </si>
  <si>
    <t>Allocation1</t>
  </si>
  <si>
    <t>USD</t>
  </si>
  <si>
    <t>Allocation2</t>
  </si>
  <si>
    <t>TradingTicket</t>
  </si>
  <si>
    <t>CreateLiveOrder</t>
  </si>
  <si>
    <t>AAPL</t>
  </si>
  <si>
    <t>Sell</t>
  </si>
  <si>
    <t>MS</t>
  </si>
  <si>
    <t>Simulator</t>
  </si>
  <si>
    <t>SelectTrade</t>
  </si>
  <si>
    <t>AcknowledgeTrade</t>
  </si>
  <si>
    <t>ExecuteTrade</t>
  </si>
  <si>
    <t>Blotter</t>
  </si>
  <si>
    <t>VerifyOrder</t>
  </si>
  <si>
    <t>NewMF1</t>
  </si>
  <si>
    <t>Equity</t>
  </si>
  <si>
    <t>Filled</t>
  </si>
  <si>
    <t>Market</t>
  </si>
  <si>
    <t>NewMF</t>
  </si>
  <si>
    <t>Allocation</t>
  </si>
  <si>
    <t>GetDataAllocation</t>
  </si>
  <si>
    <t>Current</t>
  </si>
  <si>
    <t>CheckAllocatedGroups</t>
  </si>
  <si>
    <t>Open</t>
  </si>
  <si>
    <t>NASDAQ</t>
  </si>
  <si>
    <t>PortfolioManagement</t>
  </si>
  <si>
    <t>CheckPortfolioManagement</t>
  </si>
  <si>
    <t>Short</t>
  </si>
  <si>
    <t>US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</si>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</sst>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#,###,###,##0.00#############"/>
  </numFmts>
  <fonts count="14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3" fillId="0" borderId="5" xfId="0" applyFont="1" applyBorder="1" applyAlignment="1"/>
    <xf numFmtId="0" fontId="3" fillId="0" borderId="5" xfId="0" applyFont="1" applyBorder="1" applyAlignment="1"/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right"/>
    </xf>
    <xf numFmtId="0" fontId="3" fillId="0" borderId="0" xfId="0" applyFont="1" applyAlignment="1"/>
    <xf numFmtId="14" fontId="5" fillId="0" borderId="0" xfId="0" applyNumberFormat="1" applyFont="1" applyAlignment="1"/>
    <xf numFmtId="14" fontId="5" fillId="0" borderId="0" xfId="0" applyNumberFormat="1" applyFont="1" applyAlignment="1"/>
    <xf numFmtId="0" fontId="5" fillId="0" borderId="0" xfId="0" applyFont="1" applyAlignment="1"/>
    <xf numFmtId="0" fontId="5" fillId="0" borderId="5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3" fillId="0" borderId="5" xfId="0" applyFont="1" applyBorder="1" applyAlignment="1"/>
    <xf numFmtId="0" fontId="3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/>
    <xf numFmtId="0" fontId="13" fillId="0" borderId="0" xfId="0" applyFont="1" applyAlignment="1"/>
    <xf numFmtId="164" fontId="13" fillId="0" borderId="5" xfId="0" applyNumberFormat="1" applyFont="1" applyBorder="1" applyAlignment="1">
      <alignment horizontal="right"/>
    </xf>
    <xf numFmtId="164" fontId="13" fillId="0" borderId="0" xfId="0" applyNumberFormat="1" applyFont="1" applyAlignment="1">
      <alignment horizontal="right"/>
    </xf>
    <xf numFmtId="0" fontId="5" fillId="0" borderId="5" xfId="0" applyFont="1" applyBorder="1" applyAlignment="1"/>
    <xf numFmtId="0" fontId="13" fillId="0" borderId="0" xfId="0" applyFont="1" applyAlignment="1"/>
    <xf numFmtId="0" fontId="5" fillId="0" borderId="0" xfId="0" applyFont="1" applyAlignment="1"/>
    <xf numFmtId="0" fontId="3" fillId="0" borderId="5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0" borderId="5" xfId="0" applyFont="1" applyBorder="1" applyAlignment="1"/>
    <xf numFmtId="3" fontId="5" fillId="0" borderId="5" xfId="0" applyNumberFormat="1" applyFont="1" applyBorder="1" applyAlignment="1">
      <alignment horizontal="right"/>
    </xf>
    <xf numFmtId="3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activeCell="G30" sqref="G30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54" t="s">
        <v>0</v>
      </c>
      <c r="B1" s="55"/>
      <c r="C1" s="55"/>
      <c r="D1" s="55"/>
      <c r="E1" s="55"/>
      <c r="F1" s="56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spans="1:3" ht="15.75" customHeight="1">
      <c r="A481" t="str">
        <f ca="1">IFERROR(__xludf.DUMMYFUNCTION("""COMPUTED_VALUE"""),"TradingTicket")</f>
        <v>TradingTicket</v>
      </c>
      <c r="B481" t="str">
        <f ca="1">IFERROR(__xludf.DUMMYFUNCTION("""COMPUTED_VALUE"""),"ImportSymbol")</f>
        <v>ImportSymbol</v>
      </c>
      <c r="C481" t="str">
        <f ca="1">IFERROR(__xludf.DUMMYFUNCTION("""COMPUTED_VALUE"""),"1UEKelK1NMdYtsfsyMcdva6Yft_Yr9G8cWbrfel-9MJU")</f>
        <v>1UEKelK1NMdYtsfsyMcdva6Yft_Yr9G8cWbrfel-9MJU</v>
      </c>
    </row>
    <row r="482" spans="1:3" ht="15.75" customHeight="1">
      <c r="A482" t="str">
        <f ca="1">IFERROR(__xludf.DUMMYFUNCTION("""COMPUTED_VALUE"""),"TradingTicket")</f>
        <v>TradingTicket</v>
      </c>
      <c r="B482" t="str">
        <f ca="1">IFERROR(__xludf.DUMMYFUNCTION("""COMPUTED_VALUE"""),"ExportSymbolFromRAList")</f>
        <v>ExportSymbolFromRAList</v>
      </c>
      <c r="C482" t="str">
        <f ca="1">IFERROR(__xludf.DUMMYFUNCTION("""COMPUTED_VALUE"""),"1MHwX_PBm9hsA0q8FgudciwiJIAk4mZvCR42Xpxx4sKs")</f>
        <v>1MHwX_PBm9hsA0q8FgudciwiJIAk4mZvCR42Xpxx4sKs</v>
      </c>
    </row>
    <row r="483" spans="1:3" ht="15.75" customHeight="1">
      <c r="A483" t="str">
        <f ca="1">IFERROR(__xludf.DUMMYFUNCTION("""COMPUTED_VALUE"""),"TradingTicket")</f>
        <v>TradingTicket</v>
      </c>
      <c r="B483" t="str">
        <f ca="1">IFERROR(__xludf.DUMMYFUNCTION("""COMPUTED_VALUE""")," CheckPendingNewOrderAlert")</f>
        <v xml:space="preserve"> CheckPendingNewOrderAlert</v>
      </c>
      <c r="C483" t="str">
        <f ca="1">IFERROR(__xludf.DUMMYFUNCTION("""COMPUTED_VALUE"""),"1t2KWd4MXhp0cc5GddRUoU75jESYZ8rvlBGDofapbzuI")</f>
        <v>1t2KWd4MXhp0cc5GddRUoU75jESYZ8rvlBGDofapbzuI</v>
      </c>
    </row>
    <row r="484" spans="1:3" ht="15.75" customHeight="1">
      <c r="A484" t="str">
        <f ca="1">IFERROR(__xludf.DUMMYFUNCTION("""COMPUTED_VALUE"""),"TradingTicket")</f>
        <v>TradingTicket</v>
      </c>
      <c r="B484" t="str">
        <f ca="1">IFERROR(__xludf.DUMMYFUNCTION("""COMPUTED_VALUE"""),"AddSymbolOnRAList")</f>
        <v>AddSymbolOnRAList</v>
      </c>
      <c r="C484" t="str">
        <f ca="1">IFERROR(__xludf.DUMMYFUNCTION("""COMPUTED_VALUE"""),"1mAGV09viuVWEe4eHRdp4TWIABKngOqrICWdKcXQy3uo")</f>
        <v>1mAGV09viuVWEe4eHRdp4TWIABKngOqrICWdKcXQy3uo</v>
      </c>
    </row>
    <row r="485" spans="1:3" ht="15.75" customHeight="1">
      <c r="A485" t="str">
        <f ca="1">IFERROR(__xludf.DUMMYFUNCTION("""COMPUTED_VALUE"""),"TradingTicket")</f>
        <v>TradingTicket</v>
      </c>
      <c r="B485" t="str">
        <f ca="1">IFERROR(__xludf.DUMMYFUNCTION("""COMPUTED_VALUE"""),"DeleteSymbolListFromRA")</f>
        <v>DeleteSymbolListFromRA</v>
      </c>
      <c r="C485" t="str">
        <f ca="1">IFERROR(__xludf.DUMMYFUNCTION("""COMPUTED_VALUE"""),"14dSZOTqRtu1tjIclv4ory70p3_NVBD4oZ8-Z0-kfJHo")</f>
        <v>14dSZOTqRtu1tjIclv4ory70p3_NVBD4oZ8-Z0-kfJHo</v>
      </c>
    </row>
    <row r="486" spans="1:3" ht="15.75" customHeight="1">
      <c r="A486" t="str">
        <f ca="1">IFERROR(__xludf.DUMMYFUNCTION("""COMPUTED_VALUE"""),"TradingTicket")</f>
        <v>TradingTicket</v>
      </c>
      <c r="B486" t="str">
        <f ca="1">IFERROR(__xludf.DUMMYFUNCTION("""COMPUTED_VALUE"""),"ToggleBlombergOnRA")</f>
        <v>ToggleBlombergOnRA</v>
      </c>
      <c r="C486" t="str">
        <f ca="1">IFERROR(__xludf.DUMMYFUNCTION("""COMPUTED_VALUE"""),"1TKv9C1mMXj8HlEzeLMciT110iLyZ9OhIh0lSuptGP1c")</f>
        <v>1TKv9C1mMXj8HlEzeLMciT110iLyZ9OhIh0lSuptGP1c</v>
      </c>
    </row>
    <row r="487" spans="1:3" ht="15.75" customHeight="1">
      <c r="A487" t="str">
        <f ca="1">IFERROR(__xludf.DUMMYFUNCTION("""COMPUTED_VALUE"""),"TradingTicket")</f>
        <v>TradingTicket</v>
      </c>
      <c r="B487" t="str">
        <f ca="1">IFERROR(__xludf.DUMMYFUNCTION("""COMPUTED_VALUE"""),"RemoveSymbolFromRAList")</f>
        <v>RemoveSymbolFromRAList</v>
      </c>
      <c r="C487" t="str">
        <f ca="1">IFERROR(__xludf.DUMMYFUNCTION("""COMPUTED_VALUE"""),"1esriqspMNcbGjPDPy2u7bJyQKd05b0Y9Sin8DcUfSEE")</f>
        <v>1esriqspMNcbGjPDPy2u7bJyQKd05b0Y9Sin8DcUfSEE</v>
      </c>
    </row>
    <row r="488" spans="1:3" ht="15.75" customHeight="1">
      <c r="A488" t="str">
        <f ca="1">IFERROR(__xludf.DUMMYFUNCTION("""COMPUTED_VALUE"""),"Report")</f>
        <v>Report</v>
      </c>
      <c r="B488" t="str">
        <f ca="1">IFERROR(__xludf.DUMMYFUNCTION("""COMPUTED_VALUE"""),"ReportMatching")</f>
        <v>ReportMatching</v>
      </c>
      <c r="C488" t="str">
        <f ca="1">IFERROR(__xludf.DUMMYFUNCTION("""COMPUTED_VALUE"""),"1IURT1smTM6q7aOlSfUxXb-piLEDNEFM-Z_rxNUweXqU")</f>
        <v>1IURT1smTM6q7aOlSfUxXb-piLEDNEFM-Z_rxNUweXqU</v>
      </c>
    </row>
    <row r="489" spans="1:3" ht="15.75" customHeight="1">
      <c r="A489" t="str">
        <f ca="1">IFERROR(__xludf.DUMMYFUNCTION("""COMPUTED_VALUE"""),"Admin")</f>
        <v>Admin</v>
      </c>
      <c r="B489" t="str">
        <f ca="1">IFERROR(__xludf.DUMMYFUNCTION("""COMPUTED_VALUE"""),"EnableBreakdownRealizedPNL")</f>
        <v>EnableBreakdownRealizedPNL</v>
      </c>
      <c r="C489" t="str">
        <f ca="1">IFERROR(__xludf.DUMMYFUNCTION("""COMPUTED_VALUE"""),"1MsdAMudFZTDN6c4GJMzmiY0zvgautsPJWcDY1jxOGP0")</f>
        <v>1MsdAMudFZTDN6c4GJMzmiY0zvgautsPJWcDY1jxOGP0</v>
      </c>
    </row>
    <row r="490" spans="1:3" ht="15.75" customHeight="1">
      <c r="A490" t="str">
        <f ca="1">IFERROR(__xludf.DUMMYFUNCTION("""COMPUTED_VALUE"""),"Admin")</f>
        <v>Admin</v>
      </c>
      <c r="B490" t="str">
        <f ca="1">IFERROR(__xludf.DUMMYFUNCTION("""COMPUTED_VALUE"""),"SetTTGeneralPreferences")</f>
        <v>SetTTGeneralPreferences</v>
      </c>
      <c r="C490" t="str">
        <f ca="1">IFERROR(__xludf.DUMMYFUNCTION("""COMPUTED_VALUE"""),"1VU4CqD-ZRcRyvM1M2otqULbHS-fnUmcO_NcgQMsS9rE")</f>
        <v>1VU4CqD-ZRcRyvM1M2otqULbHS-fnUmcO_NcgQMsS9rE</v>
      </c>
    </row>
    <row r="491" spans="1:3" ht="15.75" customHeight="1"/>
    <row r="492" spans="1:3" ht="15.75" customHeight="1"/>
    <row r="493" spans="1:3" ht="15.75" customHeight="1"/>
    <row r="494" spans="1:3" ht="15.75" customHeight="1"/>
    <row r="495" spans="1:3" ht="15.75" customHeight="1"/>
    <row r="496" spans="1:3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57" t="s">
        <v>2</v>
      </c>
      <c r="B1" s="55"/>
      <c r="C1" s="56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54" t="s">
        <v>7</v>
      </c>
      <c r="B1" s="55"/>
      <c r="C1" s="55"/>
      <c r="D1" s="55"/>
      <c r="E1" s="55"/>
      <c r="F1" s="56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4" t="s">
        <v>11</v>
      </c>
      <c r="C1" s="55"/>
      <c r="D1" s="55"/>
      <c r="E1" s="55"/>
      <c r="F1" s="55"/>
      <c r="G1" s="55"/>
      <c r="H1" s="5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IFERROR(__xludf.DUMMYFUNCTION("IF(C3="""","""",Transpose(IMPORTRANGE('_Settings'!$B$3,C3&amp;""!A4:A1000"")))"),"SetTTUIPreferences")</f>
        <v>SetTTUIPreferences</v>
      </c>
      <c r="C4" s="19" t="str">
        <f ca="1">IFERROR(__xludf.DUMMYFUNCTION("""COMPUTED_VALUE"""),"TTPermissionLevel")</f>
        <v>TTPermissionLevel</v>
      </c>
      <c r="D4" s="19" t="str">
        <f ca="1">IFERROR(__xludf.DUMMYFUNCTION("""COMPUTED_VALUE"""),"SetCheckSide")</f>
        <v>SetCheckSide</v>
      </c>
      <c r="E4" s="19" t="str">
        <f ca="1">IFERROR(__xludf.DUMMYFUNCTION("""COMPUTED_VALUE"""),"SetRollover")</f>
        <v>SetRollover</v>
      </c>
      <c r="F4" s="19" t="str">
        <f ca="1">IFERROR(__xludf.DUMMYFUNCTION("""COMPUTED_VALUE"""),"SetActive")</f>
        <v>SetActive</v>
      </c>
      <c r="G4" s="19" t="str">
        <f ca="1">IFERROR(__xludf.DUMMYFUNCTION("""COMPUTED_VALUE"""),"SetThirdPartyFormat")</f>
        <v>SetThirdPartyFormat</v>
      </c>
      <c r="H4" s="19" t="str">
        <f ca="1">IFERROR(__xludf.DUMMYFUNCTION("""COMPUTED_VALUE"""),"SetTradingComplianceRules")</f>
        <v>SetTradingComplianceRules</v>
      </c>
      <c r="I4" s="19" t="str">
        <f ca="1">IFERROR(__xludf.DUMMYFUNCTION("""COMPUTED_VALUE"""),"EnableBreakdownRealizedPNL")</f>
        <v>EnableBreakdownRealizedPNL</v>
      </c>
      <c r="J4" s="19" t="str">
        <f ca="1">IFERROR(__xludf.DUMMYFUNCTION("""COMPUTED_VALUE"""),"SetTTGeneralPreferences")</f>
        <v>SetTTGeneralPreferences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IFERROR(__xludf.DUMMYFUNCTION("""COMPUTED_VALUE"""),"OverSellTradingRule")</f>
        <v>OverSellTradingRule</v>
      </c>
      <c r="C5" s="22" t="str">
        <f ca="1">IFERROR(__xludf.DUMMYFUNCTION("""COMPUTED_VALUE"""),"OverBuyTradingRule")</f>
        <v>OverBuyTradingRule</v>
      </c>
      <c r="D5" s="22" t="str">
        <f ca="1">IFERROR(__xludf.DUMMYFUNCTION("""COMPUTED_VALUE"""),"FatFingerTradingRule")</f>
        <v>FatFingerTradingRule</v>
      </c>
      <c r="E5" s="22" t="str">
        <f ca="1">IFERROR(__xludf.DUMMYFUNCTION("""COMPUTED_VALUE"""),"UnallocatedTradeAlert")</f>
        <v>UnallocatedTradeAlert</v>
      </c>
      <c r="F5" s="23" t="str">
        <f ca="1">IFERROR(__xludf.DUMMYFUNCTION("""COMPUTED_VALUE"""),"DuplicateTradeAlert")</f>
        <v>DuplicateTradeAlert</v>
      </c>
      <c r="G5" s="22" t="str">
        <f ca="1">IFERROR(__xludf.DUMMYFUNCTION("""COMPUTED_VALUE"""),"PendingNewOrderAlert")</f>
        <v>PendingNewOrderAlert</v>
      </c>
      <c r="H5" s="22" t="str">
        <f ca="1">IFERROR(__xludf.DUMMYFUNCTION("""COMPUTED_VALUE"""),"FatFingerPercent")</f>
        <v>FatFingerPercent</v>
      </c>
      <c r="I5" s="22" t="str">
        <f ca="1">IFERROR(__xludf.DUMMYFUNCTION("""COMPUTED_VALUE"""),"DuplicateTradeAlertTime")</f>
        <v>DuplicateTradeAlertTime</v>
      </c>
      <c r="J5" s="22" t="str">
        <f ca="1">IFERROR(__xludf.DUMMYFUNCTION("""COMPUTED_VALUE"""),"PendingNewOrderAlertTime")</f>
        <v>PendingNewOrderAlertTime</v>
      </c>
      <c r="K5" s="22" t="str">
        <f ca="1">IFERROR(__xludf.DUMMYFUNCTION("""COMPUTED_VALUE"""),"FatFingerAccountOrMasterFund")</f>
        <v>FatFingerAccountOrMasterFund</v>
      </c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5"/>
      <c r="C6" s="26"/>
      <c r="D6" s="27" t="b">
        <v>1</v>
      </c>
      <c r="E6" s="26"/>
      <c r="F6" s="26"/>
      <c r="G6" s="26"/>
      <c r="H6" s="28">
        <v>10</v>
      </c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4" t="s">
        <v>11</v>
      </c>
      <c r="C1" s="55"/>
      <c r="D1" s="55"/>
      <c r="E1" s="55"/>
      <c r="F1" s="55"/>
      <c r="G1" s="55"/>
      <c r="H1" s="5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16</v>
      </c>
      <c r="D3" s="2" t="s">
        <v>9</v>
      </c>
      <c r="E3" s="17" t="s">
        <v>17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IFERROR(__xludf.DUMMYFUNCTION("""COMPUTED_VALUE"""),"Select Date")</f>
        <v>Select Date</v>
      </c>
      <c r="C5" s="22" t="str">
        <f ca="1">IFERROR(__xludf.DUMMYFUNCTION("""COMPUTED_VALUE"""),"Copy From")</f>
        <v>Copy From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30">
        <f t="shared" ref="B6:C6" ca="1" si="0">TODAY()-1</f>
        <v>44411</v>
      </c>
      <c r="C6" s="31">
        <f t="shared" ca="1" si="0"/>
        <v>44411</v>
      </c>
      <c r="D6" s="7"/>
      <c r="E6" s="32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4" t="s">
        <v>11</v>
      </c>
      <c r="C1" s="55"/>
      <c r="D1" s="55"/>
      <c r="E1" s="55"/>
      <c r="F1" s="55"/>
      <c r="G1" s="55"/>
      <c r="H1" s="5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16</v>
      </c>
      <c r="D3" s="2" t="s">
        <v>9</v>
      </c>
      <c r="E3" s="17" t="s">
        <v>18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IFERROR(__xludf.DUMMYFUNCTION("""COMPUTED_VALUE"""),"Local Currency")</f>
        <v>Local Currency</v>
      </c>
      <c r="D5" s="22" t="str">
        <f ca="1">IFERROR(__xludf.DUMMYFUNCTION("""COMPUTED_VALUE"""),"Cash Value Local")</f>
        <v>Cash Value Local</v>
      </c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5" t="s">
        <v>19</v>
      </c>
      <c r="C6" s="26" t="s">
        <v>20</v>
      </c>
      <c r="D6" s="33">
        <v>300000</v>
      </c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>
      <c r="A7" s="29"/>
      <c r="B7" s="29" t="s">
        <v>21</v>
      </c>
      <c r="C7" s="29" t="s">
        <v>20</v>
      </c>
      <c r="D7" s="34">
        <v>300000</v>
      </c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4" t="s">
        <v>11</v>
      </c>
      <c r="C1" s="55"/>
      <c r="D1" s="55"/>
      <c r="E1" s="55"/>
      <c r="F1" s="55"/>
      <c r="G1" s="55"/>
      <c r="H1" s="5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22</v>
      </c>
      <c r="D3" s="2" t="s">
        <v>9</v>
      </c>
      <c r="E3" s="17" t="s">
        <v>23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 t="str">
        <f ca="1">IFERROR(__xludf.DUMMYFUNCTION("""COMPUTED_VALUE"""),"ImportSymbol")</f>
        <v>ImportSymbol</v>
      </c>
      <c r="V4" s="20" t="str">
        <f ca="1">IFERROR(__xludf.DUMMYFUNCTION("""COMPUTED_VALUE"""),"ExportSymbolFromRAList")</f>
        <v>ExportSymbolFromRAList</v>
      </c>
      <c r="W4" s="20" t="str">
        <f ca="1">IFERROR(__xludf.DUMMYFUNCTION("""COMPUTED_VALUE"""),"CheckPendingNewOrderAlert")</f>
        <v>CheckPendingNewOrderAlert</v>
      </c>
      <c r="X4" s="20" t="str">
        <f ca="1">IFERROR(__xludf.DUMMYFUNCTION("""COMPUTED_VALUE"""),"AddSymbolOnRAList")</f>
        <v>AddSymbolOnRAList</v>
      </c>
      <c r="Y4" s="20" t="str">
        <f ca="1">IFERROR(__xludf.DUMMYFUNCTION("""COMPUTED_VALUE"""),"DeleteSymbolListFromRA")</f>
        <v>DeleteSymbolListFromRA</v>
      </c>
      <c r="Z4" s="20" t="str">
        <f ca="1">IFERROR(__xludf.DUMMYFUNCTION("""COMPUTED_VALUE"""),"ToggleBlombergOnRA")</f>
        <v>ToggleBlombergOnRA</v>
      </c>
      <c r="AA4" s="20" t="str">
        <f ca="1">IFERROR(__xludf.DUMMYFUNCTION("""COMPUTED_VALUE"""),"ToggleBlombergOnRA")</f>
        <v>ToggleBlombergOnRA</v>
      </c>
      <c r="AB4" s="20" t="str">
        <f ca="1">IFERROR(__xludf.DUMMYFUNCTION("""COMPUTED_VALUE"""),"RemoveSymbolFromRAList")</f>
        <v>RemoveSymbolFromRAList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IFERROR(__xludf.DUMMYFUNCTION("""COMPUTED_VALUE"""),"EditOrder")</f>
        <v>EditOrder</v>
      </c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5" t="s">
        <v>24</v>
      </c>
      <c r="C6" s="35" t="s">
        <v>25</v>
      </c>
      <c r="D6" s="33">
        <v>100</v>
      </c>
      <c r="E6" s="28">
        <v>100</v>
      </c>
      <c r="F6" s="26" t="s">
        <v>19</v>
      </c>
      <c r="G6" s="26" t="s">
        <v>26</v>
      </c>
      <c r="H6" s="26"/>
      <c r="I6" s="26"/>
      <c r="J6" s="28">
        <v>210</v>
      </c>
      <c r="K6" s="26"/>
      <c r="L6" s="26"/>
      <c r="M6" s="26"/>
      <c r="N6" s="26"/>
      <c r="O6" s="26"/>
      <c r="P6" s="26"/>
      <c r="Q6" s="26"/>
      <c r="R6" s="26"/>
      <c r="S6" s="26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>
      <c r="A7" s="29"/>
      <c r="B7" s="29" t="s">
        <v>24</v>
      </c>
      <c r="C7" s="35" t="s">
        <v>25</v>
      </c>
      <c r="D7" s="34">
        <v>100000</v>
      </c>
      <c r="E7" s="34">
        <v>100000</v>
      </c>
      <c r="F7" s="29" t="s">
        <v>19</v>
      </c>
      <c r="G7" s="29" t="s">
        <v>26</v>
      </c>
      <c r="H7" s="29"/>
      <c r="I7" s="29"/>
      <c r="J7" s="34">
        <v>210</v>
      </c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</row>
    <row r="8" spans="1:154" ht="15.75" customHeight="1">
      <c r="A8" s="29"/>
      <c r="B8" s="29" t="s">
        <v>24</v>
      </c>
      <c r="C8" s="35" t="s">
        <v>25</v>
      </c>
      <c r="D8" s="34">
        <v>50</v>
      </c>
      <c r="E8" s="34">
        <v>50</v>
      </c>
      <c r="F8" s="29" t="s">
        <v>21</v>
      </c>
      <c r="G8" s="29" t="s">
        <v>26</v>
      </c>
      <c r="H8" s="29"/>
      <c r="I8" s="29"/>
      <c r="J8" s="34">
        <v>310</v>
      </c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  <c r="EX8" s="29"/>
    </row>
    <row r="9" spans="1:154" ht="15.75" customHeight="1">
      <c r="A9" s="29"/>
      <c r="B9" s="29" t="s">
        <v>24</v>
      </c>
      <c r="C9" s="35" t="s">
        <v>25</v>
      </c>
      <c r="D9" s="34">
        <v>500000</v>
      </c>
      <c r="E9" s="34">
        <v>500000</v>
      </c>
      <c r="F9" s="29" t="s">
        <v>21</v>
      </c>
      <c r="G9" s="29" t="s">
        <v>26</v>
      </c>
      <c r="H9" s="29"/>
      <c r="I9" s="29"/>
      <c r="J9" s="34">
        <v>310</v>
      </c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29"/>
      <c r="EG9" s="29"/>
      <c r="EH9" s="29"/>
      <c r="EI9" s="29"/>
      <c r="EJ9" s="29"/>
      <c r="EK9" s="29"/>
      <c r="EL9" s="29"/>
      <c r="EM9" s="29"/>
      <c r="EN9" s="29"/>
      <c r="EO9" s="29"/>
      <c r="EP9" s="29"/>
      <c r="EQ9" s="29"/>
      <c r="ER9" s="29"/>
      <c r="ES9" s="29"/>
      <c r="ET9" s="29"/>
      <c r="EU9" s="29"/>
      <c r="EV9" s="29"/>
      <c r="EW9" s="29"/>
      <c r="EX9" s="29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4" t="s">
        <v>11</v>
      </c>
      <c r="C1" s="55"/>
      <c r="D1" s="55"/>
      <c r="E1" s="55"/>
      <c r="F1" s="55"/>
      <c r="G1" s="55"/>
      <c r="H1" s="5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27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6"/>
      <c r="B6" s="35" t="s">
        <v>25</v>
      </c>
      <c r="C6" s="26" t="s">
        <v>24</v>
      </c>
      <c r="D6" s="25"/>
      <c r="E6" s="26"/>
      <c r="F6" s="26"/>
      <c r="G6" s="28">
        <v>100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4" t="s">
        <v>11</v>
      </c>
      <c r="C1" s="55"/>
      <c r="D1" s="55"/>
      <c r="E1" s="55"/>
      <c r="F1" s="55"/>
      <c r="G1" s="55"/>
      <c r="H1" s="5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27</v>
      </c>
      <c r="D3" s="2" t="s">
        <v>9</v>
      </c>
      <c r="E3" s="17" t="s">
        <v>29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6"/>
      <c r="B6" s="35" t="s">
        <v>25</v>
      </c>
      <c r="C6" s="26" t="s">
        <v>24</v>
      </c>
      <c r="D6" s="25"/>
      <c r="E6" s="26"/>
      <c r="F6" s="26"/>
      <c r="G6" s="28">
        <v>100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4" t="s">
        <v>11</v>
      </c>
      <c r="C1" s="55"/>
      <c r="D1" s="55"/>
      <c r="E1" s="55"/>
      <c r="F1" s="55"/>
      <c r="G1" s="55"/>
      <c r="H1" s="5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27</v>
      </c>
      <c r="D3" s="2" t="s">
        <v>9</v>
      </c>
      <c r="E3" s="17" t="s">
        <v>30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IFERROR(__xludf.DUMMYFUNCTION("""COMPUTED_VALUE"""),"Price")</f>
        <v>Price</v>
      </c>
      <c r="C5" s="22" t="str">
        <f ca="1">IFERROR(__xludf.DUMMYFUNCTION("""COMPUTED_VALUE"""),"Shares")</f>
        <v>Shares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6"/>
      <c r="B6" s="33">
        <v>210</v>
      </c>
      <c r="C6" s="28">
        <v>100</v>
      </c>
      <c r="D6" s="25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4" t="s">
        <v>11</v>
      </c>
      <c r="C1" s="55"/>
      <c r="D1" s="55"/>
      <c r="E1" s="55"/>
      <c r="F1" s="55"/>
      <c r="G1" s="55"/>
      <c r="H1" s="5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27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6"/>
      <c r="B6" s="35" t="s">
        <v>25</v>
      </c>
      <c r="C6" s="26" t="s">
        <v>24</v>
      </c>
      <c r="D6" s="25"/>
      <c r="E6" s="26"/>
      <c r="F6" s="26"/>
      <c r="G6" s="28">
        <v>100000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4" t="s">
        <v>11</v>
      </c>
      <c r="C1" s="55"/>
      <c r="D1" s="55"/>
      <c r="E1" s="55"/>
      <c r="F1" s="55"/>
      <c r="G1" s="55"/>
      <c r="H1" s="5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27</v>
      </c>
      <c r="D3" s="2" t="s">
        <v>9</v>
      </c>
      <c r="E3" s="17" t="s">
        <v>29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6"/>
      <c r="B6" s="35" t="s">
        <v>25</v>
      </c>
      <c r="C6" s="26" t="s">
        <v>24</v>
      </c>
      <c r="D6" s="25"/>
      <c r="E6" s="26"/>
      <c r="F6" s="26"/>
      <c r="G6" s="28">
        <v>100000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4" t="s">
        <v>11</v>
      </c>
      <c r="C1" s="55"/>
      <c r="D1" s="55"/>
      <c r="E1" s="55"/>
      <c r="F1" s="55"/>
      <c r="G1" s="55"/>
      <c r="H1" s="5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27</v>
      </c>
      <c r="D3" s="2" t="s">
        <v>9</v>
      </c>
      <c r="E3" s="17" t="s">
        <v>30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IFERROR(__xludf.DUMMYFUNCTION("""COMPUTED_VALUE"""),"Price")</f>
        <v>Price</v>
      </c>
      <c r="C5" s="22" t="str">
        <f ca="1">IFERROR(__xludf.DUMMYFUNCTION("""COMPUTED_VALUE"""),"Shares")</f>
        <v>Shares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6"/>
      <c r="B6" s="33">
        <v>210</v>
      </c>
      <c r="C6" s="28">
        <v>100000</v>
      </c>
      <c r="D6" s="25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4" t="s">
        <v>11</v>
      </c>
      <c r="C1" s="55"/>
      <c r="D1" s="55"/>
      <c r="E1" s="55"/>
      <c r="F1" s="55"/>
      <c r="G1" s="55"/>
      <c r="H1" s="5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27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6"/>
      <c r="B6" s="35" t="s">
        <v>25</v>
      </c>
      <c r="C6" s="26" t="s">
        <v>24</v>
      </c>
      <c r="D6" s="25"/>
      <c r="E6" s="26"/>
      <c r="F6" s="26"/>
      <c r="G6" s="28">
        <v>50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4" t="s">
        <v>11</v>
      </c>
      <c r="C1" s="55"/>
      <c r="D1" s="55"/>
      <c r="E1" s="55"/>
      <c r="F1" s="55"/>
      <c r="G1" s="55"/>
      <c r="H1" s="5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27</v>
      </c>
      <c r="D3" s="2" t="s">
        <v>9</v>
      </c>
      <c r="E3" s="17" t="s">
        <v>29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6"/>
      <c r="B6" s="35" t="s">
        <v>25</v>
      </c>
      <c r="C6" s="26" t="s">
        <v>24</v>
      </c>
      <c r="D6" s="25"/>
      <c r="E6" s="26"/>
      <c r="F6" s="26"/>
      <c r="G6" s="28">
        <v>50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4" t="s">
        <v>11</v>
      </c>
      <c r="C1" s="55"/>
      <c r="D1" s="55"/>
      <c r="E1" s="55"/>
      <c r="F1" s="55"/>
      <c r="G1" s="55"/>
      <c r="H1" s="5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27</v>
      </c>
      <c r="D3" s="2" t="s">
        <v>9</v>
      </c>
      <c r="E3" s="17" t="s">
        <v>30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IFERROR(__xludf.DUMMYFUNCTION("""COMPUTED_VALUE"""),"Price")</f>
        <v>Price</v>
      </c>
      <c r="C5" s="22" t="str">
        <f ca="1">IFERROR(__xludf.DUMMYFUNCTION("""COMPUTED_VALUE"""),"Shares")</f>
        <v>Shares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6"/>
      <c r="B6" s="33">
        <v>310</v>
      </c>
      <c r="C6" s="28">
        <v>50</v>
      </c>
      <c r="D6" s="25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4" t="s">
        <v>11</v>
      </c>
      <c r="C1" s="55"/>
      <c r="D1" s="55"/>
      <c r="E1" s="55"/>
      <c r="F1" s="55"/>
      <c r="G1" s="55"/>
      <c r="H1" s="5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27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6"/>
      <c r="B6" s="35" t="s">
        <v>25</v>
      </c>
      <c r="C6" s="26" t="s">
        <v>24</v>
      </c>
      <c r="D6" s="25"/>
      <c r="E6" s="26"/>
      <c r="F6" s="26"/>
      <c r="G6" s="28">
        <v>500000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4" t="s">
        <v>11</v>
      </c>
      <c r="C1" s="55"/>
      <c r="D1" s="55"/>
      <c r="E1" s="55"/>
      <c r="F1" s="55"/>
      <c r="G1" s="55"/>
      <c r="H1" s="5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27</v>
      </c>
      <c r="D3" s="2" t="s">
        <v>9</v>
      </c>
      <c r="E3" s="17" t="s">
        <v>29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6"/>
      <c r="B6" s="35" t="s">
        <v>25</v>
      </c>
      <c r="C6" s="26" t="s">
        <v>24</v>
      </c>
      <c r="D6" s="25"/>
      <c r="E6" s="26"/>
      <c r="F6" s="26"/>
      <c r="G6" s="28">
        <v>500000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4" t="s">
        <v>11</v>
      </c>
      <c r="C1" s="55"/>
      <c r="D1" s="55"/>
      <c r="E1" s="55"/>
      <c r="F1" s="55"/>
      <c r="G1" s="55"/>
      <c r="H1" s="5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27</v>
      </c>
      <c r="D3" s="2" t="s">
        <v>9</v>
      </c>
      <c r="E3" s="17" t="s">
        <v>30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IFERROR(__xludf.DUMMYFUNCTION("""COMPUTED_VALUE"""),"Price")</f>
        <v>Price</v>
      </c>
      <c r="C5" s="22" t="str">
        <f ca="1">IFERROR(__xludf.DUMMYFUNCTION("""COMPUTED_VALUE"""),"Shares")</f>
        <v>Shares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6"/>
      <c r="B6" s="33">
        <v>310</v>
      </c>
      <c r="C6" s="28">
        <v>500000</v>
      </c>
      <c r="D6" s="25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4" t="s">
        <v>11</v>
      </c>
      <c r="C1" s="55"/>
      <c r="D1" s="55"/>
      <c r="E1" s="55"/>
      <c r="F1" s="55"/>
      <c r="G1" s="55"/>
      <c r="H1" s="5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31</v>
      </c>
      <c r="D3" s="2" t="s">
        <v>9</v>
      </c>
      <c r="E3" s="17" t="s">
        <v>32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IFERROR(__xludf.DUMMYFUNCTION("""COMPUTED_VALUE"""),"Actual User")</f>
        <v>Actual User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6"/>
      <c r="B6" s="25"/>
      <c r="C6" s="26"/>
      <c r="D6" s="33">
        <v>310</v>
      </c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9"/>
      <c r="U6" s="29"/>
      <c r="V6" s="29"/>
      <c r="W6" s="29"/>
      <c r="X6" s="29"/>
      <c r="Y6" s="29"/>
      <c r="Z6" s="29"/>
      <c r="AA6" s="37" t="s">
        <v>33</v>
      </c>
      <c r="AB6" s="29"/>
      <c r="AC6" s="29"/>
      <c r="AD6" s="38">
        <v>1</v>
      </c>
      <c r="AE6" s="29"/>
      <c r="AF6" s="29"/>
      <c r="AG6" s="29"/>
      <c r="AH6" s="29" t="s">
        <v>34</v>
      </c>
      <c r="AI6" s="29" t="s">
        <v>24</v>
      </c>
      <c r="AJ6" s="37" t="s">
        <v>25</v>
      </c>
      <c r="AK6" s="29" t="s">
        <v>35</v>
      </c>
      <c r="AL6" s="38">
        <v>50</v>
      </c>
      <c r="AM6" s="38">
        <v>50</v>
      </c>
      <c r="AN6" s="38">
        <v>100</v>
      </c>
      <c r="AO6" s="38">
        <v>50</v>
      </c>
      <c r="AP6" s="29"/>
      <c r="AQ6" s="34">
        <v>310</v>
      </c>
      <c r="AR6" s="34">
        <v>310</v>
      </c>
      <c r="AS6" s="29" t="s">
        <v>26</v>
      </c>
      <c r="AT6" s="29" t="s">
        <v>21</v>
      </c>
      <c r="AU6" s="29" t="s">
        <v>36</v>
      </c>
      <c r="AV6" s="39">
        <v>-15500</v>
      </c>
      <c r="AW6" s="39">
        <v>-15500</v>
      </c>
      <c r="AX6" s="29"/>
      <c r="AY6" s="37">
        <v>50</v>
      </c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>
      <c r="A7" s="29"/>
      <c r="B7" s="29"/>
      <c r="C7" s="29"/>
      <c r="D7" s="34">
        <v>210</v>
      </c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37" t="s">
        <v>37</v>
      </c>
      <c r="AB7" s="29"/>
      <c r="AC7" s="29"/>
      <c r="AD7" s="38">
        <v>1</v>
      </c>
      <c r="AE7" s="29"/>
      <c r="AF7" s="29"/>
      <c r="AG7" s="29"/>
      <c r="AH7" s="29" t="s">
        <v>34</v>
      </c>
      <c r="AI7" s="29" t="s">
        <v>24</v>
      </c>
      <c r="AJ7" s="37" t="s">
        <v>25</v>
      </c>
      <c r="AK7" s="29" t="s">
        <v>35</v>
      </c>
      <c r="AL7" s="38">
        <v>100</v>
      </c>
      <c r="AM7" s="38">
        <v>100</v>
      </c>
      <c r="AN7" s="38">
        <v>100</v>
      </c>
      <c r="AO7" s="38">
        <v>100</v>
      </c>
      <c r="AP7" s="29"/>
      <c r="AQ7" s="34">
        <v>210</v>
      </c>
      <c r="AR7" s="34">
        <v>210</v>
      </c>
      <c r="AS7" s="29" t="s">
        <v>26</v>
      </c>
      <c r="AT7" s="29" t="s">
        <v>19</v>
      </c>
      <c r="AU7" s="29" t="s">
        <v>36</v>
      </c>
      <c r="AV7" s="40">
        <v>-21000</v>
      </c>
      <c r="AW7" s="40">
        <v>-21000</v>
      </c>
      <c r="AX7" s="29"/>
      <c r="AY7" s="37">
        <v>100</v>
      </c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</row>
    <row r="8" spans="1:154" ht="15.75" customHeight="1">
      <c r="A8" s="29"/>
      <c r="B8" s="29"/>
      <c r="C8" s="29"/>
      <c r="D8" s="34">
        <v>210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37" t="s">
        <v>37</v>
      </c>
      <c r="AB8" s="29"/>
      <c r="AC8" s="29"/>
      <c r="AD8" s="38">
        <v>1</v>
      </c>
      <c r="AE8" s="29"/>
      <c r="AF8" s="29"/>
      <c r="AG8" s="29"/>
      <c r="AH8" s="29" t="s">
        <v>34</v>
      </c>
      <c r="AI8" s="29" t="s">
        <v>24</v>
      </c>
      <c r="AJ8" s="37" t="s">
        <v>25</v>
      </c>
      <c r="AK8" s="29" t="s">
        <v>35</v>
      </c>
      <c r="AL8" s="38">
        <v>100000</v>
      </c>
      <c r="AM8" s="38">
        <v>100000</v>
      </c>
      <c r="AN8" s="38">
        <v>100</v>
      </c>
      <c r="AO8" s="38">
        <v>100000</v>
      </c>
      <c r="AP8" s="29"/>
      <c r="AQ8" s="34">
        <v>210</v>
      </c>
      <c r="AR8" s="34">
        <v>210</v>
      </c>
      <c r="AS8" s="29" t="s">
        <v>26</v>
      </c>
      <c r="AT8" s="29" t="s">
        <v>19</v>
      </c>
      <c r="AU8" s="29" t="s">
        <v>36</v>
      </c>
      <c r="AV8" s="39">
        <v>-21000000</v>
      </c>
      <c r="AW8" s="39">
        <v>-21000000</v>
      </c>
      <c r="AX8" s="29"/>
      <c r="AY8" s="41">
        <v>100000</v>
      </c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  <c r="EX8" s="29"/>
    </row>
    <row r="9" spans="1:154" ht="15.75" customHeight="1">
      <c r="A9" s="29"/>
      <c r="B9" s="29"/>
      <c r="C9" s="29"/>
      <c r="D9" s="34">
        <v>310</v>
      </c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37" t="s">
        <v>33</v>
      </c>
      <c r="AB9" s="29"/>
      <c r="AC9" s="29"/>
      <c r="AD9" s="38">
        <v>1</v>
      </c>
      <c r="AE9" s="29"/>
      <c r="AF9" s="29"/>
      <c r="AG9" s="29"/>
      <c r="AH9" s="29" t="s">
        <v>34</v>
      </c>
      <c r="AI9" s="29" t="s">
        <v>24</v>
      </c>
      <c r="AJ9" s="37" t="s">
        <v>25</v>
      </c>
      <c r="AK9" s="29" t="s">
        <v>35</v>
      </c>
      <c r="AL9" s="38">
        <v>500000</v>
      </c>
      <c r="AM9" s="38">
        <v>500000</v>
      </c>
      <c r="AN9" s="38">
        <v>100</v>
      </c>
      <c r="AO9" s="38">
        <v>500000</v>
      </c>
      <c r="AP9" s="29"/>
      <c r="AQ9" s="34">
        <v>310</v>
      </c>
      <c r="AR9" s="34">
        <v>310</v>
      </c>
      <c r="AS9" s="29" t="s">
        <v>26</v>
      </c>
      <c r="AT9" s="29" t="s">
        <v>21</v>
      </c>
      <c r="AU9" s="29" t="s">
        <v>36</v>
      </c>
      <c r="AV9" s="39">
        <v>-155000000</v>
      </c>
      <c r="AW9" s="39">
        <v>-155000000</v>
      </c>
      <c r="AX9" s="29"/>
      <c r="AY9" s="41">
        <v>500000</v>
      </c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29"/>
      <c r="EG9" s="29"/>
      <c r="EH9" s="29"/>
      <c r="EI9" s="29"/>
      <c r="EJ9" s="29"/>
      <c r="EK9" s="29"/>
      <c r="EL9" s="29"/>
      <c r="EM9" s="29"/>
      <c r="EN9" s="29"/>
      <c r="EO9" s="29"/>
      <c r="EP9" s="29"/>
      <c r="EQ9" s="29"/>
      <c r="ER9" s="29"/>
      <c r="ES9" s="29"/>
      <c r="ET9" s="29"/>
      <c r="EU9" s="29"/>
      <c r="EV9" s="29"/>
      <c r="EW9" s="29"/>
      <c r="EX9" s="29"/>
    </row>
    <row r="10" spans="1:154" ht="15.75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/>
      <c r="DH10" s="29"/>
      <c r="DI10" s="29"/>
      <c r="DJ10" s="29"/>
      <c r="DK10" s="29"/>
      <c r="DL10" s="29"/>
      <c r="DM10" s="29"/>
      <c r="DN10" s="29"/>
      <c r="DO10" s="29"/>
      <c r="DP10" s="29"/>
      <c r="DQ10" s="29"/>
      <c r="DR10" s="29"/>
      <c r="DS10" s="29"/>
      <c r="DT10" s="29"/>
      <c r="DU10" s="29"/>
      <c r="DV10" s="29"/>
      <c r="DW10" s="29"/>
      <c r="DX10" s="29"/>
      <c r="DY10" s="29"/>
      <c r="DZ10" s="29"/>
      <c r="EA10" s="29"/>
      <c r="EB10" s="29"/>
      <c r="EC10" s="29"/>
      <c r="ED10" s="29"/>
      <c r="EE10" s="29"/>
      <c r="EF10" s="29"/>
      <c r="EG10" s="29"/>
      <c r="EH10" s="29"/>
      <c r="EI10" s="29"/>
      <c r="EJ10" s="29"/>
      <c r="EK10" s="29"/>
      <c r="EL10" s="29"/>
      <c r="EM10" s="29"/>
      <c r="EN10" s="29"/>
      <c r="EO10" s="29"/>
      <c r="EP10" s="29"/>
      <c r="EQ10" s="29"/>
      <c r="ER10" s="29"/>
      <c r="ES10" s="29"/>
      <c r="ET10" s="29"/>
      <c r="EU10" s="29"/>
      <c r="EV10" s="29"/>
      <c r="EW10" s="29"/>
      <c r="EX10" s="29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4" t="s">
        <v>11</v>
      </c>
      <c r="C1" s="55"/>
      <c r="D1" s="55"/>
      <c r="E1" s="55"/>
      <c r="F1" s="55"/>
      <c r="G1" s="55"/>
      <c r="H1" s="5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38</v>
      </c>
      <c r="D3" s="2" t="s">
        <v>9</v>
      </c>
      <c r="E3" s="17" t="s">
        <v>39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40</v>
      </c>
      <c r="C6" s="5"/>
      <c r="D6" s="7"/>
      <c r="E6" s="32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4" t="s">
        <v>11</v>
      </c>
      <c r="C1" s="55"/>
      <c r="D1" s="55"/>
      <c r="E1" s="55"/>
      <c r="F1" s="55"/>
      <c r="G1" s="55"/>
      <c r="H1" s="5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38</v>
      </c>
      <c r="D3" s="2" t="s">
        <v>9</v>
      </c>
      <c r="E3" s="17" t="s">
        <v>41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42" t="s">
        <v>19</v>
      </c>
      <c r="C6" s="5"/>
      <c r="D6" s="43">
        <v>0</v>
      </c>
      <c r="E6" s="44">
        <v>100000</v>
      </c>
      <c r="F6" s="5"/>
      <c r="G6" s="45" t="s">
        <v>34</v>
      </c>
      <c r="H6" s="43">
        <v>4</v>
      </c>
      <c r="I6" s="43">
        <v>5</v>
      </c>
      <c r="J6" s="5"/>
      <c r="K6" s="44">
        <v>210</v>
      </c>
      <c r="L6" s="44">
        <v>210</v>
      </c>
      <c r="M6" s="5"/>
      <c r="N6" s="5"/>
      <c r="O6" s="7" t="s">
        <v>26</v>
      </c>
      <c r="Q6" s="44">
        <v>3</v>
      </c>
      <c r="R6" s="38">
        <v>0</v>
      </c>
      <c r="S6" s="26" t="s">
        <v>42</v>
      </c>
      <c r="T6" s="38">
        <v>0</v>
      </c>
      <c r="U6" s="38">
        <v>0</v>
      </c>
      <c r="V6" s="29"/>
      <c r="AD6" s="46" t="s">
        <v>43</v>
      </c>
      <c r="AE6" s="44">
        <v>100000</v>
      </c>
      <c r="AI6" s="6">
        <v>1</v>
      </c>
      <c r="AT6" s="44">
        <v>20999974.239999998</v>
      </c>
      <c r="AU6" s="44">
        <v>20999974.239999998</v>
      </c>
      <c r="AW6" s="44">
        <v>0</v>
      </c>
      <c r="AX6" s="44">
        <v>0</v>
      </c>
      <c r="AY6" s="29" t="s">
        <v>36</v>
      </c>
      <c r="AZ6" s="44">
        <v>0</v>
      </c>
      <c r="BC6" s="44">
        <v>0</v>
      </c>
      <c r="BE6" s="44">
        <v>21000000</v>
      </c>
      <c r="BF6" s="44">
        <v>21000000</v>
      </c>
      <c r="BJ6" s="44">
        <v>100000</v>
      </c>
      <c r="BK6" s="44">
        <v>0</v>
      </c>
      <c r="BO6" s="46" t="s">
        <v>25</v>
      </c>
      <c r="BP6" s="38">
        <v>0</v>
      </c>
      <c r="BQ6" s="29"/>
      <c r="BR6" s="29"/>
      <c r="BS6" s="29"/>
      <c r="BT6" s="29" t="s">
        <v>24</v>
      </c>
      <c r="BU6" s="38">
        <v>3</v>
      </c>
      <c r="BV6" s="44">
        <v>0</v>
      </c>
      <c r="BW6" s="44">
        <v>25.76</v>
      </c>
      <c r="BX6" s="44">
        <v>0</v>
      </c>
      <c r="CI6" s="46" t="s">
        <v>25</v>
      </c>
    </row>
    <row r="7" spans="1:154" ht="15.75" customHeight="1">
      <c r="A7" s="5"/>
      <c r="B7" s="46" t="s">
        <v>21</v>
      </c>
      <c r="C7" s="5"/>
      <c r="D7" s="44">
        <v>0</v>
      </c>
      <c r="E7" s="44">
        <v>500000</v>
      </c>
      <c r="F7" s="5"/>
      <c r="G7" s="47" t="s">
        <v>34</v>
      </c>
      <c r="H7" s="44">
        <v>4</v>
      </c>
      <c r="I7" s="44">
        <v>5</v>
      </c>
      <c r="J7" s="5"/>
      <c r="K7" s="44">
        <v>310</v>
      </c>
      <c r="L7" s="44">
        <v>310</v>
      </c>
      <c r="M7" s="5"/>
      <c r="N7" s="5"/>
      <c r="O7" s="7" t="s">
        <v>26</v>
      </c>
      <c r="Q7" s="44">
        <v>3</v>
      </c>
      <c r="R7" s="48">
        <v>0</v>
      </c>
      <c r="S7" s="26" t="s">
        <v>42</v>
      </c>
      <c r="T7" s="38">
        <v>0</v>
      </c>
      <c r="U7" s="38">
        <v>0</v>
      </c>
      <c r="V7" s="29"/>
      <c r="AD7" s="46" t="s">
        <v>43</v>
      </c>
      <c r="AE7" s="44">
        <v>500000</v>
      </c>
      <c r="AI7" s="6">
        <v>1</v>
      </c>
      <c r="AT7" s="44">
        <v>154999899.19999999</v>
      </c>
      <c r="AU7" s="44">
        <v>154999899.19999999</v>
      </c>
      <c r="AW7" s="44">
        <v>0</v>
      </c>
      <c r="AX7" s="44">
        <v>0</v>
      </c>
      <c r="AY7" s="29" t="s">
        <v>36</v>
      </c>
      <c r="AZ7" s="44">
        <v>0</v>
      </c>
      <c r="BC7" s="44">
        <v>0</v>
      </c>
      <c r="BE7" s="44">
        <v>155000000</v>
      </c>
      <c r="BF7" s="44">
        <v>155000000</v>
      </c>
      <c r="BJ7" s="44">
        <v>500000</v>
      </c>
      <c r="BK7" s="44">
        <v>0</v>
      </c>
      <c r="BO7" s="46" t="s">
        <v>25</v>
      </c>
      <c r="BP7" s="38">
        <v>0</v>
      </c>
      <c r="BQ7" s="29"/>
      <c r="BR7" s="29"/>
      <c r="BS7" s="29"/>
      <c r="BT7" s="29" t="s">
        <v>24</v>
      </c>
      <c r="BU7" s="38">
        <v>3</v>
      </c>
      <c r="BV7" s="44">
        <v>0</v>
      </c>
      <c r="BW7" s="44">
        <v>100.8</v>
      </c>
      <c r="BX7" s="44">
        <v>0</v>
      </c>
      <c r="CI7" s="46" t="s">
        <v>25</v>
      </c>
    </row>
    <row r="8" spans="1:154" ht="15.75" customHeight="1">
      <c r="A8" s="5"/>
      <c r="B8" s="46" t="s">
        <v>19</v>
      </c>
      <c r="C8" s="5"/>
      <c r="D8" s="44">
        <v>0</v>
      </c>
      <c r="E8" s="44">
        <v>100</v>
      </c>
      <c r="F8" s="5"/>
      <c r="G8" s="47" t="s">
        <v>34</v>
      </c>
      <c r="H8" s="44">
        <v>4</v>
      </c>
      <c r="I8" s="44">
        <v>5</v>
      </c>
      <c r="J8" s="5"/>
      <c r="K8" s="44">
        <v>210</v>
      </c>
      <c r="L8" s="44">
        <v>210</v>
      </c>
      <c r="M8" s="5"/>
      <c r="N8" s="5"/>
      <c r="O8" s="7" t="s">
        <v>26</v>
      </c>
      <c r="Q8" s="44">
        <v>3</v>
      </c>
      <c r="R8" s="48">
        <v>0</v>
      </c>
      <c r="S8" s="26" t="s">
        <v>42</v>
      </c>
      <c r="T8" s="38">
        <v>0</v>
      </c>
      <c r="U8" s="38">
        <v>0</v>
      </c>
      <c r="V8" s="29"/>
      <c r="AD8" s="46" t="s">
        <v>43</v>
      </c>
      <c r="AE8" s="44">
        <v>100</v>
      </c>
      <c r="AI8" s="6">
        <v>1</v>
      </c>
      <c r="AT8" s="44">
        <v>20985.9882</v>
      </c>
      <c r="AU8" s="44">
        <v>20985.9882</v>
      </c>
      <c r="AW8" s="44">
        <v>0</v>
      </c>
      <c r="AX8" s="44">
        <v>0</v>
      </c>
      <c r="AY8" s="29" t="s">
        <v>36</v>
      </c>
      <c r="AZ8" s="44">
        <v>0</v>
      </c>
      <c r="BC8" s="44">
        <v>0</v>
      </c>
      <c r="BE8" s="44">
        <v>21000</v>
      </c>
      <c r="BF8" s="44">
        <v>21000</v>
      </c>
      <c r="BJ8" s="44">
        <v>100</v>
      </c>
      <c r="BK8" s="44">
        <v>0</v>
      </c>
      <c r="BO8" s="46" t="s">
        <v>25</v>
      </c>
      <c r="BP8" s="38">
        <v>0</v>
      </c>
      <c r="BQ8" s="29"/>
      <c r="BR8" s="29"/>
      <c r="BS8" s="29"/>
      <c r="BT8" s="29" t="s">
        <v>24</v>
      </c>
      <c r="BU8" s="38">
        <v>3</v>
      </c>
      <c r="BV8" s="44">
        <v>0</v>
      </c>
      <c r="BW8" s="44">
        <v>14.011799999999999</v>
      </c>
      <c r="BX8" s="44">
        <v>0</v>
      </c>
      <c r="CI8" s="46" t="s">
        <v>25</v>
      </c>
    </row>
    <row r="9" spans="1:154" ht="15.75" customHeight="1">
      <c r="A9" s="5"/>
      <c r="B9" s="46" t="s">
        <v>21</v>
      </c>
      <c r="C9" s="5"/>
      <c r="D9" s="44">
        <v>0</v>
      </c>
      <c r="E9" s="44">
        <v>50</v>
      </c>
      <c r="F9" s="5"/>
      <c r="G9" s="47" t="s">
        <v>34</v>
      </c>
      <c r="H9" s="44">
        <v>4</v>
      </c>
      <c r="I9" s="44">
        <v>5</v>
      </c>
      <c r="J9" s="5"/>
      <c r="K9" s="44">
        <v>310</v>
      </c>
      <c r="L9" s="44">
        <v>310</v>
      </c>
      <c r="M9" s="5"/>
      <c r="N9" s="5"/>
      <c r="O9" s="7" t="s">
        <v>26</v>
      </c>
      <c r="Q9" s="44">
        <v>3</v>
      </c>
      <c r="R9" s="38">
        <v>0</v>
      </c>
      <c r="S9" s="29" t="s">
        <v>42</v>
      </c>
      <c r="T9" s="38">
        <v>0</v>
      </c>
      <c r="U9" s="38">
        <v>0</v>
      </c>
      <c r="V9" s="29"/>
      <c r="AD9" s="46" t="s">
        <v>43</v>
      </c>
      <c r="AE9" s="44">
        <v>50</v>
      </c>
      <c r="AI9" s="6">
        <v>1</v>
      </c>
      <c r="AT9" s="44">
        <v>15485.9913</v>
      </c>
      <c r="AU9" s="44">
        <v>15485.9913</v>
      </c>
      <c r="AW9" s="44">
        <v>0</v>
      </c>
      <c r="AX9" s="44">
        <v>0</v>
      </c>
      <c r="AY9" s="29" t="s">
        <v>36</v>
      </c>
      <c r="AZ9" s="44">
        <v>0</v>
      </c>
      <c r="BC9" s="44">
        <v>0</v>
      </c>
      <c r="BE9" s="44">
        <v>15500</v>
      </c>
      <c r="BF9" s="44">
        <v>15500</v>
      </c>
      <c r="BJ9" s="44">
        <v>50</v>
      </c>
      <c r="BK9" s="44">
        <v>0</v>
      </c>
      <c r="BO9" s="46" t="s">
        <v>25</v>
      </c>
      <c r="BP9" s="38">
        <v>0</v>
      </c>
      <c r="BQ9" s="29"/>
      <c r="BR9" s="29"/>
      <c r="BS9" s="29"/>
      <c r="BT9" s="29" t="s">
        <v>24</v>
      </c>
      <c r="BU9" s="38">
        <v>3</v>
      </c>
      <c r="BV9" s="44">
        <v>0</v>
      </c>
      <c r="BW9" s="44">
        <v>14.008699999999999</v>
      </c>
      <c r="BX9" s="44">
        <v>0</v>
      </c>
      <c r="CI9" s="46" t="s">
        <v>25</v>
      </c>
    </row>
    <row r="10" spans="1:154" ht="15.75" customHeight="1">
      <c r="A10" s="5"/>
      <c r="B10" s="46"/>
      <c r="C10" s="5"/>
      <c r="D10" s="5"/>
      <c r="E10" s="46"/>
      <c r="F10" s="5"/>
      <c r="G10" s="29"/>
      <c r="H10" s="29"/>
      <c r="I10" s="29"/>
      <c r="J10" s="5"/>
      <c r="K10" s="46"/>
      <c r="L10" s="46"/>
      <c r="M10" s="5"/>
      <c r="N10" s="5"/>
      <c r="O10" s="5"/>
      <c r="R10" s="29"/>
      <c r="S10" s="29"/>
      <c r="T10" s="29"/>
      <c r="U10" s="29"/>
      <c r="V10" s="29"/>
      <c r="AT10" s="46"/>
      <c r="AU10" s="46"/>
      <c r="BC10" s="46"/>
      <c r="BE10" s="46"/>
      <c r="BF10" s="46"/>
      <c r="BJ10" s="46"/>
      <c r="BK10" s="46"/>
      <c r="BO10" s="46"/>
      <c r="BV10" s="46"/>
      <c r="BX10" s="46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29"/>
      <c r="L11" s="29"/>
      <c r="M11" s="5"/>
      <c r="N11" s="5"/>
      <c r="O11" s="5"/>
      <c r="BC11" s="46"/>
      <c r="BE11" s="46"/>
      <c r="BF11" s="46"/>
      <c r="BJ11" s="46"/>
      <c r="BK11" s="46"/>
      <c r="BV11" s="46"/>
      <c r="BX11" s="46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BC12" s="46"/>
      <c r="BJ12" s="46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BC13" s="46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BC14" s="46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D1" workbookViewId="0">
      <selection activeCell="BK13" sqref="BK13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29" customWidth="1"/>
    <col min="64" max="168" width="14.42578125" customWidth="1"/>
  </cols>
  <sheetData>
    <row r="1" spans="1:168" ht="15.75" customHeight="1">
      <c r="A1" s="13"/>
      <c r="B1" s="54" t="s">
        <v>11</v>
      </c>
      <c r="C1" s="55"/>
      <c r="D1" s="55"/>
      <c r="E1" s="55"/>
      <c r="F1" s="55"/>
      <c r="G1" s="55"/>
      <c r="H1" s="5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8" ht="15.75" customHeight="1">
      <c r="A3" s="16"/>
      <c r="B3" s="2" t="s">
        <v>8</v>
      </c>
      <c r="C3" s="17" t="s">
        <v>44</v>
      </c>
      <c r="D3" s="2" t="s">
        <v>9</v>
      </c>
      <c r="E3" s="17" t="s">
        <v>45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>
      <c r="A6" s="7"/>
      <c r="B6" s="7"/>
      <c r="C6" s="45" t="s">
        <v>24</v>
      </c>
      <c r="D6" s="49">
        <v>-100</v>
      </c>
      <c r="E6" s="45" t="s">
        <v>19</v>
      </c>
      <c r="F6" s="35" t="s">
        <v>37</v>
      </c>
      <c r="G6" s="28">
        <v>210</v>
      </c>
      <c r="H6" s="50" t="s">
        <v>46</v>
      </c>
      <c r="I6" s="28">
        <v>0</v>
      </c>
      <c r="J6" s="35">
        <v>0</v>
      </c>
      <c r="K6" s="28">
        <v>0</v>
      </c>
      <c r="L6" s="35">
        <v>0</v>
      </c>
      <c r="M6" s="5"/>
      <c r="N6" s="51">
        <v>21000</v>
      </c>
      <c r="O6" s="26"/>
      <c r="P6" s="26"/>
      <c r="Q6" s="51">
        <v>21000</v>
      </c>
      <c r="R6" s="26"/>
      <c r="S6" s="26"/>
      <c r="T6" s="29" t="s">
        <v>34</v>
      </c>
      <c r="U6" s="29" t="s">
        <v>47</v>
      </c>
      <c r="V6" s="29" t="s">
        <v>43</v>
      </c>
      <c r="W6" s="29" t="s">
        <v>20</v>
      </c>
      <c r="X6" s="29"/>
      <c r="Y6" s="38">
        <v>1</v>
      </c>
      <c r="Z6" s="29"/>
      <c r="AA6" s="29"/>
      <c r="AB6" s="38">
        <v>0</v>
      </c>
      <c r="AC6" s="38">
        <v>0</v>
      </c>
      <c r="AD6" s="38">
        <v>0</v>
      </c>
      <c r="AE6" s="38">
        <v>0</v>
      </c>
      <c r="AF6" s="40">
        <v>-100</v>
      </c>
      <c r="AG6" s="38">
        <v>0</v>
      </c>
      <c r="AH6" s="38">
        <v>0</v>
      </c>
      <c r="AI6" s="38">
        <v>0</v>
      </c>
      <c r="AJ6" s="38">
        <v>0</v>
      </c>
      <c r="AK6" s="52">
        <v>21000</v>
      </c>
      <c r="AL6" s="6">
        <v>1</v>
      </c>
      <c r="AM6" s="6">
        <v>1</v>
      </c>
      <c r="AN6" s="6" t="s">
        <v>25</v>
      </c>
      <c r="AP6" s="6" t="s">
        <v>48</v>
      </c>
      <c r="AQ6" s="6" t="s">
        <v>24</v>
      </c>
      <c r="AR6" s="6">
        <v>0</v>
      </c>
      <c r="AW6" s="52">
        <v>21000</v>
      </c>
      <c r="AX6" s="38">
        <v>0</v>
      </c>
      <c r="AY6" s="38">
        <v>0</v>
      </c>
      <c r="AZ6" s="38">
        <v>0</v>
      </c>
      <c r="BA6" s="29"/>
      <c r="BB6" s="29"/>
      <c r="BC6" s="38">
        <v>1</v>
      </c>
      <c r="BD6" s="52">
        <v>21000</v>
      </c>
      <c r="BE6" s="6" t="s">
        <v>34</v>
      </c>
      <c r="BJ6" s="38">
        <v>0</v>
      </c>
      <c r="BK6" s="38">
        <v>0</v>
      </c>
      <c r="BL6" s="38">
        <v>0</v>
      </c>
      <c r="BM6" s="38">
        <v>0</v>
      </c>
      <c r="BN6" s="29"/>
      <c r="BO6" s="52">
        <v>21000</v>
      </c>
      <c r="BP6" s="37">
        <v>0</v>
      </c>
      <c r="BQ6" s="29"/>
      <c r="BR6" s="29" t="s">
        <v>26</v>
      </c>
      <c r="BS6" s="6">
        <v>0</v>
      </c>
      <c r="BT6" s="6">
        <v>0</v>
      </c>
      <c r="BU6" s="6" t="s">
        <v>34</v>
      </c>
      <c r="BW6" s="38">
        <v>0</v>
      </c>
      <c r="BX6" s="37">
        <v>0</v>
      </c>
      <c r="BY6" s="38">
        <v>0</v>
      </c>
      <c r="BZ6" s="38">
        <v>0</v>
      </c>
      <c r="CA6" s="38">
        <v>0</v>
      </c>
      <c r="CC6" s="6">
        <v>0</v>
      </c>
      <c r="CD6" s="52">
        <v>21000</v>
      </c>
      <c r="CE6" s="38">
        <v>0</v>
      </c>
      <c r="CF6" s="38">
        <v>0</v>
      </c>
      <c r="CG6" s="52">
        <v>21000</v>
      </c>
      <c r="CH6" s="6">
        <v>100</v>
      </c>
      <c r="CI6" s="6">
        <v>0</v>
      </c>
      <c r="CJ6" s="6">
        <v>0</v>
      </c>
      <c r="DA6" s="6">
        <v>0</v>
      </c>
      <c r="DB6" s="6">
        <v>0</v>
      </c>
      <c r="DE6" s="6">
        <v>0</v>
      </c>
      <c r="DF6" s="6">
        <v>0</v>
      </c>
      <c r="DG6" s="6">
        <v>0</v>
      </c>
      <c r="DI6" s="6">
        <v>0</v>
      </c>
      <c r="DJ6" s="6" t="s">
        <v>25</v>
      </c>
      <c r="DK6" s="6">
        <v>0</v>
      </c>
      <c r="DL6" s="6">
        <v>0</v>
      </c>
      <c r="DM6" s="6">
        <v>1</v>
      </c>
      <c r="DN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M6" s="6">
        <v>0</v>
      </c>
      <c r="EN6" s="6">
        <v>0</v>
      </c>
      <c r="EQ6" s="6">
        <v>0</v>
      </c>
      <c r="ER6" s="6">
        <v>0</v>
      </c>
      <c r="EU6" s="6">
        <v>0</v>
      </c>
    </row>
    <row r="7" spans="1:168" ht="15.75" customHeight="1">
      <c r="A7" s="5"/>
      <c r="B7" s="5"/>
      <c r="C7" s="47" t="s">
        <v>24</v>
      </c>
      <c r="D7" s="52">
        <v>-100000</v>
      </c>
      <c r="E7" s="47" t="s">
        <v>19</v>
      </c>
      <c r="F7" s="37" t="s">
        <v>37</v>
      </c>
      <c r="G7" s="34">
        <v>210</v>
      </c>
      <c r="H7" s="50" t="s">
        <v>46</v>
      </c>
      <c r="I7" s="34">
        <v>0</v>
      </c>
      <c r="J7" s="37">
        <v>0</v>
      </c>
      <c r="K7" s="34">
        <v>0</v>
      </c>
      <c r="L7" s="37">
        <v>0</v>
      </c>
      <c r="M7" s="5"/>
      <c r="N7" s="52">
        <v>21000000</v>
      </c>
      <c r="O7" s="29"/>
      <c r="P7" s="29"/>
      <c r="Q7" s="52">
        <v>21000000</v>
      </c>
      <c r="R7" s="29"/>
      <c r="S7" s="29"/>
      <c r="T7" s="29" t="s">
        <v>34</v>
      </c>
      <c r="U7" s="29" t="s">
        <v>47</v>
      </c>
      <c r="V7" s="29" t="s">
        <v>43</v>
      </c>
      <c r="W7" s="29" t="s">
        <v>20</v>
      </c>
      <c r="X7" s="29"/>
      <c r="Y7" s="38">
        <v>1</v>
      </c>
      <c r="Z7" s="29"/>
      <c r="AA7" s="29"/>
      <c r="AB7" s="38">
        <v>0</v>
      </c>
      <c r="AC7" s="38">
        <v>0</v>
      </c>
      <c r="AD7" s="38">
        <v>0</v>
      </c>
      <c r="AE7" s="38">
        <v>0</v>
      </c>
      <c r="AF7" s="39">
        <v>-100000</v>
      </c>
      <c r="AG7" s="38">
        <v>0</v>
      </c>
      <c r="AH7" s="38">
        <v>0</v>
      </c>
      <c r="AI7" s="38">
        <v>0</v>
      </c>
      <c r="AJ7" s="38">
        <v>0</v>
      </c>
      <c r="AK7" s="52">
        <v>21000000</v>
      </c>
      <c r="AL7" s="6">
        <v>1</v>
      </c>
      <c r="AM7" s="6">
        <v>1</v>
      </c>
      <c r="AN7" s="6" t="s">
        <v>25</v>
      </c>
      <c r="AP7" s="6" t="s">
        <v>48</v>
      </c>
      <c r="AQ7" s="6" t="s">
        <v>24</v>
      </c>
      <c r="AR7" s="6">
        <v>0</v>
      </c>
      <c r="AW7" s="52">
        <v>21000000</v>
      </c>
      <c r="AX7" s="38">
        <v>0</v>
      </c>
      <c r="AY7" s="38">
        <v>0</v>
      </c>
      <c r="AZ7" s="38">
        <v>0</v>
      </c>
      <c r="BA7" s="29"/>
      <c r="BB7" s="29"/>
      <c r="BC7" s="38">
        <v>1</v>
      </c>
      <c r="BD7" s="52">
        <v>21000000</v>
      </c>
      <c r="BE7" s="6" t="s">
        <v>34</v>
      </c>
      <c r="BJ7" s="38">
        <v>0</v>
      </c>
      <c r="BK7" s="38">
        <v>0</v>
      </c>
      <c r="BL7" s="38">
        <v>0</v>
      </c>
      <c r="BM7" s="38">
        <v>0</v>
      </c>
      <c r="BN7" s="29"/>
      <c r="BO7" s="52">
        <v>21000000</v>
      </c>
      <c r="BP7" s="37">
        <v>0</v>
      </c>
      <c r="BQ7" s="29"/>
      <c r="BR7" s="29" t="s">
        <v>26</v>
      </c>
      <c r="BS7" s="6">
        <v>0</v>
      </c>
      <c r="BT7" s="6">
        <v>0</v>
      </c>
      <c r="BU7" s="6" t="s">
        <v>34</v>
      </c>
      <c r="BW7" s="38">
        <v>0</v>
      </c>
      <c r="BX7" s="37">
        <v>0</v>
      </c>
      <c r="BY7" s="38">
        <v>0</v>
      </c>
      <c r="BZ7" s="38">
        <v>0</v>
      </c>
      <c r="CA7" s="38">
        <v>0</v>
      </c>
      <c r="CC7" s="6">
        <v>0</v>
      </c>
      <c r="CD7" s="52">
        <v>21000000</v>
      </c>
      <c r="CE7" s="38">
        <v>0</v>
      </c>
      <c r="CF7" s="38">
        <v>0</v>
      </c>
      <c r="CG7" s="52">
        <v>21000000</v>
      </c>
      <c r="CH7" s="6">
        <v>100</v>
      </c>
      <c r="CI7" s="6">
        <v>0</v>
      </c>
      <c r="CJ7" s="6">
        <v>0</v>
      </c>
      <c r="DA7" s="6">
        <v>0</v>
      </c>
      <c r="DB7" s="6">
        <v>0</v>
      </c>
      <c r="DE7" s="6">
        <v>0</v>
      </c>
      <c r="DF7" s="6">
        <v>0</v>
      </c>
      <c r="DG7" s="6">
        <v>0</v>
      </c>
      <c r="DI7" s="6">
        <v>0</v>
      </c>
      <c r="DJ7" s="6" t="s">
        <v>25</v>
      </c>
      <c r="DK7" s="6">
        <v>0</v>
      </c>
      <c r="DL7" s="6">
        <v>0</v>
      </c>
      <c r="DM7" s="6">
        <v>1</v>
      </c>
      <c r="DN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M7" s="6">
        <v>0</v>
      </c>
      <c r="EN7" s="6">
        <v>0</v>
      </c>
      <c r="EQ7" s="6">
        <v>0</v>
      </c>
      <c r="ER7" s="6">
        <v>0</v>
      </c>
      <c r="EU7" s="6">
        <v>0</v>
      </c>
    </row>
    <row r="8" spans="1:168" ht="15.75" customHeight="1">
      <c r="A8" s="5"/>
      <c r="B8" s="5"/>
      <c r="C8" s="47" t="s">
        <v>24</v>
      </c>
      <c r="D8" s="53">
        <v>-50</v>
      </c>
      <c r="E8" s="47" t="s">
        <v>21</v>
      </c>
      <c r="F8" s="37" t="s">
        <v>33</v>
      </c>
      <c r="G8" s="34">
        <v>310</v>
      </c>
      <c r="H8" s="50" t="s">
        <v>46</v>
      </c>
      <c r="I8" s="34">
        <v>0</v>
      </c>
      <c r="J8" s="37">
        <v>0</v>
      </c>
      <c r="K8" s="34">
        <v>0</v>
      </c>
      <c r="L8" s="37">
        <v>0</v>
      </c>
      <c r="M8" s="5"/>
      <c r="N8" s="52">
        <v>15500</v>
      </c>
      <c r="O8" s="29"/>
      <c r="P8" s="29"/>
      <c r="Q8" s="52">
        <v>15500</v>
      </c>
      <c r="R8" s="29"/>
      <c r="S8" s="29"/>
      <c r="T8" s="29" t="s">
        <v>34</v>
      </c>
      <c r="U8" s="29" t="s">
        <v>47</v>
      </c>
      <c r="V8" s="29" t="s">
        <v>43</v>
      </c>
      <c r="W8" s="29" t="s">
        <v>20</v>
      </c>
      <c r="X8" s="29"/>
      <c r="Y8" s="38">
        <v>1</v>
      </c>
      <c r="Z8" s="29"/>
      <c r="AA8" s="29"/>
      <c r="AB8" s="38">
        <v>0</v>
      </c>
      <c r="AC8" s="38">
        <v>0</v>
      </c>
      <c r="AD8" s="38">
        <v>0</v>
      </c>
      <c r="AE8" s="38">
        <v>0</v>
      </c>
      <c r="AF8" s="40">
        <v>-50</v>
      </c>
      <c r="AG8" s="38">
        <v>0</v>
      </c>
      <c r="AH8" s="38">
        <v>0</v>
      </c>
      <c r="AI8" s="38">
        <v>0</v>
      </c>
      <c r="AJ8" s="38">
        <v>0</v>
      </c>
      <c r="AK8" s="52">
        <v>15500</v>
      </c>
      <c r="AL8" s="6">
        <v>1</v>
      </c>
      <c r="AM8" s="6">
        <v>1</v>
      </c>
      <c r="AN8" s="6" t="s">
        <v>25</v>
      </c>
      <c r="AP8" s="6" t="s">
        <v>48</v>
      </c>
      <c r="AQ8" s="6" t="s">
        <v>24</v>
      </c>
      <c r="AR8" s="6">
        <v>0</v>
      </c>
      <c r="AW8" s="52">
        <v>15500</v>
      </c>
      <c r="AX8" s="38">
        <v>0</v>
      </c>
      <c r="AY8" s="38">
        <v>0</v>
      </c>
      <c r="AZ8" s="38">
        <v>0</v>
      </c>
      <c r="BA8" s="29"/>
      <c r="BB8" s="29"/>
      <c r="BC8" s="38">
        <v>1</v>
      </c>
      <c r="BD8" s="52">
        <v>15500</v>
      </c>
      <c r="BE8" s="6" t="s">
        <v>34</v>
      </c>
      <c r="BJ8" s="38">
        <v>0</v>
      </c>
      <c r="BK8" s="38">
        <v>0</v>
      </c>
      <c r="BL8" s="38">
        <v>0</v>
      </c>
      <c r="BM8" s="38">
        <v>0</v>
      </c>
      <c r="BN8" s="29"/>
      <c r="BO8" s="52">
        <v>15500</v>
      </c>
      <c r="BP8" s="37">
        <v>0</v>
      </c>
      <c r="BQ8" s="29"/>
      <c r="BR8" s="29" t="s">
        <v>26</v>
      </c>
      <c r="BS8" s="6">
        <v>0</v>
      </c>
      <c r="BT8" s="6">
        <v>0</v>
      </c>
      <c r="BU8" s="6" t="s">
        <v>34</v>
      </c>
      <c r="BW8" s="38">
        <v>0</v>
      </c>
      <c r="BX8" s="37">
        <v>0</v>
      </c>
      <c r="BY8" s="38">
        <v>0</v>
      </c>
      <c r="BZ8" s="38">
        <v>0</v>
      </c>
      <c r="CA8" s="38">
        <v>0</v>
      </c>
      <c r="CC8" s="6">
        <v>0</v>
      </c>
      <c r="CD8" s="52">
        <v>15500</v>
      </c>
      <c r="CE8" s="38">
        <v>0</v>
      </c>
      <c r="CF8" s="38">
        <v>0</v>
      </c>
      <c r="CG8" s="52">
        <v>15500</v>
      </c>
      <c r="CH8" s="6">
        <v>100</v>
      </c>
      <c r="CI8" s="6">
        <v>0</v>
      </c>
      <c r="CJ8" s="6">
        <v>0</v>
      </c>
      <c r="DA8" s="6">
        <v>0</v>
      </c>
      <c r="DB8" s="6">
        <v>0</v>
      </c>
      <c r="DE8" s="6">
        <v>0</v>
      </c>
      <c r="DF8" s="6">
        <v>0</v>
      </c>
      <c r="DG8" s="6">
        <v>0</v>
      </c>
      <c r="DI8" s="6">
        <v>0</v>
      </c>
      <c r="DJ8" s="6" t="s">
        <v>25</v>
      </c>
      <c r="DK8" s="6">
        <v>0</v>
      </c>
      <c r="DL8" s="6">
        <v>0</v>
      </c>
      <c r="DM8" s="6">
        <v>1</v>
      </c>
      <c r="DN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M8" s="6">
        <v>0</v>
      </c>
      <c r="EN8" s="6">
        <v>0</v>
      </c>
      <c r="EQ8" s="6">
        <v>0</v>
      </c>
      <c r="ER8" s="6">
        <v>0</v>
      </c>
      <c r="EU8" s="6">
        <v>0</v>
      </c>
    </row>
    <row r="9" spans="1:168" ht="15.75" customHeight="1">
      <c r="A9" s="5"/>
      <c r="B9" s="5"/>
      <c r="C9" s="47" t="s">
        <v>24</v>
      </c>
      <c r="D9" s="52">
        <v>-500000</v>
      </c>
      <c r="E9" s="47" t="s">
        <v>21</v>
      </c>
      <c r="F9" s="37" t="s">
        <v>33</v>
      </c>
      <c r="G9" s="34">
        <v>310</v>
      </c>
      <c r="H9" s="50" t="s">
        <v>46</v>
      </c>
      <c r="I9" s="34">
        <v>0</v>
      </c>
      <c r="J9" s="37">
        <v>0</v>
      </c>
      <c r="K9" s="34">
        <v>0</v>
      </c>
      <c r="L9" s="37">
        <v>0</v>
      </c>
      <c r="M9" s="5"/>
      <c r="N9" s="52">
        <v>155000000</v>
      </c>
      <c r="O9" s="29"/>
      <c r="P9" s="29"/>
      <c r="Q9" s="52">
        <v>155000000</v>
      </c>
      <c r="R9" s="29"/>
      <c r="S9" s="29"/>
      <c r="T9" s="29" t="s">
        <v>34</v>
      </c>
      <c r="U9" s="29" t="s">
        <v>47</v>
      </c>
      <c r="V9" s="29" t="s">
        <v>43</v>
      </c>
      <c r="W9" s="29" t="s">
        <v>20</v>
      </c>
      <c r="X9" s="29"/>
      <c r="Y9" s="38">
        <v>1</v>
      </c>
      <c r="Z9" s="29"/>
      <c r="AA9" s="29"/>
      <c r="AB9" s="38">
        <v>0</v>
      </c>
      <c r="AC9" s="38">
        <v>0</v>
      </c>
      <c r="AD9" s="38">
        <v>0</v>
      </c>
      <c r="AE9" s="38">
        <v>0</v>
      </c>
      <c r="AF9" s="39">
        <v>-500000</v>
      </c>
      <c r="AG9" s="38">
        <v>0</v>
      </c>
      <c r="AH9" s="38">
        <v>0</v>
      </c>
      <c r="AI9" s="38">
        <v>0</v>
      </c>
      <c r="AJ9" s="38">
        <v>0</v>
      </c>
      <c r="AK9" s="52">
        <v>155000000</v>
      </c>
      <c r="AL9" s="6">
        <v>1</v>
      </c>
      <c r="AM9" s="6">
        <v>1</v>
      </c>
      <c r="AN9" s="6" t="s">
        <v>25</v>
      </c>
      <c r="AP9" s="6" t="s">
        <v>48</v>
      </c>
      <c r="AQ9" s="6" t="s">
        <v>24</v>
      </c>
      <c r="AR9" s="6">
        <v>0</v>
      </c>
      <c r="AW9" s="52">
        <v>155000000</v>
      </c>
      <c r="AX9" s="38">
        <v>0</v>
      </c>
      <c r="AY9" s="38">
        <v>0</v>
      </c>
      <c r="AZ9" s="38">
        <v>0</v>
      </c>
      <c r="BA9" s="29"/>
      <c r="BB9" s="29"/>
      <c r="BC9" s="38">
        <v>1</v>
      </c>
      <c r="BD9" s="52">
        <v>155000000</v>
      </c>
      <c r="BE9" s="6" t="s">
        <v>34</v>
      </c>
      <c r="BJ9" s="38">
        <v>0</v>
      </c>
      <c r="BK9" s="38">
        <v>0</v>
      </c>
      <c r="BL9" s="38">
        <v>0</v>
      </c>
      <c r="BM9" s="38">
        <v>0</v>
      </c>
      <c r="BN9" s="29"/>
      <c r="BO9" s="52">
        <v>155000000</v>
      </c>
      <c r="BP9" s="37">
        <v>0</v>
      </c>
      <c r="BQ9" s="29"/>
      <c r="BR9" s="29" t="s">
        <v>26</v>
      </c>
      <c r="BS9" s="6">
        <v>0</v>
      </c>
      <c r="BT9" s="6">
        <v>0</v>
      </c>
      <c r="BU9" s="6" t="s">
        <v>34</v>
      </c>
      <c r="BW9" s="38">
        <v>0</v>
      </c>
      <c r="BX9" s="37">
        <v>0</v>
      </c>
      <c r="BY9" s="38">
        <v>0</v>
      </c>
      <c r="BZ9" s="38">
        <v>0</v>
      </c>
      <c r="CA9" s="38">
        <v>0</v>
      </c>
      <c r="CC9" s="6">
        <v>0</v>
      </c>
      <c r="CD9" s="52">
        <v>155000000</v>
      </c>
      <c r="CE9" s="38">
        <v>0</v>
      </c>
      <c r="CF9" s="38">
        <v>0</v>
      </c>
      <c r="CG9" s="52">
        <v>155000000</v>
      </c>
      <c r="CH9" s="6">
        <v>100</v>
      </c>
      <c r="CI9" s="6">
        <v>0</v>
      </c>
      <c r="CJ9" s="6">
        <v>0</v>
      </c>
      <c r="DA9" s="6">
        <v>0</v>
      </c>
      <c r="DB9" s="6">
        <v>0</v>
      </c>
      <c r="DE9" s="6">
        <v>0</v>
      </c>
      <c r="DF9" s="6">
        <v>0</v>
      </c>
      <c r="DG9" s="6">
        <v>0</v>
      </c>
      <c r="DI9" s="6">
        <v>0</v>
      </c>
      <c r="DJ9" s="6" t="s">
        <v>25</v>
      </c>
      <c r="DK9" s="6">
        <v>0</v>
      </c>
      <c r="DL9" s="6">
        <v>0</v>
      </c>
      <c r="DM9" s="6">
        <v>1</v>
      </c>
      <c r="DN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M9" s="6">
        <v>0</v>
      </c>
      <c r="EN9" s="6">
        <v>0</v>
      </c>
      <c r="EQ9" s="6">
        <v>0</v>
      </c>
      <c r="ER9" s="6">
        <v>0</v>
      </c>
      <c r="EU9" s="6">
        <v>0</v>
      </c>
    </row>
    <row r="10" spans="1:168" ht="15.75" customHeight="1">
      <c r="A10" s="5"/>
      <c r="B10" s="5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5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W10" s="29"/>
      <c r="AX10" s="29"/>
      <c r="AY10" s="29"/>
      <c r="AZ10" s="29"/>
      <c r="BA10" s="29"/>
      <c r="BB10" s="29"/>
      <c r="BC10" s="29"/>
      <c r="BD10" s="29"/>
      <c r="BJ10" s="29"/>
      <c r="BK10" s="29"/>
      <c r="BL10" s="29"/>
      <c r="BM10" s="29"/>
      <c r="BN10" s="29"/>
      <c r="BO10" s="29"/>
      <c r="BP10" s="29"/>
      <c r="BQ10" s="29"/>
      <c r="BR10" s="29"/>
      <c r="BW10" s="29"/>
      <c r="BX10" s="29"/>
      <c r="BY10" s="29"/>
      <c r="BZ10" s="29"/>
      <c r="CA10" s="29"/>
      <c r="CD10" s="29"/>
      <c r="CE10" s="29"/>
      <c r="CF10" s="29"/>
      <c r="CG10" s="29"/>
    </row>
    <row r="11" spans="1:168" ht="15.75" customHeight="1">
      <c r="A11" s="5"/>
      <c r="B11" s="5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5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W11" s="29"/>
      <c r="AX11" s="29"/>
      <c r="AY11" s="29"/>
      <c r="AZ11" s="29"/>
      <c r="BA11" s="29"/>
      <c r="BB11" s="29"/>
      <c r="BC11" s="29"/>
      <c r="BD11" s="29"/>
      <c r="CD11" s="29"/>
      <c r="CE11" s="29"/>
      <c r="CF11" s="29"/>
      <c r="CG11" s="29"/>
    </row>
    <row r="12" spans="1:168" ht="15.75" customHeight="1">
      <c r="A12" s="5"/>
      <c r="B12" s="5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5"/>
      <c r="N12" s="5"/>
      <c r="O12" s="5"/>
      <c r="W12" s="29"/>
      <c r="X12" s="29"/>
      <c r="Y12" s="29"/>
      <c r="Z12" s="29"/>
      <c r="AA12" s="29"/>
      <c r="AB12" s="29"/>
      <c r="AC12" s="29"/>
      <c r="AD12" s="29"/>
      <c r="AE12" s="29"/>
      <c r="CD12" s="29"/>
      <c r="CE12" s="29"/>
      <c r="CF12" s="29"/>
      <c r="CG12" s="29"/>
    </row>
    <row r="13" spans="1:168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_Modules</vt:lpstr>
      <vt:lpstr>_Settings</vt:lpstr>
      <vt:lpstr>_MasterData</vt:lpstr>
      <vt:lpstr>SetTradingComplianceRules</vt:lpstr>
      <vt:lpstr>GetDailyCash</vt:lpstr>
      <vt:lpstr>UpdateDailyCash</vt:lpstr>
      <vt:lpstr>CreateLiveOrder</vt:lpstr>
      <vt:lpstr>SelectTrade</vt:lpstr>
      <vt:lpstr>AcknowledgeTrade</vt:lpstr>
      <vt:lpstr>ExecuteTrade</vt:lpstr>
      <vt:lpstr>SelectTrade1</vt:lpstr>
      <vt:lpstr>AcknowledgeTrade1</vt:lpstr>
      <vt:lpstr>ExecuteTrade1</vt:lpstr>
      <vt:lpstr>SelectTrade2</vt:lpstr>
      <vt:lpstr>AcknowledgeTrade2</vt:lpstr>
      <vt:lpstr>ExecuteTrade2</vt:lpstr>
      <vt:lpstr>SelectTrade3</vt:lpstr>
      <vt:lpstr>AcknowledgeTrade3</vt:lpstr>
      <vt:lpstr>ExecuteTrade3</vt:lpstr>
      <vt:lpstr>VerifyOrder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2021-08-04T13:36:08Z</dcterms:modified>
</cp:coreProperties>
</file>