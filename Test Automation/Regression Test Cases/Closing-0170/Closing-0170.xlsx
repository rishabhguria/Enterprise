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<sst xmlns="http://schemas.openxmlformats.org/spreadsheetml/2006/main" count="258" uniqueCount="69">
  <si>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</si>
  <si>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</si>
  <si>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</si>
  <si>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</si>
  <si>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</si>
  <si>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</si>
  <si>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</si>
  <si>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</si>
  <si>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</si>
  <si>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</si>
  <si>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</si>
  <si>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</si>
  <si>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</si>
  <si>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</si>
  <si>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</si>
  <si>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</si>
  <si>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</si>
  <si>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</si>
  <si>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</si>
  <si>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</si>
  <si>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</si>
  <si>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</si>
  <si>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Sell</t>
  </si>
  <si>
    <t>Allocation1</t>
  </si>
  <si>
    <t>MS</t>
  </si>
  <si>
    <t>Buy to Close</t>
  </si>
  <si>
    <t>Sell to Open</t>
  </si>
  <si>
    <t>DailyValuation</t>
  </si>
  <si>
    <t>GetMarkPriceData</t>
  </si>
  <si>
    <t>UpdateMarkPrice</t>
  </si>
  <si>
    <t>O:AAPL 13N715.00</t>
  </si>
  <si>
    <t>GetDataClosing</t>
  </si>
  <si>
    <t>Historical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</si>
  <si>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</si>
  <si>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</si>
  <si>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</si>
  <si>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</si>
  <si>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</si>
  <si>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</si>
  <si>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</si>
  <si>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</si>
  <si>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</si>
  <si>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</si>
  <si>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</si>
  <si>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</si>
  <si>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</si>
  <si>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1/1/1800</t>
  </si>
  <si>
    <t>CheckAllocatedGroups</t>
  </si>
  <si>
    <t>Manual</t>
  </si>
  <si>
    <t>Equity</t>
  </si>
  <si>
    <t>RIG US EQUITY</t>
  </si>
  <si>
    <t>Open</t>
  </si>
  <si>
    <t>NYSE</t>
  </si>
  <si>
    <t>M</t>
  </si>
  <si>
    <t>None</t>
  </si>
  <si>
    <t>Market</t>
  </si>
  <si>
    <t>GCCAP1</t>
  </si>
  <si>
    <t>jpearce</t>
  </si>
  <si>
    <t>NASDAQ</t>
  </si>
  <si>
    <t>NONE</t>
  </si>
  <si>
    <t>RIG US 08/21/10 C75 Equity</t>
  </si>
  <si>
    <t>Closed</t>
  </si>
  <si>
    <t>IsExercised</t>
  </si>
  <si>
    <t>D</t>
  </si>
  <si>
    <t>Exercise/Assign</t>
  </si>
  <si>
    <t>Sell short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</si>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</sst>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1">
        <v>44682.0</v>
      </c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4"/>
      <c r="D6" s="34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6" t="s">
        <v>22</v>
      </c>
      <c r="D6" s="37">
        <v>100.0</v>
      </c>
      <c r="E6" s="37">
        <v>100.0</v>
      </c>
      <c r="F6" s="32" t="s">
        <v>23</v>
      </c>
      <c r="G6" s="32" t="s">
        <v>24</v>
      </c>
      <c r="H6" s="32"/>
      <c r="I6" s="32"/>
      <c r="J6" s="37">
        <v>10.0</v>
      </c>
      <c r="K6" s="32"/>
      <c r="L6" s="32"/>
      <c r="M6" s="32"/>
      <c r="N6" s="31">
        <v>44682.0</v>
      </c>
      <c r="O6" s="37">
        <v>1.0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21</v>
      </c>
      <c r="C7" s="36" t="s">
        <v>25</v>
      </c>
      <c r="D7" s="37">
        <v>50.0</v>
      </c>
      <c r="E7" s="37">
        <v>50.0</v>
      </c>
      <c r="F7" s="32" t="s">
        <v>23</v>
      </c>
      <c r="G7" s="32" t="s">
        <v>24</v>
      </c>
      <c r="H7" s="32"/>
      <c r="I7" s="32"/>
      <c r="J7" s="37">
        <v>10.0</v>
      </c>
      <c r="K7" s="32"/>
      <c r="L7" s="32"/>
      <c r="M7" s="32"/>
      <c r="N7" s="31">
        <v>44682.0</v>
      </c>
      <c r="O7" s="37">
        <v>1.0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9" t="s">
        <v>16</v>
      </c>
      <c r="C8" s="36" t="s">
        <v>26</v>
      </c>
      <c r="D8" s="37">
        <v>10.0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1">
        <v>44682.0</v>
      </c>
      <c r="O8" s="37">
        <v>1.0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f>TODAY()-1</f>
        <v>44984</v>
      </c>
      <c r="C6" s="40">
        <f>TODAY()</f>
        <v>44985</v>
      </c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30</v>
      </c>
      <c r="C6" s="37">
        <v>120.0</v>
      </c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32</v>
      </c>
      <c r="C6" s="31">
        <v>44562.0</v>
      </c>
      <c r="D6" s="31">
        <v>44896.0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2"/>
      <c r="B6" s="34" t="s">
        <v>23</v>
      </c>
      <c r="C6" s="34"/>
      <c r="D6" s="34"/>
      <c r="E6" s="34" t="s">
        <v>34</v>
      </c>
      <c r="F6" s="34"/>
      <c r="G6" s="34"/>
      <c r="H6" s="34"/>
      <c r="I6" s="43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44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6" t="s">
        <v>26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44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7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44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34</v>
      </c>
      <c r="D6" s="8"/>
      <c r="E6" s="8"/>
      <c r="F6" s="13"/>
      <c r="G6" s="13">
        <v>10.0</v>
      </c>
      <c r="H6" s="8"/>
      <c r="I6" s="8"/>
      <c r="J6" s="13" t="s">
        <v>37</v>
      </c>
      <c r="K6" s="13" t="s">
        <v>38</v>
      </c>
      <c r="L6" s="8"/>
      <c r="M6" s="13"/>
      <c r="N6" s="8"/>
      <c r="O6" s="13"/>
      <c r="P6" s="9" t="s">
        <v>39</v>
      </c>
      <c r="R6" s="9" t="s">
        <v>40</v>
      </c>
      <c r="T6" s="9">
        <v>10.0</v>
      </c>
      <c r="V6" s="9" t="s">
        <v>41</v>
      </c>
      <c r="W6" s="9" t="s">
        <v>41</v>
      </c>
      <c r="Z6" s="36" t="s">
        <v>26</v>
      </c>
      <c r="AA6" s="9" t="s">
        <v>42</v>
      </c>
      <c r="AB6" s="9" t="s">
        <v>16</v>
      </c>
      <c r="AD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32</v>
      </c>
      <c r="C6" s="45" t="s">
        <v>46</v>
      </c>
      <c r="D6" s="46">
        <f>today()</f>
        <v>44985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8"/>
      <c r="D6" s="13"/>
      <c r="E6" s="13">
        <v>100.0</v>
      </c>
      <c r="F6" s="13" t="s">
        <v>48</v>
      </c>
      <c r="G6" s="13" t="s">
        <v>49</v>
      </c>
      <c r="H6" s="13"/>
      <c r="I6" s="13"/>
      <c r="J6" s="13"/>
      <c r="K6" s="13">
        <v>10.0</v>
      </c>
      <c r="L6" s="13">
        <v>10.0</v>
      </c>
      <c r="M6" s="13" t="s">
        <v>50</v>
      </c>
      <c r="N6" s="8"/>
      <c r="O6" s="13" t="s">
        <v>24</v>
      </c>
      <c r="Q6" s="9">
        <v>3.0</v>
      </c>
      <c r="S6" s="9" t="s">
        <v>51</v>
      </c>
      <c r="W6" s="9">
        <v>1.0</v>
      </c>
      <c r="Z6" s="9" t="s">
        <v>39</v>
      </c>
      <c r="AB6" s="9">
        <v>1.0</v>
      </c>
      <c r="AD6" s="9" t="s">
        <v>52</v>
      </c>
      <c r="AE6" s="9">
        <v>100.0</v>
      </c>
      <c r="AH6" s="9" t="s">
        <v>53</v>
      </c>
      <c r="AI6" s="9">
        <v>1.0</v>
      </c>
      <c r="AJ6" s="9" t="s">
        <v>54</v>
      </c>
      <c r="AT6" s="9">
        <v>988.825</v>
      </c>
      <c r="AU6" s="9">
        <v>988.825</v>
      </c>
      <c r="AY6" s="9" t="s">
        <v>55</v>
      </c>
      <c r="BE6" s="9">
        <v>1000.0</v>
      </c>
      <c r="BF6" s="9">
        <v>1000.0</v>
      </c>
      <c r="BJ6" s="9">
        <v>100.0</v>
      </c>
      <c r="BM6" s="9" t="s">
        <v>39</v>
      </c>
      <c r="BO6" s="9" t="s">
        <v>22</v>
      </c>
      <c r="BT6" s="9" t="s">
        <v>21</v>
      </c>
      <c r="CF6" s="9" t="s">
        <v>56</v>
      </c>
      <c r="CH6" s="9" t="s">
        <v>19</v>
      </c>
      <c r="CK6" s="9" t="s">
        <v>43</v>
      </c>
      <c r="CL6" s="9">
        <v>1.0</v>
      </c>
      <c r="CM6" s="9" t="s">
        <v>21</v>
      </c>
      <c r="CN6" s="9" t="s">
        <v>57</v>
      </c>
      <c r="CO6" s="9" t="s">
        <v>58</v>
      </c>
      <c r="CP6" s="9" t="s">
        <v>59</v>
      </c>
    </row>
    <row r="7" ht="15.75" customHeight="1">
      <c r="A7" s="8"/>
      <c r="B7" s="13" t="s">
        <v>23</v>
      </c>
      <c r="C7" s="8"/>
      <c r="D7" s="13"/>
      <c r="E7" s="13">
        <v>50.0</v>
      </c>
      <c r="F7" s="13" t="s">
        <v>48</v>
      </c>
      <c r="G7" s="13" t="s">
        <v>49</v>
      </c>
      <c r="H7" s="13"/>
      <c r="I7" s="13"/>
      <c r="J7" s="13"/>
      <c r="K7" s="13">
        <v>10.0</v>
      </c>
      <c r="L7" s="13">
        <v>10.0</v>
      </c>
      <c r="M7" s="13" t="s">
        <v>50</v>
      </c>
      <c r="N7" s="8"/>
      <c r="O7" s="13" t="s">
        <v>24</v>
      </c>
      <c r="Q7" s="9">
        <v>3.0</v>
      </c>
      <c r="S7" s="9" t="s">
        <v>51</v>
      </c>
      <c r="W7" s="9">
        <v>1.0</v>
      </c>
      <c r="Z7" s="9" t="s">
        <v>39</v>
      </c>
      <c r="AB7" s="9">
        <v>1.0</v>
      </c>
      <c r="AD7" s="9" t="s">
        <v>52</v>
      </c>
      <c r="AE7" s="9">
        <v>50.0</v>
      </c>
      <c r="AH7" s="9" t="s">
        <v>53</v>
      </c>
      <c r="AI7" s="9">
        <v>1.0</v>
      </c>
      <c r="AJ7" s="9" t="s">
        <v>54</v>
      </c>
      <c r="AT7" s="9">
        <v>506.0875</v>
      </c>
      <c r="AU7" s="9">
        <v>506.0875</v>
      </c>
      <c r="AY7" s="9" t="s">
        <v>55</v>
      </c>
      <c r="BE7" s="9">
        <v>500.0</v>
      </c>
      <c r="BF7" s="9">
        <v>500.0</v>
      </c>
      <c r="BJ7" s="9">
        <v>50.0</v>
      </c>
      <c r="BM7" s="9" t="s">
        <v>39</v>
      </c>
      <c r="BO7" s="9" t="s">
        <v>25</v>
      </c>
      <c r="BT7" s="9" t="s">
        <v>21</v>
      </c>
      <c r="CF7" s="9" t="s">
        <v>56</v>
      </c>
      <c r="CH7" s="9" t="s">
        <v>19</v>
      </c>
      <c r="CK7" s="9" t="s">
        <v>43</v>
      </c>
      <c r="CL7" s="9">
        <v>1.0</v>
      </c>
      <c r="CM7" s="9" t="s">
        <v>21</v>
      </c>
      <c r="CN7" s="9" t="s">
        <v>57</v>
      </c>
      <c r="CO7" s="9" t="s">
        <v>58</v>
      </c>
      <c r="CP7" s="9" t="s">
        <v>59</v>
      </c>
    </row>
    <row r="8" ht="15.75" customHeight="1">
      <c r="A8" s="8"/>
      <c r="B8" s="13" t="s">
        <v>23</v>
      </c>
      <c r="C8" s="8"/>
      <c r="D8" s="13"/>
      <c r="E8" s="13">
        <v>10.0</v>
      </c>
      <c r="F8" s="13" t="s">
        <v>48</v>
      </c>
      <c r="G8" s="13" t="s">
        <v>34</v>
      </c>
      <c r="H8" s="13"/>
      <c r="I8" s="13"/>
      <c r="J8" s="13"/>
      <c r="K8" s="13">
        <v>10.0</v>
      </c>
      <c r="L8" s="13">
        <v>10.0</v>
      </c>
      <c r="M8" s="13" t="s">
        <v>60</v>
      </c>
      <c r="N8" s="8"/>
      <c r="O8" s="13" t="s">
        <v>24</v>
      </c>
      <c r="Q8" s="9">
        <v>3.0</v>
      </c>
      <c r="S8" s="9" t="s">
        <v>61</v>
      </c>
      <c r="W8" s="9">
        <v>100.0</v>
      </c>
      <c r="Z8" s="9" t="s">
        <v>39</v>
      </c>
      <c r="AB8" s="9">
        <v>1.0</v>
      </c>
      <c r="AD8" s="9" t="s">
        <v>40</v>
      </c>
      <c r="AE8" s="9">
        <v>10.0</v>
      </c>
      <c r="AH8" s="9" t="s">
        <v>53</v>
      </c>
      <c r="AI8" s="9">
        <v>1.0</v>
      </c>
      <c r="AJ8" s="9" t="s">
        <v>62</v>
      </c>
      <c r="AT8" s="9">
        <v>10000.0</v>
      </c>
      <c r="AU8" s="9">
        <v>10000.0</v>
      </c>
      <c r="AY8" s="9" t="s">
        <v>55</v>
      </c>
      <c r="BE8" s="9">
        <v>10000.0</v>
      </c>
      <c r="BF8" s="9">
        <v>10000.0</v>
      </c>
      <c r="BJ8" s="9">
        <v>10.0</v>
      </c>
      <c r="BM8" s="9" t="s">
        <v>39</v>
      </c>
      <c r="BO8" s="9" t="s">
        <v>26</v>
      </c>
      <c r="BT8" s="9" t="s">
        <v>16</v>
      </c>
      <c r="CF8" s="9" t="s">
        <v>56</v>
      </c>
      <c r="CH8" s="9" t="s">
        <v>19</v>
      </c>
      <c r="CK8" s="9" t="s">
        <v>43</v>
      </c>
      <c r="CL8" s="9">
        <v>1.0</v>
      </c>
      <c r="CM8" s="9" t="s">
        <v>21</v>
      </c>
      <c r="CN8" s="9" t="s">
        <v>57</v>
      </c>
      <c r="CO8" s="9" t="s">
        <v>58</v>
      </c>
      <c r="CP8" s="9" t="s">
        <v>59</v>
      </c>
    </row>
    <row r="9" ht="15.75" customHeight="1">
      <c r="A9" s="8"/>
      <c r="B9" s="13" t="s">
        <v>23</v>
      </c>
      <c r="C9" s="8"/>
      <c r="D9" s="13"/>
      <c r="E9" s="13">
        <v>10.0</v>
      </c>
      <c r="F9" s="13" t="s">
        <v>48</v>
      </c>
      <c r="G9" s="13" t="s">
        <v>34</v>
      </c>
      <c r="H9" s="13"/>
      <c r="I9" s="13"/>
      <c r="J9" s="13"/>
      <c r="K9" s="13"/>
      <c r="L9" s="13"/>
      <c r="M9" s="13" t="s">
        <v>60</v>
      </c>
      <c r="N9" s="8"/>
      <c r="O9" s="13" t="s">
        <v>24</v>
      </c>
      <c r="Q9" s="9">
        <v>3.0</v>
      </c>
      <c r="S9" s="9" t="s">
        <v>61</v>
      </c>
      <c r="W9" s="9">
        <v>100.0</v>
      </c>
      <c r="Z9" s="9" t="s">
        <v>39</v>
      </c>
      <c r="AB9" s="9">
        <v>1.0</v>
      </c>
      <c r="AD9" s="9" t="s">
        <v>40</v>
      </c>
      <c r="AE9" s="9">
        <v>10.0</v>
      </c>
      <c r="AH9" s="9" t="s">
        <v>53</v>
      </c>
      <c r="AI9" s="9">
        <v>1.0</v>
      </c>
      <c r="AJ9" s="9" t="s">
        <v>62</v>
      </c>
      <c r="AT9" s="9">
        <v>10000.0</v>
      </c>
      <c r="AU9" s="9">
        <v>10000.0</v>
      </c>
      <c r="AY9" s="9" t="s">
        <v>55</v>
      </c>
      <c r="BJ9" s="9">
        <v>10.0</v>
      </c>
      <c r="BM9" s="9" t="s">
        <v>39</v>
      </c>
      <c r="BO9" s="9" t="s">
        <v>25</v>
      </c>
      <c r="BT9" s="9" t="s">
        <v>16</v>
      </c>
      <c r="CH9" s="9" t="s">
        <v>17</v>
      </c>
      <c r="CK9" s="9" t="s">
        <v>43</v>
      </c>
      <c r="CL9" s="9">
        <v>1.0</v>
      </c>
      <c r="CM9" s="9" t="s">
        <v>21</v>
      </c>
      <c r="CO9" s="9" t="s">
        <v>58</v>
      </c>
      <c r="CP9" s="9" t="s">
        <v>59</v>
      </c>
    </row>
    <row r="10" ht="15.75" customHeight="1">
      <c r="A10" s="8"/>
      <c r="B10" s="13" t="s">
        <v>23</v>
      </c>
      <c r="C10" s="8"/>
      <c r="D10" s="13"/>
      <c r="E10" s="13">
        <v>1000.0</v>
      </c>
      <c r="F10" s="13" t="s">
        <v>48</v>
      </c>
      <c r="G10" s="13" t="s">
        <v>49</v>
      </c>
      <c r="H10" s="13"/>
      <c r="I10" s="13"/>
      <c r="J10" s="13"/>
      <c r="K10" s="13">
        <v>100.0</v>
      </c>
      <c r="L10" s="13">
        <v>100.0</v>
      </c>
      <c r="M10" s="13" t="s">
        <v>50</v>
      </c>
      <c r="N10" s="8"/>
      <c r="O10" s="13" t="s">
        <v>24</v>
      </c>
      <c r="Q10" s="9">
        <v>3.0</v>
      </c>
      <c r="S10" s="9" t="s">
        <v>51</v>
      </c>
      <c r="W10" s="9">
        <v>1.0</v>
      </c>
      <c r="Z10" s="9" t="s">
        <v>39</v>
      </c>
      <c r="AB10" s="9">
        <v>1.0</v>
      </c>
      <c r="AD10" s="9" t="s">
        <v>52</v>
      </c>
      <c r="AE10" s="9">
        <v>1000.0</v>
      </c>
      <c r="AH10" s="9" t="s">
        <v>63</v>
      </c>
      <c r="AI10" s="9">
        <v>1.0</v>
      </c>
      <c r="AJ10" s="9" t="s">
        <v>64</v>
      </c>
      <c r="AT10" s="9">
        <v>110000.0</v>
      </c>
      <c r="AU10" s="9">
        <v>110000.0</v>
      </c>
      <c r="BE10" s="9">
        <v>100000.0</v>
      </c>
      <c r="BF10" s="9">
        <v>100000.0</v>
      </c>
      <c r="BJ10" s="9">
        <v>1000.0</v>
      </c>
      <c r="BM10" s="9" t="s">
        <v>39</v>
      </c>
      <c r="BO10" s="9" t="s">
        <v>65</v>
      </c>
      <c r="BT10" s="9" t="s">
        <v>21</v>
      </c>
      <c r="CF10" s="9" t="s">
        <v>56</v>
      </c>
      <c r="CH10" s="9" t="s">
        <v>17</v>
      </c>
      <c r="CK10" s="9" t="s">
        <v>43</v>
      </c>
      <c r="CL10" s="9">
        <v>1.0</v>
      </c>
      <c r="CM10" s="9" t="s">
        <v>21</v>
      </c>
      <c r="CN10" s="9" t="s">
        <v>57</v>
      </c>
      <c r="CP10" s="9" t="s">
        <v>59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8"/>
      <c r="C6" s="13" t="s">
        <v>21</v>
      </c>
      <c r="D6" s="13">
        <v>-100.0</v>
      </c>
      <c r="E6" s="13" t="s">
        <v>23</v>
      </c>
      <c r="F6" s="13" t="s">
        <v>68</v>
      </c>
      <c r="G6" s="8">
        <v>10.0</v>
      </c>
      <c r="H6" s="8" t="s">
        <v>41</v>
      </c>
      <c r="I6" s="8"/>
      <c r="J6" s="8"/>
      <c r="K6" s="8"/>
      <c r="L6" s="8"/>
      <c r="M6" s="8"/>
      <c r="N6" s="8"/>
      <c r="O6" s="8"/>
      <c r="Y6" s="9">
        <v>1.0</v>
      </c>
      <c r="AN6" s="9" t="s">
        <v>22</v>
      </c>
      <c r="BE6" t="s">
        <v>49</v>
      </c>
      <c r="BQ6" t="s">
        <v>57</v>
      </c>
      <c r="BR6" t="s">
        <v>24</v>
      </c>
      <c r="DP6" t="s">
        <v>38</v>
      </c>
      <c r="EV6" t="s">
        <v>38</v>
      </c>
    </row>
    <row r="7" ht="15.75" customHeight="1">
      <c r="A7" s="8"/>
      <c r="B7" s="8"/>
      <c r="C7" s="13" t="s">
        <v>21</v>
      </c>
      <c r="D7" s="13">
        <v>50.0</v>
      </c>
      <c r="E7" s="13" t="s">
        <v>23</v>
      </c>
      <c r="F7" s="13" t="s">
        <v>68</v>
      </c>
      <c r="G7" s="32">
        <v>10.0</v>
      </c>
      <c r="H7" s="44" t="s">
        <v>41</v>
      </c>
      <c r="I7" s="8"/>
      <c r="J7" s="8"/>
      <c r="K7" s="8"/>
      <c r="L7" s="8"/>
      <c r="M7" s="8"/>
      <c r="N7" s="8"/>
      <c r="O7" s="8"/>
      <c r="Y7" s="9">
        <v>1.0</v>
      </c>
      <c r="AN7" s="9" t="s">
        <v>25</v>
      </c>
      <c r="BE7" s="44" t="s">
        <v>49</v>
      </c>
      <c r="BQ7" s="44" t="s">
        <v>57</v>
      </c>
      <c r="BR7" s="32" t="s">
        <v>24</v>
      </c>
      <c r="DP7" s="32" t="s">
        <v>41</v>
      </c>
      <c r="EV7" s="44" t="s">
        <v>38</v>
      </c>
    </row>
    <row r="8" ht="15.75" customHeight="1">
      <c r="A8" s="8"/>
      <c r="B8" s="8"/>
      <c r="C8" s="13" t="s">
        <v>21</v>
      </c>
      <c r="D8" s="47">
        <v>-1000.0</v>
      </c>
      <c r="E8" s="13" t="s">
        <v>23</v>
      </c>
      <c r="F8" s="13" t="s">
        <v>68</v>
      </c>
      <c r="G8" s="32">
        <v>100.0</v>
      </c>
      <c r="H8" s="44" t="s">
        <v>41</v>
      </c>
      <c r="I8" s="8"/>
      <c r="J8" s="8"/>
      <c r="K8" s="8"/>
      <c r="L8" s="8"/>
      <c r="M8" s="8"/>
      <c r="N8" s="8"/>
      <c r="O8" s="8"/>
      <c r="Y8" s="9">
        <v>1.0</v>
      </c>
      <c r="AN8" s="9" t="s">
        <v>65</v>
      </c>
      <c r="BE8" s="44" t="s">
        <v>49</v>
      </c>
      <c r="BQ8" s="44" t="s">
        <v>57</v>
      </c>
      <c r="BR8" s="32" t="s">
        <v>24</v>
      </c>
      <c r="DP8" s="32" t="s">
        <v>41</v>
      </c>
      <c r="EV8" s="44" t="s">
        <v>38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