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6" activeTab="10"/>
  </bookViews>
  <sheets>
    <sheet name="_Modules" sheetId="1" r:id="rId1"/>
    <sheet name="_Settings" sheetId="2" r:id="rId2"/>
    <sheet name="_MasterData" sheetId="3" r:id="rId3"/>
    <sheet name="ShowMasterFundOnTT" sheetId="4" r:id="rId4"/>
    <sheet name="UpdateMasterFundOnTT" sheetId="5" r:id="rId5"/>
    <sheet name="CreateDoneAwayOrder" sheetId="6" r:id="rId6"/>
    <sheet name="VerifyOrder" sheetId="7" r:id="rId7"/>
    <sheet name="GetDataAllocation" sheetId="8" r:id="rId8"/>
    <sheet name="CheckUnallocatedGroups" sheetId="9" r:id="rId9"/>
    <sheet name="CheckAllocatedGroups" sheetId="10" r:id="rId10"/>
    <sheet name="CheckPortfolioManagement" sheetId="11" r:id="rId11"/>
  </sheets>
  <calcPr calcId="145621"/>
</workbook>
</file>

<file path=xl/calcChain.xml><?xml version="1.0" encoding="utf-8"?>
<calcChain xmlns="http://schemas.openxmlformats.org/spreadsheetml/2006/main">
  <c r="CE7" i="10" l="1"/>
  <c r="CE6" i="10"/>
  <c r="CD7" i="9"/>
  <c r="CD6" i="9"/>
  <c r="N9" i="6"/>
  <c r="N8" i="6"/>
  <c r="N7" i="6"/>
  <c r="N6" i="6"/>
  <c r="FK5" i="11"/>
  <c r="FC5" i="11"/>
  <c r="EU5" i="11"/>
  <c r="EM5" i="11"/>
  <c r="EE5" i="11"/>
  <c r="DW5" i="11"/>
  <c r="DO5" i="11"/>
  <c r="DG5" i="11"/>
  <c r="CY5" i="11"/>
  <c r="CQ5" i="11"/>
  <c r="CI5" i="11"/>
  <c r="CA5" i="11"/>
  <c r="BS5" i="11"/>
  <c r="BC5" i="11"/>
  <c r="AU5" i="11"/>
  <c r="AM5" i="11"/>
  <c r="AE5" i="11"/>
  <c r="W5" i="11"/>
  <c r="O5" i="11"/>
  <c r="G5" i="11"/>
  <c r="FJ4" i="11"/>
  <c r="FB4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FJ5" i="11"/>
  <c r="FB5" i="11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FI4" i="11"/>
  <c r="FA4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FI5" i="11"/>
  <c r="FA5" i="11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FH4" i="11"/>
  <c r="EZ4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FH5" i="11"/>
  <c r="EZ5" i="11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FG4" i="11"/>
  <c r="EY4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FG5" i="11"/>
  <c r="EY5" i="11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FF4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FF5" i="11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FE4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S5" i="10"/>
  <c r="EK5" i="10"/>
  <c r="EC5" i="10"/>
  <c r="DU5" i="10"/>
  <c r="DM5" i="10"/>
  <c r="DE5" i="10"/>
  <c r="CW5" i="10"/>
  <c r="CO5" i="10"/>
  <c r="CG5" i="10"/>
  <c r="BY5" i="10"/>
  <c r="BQ5" i="10"/>
  <c r="FE5" i="11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FD4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FD5" i="11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FK4" i="11"/>
  <c r="FC4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DT5" i="10"/>
  <c r="CN5" i="10"/>
  <c r="BI5" i="10"/>
  <c r="AQ5" i="10"/>
  <c r="T5" i="10"/>
  <c r="EU4" i="10"/>
  <c r="EC4" i="10"/>
  <c r="DF4" i="10"/>
  <c r="CI4" i="10"/>
  <c r="BQ4" i="10"/>
  <c r="AT4" i="10"/>
  <c r="W4" i="10"/>
  <c r="E4" i="10"/>
  <c r="EP5" i="9"/>
  <c r="EB5" i="9"/>
  <c r="DQ5" i="9"/>
  <c r="DC5" i="9"/>
  <c r="CO5" i="9"/>
  <c r="CD5" i="9"/>
  <c r="BP5" i="9"/>
  <c r="BE5" i="9"/>
  <c r="AQ5" i="9"/>
  <c r="AC5" i="9"/>
  <c r="R5" i="9"/>
  <c r="D5" i="9"/>
  <c r="EQ4" i="9"/>
  <c r="EC4" i="9"/>
  <c r="DO4" i="9"/>
  <c r="DD4" i="9"/>
  <c r="CP4" i="9"/>
  <c r="CE4" i="9"/>
  <c r="BQ4" i="9"/>
  <c r="BC4" i="9"/>
  <c r="AR4" i="9"/>
  <c r="AD4" i="9"/>
  <c r="S4" i="9"/>
  <c r="J4" i="9"/>
  <c r="EX5" i="8"/>
  <c r="EO5" i="8"/>
  <c r="EF5" i="8"/>
  <c r="DW5" i="8"/>
  <c r="DN5" i="8"/>
  <c r="DE5" i="8"/>
  <c r="CV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DS5" i="10"/>
  <c r="CM5" i="10"/>
  <c r="BH5" i="10"/>
  <c r="AK5" i="10"/>
  <c r="S5" i="10"/>
  <c r="ET4" i="10"/>
  <c r="DW4" i="10"/>
  <c r="DE4" i="10"/>
  <c r="CH4" i="10"/>
  <c r="BK4" i="10"/>
  <c r="AS4" i="10"/>
  <c r="V4" i="10"/>
  <c r="EO5" i="9"/>
  <c r="EA5" i="9"/>
  <c r="DM5" i="9"/>
  <c r="DB5" i="9"/>
  <c r="CN5" i="9"/>
  <c r="CC5" i="9"/>
  <c r="BO5" i="9"/>
  <c r="BA5" i="9"/>
  <c r="AP5" i="9"/>
  <c r="AB5" i="9"/>
  <c r="Q5" i="9"/>
  <c r="C5" i="9"/>
  <c r="EM4" i="9"/>
  <c r="EB4" i="9"/>
  <c r="DN4" i="9"/>
  <c r="DC4" i="9"/>
  <c r="CO4" i="9"/>
  <c r="CA4" i="9"/>
  <c r="BP4" i="9"/>
  <c r="BB4" i="9"/>
  <c r="AQ4" i="9"/>
  <c r="AC4" i="9"/>
  <c r="R4" i="9"/>
  <c r="H4" i="9"/>
  <c r="EW5" i="8"/>
  <c r="EN5" i="8"/>
  <c r="EE5" i="8"/>
  <c r="DV5" i="8"/>
  <c r="DM5" i="8"/>
  <c r="DD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T5" i="6"/>
  <c r="EL5" i="6"/>
  <c r="ED5" i="6"/>
  <c r="DV5" i="6"/>
  <c r="DN5" i="6"/>
  <c r="DF5" i="6"/>
  <c r="CX5" i="6"/>
  <c r="CP5" i="6"/>
  <c r="CH5" i="6"/>
  <c r="BZ5" i="6"/>
  <c r="BR5" i="6"/>
  <c r="BJ5" i="6"/>
  <c r="ER5" i="10"/>
  <c r="DL5" i="10"/>
  <c r="CF5" i="10"/>
  <c r="BG5" i="10"/>
  <c r="AJ5" i="10"/>
  <c r="M5" i="10"/>
  <c r="ES4" i="10"/>
  <c r="DV4" i="10"/>
  <c r="CY4" i="10"/>
  <c r="CG4" i="10"/>
  <c r="BJ4" i="10"/>
  <c r="AM4" i="10"/>
  <c r="U4" i="10"/>
  <c r="EK5" i="9"/>
  <c r="DZ5" i="9"/>
  <c r="DL5" i="9"/>
  <c r="DA5" i="9"/>
  <c r="CM5" i="9"/>
  <c r="BY5" i="9"/>
  <c r="BN5" i="9"/>
  <c r="AZ5" i="9"/>
  <c r="AO5" i="9"/>
  <c r="AA5" i="9"/>
  <c r="M5" i="9"/>
  <c r="B5" i="9"/>
  <c r="EL4" i="9"/>
  <c r="EA4" i="9"/>
  <c r="DM4" i="9"/>
  <c r="CY4" i="9"/>
  <c r="CN4" i="9"/>
  <c r="BZ4" i="9"/>
  <c r="BO4" i="9"/>
  <c r="BA4" i="9"/>
  <c r="AM4" i="9"/>
  <c r="AB4" i="9"/>
  <c r="P4" i="9"/>
  <c r="G4" i="9"/>
  <c r="EV5" i="8"/>
  <c r="EM5" i="8"/>
  <c r="ED5" i="8"/>
  <c r="DU5" i="8"/>
  <c r="DL5" i="8"/>
  <c r="DB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EQ5" i="10"/>
  <c r="DK5" i="10"/>
  <c r="CE5" i="10"/>
  <c r="BA5" i="10"/>
  <c r="AI5" i="10"/>
  <c r="L5" i="10"/>
  <c r="EM4" i="10"/>
  <c r="DU4" i="10"/>
  <c r="CX4" i="10"/>
  <c r="CA4" i="10"/>
  <c r="BI4" i="10"/>
  <c r="AL4" i="10"/>
  <c r="O4" i="10"/>
  <c r="EX5" i="9"/>
  <c r="EJ5" i="9"/>
  <c r="DY5" i="9"/>
  <c r="DK5" i="9"/>
  <c r="CW5" i="9"/>
  <c r="CL5" i="9"/>
  <c r="BX5" i="9"/>
  <c r="BM5" i="9"/>
  <c r="AY5" i="9"/>
  <c r="AK5" i="9"/>
  <c r="Z5" i="9"/>
  <c r="L5" i="9"/>
  <c r="A5" i="9"/>
  <c r="EK4" i="9"/>
  <c r="DW4" i="9"/>
  <c r="DL4" i="9"/>
  <c r="CX4" i="9"/>
  <c r="CM4" i="9"/>
  <c r="BY4" i="9"/>
  <c r="BK4" i="9"/>
  <c r="AZ4" i="9"/>
  <c r="AL4" i="9"/>
  <c r="AA4" i="9"/>
  <c r="O4" i="9"/>
  <c r="F4" i="9"/>
  <c r="EU5" i="8"/>
  <c r="EL5" i="8"/>
  <c r="EC5" i="8"/>
  <c r="DT5" i="8"/>
  <c r="DJ5" i="8"/>
  <c r="DA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R5" i="6"/>
  <c r="EJ5" i="6"/>
  <c r="EB5" i="6"/>
  <c r="DT5" i="6"/>
  <c r="DL5" i="6"/>
  <c r="DD5" i="6"/>
  <c r="CV5" i="6"/>
  <c r="EJ5" i="10"/>
  <c r="DD5" i="10"/>
  <c r="BX5" i="10"/>
  <c r="AZ5" i="10"/>
  <c r="AC5" i="10"/>
  <c r="K5" i="10"/>
  <c r="EL4" i="10"/>
  <c r="DO4" i="10"/>
  <c r="CW4" i="10"/>
  <c r="BZ4" i="10"/>
  <c r="BC4" i="10"/>
  <c r="AK4" i="10"/>
  <c r="N4" i="10"/>
  <c r="EW5" i="9"/>
  <c r="EI5" i="9"/>
  <c r="DU5" i="9"/>
  <c r="DJ5" i="9"/>
  <c r="CV5" i="9"/>
  <c r="CK5" i="9"/>
  <c r="BW5" i="9"/>
  <c r="BI5" i="9"/>
  <c r="AX5" i="9"/>
  <c r="AJ5" i="9"/>
  <c r="Y5" i="9"/>
  <c r="K5" i="9"/>
  <c r="EU4" i="9"/>
  <c r="EJ4" i="9"/>
  <c r="DV4" i="9"/>
  <c r="DK4" i="9"/>
  <c r="CW4" i="9"/>
  <c r="CI4" i="9"/>
  <c r="BX4" i="9"/>
  <c r="BJ4" i="9"/>
  <c r="AY4" i="9"/>
  <c r="AK4" i="9"/>
  <c r="W4" i="9"/>
  <c r="N4" i="9"/>
  <c r="E4" i="9"/>
  <c r="ET5" i="8"/>
  <c r="EK5" i="8"/>
  <c r="EB5" i="8"/>
  <c r="DR5" i="8"/>
  <c r="DI5" i="8"/>
  <c r="CZ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Q5" i="6"/>
  <c r="EI5" i="6"/>
  <c r="EA5" i="6"/>
  <c r="DS5" i="6"/>
  <c r="DK5" i="6"/>
  <c r="DC5" i="6"/>
  <c r="CU5" i="6"/>
  <c r="EI5" i="10"/>
  <c r="DC5" i="10"/>
  <c r="BW5" i="10"/>
  <c r="AY5" i="10"/>
  <c r="AB5" i="10"/>
  <c r="E5" i="10"/>
  <c r="EK4" i="10"/>
  <c r="DN4" i="10"/>
  <c r="CQ4" i="10"/>
  <c r="BY4" i="10"/>
  <c r="BB4" i="10"/>
  <c r="AE4" i="10"/>
  <c r="M4" i="10"/>
  <c r="ES5" i="9"/>
  <c r="EH5" i="9"/>
  <c r="DT5" i="9"/>
  <c r="DI5" i="9"/>
  <c r="CU5" i="9"/>
  <c r="CG5" i="9"/>
  <c r="BV5" i="9"/>
  <c r="BH5" i="9"/>
  <c r="AW5" i="9"/>
  <c r="AI5" i="9"/>
  <c r="U5" i="9"/>
  <c r="J5" i="9"/>
  <c r="ET4" i="9"/>
  <c r="EI4" i="9"/>
  <c r="DU4" i="9"/>
  <c r="DG4" i="9"/>
  <c r="CV4" i="9"/>
  <c r="CH4" i="9"/>
  <c r="BW4" i="9"/>
  <c r="BI4" i="9"/>
  <c r="AU4" i="9"/>
  <c r="AJ4" i="9"/>
  <c r="V4" i="9"/>
  <c r="M4" i="9"/>
  <c r="D4" i="9"/>
  <c r="ES5" i="8"/>
  <c r="EJ5" i="8"/>
  <c r="DZ5" i="8"/>
  <c r="DQ5" i="8"/>
  <c r="DH5" i="8"/>
  <c r="CY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EB5" i="10"/>
  <c r="CV5" i="10"/>
  <c r="BP5" i="10"/>
  <c r="AS5" i="10"/>
  <c r="AA5" i="10"/>
  <c r="D5" i="10"/>
  <c r="EE4" i="10"/>
  <c r="DM4" i="10"/>
  <c r="CP4" i="10"/>
  <c r="BS4" i="10"/>
  <c r="BA4" i="10"/>
  <c r="AD4" i="10"/>
  <c r="G4" i="10"/>
  <c r="ER5" i="9"/>
  <c r="EG5" i="9"/>
  <c r="DS5" i="9"/>
  <c r="DE5" i="9"/>
  <c r="CT5" i="9"/>
  <c r="CF5" i="9"/>
  <c r="BU5" i="9"/>
  <c r="BG5" i="9"/>
  <c r="AS5" i="9"/>
  <c r="AH5" i="9"/>
  <c r="T5" i="9"/>
  <c r="I5" i="9"/>
  <c r="ES4" i="9"/>
  <c r="EE4" i="9"/>
  <c r="DT4" i="9"/>
  <c r="DF4" i="9"/>
  <c r="CU4" i="9"/>
  <c r="CG4" i="9"/>
  <c r="BS4" i="9"/>
  <c r="BH4" i="9"/>
  <c r="AT4" i="9"/>
  <c r="AI4" i="9"/>
  <c r="U4" i="9"/>
  <c r="L4" i="9"/>
  <c r="C4" i="9"/>
  <c r="ER5" i="8"/>
  <c r="EH5" i="8"/>
  <c r="DY5" i="8"/>
  <c r="DP5" i="8"/>
  <c r="DG5" i="8"/>
  <c r="CX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EA5" i="10"/>
  <c r="CU5" i="10"/>
  <c r="BO5" i="10"/>
  <c r="AR5" i="10"/>
  <c r="U5" i="10"/>
  <c r="C5" i="10"/>
  <c r="ED4" i="10"/>
  <c r="DG4" i="10"/>
  <c r="CO4" i="10"/>
  <c r="BR4" i="10"/>
  <c r="AU4" i="10"/>
  <c r="AC4" i="10"/>
  <c r="F4" i="10"/>
  <c r="EQ5" i="9"/>
  <c r="EC5" i="9"/>
  <c r="DR5" i="9"/>
  <c r="DD5" i="9"/>
  <c r="CS5" i="9"/>
  <c r="CE5" i="9"/>
  <c r="BQ5" i="9"/>
  <c r="BF5" i="9"/>
  <c r="AR5" i="9"/>
  <c r="AG5" i="9"/>
  <c r="S5" i="9"/>
  <c r="E5" i="9"/>
  <c r="ER4" i="9"/>
  <c r="ED4" i="9"/>
  <c r="DS4" i="9"/>
  <c r="DE4" i="9"/>
  <c r="CQ4" i="9"/>
  <c r="CF4" i="9"/>
  <c r="BR4" i="9"/>
  <c r="BG4" i="9"/>
  <c r="AS4" i="9"/>
  <c r="AE4" i="9"/>
  <c r="T4" i="9"/>
  <c r="K4" i="9"/>
  <c r="B4" i="9"/>
  <c r="EP5" i="8"/>
  <c r="EG5" i="8"/>
  <c r="DX5" i="8"/>
  <c r="DO5" i="8"/>
  <c r="DF5" i="8"/>
  <c r="CW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CN5" i="6"/>
  <c r="BH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CM5" i="6"/>
  <c r="BG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CF5" i="6"/>
  <c r="BB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E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BX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BW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BP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BO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E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D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C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A986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F904" i="3"/>
  <c r="D903" i="3"/>
  <c r="E902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E904" i="3"/>
  <c r="C903" i="3"/>
  <c r="D902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D904" i="3"/>
  <c r="B903" i="3"/>
  <c r="L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L903" i="3"/>
  <c r="A903" i="3"/>
  <c r="K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K903" i="3"/>
  <c r="L902" i="3"/>
  <c r="J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J903" i="3"/>
  <c r="H902" i="3"/>
  <c r="I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I903" i="3"/>
  <c r="G902" i="3"/>
  <c r="H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H903" i="3"/>
  <c r="F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E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D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818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L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K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D771" i="3"/>
  <c r="L765" i="3"/>
  <c r="H760" i="3"/>
  <c r="D755" i="3"/>
  <c r="L749" i="3"/>
  <c r="H744" i="3"/>
  <c r="D739" i="3"/>
  <c r="L733" i="3"/>
  <c r="F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H770" i="3"/>
  <c r="D765" i="3"/>
  <c r="L759" i="3"/>
  <c r="H754" i="3"/>
  <c r="D749" i="3"/>
  <c r="L743" i="3"/>
  <c r="H738" i="3"/>
  <c r="D733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L769" i="3"/>
  <c r="H764" i="3"/>
  <c r="D759" i="3"/>
  <c r="L753" i="3"/>
  <c r="H748" i="3"/>
  <c r="D743" i="3"/>
  <c r="L737" i="3"/>
  <c r="B733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D769" i="3"/>
  <c r="L763" i="3"/>
  <c r="H758" i="3"/>
  <c r="D753" i="3"/>
  <c r="L747" i="3"/>
  <c r="H742" i="3"/>
  <c r="D737" i="3"/>
  <c r="L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H768" i="3"/>
  <c r="D763" i="3"/>
  <c r="L757" i="3"/>
  <c r="H752" i="3"/>
  <c r="D747" i="3"/>
  <c r="L741" i="3"/>
  <c r="H736" i="3"/>
  <c r="K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L767" i="3"/>
  <c r="H762" i="3"/>
  <c r="D757" i="3"/>
  <c r="L751" i="3"/>
  <c r="H746" i="3"/>
  <c r="D741" i="3"/>
  <c r="L735" i="3"/>
  <c r="J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D767" i="3"/>
  <c r="L761" i="3"/>
  <c r="H756" i="3"/>
  <c r="D751" i="3"/>
  <c r="L745" i="3"/>
  <c r="H740" i="3"/>
  <c r="D735" i="3"/>
  <c r="H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H766" i="3"/>
  <c r="D761" i="3"/>
  <c r="L755" i="3"/>
  <c r="H750" i="3"/>
  <c r="D745" i="3"/>
  <c r="L739" i="3"/>
  <c r="H734" i="3"/>
  <c r="G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J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I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H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K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F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E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D483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C483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C332" i="3"/>
  <c r="F329" i="3"/>
  <c r="G327" i="3"/>
  <c r="B326" i="3"/>
  <c r="L324" i="3"/>
  <c r="B324" i="3"/>
  <c r="B323" i="3"/>
  <c r="D322" i="3"/>
  <c r="F321" i="3"/>
  <c r="H320" i="3"/>
  <c r="J319" i="3"/>
  <c r="A319" i="3"/>
  <c r="D318" i="3"/>
  <c r="G317" i="3"/>
  <c r="J316" i="3"/>
  <c r="A316" i="3"/>
  <c r="D315" i="3"/>
  <c r="F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G331" i="3"/>
  <c r="E329" i="3"/>
  <c r="F327" i="3"/>
  <c r="A326" i="3"/>
  <c r="K324" i="3"/>
  <c r="A324" i="3"/>
  <c r="A323" i="3"/>
  <c r="C322" i="3"/>
  <c r="E321" i="3"/>
  <c r="F320" i="3"/>
  <c r="I319" i="3"/>
  <c r="L318" i="3"/>
  <c r="C318" i="3"/>
  <c r="F317" i="3"/>
  <c r="I316" i="3"/>
  <c r="L315" i="3"/>
  <c r="B315" i="3"/>
  <c r="E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E331" i="3"/>
  <c r="K328" i="3"/>
  <c r="E327" i="3"/>
  <c r="I325" i="3"/>
  <c r="J324" i="3"/>
  <c r="J323" i="3"/>
  <c r="L322" i="3"/>
  <c r="B322" i="3"/>
  <c r="B321" i="3"/>
  <c r="E320" i="3"/>
  <c r="H319" i="3"/>
  <c r="K318" i="3"/>
  <c r="B318" i="3"/>
  <c r="E317" i="3"/>
  <c r="H316" i="3"/>
  <c r="J315" i="3"/>
  <c r="A315" i="3"/>
  <c r="D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330" i="3"/>
  <c r="J328" i="3"/>
  <c r="K326" i="3"/>
  <c r="G325" i="3"/>
  <c r="I324" i="3"/>
  <c r="I323" i="3"/>
  <c r="K322" i="3"/>
  <c r="A322" i="3"/>
  <c r="A321" i="3"/>
  <c r="D320" i="3"/>
  <c r="G319" i="3"/>
  <c r="J318" i="3"/>
  <c r="A318" i="3"/>
  <c r="D317" i="3"/>
  <c r="F316" i="3"/>
  <c r="I315" i="3"/>
  <c r="L314" i="3"/>
  <c r="C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I330" i="3"/>
  <c r="I328" i="3"/>
  <c r="J326" i="3"/>
  <c r="F325" i="3"/>
  <c r="F324" i="3"/>
  <c r="H323" i="3"/>
  <c r="J322" i="3"/>
  <c r="J321" i="3"/>
  <c r="L320" i="3"/>
  <c r="C320" i="3"/>
  <c r="F319" i="3"/>
  <c r="I318" i="3"/>
  <c r="L317" i="3"/>
  <c r="B317" i="3"/>
  <c r="E316" i="3"/>
  <c r="H315" i="3"/>
  <c r="K314" i="3"/>
  <c r="B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C330" i="3"/>
  <c r="C328" i="3"/>
  <c r="I326" i="3"/>
  <c r="E325" i="3"/>
  <c r="E324" i="3"/>
  <c r="G323" i="3"/>
  <c r="I322" i="3"/>
  <c r="I321" i="3"/>
  <c r="K320" i="3"/>
  <c r="B320" i="3"/>
  <c r="E319" i="3"/>
  <c r="H318" i="3"/>
  <c r="J317" i="3"/>
  <c r="A317" i="3"/>
  <c r="D316" i="3"/>
  <c r="G315" i="3"/>
  <c r="J314" i="3"/>
  <c r="A314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A330" i="3"/>
  <c r="B328" i="3"/>
  <c r="E326" i="3"/>
  <c r="B325" i="3"/>
  <c r="D324" i="3"/>
  <c r="F323" i="3"/>
  <c r="F322" i="3"/>
  <c r="H321" i="3"/>
  <c r="J320" i="3"/>
  <c r="A320" i="3"/>
  <c r="D319" i="3"/>
  <c r="F318" i="3"/>
  <c r="I317" i="3"/>
  <c r="L316" i="3"/>
  <c r="C316" i="3"/>
  <c r="F315" i="3"/>
  <c r="I314" i="3"/>
  <c r="L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329" i="3"/>
  <c r="A328" i="3"/>
  <c r="C326" i="3"/>
  <c r="A325" i="3"/>
  <c r="C324" i="3"/>
  <c r="E323" i="3"/>
  <c r="E322" i="3"/>
  <c r="G321" i="3"/>
  <c r="I320" i="3"/>
  <c r="L319" i="3"/>
  <c r="B319" i="3"/>
  <c r="E318" i="3"/>
  <c r="H317" i="3"/>
  <c r="K316" i="3"/>
  <c r="B316" i="3"/>
  <c r="E315" i="3"/>
  <c r="H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G162" i="3"/>
  <c r="E160" i="3"/>
  <c r="E159" i="3"/>
  <c r="E158" i="3"/>
  <c r="G157" i="3"/>
  <c r="H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K161" i="3"/>
  <c r="D160" i="3"/>
  <c r="C159" i="3"/>
  <c r="D158" i="3"/>
  <c r="E157" i="3"/>
  <c r="G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E161" i="3"/>
  <c r="C160" i="3"/>
  <c r="A159" i="3"/>
  <c r="C158" i="3"/>
  <c r="D157" i="3"/>
  <c r="E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C161" i="3"/>
  <c r="A160" i="3"/>
  <c r="L158" i="3"/>
  <c r="A158" i="3"/>
  <c r="C157" i="3"/>
  <c r="D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A161" i="3"/>
  <c r="K159" i="3"/>
  <c r="K158" i="3"/>
  <c r="L157" i="3"/>
  <c r="A157" i="3"/>
  <c r="C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K160" i="3"/>
  <c r="I159" i="3"/>
  <c r="I158" i="3"/>
  <c r="K157" i="3"/>
  <c r="L156" i="3"/>
  <c r="A156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I160" i="3"/>
  <c r="H159" i="3"/>
  <c r="H158" i="3"/>
  <c r="I157" i="3"/>
  <c r="K156" i="3"/>
  <c r="L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G160" i="3"/>
  <c r="G159" i="3"/>
  <c r="G158" i="3"/>
  <c r="H157" i="3"/>
  <c r="I156" i="3"/>
  <c r="K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K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H517" i="1"/>
  <c r="B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L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K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H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G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F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D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F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E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A346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C176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B62" i="1"/>
  <c r="F45" i="1"/>
  <c r="J38" i="1"/>
  <c r="J34" i="1"/>
  <c r="B30" i="1"/>
  <c r="J24" i="1"/>
  <c r="F19" i="1"/>
  <c r="F15" i="1"/>
  <c r="F9" i="1"/>
  <c r="J4" i="1"/>
  <c r="B176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B9" i="1"/>
  <c r="B7" i="1"/>
  <c r="J5" i="1"/>
  <c r="F4" i="1"/>
  <c r="J62" i="1"/>
  <c r="J60" i="1"/>
  <c r="B58" i="1"/>
  <c r="F55" i="1"/>
  <c r="J52" i="1"/>
  <c r="F49" i="1"/>
  <c r="J46" i="1"/>
  <c r="F43" i="1"/>
  <c r="J40" i="1"/>
  <c r="J36" i="1"/>
  <c r="B32" i="1"/>
  <c r="F27" i="1"/>
  <c r="F23" i="1"/>
  <c r="B22" i="1"/>
  <c r="J18" i="1"/>
  <c r="J14" i="1"/>
  <c r="F11" i="1"/>
  <c r="B8" i="1"/>
  <c r="K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F8" i="1"/>
  <c r="J7" i="1"/>
  <c r="F6" i="1"/>
  <c r="B5" i="1"/>
  <c r="J64" i="1"/>
  <c r="B56" i="1"/>
  <c r="J50" i="1"/>
  <c r="J44" i="1"/>
  <c r="F41" i="1"/>
  <c r="F37" i="1"/>
  <c r="F33" i="1"/>
  <c r="J28" i="1"/>
  <c r="F25" i="1"/>
  <c r="J20" i="1"/>
  <c r="J16" i="1"/>
  <c r="J12" i="1"/>
  <c r="J8" i="1"/>
  <c r="J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B64" i="1"/>
  <c r="F61" i="1"/>
  <c r="J58" i="1"/>
  <c r="J56" i="1"/>
  <c r="F53" i="1"/>
  <c r="B50" i="1"/>
  <c r="F47" i="1"/>
  <c r="B44" i="1"/>
  <c r="B40" i="1"/>
  <c r="B36" i="1"/>
  <c r="J32" i="1"/>
  <c r="F29" i="1"/>
  <c r="B26" i="1"/>
  <c r="B20" i="1"/>
  <c r="F13" i="1"/>
  <c r="J6" i="1"/>
  <c r="I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4" i="1"/>
  <c r="F65" i="1"/>
  <c r="F59" i="1"/>
  <c r="J54" i="1"/>
  <c r="F51" i="1"/>
  <c r="B48" i="1"/>
  <c r="B42" i="1"/>
  <c r="B38" i="1"/>
  <c r="B34" i="1"/>
  <c r="J30" i="1"/>
  <c r="J26" i="1"/>
  <c r="J22" i="1"/>
  <c r="B16" i="1"/>
  <c r="B10" i="1"/>
  <c r="F5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F63" i="1"/>
  <c r="B60" i="1"/>
  <c r="F57" i="1"/>
  <c r="B54" i="1"/>
  <c r="B52" i="1"/>
  <c r="J48" i="1"/>
  <c r="B46" i="1"/>
  <c r="J42" i="1"/>
  <c r="F39" i="1"/>
  <c r="F35" i="1"/>
  <c r="F31" i="1"/>
  <c r="B28" i="1"/>
  <c r="B24" i="1"/>
  <c r="F21" i="1"/>
  <c r="F17" i="1"/>
  <c r="B14" i="1"/>
  <c r="J10" i="1"/>
  <c r="F7" i="1"/>
  <c r="B4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B18" i="1"/>
  <c r="B12" i="1"/>
  <c r="B6" i="1"/>
  <c r="J2" i="9" l="1"/>
  <c r="J2" i="10"/>
  <c r="J2" i="11"/>
  <c r="J2" i="7"/>
  <c r="J2" i="8"/>
  <c r="J2" i="6"/>
  <c r="J2" i="4"/>
  <c r="J2" i="5"/>
</calcChain>
</file>

<file path=xl/sharedStrings.xml><?xml version="1.0" encoding="utf-8"?>
<sst xmlns="http://schemas.openxmlformats.org/spreadsheetml/2006/main" count="206" uniqueCount="46">
  <si>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</si>
  <si>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</si>
  <si>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</si>
  <si>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</si>
  <si>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</si>
  <si>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</si>
  <si>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</si>
  <si>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</si>
  <si>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</si>
  <si>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</si>
  <si>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</si>
  <si>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</si>
  <si>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</si>
  <si>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</si>
  <si>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</si>
  <si>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</si>
  <si>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</si>
  <si>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</si>
  <si>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</si>
  <si>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CreateDoneAwayOrder</t>
  </si>
  <si>
    <t>MSFT</t>
  </si>
  <si>
    <t>Buy</t>
  </si>
  <si>
    <t>Allocation1</t>
  </si>
  <si>
    <t>MS</t>
  </si>
  <si>
    <t>AAPL</t>
  </si>
  <si>
    <t>Allocation3</t>
  </si>
  <si>
    <t>Unallocated</t>
  </si>
  <si>
    <t>Blotter</t>
  </si>
  <si>
    <t>VerifyOrder</t>
  </si>
  <si>
    <t>US</t>
  </si>
  <si>
    <t>TradingAccount-1</t>
  </si>
  <si>
    <t>Equity</t>
  </si>
  <si>
    <t>Filled</t>
  </si>
  <si>
    <t>Market</t>
  </si>
  <si>
    <t>GetDataAllocation</t>
  </si>
  <si>
    <t>Current</t>
  </si>
  <si>
    <t>CheckUnallocatedGroups</t>
  </si>
  <si>
    <t>Open</t>
  </si>
  <si>
    <t>MICROSOFT INC</t>
  </si>
  <si>
    <t>USD</t>
  </si>
  <si>
    <t>M</t>
  </si>
  <si>
    <t>APPLE</t>
  </si>
  <si>
    <t>CheckAllocatedGroups</t>
  </si>
  <si>
    <t>PortfolioManagement</t>
  </si>
  <si>
    <t>CheckPortfolioManagement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</si>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</sst>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0" fontId="3" fillId="0" borderId="5" xfId="0" applyFont="1" applyBorder="1" applyAlignment="1"/>
    <xf numFmtId="0" fontId="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4" fontId="2" fillId="0" borderId="0" xfId="0" applyNumberFormat="1" applyFont="1"/>
    <xf numFmtId="0" fontId="13" fillId="0" borderId="0" xfId="0" applyFont="1" applyAlignment="1"/>
    <xf numFmtId="165" fontId="1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34" t="s">
        <v>0</v>
      </c>
      <c r="B1" s="35"/>
      <c r="C1" s="35"/>
      <c r="D1" s="35"/>
      <c r="E1" s="35"/>
      <c r="F1" s="36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7" t="s">
        <v>2</v>
      </c>
      <c r="B1" s="35"/>
      <c r="C1" s="36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4" t="s">
        <v>7</v>
      </c>
      <c r="B1" s="35"/>
      <c r="C1" s="35"/>
      <c r="D1" s="35"/>
      <c r="E1" s="35"/>
      <c r="F1" s="3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20</v>
      </c>
      <c r="C6" s="7" t="s">
        <v>21</v>
      </c>
      <c r="D6" s="7">
        <v>1000</v>
      </c>
      <c r="E6" s="7">
        <v>1000</v>
      </c>
      <c r="F6" s="6" t="s">
        <v>22</v>
      </c>
      <c r="G6" s="7" t="s">
        <v>23</v>
      </c>
      <c r="H6" s="5"/>
      <c r="I6" s="5"/>
      <c r="J6" s="7">
        <v>120</v>
      </c>
      <c r="K6" s="5"/>
      <c r="L6" s="5"/>
      <c r="M6" s="5"/>
      <c r="N6" s="26">
        <f t="shared" ref="N6:N9" ca="1" si="0">TODAY()</f>
        <v>44412</v>
      </c>
      <c r="O6" s="5"/>
    </row>
    <row r="7" spans="1:154" ht="15.75" customHeight="1">
      <c r="A7" s="5"/>
      <c r="B7" s="7" t="s">
        <v>24</v>
      </c>
      <c r="C7" s="7" t="s">
        <v>21</v>
      </c>
      <c r="D7" s="7">
        <v>1000</v>
      </c>
      <c r="E7" s="7">
        <v>1000</v>
      </c>
      <c r="F7" s="6" t="s">
        <v>25</v>
      </c>
      <c r="G7" s="7" t="s">
        <v>23</v>
      </c>
      <c r="H7" s="5"/>
      <c r="I7" s="5"/>
      <c r="J7" s="7">
        <v>130</v>
      </c>
      <c r="K7" s="5"/>
      <c r="L7" s="5"/>
      <c r="M7" s="5"/>
      <c r="N7" s="26">
        <f t="shared" ca="1" si="0"/>
        <v>44412</v>
      </c>
      <c r="O7" s="5"/>
    </row>
    <row r="8" spans="1:154" ht="15.75" customHeight="1">
      <c r="A8" s="5"/>
      <c r="B8" s="7" t="s">
        <v>20</v>
      </c>
      <c r="C8" s="7" t="s">
        <v>21</v>
      </c>
      <c r="D8" s="7">
        <v>1000</v>
      </c>
      <c r="E8" s="7">
        <v>1000</v>
      </c>
      <c r="F8" s="6" t="s">
        <v>26</v>
      </c>
      <c r="G8" s="7" t="s">
        <v>23</v>
      </c>
      <c r="H8" s="5"/>
      <c r="I8" s="5"/>
      <c r="J8" s="7">
        <v>120</v>
      </c>
      <c r="K8" s="5"/>
      <c r="L8" s="5"/>
      <c r="M8" s="5"/>
      <c r="N8" s="26">
        <f t="shared" ca="1" si="0"/>
        <v>44412</v>
      </c>
      <c r="O8" s="5"/>
    </row>
    <row r="9" spans="1:154" ht="15.75" customHeight="1">
      <c r="A9" s="5"/>
      <c r="B9" s="7" t="s">
        <v>24</v>
      </c>
      <c r="C9" s="7" t="s">
        <v>21</v>
      </c>
      <c r="D9" s="7">
        <v>1000</v>
      </c>
      <c r="E9" s="7">
        <v>1000</v>
      </c>
      <c r="F9" s="6" t="s">
        <v>26</v>
      </c>
      <c r="G9" s="7" t="s">
        <v>23</v>
      </c>
      <c r="H9" s="5"/>
      <c r="I9" s="5"/>
      <c r="J9" s="7">
        <v>130</v>
      </c>
      <c r="K9" s="5"/>
      <c r="L9" s="5"/>
      <c r="M9" s="5"/>
      <c r="N9" s="26">
        <f t="shared" ca="1" si="0"/>
        <v>44412</v>
      </c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120</v>
      </c>
      <c r="E6" s="25"/>
      <c r="F6" s="5"/>
      <c r="G6" s="7"/>
      <c r="H6" s="5"/>
      <c r="I6" s="5"/>
      <c r="J6" s="7" t="s">
        <v>20</v>
      </c>
      <c r="K6" s="7" t="s">
        <v>29</v>
      </c>
      <c r="L6" s="27" t="s">
        <v>30</v>
      </c>
      <c r="M6" s="5"/>
      <c r="N6" s="5"/>
      <c r="O6" s="5"/>
      <c r="AA6" s="6" t="s">
        <v>18</v>
      </c>
      <c r="AD6" s="6">
        <v>1</v>
      </c>
      <c r="AH6" s="6" t="s">
        <v>31</v>
      </c>
      <c r="AI6" s="6" t="s">
        <v>20</v>
      </c>
      <c r="AJ6" s="6" t="s">
        <v>21</v>
      </c>
      <c r="AK6" s="6" t="s">
        <v>32</v>
      </c>
      <c r="AL6" s="6">
        <v>1000</v>
      </c>
      <c r="AM6" s="6">
        <v>1000</v>
      </c>
      <c r="AN6" s="6">
        <v>100</v>
      </c>
      <c r="AQ6" s="6">
        <v>120</v>
      </c>
      <c r="AR6" s="6">
        <v>120</v>
      </c>
      <c r="AS6" s="6" t="s">
        <v>23</v>
      </c>
      <c r="AT6" s="6" t="s">
        <v>22</v>
      </c>
      <c r="AU6" s="6" t="s">
        <v>33</v>
      </c>
      <c r="AV6" s="28">
        <v>120000</v>
      </c>
      <c r="AW6" s="28">
        <v>120000</v>
      </c>
    </row>
    <row r="7" spans="1:154" ht="15.75" customHeight="1">
      <c r="A7" s="5"/>
      <c r="B7" s="5"/>
      <c r="C7" s="5"/>
      <c r="D7" s="7">
        <v>130</v>
      </c>
      <c r="E7" s="5"/>
      <c r="F7" s="5"/>
      <c r="G7" s="7"/>
      <c r="H7" s="5"/>
      <c r="I7" s="5"/>
      <c r="J7" s="7" t="s">
        <v>24</v>
      </c>
      <c r="K7" s="7" t="s">
        <v>29</v>
      </c>
      <c r="L7" s="27" t="s">
        <v>30</v>
      </c>
      <c r="M7" s="5"/>
      <c r="N7" s="5"/>
      <c r="O7" s="5"/>
      <c r="AA7" s="6" t="s">
        <v>18</v>
      </c>
      <c r="AD7" s="6">
        <v>1</v>
      </c>
      <c r="AH7" s="6" t="s">
        <v>31</v>
      </c>
      <c r="AI7" s="6" t="s">
        <v>24</v>
      </c>
      <c r="AJ7" s="6" t="s">
        <v>21</v>
      </c>
      <c r="AK7" s="6" t="s">
        <v>32</v>
      </c>
      <c r="AL7" s="6">
        <v>1000</v>
      </c>
      <c r="AM7" s="6">
        <v>1000</v>
      </c>
      <c r="AN7" s="6">
        <v>100</v>
      </c>
      <c r="AQ7" s="6">
        <v>130</v>
      </c>
      <c r="AR7" s="6">
        <v>130</v>
      </c>
      <c r="AS7" s="6" t="s">
        <v>23</v>
      </c>
      <c r="AT7" s="6" t="s">
        <v>25</v>
      </c>
      <c r="AU7" s="6" t="s">
        <v>33</v>
      </c>
      <c r="AV7" s="28">
        <v>130000</v>
      </c>
      <c r="AW7" s="28">
        <v>130000</v>
      </c>
    </row>
    <row r="8" spans="1:154" ht="15.75" customHeight="1">
      <c r="A8" s="5"/>
      <c r="B8" s="5"/>
      <c r="C8" s="5"/>
      <c r="D8" s="7">
        <v>120</v>
      </c>
      <c r="E8" s="5"/>
      <c r="F8" s="5"/>
      <c r="G8" s="7"/>
      <c r="H8" s="5"/>
      <c r="I8" s="5"/>
      <c r="J8" s="7" t="s">
        <v>20</v>
      </c>
      <c r="K8" s="7" t="s">
        <v>29</v>
      </c>
      <c r="L8" s="27" t="s">
        <v>30</v>
      </c>
      <c r="M8" s="5"/>
      <c r="N8" s="5"/>
      <c r="O8" s="5"/>
      <c r="AA8" s="6" t="s">
        <v>18</v>
      </c>
      <c r="AD8" s="6">
        <v>1</v>
      </c>
      <c r="AH8" s="6" t="s">
        <v>31</v>
      </c>
      <c r="AI8" s="6" t="s">
        <v>20</v>
      </c>
      <c r="AJ8" s="6" t="s">
        <v>21</v>
      </c>
      <c r="AK8" s="6" t="s">
        <v>32</v>
      </c>
      <c r="AL8" s="6">
        <v>1000</v>
      </c>
      <c r="AM8" s="6">
        <v>1000</v>
      </c>
      <c r="AN8" s="6">
        <v>100</v>
      </c>
      <c r="AQ8" s="6">
        <v>120</v>
      </c>
      <c r="AR8" s="6">
        <v>120</v>
      </c>
      <c r="AS8" s="6" t="s">
        <v>23</v>
      </c>
      <c r="AU8" s="6" t="s">
        <v>33</v>
      </c>
      <c r="AV8" s="28">
        <v>120000</v>
      </c>
      <c r="AW8" s="28">
        <v>120000</v>
      </c>
    </row>
    <row r="9" spans="1:154" ht="15.75" customHeight="1">
      <c r="A9" s="5"/>
      <c r="B9" s="5"/>
      <c r="C9" s="5"/>
      <c r="D9" s="7">
        <v>130</v>
      </c>
      <c r="E9" s="5"/>
      <c r="F9" s="5"/>
      <c r="G9" s="7"/>
      <c r="H9" s="5"/>
      <c r="I9" s="5"/>
      <c r="J9" s="7" t="s">
        <v>24</v>
      </c>
      <c r="K9" s="7" t="s">
        <v>29</v>
      </c>
      <c r="L9" s="27" t="s">
        <v>30</v>
      </c>
      <c r="M9" s="5"/>
      <c r="N9" s="5"/>
      <c r="O9" s="5"/>
      <c r="AA9" s="6" t="s">
        <v>18</v>
      </c>
      <c r="AD9" s="6">
        <v>1</v>
      </c>
      <c r="AH9" s="6" t="s">
        <v>31</v>
      </c>
      <c r="AI9" s="6" t="s">
        <v>24</v>
      </c>
      <c r="AJ9" s="6" t="s">
        <v>21</v>
      </c>
      <c r="AK9" s="6" t="s">
        <v>32</v>
      </c>
      <c r="AL9" s="6">
        <v>1000</v>
      </c>
      <c r="AM9" s="6">
        <v>1000</v>
      </c>
      <c r="AN9" s="6">
        <v>100</v>
      </c>
      <c r="AQ9" s="6">
        <v>130</v>
      </c>
      <c r="AR9" s="6">
        <v>130</v>
      </c>
      <c r="AS9" s="6" t="s">
        <v>23</v>
      </c>
      <c r="AU9" s="6" t="s">
        <v>33</v>
      </c>
      <c r="AV9" s="28">
        <v>130000</v>
      </c>
      <c r="AW9" s="28">
        <v>130000</v>
      </c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1c7aP-E18Fb8lEVGiXac03BLoNVdUNRzodD2Xjn-9pzU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IFERROR(__xludf.DUMMYFUNCTION("""COMPUTED_VALUE"""),"Accrual Basis")</f>
        <v>Accrual Basis</v>
      </c>
      <c r="C5" s="22" t="str">
        <f ca="1">IFERROR(__xludf.DUMMYFUNCTION("""COMPUTED_VALUE"""),"Accrued Interest")</f>
        <v>Accrued Interest</v>
      </c>
      <c r="D5" s="22" t="str">
        <f ca="1">IFERROR(__xludf.DUMMYFUNCTION("""COMPUTED_VALUE"""),"Allocated Qty")</f>
        <v>Allocated Qty</v>
      </c>
      <c r="E5" s="22" t="str">
        <f ca="1">IFERROR(__xludf.DUMMYFUNCTION("""COMPUTED_VALUE"""),"Allocation Scheme Name")</f>
        <v>Allocation Scheme Name</v>
      </c>
      <c r="F5" s="23" t="str">
        <f ca="1">IFERROR(__xludf.DUMMYFUNCTION("""COMPUTED_VALUE"""),"Asset Category")</f>
        <v>Asset Category</v>
      </c>
      <c r="G5" s="22" t="str">
        <f ca="1">IFERROR(__xludf.DUMMYFUNCTION("""COMPUTED_VALUE"""),"AUEC Fee1")</f>
        <v>AUEC Fee1</v>
      </c>
      <c r="H5" s="22" t="str">
        <f ca="1">IFERROR(__xludf.DUMMYFUNCTION("""COMPUTED_VALUE"""),"AUEC Fee2")</f>
        <v>AUEC Fee2</v>
      </c>
      <c r="I5" s="22" t="str">
        <f ca="1">IFERROR(__xludf.DUMMYFUNCTION("""COMPUTED_VALUE"""),"AUECID")</f>
        <v>AUECID</v>
      </c>
      <c r="J5" s="22" t="str">
        <f ca="1">IFERROR(__xludf.DUMMYFUNCTION("""COMPUTED_VALUE"""),"Avg Price(Base)")</f>
        <v>Avg Price(Base)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IFERROR(__xludf.DUMMYFUNCTION("""COMPUTED_VALUE"""),"Bloomberg")</f>
        <v>Bloomberg</v>
      </c>
      <c r="M5" s="22" t="str">
        <f ca="1">IFERROR(__xludf.DUMMYFUNCTION("""COMPUTED_VALUE"""),"Bond Type")</f>
        <v>Bond Type</v>
      </c>
      <c r="N5" s="22" t="str">
        <f ca="1">IFERROR(__xludf.DUMMYFUNCTION("""COMPUTED_VALUE"""),"Broker")</f>
        <v>Broker</v>
      </c>
      <c r="O5" s="22" t="str">
        <f ca="1">IFERROR(__xludf.DUMMYFUNCTION("""COMPUTED_VALUE"""),"Change Comment")</f>
        <v>Change Comment</v>
      </c>
      <c r="P5" s="22" t="str">
        <f ca="1">IFERROR(__xludf.DUMMYFUNCTION("""COMPUTED_VALUE"""),"Change Type")</f>
        <v>Change Type</v>
      </c>
      <c r="Q5" s="22" t="str">
        <f ca="1">IFERROR(__xludf.DUMMYFUNCTION("""COMPUTED_VALUE"""),"Clearing Broker Fee")</f>
        <v>Clearing Broker Fee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IFERROR(__xludf.DUMMYFUNCTION("""COMPUTED_VALUE"""),"Execution Time")</f>
        <v>Execution Time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IFERROR(__xludf.DUMMYFUNCTION("""COMPUTED_VALUE"""),"FX Rate")</f>
        <v>FX Rate</v>
      </c>
      <c r="AI5" s="24" t="str">
        <f ca="1">IFERROR(__xludf.DUMMYFUNCTION("""COMPUTED_VALUE"""),"Group Status")</f>
        <v>Group Status</v>
      </c>
      <c r="AJ5" s="24" t="str">
        <f ca="1">IFERROR(__xludf.DUMMYFUNCTION("""COMPUTED_VALUE"""),"GroupID")</f>
        <v>GroupID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IFERROR(__xludf.DUMMYFUNCTION("""COMPUTED_VALUE"""),"Symbol")</f>
        <v>Symbol</v>
      </c>
      <c r="BT5" s="24" t="str">
        <f ca="1">IFERROR(__xludf.DUMMYFUNCTION("""COMPUTED_VALUE"""),"Tax On Commissions")</f>
        <v>Tax On Commissions</v>
      </c>
      <c r="BU5" s="24" t="str">
        <f ca="1">IFERROR(__xludf.DUMMYFUNCTION("""COMPUTED_VALUE"""),"Total Commission")</f>
        <v>Total Commission</v>
      </c>
      <c r="BV5" s="24" t="str">
        <f ca="1">IFERROR(__xludf.DUMMYFUNCTION("""COMPUTED_VALUE"""),"Total Commission And Fee")</f>
        <v>Total Commission And Fee</v>
      </c>
      <c r="BW5" s="24" t="str">
        <f ca="1">IFERROR(__xludf.DUMMYFUNCTION("""COMPUTED_VALUE"""),"Total Commission Per Share")</f>
        <v>Total Commission Per Share</v>
      </c>
      <c r="BX5" s="24" t="str">
        <f ca="1">IFERROR(__xludf.DUMMYFUNCTION("""COMPUTED_VALUE"""),"Trade Attribute 1")</f>
        <v>Trade Attribute 1</v>
      </c>
      <c r="BY5" s="24" t="str">
        <f ca="1">IFERROR(__xludf.DUMMYFUNCTION("""COMPUTED_VALUE"""),"Trade Attribute 2")</f>
        <v>Trade Attribute 2</v>
      </c>
      <c r="BZ5" s="24" t="str">
        <f ca="1">IFERROR(__xludf.DUMMYFUNCTION("""COMPUTED_VALUE"""),"Trade Attribute 3")</f>
        <v>Trade Attribute 3</v>
      </c>
      <c r="CA5" s="24" t="str">
        <f ca="1">IFERROR(__xludf.DUMMYFUNCTION("""COMPUTED_VALUE"""),"Trade Attribute 4")</f>
        <v>Trade Attribute 4</v>
      </c>
      <c r="CB5" s="24" t="str">
        <f ca="1">IFERROR(__xludf.DUMMYFUNCTION("""COMPUTED_VALUE"""),"Trade Attribute 5")</f>
        <v>Trade Attribute 5</v>
      </c>
      <c r="CC5" s="24" t="str">
        <f ca="1">IFERROR(__xludf.DUMMYFUNCTION("""COMPUTED_VALUE"""),"Trade Attribute 6")</f>
        <v>Trade Attribute 6</v>
      </c>
      <c r="CD5" s="24" t="str">
        <f ca="1">IFERROR(__xludf.DUMMYFUNCTION("""COMPUTED_VALUE"""),"Trade Date")</f>
        <v>Trade Date</v>
      </c>
      <c r="CE5" s="24" t="str">
        <f ca="1">IFERROR(__xludf.DUMMYFUNCTION("""COMPUTED_VALUE"""),"Trading Account")</f>
        <v>Trading Account</v>
      </c>
      <c r="CF5" s="24" t="str">
        <f ca="1">IFERROR(__xludf.DUMMYFUNCTION("""COMPUTED_VALUE"""),"Transaction Levy")</f>
        <v>Transaction Levy</v>
      </c>
      <c r="CG5" s="24" t="str">
        <f ca="1">IFERROR(__xludf.DUMMYFUNCTION("""COMPUTED_VALUE"""),"Transaction Source")</f>
        <v>Transaction Source</v>
      </c>
      <c r="CH5" s="24" t="str">
        <f ca="1">IFERROR(__xludf.DUMMYFUNCTION("""COMPUTED_VALUE"""),"Transaction Type")</f>
        <v>Transaction Type</v>
      </c>
      <c r="CI5" s="24" t="str">
        <f ca="1">IFERROR(__xludf.DUMMYFUNCTION("""COMPUTED_VALUE"""),"UnAllocatedQty")</f>
        <v>UnAllocatedQty</v>
      </c>
      <c r="CJ5" s="24" t="str">
        <f ca="1">IFERROR(__xludf.DUMMYFUNCTION("""COMPUTED_VALUE"""),"Underlying")</f>
        <v>Underlying</v>
      </c>
      <c r="CK5" s="24" t="str">
        <f ca="1">IFERROR(__xludf.DUMMYFUNCTION("""COMPUTED_VALUE"""),"Underlying Delta")</f>
        <v>Underlying Delta</v>
      </c>
      <c r="CL5" s="24" t="str">
        <f ca="1">IFERROR(__xludf.DUMMYFUNCTION("""COMPUTED_VALUE"""),"Underlying Symbol")</f>
        <v>Underlying Symbol</v>
      </c>
      <c r="CM5" s="24" t="str">
        <f ca="1">IFERROR(__xludf.DUMMYFUNCTION("""COMPUTED_VALUE"""),"User")</f>
        <v>User</v>
      </c>
      <c r="CN5" s="24" t="str">
        <f ca="1">IFERROR(__xludf.DUMMYFUNCTION("""COMPUTED_VALUE"""),"Venue")</f>
        <v>Venue</v>
      </c>
      <c r="CO5" s="24" t="str">
        <f ca="1">IFERROR(__xludf.DUMMYFUNCTION("""COMPUTED_VALUE"""),"Closing Date")</f>
        <v>Closing Date</v>
      </c>
      <c r="CP5" s="24" t="str">
        <f ca="1">IFERROR(__xludf.DUMMYFUNCTION("""COMPUTED_VALUE"""),"Expiration Date")</f>
        <v>Expiration Date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29">
        <v>0</v>
      </c>
      <c r="E6" s="25"/>
      <c r="F6" s="7" t="s">
        <v>31</v>
      </c>
      <c r="G6" s="29">
        <v>4</v>
      </c>
      <c r="H6" s="29">
        <v>5</v>
      </c>
      <c r="I6" s="5"/>
      <c r="J6" s="29">
        <v>120</v>
      </c>
      <c r="K6" s="29">
        <v>120</v>
      </c>
      <c r="L6" s="5"/>
      <c r="M6" s="5"/>
      <c r="N6" s="7" t="s">
        <v>23</v>
      </c>
      <c r="O6" s="5"/>
      <c r="Q6" s="29">
        <v>0</v>
      </c>
      <c r="S6" s="30" t="s">
        <v>37</v>
      </c>
      <c r="T6" s="29">
        <v>0</v>
      </c>
      <c r="U6" s="29">
        <v>0</v>
      </c>
      <c r="V6" s="30" t="s">
        <v>38</v>
      </c>
      <c r="Z6" s="30" t="s">
        <v>39</v>
      </c>
      <c r="AE6" s="29">
        <v>1000</v>
      </c>
      <c r="AG6" s="30" t="s">
        <v>40</v>
      </c>
      <c r="AH6" s="29">
        <v>1</v>
      </c>
      <c r="AT6" s="29">
        <v>120014.0672</v>
      </c>
      <c r="AU6" s="29">
        <v>120014.0672</v>
      </c>
      <c r="AY6" s="30" t="s">
        <v>33</v>
      </c>
      <c r="BE6" s="29">
        <v>120000</v>
      </c>
      <c r="BF6" s="29">
        <v>120000</v>
      </c>
      <c r="BJ6" s="29">
        <v>1000</v>
      </c>
      <c r="BO6" s="30" t="s">
        <v>21</v>
      </c>
      <c r="BS6" s="30" t="s">
        <v>20</v>
      </c>
      <c r="BT6" s="29">
        <v>3</v>
      </c>
      <c r="BU6" s="29">
        <v>0</v>
      </c>
      <c r="BV6" s="29">
        <v>14.0672</v>
      </c>
      <c r="BW6" s="29">
        <v>0</v>
      </c>
      <c r="CD6" s="31">
        <f t="shared" ref="CD6:CD7" ca="1" si="0">TODAY()</f>
        <v>44412</v>
      </c>
      <c r="CE6" s="30" t="s">
        <v>30</v>
      </c>
      <c r="CF6" s="29">
        <v>2</v>
      </c>
      <c r="CG6" s="30" t="s">
        <v>16</v>
      </c>
      <c r="CH6" s="30" t="s">
        <v>21</v>
      </c>
      <c r="CQ6" s="6" t="s">
        <v>18</v>
      </c>
    </row>
    <row r="7" spans="1:154" ht="15" customHeight="1">
      <c r="A7" s="5"/>
      <c r="B7" s="5"/>
      <c r="C7" s="5"/>
      <c r="D7" s="29">
        <v>0</v>
      </c>
      <c r="E7" s="5"/>
      <c r="F7" s="7" t="s">
        <v>31</v>
      </c>
      <c r="G7" s="29">
        <v>4</v>
      </c>
      <c r="H7" s="29">
        <v>5</v>
      </c>
      <c r="I7" s="5"/>
      <c r="J7" s="29">
        <v>130</v>
      </c>
      <c r="K7" s="29">
        <v>130</v>
      </c>
      <c r="L7" s="5"/>
      <c r="M7" s="5"/>
      <c r="N7" s="7" t="s">
        <v>23</v>
      </c>
      <c r="O7" s="5"/>
      <c r="Q7" s="29">
        <v>0</v>
      </c>
      <c r="S7" s="30" t="s">
        <v>37</v>
      </c>
      <c r="T7" s="29">
        <v>0</v>
      </c>
      <c r="U7" s="29">
        <v>0</v>
      </c>
      <c r="V7" s="30" t="s">
        <v>41</v>
      </c>
      <c r="Z7" s="30" t="s">
        <v>39</v>
      </c>
      <c r="AE7" s="29">
        <v>1000</v>
      </c>
      <c r="AG7" s="30" t="s">
        <v>40</v>
      </c>
      <c r="AH7" s="29">
        <v>1</v>
      </c>
      <c r="AT7" s="29">
        <v>130014.07279999999</v>
      </c>
      <c r="AU7" s="29">
        <v>130014.07279999999</v>
      </c>
      <c r="AY7" s="30" t="s">
        <v>33</v>
      </c>
      <c r="BE7" s="29">
        <v>130000</v>
      </c>
      <c r="BF7" s="29">
        <v>130000</v>
      </c>
      <c r="BJ7" s="29">
        <v>1000</v>
      </c>
      <c r="BO7" s="30" t="s">
        <v>21</v>
      </c>
      <c r="BS7" s="30" t="s">
        <v>24</v>
      </c>
      <c r="BT7" s="29">
        <v>3</v>
      </c>
      <c r="BU7" s="29">
        <v>0</v>
      </c>
      <c r="BV7" s="29">
        <v>14.072800000000001</v>
      </c>
      <c r="BW7" s="29">
        <v>0</v>
      </c>
      <c r="CD7" s="31">
        <f t="shared" ca="1" si="0"/>
        <v>44412</v>
      </c>
      <c r="CE7" s="30" t="s">
        <v>30</v>
      </c>
      <c r="CF7" s="29">
        <v>2</v>
      </c>
      <c r="CG7" s="30" t="s">
        <v>16</v>
      </c>
      <c r="CH7" s="30" t="s">
        <v>21</v>
      </c>
      <c r="CQ7" s="6" t="s">
        <v>18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CE8" s="30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32" t="s">
        <v>22</v>
      </c>
      <c r="C6" s="5"/>
      <c r="D6" s="7"/>
      <c r="E6" s="29">
        <v>1000</v>
      </c>
      <c r="F6" s="5"/>
      <c r="G6" s="30" t="s">
        <v>31</v>
      </c>
      <c r="H6" s="29">
        <v>4</v>
      </c>
      <c r="I6" s="29">
        <v>5</v>
      </c>
      <c r="J6" s="5"/>
      <c r="K6" s="29">
        <v>120</v>
      </c>
      <c r="L6" s="29">
        <v>120</v>
      </c>
      <c r="M6" s="5"/>
      <c r="N6" s="5"/>
      <c r="O6" s="30" t="s">
        <v>23</v>
      </c>
      <c r="AE6" s="29">
        <v>1000</v>
      </c>
      <c r="AT6" s="29">
        <v>120014.0672</v>
      </c>
      <c r="AU6" s="29">
        <v>120014.0672</v>
      </c>
      <c r="AY6" s="6" t="s">
        <v>33</v>
      </c>
      <c r="BE6" s="29">
        <v>120000</v>
      </c>
      <c r="BF6" s="29">
        <v>120000</v>
      </c>
      <c r="BJ6" s="6">
        <v>1000</v>
      </c>
      <c r="BO6" s="30" t="s">
        <v>21</v>
      </c>
      <c r="BT6" s="30" t="s">
        <v>20</v>
      </c>
      <c r="BU6" s="29">
        <v>3</v>
      </c>
      <c r="BV6" s="6">
        <v>0</v>
      </c>
      <c r="BW6" s="29">
        <v>14.0672</v>
      </c>
      <c r="BX6" s="6">
        <v>0</v>
      </c>
      <c r="CE6" s="31">
        <f t="shared" ref="CE6:CE7" ca="1" si="0">TODAY()</f>
        <v>44412</v>
      </c>
      <c r="CF6" s="30" t="s">
        <v>30</v>
      </c>
      <c r="CG6" s="29">
        <v>2</v>
      </c>
    </row>
    <row r="7" spans="1:154" ht="15.75" customHeight="1">
      <c r="A7" s="5"/>
      <c r="B7" s="30" t="s">
        <v>25</v>
      </c>
      <c r="C7" s="5"/>
      <c r="D7" s="5"/>
      <c r="E7" s="29">
        <v>1000</v>
      </c>
      <c r="F7" s="5"/>
      <c r="G7" s="30" t="s">
        <v>31</v>
      </c>
      <c r="H7" s="29">
        <v>4</v>
      </c>
      <c r="I7" s="29">
        <v>5</v>
      </c>
      <c r="J7" s="5"/>
      <c r="K7" s="29">
        <v>130</v>
      </c>
      <c r="L7" s="29">
        <v>130</v>
      </c>
      <c r="M7" s="5"/>
      <c r="N7" s="5"/>
      <c r="O7" s="30" t="s">
        <v>23</v>
      </c>
      <c r="AE7" s="29">
        <v>1000</v>
      </c>
      <c r="AT7" s="29">
        <v>130014.07279999999</v>
      </c>
      <c r="AU7" s="29">
        <v>130014.07279999999</v>
      </c>
      <c r="AY7" s="6" t="s">
        <v>33</v>
      </c>
      <c r="BE7" s="29">
        <v>130000</v>
      </c>
      <c r="BF7" s="29">
        <v>130000</v>
      </c>
      <c r="BJ7" s="6">
        <v>1000</v>
      </c>
      <c r="BO7" s="30" t="s">
        <v>21</v>
      </c>
      <c r="BT7" s="30" t="s">
        <v>24</v>
      </c>
      <c r="BU7" s="29">
        <v>3</v>
      </c>
      <c r="BV7" s="6">
        <v>0</v>
      </c>
      <c r="BW7" s="29">
        <v>14.072800000000001</v>
      </c>
      <c r="BX7" s="6">
        <v>0</v>
      </c>
      <c r="CE7" s="31">
        <f t="shared" ca="1" si="0"/>
        <v>44412</v>
      </c>
      <c r="CF7" s="30" t="s">
        <v>30</v>
      </c>
      <c r="CG7" s="29">
        <v>2</v>
      </c>
    </row>
    <row r="8" spans="1:154" ht="15.75" customHeight="1">
      <c r="A8" s="5"/>
      <c r="B8" s="30"/>
      <c r="C8" s="5"/>
      <c r="D8" s="5"/>
      <c r="E8" s="30"/>
      <c r="F8" s="5"/>
      <c r="G8" s="30"/>
      <c r="H8" s="30"/>
      <c r="I8" s="30"/>
      <c r="J8" s="5"/>
      <c r="K8" s="30"/>
      <c r="L8" s="30"/>
      <c r="M8" s="5"/>
      <c r="N8" s="5"/>
      <c r="O8" s="30"/>
      <c r="AE8" s="30"/>
      <c r="AT8" s="30"/>
      <c r="AU8" s="30"/>
      <c r="BE8" s="30"/>
      <c r="BF8" s="30"/>
      <c r="BO8" s="30"/>
      <c r="BT8" s="30"/>
      <c r="BU8" s="30"/>
      <c r="BW8" s="30"/>
      <c r="CF8" s="30"/>
      <c r="CG8" s="30"/>
    </row>
    <row r="9" spans="1:154" ht="15.75" customHeight="1">
      <c r="A9" s="5"/>
      <c r="B9" s="5"/>
      <c r="C9" s="5"/>
      <c r="D9" s="5"/>
      <c r="E9" s="5"/>
      <c r="F9" s="5"/>
      <c r="G9" s="5"/>
      <c r="H9" s="30"/>
      <c r="I9" s="5"/>
      <c r="J9" s="5"/>
      <c r="K9" s="30"/>
      <c r="L9" s="30"/>
      <c r="M9" s="5"/>
      <c r="N9" s="5"/>
      <c r="O9" s="5"/>
      <c r="CG9" s="30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43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45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>
      <c r="A6" s="7"/>
      <c r="B6" s="5"/>
      <c r="C6" s="7" t="s">
        <v>20</v>
      </c>
      <c r="D6" s="33">
        <v>1000</v>
      </c>
      <c r="E6" s="7" t="s">
        <v>22</v>
      </c>
      <c r="F6" s="7" t="s">
        <v>18</v>
      </c>
      <c r="G6" s="33">
        <v>120</v>
      </c>
      <c r="H6" s="5"/>
      <c r="I6" s="5"/>
      <c r="J6" s="5"/>
      <c r="K6" s="33"/>
      <c r="L6" s="5"/>
      <c r="M6" s="5"/>
      <c r="N6" s="5"/>
      <c r="O6" s="30" t="s">
        <v>38</v>
      </c>
      <c r="T6" s="30" t="s">
        <v>31</v>
      </c>
      <c r="U6" s="30" t="s">
        <v>29</v>
      </c>
      <c r="AN6" s="6" t="s">
        <v>21</v>
      </c>
      <c r="AQ6" s="30" t="s">
        <v>20</v>
      </c>
      <c r="BR6" s="6" t="s">
        <v>23</v>
      </c>
      <c r="CW6" s="30" t="s">
        <v>18</v>
      </c>
    </row>
    <row r="7" spans="1:167" ht="15.75" customHeight="1">
      <c r="A7" s="5"/>
      <c r="B7" s="5"/>
      <c r="C7" s="7" t="s">
        <v>24</v>
      </c>
      <c r="D7" s="33">
        <v>1000</v>
      </c>
      <c r="E7" s="7" t="s">
        <v>25</v>
      </c>
      <c r="F7" s="7" t="s">
        <v>18</v>
      </c>
      <c r="G7" s="33">
        <v>130</v>
      </c>
      <c r="H7" s="5"/>
      <c r="I7" s="5"/>
      <c r="J7" s="5"/>
      <c r="K7" s="33"/>
      <c r="L7" s="5"/>
      <c r="M7" s="5"/>
      <c r="N7" s="5"/>
      <c r="O7" s="30" t="s">
        <v>41</v>
      </c>
      <c r="T7" s="30" t="s">
        <v>31</v>
      </c>
      <c r="U7" s="30" t="s">
        <v>29</v>
      </c>
      <c r="AN7" s="6" t="s">
        <v>21</v>
      </c>
      <c r="AQ7" s="30" t="s">
        <v>24</v>
      </c>
      <c r="BR7" s="6" t="s">
        <v>23</v>
      </c>
      <c r="CW7" s="30" t="s">
        <v>18</v>
      </c>
    </row>
    <row r="8" spans="1:167" ht="15.75" customHeight="1">
      <c r="A8" s="5"/>
      <c r="B8" s="5"/>
      <c r="C8" s="7" t="s">
        <v>20</v>
      </c>
      <c r="D8" s="33">
        <v>1000</v>
      </c>
      <c r="E8" s="5"/>
      <c r="F8" s="7" t="s">
        <v>18</v>
      </c>
      <c r="G8" s="33">
        <v>120</v>
      </c>
      <c r="H8" s="5"/>
      <c r="I8" s="5"/>
      <c r="J8" s="5"/>
      <c r="K8" s="33"/>
      <c r="L8" s="5"/>
      <c r="M8" s="5"/>
      <c r="N8" s="5"/>
      <c r="O8" s="30" t="s">
        <v>38</v>
      </c>
      <c r="T8" s="30" t="s">
        <v>31</v>
      </c>
      <c r="U8" s="30" t="s">
        <v>29</v>
      </c>
      <c r="AN8" s="6" t="s">
        <v>21</v>
      </c>
      <c r="AQ8" s="30" t="s">
        <v>20</v>
      </c>
      <c r="BR8" s="6" t="s">
        <v>23</v>
      </c>
      <c r="CW8" s="30" t="s">
        <v>18</v>
      </c>
    </row>
    <row r="9" spans="1:167" ht="15.75" customHeight="1">
      <c r="A9" s="5"/>
      <c r="B9" s="5"/>
      <c r="C9" s="7" t="s">
        <v>24</v>
      </c>
      <c r="D9" s="33">
        <v>1000</v>
      </c>
      <c r="E9" s="5"/>
      <c r="F9" s="7" t="s">
        <v>18</v>
      </c>
      <c r="G9" s="33">
        <v>130</v>
      </c>
      <c r="H9" s="5"/>
      <c r="I9" s="5"/>
      <c r="J9" s="5"/>
      <c r="K9" s="33"/>
      <c r="L9" s="5"/>
      <c r="M9" s="5"/>
      <c r="N9" s="5"/>
      <c r="O9" s="30" t="s">
        <v>41</v>
      </c>
      <c r="T9" s="30" t="s">
        <v>31</v>
      </c>
      <c r="U9" s="30" t="s">
        <v>29</v>
      </c>
      <c r="AN9" s="6" t="s">
        <v>21</v>
      </c>
      <c r="AQ9" s="30" t="s">
        <v>24</v>
      </c>
      <c r="BR9" s="6" t="s">
        <v>23</v>
      </c>
      <c r="CW9" s="30" t="s">
        <v>18</v>
      </c>
    </row>
    <row r="10" spans="1:167" ht="15.75" customHeight="1">
      <c r="A10" s="5"/>
      <c r="B10" s="5"/>
      <c r="C10" s="5"/>
      <c r="D10" s="5"/>
      <c r="E10" s="5"/>
      <c r="F10" s="5"/>
      <c r="G10" s="30"/>
      <c r="H10" s="5"/>
      <c r="I10" s="5"/>
      <c r="J10" s="5"/>
      <c r="K10" s="30"/>
      <c r="L10" s="5"/>
      <c r="M10" s="5"/>
      <c r="N10" s="5"/>
      <c r="O10" s="30"/>
      <c r="T10" s="30"/>
      <c r="U10" s="30"/>
      <c r="AQ10" s="30"/>
      <c r="CW10" s="30"/>
    </row>
    <row r="11" spans="1:167" ht="15.75" customHeight="1">
      <c r="A11" s="5"/>
      <c r="B11" s="5"/>
      <c r="C11" s="5"/>
      <c r="D11" s="5"/>
      <c r="E11" s="5"/>
      <c r="F11" s="5"/>
      <c r="G11" s="30"/>
      <c r="H11" s="5"/>
      <c r="I11" s="5"/>
      <c r="J11" s="5"/>
      <c r="K11" s="5"/>
      <c r="L11" s="5"/>
      <c r="M11" s="5"/>
      <c r="N11" s="5"/>
      <c r="O11" s="5"/>
      <c r="T11" s="30"/>
      <c r="U11" s="30"/>
      <c r="AQ11" s="30"/>
      <c r="CW11" s="30"/>
    </row>
    <row r="12" spans="1:167" ht="15.75" customHeight="1">
      <c r="A12" s="5"/>
      <c r="B12" s="5"/>
      <c r="C12" s="5"/>
      <c r="D12" s="5"/>
      <c r="E12" s="5"/>
      <c r="F12" s="5"/>
      <c r="G12" s="30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ShowMasterFundOnTT</vt:lpstr>
      <vt:lpstr>UpdateMasterFundOnTT</vt:lpstr>
      <vt:lpstr>CreateDoneAwayOrder</vt:lpstr>
      <vt:lpstr>VerifyOrder</vt:lpstr>
      <vt:lpstr>GetDataAllocation</vt:lpstr>
      <vt:lpstr>CheckUnallocatedGroups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2021-08-04T10:30:10Z</dcterms:modified>
</cp:coreProperties>
</file>