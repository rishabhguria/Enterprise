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DailyCash" sheetId="8" r:id="rId10"/>
    <sheet state="visible" name="FetchAccountPositions" sheetId="9" r:id="rId11"/>
    <sheet state="visible" name="AddCash" sheetId="10" r:id="rId12"/>
    <sheet state="visible" name="RunRebalance" sheetId="11" r:id="rId13"/>
    <sheet state="visible" name="VerifyGridData" sheetId="12" r:id="rId14"/>
    <sheet state="visible" name="SendtoStaging" sheetId="13" r:id="rId15"/>
  </sheets>
  <definedNames/>
  <calcPr/>
</workbook>
</file>

<file path=xl/sharedStrings.xml><?xml version="1.0" encoding="utf-8"?>
<sst xmlns="http://schemas.openxmlformats.org/spreadsheetml/2006/main" count="142" uniqueCount="49">
  <si>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</si>
  <si>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</si>
  <si>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</si>
  <si>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</si>
  <si>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</si>
  <si>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</si>
  <si>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</si>
  <si>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</si>
  <si>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</si>
  <si>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</si>
  <si>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</si>
  <si>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</si>
  <si>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</si>
  <si>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</si>
  <si>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</si>
  <si>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</si>
  <si>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FB</t>
  </si>
  <si>
    <t>DY</t>
  </si>
  <si>
    <t>ZAYO</t>
  </si>
  <si>
    <t>LSCC</t>
  </si>
  <si>
    <t>TradingTicket</t>
  </si>
  <si>
    <t>CreateDoneAwayOrder</t>
  </si>
  <si>
    <t>Buy</t>
  </si>
  <si>
    <t>Sell short</t>
  </si>
  <si>
    <t>PricingInput</t>
  </si>
  <si>
    <t>DailyValuation</t>
  </si>
  <si>
    <t>GetDailyCash</t>
  </si>
  <si>
    <t>UpdateDailyCash</t>
  </si>
  <si>
    <t>Allocation1</t>
  </si>
  <si>
    <t>USD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</si>
  <si>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</si>
  <si>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</si>
  <si>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</si>
  <si>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</si>
  <si>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</si>
  <si>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</si>
  <si>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</si>
  <si>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</si>
  <si>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</si>
  <si>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Round Down</t>
  </si>
  <si>
    <t>VerifyGridData</t>
  </si>
  <si>
    <t>Equity</t>
  </si>
  <si>
    <t>Long</t>
  </si>
  <si>
    <t>Short</t>
  </si>
  <si>
    <t>Accruals</t>
  </si>
  <si>
    <t>Cash</t>
  </si>
  <si>
    <t>SendtoStaging</t>
  </si>
  <si>
    <t>Sell</t>
  </si>
  <si>
    <t>BuyToClose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</si>
</sst>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0" fillId="0" fontId="5" numFmtId="14" xfId="0" applyAlignment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horizontal="right" vertical="bottom"/>
    </xf>
    <xf borderId="5" fillId="0" fontId="13" numFmtId="0" xfId="0" applyAlignment="1" applyBorder="1" applyFont="1">
      <alignment horizontal="right" readingOrder="0" vertical="bottom"/>
    </xf>
    <xf borderId="5" fillId="0" fontId="13" numFmtId="3" xfId="0" applyAlignment="1" applyBorder="1" applyFont="1" applyNumberFormat="1">
      <alignment horizontal="right" readingOrder="0" vertical="bottom"/>
    </xf>
    <xf borderId="0" fillId="0" fontId="3" numFmtId="3" xfId="0" applyAlignment="1" applyFont="1" applyNumberFormat="1">
      <alignment vertical="bottom"/>
    </xf>
    <xf borderId="0" fillId="0" fontId="1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13" numFmtId="0" xfId="0" applyAlignment="1" applyFont="1">
      <alignment horizontal="right" readingOrder="0" vertical="bottom"/>
    </xf>
    <xf borderId="0" fillId="0" fontId="13" numFmtId="3" xfId="0" applyAlignment="1" applyFont="1" applyNumberFormat="1">
      <alignment horizontal="right" readingOrder="0" vertical="bottom"/>
    </xf>
    <xf borderId="0" fillId="0" fontId="1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2">
        <v>100.0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17</v>
      </c>
      <c r="C7" s="3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1" t="s">
        <v>18</v>
      </c>
      <c r="C8" s="33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1" t="s">
        <v>19</v>
      </c>
      <c r="C9" s="33">
        <v>1.0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4"/>
      <c r="C10" s="34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16</v>
      </c>
      <c r="C6" s="35" t="s">
        <v>22</v>
      </c>
      <c r="D6" s="32">
        <v>600.0</v>
      </c>
      <c r="E6" s="35"/>
      <c r="F6" s="35"/>
      <c r="G6" s="35"/>
      <c r="H6" s="35"/>
      <c r="I6" s="35"/>
      <c r="J6" s="32">
        <v>10.0</v>
      </c>
      <c r="K6" s="35"/>
      <c r="L6" s="35"/>
      <c r="M6" s="35"/>
      <c r="N6" s="36">
        <f t="shared" ref="N6:N9" si="1">today()-1</f>
        <v>44865</v>
      </c>
      <c r="O6" s="35"/>
      <c r="P6" s="35"/>
      <c r="Q6" s="35"/>
      <c r="R6" s="35"/>
      <c r="S6" s="35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17</v>
      </c>
      <c r="C7" s="34" t="s">
        <v>22</v>
      </c>
      <c r="D7" s="33">
        <v>100.0</v>
      </c>
      <c r="E7" s="34"/>
      <c r="F7" s="34"/>
      <c r="G7" s="34"/>
      <c r="H7" s="34"/>
      <c r="I7" s="34"/>
      <c r="J7" s="33">
        <v>10.0</v>
      </c>
      <c r="K7" s="34"/>
      <c r="L7" s="34"/>
      <c r="M7" s="34"/>
      <c r="N7" s="37">
        <f t="shared" si="1"/>
        <v>44865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18</v>
      </c>
      <c r="C8" s="34" t="s">
        <v>23</v>
      </c>
      <c r="D8" s="33">
        <v>100.0</v>
      </c>
      <c r="E8" s="34"/>
      <c r="F8" s="34"/>
      <c r="G8" s="34"/>
      <c r="H8" s="34"/>
      <c r="I8" s="34"/>
      <c r="J8" s="33">
        <v>10.0</v>
      </c>
      <c r="K8" s="34"/>
      <c r="L8" s="34"/>
      <c r="M8" s="34"/>
      <c r="N8" s="37">
        <f t="shared" si="1"/>
        <v>44865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19</v>
      </c>
      <c r="C9" s="34" t="s">
        <v>22</v>
      </c>
      <c r="D9" s="33">
        <v>600.0</v>
      </c>
      <c r="E9" s="34"/>
      <c r="F9" s="34"/>
      <c r="G9" s="34"/>
      <c r="H9" s="34"/>
      <c r="I9" s="34"/>
      <c r="J9" s="33">
        <v>10.0</v>
      </c>
      <c r="K9" s="34"/>
      <c r="L9" s="34"/>
      <c r="M9" s="34"/>
      <c r="N9" s="37">
        <f t="shared" si="1"/>
        <v>44865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2">
        <v>194.32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17</v>
      </c>
      <c r="C7" s="33">
        <v>94.51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1" t="s">
        <v>18</v>
      </c>
      <c r="C8" s="33">
        <v>36.48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1" t="s">
        <v>19</v>
      </c>
      <c r="C9" s="33">
        <v>6.56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7">
        <f t="shared" ref="B6:C6" si="1">today()-1</f>
        <v>44865</v>
      </c>
      <c r="C6" s="36">
        <f t="shared" si="1"/>
        <v>44865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28</v>
      </c>
      <c r="C6" s="38" t="s">
        <v>29</v>
      </c>
      <c r="D6" s="32">
        <v>40000.0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/>
      <c r="C7" s="34"/>
      <c r="D7" s="34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8" t="s">
        <v>28</v>
      </c>
      <c r="C6" s="35" t="s">
        <v>32</v>
      </c>
      <c r="D6" s="35" t="s">
        <v>33</v>
      </c>
      <c r="E6" s="35" t="s">
        <v>34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9">
        <v>-100000.0</v>
      </c>
      <c r="C6" s="35" t="s">
        <v>36</v>
      </c>
      <c r="D6" s="35" t="s">
        <v>37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/>
      <c r="C7" s="34"/>
      <c r="D7" s="34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39</v>
      </c>
      <c r="C6" s="40" t="b">
        <v>1</v>
      </c>
      <c r="D6" s="41" t="b">
        <v>1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/>
      <c r="C7" s="34"/>
      <c r="D7" s="34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/>
      <c r="C8" s="34"/>
      <c r="D8" s="34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42" t="s">
        <v>28</v>
      </c>
      <c r="D6" s="42" t="s">
        <v>17</v>
      </c>
      <c r="E6" s="42" t="s">
        <v>41</v>
      </c>
      <c r="F6" s="42" t="s">
        <v>42</v>
      </c>
      <c r="G6" s="43">
        <v>94.51</v>
      </c>
      <c r="H6" s="43">
        <v>94.51</v>
      </c>
      <c r="I6" s="43">
        <v>1.0</v>
      </c>
      <c r="J6" s="43"/>
      <c r="K6" s="43">
        <v>100.0</v>
      </c>
      <c r="L6" s="43"/>
      <c r="M6" s="43"/>
      <c r="N6" s="42"/>
      <c r="O6" s="44">
        <v>40.0</v>
      </c>
      <c r="P6" s="43"/>
      <c r="Q6" s="43"/>
      <c r="R6" s="44">
        <v>-60.0</v>
      </c>
      <c r="S6" s="45">
        <v>-5671.0</v>
      </c>
      <c r="T6" s="34"/>
      <c r="U6" s="34"/>
      <c r="V6" s="34"/>
      <c r="W6" s="46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47" t="s">
        <v>28</v>
      </c>
      <c r="D7" s="47" t="s">
        <v>16</v>
      </c>
      <c r="E7" s="47" t="s">
        <v>41</v>
      </c>
      <c r="F7" s="47" t="s">
        <v>42</v>
      </c>
      <c r="G7" s="34">
        <v>194.32</v>
      </c>
      <c r="H7" s="34">
        <v>194.32</v>
      </c>
      <c r="I7" s="34">
        <v>1.0</v>
      </c>
      <c r="J7" s="34"/>
      <c r="K7" s="34">
        <v>600.0</v>
      </c>
      <c r="L7" s="34"/>
      <c r="M7" s="34"/>
      <c r="N7" s="47"/>
      <c r="O7" s="48">
        <v>300.0</v>
      </c>
      <c r="P7" s="34"/>
      <c r="Q7" s="34"/>
      <c r="R7" s="48">
        <v>-300.0</v>
      </c>
      <c r="S7" s="48">
        <v>-58296.0</v>
      </c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47" t="s">
        <v>28</v>
      </c>
      <c r="D8" s="47" t="s">
        <v>19</v>
      </c>
      <c r="E8" s="47" t="s">
        <v>41</v>
      </c>
      <c r="F8" s="47" t="s">
        <v>42</v>
      </c>
      <c r="G8" s="34">
        <v>6.56</v>
      </c>
      <c r="H8" s="34">
        <v>6.56</v>
      </c>
      <c r="I8" s="34">
        <v>1.0</v>
      </c>
      <c r="J8" s="34"/>
      <c r="K8" s="34">
        <v>600.0</v>
      </c>
      <c r="L8" s="34"/>
      <c r="M8" s="34"/>
      <c r="N8" s="47"/>
      <c r="O8" s="49">
        <v>239.0</v>
      </c>
      <c r="P8" s="34"/>
      <c r="Q8" s="34"/>
      <c r="R8" s="44">
        <v>-361.0</v>
      </c>
      <c r="S8" s="50">
        <v>-2368.0</v>
      </c>
      <c r="T8" s="34"/>
      <c r="U8" s="34"/>
      <c r="V8" s="34"/>
      <c r="W8" s="46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/>
      <c r="C9" s="47" t="s">
        <v>28</v>
      </c>
      <c r="D9" s="47" t="s">
        <v>18</v>
      </c>
      <c r="E9" s="47" t="s">
        <v>41</v>
      </c>
      <c r="F9" s="47" t="s">
        <v>43</v>
      </c>
      <c r="G9" s="34">
        <v>36.48</v>
      </c>
      <c r="H9" s="34">
        <v>36.48</v>
      </c>
      <c r="I9" s="34">
        <v>1.0</v>
      </c>
      <c r="J9" s="34"/>
      <c r="K9" s="34">
        <v>100.0</v>
      </c>
      <c r="L9" s="34"/>
      <c r="M9" s="34"/>
      <c r="N9" s="47"/>
      <c r="O9" s="49">
        <v>40.0</v>
      </c>
      <c r="P9" s="34"/>
      <c r="Q9" s="35"/>
      <c r="R9" s="44">
        <v>-60.0</v>
      </c>
      <c r="S9" s="50">
        <v>2189.0</v>
      </c>
      <c r="T9" s="34"/>
      <c r="U9" s="34"/>
      <c r="V9" s="34"/>
      <c r="W9" s="46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/>
      <c r="C10" s="47" t="s">
        <v>28</v>
      </c>
      <c r="D10" s="47" t="s">
        <v>44</v>
      </c>
      <c r="E10" s="47" t="s">
        <v>44</v>
      </c>
      <c r="F10" s="47" t="s">
        <v>42</v>
      </c>
      <c r="G10" s="34">
        <v>1.0</v>
      </c>
      <c r="H10" s="34">
        <v>1.0</v>
      </c>
      <c r="I10" s="34">
        <v>1.0</v>
      </c>
      <c r="J10" s="34"/>
      <c r="K10" s="34">
        <v>0.0</v>
      </c>
      <c r="L10" s="34"/>
      <c r="M10" s="34"/>
      <c r="N10" s="47"/>
      <c r="O10" s="34">
        <v>0.0</v>
      </c>
      <c r="P10" s="34"/>
      <c r="Q10" s="34"/>
      <c r="R10" s="34">
        <v>0.0</v>
      </c>
      <c r="S10" s="34">
        <v>0.0</v>
      </c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4"/>
      <c r="C11" s="47" t="s">
        <v>28</v>
      </c>
      <c r="D11" s="47" t="s">
        <v>45</v>
      </c>
      <c r="E11" s="47" t="s">
        <v>45</v>
      </c>
      <c r="F11" s="47" t="s">
        <v>42</v>
      </c>
      <c r="G11" s="34">
        <v>1.0</v>
      </c>
      <c r="H11" s="34">
        <v>1.0</v>
      </c>
      <c r="I11" s="34">
        <v>1.0</v>
      </c>
      <c r="J11" s="34"/>
      <c r="K11" s="34">
        <v>40000.0</v>
      </c>
      <c r="L11" s="34">
        <v>40000.0</v>
      </c>
      <c r="M11" s="34">
        <v>40000.0</v>
      </c>
      <c r="N11" s="47"/>
      <c r="O11" s="49">
        <v>4145.0</v>
      </c>
      <c r="P11" s="49">
        <v>4145.0</v>
      </c>
      <c r="Q11" s="49">
        <v>4145.0</v>
      </c>
      <c r="R11" s="49">
        <v>-35855.0</v>
      </c>
      <c r="S11" s="49">
        <v>-35855.0</v>
      </c>
      <c r="T11" s="34"/>
      <c r="U11" s="34"/>
      <c r="V11" s="34"/>
      <c r="W11" s="46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2" t="s">
        <v>28</v>
      </c>
      <c r="C6" s="42" t="s">
        <v>47</v>
      </c>
      <c r="D6" s="42" t="s">
        <v>17</v>
      </c>
      <c r="E6" s="44">
        <v>60.0</v>
      </c>
      <c r="F6" s="43">
        <v>94.51</v>
      </c>
      <c r="G6" s="45">
        <v>-5671.0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7" t="s">
        <v>28</v>
      </c>
      <c r="C7" s="47" t="s">
        <v>47</v>
      </c>
      <c r="D7" s="9" t="s">
        <v>16</v>
      </c>
      <c r="E7" s="49">
        <v>300.0</v>
      </c>
      <c r="F7" s="49">
        <v>194.32</v>
      </c>
      <c r="G7" s="50">
        <v>-58296.0</v>
      </c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47" t="s">
        <v>28</v>
      </c>
      <c r="C8" s="47" t="s">
        <v>47</v>
      </c>
      <c r="D8" s="47" t="s">
        <v>19</v>
      </c>
      <c r="E8" s="49">
        <v>361.0</v>
      </c>
      <c r="F8" s="51">
        <v>6.56</v>
      </c>
      <c r="G8" s="50">
        <v>-2368.0</v>
      </c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47" t="s">
        <v>28</v>
      </c>
      <c r="C9" s="47" t="s">
        <v>48</v>
      </c>
      <c r="D9" s="47" t="s">
        <v>18</v>
      </c>
      <c r="E9" s="13">
        <v>60.0</v>
      </c>
      <c r="F9" s="13">
        <v>36.48</v>
      </c>
      <c r="G9" s="13">
        <v>2189.0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