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BasketPermission" sheetId="4" r:id="rId6"/>
    <sheet state="visible" name="GetDailyCash" sheetId="5" r:id="rId7"/>
    <sheet state="visible" name="UpdateMultipleDailyCash" sheetId="6" r:id="rId8"/>
    <sheet state="visible" name="CreateOrderPTT" sheetId="7" r:id="rId9"/>
    <sheet state="visible" name="CreateOrderPTT1" sheetId="8" r:id="rId10"/>
    <sheet state="visible" name="CreateOrderPTT2" sheetId="9" r:id="rId11"/>
    <sheet state="visible" name="TradeNewSubOrder" sheetId="10" r:id="rId12"/>
    <sheet state="visible" name="CreateNewSubOrder" sheetId="11" r:id="rId13"/>
    <sheet state="visible" name="TradeNewSubOrder1" sheetId="12" r:id="rId14"/>
    <sheet state="visible" name="CreateNewSubLiveOrder" sheetId="13" r:id="rId15"/>
    <sheet state="visible" name="TradeNewSubOrder2" sheetId="14" r:id="rId16"/>
    <sheet state="visible" name="CreateNewSubLiveOrder1" sheetId="15" r:id="rId17"/>
    <sheet state="visible" name="CustomOrderTT" sheetId="16" r:id="rId18"/>
    <sheet state="visible" name="AcknowledgeTrade" sheetId="17" r:id="rId19"/>
    <sheet state="visible" name="ExecuteTrade" sheetId="18" r:id="rId20"/>
    <sheet state="visible" name="AcknowledgeTrade1" sheetId="19" r:id="rId21"/>
    <sheet state="visible" name="CheckOpenFinWindowName" sheetId="20" r:id="rId22"/>
    <sheet state="visible" name="VerifyOrder" sheetId="21" r:id="rId23"/>
    <sheet state="visible" name="AllocateFromBlotter" sheetId="22" r:id="rId24"/>
    <sheet state="visible" name="SelectTradeOnOrderGrid" sheetId="23" r:id="rId25"/>
    <sheet state="visible" name="SelectTradeOnOrderGrid1" sheetId="24" r:id="rId26"/>
    <sheet state="visible" name="SetDollarAmountPermission" sheetId="25" r:id="rId27"/>
  </sheets>
  <definedNames/>
  <calcPr/>
</workbook>
</file>

<file path=xl/sharedStrings.xml><?xml version="1.0" encoding="utf-8"?>
<sst xmlns="http://schemas.openxmlformats.org/spreadsheetml/2006/main" count="255" uniqueCount="67">
  <si>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</si>
  <si>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</si>
  <si>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</si>
  <si>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</si>
  <si>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</si>
  <si>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</si>
  <si>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</si>
  <si>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</si>
  <si>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</si>
  <si>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</si>
  <si>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</si>
  <si>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</si>
  <si>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</si>
  <si>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BasketPermission</t>
  </si>
  <si>
    <t>Data Format</t>
  </si>
  <si>
    <t>Input Format</t>
  </si>
  <si>
    <t>17,35</t>
  </si>
  <si>
    <t>DailyValuation</t>
  </si>
  <si>
    <t>GetDailyCash</t>
  </si>
  <si>
    <t>UpdateMultipleDailyCash</t>
  </si>
  <si>
    <t>Allocation1</t>
  </si>
  <si>
    <t>USD</t>
  </si>
  <si>
    <t>Allocation2</t>
  </si>
  <si>
    <t>PTT</t>
  </si>
  <si>
    <t>CreateOrderPTT</t>
  </si>
  <si>
    <t>SAP</t>
  </si>
  <si>
    <t>Decrease</t>
  </si>
  <si>
    <t>BPS</t>
  </si>
  <si>
    <t>Yes</t>
  </si>
  <si>
    <t>MSFT</t>
  </si>
  <si>
    <t>Increase</t>
  </si>
  <si>
    <t>AMT</t>
  </si>
  <si>
    <t>Allocation1,Allocation2</t>
  </si>
  <si>
    <t>AAPL</t>
  </si>
  <si>
    <t>Set</t>
  </si>
  <si>
    <t>Blotter</t>
  </si>
  <si>
    <t>TradeNewSubOrder</t>
  </si>
  <si>
    <t>TradingTicket</t>
  </si>
  <si>
    <t>CreateNewSubOrder</t>
  </si>
  <si>
    <t>CreateNewSubLiveOrder</t>
  </si>
  <si>
    <t>CustomOrderTT</t>
  </si>
  <si>
    <t>GOOG</t>
  </si>
  <si>
    <t>Send</t>
  </si>
  <si>
    <t>Good Till Date</t>
  </si>
  <si>
    <t>Limit</t>
  </si>
  <si>
    <t>GTC</t>
  </si>
  <si>
    <t>Simulator</t>
  </si>
  <si>
    <t>AcknowledgeTrade</t>
  </si>
  <si>
    <t>ExecuteTrade</t>
  </si>
  <si>
    <t>OpenFin</t>
  </si>
  <si>
    <t>CheckOpenFinWindowName</t>
  </si>
  <si>
    <t>Allocation</t>
  </si>
  <si>
    <t>VerifyOrder</t>
  </si>
  <si>
    <t>NASDAQ</t>
  </si>
  <si>
    <t>jpearce</t>
  </si>
  <si>
    <t>Sell short</t>
  </si>
  <si>
    <t>Filled</t>
  </si>
  <si>
    <t>MS</t>
  </si>
  <si>
    <t>PST</t>
  </si>
  <si>
    <t>Day</t>
  </si>
  <si>
    <t>Buy</t>
  </si>
  <si>
    <t>New</t>
  </si>
  <si>
    <t>Multiple</t>
  </si>
  <si>
    <t>PartiallyFilled</t>
  </si>
  <si>
    <t>AllocateFromBlotter</t>
  </si>
  <si>
    <t>SelectTradeOnOrderGrid</t>
  </si>
  <si>
    <t>SetDollarAmountPermission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</si>
</sst>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FE9F4D"/>
      <name val="Calibri"/>
    </font>
    <font>
      <sz val="11.0"/>
      <color rgb="FF9DC8ED"/>
      <name val="Calibri"/>
    </font>
    <font>
      <sz val="11.0"/>
      <color rgb="FF35C759"/>
      <name val="Calibri"/>
    </font>
    <font>
      <sz val="11.0"/>
      <color rgb="FFAEE9BD"/>
      <name val="Calibri"/>
    </font>
    <font>
      <sz val="11.0"/>
      <color rgb="FFEBDAFE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5" fillId="6" fontId="14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ill="1" applyFont="1">
      <alignment horizontal="right" readingOrder="0" shrinkToFit="0" vertical="bottom" wrapText="0"/>
    </xf>
    <xf borderId="5" fillId="7" fontId="14" numFmtId="0" xfId="0" applyAlignment="1" applyBorder="1" applyFont="1">
      <alignment readingOrder="0" shrinkToFit="0" vertical="bottom" wrapText="0"/>
    </xf>
    <xf borderId="5" fillId="7" fontId="17" numFmtId="0" xfId="0" applyAlignment="1" applyBorder="1" applyFont="1">
      <alignment readingOrder="0" shrinkToFit="0" vertical="bottom" wrapText="0"/>
    </xf>
    <xf borderId="5" fillId="7" fontId="18" numFmtId="0" xfId="0" applyAlignment="1" applyBorder="1" applyFont="1">
      <alignment readingOrder="0" shrinkToFit="0" vertical="bottom" wrapText="0"/>
    </xf>
    <xf borderId="5" fillId="6" fontId="17" numFmtId="0" xfId="0" applyAlignment="1" applyBorder="1" applyFont="1">
      <alignment readingOrder="0" shrinkToFit="0" vertical="bottom" wrapText="0"/>
    </xf>
    <xf borderId="5" fillId="6" fontId="18" numFmtId="0" xfId="0" applyAlignment="1" applyBorder="1" applyFont="1">
      <alignment readingOrder="0" shrinkToFit="0" vertical="bottom" wrapText="0"/>
    </xf>
    <xf borderId="5" fillId="7" fontId="19" numFmtId="0" xfId="0" applyAlignment="1" applyBorder="1" applyFont="1">
      <alignment readingOrder="0" shrinkToFit="0" vertical="bottom" wrapText="0"/>
    </xf>
    <xf borderId="5" fillId="6" fontId="19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IFERROR(__xludf.DUMMYFUNCTION("""COMPUTED_VALUE"""),"CompanyWise")</f>
        <v>CompanyWise</v>
      </c>
      <c r="C5" s="28" t="str">
        <f>IFERROR(__xludf.DUMMYFUNCTION("""COMPUTED_VALUE"""),"UserID")</f>
        <v>UserID</v>
      </c>
      <c r="D5" s="28" t="str">
        <f>IFERROR(__xludf.DUMMYFUNCTION("""COMPUTED_VALUE"""),"Disable")</f>
        <v>Disable</v>
      </c>
      <c r="E5" s="28" t="str">
        <f>IFERROR(__xludf.DUMMYFUNCTION("""COMPUTED_VALUE"""),"Enable")</f>
        <v>Enable</v>
      </c>
      <c r="F5" s="29" t="str">
        <f>IFERROR(__xludf.DUMMYFUNCTION("""COMPUTED_VALUE"""),"isBasketComplianceEnabledCompany")</f>
        <v>isBasketComplianceEnabledCompany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3" t="b">
        <v>1</v>
      </c>
      <c r="E6" s="34"/>
      <c r="F6" s="35">
        <v>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BasketPermission!$4:$4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45921</v>
      </c>
      <c r="C6" s="36">
        <f>TODAY()</f>
        <v>45922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20</v>
      </c>
      <c r="C6" s="32" t="s">
        <v>21</v>
      </c>
      <c r="D6" s="38">
        <v>1000000.0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22</v>
      </c>
      <c r="C7" s="32" t="s">
        <v>21</v>
      </c>
      <c r="D7" s="35">
        <v>1000000.0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25</v>
      </c>
      <c r="C6" s="32" t="s">
        <v>26</v>
      </c>
      <c r="D6" s="37" t="s">
        <v>27</v>
      </c>
      <c r="E6" s="39">
        <v>1000.0</v>
      </c>
      <c r="F6" s="39">
        <v>2.0</v>
      </c>
      <c r="G6" s="32" t="s">
        <v>28</v>
      </c>
      <c r="H6" s="34"/>
      <c r="I6" s="32" t="s">
        <v>20</v>
      </c>
      <c r="J6" s="34"/>
      <c r="K6" s="34"/>
      <c r="L6" s="34"/>
      <c r="M6" s="32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29</v>
      </c>
      <c r="C6" s="32" t="s">
        <v>30</v>
      </c>
      <c r="D6" s="40" t="s">
        <v>31</v>
      </c>
      <c r="E6" s="35">
        <v>10.0</v>
      </c>
      <c r="F6" s="39">
        <v>2.0</v>
      </c>
      <c r="G6" s="32" t="s">
        <v>28</v>
      </c>
      <c r="H6" s="34"/>
      <c r="I6" s="40" t="s">
        <v>32</v>
      </c>
      <c r="J6" s="34"/>
      <c r="K6" s="34"/>
      <c r="L6" s="34"/>
      <c r="M6" s="32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33</v>
      </c>
      <c r="C6" s="40" t="s">
        <v>34</v>
      </c>
      <c r="D6" s="40" t="s">
        <v>31</v>
      </c>
      <c r="E6" s="35">
        <v>10.0</v>
      </c>
      <c r="F6" s="39">
        <v>2.0</v>
      </c>
      <c r="G6" s="32" t="s">
        <v>28</v>
      </c>
      <c r="H6" s="34"/>
      <c r="I6" s="40" t="s">
        <v>32</v>
      </c>
      <c r="J6" s="34"/>
      <c r="K6" s="34"/>
      <c r="L6" s="34"/>
      <c r="M6" s="32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9">
        <v>2.0</v>
      </c>
      <c r="E6" s="4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4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8"/>
      <c r="B6" s="13" t="s">
        <v>41</v>
      </c>
      <c r="C6" s="13">
        <v>5000.0</v>
      </c>
      <c r="E6" s="13" t="s">
        <v>42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43</v>
      </c>
      <c r="V6" s="9" t="s">
        <v>44</v>
      </c>
      <c r="X6" s="13">
        <v>315.95</v>
      </c>
      <c r="Y6" s="42">
        <f>WORKDAY(TODAY()+1,1)</f>
        <v>45924</v>
      </c>
    </row>
    <row r="7" ht="15.75" customHeight="1">
      <c r="A7" s="8"/>
      <c r="B7" s="13" t="s">
        <v>33</v>
      </c>
      <c r="C7" s="13">
        <v>5000.0</v>
      </c>
      <c r="E7" s="13" t="s">
        <v>42</v>
      </c>
      <c r="F7" s="8"/>
      <c r="G7" s="8"/>
      <c r="H7" s="8"/>
      <c r="I7" s="8"/>
      <c r="J7" s="8"/>
      <c r="K7" s="8"/>
      <c r="L7" s="8"/>
      <c r="M7" s="8"/>
      <c r="N7" s="8"/>
      <c r="O7" s="8"/>
      <c r="U7" s="9" t="s">
        <v>45</v>
      </c>
      <c r="V7" s="9" t="s">
        <v>44</v>
      </c>
      <c r="X7" s="13">
        <v>315.95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E6" s="4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15.95</v>
      </c>
      <c r="C6" s="13">
        <v>2500.0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41</v>
      </c>
      <c r="E6" s="4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IFERROR(__xludf.DUMMYFUNCTION("""COMPUTED_VALUE"""),"WindowName")</f>
        <v>WindowName</v>
      </c>
      <c r="C5" s="28" t="str">
        <f>IFERROR(__xludf.DUMMYFUNCTION("""COMPUTED_VALUE"""),"WindowPresentOrNot")</f>
        <v>WindowPresentOrNot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b">
        <v>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3">
        <v>10.0</v>
      </c>
      <c r="E6" s="41"/>
      <c r="F6" s="8"/>
      <c r="G6" s="43"/>
      <c r="H6" s="44" t="s">
        <v>53</v>
      </c>
      <c r="I6" s="44" t="s">
        <v>54</v>
      </c>
      <c r="J6" s="8"/>
      <c r="K6" s="8"/>
      <c r="L6" s="8"/>
      <c r="M6" s="8"/>
      <c r="N6" s="8"/>
      <c r="O6" s="8"/>
      <c r="AI6" s="44" t="s">
        <v>25</v>
      </c>
      <c r="AJ6" s="45" t="s">
        <v>55</v>
      </c>
      <c r="AK6" s="46" t="s">
        <v>56</v>
      </c>
      <c r="AL6" s="43">
        <v>50000.0</v>
      </c>
      <c r="AS6" s="44" t="s">
        <v>57</v>
      </c>
      <c r="AT6" s="44" t="s">
        <v>20</v>
      </c>
      <c r="BA6" s="44" t="s">
        <v>54</v>
      </c>
      <c r="BG6" s="44" t="s">
        <v>58</v>
      </c>
      <c r="BH6" s="44" t="s">
        <v>59</v>
      </c>
    </row>
    <row r="7" ht="15.75" customHeight="1">
      <c r="A7" s="8"/>
      <c r="B7" s="8"/>
      <c r="C7" s="8"/>
      <c r="D7" s="47">
        <v>0.0</v>
      </c>
      <c r="E7" s="8"/>
      <c r="F7" s="8"/>
      <c r="G7" s="47">
        <v>2.0</v>
      </c>
      <c r="H7" s="48" t="s">
        <v>53</v>
      </c>
      <c r="I7" s="48" t="s">
        <v>54</v>
      </c>
      <c r="J7" s="8"/>
      <c r="K7" s="8"/>
      <c r="L7" s="8"/>
      <c r="M7" s="8"/>
      <c r="N7" s="8"/>
      <c r="O7" s="8"/>
      <c r="AI7" s="48" t="s">
        <v>29</v>
      </c>
      <c r="AJ7" s="49" t="s">
        <v>60</v>
      </c>
      <c r="AK7" s="50" t="s">
        <v>61</v>
      </c>
      <c r="AL7" s="47">
        <v>4.0</v>
      </c>
      <c r="AS7" s="48" t="s">
        <v>57</v>
      </c>
      <c r="AT7" s="48" t="s">
        <v>62</v>
      </c>
      <c r="BA7" s="48" t="s">
        <v>54</v>
      </c>
      <c r="BG7" s="48" t="s">
        <v>58</v>
      </c>
      <c r="BH7" s="48" t="s">
        <v>59</v>
      </c>
    </row>
    <row r="8" ht="15.75" customHeight="1">
      <c r="A8" s="8"/>
      <c r="B8" s="8"/>
      <c r="C8" s="8"/>
      <c r="D8" s="43">
        <v>0.0</v>
      </c>
      <c r="E8" s="8"/>
      <c r="F8" s="8"/>
      <c r="G8" s="43">
        <v>2.0</v>
      </c>
      <c r="H8" s="44" t="s">
        <v>53</v>
      </c>
      <c r="I8" s="44" t="s">
        <v>54</v>
      </c>
      <c r="J8" s="8"/>
      <c r="K8" s="8"/>
      <c r="L8" s="8"/>
      <c r="M8" s="8"/>
      <c r="N8" s="8"/>
      <c r="O8" s="8"/>
      <c r="AI8" s="44" t="s">
        <v>33</v>
      </c>
      <c r="AJ8" s="51" t="s">
        <v>60</v>
      </c>
      <c r="AK8" s="52" t="s">
        <v>61</v>
      </c>
      <c r="AL8" s="43">
        <v>4.0</v>
      </c>
      <c r="AS8" s="44" t="s">
        <v>57</v>
      </c>
      <c r="AT8" s="44" t="s">
        <v>62</v>
      </c>
      <c r="BA8" s="44" t="s">
        <v>54</v>
      </c>
      <c r="BG8" s="44" t="s">
        <v>58</v>
      </c>
      <c r="BH8" s="44" t="s">
        <v>59</v>
      </c>
    </row>
    <row r="9" ht="15.75" customHeight="1">
      <c r="A9" s="8"/>
      <c r="B9" s="8"/>
      <c r="C9" s="8"/>
      <c r="D9" s="47">
        <v>315.95</v>
      </c>
      <c r="E9" s="8"/>
      <c r="F9" s="47">
        <v>315.95</v>
      </c>
      <c r="G9" s="47">
        <v>2500.0</v>
      </c>
      <c r="H9" s="48" t="s">
        <v>53</v>
      </c>
      <c r="I9" s="48" t="s">
        <v>54</v>
      </c>
      <c r="J9" s="8"/>
      <c r="K9" s="8"/>
      <c r="L9" s="8"/>
      <c r="M9" s="8"/>
      <c r="N9" s="8"/>
      <c r="O9" s="8"/>
      <c r="AI9" s="48" t="s">
        <v>33</v>
      </c>
      <c r="AJ9" s="49" t="s">
        <v>60</v>
      </c>
      <c r="AK9" s="53" t="s">
        <v>63</v>
      </c>
      <c r="AL9" s="47">
        <v>5000.0</v>
      </c>
      <c r="AS9" s="48" t="s">
        <v>57</v>
      </c>
      <c r="AT9" s="48" t="s">
        <v>20</v>
      </c>
      <c r="BA9" s="48" t="s">
        <v>54</v>
      </c>
      <c r="BG9" s="48" t="s">
        <v>37</v>
      </c>
      <c r="BH9" s="48" t="s">
        <v>45</v>
      </c>
    </row>
    <row r="10" ht="15.75" customHeight="1">
      <c r="A10" s="8"/>
      <c r="B10" s="8"/>
      <c r="C10" s="8"/>
      <c r="D10" s="43">
        <v>315.95</v>
      </c>
      <c r="E10" s="8"/>
      <c r="F10" s="43">
        <v>315.95</v>
      </c>
      <c r="G10" s="43">
        <v>2500.0</v>
      </c>
      <c r="H10" s="44" t="s">
        <v>53</v>
      </c>
      <c r="I10" s="44" t="s">
        <v>54</v>
      </c>
      <c r="J10" s="8"/>
      <c r="K10" s="8"/>
      <c r="L10" s="8"/>
      <c r="M10" s="8"/>
      <c r="N10" s="8"/>
      <c r="O10" s="8"/>
      <c r="AI10" s="44" t="s">
        <v>41</v>
      </c>
      <c r="AJ10" s="51" t="s">
        <v>60</v>
      </c>
      <c r="AK10" s="54" t="s">
        <v>63</v>
      </c>
      <c r="AL10" s="43">
        <v>5000.0</v>
      </c>
      <c r="AS10" s="44" t="s">
        <v>57</v>
      </c>
      <c r="AT10" s="44" t="s">
        <v>20</v>
      </c>
      <c r="BA10" s="44" t="s">
        <v>54</v>
      </c>
      <c r="BG10" s="44" t="s">
        <v>37</v>
      </c>
      <c r="BH10" s="44" t="s">
        <v>43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43">
        <v>100.0</v>
      </c>
      <c r="E6" s="41"/>
      <c r="F6" s="8"/>
      <c r="G6" s="43"/>
      <c r="H6" s="44"/>
      <c r="I6" s="44"/>
      <c r="J6" s="8"/>
      <c r="K6" s="8"/>
      <c r="L6" s="8"/>
      <c r="M6" s="8"/>
      <c r="N6" s="8"/>
      <c r="O6" s="8"/>
      <c r="AI6" s="44"/>
      <c r="AJ6" s="45"/>
      <c r="AK6" s="46"/>
      <c r="AL6" s="43"/>
      <c r="AS6" s="44"/>
      <c r="AT6" s="44"/>
      <c r="BA6" s="44"/>
      <c r="BG6" s="44"/>
      <c r="BH6" s="44"/>
    </row>
    <row r="7" ht="15.75" customHeight="1">
      <c r="A7" s="8"/>
      <c r="B7" s="8"/>
      <c r="C7" s="8"/>
      <c r="D7" s="47"/>
      <c r="E7" s="8"/>
      <c r="F7" s="8"/>
      <c r="G7" s="47"/>
      <c r="H7" s="48"/>
      <c r="I7" s="48"/>
      <c r="J7" s="8"/>
      <c r="K7" s="8"/>
      <c r="L7" s="8"/>
      <c r="M7" s="8"/>
      <c r="N7" s="8"/>
      <c r="O7" s="8"/>
      <c r="AI7" s="48"/>
      <c r="AJ7" s="49"/>
      <c r="AK7" s="50"/>
      <c r="AL7" s="47"/>
      <c r="AS7" s="48"/>
      <c r="AT7" s="48"/>
      <c r="BA7" s="48"/>
      <c r="BG7" s="48"/>
      <c r="BH7" s="48"/>
    </row>
    <row r="8" ht="15.75" customHeight="1">
      <c r="A8" s="8"/>
      <c r="B8" s="8"/>
      <c r="C8" s="8"/>
      <c r="D8" s="43"/>
      <c r="E8" s="8"/>
      <c r="F8" s="8"/>
      <c r="G8" s="43"/>
      <c r="H8" s="44"/>
      <c r="I8" s="44"/>
      <c r="J8" s="8"/>
      <c r="K8" s="8"/>
      <c r="L8" s="8"/>
      <c r="M8" s="8"/>
      <c r="N8" s="8"/>
      <c r="O8" s="8"/>
      <c r="AI8" s="44"/>
      <c r="AJ8" s="51"/>
      <c r="AK8" s="52"/>
      <c r="AL8" s="43"/>
      <c r="AS8" s="44"/>
      <c r="AT8" s="44"/>
      <c r="BA8" s="44"/>
      <c r="BG8" s="44"/>
      <c r="BH8" s="44"/>
    </row>
    <row r="9" ht="15.75" customHeight="1">
      <c r="A9" s="8"/>
      <c r="B9" s="8"/>
      <c r="C9" s="8"/>
      <c r="D9" s="47"/>
      <c r="E9" s="8"/>
      <c r="F9" s="47"/>
      <c r="G9" s="47"/>
      <c r="H9" s="48"/>
      <c r="I9" s="48"/>
      <c r="J9" s="8"/>
      <c r="K9" s="8"/>
      <c r="L9" s="8"/>
      <c r="M9" s="8"/>
      <c r="N9" s="8"/>
      <c r="O9" s="8"/>
      <c r="AI9" s="48"/>
      <c r="AJ9" s="49"/>
      <c r="AK9" s="53"/>
      <c r="AL9" s="47"/>
      <c r="AS9" s="48"/>
      <c r="AT9" s="48"/>
      <c r="BA9" s="48"/>
      <c r="BG9" s="48"/>
      <c r="BH9" s="48"/>
    </row>
    <row r="10" ht="15.75" customHeight="1">
      <c r="A10" s="8"/>
      <c r="B10" s="8"/>
      <c r="C10" s="8"/>
      <c r="D10" s="43"/>
      <c r="E10" s="8"/>
      <c r="F10" s="43"/>
      <c r="G10" s="43"/>
      <c r="H10" s="44"/>
      <c r="I10" s="44"/>
      <c r="J10" s="8"/>
      <c r="K10" s="8"/>
      <c r="L10" s="8"/>
      <c r="M10" s="8"/>
      <c r="N10" s="8"/>
      <c r="O10" s="8"/>
      <c r="AI10" s="44"/>
      <c r="AJ10" s="51"/>
      <c r="AK10" s="54"/>
      <c r="AL10" s="43"/>
      <c r="AS10" s="44"/>
      <c r="AT10" s="44"/>
      <c r="BA10" s="44"/>
      <c r="BG10" s="44"/>
      <c r="BH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33</v>
      </c>
      <c r="E6" s="8"/>
      <c r="F6" s="8"/>
      <c r="H6" s="13">
        <v>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44" t="s">
        <v>41</v>
      </c>
      <c r="E6" s="8"/>
      <c r="F6" s="8"/>
      <c r="H6" s="13">
        <v>5000.0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