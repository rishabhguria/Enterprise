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<sst xmlns="http://schemas.openxmlformats.org/spreadsheetml/2006/main" count="111" uniqueCount="40">
  <si>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</si>
  <si>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</si>
  <si>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</si>
  <si>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</si>
  <si>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</si>
  <si>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</si>
  <si>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</si>
  <si>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</si>
  <si>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</si>
  <si>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</si>
  <si>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</si>
  <si>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</si>
  <si>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</si>
  <si>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</si>
  <si>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</si>
  <si>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</si>
  <si>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</si>
  <si>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</si>
  <si>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</si>
  <si>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FRA-FRA</t>
  </si>
  <si>
    <t>Buy</t>
  </si>
  <si>
    <t>MS</t>
  </si>
  <si>
    <t>Allocation1,Allocation2</t>
  </si>
  <si>
    <t>50,50</t>
  </si>
  <si>
    <t>PricingInput</t>
  </si>
  <si>
    <t>DailyValuation</t>
  </si>
  <si>
    <t>GetDailyCash</t>
  </si>
  <si>
    <t>UpdateMultipleDailyCash</t>
  </si>
  <si>
    <t>Allocation1</t>
  </si>
  <si>
    <t>USD</t>
  </si>
  <si>
    <t>Allocation2</t>
  </si>
  <si>
    <t>Blotter</t>
  </si>
  <si>
    <t>VerifyOrder</t>
  </si>
  <si>
    <t>Filled</t>
  </si>
  <si>
    <t>Multiple</t>
  </si>
  <si>
    <t>Allocation</t>
  </si>
  <si>
    <t>GetDataAllocation</t>
  </si>
  <si>
    <t>Historical</t>
  </si>
  <si>
    <t>CheckAllocatedGroups</t>
  </si>
  <si>
    <t>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</si>
</sst>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19</v>
      </c>
      <c r="C6" s="32" t="s">
        <v>20</v>
      </c>
      <c r="D6" s="34">
        <v>200.0</v>
      </c>
      <c r="E6" s="34">
        <v>200.0</v>
      </c>
      <c r="F6" s="32"/>
      <c r="G6" s="32" t="s">
        <v>21</v>
      </c>
      <c r="H6" s="32"/>
      <c r="I6" s="32"/>
      <c r="J6" s="34">
        <v>56.08</v>
      </c>
      <c r="K6" s="32"/>
      <c r="L6" s="32"/>
      <c r="M6" s="32"/>
      <c r="N6" s="35">
        <f>today()</f>
        <v>44999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6" t="s">
        <v>22</v>
      </c>
      <c r="AL6" s="36" t="s">
        <v>23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56.08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 t="shared" ref="B6:C6" si="1">today()-1</f>
        <v>44998</v>
      </c>
      <c r="C6" s="39">
        <f t="shared" si="1"/>
        <v>44998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100000.0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30</v>
      </c>
      <c r="C7" s="13" t="s">
        <v>29</v>
      </c>
      <c r="D7" s="13">
        <v>100000.0</v>
      </c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564.0</v>
      </c>
      <c r="E6" s="13">
        <v>564.0</v>
      </c>
      <c r="F6" s="8"/>
      <c r="G6" s="13" t="s">
        <v>21</v>
      </c>
      <c r="H6" s="8"/>
      <c r="I6" s="8"/>
      <c r="J6" s="13">
        <v>56.08</v>
      </c>
      <c r="K6" s="8"/>
      <c r="L6" s="8"/>
      <c r="M6" s="8"/>
      <c r="N6" s="39">
        <f>today()</f>
        <v>44999</v>
      </c>
      <c r="O6" s="8"/>
      <c r="AK6" s="9" t="s">
        <v>22</v>
      </c>
      <c r="AL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33</v>
      </c>
      <c r="AL6" s="9">
        <v>200.0</v>
      </c>
      <c r="AS6" s="9" t="s">
        <v>21</v>
      </c>
      <c r="AT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20</v>
      </c>
      <c r="AK7" s="9" t="s">
        <v>33</v>
      </c>
      <c r="AL7" s="9">
        <v>564.0</v>
      </c>
      <c r="AS7" s="9" t="s">
        <v>21</v>
      </c>
      <c r="AT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39">
        <f t="shared" ref="C6:D6" si="1">today()</f>
        <v>44999</v>
      </c>
      <c r="D6" s="38">
        <f t="shared" si="1"/>
        <v>44999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34</v>
      </c>
      <c r="C6" s="8"/>
      <c r="D6" s="13"/>
      <c r="E6" s="13"/>
      <c r="F6" s="8"/>
      <c r="G6" s="8"/>
      <c r="H6" s="8"/>
      <c r="I6" s="8"/>
      <c r="J6" s="8"/>
      <c r="K6" s="41"/>
      <c r="L6" s="41">
        <v>56.08</v>
      </c>
      <c r="M6" s="8"/>
      <c r="N6" s="8"/>
      <c r="O6" s="13" t="s">
        <v>21</v>
      </c>
      <c r="Z6" s="40" t="s">
        <v>39</v>
      </c>
      <c r="BO6" s="9" t="s">
        <v>20</v>
      </c>
      <c r="BT6" s="9" t="s">
        <v>19</v>
      </c>
    </row>
    <row r="7" ht="15.75" customHeight="1">
      <c r="A7" s="8"/>
      <c r="B7" s="40" t="s">
        <v>34</v>
      </c>
      <c r="C7" s="8"/>
      <c r="D7" s="8"/>
      <c r="E7" s="13"/>
      <c r="F7" s="8"/>
      <c r="G7" s="8"/>
      <c r="H7" s="8"/>
      <c r="I7" s="8"/>
      <c r="J7" s="8"/>
      <c r="K7" s="41"/>
      <c r="L7" s="41">
        <v>56.08</v>
      </c>
      <c r="M7" s="8"/>
      <c r="N7" s="8"/>
      <c r="O7" s="13" t="s">
        <v>21</v>
      </c>
      <c r="Z7" s="40" t="s">
        <v>39</v>
      </c>
      <c r="BO7" s="9" t="s">
        <v>20</v>
      </c>
      <c r="B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