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tGeneralPreferences" sheetId="6" r:id="rId8"/>
    <sheet state="visible" name="RunProrata" sheetId="7" r:id="rId9"/>
    <sheet state="visible" name="CreateDoneAwayOrder1" sheetId="8" r:id="rId10"/>
    <sheet state="visible" name="CheckAllocatedGroups" sheetId="9" r:id="rId11"/>
    <sheet state="visible" name="CheckUnallocatedGroups" sheetId="10" r:id="rId12"/>
    <sheet state="visible" name="SelectUnallocatedGroup" sheetId="11" r:id="rId13"/>
    <sheet state="visible" name="EditUnallocatedGridWPF" sheetId="12" r:id="rId14"/>
    <sheet state="visible" name="CheckUnallocatedGroups1" sheetId="13" r:id="rId15"/>
  </sheets>
  <definedNames/>
  <calcPr/>
</workbook>
</file>

<file path=xl/sharedStrings.xml><?xml version="1.0" encoding="utf-8"?>
<sst xmlns="http://schemas.openxmlformats.org/spreadsheetml/2006/main" count="122" uniqueCount="39">
  <si>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</si>
  <si>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</si>
  <si>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</si>
  <si>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</si>
  <si>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</si>
  <si>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</si>
  <si>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</si>
  <si>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</si>
  <si>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</si>
  <si>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</si>
  <si>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</si>
  <si>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</si>
  <si>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</si>
  <si>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</si>
  <si>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</si>
  <si>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</si>
  <si>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</si>
  <si>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</si>
  <si>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</si>
  <si>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</si>
  <si>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Allocation2</t>
  </si>
  <si>
    <t>Allocation</t>
  </si>
  <si>
    <t>GetDataAllocation</t>
  </si>
  <si>
    <t>Historical</t>
  </si>
  <si>
    <t>SetGeneralPreferences</t>
  </si>
  <si>
    <t>Nirvana</t>
  </si>
  <si>
    <t>SymbolSide</t>
  </si>
  <si>
    <t>RunProrata</t>
  </si>
  <si>
    <t>AAPL</t>
  </si>
  <si>
    <t>CheckAllocatedGroups</t>
  </si>
  <si>
    <t>CheckUnallocatedGroups</t>
  </si>
  <si>
    <t>SelectUnallocatedGroup</t>
  </si>
  <si>
    <t>EditUnallocatedGridWPF</t>
  </si>
  <si>
    <t>AAPL US EQUITY</t>
  </si>
  <si>
    <t>MS</t>
  </si>
  <si>
    <t>USD</t>
  </si>
  <si>
    <t>NASDAQ</t>
  </si>
  <si>
    <t>M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</si>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</sst>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32">
        <f t="shared" ref="N6:N7" si="1">today()-10</f>
        <v>45909</v>
      </c>
      <c r="O6" s="8"/>
    </row>
    <row r="7" ht="15.75" customHeight="1">
      <c r="A7" s="8"/>
      <c r="B7" s="13" t="s">
        <v>16</v>
      </c>
      <c r="C7" s="13" t="s">
        <v>19</v>
      </c>
      <c r="D7" s="13">
        <v>30.0</v>
      </c>
      <c r="E7" s="8"/>
      <c r="F7" s="13" t="s">
        <v>20</v>
      </c>
      <c r="G7" s="8"/>
      <c r="H7" s="8"/>
      <c r="I7" s="8"/>
      <c r="J7" s="13">
        <v>2.0</v>
      </c>
      <c r="K7" s="8"/>
      <c r="L7" s="8"/>
      <c r="M7" s="8"/>
      <c r="N7" s="32">
        <f t="shared" si="1"/>
        <v>45909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33">
        <f>TODAY()-20</f>
        <v>45899</v>
      </c>
      <c r="D6" s="33">
        <f>TODAY()</f>
        <v>45919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25</v>
      </c>
      <c r="Y6" s="35" t="s">
        <v>26</v>
      </c>
      <c r="Z6" s="36" t="b">
        <v>1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45918</v>
      </c>
      <c r="C6" s="37" t="s">
        <v>25</v>
      </c>
      <c r="D6" s="34" t="s">
        <v>26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13" t="s">
        <v>25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17</v>
      </c>
      <c r="D8" s="13">
        <v>100.0</v>
      </c>
      <c r="E8" s="8"/>
      <c r="F8" s="13" t="s">
        <v>25</v>
      </c>
      <c r="G8" s="8"/>
      <c r="H8" s="8"/>
      <c r="I8" s="8"/>
      <c r="J8" s="13">
        <v>12.0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19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13" t="s">
        <v>17</v>
      </c>
      <c r="BS6" s="13" t="s">
        <v>28</v>
      </c>
      <c r="BT6" s="13"/>
      <c r="BU6" s="13"/>
      <c r="BV6" s="8"/>
      <c r="BW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17</v>
      </c>
      <c r="D6" s="13">
        <v>100.0</v>
      </c>
      <c r="E6" s="13">
        <v>100.0</v>
      </c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28</v>
      </c>
      <c r="AO6" s="9">
        <v>100.0</v>
      </c>
      <c r="AP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12.0</v>
      </c>
      <c r="K6" s="8"/>
      <c r="L6" s="13" t="s">
        <v>33</v>
      </c>
      <c r="M6" s="8"/>
      <c r="N6" s="13" t="s">
        <v>34</v>
      </c>
      <c r="O6" s="8"/>
      <c r="Z6" s="9" t="s">
        <v>35</v>
      </c>
      <c r="AA6" s="9" t="s">
        <v>28</v>
      </c>
      <c r="AB6" s="9">
        <v>1.0</v>
      </c>
      <c r="AD6" s="9" t="s">
        <v>36</v>
      </c>
      <c r="AE6" s="9">
        <v>100.0</v>
      </c>
      <c r="AG6" s="9" t="s">
        <v>37</v>
      </c>
      <c r="AH6" s="9">
        <v>1.0</v>
      </c>
      <c r="BE6" s="38">
        <v>1200.0</v>
      </c>
      <c r="BF6" s="38">
        <v>1200.0</v>
      </c>
      <c r="BJ6" s="9">
        <v>100.0</v>
      </c>
      <c r="BL6" s="13"/>
      <c r="BM6" s="13" t="s">
        <v>35</v>
      </c>
      <c r="BO6" s="9" t="s">
        <v>19</v>
      </c>
      <c r="BS6" s="9" t="s">
        <v>28</v>
      </c>
      <c r="CJ6" s="9" t="s">
        <v>38</v>
      </c>
      <c r="CN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