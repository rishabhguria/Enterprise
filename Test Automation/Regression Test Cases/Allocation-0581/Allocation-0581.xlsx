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ApplyPrefetchFilters" sheetId="5" r:id="rId7"/>
    <sheet state="visible" name="CreateLiveOrder" sheetId="6" r:id="rId8"/>
    <sheet state="visible" name="CreateDoneAwayOrder" sheetId="7" r:id="rId9"/>
    <sheet state="visible" name="CheckAllocatedGroups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ApplyPrefetchFilters1" sheetId="12" r:id="rId14"/>
    <sheet state="visible" name="CheckAllocatedGroups1" sheetId="13" r:id="rId15"/>
  </sheets>
  <definedNames/>
  <calcPr/>
</workbook>
</file>

<file path=xl/sharedStrings.xml><?xml version="1.0" encoding="utf-8"?>
<sst xmlns="http://schemas.openxmlformats.org/spreadsheetml/2006/main" count="409" uniqueCount="59">
  <si>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</si>
  <si>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</si>
  <si>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</si>
  <si>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</si>
  <si>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</si>
  <si>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</si>
  <si>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</si>
  <si>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</si>
  <si>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</si>
  <si>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</si>
  <si>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</si>
  <si>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</si>
  <si>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</si>
  <si>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</si>
  <si>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</si>
  <si>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</si>
  <si>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UseCacheInAllocation</t>
  </si>
  <si>
    <t>CreateCacheInAllocation</t>
  </si>
  <si>
    <t>Allocation</t>
  </si>
  <si>
    <t>ApplyPrefetchFilters</t>
  </si>
  <si>
    <t>All</t>
  </si>
  <si>
    <t>MS</t>
  </si>
  <si>
    <t>TradingTicket</t>
  </si>
  <si>
    <t>CreateLiveOrder</t>
  </si>
  <si>
    <t>AAPL</t>
  </si>
  <si>
    <t>Buy</t>
  </si>
  <si>
    <t>IBM</t>
  </si>
  <si>
    <t>GS</t>
  </si>
  <si>
    <t>CreateDoneAwayOrder</t>
  </si>
  <si>
    <t>CheckAllocatedGroups</t>
  </si>
  <si>
    <t/>
  </si>
  <si>
    <t>Allocation1</t>
  </si>
  <si>
    <t>Actual_365</t>
  </si>
  <si>
    <t>Manual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</si>
  <si>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</si>
  <si>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</si>
  <si>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</si>
  <si>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</si>
  <si>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</si>
  <si>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</si>
  <si>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</si>
  <si>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</si>
  <si>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</si>
  <si>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</si>
  <si>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</si>
  <si>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</si>
  <si>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</si>
  <si>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</si>
  <si>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</si>
  <si>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</si>
  <si>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</si>
  <si>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</si>
  <si>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Simulator</t>
  </si>
  <si>
    <t>SelectTrade</t>
  </si>
  <si>
    <t>AcknowledgeTrade</t>
  </si>
  <si>
    <t>ExecuteTrade</t>
  </si>
  <si>
    <t>IBM US EQUITY</t>
  </si>
  <si>
    <t>BrokerNotes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</si>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</sst>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12" t="b">
        <v>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17</v>
      </c>
      <c r="C7" s="12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IFERROR(__xludf.DUMMYFUNCTION("""COMPUTED_VALUE"""),"FilterTabName")</f>
        <v>FilterTabName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IFERROR(__xludf.DUMMYFUNCTION("""COMPUTED_VALUE"""),"Account")</f>
        <v>Account</v>
      </c>
      <c r="H5" s="27" t="str">
        <f>IFERROR(__xludf.DUMMYFUNCTION("""COMPUTED_VALUE"""),"Broker")</f>
        <v>Broker</v>
      </c>
      <c r="I5" s="27" t="str">
        <f>IFERROR(__xludf.DUMMYFUNCTION("""COMPUTED_VALUE"""),"Currency")</f>
        <v>Currency</v>
      </c>
      <c r="J5" s="27" t="str">
        <f>IFERROR(__xludf.DUMMYFUNCTION("""COMPUTED_VALUE"""),"Exchange")</f>
        <v>Exchange</v>
      </c>
      <c r="K5" s="27" t="str">
        <f>IFERROR(__xludf.DUMMYFUNCTION("""COMPUTED_VALUE"""),"StrategyName")</f>
        <v>StrategyName</v>
      </c>
      <c r="L5" s="27" t="str">
        <f>IFERROR(__xludf.DUMMYFUNCTION("""COMPUTED_VALUE"""),"Underlying")</f>
        <v>Underlying</v>
      </c>
      <c r="M5" s="27" t="str">
        <f>IFERROR(__xludf.DUMMYFUNCTION("""COMPUTED_VALUE"""),"Venue")</f>
        <v>Venue</v>
      </c>
      <c r="N5" s="27" t="str">
        <f>IFERROR(__xludf.DUMMYFUNCTION("""COMPUTED_VALUE"""),"TradingAccount")</f>
        <v>TradingAccount</v>
      </c>
      <c r="O5" s="27" t="str">
        <f>IFERROR(__xludf.DUMMYFUNCTION("""COMPUTED_VALUE"""),"PreAllocated")</f>
        <v>PreAllocated</v>
      </c>
      <c r="P5" s="27" t="str">
        <f>IFERROR(__xludf.DUMMYFUNCTION("""COMPUTED_VALUE"""),"ManualGroup")</f>
        <v>ManualGroup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1"/>
      <c r="F6" s="8"/>
      <c r="G6" s="8"/>
      <c r="H6" s="12" t="s">
        <v>21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ApplyPrefetchFilters!$4:$4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200.0</v>
      </c>
      <c r="E6" s="31"/>
      <c r="F6" s="8"/>
      <c r="G6" s="12" t="s">
        <v>21</v>
      </c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25</v>
      </c>
      <c r="D7" s="12">
        <v>200.0</v>
      </c>
      <c r="E7" s="8"/>
      <c r="F7" s="8"/>
      <c r="G7" s="12" t="s">
        <v>27</v>
      </c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100.0</v>
      </c>
      <c r="E6" s="31"/>
      <c r="F6" s="8"/>
      <c r="G6" s="12" t="s">
        <v>21</v>
      </c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25</v>
      </c>
      <c r="D7" s="12">
        <v>100.0</v>
      </c>
      <c r="E7" s="8"/>
      <c r="F7" s="8"/>
      <c r="G7" s="12" t="s">
        <v>27</v>
      </c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30</v>
      </c>
      <c r="B6" s="32" t="s">
        <v>31</v>
      </c>
      <c r="C6" s="8" t="s">
        <v>32</v>
      </c>
      <c r="D6" s="32">
        <v>0.0</v>
      </c>
      <c r="E6" s="8">
        <v>200.0</v>
      </c>
      <c r="F6" s="8" t="s">
        <v>33</v>
      </c>
      <c r="G6" s="8" t="s">
        <v>34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35</v>
      </c>
      <c r="N6" s="8" t="s">
        <v>36</v>
      </c>
      <c r="O6" s="8" t="s">
        <v>21</v>
      </c>
      <c r="Q6">
        <v>3.0</v>
      </c>
      <c r="R6">
        <v>0.0</v>
      </c>
      <c r="S6" t="s">
        <v>37</v>
      </c>
      <c r="T6">
        <v>0.0</v>
      </c>
      <c r="U6">
        <v>0.0</v>
      </c>
      <c r="V6" t="s">
        <v>38</v>
      </c>
      <c r="W6">
        <v>1.0</v>
      </c>
      <c r="X6">
        <v>0.0</v>
      </c>
      <c r="Y6" t="s">
        <v>30</v>
      </c>
      <c r="Z6" t="s">
        <v>39</v>
      </c>
      <c r="AA6" t="s">
        <v>24</v>
      </c>
      <c r="AB6">
        <v>1.0</v>
      </c>
      <c r="AD6" t="s">
        <v>40</v>
      </c>
      <c r="AE6">
        <v>200.0</v>
      </c>
      <c r="AF6" t="s">
        <v>30</v>
      </c>
      <c r="AH6" t="s">
        <v>41</v>
      </c>
      <c r="AI6">
        <v>1.0</v>
      </c>
      <c r="AJ6" t="s">
        <v>42</v>
      </c>
      <c r="AM6" t="s">
        <v>43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2014.0011</v>
      </c>
      <c r="AU6">
        <v>2014.0011</v>
      </c>
      <c r="AW6">
        <v>0.0</v>
      </c>
      <c r="AX6">
        <v>0.0</v>
      </c>
      <c r="AY6" t="s">
        <v>44</v>
      </c>
      <c r="AZ6">
        <v>0.0</v>
      </c>
      <c r="BC6">
        <v>0.0</v>
      </c>
      <c r="BD6" t="s">
        <v>45</v>
      </c>
      <c r="BE6">
        <v>2000.0</v>
      </c>
      <c r="BF6">
        <v>2000.0</v>
      </c>
      <c r="BJ6">
        <v>200.0</v>
      </c>
      <c r="BK6">
        <v>0.0</v>
      </c>
      <c r="BL6" t="s">
        <v>30</v>
      </c>
      <c r="BM6" t="s">
        <v>39</v>
      </c>
      <c r="BO6" t="s">
        <v>25</v>
      </c>
      <c r="BP6">
        <v>0.0</v>
      </c>
      <c r="BQ6">
        <v>0.0</v>
      </c>
      <c r="BR6">
        <v>0.0011</v>
      </c>
      <c r="BS6" t="s">
        <v>46</v>
      </c>
      <c r="BT6" t="s">
        <v>24</v>
      </c>
      <c r="BU6">
        <v>3.0</v>
      </c>
      <c r="BV6">
        <v>0.0</v>
      </c>
      <c r="BW6">
        <v>14.0011</v>
      </c>
      <c r="BX6">
        <v>0.0</v>
      </c>
      <c r="CF6" t="s">
        <v>47</v>
      </c>
      <c r="CG6">
        <v>2.0</v>
      </c>
      <c r="CH6" t="s">
        <v>22</v>
      </c>
      <c r="CI6" t="s">
        <v>25</v>
      </c>
      <c r="CJ6">
        <v>0.0</v>
      </c>
      <c r="CK6" t="s">
        <v>48</v>
      </c>
      <c r="CL6">
        <v>1.0</v>
      </c>
      <c r="CM6" t="s">
        <v>24</v>
      </c>
      <c r="CN6" t="s">
        <v>49</v>
      </c>
      <c r="CO6" t="s">
        <v>40</v>
      </c>
      <c r="CP6" t="s">
        <v>50</v>
      </c>
      <c r="CS6" t="s">
        <v>30</v>
      </c>
      <c r="CW6">
        <v>0.0</v>
      </c>
      <c r="CX6" t="s">
        <v>51</v>
      </c>
      <c r="CY6" s="9" t="b">
        <v>1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30</v>
      </c>
      <c r="B7" s="8" t="s">
        <v>31</v>
      </c>
      <c r="C7" s="8" t="s">
        <v>32</v>
      </c>
      <c r="D7" s="8">
        <v>0.0</v>
      </c>
      <c r="E7" s="8">
        <v>100.0</v>
      </c>
      <c r="F7" s="8" t="s">
        <v>33</v>
      </c>
      <c r="G7" s="8" t="s">
        <v>34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35</v>
      </c>
      <c r="N7" s="8" t="s">
        <v>36</v>
      </c>
      <c r="O7" s="8" t="s">
        <v>21</v>
      </c>
      <c r="Q7">
        <v>3.0</v>
      </c>
      <c r="R7">
        <v>0.0</v>
      </c>
      <c r="S7" t="s">
        <v>37</v>
      </c>
      <c r="T7">
        <v>0.0</v>
      </c>
      <c r="U7">
        <v>0.0</v>
      </c>
      <c r="V7" t="s">
        <v>38</v>
      </c>
      <c r="W7">
        <v>1.0</v>
      </c>
      <c r="X7">
        <v>0.0</v>
      </c>
      <c r="Y7" t="s">
        <v>30</v>
      </c>
      <c r="Z7" t="s">
        <v>39</v>
      </c>
      <c r="AA7" t="s">
        <v>24</v>
      </c>
      <c r="AB7">
        <v>1.0</v>
      </c>
      <c r="AD7" t="s">
        <v>40</v>
      </c>
      <c r="AE7">
        <v>100.0</v>
      </c>
      <c r="AF7" t="s">
        <v>30</v>
      </c>
      <c r="AH7" t="s">
        <v>41</v>
      </c>
      <c r="AI7">
        <v>1.0</v>
      </c>
      <c r="AJ7" t="s">
        <v>42</v>
      </c>
      <c r="AM7" t="s">
        <v>43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1014.0006</v>
      </c>
      <c r="AU7">
        <v>1014.0006</v>
      </c>
      <c r="AW7">
        <v>0.0</v>
      </c>
      <c r="AX7">
        <v>0.0</v>
      </c>
      <c r="AY7" t="s">
        <v>44</v>
      </c>
      <c r="AZ7">
        <v>0.0</v>
      </c>
      <c r="BC7">
        <v>0.0</v>
      </c>
      <c r="BD7" t="s">
        <v>45</v>
      </c>
      <c r="BE7">
        <v>1000.0</v>
      </c>
      <c r="BF7">
        <v>1000.0</v>
      </c>
      <c r="BJ7">
        <v>100.0</v>
      </c>
      <c r="BK7">
        <v>0.0</v>
      </c>
      <c r="BL7" t="s">
        <v>30</v>
      </c>
      <c r="BM7" t="s">
        <v>39</v>
      </c>
      <c r="BO7" t="s">
        <v>25</v>
      </c>
      <c r="BP7">
        <v>0.0</v>
      </c>
      <c r="BQ7">
        <v>0.0</v>
      </c>
      <c r="BR7">
        <v>6.0E-4</v>
      </c>
      <c r="BS7" t="s">
        <v>46</v>
      </c>
      <c r="BT7" t="s">
        <v>24</v>
      </c>
      <c r="BU7">
        <v>3.0</v>
      </c>
      <c r="BV7">
        <v>0.0</v>
      </c>
      <c r="BW7">
        <v>14.0006</v>
      </c>
      <c r="BX7">
        <v>0.0</v>
      </c>
      <c r="CF7" t="s">
        <v>47</v>
      </c>
      <c r="CG7">
        <v>2.0</v>
      </c>
      <c r="CH7" t="s">
        <v>22</v>
      </c>
      <c r="CI7" t="s">
        <v>25</v>
      </c>
      <c r="CJ7">
        <v>0.0</v>
      </c>
      <c r="CK7" t="s">
        <v>48</v>
      </c>
      <c r="CL7">
        <v>1.0</v>
      </c>
      <c r="CM7" t="s">
        <v>24</v>
      </c>
      <c r="CN7" t="s">
        <v>49</v>
      </c>
      <c r="CO7" t="s">
        <v>40</v>
      </c>
      <c r="CP7" t="s">
        <v>50</v>
      </c>
      <c r="CS7" t="s">
        <v>30</v>
      </c>
      <c r="CW7">
        <v>0.0</v>
      </c>
      <c r="CX7" t="s">
        <v>51</v>
      </c>
      <c r="CY7" s="9" t="b">
        <v>1</v>
      </c>
      <c r="CZ7" t="s">
        <v>30</v>
      </c>
      <c r="DA7" t="s">
        <v>30</v>
      </c>
      <c r="DB7" t="s">
        <v>30</v>
      </c>
      <c r="DC7" t="s">
        <v>30</v>
      </c>
      <c r="DD7" t="s">
        <v>30</v>
      </c>
      <c r="DE7" t="s">
        <v>30</v>
      </c>
      <c r="DF7" t="s">
        <v>30</v>
      </c>
      <c r="DG7" t="s">
        <v>30</v>
      </c>
      <c r="DH7" t="s">
        <v>30</v>
      </c>
      <c r="DI7" t="s">
        <v>30</v>
      </c>
      <c r="DJ7" t="s">
        <v>30</v>
      </c>
      <c r="DK7" t="s">
        <v>30</v>
      </c>
      <c r="DL7" t="s">
        <v>30</v>
      </c>
      <c r="DM7" t="s">
        <v>30</v>
      </c>
      <c r="DN7" t="s">
        <v>30</v>
      </c>
      <c r="DO7" t="s">
        <v>30</v>
      </c>
      <c r="DP7" t="s">
        <v>30</v>
      </c>
      <c r="DQ7" t="s">
        <v>30</v>
      </c>
      <c r="DR7" t="s">
        <v>30</v>
      </c>
      <c r="DS7" t="s">
        <v>30</v>
      </c>
      <c r="DT7" t="s">
        <v>30</v>
      </c>
      <c r="DU7" t="s">
        <v>30</v>
      </c>
      <c r="DV7" t="s">
        <v>30</v>
      </c>
      <c r="DW7" t="s">
        <v>30</v>
      </c>
      <c r="DX7" t="s">
        <v>30</v>
      </c>
      <c r="DY7" t="s">
        <v>30</v>
      </c>
      <c r="DZ7" t="s">
        <v>30</v>
      </c>
      <c r="EA7" t="s">
        <v>30</v>
      </c>
      <c r="EB7" t="s">
        <v>30</v>
      </c>
      <c r="EC7" t="s">
        <v>30</v>
      </c>
      <c r="ED7" t="s">
        <v>30</v>
      </c>
      <c r="EE7" t="s">
        <v>30</v>
      </c>
      <c r="EF7" t="s">
        <v>30</v>
      </c>
      <c r="EG7" t="s">
        <v>30</v>
      </c>
      <c r="EH7" t="s">
        <v>30</v>
      </c>
      <c r="EI7" t="s">
        <v>30</v>
      </c>
      <c r="EJ7" t="s">
        <v>30</v>
      </c>
      <c r="EK7" t="s">
        <v>30</v>
      </c>
      <c r="EL7" t="s">
        <v>30</v>
      </c>
      <c r="EM7" t="s">
        <v>30</v>
      </c>
      <c r="EN7" t="s">
        <v>30</v>
      </c>
      <c r="EO7" t="s">
        <v>30</v>
      </c>
      <c r="EP7" t="s">
        <v>30</v>
      </c>
      <c r="EQ7" t="s">
        <v>30</v>
      </c>
      <c r="ER7" t="s">
        <v>30</v>
      </c>
      <c r="ES7" t="s">
        <v>30</v>
      </c>
      <c r="ET7" t="s">
        <v>30</v>
      </c>
      <c r="EU7" t="s">
        <v>30</v>
      </c>
      <c r="EV7" t="s">
        <v>30</v>
      </c>
      <c r="EW7" t="s">
        <v>30</v>
      </c>
      <c r="EX7" t="s">
        <v>30</v>
      </c>
      <c r="FA7" t="s">
        <v>30</v>
      </c>
      <c r="FB7" t="s">
        <v>30</v>
      </c>
      <c r="FC7" t="s">
        <v>30</v>
      </c>
      <c r="FD7" t="s">
        <v>30</v>
      </c>
      <c r="FE7" t="s">
        <v>30</v>
      </c>
      <c r="FF7" t="s">
        <v>30</v>
      </c>
      <c r="FG7" t="s">
        <v>30</v>
      </c>
      <c r="FH7" t="s">
        <v>30</v>
      </c>
      <c r="FI7" t="s">
        <v>30</v>
      </c>
      <c r="FK7" t="s">
        <v>30</v>
      </c>
      <c r="FL7" t="s">
        <v>30</v>
      </c>
      <c r="FM7" t="s">
        <v>30</v>
      </c>
      <c r="FN7" t="s">
        <v>30</v>
      </c>
      <c r="FO7" t="s">
        <v>30</v>
      </c>
      <c r="FP7" t="s">
        <v>30</v>
      </c>
      <c r="FQ7" t="s">
        <v>30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1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IFERROR(__xludf.DUMMYFUNCTION("""COMPUTED_VALUE"""),"FilterTabName")</f>
        <v>FilterTabName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IFERROR(__xludf.DUMMYFUNCTION("""COMPUTED_VALUE"""),"Account")</f>
        <v>Account</v>
      </c>
      <c r="H5" s="27" t="str">
        <f>IFERROR(__xludf.DUMMYFUNCTION("""COMPUTED_VALUE"""),"Broker")</f>
        <v>Broker</v>
      </c>
      <c r="I5" s="27" t="str">
        <f>IFERROR(__xludf.DUMMYFUNCTION("""COMPUTED_VALUE"""),"Currency")</f>
        <v>Currency</v>
      </c>
      <c r="J5" s="27" t="str">
        <f>IFERROR(__xludf.DUMMYFUNCTION("""COMPUTED_VALUE"""),"Exchange")</f>
        <v>Exchange</v>
      </c>
      <c r="K5" s="27" t="str">
        <f>IFERROR(__xludf.DUMMYFUNCTION("""COMPUTED_VALUE"""),"StrategyName")</f>
        <v>StrategyName</v>
      </c>
      <c r="L5" s="27" t="str">
        <f>IFERROR(__xludf.DUMMYFUNCTION("""COMPUTED_VALUE"""),"Underlying")</f>
        <v>Underlying</v>
      </c>
      <c r="M5" s="27" t="str">
        <f>IFERROR(__xludf.DUMMYFUNCTION("""COMPUTED_VALUE"""),"Venue")</f>
        <v>Venue</v>
      </c>
      <c r="N5" s="27" t="str">
        <f>IFERROR(__xludf.DUMMYFUNCTION("""COMPUTED_VALUE"""),"TradingAccount")</f>
        <v>TradingAccount</v>
      </c>
      <c r="O5" s="27" t="str">
        <f>IFERROR(__xludf.DUMMYFUNCTION("""COMPUTED_VALUE"""),"PreAllocated")</f>
        <v>PreAllocated</v>
      </c>
      <c r="P5" s="27" t="str">
        <f>IFERROR(__xludf.DUMMYFUNCTION("""COMPUTED_VALUE"""),"ManualGroup")</f>
        <v>ManualGroup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1"/>
      <c r="F6" s="8"/>
      <c r="G6" s="8"/>
      <c r="H6" s="12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ApplyPrefetchFilters1!$4:$4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30</v>
      </c>
      <c r="B6" s="32" t="s">
        <v>31</v>
      </c>
      <c r="C6" s="8" t="s">
        <v>32</v>
      </c>
      <c r="D6" s="32">
        <v>0.0</v>
      </c>
      <c r="E6" s="8">
        <v>100.0</v>
      </c>
      <c r="F6" s="8" t="s">
        <v>33</v>
      </c>
      <c r="G6" s="8" t="s">
        <v>34</v>
      </c>
      <c r="H6" s="8">
        <v>9.0</v>
      </c>
      <c r="I6" s="8">
        <v>0.0</v>
      </c>
      <c r="J6" s="8">
        <v>15.0</v>
      </c>
      <c r="K6" s="8">
        <v>10.0</v>
      </c>
      <c r="L6" s="8">
        <v>10.0</v>
      </c>
      <c r="M6" s="8" t="s">
        <v>56</v>
      </c>
      <c r="N6" s="8" t="s">
        <v>36</v>
      </c>
      <c r="O6" s="8" t="s">
        <v>27</v>
      </c>
      <c r="Q6">
        <v>3.0</v>
      </c>
      <c r="R6">
        <v>0.0</v>
      </c>
      <c r="S6" t="s">
        <v>37</v>
      </c>
      <c r="T6">
        <v>0.0</v>
      </c>
      <c r="U6">
        <v>0.0</v>
      </c>
      <c r="V6" t="s">
        <v>26</v>
      </c>
      <c r="W6">
        <v>1.0</v>
      </c>
      <c r="X6">
        <v>0.0</v>
      </c>
      <c r="Y6" t="s">
        <v>30</v>
      </c>
      <c r="Z6" t="s">
        <v>39</v>
      </c>
      <c r="AB6">
        <v>1.0</v>
      </c>
      <c r="AC6" t="s">
        <v>57</v>
      </c>
      <c r="AD6" t="s">
        <v>58</v>
      </c>
      <c r="AE6">
        <v>100.0</v>
      </c>
      <c r="AF6" t="s">
        <v>30</v>
      </c>
      <c r="AH6" t="s">
        <v>41</v>
      </c>
      <c r="AI6">
        <v>1.0</v>
      </c>
      <c r="AJ6" t="s">
        <v>42</v>
      </c>
      <c r="AM6" t="s">
        <v>43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1010.175</v>
      </c>
      <c r="AU6">
        <v>1010.175</v>
      </c>
      <c r="AW6">
        <v>0.0</v>
      </c>
      <c r="AX6">
        <v>0.0</v>
      </c>
      <c r="AY6" t="s">
        <v>44</v>
      </c>
      <c r="AZ6">
        <v>0.0</v>
      </c>
      <c r="BC6">
        <v>0.0</v>
      </c>
      <c r="BD6" t="s">
        <v>45</v>
      </c>
      <c r="BE6">
        <v>1000.0</v>
      </c>
      <c r="BF6">
        <v>1000.0</v>
      </c>
      <c r="BJ6">
        <v>100.0</v>
      </c>
      <c r="BK6">
        <v>0.0</v>
      </c>
      <c r="BL6" t="s">
        <v>30</v>
      </c>
      <c r="BM6" t="s">
        <v>39</v>
      </c>
      <c r="BO6" t="s">
        <v>25</v>
      </c>
      <c r="BP6">
        <v>0.0</v>
      </c>
      <c r="BQ6">
        <v>0.0</v>
      </c>
      <c r="BR6">
        <v>0.175</v>
      </c>
      <c r="BS6" t="s">
        <v>46</v>
      </c>
      <c r="BT6" t="s">
        <v>26</v>
      </c>
      <c r="BU6">
        <v>1.0</v>
      </c>
      <c r="BV6">
        <v>0.0</v>
      </c>
      <c r="BW6">
        <v>10.175</v>
      </c>
      <c r="BX6">
        <v>0.0</v>
      </c>
      <c r="CF6" t="s">
        <v>47</v>
      </c>
      <c r="CG6">
        <v>0.0</v>
      </c>
      <c r="CH6" t="s">
        <v>22</v>
      </c>
      <c r="CI6" t="s">
        <v>25</v>
      </c>
      <c r="CJ6">
        <v>0.0</v>
      </c>
      <c r="CK6" t="s">
        <v>48</v>
      </c>
      <c r="CL6">
        <v>1.0</v>
      </c>
      <c r="CM6" t="s">
        <v>26</v>
      </c>
      <c r="CN6" t="s">
        <v>49</v>
      </c>
      <c r="CO6" t="s">
        <v>40</v>
      </c>
      <c r="CP6" t="s">
        <v>50</v>
      </c>
      <c r="CS6" t="s">
        <v>30</v>
      </c>
      <c r="CW6">
        <v>0.0</v>
      </c>
      <c r="CX6" t="s">
        <v>51</v>
      </c>
      <c r="CY6" s="9" t="b">
        <v>1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